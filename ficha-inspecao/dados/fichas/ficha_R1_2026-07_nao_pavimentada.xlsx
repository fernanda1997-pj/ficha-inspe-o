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5E5109EA-F02B-4B93-9765-D134BA76AFAB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1" sheetId="2" r:id="rId2"/>
    <sheet name="6" sheetId="3" r:id="rId3"/>
    <sheet name="12" sheetId="4" r:id="rId4"/>
    <sheet name="20" sheetId="5" r:id="rId5"/>
    <sheet name="21" sheetId="6" r:id="rId6"/>
    <sheet name="22" sheetId="7" r:id="rId7"/>
    <sheet name="25" sheetId="8" r:id="rId8"/>
    <sheet name="26" sheetId="9" r:id="rId9"/>
    <sheet name="27" sheetId="10" r:id="rId10"/>
    <sheet name="31" sheetId="11" r:id="rId11"/>
    <sheet name="33" sheetId="12" r:id="rId12"/>
    <sheet name="34" sheetId="13" r:id="rId13"/>
    <sheet name="37" sheetId="14" r:id="rId14"/>
    <sheet name="LISTAS" sheetId="15" state="hidden" r:id="rId15"/>
  </sheets>
  <definedNames>
    <definedName name="_xlnm.Print_Area" localSheetId="1">'1'!$A$1:$M$115</definedName>
    <definedName name="_xlnm.Print_Area" localSheetId="3">'12'!$A$1:$M$64</definedName>
    <definedName name="_xlnm.Print_Area" localSheetId="4">'20'!$A$1:$M$55</definedName>
    <definedName name="_xlnm.Print_Area" localSheetId="5">'21'!$A$1:$M$55</definedName>
    <definedName name="_xlnm.Print_Area" localSheetId="6">'22'!$A$1:$M$68</definedName>
    <definedName name="_xlnm.Print_Area" localSheetId="7">'25'!$A$1:$M$47</definedName>
    <definedName name="_xlnm.Print_Area" localSheetId="8">'26'!$A$1:$M$44</definedName>
    <definedName name="_xlnm.Print_Area" localSheetId="9">'27'!$A$1:$M$50</definedName>
    <definedName name="_xlnm.Print_Area" localSheetId="10">'31'!$A$1:$M$70</definedName>
    <definedName name="_xlnm.Print_Area" localSheetId="11">'33'!$A$1:$M$76</definedName>
    <definedName name="_xlnm.Print_Area" localSheetId="12">'34'!$A$1:$M$62</definedName>
    <definedName name="_xlnm.Print_Area" localSheetId="13">'37'!$A$1:$M$42</definedName>
    <definedName name="_xlnm.Print_Area" localSheetId="2">'6'!$A$1:$M$65</definedName>
    <definedName name="_xlnm.Print_Area" localSheetId="0">RESUMO!$A$1:$K$20</definedName>
    <definedName name="_xlnm.Print_Titles" localSheetId="1">'1'!$6:$7</definedName>
    <definedName name="_xlnm.Print_Titles" localSheetId="3">'12'!$6:$7</definedName>
    <definedName name="_xlnm.Print_Titles" localSheetId="4">'20'!$6:$7</definedName>
    <definedName name="_xlnm.Print_Titles" localSheetId="5">'21'!$6:$7</definedName>
    <definedName name="_xlnm.Print_Titles" localSheetId="6">'22'!$6:$7</definedName>
    <definedName name="_xlnm.Print_Titles" localSheetId="7">'25'!$6:$7</definedName>
    <definedName name="_xlnm.Print_Titles" localSheetId="8">'26'!$6:$7</definedName>
    <definedName name="_xlnm.Print_Titles" localSheetId="9">'27'!$6:$7</definedName>
    <definedName name="_xlnm.Print_Titles" localSheetId="10">'31'!$6:$7</definedName>
    <definedName name="_xlnm.Print_Titles" localSheetId="11">'33'!$6:$7</definedName>
    <definedName name="_xlnm.Print_Titles" localSheetId="12">'34'!$6:$7</definedName>
    <definedName name="_xlnm.Print_Titles" localSheetId="13">'37'!$6:$7</definedName>
    <definedName name="_xlnm.Print_Titles" localSheetId="2">'6'!$6:$7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4" l="1"/>
  <c r="I27" i="14"/>
  <c r="F27" i="14"/>
  <c r="N21" i="14"/>
  <c r="E21" i="14"/>
  <c r="N20" i="14"/>
  <c r="E20" i="14"/>
  <c r="N19" i="14"/>
  <c r="E19" i="14"/>
  <c r="N18" i="14"/>
  <c r="E18" i="14"/>
  <c r="N17" i="14"/>
  <c r="E17" i="14"/>
  <c r="N16" i="14"/>
  <c r="E16" i="14"/>
  <c r="N15" i="14"/>
  <c r="E15" i="14"/>
  <c r="N14" i="14"/>
  <c r="E14" i="14"/>
  <c r="N13" i="14"/>
  <c r="E13" i="14"/>
  <c r="N12" i="14"/>
  <c r="E12" i="14"/>
  <c r="N11" i="14"/>
  <c r="E11" i="14"/>
  <c r="N10" i="14"/>
  <c r="E10" i="14"/>
  <c r="N9" i="14"/>
  <c r="E9" i="14"/>
  <c r="S2" i="14"/>
  <c r="P2" i="14"/>
  <c r="K47" i="13"/>
  <c r="U2" i="13" s="1"/>
  <c r="I47" i="13"/>
  <c r="H47" i="13"/>
  <c r="N41" i="13"/>
  <c r="E41" i="13"/>
  <c r="N40" i="13"/>
  <c r="E40" i="13"/>
  <c r="N39" i="13"/>
  <c r="E39" i="13"/>
  <c r="N38" i="13"/>
  <c r="E38" i="13"/>
  <c r="N37" i="13"/>
  <c r="E37" i="13"/>
  <c r="N36" i="13"/>
  <c r="E36" i="13"/>
  <c r="N35" i="13"/>
  <c r="E35" i="13"/>
  <c r="N34" i="13"/>
  <c r="E34" i="13"/>
  <c r="N33" i="13"/>
  <c r="E33" i="13"/>
  <c r="N32" i="13"/>
  <c r="E32" i="13"/>
  <c r="N31" i="13"/>
  <c r="E31" i="13"/>
  <c r="N30" i="13"/>
  <c r="E30" i="13"/>
  <c r="N29" i="13"/>
  <c r="E29" i="13"/>
  <c r="N28" i="13"/>
  <c r="E28" i="13"/>
  <c r="N27" i="13"/>
  <c r="E27" i="13"/>
  <c r="N26" i="13"/>
  <c r="E26" i="13"/>
  <c r="N25" i="13"/>
  <c r="E25" i="13"/>
  <c r="N24" i="13"/>
  <c r="E24" i="13"/>
  <c r="N23" i="13"/>
  <c r="E23" i="13"/>
  <c r="N22" i="13"/>
  <c r="E22" i="13"/>
  <c r="N21" i="13"/>
  <c r="E21" i="13"/>
  <c r="N20" i="13"/>
  <c r="E20" i="13"/>
  <c r="N19" i="13"/>
  <c r="E19" i="13"/>
  <c r="N18" i="13"/>
  <c r="E18" i="13"/>
  <c r="N17" i="13"/>
  <c r="E17" i="13"/>
  <c r="N16" i="13"/>
  <c r="E16" i="13"/>
  <c r="N15" i="13"/>
  <c r="E15" i="13"/>
  <c r="N14" i="13"/>
  <c r="E14" i="13"/>
  <c r="N13" i="13"/>
  <c r="E13" i="13"/>
  <c r="N12" i="13"/>
  <c r="E12" i="13"/>
  <c r="N11" i="13"/>
  <c r="E11" i="13"/>
  <c r="N10" i="13"/>
  <c r="E10" i="13"/>
  <c r="G47" i="13" s="1"/>
  <c r="N9" i="13"/>
  <c r="E9" i="13"/>
  <c r="S2" i="13"/>
  <c r="R2" i="13"/>
  <c r="L61" i="12"/>
  <c r="I61" i="12"/>
  <c r="H61" i="12"/>
  <c r="R2" i="12" s="1"/>
  <c r="N55" i="12"/>
  <c r="E55" i="12"/>
  <c r="N54" i="12"/>
  <c r="E54" i="12"/>
  <c r="N53" i="12"/>
  <c r="E53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3" i="12"/>
  <c r="E43" i="12"/>
  <c r="N42" i="12"/>
  <c r="E42" i="12"/>
  <c r="N41" i="12"/>
  <c r="E41" i="12"/>
  <c r="N40" i="12"/>
  <c r="E40" i="12"/>
  <c r="N39" i="12"/>
  <c r="E39" i="12"/>
  <c r="N38" i="12"/>
  <c r="E38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1" i="12"/>
  <c r="E31" i="12"/>
  <c r="N30" i="12"/>
  <c r="E30" i="12"/>
  <c r="N29" i="12"/>
  <c r="E29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F61" i="12" s="1"/>
  <c r="N12" i="12"/>
  <c r="E12" i="12"/>
  <c r="N11" i="12"/>
  <c r="E11" i="12"/>
  <c r="N10" i="12"/>
  <c r="E10" i="12"/>
  <c r="N9" i="12"/>
  <c r="E9" i="12"/>
  <c r="G61" i="12" s="1"/>
  <c r="Q2" i="12" s="1"/>
  <c r="V2" i="12"/>
  <c r="S2" i="12"/>
  <c r="L55" i="11"/>
  <c r="I55" i="11"/>
  <c r="H55" i="11"/>
  <c r="N49" i="11"/>
  <c r="E49" i="11"/>
  <c r="N48" i="11"/>
  <c r="E48" i="11"/>
  <c r="N47" i="11"/>
  <c r="E47" i="11"/>
  <c r="N46" i="11"/>
  <c r="E46" i="1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7" i="11"/>
  <c r="E37" i="11"/>
  <c r="N36" i="11"/>
  <c r="E36" i="11"/>
  <c r="N35" i="11"/>
  <c r="E35" i="11"/>
  <c r="N34" i="11"/>
  <c r="E34" i="11"/>
  <c r="K55" i="11" s="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7" i="11"/>
  <c r="E17" i="11"/>
  <c r="N16" i="11"/>
  <c r="E16" i="11"/>
  <c r="N15" i="11"/>
  <c r="E15" i="11"/>
  <c r="N14" i="11"/>
  <c r="E14" i="11"/>
  <c r="N13" i="11"/>
  <c r="E13" i="11"/>
  <c r="G55" i="11" s="1"/>
  <c r="N11" i="11"/>
  <c r="E11" i="11"/>
  <c r="N10" i="11"/>
  <c r="E10" i="11"/>
  <c r="N9" i="11"/>
  <c r="M58" i="11" s="1"/>
  <c r="E9" i="11"/>
  <c r="V2" i="11"/>
  <c r="S2" i="11"/>
  <c r="R2" i="11"/>
  <c r="I35" i="10"/>
  <c r="N29" i="10"/>
  <c r="E29" i="10"/>
  <c r="N28" i="10"/>
  <c r="E28" i="10"/>
  <c r="N27" i="10"/>
  <c r="E27" i="10"/>
  <c r="L35" i="10" s="1"/>
  <c r="N26" i="10"/>
  <c r="E26" i="10"/>
  <c r="N25" i="10"/>
  <c r="E25" i="10"/>
  <c r="N24" i="10"/>
  <c r="E24" i="10"/>
  <c r="N23" i="10"/>
  <c r="E23" i="10"/>
  <c r="N22" i="10"/>
  <c r="E22" i="10"/>
  <c r="N20" i="10"/>
  <c r="E20" i="10"/>
  <c r="N19" i="10"/>
  <c r="E19" i="10"/>
  <c r="N18" i="10"/>
  <c r="E18" i="10"/>
  <c r="H35" i="10" s="1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E9" i="10"/>
  <c r="S2" i="10"/>
  <c r="L29" i="9"/>
  <c r="V2" i="9" s="1"/>
  <c r="J29" i="9"/>
  <c r="H13" i="1" s="1"/>
  <c r="I29" i="9"/>
  <c r="H29" i="9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N13" i="9"/>
  <c r="E13" i="9"/>
  <c r="G29" i="9" s="1"/>
  <c r="Q2" i="9" s="1"/>
  <c r="N12" i="9"/>
  <c r="E12" i="9"/>
  <c r="N11" i="9"/>
  <c r="E11" i="9"/>
  <c r="N10" i="9"/>
  <c r="E10" i="9"/>
  <c r="N9" i="9"/>
  <c r="E9" i="9"/>
  <c r="K29" i="9" s="1"/>
  <c r="U2" i="9" s="1"/>
  <c r="R2" i="9"/>
  <c r="L32" i="8"/>
  <c r="V2" i="8" s="1"/>
  <c r="K32" i="8"/>
  <c r="I32" i="8"/>
  <c r="H32" i="8"/>
  <c r="R2" i="8" s="1"/>
  <c r="G32" i="8"/>
  <c r="Q2" i="8" s="1"/>
  <c r="N26" i="8"/>
  <c r="E26" i="8"/>
  <c r="N25" i="8"/>
  <c r="E25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1" i="8"/>
  <c r="E11" i="8"/>
  <c r="N10" i="8"/>
  <c r="E10" i="8"/>
  <c r="N9" i="8"/>
  <c r="E9" i="8"/>
  <c r="U2" i="8"/>
  <c r="S2" i="8"/>
  <c r="I53" i="7"/>
  <c r="S2" i="7" s="1"/>
  <c r="H53" i="7"/>
  <c r="N47" i="7"/>
  <c r="E47" i="7"/>
  <c r="N46" i="7"/>
  <c r="E46" i="7"/>
  <c r="N45" i="7"/>
  <c r="E45" i="7"/>
  <c r="N44" i="7"/>
  <c r="E44" i="7"/>
  <c r="N43" i="7"/>
  <c r="E43" i="7"/>
  <c r="N42" i="7"/>
  <c r="E42" i="7"/>
  <c r="N41" i="7"/>
  <c r="E41" i="7"/>
  <c r="N40" i="7"/>
  <c r="E40" i="7"/>
  <c r="N39" i="7"/>
  <c r="E39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K53" i="7" s="1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L53" i="7" s="1"/>
  <c r="V2" i="7" s="1"/>
  <c r="N10" i="7"/>
  <c r="E10" i="7"/>
  <c r="N9" i="7"/>
  <c r="M56" i="7" s="1"/>
  <c r="E9" i="7"/>
  <c r="R2" i="7"/>
  <c r="L40" i="6"/>
  <c r="V2" i="6" s="1"/>
  <c r="I40" i="6"/>
  <c r="S2" i="6" s="1"/>
  <c r="H40" i="6"/>
  <c r="R2" i="6" s="1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J40" i="6" s="1"/>
  <c r="N14" i="6"/>
  <c r="E14" i="6"/>
  <c r="N13" i="6"/>
  <c r="E13" i="6"/>
  <c r="G40" i="6" s="1"/>
  <c r="N12" i="6"/>
  <c r="E12" i="6"/>
  <c r="N11" i="6"/>
  <c r="E11" i="6"/>
  <c r="N10" i="6"/>
  <c r="E10" i="6"/>
  <c r="N9" i="6"/>
  <c r="E9" i="6"/>
  <c r="K40" i="6" s="1"/>
  <c r="L40" i="5"/>
  <c r="I40" i="5"/>
  <c r="S2" i="5" s="1"/>
  <c r="H40" i="5"/>
  <c r="F9" i="1" s="1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0" i="5"/>
  <c r="E20" i="5"/>
  <c r="N19" i="5"/>
  <c r="E19" i="5"/>
  <c r="N18" i="5"/>
  <c r="E18" i="5"/>
  <c r="N17" i="5"/>
  <c r="E17" i="5"/>
  <c r="N16" i="5"/>
  <c r="E16" i="5"/>
  <c r="N15" i="5"/>
  <c r="E15" i="5"/>
  <c r="K40" i="5" s="1"/>
  <c r="U2" i="5" s="1"/>
  <c r="N14" i="5"/>
  <c r="E14" i="5"/>
  <c r="G40" i="5" s="1"/>
  <c r="N13" i="5"/>
  <c r="E13" i="5"/>
  <c r="N12" i="5"/>
  <c r="E12" i="5"/>
  <c r="N10" i="5"/>
  <c r="E10" i="5"/>
  <c r="N9" i="5"/>
  <c r="M43" i="5" s="1"/>
  <c r="E9" i="5"/>
  <c r="V2" i="5"/>
  <c r="R2" i="5"/>
  <c r="L49" i="4"/>
  <c r="V2" i="4" s="1"/>
  <c r="J49" i="4"/>
  <c r="H8" i="1" s="1"/>
  <c r="I49" i="4"/>
  <c r="G49" i="4"/>
  <c r="E8" i="1" s="1"/>
  <c r="F49" i="4"/>
  <c r="N43" i="4"/>
  <c r="E43" i="4"/>
  <c r="N42" i="4"/>
  <c r="E42" i="4"/>
  <c r="N41" i="4"/>
  <c r="E41" i="4"/>
  <c r="N40" i="4"/>
  <c r="E40" i="4"/>
  <c r="N38" i="4"/>
  <c r="E38" i="4"/>
  <c r="N37" i="4"/>
  <c r="E37" i="4"/>
  <c r="N35" i="4"/>
  <c r="E35" i="4"/>
  <c r="N34" i="4"/>
  <c r="E34" i="4"/>
  <c r="N33" i="4"/>
  <c r="E33" i="4"/>
  <c r="N32" i="4"/>
  <c r="E32" i="4"/>
  <c r="N31" i="4"/>
  <c r="E31" i="4"/>
  <c r="N29" i="4"/>
  <c r="E29" i="4"/>
  <c r="N28" i="4"/>
  <c r="E28" i="4"/>
  <c r="N27" i="4"/>
  <c r="E27" i="4"/>
  <c r="N26" i="4"/>
  <c r="E26" i="4"/>
  <c r="N24" i="4"/>
  <c r="E24" i="4"/>
  <c r="N23" i="4"/>
  <c r="E23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H49" i="4" s="1"/>
  <c r="N9" i="4"/>
  <c r="E9" i="4"/>
  <c r="T2" i="4"/>
  <c r="S2" i="4"/>
  <c r="Q2" i="4"/>
  <c r="P2" i="4"/>
  <c r="K50" i="3"/>
  <c r="U2" i="3" s="1"/>
  <c r="I50" i="3"/>
  <c r="S2" i="3" s="1"/>
  <c r="H50" i="3"/>
  <c r="R2" i="3" s="1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F50" i="3" s="1"/>
  <c r="D7" i="1" s="1"/>
  <c r="N16" i="3"/>
  <c r="E16" i="3"/>
  <c r="N15" i="3"/>
  <c r="E15" i="3"/>
  <c r="N14" i="3"/>
  <c r="E14" i="3"/>
  <c r="N13" i="3"/>
  <c r="E13" i="3"/>
  <c r="J50" i="3" s="1"/>
  <c r="T2" i="3" s="1"/>
  <c r="N12" i="3"/>
  <c r="E12" i="3"/>
  <c r="N11" i="3"/>
  <c r="E11" i="3"/>
  <c r="N10" i="3"/>
  <c r="E10" i="3"/>
  <c r="N9" i="3"/>
  <c r="E9" i="3"/>
  <c r="I53" i="3" s="1"/>
  <c r="F51" i="3" s="1"/>
  <c r="K100" i="2"/>
  <c r="I100" i="2"/>
  <c r="S2" i="2" s="1"/>
  <c r="H100" i="2"/>
  <c r="N94" i="2"/>
  <c r="E94" i="2"/>
  <c r="N93" i="2"/>
  <c r="E93" i="2"/>
  <c r="N92" i="2"/>
  <c r="E92" i="2"/>
  <c r="N91" i="2"/>
  <c r="E91" i="2"/>
  <c r="N90" i="2"/>
  <c r="E90" i="2"/>
  <c r="N89" i="2"/>
  <c r="E89" i="2"/>
  <c r="N88" i="2"/>
  <c r="E88" i="2"/>
  <c r="N87" i="2"/>
  <c r="E87" i="2"/>
  <c r="N86" i="2"/>
  <c r="E86" i="2"/>
  <c r="N85" i="2"/>
  <c r="E85" i="2"/>
  <c r="N83" i="2"/>
  <c r="E83" i="2"/>
  <c r="N82" i="2"/>
  <c r="E82" i="2"/>
  <c r="N81" i="2"/>
  <c r="E81" i="2"/>
  <c r="N80" i="2"/>
  <c r="E80" i="2"/>
  <c r="N78" i="2"/>
  <c r="E78" i="2"/>
  <c r="N77" i="2"/>
  <c r="E77" i="2"/>
  <c r="N76" i="2"/>
  <c r="E76" i="2"/>
  <c r="N75" i="2"/>
  <c r="E75" i="2"/>
  <c r="N74" i="2"/>
  <c r="E74" i="2"/>
  <c r="N73" i="2"/>
  <c r="E73" i="2"/>
  <c r="N72" i="2"/>
  <c r="E72" i="2"/>
  <c r="N71" i="2"/>
  <c r="E71" i="2"/>
  <c r="N69" i="2"/>
  <c r="E69" i="2"/>
  <c r="N68" i="2"/>
  <c r="E68" i="2"/>
  <c r="N66" i="2"/>
  <c r="E66" i="2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8" i="2"/>
  <c r="E48" i="2"/>
  <c r="N47" i="2"/>
  <c r="E47" i="2"/>
  <c r="N46" i="2"/>
  <c r="E46" i="2"/>
  <c r="N45" i="2"/>
  <c r="E45" i="2"/>
  <c r="N44" i="2"/>
  <c r="E44" i="2"/>
  <c r="N43" i="2"/>
  <c r="E43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M103" i="2" s="1"/>
  <c r="E9" i="2"/>
  <c r="U2" i="2"/>
  <c r="R2" i="2"/>
  <c r="G18" i="1"/>
  <c r="D18" i="1"/>
  <c r="I17" i="1"/>
  <c r="G17" i="1"/>
  <c r="F17" i="1"/>
  <c r="J16" i="1"/>
  <c r="G16" i="1"/>
  <c r="F16" i="1"/>
  <c r="J15" i="1"/>
  <c r="G15" i="1"/>
  <c r="F15" i="1"/>
  <c r="G14" i="1"/>
  <c r="J13" i="1"/>
  <c r="I13" i="1"/>
  <c r="F13" i="1"/>
  <c r="J12" i="1"/>
  <c r="I12" i="1"/>
  <c r="G12" i="1"/>
  <c r="F12" i="1"/>
  <c r="E12" i="1"/>
  <c r="F11" i="1"/>
  <c r="J10" i="1"/>
  <c r="J9" i="1"/>
  <c r="J8" i="1"/>
  <c r="G8" i="1"/>
  <c r="D8" i="1"/>
  <c r="G7" i="1"/>
  <c r="F7" i="1"/>
  <c r="I6" i="1"/>
  <c r="G6" i="1"/>
  <c r="F6" i="1"/>
  <c r="Q2" i="5" l="1"/>
  <c r="E9" i="1"/>
  <c r="Q2" i="13"/>
  <c r="E17" i="1"/>
  <c r="E13" i="1"/>
  <c r="M53" i="3"/>
  <c r="M43" i="6"/>
  <c r="M32" i="9"/>
  <c r="M64" i="12"/>
  <c r="K61" i="12"/>
  <c r="U2" i="12" s="1"/>
  <c r="J61" i="12"/>
  <c r="J62" i="12" s="1"/>
  <c r="M50" i="13"/>
  <c r="I64" i="12"/>
  <c r="C7" i="1"/>
  <c r="H7" i="1"/>
  <c r="F10" i="1"/>
  <c r="L50" i="3"/>
  <c r="J52" i="3" s="1"/>
  <c r="I56" i="7"/>
  <c r="C11" i="1" s="1"/>
  <c r="G53" i="7"/>
  <c r="Q2" i="7" s="1"/>
  <c r="T2" i="9"/>
  <c r="I7" i="1"/>
  <c r="G9" i="1"/>
  <c r="G10" i="1"/>
  <c r="G11" i="1"/>
  <c r="E16" i="1"/>
  <c r="I103" i="2"/>
  <c r="J101" i="2" s="1"/>
  <c r="J100" i="2"/>
  <c r="H6" i="1" s="1"/>
  <c r="F100" i="2"/>
  <c r="F101" i="2" s="1"/>
  <c r="I43" i="5"/>
  <c r="J40" i="5"/>
  <c r="I58" i="11"/>
  <c r="I50" i="13"/>
  <c r="J48" i="13" s="1"/>
  <c r="J47" i="13"/>
  <c r="H17" i="1" s="1"/>
  <c r="F47" i="13"/>
  <c r="D17" i="1" s="1"/>
  <c r="G27" i="14"/>
  <c r="J27" i="14"/>
  <c r="H18" i="1" s="1"/>
  <c r="T2" i="6"/>
  <c r="H10" i="1"/>
  <c r="F63" i="12"/>
  <c r="D16" i="1"/>
  <c r="P2" i="12"/>
  <c r="R2" i="4"/>
  <c r="F8" i="1"/>
  <c r="F14" i="1"/>
  <c r="R2" i="10"/>
  <c r="J14" i="1"/>
  <c r="V2" i="10"/>
  <c r="I101" i="2"/>
  <c r="L101" i="2"/>
  <c r="K101" i="2"/>
  <c r="C6" i="1"/>
  <c r="T2" i="2"/>
  <c r="D6" i="1"/>
  <c r="I35" i="8"/>
  <c r="J32" i="8"/>
  <c r="F32" i="8"/>
  <c r="K62" i="12"/>
  <c r="K27" i="14"/>
  <c r="I30" i="14"/>
  <c r="Q2" i="14"/>
  <c r="E18" i="1"/>
  <c r="J7" i="1"/>
  <c r="I16" i="1"/>
  <c r="V2" i="3"/>
  <c r="K49" i="4"/>
  <c r="K41" i="5"/>
  <c r="G41" i="5"/>
  <c r="J41" i="5"/>
  <c r="C9" i="1"/>
  <c r="I41" i="5"/>
  <c r="J42" i="5"/>
  <c r="I43" i="6"/>
  <c r="U2" i="7"/>
  <c r="I11" i="1"/>
  <c r="M35" i="8"/>
  <c r="G35" i="10"/>
  <c r="K35" i="10"/>
  <c r="H16" i="1"/>
  <c r="T2" i="12"/>
  <c r="F62" i="12"/>
  <c r="I62" i="12"/>
  <c r="L62" i="12"/>
  <c r="H62" i="12"/>
  <c r="C16" i="1"/>
  <c r="G48" i="13"/>
  <c r="I48" i="13"/>
  <c r="T2" i="13"/>
  <c r="P2" i="13"/>
  <c r="M30" i="14"/>
  <c r="V2" i="14"/>
  <c r="J18" i="1"/>
  <c r="S2" i="9"/>
  <c r="G13" i="1"/>
  <c r="G19" i="1" s="1"/>
  <c r="P2" i="1" s="1"/>
  <c r="I51" i="3"/>
  <c r="L51" i="3"/>
  <c r="H51" i="3"/>
  <c r="K51" i="3"/>
  <c r="P2" i="3"/>
  <c r="J51" i="3"/>
  <c r="M52" i="4"/>
  <c r="U2" i="6"/>
  <c r="I10" i="1"/>
  <c r="Q2" i="6"/>
  <c r="E10" i="1"/>
  <c r="F40" i="6"/>
  <c r="K54" i="7"/>
  <c r="G54" i="7"/>
  <c r="J54" i="7"/>
  <c r="E11" i="1"/>
  <c r="H54" i="7"/>
  <c r="M38" i="10"/>
  <c r="I15" i="1"/>
  <c r="U2" i="11"/>
  <c r="I9" i="1"/>
  <c r="J11" i="1"/>
  <c r="L100" i="2"/>
  <c r="G100" i="2"/>
  <c r="G56" i="11"/>
  <c r="F56" i="11"/>
  <c r="E15" i="1"/>
  <c r="Q2" i="11"/>
  <c r="G62" i="12"/>
  <c r="H27" i="14"/>
  <c r="F29" i="9"/>
  <c r="I32" i="9"/>
  <c r="L47" i="13"/>
  <c r="G50" i="3"/>
  <c r="G51" i="3" s="1"/>
  <c r="I52" i="4"/>
  <c r="F35" i="10"/>
  <c r="J35" i="10"/>
  <c r="I38" i="10"/>
  <c r="F40" i="5"/>
  <c r="F53" i="7"/>
  <c r="J53" i="7"/>
  <c r="F55" i="11"/>
  <c r="J55" i="11"/>
  <c r="J56" i="11" s="1"/>
  <c r="P2" i="2" l="1"/>
  <c r="L56" i="11"/>
  <c r="C15" i="1"/>
  <c r="H56" i="11"/>
  <c r="F48" i="13"/>
  <c r="J63" i="12"/>
  <c r="F49" i="13"/>
  <c r="C17" i="1"/>
  <c r="K17" i="1" s="1"/>
  <c r="K48" i="13"/>
  <c r="K56" i="11"/>
  <c r="F102" i="2"/>
  <c r="T2" i="5"/>
  <c r="H9" i="1"/>
  <c r="J49" i="13"/>
  <c r="H48" i="13"/>
  <c r="I56" i="11"/>
  <c r="L54" i="7"/>
  <c r="I54" i="7"/>
  <c r="T2" i="14"/>
  <c r="H101" i="2"/>
  <c r="L41" i="5"/>
  <c r="H41" i="5"/>
  <c r="F31" i="9"/>
  <c r="D13" i="1"/>
  <c r="P2" i="9"/>
  <c r="I8" i="1"/>
  <c r="U2" i="4"/>
  <c r="L28" i="14"/>
  <c r="H28" i="14"/>
  <c r="K28" i="14"/>
  <c r="G28" i="14"/>
  <c r="J28" i="14"/>
  <c r="F28" i="14"/>
  <c r="I28" i="14"/>
  <c r="C18" i="1"/>
  <c r="F57" i="11"/>
  <c r="D15" i="1"/>
  <c r="P2" i="11"/>
  <c r="Q2" i="3"/>
  <c r="E7" i="1"/>
  <c r="K7" i="1" s="1"/>
  <c r="F29" i="14"/>
  <c r="Q2" i="2"/>
  <c r="E6" i="1"/>
  <c r="K6" i="1" s="1"/>
  <c r="I14" i="1"/>
  <c r="U2" i="10"/>
  <c r="J29" i="14"/>
  <c r="U2" i="14"/>
  <c r="I18" i="1"/>
  <c r="L33" i="8"/>
  <c r="H33" i="8"/>
  <c r="K33" i="8"/>
  <c r="G33" i="8"/>
  <c r="J33" i="8"/>
  <c r="F33" i="8"/>
  <c r="C12" i="1"/>
  <c r="I33" i="8"/>
  <c r="F42" i="5"/>
  <c r="D9" i="1"/>
  <c r="K9" i="1" s="1"/>
  <c r="P2" i="5"/>
  <c r="H12" i="1"/>
  <c r="J34" i="8"/>
  <c r="T2" i="8"/>
  <c r="L36" i="10"/>
  <c r="H36" i="10"/>
  <c r="K36" i="10"/>
  <c r="G36" i="10"/>
  <c r="J36" i="10"/>
  <c r="F36" i="10"/>
  <c r="I36" i="10"/>
  <c r="C14" i="1"/>
  <c r="J17" i="1"/>
  <c r="V2" i="13"/>
  <c r="L48" i="13"/>
  <c r="R2" i="14"/>
  <c r="F18" i="1"/>
  <c r="F19" i="1" s="1"/>
  <c r="O2" i="1" s="1"/>
  <c r="V2" i="2"/>
  <c r="J6" i="1"/>
  <c r="E14" i="1"/>
  <c r="Q2" i="10"/>
  <c r="G101" i="2"/>
  <c r="J57" i="11"/>
  <c r="H15" i="1"/>
  <c r="T2" i="11"/>
  <c r="L50" i="4"/>
  <c r="H50" i="4"/>
  <c r="K50" i="4"/>
  <c r="G50" i="4"/>
  <c r="J50" i="4"/>
  <c r="F50" i="4"/>
  <c r="C8" i="1"/>
  <c r="K8" i="1" s="1"/>
  <c r="I50" i="4"/>
  <c r="J55" i="7"/>
  <c r="T2" i="7"/>
  <c r="H11" i="1"/>
  <c r="H19" i="1" s="1"/>
  <c r="Q2" i="1" s="1"/>
  <c r="T2" i="10"/>
  <c r="J37" i="10"/>
  <c r="H14" i="1"/>
  <c r="P2" i="7"/>
  <c r="F55" i="7"/>
  <c r="D11" i="1"/>
  <c r="K11" i="1" s="1"/>
  <c r="P2" i="10"/>
  <c r="F37" i="10"/>
  <c r="D14" i="1"/>
  <c r="I30" i="9"/>
  <c r="L30" i="9"/>
  <c r="H30" i="9"/>
  <c r="C13" i="1"/>
  <c r="K30" i="9"/>
  <c r="G30" i="9"/>
  <c r="F30" i="9"/>
  <c r="J30" i="9"/>
  <c r="F54" i="7"/>
  <c r="F42" i="6"/>
  <c r="P2" i="6"/>
  <c r="D10" i="1"/>
  <c r="F52" i="3"/>
  <c r="J31" i="9"/>
  <c r="J41" i="6"/>
  <c r="F41" i="6"/>
  <c r="I41" i="6"/>
  <c r="L41" i="6"/>
  <c r="H41" i="6"/>
  <c r="G41" i="6"/>
  <c r="K41" i="6"/>
  <c r="C10" i="1"/>
  <c r="F41" i="5"/>
  <c r="J51" i="4"/>
  <c r="D12" i="1"/>
  <c r="P2" i="8"/>
  <c r="F34" i="8"/>
  <c r="J102" i="2"/>
  <c r="F51" i="4"/>
  <c r="K16" i="1"/>
  <c r="J42" i="6"/>
  <c r="K12" i="1" l="1"/>
  <c r="K15" i="1"/>
  <c r="K14" i="1"/>
  <c r="E19" i="1"/>
  <c r="N2" i="1" s="1"/>
  <c r="C19" i="1"/>
  <c r="K13" i="1"/>
  <c r="K10" i="1"/>
  <c r="J19" i="1"/>
  <c r="S2" i="1" s="1"/>
  <c r="D19" i="1"/>
  <c r="I19" i="1"/>
  <c r="R2" i="1" s="1"/>
  <c r="K18" i="1"/>
  <c r="D20" i="1" l="1"/>
  <c r="M2" i="1"/>
</calcChain>
</file>

<file path=xl/sharedStrings.xml><?xml version="1.0" encoding="utf-8"?>
<sst xmlns="http://schemas.openxmlformats.org/spreadsheetml/2006/main" count="2568" uniqueCount="209">
  <si>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</si>
  <si>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</si>
  <si>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</si>
  <si>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</si>
  <si>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</si>
  <si>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</si>
  <si>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</si>
  <si>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</si>
  <si>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</si>
  <si>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</si>
  <si>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</si>
  <si>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</si>
  <si>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</si>
  <si>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</si>
  <si>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</si>
  <si>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</si>
  <si>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TO-010 - TRECHO ANANÁS - ENTR. BR-230</t>
  </si>
  <si>
    <t>RODOVIA TO-126 - TRECHO MAURILÂNDIA - TOCANTINÓPOLIS</t>
  </si>
  <si>
    <t>RODOVIA TO-134 - TRECHO RIO TOCANTINS (JATOBAL) - AXIXÁ DO TOCANTINS</t>
  </si>
  <si>
    <t>RODOVIA TO-201 - TRECHO ESPERANTINA - DIVISA TO-MA</t>
  </si>
  <si>
    <t>RODOVIA TO-205 - TRECHO SÃO BENTO DO TOCANTINS - ENTR. TO-010</t>
  </si>
  <si>
    <t>RODOVIA TO-210 - TRECHO ENTR. TO-010 - DIVISA TO-PA (VILA ANTONINA)</t>
  </si>
  <si>
    <t>RODOVIA TO-210 - TRECHO TOCANTINÓPOLIS - NAZARÉ</t>
  </si>
  <si>
    <t>RODOVIA TO-402 - TRECHO DIVISA TO-MA (VILA JURANDIR BELIZARIO) - ENTR. TO-201</t>
  </si>
  <si>
    <t>RODOVIA TO-403 - TRECHO CARRASCO BONITO - SAMPAIO</t>
  </si>
  <si>
    <t>RODOVIA TO-405 - TRECHO AXIXÁ DO TOCANTINS - ENTR. BR-230</t>
  </si>
  <si>
    <t>RODOVIA TO-409 - TRECHO MAURILÂNDIA - ENTR. TO-134</t>
  </si>
  <si>
    <t>RODOVIA TO-414 - TRECHO CACHOEIRINHA - ENTR. TO-010 (TAPUIO)</t>
  </si>
  <si>
    <t>RODOVIA TO-415 - TRECHO ENTR. RODOVIA VICINAL - NAZARÉ</t>
  </si>
  <si>
    <t>TOTAL PERCORRIDO NO MÊS</t>
  </si>
  <si>
    <t>% DA EXTENSÃO DA MALHA (399.57 km)</t>
  </si>
  <si>
    <t>(soma do grupo 'CONDIÇÃO DA PLATAFORMA' dividida pela malha)</t>
  </si>
  <si>
    <t>PROGRAMA DE MANUTENÇÃO RODOVIÁRIA — FICHA DE INSPEÇÃO — RODOVIAS NÃO PAVIMENTADAS</t>
  </si>
  <si>
    <t>REGIÃO:  1 — TOCANTINÓPOLIS</t>
  </si>
  <si>
    <t>MÊS / ANO:</t>
  </si>
  <si>
    <t>DATA:</t>
  </si>
  <si>
    <t>TÉCNICO:</t>
  </si>
  <si>
    <t>TRECHO 1 — RODOVIA TO-010 - TRECHO ANANÁS - ENTR. BR-230</t>
  </si>
  <si>
    <t>EXTENSÃO: 75,632 km  ·  7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</si>
  <si>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</si>
  <si>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</si>
  <si>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</si>
  <si>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</si>
  <si>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</si>
  <si>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</si>
  <si>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</si>
  <si>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</si>
  <si>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010ETO0560   |   FIM PAVIMENTACAO - ENTR. TO-205   |   EOP · Estadual · 32.188 km  ·  início: -6.303139, -48.100065</t>
  </si>
  <si>
    <t>010ETO0560</t>
  </si>
  <si>
    <t>C</t>
  </si>
  <si>
    <t>X</t>
  </si>
  <si>
    <t>S.R.E. 010ETO0570   |   ENTR. TO-205 - RONCA   |   EOP · Estadual · 5.380 km  ·  início: -6.058179, -48.123409</t>
  </si>
  <si>
    <t>010ETO0570</t>
  </si>
  <si>
    <t>S.R.E. 010ETO0580   |   RONCA - NATAL   |   EOP · Estadual · 16.210 km  ·  início: -6.023745, -48.14829</t>
  </si>
  <si>
    <t>010ETO0580</t>
  </si>
  <si>
    <t>S.R.E. 010ETO0590   |   NATAL - ESPERANCA VIVA   |   EOP · Estadual · 1.346 km  ·  início: -5.884126, -48.159514</t>
  </si>
  <si>
    <t>010ETO0590</t>
  </si>
  <si>
    <t>S.R.E. 010ETO0600   |   ESPERANCA VIVA - VILA NOVA   |   EOP · Estadual · 7.294 km  ·  início: -5.8728, -48.16351</t>
  </si>
  <si>
    <t>010ETO0600</t>
  </si>
  <si>
    <t>S.R.E. 010ETO0610   |   VILA NOVA - TAQUARI   |   EOP · Estadual · 3.857 km  ·  início: -5.817651, -48.185423</t>
  </si>
  <si>
    <t>010ETO0610</t>
  </si>
  <si>
    <t>S.R.E. 010ETO0620   |   TAQUARI - ENTR. BR-230   |   EOP · Estadual · 9.358 km  ·  início: -5.787644, -48.176099</t>
  </si>
  <si>
    <t>010ETO0620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</si>
  <si>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</si>
  <si>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</si>
  <si>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</si>
  <si>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</si>
  <si>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</si>
  <si>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</si>
  <si>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</si>
  <si>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</si>
  <si>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</si>
  <si>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</si>
  <si>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</si>
  <si>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</si>
  <si>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</si>
  <si>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</si>
  <si>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</si>
  <si>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</si>
  <si>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</si>
  <si>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</si>
  <si>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</si>
  <si>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</si>
  <si>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</si>
  <si>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</si>
  <si>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</si>
  <si>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</si>
  <si>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6 — RODOVIA TO-126 - TRECHO MAURILÂNDIA - TOCANTINÓPOLIS</t>
  </si>
  <si>
    <t>EXTENSÃO: 35,480 km  ·  1 S.R.E.</t>
  </si>
  <si>
    <t>S.R.E. 126ETO0130   |   MAURILÃNDIA DO TOCANTINS *TRECHO URBANO* - RIBEIRÃO GRANDE   |   LEN · Estadual · 35.480 km  ·  início: -6.251085, -47.463245</t>
  </si>
  <si>
    <t>126ETO0130</t>
  </si>
  <si>
    <t>ALTO INDICE DE BURACOS E VALETAS</t>
  </si>
  <si>
    <t>GREIDE REBAIXADO</t>
  </si>
  <si>
    <t>TRECHO 12 — RODOVIA TO-134 - TRECHO RIO TOCANTINS (JATOBAL) - AXIXÁ DO TOCANTINS</t>
  </si>
  <si>
    <t>EXTENSÃO: 26,301 km  ·  6 S.R.E.</t>
  </si>
  <si>
    <t>S.R.E. 134ETO0020   |   JATOBAL *TRECHO URBANO* - FOLHA SECA   |   LEN · Estadual · 12.569 km  ·  início: -5.447931, -47.645828</t>
  </si>
  <si>
    <t>134ETO0020</t>
  </si>
  <si>
    <t>PISTA PATROLADA MAS COM IRREGULARIDADES E MAT. FINO SOBRE A PISTA</t>
  </si>
  <si>
    <t>KM 12,2 AO 14,2 - PAV. TSD (VILA FOLHA SECA)</t>
  </si>
  <si>
    <t>S.R.E. 134ETO0030   |   FOLHA SECA - JUVELÃNDIA   |   LEN · Estadual · 1.147 km  ·  início: -5.503344, -47.732567</t>
  </si>
  <si>
    <t>134ETO0030</t>
  </si>
  <si>
    <t>S.R.E. 134ETO0040   |   JUVELÃNDIA - VILA SÃO FRANCISCO   |   LEN · Estadual · 3.559 km  ·  início: -5.507993, -47.737653</t>
  </si>
  <si>
    <t>134ETO0040</t>
  </si>
  <si>
    <t>MATERIAL FINO SOBRE A PISTA</t>
  </si>
  <si>
    <t>S.R.E. 134ETO0050   |   VILA SÃO FRANCISCO - SANTA LUZIA   |   LEN · Estadual · 4.310 km  ·  início: -5.538609, -47.753094</t>
  </si>
  <si>
    <t>134ETO0050</t>
  </si>
  <si>
    <t>S.R.E. 134ETO0060   |   SANTA LUZIA - MORADA NOVA   |   LEN · Estadual · 1.062 km  ·  início: -5.574848, -47.757213</t>
  </si>
  <si>
    <t>134ETO0060</t>
  </si>
  <si>
    <t>S.R.E. 134ETO0070   |   MORADA NOVA - AXIXÁ DO TOCANTINS *TRECHO URBANO*   |   LEN · Estadual · 3.654 km  ·  início: -5.579928, -47.762447</t>
  </si>
  <si>
    <t>134ETO0070</t>
  </si>
  <si>
    <t>TRECHO 20 — RODOVIA TO-201 - TRECHO ESPERANTINA - DIVISA TO-MA</t>
  </si>
  <si>
    <t>EXTENSÃO: 22,698 km  ·  3 S.R.E.</t>
  </si>
  <si>
    <t>S.R.E. 201ETO0250   |   ESPERANTINA *TRECHO URBANO* - ENTR. ACESSO DIV. TO-PA (PEDRA GRANDE)   |   LEN · Estadual · 1.489 km  ·  início: -5.370541, -48.544992</t>
  </si>
  <si>
    <t>201ETO0250</t>
  </si>
  <si>
    <t>S.R.E. 201ETO0260   |   ENTR. ACESSO DIV. TO-PA (PEDRA GRANDE) - PEDRA DE AMOLAR   |   LEN · Estadual · 8.639 km  ·  início: -5.373241, -48.55809</t>
  </si>
  <si>
    <t>201ETO0260</t>
  </si>
  <si>
    <t>S.R.E. 201ETO0270   |   PEDRA DE AMOLAR - DIV TO-PA-MA   |   LEN · Estadual · 12.570 km  ·  início: -5.345945, -48.626757</t>
  </si>
  <si>
    <t>201ETO0270</t>
  </si>
  <si>
    <t>TRECHO 21 — RODOVIA TO-205 - TRECHO SÃO BENTO DO TOCANTINS - ENTR. TO-010</t>
  </si>
  <si>
    <t>EXTENSÃO: 25,674 km  ·  1 S.R.E.</t>
  </si>
  <si>
    <t>S.R.E. 205ETO0010   |   SÃO BENTO DO TO * TRECHO URBANO* - ENTR. TO-010 (CAMPO ALEGRE)   |   LEN · Estadual · 25.674 km  ·  início: -6.027173, -47.92714</t>
  </si>
  <si>
    <t>205ETO0010</t>
  </si>
  <si>
    <t>AUSENCIA DE DRENAGEM E MATERIAL FINO SOBRE A PISTA</t>
  </si>
  <si>
    <t>TRECHO 22 — RODOVIA TO-210 - TRECHO ENTR. TO-010 - DIVISA TO-PA (VILA ANTONINA)</t>
  </si>
  <si>
    <t>EXTENSÃO: 38,251 km  ·  1 S.R.E.</t>
  </si>
  <si>
    <t>S.R.E. 210ETO0290   |   ENTR. TO-010 - VILA ANTONINA   |   LEN · Estadual · 38.251 km  ·  início: -6.123077, -48.304689</t>
  </si>
  <si>
    <t>210ETO0290</t>
  </si>
  <si>
    <t>BUEIRO SIMPLES KM-0,2  ( 0,70 / 0,70 )</t>
  </si>
  <si>
    <t>BUEIRO SIMPLES KM-4,70  ( 1,10 / 1,10 ) ESTAR SEM CABECA</t>
  </si>
  <si>
    <t>BUEIRO SIMPLES KM-5,3  ( 1,20/ 1,20 )</t>
  </si>
  <si>
    <t>BUEIRO SIMPLES KM-9,9  ( 1,20/ 1,20 )</t>
  </si>
  <si>
    <t>BUEIRO DUPLO KM-12,3 (1,20 / 1,20)</t>
  </si>
  <si>
    <t>PONTE DE CONCRETO KM-13,9 ( 4.45 / 6,20 )</t>
  </si>
  <si>
    <t>BUEIRO SIMPLES KM-14,6  ( 0,70 / 0,70 )</t>
  </si>
  <si>
    <t>GALERIA  KM-16,0 ( 2,50 / 2,50 )</t>
  </si>
  <si>
    <t>PONTO CRITICO KM- 16,7</t>
  </si>
  <si>
    <t>PONTE DE CONCRETO KM-22,4 ( 4.45 / 30,30 )</t>
  </si>
  <si>
    <t>PONTE DE CONCRETO KM-24,6 ( 4.45 / 12,10 )</t>
  </si>
  <si>
    <t>BUEIRO SIMPLES KM-26,3  ( 0,70 / 0,70 )</t>
  </si>
  <si>
    <t>BUEIRO SIMPLES KM-29,0  ( 1,10 / 1,10 ) ESTAR OBSTRUIDO</t>
  </si>
  <si>
    <t>PONTE DE CONCRETO KM-30,6 ( 4.45 / 11,0 )</t>
  </si>
  <si>
    <t>BUEIRO DUPLO KM-31,6 (1,20 / 1,20) ESTAR OBSTRUIDO</t>
  </si>
  <si>
    <t>PONTE DE CONCRETO KM-33,4 ( 4.45 / 10,0 )</t>
  </si>
  <si>
    <t>TRECHO 25 — RODOVIA TO-210 - TRECHO TOCANTINÓPOLIS - NAZARÉ</t>
  </si>
  <si>
    <t>EXTENSÃO: 16,242 km  ·  2 S.R.E.</t>
  </si>
  <si>
    <t>S.R.E. 210ETO0090   |   ENTR.ACESSO A BR-230 - GROTA DE AREIA   |   LEN · Estadual · 14.497 km  ·  início: -6.387043, -47.52959</t>
  </si>
  <si>
    <t>210ETO0090</t>
  </si>
  <si>
    <t>BUEIRO SIMPLES KM-6,5  ( 1,20/ 1,20 )</t>
  </si>
  <si>
    <t>BUEIRO DUPLO KM-7,5 (1,20 / 1,20)</t>
  </si>
  <si>
    <t>PONTE DE CONCRETO KM-8,4 ( 4.45 / 30,0 )</t>
  </si>
  <si>
    <t>BUEIRO SIMPLES KM-10,3  ( 1,10/ 1,10 )</t>
  </si>
  <si>
    <t>BUEIRO SIMPLES KM-10,9  ( 1,20/ 1,20 )</t>
  </si>
  <si>
    <t>S.R.E. 210ETO0100   |   GROTA DE AREIRA - NAZARÉ *TRECHO URBANO*   |   LEN · Estadual · 1.745 km  ·  início: -6.39176, -47.644297</t>
  </si>
  <si>
    <t>210ETO0100</t>
  </si>
  <si>
    <t>TRECHO 26 — RODOVIA TO-402 - TRECHO DIVISA TO-MA (VILA JURANDIR BELIZARIO) - ENTR. TO-201</t>
  </si>
  <si>
    <t>EXTENSÃO: 14,275 km  ·  1 S.R.E.</t>
  </si>
  <si>
    <t>S.R.E. 402ETO0010   |   DIVISA TO-MA - VILA JURANDIR BELIZARIO - ENTR. TO-201   |   LEN · Estadual · 14.275 km  ·  início: -5.29099, -48.427307</t>
  </si>
  <si>
    <t>402ETO0010</t>
  </si>
  <si>
    <t>TRECHO 27 — RODOVIA TO-403 - TRECHO CARRASCO BONITO - SAMPAIO</t>
  </si>
  <si>
    <t>EXTENSÃO: 19,220 km  ·  2 S.R.E.</t>
  </si>
  <si>
    <t>S.R.E. 403ETO0010   |   CARRASCO BONITO *TRECHO URBANO* - CACHIADO   |   LEN · Estadual · 11.557 km  ·  início: -5.323608, -48.032388</t>
  </si>
  <si>
    <t>403ETO0010</t>
  </si>
  <si>
    <t>PONTE DE CONCRETO KM-0,400 (4.45/12.0)</t>
  </si>
  <si>
    <t>BUEIRO DUPLO KM-0,800 (0.70/0.70)</t>
  </si>
  <si>
    <t>BUEIRO DUPLO KM-5,500 (2.00/2.00)</t>
  </si>
  <si>
    <t>S.R.E. 403ETO0020   |   CACHIADO - SAMPAIO *TRECHO URBANO*   |   LEN · Estadual · 7.663 km  ·  início: -5.346844, -47.93838</t>
  </si>
  <si>
    <t>403ETO0020</t>
  </si>
  <si>
    <t>PONTE DE CONCRETO KM-1,00 (3.40/24.00)</t>
  </si>
  <si>
    <t>PONTE DE MADEIRA KM-1,10 (4.30/4.40)</t>
  </si>
  <si>
    <t>TRECHO 31 — RODOVIA TO-405 - TRECHO AXIXÁ DO TOCANTINS - ENTR. BR-230</t>
  </si>
  <si>
    <t>EXTENSÃO: 35,956 km  ·  4 S.R.E.</t>
  </si>
  <si>
    <t>S.R.E. 405ETO0020   |   AXIXA DO TOCANTINS *TRECHO URBANO* - TABUA   |   LEN · Estadual · 2.640 km  ·  início: -5.616401, -47.775162</t>
  </si>
  <si>
    <t>405ETO0020</t>
  </si>
  <si>
    <t>S.R.E. 405ETO0030   |   TABUA - GROTA DAGUA   |   LEN · Estadual · 4.906 km  ·  início: -5.608377, -47.796231</t>
  </si>
  <si>
    <t>405ETO0030</t>
  </si>
  <si>
    <t>S.R.E. 405ETO0040   |   GROTA DAGUA - CANTO DO BARREIRO   |   LEN · Estadual · 18.043 km  ·  início: -5.637356, -47.827662</t>
  </si>
  <si>
    <t>405ETO0040</t>
  </si>
  <si>
    <t>S.R.E. 405ETO0050   |   CANTO DO BARREIRO - ENTR. BR-230   |   LEN · Estadual · 10.366 km  ·  início: -5.735531, -47.951537</t>
  </si>
  <si>
    <t>405ETO0050</t>
  </si>
  <si>
    <t>TRECHO 33 — RODOVIA TO-409 - TRECHO MAURILÂNDIA - ENTR. TO-134</t>
  </si>
  <si>
    <t>EXTENSÃO: 44,893 km  ·  2 S.R.E.</t>
  </si>
  <si>
    <t>S.R.E. 409ETO0020   |   MAURILANDIA DO TOCANTINS *TRECHO URBANO* - RODOVILÂNDIA   |   LEN · Estadual · 18.409 km  ·  início: -5.95226, -47.512783</t>
  </si>
  <si>
    <t>409ETO0020</t>
  </si>
  <si>
    <t>S.R.E. 409ETO0030   |   RODOVILÂNDIA - ENTR. TO-134   |   LEN · Estadual · 26.483 km  ·  início: -5.910787, -47.654813</t>
  </si>
  <si>
    <t>409ETO0030</t>
  </si>
  <si>
    <t>TRECHO 34 — RODOVIA TO-414 - TRECHO CACHOEIRINHA - ENTR. TO-010 (TAPUIO)</t>
  </si>
  <si>
    <t>EXTENSÃO: 32,813 km  ·  1 S.R.E.</t>
  </si>
  <si>
    <t>S.R.E. 414ETO0020   |   CACHOEIRINHA *TRECHO URBANO* - ENTR. TO-010-TO-210(TAPUIO)   |   LEN · Estadual · 32.813 km  ·  início: -6.125324, -47.924296</t>
  </si>
  <si>
    <t>414ETO0020</t>
  </si>
  <si>
    <t>PONTE DE CONCRETO KM-0,0 (4.45/20,30)</t>
  </si>
  <si>
    <t>POSSIVEL ATOLEIRO KM-1,1  E  SEM DRENAGEM</t>
  </si>
  <si>
    <t>POSSIVEL ATOLEIRO KM-1,7  E  EROZAO  ( 1,0 / 10,0)</t>
  </si>
  <si>
    <t>EROZAO KM-4,2 ( 1,0 / 4,0 )</t>
  </si>
  <si>
    <t>EROZAO KM-4,9 ( 1,0 / 6,0 )</t>
  </si>
  <si>
    <t>PONTE DE CONCRETO KM-9,1 (4.45/34,40)</t>
  </si>
  <si>
    <t>EROZAO KM-20,4 ( 2,0 / 10,0 )</t>
  </si>
  <si>
    <t>EROZAO KM-27,4 ( 1,0 / 10,0 )</t>
  </si>
  <si>
    <t>EROZAO KM-24,5 ( 3,5 / 11,0 )</t>
  </si>
  <si>
    <t>PONTE DE CONCRETO KM-28,2 (4.45/25,0)</t>
  </si>
  <si>
    <t>POSSIVEL ATOLEIRO KM-28,9</t>
  </si>
  <si>
    <t>FAZER PATROLAMENTO DO KM-0,0 A 6,00 E KM-20,00 A 29,00</t>
  </si>
  <si>
    <t>TRECHO 37 — RODOVIA TO-415 - TRECHO ENTR. RODOVIA VICINAL - NAZARÉ</t>
  </si>
  <si>
    <t>EXTENSÃO: 12,136 km  ·  1 S.R.E.</t>
  </si>
  <si>
    <t>S.R.E. 415ETO0030   |   ENTR. ROD MUNICIPAL - NAZARÉ *TRECHO URBANO*   |   LEN · Estadual · 12.136 km  ·  início: -6.372392, -47.660405</t>
  </si>
  <si>
    <t>415ETO0030</t>
  </si>
  <si>
    <t>PONTE DE CONCRETO KM-1,3 ( 4,50 / 10,0 )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</si>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</sst>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80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63-445C-B133-26E31182D07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63-445C-B133-26E31182D07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63-445C-B133-26E31182D07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63-445C-B133-26E31182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158.78003537693002</c:v>
                </c:pt>
                <c:pt idx="1">
                  <c:v>205.30540094167998</c:v>
                </c:pt>
                <c:pt idx="2">
                  <c:v>32.436808224549999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63-445C-B133-26E31182D0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0B-41A9-BD31-5E3A756BEBA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50B-41A9-BD31-5E3A756BEBA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50B-41A9-BD31-5E3A756BEB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243.50815061451001</c:v>
                </c:pt>
                <c:pt idx="1">
                  <c:v>132.35151029054998</c:v>
                </c:pt>
                <c:pt idx="2">
                  <c:v>20.662583638099999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0B-41A9-BD31-5E3A756BEB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6A-41E9-BB0C-887698B9EC3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6A-41E9-BB0C-887698B9EC3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16A-41E9-BB0C-887698B9EC3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16A-41E9-BB0C-887698B9EC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'1'!$P$2:$S$2</c:f>
              <c:numCache>
                <c:formatCode>#,##0.00</c:formatCode>
                <c:ptCount val="4"/>
                <c:pt idx="0">
                  <c:v>27.234346050950002</c:v>
                </c:pt>
                <c:pt idx="1">
                  <c:v>48.397376323199992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6A-41E9-BB0C-887698B9EC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32-4E0B-836A-53DB9D54693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32-4E0B-836A-53DB9D54693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32-4E0B-836A-53DB9D5469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'1'!$T$2:$V$2</c:f>
              <c:numCache>
                <c:formatCode>#,##0.00</c:formatCode>
                <c:ptCount val="3"/>
                <c:pt idx="0">
                  <c:v>69.631722374150002</c:v>
                </c:pt>
                <c:pt idx="1">
                  <c:v>#N/A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32-4E0B-836A-53DB9D5469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BA-4565-9E62-AC77E504157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BA-4565-9E62-AC77E504157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BA-4565-9E62-AC77E504157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3BA-4565-9E62-AC77E50415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'6'!$P$2:$S$2</c:f>
              <c:numCache>
                <c:formatCode>#,##0.00</c:formatCode>
                <c:ptCount val="4"/>
                <c:pt idx="0">
                  <c:v>22</c:v>
                </c:pt>
                <c:pt idx="1">
                  <c:v>13.479668777500002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BA-4565-9E62-AC77E50415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C4-4D52-8B1C-47C53E43CBB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C4-4D52-8B1C-47C53E43CBB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C4-4D52-8B1C-47C53E43CB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'6'!$T$2:$V$2</c:f>
              <c:numCache>
                <c:formatCode>#,##0.00</c:formatCode>
                <c:ptCount val="3"/>
                <c:pt idx="0">
                  <c:v>29.479668777500002</c:v>
                </c:pt>
                <c:pt idx="1">
                  <c:v>#N/A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C4-4D52-8B1C-47C53E43CB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15B-474C-8EE9-E83F31A8F93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15B-474C-8EE9-E83F31A8F93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15B-474C-8EE9-E83F31A8F937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15B-474C-8EE9-E83F31A8F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'12'!$P$2:$S$2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26.301107772550001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5B-474C-8EE9-E83F31A8F9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63-4EDC-8DF2-0F99D2C72B8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63-4EDC-8DF2-0F99D2C72B8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63-4EDC-8DF2-0F99D2C72B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'12'!$T$2:$V$2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26.301107772550001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63-4EDC-8DF2-0F99D2C72B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F4D-4743-A125-3F6CC8DF420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F4D-4743-A125-3F6CC8DF420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F4D-4743-A125-3F6CC8DF420B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F4D-4743-A125-3F6CC8DF42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'20'!$P$2:$S$2</c:f>
              <c:numCache>
                <c:formatCode>#,##0.00</c:formatCode>
                <c:ptCount val="4"/>
                <c:pt idx="0">
                  <c:v>8</c:v>
                </c:pt>
                <c:pt idx="1">
                  <c:v>13.209233972809999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4D-4743-A125-3F6CC8DF42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A6-49BB-AAC8-34BC6B72754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A6-49BB-AAC8-34BC6B72754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5A6-49BB-AAC8-34BC6B7275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'20'!$T$2:$V$2</c:f>
              <c:numCache>
                <c:formatCode>#,##0.00</c:formatCode>
                <c:ptCount val="3"/>
                <c:pt idx="0">
                  <c:v>3.6392069104099996</c:v>
                </c:pt>
                <c:pt idx="1">
                  <c:v>17.570027062400001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A6-49BB-AAC8-34BC6B7275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0C-49E4-9CBC-9E38A7F3778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0C-49E4-9CBC-9E38A7F3778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0C-49E4-9CBC-9E38A7F3778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90C-49E4-9CBC-9E38A7F377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'21'!$P$2:$S$2</c:f>
              <c:numCache>
                <c:formatCode>#,##0.00</c:formatCode>
                <c:ptCount val="4"/>
                <c:pt idx="0">
                  <c:v>16.6739322335</c:v>
                </c:pt>
                <c:pt idx="1">
                  <c:v>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0C-49E4-9CBC-9E38A7F377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1C-45E7-AE14-2671A378A1F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1C-45E7-AE14-2671A378A1F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1C-45E7-AE14-2671A378A1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'21'!$T$2:$V$2</c:f>
              <c:numCache>
                <c:formatCode>#,##0.00</c:formatCode>
                <c:ptCount val="3"/>
                <c:pt idx="0">
                  <c:v>14.6739322335</c:v>
                </c:pt>
                <c:pt idx="1">
                  <c:v>11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1C-45E7-AE14-2671A378A1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8C-4309-8CDF-A59685F757C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8C-4309-8CDF-A59685F757C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8C-4309-8CDF-A59685F757C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D8C-4309-8CDF-A59685F757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'22'!$P$2:$S$2</c:f>
              <c:numCache>
                <c:formatCode>#,##0.00</c:formatCode>
                <c:ptCount val="4"/>
                <c:pt idx="0">
                  <c:v>10.250854647799997</c:v>
                </c:pt>
                <c:pt idx="1">
                  <c:v>28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8C-4309-8CDF-A59685F757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11-4E4D-BC17-A420108A63C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11-4E4D-BC17-A420108A63C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911-4E4D-BC17-A420108A63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'22'!$T$2:$V$2</c:f>
              <c:numCache>
                <c:formatCode>#,##0.00</c:formatCode>
                <c:ptCount val="3"/>
                <c:pt idx="0">
                  <c:v>33</c:v>
                </c:pt>
                <c:pt idx="1">
                  <c:v>3.2508546477999971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11-4E4D-BC17-A420108A63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81-47A9-8105-4A93C96CD3B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81-47A9-8105-4A93C96CD3B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781-47A9-8105-4A93C96CD3B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781-47A9-8105-4A93C96CD3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'25'!$P$2:$S$2</c:f>
              <c:numCache>
                <c:formatCode>#,##0.00</c:formatCode>
                <c:ptCount val="4"/>
                <c:pt idx="0">
                  <c:v>15.497344122099999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81-47A9-8105-4A93C96CD3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C4-4BF6-B835-FC61A4EFFAE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4C4-4BF6-B835-FC61A4EFFAE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4C4-4BF6-B835-FC61A4EFFA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'25'!$T$2:$V$2</c:f>
              <c:numCache>
                <c:formatCode>#,##0.00</c:formatCode>
                <c:ptCount val="3"/>
                <c:pt idx="0">
                  <c:v>15.497344122099999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C4-4BF6-B835-FC61A4EFFA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35-44F2-BFB3-440F613D6FA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35-44F2-BFB3-440F613D6FA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35-44F2-BFB3-440F613D6FA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35-44F2-BFB3-440F613D6F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'26'!$P$2:$S$2</c:f>
              <c:numCache>
                <c:formatCode>#,##0.00</c:formatCode>
                <c:ptCount val="4"/>
                <c:pt idx="0">
                  <c:v>3</c:v>
                </c:pt>
                <c:pt idx="1">
                  <c:v>11.2746532935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35-44F2-BFB3-440F613D6F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6C-47CB-B114-39BC53F53DB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56C-47CB-B114-39BC53F53DB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56C-47CB-B114-39BC53F53D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14.2746532935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6C-47CB-B114-39BC53F53D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4C-4822-8C2F-A60EB7B4AE7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4C-4822-8C2F-A60EB7B4AE7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4C-4822-8C2F-A60EB7B4AE7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4C-4822-8C2F-A60EB7B4AE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'27'!$P$2:$S$2</c:f>
              <c:numCache>
                <c:formatCode>#,##0.00</c:formatCode>
                <c:ptCount val="4"/>
                <c:pt idx="0">
                  <c:v>6</c:v>
                </c:pt>
                <c:pt idx="1">
                  <c:v>11.219655703000001</c:v>
                </c:pt>
                <c:pt idx="2">
                  <c:v>2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4C-4822-8C2F-A60EB7B4AE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AC-4514-B044-44DFFDA6E1C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AC-4514-B044-44DFFDA6E1C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AC-4514-B044-44DFFDA6E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'27'!$T$2:$V$2</c:f>
              <c:numCache>
                <c:formatCode>#,##0.00</c:formatCode>
                <c:ptCount val="3"/>
                <c:pt idx="0">
                  <c:v>10.5570720649</c:v>
                </c:pt>
                <c:pt idx="1">
                  <c:v>6</c:v>
                </c:pt>
                <c:pt idx="2">
                  <c:v>2.6625836381000001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AC-4514-B044-44DFFDA6E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D3-4554-9AFC-193FF9E6552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D3-4554-9AFC-193FF9E6552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D3-4554-9AFC-193FF9E6552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D3-4554-9AFC-193FF9E655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'31'!$P$2:$S$2</c:f>
              <c:numCache>
                <c:formatCode>#,##0.00</c:formatCode>
                <c:ptCount val="4"/>
                <c:pt idx="0">
                  <c:v>4.6401054326800004</c:v>
                </c:pt>
                <c:pt idx="1">
                  <c:v>31.315484788270002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D3-4554-9AFC-193FF9E655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22-4B46-8C99-FF5F08FF7B4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22-4B46-8C99-FF5F08FF7B4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22-4B46-8C99-FF5F08FF7B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'31'!$T$2:$V$2</c:f>
              <c:numCache>
                <c:formatCode>#,##0.00</c:formatCode>
                <c:ptCount val="3"/>
                <c:pt idx="0">
                  <c:v>22.545751242050002</c:v>
                </c:pt>
                <c:pt idx="1">
                  <c:v>13.409838978900002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22-4B46-8C99-FF5F08FF7B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05B-4A0A-9D4E-846E14C4494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05B-4A0A-9D4E-846E14C4494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05B-4A0A-9D4E-846E14C4494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05B-4A0A-9D4E-846E14C449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'33'!$F$7:$I$7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'33'!$P$2:$S$2</c:f>
              <c:numCache>
                <c:formatCode>#,##0.00</c:formatCode>
                <c:ptCount val="4"/>
                <c:pt idx="0">
                  <c:v>33.483452889900001</c:v>
                </c:pt>
                <c:pt idx="1">
                  <c:v>11.409328083399998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5B-4A0A-9D4E-846E14C449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EC-4A4B-980C-32B34DF952E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EC-4A4B-980C-32B34DF952E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EC-4A4B-980C-32B34DF952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'33'!$T$2:$V$2</c:f>
              <c:numCache>
                <c:formatCode>#,##0.00</c:formatCode>
                <c:ptCount val="3"/>
                <c:pt idx="0">
                  <c:v>24.483452889900001</c:v>
                </c:pt>
                <c:pt idx="1">
                  <c:v>20.409328083399998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EC-4A4B-980C-32B34DF952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AA-4CE4-941D-7B712B14C91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AA-4CE4-941D-7B712B14C91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AA-4CE4-941D-7B712B14C91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BAA-4CE4-941D-7B712B14C9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'34'!$F$7:$I$7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'34'!$P$2:$S$2</c:f>
              <c:numCache>
                <c:formatCode>#,##0.00</c:formatCode>
                <c:ptCount val="4"/>
                <c:pt idx="0">
                  <c:v>12</c:v>
                </c:pt>
                <c:pt idx="1">
                  <c:v>20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AA-4CE4-941D-7B712B14C9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23-4F11-A54D-F8425D07023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23-4F11-A54D-F8425D07023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23-4F11-A54D-F8425D0702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'34'!$T$2:$V$2</c:f>
              <c:numCache>
                <c:formatCode>#,##0.00</c:formatCode>
                <c:ptCount val="3"/>
                <c:pt idx="0">
                  <c:v>16</c:v>
                </c:pt>
                <c:pt idx="1">
                  <c:v>12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23-4F11-A54D-F8425D0702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8E-4E05-89B9-DDECAAA4FDD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8E-4E05-89B9-DDECAAA4FDD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8E-4E05-89B9-DDECAAA4FDDB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08E-4E05-89B9-DDECAAA4FD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'37'!$F$7:$I$7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'37'!$P$2:$S$2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8</c:v>
                </c:pt>
                <c:pt idx="2">
                  <c:v>4.135700452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8E-4E05-89B9-DDECAAA4FD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DA-4605-8ABC-5BA00F21974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DA-4605-8ABC-5BA00F21974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DA-4605-8ABC-5BA00F2197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'37'!$T$2:$V$2</c:f>
              <c:numCache>
                <c:formatCode>#,##0.00</c:formatCode>
                <c:ptCount val="3"/>
                <c:pt idx="0">
                  <c:v>4</c:v>
                </c:pt>
                <c:pt idx="1">
                  <c:v>8.135700452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DA-4605-8ABC-5BA00F2197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M1" s="1" t="s">
        <v>1</v>
      </c>
    </row>
    <row r="2" spans="1:19" ht="20.100000000000001" customHeight="1" x14ac:dyDescent="0.25">
      <c r="A2" s="34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5"/>
      <c r="M2" s="2">
        <f t="shared" ref="M2:S2" si="0">IF(D19=0,NA(),D19)</f>
        <v>158.78003537693002</v>
      </c>
      <c r="N2" s="2">
        <f t="shared" si="0"/>
        <v>205.30540094167998</v>
      </c>
      <c r="O2" s="2">
        <f t="shared" si="0"/>
        <v>32.436808224549999</v>
      </c>
      <c r="P2" s="2" t="e">
        <f t="shared" si="0"/>
        <v>#N/A</v>
      </c>
      <c r="Q2" s="2">
        <f t="shared" si="0"/>
        <v>243.50815061451001</v>
      </c>
      <c r="R2" s="2">
        <f t="shared" si="0"/>
        <v>132.35151029054998</v>
      </c>
      <c r="S2" s="2">
        <f t="shared" si="0"/>
        <v>20.662583638099999</v>
      </c>
    </row>
    <row r="4" spans="1:19" ht="26.1" customHeight="1" x14ac:dyDescent="0.25">
      <c r="A4" s="30" t="s">
        <v>3</v>
      </c>
      <c r="B4" s="30" t="s">
        <v>4</v>
      </c>
      <c r="C4" s="30" t="s">
        <v>5</v>
      </c>
      <c r="D4" s="30" t="s">
        <v>6</v>
      </c>
      <c r="E4" s="32"/>
      <c r="F4" s="32"/>
      <c r="G4" s="33"/>
      <c r="H4" s="30" t="s">
        <v>7</v>
      </c>
      <c r="I4" s="32"/>
      <c r="J4" s="33"/>
      <c r="K4" s="30" t="s">
        <v>8</v>
      </c>
    </row>
    <row r="5" spans="1:19" ht="18" customHeight="1" x14ac:dyDescent="0.25">
      <c r="A5" s="31"/>
      <c r="B5" s="31"/>
      <c r="C5" s="31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1"/>
    </row>
    <row r="6" spans="1:19" x14ac:dyDescent="0.25">
      <c r="A6" s="5">
        <v>1</v>
      </c>
      <c r="B6" s="6" t="s">
        <v>16</v>
      </c>
      <c r="C6" s="7">
        <f>'1'!I103</f>
        <v>75.631722374150002</v>
      </c>
      <c r="D6" s="7">
        <f>'1'!F100</f>
        <v>27.234346050950002</v>
      </c>
      <c r="E6" s="7">
        <f>'1'!G100</f>
        <v>48.397376323199992</v>
      </c>
      <c r="F6" s="7">
        <f>'1'!H100</f>
        <v>0</v>
      </c>
      <c r="G6" s="7">
        <f>'1'!I100</f>
        <v>0</v>
      </c>
      <c r="H6" s="7">
        <f>'1'!J100</f>
        <v>69.631722374150002</v>
      </c>
      <c r="I6" s="7">
        <f>'1'!K100</f>
        <v>0</v>
      </c>
      <c r="J6" s="7">
        <f>'1'!L100</f>
        <v>6</v>
      </c>
      <c r="K6" s="5" t="str">
        <f t="shared" ref="K6:K18" si="1">IF(SUM(D6:G6)=0,"— não preenchido",IF(ROUND(SUM(D6:G6)-C6,3)=0,"OK","ERRO — dif. de "&amp;ROUND(SUM(D6:G6)-C6,3)&amp;" km"))</f>
        <v>OK</v>
      </c>
    </row>
    <row r="7" spans="1:19" x14ac:dyDescent="0.25">
      <c r="A7" s="5">
        <v>6</v>
      </c>
      <c r="B7" s="6" t="s">
        <v>17</v>
      </c>
      <c r="C7" s="7">
        <f>'6'!I53</f>
        <v>35.479668777500002</v>
      </c>
      <c r="D7" s="7">
        <f>'6'!F50</f>
        <v>22</v>
      </c>
      <c r="E7" s="7">
        <f>'6'!G50</f>
        <v>13.479668777500002</v>
      </c>
      <c r="F7" s="7">
        <f>'6'!H50</f>
        <v>0</v>
      </c>
      <c r="G7" s="7">
        <f>'6'!I50</f>
        <v>0</v>
      </c>
      <c r="H7" s="7">
        <f>'6'!J50</f>
        <v>29.479668777500002</v>
      </c>
      <c r="I7" s="7">
        <f>'6'!K50</f>
        <v>0</v>
      </c>
      <c r="J7" s="7">
        <f>'6'!L50</f>
        <v>6</v>
      </c>
      <c r="K7" s="5" t="str">
        <f t="shared" si="1"/>
        <v>OK</v>
      </c>
    </row>
    <row r="8" spans="1:19" x14ac:dyDescent="0.25">
      <c r="A8" s="5">
        <v>12</v>
      </c>
      <c r="B8" s="6" t="s">
        <v>18</v>
      </c>
      <c r="C8" s="7">
        <f>'12'!I52</f>
        <v>26.301107772550001</v>
      </c>
      <c r="D8" s="7">
        <f>'12'!F49</f>
        <v>0</v>
      </c>
      <c r="E8" s="7">
        <f>'12'!G49</f>
        <v>0</v>
      </c>
      <c r="F8" s="7">
        <f>'12'!H49</f>
        <v>26.301107772550001</v>
      </c>
      <c r="G8" s="7">
        <f>'12'!I49</f>
        <v>0</v>
      </c>
      <c r="H8" s="7">
        <f>'12'!J49</f>
        <v>0</v>
      </c>
      <c r="I8" s="7">
        <f>'12'!K49</f>
        <v>26.301107772550001</v>
      </c>
      <c r="J8" s="7">
        <f>'12'!L49</f>
        <v>0</v>
      </c>
      <c r="K8" s="5" t="str">
        <f t="shared" si="1"/>
        <v>OK</v>
      </c>
    </row>
    <row r="9" spans="1:19" x14ac:dyDescent="0.25">
      <c r="A9" s="5">
        <v>20</v>
      </c>
      <c r="B9" s="6" t="s">
        <v>19</v>
      </c>
      <c r="C9" s="7">
        <f>'20'!I43</f>
        <v>22.698015330410001</v>
      </c>
      <c r="D9" s="7">
        <f>'20'!F40</f>
        <v>8</v>
      </c>
      <c r="E9" s="7">
        <f>'20'!G40</f>
        <v>13.209233972809999</v>
      </c>
      <c r="F9" s="7">
        <f>'20'!H40</f>
        <v>0</v>
      </c>
      <c r="G9" s="7">
        <f>'20'!I40</f>
        <v>0</v>
      </c>
      <c r="H9" s="7">
        <f>'20'!J40</f>
        <v>3.6392069104099996</v>
      </c>
      <c r="I9" s="7">
        <f>'20'!K40</f>
        <v>17.570027062400001</v>
      </c>
      <c r="J9" s="7">
        <f>'20'!L40</f>
        <v>0</v>
      </c>
      <c r="K9" s="5" t="str">
        <f t="shared" si="1"/>
        <v>ERRO — dif. de -1,489 km</v>
      </c>
    </row>
    <row r="10" spans="1:19" x14ac:dyDescent="0.25">
      <c r="A10" s="5">
        <v>21</v>
      </c>
      <c r="B10" s="6" t="s">
        <v>20</v>
      </c>
      <c r="C10" s="7">
        <f>'21'!I43</f>
        <v>25.6739322335</v>
      </c>
      <c r="D10" s="7">
        <f>'21'!F40</f>
        <v>16.6739322335</v>
      </c>
      <c r="E10" s="7">
        <f>'21'!G40</f>
        <v>9</v>
      </c>
      <c r="F10" s="7">
        <f>'21'!H40</f>
        <v>0</v>
      </c>
      <c r="G10" s="7">
        <f>'21'!I40</f>
        <v>0</v>
      </c>
      <c r="H10" s="7">
        <f>'21'!J40</f>
        <v>14.6739322335</v>
      </c>
      <c r="I10" s="7">
        <f>'21'!K40</f>
        <v>11</v>
      </c>
      <c r="J10" s="7">
        <f>'21'!L40</f>
        <v>0</v>
      </c>
      <c r="K10" s="5" t="str">
        <f t="shared" si="1"/>
        <v>OK</v>
      </c>
    </row>
    <row r="11" spans="1:19" x14ac:dyDescent="0.25">
      <c r="A11" s="5">
        <v>22</v>
      </c>
      <c r="B11" s="6" t="s">
        <v>21</v>
      </c>
      <c r="C11" s="7">
        <f>'22'!I56</f>
        <v>38.250854647799997</v>
      </c>
      <c r="D11" s="7">
        <f>'22'!F53</f>
        <v>10.250854647799997</v>
      </c>
      <c r="E11" s="7">
        <f>'22'!G53</f>
        <v>28</v>
      </c>
      <c r="F11" s="7">
        <f>'22'!H53</f>
        <v>0</v>
      </c>
      <c r="G11" s="7">
        <f>'22'!I53</f>
        <v>0</v>
      </c>
      <c r="H11" s="7">
        <f>'22'!J53</f>
        <v>33</v>
      </c>
      <c r="I11" s="7">
        <f>'22'!K53</f>
        <v>3.2508546477999971</v>
      </c>
      <c r="J11" s="7">
        <f>'22'!L53</f>
        <v>2</v>
      </c>
      <c r="K11" s="5" t="str">
        <f t="shared" si="1"/>
        <v>OK</v>
      </c>
    </row>
    <row r="12" spans="1:19" x14ac:dyDescent="0.25">
      <c r="A12" s="5">
        <v>25</v>
      </c>
      <c r="B12" s="6" t="s">
        <v>22</v>
      </c>
      <c r="C12" s="7">
        <f>'25'!I35</f>
        <v>16.242089904689998</v>
      </c>
      <c r="D12" s="7">
        <f>'25'!F32</f>
        <v>15.497344122099999</v>
      </c>
      <c r="E12" s="7">
        <f>'25'!G32</f>
        <v>0</v>
      </c>
      <c r="F12" s="7">
        <f>'25'!H32</f>
        <v>0</v>
      </c>
      <c r="G12" s="7">
        <f>'25'!I32</f>
        <v>0</v>
      </c>
      <c r="H12" s="7">
        <f>'25'!J32</f>
        <v>15.497344122099999</v>
      </c>
      <c r="I12" s="7">
        <f>'25'!K32</f>
        <v>0</v>
      </c>
      <c r="J12" s="7">
        <f>'25'!L32</f>
        <v>0</v>
      </c>
      <c r="K12" s="5" t="str">
        <f t="shared" si="1"/>
        <v>ERRO — dif. de -0,745 km</v>
      </c>
    </row>
    <row r="13" spans="1:19" x14ac:dyDescent="0.25">
      <c r="A13" s="5">
        <v>26</v>
      </c>
      <c r="B13" s="6" t="s">
        <v>23</v>
      </c>
      <c r="C13" s="7">
        <f>'26'!I32</f>
        <v>14.2746532935</v>
      </c>
      <c r="D13" s="7">
        <f>'26'!F29</f>
        <v>3</v>
      </c>
      <c r="E13" s="7">
        <f>'26'!G29</f>
        <v>11.2746532935</v>
      </c>
      <c r="F13" s="7">
        <f>'26'!H29</f>
        <v>0</v>
      </c>
      <c r="G13" s="7">
        <f>'26'!I29</f>
        <v>0</v>
      </c>
      <c r="H13" s="7">
        <f>'26'!J29</f>
        <v>0</v>
      </c>
      <c r="I13" s="7">
        <f>'26'!K29</f>
        <v>14.2746532935</v>
      </c>
      <c r="J13" s="7">
        <f>'26'!L29</f>
        <v>0</v>
      </c>
      <c r="K13" s="5" t="str">
        <f t="shared" si="1"/>
        <v>OK</v>
      </c>
    </row>
    <row r="14" spans="1:19" x14ac:dyDescent="0.25">
      <c r="A14" s="5">
        <v>27</v>
      </c>
      <c r="B14" s="6" t="s">
        <v>24</v>
      </c>
      <c r="C14" s="7">
        <f>'27'!I38</f>
        <v>19.219655702999997</v>
      </c>
      <c r="D14" s="7">
        <f>'27'!F35</f>
        <v>6</v>
      </c>
      <c r="E14" s="7">
        <f>'27'!G35</f>
        <v>11.219655703000001</v>
      </c>
      <c r="F14" s="7">
        <f>'27'!H35</f>
        <v>2</v>
      </c>
      <c r="G14" s="7">
        <f>'27'!I35</f>
        <v>0</v>
      </c>
      <c r="H14" s="7">
        <f>'27'!J35</f>
        <v>10.5570720649</v>
      </c>
      <c r="I14" s="7">
        <f>'27'!K35</f>
        <v>6</v>
      </c>
      <c r="J14" s="7">
        <f>'27'!L35</f>
        <v>2.6625836381000001</v>
      </c>
      <c r="K14" s="5" t="str">
        <f t="shared" si="1"/>
        <v>OK</v>
      </c>
    </row>
    <row r="15" spans="1:19" x14ac:dyDescent="0.25">
      <c r="A15" s="5">
        <v>31</v>
      </c>
      <c r="B15" s="6" t="s">
        <v>25</v>
      </c>
      <c r="C15" s="7">
        <f>'31'!I58</f>
        <v>35.95559022095</v>
      </c>
      <c r="D15" s="7">
        <f>'31'!F55</f>
        <v>4.6401054326800004</v>
      </c>
      <c r="E15" s="7">
        <f>'31'!G55</f>
        <v>31.315484788270002</v>
      </c>
      <c r="F15" s="7">
        <f>'31'!H55</f>
        <v>0</v>
      </c>
      <c r="G15" s="7">
        <f>'31'!I55</f>
        <v>0</v>
      </c>
      <c r="H15" s="7">
        <f>'31'!J55</f>
        <v>22.545751242050002</v>
      </c>
      <c r="I15" s="7">
        <f>'31'!K55</f>
        <v>13.409838978900002</v>
      </c>
      <c r="J15" s="7">
        <f>'31'!L55</f>
        <v>0</v>
      </c>
      <c r="K15" s="5" t="str">
        <f t="shared" si="1"/>
        <v>OK</v>
      </c>
    </row>
    <row r="16" spans="1:19" x14ac:dyDescent="0.25">
      <c r="A16" s="5">
        <v>33</v>
      </c>
      <c r="B16" s="6" t="s">
        <v>26</v>
      </c>
      <c r="C16" s="7">
        <f>'33'!I64</f>
        <v>44.892780973299999</v>
      </c>
      <c r="D16" s="7">
        <f>'33'!F61</f>
        <v>33.483452889900001</v>
      </c>
      <c r="E16" s="7">
        <f>'33'!G61</f>
        <v>11.409328083399998</v>
      </c>
      <c r="F16" s="7">
        <f>'33'!H61</f>
        <v>0</v>
      </c>
      <c r="G16" s="7">
        <f>'33'!I61</f>
        <v>0</v>
      </c>
      <c r="H16" s="7">
        <f>'33'!J61</f>
        <v>24.483452889900001</v>
      </c>
      <c r="I16" s="7">
        <f>'33'!K61</f>
        <v>20.409328083399998</v>
      </c>
      <c r="J16" s="7">
        <f>'33'!L61</f>
        <v>0</v>
      </c>
      <c r="K16" s="5" t="str">
        <f t="shared" si="1"/>
        <v>OK</v>
      </c>
    </row>
    <row r="17" spans="1:11" x14ac:dyDescent="0.25">
      <c r="A17" s="5">
        <v>34</v>
      </c>
      <c r="B17" s="6" t="s">
        <v>27</v>
      </c>
      <c r="C17" s="7">
        <f>'34'!I50</f>
        <v>32.812788573200002</v>
      </c>
      <c r="D17" s="7">
        <f>'34'!F47</f>
        <v>12</v>
      </c>
      <c r="E17" s="7">
        <f>'34'!G47</f>
        <v>20</v>
      </c>
      <c r="F17" s="7">
        <f>'34'!H47</f>
        <v>0</v>
      </c>
      <c r="G17" s="7">
        <f>'34'!I47</f>
        <v>0</v>
      </c>
      <c r="H17" s="7">
        <f>'34'!J47</f>
        <v>16</v>
      </c>
      <c r="I17" s="7">
        <f>'34'!K47</f>
        <v>12</v>
      </c>
      <c r="J17" s="7">
        <f>'34'!L47</f>
        <v>4</v>
      </c>
      <c r="K17" s="5" t="str">
        <f t="shared" si="1"/>
        <v>ERRO — dif. de -0,813 km</v>
      </c>
    </row>
    <row r="18" spans="1:11" x14ac:dyDescent="0.25">
      <c r="A18" s="5">
        <v>37</v>
      </c>
      <c r="B18" s="6" t="s">
        <v>28</v>
      </c>
      <c r="C18" s="7">
        <f>'37'!I30</f>
        <v>12.135700452</v>
      </c>
      <c r="D18" s="7">
        <f>'37'!F27</f>
        <v>0</v>
      </c>
      <c r="E18" s="7">
        <f>'37'!G27</f>
        <v>8</v>
      </c>
      <c r="F18" s="7">
        <f>'37'!H27</f>
        <v>4.135700452</v>
      </c>
      <c r="G18" s="7">
        <f>'37'!I27</f>
        <v>0</v>
      </c>
      <c r="H18" s="7">
        <f>'37'!J27</f>
        <v>4</v>
      </c>
      <c r="I18" s="7">
        <f>'37'!K27</f>
        <v>8.135700452</v>
      </c>
      <c r="J18" s="7">
        <f>'37'!L27</f>
        <v>0</v>
      </c>
      <c r="K18" s="5" t="str">
        <f t="shared" si="1"/>
        <v>OK</v>
      </c>
    </row>
    <row r="19" spans="1:11" x14ac:dyDescent="0.25">
      <c r="B19" s="8" t="s">
        <v>29</v>
      </c>
      <c r="C19" s="9">
        <f t="shared" ref="C19:J19" si="2">SUM(C6:C18)</f>
        <v>399.56856025654997</v>
      </c>
      <c r="D19" s="9">
        <f t="shared" si="2"/>
        <v>158.78003537693002</v>
      </c>
      <c r="E19" s="9">
        <f t="shared" si="2"/>
        <v>205.30540094167998</v>
      </c>
      <c r="F19" s="9">
        <f t="shared" si="2"/>
        <v>32.436808224549999</v>
      </c>
      <c r="G19" s="9">
        <f t="shared" si="2"/>
        <v>0</v>
      </c>
      <c r="H19" s="9">
        <f t="shared" si="2"/>
        <v>243.50815061451001</v>
      </c>
      <c r="I19" s="9">
        <f t="shared" si="2"/>
        <v>132.35151029054998</v>
      </c>
      <c r="J19" s="9">
        <f t="shared" si="2"/>
        <v>20.662583638099999</v>
      </c>
    </row>
    <row r="20" spans="1:11" x14ac:dyDescent="0.25">
      <c r="B20" s="8" t="s">
        <v>30</v>
      </c>
      <c r="D20" s="10">
        <f>SUM(D19:G19)/399.57</f>
        <v>0.99237241170047807</v>
      </c>
      <c r="H20" s="11" t="s">
        <v>31</v>
      </c>
    </row>
  </sheetData>
  <sheetProtection sheet="1"/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8">
    <cfRule type="expression" dxfId="79" priority="1">
      <formula>LEFT(K6,4)="ERRO"</formula>
    </cfRule>
    <cfRule type="expression" dxfId="78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15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IF(F100=0,NA(),F100)</f>
        <v>27.234346050950002</v>
      </c>
      <c r="Q2" s="2">
        <f t="shared" si="0"/>
        <v>48.397376323199992</v>
      </c>
      <c r="R2" s="2" t="e">
        <f t="shared" si="0"/>
        <v>#N/A</v>
      </c>
      <c r="S2" s="2" t="e">
        <f t="shared" si="0"/>
        <v>#N/A</v>
      </c>
      <c r="T2" s="2">
        <f t="shared" si="0"/>
        <v>69.631722374150002</v>
      </c>
      <c r="U2" s="2" t="e">
        <f t="shared" si="0"/>
        <v>#N/A</v>
      </c>
      <c r="V2" s="2">
        <f t="shared" si="0"/>
        <v>6</v>
      </c>
    </row>
    <row r="3" spans="1:22" ht="15" customHeight="1" x14ac:dyDescent="0.25">
      <c r="A3" s="50" t="s">
        <v>37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38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47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48</v>
      </c>
      <c r="B9" s="16" t="s">
        <v>49</v>
      </c>
      <c r="C9" s="17">
        <v>0</v>
      </c>
      <c r="D9" s="17">
        <v>1</v>
      </c>
      <c r="E9" s="17">
        <f t="shared" ref="E9:E41" si="1">D9-C9</f>
        <v>1</v>
      </c>
      <c r="F9" s="18"/>
      <c r="G9" s="18" t="s">
        <v>50</v>
      </c>
      <c r="H9" s="18"/>
      <c r="I9" s="18"/>
      <c r="J9" s="18"/>
      <c r="K9" s="18"/>
      <c r="L9" s="18" t="s">
        <v>50</v>
      </c>
      <c r="M9" s="19"/>
      <c r="N9" s="20" t="str">
        <f t="shared" ref="N9:N4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48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/>
      <c r="L10" s="18" t="s">
        <v>50</v>
      </c>
      <c r="M10" s="19"/>
      <c r="N10" s="20" t="str">
        <f t="shared" si="2"/>
        <v>OK</v>
      </c>
    </row>
    <row r="11" spans="1:22" ht="20.100000000000001" customHeight="1" x14ac:dyDescent="0.25">
      <c r="A11" s="15" t="s">
        <v>48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/>
      <c r="L11" s="18" t="s">
        <v>50</v>
      </c>
      <c r="M11" s="19"/>
      <c r="N11" s="20" t="str">
        <f t="shared" si="2"/>
        <v>OK</v>
      </c>
    </row>
    <row r="12" spans="1:22" ht="20.100000000000001" customHeight="1" x14ac:dyDescent="0.25">
      <c r="A12" s="15" t="s">
        <v>48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/>
      <c r="L12" s="18" t="s">
        <v>50</v>
      </c>
      <c r="M12" s="19"/>
      <c r="N12" s="20" t="str">
        <f t="shared" si="2"/>
        <v>OK</v>
      </c>
    </row>
    <row r="13" spans="1:22" ht="20.100000000000001" customHeight="1" x14ac:dyDescent="0.25">
      <c r="A13" s="15" t="s">
        <v>48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/>
      <c r="L13" s="18" t="s">
        <v>50</v>
      </c>
      <c r="M13" s="19"/>
      <c r="N13" s="20" t="str">
        <f t="shared" si="2"/>
        <v>OK</v>
      </c>
    </row>
    <row r="14" spans="1:22" ht="20.100000000000001" customHeight="1" x14ac:dyDescent="0.25">
      <c r="A14" s="15" t="s">
        <v>48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/>
      <c r="L14" s="18" t="s">
        <v>50</v>
      </c>
      <c r="M14" s="19"/>
      <c r="N14" s="20" t="str">
        <f t="shared" si="2"/>
        <v>OK</v>
      </c>
    </row>
    <row r="15" spans="1:22" ht="20.100000000000001" customHeight="1" x14ac:dyDescent="0.25">
      <c r="A15" s="15" t="s">
        <v>48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48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48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 t="s">
        <v>50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48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 t="s">
        <v>50</v>
      </c>
      <c r="H18" s="18"/>
      <c r="I18" s="18"/>
      <c r="J18" s="18" t="s">
        <v>50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48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48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48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 t="s">
        <v>50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48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48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/>
      <c r="G23" s="18" t="s">
        <v>50</v>
      </c>
      <c r="H23" s="18"/>
      <c r="I23" s="18"/>
      <c r="J23" s="18" t="s">
        <v>50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48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48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/>
      <c r="G25" s="18" t="s">
        <v>50</v>
      </c>
      <c r="H25" s="18"/>
      <c r="I25" s="18"/>
      <c r="J25" s="18" t="s">
        <v>50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48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48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/>
      <c r="G27" s="18" t="s">
        <v>50</v>
      </c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48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/>
      <c r="G28" s="18" t="s">
        <v>50</v>
      </c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48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48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48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/>
      <c r="G31" s="18" t="s">
        <v>50</v>
      </c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48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/>
      <c r="G32" s="18" t="s">
        <v>50</v>
      </c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48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/>
      <c r="G33" s="18" t="s">
        <v>50</v>
      </c>
      <c r="H33" s="18"/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48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/>
      <c r="G34" s="18" t="s">
        <v>50</v>
      </c>
      <c r="H34" s="18"/>
      <c r="I34" s="18"/>
      <c r="J34" s="18" t="s">
        <v>50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48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/>
      <c r="G35" s="18" t="s">
        <v>50</v>
      </c>
      <c r="H35" s="18"/>
      <c r="I35" s="18"/>
      <c r="J35" s="18" t="s">
        <v>50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48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/>
      <c r="G36" s="18" t="s">
        <v>50</v>
      </c>
      <c r="H36" s="18"/>
      <c r="I36" s="18"/>
      <c r="J36" s="18" t="s">
        <v>50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48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/>
      <c r="G37" s="18" t="s">
        <v>50</v>
      </c>
      <c r="H37" s="18"/>
      <c r="I37" s="18"/>
      <c r="J37" s="18" t="s">
        <v>50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48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/>
      <c r="G38" s="18" t="s">
        <v>50</v>
      </c>
      <c r="H38" s="18"/>
      <c r="I38" s="18"/>
      <c r="J38" s="18" t="s">
        <v>50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48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 t="s">
        <v>50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48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21" t="s">
        <v>48</v>
      </c>
      <c r="B41" s="22" t="s">
        <v>49</v>
      </c>
      <c r="C41" s="23">
        <v>32</v>
      </c>
      <c r="D41" s="23">
        <v>32.187522192499998</v>
      </c>
      <c r="E41" s="23">
        <f t="shared" si="1"/>
        <v>0.18752219249999769</v>
      </c>
      <c r="F41" s="24"/>
      <c r="G41" s="24" t="s">
        <v>50</v>
      </c>
      <c r="H41" s="24"/>
      <c r="I41" s="24"/>
      <c r="J41" s="24" t="s">
        <v>50</v>
      </c>
      <c r="K41" s="24"/>
      <c r="L41" s="24"/>
      <c r="M41" s="25"/>
      <c r="N41" s="26" t="str">
        <f t="shared" si="2"/>
        <v>OK</v>
      </c>
    </row>
    <row r="42" spans="1:14" ht="15.95" customHeight="1" x14ac:dyDescent="0.25">
      <c r="A42" s="41" t="s">
        <v>51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3"/>
      <c r="N42" s="4"/>
    </row>
    <row r="43" spans="1:14" ht="20.100000000000001" customHeight="1" x14ac:dyDescent="0.25">
      <c r="A43" s="15" t="s">
        <v>52</v>
      </c>
      <c r="B43" s="16" t="s">
        <v>49</v>
      </c>
      <c r="C43" s="17">
        <v>0</v>
      </c>
      <c r="D43" s="17">
        <v>1</v>
      </c>
      <c r="E43" s="17">
        <f t="shared" ref="E43:E48" si="3">D43-C43</f>
        <v>1</v>
      </c>
      <c r="F43" s="18" t="s">
        <v>50</v>
      </c>
      <c r="G43" s="18"/>
      <c r="H43" s="18"/>
      <c r="I43" s="18"/>
      <c r="J43" s="18" t="s">
        <v>50</v>
      </c>
      <c r="K43" s="18"/>
      <c r="L43" s="18"/>
      <c r="M43" s="19"/>
      <c r="N43" s="20" t="str">
        <f t="shared" ref="N43:N48" si="4">IF(COUNTA(F43:L43)=0,"— não preenchido",IF(COUNTIF(F43:I43,"X")&lt;&gt;1,"FALTA/DUPLA: CONDIÇÃO DA PLATAFORMA",IF(COUNTIF(J43:L43,"X")&lt;&gt;1,"FALTA/DUPLA: DRENAGEM SUPERFICIAL","OK")))</f>
        <v>OK</v>
      </c>
    </row>
    <row r="44" spans="1:14" ht="20.100000000000001" customHeight="1" x14ac:dyDescent="0.25">
      <c r="A44" s="15" t="s">
        <v>52</v>
      </c>
      <c r="B44" s="16" t="s">
        <v>49</v>
      </c>
      <c r="C44" s="17">
        <v>1</v>
      </c>
      <c r="D44" s="17">
        <v>2</v>
      </c>
      <c r="E44" s="17">
        <f t="shared" si="3"/>
        <v>1</v>
      </c>
      <c r="F44" s="18" t="s">
        <v>50</v>
      </c>
      <c r="G44" s="18"/>
      <c r="H44" s="18"/>
      <c r="I44" s="18"/>
      <c r="J44" s="18" t="s">
        <v>50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52</v>
      </c>
      <c r="B45" s="16" t="s">
        <v>49</v>
      </c>
      <c r="C45" s="17">
        <v>2</v>
      </c>
      <c r="D45" s="17">
        <v>3</v>
      </c>
      <c r="E45" s="17">
        <f t="shared" si="3"/>
        <v>1</v>
      </c>
      <c r="F45" s="18" t="s">
        <v>50</v>
      </c>
      <c r="G45" s="18"/>
      <c r="H45" s="18"/>
      <c r="I45" s="18"/>
      <c r="J45" s="18" t="s">
        <v>50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52</v>
      </c>
      <c r="B46" s="16" t="s">
        <v>49</v>
      </c>
      <c r="C46" s="17">
        <v>3</v>
      </c>
      <c r="D46" s="17">
        <v>4</v>
      </c>
      <c r="E46" s="17">
        <f t="shared" si="3"/>
        <v>1</v>
      </c>
      <c r="F46" s="18" t="s">
        <v>50</v>
      </c>
      <c r="G46" s="18"/>
      <c r="H46" s="18"/>
      <c r="I46" s="18"/>
      <c r="J46" s="18" t="s">
        <v>50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52</v>
      </c>
      <c r="B47" s="16" t="s">
        <v>49</v>
      </c>
      <c r="C47" s="17">
        <v>4</v>
      </c>
      <c r="D47" s="17">
        <v>5</v>
      </c>
      <c r="E47" s="17">
        <f t="shared" si="3"/>
        <v>1</v>
      </c>
      <c r="F47" s="18" t="s">
        <v>50</v>
      </c>
      <c r="G47" s="18"/>
      <c r="H47" s="18"/>
      <c r="I47" s="18"/>
      <c r="J47" s="18" t="s">
        <v>50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21" t="s">
        <v>52</v>
      </c>
      <c r="B48" s="22" t="s">
        <v>49</v>
      </c>
      <c r="C48" s="23">
        <v>5</v>
      </c>
      <c r="D48" s="23">
        <v>5.3799353933000003</v>
      </c>
      <c r="E48" s="23">
        <f t="shared" si="3"/>
        <v>0.37993539330000026</v>
      </c>
      <c r="F48" s="24" t="s">
        <v>50</v>
      </c>
      <c r="G48" s="24"/>
      <c r="H48" s="24"/>
      <c r="I48" s="24"/>
      <c r="J48" s="24" t="s">
        <v>50</v>
      </c>
      <c r="K48" s="24"/>
      <c r="L48" s="24"/>
      <c r="M48" s="25"/>
      <c r="N48" s="26" t="str">
        <f t="shared" si="4"/>
        <v>OK</v>
      </c>
    </row>
    <row r="49" spans="1:14" ht="15.95" customHeight="1" x14ac:dyDescent="0.25">
      <c r="A49" s="41" t="s">
        <v>53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3"/>
      <c r="N49" s="4"/>
    </row>
    <row r="50" spans="1:14" ht="20.100000000000001" customHeight="1" x14ac:dyDescent="0.25">
      <c r="A50" s="15" t="s">
        <v>54</v>
      </c>
      <c r="B50" s="16" t="s">
        <v>49</v>
      </c>
      <c r="C50" s="17">
        <v>0</v>
      </c>
      <c r="D50" s="17">
        <v>1</v>
      </c>
      <c r="E50" s="17">
        <f t="shared" ref="E50:E66" si="5">D50-C50</f>
        <v>1</v>
      </c>
      <c r="F50" s="18"/>
      <c r="G50" s="18" t="s">
        <v>50</v>
      </c>
      <c r="H50" s="18"/>
      <c r="I50" s="18"/>
      <c r="J50" s="18" t="s">
        <v>50</v>
      </c>
      <c r="K50" s="18"/>
      <c r="L50" s="18"/>
      <c r="M50" s="19"/>
      <c r="N50" s="20" t="str">
        <f t="shared" ref="N50:N66" si="6">IF(COUNTA(F50:L50)=0,"— não preenchido",IF(COUNTIF(F50:I50,"X")&lt;&gt;1,"FALTA/DUPLA: CONDIÇÃO DA PLATAFORMA",IF(COUNTIF(J50:L50,"X")&lt;&gt;1,"FALTA/DUPLA: DRENAGEM SUPERFICIAL","OK")))</f>
        <v>OK</v>
      </c>
    </row>
    <row r="51" spans="1:14" ht="20.100000000000001" customHeight="1" x14ac:dyDescent="0.25">
      <c r="A51" s="15" t="s">
        <v>54</v>
      </c>
      <c r="B51" s="16" t="s">
        <v>49</v>
      </c>
      <c r="C51" s="17">
        <v>1</v>
      </c>
      <c r="D51" s="17">
        <v>2</v>
      </c>
      <c r="E51" s="17">
        <f t="shared" si="5"/>
        <v>1</v>
      </c>
      <c r="F51" s="18"/>
      <c r="G51" s="18" t="s">
        <v>50</v>
      </c>
      <c r="H51" s="18"/>
      <c r="I51" s="18"/>
      <c r="J51" s="18" t="s">
        <v>50</v>
      </c>
      <c r="K51" s="18"/>
      <c r="L51" s="18"/>
      <c r="M51" s="19"/>
      <c r="N51" s="20" t="str">
        <f t="shared" si="6"/>
        <v>OK</v>
      </c>
    </row>
    <row r="52" spans="1:14" ht="20.100000000000001" customHeight="1" x14ac:dyDescent="0.25">
      <c r="A52" s="15" t="s">
        <v>54</v>
      </c>
      <c r="B52" s="16" t="s">
        <v>49</v>
      </c>
      <c r="C52" s="17">
        <v>2</v>
      </c>
      <c r="D52" s="17">
        <v>3</v>
      </c>
      <c r="E52" s="17">
        <f t="shared" si="5"/>
        <v>1</v>
      </c>
      <c r="F52" s="18"/>
      <c r="G52" s="18" t="s">
        <v>50</v>
      </c>
      <c r="H52" s="18"/>
      <c r="I52" s="18"/>
      <c r="J52" s="18" t="s">
        <v>50</v>
      </c>
      <c r="K52" s="18"/>
      <c r="L52" s="18"/>
      <c r="M52" s="19"/>
      <c r="N52" s="20" t="str">
        <f t="shared" si="6"/>
        <v>OK</v>
      </c>
    </row>
    <row r="53" spans="1:14" ht="20.100000000000001" customHeight="1" x14ac:dyDescent="0.25">
      <c r="A53" s="15" t="s">
        <v>54</v>
      </c>
      <c r="B53" s="16" t="s">
        <v>49</v>
      </c>
      <c r="C53" s="17">
        <v>3</v>
      </c>
      <c r="D53" s="17">
        <v>4</v>
      </c>
      <c r="E53" s="17">
        <f t="shared" si="5"/>
        <v>1</v>
      </c>
      <c r="F53" s="18"/>
      <c r="G53" s="18" t="s">
        <v>50</v>
      </c>
      <c r="H53" s="18"/>
      <c r="I53" s="18"/>
      <c r="J53" s="18" t="s">
        <v>50</v>
      </c>
      <c r="K53" s="18"/>
      <c r="L53" s="18"/>
      <c r="M53" s="19"/>
      <c r="N53" s="20" t="str">
        <f t="shared" si="6"/>
        <v>OK</v>
      </c>
    </row>
    <row r="54" spans="1:14" ht="20.100000000000001" customHeight="1" x14ac:dyDescent="0.25">
      <c r="A54" s="15" t="s">
        <v>54</v>
      </c>
      <c r="B54" s="16" t="s">
        <v>49</v>
      </c>
      <c r="C54" s="17">
        <v>4</v>
      </c>
      <c r="D54" s="17">
        <v>5</v>
      </c>
      <c r="E54" s="17">
        <f t="shared" si="5"/>
        <v>1</v>
      </c>
      <c r="F54" s="18"/>
      <c r="G54" s="18" t="s">
        <v>50</v>
      </c>
      <c r="H54" s="18"/>
      <c r="I54" s="18"/>
      <c r="J54" s="18" t="s">
        <v>50</v>
      </c>
      <c r="K54" s="18"/>
      <c r="L54" s="18"/>
      <c r="M54" s="19"/>
      <c r="N54" s="20" t="str">
        <f t="shared" si="6"/>
        <v>OK</v>
      </c>
    </row>
    <row r="55" spans="1:14" ht="20.100000000000001" customHeight="1" x14ac:dyDescent="0.25">
      <c r="A55" s="15" t="s">
        <v>54</v>
      </c>
      <c r="B55" s="16" t="s">
        <v>49</v>
      </c>
      <c r="C55" s="17">
        <v>5</v>
      </c>
      <c r="D55" s="17">
        <v>6</v>
      </c>
      <c r="E55" s="17">
        <f t="shared" si="5"/>
        <v>1</v>
      </c>
      <c r="F55" s="18"/>
      <c r="G55" s="18" t="s">
        <v>50</v>
      </c>
      <c r="H55" s="18"/>
      <c r="I55" s="18"/>
      <c r="J55" s="18" t="s">
        <v>50</v>
      </c>
      <c r="K55" s="18"/>
      <c r="L55" s="18"/>
      <c r="M55" s="19"/>
      <c r="N55" s="20" t="str">
        <f t="shared" si="6"/>
        <v>OK</v>
      </c>
    </row>
    <row r="56" spans="1:14" ht="20.100000000000001" customHeight="1" x14ac:dyDescent="0.25">
      <c r="A56" s="15" t="s">
        <v>54</v>
      </c>
      <c r="B56" s="16" t="s">
        <v>49</v>
      </c>
      <c r="C56" s="17">
        <v>6</v>
      </c>
      <c r="D56" s="17">
        <v>7</v>
      </c>
      <c r="E56" s="17">
        <f t="shared" si="5"/>
        <v>1</v>
      </c>
      <c r="F56" s="18"/>
      <c r="G56" s="18" t="s">
        <v>50</v>
      </c>
      <c r="H56" s="18"/>
      <c r="I56" s="18"/>
      <c r="J56" s="18" t="s">
        <v>50</v>
      </c>
      <c r="K56" s="18"/>
      <c r="L56" s="18"/>
      <c r="M56" s="19"/>
      <c r="N56" s="20" t="str">
        <f t="shared" si="6"/>
        <v>OK</v>
      </c>
    </row>
    <row r="57" spans="1:14" ht="20.100000000000001" customHeight="1" x14ac:dyDescent="0.25">
      <c r="A57" s="15" t="s">
        <v>54</v>
      </c>
      <c r="B57" s="16" t="s">
        <v>49</v>
      </c>
      <c r="C57" s="17">
        <v>7</v>
      </c>
      <c r="D57" s="17">
        <v>8</v>
      </c>
      <c r="E57" s="17">
        <f t="shared" si="5"/>
        <v>1</v>
      </c>
      <c r="F57" s="18"/>
      <c r="G57" s="18" t="s">
        <v>50</v>
      </c>
      <c r="H57" s="18"/>
      <c r="I57" s="18"/>
      <c r="J57" s="18" t="s">
        <v>50</v>
      </c>
      <c r="K57" s="18"/>
      <c r="L57" s="18"/>
      <c r="M57" s="19"/>
      <c r="N57" s="20" t="str">
        <f t="shared" si="6"/>
        <v>OK</v>
      </c>
    </row>
    <row r="58" spans="1:14" ht="20.100000000000001" customHeight="1" x14ac:dyDescent="0.25">
      <c r="A58" s="15" t="s">
        <v>54</v>
      </c>
      <c r="B58" s="16" t="s">
        <v>49</v>
      </c>
      <c r="C58" s="17">
        <v>8</v>
      </c>
      <c r="D58" s="17">
        <v>9</v>
      </c>
      <c r="E58" s="17">
        <f t="shared" si="5"/>
        <v>1</v>
      </c>
      <c r="F58" s="18"/>
      <c r="G58" s="18" t="s">
        <v>50</v>
      </c>
      <c r="H58" s="18"/>
      <c r="I58" s="18"/>
      <c r="J58" s="18" t="s">
        <v>50</v>
      </c>
      <c r="K58" s="18"/>
      <c r="L58" s="18"/>
      <c r="M58" s="19"/>
      <c r="N58" s="20" t="str">
        <f t="shared" si="6"/>
        <v>OK</v>
      </c>
    </row>
    <row r="59" spans="1:14" ht="20.100000000000001" customHeight="1" x14ac:dyDescent="0.25">
      <c r="A59" s="15" t="s">
        <v>54</v>
      </c>
      <c r="B59" s="16" t="s">
        <v>49</v>
      </c>
      <c r="C59" s="17">
        <v>9</v>
      </c>
      <c r="D59" s="17">
        <v>10</v>
      </c>
      <c r="E59" s="17">
        <f t="shared" si="5"/>
        <v>1</v>
      </c>
      <c r="F59" s="18"/>
      <c r="G59" s="18" t="s">
        <v>50</v>
      </c>
      <c r="H59" s="18"/>
      <c r="I59" s="18"/>
      <c r="J59" s="18" t="s">
        <v>50</v>
      </c>
      <c r="K59" s="18"/>
      <c r="L59" s="18"/>
      <c r="M59" s="19"/>
      <c r="N59" s="20" t="str">
        <f t="shared" si="6"/>
        <v>OK</v>
      </c>
    </row>
    <row r="60" spans="1:14" ht="20.100000000000001" customHeight="1" x14ac:dyDescent="0.25">
      <c r="A60" s="15" t="s">
        <v>54</v>
      </c>
      <c r="B60" s="16" t="s">
        <v>49</v>
      </c>
      <c r="C60" s="17">
        <v>10</v>
      </c>
      <c r="D60" s="17">
        <v>11</v>
      </c>
      <c r="E60" s="17">
        <f t="shared" si="5"/>
        <v>1</v>
      </c>
      <c r="F60" s="18"/>
      <c r="G60" s="18" t="s">
        <v>50</v>
      </c>
      <c r="H60" s="18"/>
      <c r="I60" s="18"/>
      <c r="J60" s="18" t="s">
        <v>50</v>
      </c>
      <c r="K60" s="18"/>
      <c r="L60" s="18"/>
      <c r="M60" s="19"/>
      <c r="N60" s="20" t="str">
        <f t="shared" si="6"/>
        <v>OK</v>
      </c>
    </row>
    <row r="61" spans="1:14" ht="20.100000000000001" customHeight="1" x14ac:dyDescent="0.25">
      <c r="A61" s="15" t="s">
        <v>54</v>
      </c>
      <c r="B61" s="16" t="s">
        <v>49</v>
      </c>
      <c r="C61" s="17">
        <v>11</v>
      </c>
      <c r="D61" s="17">
        <v>12</v>
      </c>
      <c r="E61" s="17">
        <f t="shared" si="5"/>
        <v>1</v>
      </c>
      <c r="F61" s="18"/>
      <c r="G61" s="18" t="s">
        <v>50</v>
      </c>
      <c r="H61" s="18"/>
      <c r="I61" s="18"/>
      <c r="J61" s="18" t="s">
        <v>50</v>
      </c>
      <c r="K61" s="18"/>
      <c r="L61" s="18"/>
      <c r="M61" s="19"/>
      <c r="N61" s="20" t="str">
        <f t="shared" si="6"/>
        <v>OK</v>
      </c>
    </row>
    <row r="62" spans="1:14" ht="20.100000000000001" customHeight="1" x14ac:dyDescent="0.25">
      <c r="A62" s="15" t="s">
        <v>54</v>
      </c>
      <c r="B62" s="16" t="s">
        <v>49</v>
      </c>
      <c r="C62" s="17">
        <v>12</v>
      </c>
      <c r="D62" s="17">
        <v>13</v>
      </c>
      <c r="E62" s="17">
        <f t="shared" si="5"/>
        <v>1</v>
      </c>
      <c r="F62" s="18"/>
      <c r="G62" s="18" t="s">
        <v>50</v>
      </c>
      <c r="H62" s="18"/>
      <c r="I62" s="18"/>
      <c r="J62" s="18" t="s">
        <v>50</v>
      </c>
      <c r="K62" s="18"/>
      <c r="L62" s="18"/>
      <c r="M62" s="19"/>
      <c r="N62" s="20" t="str">
        <f t="shared" si="6"/>
        <v>OK</v>
      </c>
    </row>
    <row r="63" spans="1:14" ht="20.100000000000001" customHeight="1" x14ac:dyDescent="0.25">
      <c r="A63" s="15" t="s">
        <v>54</v>
      </c>
      <c r="B63" s="16" t="s">
        <v>49</v>
      </c>
      <c r="C63" s="17">
        <v>13</v>
      </c>
      <c r="D63" s="17">
        <v>14</v>
      </c>
      <c r="E63" s="17">
        <f t="shared" si="5"/>
        <v>1</v>
      </c>
      <c r="F63" s="18"/>
      <c r="G63" s="18" t="s">
        <v>50</v>
      </c>
      <c r="H63" s="18"/>
      <c r="I63" s="18"/>
      <c r="J63" s="18" t="s">
        <v>50</v>
      </c>
      <c r="K63" s="18"/>
      <c r="L63" s="18"/>
      <c r="M63" s="19"/>
      <c r="N63" s="20" t="str">
        <f t="shared" si="6"/>
        <v>OK</v>
      </c>
    </row>
    <row r="64" spans="1:14" ht="20.100000000000001" customHeight="1" x14ac:dyDescent="0.25">
      <c r="A64" s="15" t="s">
        <v>54</v>
      </c>
      <c r="B64" s="16" t="s">
        <v>49</v>
      </c>
      <c r="C64" s="17">
        <v>14</v>
      </c>
      <c r="D64" s="17">
        <v>15</v>
      </c>
      <c r="E64" s="17">
        <f t="shared" si="5"/>
        <v>1</v>
      </c>
      <c r="F64" s="18"/>
      <c r="G64" s="18" t="s">
        <v>50</v>
      </c>
      <c r="H64" s="18"/>
      <c r="I64" s="18"/>
      <c r="J64" s="18" t="s">
        <v>50</v>
      </c>
      <c r="K64" s="18"/>
      <c r="L64" s="18"/>
      <c r="M64" s="19"/>
      <c r="N64" s="20" t="str">
        <f t="shared" si="6"/>
        <v>OK</v>
      </c>
    </row>
    <row r="65" spans="1:14" ht="20.100000000000001" customHeight="1" x14ac:dyDescent="0.25">
      <c r="A65" s="15" t="s">
        <v>54</v>
      </c>
      <c r="B65" s="16" t="s">
        <v>49</v>
      </c>
      <c r="C65" s="17">
        <v>15</v>
      </c>
      <c r="D65" s="17">
        <v>16</v>
      </c>
      <c r="E65" s="17">
        <f t="shared" si="5"/>
        <v>1</v>
      </c>
      <c r="F65" s="18"/>
      <c r="G65" s="18" t="s">
        <v>50</v>
      </c>
      <c r="H65" s="18"/>
      <c r="I65" s="18"/>
      <c r="J65" s="18" t="s">
        <v>50</v>
      </c>
      <c r="K65" s="18"/>
      <c r="L65" s="18"/>
      <c r="M65" s="19"/>
      <c r="N65" s="20" t="str">
        <f t="shared" si="6"/>
        <v>OK</v>
      </c>
    </row>
    <row r="66" spans="1:14" ht="20.100000000000001" customHeight="1" x14ac:dyDescent="0.25">
      <c r="A66" s="21" t="s">
        <v>54</v>
      </c>
      <c r="B66" s="22" t="s">
        <v>49</v>
      </c>
      <c r="C66" s="23">
        <v>16</v>
      </c>
      <c r="D66" s="23">
        <v>16.209854130699998</v>
      </c>
      <c r="E66" s="23">
        <f t="shared" si="5"/>
        <v>0.20985413069999836</v>
      </c>
      <c r="F66" s="24"/>
      <c r="G66" s="24" t="s">
        <v>50</v>
      </c>
      <c r="H66" s="24"/>
      <c r="I66" s="24"/>
      <c r="J66" s="24" t="s">
        <v>50</v>
      </c>
      <c r="K66" s="24"/>
      <c r="L66" s="24"/>
      <c r="M66" s="25"/>
      <c r="N66" s="26" t="str">
        <f t="shared" si="6"/>
        <v>OK</v>
      </c>
    </row>
    <row r="67" spans="1:14" ht="15.95" customHeight="1" x14ac:dyDescent="0.25">
      <c r="A67" s="41" t="s">
        <v>55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3"/>
      <c r="N67" s="4"/>
    </row>
    <row r="68" spans="1:14" ht="20.100000000000001" customHeight="1" x14ac:dyDescent="0.25">
      <c r="A68" s="15" t="s">
        <v>56</v>
      </c>
      <c r="B68" s="16" t="s">
        <v>49</v>
      </c>
      <c r="C68" s="17">
        <v>0</v>
      </c>
      <c r="D68" s="17">
        <v>1</v>
      </c>
      <c r="E68" s="17">
        <f>D68-C68</f>
        <v>1</v>
      </c>
      <c r="F68" s="18" t="s">
        <v>50</v>
      </c>
      <c r="G68" s="18"/>
      <c r="H68" s="18"/>
      <c r="I68" s="18"/>
      <c r="J68" s="18" t="s">
        <v>50</v>
      </c>
      <c r="K68" s="18"/>
      <c r="L68" s="18"/>
      <c r="M68" s="19"/>
      <c r="N68" s="20" t="str">
        <f>IF(COUNTA(F68:L68)=0,"— não preenchido",IF(COUNTIF(F68:I68,"X")&lt;&gt;1,"FALTA/DUPLA: CONDIÇÃO DA PLATAFORMA",IF(COUNTIF(J68:L68,"X")&lt;&gt;1,"FALTA/DUPLA: DRENAGEM SUPERFICIAL","OK")))</f>
        <v>OK</v>
      </c>
    </row>
    <row r="69" spans="1:14" ht="20.100000000000001" customHeight="1" x14ac:dyDescent="0.25">
      <c r="A69" s="21" t="s">
        <v>56</v>
      </c>
      <c r="B69" s="22" t="s">
        <v>49</v>
      </c>
      <c r="C69" s="23">
        <v>1</v>
      </c>
      <c r="D69" s="23">
        <v>1.34564477962</v>
      </c>
      <c r="E69" s="23">
        <f>D69-C69</f>
        <v>0.34564477961999995</v>
      </c>
      <c r="F69" s="24" t="s">
        <v>50</v>
      </c>
      <c r="G69" s="24"/>
      <c r="H69" s="24"/>
      <c r="I69" s="24"/>
      <c r="J69" s="24" t="s">
        <v>50</v>
      </c>
      <c r="K69" s="24"/>
      <c r="L69" s="24"/>
      <c r="M69" s="25"/>
      <c r="N69" s="26" t="str">
        <f>IF(COUNTA(F69:L69)=0,"— não preenchido",IF(COUNTIF(F69:I69,"X")&lt;&gt;1,"FALTA/DUPLA: CONDIÇÃO DA PLATAFORMA",IF(COUNTIF(J69:L69,"X")&lt;&gt;1,"FALTA/DUPLA: DRENAGEM SUPERFICIAL","OK")))</f>
        <v>OK</v>
      </c>
    </row>
    <row r="70" spans="1:14" ht="15.95" customHeight="1" x14ac:dyDescent="0.25">
      <c r="A70" s="41" t="s">
        <v>57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3"/>
      <c r="N70" s="4"/>
    </row>
    <row r="71" spans="1:14" ht="20.100000000000001" customHeight="1" x14ac:dyDescent="0.25">
      <c r="A71" s="15" t="s">
        <v>58</v>
      </c>
      <c r="B71" s="16" t="s">
        <v>49</v>
      </c>
      <c r="C71" s="17">
        <v>0</v>
      </c>
      <c r="D71" s="17">
        <v>1</v>
      </c>
      <c r="E71" s="17">
        <f t="shared" ref="E71:E78" si="7">D71-C71</f>
        <v>1</v>
      </c>
      <c r="F71" s="18" t="s">
        <v>50</v>
      </c>
      <c r="G71" s="18"/>
      <c r="H71" s="18"/>
      <c r="I71" s="18"/>
      <c r="J71" s="18" t="s">
        <v>50</v>
      </c>
      <c r="K71" s="18"/>
      <c r="L71" s="18"/>
      <c r="M71" s="19"/>
      <c r="N71" s="20" t="str">
        <f t="shared" ref="N71:N78" si="8">IF(COUNTA(F71:L71)=0,"— não preenchido",IF(COUNTIF(F71:I71,"X")&lt;&gt;1,"FALTA/DUPLA: CONDIÇÃO DA PLATAFORMA",IF(COUNTIF(J71:L71,"X")&lt;&gt;1,"FALTA/DUPLA: DRENAGEM SUPERFICIAL","OK")))</f>
        <v>OK</v>
      </c>
    </row>
    <row r="72" spans="1:14" ht="20.100000000000001" customHeight="1" x14ac:dyDescent="0.25">
      <c r="A72" s="15" t="s">
        <v>58</v>
      </c>
      <c r="B72" s="16" t="s">
        <v>49</v>
      </c>
      <c r="C72" s="17">
        <v>1</v>
      </c>
      <c r="D72" s="17">
        <v>2</v>
      </c>
      <c r="E72" s="17">
        <f t="shared" si="7"/>
        <v>1</v>
      </c>
      <c r="F72" s="18" t="s">
        <v>50</v>
      </c>
      <c r="G72" s="18"/>
      <c r="H72" s="18"/>
      <c r="I72" s="18"/>
      <c r="J72" s="18" t="s">
        <v>50</v>
      </c>
      <c r="K72" s="18"/>
      <c r="L72" s="18"/>
      <c r="M72" s="19"/>
      <c r="N72" s="20" t="str">
        <f t="shared" si="8"/>
        <v>OK</v>
      </c>
    </row>
    <row r="73" spans="1:14" ht="20.100000000000001" customHeight="1" x14ac:dyDescent="0.25">
      <c r="A73" s="15" t="s">
        <v>58</v>
      </c>
      <c r="B73" s="16" t="s">
        <v>49</v>
      </c>
      <c r="C73" s="17">
        <v>2</v>
      </c>
      <c r="D73" s="17">
        <v>3</v>
      </c>
      <c r="E73" s="17">
        <f t="shared" si="7"/>
        <v>1</v>
      </c>
      <c r="F73" s="18" t="s">
        <v>50</v>
      </c>
      <c r="G73" s="18"/>
      <c r="H73" s="18"/>
      <c r="I73" s="18"/>
      <c r="J73" s="18" t="s">
        <v>50</v>
      </c>
      <c r="K73" s="18"/>
      <c r="L73" s="18"/>
      <c r="M73" s="19"/>
      <c r="N73" s="20" t="str">
        <f t="shared" si="8"/>
        <v>OK</v>
      </c>
    </row>
    <row r="74" spans="1:14" ht="20.100000000000001" customHeight="1" x14ac:dyDescent="0.25">
      <c r="A74" s="15" t="s">
        <v>58</v>
      </c>
      <c r="B74" s="16" t="s">
        <v>49</v>
      </c>
      <c r="C74" s="17">
        <v>3</v>
      </c>
      <c r="D74" s="17">
        <v>4</v>
      </c>
      <c r="E74" s="17">
        <f t="shared" si="7"/>
        <v>1</v>
      </c>
      <c r="F74" s="18" t="s">
        <v>50</v>
      </c>
      <c r="G74" s="18"/>
      <c r="H74" s="18"/>
      <c r="I74" s="18"/>
      <c r="J74" s="18" t="s">
        <v>50</v>
      </c>
      <c r="K74" s="18"/>
      <c r="L74" s="18"/>
      <c r="M74" s="19"/>
      <c r="N74" s="20" t="str">
        <f t="shared" si="8"/>
        <v>OK</v>
      </c>
    </row>
    <row r="75" spans="1:14" ht="20.100000000000001" customHeight="1" x14ac:dyDescent="0.25">
      <c r="A75" s="15" t="s">
        <v>58</v>
      </c>
      <c r="B75" s="16" t="s">
        <v>49</v>
      </c>
      <c r="C75" s="17">
        <v>4</v>
      </c>
      <c r="D75" s="17">
        <v>5</v>
      </c>
      <c r="E75" s="17">
        <f t="shared" si="7"/>
        <v>1</v>
      </c>
      <c r="F75" s="18" t="s">
        <v>50</v>
      </c>
      <c r="G75" s="18"/>
      <c r="H75" s="18"/>
      <c r="I75" s="18"/>
      <c r="J75" s="18" t="s">
        <v>50</v>
      </c>
      <c r="K75" s="18"/>
      <c r="L75" s="18"/>
      <c r="M75" s="19"/>
      <c r="N75" s="20" t="str">
        <f t="shared" si="8"/>
        <v>OK</v>
      </c>
    </row>
    <row r="76" spans="1:14" ht="20.100000000000001" customHeight="1" x14ac:dyDescent="0.25">
      <c r="A76" s="15" t="s">
        <v>58</v>
      </c>
      <c r="B76" s="16" t="s">
        <v>49</v>
      </c>
      <c r="C76" s="17">
        <v>5</v>
      </c>
      <c r="D76" s="17">
        <v>6</v>
      </c>
      <c r="E76" s="17">
        <f t="shared" si="7"/>
        <v>1</v>
      </c>
      <c r="F76" s="18" t="s">
        <v>50</v>
      </c>
      <c r="G76" s="18"/>
      <c r="H76" s="18"/>
      <c r="I76" s="18"/>
      <c r="J76" s="18" t="s">
        <v>50</v>
      </c>
      <c r="K76" s="18"/>
      <c r="L76" s="18"/>
      <c r="M76" s="19"/>
      <c r="N76" s="20" t="str">
        <f t="shared" si="8"/>
        <v>OK</v>
      </c>
    </row>
    <row r="77" spans="1:14" ht="20.100000000000001" customHeight="1" x14ac:dyDescent="0.25">
      <c r="A77" s="15" t="s">
        <v>58</v>
      </c>
      <c r="B77" s="16" t="s">
        <v>49</v>
      </c>
      <c r="C77" s="17">
        <v>6</v>
      </c>
      <c r="D77" s="17">
        <v>7</v>
      </c>
      <c r="E77" s="17">
        <f t="shared" si="7"/>
        <v>1</v>
      </c>
      <c r="F77" s="18" t="s">
        <v>50</v>
      </c>
      <c r="G77" s="18"/>
      <c r="H77" s="18"/>
      <c r="I77" s="18"/>
      <c r="J77" s="18" t="s">
        <v>50</v>
      </c>
      <c r="K77" s="18"/>
      <c r="L77" s="18"/>
      <c r="M77" s="19"/>
      <c r="N77" s="20" t="str">
        <f t="shared" si="8"/>
        <v>OK</v>
      </c>
    </row>
    <row r="78" spans="1:14" ht="20.100000000000001" customHeight="1" x14ac:dyDescent="0.25">
      <c r="A78" s="21" t="s">
        <v>58</v>
      </c>
      <c r="B78" s="22" t="s">
        <v>49</v>
      </c>
      <c r="C78" s="23">
        <v>7</v>
      </c>
      <c r="D78" s="23">
        <v>7.29392567847</v>
      </c>
      <c r="E78" s="23">
        <f t="shared" si="7"/>
        <v>0.29392567846999995</v>
      </c>
      <c r="F78" s="24" t="s">
        <v>50</v>
      </c>
      <c r="G78" s="24"/>
      <c r="H78" s="24"/>
      <c r="I78" s="24"/>
      <c r="J78" s="24" t="s">
        <v>50</v>
      </c>
      <c r="K78" s="24"/>
      <c r="L78" s="24"/>
      <c r="M78" s="25"/>
      <c r="N78" s="26" t="str">
        <f t="shared" si="8"/>
        <v>OK</v>
      </c>
    </row>
    <row r="79" spans="1:14" ht="15.95" customHeight="1" x14ac:dyDescent="0.25">
      <c r="A79" s="41" t="s">
        <v>59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3"/>
      <c r="N79" s="4"/>
    </row>
    <row r="80" spans="1:14" ht="20.100000000000001" customHeight="1" x14ac:dyDescent="0.25">
      <c r="A80" s="15" t="s">
        <v>60</v>
      </c>
      <c r="B80" s="16" t="s">
        <v>49</v>
      </c>
      <c r="C80" s="17">
        <v>0</v>
      </c>
      <c r="D80" s="17">
        <v>1</v>
      </c>
      <c r="E80" s="17">
        <f>D80-C80</f>
        <v>1</v>
      </c>
      <c r="F80" s="18" t="s">
        <v>50</v>
      </c>
      <c r="G80" s="18"/>
      <c r="H80" s="18"/>
      <c r="I80" s="18"/>
      <c r="J80" s="18" t="s">
        <v>50</v>
      </c>
      <c r="K80" s="18"/>
      <c r="L80" s="18"/>
      <c r="M80" s="19"/>
      <c r="N80" s="20" t="str">
        <f>IF(COUNTA(F80:L80)=0,"— não preenchido",IF(COUNTIF(F80:I80,"X")&lt;&gt;1,"FALTA/DUPLA: CONDIÇÃO DA PLATAFORMA",IF(COUNTIF(J80:L80,"X")&lt;&gt;1,"FALTA/DUPLA: DRENAGEM SUPERFICIAL","OK")))</f>
        <v>OK</v>
      </c>
    </row>
    <row r="81" spans="1:14" ht="20.100000000000001" customHeight="1" x14ac:dyDescent="0.25">
      <c r="A81" s="15" t="s">
        <v>60</v>
      </c>
      <c r="B81" s="16" t="s">
        <v>49</v>
      </c>
      <c r="C81" s="17">
        <v>1</v>
      </c>
      <c r="D81" s="17">
        <v>2</v>
      </c>
      <c r="E81" s="17">
        <f>D81-C81</f>
        <v>1</v>
      </c>
      <c r="F81" s="18" t="s">
        <v>50</v>
      </c>
      <c r="G81" s="18"/>
      <c r="H81" s="18"/>
      <c r="I81" s="18"/>
      <c r="J81" s="18" t="s">
        <v>50</v>
      </c>
      <c r="K81" s="18"/>
      <c r="L81" s="18"/>
      <c r="M81" s="19"/>
      <c r="N81" s="20" t="str">
        <f>IF(COUNTA(F81:L81)=0,"— não preenchido",IF(COUNTIF(F81:I81,"X")&lt;&gt;1,"FALTA/DUPLA: CONDIÇÃO DA PLATAFORMA",IF(COUNTIF(J81:L81,"X")&lt;&gt;1,"FALTA/DUPLA: DRENAGEM SUPERFICIAL","OK")))</f>
        <v>OK</v>
      </c>
    </row>
    <row r="82" spans="1:14" ht="20.100000000000001" customHeight="1" x14ac:dyDescent="0.25">
      <c r="A82" s="15" t="s">
        <v>60</v>
      </c>
      <c r="B82" s="16" t="s">
        <v>49</v>
      </c>
      <c r="C82" s="17">
        <v>2</v>
      </c>
      <c r="D82" s="17">
        <v>3</v>
      </c>
      <c r="E82" s="17">
        <f>D82-C82</f>
        <v>1</v>
      </c>
      <c r="F82" s="18" t="s">
        <v>50</v>
      </c>
      <c r="G82" s="18"/>
      <c r="H82" s="18"/>
      <c r="I82" s="18"/>
      <c r="J82" s="18" t="s">
        <v>50</v>
      </c>
      <c r="K82" s="18"/>
      <c r="L82" s="18"/>
      <c r="M82" s="19"/>
      <c r="N82" s="20" t="str">
        <f>IF(COUNTA(F82:L82)=0,"— não preenchido",IF(COUNTIF(F82:I82,"X")&lt;&gt;1,"FALTA/DUPLA: CONDIÇÃO DA PLATAFORMA",IF(COUNTIF(J82:L82,"X")&lt;&gt;1,"FALTA/DUPLA: DRENAGEM SUPERFICIAL","OK")))</f>
        <v>OK</v>
      </c>
    </row>
    <row r="83" spans="1:14" ht="20.100000000000001" customHeight="1" x14ac:dyDescent="0.25">
      <c r="A83" s="21" t="s">
        <v>60</v>
      </c>
      <c r="B83" s="22" t="s">
        <v>49</v>
      </c>
      <c r="C83" s="23">
        <v>3</v>
      </c>
      <c r="D83" s="23">
        <v>3.8572586660399999</v>
      </c>
      <c r="E83" s="23">
        <f>D83-C83</f>
        <v>0.85725866603999989</v>
      </c>
      <c r="F83" s="24" t="s">
        <v>50</v>
      </c>
      <c r="G83" s="24"/>
      <c r="H83" s="24"/>
      <c r="I83" s="24"/>
      <c r="J83" s="24" t="s">
        <v>50</v>
      </c>
      <c r="K83" s="24"/>
      <c r="L83" s="24"/>
      <c r="M83" s="25"/>
      <c r="N83" s="26" t="str">
        <f>IF(COUNTA(F83:L83)=0,"— não preenchido",IF(COUNTIF(F83:I83,"X")&lt;&gt;1,"FALTA/DUPLA: CONDIÇÃO DA PLATAFORMA",IF(COUNTIF(J83:L83,"X")&lt;&gt;1,"FALTA/DUPLA: DRENAGEM SUPERFICIAL","OK")))</f>
        <v>OK</v>
      </c>
    </row>
    <row r="84" spans="1:14" ht="15.95" customHeight="1" x14ac:dyDescent="0.25">
      <c r="A84" s="41" t="s">
        <v>61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3"/>
      <c r="N84" s="4"/>
    </row>
    <row r="85" spans="1:14" ht="20.100000000000001" customHeight="1" x14ac:dyDescent="0.25">
      <c r="A85" s="15" t="s">
        <v>62</v>
      </c>
      <c r="B85" s="16" t="s">
        <v>49</v>
      </c>
      <c r="C85" s="17">
        <v>0</v>
      </c>
      <c r="D85" s="17">
        <v>1</v>
      </c>
      <c r="E85" s="17">
        <f t="shared" ref="E85:E94" si="9">D85-C85</f>
        <v>1</v>
      </c>
      <c r="F85" s="18" t="s">
        <v>50</v>
      </c>
      <c r="G85" s="18"/>
      <c r="H85" s="18"/>
      <c r="I85" s="18"/>
      <c r="J85" s="18" t="s">
        <v>50</v>
      </c>
      <c r="K85" s="18"/>
      <c r="L85" s="18"/>
      <c r="M85" s="19"/>
      <c r="N85" s="20" t="str">
        <f t="shared" ref="N85:N94" si="10">IF(COUNTA(F85:L85)=0,"— não preenchido",IF(COUNTIF(F85:I85,"X")&lt;&gt;1,"FALTA/DUPLA: CONDIÇÃO DA PLATAFORMA",IF(COUNTIF(J85:L85,"X")&lt;&gt;1,"FALTA/DUPLA: DRENAGEM SUPERFICIAL","OK")))</f>
        <v>OK</v>
      </c>
    </row>
    <row r="86" spans="1:14" ht="20.100000000000001" customHeight="1" x14ac:dyDescent="0.25">
      <c r="A86" s="15" t="s">
        <v>62</v>
      </c>
      <c r="B86" s="16" t="s">
        <v>49</v>
      </c>
      <c r="C86" s="17">
        <v>1</v>
      </c>
      <c r="D86" s="17">
        <v>2</v>
      </c>
      <c r="E86" s="17">
        <f t="shared" si="9"/>
        <v>1</v>
      </c>
      <c r="F86" s="18" t="s">
        <v>50</v>
      </c>
      <c r="G86" s="18"/>
      <c r="H86" s="18"/>
      <c r="I86" s="18"/>
      <c r="J86" s="18" t="s">
        <v>50</v>
      </c>
      <c r="K86" s="18"/>
      <c r="L86" s="18"/>
      <c r="M86" s="19"/>
      <c r="N86" s="20" t="str">
        <f t="shared" si="10"/>
        <v>OK</v>
      </c>
    </row>
    <row r="87" spans="1:14" ht="20.100000000000001" customHeight="1" x14ac:dyDescent="0.25">
      <c r="A87" s="15" t="s">
        <v>62</v>
      </c>
      <c r="B87" s="16" t="s">
        <v>49</v>
      </c>
      <c r="C87" s="17">
        <v>2</v>
      </c>
      <c r="D87" s="17">
        <v>3</v>
      </c>
      <c r="E87" s="17">
        <f t="shared" si="9"/>
        <v>1</v>
      </c>
      <c r="F87" s="18" t="s">
        <v>50</v>
      </c>
      <c r="G87" s="18"/>
      <c r="H87" s="18"/>
      <c r="I87" s="18"/>
      <c r="J87" s="18" t="s">
        <v>50</v>
      </c>
      <c r="K87" s="18"/>
      <c r="L87" s="18"/>
      <c r="M87" s="19"/>
      <c r="N87" s="20" t="str">
        <f t="shared" si="10"/>
        <v>OK</v>
      </c>
    </row>
    <row r="88" spans="1:14" ht="20.100000000000001" customHeight="1" x14ac:dyDescent="0.25">
      <c r="A88" s="15" t="s">
        <v>62</v>
      </c>
      <c r="B88" s="16" t="s">
        <v>49</v>
      </c>
      <c r="C88" s="17">
        <v>3</v>
      </c>
      <c r="D88" s="17">
        <v>4</v>
      </c>
      <c r="E88" s="17">
        <f t="shared" si="9"/>
        <v>1</v>
      </c>
      <c r="F88" s="18" t="s">
        <v>50</v>
      </c>
      <c r="G88" s="18"/>
      <c r="H88" s="18"/>
      <c r="I88" s="18"/>
      <c r="J88" s="18" t="s">
        <v>50</v>
      </c>
      <c r="K88" s="18"/>
      <c r="L88" s="18"/>
      <c r="M88" s="19"/>
      <c r="N88" s="20" t="str">
        <f t="shared" si="10"/>
        <v>OK</v>
      </c>
    </row>
    <row r="89" spans="1:14" ht="20.100000000000001" customHeight="1" x14ac:dyDescent="0.25">
      <c r="A89" s="15" t="s">
        <v>62</v>
      </c>
      <c r="B89" s="16" t="s">
        <v>49</v>
      </c>
      <c r="C89" s="17">
        <v>4</v>
      </c>
      <c r="D89" s="17">
        <v>5</v>
      </c>
      <c r="E89" s="17">
        <f t="shared" si="9"/>
        <v>1</v>
      </c>
      <c r="F89" s="18" t="s">
        <v>50</v>
      </c>
      <c r="G89" s="18"/>
      <c r="H89" s="18"/>
      <c r="I89" s="18"/>
      <c r="J89" s="18" t="s">
        <v>50</v>
      </c>
      <c r="K89" s="18"/>
      <c r="L89" s="18"/>
      <c r="M89" s="19"/>
      <c r="N89" s="20" t="str">
        <f t="shared" si="10"/>
        <v>OK</v>
      </c>
    </row>
    <row r="90" spans="1:14" ht="20.100000000000001" customHeight="1" x14ac:dyDescent="0.25">
      <c r="A90" s="15" t="s">
        <v>62</v>
      </c>
      <c r="B90" s="16" t="s">
        <v>49</v>
      </c>
      <c r="C90" s="17">
        <v>5</v>
      </c>
      <c r="D90" s="17">
        <v>6</v>
      </c>
      <c r="E90" s="17">
        <f t="shared" si="9"/>
        <v>1</v>
      </c>
      <c r="F90" s="18" t="s">
        <v>50</v>
      </c>
      <c r="G90" s="18"/>
      <c r="H90" s="18"/>
      <c r="I90" s="18"/>
      <c r="J90" s="18" t="s">
        <v>50</v>
      </c>
      <c r="K90" s="18"/>
      <c r="L90" s="18"/>
      <c r="M90" s="19"/>
      <c r="N90" s="20" t="str">
        <f t="shared" si="10"/>
        <v>OK</v>
      </c>
    </row>
    <row r="91" spans="1:14" ht="20.100000000000001" customHeight="1" x14ac:dyDescent="0.25">
      <c r="A91" s="15" t="s">
        <v>62</v>
      </c>
      <c r="B91" s="16" t="s">
        <v>49</v>
      </c>
      <c r="C91" s="17">
        <v>6</v>
      </c>
      <c r="D91" s="17">
        <v>7</v>
      </c>
      <c r="E91" s="17">
        <f t="shared" si="9"/>
        <v>1</v>
      </c>
      <c r="F91" s="18" t="s">
        <v>50</v>
      </c>
      <c r="G91" s="18"/>
      <c r="H91" s="18"/>
      <c r="I91" s="18"/>
      <c r="J91" s="18" t="s">
        <v>50</v>
      </c>
      <c r="K91" s="18"/>
      <c r="L91" s="18"/>
      <c r="M91" s="19"/>
      <c r="N91" s="20" t="str">
        <f t="shared" si="10"/>
        <v>OK</v>
      </c>
    </row>
    <row r="92" spans="1:14" ht="20.100000000000001" customHeight="1" x14ac:dyDescent="0.25">
      <c r="A92" s="15" t="s">
        <v>62</v>
      </c>
      <c r="B92" s="16" t="s">
        <v>49</v>
      </c>
      <c r="C92" s="17">
        <v>7</v>
      </c>
      <c r="D92" s="17">
        <v>8</v>
      </c>
      <c r="E92" s="17">
        <f t="shared" si="9"/>
        <v>1</v>
      </c>
      <c r="F92" s="18" t="s">
        <v>50</v>
      </c>
      <c r="G92" s="18"/>
      <c r="H92" s="18"/>
      <c r="I92" s="18"/>
      <c r="J92" s="18" t="s">
        <v>50</v>
      </c>
      <c r="K92" s="18"/>
      <c r="L92" s="18"/>
      <c r="M92" s="19"/>
      <c r="N92" s="20" t="str">
        <f t="shared" si="10"/>
        <v>OK</v>
      </c>
    </row>
    <row r="93" spans="1:14" ht="20.100000000000001" customHeight="1" x14ac:dyDescent="0.25">
      <c r="A93" s="15" t="s">
        <v>62</v>
      </c>
      <c r="B93" s="16" t="s">
        <v>49</v>
      </c>
      <c r="C93" s="17">
        <v>8</v>
      </c>
      <c r="D93" s="17">
        <v>9</v>
      </c>
      <c r="E93" s="17">
        <f t="shared" si="9"/>
        <v>1</v>
      </c>
      <c r="F93" s="18" t="s">
        <v>50</v>
      </c>
      <c r="G93" s="18"/>
      <c r="H93" s="18"/>
      <c r="I93" s="18"/>
      <c r="J93" s="18" t="s">
        <v>50</v>
      </c>
      <c r="K93" s="18"/>
      <c r="L93" s="18"/>
      <c r="M93" s="19"/>
      <c r="N93" s="20" t="str">
        <f t="shared" si="10"/>
        <v>OK</v>
      </c>
    </row>
    <row r="94" spans="1:14" ht="20.100000000000001" customHeight="1" x14ac:dyDescent="0.25">
      <c r="A94" s="21" t="s">
        <v>62</v>
      </c>
      <c r="B94" s="22" t="s">
        <v>49</v>
      </c>
      <c r="C94" s="23">
        <v>9</v>
      </c>
      <c r="D94" s="23">
        <v>9.3575815335199994</v>
      </c>
      <c r="E94" s="23">
        <f t="shared" si="9"/>
        <v>0.35758153351999944</v>
      </c>
      <c r="F94" s="24" t="s">
        <v>50</v>
      </c>
      <c r="G94" s="24"/>
      <c r="H94" s="24"/>
      <c r="I94" s="24"/>
      <c r="J94" s="24" t="s">
        <v>50</v>
      </c>
      <c r="K94" s="24"/>
      <c r="L94" s="24"/>
      <c r="M94" s="25"/>
      <c r="N94" s="26" t="str">
        <f t="shared" si="10"/>
        <v>OK</v>
      </c>
    </row>
    <row r="96" spans="1:14" x14ac:dyDescent="0.25">
      <c r="A96" s="37" t="s">
        <v>63</v>
      </c>
      <c r="B96" s="35"/>
      <c r="C96" s="35"/>
      <c r="D96" s="35"/>
      <c r="E96" s="35"/>
      <c r="G96" s="37" t="s">
        <v>63</v>
      </c>
      <c r="H96" s="35"/>
      <c r="I96" s="35"/>
      <c r="J96" s="35"/>
      <c r="K96" s="35"/>
    </row>
    <row r="97" spans="1:13" x14ac:dyDescent="0.25">
      <c r="A97" s="44" t="s">
        <v>64</v>
      </c>
      <c r="B97" s="35"/>
      <c r="C97" s="35"/>
      <c r="D97" s="35"/>
      <c r="E97" s="35"/>
      <c r="G97" s="44" t="s">
        <v>65</v>
      </c>
      <c r="H97" s="35"/>
      <c r="I97" s="35"/>
      <c r="J97" s="35"/>
      <c r="K97" s="35"/>
    </row>
    <row r="99" spans="1:13" x14ac:dyDescent="0.25">
      <c r="A99" s="48" t="s">
        <v>66</v>
      </c>
      <c r="B99" s="35"/>
      <c r="C99" s="35"/>
      <c r="D99" s="35"/>
      <c r="E99" s="35"/>
      <c r="F99" s="27"/>
      <c r="G99" s="27"/>
      <c r="H99" s="27"/>
      <c r="I99" s="27"/>
      <c r="J99" s="27"/>
      <c r="K99" s="27"/>
      <c r="L99" s="27"/>
      <c r="M99" s="27"/>
    </row>
    <row r="100" spans="1:13" x14ac:dyDescent="0.25">
      <c r="A100" s="39" t="s">
        <v>67</v>
      </c>
      <c r="B100" s="35"/>
      <c r="C100" s="35"/>
      <c r="D100" s="35"/>
      <c r="E100" s="35"/>
      <c r="F100" s="9">
        <f t="shared" ref="F100:L100" si="11">SUMIF(F$9:F$94,"X",$E$9:$E$94)</f>
        <v>27.234346050950002</v>
      </c>
      <c r="G100" s="9">
        <f t="shared" si="11"/>
        <v>48.397376323199992</v>
      </c>
      <c r="H100" s="9">
        <f t="shared" si="11"/>
        <v>0</v>
      </c>
      <c r="I100" s="9">
        <f t="shared" si="11"/>
        <v>0</v>
      </c>
      <c r="J100" s="9">
        <f t="shared" si="11"/>
        <v>69.631722374150002</v>
      </c>
      <c r="K100" s="9">
        <f t="shared" si="11"/>
        <v>0</v>
      </c>
      <c r="L100" s="9">
        <f t="shared" si="11"/>
        <v>6</v>
      </c>
    </row>
    <row r="101" spans="1:13" x14ac:dyDescent="0.25">
      <c r="A101" s="39" t="s">
        <v>68</v>
      </c>
      <c r="B101" s="35"/>
      <c r="C101" s="35"/>
      <c r="D101" s="35"/>
      <c r="E101" s="35"/>
      <c r="F101" s="28">
        <f t="shared" ref="F101:L101" si="12">IF($I103=0,0,F100/$I103)</f>
        <v>0.36009157528135799</v>
      </c>
      <c r="G101" s="28">
        <f t="shared" si="12"/>
        <v>0.63990842471864195</v>
      </c>
      <c r="H101" s="28">
        <f t="shared" si="12"/>
        <v>0</v>
      </c>
      <c r="I101" s="28">
        <f t="shared" si="12"/>
        <v>0</v>
      </c>
      <c r="J101" s="28">
        <f t="shared" si="12"/>
        <v>0.92066820889893253</v>
      </c>
      <c r="K101" s="28">
        <f t="shared" si="12"/>
        <v>0</v>
      </c>
      <c r="L101" s="28">
        <f t="shared" si="12"/>
        <v>7.9331791101067486E-2</v>
      </c>
    </row>
    <row r="102" spans="1:13" x14ac:dyDescent="0.25">
      <c r="A102" s="39" t="s">
        <v>69</v>
      </c>
      <c r="B102" s="35"/>
      <c r="C102" s="35"/>
      <c r="D102" s="35"/>
      <c r="E102" s="35"/>
      <c r="F102" s="38" t="str">
        <f>IF(SUM(F100:I100)=0,"— não preenchido",IF(ROUND(SUM(F100:I100)-$I103,3)=0,"OK — "&amp;ROUND(SUM(F100:I100),3)&amp;" km","ERRO — dif. de "&amp;ROUND(SUM(F100:I100)-$I103,3)&amp;" km"))</f>
        <v>OK — 75,632 km</v>
      </c>
      <c r="G102" s="32"/>
      <c r="H102" s="32"/>
      <c r="I102" s="33"/>
      <c r="J102" s="38" t="str">
        <f>IF(SUM(J100:L100)=0,"— não preenchido",IF(ROUND(SUM(J100:L100)-$I103,3)=0,"OK — "&amp;ROUND(SUM(J100:L100),3)&amp;" km","ERRO — dif. de "&amp;ROUND(SUM(J100:L100)-$I103,3)&amp;" km"))</f>
        <v>OK — 75,632 km</v>
      </c>
      <c r="K102" s="32"/>
      <c r="L102" s="33"/>
    </row>
    <row r="103" spans="1:13" x14ac:dyDescent="0.25">
      <c r="A103" s="39" t="s">
        <v>70</v>
      </c>
      <c r="B103" s="35"/>
      <c r="C103" s="35"/>
      <c r="D103" s="35"/>
      <c r="E103" s="35"/>
      <c r="I103" s="29">
        <f>SUM(E9:E94)</f>
        <v>75.631722374150002</v>
      </c>
      <c r="M103" s="8" t="str">
        <f>COUNTIF(N9:N94,"OK")&amp;" de "&amp;COUNT($E$9:$E$94)&amp;" linhas conferidas"</f>
        <v>80 de 80 linhas conferidas</v>
      </c>
    </row>
    <row r="105" spans="1:13" x14ac:dyDescent="0.25">
      <c r="A105" s="49" t="s">
        <v>71</v>
      </c>
      <c r="B105" s="35"/>
      <c r="C105" s="35"/>
      <c r="D105" s="35"/>
      <c r="E105" s="35"/>
    </row>
    <row r="106" spans="1:13" x14ac:dyDescent="0.25">
      <c r="A106" s="39" t="s">
        <v>10</v>
      </c>
      <c r="B106" s="35"/>
      <c r="C106" s="35"/>
      <c r="D106" s="35"/>
      <c r="E106" s="42" t="s">
        <v>72</v>
      </c>
      <c r="F106" s="35"/>
      <c r="G106" s="35"/>
      <c r="H106" s="35"/>
      <c r="I106" s="35"/>
      <c r="J106" s="35"/>
      <c r="K106" s="35"/>
      <c r="L106" s="35"/>
      <c r="M106" s="35"/>
    </row>
    <row r="107" spans="1:13" x14ac:dyDescent="0.25">
      <c r="A107" s="39" t="s">
        <v>11</v>
      </c>
      <c r="B107" s="35"/>
      <c r="C107" s="35"/>
      <c r="D107" s="35"/>
      <c r="E107" s="42" t="s">
        <v>73</v>
      </c>
      <c r="F107" s="35"/>
      <c r="G107" s="35"/>
      <c r="H107" s="35"/>
      <c r="I107" s="35"/>
      <c r="J107" s="35"/>
      <c r="K107" s="35"/>
      <c r="L107" s="35"/>
      <c r="M107" s="35"/>
    </row>
    <row r="108" spans="1:13" x14ac:dyDescent="0.25">
      <c r="A108" s="39" t="s">
        <v>12</v>
      </c>
      <c r="B108" s="35"/>
      <c r="C108" s="35"/>
      <c r="D108" s="35"/>
      <c r="E108" s="42" t="s">
        <v>74</v>
      </c>
      <c r="F108" s="35"/>
      <c r="G108" s="35"/>
      <c r="H108" s="35"/>
      <c r="I108" s="35"/>
      <c r="J108" s="35"/>
      <c r="K108" s="35"/>
      <c r="L108" s="35"/>
      <c r="M108" s="35"/>
    </row>
    <row r="109" spans="1:13" x14ac:dyDescent="0.25">
      <c r="A109" s="39" t="s">
        <v>75</v>
      </c>
      <c r="B109" s="35"/>
      <c r="C109" s="35"/>
      <c r="D109" s="35"/>
      <c r="E109" s="42" t="s">
        <v>76</v>
      </c>
      <c r="F109" s="35"/>
      <c r="G109" s="35"/>
      <c r="H109" s="35"/>
      <c r="I109" s="35"/>
      <c r="J109" s="35"/>
      <c r="K109" s="35"/>
      <c r="L109" s="35"/>
      <c r="M109" s="35"/>
    </row>
    <row r="110" spans="1:13" x14ac:dyDescent="0.25">
      <c r="A110" s="39" t="s">
        <v>77</v>
      </c>
      <c r="B110" s="35"/>
      <c r="C110" s="35"/>
      <c r="D110" s="35"/>
      <c r="E110" s="42" t="s">
        <v>78</v>
      </c>
      <c r="F110" s="35"/>
      <c r="G110" s="35"/>
      <c r="H110" s="35"/>
      <c r="I110" s="35"/>
      <c r="J110" s="35"/>
      <c r="K110" s="35"/>
      <c r="L110" s="35"/>
      <c r="M110" s="35"/>
    </row>
    <row r="111" spans="1:13" x14ac:dyDescent="0.25">
      <c r="A111" s="39" t="s">
        <v>79</v>
      </c>
      <c r="B111" s="35"/>
      <c r="C111" s="35"/>
      <c r="D111" s="35"/>
      <c r="E111" s="42" t="s">
        <v>80</v>
      </c>
      <c r="F111" s="35"/>
      <c r="G111" s="35"/>
      <c r="H111" s="35"/>
      <c r="I111" s="35"/>
      <c r="J111" s="35"/>
      <c r="K111" s="35"/>
      <c r="L111" s="35"/>
      <c r="M111" s="35"/>
    </row>
    <row r="112" spans="1:13" x14ac:dyDescent="0.25">
      <c r="A112" s="39" t="s">
        <v>41</v>
      </c>
      <c r="B112" s="35"/>
      <c r="C112" s="35"/>
      <c r="D112" s="35"/>
      <c r="E112" s="42" t="s">
        <v>81</v>
      </c>
      <c r="F112" s="35"/>
      <c r="G112" s="35"/>
      <c r="H112" s="35"/>
      <c r="I112" s="35"/>
      <c r="J112" s="35"/>
      <c r="K112" s="35"/>
      <c r="L112" s="35"/>
      <c r="M112" s="35"/>
    </row>
    <row r="113" spans="1:13" x14ac:dyDescent="0.25">
      <c r="A113" s="39" t="s">
        <v>82</v>
      </c>
      <c r="B113" s="35"/>
      <c r="C113" s="35"/>
      <c r="D113" s="35"/>
      <c r="E113" s="42" t="s">
        <v>83</v>
      </c>
      <c r="F113" s="35"/>
      <c r="G113" s="35"/>
      <c r="H113" s="35"/>
      <c r="I113" s="35"/>
      <c r="J113" s="35"/>
      <c r="K113" s="35"/>
      <c r="L113" s="35"/>
      <c r="M113" s="35"/>
    </row>
    <row r="114" spans="1:13" x14ac:dyDescent="0.25">
      <c r="A114" s="39" t="s">
        <v>84</v>
      </c>
      <c r="B114" s="35"/>
      <c r="C114" s="35"/>
      <c r="D114" s="35"/>
      <c r="E114" s="42" t="s">
        <v>85</v>
      </c>
      <c r="F114" s="35"/>
      <c r="G114" s="35"/>
      <c r="H114" s="35"/>
      <c r="I114" s="35"/>
      <c r="J114" s="35"/>
      <c r="K114" s="35"/>
      <c r="L114" s="35"/>
      <c r="M114" s="35"/>
    </row>
    <row r="115" spans="1:13" x14ac:dyDescent="0.25">
      <c r="A115" s="39" t="s">
        <v>8</v>
      </c>
      <c r="B115" s="35"/>
      <c r="C115" s="35"/>
      <c r="D115" s="35"/>
      <c r="E115" s="42" t="s">
        <v>86</v>
      </c>
      <c r="F115" s="35"/>
      <c r="G115" s="35"/>
      <c r="H115" s="35"/>
      <c r="I115" s="35"/>
      <c r="J115" s="35"/>
      <c r="K115" s="35"/>
      <c r="L115" s="35"/>
      <c r="M115" s="35"/>
    </row>
  </sheetData>
  <sheetProtection sheet="1" formatCells="0"/>
  <mergeCells count="56">
    <mergeCell ref="N6:N7"/>
    <mergeCell ref="E109:M109"/>
    <mergeCell ref="K3:M3"/>
    <mergeCell ref="A97:E97"/>
    <mergeCell ref="A108:D108"/>
    <mergeCell ref="A84:M84"/>
    <mergeCell ref="E106:M106"/>
    <mergeCell ref="A100:E100"/>
    <mergeCell ref="A96:E96"/>
    <mergeCell ref="A3:J3"/>
    <mergeCell ref="J102:L102"/>
    <mergeCell ref="A102:E102"/>
    <mergeCell ref="C6:C7"/>
    <mergeCell ref="D6:D7"/>
    <mergeCell ref="E107:M107"/>
    <mergeCell ref="A42:M42"/>
    <mergeCell ref="A1:M1"/>
    <mergeCell ref="A101:E101"/>
    <mergeCell ref="E112:M112"/>
    <mergeCell ref="A79:M79"/>
    <mergeCell ref="E115:M115"/>
    <mergeCell ref="A70:M70"/>
    <mergeCell ref="E111:M111"/>
    <mergeCell ref="A113:D113"/>
    <mergeCell ref="A115:D115"/>
    <mergeCell ref="A2:C2"/>
    <mergeCell ref="A111:D111"/>
    <mergeCell ref="G97:K97"/>
    <mergeCell ref="E108:M108"/>
    <mergeCell ref="K2:M2"/>
    <mergeCell ref="D2:E2"/>
    <mergeCell ref="A114:D114"/>
    <mergeCell ref="A67:M67"/>
    <mergeCell ref="M6:M7"/>
    <mergeCell ref="A99:E99"/>
    <mergeCell ref="E110:M110"/>
    <mergeCell ref="E6:E7"/>
    <mergeCell ref="A107:D107"/>
    <mergeCell ref="B6:B7"/>
    <mergeCell ref="E113:M113"/>
    <mergeCell ref="A109:D109"/>
    <mergeCell ref="A103:E103"/>
    <mergeCell ref="A112:D112"/>
    <mergeCell ref="A6:A7"/>
    <mergeCell ref="E114:M114"/>
    <mergeCell ref="A49:M49"/>
    <mergeCell ref="F6:I6"/>
    <mergeCell ref="A105:E105"/>
    <mergeCell ref="A110:D110"/>
    <mergeCell ref="G96:K96"/>
    <mergeCell ref="J6:L6"/>
    <mergeCell ref="F102:I102"/>
    <mergeCell ref="A106:D106"/>
    <mergeCell ref="G2:H2"/>
    <mergeCell ref="A8:M8"/>
    <mergeCell ref="A4:M4"/>
  </mergeCells>
  <conditionalFormatting sqref="F9:I94">
    <cfRule type="expression" dxfId="77" priority="1">
      <formula>AND(F9&lt;&gt;"",COUNTIF($F9:$I9,"X")&gt;1)</formula>
    </cfRule>
  </conditionalFormatting>
  <conditionalFormatting sqref="F102:L102">
    <cfRule type="expression" dxfId="76" priority="5">
      <formula>LEFT(F102,4)="ERRO"</formula>
    </cfRule>
    <cfRule type="expression" dxfId="75" priority="6">
      <formula>LEFT(F102,2)="OK"</formula>
    </cfRule>
  </conditionalFormatting>
  <conditionalFormatting sqref="J9:L94">
    <cfRule type="expression" dxfId="74" priority="2">
      <formula>AND(J9&lt;&gt;"",COUNTIF($J9:$L9,"X")&gt;1)</formula>
    </cfRule>
  </conditionalFormatting>
  <conditionalFormatting sqref="N9:N94">
    <cfRule type="expression" dxfId="73" priority="3">
      <formula>AND(N9&lt;&gt;"OK",N9&lt;&gt;"")</formula>
    </cfRule>
    <cfRule type="expression" dxfId="7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94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94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94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</oddHeader>
    <oddFooter>&amp;L&amp;7 RTA / MSI — Programa de Manutenção Rodoviária&amp;C&amp;7 Página &amp;P de &amp;N&amp;R&amp;7 Impresso em &amp;D</oddFooter>
  </headerFooter>
  <rowBreaks count="1" manualBreakCount="1">
    <brk id="97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6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IF(F50=0,NA(),F50)</f>
        <v>22</v>
      </c>
      <c r="Q2" s="2">
        <f t="shared" si="0"/>
        <v>13.479668777500002</v>
      </c>
      <c r="R2" s="2" t="e">
        <f t="shared" si="0"/>
        <v>#N/A</v>
      </c>
      <c r="S2" s="2" t="e">
        <f t="shared" si="0"/>
        <v>#N/A</v>
      </c>
      <c r="T2" s="2">
        <f t="shared" si="0"/>
        <v>29.479668777500002</v>
      </c>
      <c r="U2" s="2" t="e">
        <f t="shared" si="0"/>
        <v>#N/A</v>
      </c>
      <c r="V2" s="2">
        <f t="shared" si="0"/>
        <v>6</v>
      </c>
    </row>
    <row r="3" spans="1:22" ht="15" customHeight="1" x14ac:dyDescent="0.25">
      <c r="A3" s="50" t="s">
        <v>87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88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89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90</v>
      </c>
      <c r="B9" s="16" t="s">
        <v>49</v>
      </c>
      <c r="C9" s="17">
        <v>0</v>
      </c>
      <c r="D9" s="17">
        <v>1</v>
      </c>
      <c r="E9" s="17">
        <f t="shared" ref="E9:E44" si="1">D9-C9</f>
        <v>1</v>
      </c>
      <c r="F9" s="18"/>
      <c r="G9" s="18" t="s">
        <v>50</v>
      </c>
      <c r="H9" s="18"/>
      <c r="I9" s="18"/>
      <c r="J9" s="18"/>
      <c r="K9" s="18"/>
      <c r="L9" s="18" t="s">
        <v>50</v>
      </c>
      <c r="M9" s="19"/>
      <c r="N9" s="20" t="str">
        <f t="shared" ref="N9:N4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90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/>
      <c r="L10" s="18" t="s">
        <v>50</v>
      </c>
      <c r="M10" s="19"/>
      <c r="N10" s="20" t="str">
        <f t="shared" si="2"/>
        <v>OK</v>
      </c>
    </row>
    <row r="11" spans="1:22" ht="20.100000000000001" customHeight="1" x14ac:dyDescent="0.25">
      <c r="A11" s="15" t="s">
        <v>90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/>
      <c r="L11" s="18" t="s">
        <v>50</v>
      </c>
      <c r="M11" s="19"/>
      <c r="N11" s="20" t="str">
        <f t="shared" si="2"/>
        <v>OK</v>
      </c>
    </row>
    <row r="12" spans="1:22" ht="20.100000000000001" customHeight="1" x14ac:dyDescent="0.25">
      <c r="A12" s="15" t="s">
        <v>90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/>
      <c r="L12" s="18" t="s">
        <v>50</v>
      </c>
      <c r="M12" s="19"/>
      <c r="N12" s="20" t="str">
        <f t="shared" si="2"/>
        <v>OK</v>
      </c>
    </row>
    <row r="13" spans="1:22" ht="20.100000000000001" customHeight="1" x14ac:dyDescent="0.25">
      <c r="A13" s="15" t="s">
        <v>90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 t="s">
        <v>91</v>
      </c>
      <c r="N13" s="20" t="str">
        <f t="shared" si="2"/>
        <v>OK</v>
      </c>
    </row>
    <row r="14" spans="1:22" ht="20.100000000000001" customHeight="1" x14ac:dyDescent="0.25">
      <c r="A14" s="15" t="s">
        <v>90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 t="s">
        <v>91</v>
      </c>
      <c r="N14" s="20" t="str">
        <f t="shared" si="2"/>
        <v>OK</v>
      </c>
    </row>
    <row r="15" spans="1:22" ht="20.100000000000001" customHeight="1" x14ac:dyDescent="0.25">
      <c r="A15" s="15" t="s">
        <v>90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 t="s">
        <v>91</v>
      </c>
      <c r="N15" s="20" t="str">
        <f t="shared" si="2"/>
        <v>OK</v>
      </c>
    </row>
    <row r="16" spans="1:22" ht="20.100000000000001" customHeight="1" x14ac:dyDescent="0.25">
      <c r="A16" s="15" t="s">
        <v>90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91</v>
      </c>
      <c r="N16" s="20" t="str">
        <f t="shared" si="2"/>
        <v>OK</v>
      </c>
    </row>
    <row r="17" spans="1:14" ht="20.100000000000001" customHeight="1" x14ac:dyDescent="0.25">
      <c r="A17" s="15" t="s">
        <v>90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/>
      <c r="K17" s="18"/>
      <c r="L17" s="18" t="s">
        <v>50</v>
      </c>
      <c r="M17" s="19"/>
      <c r="N17" s="20" t="str">
        <f t="shared" si="2"/>
        <v>OK</v>
      </c>
    </row>
    <row r="18" spans="1:14" ht="20.100000000000001" customHeight="1" x14ac:dyDescent="0.25">
      <c r="A18" s="15" t="s">
        <v>90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/>
      <c r="K18" s="18"/>
      <c r="L18" s="18" t="s">
        <v>50</v>
      </c>
      <c r="M18" s="19"/>
      <c r="N18" s="20" t="str">
        <f t="shared" si="2"/>
        <v>OK</v>
      </c>
    </row>
    <row r="19" spans="1:14" ht="20.100000000000001" customHeight="1" x14ac:dyDescent="0.25">
      <c r="A19" s="15" t="s">
        <v>90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90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90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 t="s">
        <v>50</v>
      </c>
      <c r="G21" s="18"/>
      <c r="H21" s="18"/>
      <c r="I21" s="18"/>
      <c r="J21" s="18" t="s">
        <v>50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90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 t="s">
        <v>50</v>
      </c>
      <c r="G22" s="18"/>
      <c r="H22" s="18"/>
      <c r="I22" s="18"/>
      <c r="J22" s="18" t="s">
        <v>50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90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 t="s">
        <v>50</v>
      </c>
      <c r="G23" s="18"/>
      <c r="H23" s="18"/>
      <c r="I23" s="18"/>
      <c r="J23" s="18" t="s">
        <v>50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90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 t="s">
        <v>50</v>
      </c>
      <c r="G24" s="18"/>
      <c r="H24" s="18"/>
      <c r="I24" s="18"/>
      <c r="J24" s="18" t="s">
        <v>50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90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 t="s">
        <v>50</v>
      </c>
      <c r="G25" s="18"/>
      <c r="H25" s="18"/>
      <c r="I25" s="18"/>
      <c r="J25" s="18" t="s">
        <v>50</v>
      </c>
      <c r="K25" s="18"/>
      <c r="L25" s="18"/>
      <c r="M25" s="19" t="s">
        <v>92</v>
      </c>
      <c r="N25" s="20" t="str">
        <f t="shared" si="2"/>
        <v>OK</v>
      </c>
    </row>
    <row r="26" spans="1:14" ht="20.100000000000001" customHeight="1" x14ac:dyDescent="0.25">
      <c r="A26" s="15" t="s">
        <v>90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 t="s">
        <v>50</v>
      </c>
      <c r="G26" s="18"/>
      <c r="H26" s="18"/>
      <c r="I26" s="18"/>
      <c r="J26" s="18" t="s">
        <v>50</v>
      </c>
      <c r="K26" s="18"/>
      <c r="L26" s="18"/>
      <c r="M26" s="19" t="s">
        <v>92</v>
      </c>
      <c r="N26" s="20" t="str">
        <f t="shared" si="2"/>
        <v>OK</v>
      </c>
    </row>
    <row r="27" spans="1:14" ht="20.100000000000001" customHeight="1" x14ac:dyDescent="0.25">
      <c r="A27" s="15" t="s">
        <v>90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 t="s">
        <v>50</v>
      </c>
      <c r="G27" s="18"/>
      <c r="H27" s="18"/>
      <c r="I27" s="18"/>
      <c r="J27" s="18" t="s">
        <v>50</v>
      </c>
      <c r="K27" s="18"/>
      <c r="L27" s="18"/>
      <c r="M27" s="19" t="s">
        <v>92</v>
      </c>
      <c r="N27" s="20" t="str">
        <f t="shared" si="2"/>
        <v>OK</v>
      </c>
    </row>
    <row r="28" spans="1:14" ht="20.100000000000001" customHeight="1" x14ac:dyDescent="0.25">
      <c r="A28" s="15" t="s">
        <v>90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 t="s">
        <v>50</v>
      </c>
      <c r="G28" s="18"/>
      <c r="H28" s="18"/>
      <c r="I28" s="18"/>
      <c r="J28" s="18" t="s">
        <v>50</v>
      </c>
      <c r="K28" s="18"/>
      <c r="L28" s="18"/>
      <c r="M28" s="19" t="s">
        <v>92</v>
      </c>
      <c r="N28" s="20" t="str">
        <f t="shared" si="2"/>
        <v>OK</v>
      </c>
    </row>
    <row r="29" spans="1:14" ht="20.100000000000001" customHeight="1" x14ac:dyDescent="0.25">
      <c r="A29" s="15" t="s">
        <v>90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 t="s">
        <v>50</v>
      </c>
      <c r="G29" s="18"/>
      <c r="H29" s="18"/>
      <c r="I29" s="18"/>
      <c r="J29" s="18" t="s">
        <v>50</v>
      </c>
      <c r="K29" s="18"/>
      <c r="L29" s="18"/>
      <c r="M29" s="19" t="s">
        <v>92</v>
      </c>
      <c r="N29" s="20" t="str">
        <f t="shared" si="2"/>
        <v>OK</v>
      </c>
    </row>
    <row r="30" spans="1:14" ht="20.100000000000001" customHeight="1" x14ac:dyDescent="0.25">
      <c r="A30" s="15" t="s">
        <v>90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 t="s">
        <v>50</v>
      </c>
      <c r="G30" s="18"/>
      <c r="H30" s="18"/>
      <c r="I30" s="18"/>
      <c r="J30" s="18" t="s">
        <v>50</v>
      </c>
      <c r="K30" s="18"/>
      <c r="L30" s="18"/>
      <c r="M30" s="19" t="s">
        <v>92</v>
      </c>
      <c r="N30" s="20" t="str">
        <f t="shared" si="2"/>
        <v>OK</v>
      </c>
    </row>
    <row r="31" spans="1:14" ht="20.100000000000001" customHeight="1" x14ac:dyDescent="0.25">
      <c r="A31" s="15" t="s">
        <v>90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 t="s">
        <v>50</v>
      </c>
      <c r="G31" s="18"/>
      <c r="H31" s="18"/>
      <c r="I31" s="18"/>
      <c r="J31" s="18" t="s">
        <v>50</v>
      </c>
      <c r="K31" s="18"/>
      <c r="L31" s="18"/>
      <c r="M31" s="19" t="s">
        <v>92</v>
      </c>
      <c r="N31" s="20" t="str">
        <f t="shared" si="2"/>
        <v>OK</v>
      </c>
    </row>
    <row r="32" spans="1:14" ht="20.100000000000001" customHeight="1" x14ac:dyDescent="0.25">
      <c r="A32" s="15" t="s">
        <v>90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 t="s">
        <v>50</v>
      </c>
      <c r="G32" s="18"/>
      <c r="H32" s="18"/>
      <c r="I32" s="18"/>
      <c r="J32" s="18" t="s">
        <v>50</v>
      </c>
      <c r="K32" s="18"/>
      <c r="L32" s="18"/>
      <c r="M32" s="19" t="s">
        <v>92</v>
      </c>
      <c r="N32" s="20" t="str">
        <f t="shared" si="2"/>
        <v>OK</v>
      </c>
    </row>
    <row r="33" spans="1:14" ht="20.100000000000001" customHeight="1" x14ac:dyDescent="0.25">
      <c r="A33" s="15" t="s">
        <v>90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 t="s">
        <v>50</v>
      </c>
      <c r="G33" s="18"/>
      <c r="H33" s="18"/>
      <c r="I33" s="18"/>
      <c r="J33" s="18" t="s">
        <v>50</v>
      </c>
      <c r="K33" s="18"/>
      <c r="L33" s="18"/>
      <c r="M33" s="19" t="s">
        <v>92</v>
      </c>
      <c r="N33" s="20" t="str">
        <f t="shared" si="2"/>
        <v>OK</v>
      </c>
    </row>
    <row r="34" spans="1:14" ht="20.100000000000001" customHeight="1" x14ac:dyDescent="0.25">
      <c r="A34" s="15" t="s">
        <v>90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 t="s">
        <v>50</v>
      </c>
      <c r="G34" s="18"/>
      <c r="H34" s="18"/>
      <c r="I34" s="18"/>
      <c r="J34" s="18" t="s">
        <v>50</v>
      </c>
      <c r="K34" s="18"/>
      <c r="L34" s="18"/>
      <c r="M34" s="19" t="s">
        <v>92</v>
      </c>
      <c r="N34" s="20" t="str">
        <f t="shared" si="2"/>
        <v>OK</v>
      </c>
    </row>
    <row r="35" spans="1:14" ht="20.100000000000001" customHeight="1" x14ac:dyDescent="0.25">
      <c r="A35" s="15" t="s">
        <v>90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 t="s">
        <v>50</v>
      </c>
      <c r="G35" s="18"/>
      <c r="H35" s="18"/>
      <c r="I35" s="18"/>
      <c r="J35" s="18" t="s">
        <v>50</v>
      </c>
      <c r="K35" s="18"/>
      <c r="L35" s="18"/>
      <c r="M35" s="19" t="s">
        <v>92</v>
      </c>
      <c r="N35" s="20" t="str">
        <f t="shared" si="2"/>
        <v>OK</v>
      </c>
    </row>
    <row r="36" spans="1:14" ht="20.100000000000001" customHeight="1" x14ac:dyDescent="0.25">
      <c r="A36" s="15" t="s">
        <v>90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 t="s">
        <v>50</v>
      </c>
      <c r="G36" s="18"/>
      <c r="H36" s="18"/>
      <c r="I36" s="18"/>
      <c r="J36" s="18" t="s">
        <v>50</v>
      </c>
      <c r="K36" s="18"/>
      <c r="L36" s="18"/>
      <c r="M36" s="19" t="s">
        <v>92</v>
      </c>
      <c r="N36" s="20" t="str">
        <f t="shared" si="2"/>
        <v>OK</v>
      </c>
    </row>
    <row r="37" spans="1:14" ht="20.100000000000001" customHeight="1" x14ac:dyDescent="0.25">
      <c r="A37" s="15" t="s">
        <v>90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 t="s">
        <v>50</v>
      </c>
      <c r="G37" s="18"/>
      <c r="H37" s="18"/>
      <c r="I37" s="18"/>
      <c r="J37" s="18" t="s">
        <v>50</v>
      </c>
      <c r="K37" s="18"/>
      <c r="L37" s="18"/>
      <c r="M37" s="19" t="s">
        <v>92</v>
      </c>
      <c r="N37" s="20" t="str">
        <f t="shared" si="2"/>
        <v>OK</v>
      </c>
    </row>
    <row r="38" spans="1:14" ht="20.100000000000001" customHeight="1" x14ac:dyDescent="0.25">
      <c r="A38" s="15" t="s">
        <v>90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 t="s">
        <v>50</v>
      </c>
      <c r="G38" s="18"/>
      <c r="H38" s="18"/>
      <c r="I38" s="18"/>
      <c r="J38" s="18" t="s">
        <v>50</v>
      </c>
      <c r="K38" s="18"/>
      <c r="L38" s="18"/>
      <c r="M38" s="19" t="s">
        <v>92</v>
      </c>
      <c r="N38" s="20" t="str">
        <f t="shared" si="2"/>
        <v>OK</v>
      </c>
    </row>
    <row r="39" spans="1:14" ht="20.100000000000001" customHeight="1" x14ac:dyDescent="0.25">
      <c r="A39" s="15" t="s">
        <v>90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 t="s">
        <v>50</v>
      </c>
      <c r="K39" s="18"/>
      <c r="L39" s="18"/>
      <c r="M39" s="19" t="s">
        <v>92</v>
      </c>
      <c r="N39" s="20" t="str">
        <f t="shared" si="2"/>
        <v>OK</v>
      </c>
    </row>
    <row r="40" spans="1:14" ht="20.100000000000001" customHeight="1" x14ac:dyDescent="0.25">
      <c r="A40" s="15" t="s">
        <v>90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 t="s">
        <v>92</v>
      </c>
      <c r="N40" s="20" t="str">
        <f t="shared" si="2"/>
        <v>OK</v>
      </c>
    </row>
    <row r="41" spans="1:14" ht="20.100000000000001" customHeight="1" x14ac:dyDescent="0.25">
      <c r="A41" s="15" t="s">
        <v>90</v>
      </c>
      <c r="B41" s="16" t="s">
        <v>49</v>
      </c>
      <c r="C41" s="17">
        <v>32</v>
      </c>
      <c r="D41" s="17">
        <v>33</v>
      </c>
      <c r="E41" s="17">
        <f t="shared" si="1"/>
        <v>1</v>
      </c>
      <c r="F41" s="18"/>
      <c r="G41" s="18" t="s">
        <v>50</v>
      </c>
      <c r="H41" s="18"/>
      <c r="I41" s="18"/>
      <c r="J41" s="18" t="s">
        <v>50</v>
      </c>
      <c r="K41" s="18"/>
      <c r="L41" s="18"/>
      <c r="M41" s="19" t="s">
        <v>92</v>
      </c>
      <c r="N41" s="20" t="str">
        <f t="shared" si="2"/>
        <v>OK</v>
      </c>
    </row>
    <row r="42" spans="1:14" ht="20.100000000000001" customHeight="1" x14ac:dyDescent="0.25">
      <c r="A42" s="15" t="s">
        <v>90</v>
      </c>
      <c r="B42" s="16" t="s">
        <v>49</v>
      </c>
      <c r="C42" s="17">
        <v>33</v>
      </c>
      <c r="D42" s="17">
        <v>34</v>
      </c>
      <c r="E42" s="17">
        <f t="shared" si="1"/>
        <v>1</v>
      </c>
      <c r="F42" s="18"/>
      <c r="G42" s="18" t="s">
        <v>50</v>
      </c>
      <c r="H42" s="18"/>
      <c r="I42" s="18"/>
      <c r="J42" s="18" t="s">
        <v>50</v>
      </c>
      <c r="K42" s="18"/>
      <c r="L42" s="18"/>
      <c r="M42" s="19" t="s">
        <v>92</v>
      </c>
      <c r="N42" s="20" t="str">
        <f t="shared" si="2"/>
        <v>OK</v>
      </c>
    </row>
    <row r="43" spans="1:14" ht="20.100000000000001" customHeight="1" x14ac:dyDescent="0.25">
      <c r="A43" s="15" t="s">
        <v>90</v>
      </c>
      <c r="B43" s="16" t="s">
        <v>49</v>
      </c>
      <c r="C43" s="17">
        <v>34</v>
      </c>
      <c r="D43" s="17">
        <v>35</v>
      </c>
      <c r="E43" s="17">
        <f t="shared" si="1"/>
        <v>1</v>
      </c>
      <c r="F43" s="18"/>
      <c r="G43" s="18" t="s">
        <v>50</v>
      </c>
      <c r="H43" s="18"/>
      <c r="I43" s="18"/>
      <c r="J43" s="18" t="s">
        <v>50</v>
      </c>
      <c r="K43" s="18"/>
      <c r="L43" s="18"/>
      <c r="M43" s="19" t="s">
        <v>92</v>
      </c>
      <c r="N43" s="20" t="str">
        <f t="shared" si="2"/>
        <v>OK</v>
      </c>
    </row>
    <row r="44" spans="1:14" ht="20.100000000000001" customHeight="1" x14ac:dyDescent="0.25">
      <c r="A44" s="21" t="s">
        <v>90</v>
      </c>
      <c r="B44" s="22" t="s">
        <v>49</v>
      </c>
      <c r="C44" s="23">
        <v>35</v>
      </c>
      <c r="D44" s="23">
        <v>35.479668777500002</v>
      </c>
      <c r="E44" s="23">
        <f t="shared" si="1"/>
        <v>0.47966877750000236</v>
      </c>
      <c r="F44" s="24"/>
      <c r="G44" s="24" t="s">
        <v>50</v>
      </c>
      <c r="H44" s="24"/>
      <c r="I44" s="24"/>
      <c r="J44" s="24" t="s">
        <v>50</v>
      </c>
      <c r="K44" s="24"/>
      <c r="L44" s="24"/>
      <c r="M44" s="25" t="s">
        <v>92</v>
      </c>
      <c r="N44" s="26" t="str">
        <f t="shared" si="2"/>
        <v>OK</v>
      </c>
    </row>
    <row r="46" spans="1:14" x14ac:dyDescent="0.25">
      <c r="A46" s="37" t="s">
        <v>63</v>
      </c>
      <c r="B46" s="35"/>
      <c r="C46" s="35"/>
      <c r="D46" s="35"/>
      <c r="E46" s="35"/>
      <c r="G46" s="37" t="s">
        <v>63</v>
      </c>
      <c r="H46" s="35"/>
      <c r="I46" s="35"/>
      <c r="J46" s="35"/>
      <c r="K46" s="35"/>
    </row>
    <row r="47" spans="1:14" x14ac:dyDescent="0.25">
      <c r="A47" s="44" t="s">
        <v>64</v>
      </c>
      <c r="B47" s="35"/>
      <c r="C47" s="35"/>
      <c r="D47" s="35"/>
      <c r="E47" s="35"/>
      <c r="G47" s="44" t="s">
        <v>65</v>
      </c>
      <c r="H47" s="35"/>
      <c r="I47" s="35"/>
      <c r="J47" s="35"/>
      <c r="K47" s="35"/>
    </row>
    <row r="49" spans="1:13" x14ac:dyDescent="0.25">
      <c r="A49" s="48" t="s">
        <v>66</v>
      </c>
      <c r="B49" s="35"/>
      <c r="C49" s="35"/>
      <c r="D49" s="35"/>
      <c r="E49" s="35"/>
      <c r="F49" s="27"/>
      <c r="G49" s="27"/>
      <c r="H49" s="27"/>
      <c r="I49" s="27"/>
      <c r="J49" s="27"/>
      <c r="K49" s="27"/>
      <c r="L49" s="27"/>
      <c r="M49" s="27"/>
    </row>
    <row r="50" spans="1:13" x14ac:dyDescent="0.25">
      <c r="A50" s="39" t="s">
        <v>67</v>
      </c>
      <c r="B50" s="35"/>
      <c r="C50" s="35"/>
      <c r="D50" s="35"/>
      <c r="E50" s="35"/>
      <c r="F50" s="9">
        <f t="shared" ref="F50:L50" si="3">SUMIF(F$9:F$44,"X",$E$9:$E$44)</f>
        <v>22</v>
      </c>
      <c r="G50" s="9">
        <f t="shared" si="3"/>
        <v>13.479668777500002</v>
      </c>
      <c r="H50" s="9">
        <f t="shared" si="3"/>
        <v>0</v>
      </c>
      <c r="I50" s="9">
        <f t="shared" si="3"/>
        <v>0</v>
      </c>
      <c r="J50" s="9">
        <f t="shared" si="3"/>
        <v>29.479668777500002</v>
      </c>
      <c r="K50" s="9">
        <f t="shared" si="3"/>
        <v>0</v>
      </c>
      <c r="L50" s="9">
        <f t="shared" si="3"/>
        <v>6</v>
      </c>
    </row>
    <row r="51" spans="1:13" x14ac:dyDescent="0.25">
      <c r="A51" s="39" t="s">
        <v>68</v>
      </c>
      <c r="B51" s="35"/>
      <c r="C51" s="35"/>
      <c r="D51" s="35"/>
      <c r="E51" s="35"/>
      <c r="F51" s="28">
        <f t="shared" ref="F51:L51" si="4">IF($I53=0,0,F50/$I53)</f>
        <v>0.62007343242030633</v>
      </c>
      <c r="G51" s="28">
        <f t="shared" si="4"/>
        <v>0.37992656757969367</v>
      </c>
      <c r="H51" s="28">
        <f t="shared" si="4"/>
        <v>0</v>
      </c>
      <c r="I51" s="28">
        <f t="shared" si="4"/>
        <v>0</v>
      </c>
      <c r="J51" s="28">
        <f t="shared" si="4"/>
        <v>0.83088906388537098</v>
      </c>
      <c r="K51" s="28">
        <f t="shared" si="4"/>
        <v>0</v>
      </c>
      <c r="L51" s="28">
        <f t="shared" si="4"/>
        <v>0.16911093611462899</v>
      </c>
    </row>
    <row r="52" spans="1:13" x14ac:dyDescent="0.25">
      <c r="A52" s="39" t="s">
        <v>69</v>
      </c>
      <c r="B52" s="35"/>
      <c r="C52" s="35"/>
      <c r="D52" s="35"/>
      <c r="E52" s="35"/>
      <c r="F52" s="38" t="str">
        <f>IF(SUM(F50:I50)=0,"— não preenchido",IF(ROUND(SUM(F50:I50)-$I53,3)=0,"OK — "&amp;ROUND(SUM(F50:I50),3)&amp;" km","ERRO — dif. de "&amp;ROUND(SUM(F50:I50)-$I53,3)&amp;" km"))</f>
        <v>OK — 35,48 km</v>
      </c>
      <c r="G52" s="32"/>
      <c r="H52" s="32"/>
      <c r="I52" s="33"/>
      <c r="J52" s="38" t="str">
        <f>IF(SUM(J50:L50)=0,"— não preenchido",IF(ROUND(SUM(J50:L50)-$I53,3)=0,"OK — "&amp;ROUND(SUM(J50:L50),3)&amp;" km","ERRO — dif. de "&amp;ROUND(SUM(J50:L50)-$I53,3)&amp;" km"))</f>
        <v>OK — 35,48 km</v>
      </c>
      <c r="K52" s="32"/>
      <c r="L52" s="33"/>
    </row>
    <row r="53" spans="1:13" x14ac:dyDescent="0.25">
      <c r="A53" s="39" t="s">
        <v>70</v>
      </c>
      <c r="B53" s="35"/>
      <c r="C53" s="35"/>
      <c r="D53" s="35"/>
      <c r="E53" s="35"/>
      <c r="I53" s="29">
        <f>SUM(E9:E44)</f>
        <v>35.479668777500002</v>
      </c>
      <c r="M53" s="8" t="str">
        <f>COUNTIF(N9:N44,"OK")&amp;" de "&amp;COUNT($E$9:$E$44)&amp;" linhas conferidas"</f>
        <v>36 de 36 linhas conferidas</v>
      </c>
    </row>
    <row r="55" spans="1:13" x14ac:dyDescent="0.25">
      <c r="A55" s="49" t="s">
        <v>71</v>
      </c>
      <c r="B55" s="35"/>
      <c r="C55" s="35"/>
      <c r="D55" s="35"/>
      <c r="E55" s="35"/>
    </row>
    <row r="56" spans="1:13" x14ac:dyDescent="0.25">
      <c r="A56" s="39" t="s">
        <v>10</v>
      </c>
      <c r="B56" s="35"/>
      <c r="C56" s="35"/>
      <c r="D56" s="35"/>
      <c r="E56" s="42" t="s">
        <v>72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9" t="s">
        <v>11</v>
      </c>
      <c r="B57" s="35"/>
      <c r="C57" s="35"/>
      <c r="D57" s="35"/>
      <c r="E57" s="42" t="s">
        <v>73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9" t="s">
        <v>12</v>
      </c>
      <c r="B58" s="35"/>
      <c r="C58" s="35"/>
      <c r="D58" s="35"/>
      <c r="E58" s="42" t="s">
        <v>74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9" t="s">
        <v>75</v>
      </c>
      <c r="B59" s="35"/>
      <c r="C59" s="35"/>
      <c r="D59" s="35"/>
      <c r="E59" s="42" t="s">
        <v>76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9" t="s">
        <v>77</v>
      </c>
      <c r="B60" s="35"/>
      <c r="C60" s="35"/>
      <c r="D60" s="35"/>
      <c r="E60" s="42" t="s">
        <v>78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9" t="s">
        <v>79</v>
      </c>
      <c r="B61" s="35"/>
      <c r="C61" s="35"/>
      <c r="D61" s="35"/>
      <c r="E61" s="42" t="s">
        <v>80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9" t="s">
        <v>41</v>
      </c>
      <c r="B62" s="35"/>
      <c r="C62" s="35"/>
      <c r="D62" s="35"/>
      <c r="E62" s="42" t="s">
        <v>81</v>
      </c>
      <c r="F62" s="35"/>
      <c r="G62" s="35"/>
      <c r="H62" s="35"/>
      <c r="I62" s="35"/>
      <c r="J62" s="35"/>
      <c r="K62" s="35"/>
      <c r="L62" s="35"/>
      <c r="M62" s="35"/>
    </row>
    <row r="63" spans="1:13" x14ac:dyDescent="0.25">
      <c r="A63" s="39" t="s">
        <v>82</v>
      </c>
      <c r="B63" s="35"/>
      <c r="C63" s="35"/>
      <c r="D63" s="35"/>
      <c r="E63" s="42" t="s">
        <v>83</v>
      </c>
      <c r="F63" s="35"/>
      <c r="G63" s="35"/>
      <c r="H63" s="35"/>
      <c r="I63" s="35"/>
      <c r="J63" s="35"/>
      <c r="K63" s="35"/>
      <c r="L63" s="35"/>
      <c r="M63" s="35"/>
    </row>
    <row r="64" spans="1:13" x14ac:dyDescent="0.25">
      <c r="A64" s="39" t="s">
        <v>84</v>
      </c>
      <c r="B64" s="35"/>
      <c r="C64" s="35"/>
      <c r="D64" s="35"/>
      <c r="E64" s="42" t="s">
        <v>85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9" t="s">
        <v>8</v>
      </c>
      <c r="B65" s="35"/>
      <c r="C65" s="35"/>
      <c r="D65" s="35"/>
      <c r="E65" s="42" t="s">
        <v>86</v>
      </c>
      <c r="F65" s="35"/>
      <c r="G65" s="35"/>
      <c r="H65" s="35"/>
      <c r="I65" s="35"/>
      <c r="J65" s="35"/>
      <c r="K65" s="35"/>
      <c r="L65" s="35"/>
      <c r="M65" s="35"/>
    </row>
  </sheetData>
  <sheetProtection sheet="1" formatCells="0"/>
  <mergeCells count="50">
    <mergeCell ref="N6:N7"/>
    <mergeCell ref="K3:M3"/>
    <mergeCell ref="E58:M58"/>
    <mergeCell ref="A53:E53"/>
    <mergeCell ref="A56:D56"/>
    <mergeCell ref="A52:E52"/>
    <mergeCell ref="G47:K47"/>
    <mergeCell ref="A3:J3"/>
    <mergeCell ref="G46:K46"/>
    <mergeCell ref="A57:D57"/>
    <mergeCell ref="C6:C7"/>
    <mergeCell ref="D6:D7"/>
    <mergeCell ref="A1:M1"/>
    <mergeCell ref="A61:D61"/>
    <mergeCell ref="J52:L52"/>
    <mergeCell ref="A47:E47"/>
    <mergeCell ref="A65:D65"/>
    <mergeCell ref="E56:M56"/>
    <mergeCell ref="E62:M62"/>
    <mergeCell ref="E64:M64"/>
    <mergeCell ref="E65:M65"/>
    <mergeCell ref="A63:D63"/>
    <mergeCell ref="A2:C2"/>
    <mergeCell ref="E59:M59"/>
    <mergeCell ref="K2:M2"/>
    <mergeCell ref="D2:E2"/>
    <mergeCell ref="A58:D58"/>
    <mergeCell ref="E61:M61"/>
    <mergeCell ref="A64:D64"/>
    <mergeCell ref="M6:M7"/>
    <mergeCell ref="A59:D59"/>
    <mergeCell ref="A46:E46"/>
    <mergeCell ref="E6:E7"/>
    <mergeCell ref="B6:B7"/>
    <mergeCell ref="E57:M57"/>
    <mergeCell ref="A60:D60"/>
    <mergeCell ref="J6:L6"/>
    <mergeCell ref="E63:M63"/>
    <mergeCell ref="G2:H2"/>
    <mergeCell ref="A8:M8"/>
    <mergeCell ref="A62:D62"/>
    <mergeCell ref="F52:I52"/>
    <mergeCell ref="A4:M4"/>
    <mergeCell ref="A49:E49"/>
    <mergeCell ref="A51:E51"/>
    <mergeCell ref="E60:M60"/>
    <mergeCell ref="A6:A7"/>
    <mergeCell ref="F6:I6"/>
    <mergeCell ref="A55:E55"/>
    <mergeCell ref="A50:E50"/>
  </mergeCells>
  <conditionalFormatting sqref="F9:I44">
    <cfRule type="expression" dxfId="71" priority="1">
      <formula>AND(F9&lt;&gt;"",COUNTIF($F9:$I9,"X")&gt;1)</formula>
    </cfRule>
  </conditionalFormatting>
  <conditionalFormatting sqref="F52:L52">
    <cfRule type="expression" dxfId="70" priority="5">
      <formula>LEFT(F52,4)="ERRO"</formula>
    </cfRule>
    <cfRule type="expression" dxfId="69" priority="6">
      <formula>LEFT(F52,2)="OK"</formula>
    </cfRule>
  </conditionalFormatting>
  <conditionalFormatting sqref="J9:L44">
    <cfRule type="expression" dxfId="68" priority="2">
      <formula>AND(J9&lt;&gt;"",COUNTIF($J9:$L9,"X")&gt;1)</formula>
    </cfRule>
  </conditionalFormatting>
  <conditionalFormatting sqref="N9:N44">
    <cfRule type="expression" dxfId="67" priority="3">
      <formula>AND(N9&lt;&gt;"OK",N9&lt;&gt;"")</formula>
    </cfRule>
    <cfRule type="expression" dxfId="6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4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4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44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6</oddHeader>
    <oddFooter>&amp;L&amp;7 RTA / MSI — Programa de Manutenção Rodoviária&amp;C&amp;7 Página &amp;P de &amp;N&amp;R&amp;7 Impresso em &amp;D</oddFooter>
  </headerFooter>
  <rowBreaks count="1" manualBreakCount="1">
    <brk id="47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6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 t="e">
        <f t="shared" ref="P2:V2" si="0">IF(F49=0,NA(),F49)</f>
        <v>#N/A</v>
      </c>
      <c r="Q2" s="2" t="e">
        <f t="shared" si="0"/>
        <v>#N/A</v>
      </c>
      <c r="R2" s="2">
        <f t="shared" si="0"/>
        <v>26.301107772550001</v>
      </c>
      <c r="S2" s="2" t="e">
        <f t="shared" si="0"/>
        <v>#N/A</v>
      </c>
      <c r="T2" s="2" t="e">
        <f t="shared" si="0"/>
        <v>#N/A</v>
      </c>
      <c r="U2" s="2">
        <f t="shared" si="0"/>
        <v>26.301107772550001</v>
      </c>
      <c r="V2" s="2" t="e">
        <f t="shared" si="0"/>
        <v>#N/A</v>
      </c>
    </row>
    <row r="3" spans="1:22" ht="15" customHeight="1" x14ac:dyDescent="0.25">
      <c r="A3" s="50" t="s">
        <v>93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94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95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96</v>
      </c>
      <c r="B9" s="16" t="s">
        <v>49</v>
      </c>
      <c r="C9" s="17">
        <v>0</v>
      </c>
      <c r="D9" s="17">
        <v>1</v>
      </c>
      <c r="E9" s="17">
        <f t="shared" ref="E9:E21" si="1">D9-C9</f>
        <v>1</v>
      </c>
      <c r="F9" s="18"/>
      <c r="G9" s="18"/>
      <c r="H9" s="18" t="s">
        <v>50</v>
      </c>
      <c r="I9" s="18"/>
      <c r="J9" s="18"/>
      <c r="K9" s="18" t="s">
        <v>50</v>
      </c>
      <c r="L9" s="18"/>
      <c r="M9" s="19" t="s">
        <v>97</v>
      </c>
      <c r="N9" s="20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96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 t="s">
        <v>50</v>
      </c>
      <c r="I10" s="18"/>
      <c r="J10" s="18"/>
      <c r="K10" s="18" t="s">
        <v>50</v>
      </c>
      <c r="L10" s="18"/>
      <c r="M10" s="19" t="s">
        <v>97</v>
      </c>
      <c r="N10" s="20" t="str">
        <f t="shared" si="2"/>
        <v>OK</v>
      </c>
    </row>
    <row r="11" spans="1:22" ht="20.100000000000001" customHeight="1" x14ac:dyDescent="0.25">
      <c r="A11" s="15" t="s">
        <v>96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/>
      <c r="H11" s="18" t="s">
        <v>50</v>
      </c>
      <c r="I11" s="18"/>
      <c r="J11" s="18"/>
      <c r="K11" s="18" t="s">
        <v>50</v>
      </c>
      <c r="L11" s="18"/>
      <c r="M11" s="19" t="s">
        <v>97</v>
      </c>
      <c r="N11" s="20" t="str">
        <f t="shared" si="2"/>
        <v>OK</v>
      </c>
    </row>
    <row r="12" spans="1:22" ht="20.100000000000001" customHeight="1" x14ac:dyDescent="0.25">
      <c r="A12" s="15" t="s">
        <v>96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50</v>
      </c>
      <c r="I12" s="18"/>
      <c r="J12" s="18"/>
      <c r="K12" s="18" t="s">
        <v>50</v>
      </c>
      <c r="L12" s="18"/>
      <c r="M12" s="19" t="s">
        <v>97</v>
      </c>
      <c r="N12" s="20" t="str">
        <f t="shared" si="2"/>
        <v>OK</v>
      </c>
    </row>
    <row r="13" spans="1:22" ht="20.100000000000001" customHeight="1" x14ac:dyDescent="0.25">
      <c r="A13" s="15" t="s">
        <v>96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 t="s">
        <v>50</v>
      </c>
      <c r="I13" s="18"/>
      <c r="J13" s="18"/>
      <c r="K13" s="18" t="s">
        <v>50</v>
      </c>
      <c r="L13" s="18"/>
      <c r="M13" s="19" t="s">
        <v>97</v>
      </c>
      <c r="N13" s="20" t="str">
        <f t="shared" si="2"/>
        <v>OK</v>
      </c>
    </row>
    <row r="14" spans="1:22" ht="20.100000000000001" customHeight="1" x14ac:dyDescent="0.25">
      <c r="A14" s="15" t="s">
        <v>96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50</v>
      </c>
      <c r="I14" s="18"/>
      <c r="J14" s="18"/>
      <c r="K14" s="18" t="s">
        <v>50</v>
      </c>
      <c r="L14" s="18"/>
      <c r="M14" s="19" t="s">
        <v>97</v>
      </c>
      <c r="N14" s="20" t="str">
        <f t="shared" si="2"/>
        <v>OK</v>
      </c>
    </row>
    <row r="15" spans="1:22" ht="20.100000000000001" customHeight="1" x14ac:dyDescent="0.25">
      <c r="A15" s="15" t="s">
        <v>96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50</v>
      </c>
      <c r="I15" s="18"/>
      <c r="J15" s="18"/>
      <c r="K15" s="18" t="s">
        <v>50</v>
      </c>
      <c r="L15" s="18"/>
      <c r="M15" s="19" t="s">
        <v>97</v>
      </c>
      <c r="N15" s="20" t="str">
        <f t="shared" si="2"/>
        <v>OK</v>
      </c>
    </row>
    <row r="16" spans="1:22" ht="20.100000000000001" customHeight="1" x14ac:dyDescent="0.25">
      <c r="A16" s="15" t="s">
        <v>96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50</v>
      </c>
      <c r="I16" s="18"/>
      <c r="J16" s="18"/>
      <c r="K16" s="18" t="s">
        <v>50</v>
      </c>
      <c r="L16" s="18"/>
      <c r="M16" s="19" t="s">
        <v>97</v>
      </c>
      <c r="N16" s="20" t="str">
        <f t="shared" si="2"/>
        <v>OK</v>
      </c>
    </row>
    <row r="17" spans="1:14" ht="20.100000000000001" customHeight="1" x14ac:dyDescent="0.25">
      <c r="A17" s="15" t="s">
        <v>96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50</v>
      </c>
      <c r="I17" s="18"/>
      <c r="J17" s="18"/>
      <c r="K17" s="18" t="s">
        <v>50</v>
      </c>
      <c r="L17" s="18"/>
      <c r="M17" s="19" t="s">
        <v>97</v>
      </c>
      <c r="N17" s="20" t="str">
        <f t="shared" si="2"/>
        <v>OK</v>
      </c>
    </row>
    <row r="18" spans="1:14" ht="20.100000000000001" customHeight="1" x14ac:dyDescent="0.25">
      <c r="A18" s="15" t="s">
        <v>96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 t="s">
        <v>50</v>
      </c>
      <c r="I18" s="18"/>
      <c r="J18" s="18"/>
      <c r="K18" s="18" t="s">
        <v>50</v>
      </c>
      <c r="L18" s="18"/>
      <c r="M18" s="19" t="s">
        <v>97</v>
      </c>
      <c r="N18" s="20" t="str">
        <f t="shared" si="2"/>
        <v>OK</v>
      </c>
    </row>
    <row r="19" spans="1:14" ht="20.100000000000001" customHeight="1" x14ac:dyDescent="0.25">
      <c r="A19" s="15" t="s">
        <v>96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50</v>
      </c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96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50</v>
      </c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21" t="s">
        <v>96</v>
      </c>
      <c r="B21" s="22" t="s">
        <v>49</v>
      </c>
      <c r="C21" s="23">
        <v>12</v>
      </c>
      <c r="D21" s="23">
        <v>12.568883355400001</v>
      </c>
      <c r="E21" s="23">
        <f t="shared" si="1"/>
        <v>0.56888335540000057</v>
      </c>
      <c r="F21" s="24"/>
      <c r="G21" s="24"/>
      <c r="H21" s="24" t="s">
        <v>50</v>
      </c>
      <c r="I21" s="24"/>
      <c r="J21" s="24"/>
      <c r="K21" s="24" t="s">
        <v>50</v>
      </c>
      <c r="L21" s="24"/>
      <c r="M21" s="25" t="s">
        <v>98</v>
      </c>
      <c r="N21" s="26" t="str">
        <f t="shared" si="2"/>
        <v>OK</v>
      </c>
    </row>
    <row r="22" spans="1:14" ht="15.95" customHeight="1" x14ac:dyDescent="0.25">
      <c r="A22" s="41" t="s">
        <v>99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4"/>
    </row>
    <row r="23" spans="1:14" ht="20.100000000000001" customHeight="1" x14ac:dyDescent="0.25">
      <c r="A23" s="15" t="s">
        <v>100</v>
      </c>
      <c r="B23" s="16" t="s">
        <v>49</v>
      </c>
      <c r="C23" s="17">
        <v>0</v>
      </c>
      <c r="D23" s="17">
        <v>1</v>
      </c>
      <c r="E23" s="17">
        <f>D23-C23</f>
        <v>1</v>
      </c>
      <c r="F23" s="18"/>
      <c r="G23" s="18"/>
      <c r="H23" s="18" t="s">
        <v>50</v>
      </c>
      <c r="I23" s="18"/>
      <c r="J23" s="18"/>
      <c r="K23" s="18" t="s">
        <v>50</v>
      </c>
      <c r="L23" s="18"/>
      <c r="M23" s="19" t="s">
        <v>98</v>
      </c>
      <c r="N23" s="20" t="str">
        <f>IF(COUNTA(F23:L23)=0,"— não preenchido",IF(COUNTIF(F23:I23,"X")&lt;&gt;1,"FALTA/DUPLA: CONDIÇÃO DA PLATAFORMA",IF(COUNTIF(J23:L23,"X")&lt;&gt;1,"FALTA/DUPLA: DRENAGEM SUPERFICIAL","OK")))</f>
        <v>OK</v>
      </c>
    </row>
    <row r="24" spans="1:14" ht="20.100000000000001" customHeight="1" x14ac:dyDescent="0.25">
      <c r="A24" s="21" t="s">
        <v>100</v>
      </c>
      <c r="B24" s="22" t="s">
        <v>49</v>
      </c>
      <c r="C24" s="23">
        <v>1</v>
      </c>
      <c r="D24" s="23">
        <v>1.14732172667</v>
      </c>
      <c r="E24" s="23">
        <f>D24-C24</f>
        <v>0.14732172666999999</v>
      </c>
      <c r="F24" s="24"/>
      <c r="G24" s="24"/>
      <c r="H24" s="24" t="s">
        <v>50</v>
      </c>
      <c r="I24" s="24"/>
      <c r="J24" s="24"/>
      <c r="K24" s="24" t="s">
        <v>50</v>
      </c>
      <c r="L24" s="24"/>
      <c r="M24" s="25" t="s">
        <v>98</v>
      </c>
      <c r="N24" s="26" t="str">
        <f>IF(COUNTA(F24:L24)=0,"— não preenchido",IF(COUNTIF(F24:I24,"X")&lt;&gt;1,"FALTA/DUPLA: CONDIÇÃO DA PLATAFORMA",IF(COUNTIF(J24:L24,"X")&lt;&gt;1,"FALTA/DUPLA: DRENAGEM SUPERFICIAL","OK")))</f>
        <v>OK</v>
      </c>
    </row>
    <row r="25" spans="1:14" ht="15.95" customHeight="1" x14ac:dyDescent="0.25">
      <c r="A25" s="41" t="s">
        <v>101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4"/>
    </row>
    <row r="26" spans="1:14" ht="20.100000000000001" customHeight="1" x14ac:dyDescent="0.25">
      <c r="A26" s="15" t="s">
        <v>102</v>
      </c>
      <c r="B26" s="16" t="s">
        <v>49</v>
      </c>
      <c r="C26" s="17">
        <v>0</v>
      </c>
      <c r="D26" s="17">
        <v>1</v>
      </c>
      <c r="E26" s="17">
        <f>D26-C26</f>
        <v>1</v>
      </c>
      <c r="F26" s="18"/>
      <c r="G26" s="18"/>
      <c r="H26" s="18" t="s">
        <v>50</v>
      </c>
      <c r="I26" s="18"/>
      <c r="J26" s="18"/>
      <c r="K26" s="18" t="s">
        <v>50</v>
      </c>
      <c r="L26" s="18"/>
      <c r="M26" s="19" t="s">
        <v>103</v>
      </c>
      <c r="N26" s="20" t="str">
        <f>IF(COUNTA(F26:L26)=0,"— não preenchido",IF(COUNTIF(F26:I26,"X")&lt;&gt;1,"FALTA/DUPLA: CONDIÇÃO DA PLATAFORMA",IF(COUNTIF(J26:L26,"X")&lt;&gt;1,"FALTA/DUPLA: DRENAGEM SUPERFICIAL","OK")))</f>
        <v>OK</v>
      </c>
    </row>
    <row r="27" spans="1:14" ht="20.100000000000001" customHeight="1" x14ac:dyDescent="0.25">
      <c r="A27" s="15" t="s">
        <v>102</v>
      </c>
      <c r="B27" s="16" t="s">
        <v>49</v>
      </c>
      <c r="C27" s="17">
        <v>1</v>
      </c>
      <c r="D27" s="17">
        <v>2</v>
      </c>
      <c r="E27" s="17">
        <f>D27-C27</f>
        <v>1</v>
      </c>
      <c r="F27" s="18"/>
      <c r="G27" s="18"/>
      <c r="H27" s="18" t="s">
        <v>50</v>
      </c>
      <c r="I27" s="18"/>
      <c r="J27" s="18"/>
      <c r="K27" s="18" t="s">
        <v>50</v>
      </c>
      <c r="L27" s="18"/>
      <c r="M27" s="19" t="s">
        <v>103</v>
      </c>
      <c r="N27" s="20" t="str">
        <f>IF(COUNTA(F27:L27)=0,"— não preenchido",IF(COUNTIF(F27:I27,"X")&lt;&gt;1,"FALTA/DUPLA: CONDIÇÃO DA PLATAFORMA",IF(COUNTIF(J27:L27,"X")&lt;&gt;1,"FALTA/DUPLA: DRENAGEM SUPERFICIAL","OK")))</f>
        <v>OK</v>
      </c>
    </row>
    <row r="28" spans="1:14" ht="20.100000000000001" customHeight="1" x14ac:dyDescent="0.25">
      <c r="A28" s="15" t="s">
        <v>102</v>
      </c>
      <c r="B28" s="16" t="s">
        <v>49</v>
      </c>
      <c r="C28" s="17">
        <v>2</v>
      </c>
      <c r="D28" s="17">
        <v>3</v>
      </c>
      <c r="E28" s="17">
        <f>D28-C28</f>
        <v>1</v>
      </c>
      <c r="F28" s="18"/>
      <c r="G28" s="18"/>
      <c r="H28" s="18" t="s">
        <v>50</v>
      </c>
      <c r="I28" s="18"/>
      <c r="J28" s="18"/>
      <c r="K28" s="18" t="s">
        <v>50</v>
      </c>
      <c r="L28" s="18"/>
      <c r="M28" s="19" t="s">
        <v>103</v>
      </c>
      <c r="N28" s="20" t="str">
        <f>IF(COUNTA(F28:L28)=0,"— não preenchido",IF(COUNTIF(F28:I28,"X")&lt;&gt;1,"FALTA/DUPLA: CONDIÇÃO DA PLATAFORMA",IF(COUNTIF(J28:L28,"X")&lt;&gt;1,"FALTA/DUPLA: DRENAGEM SUPERFICIAL","OK")))</f>
        <v>OK</v>
      </c>
    </row>
    <row r="29" spans="1:14" ht="20.100000000000001" customHeight="1" x14ac:dyDescent="0.25">
      <c r="A29" s="21" t="s">
        <v>102</v>
      </c>
      <c r="B29" s="22" t="s">
        <v>49</v>
      </c>
      <c r="C29" s="23">
        <v>3</v>
      </c>
      <c r="D29" s="23">
        <v>3.5587620200700001</v>
      </c>
      <c r="E29" s="23">
        <f>D29-C29</f>
        <v>0.55876202007000009</v>
      </c>
      <c r="F29" s="24"/>
      <c r="G29" s="24"/>
      <c r="H29" s="24" t="s">
        <v>50</v>
      </c>
      <c r="I29" s="24"/>
      <c r="J29" s="24"/>
      <c r="K29" s="24" t="s">
        <v>50</v>
      </c>
      <c r="L29" s="24"/>
      <c r="M29" s="25" t="s">
        <v>103</v>
      </c>
      <c r="N29" s="26" t="str">
        <f>IF(COUNTA(F29:L29)=0,"— não preenchido",IF(COUNTIF(F29:I29,"X")&lt;&gt;1,"FALTA/DUPLA: CONDIÇÃO DA PLATAFORMA",IF(COUNTIF(J29:L29,"X")&lt;&gt;1,"FALTA/DUPLA: DRENAGEM SUPERFICIAL","OK")))</f>
        <v>OK</v>
      </c>
    </row>
    <row r="30" spans="1:14" ht="15.95" customHeight="1" x14ac:dyDescent="0.25">
      <c r="A30" s="41" t="s">
        <v>104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4"/>
    </row>
    <row r="31" spans="1:14" ht="20.100000000000001" customHeight="1" x14ac:dyDescent="0.25">
      <c r="A31" s="15" t="s">
        <v>105</v>
      </c>
      <c r="B31" s="16" t="s">
        <v>49</v>
      </c>
      <c r="C31" s="17">
        <v>0</v>
      </c>
      <c r="D31" s="17">
        <v>1</v>
      </c>
      <c r="E31" s="17">
        <f>D31-C31</f>
        <v>1</v>
      </c>
      <c r="F31" s="18"/>
      <c r="G31" s="18"/>
      <c r="H31" s="18" t="s">
        <v>50</v>
      </c>
      <c r="I31" s="18"/>
      <c r="J31" s="18"/>
      <c r="K31" s="18" t="s">
        <v>50</v>
      </c>
      <c r="L31" s="18"/>
      <c r="M31" s="19" t="s">
        <v>103</v>
      </c>
      <c r="N31" s="20" t="str">
        <f>IF(COUNTA(F31:L31)=0,"— não preenchido",IF(COUNTIF(F31:I31,"X")&lt;&gt;1,"FALTA/DUPLA: CONDIÇÃO DA PLATAFORMA",IF(COUNTIF(J31:L31,"X")&lt;&gt;1,"FALTA/DUPLA: DRENAGEM SUPERFICIAL","OK")))</f>
        <v>OK</v>
      </c>
    </row>
    <row r="32" spans="1:14" ht="20.100000000000001" customHeight="1" x14ac:dyDescent="0.25">
      <c r="A32" s="15" t="s">
        <v>105</v>
      </c>
      <c r="B32" s="16" t="s">
        <v>49</v>
      </c>
      <c r="C32" s="17">
        <v>1</v>
      </c>
      <c r="D32" s="17">
        <v>2</v>
      </c>
      <c r="E32" s="17">
        <f>D32-C32</f>
        <v>1</v>
      </c>
      <c r="F32" s="18"/>
      <c r="G32" s="18"/>
      <c r="H32" s="18" t="s">
        <v>50</v>
      </c>
      <c r="I32" s="18"/>
      <c r="J32" s="18"/>
      <c r="K32" s="18" t="s">
        <v>50</v>
      </c>
      <c r="L32" s="18"/>
      <c r="M32" s="19" t="s">
        <v>103</v>
      </c>
      <c r="N32" s="20" t="str">
        <f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5" t="s">
        <v>105</v>
      </c>
      <c r="B33" s="16" t="s">
        <v>49</v>
      </c>
      <c r="C33" s="17">
        <v>2</v>
      </c>
      <c r="D33" s="17">
        <v>3</v>
      </c>
      <c r="E33" s="17">
        <f>D33-C33</f>
        <v>1</v>
      </c>
      <c r="F33" s="18"/>
      <c r="G33" s="18"/>
      <c r="H33" s="18" t="s">
        <v>50</v>
      </c>
      <c r="I33" s="18"/>
      <c r="J33" s="18"/>
      <c r="K33" s="18" t="s">
        <v>50</v>
      </c>
      <c r="L33" s="18"/>
      <c r="M33" s="19" t="s">
        <v>103</v>
      </c>
      <c r="N33" s="20" t="str">
        <f>IF(COUNTA(F33:L33)=0,"— não preenchido",IF(COUNTIF(F33:I33,"X")&lt;&gt;1,"FALTA/DUPLA: CONDIÇÃO DA PLATAFORMA",IF(COUNTIF(J33:L33,"X")&lt;&gt;1,"FALTA/DUPLA: DRENAGEM SUPERFICIAL","OK")))</f>
        <v>OK</v>
      </c>
    </row>
    <row r="34" spans="1:14" ht="20.100000000000001" customHeight="1" x14ac:dyDescent="0.25">
      <c r="A34" s="15" t="s">
        <v>105</v>
      </c>
      <c r="B34" s="16" t="s">
        <v>49</v>
      </c>
      <c r="C34" s="17">
        <v>3</v>
      </c>
      <c r="D34" s="17">
        <v>4</v>
      </c>
      <c r="E34" s="17">
        <f>D34-C34</f>
        <v>1</v>
      </c>
      <c r="F34" s="18"/>
      <c r="G34" s="18"/>
      <c r="H34" s="18" t="s">
        <v>50</v>
      </c>
      <c r="I34" s="18"/>
      <c r="J34" s="18"/>
      <c r="K34" s="18" t="s">
        <v>50</v>
      </c>
      <c r="L34" s="18"/>
      <c r="M34" s="19" t="s">
        <v>103</v>
      </c>
      <c r="N34" s="20" t="str">
        <f>IF(COUNTA(F34:L34)=0,"— não preenchido",IF(COUNTIF(F34:I34,"X")&lt;&gt;1,"FALTA/DUPLA: CONDIÇÃO DA PLATAFORMA",IF(COUNTIF(J34:L34,"X")&lt;&gt;1,"FALTA/DUPLA: DRENAGEM SUPERFICIAL","OK")))</f>
        <v>OK</v>
      </c>
    </row>
    <row r="35" spans="1:14" ht="20.100000000000001" customHeight="1" x14ac:dyDescent="0.25">
      <c r="A35" s="21" t="s">
        <v>105</v>
      </c>
      <c r="B35" s="22" t="s">
        <v>49</v>
      </c>
      <c r="C35" s="23">
        <v>4</v>
      </c>
      <c r="D35" s="23">
        <v>4.3098892958899997</v>
      </c>
      <c r="E35" s="23">
        <f>D35-C35</f>
        <v>0.30988929588999969</v>
      </c>
      <c r="F35" s="24"/>
      <c r="G35" s="24"/>
      <c r="H35" s="24" t="s">
        <v>50</v>
      </c>
      <c r="I35" s="24"/>
      <c r="J35" s="24"/>
      <c r="K35" s="24" t="s">
        <v>50</v>
      </c>
      <c r="L35" s="24"/>
      <c r="M35" s="25" t="s">
        <v>103</v>
      </c>
      <c r="N35" s="26" t="str">
        <f>IF(COUNTA(F35:L35)=0,"— não preenchido",IF(COUNTIF(F35:I35,"X")&lt;&gt;1,"FALTA/DUPLA: CONDIÇÃO DA PLATAFORMA",IF(COUNTIF(J35:L35,"X")&lt;&gt;1,"FALTA/DUPLA: DRENAGEM SUPERFICIAL","OK")))</f>
        <v>OK</v>
      </c>
    </row>
    <row r="36" spans="1:14" ht="15.95" customHeight="1" x14ac:dyDescent="0.25">
      <c r="A36" s="41" t="s">
        <v>106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3"/>
      <c r="N36" s="4"/>
    </row>
    <row r="37" spans="1:14" ht="20.100000000000001" customHeight="1" x14ac:dyDescent="0.25">
      <c r="A37" s="15" t="s">
        <v>107</v>
      </c>
      <c r="B37" s="16" t="s">
        <v>49</v>
      </c>
      <c r="C37" s="17">
        <v>0</v>
      </c>
      <c r="D37" s="17">
        <v>1</v>
      </c>
      <c r="E37" s="17">
        <f>D37-C37</f>
        <v>1</v>
      </c>
      <c r="F37" s="18"/>
      <c r="G37" s="18"/>
      <c r="H37" s="18" t="s">
        <v>50</v>
      </c>
      <c r="I37" s="18"/>
      <c r="J37" s="18"/>
      <c r="K37" s="18" t="s">
        <v>50</v>
      </c>
      <c r="L37" s="18"/>
      <c r="M37" s="19"/>
      <c r="N37" s="20" t="str">
        <f>IF(COUNTA(F37:L37)=0,"— não preenchido",IF(COUNTIF(F37:I37,"X")&lt;&gt;1,"FALTA/DUPLA: CONDIÇÃO DA PLATAFORMA",IF(COUNTIF(J37:L37,"X")&lt;&gt;1,"FALTA/DUPLA: DRENAGEM SUPERFICIAL","OK")))</f>
        <v>OK</v>
      </c>
    </row>
    <row r="38" spans="1:14" ht="20.100000000000001" customHeight="1" x14ac:dyDescent="0.25">
      <c r="A38" s="21" t="s">
        <v>107</v>
      </c>
      <c r="B38" s="22" t="s">
        <v>49</v>
      </c>
      <c r="C38" s="23">
        <v>1</v>
      </c>
      <c r="D38" s="23">
        <v>1.0618145800100001</v>
      </c>
      <c r="E38" s="23">
        <f>D38-C38</f>
        <v>6.1814580010000064E-2</v>
      </c>
      <c r="F38" s="24"/>
      <c r="G38" s="24"/>
      <c r="H38" s="24" t="s">
        <v>50</v>
      </c>
      <c r="I38" s="24"/>
      <c r="J38" s="24"/>
      <c r="K38" s="24" t="s">
        <v>50</v>
      </c>
      <c r="L38" s="24"/>
      <c r="M38" s="25"/>
      <c r="N38" s="26" t="str">
        <f>IF(COUNTA(F38:L38)=0,"— não preenchido",IF(COUNTIF(F38:I38,"X")&lt;&gt;1,"FALTA/DUPLA: CONDIÇÃO DA PLATAFORMA",IF(COUNTIF(J38:L38,"X")&lt;&gt;1,"FALTA/DUPLA: DRENAGEM SUPERFICIAL","OK")))</f>
        <v>OK</v>
      </c>
    </row>
    <row r="39" spans="1:14" ht="15.95" customHeight="1" x14ac:dyDescent="0.25">
      <c r="A39" s="41" t="s">
        <v>108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3"/>
      <c r="N39" s="4"/>
    </row>
    <row r="40" spans="1:14" ht="20.100000000000001" customHeight="1" x14ac:dyDescent="0.25">
      <c r="A40" s="15" t="s">
        <v>109</v>
      </c>
      <c r="B40" s="16" t="s">
        <v>49</v>
      </c>
      <c r="C40" s="17">
        <v>0</v>
      </c>
      <c r="D40" s="17">
        <v>1</v>
      </c>
      <c r="E40" s="17">
        <f>D40-C40</f>
        <v>1</v>
      </c>
      <c r="F40" s="18"/>
      <c r="G40" s="18"/>
      <c r="H40" s="18" t="s">
        <v>50</v>
      </c>
      <c r="I40" s="18"/>
      <c r="J40" s="18"/>
      <c r="K40" s="18" t="s">
        <v>50</v>
      </c>
      <c r="L40" s="18"/>
      <c r="M40" s="19"/>
      <c r="N40" s="20" t="str">
        <f>IF(COUNTA(F40:L40)=0,"— não preenchido",IF(COUNTIF(F40:I40,"X")&lt;&gt;1,"FALTA/DUPLA: CONDIÇÃO DA PLATAFORMA",IF(COUNTIF(J40:L40,"X")&lt;&gt;1,"FALTA/DUPLA: DRENAGEM SUPERFICIAL","OK")))</f>
        <v>OK</v>
      </c>
    </row>
    <row r="41" spans="1:14" ht="20.100000000000001" customHeight="1" x14ac:dyDescent="0.25">
      <c r="A41" s="15" t="s">
        <v>109</v>
      </c>
      <c r="B41" s="16" t="s">
        <v>49</v>
      </c>
      <c r="C41" s="17">
        <v>1</v>
      </c>
      <c r="D41" s="17">
        <v>2</v>
      </c>
      <c r="E41" s="17">
        <f>D41-C41</f>
        <v>1</v>
      </c>
      <c r="F41" s="18"/>
      <c r="G41" s="18"/>
      <c r="H41" s="18" t="s">
        <v>50</v>
      </c>
      <c r="I41" s="18"/>
      <c r="J41" s="18"/>
      <c r="K41" s="18" t="s">
        <v>50</v>
      </c>
      <c r="L41" s="18"/>
      <c r="M41" s="19"/>
      <c r="N41" s="20" t="str">
        <f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109</v>
      </c>
      <c r="B42" s="16" t="s">
        <v>49</v>
      </c>
      <c r="C42" s="17">
        <v>2</v>
      </c>
      <c r="D42" s="17">
        <v>3</v>
      </c>
      <c r="E42" s="17">
        <f>D42-C42</f>
        <v>1</v>
      </c>
      <c r="F42" s="18"/>
      <c r="G42" s="18"/>
      <c r="H42" s="18" t="s">
        <v>50</v>
      </c>
      <c r="I42" s="18"/>
      <c r="J42" s="18"/>
      <c r="K42" s="18" t="s">
        <v>50</v>
      </c>
      <c r="L42" s="18"/>
      <c r="M42" s="19"/>
      <c r="N42" s="20" t="str">
        <f>IF(COUNTA(F42:L42)=0,"— não preenchido",IF(COUNTIF(F42:I42,"X")&lt;&gt;1,"FALTA/DUPLA: CONDIÇÃO DA PLATAFORMA",IF(COUNTIF(J42:L42,"X")&lt;&gt;1,"FALTA/DUPLA: DRENAGEM SUPERFICIAL","OK")))</f>
        <v>OK</v>
      </c>
    </row>
    <row r="43" spans="1:14" ht="20.100000000000001" customHeight="1" x14ac:dyDescent="0.25">
      <c r="A43" s="21" t="s">
        <v>109</v>
      </c>
      <c r="B43" s="22" t="s">
        <v>49</v>
      </c>
      <c r="C43" s="23">
        <v>3</v>
      </c>
      <c r="D43" s="23">
        <v>3.65443679451</v>
      </c>
      <c r="E43" s="23">
        <f>D43-C43</f>
        <v>0.65443679451000003</v>
      </c>
      <c r="F43" s="24"/>
      <c r="G43" s="24"/>
      <c r="H43" s="24" t="s">
        <v>50</v>
      </c>
      <c r="I43" s="24"/>
      <c r="J43" s="24"/>
      <c r="K43" s="24" t="s">
        <v>50</v>
      </c>
      <c r="L43" s="24"/>
      <c r="M43" s="25"/>
      <c r="N43" s="26" t="str">
        <f>IF(COUNTA(F43:L43)=0,"— não preenchido",IF(COUNTIF(F43:I43,"X")&lt;&gt;1,"FALTA/DUPLA: CONDIÇÃO DA PLATAFORMA",IF(COUNTIF(J43:L43,"X")&lt;&gt;1,"FALTA/DUPLA: DRENAGEM SUPERFICIAL","OK")))</f>
        <v>OK</v>
      </c>
    </row>
    <row r="45" spans="1:14" x14ac:dyDescent="0.25">
      <c r="A45" s="37" t="s">
        <v>63</v>
      </c>
      <c r="B45" s="35"/>
      <c r="C45" s="35"/>
      <c r="D45" s="35"/>
      <c r="E45" s="35"/>
      <c r="G45" s="37" t="s">
        <v>63</v>
      </c>
      <c r="H45" s="35"/>
      <c r="I45" s="35"/>
      <c r="J45" s="35"/>
      <c r="K45" s="35"/>
    </row>
    <row r="46" spans="1:14" x14ac:dyDescent="0.25">
      <c r="A46" s="44" t="s">
        <v>64</v>
      </c>
      <c r="B46" s="35"/>
      <c r="C46" s="35"/>
      <c r="D46" s="35"/>
      <c r="E46" s="35"/>
      <c r="G46" s="44" t="s">
        <v>65</v>
      </c>
      <c r="H46" s="35"/>
      <c r="I46" s="35"/>
      <c r="J46" s="35"/>
      <c r="K46" s="35"/>
    </row>
    <row r="48" spans="1:14" x14ac:dyDescent="0.25">
      <c r="A48" s="48" t="s">
        <v>66</v>
      </c>
      <c r="B48" s="35"/>
      <c r="C48" s="35"/>
      <c r="D48" s="35"/>
      <c r="E48" s="35"/>
      <c r="F48" s="27"/>
      <c r="G48" s="27"/>
      <c r="H48" s="27"/>
      <c r="I48" s="27"/>
      <c r="J48" s="27"/>
      <c r="K48" s="27"/>
      <c r="L48" s="27"/>
      <c r="M48" s="27"/>
    </row>
    <row r="49" spans="1:13" x14ac:dyDescent="0.25">
      <c r="A49" s="39" t="s">
        <v>67</v>
      </c>
      <c r="B49" s="35"/>
      <c r="C49" s="35"/>
      <c r="D49" s="35"/>
      <c r="E49" s="35"/>
      <c r="F49" s="9">
        <f t="shared" ref="F49:L49" si="3">SUMIF(F$9:F$43,"X",$E$9:$E$43)</f>
        <v>0</v>
      </c>
      <c r="G49" s="9">
        <f t="shared" si="3"/>
        <v>0</v>
      </c>
      <c r="H49" s="9">
        <f t="shared" si="3"/>
        <v>26.301107772550001</v>
      </c>
      <c r="I49" s="9">
        <f t="shared" si="3"/>
        <v>0</v>
      </c>
      <c r="J49" s="9">
        <f t="shared" si="3"/>
        <v>0</v>
      </c>
      <c r="K49" s="9">
        <f t="shared" si="3"/>
        <v>26.301107772550001</v>
      </c>
      <c r="L49" s="9">
        <f t="shared" si="3"/>
        <v>0</v>
      </c>
    </row>
    <row r="50" spans="1:13" x14ac:dyDescent="0.25">
      <c r="A50" s="39" t="s">
        <v>68</v>
      </c>
      <c r="B50" s="35"/>
      <c r="C50" s="35"/>
      <c r="D50" s="35"/>
      <c r="E50" s="35"/>
      <c r="F50" s="28">
        <f t="shared" ref="F50:L50" si="4">IF($I52=0,0,F49/$I52)</f>
        <v>0</v>
      </c>
      <c r="G50" s="28">
        <f t="shared" si="4"/>
        <v>0</v>
      </c>
      <c r="H50" s="28">
        <f t="shared" si="4"/>
        <v>1</v>
      </c>
      <c r="I50" s="28">
        <f t="shared" si="4"/>
        <v>0</v>
      </c>
      <c r="J50" s="28">
        <f t="shared" si="4"/>
        <v>0</v>
      </c>
      <c r="K50" s="28">
        <f t="shared" si="4"/>
        <v>1</v>
      </c>
      <c r="L50" s="28">
        <f t="shared" si="4"/>
        <v>0</v>
      </c>
    </row>
    <row r="51" spans="1:13" x14ac:dyDescent="0.25">
      <c r="A51" s="39" t="s">
        <v>69</v>
      </c>
      <c r="B51" s="35"/>
      <c r="C51" s="35"/>
      <c r="D51" s="35"/>
      <c r="E51" s="35"/>
      <c r="F51" s="38" t="str">
        <f>IF(SUM(F49:I49)=0,"— não preenchido",IF(ROUND(SUM(F49:I49)-$I52,3)=0,"OK — "&amp;ROUND(SUM(F49:I49),3)&amp;" km","ERRO — dif. de "&amp;ROUND(SUM(F49:I49)-$I52,3)&amp;" km"))</f>
        <v>OK — 26,301 km</v>
      </c>
      <c r="G51" s="32"/>
      <c r="H51" s="32"/>
      <c r="I51" s="33"/>
      <c r="J51" s="38" t="str">
        <f>IF(SUM(J49:L49)=0,"— não preenchido",IF(ROUND(SUM(J49:L49)-$I52,3)=0,"OK — "&amp;ROUND(SUM(J49:L49),3)&amp;" km","ERRO — dif. de "&amp;ROUND(SUM(J49:L49)-$I52,3)&amp;" km"))</f>
        <v>OK — 26,301 km</v>
      </c>
      <c r="K51" s="32"/>
      <c r="L51" s="33"/>
    </row>
    <row r="52" spans="1:13" x14ac:dyDescent="0.25">
      <c r="A52" s="39" t="s">
        <v>70</v>
      </c>
      <c r="B52" s="35"/>
      <c r="C52" s="35"/>
      <c r="D52" s="35"/>
      <c r="E52" s="35"/>
      <c r="I52" s="29">
        <f>SUM(E9:E43)</f>
        <v>26.301107772550001</v>
      </c>
      <c r="M52" s="8" t="str">
        <f>COUNTIF(N9:N43,"OK")&amp;" de "&amp;COUNT($E$9:$E$43)&amp;" linhas conferidas"</f>
        <v>30 de 30 linhas conferidas</v>
      </c>
    </row>
    <row r="54" spans="1:13" x14ac:dyDescent="0.25">
      <c r="A54" s="49" t="s">
        <v>71</v>
      </c>
      <c r="B54" s="35"/>
      <c r="C54" s="35"/>
      <c r="D54" s="35"/>
      <c r="E54" s="35"/>
    </row>
    <row r="55" spans="1:13" x14ac:dyDescent="0.25">
      <c r="A55" s="39" t="s">
        <v>10</v>
      </c>
      <c r="B55" s="35"/>
      <c r="C55" s="35"/>
      <c r="D55" s="35"/>
      <c r="E55" s="42" t="s">
        <v>72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9" t="s">
        <v>11</v>
      </c>
      <c r="B56" s="35"/>
      <c r="C56" s="35"/>
      <c r="D56" s="35"/>
      <c r="E56" s="42" t="s">
        <v>73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9" t="s">
        <v>12</v>
      </c>
      <c r="B57" s="35"/>
      <c r="C57" s="35"/>
      <c r="D57" s="35"/>
      <c r="E57" s="42" t="s">
        <v>74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9" t="s">
        <v>75</v>
      </c>
      <c r="B58" s="35"/>
      <c r="C58" s="35"/>
      <c r="D58" s="35"/>
      <c r="E58" s="42" t="s">
        <v>76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9" t="s">
        <v>77</v>
      </c>
      <c r="B59" s="35"/>
      <c r="C59" s="35"/>
      <c r="D59" s="35"/>
      <c r="E59" s="42" t="s">
        <v>78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9" t="s">
        <v>79</v>
      </c>
      <c r="B60" s="35"/>
      <c r="C60" s="35"/>
      <c r="D60" s="35"/>
      <c r="E60" s="42" t="s">
        <v>80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9" t="s">
        <v>41</v>
      </c>
      <c r="B61" s="35"/>
      <c r="C61" s="35"/>
      <c r="D61" s="35"/>
      <c r="E61" s="42" t="s">
        <v>81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9" t="s">
        <v>82</v>
      </c>
      <c r="B62" s="35"/>
      <c r="C62" s="35"/>
      <c r="D62" s="35"/>
      <c r="E62" s="42" t="s">
        <v>83</v>
      </c>
      <c r="F62" s="35"/>
      <c r="G62" s="35"/>
      <c r="H62" s="35"/>
      <c r="I62" s="35"/>
      <c r="J62" s="35"/>
      <c r="K62" s="35"/>
      <c r="L62" s="35"/>
      <c r="M62" s="35"/>
    </row>
    <row r="63" spans="1:13" x14ac:dyDescent="0.25">
      <c r="A63" s="39" t="s">
        <v>84</v>
      </c>
      <c r="B63" s="35"/>
      <c r="C63" s="35"/>
      <c r="D63" s="35"/>
      <c r="E63" s="42" t="s">
        <v>85</v>
      </c>
      <c r="F63" s="35"/>
      <c r="G63" s="35"/>
      <c r="H63" s="35"/>
      <c r="I63" s="35"/>
      <c r="J63" s="35"/>
      <c r="K63" s="35"/>
      <c r="L63" s="35"/>
      <c r="M63" s="35"/>
    </row>
    <row r="64" spans="1:13" x14ac:dyDescent="0.25">
      <c r="A64" s="39" t="s">
        <v>8</v>
      </c>
      <c r="B64" s="35"/>
      <c r="C64" s="35"/>
      <c r="D64" s="35"/>
      <c r="E64" s="42" t="s">
        <v>86</v>
      </c>
      <c r="F64" s="35"/>
      <c r="G64" s="35"/>
      <c r="H64" s="35"/>
      <c r="I64" s="35"/>
      <c r="J64" s="35"/>
      <c r="K64" s="35"/>
      <c r="L64" s="35"/>
      <c r="M64" s="35"/>
    </row>
  </sheetData>
  <sheetProtection sheet="1" formatCells="0"/>
  <mergeCells count="55">
    <mergeCell ref="E64:M64"/>
    <mergeCell ref="D6:D7"/>
    <mergeCell ref="A1:M1"/>
    <mergeCell ref="A61:D61"/>
    <mergeCell ref="E56:M56"/>
    <mergeCell ref="N6:N7"/>
    <mergeCell ref="K3:M3"/>
    <mergeCell ref="A25:M25"/>
    <mergeCell ref="G45:K45"/>
    <mergeCell ref="F51:I51"/>
    <mergeCell ref="E58:M58"/>
    <mergeCell ref="E55:M55"/>
    <mergeCell ref="A56:D56"/>
    <mergeCell ref="A52:E52"/>
    <mergeCell ref="A3:J3"/>
    <mergeCell ref="G46:K46"/>
    <mergeCell ref="A55:D55"/>
    <mergeCell ref="A57:D57"/>
    <mergeCell ref="A64:D64"/>
    <mergeCell ref="M6:M7"/>
    <mergeCell ref="A30:M30"/>
    <mergeCell ref="A39:M39"/>
    <mergeCell ref="E6:E7"/>
    <mergeCell ref="A46:E46"/>
    <mergeCell ref="A59:D59"/>
    <mergeCell ref="B6:B7"/>
    <mergeCell ref="E57:M57"/>
    <mergeCell ref="A60:D60"/>
    <mergeCell ref="F6:I6"/>
    <mergeCell ref="J51:L51"/>
    <mergeCell ref="A36:M36"/>
    <mergeCell ref="A50:E50"/>
    <mergeCell ref="E62:M62"/>
    <mergeCell ref="C6:C7"/>
    <mergeCell ref="K2:M2"/>
    <mergeCell ref="D2:E2"/>
    <mergeCell ref="A54:E54"/>
    <mergeCell ref="A58:D58"/>
    <mergeCell ref="E61:M61"/>
    <mergeCell ref="J6:L6"/>
    <mergeCell ref="A48:E48"/>
    <mergeCell ref="E63:M63"/>
    <mergeCell ref="G2:H2"/>
    <mergeCell ref="A8:M8"/>
    <mergeCell ref="A62:D62"/>
    <mergeCell ref="A22:M22"/>
    <mergeCell ref="A4:M4"/>
    <mergeCell ref="A49:E49"/>
    <mergeCell ref="A51:E51"/>
    <mergeCell ref="A45:E45"/>
    <mergeCell ref="E60:M60"/>
    <mergeCell ref="A6:A7"/>
    <mergeCell ref="A63:D63"/>
    <mergeCell ref="A2:C2"/>
    <mergeCell ref="E59:M59"/>
  </mergeCells>
  <conditionalFormatting sqref="F9:I43">
    <cfRule type="expression" dxfId="65" priority="1">
      <formula>AND(F9&lt;&gt;"",COUNTIF($F9:$I9,"X")&gt;1)</formula>
    </cfRule>
  </conditionalFormatting>
  <conditionalFormatting sqref="F51:L51">
    <cfRule type="expression" dxfId="64" priority="5">
      <formula>LEFT(F51,4)="ERRO"</formula>
    </cfRule>
    <cfRule type="expression" dxfId="63" priority="6">
      <formula>LEFT(F51,2)="OK"</formula>
    </cfRule>
  </conditionalFormatting>
  <conditionalFormatting sqref="J9:L43">
    <cfRule type="expression" dxfId="62" priority="2">
      <formula>AND(J9&lt;&gt;"",COUNTIF($J9:$L9,"X")&gt;1)</formula>
    </cfRule>
  </conditionalFormatting>
  <conditionalFormatting sqref="N9:N43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3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3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43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12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5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IF(F40=0,NA(),F40)</f>
        <v>8</v>
      </c>
      <c r="Q2" s="2">
        <f t="shared" si="0"/>
        <v>13.209233972809999</v>
      </c>
      <c r="R2" s="2" t="e">
        <f t="shared" si="0"/>
        <v>#N/A</v>
      </c>
      <c r="S2" s="2" t="e">
        <f t="shared" si="0"/>
        <v>#N/A</v>
      </c>
      <c r="T2" s="2">
        <f t="shared" si="0"/>
        <v>3.6392069104099996</v>
      </c>
      <c r="U2" s="2">
        <f t="shared" si="0"/>
        <v>17.570027062400001</v>
      </c>
      <c r="V2" s="2" t="e">
        <f t="shared" si="0"/>
        <v>#N/A</v>
      </c>
    </row>
    <row r="3" spans="1:22" ht="15" customHeight="1" x14ac:dyDescent="0.25">
      <c r="A3" s="50" t="s">
        <v>110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111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112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113</v>
      </c>
      <c r="B9" s="16" t="s">
        <v>49</v>
      </c>
      <c r="C9" s="17">
        <v>0</v>
      </c>
      <c r="D9" s="17">
        <v>1</v>
      </c>
      <c r="E9" s="17">
        <f>D9-C9</f>
        <v>1</v>
      </c>
      <c r="F9" s="18"/>
      <c r="G9" s="18"/>
      <c r="H9" s="18"/>
      <c r="I9" s="18"/>
      <c r="J9" s="18"/>
      <c r="K9" s="18"/>
      <c r="L9" s="18"/>
      <c r="M9" s="19"/>
      <c r="N9" s="20" t="str">
        <f>IF(COUNTA(F9:L9)=0,"— não preenchido",IF(COUNTIF(F9:I9,"X")&lt;&gt;1,"FALTA/DUPLA: CONDIÇÃO DA PLATAFORMA",IF(COUNTIF(J9:L9,"X")&lt;&gt;1,"FALTA/DUPLA: DRENAGEM SUPERFICIAL","OK")))</f>
        <v>— não preenchido</v>
      </c>
    </row>
    <row r="10" spans="1:22" ht="20.100000000000001" customHeight="1" x14ac:dyDescent="0.25">
      <c r="A10" s="21" t="s">
        <v>113</v>
      </c>
      <c r="B10" s="22" t="s">
        <v>49</v>
      </c>
      <c r="C10" s="23">
        <v>1</v>
      </c>
      <c r="D10" s="23">
        <v>1.4887813576</v>
      </c>
      <c r="E10" s="23">
        <f>D10-C10</f>
        <v>0.48878135759999997</v>
      </c>
      <c r="F10" s="24"/>
      <c r="G10" s="24"/>
      <c r="H10" s="24"/>
      <c r="I10" s="24"/>
      <c r="J10" s="24"/>
      <c r="K10" s="24"/>
      <c r="L10" s="24"/>
      <c r="M10" s="25"/>
      <c r="N10" s="26" t="str">
        <f>IF(COUNTA(F10:L10)=0,"— não preenchido",IF(COUNTIF(F10:I10,"X")&lt;&gt;1,"FALTA/DUPLA: CONDIÇÃO DA PLATAFORMA",IF(COUNTIF(J10:L10,"X")&lt;&gt;1,"FALTA/DUPLA: DRENAGEM SUPERFICIAL","OK")))</f>
        <v>— não preenchido</v>
      </c>
    </row>
    <row r="11" spans="1:22" ht="15.95" customHeight="1" x14ac:dyDescent="0.25">
      <c r="A11" s="41" t="s">
        <v>114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4"/>
    </row>
    <row r="12" spans="1:22" ht="20.100000000000001" customHeight="1" x14ac:dyDescent="0.25">
      <c r="A12" s="15" t="s">
        <v>115</v>
      </c>
      <c r="B12" s="16" t="s">
        <v>49</v>
      </c>
      <c r="C12" s="17">
        <v>0</v>
      </c>
      <c r="D12" s="17">
        <v>1</v>
      </c>
      <c r="E12" s="17">
        <f t="shared" ref="E12:E20" si="1">D12-C12</f>
        <v>1</v>
      </c>
      <c r="F12" s="18" t="s">
        <v>50</v>
      </c>
      <c r="G12" s="18"/>
      <c r="H12" s="18"/>
      <c r="I12" s="18"/>
      <c r="J12" s="18" t="s">
        <v>50</v>
      </c>
      <c r="K12" s="18"/>
      <c r="L12" s="18"/>
      <c r="M12" s="19"/>
      <c r="N12" s="20" t="str">
        <f t="shared" ref="N12:N20" si="2">IF(COUNTA(F12:L12)=0,"— não preenchido",IF(COUNTIF(F12:I12,"X")&lt;&gt;1,"FALTA/DUPLA: CONDIÇÃO DA PLATAFORMA",IF(COUNTIF(J12:L12,"X")&lt;&gt;1,"FALTA/DUPLA: DRENAGEM SUPERFICIAL","OK")))</f>
        <v>OK</v>
      </c>
    </row>
    <row r="13" spans="1:22" ht="20.100000000000001" customHeight="1" x14ac:dyDescent="0.25">
      <c r="A13" s="15" t="s">
        <v>115</v>
      </c>
      <c r="B13" s="16" t="s">
        <v>49</v>
      </c>
      <c r="C13" s="17">
        <v>1</v>
      </c>
      <c r="D13" s="17">
        <v>2</v>
      </c>
      <c r="E13" s="17">
        <f t="shared" si="1"/>
        <v>1</v>
      </c>
      <c r="F13" s="18" t="s">
        <v>50</v>
      </c>
      <c r="G13" s="18"/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115</v>
      </c>
      <c r="B14" s="16" t="s">
        <v>49</v>
      </c>
      <c r="C14" s="17">
        <v>2</v>
      </c>
      <c r="D14" s="17">
        <v>3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115</v>
      </c>
      <c r="B15" s="16" t="s">
        <v>49</v>
      </c>
      <c r="C15" s="17">
        <v>3</v>
      </c>
      <c r="D15" s="17">
        <v>4</v>
      </c>
      <c r="E15" s="17">
        <f t="shared" si="1"/>
        <v>1</v>
      </c>
      <c r="F15" s="18"/>
      <c r="G15" s="18" t="s">
        <v>50</v>
      </c>
      <c r="H15" s="18"/>
      <c r="I15" s="18"/>
      <c r="J15" s="18"/>
      <c r="K15" s="18" t="s">
        <v>50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115</v>
      </c>
      <c r="B16" s="16" t="s">
        <v>49</v>
      </c>
      <c r="C16" s="17">
        <v>4</v>
      </c>
      <c r="D16" s="17">
        <v>5</v>
      </c>
      <c r="E16" s="17">
        <f t="shared" si="1"/>
        <v>1</v>
      </c>
      <c r="F16" s="18"/>
      <c r="G16" s="18" t="s">
        <v>50</v>
      </c>
      <c r="H16" s="18"/>
      <c r="I16" s="18"/>
      <c r="J16" s="18"/>
      <c r="K16" s="18" t="s">
        <v>50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115</v>
      </c>
      <c r="B17" s="16" t="s">
        <v>49</v>
      </c>
      <c r="C17" s="17">
        <v>5</v>
      </c>
      <c r="D17" s="17">
        <v>6</v>
      </c>
      <c r="E17" s="17">
        <f t="shared" si="1"/>
        <v>1</v>
      </c>
      <c r="F17" s="18"/>
      <c r="G17" s="18" t="s">
        <v>50</v>
      </c>
      <c r="H17" s="18"/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115</v>
      </c>
      <c r="B18" s="16" t="s">
        <v>49</v>
      </c>
      <c r="C18" s="17">
        <v>6</v>
      </c>
      <c r="D18" s="17">
        <v>7</v>
      </c>
      <c r="E18" s="17">
        <f t="shared" si="1"/>
        <v>1</v>
      </c>
      <c r="F18" s="18"/>
      <c r="G18" s="18" t="s">
        <v>50</v>
      </c>
      <c r="H18" s="18"/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115</v>
      </c>
      <c r="B19" s="16" t="s">
        <v>49</v>
      </c>
      <c r="C19" s="17">
        <v>7</v>
      </c>
      <c r="D19" s="17">
        <v>8</v>
      </c>
      <c r="E19" s="17">
        <f t="shared" si="1"/>
        <v>1</v>
      </c>
      <c r="F19" s="18"/>
      <c r="G19" s="18" t="s">
        <v>50</v>
      </c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21" t="s">
        <v>115</v>
      </c>
      <c r="B20" s="22" t="s">
        <v>49</v>
      </c>
      <c r="C20" s="23">
        <v>8</v>
      </c>
      <c r="D20" s="23">
        <v>8.6392069104099996</v>
      </c>
      <c r="E20" s="23">
        <f t="shared" si="1"/>
        <v>0.63920691040999955</v>
      </c>
      <c r="F20" s="24"/>
      <c r="G20" s="24" t="s">
        <v>50</v>
      </c>
      <c r="H20" s="24"/>
      <c r="I20" s="24"/>
      <c r="J20" s="24" t="s">
        <v>50</v>
      </c>
      <c r="K20" s="24"/>
      <c r="L20" s="24"/>
      <c r="M20" s="25"/>
      <c r="N20" s="26" t="str">
        <f t="shared" si="2"/>
        <v>OK</v>
      </c>
    </row>
    <row r="21" spans="1:14" ht="15.95" customHeight="1" x14ac:dyDescent="0.25">
      <c r="A21" s="41" t="s">
        <v>116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4"/>
    </row>
    <row r="22" spans="1:14" ht="20.100000000000001" customHeight="1" x14ac:dyDescent="0.25">
      <c r="A22" s="15" t="s">
        <v>117</v>
      </c>
      <c r="B22" s="16" t="s">
        <v>49</v>
      </c>
      <c r="C22" s="17">
        <v>0</v>
      </c>
      <c r="D22" s="17">
        <v>1</v>
      </c>
      <c r="E22" s="17">
        <f t="shared" ref="E22:E34" si="3">D22-C22</f>
        <v>1</v>
      </c>
      <c r="F22" s="18"/>
      <c r="G22" s="18" t="s">
        <v>50</v>
      </c>
      <c r="H22" s="18"/>
      <c r="I22" s="18"/>
      <c r="J22" s="18"/>
      <c r="K22" s="18" t="s">
        <v>50</v>
      </c>
      <c r="L22" s="18"/>
      <c r="M22" s="19"/>
      <c r="N22" s="20" t="str">
        <f t="shared" ref="N22:N34" si="4">IF(COUNTA(F22:L22)=0,"— não preenchido",IF(COUNTIF(F22:I22,"X")&lt;&gt;1,"FALTA/DUPLA: CONDIÇÃO DA PLATAFORMA",IF(COUNTIF(J22:L22,"X")&lt;&gt;1,"FALTA/DUPLA: DRENAGEM SUPERFICIAL","OK")))</f>
        <v>OK</v>
      </c>
    </row>
    <row r="23" spans="1:14" ht="20.100000000000001" customHeight="1" x14ac:dyDescent="0.25">
      <c r="A23" s="15" t="s">
        <v>117</v>
      </c>
      <c r="B23" s="16" t="s">
        <v>49</v>
      </c>
      <c r="C23" s="17">
        <v>1</v>
      </c>
      <c r="D23" s="17">
        <v>2</v>
      </c>
      <c r="E23" s="17">
        <f t="shared" si="3"/>
        <v>1</v>
      </c>
      <c r="F23" s="18"/>
      <c r="G23" s="18" t="s">
        <v>50</v>
      </c>
      <c r="H23" s="18"/>
      <c r="I23" s="18"/>
      <c r="J23" s="18"/>
      <c r="K23" s="18" t="s">
        <v>50</v>
      </c>
      <c r="L23" s="18"/>
      <c r="M23" s="19"/>
      <c r="N23" s="20" t="str">
        <f t="shared" si="4"/>
        <v>OK</v>
      </c>
    </row>
    <row r="24" spans="1:14" ht="20.100000000000001" customHeight="1" x14ac:dyDescent="0.25">
      <c r="A24" s="15" t="s">
        <v>117</v>
      </c>
      <c r="B24" s="16" t="s">
        <v>49</v>
      </c>
      <c r="C24" s="17">
        <v>2</v>
      </c>
      <c r="D24" s="17">
        <v>3</v>
      </c>
      <c r="E24" s="17">
        <f t="shared" si="3"/>
        <v>1</v>
      </c>
      <c r="F24" s="18"/>
      <c r="G24" s="18" t="s">
        <v>50</v>
      </c>
      <c r="H24" s="18"/>
      <c r="I24" s="18"/>
      <c r="J24" s="18"/>
      <c r="K24" s="18" t="s">
        <v>50</v>
      </c>
      <c r="L24" s="18"/>
      <c r="M24" s="19"/>
      <c r="N24" s="20" t="str">
        <f t="shared" si="4"/>
        <v>OK</v>
      </c>
    </row>
    <row r="25" spans="1:14" ht="20.100000000000001" customHeight="1" x14ac:dyDescent="0.25">
      <c r="A25" s="15" t="s">
        <v>117</v>
      </c>
      <c r="B25" s="16" t="s">
        <v>49</v>
      </c>
      <c r="C25" s="17">
        <v>3</v>
      </c>
      <c r="D25" s="17">
        <v>4</v>
      </c>
      <c r="E25" s="17">
        <f t="shared" si="3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4"/>
        <v>OK</v>
      </c>
    </row>
    <row r="26" spans="1:14" ht="20.100000000000001" customHeight="1" x14ac:dyDescent="0.25">
      <c r="A26" s="15" t="s">
        <v>117</v>
      </c>
      <c r="B26" s="16" t="s">
        <v>49</v>
      </c>
      <c r="C26" s="17">
        <v>4</v>
      </c>
      <c r="D26" s="17">
        <v>5</v>
      </c>
      <c r="E26" s="17">
        <f t="shared" si="3"/>
        <v>1</v>
      </c>
      <c r="F26" s="18" t="s">
        <v>50</v>
      </c>
      <c r="G26" s="18"/>
      <c r="H26" s="18"/>
      <c r="I26" s="18"/>
      <c r="J26" s="18"/>
      <c r="K26" s="18" t="s">
        <v>50</v>
      </c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117</v>
      </c>
      <c r="B27" s="16" t="s">
        <v>49</v>
      </c>
      <c r="C27" s="17">
        <v>5</v>
      </c>
      <c r="D27" s="17">
        <v>6</v>
      </c>
      <c r="E27" s="17">
        <f t="shared" si="3"/>
        <v>1</v>
      </c>
      <c r="F27" s="18" t="s">
        <v>50</v>
      </c>
      <c r="G27" s="18"/>
      <c r="H27" s="18"/>
      <c r="I27" s="18"/>
      <c r="J27" s="18"/>
      <c r="K27" s="18" t="s">
        <v>50</v>
      </c>
      <c r="L27" s="18"/>
      <c r="M27" s="19"/>
      <c r="N27" s="20" t="str">
        <f t="shared" si="4"/>
        <v>OK</v>
      </c>
    </row>
    <row r="28" spans="1:14" ht="20.100000000000001" customHeight="1" x14ac:dyDescent="0.25">
      <c r="A28" s="15" t="s">
        <v>117</v>
      </c>
      <c r="B28" s="16" t="s">
        <v>49</v>
      </c>
      <c r="C28" s="17">
        <v>6</v>
      </c>
      <c r="D28" s="17">
        <v>7</v>
      </c>
      <c r="E28" s="17">
        <f t="shared" si="3"/>
        <v>1</v>
      </c>
      <c r="F28" s="18" t="s">
        <v>50</v>
      </c>
      <c r="G28" s="18"/>
      <c r="H28" s="18"/>
      <c r="I28" s="18"/>
      <c r="J28" s="18"/>
      <c r="K28" s="18" t="s">
        <v>50</v>
      </c>
      <c r="L28" s="18"/>
      <c r="M28" s="19"/>
      <c r="N28" s="20" t="str">
        <f t="shared" si="4"/>
        <v>OK</v>
      </c>
    </row>
    <row r="29" spans="1:14" ht="20.100000000000001" customHeight="1" x14ac:dyDescent="0.25">
      <c r="A29" s="15" t="s">
        <v>117</v>
      </c>
      <c r="B29" s="16" t="s">
        <v>49</v>
      </c>
      <c r="C29" s="17">
        <v>7</v>
      </c>
      <c r="D29" s="17">
        <v>8</v>
      </c>
      <c r="E29" s="17">
        <f t="shared" si="3"/>
        <v>1</v>
      </c>
      <c r="F29" s="18" t="s">
        <v>50</v>
      </c>
      <c r="G29" s="18"/>
      <c r="H29" s="18"/>
      <c r="I29" s="18"/>
      <c r="J29" s="18"/>
      <c r="K29" s="18" t="s">
        <v>50</v>
      </c>
      <c r="L29" s="18"/>
      <c r="M29" s="19"/>
      <c r="N29" s="20" t="str">
        <f t="shared" si="4"/>
        <v>OK</v>
      </c>
    </row>
    <row r="30" spans="1:14" ht="20.100000000000001" customHeight="1" x14ac:dyDescent="0.25">
      <c r="A30" s="15" t="s">
        <v>117</v>
      </c>
      <c r="B30" s="16" t="s">
        <v>49</v>
      </c>
      <c r="C30" s="17">
        <v>8</v>
      </c>
      <c r="D30" s="17">
        <v>9</v>
      </c>
      <c r="E30" s="17">
        <f t="shared" si="3"/>
        <v>1</v>
      </c>
      <c r="F30" s="18" t="s">
        <v>50</v>
      </c>
      <c r="G30" s="18"/>
      <c r="H30" s="18"/>
      <c r="I30" s="18"/>
      <c r="J30" s="18"/>
      <c r="K30" s="18" t="s">
        <v>50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117</v>
      </c>
      <c r="B31" s="16" t="s">
        <v>49</v>
      </c>
      <c r="C31" s="17">
        <v>9</v>
      </c>
      <c r="D31" s="17">
        <v>10</v>
      </c>
      <c r="E31" s="17">
        <f t="shared" si="3"/>
        <v>1</v>
      </c>
      <c r="F31" s="18" t="s">
        <v>50</v>
      </c>
      <c r="G31" s="18"/>
      <c r="H31" s="18"/>
      <c r="I31" s="18"/>
      <c r="J31" s="18"/>
      <c r="K31" s="18" t="s">
        <v>50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117</v>
      </c>
      <c r="B32" s="16" t="s">
        <v>49</v>
      </c>
      <c r="C32" s="17">
        <v>10</v>
      </c>
      <c r="D32" s="17">
        <v>11</v>
      </c>
      <c r="E32" s="17">
        <f t="shared" si="3"/>
        <v>1</v>
      </c>
      <c r="F32" s="18"/>
      <c r="G32" s="18" t="s">
        <v>50</v>
      </c>
      <c r="H32" s="18"/>
      <c r="I32" s="18"/>
      <c r="J32" s="18"/>
      <c r="K32" s="18" t="s">
        <v>50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117</v>
      </c>
      <c r="B33" s="16" t="s">
        <v>49</v>
      </c>
      <c r="C33" s="17">
        <v>11</v>
      </c>
      <c r="D33" s="17">
        <v>12</v>
      </c>
      <c r="E33" s="17">
        <f t="shared" si="3"/>
        <v>1</v>
      </c>
      <c r="F33" s="18"/>
      <c r="G33" s="18" t="s">
        <v>50</v>
      </c>
      <c r="H33" s="18"/>
      <c r="I33" s="18"/>
      <c r="J33" s="18"/>
      <c r="K33" s="18" t="s">
        <v>50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21" t="s">
        <v>117</v>
      </c>
      <c r="B34" s="22" t="s">
        <v>49</v>
      </c>
      <c r="C34" s="23">
        <v>12</v>
      </c>
      <c r="D34" s="23">
        <v>12.570027062399999</v>
      </c>
      <c r="E34" s="23">
        <f t="shared" si="3"/>
        <v>0.57002706239999945</v>
      </c>
      <c r="F34" s="24"/>
      <c r="G34" s="24" t="s">
        <v>50</v>
      </c>
      <c r="H34" s="24"/>
      <c r="I34" s="24"/>
      <c r="J34" s="24"/>
      <c r="K34" s="24" t="s">
        <v>50</v>
      </c>
      <c r="L34" s="24"/>
      <c r="M34" s="25"/>
      <c r="N34" s="26" t="str">
        <f t="shared" si="4"/>
        <v>OK</v>
      </c>
    </row>
    <row r="36" spans="1:14" x14ac:dyDescent="0.25">
      <c r="A36" s="37" t="s">
        <v>63</v>
      </c>
      <c r="B36" s="35"/>
      <c r="C36" s="35"/>
      <c r="D36" s="35"/>
      <c r="E36" s="35"/>
      <c r="G36" s="37" t="s">
        <v>63</v>
      </c>
      <c r="H36" s="35"/>
      <c r="I36" s="35"/>
      <c r="J36" s="35"/>
      <c r="K36" s="35"/>
    </row>
    <row r="37" spans="1:14" x14ac:dyDescent="0.25">
      <c r="A37" s="44" t="s">
        <v>64</v>
      </c>
      <c r="B37" s="35"/>
      <c r="C37" s="35"/>
      <c r="D37" s="35"/>
      <c r="E37" s="35"/>
      <c r="G37" s="44" t="s">
        <v>65</v>
      </c>
      <c r="H37" s="35"/>
      <c r="I37" s="35"/>
      <c r="J37" s="35"/>
      <c r="K37" s="35"/>
    </row>
    <row r="39" spans="1:14" x14ac:dyDescent="0.25">
      <c r="A39" s="48" t="s">
        <v>66</v>
      </c>
      <c r="B39" s="35"/>
      <c r="C39" s="35"/>
      <c r="D39" s="35"/>
      <c r="E39" s="35"/>
      <c r="F39" s="27"/>
      <c r="G39" s="27"/>
      <c r="H39" s="27"/>
      <c r="I39" s="27"/>
      <c r="J39" s="27"/>
      <c r="K39" s="27"/>
      <c r="L39" s="27"/>
      <c r="M39" s="27"/>
    </row>
    <row r="40" spans="1:14" x14ac:dyDescent="0.25">
      <c r="A40" s="39" t="s">
        <v>67</v>
      </c>
      <c r="B40" s="35"/>
      <c r="C40" s="35"/>
      <c r="D40" s="35"/>
      <c r="E40" s="35"/>
      <c r="F40" s="9">
        <f t="shared" ref="F40:L40" si="5">SUMIF(F$9:F$34,"X",$E$9:$E$34)</f>
        <v>8</v>
      </c>
      <c r="G40" s="9">
        <f t="shared" si="5"/>
        <v>13.209233972809999</v>
      </c>
      <c r="H40" s="9">
        <f t="shared" si="5"/>
        <v>0</v>
      </c>
      <c r="I40" s="9">
        <f t="shared" si="5"/>
        <v>0</v>
      </c>
      <c r="J40" s="9">
        <f t="shared" si="5"/>
        <v>3.6392069104099996</v>
      </c>
      <c r="K40" s="9">
        <f t="shared" si="5"/>
        <v>17.570027062400001</v>
      </c>
      <c r="L40" s="9">
        <f t="shared" si="5"/>
        <v>0</v>
      </c>
    </row>
    <row r="41" spans="1:14" x14ac:dyDescent="0.25">
      <c r="A41" s="39" t="s">
        <v>68</v>
      </c>
      <c r="B41" s="35"/>
      <c r="C41" s="35"/>
      <c r="D41" s="35"/>
      <c r="E41" s="35"/>
      <c r="F41" s="28">
        <f t="shared" ref="F41:L41" si="6">IF($I43=0,0,F40/$I43)</f>
        <v>0.35245372265133162</v>
      </c>
      <c r="G41" s="28">
        <f t="shared" si="6"/>
        <v>0.58195546088616534</v>
      </c>
      <c r="H41" s="28">
        <f t="shared" si="6"/>
        <v>0</v>
      </c>
      <c r="I41" s="28">
        <f t="shared" si="6"/>
        <v>0</v>
      </c>
      <c r="J41" s="28">
        <f t="shared" si="6"/>
        <v>0.16033150288405693</v>
      </c>
      <c r="K41" s="28">
        <f t="shared" si="6"/>
        <v>0.77407768065344007</v>
      </c>
      <c r="L41" s="28">
        <f t="shared" si="6"/>
        <v>0</v>
      </c>
    </row>
    <row r="42" spans="1:14" x14ac:dyDescent="0.25">
      <c r="A42" s="39" t="s">
        <v>69</v>
      </c>
      <c r="B42" s="35"/>
      <c r="C42" s="35"/>
      <c r="D42" s="35"/>
      <c r="E42" s="35"/>
      <c r="F42" s="38" t="str">
        <f>IF(SUM(F40:I40)=0,"— não preenchido",IF(ROUND(SUM(F40:I40)-$I43,3)=0,"OK — "&amp;ROUND(SUM(F40:I40),3)&amp;" km","ERRO — dif. de "&amp;ROUND(SUM(F40:I40)-$I43,3)&amp;" km"))</f>
        <v>ERRO — dif. de -1,489 km</v>
      </c>
      <c r="G42" s="32"/>
      <c r="H42" s="32"/>
      <c r="I42" s="33"/>
      <c r="J42" s="38" t="str">
        <f>IF(SUM(J40:L40)=0,"— não preenchido",IF(ROUND(SUM(J40:L40)-$I43,3)=0,"OK — "&amp;ROUND(SUM(J40:L40),3)&amp;" km","ERRO — dif. de "&amp;ROUND(SUM(J40:L40)-$I43,3)&amp;" km"))</f>
        <v>ERRO — dif. de -1,489 km</v>
      </c>
      <c r="K42" s="32"/>
      <c r="L42" s="33"/>
    </row>
    <row r="43" spans="1:14" x14ac:dyDescent="0.25">
      <c r="A43" s="39" t="s">
        <v>70</v>
      </c>
      <c r="B43" s="35"/>
      <c r="C43" s="35"/>
      <c r="D43" s="35"/>
      <c r="E43" s="35"/>
      <c r="I43" s="29">
        <f>SUM(E9:E34)</f>
        <v>22.698015330410001</v>
      </c>
      <c r="M43" s="8" t="str">
        <f>COUNTIF(N9:N34,"OK")&amp;" de "&amp;COUNT($E$9:$E$34)&amp;" linhas conferidas"</f>
        <v>22 de 24 linhas conferidas</v>
      </c>
    </row>
    <row r="45" spans="1:14" x14ac:dyDescent="0.25">
      <c r="A45" s="49" t="s">
        <v>71</v>
      </c>
      <c r="B45" s="35"/>
      <c r="C45" s="35"/>
      <c r="D45" s="35"/>
      <c r="E45" s="35"/>
    </row>
    <row r="46" spans="1:14" x14ac:dyDescent="0.25">
      <c r="A46" s="39" t="s">
        <v>10</v>
      </c>
      <c r="B46" s="35"/>
      <c r="C46" s="35"/>
      <c r="D46" s="35"/>
      <c r="E46" s="42" t="s">
        <v>72</v>
      </c>
      <c r="F46" s="35"/>
      <c r="G46" s="35"/>
      <c r="H46" s="35"/>
      <c r="I46" s="35"/>
      <c r="J46" s="35"/>
      <c r="K46" s="35"/>
      <c r="L46" s="35"/>
      <c r="M46" s="35"/>
    </row>
    <row r="47" spans="1:14" x14ac:dyDescent="0.25">
      <c r="A47" s="39" t="s">
        <v>11</v>
      </c>
      <c r="B47" s="35"/>
      <c r="C47" s="35"/>
      <c r="D47" s="35"/>
      <c r="E47" s="42" t="s">
        <v>73</v>
      </c>
      <c r="F47" s="35"/>
      <c r="G47" s="35"/>
      <c r="H47" s="35"/>
      <c r="I47" s="35"/>
      <c r="J47" s="35"/>
      <c r="K47" s="35"/>
      <c r="L47" s="35"/>
      <c r="M47" s="35"/>
    </row>
    <row r="48" spans="1:14" x14ac:dyDescent="0.25">
      <c r="A48" s="39" t="s">
        <v>12</v>
      </c>
      <c r="B48" s="35"/>
      <c r="C48" s="35"/>
      <c r="D48" s="35"/>
      <c r="E48" s="42" t="s">
        <v>74</v>
      </c>
      <c r="F48" s="35"/>
      <c r="G48" s="35"/>
      <c r="H48" s="35"/>
      <c r="I48" s="35"/>
      <c r="J48" s="35"/>
      <c r="K48" s="35"/>
      <c r="L48" s="35"/>
      <c r="M48" s="35"/>
    </row>
    <row r="49" spans="1:13" x14ac:dyDescent="0.25">
      <c r="A49" s="39" t="s">
        <v>75</v>
      </c>
      <c r="B49" s="35"/>
      <c r="C49" s="35"/>
      <c r="D49" s="35"/>
      <c r="E49" s="42" t="s">
        <v>76</v>
      </c>
      <c r="F49" s="35"/>
      <c r="G49" s="35"/>
      <c r="H49" s="35"/>
      <c r="I49" s="35"/>
      <c r="J49" s="35"/>
      <c r="K49" s="35"/>
      <c r="L49" s="35"/>
      <c r="M49" s="35"/>
    </row>
    <row r="50" spans="1:13" x14ac:dyDescent="0.25">
      <c r="A50" s="39" t="s">
        <v>77</v>
      </c>
      <c r="B50" s="35"/>
      <c r="C50" s="35"/>
      <c r="D50" s="35"/>
      <c r="E50" s="42" t="s">
        <v>78</v>
      </c>
      <c r="F50" s="35"/>
      <c r="G50" s="35"/>
      <c r="H50" s="35"/>
      <c r="I50" s="35"/>
      <c r="J50" s="35"/>
      <c r="K50" s="35"/>
      <c r="L50" s="35"/>
      <c r="M50" s="35"/>
    </row>
    <row r="51" spans="1:13" x14ac:dyDescent="0.25">
      <c r="A51" s="39" t="s">
        <v>79</v>
      </c>
      <c r="B51" s="35"/>
      <c r="C51" s="35"/>
      <c r="D51" s="35"/>
      <c r="E51" s="42" t="s">
        <v>80</v>
      </c>
      <c r="F51" s="35"/>
      <c r="G51" s="35"/>
      <c r="H51" s="35"/>
      <c r="I51" s="35"/>
      <c r="J51" s="35"/>
      <c r="K51" s="35"/>
      <c r="L51" s="35"/>
      <c r="M51" s="35"/>
    </row>
    <row r="52" spans="1:13" x14ac:dyDescent="0.25">
      <c r="A52" s="39" t="s">
        <v>41</v>
      </c>
      <c r="B52" s="35"/>
      <c r="C52" s="35"/>
      <c r="D52" s="35"/>
      <c r="E52" s="42" t="s">
        <v>81</v>
      </c>
      <c r="F52" s="35"/>
      <c r="G52" s="35"/>
      <c r="H52" s="35"/>
      <c r="I52" s="35"/>
      <c r="J52" s="35"/>
      <c r="K52" s="35"/>
      <c r="L52" s="35"/>
      <c r="M52" s="35"/>
    </row>
    <row r="53" spans="1:13" x14ac:dyDescent="0.25">
      <c r="A53" s="39" t="s">
        <v>82</v>
      </c>
      <c r="B53" s="35"/>
      <c r="C53" s="35"/>
      <c r="D53" s="35"/>
      <c r="E53" s="42" t="s">
        <v>83</v>
      </c>
      <c r="F53" s="35"/>
      <c r="G53" s="35"/>
      <c r="H53" s="35"/>
      <c r="I53" s="35"/>
      <c r="J53" s="35"/>
      <c r="K53" s="35"/>
      <c r="L53" s="35"/>
      <c r="M53" s="35"/>
    </row>
    <row r="54" spans="1:13" x14ac:dyDescent="0.25">
      <c r="A54" s="39" t="s">
        <v>84</v>
      </c>
      <c r="B54" s="35"/>
      <c r="C54" s="35"/>
      <c r="D54" s="35"/>
      <c r="E54" s="42" t="s">
        <v>85</v>
      </c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39" t="s">
        <v>8</v>
      </c>
      <c r="B55" s="35"/>
      <c r="C55" s="35"/>
      <c r="D55" s="35"/>
      <c r="E55" s="42" t="s">
        <v>86</v>
      </c>
      <c r="F55" s="35"/>
      <c r="G55" s="35"/>
      <c r="H55" s="35"/>
      <c r="I55" s="35"/>
      <c r="J55" s="35"/>
      <c r="K55" s="35"/>
      <c r="L55" s="35"/>
      <c r="M55" s="35"/>
    </row>
  </sheetData>
  <sheetProtection sheet="1" formatCells="0"/>
  <mergeCells count="52">
    <mergeCell ref="E55:M55"/>
    <mergeCell ref="A43:E43"/>
    <mergeCell ref="A50:D50"/>
    <mergeCell ref="A3:J3"/>
    <mergeCell ref="E52:M52"/>
    <mergeCell ref="A55:D55"/>
    <mergeCell ref="E48:M48"/>
    <mergeCell ref="A21:M21"/>
    <mergeCell ref="C6:C7"/>
    <mergeCell ref="D6:D7"/>
    <mergeCell ref="A40:E40"/>
    <mergeCell ref="E51:M51"/>
    <mergeCell ref="A1:M1"/>
    <mergeCell ref="J42:L42"/>
    <mergeCell ref="A42:E42"/>
    <mergeCell ref="A54:D54"/>
    <mergeCell ref="N6:N7"/>
    <mergeCell ref="E53:M53"/>
    <mergeCell ref="K3:M3"/>
    <mergeCell ref="E47:M47"/>
    <mergeCell ref="A46:D46"/>
    <mergeCell ref="E50:M50"/>
    <mergeCell ref="F42:I42"/>
    <mergeCell ref="A51:D51"/>
    <mergeCell ref="B6:B7"/>
    <mergeCell ref="A11:M11"/>
    <mergeCell ref="F6:I6"/>
    <mergeCell ref="E54:M54"/>
    <mergeCell ref="E49:M49"/>
    <mergeCell ref="A48:D48"/>
    <mergeCell ref="A41:E41"/>
    <mergeCell ref="M6:M7"/>
    <mergeCell ref="A37:E37"/>
    <mergeCell ref="E6:E7"/>
    <mergeCell ref="G37:K37"/>
    <mergeCell ref="A49:D49"/>
    <mergeCell ref="A39:E39"/>
    <mergeCell ref="J6:L6"/>
    <mergeCell ref="A53:D53"/>
    <mergeCell ref="G2:H2"/>
    <mergeCell ref="A8:M8"/>
    <mergeCell ref="A4:M4"/>
    <mergeCell ref="G36:K36"/>
    <mergeCell ref="A52:D52"/>
    <mergeCell ref="A45:E45"/>
    <mergeCell ref="A36:E36"/>
    <mergeCell ref="A6:A7"/>
    <mergeCell ref="A2:C2"/>
    <mergeCell ref="A47:D47"/>
    <mergeCell ref="E46:M46"/>
    <mergeCell ref="K2:M2"/>
    <mergeCell ref="D2:E2"/>
  </mergeCells>
  <conditionalFormatting sqref="F9:I34">
    <cfRule type="expression" dxfId="59" priority="1">
      <formula>AND(F9&lt;&gt;"",COUNTIF($F9:$I9,"X")&gt;1)</formula>
    </cfRule>
  </conditionalFormatting>
  <conditionalFormatting sqref="F42:L42">
    <cfRule type="expression" dxfId="58" priority="5">
      <formula>LEFT(F42,4)="ERRO"</formula>
    </cfRule>
    <cfRule type="expression" dxfId="57" priority="6">
      <formula>LEFT(F42,2)="OK"</formula>
    </cfRule>
  </conditionalFormatting>
  <conditionalFormatting sqref="J9:L34">
    <cfRule type="expression" dxfId="56" priority="2">
      <formula>AND(J9&lt;&gt;"",COUNTIF($J9:$L9,"X")&gt;1)</formula>
    </cfRule>
  </conditionalFormatting>
  <conditionalFormatting sqref="N9:N34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4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4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34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20</oddHeader>
    <oddFooter>&amp;L&amp;7 RTA / MSI — Programa de Manutenção Rodoviária&amp;C&amp;7 Página &amp;P de &amp;N&amp;R&amp;7 Impresso em &amp;D</oddFooter>
  </headerFooter>
  <rowBreaks count="1" manualBreakCount="1">
    <brk id="37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5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IF(F40=0,NA(),F40)</f>
        <v>16.6739322335</v>
      </c>
      <c r="Q2" s="2">
        <f t="shared" si="0"/>
        <v>9</v>
      </c>
      <c r="R2" s="2" t="e">
        <f t="shared" si="0"/>
        <v>#N/A</v>
      </c>
      <c r="S2" s="2" t="e">
        <f t="shared" si="0"/>
        <v>#N/A</v>
      </c>
      <c r="T2" s="2">
        <f t="shared" si="0"/>
        <v>14.6739322335</v>
      </c>
      <c r="U2" s="2">
        <f t="shared" si="0"/>
        <v>11</v>
      </c>
      <c r="V2" s="2" t="e">
        <f t="shared" si="0"/>
        <v>#N/A</v>
      </c>
    </row>
    <row r="3" spans="1:22" ht="15" customHeight="1" x14ac:dyDescent="0.25">
      <c r="A3" s="50" t="s">
        <v>118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119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120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121</v>
      </c>
      <c r="B9" s="16" t="s">
        <v>49</v>
      </c>
      <c r="C9" s="17">
        <v>0</v>
      </c>
      <c r="D9" s="17">
        <v>1</v>
      </c>
      <c r="E9" s="17">
        <f t="shared" ref="E9:E34" si="1">D9-C9</f>
        <v>1</v>
      </c>
      <c r="F9" s="18" t="s">
        <v>50</v>
      </c>
      <c r="G9" s="18"/>
      <c r="H9" s="18"/>
      <c r="I9" s="18"/>
      <c r="J9" s="18"/>
      <c r="K9" s="18" t="s">
        <v>50</v>
      </c>
      <c r="L9" s="18"/>
      <c r="M9" s="19"/>
      <c r="N9" s="20" t="str">
        <f t="shared" ref="N9:N3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121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/>
      <c r="K10" s="18" t="s">
        <v>50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121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/>
      <c r="K11" s="18" t="s">
        <v>50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121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 t="s">
        <v>50</v>
      </c>
      <c r="G12" s="18"/>
      <c r="H12" s="18"/>
      <c r="I12" s="18"/>
      <c r="J12" s="18"/>
      <c r="K12" s="18" t="s">
        <v>50</v>
      </c>
      <c r="L12" s="18"/>
      <c r="M12" s="19" t="s">
        <v>122</v>
      </c>
      <c r="N12" s="20" t="str">
        <f t="shared" si="2"/>
        <v>OK</v>
      </c>
    </row>
    <row r="13" spans="1:22" ht="20.100000000000001" customHeight="1" x14ac:dyDescent="0.25">
      <c r="A13" s="15" t="s">
        <v>121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 t="s">
        <v>50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121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 t="s">
        <v>50</v>
      </c>
      <c r="G14" s="18"/>
      <c r="H14" s="18"/>
      <c r="I14" s="18"/>
      <c r="J14" s="18"/>
      <c r="K14" s="18" t="s">
        <v>50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121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121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92</v>
      </c>
      <c r="N16" s="20" t="str">
        <f t="shared" si="2"/>
        <v>OK</v>
      </c>
    </row>
    <row r="17" spans="1:14" ht="20.100000000000001" customHeight="1" x14ac:dyDescent="0.25">
      <c r="A17" s="15" t="s">
        <v>121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 t="s">
        <v>50</v>
      </c>
      <c r="K17" s="18"/>
      <c r="L17" s="18"/>
      <c r="M17" s="19" t="s">
        <v>92</v>
      </c>
      <c r="N17" s="20" t="str">
        <f t="shared" si="2"/>
        <v>OK</v>
      </c>
    </row>
    <row r="18" spans="1:14" ht="20.100000000000001" customHeight="1" x14ac:dyDescent="0.25">
      <c r="A18" s="15" t="s">
        <v>121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121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121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121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/>
      <c r="K21" s="18" t="s">
        <v>50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121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121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/>
      <c r="G23" s="18" t="s">
        <v>50</v>
      </c>
      <c r="H23" s="18"/>
      <c r="I23" s="18"/>
      <c r="J23" s="18" t="s">
        <v>50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121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121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121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121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 t="s">
        <v>50</v>
      </c>
      <c r="G27" s="18"/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121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 t="s">
        <v>50</v>
      </c>
      <c r="G28" s="18"/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121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 t="s">
        <v>50</v>
      </c>
      <c r="G29" s="18"/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121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 t="s">
        <v>50</v>
      </c>
      <c r="G30" s="18"/>
      <c r="H30" s="18"/>
      <c r="I30" s="18"/>
      <c r="J30" s="18"/>
      <c r="K30" s="18" t="s">
        <v>50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121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 t="s">
        <v>50</v>
      </c>
      <c r="G31" s="18"/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121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 t="s">
        <v>50</v>
      </c>
      <c r="G32" s="18"/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121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 t="s">
        <v>50</v>
      </c>
      <c r="G33" s="18"/>
      <c r="H33" s="18"/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21" t="s">
        <v>121</v>
      </c>
      <c r="B34" s="22" t="s">
        <v>49</v>
      </c>
      <c r="C34" s="23">
        <v>25</v>
      </c>
      <c r="D34" s="23">
        <v>25.6739322335</v>
      </c>
      <c r="E34" s="23">
        <f t="shared" si="1"/>
        <v>0.67393223350000042</v>
      </c>
      <c r="F34" s="24" t="s">
        <v>50</v>
      </c>
      <c r="G34" s="24"/>
      <c r="H34" s="24"/>
      <c r="I34" s="24"/>
      <c r="J34" s="24" t="s">
        <v>50</v>
      </c>
      <c r="K34" s="24"/>
      <c r="L34" s="24"/>
      <c r="M34" s="25"/>
      <c r="N34" s="26" t="str">
        <f t="shared" si="2"/>
        <v>OK</v>
      </c>
    </row>
    <row r="36" spans="1:14" x14ac:dyDescent="0.25">
      <c r="A36" s="37" t="s">
        <v>63</v>
      </c>
      <c r="B36" s="35"/>
      <c r="C36" s="35"/>
      <c r="D36" s="35"/>
      <c r="E36" s="35"/>
      <c r="G36" s="37" t="s">
        <v>63</v>
      </c>
      <c r="H36" s="35"/>
      <c r="I36" s="35"/>
      <c r="J36" s="35"/>
      <c r="K36" s="35"/>
    </row>
    <row r="37" spans="1:14" x14ac:dyDescent="0.25">
      <c r="A37" s="44" t="s">
        <v>64</v>
      </c>
      <c r="B37" s="35"/>
      <c r="C37" s="35"/>
      <c r="D37" s="35"/>
      <c r="E37" s="35"/>
      <c r="G37" s="44" t="s">
        <v>65</v>
      </c>
      <c r="H37" s="35"/>
      <c r="I37" s="35"/>
      <c r="J37" s="35"/>
      <c r="K37" s="35"/>
    </row>
    <row r="39" spans="1:14" x14ac:dyDescent="0.25">
      <c r="A39" s="48" t="s">
        <v>66</v>
      </c>
      <c r="B39" s="35"/>
      <c r="C39" s="35"/>
      <c r="D39" s="35"/>
      <c r="E39" s="35"/>
      <c r="F39" s="27"/>
      <c r="G39" s="27"/>
      <c r="H39" s="27"/>
      <c r="I39" s="27"/>
      <c r="J39" s="27"/>
      <c r="K39" s="27"/>
      <c r="L39" s="27"/>
      <c r="M39" s="27"/>
    </row>
    <row r="40" spans="1:14" x14ac:dyDescent="0.25">
      <c r="A40" s="39" t="s">
        <v>67</v>
      </c>
      <c r="B40" s="35"/>
      <c r="C40" s="35"/>
      <c r="D40" s="35"/>
      <c r="E40" s="35"/>
      <c r="F40" s="9">
        <f t="shared" ref="F40:L40" si="3">SUMIF(F$9:F$34,"X",$E$9:$E$34)</f>
        <v>16.6739322335</v>
      </c>
      <c r="G40" s="9">
        <f t="shared" si="3"/>
        <v>9</v>
      </c>
      <c r="H40" s="9">
        <f t="shared" si="3"/>
        <v>0</v>
      </c>
      <c r="I40" s="9">
        <f t="shared" si="3"/>
        <v>0</v>
      </c>
      <c r="J40" s="9">
        <f t="shared" si="3"/>
        <v>14.6739322335</v>
      </c>
      <c r="K40" s="9">
        <f t="shared" si="3"/>
        <v>11</v>
      </c>
      <c r="L40" s="9">
        <f t="shared" si="3"/>
        <v>0</v>
      </c>
    </row>
    <row r="41" spans="1:14" x14ac:dyDescent="0.25">
      <c r="A41" s="39" t="s">
        <v>68</v>
      </c>
      <c r="B41" s="35"/>
      <c r="C41" s="35"/>
      <c r="D41" s="35"/>
      <c r="E41" s="35"/>
      <c r="F41" s="28">
        <f t="shared" ref="F41:L41" si="4">IF($I43=0,0,F40/$I43)</f>
        <v>0.64944988098642054</v>
      </c>
      <c r="G41" s="28">
        <f t="shared" si="4"/>
        <v>0.35055011901357952</v>
      </c>
      <c r="H41" s="28">
        <f t="shared" si="4"/>
        <v>0</v>
      </c>
      <c r="I41" s="28">
        <f t="shared" si="4"/>
        <v>0</v>
      </c>
      <c r="J41" s="28">
        <f t="shared" si="4"/>
        <v>0.57154985453895835</v>
      </c>
      <c r="K41" s="28">
        <f t="shared" si="4"/>
        <v>0.4284501454610416</v>
      </c>
      <c r="L41" s="28">
        <f t="shared" si="4"/>
        <v>0</v>
      </c>
    </row>
    <row r="42" spans="1:14" x14ac:dyDescent="0.25">
      <c r="A42" s="39" t="s">
        <v>69</v>
      </c>
      <c r="B42" s="35"/>
      <c r="C42" s="35"/>
      <c r="D42" s="35"/>
      <c r="E42" s="35"/>
      <c r="F42" s="38" t="str">
        <f>IF(SUM(F40:I40)=0,"— não preenchido",IF(ROUND(SUM(F40:I40)-$I43,3)=0,"OK — "&amp;ROUND(SUM(F40:I40),3)&amp;" km","ERRO — dif. de "&amp;ROUND(SUM(F40:I40)-$I43,3)&amp;" km"))</f>
        <v>OK — 25,674 km</v>
      </c>
      <c r="G42" s="32"/>
      <c r="H42" s="32"/>
      <c r="I42" s="33"/>
      <c r="J42" s="38" t="str">
        <f>IF(SUM(J40:L40)=0,"— não preenchido",IF(ROUND(SUM(J40:L40)-$I43,3)=0,"OK — "&amp;ROUND(SUM(J40:L40),3)&amp;" km","ERRO — dif. de "&amp;ROUND(SUM(J40:L40)-$I43,3)&amp;" km"))</f>
        <v>OK — 25,674 km</v>
      </c>
      <c r="K42" s="32"/>
      <c r="L42" s="33"/>
    </row>
    <row r="43" spans="1:14" x14ac:dyDescent="0.25">
      <c r="A43" s="39" t="s">
        <v>70</v>
      </c>
      <c r="B43" s="35"/>
      <c r="C43" s="35"/>
      <c r="D43" s="35"/>
      <c r="E43" s="35"/>
      <c r="I43" s="29">
        <f>SUM(E9:E34)</f>
        <v>25.6739322335</v>
      </c>
      <c r="M43" s="8" t="str">
        <f>COUNTIF(N9:N34,"OK")&amp;" de "&amp;COUNT($E$9:$E$34)&amp;" linhas conferidas"</f>
        <v>26 de 26 linhas conferidas</v>
      </c>
    </row>
    <row r="45" spans="1:14" x14ac:dyDescent="0.25">
      <c r="A45" s="49" t="s">
        <v>71</v>
      </c>
      <c r="B45" s="35"/>
      <c r="C45" s="35"/>
      <c r="D45" s="35"/>
      <c r="E45" s="35"/>
    </row>
    <row r="46" spans="1:14" x14ac:dyDescent="0.25">
      <c r="A46" s="39" t="s">
        <v>10</v>
      </c>
      <c r="B46" s="35"/>
      <c r="C46" s="35"/>
      <c r="D46" s="35"/>
      <c r="E46" s="42" t="s">
        <v>72</v>
      </c>
      <c r="F46" s="35"/>
      <c r="G46" s="35"/>
      <c r="H46" s="35"/>
      <c r="I46" s="35"/>
      <c r="J46" s="35"/>
      <c r="K46" s="35"/>
      <c r="L46" s="35"/>
      <c r="M46" s="35"/>
    </row>
    <row r="47" spans="1:14" x14ac:dyDescent="0.25">
      <c r="A47" s="39" t="s">
        <v>11</v>
      </c>
      <c r="B47" s="35"/>
      <c r="C47" s="35"/>
      <c r="D47" s="35"/>
      <c r="E47" s="42" t="s">
        <v>73</v>
      </c>
      <c r="F47" s="35"/>
      <c r="G47" s="35"/>
      <c r="H47" s="35"/>
      <c r="I47" s="35"/>
      <c r="J47" s="35"/>
      <c r="K47" s="35"/>
      <c r="L47" s="35"/>
      <c r="M47" s="35"/>
    </row>
    <row r="48" spans="1:14" x14ac:dyDescent="0.25">
      <c r="A48" s="39" t="s">
        <v>12</v>
      </c>
      <c r="B48" s="35"/>
      <c r="C48" s="35"/>
      <c r="D48" s="35"/>
      <c r="E48" s="42" t="s">
        <v>74</v>
      </c>
      <c r="F48" s="35"/>
      <c r="G48" s="35"/>
      <c r="H48" s="35"/>
      <c r="I48" s="35"/>
      <c r="J48" s="35"/>
      <c r="K48" s="35"/>
      <c r="L48" s="35"/>
      <c r="M48" s="35"/>
    </row>
    <row r="49" spans="1:13" x14ac:dyDescent="0.25">
      <c r="A49" s="39" t="s">
        <v>75</v>
      </c>
      <c r="B49" s="35"/>
      <c r="C49" s="35"/>
      <c r="D49" s="35"/>
      <c r="E49" s="42" t="s">
        <v>76</v>
      </c>
      <c r="F49" s="35"/>
      <c r="G49" s="35"/>
      <c r="H49" s="35"/>
      <c r="I49" s="35"/>
      <c r="J49" s="35"/>
      <c r="K49" s="35"/>
      <c r="L49" s="35"/>
      <c r="M49" s="35"/>
    </row>
    <row r="50" spans="1:13" x14ac:dyDescent="0.25">
      <c r="A50" s="39" t="s">
        <v>77</v>
      </c>
      <c r="B50" s="35"/>
      <c r="C50" s="35"/>
      <c r="D50" s="35"/>
      <c r="E50" s="42" t="s">
        <v>78</v>
      </c>
      <c r="F50" s="35"/>
      <c r="G50" s="35"/>
      <c r="H50" s="35"/>
      <c r="I50" s="35"/>
      <c r="J50" s="35"/>
      <c r="K50" s="35"/>
      <c r="L50" s="35"/>
      <c r="M50" s="35"/>
    </row>
    <row r="51" spans="1:13" x14ac:dyDescent="0.25">
      <c r="A51" s="39" t="s">
        <v>79</v>
      </c>
      <c r="B51" s="35"/>
      <c r="C51" s="35"/>
      <c r="D51" s="35"/>
      <c r="E51" s="42" t="s">
        <v>80</v>
      </c>
      <c r="F51" s="35"/>
      <c r="G51" s="35"/>
      <c r="H51" s="35"/>
      <c r="I51" s="35"/>
      <c r="J51" s="35"/>
      <c r="K51" s="35"/>
      <c r="L51" s="35"/>
      <c r="M51" s="35"/>
    </row>
    <row r="52" spans="1:13" x14ac:dyDescent="0.25">
      <c r="A52" s="39" t="s">
        <v>41</v>
      </c>
      <c r="B52" s="35"/>
      <c r="C52" s="35"/>
      <c r="D52" s="35"/>
      <c r="E52" s="42" t="s">
        <v>81</v>
      </c>
      <c r="F52" s="35"/>
      <c r="G52" s="35"/>
      <c r="H52" s="35"/>
      <c r="I52" s="35"/>
      <c r="J52" s="35"/>
      <c r="K52" s="35"/>
      <c r="L52" s="35"/>
      <c r="M52" s="35"/>
    </row>
    <row r="53" spans="1:13" x14ac:dyDescent="0.25">
      <c r="A53" s="39" t="s">
        <v>82</v>
      </c>
      <c r="B53" s="35"/>
      <c r="C53" s="35"/>
      <c r="D53" s="35"/>
      <c r="E53" s="42" t="s">
        <v>83</v>
      </c>
      <c r="F53" s="35"/>
      <c r="G53" s="35"/>
      <c r="H53" s="35"/>
      <c r="I53" s="35"/>
      <c r="J53" s="35"/>
      <c r="K53" s="35"/>
      <c r="L53" s="35"/>
      <c r="M53" s="35"/>
    </row>
    <row r="54" spans="1:13" x14ac:dyDescent="0.25">
      <c r="A54" s="39" t="s">
        <v>84</v>
      </c>
      <c r="B54" s="35"/>
      <c r="C54" s="35"/>
      <c r="D54" s="35"/>
      <c r="E54" s="42" t="s">
        <v>85</v>
      </c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39" t="s">
        <v>8</v>
      </c>
      <c r="B55" s="35"/>
      <c r="C55" s="35"/>
      <c r="D55" s="35"/>
      <c r="E55" s="42" t="s">
        <v>86</v>
      </c>
      <c r="F55" s="35"/>
      <c r="G55" s="35"/>
      <c r="H55" s="35"/>
      <c r="I55" s="35"/>
      <c r="J55" s="35"/>
      <c r="K55" s="35"/>
      <c r="L55" s="35"/>
      <c r="M55" s="35"/>
    </row>
  </sheetData>
  <sheetProtection sheet="1" formatCells="0"/>
  <mergeCells count="50">
    <mergeCell ref="E55:M55"/>
    <mergeCell ref="A43:E43"/>
    <mergeCell ref="A50:D50"/>
    <mergeCell ref="A3:J3"/>
    <mergeCell ref="E52:M52"/>
    <mergeCell ref="A55:D55"/>
    <mergeCell ref="E48:M48"/>
    <mergeCell ref="C6:C7"/>
    <mergeCell ref="D6:D7"/>
    <mergeCell ref="A40:E40"/>
    <mergeCell ref="E51:M51"/>
    <mergeCell ref="N6:N7"/>
    <mergeCell ref="E53:M53"/>
    <mergeCell ref="K3:M3"/>
    <mergeCell ref="E47:M47"/>
    <mergeCell ref="A46:D46"/>
    <mergeCell ref="E50:M50"/>
    <mergeCell ref="F42:I42"/>
    <mergeCell ref="A51:D51"/>
    <mergeCell ref="B6:B7"/>
    <mergeCell ref="F6:I6"/>
    <mergeCell ref="E54:M54"/>
    <mergeCell ref="A1:M1"/>
    <mergeCell ref="J42:L42"/>
    <mergeCell ref="A42:E42"/>
    <mergeCell ref="A54:D54"/>
    <mergeCell ref="E49:M49"/>
    <mergeCell ref="A48:D48"/>
    <mergeCell ref="A41:E41"/>
    <mergeCell ref="M6:M7"/>
    <mergeCell ref="A37:E37"/>
    <mergeCell ref="E6:E7"/>
    <mergeCell ref="G37:K37"/>
    <mergeCell ref="A49:D49"/>
    <mergeCell ref="A39:E39"/>
    <mergeCell ref="J6:L6"/>
    <mergeCell ref="A53:D53"/>
    <mergeCell ref="G2:H2"/>
    <mergeCell ref="A8:M8"/>
    <mergeCell ref="A4:M4"/>
    <mergeCell ref="G36:K36"/>
    <mergeCell ref="A52:D52"/>
    <mergeCell ref="A45:E45"/>
    <mergeCell ref="A36:E36"/>
    <mergeCell ref="A6:A7"/>
    <mergeCell ref="A2:C2"/>
    <mergeCell ref="A47:D47"/>
    <mergeCell ref="E46:M46"/>
    <mergeCell ref="K2:M2"/>
    <mergeCell ref="D2:E2"/>
  </mergeCells>
  <conditionalFormatting sqref="F9:I34">
    <cfRule type="expression" dxfId="53" priority="1">
      <formula>AND(F9&lt;&gt;"",COUNTIF($F9:$I9,"X")&gt;1)</formula>
    </cfRule>
  </conditionalFormatting>
  <conditionalFormatting sqref="F42:L42">
    <cfRule type="expression" dxfId="52" priority="5">
      <formula>LEFT(F42,4)="ERRO"</formula>
    </cfRule>
    <cfRule type="expression" dxfId="51" priority="6">
      <formula>LEFT(F42,2)="OK"</formula>
    </cfRule>
  </conditionalFormatting>
  <conditionalFormatting sqref="J9:L34">
    <cfRule type="expression" dxfId="50" priority="2">
      <formula>AND(J9&lt;&gt;"",COUNTIF($J9:$L9,"X")&gt;1)</formula>
    </cfRule>
  </conditionalFormatting>
  <conditionalFormatting sqref="N9:N34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4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4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34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21</oddHeader>
    <oddFooter>&amp;L&amp;7 RTA / MSI — Programa de Manutenção Rodoviária&amp;C&amp;7 Página &amp;P de &amp;N&amp;R&amp;7 Impresso em &amp;D</oddFooter>
  </headerFooter>
  <rowBreaks count="1" manualBreakCount="1">
    <brk id="37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6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IF(F53=0,NA(),F53)</f>
        <v>10.250854647799997</v>
      </c>
      <c r="Q2" s="2">
        <f t="shared" si="0"/>
        <v>28</v>
      </c>
      <c r="R2" s="2" t="e">
        <f t="shared" si="0"/>
        <v>#N/A</v>
      </c>
      <c r="S2" s="2" t="e">
        <f t="shared" si="0"/>
        <v>#N/A</v>
      </c>
      <c r="T2" s="2">
        <f t="shared" si="0"/>
        <v>33</v>
      </c>
      <c r="U2" s="2">
        <f t="shared" si="0"/>
        <v>3.2508546477999971</v>
      </c>
      <c r="V2" s="2">
        <f t="shared" si="0"/>
        <v>2</v>
      </c>
    </row>
    <row r="3" spans="1:22" ht="15" customHeight="1" x14ac:dyDescent="0.25">
      <c r="A3" s="50" t="s">
        <v>123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124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125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126</v>
      </c>
      <c r="B9" s="16" t="s">
        <v>49</v>
      </c>
      <c r="C9" s="17">
        <v>0</v>
      </c>
      <c r="D9" s="17">
        <v>1</v>
      </c>
      <c r="E9" s="17">
        <f t="shared" ref="E9:E47" si="1">D9-C9</f>
        <v>1</v>
      </c>
      <c r="F9" s="18" t="s">
        <v>50</v>
      </c>
      <c r="G9" s="18"/>
      <c r="H9" s="18"/>
      <c r="I9" s="18"/>
      <c r="J9" s="18" t="s">
        <v>50</v>
      </c>
      <c r="K9" s="18"/>
      <c r="L9" s="18"/>
      <c r="M9" s="19" t="s">
        <v>127</v>
      </c>
      <c r="N9" s="20" t="str">
        <f t="shared" ref="N9:N4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126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 t="s">
        <v>50</v>
      </c>
      <c r="K10" s="18"/>
      <c r="L10" s="18"/>
      <c r="M10" s="19" t="s">
        <v>127</v>
      </c>
      <c r="N10" s="20" t="str">
        <f t="shared" si="2"/>
        <v>OK</v>
      </c>
    </row>
    <row r="11" spans="1:22" ht="20.100000000000001" customHeight="1" x14ac:dyDescent="0.25">
      <c r="A11" s="15" t="s">
        <v>126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/>
      <c r="L11" s="18" t="s">
        <v>50</v>
      </c>
      <c r="M11" s="19" t="s">
        <v>128</v>
      </c>
      <c r="N11" s="20" t="str">
        <f t="shared" si="2"/>
        <v>OK</v>
      </c>
    </row>
    <row r="12" spans="1:22" ht="20.100000000000001" customHeight="1" x14ac:dyDescent="0.25">
      <c r="A12" s="15" t="s">
        <v>126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/>
      <c r="L12" s="18" t="s">
        <v>50</v>
      </c>
      <c r="M12" s="19" t="s">
        <v>128</v>
      </c>
      <c r="N12" s="20" t="str">
        <f t="shared" si="2"/>
        <v>OK</v>
      </c>
    </row>
    <row r="13" spans="1:22" ht="20.100000000000001" customHeight="1" x14ac:dyDescent="0.25">
      <c r="A13" s="15" t="s">
        <v>126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 t="s">
        <v>129</v>
      </c>
      <c r="N13" s="20" t="str">
        <f t="shared" si="2"/>
        <v>OK</v>
      </c>
    </row>
    <row r="14" spans="1:22" ht="20.100000000000001" customHeight="1" x14ac:dyDescent="0.25">
      <c r="A14" s="15" t="s">
        <v>126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 t="s">
        <v>129</v>
      </c>
      <c r="N14" s="20" t="str">
        <f t="shared" si="2"/>
        <v>OK</v>
      </c>
    </row>
    <row r="15" spans="1:22" ht="20.100000000000001" customHeight="1" x14ac:dyDescent="0.25">
      <c r="A15" s="15" t="s">
        <v>126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 t="s">
        <v>130</v>
      </c>
      <c r="N15" s="20" t="str">
        <f t="shared" si="2"/>
        <v>OK</v>
      </c>
    </row>
    <row r="16" spans="1:22" ht="20.100000000000001" customHeight="1" x14ac:dyDescent="0.25">
      <c r="A16" s="15" t="s">
        <v>126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130</v>
      </c>
      <c r="N16" s="20" t="str">
        <f t="shared" si="2"/>
        <v>OK</v>
      </c>
    </row>
    <row r="17" spans="1:14" ht="20.100000000000001" customHeight="1" x14ac:dyDescent="0.25">
      <c r="A17" s="15" t="s">
        <v>126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 t="s">
        <v>50</v>
      </c>
      <c r="K17" s="18"/>
      <c r="L17" s="18"/>
      <c r="M17" s="19" t="s">
        <v>131</v>
      </c>
      <c r="N17" s="20" t="str">
        <f t="shared" si="2"/>
        <v>OK</v>
      </c>
    </row>
    <row r="18" spans="1:14" ht="20.100000000000001" customHeight="1" x14ac:dyDescent="0.25">
      <c r="A18" s="15" t="s">
        <v>126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 t="s">
        <v>131</v>
      </c>
      <c r="N18" s="20" t="str">
        <f t="shared" si="2"/>
        <v>OK</v>
      </c>
    </row>
    <row r="19" spans="1:14" ht="20.100000000000001" customHeight="1" x14ac:dyDescent="0.25">
      <c r="A19" s="15" t="s">
        <v>126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 t="s">
        <v>50</v>
      </c>
      <c r="K19" s="18"/>
      <c r="L19" s="18"/>
      <c r="M19" s="19" t="s">
        <v>132</v>
      </c>
      <c r="N19" s="20" t="str">
        <f t="shared" si="2"/>
        <v>OK</v>
      </c>
    </row>
    <row r="20" spans="1:14" ht="20.100000000000001" customHeight="1" x14ac:dyDescent="0.25">
      <c r="A20" s="15" t="s">
        <v>126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 t="s">
        <v>50</v>
      </c>
      <c r="K20" s="18"/>
      <c r="L20" s="18"/>
      <c r="M20" s="19" t="s">
        <v>132</v>
      </c>
      <c r="N20" s="20" t="str">
        <f t="shared" si="2"/>
        <v>OK</v>
      </c>
    </row>
    <row r="21" spans="1:14" ht="20.100000000000001" customHeight="1" x14ac:dyDescent="0.25">
      <c r="A21" s="15" t="s">
        <v>126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 t="s">
        <v>50</v>
      </c>
      <c r="K21" s="18"/>
      <c r="L21" s="18"/>
      <c r="M21" s="19" t="s">
        <v>133</v>
      </c>
      <c r="N21" s="20" t="str">
        <f t="shared" si="2"/>
        <v>OK</v>
      </c>
    </row>
    <row r="22" spans="1:14" ht="20.100000000000001" customHeight="1" x14ac:dyDescent="0.25">
      <c r="A22" s="15" t="s">
        <v>126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 t="s">
        <v>133</v>
      </c>
      <c r="N22" s="20" t="str">
        <f t="shared" si="2"/>
        <v>OK</v>
      </c>
    </row>
    <row r="23" spans="1:14" ht="20.100000000000001" customHeight="1" x14ac:dyDescent="0.25">
      <c r="A23" s="15" t="s">
        <v>126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/>
      <c r="G23" s="18" t="s">
        <v>50</v>
      </c>
      <c r="H23" s="18"/>
      <c r="I23" s="18"/>
      <c r="J23" s="18" t="s">
        <v>50</v>
      </c>
      <c r="K23" s="18"/>
      <c r="L23" s="18"/>
      <c r="M23" s="19" t="s">
        <v>134</v>
      </c>
      <c r="N23" s="20" t="str">
        <f t="shared" si="2"/>
        <v>OK</v>
      </c>
    </row>
    <row r="24" spans="1:14" ht="20.100000000000001" customHeight="1" x14ac:dyDescent="0.25">
      <c r="A24" s="15" t="s">
        <v>126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 t="s">
        <v>134</v>
      </c>
      <c r="N24" s="20" t="str">
        <f t="shared" si="2"/>
        <v>OK</v>
      </c>
    </row>
    <row r="25" spans="1:14" ht="20.100000000000001" customHeight="1" x14ac:dyDescent="0.25">
      <c r="A25" s="15" t="s">
        <v>126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 t="s">
        <v>50</v>
      </c>
      <c r="G25" s="18"/>
      <c r="H25" s="18"/>
      <c r="I25" s="18"/>
      <c r="J25" s="18"/>
      <c r="K25" s="18" t="s">
        <v>50</v>
      </c>
      <c r="L25" s="18"/>
      <c r="M25" s="19" t="s">
        <v>135</v>
      </c>
      <c r="N25" s="20" t="str">
        <f t="shared" si="2"/>
        <v>OK</v>
      </c>
    </row>
    <row r="26" spans="1:14" ht="20.100000000000001" customHeight="1" x14ac:dyDescent="0.25">
      <c r="A26" s="15" t="s">
        <v>126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 t="s">
        <v>50</v>
      </c>
      <c r="G26" s="18"/>
      <c r="H26" s="18"/>
      <c r="I26" s="18"/>
      <c r="J26" s="18"/>
      <c r="K26" s="18" t="s">
        <v>50</v>
      </c>
      <c r="L26" s="18"/>
      <c r="M26" s="19" t="s">
        <v>135</v>
      </c>
      <c r="N26" s="20" t="str">
        <f t="shared" si="2"/>
        <v>OK</v>
      </c>
    </row>
    <row r="27" spans="1:14" ht="20.100000000000001" customHeight="1" x14ac:dyDescent="0.25">
      <c r="A27" s="15" t="s">
        <v>126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/>
      <c r="G27" s="18" t="s">
        <v>50</v>
      </c>
      <c r="H27" s="18"/>
      <c r="I27" s="18"/>
      <c r="J27" s="18" t="s">
        <v>50</v>
      </c>
      <c r="K27" s="18"/>
      <c r="L27" s="18"/>
      <c r="M27" s="19" t="s">
        <v>136</v>
      </c>
      <c r="N27" s="20" t="str">
        <f t="shared" si="2"/>
        <v>OK</v>
      </c>
    </row>
    <row r="28" spans="1:14" ht="20.100000000000001" customHeight="1" x14ac:dyDescent="0.25">
      <c r="A28" s="15" t="s">
        <v>126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/>
      <c r="G28" s="18" t="s">
        <v>50</v>
      </c>
      <c r="H28" s="18"/>
      <c r="I28" s="18"/>
      <c r="J28" s="18" t="s">
        <v>50</v>
      </c>
      <c r="K28" s="18"/>
      <c r="L28" s="18"/>
      <c r="M28" s="19" t="s">
        <v>136</v>
      </c>
      <c r="N28" s="20" t="str">
        <f t="shared" si="2"/>
        <v>OK</v>
      </c>
    </row>
    <row r="29" spans="1:14" ht="20.100000000000001" customHeight="1" x14ac:dyDescent="0.25">
      <c r="A29" s="15" t="s">
        <v>126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 t="s">
        <v>137</v>
      </c>
      <c r="N29" s="20" t="str">
        <f t="shared" si="2"/>
        <v>OK</v>
      </c>
    </row>
    <row r="30" spans="1:14" ht="20.100000000000001" customHeight="1" x14ac:dyDescent="0.25">
      <c r="A30" s="15" t="s">
        <v>126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 t="s">
        <v>137</v>
      </c>
      <c r="N30" s="20" t="str">
        <f t="shared" si="2"/>
        <v>OK</v>
      </c>
    </row>
    <row r="31" spans="1:14" ht="20.100000000000001" customHeight="1" x14ac:dyDescent="0.25">
      <c r="A31" s="15" t="s">
        <v>126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/>
      <c r="G31" s="18" t="s">
        <v>50</v>
      </c>
      <c r="H31" s="18"/>
      <c r="I31" s="18"/>
      <c r="J31" s="18" t="s">
        <v>50</v>
      </c>
      <c r="K31" s="18"/>
      <c r="L31" s="18"/>
      <c r="M31" s="19" t="s">
        <v>138</v>
      </c>
      <c r="N31" s="20" t="str">
        <f t="shared" si="2"/>
        <v>OK</v>
      </c>
    </row>
    <row r="32" spans="1:14" ht="20.100000000000001" customHeight="1" x14ac:dyDescent="0.25">
      <c r="A32" s="15" t="s">
        <v>126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/>
      <c r="G32" s="18" t="s">
        <v>50</v>
      </c>
      <c r="H32" s="18"/>
      <c r="I32" s="18"/>
      <c r="J32" s="18" t="s">
        <v>50</v>
      </c>
      <c r="K32" s="18"/>
      <c r="L32" s="18"/>
      <c r="M32" s="19" t="s">
        <v>138</v>
      </c>
      <c r="N32" s="20" t="str">
        <f t="shared" si="2"/>
        <v>OK</v>
      </c>
    </row>
    <row r="33" spans="1:14" ht="20.100000000000001" customHeight="1" x14ac:dyDescent="0.25">
      <c r="A33" s="15" t="s">
        <v>126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/>
      <c r="G33" s="18" t="s">
        <v>50</v>
      </c>
      <c r="H33" s="18"/>
      <c r="I33" s="18"/>
      <c r="J33" s="18" t="s">
        <v>50</v>
      </c>
      <c r="K33" s="18"/>
      <c r="L33" s="18"/>
      <c r="M33" s="19" t="s">
        <v>139</v>
      </c>
      <c r="N33" s="20" t="str">
        <f t="shared" si="2"/>
        <v>OK</v>
      </c>
    </row>
    <row r="34" spans="1:14" ht="20.100000000000001" customHeight="1" x14ac:dyDescent="0.25">
      <c r="A34" s="15" t="s">
        <v>126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/>
      <c r="G34" s="18" t="s">
        <v>50</v>
      </c>
      <c r="H34" s="18"/>
      <c r="I34" s="18"/>
      <c r="J34" s="18" t="s">
        <v>50</v>
      </c>
      <c r="K34" s="18"/>
      <c r="L34" s="18"/>
      <c r="M34" s="19" t="s">
        <v>139</v>
      </c>
      <c r="N34" s="20" t="str">
        <f t="shared" si="2"/>
        <v>OK</v>
      </c>
    </row>
    <row r="35" spans="1:14" ht="20.100000000000001" customHeight="1" x14ac:dyDescent="0.25">
      <c r="A35" s="15" t="s">
        <v>126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/>
      <c r="G35" s="18" t="s">
        <v>50</v>
      </c>
      <c r="H35" s="18"/>
      <c r="I35" s="18"/>
      <c r="J35" s="18" t="s">
        <v>50</v>
      </c>
      <c r="K35" s="18"/>
      <c r="L35" s="18"/>
      <c r="M35" s="19" t="s">
        <v>140</v>
      </c>
      <c r="N35" s="20" t="str">
        <f t="shared" si="2"/>
        <v>OK</v>
      </c>
    </row>
    <row r="36" spans="1:14" ht="20.100000000000001" customHeight="1" x14ac:dyDescent="0.25">
      <c r="A36" s="15" t="s">
        <v>126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/>
      <c r="G36" s="18" t="s">
        <v>50</v>
      </c>
      <c r="H36" s="18"/>
      <c r="I36" s="18"/>
      <c r="J36" s="18" t="s">
        <v>50</v>
      </c>
      <c r="K36" s="18"/>
      <c r="L36" s="18"/>
      <c r="M36" s="19" t="s">
        <v>140</v>
      </c>
      <c r="N36" s="20" t="str">
        <f t="shared" si="2"/>
        <v>OK</v>
      </c>
    </row>
    <row r="37" spans="1:14" ht="20.100000000000001" customHeight="1" x14ac:dyDescent="0.25">
      <c r="A37" s="15" t="s">
        <v>126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/>
      <c r="G37" s="18" t="s">
        <v>50</v>
      </c>
      <c r="H37" s="18"/>
      <c r="I37" s="18"/>
      <c r="J37" s="18" t="s">
        <v>50</v>
      </c>
      <c r="K37" s="18"/>
      <c r="L37" s="18"/>
      <c r="M37" s="19" t="s">
        <v>141</v>
      </c>
      <c r="N37" s="20" t="str">
        <f t="shared" si="2"/>
        <v>OK</v>
      </c>
    </row>
    <row r="38" spans="1:14" ht="20.100000000000001" customHeight="1" x14ac:dyDescent="0.25">
      <c r="A38" s="15" t="s">
        <v>126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/>
      <c r="G38" s="18" t="s">
        <v>50</v>
      </c>
      <c r="H38" s="18"/>
      <c r="I38" s="18"/>
      <c r="J38" s="18" t="s">
        <v>50</v>
      </c>
      <c r="K38" s="18"/>
      <c r="L38" s="18"/>
      <c r="M38" s="19" t="s">
        <v>141</v>
      </c>
      <c r="N38" s="20" t="str">
        <f t="shared" si="2"/>
        <v>OK</v>
      </c>
    </row>
    <row r="39" spans="1:14" ht="20.100000000000001" customHeight="1" x14ac:dyDescent="0.25">
      <c r="A39" s="15" t="s">
        <v>126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 t="s">
        <v>50</v>
      </c>
      <c r="K39" s="18"/>
      <c r="L39" s="18"/>
      <c r="M39" s="19" t="s">
        <v>142</v>
      </c>
      <c r="N39" s="20" t="str">
        <f t="shared" si="2"/>
        <v>OK</v>
      </c>
    </row>
    <row r="40" spans="1:14" ht="20.100000000000001" customHeight="1" x14ac:dyDescent="0.25">
      <c r="A40" s="15" t="s">
        <v>126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 t="s">
        <v>142</v>
      </c>
      <c r="N40" s="20" t="str">
        <f t="shared" si="2"/>
        <v>OK</v>
      </c>
    </row>
    <row r="41" spans="1:14" ht="20.100000000000001" customHeight="1" x14ac:dyDescent="0.25">
      <c r="A41" s="15" t="s">
        <v>126</v>
      </c>
      <c r="B41" s="16" t="s">
        <v>49</v>
      </c>
      <c r="C41" s="17">
        <v>32</v>
      </c>
      <c r="D41" s="17">
        <v>33</v>
      </c>
      <c r="E41" s="17">
        <f t="shared" si="1"/>
        <v>1</v>
      </c>
      <c r="F41" s="18" t="s">
        <v>50</v>
      </c>
      <c r="G41" s="18"/>
      <c r="H41" s="18"/>
      <c r="I41" s="18"/>
      <c r="J41" s="18" t="s">
        <v>50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126</v>
      </c>
      <c r="B42" s="16" t="s">
        <v>49</v>
      </c>
      <c r="C42" s="17">
        <v>33</v>
      </c>
      <c r="D42" s="17">
        <v>34</v>
      </c>
      <c r="E42" s="17">
        <f t="shared" si="1"/>
        <v>1</v>
      </c>
      <c r="F42" s="18" t="s">
        <v>50</v>
      </c>
      <c r="G42" s="18"/>
      <c r="H42" s="18"/>
      <c r="I42" s="18"/>
      <c r="J42" s="18" t="s">
        <v>50</v>
      </c>
      <c r="K42" s="18"/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126</v>
      </c>
      <c r="B43" s="16" t="s">
        <v>49</v>
      </c>
      <c r="C43" s="17">
        <v>34</v>
      </c>
      <c r="D43" s="17">
        <v>35</v>
      </c>
      <c r="E43" s="17">
        <f t="shared" si="1"/>
        <v>1</v>
      </c>
      <c r="F43" s="18"/>
      <c r="G43" s="18" t="s">
        <v>50</v>
      </c>
      <c r="H43" s="18"/>
      <c r="I43" s="18"/>
      <c r="J43" s="18" t="s">
        <v>50</v>
      </c>
      <c r="K43" s="18"/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126</v>
      </c>
      <c r="B44" s="16" t="s">
        <v>49</v>
      </c>
      <c r="C44" s="17">
        <v>35</v>
      </c>
      <c r="D44" s="17">
        <v>36</v>
      </c>
      <c r="E44" s="17">
        <f t="shared" si="1"/>
        <v>1</v>
      </c>
      <c r="F44" s="18"/>
      <c r="G44" s="18" t="s">
        <v>50</v>
      </c>
      <c r="H44" s="18"/>
      <c r="I44" s="18"/>
      <c r="J44" s="18" t="s">
        <v>50</v>
      </c>
      <c r="K44" s="18"/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126</v>
      </c>
      <c r="B45" s="16" t="s">
        <v>49</v>
      </c>
      <c r="C45" s="17">
        <v>36</v>
      </c>
      <c r="D45" s="17">
        <v>37</v>
      </c>
      <c r="E45" s="17">
        <f t="shared" si="1"/>
        <v>1</v>
      </c>
      <c r="F45" s="18" t="s">
        <v>50</v>
      </c>
      <c r="G45" s="18"/>
      <c r="H45" s="18"/>
      <c r="I45" s="18"/>
      <c r="J45" s="18" t="s">
        <v>50</v>
      </c>
      <c r="K45" s="18"/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126</v>
      </c>
      <c r="B46" s="16" t="s">
        <v>49</v>
      </c>
      <c r="C46" s="17">
        <v>37</v>
      </c>
      <c r="D46" s="17">
        <v>38</v>
      </c>
      <c r="E46" s="17">
        <f t="shared" si="1"/>
        <v>1</v>
      </c>
      <c r="F46" s="18" t="s">
        <v>50</v>
      </c>
      <c r="G46" s="18"/>
      <c r="H46" s="18"/>
      <c r="I46" s="18"/>
      <c r="J46" s="18"/>
      <c r="K46" s="18" t="s">
        <v>50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21" t="s">
        <v>126</v>
      </c>
      <c r="B47" s="22" t="s">
        <v>49</v>
      </c>
      <c r="C47" s="23">
        <v>38</v>
      </c>
      <c r="D47" s="23">
        <v>38.250854647799997</v>
      </c>
      <c r="E47" s="23">
        <f t="shared" si="1"/>
        <v>0.25085464779999711</v>
      </c>
      <c r="F47" s="24" t="s">
        <v>50</v>
      </c>
      <c r="G47" s="24"/>
      <c r="H47" s="24"/>
      <c r="I47" s="24"/>
      <c r="J47" s="24"/>
      <c r="K47" s="24" t="s">
        <v>50</v>
      </c>
      <c r="L47" s="24"/>
      <c r="M47" s="25"/>
      <c r="N47" s="26" t="str">
        <f t="shared" si="2"/>
        <v>OK</v>
      </c>
    </row>
    <row r="49" spans="1:13" x14ac:dyDescent="0.25">
      <c r="A49" s="37" t="s">
        <v>63</v>
      </c>
      <c r="B49" s="35"/>
      <c r="C49" s="35"/>
      <c r="D49" s="35"/>
      <c r="E49" s="35"/>
      <c r="G49" s="37" t="s">
        <v>63</v>
      </c>
      <c r="H49" s="35"/>
      <c r="I49" s="35"/>
      <c r="J49" s="35"/>
      <c r="K49" s="35"/>
    </row>
    <row r="50" spans="1:13" x14ac:dyDescent="0.25">
      <c r="A50" s="44" t="s">
        <v>64</v>
      </c>
      <c r="B50" s="35"/>
      <c r="C50" s="35"/>
      <c r="D50" s="35"/>
      <c r="E50" s="35"/>
      <c r="G50" s="44" t="s">
        <v>65</v>
      </c>
      <c r="H50" s="35"/>
      <c r="I50" s="35"/>
      <c r="J50" s="35"/>
      <c r="K50" s="35"/>
    </row>
    <row r="52" spans="1:13" x14ac:dyDescent="0.25">
      <c r="A52" s="48" t="s">
        <v>66</v>
      </c>
      <c r="B52" s="35"/>
      <c r="C52" s="35"/>
      <c r="D52" s="35"/>
      <c r="E52" s="35"/>
      <c r="F52" s="27"/>
      <c r="G52" s="27"/>
      <c r="H52" s="27"/>
      <c r="I52" s="27"/>
      <c r="J52" s="27"/>
      <c r="K52" s="27"/>
      <c r="L52" s="27"/>
      <c r="M52" s="27"/>
    </row>
    <row r="53" spans="1:13" x14ac:dyDescent="0.25">
      <c r="A53" s="39" t="s">
        <v>67</v>
      </c>
      <c r="B53" s="35"/>
      <c r="C53" s="35"/>
      <c r="D53" s="35"/>
      <c r="E53" s="35"/>
      <c r="F53" s="9">
        <f t="shared" ref="F53:L53" si="3">SUMIF(F$9:F$47,"X",$E$9:$E$47)</f>
        <v>10.250854647799997</v>
      </c>
      <c r="G53" s="9">
        <f t="shared" si="3"/>
        <v>28</v>
      </c>
      <c r="H53" s="9">
        <f t="shared" si="3"/>
        <v>0</v>
      </c>
      <c r="I53" s="9">
        <f t="shared" si="3"/>
        <v>0</v>
      </c>
      <c r="J53" s="9">
        <f t="shared" si="3"/>
        <v>33</v>
      </c>
      <c r="K53" s="9">
        <f t="shared" si="3"/>
        <v>3.2508546477999971</v>
      </c>
      <c r="L53" s="9">
        <f t="shared" si="3"/>
        <v>2</v>
      </c>
    </row>
    <row r="54" spans="1:13" x14ac:dyDescent="0.25">
      <c r="A54" s="39" t="s">
        <v>68</v>
      </c>
      <c r="B54" s="35"/>
      <c r="C54" s="35"/>
      <c r="D54" s="35"/>
      <c r="E54" s="35"/>
      <c r="F54" s="28">
        <f t="shared" ref="F54:L54" si="4">IF($I56=0,0,F53/$I56)</f>
        <v>0.26799021204064982</v>
      </c>
      <c r="G54" s="28">
        <f t="shared" si="4"/>
        <v>0.73200978795935012</v>
      </c>
      <c r="H54" s="28">
        <f t="shared" si="4"/>
        <v>0</v>
      </c>
      <c r="I54" s="28">
        <f t="shared" si="4"/>
        <v>0</v>
      </c>
      <c r="J54" s="28">
        <f t="shared" si="4"/>
        <v>0.86272582152351984</v>
      </c>
      <c r="K54" s="28">
        <f t="shared" si="4"/>
        <v>8.4987765050812278E-2</v>
      </c>
      <c r="L54" s="28">
        <f t="shared" si="4"/>
        <v>5.2286413425667873E-2</v>
      </c>
    </row>
    <row r="55" spans="1:13" x14ac:dyDescent="0.25">
      <c r="A55" s="39" t="s">
        <v>69</v>
      </c>
      <c r="B55" s="35"/>
      <c r="C55" s="35"/>
      <c r="D55" s="35"/>
      <c r="E55" s="35"/>
      <c r="F55" s="38" t="str">
        <f>IF(SUM(F53:I53)=0,"— não preenchido",IF(ROUND(SUM(F53:I53)-$I56,3)=0,"OK — "&amp;ROUND(SUM(F53:I53),3)&amp;" km","ERRO — dif. de "&amp;ROUND(SUM(F53:I53)-$I56,3)&amp;" km"))</f>
        <v>OK — 38,251 km</v>
      </c>
      <c r="G55" s="32"/>
      <c r="H55" s="32"/>
      <c r="I55" s="33"/>
      <c r="J55" s="38" t="str">
        <f>IF(SUM(J53:L53)=0,"— não preenchido",IF(ROUND(SUM(J53:L53)-$I56,3)=0,"OK — "&amp;ROUND(SUM(J53:L53),3)&amp;" km","ERRO — dif. de "&amp;ROUND(SUM(J53:L53)-$I56,3)&amp;" km"))</f>
        <v>OK — 38,251 km</v>
      </c>
      <c r="K55" s="32"/>
      <c r="L55" s="33"/>
    </row>
    <row r="56" spans="1:13" x14ac:dyDescent="0.25">
      <c r="A56" s="39" t="s">
        <v>70</v>
      </c>
      <c r="B56" s="35"/>
      <c r="C56" s="35"/>
      <c r="D56" s="35"/>
      <c r="E56" s="35"/>
      <c r="I56" s="29">
        <f>SUM(E9:E47)</f>
        <v>38.250854647799997</v>
      </c>
      <c r="M56" s="8" t="str">
        <f>COUNTIF(N9:N47,"OK")&amp;" de "&amp;COUNT($E$9:$E$47)&amp;" linhas conferidas"</f>
        <v>39 de 39 linhas conferidas</v>
      </c>
    </row>
    <row r="58" spans="1:13" x14ac:dyDescent="0.25">
      <c r="A58" s="49" t="s">
        <v>71</v>
      </c>
      <c r="B58" s="35"/>
      <c r="C58" s="35"/>
      <c r="D58" s="35"/>
      <c r="E58" s="35"/>
    </row>
    <row r="59" spans="1:13" x14ac:dyDescent="0.25">
      <c r="A59" s="39" t="s">
        <v>10</v>
      </c>
      <c r="B59" s="35"/>
      <c r="C59" s="35"/>
      <c r="D59" s="35"/>
      <c r="E59" s="42" t="s">
        <v>72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9" t="s">
        <v>11</v>
      </c>
      <c r="B60" s="35"/>
      <c r="C60" s="35"/>
      <c r="D60" s="35"/>
      <c r="E60" s="42" t="s">
        <v>73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9" t="s">
        <v>12</v>
      </c>
      <c r="B61" s="35"/>
      <c r="C61" s="35"/>
      <c r="D61" s="35"/>
      <c r="E61" s="42" t="s">
        <v>74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9" t="s">
        <v>75</v>
      </c>
      <c r="B62" s="35"/>
      <c r="C62" s="35"/>
      <c r="D62" s="35"/>
      <c r="E62" s="42" t="s">
        <v>76</v>
      </c>
      <c r="F62" s="35"/>
      <c r="G62" s="35"/>
      <c r="H62" s="35"/>
      <c r="I62" s="35"/>
      <c r="J62" s="35"/>
      <c r="K62" s="35"/>
      <c r="L62" s="35"/>
      <c r="M62" s="35"/>
    </row>
    <row r="63" spans="1:13" x14ac:dyDescent="0.25">
      <c r="A63" s="39" t="s">
        <v>77</v>
      </c>
      <c r="B63" s="35"/>
      <c r="C63" s="35"/>
      <c r="D63" s="35"/>
      <c r="E63" s="42" t="s">
        <v>78</v>
      </c>
      <c r="F63" s="35"/>
      <c r="G63" s="35"/>
      <c r="H63" s="35"/>
      <c r="I63" s="35"/>
      <c r="J63" s="35"/>
      <c r="K63" s="35"/>
      <c r="L63" s="35"/>
      <c r="M63" s="35"/>
    </row>
    <row r="64" spans="1:13" x14ac:dyDescent="0.25">
      <c r="A64" s="39" t="s">
        <v>79</v>
      </c>
      <c r="B64" s="35"/>
      <c r="C64" s="35"/>
      <c r="D64" s="35"/>
      <c r="E64" s="42" t="s">
        <v>80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9" t="s">
        <v>41</v>
      </c>
      <c r="B65" s="35"/>
      <c r="C65" s="35"/>
      <c r="D65" s="35"/>
      <c r="E65" s="42" t="s">
        <v>81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9" t="s">
        <v>82</v>
      </c>
      <c r="B66" s="35"/>
      <c r="C66" s="35"/>
      <c r="D66" s="35"/>
      <c r="E66" s="42" t="s">
        <v>83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9" t="s">
        <v>84</v>
      </c>
      <c r="B67" s="35"/>
      <c r="C67" s="35"/>
      <c r="D67" s="35"/>
      <c r="E67" s="42" t="s">
        <v>85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9" t="s">
        <v>8</v>
      </c>
      <c r="B68" s="35"/>
      <c r="C68" s="35"/>
      <c r="D68" s="35"/>
      <c r="E68" s="42" t="s">
        <v>86</v>
      </c>
      <c r="F68" s="35"/>
      <c r="G68" s="35"/>
      <c r="H68" s="35"/>
      <c r="I68" s="35"/>
      <c r="J68" s="35"/>
      <c r="K68" s="35"/>
      <c r="L68" s="35"/>
      <c r="M68" s="35"/>
    </row>
  </sheetData>
  <sheetProtection sheet="1" formatCells="0"/>
  <mergeCells count="50">
    <mergeCell ref="E68:M68"/>
    <mergeCell ref="E67:M67"/>
    <mergeCell ref="A52:E52"/>
    <mergeCell ref="A3:J3"/>
    <mergeCell ref="G50:K50"/>
    <mergeCell ref="C6:C7"/>
    <mergeCell ref="E64:M64"/>
    <mergeCell ref="D6:D7"/>
    <mergeCell ref="N6:N7"/>
    <mergeCell ref="K3:M3"/>
    <mergeCell ref="A66:D66"/>
    <mergeCell ref="A53:E53"/>
    <mergeCell ref="E62:M62"/>
    <mergeCell ref="A1:M1"/>
    <mergeCell ref="A61:D61"/>
    <mergeCell ref="F55:I55"/>
    <mergeCell ref="E66:M66"/>
    <mergeCell ref="A65:D65"/>
    <mergeCell ref="E65:M65"/>
    <mergeCell ref="A63:D63"/>
    <mergeCell ref="A2:C2"/>
    <mergeCell ref="A68:D68"/>
    <mergeCell ref="E59:M59"/>
    <mergeCell ref="K2:M2"/>
    <mergeCell ref="A67:D67"/>
    <mergeCell ref="D2:E2"/>
    <mergeCell ref="A54:E54"/>
    <mergeCell ref="E61:M61"/>
    <mergeCell ref="A64:D64"/>
    <mergeCell ref="M6:M7"/>
    <mergeCell ref="A59:D59"/>
    <mergeCell ref="E6:E7"/>
    <mergeCell ref="B6:B7"/>
    <mergeCell ref="A60:D60"/>
    <mergeCell ref="J6:L6"/>
    <mergeCell ref="A58:E58"/>
    <mergeCell ref="E63:M63"/>
    <mergeCell ref="G2:H2"/>
    <mergeCell ref="A8:M8"/>
    <mergeCell ref="A62:D62"/>
    <mergeCell ref="A4:M4"/>
    <mergeCell ref="A49:E49"/>
    <mergeCell ref="E60:M60"/>
    <mergeCell ref="J55:L55"/>
    <mergeCell ref="A6:A7"/>
    <mergeCell ref="A56:E56"/>
    <mergeCell ref="G49:K49"/>
    <mergeCell ref="F6:I6"/>
    <mergeCell ref="A55:E55"/>
    <mergeCell ref="A50:E50"/>
  </mergeCells>
  <conditionalFormatting sqref="F9:I47">
    <cfRule type="expression" dxfId="47" priority="1">
      <formula>AND(F9&lt;&gt;"",COUNTIF($F9:$I9,"X")&gt;1)</formula>
    </cfRule>
  </conditionalFormatting>
  <conditionalFormatting sqref="F55:L55">
    <cfRule type="expression" dxfId="46" priority="5">
      <formula>LEFT(F55,4)="ERRO"</formula>
    </cfRule>
    <cfRule type="expression" dxfId="45" priority="6">
      <formula>LEFT(F55,2)="OK"</formula>
    </cfRule>
  </conditionalFormatting>
  <conditionalFormatting sqref="J9:L47">
    <cfRule type="expression" dxfId="44" priority="2">
      <formula>AND(J9&lt;&gt;"",COUNTIF($J9:$L9,"X")&gt;1)</formula>
    </cfRule>
  </conditionalFormatting>
  <conditionalFormatting sqref="N9:N47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7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7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47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22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4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IF(F32=0,NA(),F32)</f>
        <v>15.497344122099999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15.497344122099999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143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144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145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146</v>
      </c>
      <c r="B9" s="16" t="s">
        <v>49</v>
      </c>
      <c r="C9" s="17">
        <v>0</v>
      </c>
      <c r="D9" s="17">
        <v>1</v>
      </c>
      <c r="E9" s="17">
        <f t="shared" ref="E9:E23" si="1">D9-C9</f>
        <v>1</v>
      </c>
      <c r="F9" s="18" t="s">
        <v>50</v>
      </c>
      <c r="G9" s="18"/>
      <c r="H9" s="18"/>
      <c r="I9" s="18"/>
      <c r="J9" s="18" t="s">
        <v>50</v>
      </c>
      <c r="K9" s="18"/>
      <c r="L9" s="18"/>
      <c r="M9" s="19"/>
      <c r="N9" s="20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146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 t="s">
        <v>50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146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 t="s">
        <v>50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146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 t="s">
        <v>50</v>
      </c>
      <c r="G12" s="18"/>
      <c r="H12" s="18"/>
      <c r="I12" s="18"/>
      <c r="J12" s="18" t="s">
        <v>50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146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 t="s">
        <v>50</v>
      </c>
      <c r="G13" s="18"/>
      <c r="H13" s="18"/>
      <c r="I13" s="18"/>
      <c r="J13" s="18" t="s">
        <v>50</v>
      </c>
      <c r="K13" s="18"/>
      <c r="L13" s="18"/>
      <c r="M13" s="19" t="s">
        <v>147</v>
      </c>
      <c r="N13" s="20" t="str">
        <f t="shared" si="2"/>
        <v>OK</v>
      </c>
    </row>
    <row r="14" spans="1:22" ht="20.100000000000001" customHeight="1" x14ac:dyDescent="0.25">
      <c r="A14" s="15" t="s">
        <v>146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 t="s">
        <v>50</v>
      </c>
      <c r="G14" s="18"/>
      <c r="H14" s="18"/>
      <c r="I14" s="18"/>
      <c r="J14" s="18" t="s">
        <v>50</v>
      </c>
      <c r="K14" s="18"/>
      <c r="L14" s="18"/>
      <c r="M14" s="19" t="s">
        <v>147</v>
      </c>
      <c r="N14" s="20" t="str">
        <f t="shared" si="2"/>
        <v>OK</v>
      </c>
    </row>
    <row r="15" spans="1:22" ht="20.100000000000001" customHeight="1" x14ac:dyDescent="0.25">
      <c r="A15" s="15" t="s">
        <v>146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 t="s">
        <v>50</v>
      </c>
      <c r="G15" s="18"/>
      <c r="H15" s="18"/>
      <c r="I15" s="18"/>
      <c r="J15" s="18" t="s">
        <v>50</v>
      </c>
      <c r="K15" s="18"/>
      <c r="L15" s="18"/>
      <c r="M15" s="19" t="s">
        <v>148</v>
      </c>
      <c r="N15" s="20" t="str">
        <f t="shared" si="2"/>
        <v>OK</v>
      </c>
    </row>
    <row r="16" spans="1:22" ht="20.100000000000001" customHeight="1" x14ac:dyDescent="0.25">
      <c r="A16" s="15" t="s">
        <v>146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 t="s">
        <v>50</v>
      </c>
      <c r="G16" s="18"/>
      <c r="H16" s="18"/>
      <c r="I16" s="18"/>
      <c r="J16" s="18" t="s">
        <v>50</v>
      </c>
      <c r="K16" s="18"/>
      <c r="L16" s="18"/>
      <c r="M16" s="19" t="s">
        <v>148</v>
      </c>
      <c r="N16" s="20" t="str">
        <f t="shared" si="2"/>
        <v>OK</v>
      </c>
    </row>
    <row r="17" spans="1:14" ht="20.100000000000001" customHeight="1" x14ac:dyDescent="0.25">
      <c r="A17" s="15" t="s">
        <v>146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 t="s">
        <v>50</v>
      </c>
      <c r="K17" s="18"/>
      <c r="L17" s="18"/>
      <c r="M17" s="19" t="s">
        <v>149</v>
      </c>
      <c r="N17" s="20" t="str">
        <f t="shared" si="2"/>
        <v>OK</v>
      </c>
    </row>
    <row r="18" spans="1:14" ht="20.100000000000001" customHeight="1" x14ac:dyDescent="0.25">
      <c r="A18" s="15" t="s">
        <v>146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 t="s">
        <v>149</v>
      </c>
      <c r="N18" s="20" t="str">
        <f t="shared" si="2"/>
        <v>OK</v>
      </c>
    </row>
    <row r="19" spans="1:14" ht="20.100000000000001" customHeight="1" x14ac:dyDescent="0.25">
      <c r="A19" s="15" t="s">
        <v>146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146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146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 t="s">
        <v>50</v>
      </c>
      <c r="G21" s="18"/>
      <c r="H21" s="18"/>
      <c r="I21" s="18"/>
      <c r="J21" s="18" t="s">
        <v>50</v>
      </c>
      <c r="K21" s="18"/>
      <c r="L21" s="18"/>
      <c r="M21" s="19" t="s">
        <v>150</v>
      </c>
      <c r="N21" s="20" t="str">
        <f t="shared" si="2"/>
        <v>OK</v>
      </c>
    </row>
    <row r="22" spans="1:14" ht="20.100000000000001" customHeight="1" x14ac:dyDescent="0.25">
      <c r="A22" s="15" t="s">
        <v>146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 t="s">
        <v>50</v>
      </c>
      <c r="G22" s="18"/>
      <c r="H22" s="18"/>
      <c r="I22" s="18"/>
      <c r="J22" s="18" t="s">
        <v>50</v>
      </c>
      <c r="K22" s="18"/>
      <c r="L22" s="18"/>
      <c r="M22" s="19" t="s">
        <v>150</v>
      </c>
      <c r="N22" s="20" t="str">
        <f t="shared" si="2"/>
        <v>OK</v>
      </c>
    </row>
    <row r="23" spans="1:14" ht="20.100000000000001" customHeight="1" x14ac:dyDescent="0.25">
      <c r="A23" s="21" t="s">
        <v>146</v>
      </c>
      <c r="B23" s="22" t="s">
        <v>49</v>
      </c>
      <c r="C23" s="23">
        <v>14</v>
      </c>
      <c r="D23" s="23">
        <v>14.497344122099999</v>
      </c>
      <c r="E23" s="23">
        <f t="shared" si="1"/>
        <v>0.49734412209999945</v>
      </c>
      <c r="F23" s="24" t="s">
        <v>50</v>
      </c>
      <c r="G23" s="24"/>
      <c r="H23" s="24"/>
      <c r="I23" s="24"/>
      <c r="J23" s="24" t="s">
        <v>50</v>
      </c>
      <c r="K23" s="24"/>
      <c r="L23" s="24"/>
      <c r="M23" s="25" t="s">
        <v>151</v>
      </c>
      <c r="N23" s="26" t="str">
        <f t="shared" si="2"/>
        <v>OK</v>
      </c>
    </row>
    <row r="24" spans="1:14" ht="15.95" customHeight="1" x14ac:dyDescent="0.25">
      <c r="A24" s="41" t="s">
        <v>152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4"/>
    </row>
    <row r="25" spans="1:14" ht="20.100000000000001" customHeight="1" x14ac:dyDescent="0.25">
      <c r="A25" s="15" t="s">
        <v>153</v>
      </c>
      <c r="B25" s="16" t="s">
        <v>49</v>
      </c>
      <c r="C25" s="17">
        <v>0</v>
      </c>
      <c r="D25" s="17">
        <v>1</v>
      </c>
      <c r="E25" s="17">
        <f>D25-C25</f>
        <v>1</v>
      </c>
      <c r="F25" s="18" t="s">
        <v>50</v>
      </c>
      <c r="G25" s="18"/>
      <c r="H25" s="18"/>
      <c r="I25" s="18"/>
      <c r="J25" s="18" t="s">
        <v>50</v>
      </c>
      <c r="K25" s="18"/>
      <c r="L25" s="18"/>
      <c r="M25" s="19" t="s">
        <v>151</v>
      </c>
      <c r="N25" s="20" t="str">
        <f>IF(COUNTA(F25:L25)=0,"— não preenchido",IF(COUNTIF(F25:I25,"X")&lt;&gt;1,"FALTA/DUPLA: CONDIÇÃO DA PLATAFORMA",IF(COUNTIF(J25:L25,"X")&lt;&gt;1,"FALTA/DUPLA: DRENAGEM SUPERFICIAL","OK")))</f>
        <v>OK</v>
      </c>
    </row>
    <row r="26" spans="1:14" ht="20.100000000000001" customHeight="1" x14ac:dyDescent="0.25">
      <c r="A26" s="21" t="s">
        <v>153</v>
      </c>
      <c r="B26" s="22" t="s">
        <v>49</v>
      </c>
      <c r="C26" s="23">
        <v>1</v>
      </c>
      <c r="D26" s="23">
        <v>1.7447457825899999</v>
      </c>
      <c r="E26" s="23">
        <f>D26-C26</f>
        <v>0.74474578258999991</v>
      </c>
      <c r="F26" s="24"/>
      <c r="G26" s="24"/>
      <c r="H26" s="24"/>
      <c r="I26" s="24"/>
      <c r="J26" s="24"/>
      <c r="K26" s="24"/>
      <c r="L26" s="24"/>
      <c r="M26" s="25"/>
      <c r="N26" s="26" t="str">
        <f>IF(COUNTA(F26:L26)=0,"— não preenchido",IF(COUNTIF(F26:I26,"X")&lt;&gt;1,"FALTA/DUPLA: CONDIÇÃO DA PLATAFORMA",IF(COUNTIF(J26:L26,"X")&lt;&gt;1,"FALTA/DUPLA: DRENAGEM SUPERFICIAL","OK")))</f>
        <v>— não preenchido</v>
      </c>
    </row>
    <row r="28" spans="1:14" x14ac:dyDescent="0.25">
      <c r="A28" s="37" t="s">
        <v>63</v>
      </c>
      <c r="B28" s="35"/>
      <c r="C28" s="35"/>
      <c r="D28" s="35"/>
      <c r="E28" s="35"/>
      <c r="G28" s="37" t="s">
        <v>63</v>
      </c>
      <c r="H28" s="35"/>
      <c r="I28" s="35"/>
      <c r="J28" s="35"/>
      <c r="K28" s="35"/>
    </row>
    <row r="29" spans="1:14" x14ac:dyDescent="0.25">
      <c r="A29" s="44" t="s">
        <v>64</v>
      </c>
      <c r="B29" s="35"/>
      <c r="C29" s="35"/>
      <c r="D29" s="35"/>
      <c r="E29" s="35"/>
      <c r="G29" s="44" t="s">
        <v>65</v>
      </c>
      <c r="H29" s="35"/>
      <c r="I29" s="35"/>
      <c r="J29" s="35"/>
      <c r="K29" s="35"/>
    </row>
    <row r="31" spans="1:14" x14ac:dyDescent="0.25">
      <c r="A31" s="48" t="s">
        <v>66</v>
      </c>
      <c r="B31" s="35"/>
      <c r="C31" s="35"/>
      <c r="D31" s="35"/>
      <c r="E31" s="35"/>
      <c r="F31" s="27"/>
      <c r="G31" s="27"/>
      <c r="H31" s="27"/>
      <c r="I31" s="27"/>
      <c r="J31" s="27"/>
      <c r="K31" s="27"/>
      <c r="L31" s="27"/>
      <c r="M31" s="27"/>
    </row>
    <row r="32" spans="1:14" x14ac:dyDescent="0.25">
      <c r="A32" s="39" t="s">
        <v>67</v>
      </c>
      <c r="B32" s="35"/>
      <c r="C32" s="35"/>
      <c r="D32" s="35"/>
      <c r="E32" s="35"/>
      <c r="F32" s="9">
        <f t="shared" ref="F32:L32" si="3">SUMIF(F$9:F$26,"X",$E$9:$E$26)</f>
        <v>15.497344122099999</v>
      </c>
      <c r="G32" s="9">
        <f t="shared" si="3"/>
        <v>0</v>
      </c>
      <c r="H32" s="9">
        <f t="shared" si="3"/>
        <v>0</v>
      </c>
      <c r="I32" s="9">
        <f t="shared" si="3"/>
        <v>0</v>
      </c>
      <c r="J32" s="9">
        <f t="shared" si="3"/>
        <v>15.497344122099999</v>
      </c>
      <c r="K32" s="9">
        <f t="shared" si="3"/>
        <v>0</v>
      </c>
      <c r="L32" s="9">
        <f t="shared" si="3"/>
        <v>0</v>
      </c>
    </row>
    <row r="33" spans="1:13" x14ac:dyDescent="0.25">
      <c r="A33" s="39" t="s">
        <v>68</v>
      </c>
      <c r="B33" s="35"/>
      <c r="C33" s="35"/>
      <c r="D33" s="35"/>
      <c r="E33" s="35"/>
      <c r="F33" s="28">
        <f t="shared" ref="F33:L33" si="4">IF($I35=0,0,F32/$I35)</f>
        <v>0.95414717028656837</v>
      </c>
      <c r="G33" s="28">
        <f t="shared" si="4"/>
        <v>0</v>
      </c>
      <c r="H33" s="28">
        <f t="shared" si="4"/>
        <v>0</v>
      </c>
      <c r="I33" s="28">
        <f t="shared" si="4"/>
        <v>0</v>
      </c>
      <c r="J33" s="28">
        <f t="shared" si="4"/>
        <v>0.95414717028656837</v>
      </c>
      <c r="K33" s="28">
        <f t="shared" si="4"/>
        <v>0</v>
      </c>
      <c r="L33" s="28">
        <f t="shared" si="4"/>
        <v>0</v>
      </c>
    </row>
    <row r="34" spans="1:13" x14ac:dyDescent="0.25">
      <c r="A34" s="39" t="s">
        <v>69</v>
      </c>
      <c r="B34" s="35"/>
      <c r="C34" s="35"/>
      <c r="D34" s="35"/>
      <c r="E34" s="35"/>
      <c r="F34" s="38" t="str">
        <f>IF(SUM(F32:I32)=0,"— não preenchido",IF(ROUND(SUM(F32:I32)-$I35,3)=0,"OK — "&amp;ROUND(SUM(F32:I32),3)&amp;" km","ERRO — dif. de "&amp;ROUND(SUM(F32:I32)-$I35,3)&amp;" km"))</f>
        <v>ERRO — dif. de -0,745 km</v>
      </c>
      <c r="G34" s="32"/>
      <c r="H34" s="32"/>
      <c r="I34" s="33"/>
      <c r="J34" s="38" t="str">
        <f>IF(SUM(J32:L32)=0,"— não preenchido",IF(ROUND(SUM(J32:L32)-$I35,3)=0,"OK — "&amp;ROUND(SUM(J32:L32),3)&amp;" km","ERRO — dif. de "&amp;ROUND(SUM(J32:L32)-$I35,3)&amp;" km"))</f>
        <v>ERRO — dif. de -0,745 km</v>
      </c>
      <c r="K34" s="32"/>
      <c r="L34" s="33"/>
    </row>
    <row r="35" spans="1:13" x14ac:dyDescent="0.25">
      <c r="A35" s="39" t="s">
        <v>70</v>
      </c>
      <c r="B35" s="35"/>
      <c r="C35" s="35"/>
      <c r="D35" s="35"/>
      <c r="E35" s="35"/>
      <c r="I35" s="29">
        <f>SUM(E9:E26)</f>
        <v>16.242089904689998</v>
      </c>
      <c r="M35" s="8" t="str">
        <f>COUNTIF(N9:N26,"OK")&amp;" de "&amp;COUNT($E$9:$E$26)&amp;" linhas conferidas"</f>
        <v>16 de 17 linhas conferidas</v>
      </c>
    </row>
    <row r="37" spans="1:13" x14ac:dyDescent="0.25">
      <c r="A37" s="49" t="s">
        <v>71</v>
      </c>
      <c r="B37" s="35"/>
      <c r="C37" s="35"/>
      <c r="D37" s="35"/>
      <c r="E37" s="35"/>
    </row>
    <row r="38" spans="1:13" x14ac:dyDescent="0.25">
      <c r="A38" s="39" t="s">
        <v>10</v>
      </c>
      <c r="B38" s="35"/>
      <c r="C38" s="35"/>
      <c r="D38" s="35"/>
      <c r="E38" s="42" t="s">
        <v>72</v>
      </c>
      <c r="F38" s="35"/>
      <c r="G38" s="35"/>
      <c r="H38" s="35"/>
      <c r="I38" s="35"/>
      <c r="J38" s="35"/>
      <c r="K38" s="35"/>
      <c r="L38" s="35"/>
      <c r="M38" s="35"/>
    </row>
    <row r="39" spans="1:13" x14ac:dyDescent="0.25">
      <c r="A39" s="39" t="s">
        <v>11</v>
      </c>
      <c r="B39" s="35"/>
      <c r="C39" s="35"/>
      <c r="D39" s="35"/>
      <c r="E39" s="42" t="s">
        <v>73</v>
      </c>
      <c r="F39" s="35"/>
      <c r="G39" s="35"/>
      <c r="H39" s="35"/>
      <c r="I39" s="35"/>
      <c r="J39" s="35"/>
      <c r="K39" s="35"/>
      <c r="L39" s="35"/>
      <c r="M39" s="35"/>
    </row>
    <row r="40" spans="1:13" x14ac:dyDescent="0.25">
      <c r="A40" s="39" t="s">
        <v>12</v>
      </c>
      <c r="B40" s="35"/>
      <c r="C40" s="35"/>
      <c r="D40" s="35"/>
      <c r="E40" s="42" t="s">
        <v>74</v>
      </c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39" t="s">
        <v>75</v>
      </c>
      <c r="B41" s="35"/>
      <c r="C41" s="35"/>
      <c r="D41" s="35"/>
      <c r="E41" s="42" t="s">
        <v>76</v>
      </c>
      <c r="F41" s="35"/>
      <c r="G41" s="35"/>
      <c r="H41" s="35"/>
      <c r="I41" s="35"/>
      <c r="J41" s="35"/>
      <c r="K41" s="35"/>
      <c r="L41" s="35"/>
      <c r="M41" s="35"/>
    </row>
    <row r="42" spans="1:13" x14ac:dyDescent="0.25">
      <c r="A42" s="39" t="s">
        <v>77</v>
      </c>
      <c r="B42" s="35"/>
      <c r="C42" s="35"/>
      <c r="D42" s="35"/>
      <c r="E42" s="42" t="s">
        <v>78</v>
      </c>
      <c r="F42" s="35"/>
      <c r="G42" s="35"/>
      <c r="H42" s="35"/>
      <c r="I42" s="35"/>
      <c r="J42" s="35"/>
      <c r="K42" s="35"/>
      <c r="L42" s="35"/>
      <c r="M42" s="35"/>
    </row>
    <row r="43" spans="1:13" x14ac:dyDescent="0.25">
      <c r="A43" s="39" t="s">
        <v>79</v>
      </c>
      <c r="B43" s="35"/>
      <c r="C43" s="35"/>
      <c r="D43" s="35"/>
      <c r="E43" s="42" t="s">
        <v>80</v>
      </c>
      <c r="F43" s="35"/>
      <c r="G43" s="35"/>
      <c r="H43" s="35"/>
      <c r="I43" s="35"/>
      <c r="J43" s="35"/>
      <c r="K43" s="35"/>
      <c r="L43" s="35"/>
      <c r="M43" s="35"/>
    </row>
    <row r="44" spans="1:13" x14ac:dyDescent="0.25">
      <c r="A44" s="39" t="s">
        <v>41</v>
      </c>
      <c r="B44" s="35"/>
      <c r="C44" s="35"/>
      <c r="D44" s="35"/>
      <c r="E44" s="42" t="s">
        <v>81</v>
      </c>
      <c r="F44" s="35"/>
      <c r="G44" s="35"/>
      <c r="H44" s="35"/>
      <c r="I44" s="35"/>
      <c r="J44" s="35"/>
      <c r="K44" s="35"/>
      <c r="L44" s="35"/>
      <c r="M44" s="35"/>
    </row>
    <row r="45" spans="1:13" x14ac:dyDescent="0.25">
      <c r="A45" s="39" t="s">
        <v>82</v>
      </c>
      <c r="B45" s="35"/>
      <c r="C45" s="35"/>
      <c r="D45" s="35"/>
      <c r="E45" s="42" t="s">
        <v>83</v>
      </c>
      <c r="F45" s="35"/>
      <c r="G45" s="35"/>
      <c r="H45" s="35"/>
      <c r="I45" s="35"/>
      <c r="J45" s="35"/>
      <c r="K45" s="35"/>
      <c r="L45" s="35"/>
      <c r="M45" s="35"/>
    </row>
    <row r="46" spans="1:13" x14ac:dyDescent="0.25">
      <c r="A46" s="39" t="s">
        <v>84</v>
      </c>
      <c r="B46" s="35"/>
      <c r="C46" s="35"/>
      <c r="D46" s="35"/>
      <c r="E46" s="42" t="s">
        <v>85</v>
      </c>
      <c r="F46" s="35"/>
      <c r="G46" s="35"/>
      <c r="H46" s="35"/>
      <c r="I46" s="35"/>
      <c r="J46" s="35"/>
      <c r="K46" s="35"/>
      <c r="L46" s="35"/>
      <c r="M46" s="35"/>
    </row>
    <row r="47" spans="1:13" x14ac:dyDescent="0.25">
      <c r="A47" s="39" t="s">
        <v>8</v>
      </c>
      <c r="B47" s="35"/>
      <c r="C47" s="35"/>
      <c r="D47" s="35"/>
      <c r="E47" s="42" t="s">
        <v>86</v>
      </c>
      <c r="F47" s="35"/>
      <c r="G47" s="35"/>
      <c r="H47" s="35"/>
      <c r="I47" s="35"/>
      <c r="J47" s="35"/>
      <c r="K47" s="35"/>
      <c r="L47" s="35"/>
      <c r="M47" s="35"/>
    </row>
  </sheetData>
  <sheetProtection sheet="1" formatCells="0"/>
  <mergeCells count="51">
    <mergeCell ref="E47:M47"/>
    <mergeCell ref="E43:M43"/>
    <mergeCell ref="A46:D46"/>
    <mergeCell ref="A29:E29"/>
    <mergeCell ref="G29:K29"/>
    <mergeCell ref="A35:E35"/>
    <mergeCell ref="E42:M42"/>
    <mergeCell ref="E39:M39"/>
    <mergeCell ref="J34:L34"/>
    <mergeCell ref="A42:D42"/>
    <mergeCell ref="A31:E31"/>
    <mergeCell ref="E38:M38"/>
    <mergeCell ref="A45:D45"/>
    <mergeCell ref="A1:M1"/>
    <mergeCell ref="E41:M41"/>
    <mergeCell ref="A33:E33"/>
    <mergeCell ref="N6:N7"/>
    <mergeCell ref="A32:E32"/>
    <mergeCell ref="K3:M3"/>
    <mergeCell ref="A41:D41"/>
    <mergeCell ref="A28:E28"/>
    <mergeCell ref="A3:J3"/>
    <mergeCell ref="C6:C7"/>
    <mergeCell ref="D6:D7"/>
    <mergeCell ref="E40:M40"/>
    <mergeCell ref="A43:D43"/>
    <mergeCell ref="A6:A7"/>
    <mergeCell ref="A2:C2"/>
    <mergeCell ref="A47:D47"/>
    <mergeCell ref="A44:D44"/>
    <mergeCell ref="A40:D40"/>
    <mergeCell ref="E46:M46"/>
    <mergeCell ref="K2:M2"/>
    <mergeCell ref="D2:E2"/>
    <mergeCell ref="E44:M44"/>
    <mergeCell ref="E45:M45"/>
    <mergeCell ref="A39:D39"/>
    <mergeCell ref="G28:K28"/>
    <mergeCell ref="M6:M7"/>
    <mergeCell ref="A37:E37"/>
    <mergeCell ref="J6:L6"/>
    <mergeCell ref="A34:E34"/>
    <mergeCell ref="G2:H2"/>
    <mergeCell ref="A8:M8"/>
    <mergeCell ref="A38:D38"/>
    <mergeCell ref="A4:M4"/>
    <mergeCell ref="E6:E7"/>
    <mergeCell ref="F34:I34"/>
    <mergeCell ref="A24:M24"/>
    <mergeCell ref="B6:B7"/>
    <mergeCell ref="F6:I6"/>
  </mergeCells>
  <conditionalFormatting sqref="F9:I26">
    <cfRule type="expression" dxfId="41" priority="1">
      <formula>AND(F9&lt;&gt;"",COUNTIF($F9:$I9,"X")&gt;1)</formula>
    </cfRule>
  </conditionalFormatting>
  <conditionalFormatting sqref="F34:L34">
    <cfRule type="expression" dxfId="40" priority="5">
      <formula>LEFT(F34,4)="ERRO"</formula>
    </cfRule>
    <cfRule type="expression" dxfId="39" priority="6">
      <formula>LEFT(F34,2)="OK"</formula>
    </cfRule>
  </conditionalFormatting>
  <conditionalFormatting sqref="J9:L26">
    <cfRule type="expression" dxfId="38" priority="2">
      <formula>AND(J9&lt;&gt;"",COUNTIF($J9:$L9,"X")&gt;1)</formula>
    </cfRule>
  </conditionalFormatting>
  <conditionalFormatting sqref="N9:N26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6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6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26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25</oddHeader>
    <oddFooter>&amp;L&amp;7 RTA / MSI — Programa de Manutenção Rodoviária&amp;C&amp;7 Página &amp;P de &amp;N&amp;R&amp;7 Impresso em &amp;D</oddFooter>
  </headerFooter>
  <rowBreaks count="1" manualBreakCount="1">
    <brk id="29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IF(F29=0,NA(),F29)</f>
        <v>3</v>
      </c>
      <c r="Q2" s="2">
        <f t="shared" si="0"/>
        <v>11.2746532935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14.2746532935</v>
      </c>
      <c r="V2" s="2" t="e">
        <f t="shared" si="0"/>
        <v>#N/A</v>
      </c>
    </row>
    <row r="3" spans="1:22" ht="15" customHeight="1" x14ac:dyDescent="0.25">
      <c r="A3" s="50" t="s">
        <v>154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155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156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157</v>
      </c>
      <c r="B9" s="16" t="s">
        <v>49</v>
      </c>
      <c r="C9" s="17">
        <v>0</v>
      </c>
      <c r="D9" s="17">
        <v>1</v>
      </c>
      <c r="E9" s="17">
        <f t="shared" ref="E9:E23" si="1">D9-C9</f>
        <v>1</v>
      </c>
      <c r="F9" s="18" t="s">
        <v>50</v>
      </c>
      <c r="G9" s="18"/>
      <c r="H9" s="18"/>
      <c r="I9" s="18"/>
      <c r="J9" s="18"/>
      <c r="K9" s="18" t="s">
        <v>50</v>
      </c>
      <c r="L9" s="18"/>
      <c r="M9" s="19"/>
      <c r="N9" s="20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157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/>
      <c r="K10" s="18" t="s">
        <v>50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157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/>
      <c r="K11" s="18" t="s">
        <v>50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157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157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 t="s">
        <v>50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157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 t="s">
        <v>50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157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/>
      <c r="K15" s="18" t="s">
        <v>50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157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/>
      <c r="K16" s="18" t="s">
        <v>50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157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157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 t="s">
        <v>50</v>
      </c>
      <c r="H18" s="18"/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157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157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157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/>
      <c r="K21" s="18" t="s">
        <v>50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157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/>
      <c r="K22" s="18" t="s">
        <v>50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21" t="s">
        <v>157</v>
      </c>
      <c r="B23" s="22" t="s">
        <v>49</v>
      </c>
      <c r="C23" s="23">
        <v>14</v>
      </c>
      <c r="D23" s="23">
        <v>14.2746532935</v>
      </c>
      <c r="E23" s="23">
        <f t="shared" si="1"/>
        <v>0.27465329350000012</v>
      </c>
      <c r="F23" s="24"/>
      <c r="G23" s="24" t="s">
        <v>50</v>
      </c>
      <c r="H23" s="24"/>
      <c r="I23" s="24"/>
      <c r="J23" s="24"/>
      <c r="K23" s="24" t="s">
        <v>50</v>
      </c>
      <c r="L23" s="24"/>
      <c r="M23" s="25"/>
      <c r="N23" s="26" t="str">
        <f t="shared" si="2"/>
        <v>OK</v>
      </c>
    </row>
    <row r="25" spans="1:14" x14ac:dyDescent="0.25">
      <c r="A25" s="37" t="s">
        <v>63</v>
      </c>
      <c r="B25" s="35"/>
      <c r="C25" s="35"/>
      <c r="D25" s="35"/>
      <c r="E25" s="35"/>
      <c r="G25" s="37" t="s">
        <v>63</v>
      </c>
      <c r="H25" s="35"/>
      <c r="I25" s="35"/>
      <c r="J25" s="35"/>
      <c r="K25" s="35"/>
    </row>
    <row r="26" spans="1:14" x14ac:dyDescent="0.25">
      <c r="A26" s="44" t="s">
        <v>64</v>
      </c>
      <c r="B26" s="35"/>
      <c r="C26" s="35"/>
      <c r="D26" s="35"/>
      <c r="E26" s="35"/>
      <c r="G26" s="44" t="s">
        <v>65</v>
      </c>
      <c r="H26" s="35"/>
      <c r="I26" s="35"/>
      <c r="J26" s="35"/>
      <c r="K26" s="35"/>
    </row>
    <row r="28" spans="1:14" x14ac:dyDescent="0.25">
      <c r="A28" s="48" t="s">
        <v>66</v>
      </c>
      <c r="B28" s="35"/>
      <c r="C28" s="35"/>
      <c r="D28" s="35"/>
      <c r="E28" s="35"/>
      <c r="F28" s="27"/>
      <c r="G28" s="27"/>
      <c r="H28" s="27"/>
      <c r="I28" s="27"/>
      <c r="J28" s="27"/>
      <c r="K28" s="27"/>
      <c r="L28" s="27"/>
      <c r="M28" s="27"/>
    </row>
    <row r="29" spans="1:14" x14ac:dyDescent="0.25">
      <c r="A29" s="39" t="s">
        <v>67</v>
      </c>
      <c r="B29" s="35"/>
      <c r="C29" s="35"/>
      <c r="D29" s="35"/>
      <c r="E29" s="35"/>
      <c r="F29" s="9">
        <f t="shared" ref="F29:L29" si="3">SUMIF(F$9:F$23,"X",$E$9:$E$23)</f>
        <v>3</v>
      </c>
      <c r="G29" s="9">
        <f t="shared" si="3"/>
        <v>11.2746532935</v>
      </c>
      <c r="H29" s="9">
        <f t="shared" si="3"/>
        <v>0</v>
      </c>
      <c r="I29" s="9">
        <f t="shared" si="3"/>
        <v>0</v>
      </c>
      <c r="J29" s="9">
        <f t="shared" si="3"/>
        <v>0</v>
      </c>
      <c r="K29" s="9">
        <f t="shared" si="3"/>
        <v>14.2746532935</v>
      </c>
      <c r="L29" s="9">
        <f t="shared" si="3"/>
        <v>0</v>
      </c>
    </row>
    <row r="30" spans="1:14" x14ac:dyDescent="0.25">
      <c r="A30" s="39" t="s">
        <v>68</v>
      </c>
      <c r="B30" s="35"/>
      <c r="C30" s="35"/>
      <c r="D30" s="35"/>
      <c r="E30" s="35"/>
      <c r="F30" s="28">
        <f t="shared" ref="F30:L30" si="4">IF($I32=0,0,F29/$I32)</f>
        <v>0.21016272257667076</v>
      </c>
      <c r="G30" s="28">
        <f t="shared" si="4"/>
        <v>0.78983727742332921</v>
      </c>
      <c r="H30" s="28">
        <f t="shared" si="4"/>
        <v>0</v>
      </c>
      <c r="I30" s="28">
        <f t="shared" si="4"/>
        <v>0</v>
      </c>
      <c r="J30" s="28">
        <f t="shared" si="4"/>
        <v>0</v>
      </c>
      <c r="K30" s="28">
        <f t="shared" si="4"/>
        <v>1</v>
      </c>
      <c r="L30" s="28">
        <f t="shared" si="4"/>
        <v>0</v>
      </c>
    </row>
    <row r="31" spans="1:14" x14ac:dyDescent="0.25">
      <c r="A31" s="39" t="s">
        <v>69</v>
      </c>
      <c r="B31" s="35"/>
      <c r="C31" s="35"/>
      <c r="D31" s="35"/>
      <c r="E31" s="35"/>
      <c r="F31" s="38" t="str">
        <f>IF(SUM(F29:I29)=0,"— não preenchido",IF(ROUND(SUM(F29:I29)-$I32,3)=0,"OK — "&amp;ROUND(SUM(F29:I29),3)&amp;" km","ERRO — dif. de "&amp;ROUND(SUM(F29:I29)-$I32,3)&amp;" km"))</f>
        <v>OK — 14,275 km</v>
      </c>
      <c r="G31" s="32"/>
      <c r="H31" s="32"/>
      <c r="I31" s="33"/>
      <c r="J31" s="38" t="str">
        <f>IF(SUM(J29:L29)=0,"— não preenchido",IF(ROUND(SUM(J29:L29)-$I32,3)=0,"OK — "&amp;ROUND(SUM(J29:L29),3)&amp;" km","ERRO — dif. de "&amp;ROUND(SUM(J29:L29)-$I32,3)&amp;" km"))</f>
        <v>OK — 14,275 km</v>
      </c>
      <c r="K31" s="32"/>
      <c r="L31" s="33"/>
    </row>
    <row r="32" spans="1:14" x14ac:dyDescent="0.25">
      <c r="A32" s="39" t="s">
        <v>70</v>
      </c>
      <c r="B32" s="35"/>
      <c r="C32" s="35"/>
      <c r="D32" s="35"/>
      <c r="E32" s="35"/>
      <c r="I32" s="29">
        <f>SUM(E9:E23)</f>
        <v>14.2746532935</v>
      </c>
      <c r="M32" s="8" t="str">
        <f>COUNTIF(N9:N23,"OK")&amp;" de "&amp;COUNT($E$9:$E$23)&amp;" linhas conferidas"</f>
        <v>15 de 15 linhas conferidas</v>
      </c>
    </row>
    <row r="34" spans="1:13" x14ac:dyDescent="0.25">
      <c r="A34" s="49" t="s">
        <v>71</v>
      </c>
      <c r="B34" s="35"/>
      <c r="C34" s="35"/>
      <c r="D34" s="35"/>
      <c r="E34" s="35"/>
    </row>
    <row r="35" spans="1:13" x14ac:dyDescent="0.25">
      <c r="A35" s="39" t="s">
        <v>10</v>
      </c>
      <c r="B35" s="35"/>
      <c r="C35" s="35"/>
      <c r="D35" s="35"/>
      <c r="E35" s="42" t="s">
        <v>72</v>
      </c>
      <c r="F35" s="35"/>
      <c r="G35" s="35"/>
      <c r="H35" s="35"/>
      <c r="I35" s="35"/>
      <c r="J35" s="35"/>
      <c r="K35" s="35"/>
      <c r="L35" s="35"/>
      <c r="M35" s="35"/>
    </row>
    <row r="36" spans="1:13" x14ac:dyDescent="0.25">
      <c r="A36" s="39" t="s">
        <v>11</v>
      </c>
      <c r="B36" s="35"/>
      <c r="C36" s="35"/>
      <c r="D36" s="35"/>
      <c r="E36" s="42" t="s">
        <v>73</v>
      </c>
      <c r="F36" s="35"/>
      <c r="G36" s="35"/>
      <c r="H36" s="35"/>
      <c r="I36" s="35"/>
      <c r="J36" s="35"/>
      <c r="K36" s="35"/>
      <c r="L36" s="35"/>
      <c r="M36" s="35"/>
    </row>
    <row r="37" spans="1:13" x14ac:dyDescent="0.25">
      <c r="A37" s="39" t="s">
        <v>12</v>
      </c>
      <c r="B37" s="35"/>
      <c r="C37" s="35"/>
      <c r="D37" s="35"/>
      <c r="E37" s="42" t="s">
        <v>74</v>
      </c>
      <c r="F37" s="35"/>
      <c r="G37" s="35"/>
      <c r="H37" s="35"/>
      <c r="I37" s="35"/>
      <c r="J37" s="35"/>
      <c r="K37" s="35"/>
      <c r="L37" s="35"/>
      <c r="M37" s="35"/>
    </row>
    <row r="38" spans="1:13" x14ac:dyDescent="0.25">
      <c r="A38" s="39" t="s">
        <v>75</v>
      </c>
      <c r="B38" s="35"/>
      <c r="C38" s="35"/>
      <c r="D38" s="35"/>
      <c r="E38" s="42" t="s">
        <v>76</v>
      </c>
      <c r="F38" s="35"/>
      <c r="G38" s="35"/>
      <c r="H38" s="35"/>
      <c r="I38" s="35"/>
      <c r="J38" s="35"/>
      <c r="K38" s="35"/>
      <c r="L38" s="35"/>
      <c r="M38" s="35"/>
    </row>
    <row r="39" spans="1:13" x14ac:dyDescent="0.25">
      <c r="A39" s="39" t="s">
        <v>77</v>
      </c>
      <c r="B39" s="35"/>
      <c r="C39" s="35"/>
      <c r="D39" s="35"/>
      <c r="E39" s="42" t="s">
        <v>78</v>
      </c>
      <c r="F39" s="35"/>
      <c r="G39" s="35"/>
      <c r="H39" s="35"/>
      <c r="I39" s="35"/>
      <c r="J39" s="35"/>
      <c r="K39" s="35"/>
      <c r="L39" s="35"/>
      <c r="M39" s="35"/>
    </row>
    <row r="40" spans="1:13" x14ac:dyDescent="0.25">
      <c r="A40" s="39" t="s">
        <v>79</v>
      </c>
      <c r="B40" s="35"/>
      <c r="C40" s="35"/>
      <c r="D40" s="35"/>
      <c r="E40" s="42" t="s">
        <v>80</v>
      </c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39" t="s">
        <v>41</v>
      </c>
      <c r="B41" s="35"/>
      <c r="C41" s="35"/>
      <c r="D41" s="35"/>
      <c r="E41" s="42" t="s">
        <v>81</v>
      </c>
      <c r="F41" s="35"/>
      <c r="G41" s="35"/>
      <c r="H41" s="35"/>
      <c r="I41" s="35"/>
      <c r="J41" s="35"/>
      <c r="K41" s="35"/>
      <c r="L41" s="35"/>
      <c r="M41" s="35"/>
    </row>
    <row r="42" spans="1:13" x14ac:dyDescent="0.25">
      <c r="A42" s="39" t="s">
        <v>82</v>
      </c>
      <c r="B42" s="35"/>
      <c r="C42" s="35"/>
      <c r="D42" s="35"/>
      <c r="E42" s="42" t="s">
        <v>83</v>
      </c>
      <c r="F42" s="35"/>
      <c r="G42" s="35"/>
      <c r="H42" s="35"/>
      <c r="I42" s="35"/>
      <c r="J42" s="35"/>
      <c r="K42" s="35"/>
      <c r="L42" s="35"/>
      <c r="M42" s="35"/>
    </row>
    <row r="43" spans="1:13" x14ac:dyDescent="0.25">
      <c r="A43" s="39" t="s">
        <v>84</v>
      </c>
      <c r="B43" s="35"/>
      <c r="C43" s="35"/>
      <c r="D43" s="35"/>
      <c r="E43" s="42" t="s">
        <v>85</v>
      </c>
      <c r="F43" s="35"/>
      <c r="G43" s="35"/>
      <c r="H43" s="35"/>
      <c r="I43" s="35"/>
      <c r="J43" s="35"/>
      <c r="K43" s="35"/>
      <c r="L43" s="35"/>
      <c r="M43" s="35"/>
    </row>
    <row r="44" spans="1:13" x14ac:dyDescent="0.25">
      <c r="A44" s="39" t="s">
        <v>8</v>
      </c>
      <c r="B44" s="35"/>
      <c r="C44" s="35"/>
      <c r="D44" s="35"/>
      <c r="E44" s="42" t="s">
        <v>86</v>
      </c>
      <c r="F44" s="35"/>
      <c r="G44" s="35"/>
      <c r="H44" s="35"/>
      <c r="I44" s="35"/>
      <c r="J44" s="35"/>
      <c r="K44" s="35"/>
      <c r="L44" s="35"/>
      <c r="M44" s="35"/>
    </row>
  </sheetData>
  <sheetProtection sheet="1" formatCells="0"/>
  <mergeCells count="50">
    <mergeCell ref="A1:M1"/>
    <mergeCell ref="A26:E26"/>
    <mergeCell ref="E41:M41"/>
    <mergeCell ref="E37:M37"/>
    <mergeCell ref="N6:N7"/>
    <mergeCell ref="A32:E32"/>
    <mergeCell ref="K3:M3"/>
    <mergeCell ref="A41:D41"/>
    <mergeCell ref="G26:K26"/>
    <mergeCell ref="A37:D37"/>
    <mergeCell ref="A29:E29"/>
    <mergeCell ref="A28:E28"/>
    <mergeCell ref="A3:J3"/>
    <mergeCell ref="G25:K25"/>
    <mergeCell ref="E39:M39"/>
    <mergeCell ref="C6:C7"/>
    <mergeCell ref="A44:D44"/>
    <mergeCell ref="A40:D40"/>
    <mergeCell ref="K2:M2"/>
    <mergeCell ref="D2:E2"/>
    <mergeCell ref="E44:M44"/>
    <mergeCell ref="A25:E25"/>
    <mergeCell ref="E36:M36"/>
    <mergeCell ref="J31:L31"/>
    <mergeCell ref="A39:D39"/>
    <mergeCell ref="M6:M7"/>
    <mergeCell ref="E6:E7"/>
    <mergeCell ref="B6:B7"/>
    <mergeCell ref="A36:D36"/>
    <mergeCell ref="F6:I6"/>
    <mergeCell ref="E43:M43"/>
    <mergeCell ref="E42:M42"/>
    <mergeCell ref="A35:D35"/>
    <mergeCell ref="A38:D38"/>
    <mergeCell ref="A4:M4"/>
    <mergeCell ref="E40:M40"/>
    <mergeCell ref="A43:D43"/>
    <mergeCell ref="A6:A7"/>
    <mergeCell ref="A31:E31"/>
    <mergeCell ref="D6:D7"/>
    <mergeCell ref="A42:D42"/>
    <mergeCell ref="E35:M35"/>
    <mergeCell ref="E38:M38"/>
    <mergeCell ref="A30:E30"/>
    <mergeCell ref="J6:L6"/>
    <mergeCell ref="F31:I31"/>
    <mergeCell ref="A34:E34"/>
    <mergeCell ref="G2:H2"/>
    <mergeCell ref="A8:M8"/>
    <mergeCell ref="A2:C2"/>
  </mergeCells>
  <conditionalFormatting sqref="F9:I23">
    <cfRule type="expression" dxfId="35" priority="1">
      <formula>AND(F9&lt;&gt;"",COUNTIF($F9:$I9,"X")&gt;1)</formula>
    </cfRule>
  </conditionalFormatting>
  <conditionalFormatting sqref="F31:L31">
    <cfRule type="expression" dxfId="34" priority="5">
      <formula>LEFT(F31,4)="ERRO"</formula>
    </cfRule>
    <cfRule type="expression" dxfId="33" priority="6">
      <formula>LEFT(F31,2)="OK"</formula>
    </cfRule>
  </conditionalFormatting>
  <conditionalFormatting sqref="J9:L23">
    <cfRule type="expression" dxfId="32" priority="2">
      <formula>AND(J9&lt;&gt;"",COUNTIF($J9:$L9,"X")&gt;1)</formula>
    </cfRule>
  </conditionalFormatting>
  <conditionalFormatting sqref="N9:N23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3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3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23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26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5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IF(F35=0,NA(),F35)</f>
        <v>6</v>
      </c>
      <c r="Q2" s="2">
        <f t="shared" si="0"/>
        <v>11.219655703000001</v>
      </c>
      <c r="R2" s="2">
        <f t="shared" si="0"/>
        <v>2</v>
      </c>
      <c r="S2" s="2" t="e">
        <f t="shared" si="0"/>
        <v>#N/A</v>
      </c>
      <c r="T2" s="2">
        <f t="shared" si="0"/>
        <v>10.5570720649</v>
      </c>
      <c r="U2" s="2">
        <f t="shared" si="0"/>
        <v>6</v>
      </c>
      <c r="V2" s="2">
        <f t="shared" si="0"/>
        <v>2.6625836381000001</v>
      </c>
    </row>
    <row r="3" spans="1:22" ht="15" customHeight="1" x14ac:dyDescent="0.25">
      <c r="A3" s="50" t="s">
        <v>158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159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160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161</v>
      </c>
      <c r="B9" s="16" t="s">
        <v>49</v>
      </c>
      <c r="C9" s="17">
        <v>0</v>
      </c>
      <c r="D9" s="17">
        <v>1</v>
      </c>
      <c r="E9" s="17">
        <f t="shared" ref="E9:E20" si="1">D9-C9</f>
        <v>1</v>
      </c>
      <c r="F9" s="18"/>
      <c r="G9" s="18" t="s">
        <v>50</v>
      </c>
      <c r="H9" s="18"/>
      <c r="I9" s="18"/>
      <c r="J9" s="18" t="s">
        <v>50</v>
      </c>
      <c r="K9" s="18"/>
      <c r="L9" s="18"/>
      <c r="M9" s="19" t="s">
        <v>162</v>
      </c>
      <c r="N9" s="20" t="str">
        <f t="shared" ref="N9:N2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161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 t="s">
        <v>50</v>
      </c>
      <c r="K10" s="18"/>
      <c r="L10" s="18"/>
      <c r="M10" s="19" t="s">
        <v>162</v>
      </c>
      <c r="N10" s="20" t="str">
        <f t="shared" si="2"/>
        <v>OK</v>
      </c>
    </row>
    <row r="11" spans="1:22" ht="20.100000000000001" customHeight="1" x14ac:dyDescent="0.25">
      <c r="A11" s="15" t="s">
        <v>161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/>
      <c r="K11" s="18" t="s">
        <v>50</v>
      </c>
      <c r="L11" s="18"/>
      <c r="M11" s="19" t="s">
        <v>163</v>
      </c>
      <c r="N11" s="20" t="str">
        <f t="shared" si="2"/>
        <v>OK</v>
      </c>
    </row>
    <row r="12" spans="1:22" ht="20.100000000000001" customHeight="1" x14ac:dyDescent="0.25">
      <c r="A12" s="15" t="s">
        <v>161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 t="s">
        <v>50</v>
      </c>
      <c r="G12" s="18"/>
      <c r="H12" s="18"/>
      <c r="I12" s="18"/>
      <c r="J12" s="18"/>
      <c r="K12" s="18" t="s">
        <v>50</v>
      </c>
      <c r="L12" s="18"/>
      <c r="M12" s="19" t="s">
        <v>163</v>
      </c>
      <c r="N12" s="20" t="str">
        <f t="shared" si="2"/>
        <v>OK</v>
      </c>
    </row>
    <row r="13" spans="1:22" ht="20.100000000000001" customHeight="1" x14ac:dyDescent="0.25">
      <c r="A13" s="15" t="s">
        <v>161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 t="s">
        <v>50</v>
      </c>
      <c r="G13" s="18"/>
      <c r="H13" s="18"/>
      <c r="I13" s="18"/>
      <c r="J13" s="18"/>
      <c r="K13" s="18" t="s">
        <v>50</v>
      </c>
      <c r="L13" s="18"/>
      <c r="M13" s="19" t="s">
        <v>164</v>
      </c>
      <c r="N13" s="20" t="str">
        <f t="shared" si="2"/>
        <v>OK</v>
      </c>
    </row>
    <row r="14" spans="1:22" ht="20.100000000000001" customHeight="1" x14ac:dyDescent="0.25">
      <c r="A14" s="15" t="s">
        <v>161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 t="s">
        <v>50</v>
      </c>
      <c r="G14" s="18"/>
      <c r="H14" s="18"/>
      <c r="I14" s="18"/>
      <c r="J14" s="18"/>
      <c r="K14" s="18" t="s">
        <v>50</v>
      </c>
      <c r="L14" s="18"/>
      <c r="M14" s="19" t="s">
        <v>164</v>
      </c>
      <c r="N14" s="20" t="str">
        <f t="shared" si="2"/>
        <v>OK</v>
      </c>
    </row>
    <row r="15" spans="1:22" ht="20.100000000000001" customHeight="1" x14ac:dyDescent="0.25">
      <c r="A15" s="15" t="s">
        <v>161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161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161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50</v>
      </c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161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 t="s">
        <v>50</v>
      </c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161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21" t="s">
        <v>161</v>
      </c>
      <c r="B20" s="22" t="s">
        <v>49</v>
      </c>
      <c r="C20" s="23">
        <v>11</v>
      </c>
      <c r="D20" s="23">
        <v>11.5570720649</v>
      </c>
      <c r="E20" s="23">
        <f t="shared" si="1"/>
        <v>0.55707206489999983</v>
      </c>
      <c r="F20" s="24"/>
      <c r="G20" s="24" t="s">
        <v>50</v>
      </c>
      <c r="H20" s="24"/>
      <c r="I20" s="24"/>
      <c r="J20" s="24" t="s">
        <v>50</v>
      </c>
      <c r="K20" s="24"/>
      <c r="L20" s="24"/>
      <c r="M20" s="25"/>
      <c r="N20" s="26" t="str">
        <f t="shared" si="2"/>
        <v>OK</v>
      </c>
    </row>
    <row r="21" spans="1:14" ht="15.95" customHeight="1" x14ac:dyDescent="0.25">
      <c r="A21" s="41" t="s">
        <v>165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4"/>
    </row>
    <row r="22" spans="1:14" ht="20.100000000000001" customHeight="1" x14ac:dyDescent="0.25">
      <c r="A22" s="15" t="s">
        <v>166</v>
      </c>
      <c r="B22" s="16" t="s">
        <v>49</v>
      </c>
      <c r="C22" s="17">
        <v>0</v>
      </c>
      <c r="D22" s="17">
        <v>1</v>
      </c>
      <c r="E22" s="17">
        <f t="shared" ref="E22:E29" si="3">D22-C22</f>
        <v>1</v>
      </c>
      <c r="F22" s="18" t="s">
        <v>50</v>
      </c>
      <c r="G22" s="18"/>
      <c r="H22" s="18"/>
      <c r="I22" s="18"/>
      <c r="J22" s="18" t="s">
        <v>50</v>
      </c>
      <c r="K22" s="18"/>
      <c r="L22" s="18"/>
      <c r="M22" s="19"/>
      <c r="N22" s="20" t="str">
        <f t="shared" ref="N22:N29" si="4">IF(COUNTA(F22:L22)=0,"— não preenchido",IF(COUNTIF(F22:I22,"X")&lt;&gt;1,"FALTA/DUPLA: CONDIÇÃO DA PLATAFORMA",IF(COUNTIF(J22:L22,"X")&lt;&gt;1,"FALTA/DUPLA: DRENAGEM SUPERFICIAL","OK")))</f>
        <v>OK</v>
      </c>
    </row>
    <row r="23" spans="1:14" ht="20.100000000000001" customHeight="1" x14ac:dyDescent="0.25">
      <c r="A23" s="15" t="s">
        <v>166</v>
      </c>
      <c r="B23" s="16" t="s">
        <v>49</v>
      </c>
      <c r="C23" s="17">
        <v>1</v>
      </c>
      <c r="D23" s="17">
        <v>2</v>
      </c>
      <c r="E23" s="17">
        <f t="shared" si="3"/>
        <v>1</v>
      </c>
      <c r="F23" s="18" t="s">
        <v>50</v>
      </c>
      <c r="G23" s="18"/>
      <c r="H23" s="18"/>
      <c r="I23" s="18"/>
      <c r="J23" s="18" t="s">
        <v>50</v>
      </c>
      <c r="K23" s="18"/>
      <c r="L23" s="18"/>
      <c r="M23" s="19"/>
      <c r="N23" s="20" t="str">
        <f t="shared" si="4"/>
        <v>OK</v>
      </c>
    </row>
    <row r="24" spans="1:14" ht="20.100000000000001" customHeight="1" x14ac:dyDescent="0.25">
      <c r="A24" s="15" t="s">
        <v>166</v>
      </c>
      <c r="B24" s="16" t="s">
        <v>49</v>
      </c>
      <c r="C24" s="17">
        <v>2</v>
      </c>
      <c r="D24" s="17">
        <v>3</v>
      </c>
      <c r="E24" s="17">
        <f t="shared" si="3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/>
      <c r="N24" s="20" t="str">
        <f t="shared" si="4"/>
        <v>OK</v>
      </c>
    </row>
    <row r="25" spans="1:14" ht="20.100000000000001" customHeight="1" x14ac:dyDescent="0.25">
      <c r="A25" s="15" t="s">
        <v>166</v>
      </c>
      <c r="B25" s="16" t="s">
        <v>49</v>
      </c>
      <c r="C25" s="17">
        <v>3</v>
      </c>
      <c r="D25" s="17">
        <v>4</v>
      </c>
      <c r="E25" s="17">
        <f t="shared" si="3"/>
        <v>1</v>
      </c>
      <c r="F25" s="18"/>
      <c r="G25" s="18" t="s">
        <v>50</v>
      </c>
      <c r="H25" s="18"/>
      <c r="I25" s="18"/>
      <c r="J25" s="18" t="s">
        <v>50</v>
      </c>
      <c r="K25" s="18"/>
      <c r="L25" s="18"/>
      <c r="M25" s="19"/>
      <c r="N25" s="20" t="str">
        <f t="shared" si="4"/>
        <v>OK</v>
      </c>
    </row>
    <row r="26" spans="1:14" ht="20.100000000000001" customHeight="1" x14ac:dyDescent="0.25">
      <c r="A26" s="15" t="s">
        <v>166</v>
      </c>
      <c r="B26" s="16" t="s">
        <v>49</v>
      </c>
      <c r="C26" s="17">
        <v>4</v>
      </c>
      <c r="D26" s="17">
        <v>5</v>
      </c>
      <c r="E26" s="17">
        <f t="shared" si="3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166</v>
      </c>
      <c r="B27" s="16" t="s">
        <v>49</v>
      </c>
      <c r="C27" s="17">
        <v>5</v>
      </c>
      <c r="D27" s="17">
        <v>6</v>
      </c>
      <c r="E27" s="17">
        <f t="shared" si="3"/>
        <v>1</v>
      </c>
      <c r="F27" s="18"/>
      <c r="G27" s="18" t="s">
        <v>50</v>
      </c>
      <c r="H27" s="18"/>
      <c r="I27" s="18"/>
      <c r="J27" s="18"/>
      <c r="K27" s="18"/>
      <c r="L27" s="18" t="s">
        <v>50</v>
      </c>
      <c r="M27" s="19" t="s">
        <v>167</v>
      </c>
      <c r="N27" s="20" t="str">
        <f t="shared" si="4"/>
        <v>OK</v>
      </c>
    </row>
    <row r="28" spans="1:14" ht="20.100000000000001" customHeight="1" x14ac:dyDescent="0.25">
      <c r="A28" s="15" t="s">
        <v>166</v>
      </c>
      <c r="B28" s="16" t="s">
        <v>49</v>
      </c>
      <c r="C28" s="17">
        <v>6</v>
      </c>
      <c r="D28" s="17">
        <v>7</v>
      </c>
      <c r="E28" s="17">
        <f t="shared" si="3"/>
        <v>1</v>
      </c>
      <c r="F28" s="18"/>
      <c r="G28" s="18" t="s">
        <v>50</v>
      </c>
      <c r="H28" s="18"/>
      <c r="I28" s="18"/>
      <c r="J28" s="18"/>
      <c r="K28" s="18"/>
      <c r="L28" s="18" t="s">
        <v>50</v>
      </c>
      <c r="M28" s="19" t="s">
        <v>167</v>
      </c>
      <c r="N28" s="20" t="str">
        <f t="shared" si="4"/>
        <v>OK</v>
      </c>
    </row>
    <row r="29" spans="1:14" ht="20.100000000000001" customHeight="1" x14ac:dyDescent="0.25">
      <c r="A29" s="21" t="s">
        <v>166</v>
      </c>
      <c r="B29" s="22" t="s">
        <v>49</v>
      </c>
      <c r="C29" s="23">
        <v>7</v>
      </c>
      <c r="D29" s="23">
        <v>7.6625836381000001</v>
      </c>
      <c r="E29" s="23">
        <f t="shared" si="3"/>
        <v>0.66258363810000009</v>
      </c>
      <c r="F29" s="24"/>
      <c r="G29" s="24" t="s">
        <v>50</v>
      </c>
      <c r="H29" s="24"/>
      <c r="I29" s="24"/>
      <c r="J29" s="24"/>
      <c r="K29" s="24"/>
      <c r="L29" s="24" t="s">
        <v>50</v>
      </c>
      <c r="M29" s="25" t="s">
        <v>168</v>
      </c>
      <c r="N29" s="26" t="str">
        <f t="shared" si="4"/>
        <v>OK</v>
      </c>
    </row>
    <row r="31" spans="1:14" x14ac:dyDescent="0.25">
      <c r="A31" s="37" t="s">
        <v>63</v>
      </c>
      <c r="B31" s="35"/>
      <c r="C31" s="35"/>
      <c r="D31" s="35"/>
      <c r="E31" s="35"/>
      <c r="G31" s="37" t="s">
        <v>63</v>
      </c>
      <c r="H31" s="35"/>
      <c r="I31" s="35"/>
      <c r="J31" s="35"/>
      <c r="K31" s="35"/>
    </row>
    <row r="32" spans="1:14" x14ac:dyDescent="0.25">
      <c r="A32" s="44" t="s">
        <v>64</v>
      </c>
      <c r="B32" s="35"/>
      <c r="C32" s="35"/>
      <c r="D32" s="35"/>
      <c r="E32" s="35"/>
      <c r="G32" s="44" t="s">
        <v>65</v>
      </c>
      <c r="H32" s="35"/>
      <c r="I32" s="35"/>
      <c r="J32" s="35"/>
      <c r="K32" s="35"/>
    </row>
    <row r="34" spans="1:13" x14ac:dyDescent="0.25">
      <c r="A34" s="48" t="s">
        <v>66</v>
      </c>
      <c r="B34" s="35"/>
      <c r="C34" s="35"/>
      <c r="D34" s="35"/>
      <c r="E34" s="35"/>
      <c r="F34" s="27"/>
      <c r="G34" s="27"/>
      <c r="H34" s="27"/>
      <c r="I34" s="27"/>
      <c r="J34" s="27"/>
      <c r="K34" s="27"/>
      <c r="L34" s="27"/>
      <c r="M34" s="27"/>
    </row>
    <row r="35" spans="1:13" x14ac:dyDescent="0.25">
      <c r="A35" s="39" t="s">
        <v>67</v>
      </c>
      <c r="B35" s="35"/>
      <c r="C35" s="35"/>
      <c r="D35" s="35"/>
      <c r="E35" s="35"/>
      <c r="F35" s="9">
        <f t="shared" ref="F35:L35" si="5">SUMIF(F$9:F$29,"X",$E$9:$E$29)</f>
        <v>6</v>
      </c>
      <c r="G35" s="9">
        <f t="shared" si="5"/>
        <v>11.219655703000001</v>
      </c>
      <c r="H35" s="9">
        <f t="shared" si="5"/>
        <v>2</v>
      </c>
      <c r="I35" s="9">
        <f t="shared" si="5"/>
        <v>0</v>
      </c>
      <c r="J35" s="9">
        <f t="shared" si="5"/>
        <v>10.5570720649</v>
      </c>
      <c r="K35" s="9">
        <f t="shared" si="5"/>
        <v>6</v>
      </c>
      <c r="L35" s="9">
        <f t="shared" si="5"/>
        <v>2.6625836381000001</v>
      </c>
    </row>
    <row r="36" spans="1:13" x14ac:dyDescent="0.25">
      <c r="A36" s="39" t="s">
        <v>68</v>
      </c>
      <c r="B36" s="35"/>
      <c r="C36" s="35"/>
      <c r="D36" s="35"/>
      <c r="E36" s="35"/>
      <c r="F36" s="28">
        <f t="shared" ref="F36:L36" si="6">IF($I38=0,0,F35/$I38)</f>
        <v>0.31218041013416592</v>
      </c>
      <c r="G36" s="28">
        <f t="shared" si="6"/>
        <v>0.58375945315444566</v>
      </c>
      <c r="H36" s="28">
        <f t="shared" si="6"/>
        <v>0.10406013671138864</v>
      </c>
      <c r="I36" s="28">
        <f t="shared" si="6"/>
        <v>0</v>
      </c>
      <c r="J36" s="28">
        <f t="shared" si="6"/>
        <v>0.54928518117273795</v>
      </c>
      <c r="K36" s="28">
        <f t="shared" si="6"/>
        <v>0.31218041013416592</v>
      </c>
      <c r="L36" s="28">
        <f t="shared" si="6"/>
        <v>0.13853440869309627</v>
      </c>
    </row>
    <row r="37" spans="1:13" x14ac:dyDescent="0.25">
      <c r="A37" s="39" t="s">
        <v>69</v>
      </c>
      <c r="B37" s="35"/>
      <c r="C37" s="35"/>
      <c r="D37" s="35"/>
      <c r="E37" s="35"/>
      <c r="F37" s="38" t="str">
        <f>IF(SUM(F35:I35)=0,"— não preenchido",IF(ROUND(SUM(F35:I35)-$I38,3)=0,"OK — "&amp;ROUND(SUM(F35:I35),3)&amp;" km","ERRO — dif. de "&amp;ROUND(SUM(F35:I35)-$I38,3)&amp;" km"))</f>
        <v>OK — 19,22 km</v>
      </c>
      <c r="G37" s="32"/>
      <c r="H37" s="32"/>
      <c r="I37" s="33"/>
      <c r="J37" s="38" t="str">
        <f>IF(SUM(J35:L35)=0,"— não preenchido",IF(ROUND(SUM(J35:L35)-$I38,3)=0,"OK — "&amp;ROUND(SUM(J35:L35),3)&amp;" km","ERRO — dif. de "&amp;ROUND(SUM(J35:L35)-$I38,3)&amp;" km"))</f>
        <v>OK — 19,22 km</v>
      </c>
      <c r="K37" s="32"/>
      <c r="L37" s="33"/>
    </row>
    <row r="38" spans="1:13" x14ac:dyDescent="0.25">
      <c r="A38" s="39" t="s">
        <v>70</v>
      </c>
      <c r="B38" s="35"/>
      <c r="C38" s="35"/>
      <c r="D38" s="35"/>
      <c r="E38" s="35"/>
      <c r="I38" s="29">
        <f>SUM(E9:E29)</f>
        <v>19.219655702999997</v>
      </c>
      <c r="M38" s="8" t="str">
        <f>COUNTIF(N9:N29,"OK")&amp;" de "&amp;COUNT($E$9:$E$29)&amp;" linhas conferidas"</f>
        <v>20 de 20 linhas conferidas</v>
      </c>
    </row>
    <row r="40" spans="1:13" x14ac:dyDescent="0.25">
      <c r="A40" s="49" t="s">
        <v>71</v>
      </c>
      <c r="B40" s="35"/>
      <c r="C40" s="35"/>
      <c r="D40" s="35"/>
      <c r="E40" s="35"/>
    </row>
    <row r="41" spans="1:13" x14ac:dyDescent="0.25">
      <c r="A41" s="39" t="s">
        <v>10</v>
      </c>
      <c r="B41" s="35"/>
      <c r="C41" s="35"/>
      <c r="D41" s="35"/>
      <c r="E41" s="42" t="s">
        <v>72</v>
      </c>
      <c r="F41" s="35"/>
      <c r="G41" s="35"/>
      <c r="H41" s="35"/>
      <c r="I41" s="35"/>
      <c r="J41" s="35"/>
      <c r="K41" s="35"/>
      <c r="L41" s="35"/>
      <c r="M41" s="35"/>
    </row>
    <row r="42" spans="1:13" x14ac:dyDescent="0.25">
      <c r="A42" s="39" t="s">
        <v>11</v>
      </c>
      <c r="B42" s="35"/>
      <c r="C42" s="35"/>
      <c r="D42" s="35"/>
      <c r="E42" s="42" t="s">
        <v>73</v>
      </c>
      <c r="F42" s="35"/>
      <c r="G42" s="35"/>
      <c r="H42" s="35"/>
      <c r="I42" s="35"/>
      <c r="J42" s="35"/>
      <c r="K42" s="35"/>
      <c r="L42" s="35"/>
      <c r="M42" s="35"/>
    </row>
    <row r="43" spans="1:13" x14ac:dyDescent="0.25">
      <c r="A43" s="39" t="s">
        <v>12</v>
      </c>
      <c r="B43" s="35"/>
      <c r="C43" s="35"/>
      <c r="D43" s="35"/>
      <c r="E43" s="42" t="s">
        <v>74</v>
      </c>
      <c r="F43" s="35"/>
      <c r="G43" s="35"/>
      <c r="H43" s="35"/>
      <c r="I43" s="35"/>
      <c r="J43" s="35"/>
      <c r="K43" s="35"/>
      <c r="L43" s="35"/>
      <c r="M43" s="35"/>
    </row>
    <row r="44" spans="1:13" x14ac:dyDescent="0.25">
      <c r="A44" s="39" t="s">
        <v>75</v>
      </c>
      <c r="B44" s="35"/>
      <c r="C44" s="35"/>
      <c r="D44" s="35"/>
      <c r="E44" s="42" t="s">
        <v>76</v>
      </c>
      <c r="F44" s="35"/>
      <c r="G44" s="35"/>
      <c r="H44" s="35"/>
      <c r="I44" s="35"/>
      <c r="J44" s="35"/>
      <c r="K44" s="35"/>
      <c r="L44" s="35"/>
      <c r="M44" s="35"/>
    </row>
    <row r="45" spans="1:13" x14ac:dyDescent="0.25">
      <c r="A45" s="39" t="s">
        <v>77</v>
      </c>
      <c r="B45" s="35"/>
      <c r="C45" s="35"/>
      <c r="D45" s="35"/>
      <c r="E45" s="42" t="s">
        <v>78</v>
      </c>
      <c r="F45" s="35"/>
      <c r="G45" s="35"/>
      <c r="H45" s="35"/>
      <c r="I45" s="35"/>
      <c r="J45" s="35"/>
      <c r="K45" s="35"/>
      <c r="L45" s="35"/>
      <c r="M45" s="35"/>
    </row>
    <row r="46" spans="1:13" x14ac:dyDescent="0.25">
      <c r="A46" s="39" t="s">
        <v>79</v>
      </c>
      <c r="B46" s="35"/>
      <c r="C46" s="35"/>
      <c r="D46" s="35"/>
      <c r="E46" s="42" t="s">
        <v>80</v>
      </c>
      <c r="F46" s="35"/>
      <c r="G46" s="35"/>
      <c r="H46" s="35"/>
      <c r="I46" s="35"/>
      <c r="J46" s="35"/>
      <c r="K46" s="35"/>
      <c r="L46" s="35"/>
      <c r="M46" s="35"/>
    </row>
    <row r="47" spans="1:13" x14ac:dyDescent="0.25">
      <c r="A47" s="39" t="s">
        <v>41</v>
      </c>
      <c r="B47" s="35"/>
      <c r="C47" s="35"/>
      <c r="D47" s="35"/>
      <c r="E47" s="42" t="s">
        <v>81</v>
      </c>
      <c r="F47" s="35"/>
      <c r="G47" s="35"/>
      <c r="H47" s="35"/>
      <c r="I47" s="35"/>
      <c r="J47" s="35"/>
      <c r="K47" s="35"/>
      <c r="L47" s="35"/>
      <c r="M47" s="35"/>
    </row>
    <row r="48" spans="1:13" x14ac:dyDescent="0.25">
      <c r="A48" s="39" t="s">
        <v>82</v>
      </c>
      <c r="B48" s="35"/>
      <c r="C48" s="35"/>
      <c r="D48" s="35"/>
      <c r="E48" s="42" t="s">
        <v>83</v>
      </c>
      <c r="F48" s="35"/>
      <c r="G48" s="35"/>
      <c r="H48" s="35"/>
      <c r="I48" s="35"/>
      <c r="J48" s="35"/>
      <c r="K48" s="35"/>
      <c r="L48" s="35"/>
      <c r="M48" s="35"/>
    </row>
    <row r="49" spans="1:13" x14ac:dyDescent="0.25">
      <c r="A49" s="39" t="s">
        <v>84</v>
      </c>
      <c r="B49" s="35"/>
      <c r="C49" s="35"/>
      <c r="D49" s="35"/>
      <c r="E49" s="42" t="s">
        <v>85</v>
      </c>
      <c r="F49" s="35"/>
      <c r="G49" s="35"/>
      <c r="H49" s="35"/>
      <c r="I49" s="35"/>
      <c r="J49" s="35"/>
      <c r="K49" s="35"/>
      <c r="L49" s="35"/>
      <c r="M49" s="35"/>
    </row>
    <row r="50" spans="1:13" x14ac:dyDescent="0.25">
      <c r="A50" s="39" t="s">
        <v>8</v>
      </c>
      <c r="B50" s="35"/>
      <c r="C50" s="35"/>
      <c r="D50" s="35"/>
      <c r="E50" s="42" t="s">
        <v>86</v>
      </c>
      <c r="F50" s="35"/>
      <c r="G50" s="35"/>
      <c r="H50" s="35"/>
      <c r="I50" s="35"/>
      <c r="J50" s="35"/>
      <c r="K50" s="35"/>
      <c r="L50" s="35"/>
      <c r="M50" s="35"/>
    </row>
  </sheetData>
  <sheetProtection sheet="1" formatCells="0"/>
  <mergeCells count="51">
    <mergeCell ref="E50:M50"/>
    <mergeCell ref="A35:E35"/>
    <mergeCell ref="A38:E38"/>
    <mergeCell ref="A50:D50"/>
    <mergeCell ref="E42:M42"/>
    <mergeCell ref="J37:L37"/>
    <mergeCell ref="E48:M48"/>
    <mergeCell ref="A42:D42"/>
    <mergeCell ref="A40:E40"/>
    <mergeCell ref="E44:M44"/>
    <mergeCell ref="A1:M1"/>
    <mergeCell ref="E41:M41"/>
    <mergeCell ref="N6:N7"/>
    <mergeCell ref="A32:E32"/>
    <mergeCell ref="K3:M3"/>
    <mergeCell ref="A41:D41"/>
    <mergeCell ref="A3:J3"/>
    <mergeCell ref="G32:K32"/>
    <mergeCell ref="A21:M21"/>
    <mergeCell ref="C6:C7"/>
    <mergeCell ref="A31:E31"/>
    <mergeCell ref="G31:K31"/>
    <mergeCell ref="D6:D7"/>
    <mergeCell ref="E49:M49"/>
    <mergeCell ref="E45:M45"/>
    <mergeCell ref="A48:D48"/>
    <mergeCell ref="M6:M7"/>
    <mergeCell ref="A37:E37"/>
    <mergeCell ref="E6:E7"/>
    <mergeCell ref="A49:D49"/>
    <mergeCell ref="B6:B7"/>
    <mergeCell ref="F6:I6"/>
    <mergeCell ref="A45:D45"/>
    <mergeCell ref="E47:M47"/>
    <mergeCell ref="E43:M43"/>
    <mergeCell ref="A46:D46"/>
    <mergeCell ref="A47:D47"/>
    <mergeCell ref="A44:D44"/>
    <mergeCell ref="E46:M46"/>
    <mergeCell ref="K2:M2"/>
    <mergeCell ref="D2:E2"/>
    <mergeCell ref="F37:I37"/>
    <mergeCell ref="A43:D43"/>
    <mergeCell ref="A36:E36"/>
    <mergeCell ref="A6:A7"/>
    <mergeCell ref="A2:C2"/>
    <mergeCell ref="J6:L6"/>
    <mergeCell ref="A34:E34"/>
    <mergeCell ref="G2:H2"/>
    <mergeCell ref="A8:M8"/>
    <mergeCell ref="A4:M4"/>
  </mergeCells>
  <conditionalFormatting sqref="F9:I29">
    <cfRule type="expression" dxfId="29" priority="1">
      <formula>AND(F9&lt;&gt;"",COUNTIF($F9:$I9,"X")&gt;1)</formula>
    </cfRule>
  </conditionalFormatting>
  <conditionalFormatting sqref="F37:L37">
    <cfRule type="expression" dxfId="28" priority="5">
      <formula>LEFT(F37,4)="ERRO"</formula>
    </cfRule>
    <cfRule type="expression" dxfId="27" priority="6">
      <formula>LEFT(F37,2)="OK"</formula>
    </cfRule>
  </conditionalFormatting>
  <conditionalFormatting sqref="J9:L29">
    <cfRule type="expression" dxfId="26" priority="2">
      <formula>AND(J9&lt;&gt;"",COUNTIF($J9:$L9,"X")&gt;1)</formula>
    </cfRule>
  </conditionalFormatting>
  <conditionalFormatting sqref="N9:N29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9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9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29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27</oddHeader>
    <oddFooter>&amp;L&amp;7 RTA / MSI — Programa de Manutenção Rodoviária&amp;C&amp;7 Página &amp;P de &amp;N&amp;R&amp;7 Impresso em &amp;D</oddFooter>
  </headerFooter>
  <rowBreaks count="1" manualBreakCount="1">
    <brk id="32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7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IF(F55=0,NA(),F55)</f>
        <v>4.6401054326800004</v>
      </c>
      <c r="Q2" s="2">
        <f t="shared" si="0"/>
        <v>31.315484788270002</v>
      </c>
      <c r="R2" s="2" t="e">
        <f t="shared" si="0"/>
        <v>#N/A</v>
      </c>
      <c r="S2" s="2" t="e">
        <f t="shared" si="0"/>
        <v>#N/A</v>
      </c>
      <c r="T2" s="2">
        <f t="shared" si="0"/>
        <v>22.545751242050002</v>
      </c>
      <c r="U2" s="2">
        <f t="shared" si="0"/>
        <v>13.409838978900002</v>
      </c>
      <c r="V2" s="2" t="e">
        <f t="shared" si="0"/>
        <v>#N/A</v>
      </c>
    </row>
    <row r="3" spans="1:22" ht="15" customHeight="1" x14ac:dyDescent="0.25">
      <c r="A3" s="50" t="s">
        <v>169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170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171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172</v>
      </c>
      <c r="B9" s="16" t="s">
        <v>49</v>
      </c>
      <c r="C9" s="17">
        <v>0</v>
      </c>
      <c r="D9" s="17">
        <v>1</v>
      </c>
      <c r="E9" s="17">
        <f>D9-C9</f>
        <v>1</v>
      </c>
      <c r="F9" s="18" t="s">
        <v>50</v>
      </c>
      <c r="G9" s="18"/>
      <c r="H9" s="18"/>
      <c r="I9" s="18"/>
      <c r="J9" s="18" t="s">
        <v>50</v>
      </c>
      <c r="K9" s="18"/>
      <c r="L9" s="18"/>
      <c r="M9" s="19"/>
      <c r="N9" s="20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172</v>
      </c>
      <c r="B10" s="16" t="s">
        <v>49</v>
      </c>
      <c r="C10" s="17">
        <v>1</v>
      </c>
      <c r="D10" s="17">
        <v>2</v>
      </c>
      <c r="E10" s="17">
        <f>D10-C10</f>
        <v>1</v>
      </c>
      <c r="F10" s="18" t="s">
        <v>50</v>
      </c>
      <c r="G10" s="18"/>
      <c r="H10" s="18"/>
      <c r="I10" s="18"/>
      <c r="J10" s="18" t="s">
        <v>50</v>
      </c>
      <c r="K10" s="18"/>
      <c r="L10" s="18"/>
      <c r="M10" s="19"/>
      <c r="N10" s="20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20.100000000000001" customHeight="1" x14ac:dyDescent="0.25">
      <c r="A11" s="21" t="s">
        <v>172</v>
      </c>
      <c r="B11" s="22" t="s">
        <v>49</v>
      </c>
      <c r="C11" s="23">
        <v>2</v>
      </c>
      <c r="D11" s="23">
        <v>2.64010543268</v>
      </c>
      <c r="E11" s="23">
        <f>D11-C11</f>
        <v>0.64010543267999997</v>
      </c>
      <c r="F11" s="24" t="s">
        <v>50</v>
      </c>
      <c r="G11" s="24"/>
      <c r="H11" s="24"/>
      <c r="I11" s="24"/>
      <c r="J11" s="24" t="s">
        <v>50</v>
      </c>
      <c r="K11" s="24"/>
      <c r="L11" s="24"/>
      <c r="M11" s="25"/>
      <c r="N11" s="26" t="str">
        <f>IF(COUNTA(F11:L11)=0,"— não preenchido",IF(COUNTIF(F11:I11,"X")&lt;&gt;1,"FALTA/DUPLA: CONDIÇÃO DA PLATAFORMA",IF(COUNTIF(J11:L11,"X")&lt;&gt;1,"FALTA/DUPLA: DRENAGEM SUPERFICIAL","OK")))</f>
        <v>OK</v>
      </c>
    </row>
    <row r="12" spans="1:22" ht="15.95" customHeight="1" x14ac:dyDescent="0.25">
      <c r="A12" s="41" t="s">
        <v>173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4"/>
    </row>
    <row r="13" spans="1:22" ht="20.100000000000001" customHeight="1" x14ac:dyDescent="0.25">
      <c r="A13" s="15" t="s">
        <v>174</v>
      </c>
      <c r="B13" s="16" t="s">
        <v>49</v>
      </c>
      <c r="C13" s="17">
        <v>0</v>
      </c>
      <c r="D13" s="17">
        <v>1</v>
      </c>
      <c r="E13" s="17">
        <f>D13-C13</f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/>
      <c r="N13" s="20" t="str">
        <f>IF(COUNTA(F13:L13)=0,"— não preenchido",IF(COUNTIF(F13:I13,"X")&lt;&gt;1,"FALTA/DUPLA: CONDIÇÃO DA PLATAFORMA",IF(COUNTIF(J13:L13,"X")&lt;&gt;1,"FALTA/DUPLA: DRENAGEM SUPERFICIAL","OK")))</f>
        <v>OK</v>
      </c>
    </row>
    <row r="14" spans="1:22" ht="20.100000000000001" customHeight="1" x14ac:dyDescent="0.25">
      <c r="A14" s="15" t="s">
        <v>174</v>
      </c>
      <c r="B14" s="16" t="s">
        <v>49</v>
      </c>
      <c r="C14" s="17">
        <v>1</v>
      </c>
      <c r="D14" s="17">
        <v>2</v>
      </c>
      <c r="E14" s="17">
        <f>D14-C14</f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>IF(COUNTA(F14:L14)=0,"— não preenchido",IF(COUNTIF(F14:I14,"X")&lt;&gt;1,"FALTA/DUPLA: CONDIÇÃO DA PLATAFORMA",IF(COUNTIF(J14:L14,"X")&lt;&gt;1,"FALTA/DUPLA: DRENAGEM SUPERFICIAL","OK")))</f>
        <v>OK</v>
      </c>
    </row>
    <row r="15" spans="1:22" ht="20.100000000000001" customHeight="1" x14ac:dyDescent="0.25">
      <c r="A15" s="15" t="s">
        <v>174</v>
      </c>
      <c r="B15" s="16" t="s">
        <v>49</v>
      </c>
      <c r="C15" s="17">
        <v>2</v>
      </c>
      <c r="D15" s="17">
        <v>3</v>
      </c>
      <c r="E15" s="17">
        <f>D15-C15</f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>IF(COUNTA(F15:L15)=0,"— não preenchido",IF(COUNTIF(F15:I15,"X")&lt;&gt;1,"FALTA/DUPLA: CONDIÇÃO DA PLATAFORMA",IF(COUNTIF(J15:L15,"X")&lt;&gt;1,"FALTA/DUPLA: DRENAGEM SUPERFICIAL","OK")))</f>
        <v>OK</v>
      </c>
    </row>
    <row r="16" spans="1:22" ht="20.100000000000001" customHeight="1" x14ac:dyDescent="0.25">
      <c r="A16" s="15" t="s">
        <v>174</v>
      </c>
      <c r="B16" s="16" t="s">
        <v>49</v>
      </c>
      <c r="C16" s="17">
        <v>3</v>
      </c>
      <c r="D16" s="17">
        <v>4</v>
      </c>
      <c r="E16" s="17">
        <f>D16-C16</f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>IF(COUNTA(F16:L16)=0,"— não preenchido",IF(COUNTIF(F16:I16,"X")&lt;&gt;1,"FALTA/DUPLA: CONDIÇÃO DA PLATAFORMA",IF(COUNTIF(J16:L16,"X")&lt;&gt;1,"FALTA/DUPLA: DRENAGEM SUPERFICIAL","OK")))</f>
        <v>OK</v>
      </c>
    </row>
    <row r="17" spans="1:14" ht="20.100000000000001" customHeight="1" x14ac:dyDescent="0.25">
      <c r="A17" s="21" t="s">
        <v>174</v>
      </c>
      <c r="B17" s="22" t="s">
        <v>49</v>
      </c>
      <c r="C17" s="23">
        <v>4</v>
      </c>
      <c r="D17" s="23">
        <v>4.9056458093700002</v>
      </c>
      <c r="E17" s="23">
        <f>D17-C17</f>
        <v>0.90564580937000017</v>
      </c>
      <c r="F17" s="24"/>
      <c r="G17" s="24" t="s">
        <v>50</v>
      </c>
      <c r="H17" s="24"/>
      <c r="I17" s="24"/>
      <c r="J17" s="24" t="s">
        <v>50</v>
      </c>
      <c r="K17" s="24"/>
      <c r="L17" s="24"/>
      <c r="M17" s="25"/>
      <c r="N17" s="26" t="str">
        <f>IF(COUNTA(F17:L17)=0,"— não preenchido",IF(COUNTIF(F17:I17,"X")&lt;&gt;1,"FALTA/DUPLA: CONDIÇÃO DA PLATAFORMA",IF(COUNTIF(J17:L17,"X")&lt;&gt;1,"FALTA/DUPLA: DRENAGEM SUPERFICIAL","OK")))</f>
        <v>OK</v>
      </c>
    </row>
    <row r="18" spans="1:14" ht="15.95" customHeight="1" x14ac:dyDescent="0.25">
      <c r="A18" s="41" t="s">
        <v>175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4"/>
    </row>
    <row r="19" spans="1:14" ht="20.100000000000001" customHeight="1" x14ac:dyDescent="0.25">
      <c r="A19" s="15" t="s">
        <v>176</v>
      </c>
      <c r="B19" s="16" t="s">
        <v>49</v>
      </c>
      <c r="C19" s="17">
        <v>0</v>
      </c>
      <c r="D19" s="17">
        <v>1</v>
      </c>
      <c r="E19" s="17">
        <f t="shared" ref="E19:E37" si="1">D19-C19</f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/>
      <c r="N19" s="20" t="str">
        <f t="shared" ref="N19:N37" si="2">IF(COUNTA(F19:L19)=0,"— não preenchido",IF(COUNTIF(F19:I19,"X")&lt;&gt;1,"FALTA/DUPLA: CONDIÇÃO DA PLATAFORMA",IF(COUNTIF(J19:L19,"X")&lt;&gt;1,"FALTA/DUPLA: DRENAGEM SUPERFICIAL","OK")))</f>
        <v>OK</v>
      </c>
    </row>
    <row r="20" spans="1:14" ht="20.100000000000001" customHeight="1" x14ac:dyDescent="0.25">
      <c r="A20" s="15" t="s">
        <v>176</v>
      </c>
      <c r="B20" s="16" t="s">
        <v>49</v>
      </c>
      <c r="C20" s="17">
        <v>1</v>
      </c>
      <c r="D20" s="17">
        <v>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176</v>
      </c>
      <c r="B21" s="16" t="s">
        <v>49</v>
      </c>
      <c r="C21" s="17">
        <v>2</v>
      </c>
      <c r="D21" s="17">
        <v>3</v>
      </c>
      <c r="E21" s="17">
        <f t="shared" si="1"/>
        <v>1</v>
      </c>
      <c r="F21" s="18"/>
      <c r="G21" s="18" t="s">
        <v>50</v>
      </c>
      <c r="H21" s="18"/>
      <c r="I21" s="18"/>
      <c r="J21" s="18" t="s">
        <v>50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176</v>
      </c>
      <c r="B22" s="16" t="s">
        <v>49</v>
      </c>
      <c r="C22" s="17">
        <v>3</v>
      </c>
      <c r="D22" s="17">
        <v>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176</v>
      </c>
      <c r="B23" s="16" t="s">
        <v>49</v>
      </c>
      <c r="C23" s="17">
        <v>4</v>
      </c>
      <c r="D23" s="17">
        <v>5</v>
      </c>
      <c r="E23" s="17">
        <f t="shared" si="1"/>
        <v>1</v>
      </c>
      <c r="F23" s="18"/>
      <c r="G23" s="18" t="s">
        <v>50</v>
      </c>
      <c r="H23" s="18"/>
      <c r="I23" s="18"/>
      <c r="J23" s="18" t="s">
        <v>50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176</v>
      </c>
      <c r="B24" s="16" t="s">
        <v>49</v>
      </c>
      <c r="C24" s="17">
        <v>5</v>
      </c>
      <c r="D24" s="17">
        <v>6</v>
      </c>
      <c r="E24" s="17">
        <f t="shared" si="1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176</v>
      </c>
      <c r="B25" s="16" t="s">
        <v>49</v>
      </c>
      <c r="C25" s="17">
        <v>6</v>
      </c>
      <c r="D25" s="17">
        <v>7</v>
      </c>
      <c r="E25" s="17">
        <f t="shared" si="1"/>
        <v>1</v>
      </c>
      <c r="F25" s="18"/>
      <c r="G25" s="18" t="s">
        <v>50</v>
      </c>
      <c r="H25" s="18"/>
      <c r="I25" s="18"/>
      <c r="J25" s="18" t="s">
        <v>50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176</v>
      </c>
      <c r="B26" s="16" t="s">
        <v>49</v>
      </c>
      <c r="C26" s="17">
        <v>7</v>
      </c>
      <c r="D26" s="17">
        <v>8</v>
      </c>
      <c r="E26" s="17">
        <f t="shared" si="1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176</v>
      </c>
      <c r="B27" s="16" t="s">
        <v>49</v>
      </c>
      <c r="C27" s="17">
        <v>8</v>
      </c>
      <c r="D27" s="17">
        <v>9</v>
      </c>
      <c r="E27" s="17">
        <f t="shared" si="1"/>
        <v>1</v>
      </c>
      <c r="F27" s="18"/>
      <c r="G27" s="18" t="s">
        <v>50</v>
      </c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176</v>
      </c>
      <c r="B28" s="16" t="s">
        <v>49</v>
      </c>
      <c r="C28" s="17">
        <v>9</v>
      </c>
      <c r="D28" s="17">
        <v>10</v>
      </c>
      <c r="E28" s="17">
        <f t="shared" si="1"/>
        <v>1</v>
      </c>
      <c r="F28" s="18"/>
      <c r="G28" s="18" t="s">
        <v>50</v>
      </c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176</v>
      </c>
      <c r="B29" s="16" t="s">
        <v>49</v>
      </c>
      <c r="C29" s="17">
        <v>10</v>
      </c>
      <c r="D29" s="17">
        <v>11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176</v>
      </c>
      <c r="B30" s="16" t="s">
        <v>49</v>
      </c>
      <c r="C30" s="17">
        <v>11</v>
      </c>
      <c r="D30" s="17">
        <v>12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176</v>
      </c>
      <c r="B31" s="16" t="s">
        <v>49</v>
      </c>
      <c r="C31" s="17">
        <v>12</v>
      </c>
      <c r="D31" s="17">
        <v>13</v>
      </c>
      <c r="E31" s="17">
        <f t="shared" si="1"/>
        <v>1</v>
      </c>
      <c r="F31" s="18"/>
      <c r="G31" s="18" t="s">
        <v>50</v>
      </c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176</v>
      </c>
      <c r="B32" s="16" t="s">
        <v>49</v>
      </c>
      <c r="C32" s="17">
        <v>13</v>
      </c>
      <c r="D32" s="17">
        <v>14</v>
      </c>
      <c r="E32" s="17">
        <f t="shared" si="1"/>
        <v>1</v>
      </c>
      <c r="F32" s="18"/>
      <c r="G32" s="18" t="s">
        <v>50</v>
      </c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176</v>
      </c>
      <c r="B33" s="16" t="s">
        <v>49</v>
      </c>
      <c r="C33" s="17">
        <v>14</v>
      </c>
      <c r="D33" s="17">
        <v>15</v>
      </c>
      <c r="E33" s="17">
        <f t="shared" si="1"/>
        <v>1</v>
      </c>
      <c r="F33" s="18"/>
      <c r="G33" s="18" t="s">
        <v>50</v>
      </c>
      <c r="H33" s="18"/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176</v>
      </c>
      <c r="B34" s="16" t="s">
        <v>49</v>
      </c>
      <c r="C34" s="17">
        <v>15</v>
      </c>
      <c r="D34" s="17">
        <v>16</v>
      </c>
      <c r="E34" s="17">
        <f t="shared" si="1"/>
        <v>1</v>
      </c>
      <c r="F34" s="18"/>
      <c r="G34" s="18" t="s">
        <v>50</v>
      </c>
      <c r="H34" s="18"/>
      <c r="I34" s="18"/>
      <c r="J34" s="18"/>
      <c r="K34" s="18" t="s">
        <v>50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176</v>
      </c>
      <c r="B35" s="16" t="s">
        <v>49</v>
      </c>
      <c r="C35" s="17">
        <v>16</v>
      </c>
      <c r="D35" s="17">
        <v>17</v>
      </c>
      <c r="E35" s="17">
        <f t="shared" si="1"/>
        <v>1</v>
      </c>
      <c r="F35" s="18"/>
      <c r="G35" s="18" t="s">
        <v>50</v>
      </c>
      <c r="H35" s="18"/>
      <c r="I35" s="18"/>
      <c r="J35" s="18"/>
      <c r="K35" s="18" t="s">
        <v>50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176</v>
      </c>
      <c r="B36" s="16" t="s">
        <v>49</v>
      </c>
      <c r="C36" s="17">
        <v>17</v>
      </c>
      <c r="D36" s="17">
        <v>18</v>
      </c>
      <c r="E36" s="17">
        <f t="shared" si="1"/>
        <v>1</v>
      </c>
      <c r="F36" s="18"/>
      <c r="G36" s="18" t="s">
        <v>50</v>
      </c>
      <c r="H36" s="18"/>
      <c r="I36" s="18"/>
      <c r="J36" s="18"/>
      <c r="K36" s="18" t="s">
        <v>50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21" t="s">
        <v>176</v>
      </c>
      <c r="B37" s="22" t="s">
        <v>49</v>
      </c>
      <c r="C37" s="23">
        <v>18</v>
      </c>
      <c r="D37" s="23">
        <v>18.043359699300002</v>
      </c>
      <c r="E37" s="23">
        <f t="shared" si="1"/>
        <v>4.3359699300001608E-2</v>
      </c>
      <c r="F37" s="24"/>
      <c r="G37" s="24" t="s">
        <v>50</v>
      </c>
      <c r="H37" s="24"/>
      <c r="I37" s="24"/>
      <c r="J37" s="24"/>
      <c r="K37" s="24" t="s">
        <v>50</v>
      </c>
      <c r="L37" s="24"/>
      <c r="M37" s="25"/>
      <c r="N37" s="26" t="str">
        <f t="shared" si="2"/>
        <v>OK</v>
      </c>
    </row>
    <row r="38" spans="1:14" ht="15.95" customHeight="1" x14ac:dyDescent="0.25">
      <c r="A38" s="41" t="s">
        <v>177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3"/>
      <c r="N38" s="4"/>
    </row>
    <row r="39" spans="1:14" ht="20.100000000000001" customHeight="1" x14ac:dyDescent="0.25">
      <c r="A39" s="15" t="s">
        <v>178</v>
      </c>
      <c r="B39" s="16" t="s">
        <v>49</v>
      </c>
      <c r="C39" s="17">
        <v>0</v>
      </c>
      <c r="D39" s="17">
        <v>1</v>
      </c>
      <c r="E39" s="17">
        <f t="shared" ref="E39:E49" si="3">D39-C39</f>
        <v>1</v>
      </c>
      <c r="F39" s="18"/>
      <c r="G39" s="18" t="s">
        <v>50</v>
      </c>
      <c r="H39" s="18"/>
      <c r="I39" s="18"/>
      <c r="J39" s="18"/>
      <c r="K39" s="18" t="s">
        <v>50</v>
      </c>
      <c r="L39" s="18"/>
      <c r="M39" s="19"/>
      <c r="N39" s="20" t="str">
        <f t="shared" ref="N39:N49" si="4">IF(COUNTA(F39:L39)=0,"— não preenchido",IF(COUNTIF(F39:I39,"X")&lt;&gt;1,"FALTA/DUPLA: CONDIÇÃO DA PLATAFORMA",IF(COUNTIF(J39:L39,"X")&lt;&gt;1,"FALTA/DUPLA: DRENAGEM SUPERFICIAL","OK")))</f>
        <v>OK</v>
      </c>
    </row>
    <row r="40" spans="1:14" ht="20.100000000000001" customHeight="1" x14ac:dyDescent="0.25">
      <c r="A40" s="15" t="s">
        <v>178</v>
      </c>
      <c r="B40" s="16" t="s">
        <v>49</v>
      </c>
      <c r="C40" s="17">
        <v>1</v>
      </c>
      <c r="D40" s="17">
        <v>2</v>
      </c>
      <c r="E40" s="17">
        <f t="shared" si="3"/>
        <v>1</v>
      </c>
      <c r="F40" s="18"/>
      <c r="G40" s="18" t="s">
        <v>50</v>
      </c>
      <c r="H40" s="18"/>
      <c r="I40" s="18"/>
      <c r="J40" s="18"/>
      <c r="K40" s="18" t="s">
        <v>50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178</v>
      </c>
      <c r="B41" s="16" t="s">
        <v>49</v>
      </c>
      <c r="C41" s="17">
        <v>2</v>
      </c>
      <c r="D41" s="17">
        <v>3</v>
      </c>
      <c r="E41" s="17">
        <f t="shared" si="3"/>
        <v>1</v>
      </c>
      <c r="F41" s="18"/>
      <c r="G41" s="18" t="s">
        <v>50</v>
      </c>
      <c r="H41" s="18"/>
      <c r="I41" s="18"/>
      <c r="J41" s="18"/>
      <c r="K41" s="18" t="s">
        <v>50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178</v>
      </c>
      <c r="B42" s="16" t="s">
        <v>49</v>
      </c>
      <c r="C42" s="17">
        <v>3</v>
      </c>
      <c r="D42" s="17">
        <v>4</v>
      </c>
      <c r="E42" s="17">
        <f t="shared" si="3"/>
        <v>1</v>
      </c>
      <c r="F42" s="18"/>
      <c r="G42" s="18" t="s">
        <v>50</v>
      </c>
      <c r="H42" s="18"/>
      <c r="I42" s="18"/>
      <c r="J42" s="18"/>
      <c r="K42" s="18" t="s">
        <v>50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178</v>
      </c>
      <c r="B43" s="16" t="s">
        <v>49</v>
      </c>
      <c r="C43" s="17">
        <v>4</v>
      </c>
      <c r="D43" s="17">
        <v>5</v>
      </c>
      <c r="E43" s="17">
        <f t="shared" si="3"/>
        <v>1</v>
      </c>
      <c r="F43" s="18"/>
      <c r="G43" s="18" t="s">
        <v>50</v>
      </c>
      <c r="H43" s="18"/>
      <c r="I43" s="18"/>
      <c r="J43" s="18"/>
      <c r="K43" s="18" t="s">
        <v>50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178</v>
      </c>
      <c r="B44" s="16" t="s">
        <v>49</v>
      </c>
      <c r="C44" s="17">
        <v>5</v>
      </c>
      <c r="D44" s="17">
        <v>6</v>
      </c>
      <c r="E44" s="17">
        <f t="shared" si="3"/>
        <v>1</v>
      </c>
      <c r="F44" s="18"/>
      <c r="G44" s="18" t="s">
        <v>50</v>
      </c>
      <c r="H44" s="18"/>
      <c r="I44" s="18"/>
      <c r="J44" s="18"/>
      <c r="K44" s="18" t="s">
        <v>50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178</v>
      </c>
      <c r="B45" s="16" t="s">
        <v>49</v>
      </c>
      <c r="C45" s="17">
        <v>6</v>
      </c>
      <c r="D45" s="17">
        <v>7</v>
      </c>
      <c r="E45" s="17">
        <f t="shared" si="3"/>
        <v>1</v>
      </c>
      <c r="F45" s="18"/>
      <c r="G45" s="18" t="s">
        <v>50</v>
      </c>
      <c r="H45" s="18"/>
      <c r="I45" s="18"/>
      <c r="J45" s="18"/>
      <c r="K45" s="18" t="s">
        <v>50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178</v>
      </c>
      <c r="B46" s="16" t="s">
        <v>49</v>
      </c>
      <c r="C46" s="17">
        <v>7</v>
      </c>
      <c r="D46" s="17">
        <v>8</v>
      </c>
      <c r="E46" s="17">
        <f t="shared" si="3"/>
        <v>1</v>
      </c>
      <c r="F46" s="18"/>
      <c r="G46" s="18" t="s">
        <v>50</v>
      </c>
      <c r="H46" s="18"/>
      <c r="I46" s="18"/>
      <c r="J46" s="18"/>
      <c r="K46" s="18" t="s">
        <v>50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178</v>
      </c>
      <c r="B47" s="16" t="s">
        <v>49</v>
      </c>
      <c r="C47" s="17">
        <v>8</v>
      </c>
      <c r="D47" s="17">
        <v>9</v>
      </c>
      <c r="E47" s="17">
        <f t="shared" si="3"/>
        <v>1</v>
      </c>
      <c r="F47" s="18"/>
      <c r="G47" s="18" t="s">
        <v>50</v>
      </c>
      <c r="H47" s="18"/>
      <c r="I47" s="18"/>
      <c r="J47" s="18"/>
      <c r="K47" s="18" t="s">
        <v>50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178</v>
      </c>
      <c r="B48" s="16" t="s">
        <v>49</v>
      </c>
      <c r="C48" s="17">
        <v>9</v>
      </c>
      <c r="D48" s="17">
        <v>10</v>
      </c>
      <c r="E48" s="17">
        <f t="shared" si="3"/>
        <v>1</v>
      </c>
      <c r="F48" s="18"/>
      <c r="G48" s="18" t="s">
        <v>50</v>
      </c>
      <c r="H48" s="18"/>
      <c r="I48" s="18"/>
      <c r="J48" s="18"/>
      <c r="K48" s="18" t="s">
        <v>50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21" t="s">
        <v>178</v>
      </c>
      <c r="B49" s="22" t="s">
        <v>49</v>
      </c>
      <c r="C49" s="23">
        <v>10</v>
      </c>
      <c r="D49" s="23">
        <v>10.3664792796</v>
      </c>
      <c r="E49" s="23">
        <f t="shared" si="3"/>
        <v>0.36647927960000004</v>
      </c>
      <c r="F49" s="24"/>
      <c r="G49" s="24" t="s">
        <v>50</v>
      </c>
      <c r="H49" s="24"/>
      <c r="I49" s="24"/>
      <c r="J49" s="24"/>
      <c r="K49" s="24" t="s">
        <v>50</v>
      </c>
      <c r="L49" s="24"/>
      <c r="M49" s="25"/>
      <c r="N49" s="26" t="str">
        <f t="shared" si="4"/>
        <v>OK</v>
      </c>
    </row>
    <row r="51" spans="1:14" x14ac:dyDescent="0.25">
      <c r="A51" s="37" t="s">
        <v>63</v>
      </c>
      <c r="B51" s="35"/>
      <c r="C51" s="35"/>
      <c r="D51" s="35"/>
      <c r="E51" s="35"/>
      <c r="G51" s="37" t="s">
        <v>63</v>
      </c>
      <c r="H51" s="35"/>
      <c r="I51" s="35"/>
      <c r="J51" s="35"/>
      <c r="K51" s="35"/>
    </row>
    <row r="52" spans="1:14" x14ac:dyDescent="0.25">
      <c r="A52" s="44" t="s">
        <v>64</v>
      </c>
      <c r="B52" s="35"/>
      <c r="C52" s="35"/>
      <c r="D52" s="35"/>
      <c r="E52" s="35"/>
      <c r="G52" s="44" t="s">
        <v>65</v>
      </c>
      <c r="H52" s="35"/>
      <c r="I52" s="35"/>
      <c r="J52" s="35"/>
      <c r="K52" s="35"/>
    </row>
    <row r="54" spans="1:14" x14ac:dyDescent="0.25">
      <c r="A54" s="48" t="s">
        <v>66</v>
      </c>
      <c r="B54" s="35"/>
      <c r="C54" s="35"/>
      <c r="D54" s="35"/>
      <c r="E54" s="35"/>
      <c r="F54" s="27"/>
      <c r="G54" s="27"/>
      <c r="H54" s="27"/>
      <c r="I54" s="27"/>
      <c r="J54" s="27"/>
      <c r="K54" s="27"/>
      <c r="L54" s="27"/>
      <c r="M54" s="27"/>
    </row>
    <row r="55" spans="1:14" x14ac:dyDescent="0.25">
      <c r="A55" s="39" t="s">
        <v>67</v>
      </c>
      <c r="B55" s="35"/>
      <c r="C55" s="35"/>
      <c r="D55" s="35"/>
      <c r="E55" s="35"/>
      <c r="F55" s="9">
        <f t="shared" ref="F55:L55" si="5">SUMIF(F$9:F$49,"X",$E$9:$E$49)</f>
        <v>4.6401054326800004</v>
      </c>
      <c r="G55" s="9">
        <f t="shared" si="5"/>
        <v>31.315484788270002</v>
      </c>
      <c r="H55" s="9">
        <f t="shared" si="5"/>
        <v>0</v>
      </c>
      <c r="I55" s="9">
        <f t="shared" si="5"/>
        <v>0</v>
      </c>
      <c r="J55" s="9">
        <f t="shared" si="5"/>
        <v>22.545751242050002</v>
      </c>
      <c r="K55" s="9">
        <f t="shared" si="5"/>
        <v>13.409838978900002</v>
      </c>
      <c r="L55" s="9">
        <f t="shared" si="5"/>
        <v>0</v>
      </c>
    </row>
    <row r="56" spans="1:14" x14ac:dyDescent="0.25">
      <c r="A56" s="39" t="s">
        <v>68</v>
      </c>
      <c r="B56" s="35"/>
      <c r="C56" s="35"/>
      <c r="D56" s="35"/>
      <c r="E56" s="35"/>
      <c r="F56" s="28">
        <f t="shared" ref="F56:L56" si="6">IF($I58=0,0,F55/$I58)</f>
        <v>0.12905101554907536</v>
      </c>
      <c r="G56" s="28">
        <f t="shared" si="6"/>
        <v>0.87094898445092472</v>
      </c>
      <c r="H56" s="28">
        <f t="shared" si="6"/>
        <v>0</v>
      </c>
      <c r="I56" s="28">
        <f t="shared" si="6"/>
        <v>0</v>
      </c>
      <c r="J56" s="28">
        <f t="shared" si="6"/>
        <v>0.62704439291649905</v>
      </c>
      <c r="K56" s="28">
        <f t="shared" si="6"/>
        <v>0.37295560708350106</v>
      </c>
      <c r="L56" s="28">
        <f t="shared" si="6"/>
        <v>0</v>
      </c>
    </row>
    <row r="57" spans="1:14" x14ac:dyDescent="0.25">
      <c r="A57" s="39" t="s">
        <v>69</v>
      </c>
      <c r="B57" s="35"/>
      <c r="C57" s="35"/>
      <c r="D57" s="35"/>
      <c r="E57" s="35"/>
      <c r="F57" s="38" t="str">
        <f>IF(SUM(F55:I55)=0,"— não preenchido",IF(ROUND(SUM(F55:I55)-$I58,3)=0,"OK — "&amp;ROUND(SUM(F55:I55),3)&amp;" km","ERRO — dif. de "&amp;ROUND(SUM(F55:I55)-$I58,3)&amp;" km"))</f>
        <v>OK — 35,956 km</v>
      </c>
      <c r="G57" s="32"/>
      <c r="H57" s="32"/>
      <c r="I57" s="33"/>
      <c r="J57" s="38" t="str">
        <f>IF(SUM(J55:L55)=0,"— não preenchido",IF(ROUND(SUM(J55:L55)-$I58,3)=0,"OK — "&amp;ROUND(SUM(J55:L55),3)&amp;" km","ERRO — dif. de "&amp;ROUND(SUM(J55:L55)-$I58,3)&amp;" km"))</f>
        <v>OK — 35,956 km</v>
      </c>
      <c r="K57" s="32"/>
      <c r="L57" s="33"/>
    </row>
    <row r="58" spans="1:14" x14ac:dyDescent="0.25">
      <c r="A58" s="39" t="s">
        <v>70</v>
      </c>
      <c r="B58" s="35"/>
      <c r="C58" s="35"/>
      <c r="D58" s="35"/>
      <c r="E58" s="35"/>
      <c r="I58" s="29">
        <f>SUM(E9:E49)</f>
        <v>35.95559022095</v>
      </c>
      <c r="M58" s="8" t="str">
        <f>COUNTIF(N9:N49,"OK")&amp;" de "&amp;COUNT($E$9:$E$49)&amp;" linhas conferidas"</f>
        <v>38 de 38 linhas conferidas</v>
      </c>
    </row>
    <row r="60" spans="1:14" x14ac:dyDescent="0.25">
      <c r="A60" s="49" t="s">
        <v>71</v>
      </c>
      <c r="B60" s="35"/>
      <c r="C60" s="35"/>
      <c r="D60" s="35"/>
      <c r="E60" s="35"/>
    </row>
    <row r="61" spans="1:14" x14ac:dyDescent="0.25">
      <c r="A61" s="39" t="s">
        <v>10</v>
      </c>
      <c r="B61" s="35"/>
      <c r="C61" s="35"/>
      <c r="D61" s="35"/>
      <c r="E61" s="42" t="s">
        <v>72</v>
      </c>
      <c r="F61" s="35"/>
      <c r="G61" s="35"/>
      <c r="H61" s="35"/>
      <c r="I61" s="35"/>
      <c r="J61" s="35"/>
      <c r="K61" s="35"/>
      <c r="L61" s="35"/>
      <c r="M61" s="35"/>
    </row>
    <row r="62" spans="1:14" x14ac:dyDescent="0.25">
      <c r="A62" s="39" t="s">
        <v>11</v>
      </c>
      <c r="B62" s="35"/>
      <c r="C62" s="35"/>
      <c r="D62" s="35"/>
      <c r="E62" s="42" t="s">
        <v>73</v>
      </c>
      <c r="F62" s="35"/>
      <c r="G62" s="35"/>
      <c r="H62" s="35"/>
      <c r="I62" s="35"/>
      <c r="J62" s="35"/>
      <c r="K62" s="35"/>
      <c r="L62" s="35"/>
      <c r="M62" s="35"/>
    </row>
    <row r="63" spans="1:14" x14ac:dyDescent="0.25">
      <c r="A63" s="39" t="s">
        <v>12</v>
      </c>
      <c r="B63" s="35"/>
      <c r="C63" s="35"/>
      <c r="D63" s="35"/>
      <c r="E63" s="42" t="s">
        <v>74</v>
      </c>
      <c r="F63" s="35"/>
      <c r="G63" s="35"/>
      <c r="H63" s="35"/>
      <c r="I63" s="35"/>
      <c r="J63" s="35"/>
      <c r="K63" s="35"/>
      <c r="L63" s="35"/>
      <c r="M63" s="35"/>
    </row>
    <row r="64" spans="1:14" x14ac:dyDescent="0.25">
      <c r="A64" s="39" t="s">
        <v>75</v>
      </c>
      <c r="B64" s="35"/>
      <c r="C64" s="35"/>
      <c r="D64" s="35"/>
      <c r="E64" s="42" t="s">
        <v>76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9" t="s">
        <v>77</v>
      </c>
      <c r="B65" s="35"/>
      <c r="C65" s="35"/>
      <c r="D65" s="35"/>
      <c r="E65" s="42" t="s">
        <v>78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9" t="s">
        <v>79</v>
      </c>
      <c r="B66" s="35"/>
      <c r="C66" s="35"/>
      <c r="D66" s="35"/>
      <c r="E66" s="42" t="s">
        <v>80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9" t="s">
        <v>41</v>
      </c>
      <c r="B67" s="35"/>
      <c r="C67" s="35"/>
      <c r="D67" s="35"/>
      <c r="E67" s="42" t="s">
        <v>81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9" t="s">
        <v>82</v>
      </c>
      <c r="B68" s="35"/>
      <c r="C68" s="35"/>
      <c r="D68" s="35"/>
      <c r="E68" s="42" t="s">
        <v>83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9" t="s">
        <v>84</v>
      </c>
      <c r="B69" s="35"/>
      <c r="C69" s="35"/>
      <c r="D69" s="35"/>
      <c r="E69" s="42" t="s">
        <v>85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9" t="s">
        <v>8</v>
      </c>
      <c r="B70" s="35"/>
      <c r="C70" s="35"/>
      <c r="D70" s="35"/>
      <c r="E70" s="42" t="s">
        <v>86</v>
      </c>
      <c r="F70" s="35"/>
      <c r="G70" s="35"/>
      <c r="H70" s="35"/>
      <c r="I70" s="35"/>
      <c r="J70" s="35"/>
      <c r="K70" s="35"/>
      <c r="L70" s="35"/>
      <c r="M70" s="35"/>
    </row>
  </sheetData>
  <sheetProtection sheet="1" formatCells="0"/>
  <mergeCells count="53">
    <mergeCell ref="N6:N7"/>
    <mergeCell ref="K3:M3"/>
    <mergeCell ref="A66:D66"/>
    <mergeCell ref="E62:M62"/>
    <mergeCell ref="J57:L57"/>
    <mergeCell ref="G51:K51"/>
    <mergeCell ref="A52:E52"/>
    <mergeCell ref="A3:J3"/>
    <mergeCell ref="A12:M12"/>
    <mergeCell ref="A18:M18"/>
    <mergeCell ref="C6:C7"/>
    <mergeCell ref="E64:M64"/>
    <mergeCell ref="D6:D7"/>
    <mergeCell ref="A1:M1"/>
    <mergeCell ref="A57:E57"/>
    <mergeCell ref="A61:D61"/>
    <mergeCell ref="A69:D69"/>
    <mergeCell ref="E66:M66"/>
    <mergeCell ref="A65:D65"/>
    <mergeCell ref="E68:M68"/>
    <mergeCell ref="E67:M67"/>
    <mergeCell ref="E70:M70"/>
    <mergeCell ref="E6:E7"/>
    <mergeCell ref="B6:B7"/>
    <mergeCell ref="A56:E56"/>
    <mergeCell ref="F6:I6"/>
    <mergeCell ref="A55:E55"/>
    <mergeCell ref="A70:D70"/>
    <mergeCell ref="E69:M69"/>
    <mergeCell ref="A6:A7"/>
    <mergeCell ref="E65:M65"/>
    <mergeCell ref="A63:D63"/>
    <mergeCell ref="A38:M38"/>
    <mergeCell ref="A68:D68"/>
    <mergeCell ref="A67:D67"/>
    <mergeCell ref="F57:I57"/>
    <mergeCell ref="A54:E54"/>
    <mergeCell ref="E61:M61"/>
    <mergeCell ref="A64:D64"/>
    <mergeCell ref="M6:M7"/>
    <mergeCell ref="J6:L6"/>
    <mergeCell ref="G52:K52"/>
    <mergeCell ref="A58:E58"/>
    <mergeCell ref="E63:M63"/>
    <mergeCell ref="G2:H2"/>
    <mergeCell ref="A8:M8"/>
    <mergeCell ref="A62:D62"/>
    <mergeCell ref="A60:E60"/>
    <mergeCell ref="A4:M4"/>
    <mergeCell ref="A51:E51"/>
    <mergeCell ref="A2:C2"/>
    <mergeCell ref="K2:M2"/>
    <mergeCell ref="D2:E2"/>
  </mergeCells>
  <conditionalFormatting sqref="F9:I49">
    <cfRule type="expression" dxfId="23" priority="1">
      <formula>AND(F9&lt;&gt;"",COUNTIF($F9:$I9,"X")&gt;1)</formula>
    </cfRule>
  </conditionalFormatting>
  <conditionalFormatting sqref="F57:L57">
    <cfRule type="expression" dxfId="22" priority="5">
      <formula>LEFT(F57,4)="ERRO"</formula>
    </cfRule>
    <cfRule type="expression" dxfId="21" priority="6">
      <formula>LEFT(F57,2)="OK"</formula>
    </cfRule>
  </conditionalFormatting>
  <conditionalFormatting sqref="J9:L49">
    <cfRule type="expression" dxfId="20" priority="2">
      <formula>AND(J9&lt;&gt;"",COUNTIF($J9:$L9,"X")&gt;1)</formula>
    </cfRule>
  </conditionalFormatting>
  <conditionalFormatting sqref="N9:N49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9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9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9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31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7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IF(F61=0,NA(),F61)</f>
        <v>33.483452889900001</v>
      </c>
      <c r="Q2" s="2">
        <f t="shared" si="0"/>
        <v>11.409328083399998</v>
      </c>
      <c r="R2" s="2" t="e">
        <f t="shared" si="0"/>
        <v>#N/A</v>
      </c>
      <c r="S2" s="2" t="e">
        <f t="shared" si="0"/>
        <v>#N/A</v>
      </c>
      <c r="T2" s="2">
        <f t="shared" si="0"/>
        <v>24.483452889900001</v>
      </c>
      <c r="U2" s="2">
        <f t="shared" si="0"/>
        <v>20.409328083399998</v>
      </c>
      <c r="V2" s="2" t="e">
        <f t="shared" si="0"/>
        <v>#N/A</v>
      </c>
    </row>
    <row r="3" spans="1:22" ht="15" customHeight="1" x14ac:dyDescent="0.25">
      <c r="A3" s="50" t="s">
        <v>179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180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181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182</v>
      </c>
      <c r="B9" s="16" t="s">
        <v>49</v>
      </c>
      <c r="C9" s="17">
        <v>0</v>
      </c>
      <c r="D9" s="17">
        <v>1</v>
      </c>
      <c r="E9" s="17">
        <f t="shared" ref="E9:E27" si="1">D9-C9</f>
        <v>1</v>
      </c>
      <c r="F9" s="18"/>
      <c r="G9" s="18" t="s">
        <v>50</v>
      </c>
      <c r="H9" s="18"/>
      <c r="I9" s="18"/>
      <c r="J9" s="18" t="s">
        <v>50</v>
      </c>
      <c r="K9" s="18"/>
      <c r="L9" s="18"/>
      <c r="M9" s="19"/>
      <c r="N9" s="20" t="str">
        <f t="shared" ref="N9:N2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182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 t="s">
        <v>50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182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 t="s">
        <v>50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182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 t="s">
        <v>50</v>
      </c>
      <c r="G12" s="18"/>
      <c r="H12" s="18"/>
      <c r="I12" s="18"/>
      <c r="J12" s="18" t="s">
        <v>50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182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 t="s">
        <v>50</v>
      </c>
      <c r="G13" s="18"/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182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182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182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182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 t="s">
        <v>50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182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182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182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182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 t="s">
        <v>50</v>
      </c>
      <c r="G21" s="18"/>
      <c r="H21" s="18"/>
      <c r="I21" s="18"/>
      <c r="J21" s="18"/>
      <c r="K21" s="18" t="s">
        <v>50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182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 t="s">
        <v>50</v>
      </c>
      <c r="G22" s="18"/>
      <c r="H22" s="18"/>
      <c r="I22" s="18"/>
      <c r="J22" s="18"/>
      <c r="K22" s="18" t="s">
        <v>50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182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 t="s">
        <v>50</v>
      </c>
      <c r="G23" s="18"/>
      <c r="H23" s="18"/>
      <c r="I23" s="18"/>
      <c r="J23" s="18"/>
      <c r="K23" s="18" t="s">
        <v>50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182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 t="s">
        <v>50</v>
      </c>
      <c r="G24" s="18"/>
      <c r="H24" s="18"/>
      <c r="I24" s="18"/>
      <c r="J24" s="18"/>
      <c r="K24" s="18" t="s">
        <v>50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182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182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/>
      <c r="G26" s="18" t="s">
        <v>50</v>
      </c>
      <c r="H26" s="18"/>
      <c r="I26" s="18"/>
      <c r="J26" s="18"/>
      <c r="K26" s="18" t="s">
        <v>50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21" t="s">
        <v>182</v>
      </c>
      <c r="B27" s="22" t="s">
        <v>49</v>
      </c>
      <c r="C27" s="23">
        <v>18</v>
      </c>
      <c r="D27" s="23">
        <v>18.409328083399998</v>
      </c>
      <c r="E27" s="23">
        <f t="shared" si="1"/>
        <v>0.40932808339999838</v>
      </c>
      <c r="F27" s="24"/>
      <c r="G27" s="24" t="s">
        <v>50</v>
      </c>
      <c r="H27" s="24"/>
      <c r="I27" s="24"/>
      <c r="J27" s="24"/>
      <c r="K27" s="24" t="s">
        <v>50</v>
      </c>
      <c r="L27" s="24"/>
      <c r="M27" s="25"/>
      <c r="N27" s="26" t="str">
        <f t="shared" si="2"/>
        <v>OK</v>
      </c>
    </row>
    <row r="28" spans="1:14" ht="15.95" customHeight="1" x14ac:dyDescent="0.25">
      <c r="A28" s="41" t="s">
        <v>183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4"/>
    </row>
    <row r="29" spans="1:14" ht="20.100000000000001" customHeight="1" x14ac:dyDescent="0.25">
      <c r="A29" s="15" t="s">
        <v>184</v>
      </c>
      <c r="B29" s="16" t="s">
        <v>49</v>
      </c>
      <c r="C29" s="17">
        <v>0</v>
      </c>
      <c r="D29" s="17">
        <v>1</v>
      </c>
      <c r="E29" s="17">
        <f t="shared" ref="E29:E55" si="3">D29-C29</f>
        <v>1</v>
      </c>
      <c r="F29" s="18" t="s">
        <v>50</v>
      </c>
      <c r="G29" s="18"/>
      <c r="H29" s="18"/>
      <c r="I29" s="18"/>
      <c r="J29" s="18"/>
      <c r="K29" s="18" t="s">
        <v>50</v>
      </c>
      <c r="L29" s="18"/>
      <c r="M29" s="19"/>
      <c r="N29" s="20" t="str">
        <f t="shared" ref="N29:N55" si="4">IF(COUNTA(F29:L29)=0,"— não preenchido",IF(COUNTIF(F29:I29,"X")&lt;&gt;1,"FALTA/DUPLA: CONDIÇÃO DA PLATAFORMA",IF(COUNTIF(J29:L29,"X")&lt;&gt;1,"FALTA/DUPLA: DRENAGEM SUPERFICIAL","OK")))</f>
        <v>OK</v>
      </c>
    </row>
    <row r="30" spans="1:14" ht="20.100000000000001" customHeight="1" x14ac:dyDescent="0.25">
      <c r="A30" s="15" t="s">
        <v>184</v>
      </c>
      <c r="B30" s="16" t="s">
        <v>49</v>
      </c>
      <c r="C30" s="17">
        <v>1</v>
      </c>
      <c r="D30" s="17">
        <v>2</v>
      </c>
      <c r="E30" s="17">
        <f t="shared" si="3"/>
        <v>1</v>
      </c>
      <c r="F30" s="18" t="s">
        <v>50</v>
      </c>
      <c r="G30" s="18"/>
      <c r="H30" s="18"/>
      <c r="I30" s="18"/>
      <c r="J30" s="18"/>
      <c r="K30" s="18" t="s">
        <v>50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184</v>
      </c>
      <c r="B31" s="16" t="s">
        <v>49</v>
      </c>
      <c r="C31" s="17">
        <v>2</v>
      </c>
      <c r="D31" s="17">
        <v>3</v>
      </c>
      <c r="E31" s="17">
        <f t="shared" si="3"/>
        <v>1</v>
      </c>
      <c r="F31" s="18" t="s">
        <v>50</v>
      </c>
      <c r="G31" s="18"/>
      <c r="H31" s="18"/>
      <c r="I31" s="18"/>
      <c r="J31" s="18"/>
      <c r="K31" s="18" t="s">
        <v>50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184</v>
      </c>
      <c r="B32" s="16" t="s">
        <v>49</v>
      </c>
      <c r="C32" s="17">
        <v>3</v>
      </c>
      <c r="D32" s="17">
        <v>4</v>
      </c>
      <c r="E32" s="17">
        <f t="shared" si="3"/>
        <v>1</v>
      </c>
      <c r="F32" s="18" t="s">
        <v>50</v>
      </c>
      <c r="G32" s="18"/>
      <c r="H32" s="18"/>
      <c r="I32" s="18"/>
      <c r="J32" s="18"/>
      <c r="K32" s="18" t="s">
        <v>50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184</v>
      </c>
      <c r="B33" s="16" t="s">
        <v>49</v>
      </c>
      <c r="C33" s="17">
        <v>4</v>
      </c>
      <c r="D33" s="17">
        <v>5</v>
      </c>
      <c r="E33" s="17">
        <f t="shared" si="3"/>
        <v>1</v>
      </c>
      <c r="F33" s="18" t="s">
        <v>50</v>
      </c>
      <c r="G33" s="18"/>
      <c r="H33" s="18"/>
      <c r="I33" s="18"/>
      <c r="J33" s="18"/>
      <c r="K33" s="18" t="s">
        <v>50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184</v>
      </c>
      <c r="B34" s="16" t="s">
        <v>49</v>
      </c>
      <c r="C34" s="17">
        <v>5</v>
      </c>
      <c r="D34" s="17">
        <v>6</v>
      </c>
      <c r="E34" s="17">
        <f t="shared" si="3"/>
        <v>1</v>
      </c>
      <c r="F34" s="18" t="s">
        <v>50</v>
      </c>
      <c r="G34" s="18"/>
      <c r="H34" s="18"/>
      <c r="I34" s="18"/>
      <c r="J34" s="18"/>
      <c r="K34" s="18" t="s">
        <v>50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184</v>
      </c>
      <c r="B35" s="16" t="s">
        <v>49</v>
      </c>
      <c r="C35" s="17">
        <v>6</v>
      </c>
      <c r="D35" s="17">
        <v>7</v>
      </c>
      <c r="E35" s="17">
        <f t="shared" si="3"/>
        <v>1</v>
      </c>
      <c r="F35" s="18" t="s">
        <v>50</v>
      </c>
      <c r="G35" s="18"/>
      <c r="H35" s="18"/>
      <c r="I35" s="18"/>
      <c r="J35" s="18"/>
      <c r="K35" s="18" t="s">
        <v>50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184</v>
      </c>
      <c r="B36" s="16" t="s">
        <v>49</v>
      </c>
      <c r="C36" s="17">
        <v>7</v>
      </c>
      <c r="D36" s="17">
        <v>8</v>
      </c>
      <c r="E36" s="17">
        <f t="shared" si="3"/>
        <v>1</v>
      </c>
      <c r="F36" s="18"/>
      <c r="G36" s="18" t="s">
        <v>50</v>
      </c>
      <c r="H36" s="18"/>
      <c r="I36" s="18"/>
      <c r="J36" s="18"/>
      <c r="K36" s="18" t="s">
        <v>50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184</v>
      </c>
      <c r="B37" s="16" t="s">
        <v>49</v>
      </c>
      <c r="C37" s="17">
        <v>8</v>
      </c>
      <c r="D37" s="17">
        <v>9</v>
      </c>
      <c r="E37" s="17">
        <f t="shared" si="3"/>
        <v>1</v>
      </c>
      <c r="F37" s="18"/>
      <c r="G37" s="18" t="s">
        <v>50</v>
      </c>
      <c r="H37" s="18"/>
      <c r="I37" s="18"/>
      <c r="J37" s="18"/>
      <c r="K37" s="18" t="s">
        <v>50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184</v>
      </c>
      <c r="B38" s="16" t="s">
        <v>49</v>
      </c>
      <c r="C38" s="17">
        <v>9</v>
      </c>
      <c r="D38" s="17">
        <v>10</v>
      </c>
      <c r="E38" s="17">
        <f t="shared" si="3"/>
        <v>1</v>
      </c>
      <c r="F38" s="18" t="s">
        <v>50</v>
      </c>
      <c r="G38" s="18"/>
      <c r="H38" s="18"/>
      <c r="I38" s="18"/>
      <c r="J38" s="18"/>
      <c r="K38" s="18" t="s">
        <v>50</v>
      </c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184</v>
      </c>
      <c r="B39" s="16" t="s">
        <v>49</v>
      </c>
      <c r="C39" s="17">
        <v>10</v>
      </c>
      <c r="D39" s="17">
        <v>11</v>
      </c>
      <c r="E39" s="17">
        <f t="shared" si="3"/>
        <v>1</v>
      </c>
      <c r="F39" s="18" t="s">
        <v>50</v>
      </c>
      <c r="G39" s="18"/>
      <c r="H39" s="18"/>
      <c r="I39" s="18"/>
      <c r="J39" s="18"/>
      <c r="K39" s="18" t="s">
        <v>50</v>
      </c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184</v>
      </c>
      <c r="B40" s="16" t="s">
        <v>49</v>
      </c>
      <c r="C40" s="17">
        <v>11</v>
      </c>
      <c r="D40" s="17">
        <v>12</v>
      </c>
      <c r="E40" s="17">
        <f t="shared" si="3"/>
        <v>1</v>
      </c>
      <c r="F40" s="18" t="s">
        <v>50</v>
      </c>
      <c r="G40" s="18"/>
      <c r="H40" s="18"/>
      <c r="I40" s="18"/>
      <c r="J40" s="18" t="s">
        <v>50</v>
      </c>
      <c r="K40" s="18"/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184</v>
      </c>
      <c r="B41" s="16" t="s">
        <v>49</v>
      </c>
      <c r="C41" s="17">
        <v>12</v>
      </c>
      <c r="D41" s="17">
        <v>13</v>
      </c>
      <c r="E41" s="17">
        <f t="shared" si="3"/>
        <v>1</v>
      </c>
      <c r="F41" s="18" t="s">
        <v>50</v>
      </c>
      <c r="G41" s="18"/>
      <c r="H41" s="18"/>
      <c r="I41" s="18"/>
      <c r="J41" s="18" t="s">
        <v>50</v>
      </c>
      <c r="K41" s="18"/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184</v>
      </c>
      <c r="B42" s="16" t="s">
        <v>49</v>
      </c>
      <c r="C42" s="17">
        <v>13</v>
      </c>
      <c r="D42" s="17">
        <v>14</v>
      </c>
      <c r="E42" s="17">
        <f t="shared" si="3"/>
        <v>1</v>
      </c>
      <c r="F42" s="18" t="s">
        <v>50</v>
      </c>
      <c r="G42" s="18"/>
      <c r="H42" s="18"/>
      <c r="I42" s="18"/>
      <c r="J42" s="18" t="s">
        <v>50</v>
      </c>
      <c r="K42" s="18"/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184</v>
      </c>
      <c r="B43" s="16" t="s">
        <v>49</v>
      </c>
      <c r="C43" s="17">
        <v>14</v>
      </c>
      <c r="D43" s="17">
        <v>15</v>
      </c>
      <c r="E43" s="17">
        <f t="shared" si="3"/>
        <v>1</v>
      </c>
      <c r="F43" s="18" t="s">
        <v>50</v>
      </c>
      <c r="G43" s="18"/>
      <c r="H43" s="18"/>
      <c r="I43" s="18"/>
      <c r="J43" s="18" t="s">
        <v>50</v>
      </c>
      <c r="K43" s="18"/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184</v>
      </c>
      <c r="B44" s="16" t="s">
        <v>49</v>
      </c>
      <c r="C44" s="17">
        <v>15</v>
      </c>
      <c r="D44" s="17">
        <v>16</v>
      </c>
      <c r="E44" s="17">
        <f t="shared" si="3"/>
        <v>1</v>
      </c>
      <c r="F44" s="18" t="s">
        <v>50</v>
      </c>
      <c r="G44" s="18"/>
      <c r="H44" s="18"/>
      <c r="I44" s="18"/>
      <c r="J44" s="18" t="s">
        <v>50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184</v>
      </c>
      <c r="B45" s="16" t="s">
        <v>49</v>
      </c>
      <c r="C45" s="17">
        <v>16</v>
      </c>
      <c r="D45" s="17">
        <v>17</v>
      </c>
      <c r="E45" s="17">
        <f t="shared" si="3"/>
        <v>1</v>
      </c>
      <c r="F45" s="18" t="s">
        <v>50</v>
      </c>
      <c r="G45" s="18"/>
      <c r="H45" s="18"/>
      <c r="I45" s="18"/>
      <c r="J45" s="18" t="s">
        <v>50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184</v>
      </c>
      <c r="B46" s="16" t="s">
        <v>49</v>
      </c>
      <c r="C46" s="17">
        <v>17</v>
      </c>
      <c r="D46" s="17">
        <v>18</v>
      </c>
      <c r="E46" s="17">
        <f t="shared" si="3"/>
        <v>1</v>
      </c>
      <c r="F46" s="18" t="s">
        <v>50</v>
      </c>
      <c r="G46" s="18"/>
      <c r="H46" s="18"/>
      <c r="I46" s="18"/>
      <c r="J46" s="18" t="s">
        <v>50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184</v>
      </c>
      <c r="B47" s="16" t="s">
        <v>49</v>
      </c>
      <c r="C47" s="17">
        <v>18</v>
      </c>
      <c r="D47" s="17">
        <v>19</v>
      </c>
      <c r="E47" s="17">
        <f t="shared" si="3"/>
        <v>1</v>
      </c>
      <c r="F47" s="18" t="s">
        <v>50</v>
      </c>
      <c r="G47" s="18"/>
      <c r="H47" s="18"/>
      <c r="I47" s="18"/>
      <c r="J47" s="18" t="s">
        <v>50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184</v>
      </c>
      <c r="B48" s="16" t="s">
        <v>49</v>
      </c>
      <c r="C48" s="17">
        <v>19</v>
      </c>
      <c r="D48" s="17">
        <v>20</v>
      </c>
      <c r="E48" s="17">
        <f t="shared" si="3"/>
        <v>1</v>
      </c>
      <c r="F48" s="18" t="s">
        <v>50</v>
      </c>
      <c r="G48" s="18"/>
      <c r="H48" s="18"/>
      <c r="I48" s="18"/>
      <c r="J48" s="18" t="s">
        <v>50</v>
      </c>
      <c r="K48" s="18"/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184</v>
      </c>
      <c r="B49" s="16" t="s">
        <v>49</v>
      </c>
      <c r="C49" s="17">
        <v>20</v>
      </c>
      <c r="D49" s="17">
        <v>21</v>
      </c>
      <c r="E49" s="17">
        <f t="shared" si="3"/>
        <v>1</v>
      </c>
      <c r="F49" s="18" t="s">
        <v>50</v>
      </c>
      <c r="G49" s="18"/>
      <c r="H49" s="18"/>
      <c r="I49" s="18"/>
      <c r="J49" s="18" t="s">
        <v>50</v>
      </c>
      <c r="K49" s="18"/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184</v>
      </c>
      <c r="B50" s="16" t="s">
        <v>49</v>
      </c>
      <c r="C50" s="17">
        <v>21</v>
      </c>
      <c r="D50" s="17">
        <v>22</v>
      </c>
      <c r="E50" s="17">
        <f t="shared" si="3"/>
        <v>1</v>
      </c>
      <c r="F50" s="18" t="s">
        <v>50</v>
      </c>
      <c r="G50" s="18"/>
      <c r="H50" s="18"/>
      <c r="I50" s="18"/>
      <c r="J50" s="18" t="s">
        <v>50</v>
      </c>
      <c r="K50" s="18"/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184</v>
      </c>
      <c r="B51" s="16" t="s">
        <v>49</v>
      </c>
      <c r="C51" s="17">
        <v>22</v>
      </c>
      <c r="D51" s="17">
        <v>23</v>
      </c>
      <c r="E51" s="17">
        <f t="shared" si="3"/>
        <v>1</v>
      </c>
      <c r="F51" s="18" t="s">
        <v>50</v>
      </c>
      <c r="G51" s="18"/>
      <c r="H51" s="18"/>
      <c r="I51" s="18"/>
      <c r="J51" s="18" t="s">
        <v>50</v>
      </c>
      <c r="K51" s="18"/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184</v>
      </c>
      <c r="B52" s="16" t="s">
        <v>49</v>
      </c>
      <c r="C52" s="17">
        <v>23</v>
      </c>
      <c r="D52" s="17">
        <v>24</v>
      </c>
      <c r="E52" s="17">
        <f t="shared" si="3"/>
        <v>1</v>
      </c>
      <c r="F52" s="18" t="s">
        <v>50</v>
      </c>
      <c r="G52" s="18"/>
      <c r="H52" s="18"/>
      <c r="I52" s="18"/>
      <c r="J52" s="18" t="s">
        <v>50</v>
      </c>
      <c r="K52" s="18"/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184</v>
      </c>
      <c r="B53" s="16" t="s">
        <v>49</v>
      </c>
      <c r="C53" s="17">
        <v>24</v>
      </c>
      <c r="D53" s="17">
        <v>25</v>
      </c>
      <c r="E53" s="17">
        <f t="shared" si="3"/>
        <v>1</v>
      </c>
      <c r="F53" s="18" t="s">
        <v>50</v>
      </c>
      <c r="G53" s="18"/>
      <c r="H53" s="18"/>
      <c r="I53" s="18"/>
      <c r="J53" s="18" t="s">
        <v>50</v>
      </c>
      <c r="K53" s="18"/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184</v>
      </c>
      <c r="B54" s="16" t="s">
        <v>49</v>
      </c>
      <c r="C54" s="17">
        <v>25</v>
      </c>
      <c r="D54" s="17">
        <v>26</v>
      </c>
      <c r="E54" s="17">
        <f t="shared" si="3"/>
        <v>1</v>
      </c>
      <c r="F54" s="18" t="s">
        <v>50</v>
      </c>
      <c r="G54" s="18"/>
      <c r="H54" s="18"/>
      <c r="I54" s="18"/>
      <c r="J54" s="18" t="s">
        <v>50</v>
      </c>
      <c r="K54" s="18"/>
      <c r="L54" s="18"/>
      <c r="M54" s="19"/>
      <c r="N54" s="20" t="str">
        <f t="shared" si="4"/>
        <v>OK</v>
      </c>
    </row>
    <row r="55" spans="1:14" ht="20.100000000000001" customHeight="1" x14ac:dyDescent="0.25">
      <c r="A55" s="21" t="s">
        <v>184</v>
      </c>
      <c r="B55" s="22" t="s">
        <v>49</v>
      </c>
      <c r="C55" s="23">
        <v>26</v>
      </c>
      <c r="D55" s="23">
        <v>26.483452889900001</v>
      </c>
      <c r="E55" s="23">
        <f t="shared" si="3"/>
        <v>0.48345288990000057</v>
      </c>
      <c r="F55" s="24" t="s">
        <v>50</v>
      </c>
      <c r="G55" s="24"/>
      <c r="H55" s="24"/>
      <c r="I55" s="24"/>
      <c r="J55" s="24" t="s">
        <v>50</v>
      </c>
      <c r="K55" s="24"/>
      <c r="L55" s="24"/>
      <c r="M55" s="25"/>
      <c r="N55" s="26" t="str">
        <f t="shared" si="4"/>
        <v>OK</v>
      </c>
    </row>
    <row r="57" spans="1:14" x14ac:dyDescent="0.25">
      <c r="A57" s="37" t="s">
        <v>63</v>
      </c>
      <c r="B57" s="35"/>
      <c r="C57" s="35"/>
      <c r="D57" s="35"/>
      <c r="E57" s="35"/>
      <c r="G57" s="37" t="s">
        <v>63</v>
      </c>
      <c r="H57" s="35"/>
      <c r="I57" s="35"/>
      <c r="J57" s="35"/>
      <c r="K57" s="35"/>
    </row>
    <row r="58" spans="1:14" x14ac:dyDescent="0.25">
      <c r="A58" s="44" t="s">
        <v>64</v>
      </c>
      <c r="B58" s="35"/>
      <c r="C58" s="35"/>
      <c r="D58" s="35"/>
      <c r="E58" s="35"/>
      <c r="G58" s="44" t="s">
        <v>65</v>
      </c>
      <c r="H58" s="35"/>
      <c r="I58" s="35"/>
      <c r="J58" s="35"/>
      <c r="K58" s="35"/>
    </row>
    <row r="60" spans="1:14" x14ac:dyDescent="0.25">
      <c r="A60" s="48" t="s">
        <v>66</v>
      </c>
      <c r="B60" s="35"/>
      <c r="C60" s="35"/>
      <c r="D60" s="35"/>
      <c r="E60" s="35"/>
      <c r="F60" s="27"/>
      <c r="G60" s="27"/>
      <c r="H60" s="27"/>
      <c r="I60" s="27"/>
      <c r="J60" s="27"/>
      <c r="K60" s="27"/>
      <c r="L60" s="27"/>
      <c r="M60" s="27"/>
    </row>
    <row r="61" spans="1:14" x14ac:dyDescent="0.25">
      <c r="A61" s="39" t="s">
        <v>67</v>
      </c>
      <c r="B61" s="35"/>
      <c r="C61" s="35"/>
      <c r="D61" s="35"/>
      <c r="E61" s="35"/>
      <c r="F61" s="9">
        <f t="shared" ref="F61:L61" si="5">SUMIF(F$9:F$55,"X",$E$9:$E$55)</f>
        <v>33.483452889900001</v>
      </c>
      <c r="G61" s="9">
        <f t="shared" si="5"/>
        <v>11.409328083399998</v>
      </c>
      <c r="H61" s="9">
        <f t="shared" si="5"/>
        <v>0</v>
      </c>
      <c r="I61" s="9">
        <f t="shared" si="5"/>
        <v>0</v>
      </c>
      <c r="J61" s="9">
        <f t="shared" si="5"/>
        <v>24.483452889900001</v>
      </c>
      <c r="K61" s="9">
        <f t="shared" si="5"/>
        <v>20.409328083399998</v>
      </c>
      <c r="L61" s="9">
        <f t="shared" si="5"/>
        <v>0</v>
      </c>
    </row>
    <row r="62" spans="1:14" x14ac:dyDescent="0.25">
      <c r="A62" s="39" t="s">
        <v>68</v>
      </c>
      <c r="B62" s="35"/>
      <c r="C62" s="35"/>
      <c r="D62" s="35"/>
      <c r="E62" s="35"/>
      <c r="F62" s="28">
        <f t="shared" ref="F62:L62" si="6">IF($I64=0,0,F61/$I64)</f>
        <v>0.74585383582750864</v>
      </c>
      <c r="G62" s="28">
        <f t="shared" si="6"/>
        <v>0.25414616417249136</v>
      </c>
      <c r="H62" s="28">
        <f t="shared" si="6"/>
        <v>0</v>
      </c>
      <c r="I62" s="28">
        <f t="shared" si="6"/>
        <v>0</v>
      </c>
      <c r="J62" s="28">
        <f t="shared" si="6"/>
        <v>0.54537616870876293</v>
      </c>
      <c r="K62" s="28">
        <f t="shared" si="6"/>
        <v>0.45462383129123712</v>
      </c>
      <c r="L62" s="28">
        <f t="shared" si="6"/>
        <v>0</v>
      </c>
    </row>
    <row r="63" spans="1:14" x14ac:dyDescent="0.25">
      <c r="A63" s="39" t="s">
        <v>69</v>
      </c>
      <c r="B63" s="35"/>
      <c r="C63" s="35"/>
      <c r="D63" s="35"/>
      <c r="E63" s="35"/>
      <c r="F63" s="38" t="str">
        <f>IF(SUM(F61:I61)=0,"— não preenchido",IF(ROUND(SUM(F61:I61)-$I64,3)=0,"OK — "&amp;ROUND(SUM(F61:I61),3)&amp;" km","ERRO — dif. de "&amp;ROUND(SUM(F61:I61)-$I64,3)&amp;" km"))</f>
        <v>OK — 44,893 km</v>
      </c>
      <c r="G63" s="32"/>
      <c r="H63" s="32"/>
      <c r="I63" s="33"/>
      <c r="J63" s="38" t="str">
        <f>IF(SUM(J61:L61)=0,"— não preenchido",IF(ROUND(SUM(J61:L61)-$I64,3)=0,"OK — "&amp;ROUND(SUM(J61:L61),3)&amp;" km","ERRO — dif. de "&amp;ROUND(SUM(J61:L61)-$I64,3)&amp;" km"))</f>
        <v>OK — 44,893 km</v>
      </c>
      <c r="K63" s="32"/>
      <c r="L63" s="33"/>
    </row>
    <row r="64" spans="1:14" x14ac:dyDescent="0.25">
      <c r="A64" s="39" t="s">
        <v>70</v>
      </c>
      <c r="B64" s="35"/>
      <c r="C64" s="35"/>
      <c r="D64" s="35"/>
      <c r="E64" s="35"/>
      <c r="I64" s="29">
        <f>SUM(E9:E55)</f>
        <v>44.892780973299999</v>
      </c>
      <c r="M64" s="8" t="str">
        <f>COUNTIF(N9:N55,"OK")&amp;" de "&amp;COUNT($E$9:$E$55)&amp;" linhas conferidas"</f>
        <v>46 de 46 linhas conferidas</v>
      </c>
    </row>
    <row r="66" spans="1:13" x14ac:dyDescent="0.25">
      <c r="A66" s="49" t="s">
        <v>71</v>
      </c>
      <c r="B66" s="35"/>
      <c r="C66" s="35"/>
      <c r="D66" s="35"/>
      <c r="E66" s="35"/>
    </row>
    <row r="67" spans="1:13" x14ac:dyDescent="0.25">
      <c r="A67" s="39" t="s">
        <v>10</v>
      </c>
      <c r="B67" s="35"/>
      <c r="C67" s="35"/>
      <c r="D67" s="35"/>
      <c r="E67" s="42" t="s">
        <v>72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9" t="s">
        <v>11</v>
      </c>
      <c r="B68" s="35"/>
      <c r="C68" s="35"/>
      <c r="D68" s="35"/>
      <c r="E68" s="42" t="s">
        <v>73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9" t="s">
        <v>12</v>
      </c>
      <c r="B69" s="35"/>
      <c r="C69" s="35"/>
      <c r="D69" s="35"/>
      <c r="E69" s="42" t="s">
        <v>74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9" t="s">
        <v>75</v>
      </c>
      <c r="B70" s="35"/>
      <c r="C70" s="35"/>
      <c r="D70" s="35"/>
      <c r="E70" s="42" t="s">
        <v>76</v>
      </c>
      <c r="F70" s="35"/>
      <c r="G70" s="35"/>
      <c r="H70" s="35"/>
      <c r="I70" s="35"/>
      <c r="J70" s="35"/>
      <c r="K70" s="35"/>
      <c r="L70" s="35"/>
      <c r="M70" s="35"/>
    </row>
    <row r="71" spans="1:13" x14ac:dyDescent="0.25">
      <c r="A71" s="39" t="s">
        <v>77</v>
      </c>
      <c r="B71" s="35"/>
      <c r="C71" s="35"/>
      <c r="D71" s="35"/>
      <c r="E71" s="42" t="s">
        <v>78</v>
      </c>
      <c r="F71" s="35"/>
      <c r="G71" s="35"/>
      <c r="H71" s="35"/>
      <c r="I71" s="35"/>
      <c r="J71" s="35"/>
      <c r="K71" s="35"/>
      <c r="L71" s="35"/>
      <c r="M71" s="35"/>
    </row>
    <row r="72" spans="1:13" x14ac:dyDescent="0.25">
      <c r="A72" s="39" t="s">
        <v>79</v>
      </c>
      <c r="B72" s="35"/>
      <c r="C72" s="35"/>
      <c r="D72" s="35"/>
      <c r="E72" s="42" t="s">
        <v>80</v>
      </c>
      <c r="F72" s="35"/>
      <c r="G72" s="35"/>
      <c r="H72" s="35"/>
      <c r="I72" s="35"/>
      <c r="J72" s="35"/>
      <c r="K72" s="35"/>
      <c r="L72" s="35"/>
      <c r="M72" s="35"/>
    </row>
    <row r="73" spans="1:13" x14ac:dyDescent="0.25">
      <c r="A73" s="39" t="s">
        <v>41</v>
      </c>
      <c r="B73" s="35"/>
      <c r="C73" s="35"/>
      <c r="D73" s="35"/>
      <c r="E73" s="42" t="s">
        <v>81</v>
      </c>
      <c r="F73" s="35"/>
      <c r="G73" s="35"/>
      <c r="H73" s="35"/>
      <c r="I73" s="35"/>
      <c r="J73" s="35"/>
      <c r="K73" s="35"/>
      <c r="L73" s="35"/>
      <c r="M73" s="35"/>
    </row>
    <row r="74" spans="1:13" x14ac:dyDescent="0.25">
      <c r="A74" s="39" t="s">
        <v>82</v>
      </c>
      <c r="B74" s="35"/>
      <c r="C74" s="35"/>
      <c r="D74" s="35"/>
      <c r="E74" s="42" t="s">
        <v>83</v>
      </c>
      <c r="F74" s="35"/>
      <c r="G74" s="35"/>
      <c r="H74" s="35"/>
      <c r="I74" s="35"/>
      <c r="J74" s="35"/>
      <c r="K74" s="35"/>
      <c r="L74" s="35"/>
      <c r="M74" s="35"/>
    </row>
    <row r="75" spans="1:13" x14ac:dyDescent="0.25">
      <c r="A75" s="39" t="s">
        <v>84</v>
      </c>
      <c r="B75" s="35"/>
      <c r="C75" s="35"/>
      <c r="D75" s="35"/>
      <c r="E75" s="42" t="s">
        <v>85</v>
      </c>
      <c r="F75" s="35"/>
      <c r="G75" s="35"/>
      <c r="H75" s="35"/>
      <c r="I75" s="35"/>
      <c r="J75" s="35"/>
      <c r="K75" s="35"/>
      <c r="L75" s="35"/>
      <c r="M75" s="35"/>
    </row>
    <row r="76" spans="1:13" x14ac:dyDescent="0.25">
      <c r="A76" s="39" t="s">
        <v>8</v>
      </c>
      <c r="B76" s="35"/>
      <c r="C76" s="35"/>
      <c r="D76" s="35"/>
      <c r="E76" s="42" t="s">
        <v>86</v>
      </c>
      <c r="F76" s="35"/>
      <c r="G76" s="35"/>
      <c r="H76" s="35"/>
      <c r="I76" s="35"/>
      <c r="J76" s="35"/>
      <c r="K76" s="35"/>
      <c r="L76" s="35"/>
      <c r="M76" s="35"/>
    </row>
  </sheetData>
  <sheetProtection sheet="1" formatCells="0"/>
  <mergeCells count="51">
    <mergeCell ref="N6:N7"/>
    <mergeCell ref="K3:M3"/>
    <mergeCell ref="A75:D75"/>
    <mergeCell ref="E68:M68"/>
    <mergeCell ref="A62:E62"/>
    <mergeCell ref="E71:M71"/>
    <mergeCell ref="A74:D74"/>
    <mergeCell ref="E67:M67"/>
    <mergeCell ref="A3:J3"/>
    <mergeCell ref="A63:E63"/>
    <mergeCell ref="C6:C7"/>
    <mergeCell ref="A71:D71"/>
    <mergeCell ref="D6:D7"/>
    <mergeCell ref="E73:M73"/>
    <mergeCell ref="E76:M76"/>
    <mergeCell ref="A70:D70"/>
    <mergeCell ref="E72:M72"/>
    <mergeCell ref="A1:M1"/>
    <mergeCell ref="A57:E57"/>
    <mergeCell ref="A69:D69"/>
    <mergeCell ref="E75:M75"/>
    <mergeCell ref="G58:K58"/>
    <mergeCell ref="A76:D76"/>
    <mergeCell ref="A72:D72"/>
    <mergeCell ref="E69:M69"/>
    <mergeCell ref="A6:A7"/>
    <mergeCell ref="A61:E61"/>
    <mergeCell ref="E74:M74"/>
    <mergeCell ref="A68:D68"/>
    <mergeCell ref="A28:M28"/>
    <mergeCell ref="J63:L63"/>
    <mergeCell ref="A67:D67"/>
    <mergeCell ref="M6:M7"/>
    <mergeCell ref="G57:K57"/>
    <mergeCell ref="E6:E7"/>
    <mergeCell ref="E70:M70"/>
    <mergeCell ref="A66:E66"/>
    <mergeCell ref="F63:I63"/>
    <mergeCell ref="A73:D73"/>
    <mergeCell ref="J6:L6"/>
    <mergeCell ref="A58:E58"/>
    <mergeCell ref="G2:H2"/>
    <mergeCell ref="A8:M8"/>
    <mergeCell ref="A64:E64"/>
    <mergeCell ref="A60:E60"/>
    <mergeCell ref="A4:M4"/>
    <mergeCell ref="A2:C2"/>
    <mergeCell ref="K2:M2"/>
    <mergeCell ref="D2:E2"/>
    <mergeCell ref="B6:B7"/>
    <mergeCell ref="F6:I6"/>
  </mergeCells>
  <conditionalFormatting sqref="F9:I55">
    <cfRule type="expression" dxfId="17" priority="1">
      <formula>AND(F9&lt;&gt;"",COUNTIF($F9:$I9,"X")&gt;1)</formula>
    </cfRule>
  </conditionalFormatting>
  <conditionalFormatting sqref="F63:L63">
    <cfRule type="expression" dxfId="16" priority="5">
      <formula>LEFT(F63,4)="ERRO"</formula>
    </cfRule>
    <cfRule type="expression" dxfId="15" priority="6">
      <formula>LEFT(F63,2)="OK"</formula>
    </cfRule>
  </conditionalFormatting>
  <conditionalFormatting sqref="J9:L55">
    <cfRule type="expression" dxfId="14" priority="2">
      <formula>AND(J9&lt;&gt;"",COUNTIF($J9:$L9,"X")&gt;1)</formula>
    </cfRule>
  </conditionalFormatting>
  <conditionalFormatting sqref="N9:N55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5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5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55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33</oddHeader>
    <oddFooter>&amp;L&amp;7 RTA / MSI — Programa de Manutenção Rodoviária&amp;C&amp;7 Página &amp;P de &amp;N&amp;R&amp;7 Impresso em &amp;D</oddFooter>
  </headerFooter>
  <rowBreaks count="1" manualBreakCount="1">
    <brk id="58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62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>
        <f t="shared" ref="P2:V2" si="0">IF(F47=0,NA(),F47)</f>
        <v>12</v>
      </c>
      <c r="Q2" s="2">
        <f t="shared" si="0"/>
        <v>20</v>
      </c>
      <c r="R2" s="2" t="e">
        <f t="shared" si="0"/>
        <v>#N/A</v>
      </c>
      <c r="S2" s="2" t="e">
        <f t="shared" si="0"/>
        <v>#N/A</v>
      </c>
      <c r="T2" s="2">
        <f t="shared" si="0"/>
        <v>16</v>
      </c>
      <c r="U2" s="2">
        <f t="shared" si="0"/>
        <v>12</v>
      </c>
      <c r="V2" s="2">
        <f t="shared" si="0"/>
        <v>4</v>
      </c>
    </row>
    <row r="3" spans="1:22" ht="15" customHeight="1" x14ac:dyDescent="0.25">
      <c r="A3" s="50" t="s">
        <v>185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186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187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188</v>
      </c>
      <c r="B9" s="16" t="s">
        <v>49</v>
      </c>
      <c r="C9" s="17">
        <v>0</v>
      </c>
      <c r="D9" s="17">
        <v>1</v>
      </c>
      <c r="E9" s="17">
        <f t="shared" ref="E9:E41" si="1">D9-C9</f>
        <v>1</v>
      </c>
      <c r="F9" s="18"/>
      <c r="G9" s="18" t="s">
        <v>50</v>
      </c>
      <c r="H9" s="18"/>
      <c r="I9" s="18"/>
      <c r="J9" s="18"/>
      <c r="K9" s="18"/>
      <c r="L9" s="18" t="s">
        <v>50</v>
      </c>
      <c r="M9" s="19" t="s">
        <v>189</v>
      </c>
      <c r="N9" s="20" t="str">
        <f t="shared" ref="N9:N4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188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/>
      <c r="L10" s="18" t="s">
        <v>50</v>
      </c>
      <c r="M10" s="19" t="s">
        <v>189</v>
      </c>
      <c r="N10" s="20" t="str">
        <f t="shared" si="2"/>
        <v>OK</v>
      </c>
    </row>
    <row r="11" spans="1:22" ht="20.100000000000001" customHeight="1" x14ac:dyDescent="0.25">
      <c r="A11" s="15" t="s">
        <v>188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 t="s">
        <v>50</v>
      </c>
      <c r="L11" s="18"/>
      <c r="M11" s="19" t="s">
        <v>190</v>
      </c>
      <c r="N11" s="20" t="str">
        <f t="shared" si="2"/>
        <v>OK</v>
      </c>
    </row>
    <row r="12" spans="1:22" ht="20.100000000000001" customHeight="1" x14ac:dyDescent="0.25">
      <c r="A12" s="15" t="s">
        <v>188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 t="s">
        <v>190</v>
      </c>
      <c r="N12" s="20" t="str">
        <f t="shared" si="2"/>
        <v>OK</v>
      </c>
    </row>
    <row r="13" spans="1:22" ht="20.100000000000001" customHeight="1" x14ac:dyDescent="0.25">
      <c r="A13" s="15" t="s">
        <v>188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/>
      <c r="L13" s="18" t="s">
        <v>50</v>
      </c>
      <c r="M13" s="19" t="s">
        <v>191</v>
      </c>
      <c r="N13" s="20" t="str">
        <f t="shared" si="2"/>
        <v>OK</v>
      </c>
    </row>
    <row r="14" spans="1:22" ht="20.100000000000001" customHeight="1" x14ac:dyDescent="0.25">
      <c r="A14" s="15" t="s">
        <v>188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/>
      <c r="L14" s="18" t="s">
        <v>50</v>
      </c>
      <c r="M14" s="19" t="s">
        <v>191</v>
      </c>
      <c r="N14" s="20" t="str">
        <f t="shared" si="2"/>
        <v>OK</v>
      </c>
    </row>
    <row r="15" spans="1:22" ht="20.100000000000001" customHeight="1" x14ac:dyDescent="0.25">
      <c r="A15" s="15" t="s">
        <v>188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 t="s">
        <v>192</v>
      </c>
      <c r="N15" s="20" t="str">
        <f t="shared" si="2"/>
        <v>OK</v>
      </c>
    </row>
    <row r="16" spans="1:22" ht="20.100000000000001" customHeight="1" x14ac:dyDescent="0.25">
      <c r="A16" s="15" t="s">
        <v>188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192</v>
      </c>
      <c r="N16" s="20" t="str">
        <f t="shared" si="2"/>
        <v>OK</v>
      </c>
    </row>
    <row r="17" spans="1:14" ht="20.100000000000001" customHeight="1" x14ac:dyDescent="0.25">
      <c r="A17" s="15" t="s">
        <v>188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 t="s">
        <v>50</v>
      </c>
      <c r="K17" s="18"/>
      <c r="L17" s="18"/>
      <c r="M17" s="19" t="s">
        <v>193</v>
      </c>
      <c r="N17" s="20" t="str">
        <f t="shared" si="2"/>
        <v>OK</v>
      </c>
    </row>
    <row r="18" spans="1:14" ht="20.100000000000001" customHeight="1" x14ac:dyDescent="0.25">
      <c r="A18" s="15" t="s">
        <v>188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 t="s">
        <v>193</v>
      </c>
      <c r="N18" s="20" t="str">
        <f t="shared" si="2"/>
        <v>OK</v>
      </c>
    </row>
    <row r="19" spans="1:14" ht="20.100000000000001" customHeight="1" x14ac:dyDescent="0.25">
      <c r="A19" s="15" t="s">
        <v>188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 t="s">
        <v>194</v>
      </c>
      <c r="N19" s="20" t="str">
        <f t="shared" si="2"/>
        <v>OK</v>
      </c>
    </row>
    <row r="20" spans="1:14" ht="20.100000000000001" customHeight="1" x14ac:dyDescent="0.25">
      <c r="A20" s="15" t="s">
        <v>188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 t="s">
        <v>194</v>
      </c>
      <c r="N20" s="20" t="str">
        <f t="shared" si="2"/>
        <v>OK</v>
      </c>
    </row>
    <row r="21" spans="1:14" ht="20.100000000000001" customHeight="1" x14ac:dyDescent="0.25">
      <c r="A21" s="15" t="s">
        <v>188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 t="s">
        <v>50</v>
      </c>
      <c r="G21" s="18"/>
      <c r="H21" s="18"/>
      <c r="I21" s="18"/>
      <c r="J21" s="18" t="s">
        <v>50</v>
      </c>
      <c r="K21" s="18"/>
      <c r="L21" s="18"/>
      <c r="M21" s="19" t="s">
        <v>195</v>
      </c>
      <c r="N21" s="20" t="str">
        <f t="shared" si="2"/>
        <v>OK</v>
      </c>
    </row>
    <row r="22" spans="1:14" ht="20.100000000000001" customHeight="1" x14ac:dyDescent="0.25">
      <c r="A22" s="15" t="s">
        <v>188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 t="s">
        <v>50</v>
      </c>
      <c r="G22" s="18"/>
      <c r="H22" s="18"/>
      <c r="I22" s="18"/>
      <c r="J22" s="18" t="s">
        <v>50</v>
      </c>
      <c r="K22" s="18"/>
      <c r="L22" s="18"/>
      <c r="M22" s="19" t="s">
        <v>195</v>
      </c>
      <c r="N22" s="20" t="str">
        <f t="shared" si="2"/>
        <v>OK</v>
      </c>
    </row>
    <row r="23" spans="1:14" ht="20.100000000000001" customHeight="1" x14ac:dyDescent="0.25">
      <c r="A23" s="15" t="s">
        <v>188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 t="s">
        <v>50</v>
      </c>
      <c r="G23" s="18"/>
      <c r="H23" s="18"/>
      <c r="I23" s="18"/>
      <c r="J23" s="18" t="s">
        <v>50</v>
      </c>
      <c r="K23" s="18"/>
      <c r="L23" s="18"/>
      <c r="M23" s="19" t="s">
        <v>196</v>
      </c>
      <c r="N23" s="20" t="str">
        <f t="shared" si="2"/>
        <v>OK</v>
      </c>
    </row>
    <row r="24" spans="1:14" ht="20.100000000000001" customHeight="1" x14ac:dyDescent="0.25">
      <c r="A24" s="15" t="s">
        <v>188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 t="s">
        <v>50</v>
      </c>
      <c r="G24" s="18"/>
      <c r="H24" s="18"/>
      <c r="I24" s="18"/>
      <c r="J24" s="18" t="s">
        <v>50</v>
      </c>
      <c r="K24" s="18"/>
      <c r="L24" s="18"/>
      <c r="M24" s="19" t="s">
        <v>196</v>
      </c>
      <c r="N24" s="20" t="str">
        <f t="shared" si="2"/>
        <v>OK</v>
      </c>
    </row>
    <row r="25" spans="1:14" ht="20.100000000000001" customHeight="1" x14ac:dyDescent="0.25">
      <c r="A25" s="15" t="s">
        <v>188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 t="s">
        <v>50</v>
      </c>
      <c r="G25" s="18"/>
      <c r="H25" s="18"/>
      <c r="I25" s="18"/>
      <c r="J25" s="18" t="s">
        <v>50</v>
      </c>
      <c r="K25" s="18"/>
      <c r="L25" s="18"/>
      <c r="M25" s="19" t="s">
        <v>197</v>
      </c>
      <c r="N25" s="20" t="str">
        <f t="shared" si="2"/>
        <v>OK</v>
      </c>
    </row>
    <row r="26" spans="1:14" ht="20.100000000000001" customHeight="1" x14ac:dyDescent="0.25">
      <c r="A26" s="15" t="s">
        <v>188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 t="s">
        <v>50</v>
      </c>
      <c r="G26" s="18"/>
      <c r="H26" s="18"/>
      <c r="I26" s="18"/>
      <c r="J26" s="18" t="s">
        <v>50</v>
      </c>
      <c r="K26" s="18"/>
      <c r="L26" s="18"/>
      <c r="M26" s="19" t="s">
        <v>197</v>
      </c>
      <c r="N26" s="20" t="str">
        <f t="shared" si="2"/>
        <v>OK</v>
      </c>
    </row>
    <row r="27" spans="1:14" ht="20.100000000000001" customHeight="1" x14ac:dyDescent="0.25">
      <c r="A27" s="15" t="s">
        <v>188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 t="s">
        <v>50</v>
      </c>
      <c r="G27" s="18"/>
      <c r="H27" s="18"/>
      <c r="I27" s="18"/>
      <c r="J27" s="18" t="s">
        <v>50</v>
      </c>
      <c r="K27" s="18"/>
      <c r="L27" s="18"/>
      <c r="M27" s="19" t="s">
        <v>198</v>
      </c>
      <c r="N27" s="20" t="str">
        <f t="shared" si="2"/>
        <v>OK</v>
      </c>
    </row>
    <row r="28" spans="1:14" ht="20.100000000000001" customHeight="1" x14ac:dyDescent="0.25">
      <c r="A28" s="15" t="s">
        <v>188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 t="s">
        <v>50</v>
      </c>
      <c r="G28" s="18"/>
      <c r="H28" s="18"/>
      <c r="I28" s="18"/>
      <c r="J28" s="18" t="s">
        <v>50</v>
      </c>
      <c r="K28" s="18"/>
      <c r="L28" s="18"/>
      <c r="M28" s="19" t="s">
        <v>198</v>
      </c>
      <c r="N28" s="20" t="str">
        <f t="shared" si="2"/>
        <v>OK</v>
      </c>
    </row>
    <row r="29" spans="1:14" ht="20.100000000000001" customHeight="1" x14ac:dyDescent="0.25">
      <c r="A29" s="15" t="s">
        <v>188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 t="s">
        <v>199</v>
      </c>
      <c r="N29" s="20" t="str">
        <f t="shared" si="2"/>
        <v>OK</v>
      </c>
    </row>
    <row r="30" spans="1:14" ht="20.100000000000001" customHeight="1" x14ac:dyDescent="0.25">
      <c r="A30" s="15" t="s">
        <v>188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 t="s">
        <v>199</v>
      </c>
      <c r="N30" s="20" t="str">
        <f t="shared" si="2"/>
        <v>OK</v>
      </c>
    </row>
    <row r="31" spans="1:14" ht="20.100000000000001" customHeight="1" x14ac:dyDescent="0.25">
      <c r="A31" s="15" t="s">
        <v>188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/>
      <c r="G31" s="18" t="s">
        <v>50</v>
      </c>
      <c r="H31" s="18"/>
      <c r="I31" s="18"/>
      <c r="J31" s="18"/>
      <c r="K31" s="18" t="s">
        <v>50</v>
      </c>
      <c r="L31" s="18"/>
      <c r="M31" s="19" t="s">
        <v>200</v>
      </c>
      <c r="N31" s="20" t="str">
        <f t="shared" si="2"/>
        <v>OK</v>
      </c>
    </row>
    <row r="32" spans="1:14" ht="20.100000000000001" customHeight="1" x14ac:dyDescent="0.25">
      <c r="A32" s="15" t="s">
        <v>188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/>
      <c r="G32" s="18" t="s">
        <v>50</v>
      </c>
      <c r="H32" s="18"/>
      <c r="I32" s="18"/>
      <c r="J32" s="18"/>
      <c r="K32" s="18" t="s">
        <v>50</v>
      </c>
      <c r="L32" s="18"/>
      <c r="M32" s="19" t="s">
        <v>200</v>
      </c>
      <c r="N32" s="20" t="str">
        <f t="shared" si="2"/>
        <v>OK</v>
      </c>
    </row>
    <row r="33" spans="1:14" ht="20.100000000000001" customHeight="1" x14ac:dyDescent="0.25">
      <c r="A33" s="15" t="s">
        <v>188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/>
      <c r="G33" s="18" t="s">
        <v>50</v>
      </c>
      <c r="H33" s="18"/>
      <c r="I33" s="18"/>
      <c r="J33" s="18"/>
      <c r="K33" s="18" t="s">
        <v>50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188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/>
      <c r="G34" s="18" t="s">
        <v>50</v>
      </c>
      <c r="H34" s="18"/>
      <c r="I34" s="18"/>
      <c r="J34" s="18"/>
      <c r="K34" s="18" t="s">
        <v>50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188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/>
      <c r="G35" s="18" t="s">
        <v>50</v>
      </c>
      <c r="H35" s="18"/>
      <c r="I35" s="18"/>
      <c r="J35" s="18"/>
      <c r="K35" s="18" t="s">
        <v>50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188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/>
      <c r="G36" s="18" t="s">
        <v>50</v>
      </c>
      <c r="H36" s="18"/>
      <c r="I36" s="18"/>
      <c r="J36" s="18"/>
      <c r="K36" s="18" t="s">
        <v>50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188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/>
      <c r="G37" s="18" t="s">
        <v>50</v>
      </c>
      <c r="H37" s="18"/>
      <c r="I37" s="18"/>
      <c r="J37" s="18"/>
      <c r="K37" s="18" t="s">
        <v>50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188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/>
      <c r="G38" s="18" t="s">
        <v>50</v>
      </c>
      <c r="H38" s="18"/>
      <c r="I38" s="18"/>
      <c r="J38" s="18"/>
      <c r="K38" s="18" t="s">
        <v>50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188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/>
      <c r="K39" s="18" t="s">
        <v>50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188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/>
      <c r="K40" s="18" t="s">
        <v>50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21" t="s">
        <v>188</v>
      </c>
      <c r="B41" s="22" t="s">
        <v>49</v>
      </c>
      <c r="C41" s="23">
        <v>32</v>
      </c>
      <c r="D41" s="23">
        <v>32.812788573200002</v>
      </c>
      <c r="E41" s="23">
        <f t="shared" si="1"/>
        <v>0.81278857320000242</v>
      </c>
      <c r="F41" s="24"/>
      <c r="G41" s="24"/>
      <c r="H41" s="24"/>
      <c r="I41" s="24"/>
      <c r="J41" s="24"/>
      <c r="K41" s="24"/>
      <c r="L41" s="24"/>
      <c r="M41" s="25"/>
      <c r="N41" s="26" t="str">
        <f t="shared" si="2"/>
        <v>— não preenchido</v>
      </c>
    </row>
    <row r="43" spans="1:14" x14ac:dyDescent="0.25">
      <c r="A43" s="37" t="s">
        <v>63</v>
      </c>
      <c r="B43" s="35"/>
      <c r="C43" s="35"/>
      <c r="D43" s="35"/>
      <c r="E43" s="35"/>
      <c r="G43" s="37" t="s">
        <v>63</v>
      </c>
      <c r="H43" s="35"/>
      <c r="I43" s="35"/>
      <c r="J43" s="35"/>
      <c r="K43" s="35"/>
    </row>
    <row r="44" spans="1:14" x14ac:dyDescent="0.25">
      <c r="A44" s="44" t="s">
        <v>64</v>
      </c>
      <c r="B44" s="35"/>
      <c r="C44" s="35"/>
      <c r="D44" s="35"/>
      <c r="E44" s="35"/>
      <c r="G44" s="44" t="s">
        <v>65</v>
      </c>
      <c r="H44" s="35"/>
      <c r="I44" s="35"/>
      <c r="J44" s="35"/>
      <c r="K44" s="35"/>
    </row>
    <row r="46" spans="1:14" x14ac:dyDescent="0.25">
      <c r="A46" s="48" t="s">
        <v>66</v>
      </c>
      <c r="B46" s="35"/>
      <c r="C46" s="35"/>
      <c r="D46" s="35"/>
      <c r="E46" s="35"/>
      <c r="F46" s="27"/>
      <c r="G46" s="27"/>
      <c r="H46" s="27"/>
      <c r="I46" s="27"/>
      <c r="J46" s="27"/>
      <c r="K46" s="27"/>
      <c r="L46" s="27"/>
      <c r="M46" s="27"/>
    </row>
    <row r="47" spans="1:14" x14ac:dyDescent="0.25">
      <c r="A47" s="39" t="s">
        <v>67</v>
      </c>
      <c r="B47" s="35"/>
      <c r="C47" s="35"/>
      <c r="D47" s="35"/>
      <c r="E47" s="35"/>
      <c r="F47" s="9">
        <f t="shared" ref="F47:L47" si="3">SUMIF(F$9:F$41,"X",$E$9:$E$41)</f>
        <v>12</v>
      </c>
      <c r="G47" s="9">
        <f t="shared" si="3"/>
        <v>20</v>
      </c>
      <c r="H47" s="9">
        <f t="shared" si="3"/>
        <v>0</v>
      </c>
      <c r="I47" s="9">
        <f t="shared" si="3"/>
        <v>0</v>
      </c>
      <c r="J47" s="9">
        <f t="shared" si="3"/>
        <v>16</v>
      </c>
      <c r="K47" s="9">
        <f t="shared" si="3"/>
        <v>12</v>
      </c>
      <c r="L47" s="9">
        <f t="shared" si="3"/>
        <v>4</v>
      </c>
    </row>
    <row r="48" spans="1:14" x14ac:dyDescent="0.25">
      <c r="A48" s="39" t="s">
        <v>68</v>
      </c>
      <c r="B48" s="35"/>
      <c r="C48" s="35"/>
      <c r="D48" s="35"/>
      <c r="E48" s="35"/>
      <c r="F48" s="28">
        <f t="shared" ref="F48:L48" si="4">IF($I50=0,0,F47/$I50)</f>
        <v>0.36571106942739562</v>
      </c>
      <c r="G48" s="28">
        <f t="shared" si="4"/>
        <v>0.60951844904565933</v>
      </c>
      <c r="H48" s="28">
        <f t="shared" si="4"/>
        <v>0</v>
      </c>
      <c r="I48" s="28">
        <f t="shared" si="4"/>
        <v>0</v>
      </c>
      <c r="J48" s="28">
        <f t="shared" si="4"/>
        <v>0.48761475923652753</v>
      </c>
      <c r="K48" s="28">
        <f t="shared" si="4"/>
        <v>0.36571106942739562</v>
      </c>
      <c r="L48" s="28">
        <f t="shared" si="4"/>
        <v>0.12190368980913188</v>
      </c>
    </row>
    <row r="49" spans="1:13" x14ac:dyDescent="0.25">
      <c r="A49" s="39" t="s">
        <v>69</v>
      </c>
      <c r="B49" s="35"/>
      <c r="C49" s="35"/>
      <c r="D49" s="35"/>
      <c r="E49" s="35"/>
      <c r="F49" s="38" t="str">
        <f>IF(SUM(F47:I47)=0,"— não preenchido",IF(ROUND(SUM(F47:I47)-$I50,3)=0,"OK — "&amp;ROUND(SUM(F47:I47),3)&amp;" km","ERRO — dif. de "&amp;ROUND(SUM(F47:I47)-$I50,3)&amp;" km"))</f>
        <v>ERRO — dif. de -0,813 km</v>
      </c>
      <c r="G49" s="32"/>
      <c r="H49" s="32"/>
      <c r="I49" s="33"/>
      <c r="J49" s="38" t="str">
        <f>IF(SUM(J47:L47)=0,"— não preenchido",IF(ROUND(SUM(J47:L47)-$I50,3)=0,"OK — "&amp;ROUND(SUM(J47:L47),3)&amp;" km","ERRO — dif. de "&amp;ROUND(SUM(J47:L47)-$I50,3)&amp;" km"))</f>
        <v>ERRO — dif. de -0,813 km</v>
      </c>
      <c r="K49" s="32"/>
      <c r="L49" s="33"/>
    </row>
    <row r="50" spans="1:13" x14ac:dyDescent="0.25">
      <c r="A50" s="39" t="s">
        <v>70</v>
      </c>
      <c r="B50" s="35"/>
      <c r="C50" s="35"/>
      <c r="D50" s="35"/>
      <c r="E50" s="35"/>
      <c r="I50" s="29">
        <f>SUM(E9:E41)</f>
        <v>32.812788573200002</v>
      </c>
      <c r="M50" s="8" t="str">
        <f>COUNTIF(N9:N41,"OK")&amp;" de "&amp;COUNT($E$9:$E$41)&amp;" linhas conferidas"</f>
        <v>32 de 33 linhas conferidas</v>
      </c>
    </row>
    <row r="52" spans="1:13" x14ac:dyDescent="0.25">
      <c r="A52" s="49" t="s">
        <v>71</v>
      </c>
      <c r="B52" s="35"/>
      <c r="C52" s="35"/>
      <c r="D52" s="35"/>
      <c r="E52" s="35"/>
    </row>
    <row r="53" spans="1:13" x14ac:dyDescent="0.25">
      <c r="A53" s="39" t="s">
        <v>10</v>
      </c>
      <c r="B53" s="35"/>
      <c r="C53" s="35"/>
      <c r="D53" s="35"/>
      <c r="E53" s="42" t="s">
        <v>72</v>
      </c>
      <c r="F53" s="35"/>
      <c r="G53" s="35"/>
      <c r="H53" s="35"/>
      <c r="I53" s="35"/>
      <c r="J53" s="35"/>
      <c r="K53" s="35"/>
      <c r="L53" s="35"/>
      <c r="M53" s="35"/>
    </row>
    <row r="54" spans="1:13" x14ac:dyDescent="0.25">
      <c r="A54" s="39" t="s">
        <v>11</v>
      </c>
      <c r="B54" s="35"/>
      <c r="C54" s="35"/>
      <c r="D54" s="35"/>
      <c r="E54" s="42" t="s">
        <v>73</v>
      </c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39" t="s">
        <v>12</v>
      </c>
      <c r="B55" s="35"/>
      <c r="C55" s="35"/>
      <c r="D55" s="35"/>
      <c r="E55" s="42" t="s">
        <v>74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9" t="s">
        <v>75</v>
      </c>
      <c r="B56" s="35"/>
      <c r="C56" s="35"/>
      <c r="D56" s="35"/>
      <c r="E56" s="42" t="s">
        <v>76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9" t="s">
        <v>77</v>
      </c>
      <c r="B57" s="35"/>
      <c r="C57" s="35"/>
      <c r="D57" s="35"/>
      <c r="E57" s="42" t="s">
        <v>78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9" t="s">
        <v>79</v>
      </c>
      <c r="B58" s="35"/>
      <c r="C58" s="35"/>
      <c r="D58" s="35"/>
      <c r="E58" s="42" t="s">
        <v>80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9" t="s">
        <v>41</v>
      </c>
      <c r="B59" s="35"/>
      <c r="C59" s="35"/>
      <c r="D59" s="35"/>
      <c r="E59" s="42" t="s">
        <v>81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9" t="s">
        <v>82</v>
      </c>
      <c r="B60" s="35"/>
      <c r="C60" s="35"/>
      <c r="D60" s="35"/>
      <c r="E60" s="42" t="s">
        <v>83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9" t="s">
        <v>84</v>
      </c>
      <c r="B61" s="35"/>
      <c r="C61" s="35"/>
      <c r="D61" s="35"/>
      <c r="E61" s="42" t="s">
        <v>85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9" t="s">
        <v>8</v>
      </c>
      <c r="B62" s="35"/>
      <c r="C62" s="35"/>
      <c r="D62" s="35"/>
      <c r="E62" s="42" t="s">
        <v>86</v>
      </c>
      <c r="F62" s="35"/>
      <c r="G62" s="35"/>
      <c r="H62" s="35"/>
      <c r="I62" s="35"/>
      <c r="J62" s="35"/>
      <c r="K62" s="35"/>
      <c r="L62" s="35"/>
      <c r="M62" s="35"/>
    </row>
  </sheetData>
  <sheetProtection sheet="1" formatCells="0"/>
  <mergeCells count="50">
    <mergeCell ref="E62:M62"/>
    <mergeCell ref="A43:E43"/>
    <mergeCell ref="A52:E52"/>
    <mergeCell ref="A3:J3"/>
    <mergeCell ref="A55:D55"/>
    <mergeCell ref="G44:K44"/>
    <mergeCell ref="A57:D57"/>
    <mergeCell ref="C6:C7"/>
    <mergeCell ref="A44:E44"/>
    <mergeCell ref="D6:D7"/>
    <mergeCell ref="N6:N7"/>
    <mergeCell ref="E53:M53"/>
    <mergeCell ref="K3:M3"/>
    <mergeCell ref="E58:M58"/>
    <mergeCell ref="E55:M55"/>
    <mergeCell ref="A1:M1"/>
    <mergeCell ref="A61:D61"/>
    <mergeCell ref="A54:D54"/>
    <mergeCell ref="A47:E47"/>
    <mergeCell ref="E56:M56"/>
    <mergeCell ref="A56:D56"/>
    <mergeCell ref="E57:M57"/>
    <mergeCell ref="A60:D60"/>
    <mergeCell ref="F6:I6"/>
    <mergeCell ref="E54:M54"/>
    <mergeCell ref="A50:E50"/>
    <mergeCell ref="G2:H2"/>
    <mergeCell ref="A8:M8"/>
    <mergeCell ref="A62:D62"/>
    <mergeCell ref="A4:M4"/>
    <mergeCell ref="A49:E49"/>
    <mergeCell ref="E60:M60"/>
    <mergeCell ref="A6:A7"/>
    <mergeCell ref="F49:I49"/>
    <mergeCell ref="A2:C2"/>
    <mergeCell ref="E59:M59"/>
    <mergeCell ref="K2:M2"/>
    <mergeCell ref="D2:E2"/>
    <mergeCell ref="A58:D58"/>
    <mergeCell ref="E61:M61"/>
    <mergeCell ref="M6:M7"/>
    <mergeCell ref="A59:D59"/>
    <mergeCell ref="J6:L6"/>
    <mergeCell ref="A48:E48"/>
    <mergeCell ref="J49:L49"/>
    <mergeCell ref="G43:K43"/>
    <mergeCell ref="A53:D53"/>
    <mergeCell ref="A46:E46"/>
    <mergeCell ref="E6:E7"/>
    <mergeCell ref="B6:B7"/>
  </mergeCells>
  <conditionalFormatting sqref="F9:I41">
    <cfRule type="expression" dxfId="11" priority="1">
      <formula>AND(F9&lt;&gt;"",COUNTIF($F9:$I9,"X")&gt;1)</formula>
    </cfRule>
  </conditionalFormatting>
  <conditionalFormatting sqref="F49:L49">
    <cfRule type="expression" dxfId="10" priority="5">
      <formula>LEFT(F49,4)="ERRO"</formula>
    </cfRule>
    <cfRule type="expression" dxfId="9" priority="6">
      <formula>LEFT(F49,2)="OK"</formula>
    </cfRule>
  </conditionalFormatting>
  <conditionalFormatting sqref="J9:L41">
    <cfRule type="expression" dxfId="8" priority="2">
      <formula>AND(J9&lt;&gt;"",COUNTIF($J9:$L9,"X")&gt;1)</formula>
    </cfRule>
  </conditionalFormatting>
  <conditionalFormatting sqref="N9:N41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1" xr:uid="{00000000-0002-0000-0C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1" xr:uid="{00000000-0002-0000-0C00-000001000000}">
      <formula1>AND(UPPER(J9)="X",COUNTIF($J9:$L9,"X")&lt;=1)</formula1>
    </dataValidation>
    <dataValidation type="list" showErrorMessage="1" errorTitle="Sentido inválido" error="Use C (crescente) ou D (decrescente)." sqref="B9:B41" xr:uid="{00000000-0002-0000-0C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34</oddHeader>
    <oddFooter>&amp;L&amp;7 RTA / MSI — Programa de Manutenção Rodoviária&amp;C&amp;7 Página &amp;P de &amp;N&amp;R&amp;7 Impresso em &amp;D</oddFooter>
  </headerFooter>
  <rowBreaks count="1" manualBreakCount="1">
    <brk id="44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V42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33</v>
      </c>
      <c r="B2" s="35"/>
      <c r="C2" s="35"/>
      <c r="D2" s="40" t="s">
        <v>34</v>
      </c>
      <c r="E2" s="35"/>
      <c r="F2" s="13"/>
      <c r="G2" s="40" t="s">
        <v>35</v>
      </c>
      <c r="H2" s="35"/>
      <c r="I2" s="14"/>
      <c r="J2" s="12" t="s">
        <v>36</v>
      </c>
      <c r="K2" s="45"/>
      <c r="L2" s="46"/>
      <c r="M2" s="47"/>
      <c r="P2" s="2" t="e">
        <f t="shared" ref="P2:V2" si="0">IF(F27=0,NA(),F27)</f>
        <v>#N/A</v>
      </c>
      <c r="Q2" s="2">
        <f t="shared" si="0"/>
        <v>8</v>
      </c>
      <c r="R2" s="2">
        <f t="shared" si="0"/>
        <v>4.135700452</v>
      </c>
      <c r="S2" s="2" t="e">
        <f t="shared" si="0"/>
        <v>#N/A</v>
      </c>
      <c r="T2" s="2">
        <f t="shared" si="0"/>
        <v>4</v>
      </c>
      <c r="U2" s="2">
        <f t="shared" si="0"/>
        <v>8.135700452</v>
      </c>
      <c r="V2" s="2" t="e">
        <f t="shared" si="0"/>
        <v>#N/A</v>
      </c>
    </row>
    <row r="3" spans="1:22" ht="15" customHeight="1" x14ac:dyDescent="0.25">
      <c r="A3" s="50" t="s">
        <v>201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202</v>
      </c>
      <c r="L3" s="35"/>
      <c r="M3" s="35"/>
    </row>
    <row r="4" spans="1:22" ht="20.100000000000001" customHeight="1" x14ac:dyDescent="0.25">
      <c r="A4" s="34" t="s">
        <v>39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40</v>
      </c>
      <c r="B6" s="30" t="s">
        <v>41</v>
      </c>
      <c r="C6" s="30" t="s">
        <v>42</v>
      </c>
      <c r="D6" s="30" t="s">
        <v>43</v>
      </c>
      <c r="E6" s="30" t="s">
        <v>44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45</v>
      </c>
      <c r="N6" s="30" t="s">
        <v>46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203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204</v>
      </c>
      <c r="B9" s="16" t="s">
        <v>49</v>
      </c>
      <c r="C9" s="17">
        <v>0</v>
      </c>
      <c r="D9" s="17">
        <v>1</v>
      </c>
      <c r="E9" s="17">
        <f t="shared" ref="E9:E21" si="1">D9-C9</f>
        <v>1</v>
      </c>
      <c r="F9" s="18"/>
      <c r="G9" s="18"/>
      <c r="H9" s="18" t="s">
        <v>50</v>
      </c>
      <c r="I9" s="18"/>
      <c r="J9" s="18"/>
      <c r="K9" s="18" t="s">
        <v>50</v>
      </c>
      <c r="L9" s="18"/>
      <c r="M9" s="19" t="s">
        <v>205</v>
      </c>
      <c r="N9" s="20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204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 t="s">
        <v>50</v>
      </c>
      <c r="I10" s="18"/>
      <c r="J10" s="18"/>
      <c r="K10" s="18" t="s">
        <v>50</v>
      </c>
      <c r="L10" s="18"/>
      <c r="M10" s="19" t="s">
        <v>205</v>
      </c>
      <c r="N10" s="20" t="str">
        <f t="shared" si="2"/>
        <v>OK</v>
      </c>
    </row>
    <row r="11" spans="1:22" ht="20.100000000000001" customHeight="1" x14ac:dyDescent="0.25">
      <c r="A11" s="15" t="s">
        <v>204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 t="s">
        <v>50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204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204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204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204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204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204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204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 t="s">
        <v>50</v>
      </c>
      <c r="H18" s="18"/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204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50</v>
      </c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204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50</v>
      </c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21" t="s">
        <v>204</v>
      </c>
      <c r="B21" s="22" t="s">
        <v>49</v>
      </c>
      <c r="C21" s="23">
        <v>12</v>
      </c>
      <c r="D21" s="23">
        <v>12.135700452</v>
      </c>
      <c r="E21" s="23">
        <f t="shared" si="1"/>
        <v>0.13570045200000003</v>
      </c>
      <c r="F21" s="24"/>
      <c r="G21" s="24"/>
      <c r="H21" s="24" t="s">
        <v>50</v>
      </c>
      <c r="I21" s="24"/>
      <c r="J21" s="24"/>
      <c r="K21" s="24" t="s">
        <v>50</v>
      </c>
      <c r="L21" s="24"/>
      <c r="M21" s="25"/>
      <c r="N21" s="26" t="str">
        <f t="shared" si="2"/>
        <v>OK</v>
      </c>
    </row>
    <row r="23" spans="1:14" x14ac:dyDescent="0.25">
      <c r="A23" s="37" t="s">
        <v>63</v>
      </c>
      <c r="B23" s="35"/>
      <c r="C23" s="35"/>
      <c r="D23" s="35"/>
      <c r="E23" s="35"/>
      <c r="G23" s="37" t="s">
        <v>63</v>
      </c>
      <c r="H23" s="35"/>
      <c r="I23" s="35"/>
      <c r="J23" s="35"/>
      <c r="K23" s="35"/>
    </row>
    <row r="24" spans="1:14" x14ac:dyDescent="0.25">
      <c r="A24" s="44" t="s">
        <v>64</v>
      </c>
      <c r="B24" s="35"/>
      <c r="C24" s="35"/>
      <c r="D24" s="35"/>
      <c r="E24" s="35"/>
      <c r="G24" s="44" t="s">
        <v>65</v>
      </c>
      <c r="H24" s="35"/>
      <c r="I24" s="35"/>
      <c r="J24" s="35"/>
      <c r="K24" s="35"/>
    </row>
    <row r="26" spans="1:14" x14ac:dyDescent="0.25">
      <c r="A26" s="48" t="s">
        <v>66</v>
      </c>
      <c r="B26" s="35"/>
      <c r="C26" s="35"/>
      <c r="D26" s="35"/>
      <c r="E26" s="35"/>
      <c r="F26" s="27"/>
      <c r="G26" s="27"/>
      <c r="H26" s="27"/>
      <c r="I26" s="27"/>
      <c r="J26" s="27"/>
      <c r="K26" s="27"/>
      <c r="L26" s="27"/>
      <c r="M26" s="27"/>
    </row>
    <row r="27" spans="1:14" x14ac:dyDescent="0.25">
      <c r="A27" s="39" t="s">
        <v>67</v>
      </c>
      <c r="B27" s="35"/>
      <c r="C27" s="35"/>
      <c r="D27" s="35"/>
      <c r="E27" s="35"/>
      <c r="F27" s="9">
        <f t="shared" ref="F27:L27" si="3">SUMIF(F$9:F$21,"X",$E$9:$E$21)</f>
        <v>0</v>
      </c>
      <c r="G27" s="9">
        <f t="shared" si="3"/>
        <v>8</v>
      </c>
      <c r="H27" s="9">
        <f t="shared" si="3"/>
        <v>4.135700452</v>
      </c>
      <c r="I27" s="9">
        <f t="shared" si="3"/>
        <v>0</v>
      </c>
      <c r="J27" s="9">
        <f t="shared" si="3"/>
        <v>4</v>
      </c>
      <c r="K27" s="9">
        <f t="shared" si="3"/>
        <v>8.135700452</v>
      </c>
      <c r="L27" s="9">
        <f t="shared" si="3"/>
        <v>0</v>
      </c>
    </row>
    <row r="28" spans="1:14" x14ac:dyDescent="0.25">
      <c r="A28" s="39" t="s">
        <v>68</v>
      </c>
      <c r="B28" s="35"/>
      <c r="C28" s="35"/>
      <c r="D28" s="35"/>
      <c r="E28" s="35"/>
      <c r="F28" s="28">
        <f t="shared" ref="F28:L28" si="4">IF($I30=0,0,F27/$I30)</f>
        <v>0</v>
      </c>
      <c r="G28" s="28">
        <f t="shared" si="4"/>
        <v>0.65921205221257551</v>
      </c>
      <c r="H28" s="28">
        <f t="shared" si="4"/>
        <v>0.34078794778742449</v>
      </c>
      <c r="I28" s="28">
        <f t="shared" si="4"/>
        <v>0</v>
      </c>
      <c r="J28" s="28">
        <f t="shared" si="4"/>
        <v>0.32960602610628775</v>
      </c>
      <c r="K28" s="28">
        <f t="shared" si="4"/>
        <v>0.67039397389371225</v>
      </c>
      <c r="L28" s="28">
        <f t="shared" si="4"/>
        <v>0</v>
      </c>
    </row>
    <row r="29" spans="1:14" x14ac:dyDescent="0.25">
      <c r="A29" s="39" t="s">
        <v>69</v>
      </c>
      <c r="B29" s="35"/>
      <c r="C29" s="35"/>
      <c r="D29" s="35"/>
      <c r="E29" s="35"/>
      <c r="F29" s="38" t="str">
        <f>IF(SUM(F27:I27)=0,"— não preenchido",IF(ROUND(SUM(F27:I27)-$I30,3)=0,"OK — "&amp;ROUND(SUM(F27:I27),3)&amp;" km","ERRO — dif. de "&amp;ROUND(SUM(F27:I27)-$I30,3)&amp;" km"))</f>
        <v>OK — 12,136 km</v>
      </c>
      <c r="G29" s="32"/>
      <c r="H29" s="32"/>
      <c r="I29" s="33"/>
      <c r="J29" s="38" t="str">
        <f>IF(SUM(J27:L27)=0,"— não preenchido",IF(ROUND(SUM(J27:L27)-$I30,3)=0,"OK — "&amp;ROUND(SUM(J27:L27),3)&amp;" km","ERRO — dif. de "&amp;ROUND(SUM(J27:L27)-$I30,3)&amp;" km"))</f>
        <v>OK — 12,136 km</v>
      </c>
      <c r="K29" s="32"/>
      <c r="L29" s="33"/>
    </row>
    <row r="30" spans="1:14" x14ac:dyDescent="0.25">
      <c r="A30" s="39" t="s">
        <v>70</v>
      </c>
      <c r="B30" s="35"/>
      <c r="C30" s="35"/>
      <c r="D30" s="35"/>
      <c r="E30" s="35"/>
      <c r="I30" s="29">
        <f>SUM(E9:E21)</f>
        <v>12.135700452</v>
      </c>
      <c r="M30" s="8" t="str">
        <f>COUNTIF(N9:N21,"OK")&amp;" de "&amp;COUNT($E$9:$E$21)&amp;" linhas conferidas"</f>
        <v>13 de 13 linhas conferidas</v>
      </c>
    </row>
    <row r="32" spans="1:14" x14ac:dyDescent="0.25">
      <c r="A32" s="49" t="s">
        <v>71</v>
      </c>
      <c r="B32" s="35"/>
      <c r="C32" s="35"/>
      <c r="D32" s="35"/>
      <c r="E32" s="35"/>
    </row>
    <row r="33" spans="1:13" x14ac:dyDescent="0.25">
      <c r="A33" s="39" t="s">
        <v>10</v>
      </c>
      <c r="B33" s="35"/>
      <c r="C33" s="35"/>
      <c r="D33" s="35"/>
      <c r="E33" s="42" t="s">
        <v>72</v>
      </c>
      <c r="F33" s="35"/>
      <c r="G33" s="35"/>
      <c r="H33" s="35"/>
      <c r="I33" s="35"/>
      <c r="J33" s="35"/>
      <c r="K33" s="35"/>
      <c r="L33" s="35"/>
      <c r="M33" s="35"/>
    </row>
    <row r="34" spans="1:13" x14ac:dyDescent="0.25">
      <c r="A34" s="39" t="s">
        <v>11</v>
      </c>
      <c r="B34" s="35"/>
      <c r="C34" s="35"/>
      <c r="D34" s="35"/>
      <c r="E34" s="42" t="s">
        <v>73</v>
      </c>
      <c r="F34" s="35"/>
      <c r="G34" s="35"/>
      <c r="H34" s="35"/>
      <c r="I34" s="35"/>
      <c r="J34" s="35"/>
      <c r="K34" s="35"/>
      <c r="L34" s="35"/>
      <c r="M34" s="35"/>
    </row>
    <row r="35" spans="1:13" x14ac:dyDescent="0.25">
      <c r="A35" s="39" t="s">
        <v>12</v>
      </c>
      <c r="B35" s="35"/>
      <c r="C35" s="35"/>
      <c r="D35" s="35"/>
      <c r="E35" s="42" t="s">
        <v>74</v>
      </c>
      <c r="F35" s="35"/>
      <c r="G35" s="35"/>
      <c r="H35" s="35"/>
      <c r="I35" s="35"/>
      <c r="J35" s="35"/>
      <c r="K35" s="35"/>
      <c r="L35" s="35"/>
      <c r="M35" s="35"/>
    </row>
    <row r="36" spans="1:13" x14ac:dyDescent="0.25">
      <c r="A36" s="39" t="s">
        <v>75</v>
      </c>
      <c r="B36" s="35"/>
      <c r="C36" s="35"/>
      <c r="D36" s="35"/>
      <c r="E36" s="42" t="s">
        <v>76</v>
      </c>
      <c r="F36" s="35"/>
      <c r="G36" s="35"/>
      <c r="H36" s="35"/>
      <c r="I36" s="35"/>
      <c r="J36" s="35"/>
      <c r="K36" s="35"/>
      <c r="L36" s="35"/>
      <c r="M36" s="35"/>
    </row>
    <row r="37" spans="1:13" x14ac:dyDescent="0.25">
      <c r="A37" s="39" t="s">
        <v>77</v>
      </c>
      <c r="B37" s="35"/>
      <c r="C37" s="35"/>
      <c r="D37" s="35"/>
      <c r="E37" s="42" t="s">
        <v>78</v>
      </c>
      <c r="F37" s="35"/>
      <c r="G37" s="35"/>
      <c r="H37" s="35"/>
      <c r="I37" s="35"/>
      <c r="J37" s="35"/>
      <c r="K37" s="35"/>
      <c r="L37" s="35"/>
      <c r="M37" s="35"/>
    </row>
    <row r="38" spans="1:13" x14ac:dyDescent="0.25">
      <c r="A38" s="39" t="s">
        <v>79</v>
      </c>
      <c r="B38" s="35"/>
      <c r="C38" s="35"/>
      <c r="D38" s="35"/>
      <c r="E38" s="42" t="s">
        <v>80</v>
      </c>
      <c r="F38" s="35"/>
      <c r="G38" s="35"/>
      <c r="H38" s="35"/>
      <c r="I38" s="35"/>
      <c r="J38" s="35"/>
      <c r="K38" s="35"/>
      <c r="L38" s="35"/>
      <c r="M38" s="35"/>
    </row>
    <row r="39" spans="1:13" x14ac:dyDescent="0.25">
      <c r="A39" s="39" t="s">
        <v>41</v>
      </c>
      <c r="B39" s="35"/>
      <c r="C39" s="35"/>
      <c r="D39" s="35"/>
      <c r="E39" s="42" t="s">
        <v>81</v>
      </c>
      <c r="F39" s="35"/>
      <c r="G39" s="35"/>
      <c r="H39" s="35"/>
      <c r="I39" s="35"/>
      <c r="J39" s="35"/>
      <c r="K39" s="35"/>
      <c r="L39" s="35"/>
      <c r="M39" s="35"/>
    </row>
    <row r="40" spans="1:13" x14ac:dyDescent="0.25">
      <c r="A40" s="39" t="s">
        <v>82</v>
      </c>
      <c r="B40" s="35"/>
      <c r="C40" s="35"/>
      <c r="D40" s="35"/>
      <c r="E40" s="42" t="s">
        <v>83</v>
      </c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39" t="s">
        <v>84</v>
      </c>
      <c r="B41" s="35"/>
      <c r="C41" s="35"/>
      <c r="D41" s="35"/>
      <c r="E41" s="42" t="s">
        <v>85</v>
      </c>
      <c r="F41" s="35"/>
      <c r="G41" s="35"/>
      <c r="H41" s="35"/>
      <c r="I41" s="35"/>
      <c r="J41" s="35"/>
      <c r="K41" s="35"/>
      <c r="L41" s="35"/>
      <c r="M41" s="35"/>
    </row>
    <row r="42" spans="1:13" x14ac:dyDescent="0.25">
      <c r="A42" s="39" t="s">
        <v>8</v>
      </c>
      <c r="B42" s="35"/>
      <c r="C42" s="35"/>
      <c r="D42" s="35"/>
      <c r="E42" s="42" t="s">
        <v>86</v>
      </c>
      <c r="F42" s="35"/>
      <c r="G42" s="35"/>
      <c r="H42" s="35"/>
      <c r="I42" s="35"/>
      <c r="J42" s="35"/>
      <c r="K42" s="35"/>
      <c r="L42" s="35"/>
      <c r="M42" s="35"/>
    </row>
  </sheetData>
  <sheetProtection sheet="1" formatCells="0"/>
  <mergeCells count="50">
    <mergeCell ref="E42:M42"/>
    <mergeCell ref="A28:E28"/>
    <mergeCell ref="A3:J3"/>
    <mergeCell ref="E39:M39"/>
    <mergeCell ref="C6:C7"/>
    <mergeCell ref="A33:D33"/>
    <mergeCell ref="D6:D7"/>
    <mergeCell ref="A42:D42"/>
    <mergeCell ref="E35:M35"/>
    <mergeCell ref="E38:M38"/>
    <mergeCell ref="N6:N7"/>
    <mergeCell ref="A32:E32"/>
    <mergeCell ref="K3:M3"/>
    <mergeCell ref="A41:D41"/>
    <mergeCell ref="J29:L29"/>
    <mergeCell ref="A37:D37"/>
    <mergeCell ref="A29:E29"/>
    <mergeCell ref="E33:M33"/>
    <mergeCell ref="A36:D36"/>
    <mergeCell ref="A1:M1"/>
    <mergeCell ref="A26:E26"/>
    <mergeCell ref="E41:M41"/>
    <mergeCell ref="G24:K24"/>
    <mergeCell ref="E37:M37"/>
    <mergeCell ref="A23:E23"/>
    <mergeCell ref="A35:D35"/>
    <mergeCell ref="A38:D38"/>
    <mergeCell ref="A4:M4"/>
    <mergeCell ref="E40:M40"/>
    <mergeCell ref="A6:A7"/>
    <mergeCell ref="G23:K23"/>
    <mergeCell ref="E34:M34"/>
    <mergeCell ref="A40:D40"/>
    <mergeCell ref="A34:D34"/>
    <mergeCell ref="E36:M36"/>
    <mergeCell ref="A39:D39"/>
    <mergeCell ref="M6:M7"/>
    <mergeCell ref="F29:I29"/>
    <mergeCell ref="E6:E7"/>
    <mergeCell ref="B6:B7"/>
    <mergeCell ref="A27:E27"/>
    <mergeCell ref="A30:E30"/>
    <mergeCell ref="J6:L6"/>
    <mergeCell ref="A24:E24"/>
    <mergeCell ref="G2:H2"/>
    <mergeCell ref="A8:M8"/>
    <mergeCell ref="A2:C2"/>
    <mergeCell ref="K2:M2"/>
    <mergeCell ref="D2:E2"/>
    <mergeCell ref="F6:I6"/>
  </mergeCells>
  <conditionalFormatting sqref="F9:I21">
    <cfRule type="expression" dxfId="5" priority="1">
      <formula>AND(F9&lt;&gt;"",COUNTIF($F9:$I9,"X")&gt;1)</formula>
    </cfRule>
  </conditionalFormatting>
  <conditionalFormatting sqref="F29:L29">
    <cfRule type="expression" dxfId="4" priority="5">
      <formula>LEFT(F29,4)="ERRO"</formula>
    </cfRule>
    <cfRule type="expression" dxfId="3" priority="6">
      <formula>LEFT(F29,2)="OK"</formula>
    </cfRule>
  </conditionalFormatting>
  <conditionalFormatting sqref="J9:L21">
    <cfRule type="expression" dxfId="2" priority="2">
      <formula>AND(J9&lt;&gt;"",COUNTIF($J9:$L9,"X")&gt;1)</formula>
    </cfRule>
  </conditionalFormatting>
  <conditionalFormatting sqref="N9:N21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1" xr:uid="{00000000-0002-0000-0D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1" xr:uid="{00000000-0002-0000-0D00-000001000000}">
      <formula1>AND(UPPER(J9)="X",COUNTIF($J9:$L9,"X")&lt;=1)</formula1>
    </dataValidation>
    <dataValidation type="list" showErrorMessage="1" errorTitle="Sentido inválido" error="Use C (crescente) ou D (decrescente)." sqref="B9:B21" xr:uid="{00000000-0002-0000-0D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37</oddHeader>
    <oddFooter>&amp;L&amp;7 RTA / MSI — Programa de Manutenção Rodoviária&amp;C&amp;7 Página &amp;P de &amp;N&amp;R&amp;7 Impresso em &amp;D</oddFooter>
  </headerFooter>
  <rowBreaks count="1" manualBreakCount="1">
    <brk id="24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206</v>
      </c>
    </row>
    <row r="2" spans="1:1" x14ac:dyDescent="0.25">
      <c r="A2" t="s">
        <v>207</v>
      </c>
    </row>
    <row r="3" spans="1:1" x14ac:dyDescent="0.25">
      <c r="A3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27</vt:i4>
      </vt:variant>
    </vt:vector>
  </HeadingPairs>
  <TitlesOfParts>
    <vt:vector size="42" baseType="lpstr">
      <vt:lpstr>RESUMO</vt:lpstr>
      <vt:lpstr>1</vt:lpstr>
      <vt:lpstr>6</vt:lpstr>
      <vt:lpstr>12</vt:lpstr>
      <vt:lpstr>20</vt:lpstr>
      <vt:lpstr>21</vt:lpstr>
      <vt:lpstr>22</vt:lpstr>
      <vt:lpstr>25</vt:lpstr>
      <vt:lpstr>26</vt:lpstr>
      <vt:lpstr>27</vt:lpstr>
      <vt:lpstr>31</vt:lpstr>
      <vt:lpstr>33</vt:lpstr>
      <vt:lpstr>34</vt:lpstr>
      <vt:lpstr>37</vt:lpstr>
      <vt:lpstr>LISTAS</vt:lpstr>
      <vt:lpstr>'1'!Area_de_impressao</vt:lpstr>
      <vt:lpstr>'12'!Area_de_impressao</vt:lpstr>
      <vt:lpstr>'20'!Area_de_impressao</vt:lpstr>
      <vt:lpstr>'21'!Area_de_impressao</vt:lpstr>
      <vt:lpstr>'22'!Area_de_impressao</vt:lpstr>
      <vt:lpstr>'25'!Area_de_impressao</vt:lpstr>
      <vt:lpstr>'26'!Area_de_impressao</vt:lpstr>
      <vt:lpstr>'27'!Area_de_impressao</vt:lpstr>
      <vt:lpstr>'31'!Area_de_impressao</vt:lpstr>
      <vt:lpstr>'33'!Area_de_impressao</vt:lpstr>
      <vt:lpstr>'34'!Area_de_impressao</vt:lpstr>
      <vt:lpstr>'37'!Area_de_impressao</vt:lpstr>
      <vt:lpstr>'6'!Area_de_impressao</vt:lpstr>
      <vt:lpstr>RESUMO!Area_de_impressao</vt:lpstr>
      <vt:lpstr>'1'!Titulos_de_impressao</vt:lpstr>
      <vt:lpstr>'12'!Titulos_de_impressao</vt:lpstr>
      <vt:lpstr>'20'!Titulos_de_impressao</vt:lpstr>
      <vt:lpstr>'21'!Titulos_de_impressao</vt:lpstr>
      <vt:lpstr>'22'!Titulos_de_impressao</vt:lpstr>
      <vt:lpstr>'25'!Titulos_de_impressao</vt:lpstr>
      <vt:lpstr>'26'!Titulos_de_impressao</vt:lpstr>
      <vt:lpstr>'27'!Titulos_de_impressao</vt:lpstr>
      <vt:lpstr>'31'!Titulos_de_impressao</vt:lpstr>
      <vt:lpstr>'33'!Titulos_de_impressao</vt:lpstr>
      <vt:lpstr>'34'!Titulos_de_impressao</vt:lpstr>
      <vt:lpstr>'37'!Titulos_de_impressao</vt:lpstr>
      <vt:lpstr>'6'!Titulos_de_impressao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2026-08-12T19:05:17Z</dcterms:created>
  <dcterms:modified xsi:type="dcterms:W3CDTF">2026-08-12T19:07:04Z</dcterms:modified>
</cp:coreProperties>
</file>