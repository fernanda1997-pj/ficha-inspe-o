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C10DFD31-6F23-4A02-889F-4BA96F4701AE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224" sheetId="2" r:id="rId2"/>
    <sheet name="225" sheetId="3" r:id="rId3"/>
    <sheet name="226" sheetId="4" r:id="rId4"/>
    <sheet name="227" sheetId="5" r:id="rId5"/>
    <sheet name="228" sheetId="6" r:id="rId6"/>
    <sheet name="229" sheetId="7" r:id="rId7"/>
    <sheet name="230" sheetId="8" r:id="rId8"/>
    <sheet name="231" sheetId="9" r:id="rId9"/>
    <sheet name="233" sheetId="10" r:id="rId10"/>
    <sheet name="234" sheetId="11" r:id="rId11"/>
    <sheet name="235" sheetId="12" r:id="rId12"/>
    <sheet name="243" sheetId="13" r:id="rId13"/>
    <sheet name="244" sheetId="14" r:id="rId14"/>
    <sheet name="LISTAS" sheetId="15" state="hidden" r:id="rId15"/>
  </sheets>
  <definedNames>
    <definedName name="_xlnm.Print_Area" localSheetId="1">'224'!$A$1:$V$55</definedName>
    <definedName name="_xlnm.Print_Area" localSheetId="2">'225'!$A$1:$V$105</definedName>
    <definedName name="_xlnm.Print_Area" localSheetId="3">'226'!$A$1:$V$96</definedName>
    <definedName name="_xlnm.Print_Area" localSheetId="4">'227'!$A$1:$V$77</definedName>
    <definedName name="_xlnm.Print_Area" localSheetId="5">'228'!$A$1:$V$83</definedName>
    <definedName name="_xlnm.Print_Area" localSheetId="6">'229'!$A$1:$V$35</definedName>
    <definedName name="_xlnm.Print_Area" localSheetId="7">'230'!$A$1:$V$93</definedName>
    <definedName name="_xlnm.Print_Area" localSheetId="8">'231'!$A$1:$V$30</definedName>
    <definedName name="_xlnm.Print_Area" localSheetId="9">'233'!$A$1:$V$114</definedName>
    <definedName name="_xlnm.Print_Area" localSheetId="10">'234'!$A$1:$V$66</definedName>
    <definedName name="_xlnm.Print_Area" localSheetId="11">'235'!$A$1:$V$65</definedName>
    <definedName name="_xlnm.Print_Area" localSheetId="12">'243'!$A$1:$V$68</definedName>
    <definedName name="_xlnm.Print_Area" localSheetId="13">'244'!$A$1:$V$74</definedName>
    <definedName name="_xlnm.Print_Area" localSheetId="0">RESUMO!$A$1:$T$20</definedName>
    <definedName name="_xlnm.Print_Titles" localSheetId="1">'224'!$6:$7</definedName>
    <definedName name="_xlnm.Print_Titles" localSheetId="2">'225'!$6:$7</definedName>
    <definedName name="_xlnm.Print_Titles" localSheetId="3">'226'!$6:$7</definedName>
    <definedName name="_xlnm.Print_Titles" localSheetId="4">'227'!$6:$7</definedName>
    <definedName name="_xlnm.Print_Titles" localSheetId="5">'228'!$6:$7</definedName>
    <definedName name="_xlnm.Print_Titles" localSheetId="6">'229'!$6:$7</definedName>
    <definedName name="_xlnm.Print_Titles" localSheetId="7">'230'!$6:$7</definedName>
    <definedName name="_xlnm.Print_Titles" localSheetId="8">'231'!$6:$7</definedName>
    <definedName name="_xlnm.Print_Titles" localSheetId="9">'233'!$6:$7</definedName>
    <definedName name="_xlnm.Print_Titles" localSheetId="10">'234'!$6:$7</definedName>
    <definedName name="_xlnm.Print_Titles" localSheetId="11">'235'!$6:$7</definedName>
    <definedName name="_xlnm.Print_Titles" localSheetId="12">'243'!$6:$7</definedName>
    <definedName name="_xlnm.Print_Titles" localSheetId="13">'244'!$6:$7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0" i="14" l="1"/>
  <c r="S60" i="14"/>
  <c r="R60" i="14"/>
  <c r="P60" i="14"/>
  <c r="O60" i="14"/>
  <c r="M60" i="14"/>
  <c r="L60" i="14"/>
  <c r="AE2" i="14" s="1"/>
  <c r="J60" i="14"/>
  <c r="I60" i="14"/>
  <c r="W54" i="14"/>
  <c r="E54" i="14"/>
  <c r="W53" i="14"/>
  <c r="E53" i="14"/>
  <c r="W52" i="14"/>
  <c r="E52" i="14"/>
  <c r="W51" i="14"/>
  <c r="E51" i="14"/>
  <c r="W50" i="14"/>
  <c r="E50" i="14"/>
  <c r="W49" i="14"/>
  <c r="E49" i="14"/>
  <c r="W48" i="14"/>
  <c r="E48" i="14"/>
  <c r="W47" i="14"/>
  <c r="E47" i="14"/>
  <c r="W46" i="14"/>
  <c r="E46" i="14"/>
  <c r="W45" i="14"/>
  <c r="E45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29" i="14"/>
  <c r="E29" i="14"/>
  <c r="W28" i="14"/>
  <c r="E28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7" i="14"/>
  <c r="E17" i="14"/>
  <c r="W16" i="14"/>
  <c r="E16" i="14"/>
  <c r="W15" i="14"/>
  <c r="E15" i="14"/>
  <c r="W14" i="14"/>
  <c r="E14" i="14"/>
  <c r="W13" i="14"/>
  <c r="E13" i="14"/>
  <c r="W12" i="14"/>
  <c r="E12" i="14"/>
  <c r="W11" i="14"/>
  <c r="E11" i="14"/>
  <c r="W10" i="14"/>
  <c r="E10" i="14"/>
  <c r="Q60" i="14" s="1"/>
  <c r="W9" i="14"/>
  <c r="E9" i="14"/>
  <c r="AN2" i="14"/>
  <c r="AL2" i="14"/>
  <c r="AK2" i="14"/>
  <c r="AI2" i="14"/>
  <c r="AH2" i="14"/>
  <c r="AC2" i="14"/>
  <c r="AB2" i="14"/>
  <c r="U54" i="13"/>
  <c r="S17" i="1" s="1"/>
  <c r="R54" i="13"/>
  <c r="P54" i="13"/>
  <c r="O54" i="13"/>
  <c r="AH2" i="13" s="1"/>
  <c r="L54" i="13"/>
  <c r="AE2" i="13" s="1"/>
  <c r="J54" i="13"/>
  <c r="H54" i="13"/>
  <c r="W48" i="13"/>
  <c r="E48" i="13"/>
  <c r="W47" i="13"/>
  <c r="E47" i="13"/>
  <c r="W46" i="13"/>
  <c r="E46" i="13"/>
  <c r="W45" i="13"/>
  <c r="E45" i="13"/>
  <c r="W44" i="13"/>
  <c r="E44" i="13"/>
  <c r="S54" i="13" s="1"/>
  <c r="Q17" i="1" s="1"/>
  <c r="W41" i="13"/>
  <c r="E41" i="13"/>
  <c r="W40" i="13"/>
  <c r="E40" i="13"/>
  <c r="W39" i="13"/>
  <c r="E39" i="13"/>
  <c r="I54" i="13" s="1"/>
  <c r="AB2" i="13" s="1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M54" i="13" s="1"/>
  <c r="AF2" i="13" s="1"/>
  <c r="W23" i="13"/>
  <c r="E23" i="13"/>
  <c r="W22" i="13"/>
  <c r="E22" i="13"/>
  <c r="W21" i="13"/>
  <c r="E21" i="13"/>
  <c r="W20" i="13"/>
  <c r="E20" i="13"/>
  <c r="W19" i="13"/>
  <c r="E19" i="13"/>
  <c r="W18" i="13"/>
  <c r="E18" i="13"/>
  <c r="G54" i="13" s="1"/>
  <c r="Z2" i="13" s="1"/>
  <c r="W17" i="13"/>
  <c r="E17" i="13"/>
  <c r="W16" i="13"/>
  <c r="E16" i="13"/>
  <c r="W15" i="13"/>
  <c r="E15" i="13"/>
  <c r="W14" i="13"/>
  <c r="E14" i="13"/>
  <c r="W13" i="13"/>
  <c r="E13" i="13"/>
  <c r="W12" i="13"/>
  <c r="E12" i="13"/>
  <c r="W11" i="13"/>
  <c r="E11" i="13"/>
  <c r="W10" i="13"/>
  <c r="E10" i="13"/>
  <c r="T54" i="13" s="1"/>
  <c r="AM2" i="13" s="1"/>
  <c r="W9" i="13"/>
  <c r="E9" i="13"/>
  <c r="AK2" i="13"/>
  <c r="AI2" i="13"/>
  <c r="AC2" i="13"/>
  <c r="AA2" i="13"/>
  <c r="U51" i="12"/>
  <c r="T51" i="12"/>
  <c r="AM2" i="12" s="1"/>
  <c r="R51" i="12"/>
  <c r="Q51" i="12"/>
  <c r="O51" i="12"/>
  <c r="AH2" i="12" s="1"/>
  <c r="M51" i="12"/>
  <c r="L51" i="12"/>
  <c r="J51" i="12"/>
  <c r="AC2" i="12" s="1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0" i="12"/>
  <c r="E30" i="12"/>
  <c r="W29" i="12"/>
  <c r="E29" i="12"/>
  <c r="W28" i="12"/>
  <c r="E28" i="12"/>
  <c r="W27" i="12"/>
  <c r="E27" i="12"/>
  <c r="W26" i="12"/>
  <c r="E26" i="12"/>
  <c r="W25" i="12"/>
  <c r="E25" i="12"/>
  <c r="W24" i="12"/>
  <c r="E24" i="12"/>
  <c r="W23" i="12"/>
  <c r="E23" i="12"/>
  <c r="W22" i="12"/>
  <c r="E22" i="12"/>
  <c r="W21" i="12"/>
  <c r="E21" i="12"/>
  <c r="W20" i="12"/>
  <c r="E20" i="12"/>
  <c r="W19" i="12"/>
  <c r="E19" i="12"/>
  <c r="W18" i="12"/>
  <c r="E18" i="12"/>
  <c r="W17" i="12"/>
  <c r="E17" i="12"/>
  <c r="F51" i="12" s="1"/>
  <c r="W16" i="12"/>
  <c r="E16" i="12"/>
  <c r="W15" i="12"/>
  <c r="E15" i="12"/>
  <c r="I51" i="12" s="1"/>
  <c r="W14" i="12"/>
  <c r="E14" i="12"/>
  <c r="W12" i="12"/>
  <c r="E12" i="12"/>
  <c r="W11" i="12"/>
  <c r="E11" i="12"/>
  <c r="G51" i="12" s="1"/>
  <c r="W9" i="12"/>
  <c r="E9" i="12"/>
  <c r="N51" i="12" s="1"/>
  <c r="AN2" i="12"/>
  <c r="AK2" i="12"/>
  <c r="AJ2" i="12"/>
  <c r="AF2" i="12"/>
  <c r="AE2" i="12"/>
  <c r="AB2" i="12"/>
  <c r="U52" i="11"/>
  <c r="S52" i="11"/>
  <c r="R52" i="11"/>
  <c r="AK2" i="11" s="1"/>
  <c r="P52" i="11"/>
  <c r="AI2" i="11" s="1"/>
  <c r="O52" i="11"/>
  <c r="M52" i="11"/>
  <c r="K52" i="11"/>
  <c r="AD2" i="11" s="1"/>
  <c r="J52" i="11"/>
  <c r="I52" i="1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H52" i="11" s="1"/>
  <c r="W13" i="11"/>
  <c r="E13" i="11"/>
  <c r="W12" i="11"/>
  <c r="E12" i="11"/>
  <c r="W11" i="11"/>
  <c r="E11" i="11"/>
  <c r="W10" i="11"/>
  <c r="V55" i="11" s="1"/>
  <c r="E10" i="11"/>
  <c r="W9" i="11"/>
  <c r="E9" i="11"/>
  <c r="R55" i="11" s="1"/>
  <c r="AN2" i="11"/>
  <c r="AL2" i="11"/>
  <c r="AH2" i="11"/>
  <c r="AF2" i="11"/>
  <c r="AC2" i="11"/>
  <c r="AB2" i="11"/>
  <c r="U100" i="10"/>
  <c r="S14" i="1" s="1"/>
  <c r="S100" i="10"/>
  <c r="R100" i="10"/>
  <c r="P100" i="10"/>
  <c r="O100" i="10"/>
  <c r="L100" i="10"/>
  <c r="J100" i="10"/>
  <c r="I100" i="10"/>
  <c r="G14" i="1" s="1"/>
  <c r="W94" i="10"/>
  <c r="E94" i="10"/>
  <c r="W93" i="10"/>
  <c r="E93" i="10"/>
  <c r="W92" i="10"/>
  <c r="E92" i="10"/>
  <c r="W91" i="10"/>
  <c r="E91" i="10"/>
  <c r="W90" i="10"/>
  <c r="E90" i="10"/>
  <c r="W89" i="10"/>
  <c r="E89" i="10"/>
  <c r="W88" i="10"/>
  <c r="E88" i="10"/>
  <c r="W87" i="10"/>
  <c r="E87" i="10"/>
  <c r="W86" i="10"/>
  <c r="E86" i="10"/>
  <c r="W85" i="10"/>
  <c r="E85" i="10"/>
  <c r="W84" i="10"/>
  <c r="E84" i="10"/>
  <c r="W83" i="10"/>
  <c r="E83" i="10"/>
  <c r="W82" i="10"/>
  <c r="E82" i="10"/>
  <c r="W81" i="10"/>
  <c r="E81" i="10"/>
  <c r="W80" i="10"/>
  <c r="E80" i="10"/>
  <c r="W79" i="10"/>
  <c r="E79" i="10"/>
  <c r="W78" i="10"/>
  <c r="E78" i="10"/>
  <c r="W77" i="10"/>
  <c r="E77" i="10"/>
  <c r="W76" i="10"/>
  <c r="E76" i="10"/>
  <c r="W75" i="10"/>
  <c r="E75" i="10"/>
  <c r="W74" i="10"/>
  <c r="E74" i="10"/>
  <c r="W73" i="10"/>
  <c r="E73" i="10"/>
  <c r="W72" i="10"/>
  <c r="E72" i="10"/>
  <c r="W71" i="10"/>
  <c r="E71" i="10"/>
  <c r="W69" i="10"/>
  <c r="E69" i="10"/>
  <c r="W68" i="10"/>
  <c r="E68" i="10"/>
  <c r="W67" i="10"/>
  <c r="E67" i="10"/>
  <c r="W66" i="10"/>
  <c r="E66" i="10"/>
  <c r="W65" i="10"/>
  <c r="E65" i="10"/>
  <c r="W64" i="10"/>
  <c r="E64" i="10"/>
  <c r="W63" i="10"/>
  <c r="E63" i="10"/>
  <c r="W62" i="10"/>
  <c r="E62" i="10"/>
  <c r="W61" i="10"/>
  <c r="E61" i="10"/>
  <c r="W60" i="10"/>
  <c r="E60" i="10"/>
  <c r="W59" i="10"/>
  <c r="E59" i="10"/>
  <c r="W58" i="10"/>
  <c r="E58" i="10"/>
  <c r="W57" i="10"/>
  <c r="E57" i="10"/>
  <c r="W56" i="10"/>
  <c r="E56" i="10"/>
  <c r="W54" i="10"/>
  <c r="E54" i="10"/>
  <c r="W53" i="10"/>
  <c r="E53" i="10"/>
  <c r="W52" i="10"/>
  <c r="E52" i="10"/>
  <c r="W51" i="10"/>
  <c r="E51" i="10"/>
  <c r="W50" i="10"/>
  <c r="E50" i="10"/>
  <c r="W49" i="10"/>
  <c r="E49" i="10"/>
  <c r="W48" i="10"/>
  <c r="E48" i="10"/>
  <c r="W47" i="10"/>
  <c r="E47" i="10"/>
  <c r="W46" i="10"/>
  <c r="E46" i="10"/>
  <c r="W45" i="10"/>
  <c r="E45" i="10"/>
  <c r="W44" i="10"/>
  <c r="E44" i="10"/>
  <c r="W43" i="10"/>
  <c r="E43" i="10"/>
  <c r="W42" i="10"/>
  <c r="E42" i="10"/>
  <c r="W41" i="10"/>
  <c r="E41" i="10"/>
  <c r="W40" i="10"/>
  <c r="E40" i="10"/>
  <c r="W39" i="10"/>
  <c r="E39" i="10"/>
  <c r="W38" i="10"/>
  <c r="E38" i="10"/>
  <c r="H100" i="10" s="1"/>
  <c r="AA2" i="10" s="1"/>
  <c r="W37" i="10"/>
  <c r="E37" i="10"/>
  <c r="W36" i="10"/>
  <c r="E36" i="10"/>
  <c r="W35" i="10"/>
  <c r="E35" i="10"/>
  <c r="W34" i="10"/>
  <c r="E34" i="10"/>
  <c r="W33" i="10"/>
  <c r="E33" i="10"/>
  <c r="W31" i="10"/>
  <c r="E31" i="10"/>
  <c r="W30" i="10"/>
  <c r="E30" i="10"/>
  <c r="W29" i="10"/>
  <c r="E29" i="10"/>
  <c r="W28" i="10"/>
  <c r="E28" i="10"/>
  <c r="W27" i="10"/>
  <c r="E27" i="10"/>
  <c r="W26" i="10"/>
  <c r="E26" i="10"/>
  <c r="W25" i="10"/>
  <c r="E25" i="10"/>
  <c r="W24" i="10"/>
  <c r="E24" i="10"/>
  <c r="W23" i="10"/>
  <c r="E23" i="10"/>
  <c r="W22" i="10"/>
  <c r="E22" i="10"/>
  <c r="W21" i="10"/>
  <c r="E21" i="10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N100" i="10" s="1"/>
  <c r="AG2" i="10" s="1"/>
  <c r="AN2" i="10"/>
  <c r="AL2" i="10"/>
  <c r="AK2" i="10"/>
  <c r="AI2" i="10"/>
  <c r="AH2" i="10"/>
  <c r="AE2" i="10"/>
  <c r="AC2" i="10"/>
  <c r="AB2" i="10"/>
  <c r="U16" i="9"/>
  <c r="S16" i="9"/>
  <c r="R16" i="9"/>
  <c r="P13" i="1" s="1"/>
  <c r="P16" i="9"/>
  <c r="O16" i="9"/>
  <c r="N16" i="9"/>
  <c r="L16" i="9"/>
  <c r="J13" i="1" s="1"/>
  <c r="J16" i="9"/>
  <c r="I16" i="9"/>
  <c r="H16" i="9"/>
  <c r="F16" i="9"/>
  <c r="D13" i="1" s="1"/>
  <c r="W10" i="9"/>
  <c r="E10" i="9"/>
  <c r="W9" i="9"/>
  <c r="E9" i="9"/>
  <c r="T16" i="9" s="1"/>
  <c r="AM2" i="9" s="1"/>
  <c r="AN2" i="9"/>
  <c r="AL2" i="9"/>
  <c r="AK2" i="9"/>
  <c r="AI2" i="9"/>
  <c r="AH2" i="9"/>
  <c r="AG2" i="9"/>
  <c r="AE2" i="9"/>
  <c r="AC2" i="9"/>
  <c r="AB2" i="9"/>
  <c r="AA2" i="9"/>
  <c r="Y2" i="9"/>
  <c r="U79" i="8"/>
  <c r="S79" i="8"/>
  <c r="R79" i="8"/>
  <c r="AK2" i="8" s="1"/>
  <c r="P79" i="8"/>
  <c r="O79" i="8"/>
  <c r="AH2" i="8" s="1"/>
  <c r="M79" i="8"/>
  <c r="K12" i="1" s="1"/>
  <c r="I79" i="8"/>
  <c r="AB2" i="8" s="1"/>
  <c r="W73" i="8"/>
  <c r="E73" i="8"/>
  <c r="W72" i="8"/>
  <c r="E72" i="8"/>
  <c r="W71" i="8"/>
  <c r="E71" i="8"/>
  <c r="W70" i="8"/>
  <c r="E70" i="8"/>
  <c r="W69" i="8"/>
  <c r="E69" i="8"/>
  <c r="W68" i="8"/>
  <c r="E68" i="8"/>
  <c r="W67" i="8"/>
  <c r="E67" i="8"/>
  <c r="W66" i="8"/>
  <c r="E66" i="8"/>
  <c r="W65" i="8"/>
  <c r="E65" i="8"/>
  <c r="W64" i="8"/>
  <c r="E64" i="8"/>
  <c r="W63" i="8"/>
  <c r="E63" i="8"/>
  <c r="W62" i="8"/>
  <c r="E62" i="8"/>
  <c r="W61" i="8"/>
  <c r="E61" i="8"/>
  <c r="W60" i="8"/>
  <c r="E60" i="8"/>
  <c r="W59" i="8"/>
  <c r="E59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G79" i="8" s="1"/>
  <c r="W31" i="8"/>
  <c r="E31" i="8"/>
  <c r="W30" i="8"/>
  <c r="E30" i="8"/>
  <c r="W29" i="8"/>
  <c r="E29" i="8"/>
  <c r="W28" i="8"/>
  <c r="E28" i="8"/>
  <c r="W27" i="8"/>
  <c r="E27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J79" i="8" s="1"/>
  <c r="AC2" i="8" s="1"/>
  <c r="W12" i="8"/>
  <c r="E12" i="8"/>
  <c r="W11" i="8"/>
  <c r="E11" i="8"/>
  <c r="W10" i="8"/>
  <c r="E10" i="8"/>
  <c r="W9" i="8"/>
  <c r="E9" i="8"/>
  <c r="N79" i="8" s="1"/>
  <c r="AG2" i="8" s="1"/>
  <c r="AN2" i="8"/>
  <c r="U21" i="7"/>
  <c r="AN2" i="7" s="1"/>
  <c r="S21" i="7"/>
  <c r="R21" i="7"/>
  <c r="P21" i="7"/>
  <c r="O21" i="7"/>
  <c r="L21" i="7"/>
  <c r="AE2" i="7" s="1"/>
  <c r="J21" i="7"/>
  <c r="I21" i="7"/>
  <c r="AB2" i="7" s="1"/>
  <c r="G21" i="7"/>
  <c r="E11" i="1" s="1"/>
  <c r="W15" i="7"/>
  <c r="E15" i="7"/>
  <c r="W13" i="7"/>
  <c r="E13" i="7"/>
  <c r="W10" i="7"/>
  <c r="E10" i="7"/>
  <c r="W9" i="7"/>
  <c r="E9" i="7"/>
  <c r="N21" i="7" s="1"/>
  <c r="AL2" i="7"/>
  <c r="AK2" i="7"/>
  <c r="AI2" i="7"/>
  <c r="AH2" i="7"/>
  <c r="AC2" i="7"/>
  <c r="U69" i="6"/>
  <c r="S10" i="1" s="1"/>
  <c r="S69" i="6"/>
  <c r="R69" i="6"/>
  <c r="AK2" i="6" s="1"/>
  <c r="Q69" i="6"/>
  <c r="O69" i="6"/>
  <c r="AH2" i="6" s="1"/>
  <c r="M69" i="6"/>
  <c r="K69" i="6"/>
  <c r="AD2" i="6" s="1"/>
  <c r="J69" i="6"/>
  <c r="AC2" i="6" s="1"/>
  <c r="I69" i="6"/>
  <c r="G10" i="1" s="1"/>
  <c r="H69" i="6"/>
  <c r="W63" i="6"/>
  <c r="E63" i="6"/>
  <c r="W62" i="6"/>
  <c r="E62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40" i="6"/>
  <c r="E40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1" i="6"/>
  <c r="E11" i="6"/>
  <c r="W10" i="6"/>
  <c r="E10" i="6"/>
  <c r="G69" i="6" s="1"/>
  <c r="W9" i="6"/>
  <c r="E9" i="6"/>
  <c r="R72" i="6" s="1"/>
  <c r="AN2" i="6"/>
  <c r="AJ2" i="6"/>
  <c r="AF2" i="6"/>
  <c r="AB2" i="6"/>
  <c r="AA2" i="6"/>
  <c r="U63" i="5"/>
  <c r="P63" i="5"/>
  <c r="AI2" i="5" s="1"/>
  <c r="O63" i="5"/>
  <c r="AH2" i="5" s="1"/>
  <c r="L63" i="5"/>
  <c r="AE2" i="5" s="1"/>
  <c r="J63" i="5"/>
  <c r="I63" i="5"/>
  <c r="G9" i="1" s="1"/>
  <c r="F63" i="5"/>
  <c r="W57" i="5"/>
  <c r="E57" i="5"/>
  <c r="W56" i="5"/>
  <c r="E56" i="5"/>
  <c r="W55" i="5"/>
  <c r="E55" i="5"/>
  <c r="W54" i="5"/>
  <c r="E54" i="5"/>
  <c r="W53" i="5"/>
  <c r="E53" i="5"/>
  <c r="W52" i="5"/>
  <c r="E52" i="5"/>
  <c r="W51" i="5"/>
  <c r="E51" i="5"/>
  <c r="W50" i="5"/>
  <c r="E50" i="5"/>
  <c r="W49" i="5"/>
  <c r="E49" i="5"/>
  <c r="S63" i="5" s="1"/>
  <c r="Q9" i="1" s="1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W38" i="5"/>
  <c r="E38" i="5"/>
  <c r="W37" i="5"/>
  <c r="E37" i="5"/>
  <c r="W36" i="5"/>
  <c r="E36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G63" i="5" s="1"/>
  <c r="W13" i="5"/>
  <c r="E13" i="5"/>
  <c r="W12" i="5"/>
  <c r="E12" i="5"/>
  <c r="N63" i="5" s="1"/>
  <c r="W10" i="5"/>
  <c r="E10" i="5"/>
  <c r="W9" i="5"/>
  <c r="E9" i="5"/>
  <c r="R63" i="5" s="1"/>
  <c r="AN2" i="5"/>
  <c r="AC2" i="5"/>
  <c r="Y2" i="5"/>
  <c r="U82" i="4"/>
  <c r="T82" i="4"/>
  <c r="S82" i="4"/>
  <c r="R82" i="4"/>
  <c r="AK2" i="4" s="1"/>
  <c r="P82" i="4"/>
  <c r="O82" i="4"/>
  <c r="AH2" i="4" s="1"/>
  <c r="L82" i="4"/>
  <c r="J8" i="1" s="1"/>
  <c r="J82" i="4"/>
  <c r="H8" i="1" s="1"/>
  <c r="I82" i="4"/>
  <c r="H82" i="4"/>
  <c r="F8" i="1" s="1"/>
  <c r="F82" i="4"/>
  <c r="W76" i="4"/>
  <c r="E76" i="4"/>
  <c r="W75" i="4"/>
  <c r="E75" i="4"/>
  <c r="W74" i="4"/>
  <c r="E74" i="4"/>
  <c r="W73" i="4"/>
  <c r="E73" i="4"/>
  <c r="W72" i="4"/>
  <c r="E72" i="4"/>
  <c r="W71" i="4"/>
  <c r="E71" i="4"/>
  <c r="W70" i="4"/>
  <c r="E70" i="4"/>
  <c r="W69" i="4"/>
  <c r="E69" i="4"/>
  <c r="W68" i="4"/>
  <c r="E68" i="4"/>
  <c r="W66" i="4"/>
  <c r="E66" i="4"/>
  <c r="W65" i="4"/>
  <c r="E65" i="4"/>
  <c r="W64" i="4"/>
  <c r="E64" i="4"/>
  <c r="W63" i="4"/>
  <c r="E63" i="4"/>
  <c r="W62" i="4"/>
  <c r="E62" i="4"/>
  <c r="W61" i="4"/>
  <c r="E61" i="4"/>
  <c r="W60" i="4"/>
  <c r="E60" i="4"/>
  <c r="W59" i="4"/>
  <c r="E59" i="4"/>
  <c r="W58" i="4"/>
  <c r="E58" i="4"/>
  <c r="W57" i="4"/>
  <c r="E57" i="4"/>
  <c r="W56" i="4"/>
  <c r="E56" i="4"/>
  <c r="W55" i="4"/>
  <c r="E55" i="4"/>
  <c r="W54" i="4"/>
  <c r="E54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5" i="4"/>
  <c r="E15" i="4"/>
  <c r="N82" i="4" s="1"/>
  <c r="AG2" i="4" s="1"/>
  <c r="W14" i="4"/>
  <c r="E14" i="4"/>
  <c r="W12" i="4"/>
  <c r="E12" i="4"/>
  <c r="M82" i="4" s="1"/>
  <c r="AF2" i="4" s="1"/>
  <c r="W11" i="4"/>
  <c r="E11" i="4"/>
  <c r="W10" i="4"/>
  <c r="V85" i="4" s="1"/>
  <c r="E10" i="4"/>
  <c r="Q82" i="4" s="1"/>
  <c r="AJ2" i="4" s="1"/>
  <c r="W9" i="4"/>
  <c r="E9" i="4"/>
  <c r="AN2" i="4"/>
  <c r="AL2" i="4"/>
  <c r="AI2" i="4"/>
  <c r="AE2" i="4"/>
  <c r="AB2" i="4"/>
  <c r="Y2" i="4"/>
  <c r="U91" i="3"/>
  <c r="S91" i="3"/>
  <c r="R91" i="3"/>
  <c r="P7" i="1" s="1"/>
  <c r="P91" i="3"/>
  <c r="N7" i="1" s="1"/>
  <c r="O91" i="3"/>
  <c r="AH2" i="3" s="1"/>
  <c r="L91" i="3"/>
  <c r="AE2" i="3" s="1"/>
  <c r="J91" i="3"/>
  <c r="I91" i="3"/>
  <c r="AB2" i="3" s="1"/>
  <c r="F91" i="3"/>
  <c r="D7" i="1" s="1"/>
  <c r="W85" i="3"/>
  <c r="E85" i="3"/>
  <c r="W84" i="3"/>
  <c r="E84" i="3"/>
  <c r="W83" i="3"/>
  <c r="E83" i="3"/>
  <c r="W82" i="3"/>
  <c r="E82" i="3"/>
  <c r="W81" i="3"/>
  <c r="E81" i="3"/>
  <c r="W80" i="3"/>
  <c r="E80" i="3"/>
  <c r="W79" i="3"/>
  <c r="E79" i="3"/>
  <c r="W78" i="3"/>
  <c r="E78" i="3"/>
  <c r="W77" i="3"/>
  <c r="E77" i="3"/>
  <c r="W76" i="3"/>
  <c r="E76" i="3"/>
  <c r="W75" i="3"/>
  <c r="E75" i="3"/>
  <c r="W74" i="3"/>
  <c r="E74" i="3"/>
  <c r="W73" i="3"/>
  <c r="E73" i="3"/>
  <c r="W72" i="3"/>
  <c r="E72" i="3"/>
  <c r="W71" i="3"/>
  <c r="E71" i="3"/>
  <c r="W70" i="3"/>
  <c r="E70" i="3"/>
  <c r="W69" i="3"/>
  <c r="E69" i="3"/>
  <c r="W68" i="3"/>
  <c r="E68" i="3"/>
  <c r="W67" i="3"/>
  <c r="E67" i="3"/>
  <c r="W66" i="3"/>
  <c r="E66" i="3"/>
  <c r="W65" i="3"/>
  <c r="E65" i="3"/>
  <c r="W64" i="3"/>
  <c r="E64" i="3"/>
  <c r="W63" i="3"/>
  <c r="E63" i="3"/>
  <c r="W62" i="3"/>
  <c r="E62" i="3"/>
  <c r="W61" i="3"/>
  <c r="E61" i="3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6" i="3"/>
  <c r="E16" i="3"/>
  <c r="W15" i="3"/>
  <c r="E15" i="3"/>
  <c r="W14" i="3"/>
  <c r="E14" i="3"/>
  <c r="W13" i="3"/>
  <c r="E13" i="3"/>
  <c r="W12" i="3"/>
  <c r="E12" i="3"/>
  <c r="W11" i="3"/>
  <c r="E11" i="3"/>
  <c r="W10" i="3"/>
  <c r="E10" i="3"/>
  <c r="K91" i="3" s="1"/>
  <c r="AD2" i="3" s="1"/>
  <c r="W9" i="3"/>
  <c r="E9" i="3"/>
  <c r="T91" i="3" s="1"/>
  <c r="AM2" i="3" s="1"/>
  <c r="AN2" i="3"/>
  <c r="AK2" i="3"/>
  <c r="AC2" i="3"/>
  <c r="Y2" i="3"/>
  <c r="U41" i="2"/>
  <c r="AN2" i="2" s="1"/>
  <c r="S41" i="2"/>
  <c r="R41" i="2"/>
  <c r="P41" i="2"/>
  <c r="O41" i="2"/>
  <c r="M41" i="2"/>
  <c r="AF2" i="2" s="1"/>
  <c r="L41" i="2"/>
  <c r="J41" i="2"/>
  <c r="H6" i="1" s="1"/>
  <c r="I41" i="2"/>
  <c r="AB2" i="2" s="1"/>
  <c r="W35" i="2"/>
  <c r="E35" i="2"/>
  <c r="W34" i="2"/>
  <c r="E34" i="2"/>
  <c r="W33" i="2"/>
  <c r="E33" i="2"/>
  <c r="W32" i="2"/>
  <c r="E32" i="2"/>
  <c r="W31" i="2"/>
  <c r="E31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1" i="2"/>
  <c r="E11" i="2"/>
  <c r="W10" i="2"/>
  <c r="E10" i="2"/>
  <c r="W9" i="2"/>
  <c r="E9" i="2"/>
  <c r="AL2" i="2"/>
  <c r="AK2" i="2"/>
  <c r="AH2" i="2"/>
  <c r="S18" i="1"/>
  <c r="Q18" i="1"/>
  <c r="P18" i="1"/>
  <c r="N18" i="1"/>
  <c r="M18" i="1"/>
  <c r="K18" i="1"/>
  <c r="J18" i="1"/>
  <c r="H18" i="1"/>
  <c r="G18" i="1"/>
  <c r="R17" i="1"/>
  <c r="P17" i="1"/>
  <c r="N17" i="1"/>
  <c r="M17" i="1"/>
  <c r="J17" i="1"/>
  <c r="H17" i="1"/>
  <c r="G17" i="1"/>
  <c r="F17" i="1"/>
  <c r="E17" i="1"/>
  <c r="S16" i="1"/>
  <c r="R16" i="1"/>
  <c r="P16" i="1"/>
  <c r="O16" i="1"/>
  <c r="L16" i="1"/>
  <c r="K16" i="1"/>
  <c r="J16" i="1"/>
  <c r="H16" i="1"/>
  <c r="G16" i="1"/>
  <c r="D16" i="1"/>
  <c r="S15" i="1"/>
  <c r="Q15" i="1"/>
  <c r="P15" i="1"/>
  <c r="N15" i="1"/>
  <c r="M15" i="1"/>
  <c r="K15" i="1"/>
  <c r="I15" i="1"/>
  <c r="H15" i="1"/>
  <c r="G15" i="1"/>
  <c r="P14" i="1"/>
  <c r="N14" i="1"/>
  <c r="M14" i="1"/>
  <c r="L14" i="1"/>
  <c r="J14" i="1"/>
  <c r="H14" i="1"/>
  <c r="F14" i="1"/>
  <c r="S13" i="1"/>
  <c r="Q13" i="1"/>
  <c r="N13" i="1"/>
  <c r="M13" i="1"/>
  <c r="L13" i="1"/>
  <c r="H13" i="1"/>
  <c r="G13" i="1"/>
  <c r="F13" i="1"/>
  <c r="S12" i="1"/>
  <c r="Q12" i="1"/>
  <c r="P12" i="1"/>
  <c r="N12" i="1"/>
  <c r="M12" i="1"/>
  <c r="L12" i="1"/>
  <c r="H12" i="1"/>
  <c r="G12" i="1"/>
  <c r="S11" i="1"/>
  <c r="Q11" i="1"/>
  <c r="P11" i="1"/>
  <c r="N11" i="1"/>
  <c r="M11" i="1"/>
  <c r="H11" i="1"/>
  <c r="G11" i="1"/>
  <c r="Q10" i="1"/>
  <c r="P10" i="1"/>
  <c r="O10" i="1"/>
  <c r="K10" i="1"/>
  <c r="I10" i="1"/>
  <c r="F10" i="1"/>
  <c r="S9" i="1"/>
  <c r="N9" i="1"/>
  <c r="J9" i="1"/>
  <c r="H9" i="1"/>
  <c r="D9" i="1"/>
  <c r="S8" i="1"/>
  <c r="Q8" i="1"/>
  <c r="P8" i="1"/>
  <c r="O8" i="1"/>
  <c r="M8" i="1"/>
  <c r="L8" i="1"/>
  <c r="K8" i="1"/>
  <c r="G8" i="1"/>
  <c r="D8" i="1"/>
  <c r="S7" i="1"/>
  <c r="Q7" i="1"/>
  <c r="J7" i="1"/>
  <c r="H7" i="1"/>
  <c r="G7" i="1"/>
  <c r="S6" i="1"/>
  <c r="Q6" i="1"/>
  <c r="P6" i="1"/>
  <c r="M6" i="1"/>
  <c r="G6" i="1"/>
  <c r="O18" i="1" l="1"/>
  <c r="AJ2" i="14"/>
  <c r="Z2" i="5"/>
  <c r="E9" i="1"/>
  <c r="AA2" i="11"/>
  <c r="F15" i="1"/>
  <c r="Z2" i="8"/>
  <c r="E12" i="1"/>
  <c r="M7" i="1"/>
  <c r="M10" i="1"/>
  <c r="J11" i="1"/>
  <c r="K17" i="1"/>
  <c r="AC2" i="2"/>
  <c r="Q41" i="2"/>
  <c r="G41" i="2"/>
  <c r="E6" i="1" s="1"/>
  <c r="V94" i="3"/>
  <c r="G91" i="3"/>
  <c r="Z2" i="3" s="1"/>
  <c r="AC2" i="4"/>
  <c r="AB2" i="5"/>
  <c r="H21" i="7"/>
  <c r="AA2" i="7" s="1"/>
  <c r="AI2" i="8"/>
  <c r="L52" i="11"/>
  <c r="K51" i="12"/>
  <c r="K53" i="12" s="1"/>
  <c r="AN2" i="13"/>
  <c r="H91" i="3"/>
  <c r="R94" i="3"/>
  <c r="K63" i="5"/>
  <c r="R66" i="5"/>
  <c r="Z2" i="7"/>
  <c r="T21" i="7"/>
  <c r="V19" i="9"/>
  <c r="K100" i="10"/>
  <c r="R54" i="12"/>
  <c r="C16" i="1" s="1"/>
  <c r="T60" i="14"/>
  <c r="G60" i="14"/>
  <c r="H60" i="14"/>
  <c r="G19" i="1"/>
  <c r="Y2" i="1" s="1"/>
  <c r="N91" i="3"/>
  <c r="M16" i="1"/>
  <c r="V66" i="5"/>
  <c r="F69" i="6"/>
  <c r="L79" i="8"/>
  <c r="H79" i="8"/>
  <c r="K79" i="8"/>
  <c r="Q79" i="8"/>
  <c r="R82" i="8"/>
  <c r="M100" i="10"/>
  <c r="M102" i="10" s="1"/>
  <c r="F100" i="10"/>
  <c r="D14" i="1" s="1"/>
  <c r="G100" i="10"/>
  <c r="R103" i="10"/>
  <c r="T52" i="11"/>
  <c r="R15" i="1" s="1"/>
  <c r="F52" i="11"/>
  <c r="D15" i="1" s="1"/>
  <c r="S51" i="12"/>
  <c r="AJ2" i="2"/>
  <c r="O6" i="1"/>
  <c r="AA2" i="3"/>
  <c r="F7" i="1"/>
  <c r="F71" i="6"/>
  <c r="Y2" i="6"/>
  <c r="D10" i="1"/>
  <c r="N6" i="1"/>
  <c r="AI2" i="2"/>
  <c r="K93" i="3"/>
  <c r="L9" i="1"/>
  <c r="AG2" i="5"/>
  <c r="R70" i="6"/>
  <c r="J70" i="6"/>
  <c r="F70" i="6"/>
  <c r="Q70" i="6"/>
  <c r="K70" i="6"/>
  <c r="O70" i="6"/>
  <c r="I70" i="6"/>
  <c r="U70" i="6"/>
  <c r="M70" i="6"/>
  <c r="H70" i="6"/>
  <c r="Q14" i="1"/>
  <c r="Q19" i="1" s="1"/>
  <c r="AI2" i="1" s="1"/>
  <c r="S101" i="10"/>
  <c r="S53" i="11"/>
  <c r="O53" i="11"/>
  <c r="K53" i="11"/>
  <c r="R53" i="11"/>
  <c r="J53" i="11"/>
  <c r="U53" i="11"/>
  <c r="M53" i="11"/>
  <c r="I53" i="11"/>
  <c r="C15" i="1"/>
  <c r="P53" i="11"/>
  <c r="Z2" i="12"/>
  <c r="E16" i="1"/>
  <c r="R52" i="12"/>
  <c r="N52" i="12"/>
  <c r="J52" i="12"/>
  <c r="F52" i="12"/>
  <c r="U52" i="12"/>
  <c r="Q52" i="12"/>
  <c r="M52" i="12"/>
  <c r="I52" i="12"/>
  <c r="T52" i="12"/>
  <c r="L52" i="12"/>
  <c r="G52" i="12"/>
  <c r="S52" i="12"/>
  <c r="O52" i="12"/>
  <c r="AF2" i="14"/>
  <c r="S19" i="1"/>
  <c r="AK2" i="1" s="1"/>
  <c r="E7" i="1"/>
  <c r="I7" i="1"/>
  <c r="R7" i="1"/>
  <c r="M9" i="1"/>
  <c r="F11" i="1"/>
  <c r="R13" i="1"/>
  <c r="J6" i="1"/>
  <c r="AE2" i="2"/>
  <c r="Q91" i="3"/>
  <c r="M91" i="3"/>
  <c r="S93" i="3"/>
  <c r="AL2" i="3"/>
  <c r="AA2" i="4"/>
  <c r="R85" i="4"/>
  <c r="G82" i="4"/>
  <c r="F84" i="4" s="1"/>
  <c r="R64" i="5"/>
  <c r="N64" i="5"/>
  <c r="J64" i="5"/>
  <c r="F64" i="5"/>
  <c r="U64" i="5"/>
  <c r="I64" i="5"/>
  <c r="T64" i="5"/>
  <c r="P64" i="5"/>
  <c r="L64" i="5"/>
  <c r="Z2" i="6"/>
  <c r="E10" i="1"/>
  <c r="G70" i="6"/>
  <c r="R44" i="2"/>
  <c r="M43" i="2" s="1"/>
  <c r="K41" i="2"/>
  <c r="N41" i="2"/>
  <c r="V44" i="2"/>
  <c r="P9" i="1"/>
  <c r="AK2" i="5"/>
  <c r="AG2" i="7"/>
  <c r="L11" i="1"/>
  <c r="E14" i="1"/>
  <c r="G101" i="10"/>
  <c r="Z2" i="10"/>
  <c r="H10" i="1"/>
  <c r="H19" i="1" s="1"/>
  <c r="Z2" i="1" s="1"/>
  <c r="F41" i="2"/>
  <c r="K92" i="3"/>
  <c r="J92" i="3"/>
  <c r="F92" i="3"/>
  <c r="M92" i="3"/>
  <c r="I92" i="3"/>
  <c r="R8" i="1"/>
  <c r="AL2" i="5"/>
  <c r="O64" i="5"/>
  <c r="M81" i="8"/>
  <c r="AF2" i="8"/>
  <c r="T41" i="2"/>
  <c r="Y2" i="10"/>
  <c r="S53" i="12"/>
  <c r="AL2" i="12"/>
  <c r="Q16" i="1"/>
  <c r="C10" i="1"/>
  <c r="K14" i="1"/>
  <c r="H41" i="2"/>
  <c r="K6" i="1"/>
  <c r="P19" i="1"/>
  <c r="AH2" i="1" s="1"/>
  <c r="P43" i="2"/>
  <c r="AI2" i="3"/>
  <c r="P93" i="3"/>
  <c r="L92" i="3"/>
  <c r="AM2" i="4"/>
  <c r="N8" i="1"/>
  <c r="S64" i="5"/>
  <c r="T69" i="6"/>
  <c r="N69" i="6"/>
  <c r="N70" i="6" s="1"/>
  <c r="S70" i="6"/>
  <c r="H53" i="11"/>
  <c r="H63" i="5"/>
  <c r="H64" i="5" s="1"/>
  <c r="T63" i="5"/>
  <c r="S80" i="8"/>
  <c r="J80" i="8"/>
  <c r="P80" i="8"/>
  <c r="R57" i="13"/>
  <c r="M63" i="5"/>
  <c r="M64" i="5" s="1"/>
  <c r="Q63" i="5"/>
  <c r="P65" i="5" s="1"/>
  <c r="L69" i="6"/>
  <c r="P69" i="6"/>
  <c r="K71" i="6"/>
  <c r="Q21" i="7"/>
  <c r="P23" i="7" s="1"/>
  <c r="R24" i="7"/>
  <c r="K21" i="7"/>
  <c r="M21" i="7"/>
  <c r="F21" i="7"/>
  <c r="V24" i="7"/>
  <c r="V82" i="8"/>
  <c r="R19" i="9"/>
  <c r="K16" i="9"/>
  <c r="G16" i="9"/>
  <c r="Q16" i="9"/>
  <c r="M16" i="9"/>
  <c r="Y2" i="11"/>
  <c r="M53" i="12"/>
  <c r="AG2" i="12"/>
  <c r="Y2" i="12"/>
  <c r="V57" i="13"/>
  <c r="V63" i="14"/>
  <c r="K82" i="4"/>
  <c r="AL2" i="6"/>
  <c r="V72" i="6"/>
  <c r="M71" i="6"/>
  <c r="AL2" i="8"/>
  <c r="G80" i="8"/>
  <c r="O80" i="8"/>
  <c r="V103" i="10"/>
  <c r="N101" i="10"/>
  <c r="J101" i="10"/>
  <c r="F101" i="10"/>
  <c r="I101" i="10"/>
  <c r="P101" i="10"/>
  <c r="H101" i="10"/>
  <c r="K54" i="11"/>
  <c r="V54" i="12"/>
  <c r="AL2" i="13"/>
  <c r="T79" i="8"/>
  <c r="T100" i="10"/>
  <c r="S102" i="10" s="1"/>
  <c r="Q52" i="11"/>
  <c r="Q53" i="11" s="1"/>
  <c r="H51" i="12"/>
  <c r="H52" i="12" s="1"/>
  <c r="P51" i="12"/>
  <c r="Q54" i="13"/>
  <c r="F60" i="14"/>
  <c r="N60" i="14"/>
  <c r="Q100" i="10"/>
  <c r="N52" i="11"/>
  <c r="F54" i="13"/>
  <c r="N54" i="13"/>
  <c r="K60" i="14"/>
  <c r="R63" i="14"/>
  <c r="S62" i="14" s="1"/>
  <c r="F79" i="8"/>
  <c r="F80" i="8" s="1"/>
  <c r="G52" i="11"/>
  <c r="K54" i="13"/>
  <c r="AA2" i="8" l="1"/>
  <c r="F12" i="1"/>
  <c r="AD2" i="5"/>
  <c r="K65" i="5"/>
  <c r="I9" i="1"/>
  <c r="M19" i="1"/>
  <c r="AE2" i="1" s="1"/>
  <c r="AM2" i="11"/>
  <c r="C14" i="1"/>
  <c r="T14" i="1" s="1"/>
  <c r="O101" i="10"/>
  <c r="I80" i="8"/>
  <c r="K80" i="8"/>
  <c r="C12" i="1"/>
  <c r="Q80" i="8"/>
  <c r="AE2" i="8"/>
  <c r="J12" i="1"/>
  <c r="L7" i="1"/>
  <c r="AG2" i="3"/>
  <c r="AM2" i="14"/>
  <c r="R18" i="1"/>
  <c r="R11" i="1"/>
  <c r="AM2" i="7"/>
  <c r="P92" i="3"/>
  <c r="S92" i="3"/>
  <c r="O92" i="3"/>
  <c r="C7" i="1"/>
  <c r="T7" i="1" s="1"/>
  <c r="AE2" i="11"/>
  <c r="J15" i="1"/>
  <c r="L101" i="10"/>
  <c r="U101" i="10"/>
  <c r="R101" i="10"/>
  <c r="U80" i="8"/>
  <c r="H80" i="8"/>
  <c r="N80" i="8"/>
  <c r="F102" i="10"/>
  <c r="S54" i="11"/>
  <c r="Q92" i="3"/>
  <c r="N92" i="3"/>
  <c r="Z2" i="2"/>
  <c r="T53" i="11"/>
  <c r="F53" i="11"/>
  <c r="AF2" i="10"/>
  <c r="O12" i="1"/>
  <c r="AJ2" i="8"/>
  <c r="Z2" i="14"/>
  <c r="E18" i="1"/>
  <c r="AD2" i="12"/>
  <c r="I16" i="1"/>
  <c r="M101" i="10"/>
  <c r="M80" i="8"/>
  <c r="L80" i="8"/>
  <c r="R80" i="8"/>
  <c r="K52" i="12"/>
  <c r="T92" i="3"/>
  <c r="F93" i="3"/>
  <c r="G92" i="3"/>
  <c r="U92" i="3"/>
  <c r="R92" i="3"/>
  <c r="K64" i="5"/>
  <c r="H92" i="3"/>
  <c r="L53" i="11"/>
  <c r="K81" i="8"/>
  <c r="AD2" i="8"/>
  <c r="I12" i="1"/>
  <c r="AA2" i="14"/>
  <c r="F18" i="1"/>
  <c r="K101" i="10"/>
  <c r="I14" i="1"/>
  <c r="K102" i="10"/>
  <c r="AD2" i="10"/>
  <c r="C9" i="1"/>
  <c r="G64" i="5"/>
  <c r="P81" i="8"/>
  <c r="AG2" i="11"/>
  <c r="L15" i="1"/>
  <c r="M54" i="11"/>
  <c r="AJ2" i="13"/>
  <c r="O17" i="1"/>
  <c r="AF2" i="9"/>
  <c r="M18" i="9"/>
  <c r="K13" i="1"/>
  <c r="S17" i="9"/>
  <c r="O17" i="9"/>
  <c r="K17" i="9"/>
  <c r="G17" i="9"/>
  <c r="U17" i="9"/>
  <c r="Q17" i="9"/>
  <c r="M17" i="9"/>
  <c r="I17" i="9"/>
  <c r="P17" i="9"/>
  <c r="H17" i="9"/>
  <c r="C13" i="1"/>
  <c r="N17" i="9"/>
  <c r="F17" i="9"/>
  <c r="T17" i="9"/>
  <c r="L17" i="9"/>
  <c r="R17" i="9"/>
  <c r="J17" i="9"/>
  <c r="K23" i="7"/>
  <c r="AD2" i="7"/>
  <c r="I11" i="1"/>
  <c r="R10" i="1"/>
  <c r="AM2" i="6"/>
  <c r="R6" i="1"/>
  <c r="S43" i="2"/>
  <c r="AM2" i="2"/>
  <c r="S83" i="4"/>
  <c r="O83" i="4"/>
  <c r="K83" i="4"/>
  <c r="G83" i="4"/>
  <c r="R83" i="4"/>
  <c r="N83" i="4"/>
  <c r="J83" i="4"/>
  <c r="F83" i="4"/>
  <c r="U83" i="4"/>
  <c r="Q83" i="4"/>
  <c r="M83" i="4"/>
  <c r="I83" i="4"/>
  <c r="T83" i="4"/>
  <c r="C8" i="1"/>
  <c r="M84" i="4"/>
  <c r="P83" i="4"/>
  <c r="H83" i="4"/>
  <c r="L83" i="4"/>
  <c r="T70" i="6"/>
  <c r="S18" i="9"/>
  <c r="K56" i="13"/>
  <c r="AD2" i="13"/>
  <c r="I17" i="1"/>
  <c r="K62" i="14"/>
  <c r="AD2" i="14"/>
  <c r="I18" i="1"/>
  <c r="AJ2" i="10"/>
  <c r="O14" i="1"/>
  <c r="AI2" i="12"/>
  <c r="P53" i="12"/>
  <c r="N16" i="1"/>
  <c r="AM2" i="8"/>
  <c r="R12" i="1"/>
  <c r="P54" i="11"/>
  <c r="Q101" i="10"/>
  <c r="AJ2" i="9"/>
  <c r="O13" i="1"/>
  <c r="U22" i="7"/>
  <c r="Q22" i="7"/>
  <c r="M22" i="7"/>
  <c r="I22" i="7"/>
  <c r="S22" i="7"/>
  <c r="O22" i="7"/>
  <c r="K22" i="7"/>
  <c r="G22" i="7"/>
  <c r="N22" i="7"/>
  <c r="F22" i="7"/>
  <c r="T22" i="7"/>
  <c r="L22" i="7"/>
  <c r="C11" i="1"/>
  <c r="R22" i="7"/>
  <c r="J22" i="7"/>
  <c r="P22" i="7"/>
  <c r="H22" i="7"/>
  <c r="J10" i="1"/>
  <c r="J19" i="1" s="1"/>
  <c r="AB2" i="1" s="1"/>
  <c r="AE2" i="6"/>
  <c r="P18" i="9"/>
  <c r="T80" i="8"/>
  <c r="AM2" i="5"/>
  <c r="R9" i="1"/>
  <c r="F6" i="1"/>
  <c r="AA2" i="2"/>
  <c r="S65" i="5"/>
  <c r="L6" i="1"/>
  <c r="AG2" i="2"/>
  <c r="S23" i="7"/>
  <c r="K7" i="1"/>
  <c r="AF2" i="3"/>
  <c r="M93" i="3"/>
  <c r="N53" i="11"/>
  <c r="T61" i="14"/>
  <c r="P61" i="14"/>
  <c r="L61" i="14"/>
  <c r="H61" i="14"/>
  <c r="S61" i="14"/>
  <c r="O61" i="14"/>
  <c r="K61" i="14"/>
  <c r="G61" i="14"/>
  <c r="R61" i="14"/>
  <c r="N61" i="14"/>
  <c r="J61" i="14"/>
  <c r="F61" i="14"/>
  <c r="I61" i="14"/>
  <c r="U61" i="14"/>
  <c r="Q61" i="14"/>
  <c r="M61" i="14"/>
  <c r="C18" i="1"/>
  <c r="AM2" i="10"/>
  <c r="R14" i="1"/>
  <c r="P71" i="6"/>
  <c r="N10" i="1"/>
  <c r="N19" i="1" s="1"/>
  <c r="AF2" i="1" s="1"/>
  <c r="AI2" i="6"/>
  <c r="S55" i="13"/>
  <c r="O55" i="13"/>
  <c r="K55" i="13"/>
  <c r="G55" i="13"/>
  <c r="R55" i="13"/>
  <c r="N55" i="13"/>
  <c r="J55" i="13"/>
  <c r="F55" i="13"/>
  <c r="U55" i="13"/>
  <c r="Q55" i="13"/>
  <c r="M55" i="13"/>
  <c r="I55" i="13"/>
  <c r="P55" i="13"/>
  <c r="C17" i="1"/>
  <c r="L55" i="13"/>
  <c r="H55" i="13"/>
  <c r="T55" i="13"/>
  <c r="S71" i="6"/>
  <c r="M62" i="14"/>
  <c r="Z2" i="11"/>
  <c r="E15" i="1"/>
  <c r="T15" i="1" s="1"/>
  <c r="AG2" i="13"/>
  <c r="L17" i="1"/>
  <c r="AG2" i="14"/>
  <c r="L18" i="1"/>
  <c r="AA2" i="12"/>
  <c r="F16" i="1"/>
  <c r="T16" i="1" s="1"/>
  <c r="S56" i="13"/>
  <c r="T101" i="10"/>
  <c r="K84" i="4"/>
  <c r="AD2" i="4"/>
  <c r="I8" i="1"/>
  <c r="F53" i="12"/>
  <c r="F54" i="11"/>
  <c r="Z2" i="9"/>
  <c r="E13" i="1"/>
  <c r="T13" i="1" s="1"/>
  <c r="F23" i="7"/>
  <c r="D11" i="1"/>
  <c r="T11" i="1" s="1"/>
  <c r="Y2" i="7"/>
  <c r="AJ2" i="7"/>
  <c r="O11" i="1"/>
  <c r="M56" i="13"/>
  <c r="AA2" i="5"/>
  <c r="F9" i="1"/>
  <c r="T9" i="1" s="1"/>
  <c r="P84" i="4"/>
  <c r="L70" i="6"/>
  <c r="F65" i="5"/>
  <c r="K43" i="2"/>
  <c r="AD2" i="2"/>
  <c r="I6" i="1"/>
  <c r="O7" i="1"/>
  <c r="AJ2" i="3"/>
  <c r="T10" i="1"/>
  <c r="K9" i="1"/>
  <c r="M65" i="5"/>
  <c r="AF2" i="5"/>
  <c r="F81" i="8"/>
  <c r="Y2" i="8"/>
  <c r="D12" i="1"/>
  <c r="T12" i="1" s="1"/>
  <c r="F56" i="13"/>
  <c r="Y2" i="13"/>
  <c r="D17" i="1"/>
  <c r="F62" i="14"/>
  <c r="Y2" i="14"/>
  <c r="D18" i="1"/>
  <c r="T18" i="1" s="1"/>
  <c r="AJ2" i="11"/>
  <c r="O15" i="1"/>
  <c r="P102" i="10"/>
  <c r="K18" i="9"/>
  <c r="AD2" i="9"/>
  <c r="I13" i="1"/>
  <c r="AF2" i="7"/>
  <c r="K11" i="1"/>
  <c r="M23" i="7"/>
  <c r="O9" i="1"/>
  <c r="AJ2" i="5"/>
  <c r="P56" i="13"/>
  <c r="S81" i="8"/>
  <c r="P62" i="14"/>
  <c r="AG2" i="6"/>
  <c r="L10" i="1"/>
  <c r="F18" i="9"/>
  <c r="S84" i="4"/>
  <c r="F43" i="2"/>
  <c r="D6" i="1"/>
  <c r="Y2" i="2"/>
  <c r="S42" i="2"/>
  <c r="O42" i="2"/>
  <c r="K42" i="2"/>
  <c r="G42" i="2"/>
  <c r="R42" i="2"/>
  <c r="N42" i="2"/>
  <c r="J42" i="2"/>
  <c r="F42" i="2"/>
  <c r="Q42" i="2"/>
  <c r="I42" i="2"/>
  <c r="T42" i="2"/>
  <c r="L42" i="2"/>
  <c r="P42" i="2"/>
  <c r="H42" i="2"/>
  <c r="U42" i="2"/>
  <c r="M42" i="2"/>
  <c r="C6" i="1"/>
  <c r="Q64" i="5"/>
  <c r="Z2" i="4"/>
  <c r="E8" i="1"/>
  <c r="T8" i="1" s="1"/>
  <c r="P52" i="12"/>
  <c r="G53" i="11"/>
  <c r="P70" i="6"/>
  <c r="C19" i="1" l="1"/>
  <c r="O19" i="1"/>
  <c r="AG2" i="1" s="1"/>
  <c r="F19" i="1"/>
  <c r="X2" i="1" s="1"/>
  <c r="K19" i="1"/>
  <c r="AC2" i="1" s="1"/>
  <c r="I19" i="1"/>
  <c r="AA2" i="1" s="1"/>
  <c r="L19" i="1"/>
  <c r="AD2" i="1" s="1"/>
  <c r="D19" i="1"/>
  <c r="T6" i="1"/>
  <c r="T17" i="1"/>
  <c r="R19" i="1"/>
  <c r="AJ2" i="1" s="1"/>
  <c r="E19" i="1"/>
  <c r="W2" i="1" s="1"/>
  <c r="D20" i="1" l="1"/>
  <c r="V2" i="1"/>
</calcChain>
</file>

<file path=xl/sharedStrings.xml><?xml version="1.0" encoding="utf-8"?>
<sst xmlns="http://schemas.openxmlformats.org/spreadsheetml/2006/main" count="4714" uniqueCount="177">
  <si>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</si>
  <si>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</si>
  <si>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</si>
  <si>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</si>
  <si>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</si>
  <si>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</si>
  <si>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</si>
  <si>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</si>
  <si>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</si>
  <si>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</si>
  <si>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</si>
  <si>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</si>
  <si>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</si>
  <si>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</si>
  <si>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</si>
  <si>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</si>
  <si>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</si>
  <si>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</si>
  <si>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</si>
  <si>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LIMP.</t>
  </si>
  <si>
    <t>SUJO</t>
  </si>
  <si>
    <t>DANIF.</t>
  </si>
  <si>
    <t>REG.</t>
  </si>
  <si>
    <t>INEX.</t>
  </si>
  <si>
    <t>POUC.</t>
  </si>
  <si>
    <t>RODOVIA TO-141 - TRECHO PALMEIRÓPOLIS - DIVISA TO-GO</t>
  </si>
  <si>
    <t>RODOVIA TO-280 - TRECHO NATIVIDADE - ALMAS</t>
  </si>
  <si>
    <t>RODOVIA TO-280 - TRECHO SÃO VALÉRIO DE NATIVIDADE - NATIVIDADE</t>
  </si>
  <si>
    <t>RODOVIA TO-280 - TRECHO ENTR. BR-242 - SÃO VALÉRIO DE NATIVIDADE</t>
  </si>
  <si>
    <t>RODOVIA TO-296 - TRECHO SÃO SALVADOR DO TOCANTINS - PARANÃ</t>
  </si>
  <si>
    <t>RODOVIA TO-296 - TRECHO JAÚ DO TOCANTINS - SÃO SALVADOR DO TOCANTINS</t>
  </si>
  <si>
    <t>RODOVIA TO-296 - TALISMÃ - ENTR. TO-498 (JAÚ DO TOCANTINS)</t>
  </si>
  <si>
    <t>RODOVIA TO-365 - TRECHO IPUEIRAS - SILVANÓPOLIS</t>
  </si>
  <si>
    <t>RODOVIA TO-373 - TRECHO ALVORADA - ENTR. BR-242</t>
  </si>
  <si>
    <t>RODOVIA TO-387 - TRECHO PALMEIRÓPOLIS - SÃO SALVADOR DO TOCANTINS</t>
  </si>
  <si>
    <t>RODOVIA TO-387 - TRECHO PALMEIRÓPOLIS - DIVISA TO-GO</t>
  </si>
  <si>
    <t>RODOVIA TO-498 - TRECHO JAÚ DO TOCANTINS - ENTR. TO-373 (SANTA CRUZ)</t>
  </si>
  <si>
    <t>RODOVIA TO-498 - TRECHO JAÚ DO TOCANTINS - ENTR. TO-387</t>
  </si>
  <si>
    <t>TOTAL PERCORRIDO NO MÊS</t>
  </si>
  <si>
    <t>% DA EXTENSÃO DA MALHA (559.62 km)</t>
  </si>
  <si>
    <t>(soma do grupo 'CONDIÇÃO DO PAVIMENTO' dividida pela malha)</t>
  </si>
  <si>
    <t>PROGRAMA DE MANUTENÇÃO RODOVIÁRIA — FICHA DE INSPEÇÃO — RODOVIAS PAVIMENTADAS</t>
  </si>
  <si>
    <t>REGIÃO:  12 — PEIXE</t>
  </si>
  <si>
    <t>MÊS / ANO:</t>
  </si>
  <si>
    <t>DATA:</t>
  </si>
  <si>
    <t>TÉCNICO:</t>
  </si>
  <si>
    <t>TRECHO 224 — RODOVIA TO-141 - TRECHO PALMEIRÓPOLIS - DIVISA TO-GO</t>
  </si>
  <si>
    <t>EXTENSÃO: 26,240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</si>
  <si>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</si>
  <si>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</si>
  <si>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</si>
  <si>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</si>
  <si>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</si>
  <si>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</si>
  <si>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</si>
  <si>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</si>
  <si>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141ETO0110   |   PALMEIRÓPOLIS *TRECHO URBANO* - DIV TO-GO   |   PPS · Estadual · 26.240 km  ·  início: -13.052051, -48.391649</t>
  </si>
  <si>
    <t>141ETO0110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</si>
  <si>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</si>
  <si>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</si>
  <si>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</si>
  <si>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</si>
  <si>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</si>
  <si>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</si>
  <si>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</si>
  <si>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</si>
  <si>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</si>
  <si>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</si>
  <si>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</si>
  <si>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</si>
  <si>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</si>
  <si>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</si>
  <si>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</si>
  <si>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</si>
  <si>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</si>
  <si>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</si>
  <si>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</si>
  <si>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</si>
  <si>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</si>
  <si>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</si>
  <si>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</si>
  <si>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</si>
  <si>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</si>
  <si>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</si>
  <si>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</si>
  <si>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225 — RODOVIA TO-280 - TRECHO NATIVIDADE - ALMAS</t>
  </si>
  <si>
    <t>EXTENSÃO: 76,278 km  ·  1 S.R.E.</t>
  </si>
  <si>
    <t>S.R.E. 280ETO0150   |   ENTR. TO-040 (ALMAS) - ENTR. BR-010-TO-050   |   PPS · Estadual · 76.278 km  ·  início: -11.572979, -47.185779</t>
  </si>
  <si>
    <t>280ETO0150</t>
  </si>
  <si>
    <t>TRECHO 226 — RODOVIA TO-280 - TRECHO SÃO VALÉRIO DE NATIVIDADE - NATIVIDADE</t>
  </si>
  <si>
    <t>EXTENSÃO: 65,031 km  ·  3 S.R.E.</t>
  </si>
  <si>
    <t>S.R.E. 280ETO0175   |   ENTR.TO-050 - BR-010 (NATIVIDADE ACESSO SUL) - ENTR. TO-486   |   PPS · Estadual · 3.592 km  ·  início: -11.715129, -47.74155</t>
  </si>
  <si>
    <t>280ETO0175</t>
  </si>
  <si>
    <t>S.R.E. 280ETO0180   |   ENTR. TO-486 - ENTR. TO-482   |   PPS · Estadual · 52.927 km  ·  início: -11.721811, -47.762698</t>
  </si>
  <si>
    <t>280ETO0180</t>
  </si>
  <si>
    <t>S.R.E. 280ETO0190   |   ENTR.TO-482 - SÃO VALÉRIO DA NATIVIDADE *TRECHO URBANO*   |   PPS · Estadual · 8.512 km  ·  início: -11.917976, -48.172958</t>
  </si>
  <si>
    <t>280ETO0190</t>
  </si>
  <si>
    <t>TRECHO 227 — RODOVIA TO-280 - TRECHO ENTR. BR-242 - SÃO VALÉRIO DE NATIVIDADE</t>
  </si>
  <si>
    <t>EXTENSÃO: 43,158 km  ·  5 S.R.E.</t>
  </si>
  <si>
    <t>S.R.E. 280ETO0191   |   SÃO VALÉRIO DA NATIVIDADE *TRECHO URBANO*   |   PSU · Municipal · 1.856 km  ·  início: -11.964667, -48.230608</t>
  </si>
  <si>
    <t>280ETO0191</t>
  </si>
  <si>
    <t>S.R.E. 280ETO0200   |   SÃO VALÉRIO DA NATIVIDADE *TRECHO URBANO* - ENTR. TO-490   |   PPS · Estadual · 1.241 km  ·  início: -11.984004, -48.236722</t>
  </si>
  <si>
    <t>280ETO0200</t>
  </si>
  <si>
    <t>S.R.E. 280ETO0210   |   ENTR. TO-490 - ENTR.TO-373   |   PPS · Estadual · 9.543 km  ·  início: -11.990464, -48.242908</t>
  </si>
  <si>
    <t>280ETO0210</t>
  </si>
  <si>
    <t>S.R.E. 280ETO0220   |   ENTR. TO-373 - ENTR. BR-242   |   PPS · Estadual · 21.525 km  ·  início: -12.018143, -48.32445</t>
  </si>
  <si>
    <t>280ETO0220</t>
  </si>
  <si>
    <t>S.R.E. ACESSO01   |   ENTR. TO-280 - UHE (PEIXE ANGICAL)  (código antigo: ACESSO)   |   PPS · Outros · 8.993 km  ·  início: -12.190695, -48.457024</t>
  </si>
  <si>
    <t>ACESSO01</t>
  </si>
  <si>
    <t>TRECHO 228 — RODOVIA TO-296 - TRECHO SÃO SALVADOR DO TOCANTINS - PARANÃ</t>
  </si>
  <si>
    <t>EXTENSÃO: 54,942 km  ·  1 S.R.E.</t>
  </si>
  <si>
    <t>S.R.E. 296ETO0220   |   ENTR. BR-242 (PARANÃ) - SÃO SALVADOR DO TOCANTINS *TRECHO URBANO*   |   PPS · Estadual · 54.942 km  ·  início: -12.624276, -47.862564</t>
  </si>
  <si>
    <t>296ETO0220</t>
  </si>
  <si>
    <t>TRECHO 229 — RODOVIA TO-296 - TRECHO JAÚ DO TOCANTINS - SÃO SALVADOR DO TOCANTINS</t>
  </si>
  <si>
    <t>EXTENSÃO: 2,409 km  ·  3 S.R.E.</t>
  </si>
  <si>
    <t>S.R.E. 296ETO0230   |   SÃO SALVADOR DO TOCANTINS *TRECHO URBANO* - ENTR. TO-387   |   PPS · Estadual · 1.970 km  ·  início: -12.754409, -48.252518</t>
  </si>
  <si>
    <t>296ETO0230</t>
  </si>
  <si>
    <t>▲ AQUI HÁ 81.718 km FORA DO ESCOPO DO CONTRATO (perímetro urbano de jurisdição municipal). Você passa por ele, mas NÃO preenche.</t>
  </si>
  <si>
    <t>S.R.E. 296ETO0261   |   JAÚ DO TOCANTINS *TRECHO URBANO*   |   PSU · Municipal · 0.198 km  ·  início: -12.648667, -48.591215</t>
  </si>
  <si>
    <t>296ETO0261</t>
  </si>
  <si>
    <t>S.R.E. 296ETO0262   |   JAÚ DO TOCANTINS *TRECHO URBANO*   |   PSU · Municipal · 0.241 km  ·  início: -12.65172, -48.593217</t>
  </si>
  <si>
    <t>296ETO0262</t>
  </si>
  <si>
    <t>TRECHO 230 — RODOVIA TO-296 - TALISMÃ - ENTR. TO-498 (JAÚ DO TOCANTINS)</t>
  </si>
  <si>
    <t>EXTENSÃO: 62,904 km  ·  2 S.R.E.</t>
  </si>
  <si>
    <t>S.R.E. 296ETO0300   |   ENTR. TO-498 - ENTR. TO-495   |   PPS · Estadual · 16.519 km  ·  início: -12.619321, -48.613501</t>
  </si>
  <si>
    <t>296ETO0300</t>
  </si>
  <si>
    <t>S.R.E. 296ETO0310   |   ENTR. TO-495 - ENTR. BR-153   |   PPS · Estadual · 46.385 km  ·  início: -12.743014, -48.677414</t>
  </si>
  <si>
    <t>296ETO0310</t>
  </si>
  <si>
    <t>TRECHO 231 — RODOVIA TO-365 - TRECHO IPUEIRAS - SILVANÓPOLIS</t>
  </si>
  <si>
    <t>EXTENSÃO: 1,125 km  ·  1 S.R.E.</t>
  </si>
  <si>
    <t>S.R.E. 365ETO0191   |   IPUEIRAS *TRECHO URBANO*   |   PSU · Municipal · 1.125 km  ·  sem coordenada no shape</t>
  </si>
  <si>
    <t>365ETO0191</t>
  </si>
  <si>
    <t>URBANO</t>
  </si>
  <si>
    <t>TRECHO 233 — RODOVIA TO-373 - TRECHO ALVORADA - ENTR. BR-242</t>
  </si>
  <si>
    <t>EXTENSÃO: 81,849 km  ·  4 S.R.E.</t>
  </si>
  <si>
    <t>S.R.E. 373ETO0190   |   ENTR. BR-242 - ENTR. TO-498 (SANTA CRUZ)   |   PPS · Estadual · 22.788 km  ·  início: -12.164251, -48.541886</t>
  </si>
  <si>
    <t>373ETO0190</t>
  </si>
  <si>
    <t>S.R.E. 373ETO0200   |   ENTR. TO-498 (SANTA CRUZ) - VILA UNIÃO   |   PPS · Estadual · 21.785 km  ·  início: -12.345124, -48.638939</t>
  </si>
  <si>
    <t>373ETO0200</t>
  </si>
  <si>
    <t>S.R.E. 373ETO0210   |   VILA UNIÃO - CANA BRAVA   |   PPS · Estadual · 13.873 km  ·  início: -12.395529, -48.819962</t>
  </si>
  <si>
    <t>373ETO0210</t>
  </si>
  <si>
    <t>S.R.E. 373ETO0220   |   CANA BRAVA - ENTR. BR-153 ALVORADA *TRECHO URBANO*   |   PPS · Estadual · 23.403 km  ·  início: -12.477852, -48.91402</t>
  </si>
  <si>
    <t>373ETO0220</t>
  </si>
  <si>
    <t>TRECHO 234 — RODOVIA TO-387 - TRECHO PALMEIRÓPOLIS - SÃO SALVADOR DO TOCANTINS</t>
  </si>
  <si>
    <t>EXTENSÃO: 37,422 km  ·  1 S.R.E.</t>
  </si>
  <si>
    <t>S.R.E. 387ETO0170   |   ENTR. TO-296 - PALMEIRÓPOLIS *TRECHO URBANO*   |   PPS · Estadual · 37.422 km  ·  início: -12.764797, -48.267235</t>
  </si>
  <si>
    <t>387ETO0170</t>
  </si>
  <si>
    <t>TRECHO 235 — RODOVIA TO-387 - TRECHO PALMEIRÓPOLIS - DIVISA TO-GO</t>
  </si>
  <si>
    <t>EXTENSÃO: 30,118 km  ·  5 S.R.E.</t>
  </si>
  <si>
    <t>S.R.E. 387ETO0171   |   PERÍMETRO URBANO DE PALMEIRÓPOLIS   |   PSU · Municipal · 0.644 km  ·  início: -13.03665, -48.407215</t>
  </si>
  <si>
    <t>387ETO0171</t>
  </si>
  <si>
    <t>S.R.E. 387ETO0172D   |   PERÍMETRO URBANO DE PALMEIRÓPOLIS  (código antigo: 387ETO0172)   |   PSU · Municipal · 1.322 km  ·  início: -13.042446, -48.407367</t>
  </si>
  <si>
    <t>387ETO0172D</t>
  </si>
  <si>
    <t>S.R.E. 387ETO0200   |   PALMEIRÓPOLIS *TRECHO URBANO* - ENTR. TO-498   |   PPS · Estadual · 16.889 km  ·  início: -13.041477, -48.419269</t>
  </si>
  <si>
    <t>387ETO0200</t>
  </si>
  <si>
    <t>S.R.E. 387ETO0210   |   ENTR. TO-498 - BARROLÂNDIA   |   PPS · Estadual · 5.020 km  ·  início: -13.003771, -48.544375</t>
  </si>
  <si>
    <t>387ETO0210</t>
  </si>
  <si>
    <t>S.R.E. 387ETO0220   |   BARROLÂNDIA - DIV TO-GO   |   PPS · Estadual · 6.242 km  ·  início: -13.042476, -48.564187</t>
  </si>
  <si>
    <t>387ETO0220</t>
  </si>
  <si>
    <t>TRECHO 243 — RODOVIA TO-498 - TRECHO JAÚ DO TOCANTINS - ENTR. TO-373 (SANTA CRUZ)</t>
  </si>
  <si>
    <t>EXTENSÃO: 36,061 km  ·  2 S.R.E.</t>
  </si>
  <si>
    <t>S.R.E. 498ETO0010   |   ENTR. TO-373 (SANTA CRUZ) - ENTR. TO-296   |   PPS · Estadual · 32.035 km  ·  início: -12.345124, -48.638939</t>
  </si>
  <si>
    <t>498ETO0010</t>
  </si>
  <si>
    <t>▲ AQUI HÁ 287.313 km FORA DO ESCOPO DO CONTRATO (perímetro urbano de jurisdição municipal). Você passa por ele, mas NÃO preenche.</t>
  </si>
  <si>
    <t>S.R.E. 296ETO0290   |   JAÚ DO TOCANTINS *TRECHO URBANO* - ENTR. TO-498   |   PPS · Estadual · 4.026 km  ·  início: -12.619321, -48.613501</t>
  </si>
  <si>
    <t>296ETO0290</t>
  </si>
  <si>
    <t>TRECHO 244 — RODOVIA TO-498 - TRECHO JAÚ DO TOCANTINS - ENTR. TO-387</t>
  </si>
  <si>
    <t>EXTENSÃO: 42,087 km  ·  3 S.R.E.</t>
  </si>
  <si>
    <t>S.R.E. 498ETO0050   |   JAÚ DO TOCANTINS *TRECHO URBANO* - NOVO HORIZONTE   |   PPS · Estadual · 20.942 km  ·  início: -12.656774, -48.588621</t>
  </si>
  <si>
    <t>498ETO0050</t>
  </si>
  <si>
    <t>S.R.E. 498ETO0080   |   NOVO HORIZONTE - MONTEIRÓPOLIS   |   PPS · Estadual · 12.101 km  ·  início: -12.841359, -48.577547</t>
  </si>
  <si>
    <t>498ETO0080</t>
  </si>
  <si>
    <t>S.R.E. 498ETO0090   |   MONTEIRÓPOLIS - ENTR. TO-387   |   PPS · Estadual · 9.044 km  ·  início: -12.939477, -48.570788</t>
  </si>
  <si>
    <t>498ETO0090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</si>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</sst>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4C-443A-92A1-4E93E1352A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4C-443A-92A1-4E93E1352A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4C-443A-92A1-4E93E1352A8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4C-443A-92A1-4E93E1352A8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4C-443A-92A1-4E93E1352A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72.925619271034009</c:v>
                </c:pt>
                <c:pt idx="1">
                  <c:v>290.67049934714998</c:v>
                </c:pt>
                <c:pt idx="2">
                  <c:v>162.83200153471799</c:v>
                </c:pt>
                <c:pt idx="3">
                  <c:v>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4C-443A-92A1-4E93E1352A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20-4EC3-870C-BBC3398DC61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20-4EC3-870C-BBC3398DC6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385.16008292140202</c:v>
                </c:pt>
                <c:pt idx="1">
                  <c:v>154.26803723149999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0-4EC3-870C-BBC3398DC6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AD-4035-AA80-D5C397D1F1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AD-4035-AA80-D5C397D1F1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AD-4035-AA80-D5C397D1F1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46.884433636904006</c:v>
                </c:pt>
                <c:pt idx="1">
                  <c:v>410.36862045866798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AD-4035-AA80-D5C397D1F1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E2-48C8-B513-23183A982C6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E2-48C8-B513-23183A982C6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E2-48C8-B513-23183A982C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65.908277304628001</c:v>
                </c:pt>
                <c:pt idx="1">
                  <c:v>448.27955176076398</c:v>
                </c:pt>
                <c:pt idx="2">
                  <c:v>1.8557688138099999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E2-48C8-B513-23183A982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6D-44C8-A8B7-C71405A051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6D-44C8-A8B7-C71405A051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6D-44C8-A8B7-C71405A051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20.959464722008001</c:v>
                </c:pt>
                <c:pt idx="1">
                  <c:v>495.08413315719395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4C8-A8B7-C71405A05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68-4A57-A77C-116585CDFA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68-4A57-A77C-116585CDFA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68-4A57-A77C-116585CDFA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68-4A57-A77C-116585CDFA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68-4A57-A77C-116585CDFA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'224'!$Y$2:$AC$2</c:f>
              <c:numCache>
                <c:formatCode>#,##0.00</c:formatCode>
                <c:ptCount val="5"/>
                <c:pt idx="0">
                  <c:v>13</c:v>
                </c:pt>
                <c:pt idx="1">
                  <c:v>8.2399999999999984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68-4A57-A77C-116585CDF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AF-43EC-B5DE-4B8C1B17C9F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AF-43EC-B5DE-4B8C1B17C9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'224'!$AD$2:$AE$2</c:f>
              <c:numCache>
                <c:formatCode>#,##0.00</c:formatCode>
                <c:ptCount val="2"/>
                <c:pt idx="0">
                  <c:v>26.24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F-43EC-B5DE-4B8C1B17C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D-42B7-A8A6-8B0E60531FD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D-42B7-A8A6-8B0E60531FD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D-42B7-A8A6-8B0E60531F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2D-42B7-A8A6-8B0E60531F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55-42A9-87D5-EE8DBD6FE0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55-42A9-87D5-EE8DBD6FE0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55-42A9-87D5-EE8DBD6FE0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5-42A9-87D5-EE8DBD6FE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13-42B8-9B34-D2CC41266E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13-42B8-9B34-D2CC41266E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13-42B8-9B34-D2CC41266E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13-42B8-9B34-D2CC41266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AC-4AC6-B090-A11DC84A2A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AC-4AC6-B090-A11DC84A2A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AC-4AC6-B090-A11DC84A2A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AC-4AC6-B090-A11DC84A2A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6AC-4AC6-B090-A11DC84A2A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19</c:v>
                </c:pt>
                <c:pt idx="2">
                  <c:v>57.278130035900006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AC-4AC6-B090-A11DC84A2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07-4C5A-9EF9-A8ADB8C9917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07-4C5A-9EF9-A8ADB8C991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'225'!$AD$2:$AE$2</c:f>
              <c:numCache>
                <c:formatCode>#,##0.00</c:formatCode>
                <c:ptCount val="2"/>
                <c:pt idx="0">
                  <c:v>76.278130035900006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7-4C5A-9EF9-A8ADB8C99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07-48F8-96C7-16ADB732105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07-48F8-96C7-16ADB732105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07-48F8-96C7-16ADB73210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'225'!$AF$2:$AH$2</c:f>
              <c:numCache>
                <c:formatCode>#,##0.00</c:formatCode>
                <c:ptCount val="3"/>
                <c:pt idx="0">
                  <c:v>6</c:v>
                </c:pt>
                <c:pt idx="1">
                  <c:v>46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07-48F8-96C7-16ADB7321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62-4698-8213-72F0CE08E3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62-4698-8213-72F0CE08E3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62-4698-8213-72F0CE08E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76.278130035900006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62-4698-8213-72F0CE08E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C6-485D-B391-44E70789D9D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C6-485D-B391-44E70789D9D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C6-485D-B391-44E70789D9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76.278130035900006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C6-485D-B391-44E70789D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25-4631-988B-C80C4CC200D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25-4631-988B-C80C4CC200D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25-4631-988B-C80C4CC200D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825-4631-988B-C80C4CC200D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825-4631-988B-C80C4CC200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27.103954603890003</c:v>
                </c:pt>
                <c:pt idx="2">
                  <c:v>37.926657861199999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25-4631-988B-C80C4CC20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44-410C-983E-88D6AFFF36C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44-410C-983E-88D6AFFF36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'226'!$AD$2:$AE$2</c:f>
              <c:numCache>
                <c:formatCode>#,##0.00</c:formatCode>
                <c:ptCount val="2"/>
                <c:pt idx="0">
                  <c:v>65.030612465090002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44-410C-983E-88D6AFFF3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E7-47D9-B763-402C1DE844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E7-47D9-B763-402C1DE844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E7-47D9-B763-402C1DE844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'226'!$AF$2:$AH$2</c:f>
              <c:numCache>
                <c:formatCode>#,##0.00</c:formatCode>
                <c:ptCount val="3"/>
                <c:pt idx="0">
                  <c:v>13.59154085616</c:v>
                </c:pt>
                <c:pt idx="1">
                  <c:v>29.926657861199999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E7-47D9-B763-402C1DE844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10-45C5-B774-138E4806FC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10-45C5-B774-138E4806FC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10-45C5-B774-138E4806FC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65.030612465090002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0-45C5-B774-138E4806FC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18-4BE9-B227-D6380974273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18-4BE9-B227-D6380974273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18-4BE9-B227-D638097427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65.030612465090002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18-4BE9-B227-D63809742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C6-401F-A13D-29A1D4C0AA7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C6-401F-A13D-29A1D4C0AA7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C6-401F-A13D-29A1D4C0AA7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C6-401F-A13D-29A1D4C0AA7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3C6-401F-A13D-29A1D4C0AA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37.060747483590006</c:v>
                </c:pt>
                <c:pt idx="2">
                  <c:v>6.0971139438000002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C6-401F-A13D-29A1D4C0AA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51-4707-B189-66B81ABAF7F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51-4707-B189-66B81ABAF7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'227'!$AD$2:$AE$2</c:f>
              <c:numCache>
                <c:formatCode>#,##0.00</c:formatCode>
                <c:ptCount val="2"/>
                <c:pt idx="0">
                  <c:v>43.157861427390003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1-4707-B189-66B81ABAF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F2-456B-BDCC-ADDBA19D27A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F2-456B-BDCC-ADDBA19D27A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F2-456B-BDCC-ADDBA19D27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'227'!$AF$2:$AH$2</c:f>
              <c:numCache>
                <c:formatCode>#,##0.00</c:formatCode>
                <c:ptCount val="3"/>
                <c:pt idx="0">
                  <c:v>2.8557688138100001</c:v>
                </c:pt>
                <c:pt idx="1">
                  <c:v>29.302092613580001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2-456B-BDCC-ADDBA19D27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18-4DB2-B34B-5491ACCA5E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18-4DB2-B34B-5491ACCA5E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18-4DB2-B34B-5491ACCA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41.302092613580001</c:v>
                </c:pt>
                <c:pt idx="2">
                  <c:v>1.8557688138099999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8-4DB2-B34B-5491ACCA5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E5-4D76-AADE-388E0FFE40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E5-4D76-AADE-388E0FFE40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E5-4D76-AADE-388E0FFE40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'227'!$AL$2:$AN$2</c:f>
              <c:numCache>
                <c:formatCode>#,##0.00</c:formatCode>
                <c:ptCount val="3"/>
                <c:pt idx="0">
                  <c:v>8.9931636998800002</c:v>
                </c:pt>
                <c:pt idx="1">
                  <c:v>34.164697727510003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E5-4D76-AADE-388E0FFE40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5A-4B23-81F7-697180CA097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5A-4B23-81F7-697180CA097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5A-4B23-81F7-697180CA097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5A-4B23-81F7-697180CA097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F5A-4B23-81F7-697180CA09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'228'!$Y$2:$AC$2</c:f>
              <c:numCache>
                <c:formatCode>#,##0.00</c:formatCode>
                <c:ptCount val="5"/>
                <c:pt idx="0">
                  <c:v>3.9419762825000007</c:v>
                </c:pt>
                <c:pt idx="1">
                  <c:v>51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A-4B23-81F7-697180CA0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6B-4DF3-A6D4-3D6788C1C3D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6B-4DF3-A6D4-3D6788C1C3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54.941976282500001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B-4DF3-A6D4-3D6788C1C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03-4CB0-B483-96E886B4C85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03-4CB0-B483-96E886B4C85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03-4CB0-B483-96E886B4C8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54.941976282500001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03-4CB0-B483-96E886B4C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0B-4481-8C72-376E0BF18A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0B-4481-8C72-376E0BF18A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0B-4481-8C72-376E0BF18A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'228'!$AI$2:$AK$2</c:f>
              <c:numCache>
                <c:formatCode>#,##0.00</c:formatCode>
                <c:ptCount val="3"/>
                <c:pt idx="0">
                  <c:v>54.941976282500001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0B-4481-8C72-376E0BF18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FE-41A2-AABF-4513F8AECE5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FE-41A2-AABF-4513F8AECE5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FE-41A2-AABF-4513F8AECE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54.941976282500001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E-41A2-AABF-4513F8AECE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88-4601-B3DD-9C195F7E353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88-4601-B3DD-9C195F7E353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88-4601-B3DD-9C195F7E353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88-4601-B3DD-9C195F7E353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588-4601-B3DD-9C195F7E35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'229'!$Y$2:$AC$2</c:f>
              <c:numCache>
                <c:formatCode>#,##0.00</c:formatCode>
                <c:ptCount val="5"/>
                <c:pt idx="0">
                  <c:v>0.438659302704</c:v>
                </c:pt>
                <c:pt idx="1">
                  <c:v>#N/A</c:v>
                </c:pt>
                <c:pt idx="2">
                  <c:v>1.96994655083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88-4601-B3DD-9C195F7E3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8A-4762-8E02-C3A6B6BD046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8A-4762-8E02-C3A6B6BD04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'229'!$AD$2:$AE$2</c:f>
              <c:numCache>
                <c:formatCode>#,##0.00</c:formatCode>
                <c:ptCount val="2"/>
                <c:pt idx="0">
                  <c:v>2.4086058535339996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8A-4762-8E02-C3A6B6BD04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E-460C-A031-78A31968EF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6E-460C-A031-78A31968EF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6E-460C-A031-78A31968E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'229'!$AF$2:$AH$2</c:f>
              <c:numCache>
                <c:formatCode>#,##0.00</c:formatCode>
                <c:ptCount val="3"/>
                <c:pt idx="0">
                  <c:v>0.438659302704</c:v>
                </c:pt>
                <c:pt idx="1">
                  <c:v>1.96994655083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E-460C-A031-78A31968EF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3-4BC8-9071-17E423FC8B0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3-4BC8-9071-17E423FC8B0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53-4BC8-9071-17E423FC8B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'229'!$AI$2:$AK$2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2.4086058535339996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3-4BC8-9071-17E423FC8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62-4261-9419-79A1E31270B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62-4261-9419-79A1E31270B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62-4261-9419-79A1E31270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'229'!$AL$2:$AN$2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2.4086058535339996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62-4261-9419-79A1E31270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73-4151-940B-F99AD55C37A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73-4151-940B-F99AD55C37A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73-4151-940B-F99AD55C37A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73-4151-940B-F99AD55C37A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A73-4151-940B-F99AD55C37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'230'!$Y$2:$AC$2</c:f>
              <c:numCache>
                <c:formatCode>#,##0.00</c:formatCode>
                <c:ptCount val="5"/>
                <c:pt idx="0">
                  <c:v>13.519213165099998</c:v>
                </c:pt>
                <c:pt idx="1">
                  <c:v>28.3845222737</c:v>
                </c:pt>
                <c:pt idx="2">
                  <c:v>10</c:v>
                </c:pt>
                <c:pt idx="3">
                  <c:v>#N/A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73-4151-940B-F99AD55C3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4C-4B3B-85B5-226C66A1A44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4C-4B3B-85B5-226C66A1A4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'230'!$AD$2:$AE$2</c:f>
              <c:numCache>
                <c:formatCode>#,##0.00</c:formatCode>
                <c:ptCount val="2"/>
                <c:pt idx="0">
                  <c:v>1</c:v>
                </c:pt>
                <c:pt idx="1">
                  <c:v>61.903735438799998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C-4B3B-85B5-226C66A1A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F1-4404-939F-342A117F83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F1-4404-939F-342A117F83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F1-4404-939F-342A117F8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'230'!$AF$2:$AH$2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38.519213165099998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1-4404-939F-342A117F8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43-4A79-AB4A-4D8269B0C5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43-4A79-AB4A-4D8269B0C5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43-4A79-AB4A-4D8269B0C5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'230'!$AI$2:$AK$2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38.519213165099998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43-4A79-AB4A-4D8269B0C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62-4D13-8236-649430E547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62-4D13-8236-649430E547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62-4D13-8236-649430E54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'230'!$AL$2:$AN$2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38.519213165099998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2-4D13-8236-649430E547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F2-4A75-A96D-C89C38242E9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F2-4A75-A96D-C89C38242E9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F2-4A75-A96D-C89C38242E9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F2-4A75-A96D-C89C38242E9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4F2-4A75-A96D-C89C38242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F2-4A75-A96D-C89C38242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CF-495F-9A9A-CBF429ADF4B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CF-495F-9A9A-CBF429ADF4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'231'!$AD$2:$AE$2</c:f>
              <c:numCache>
                <c:formatCode>#,##0.00</c:formatCode>
                <c:ptCount val="2"/>
                <c:pt idx="0">
                  <c:v>1.12549100823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CF-495F-9A9A-CBF429ADF4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4B-4067-9B72-FF60412F57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4B-4067-9B72-FF60412F57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4B-4067-9B72-FF60412F57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'231'!$AF$2:$AH$2</c:f>
              <c:numCache>
                <c:formatCode>#,##0.00</c:formatCode>
                <c:ptCount val="3"/>
                <c:pt idx="0">
                  <c:v>1.12549100823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4B-4067-9B72-FF60412F5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B9-4F02-8BFC-3A2960EDC73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B9-4F02-8BFC-3A2960EDC73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B9-4F02-8BFC-3A2960EDC7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'231'!$AI$2:$AK$2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B9-4F02-8BFC-3A2960EDC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7C-4A29-B7C5-E8B3CF1506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7C-4A29-B7C5-E8B3CF1506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7C-4A29-B7C5-E8B3CF1506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'231'!$AL$2:$AN$2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7C-4A29-B7C5-E8B3CF150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C4-419B-854F-C98AA7D0B41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C4-419B-854F-C98AA7D0B41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C4-419B-854F-C98AA7D0B41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C4-419B-854F-C98AA7D0B41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C4-419B-854F-C98AA7D0B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'233'!$Y$2:$AC$2</c:f>
              <c:numCache>
                <c:formatCode>#,##0.00</c:formatCode>
                <c:ptCount val="5"/>
                <c:pt idx="0">
                  <c:v>9</c:v>
                </c:pt>
                <c:pt idx="1">
                  <c:v>49.9765185913</c:v>
                </c:pt>
                <c:pt idx="2">
                  <c:v>22.872973655999999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4-419B-854F-C98AA7D0B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8B-479D-9BFA-23C718B9503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8B-479D-9BFA-23C718B950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'233'!$AD$2:$AE$2</c:f>
              <c:numCache>
                <c:formatCode>#,##0.00</c:formatCode>
                <c:ptCount val="2"/>
                <c:pt idx="0">
                  <c:v>80.849492247299992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8B-479D-9BFA-23C718B950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49-4D0B-BA5E-3EEAA94F342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49-4D0B-BA5E-3EEAA94F342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49-4D0B-BA5E-3EEAA94F34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'233'!$AF$2:$AH$2</c:f>
              <c:numCache>
                <c:formatCode>#,##0.00</c:formatCode>
                <c:ptCount val="3"/>
                <c:pt idx="0">
                  <c:v>9.8729736559999992</c:v>
                </c:pt>
                <c:pt idx="1">
                  <c:v>69.976518591299993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49-4D0B-BA5E-3EEAA94F3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BD-4443-AAB0-F61AB97EC8F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BD-4443-AAB0-F61AB97EC8F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BD-4443-AAB0-F61AB97EC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'233'!$AI$2:$AK$2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81.849492247299992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BD-4443-AAB0-F61AB97EC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0E-47DE-A72B-31286060C8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0E-47DE-A72B-31286060C8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0E-47DE-A72B-31286060C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'233'!$AL$2:$AN$2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81.849492247299992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0E-47DE-A72B-31286060C8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F-42AB-B225-C6A040EFE53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F-42AB-B225-C6A040EFE53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F-42AB-B225-C6A040EFE53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2F-42AB-B225-C6A040EFE53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32F-42AB-B225-C6A040EFE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'234'!$Y$2:$AC$2</c:f>
              <c:numCache>
                <c:formatCode>#,##0.00</c:formatCode>
                <c:ptCount val="5"/>
                <c:pt idx="0">
                  <c:v>3</c:v>
                </c:pt>
                <c:pt idx="1">
                  <c:v>33.422325510199997</c:v>
                </c:pt>
                <c:pt idx="2">
                  <c:v>1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2F-42AB-B225-C6A040EFE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4E-41B2-A613-3DF6244723B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4E-41B2-A613-3DF624472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37.422325510199997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4E-41B2-A613-3DF624472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CE-4794-BDEF-676F7D7B73A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CE-4794-BDEF-676F7D7B73A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CE-4794-BDEF-676F7D7B73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'234'!$AF$2:$AH$2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CE-4794-BDEF-676F7D7B73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93-44ED-A149-64BF729F05D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93-44ED-A149-64BF729F05D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93-44ED-A149-64BF729F05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'234'!$AI$2:$AK$2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93-44ED-A149-64BF729F0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4A-4CA9-91EA-F8567FC9452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4A-4CA9-91EA-F8567FC9452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4A-4CA9-91EA-F8567FC945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'234'!$AL$2:$AN$2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A-4CA9-91EA-F8567FC94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7E-4C2D-9CB6-567EF0AA27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7E-4C2D-9CB6-567EF0AA27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7E-4C2D-9CB6-567EF0AA271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B7E-4C2D-9CB6-567EF0AA271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B7E-4C2D-9CB6-567EF0AA27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'235'!$Y$2:$AC$2</c:f>
              <c:numCache>
                <c:formatCode>#,##0.00</c:formatCode>
                <c:ptCount val="5"/>
                <c:pt idx="0">
                  <c:v>3</c:v>
                </c:pt>
                <c:pt idx="1">
                  <c:v>5.3221506387400002</c:v>
                </c:pt>
                <c:pt idx="2">
                  <c:v>0.64415038338800001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7E-4C2D-9CB6-567EF0AA2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6-4A91-84C8-62A5D87572B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56-4A91-84C8-62A5D87572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'235'!$AD$2:$AE$2</c:f>
              <c:numCache>
                <c:formatCode>#,##0.00</c:formatCode>
                <c:ptCount val="2"/>
                <c:pt idx="0">
                  <c:v>10.966301022128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56-4A91-84C8-62A5D87572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36-4657-8F55-BA7A2D9E19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36-4657-8F55-BA7A2D9E19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36-4657-8F55-BA7A2D9E19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'235'!$AF$2:$AH$2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10.966301022128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36-4657-8F55-BA7A2D9E19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BB-4FE5-84C8-D644202A86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BB-4FE5-84C8-D644202A86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BB-4FE5-84C8-D644202A86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'235'!$AI$2:$AK$2</c:f>
              <c:numCache>
                <c:formatCode>#,##0.00</c:formatCode>
                <c:ptCount val="3"/>
                <c:pt idx="0">
                  <c:v>10.966301022128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BB-4FE5-84C8-D644202A86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B9-4DE1-891B-38688F6326F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B9-4DE1-891B-38688F6326F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B9-4DE1-891B-38688F6326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'235'!$AL$2:$AN$2</c:f>
              <c:numCache>
                <c:formatCode>#,##0.00</c:formatCode>
                <c:ptCount val="3"/>
                <c:pt idx="0">
                  <c:v>10.966301022128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9-4DE1-891B-38688F6326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A5-43FE-A059-5D00360A7C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A5-43FE-A059-5D00360A7C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A5-43FE-A059-5D00360A7C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3A5-43FE-A059-5D00360A7C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3A5-43FE-A059-5D00360A7C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'243'!$Y$2:$AC$2</c:f>
              <c:numCache>
                <c:formatCode>#,##0.00</c:formatCode>
                <c:ptCount val="5"/>
                <c:pt idx="0">
                  <c:v>25.025770520729999</c:v>
                </c:pt>
                <c:pt idx="1">
                  <c:v>10.0347892375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A5-43FE-A059-5D00360A7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2C-41AB-8AC7-261E6A47AB8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2C-41AB-8AC7-261E6A47AB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'243'!$AD$2:$AE$2</c:f>
              <c:numCache>
                <c:formatCode>#,##0.00</c:formatCode>
                <c:ptCount val="2"/>
                <c:pt idx="0">
                  <c:v>36.060559758229999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2C-41AB-8AC7-261E6A47AB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89-4BDA-B8FD-FAD70380A9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89-4BDA-B8FD-FAD70380A9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89-4BDA-B8FD-FAD70380A9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'243'!$AF$2:$AH$2</c:f>
              <c:numCache>
                <c:formatCode>#,##0.00</c:formatCode>
                <c:ptCount val="3"/>
                <c:pt idx="0">
                  <c:v>13</c:v>
                </c:pt>
                <c:pt idx="1">
                  <c:v>23.060559758229999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89-4BDA-B8FD-FAD70380A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C-4C2A-8E77-3D7EE818937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0C-4C2A-8E77-3D7EE818937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0C-4C2A-8E77-3D7EE81893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36.060559758229999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C-4C2A-8E77-3D7EE8189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A-4532-BE46-DC9388A6C2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A-4532-BE46-DC9388A6C2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A-4532-BE46-DC9388A6C2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'243'!$AL$2:$AN$2</c:f>
              <c:numCache>
                <c:formatCode>#,##0.00</c:formatCode>
                <c:ptCount val="3"/>
                <c:pt idx="0">
                  <c:v>1</c:v>
                </c:pt>
                <c:pt idx="1">
                  <c:v>35.060559758229999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A-4532-BE46-DC9388A6C2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46-4BFD-8078-874235FD355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46-4BFD-8078-874235FD355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46-4BFD-8078-874235FD355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46-4BFD-8078-874235FD355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46-4BFD-8078-874235FD35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'244'!$Y$2:$AC$2</c:f>
              <c:numCache>
                <c:formatCode>#,##0.00</c:formatCode>
                <c:ptCount val="5"/>
                <c:pt idx="0">
                  <c:v>2</c:v>
                </c:pt>
                <c:pt idx="1">
                  <c:v>20</c:v>
                </c:pt>
                <c:pt idx="2">
                  <c:v>20.043029103599999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46-4BFD-8078-874235FD35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6D-4595-98D3-FAAE2A49EB5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6D-4595-98D3-FAAE2A49E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'244'!$AD$2:$AE$2</c:f>
              <c:numCache>
                <c:formatCode>#,##0.00</c:formatCode>
                <c:ptCount val="2"/>
                <c:pt idx="0">
                  <c:v>42.043029103599999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6D-4595-98D3-FAAE2A49E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43-4B44-A640-F9A8C777F0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43-4B44-A640-F9A8C777F0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43-4B44-A640-F9A8C777F0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42.043029103599999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43-4B44-A640-F9A8C777F0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66-4759-A7EB-4A0FC9A7A6E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66-4759-A7EB-4A0FC9A7A6E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66-4759-A7EB-4A0FC9A7A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42.043029103599999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66-4759-A7EB-4A0FC9A7A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57-4F05-8967-DB91B19EA2C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57-4F05-8967-DB91B19EA2C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57-4F05-8967-DB91B19EA2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42.043029103599999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7-4F05-8967-DB91B19EA2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0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IF(D19=0,NA(),D19)</f>
        <v>72.925619271034009</v>
      </c>
      <c r="W2" s="2">
        <f t="shared" si="0"/>
        <v>290.67049934714998</v>
      </c>
      <c r="X2" s="2">
        <f t="shared" si="0"/>
        <v>162.83200153471799</v>
      </c>
      <c r="Y2" s="2">
        <f t="shared" si="0"/>
        <v>3</v>
      </c>
      <c r="Z2" s="2">
        <f t="shared" si="0"/>
        <v>11</v>
      </c>
      <c r="AA2" s="2">
        <f t="shared" si="0"/>
        <v>385.16008292140202</v>
      </c>
      <c r="AB2" s="2">
        <f t="shared" si="0"/>
        <v>154.26803723149999</v>
      </c>
      <c r="AC2" s="2">
        <f t="shared" si="0"/>
        <v>46.884433636904006</v>
      </c>
      <c r="AD2" s="2">
        <f t="shared" si="0"/>
        <v>410.36862045866798</v>
      </c>
      <c r="AE2" s="2" t="e">
        <f t="shared" si="0"/>
        <v>#N/A</v>
      </c>
      <c r="AF2" s="2">
        <f t="shared" si="0"/>
        <v>65.908277304628001</v>
      </c>
      <c r="AG2" s="2">
        <f t="shared" si="0"/>
        <v>448.27955176076398</v>
      </c>
      <c r="AH2" s="2">
        <f t="shared" si="0"/>
        <v>1.8557688138099999</v>
      </c>
      <c r="AI2" s="2">
        <f t="shared" si="0"/>
        <v>20.959464722008001</v>
      </c>
      <c r="AJ2" s="2">
        <f t="shared" si="0"/>
        <v>495.08413315719395</v>
      </c>
      <c r="AK2" s="2" t="e">
        <f t="shared" si="0"/>
        <v>#N/A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12</v>
      </c>
      <c r="O5" s="3" t="s">
        <v>22</v>
      </c>
      <c r="P5" s="3" t="s">
        <v>23</v>
      </c>
      <c r="Q5" s="3" t="s">
        <v>12</v>
      </c>
      <c r="R5" s="3" t="s">
        <v>24</v>
      </c>
      <c r="S5" s="3" t="s">
        <v>23</v>
      </c>
      <c r="T5" s="31"/>
    </row>
    <row r="6" spans="1:37" x14ac:dyDescent="0.25">
      <c r="A6" s="5">
        <v>224</v>
      </c>
      <c r="B6" s="6" t="s">
        <v>25</v>
      </c>
      <c r="C6" s="7">
        <f>'224'!R44</f>
        <v>26.24</v>
      </c>
      <c r="D6" s="7">
        <f>'224'!F41</f>
        <v>13</v>
      </c>
      <c r="E6" s="7">
        <f>'224'!G41</f>
        <v>8.2399999999999984</v>
      </c>
      <c r="F6" s="7">
        <f>'224'!H41</f>
        <v>5</v>
      </c>
      <c r="G6" s="7">
        <f>'224'!I41</f>
        <v>0</v>
      </c>
      <c r="H6" s="7">
        <f>'224'!J41</f>
        <v>0</v>
      </c>
      <c r="I6" s="7">
        <f>'224'!K41</f>
        <v>26.24</v>
      </c>
      <c r="J6" s="7">
        <f>'224'!L41</f>
        <v>0</v>
      </c>
      <c r="K6" s="7">
        <f>'224'!M41</f>
        <v>0</v>
      </c>
      <c r="L6" s="7">
        <f>'224'!N41</f>
        <v>26.24</v>
      </c>
      <c r="M6" s="7">
        <f>'224'!O41</f>
        <v>0</v>
      </c>
      <c r="N6" s="7">
        <f>'224'!P41</f>
        <v>0</v>
      </c>
      <c r="O6" s="7">
        <f>'224'!Q41</f>
        <v>26.24</v>
      </c>
      <c r="P6" s="7">
        <f>'224'!R41</f>
        <v>0</v>
      </c>
      <c r="Q6" s="7">
        <f>'224'!S41</f>
        <v>0</v>
      </c>
      <c r="R6" s="7">
        <f>'224'!T41</f>
        <v>26.24</v>
      </c>
      <c r="S6" s="7">
        <f>'224'!U41</f>
        <v>0</v>
      </c>
      <c r="T6" s="5" t="str">
        <f t="shared" ref="T6:T18" si="1">IF(SUM(D6:H6)=0,"— não preenchido",IF(ROUND(SUM(D6:H6)-C6,3)=0,"OK","ERRO — dif. de "&amp;ROUND(SUM(D6:H6)-C6,3)&amp;" km"))</f>
        <v>OK</v>
      </c>
    </row>
    <row r="7" spans="1:37" x14ac:dyDescent="0.25">
      <c r="A7" s="5">
        <v>225</v>
      </c>
      <c r="B7" s="6" t="s">
        <v>26</v>
      </c>
      <c r="C7" s="7">
        <f>'225'!R94</f>
        <v>76.278130035900006</v>
      </c>
      <c r="D7" s="7">
        <f>'225'!F91</f>
        <v>0</v>
      </c>
      <c r="E7" s="7">
        <f>'225'!G91</f>
        <v>19</v>
      </c>
      <c r="F7" s="7">
        <f>'225'!H91</f>
        <v>57.278130035900006</v>
      </c>
      <c r="G7" s="7">
        <f>'225'!I91</f>
        <v>0</v>
      </c>
      <c r="H7" s="7">
        <f>'225'!J91</f>
        <v>0</v>
      </c>
      <c r="I7" s="7">
        <f>'225'!K91</f>
        <v>76.278130035900006</v>
      </c>
      <c r="J7" s="7">
        <f>'225'!L91</f>
        <v>0</v>
      </c>
      <c r="K7" s="7">
        <f>'225'!M91</f>
        <v>6</v>
      </c>
      <c r="L7" s="7">
        <f>'225'!N91</f>
        <v>46</v>
      </c>
      <c r="M7" s="7">
        <f>'225'!O91</f>
        <v>0</v>
      </c>
      <c r="N7" s="7">
        <f>'225'!P91</f>
        <v>0</v>
      </c>
      <c r="O7" s="7">
        <f>'225'!Q91</f>
        <v>76.278130035900006</v>
      </c>
      <c r="P7" s="7">
        <f>'225'!R91</f>
        <v>0</v>
      </c>
      <c r="Q7" s="7">
        <f>'225'!S91</f>
        <v>0</v>
      </c>
      <c r="R7" s="7">
        <f>'225'!T91</f>
        <v>76.278130035900006</v>
      </c>
      <c r="S7" s="7">
        <f>'225'!U91</f>
        <v>0</v>
      </c>
      <c r="T7" s="5" t="str">
        <f t="shared" si="1"/>
        <v>OK</v>
      </c>
    </row>
    <row r="8" spans="1:37" x14ac:dyDescent="0.25">
      <c r="A8" s="5">
        <v>226</v>
      </c>
      <c r="B8" s="6" t="s">
        <v>27</v>
      </c>
      <c r="C8" s="7">
        <f>'226'!R85</f>
        <v>65.030612465090002</v>
      </c>
      <c r="D8" s="7">
        <f>'226'!F82</f>
        <v>0</v>
      </c>
      <c r="E8" s="7">
        <f>'226'!G82</f>
        <v>27.103954603890003</v>
      </c>
      <c r="F8" s="7">
        <f>'226'!H82</f>
        <v>37.926657861199999</v>
      </c>
      <c r="G8" s="7">
        <f>'226'!I82</f>
        <v>0</v>
      </c>
      <c r="H8" s="7">
        <f>'226'!J82</f>
        <v>0</v>
      </c>
      <c r="I8" s="7">
        <f>'226'!K82</f>
        <v>65.030612465090002</v>
      </c>
      <c r="J8" s="7">
        <f>'226'!L82</f>
        <v>0</v>
      </c>
      <c r="K8" s="7">
        <f>'226'!M82</f>
        <v>13.59154085616</v>
      </c>
      <c r="L8" s="7">
        <f>'226'!N82</f>
        <v>29.926657861199999</v>
      </c>
      <c r="M8" s="7">
        <f>'226'!O82</f>
        <v>0</v>
      </c>
      <c r="N8" s="7">
        <f>'226'!P82</f>
        <v>0</v>
      </c>
      <c r="O8" s="7">
        <f>'226'!Q82</f>
        <v>65.030612465090002</v>
      </c>
      <c r="P8" s="7">
        <f>'226'!R82</f>
        <v>0</v>
      </c>
      <c r="Q8" s="7">
        <f>'226'!S82</f>
        <v>0</v>
      </c>
      <c r="R8" s="7">
        <f>'226'!T82</f>
        <v>65.030612465090002</v>
      </c>
      <c r="S8" s="7">
        <f>'226'!U82</f>
        <v>0</v>
      </c>
      <c r="T8" s="5" t="str">
        <f t="shared" si="1"/>
        <v>OK</v>
      </c>
    </row>
    <row r="9" spans="1:37" x14ac:dyDescent="0.25">
      <c r="A9" s="5">
        <v>227</v>
      </c>
      <c r="B9" s="6" t="s">
        <v>28</v>
      </c>
      <c r="C9" s="7">
        <f>'227'!R66</f>
        <v>43.157861427390003</v>
      </c>
      <c r="D9" s="7">
        <f>'227'!F63</f>
        <v>0</v>
      </c>
      <c r="E9" s="7">
        <f>'227'!G63</f>
        <v>37.060747483590006</v>
      </c>
      <c r="F9" s="7">
        <f>'227'!H63</f>
        <v>6.0971139438000002</v>
      </c>
      <c r="G9" s="7">
        <f>'227'!I63</f>
        <v>0</v>
      </c>
      <c r="H9" s="7">
        <f>'227'!J63</f>
        <v>0</v>
      </c>
      <c r="I9" s="7">
        <f>'227'!K63</f>
        <v>43.157861427390003</v>
      </c>
      <c r="J9" s="7">
        <f>'227'!L63</f>
        <v>0</v>
      </c>
      <c r="K9" s="7">
        <f>'227'!M63</f>
        <v>2.8557688138100001</v>
      </c>
      <c r="L9" s="7">
        <f>'227'!N63</f>
        <v>29.302092613580001</v>
      </c>
      <c r="M9" s="7">
        <f>'227'!O63</f>
        <v>0</v>
      </c>
      <c r="N9" s="7">
        <f>'227'!P63</f>
        <v>0</v>
      </c>
      <c r="O9" s="7">
        <f>'227'!Q63</f>
        <v>41.302092613580001</v>
      </c>
      <c r="P9" s="7">
        <f>'227'!R63</f>
        <v>1.8557688138099999</v>
      </c>
      <c r="Q9" s="7">
        <f>'227'!S63</f>
        <v>8.9931636998800002</v>
      </c>
      <c r="R9" s="7">
        <f>'227'!T63</f>
        <v>34.164697727510003</v>
      </c>
      <c r="S9" s="7">
        <f>'227'!U63</f>
        <v>0</v>
      </c>
      <c r="T9" s="5" t="str">
        <f t="shared" si="1"/>
        <v>OK</v>
      </c>
    </row>
    <row r="10" spans="1:37" x14ac:dyDescent="0.25">
      <c r="A10" s="5">
        <v>228</v>
      </c>
      <c r="B10" s="6" t="s">
        <v>29</v>
      </c>
      <c r="C10" s="7">
        <f>'228'!R72</f>
        <v>54.941976282500001</v>
      </c>
      <c r="D10" s="7">
        <f>'228'!F69</f>
        <v>3.9419762825000007</v>
      </c>
      <c r="E10" s="7">
        <f>'228'!G69</f>
        <v>51</v>
      </c>
      <c r="F10" s="7">
        <f>'228'!H69</f>
        <v>0</v>
      </c>
      <c r="G10" s="7">
        <f>'228'!I69</f>
        <v>0</v>
      </c>
      <c r="H10" s="7">
        <f>'228'!J69</f>
        <v>0</v>
      </c>
      <c r="I10" s="7">
        <f>'228'!K69</f>
        <v>0</v>
      </c>
      <c r="J10" s="7">
        <f>'228'!L69</f>
        <v>54.941976282500001</v>
      </c>
      <c r="K10" s="7">
        <f>'228'!M69</f>
        <v>0</v>
      </c>
      <c r="L10" s="7">
        <f>'228'!N69</f>
        <v>54.941976282500001</v>
      </c>
      <c r="M10" s="7">
        <f>'228'!O69</f>
        <v>0</v>
      </c>
      <c r="N10" s="7">
        <f>'228'!P69</f>
        <v>54.941976282500001</v>
      </c>
      <c r="O10" s="7">
        <f>'228'!Q69</f>
        <v>0</v>
      </c>
      <c r="P10" s="7">
        <f>'228'!R69</f>
        <v>0</v>
      </c>
      <c r="Q10" s="7">
        <f>'228'!S69</f>
        <v>0</v>
      </c>
      <c r="R10" s="7">
        <f>'228'!T69</f>
        <v>54.941976282500001</v>
      </c>
      <c r="S10" s="7">
        <f>'228'!U69</f>
        <v>0</v>
      </c>
      <c r="T10" s="5" t="str">
        <f t="shared" si="1"/>
        <v>OK</v>
      </c>
    </row>
    <row r="11" spans="1:37" x14ac:dyDescent="0.25">
      <c r="A11" s="5">
        <v>229</v>
      </c>
      <c r="B11" s="6" t="s">
        <v>30</v>
      </c>
      <c r="C11" s="7">
        <f>'229'!R24</f>
        <v>2.4086058535339996</v>
      </c>
      <c r="D11" s="7">
        <f>'229'!F21</f>
        <v>0.438659302704</v>
      </c>
      <c r="E11" s="7">
        <f>'229'!G21</f>
        <v>0</v>
      </c>
      <c r="F11" s="7">
        <f>'229'!H21</f>
        <v>1.96994655083</v>
      </c>
      <c r="G11" s="7">
        <f>'229'!I21</f>
        <v>0</v>
      </c>
      <c r="H11" s="7">
        <f>'229'!J21</f>
        <v>0</v>
      </c>
      <c r="I11" s="7">
        <f>'229'!K21</f>
        <v>2.4086058535339996</v>
      </c>
      <c r="J11" s="7">
        <f>'229'!L21</f>
        <v>0</v>
      </c>
      <c r="K11" s="7">
        <f>'229'!M21</f>
        <v>0.438659302704</v>
      </c>
      <c r="L11" s="7">
        <f>'229'!N21</f>
        <v>1.96994655083</v>
      </c>
      <c r="M11" s="7">
        <f>'229'!O21</f>
        <v>0</v>
      </c>
      <c r="N11" s="7">
        <f>'229'!P21</f>
        <v>0</v>
      </c>
      <c r="O11" s="7">
        <f>'229'!Q21</f>
        <v>2.4086058535339996</v>
      </c>
      <c r="P11" s="7">
        <f>'229'!R21</f>
        <v>0</v>
      </c>
      <c r="Q11" s="7">
        <f>'229'!S21</f>
        <v>0</v>
      </c>
      <c r="R11" s="7">
        <f>'229'!T21</f>
        <v>2.4086058535339996</v>
      </c>
      <c r="S11" s="7">
        <f>'229'!U21</f>
        <v>0</v>
      </c>
      <c r="T11" s="5" t="str">
        <f t="shared" si="1"/>
        <v>OK</v>
      </c>
    </row>
    <row r="12" spans="1:37" x14ac:dyDescent="0.25">
      <c r="A12" s="5">
        <v>230</v>
      </c>
      <c r="B12" s="6" t="s">
        <v>31</v>
      </c>
      <c r="C12" s="7">
        <f>'230'!R82</f>
        <v>62.903735438799998</v>
      </c>
      <c r="D12" s="7">
        <f>'230'!F79</f>
        <v>13.519213165099998</v>
      </c>
      <c r="E12" s="7">
        <f>'230'!G79</f>
        <v>28.3845222737</v>
      </c>
      <c r="F12" s="7">
        <f>'230'!H79</f>
        <v>10</v>
      </c>
      <c r="G12" s="7">
        <f>'230'!I79</f>
        <v>0</v>
      </c>
      <c r="H12" s="7">
        <f>'230'!J79</f>
        <v>11</v>
      </c>
      <c r="I12" s="7">
        <f>'230'!K79</f>
        <v>1</v>
      </c>
      <c r="J12" s="7">
        <f>'230'!L79</f>
        <v>61.903735438799998</v>
      </c>
      <c r="K12" s="7">
        <f>'230'!M79</f>
        <v>0</v>
      </c>
      <c r="L12" s="7">
        <f>'230'!N79</f>
        <v>38.519213165099998</v>
      </c>
      <c r="M12" s="7">
        <f>'230'!O79</f>
        <v>0</v>
      </c>
      <c r="N12" s="7">
        <f>'230'!P79</f>
        <v>0</v>
      </c>
      <c r="O12" s="7">
        <f>'230'!Q79</f>
        <v>38.519213165099998</v>
      </c>
      <c r="P12" s="7">
        <f>'230'!R79</f>
        <v>0</v>
      </c>
      <c r="Q12" s="7">
        <f>'230'!S79</f>
        <v>0</v>
      </c>
      <c r="R12" s="7">
        <f>'230'!T79</f>
        <v>38.519213165099998</v>
      </c>
      <c r="S12" s="7">
        <f>'230'!U79</f>
        <v>0</v>
      </c>
      <c r="T12" s="5" t="str">
        <f t="shared" si="1"/>
        <v>OK</v>
      </c>
    </row>
    <row r="13" spans="1:37" x14ac:dyDescent="0.25">
      <c r="A13" s="5">
        <v>231</v>
      </c>
      <c r="B13" s="6" t="s">
        <v>32</v>
      </c>
      <c r="C13" s="7">
        <f>'231'!R19</f>
        <v>1.12549100823</v>
      </c>
      <c r="D13" s="7">
        <f>'231'!F16</f>
        <v>0</v>
      </c>
      <c r="E13" s="7">
        <f>'231'!G16</f>
        <v>1.12549100823</v>
      </c>
      <c r="F13" s="7">
        <f>'231'!H16</f>
        <v>0</v>
      </c>
      <c r="G13" s="7">
        <f>'231'!I16</f>
        <v>0</v>
      </c>
      <c r="H13" s="7">
        <f>'231'!J16</f>
        <v>0</v>
      </c>
      <c r="I13" s="7">
        <f>'231'!K16</f>
        <v>1.12549100823</v>
      </c>
      <c r="J13" s="7">
        <f>'231'!L16</f>
        <v>0</v>
      </c>
      <c r="K13" s="7">
        <f>'231'!M16</f>
        <v>1.12549100823</v>
      </c>
      <c r="L13" s="7">
        <f>'231'!N16</f>
        <v>0</v>
      </c>
      <c r="M13" s="7">
        <f>'231'!O16</f>
        <v>0</v>
      </c>
      <c r="N13" s="7">
        <f>'231'!P16</f>
        <v>0</v>
      </c>
      <c r="O13" s="7">
        <f>'231'!Q16</f>
        <v>1.12549100823</v>
      </c>
      <c r="P13" s="7">
        <f>'231'!R16</f>
        <v>0</v>
      </c>
      <c r="Q13" s="7">
        <f>'231'!S16</f>
        <v>0</v>
      </c>
      <c r="R13" s="7">
        <f>'231'!T16</f>
        <v>1.12549100823</v>
      </c>
      <c r="S13" s="7">
        <f>'231'!U16</f>
        <v>0</v>
      </c>
      <c r="T13" s="5" t="str">
        <f t="shared" si="1"/>
        <v>OK</v>
      </c>
    </row>
    <row r="14" spans="1:37" x14ac:dyDescent="0.25">
      <c r="A14" s="5">
        <v>233</v>
      </c>
      <c r="B14" s="6" t="s">
        <v>33</v>
      </c>
      <c r="C14" s="7">
        <f>'233'!R103</f>
        <v>81.849492247299992</v>
      </c>
      <c r="D14" s="7">
        <f>'233'!F100</f>
        <v>9</v>
      </c>
      <c r="E14" s="7">
        <f>'233'!G100</f>
        <v>49.9765185913</v>
      </c>
      <c r="F14" s="7">
        <f>'233'!H100</f>
        <v>22.872973655999999</v>
      </c>
      <c r="G14" s="7">
        <f>'233'!I100</f>
        <v>0</v>
      </c>
      <c r="H14" s="7">
        <f>'233'!J100</f>
        <v>0</v>
      </c>
      <c r="I14" s="7">
        <f>'233'!K100</f>
        <v>80.849492247299992</v>
      </c>
      <c r="J14" s="7">
        <f>'233'!L100</f>
        <v>0</v>
      </c>
      <c r="K14" s="7">
        <f>'233'!M100</f>
        <v>9.8729736559999992</v>
      </c>
      <c r="L14" s="7">
        <f>'233'!N100</f>
        <v>69.976518591299993</v>
      </c>
      <c r="M14" s="7">
        <f>'233'!O100</f>
        <v>0</v>
      </c>
      <c r="N14" s="7">
        <f>'233'!P100</f>
        <v>0</v>
      </c>
      <c r="O14" s="7">
        <f>'233'!Q100</f>
        <v>81.849492247299992</v>
      </c>
      <c r="P14" s="7">
        <f>'233'!R100</f>
        <v>0</v>
      </c>
      <c r="Q14" s="7">
        <f>'233'!S100</f>
        <v>0</v>
      </c>
      <c r="R14" s="7">
        <f>'233'!T100</f>
        <v>81.849492247299992</v>
      </c>
      <c r="S14" s="7">
        <f>'233'!U100</f>
        <v>0</v>
      </c>
      <c r="T14" s="5" t="str">
        <f t="shared" si="1"/>
        <v>OK</v>
      </c>
    </row>
    <row r="15" spans="1:37" x14ac:dyDescent="0.25">
      <c r="A15" s="5">
        <v>234</v>
      </c>
      <c r="B15" s="6" t="s">
        <v>34</v>
      </c>
      <c r="C15" s="7">
        <f>'234'!R55</f>
        <v>37.422325510199997</v>
      </c>
      <c r="D15" s="7">
        <f>'234'!F52</f>
        <v>3</v>
      </c>
      <c r="E15" s="7">
        <f>'234'!G52</f>
        <v>33.422325510199997</v>
      </c>
      <c r="F15" s="7">
        <f>'234'!H52</f>
        <v>1</v>
      </c>
      <c r="G15" s="7">
        <f>'234'!I52</f>
        <v>0</v>
      </c>
      <c r="H15" s="7">
        <f>'234'!J52</f>
        <v>0</v>
      </c>
      <c r="I15" s="7">
        <f>'234'!K52</f>
        <v>0</v>
      </c>
      <c r="J15" s="7">
        <f>'234'!L52</f>
        <v>37.422325510199997</v>
      </c>
      <c r="K15" s="7">
        <f>'234'!M52</f>
        <v>0</v>
      </c>
      <c r="L15" s="7">
        <f>'234'!N52</f>
        <v>37.422325510199997</v>
      </c>
      <c r="M15" s="7">
        <f>'234'!O52</f>
        <v>0</v>
      </c>
      <c r="N15" s="7">
        <f>'234'!P52</f>
        <v>0</v>
      </c>
      <c r="O15" s="7">
        <f>'234'!Q52</f>
        <v>37.422325510199997</v>
      </c>
      <c r="P15" s="7">
        <f>'234'!R52</f>
        <v>0</v>
      </c>
      <c r="Q15" s="7">
        <f>'234'!S52</f>
        <v>0</v>
      </c>
      <c r="R15" s="7">
        <f>'234'!T52</f>
        <v>37.422325510199997</v>
      </c>
      <c r="S15" s="7">
        <f>'234'!U52</f>
        <v>0</v>
      </c>
      <c r="T15" s="5" t="str">
        <f t="shared" si="1"/>
        <v>OK</v>
      </c>
    </row>
    <row r="16" spans="1:37" x14ac:dyDescent="0.25">
      <c r="A16" s="5">
        <v>235</v>
      </c>
      <c r="B16" s="6" t="s">
        <v>35</v>
      </c>
      <c r="C16" s="7">
        <f>'235'!R54</f>
        <v>30.117603159838001</v>
      </c>
      <c r="D16" s="7">
        <f>'235'!F51</f>
        <v>3</v>
      </c>
      <c r="E16" s="7">
        <f>'235'!G51</f>
        <v>5.3221506387400002</v>
      </c>
      <c r="F16" s="7">
        <f>'235'!H51</f>
        <v>0.64415038338800001</v>
      </c>
      <c r="G16" s="7">
        <f>'235'!I51</f>
        <v>2</v>
      </c>
      <c r="H16" s="7">
        <f>'235'!J51</f>
        <v>0</v>
      </c>
      <c r="I16" s="7">
        <f>'235'!K51</f>
        <v>10.966301022128</v>
      </c>
      <c r="J16" s="7">
        <f>'235'!L51</f>
        <v>0</v>
      </c>
      <c r="K16" s="7">
        <f>'235'!M51</f>
        <v>0</v>
      </c>
      <c r="L16" s="7">
        <f>'235'!N51</f>
        <v>10.966301022128</v>
      </c>
      <c r="M16" s="7">
        <f>'235'!O51</f>
        <v>0</v>
      </c>
      <c r="N16" s="7">
        <f>'235'!P51</f>
        <v>10.966301022128</v>
      </c>
      <c r="O16" s="7">
        <f>'235'!Q51</f>
        <v>0</v>
      </c>
      <c r="P16" s="7">
        <f>'235'!R51</f>
        <v>0</v>
      </c>
      <c r="Q16" s="7">
        <f>'235'!S51</f>
        <v>10.966301022128</v>
      </c>
      <c r="R16" s="7">
        <f>'235'!T51</f>
        <v>0</v>
      </c>
      <c r="S16" s="7">
        <f>'235'!U51</f>
        <v>0</v>
      </c>
      <c r="T16" s="5" t="str">
        <f t="shared" si="1"/>
        <v>ERRO — dif. de -19,151 km</v>
      </c>
    </row>
    <row r="17" spans="1:20" x14ac:dyDescent="0.25">
      <c r="A17" s="5">
        <v>243</v>
      </c>
      <c r="B17" s="6" t="s">
        <v>36</v>
      </c>
      <c r="C17" s="7">
        <f>'243'!R57</f>
        <v>36.060559758229999</v>
      </c>
      <c r="D17" s="7">
        <f>'243'!F54</f>
        <v>25.025770520729999</v>
      </c>
      <c r="E17" s="7">
        <f>'243'!G54</f>
        <v>10.0347892375</v>
      </c>
      <c r="F17" s="7">
        <f>'243'!H54</f>
        <v>0</v>
      </c>
      <c r="G17" s="7">
        <f>'243'!I54</f>
        <v>1</v>
      </c>
      <c r="H17" s="7">
        <f>'243'!J54</f>
        <v>0</v>
      </c>
      <c r="I17" s="7">
        <f>'243'!K54</f>
        <v>36.060559758229999</v>
      </c>
      <c r="J17" s="7">
        <f>'243'!L54</f>
        <v>0</v>
      </c>
      <c r="K17" s="7">
        <f>'243'!M54</f>
        <v>13</v>
      </c>
      <c r="L17" s="7">
        <f>'243'!N54</f>
        <v>23.060559758229999</v>
      </c>
      <c r="M17" s="7">
        <f>'243'!O54</f>
        <v>0</v>
      </c>
      <c r="N17" s="7">
        <f>'243'!P54</f>
        <v>0</v>
      </c>
      <c r="O17" s="7">
        <f>'243'!Q54</f>
        <v>36.060559758229999</v>
      </c>
      <c r="P17" s="7">
        <f>'243'!R54</f>
        <v>0</v>
      </c>
      <c r="Q17" s="7">
        <f>'243'!S54</f>
        <v>1</v>
      </c>
      <c r="R17" s="7">
        <f>'243'!T54</f>
        <v>35.060559758229999</v>
      </c>
      <c r="S17" s="7">
        <f>'243'!U54</f>
        <v>0</v>
      </c>
      <c r="T17" s="5" t="str">
        <f t="shared" si="1"/>
        <v>OK</v>
      </c>
    </row>
    <row r="18" spans="1:20" x14ac:dyDescent="0.25">
      <c r="A18" s="5">
        <v>244</v>
      </c>
      <c r="B18" s="6" t="s">
        <v>37</v>
      </c>
      <c r="C18" s="7">
        <f>'244'!R63</f>
        <v>42.086626595669998</v>
      </c>
      <c r="D18" s="7">
        <f>'244'!F60</f>
        <v>2</v>
      </c>
      <c r="E18" s="7">
        <f>'244'!G60</f>
        <v>20</v>
      </c>
      <c r="F18" s="7">
        <f>'244'!H60</f>
        <v>20.043029103599999</v>
      </c>
      <c r="G18" s="7">
        <f>'244'!I60</f>
        <v>0</v>
      </c>
      <c r="H18" s="7">
        <f>'244'!J60</f>
        <v>0</v>
      </c>
      <c r="I18" s="7">
        <f>'244'!K60</f>
        <v>42.043029103599999</v>
      </c>
      <c r="J18" s="7">
        <f>'244'!L60</f>
        <v>0</v>
      </c>
      <c r="K18" s="7">
        <f>'244'!M60</f>
        <v>0</v>
      </c>
      <c r="L18" s="7">
        <f>'244'!N60</f>
        <v>42.043029103599999</v>
      </c>
      <c r="M18" s="7">
        <f>'244'!O60</f>
        <v>0</v>
      </c>
      <c r="N18" s="7">
        <f>'244'!P60</f>
        <v>0</v>
      </c>
      <c r="O18" s="7">
        <f>'244'!Q60</f>
        <v>42.043029103599999</v>
      </c>
      <c r="P18" s="7">
        <f>'244'!R60</f>
        <v>0</v>
      </c>
      <c r="Q18" s="7">
        <f>'244'!S60</f>
        <v>0</v>
      </c>
      <c r="R18" s="7">
        <f>'244'!T60</f>
        <v>42.043029103599999</v>
      </c>
      <c r="S18" s="7">
        <f>'244'!U60</f>
        <v>0</v>
      </c>
      <c r="T18" s="5" t="str">
        <f t="shared" si="1"/>
        <v>ERRO — dif. de -0,044 km</v>
      </c>
    </row>
    <row r="19" spans="1:20" x14ac:dyDescent="0.25">
      <c r="B19" s="8" t="s">
        <v>38</v>
      </c>
      <c r="C19" s="9">
        <f t="shared" ref="C19:S19" si="2">SUM(C6:C18)</f>
        <v>559.62301978268192</v>
      </c>
      <c r="D19" s="9">
        <f t="shared" si="2"/>
        <v>72.925619271034009</v>
      </c>
      <c r="E19" s="9">
        <f t="shared" si="2"/>
        <v>290.67049934714998</v>
      </c>
      <c r="F19" s="9">
        <f t="shared" si="2"/>
        <v>162.83200153471799</v>
      </c>
      <c r="G19" s="9">
        <f t="shared" si="2"/>
        <v>3</v>
      </c>
      <c r="H19" s="9">
        <f t="shared" si="2"/>
        <v>11</v>
      </c>
      <c r="I19" s="9">
        <f t="shared" si="2"/>
        <v>385.16008292140202</v>
      </c>
      <c r="J19" s="9">
        <f t="shared" si="2"/>
        <v>154.26803723149999</v>
      </c>
      <c r="K19" s="9">
        <f t="shared" si="2"/>
        <v>46.884433636904006</v>
      </c>
      <c r="L19" s="9">
        <f t="shared" si="2"/>
        <v>410.36862045866798</v>
      </c>
      <c r="M19" s="9">
        <f t="shared" si="2"/>
        <v>0</v>
      </c>
      <c r="N19" s="9">
        <f t="shared" si="2"/>
        <v>65.908277304628001</v>
      </c>
      <c r="O19" s="9">
        <f t="shared" si="2"/>
        <v>448.27955176076398</v>
      </c>
      <c r="P19" s="9">
        <f t="shared" si="2"/>
        <v>1.8557688138099999</v>
      </c>
      <c r="Q19" s="9">
        <f t="shared" si="2"/>
        <v>20.959464722008001</v>
      </c>
      <c r="R19" s="9">
        <f t="shared" si="2"/>
        <v>495.08413315719395</v>
      </c>
      <c r="S19" s="9">
        <f t="shared" si="2"/>
        <v>0</v>
      </c>
    </row>
    <row r="20" spans="1:20" x14ac:dyDescent="0.25">
      <c r="B20" s="8" t="s">
        <v>39</v>
      </c>
      <c r="D20" s="10">
        <f>SUM(D19:H19)/559.62</f>
        <v>0.96570551472946287</v>
      </c>
      <c r="I20" s="11" t="s">
        <v>40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8">
    <cfRule type="expression" dxfId="118" priority="1">
      <formula>LEFT(T6,4)="ERRO"</formula>
    </cfRule>
    <cfRule type="expression" dxfId="117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55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IF(F41=0,NA(),F41)</f>
        <v>13</v>
      </c>
      <c r="Z2" s="2">
        <f t="shared" si="0"/>
        <v>8.2399999999999984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26.24</v>
      </c>
      <c r="AE2" s="2" t="e">
        <f t="shared" si="0"/>
        <v>#N/A</v>
      </c>
      <c r="AF2" s="2" t="e">
        <f t="shared" si="0"/>
        <v>#N/A</v>
      </c>
      <c r="AG2" s="2">
        <f t="shared" si="0"/>
        <v>26.24</v>
      </c>
      <c r="AH2" s="2" t="e">
        <f t="shared" si="0"/>
        <v>#N/A</v>
      </c>
      <c r="AI2" s="2" t="e">
        <f t="shared" si="0"/>
        <v>#N/A</v>
      </c>
      <c r="AJ2" s="2">
        <f t="shared" si="0"/>
        <v>26.24</v>
      </c>
      <c r="AK2" s="2" t="e">
        <f t="shared" si="0"/>
        <v>#N/A</v>
      </c>
      <c r="AL2" s="2" t="e">
        <f t="shared" si="0"/>
        <v>#N/A</v>
      </c>
      <c r="AM2" s="2">
        <f t="shared" si="0"/>
        <v>26.24</v>
      </c>
      <c r="AN2" s="2" t="e">
        <f t="shared" si="0"/>
        <v>#N/A</v>
      </c>
    </row>
    <row r="3" spans="1:40" ht="15" customHeight="1" x14ac:dyDescent="0.25">
      <c r="A3" s="48" t="s">
        <v>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47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57</v>
      </c>
      <c r="B9" s="13" t="s">
        <v>58</v>
      </c>
      <c r="C9" s="14">
        <v>0</v>
      </c>
      <c r="D9" s="14">
        <v>1</v>
      </c>
      <c r="E9" s="14">
        <f t="shared" ref="E9:E35" si="1"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57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57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57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57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57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57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57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57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57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57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57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57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57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57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57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57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57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57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57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57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57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57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57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57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57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8" t="s">
        <v>57</v>
      </c>
      <c r="B35" s="19" t="s">
        <v>58</v>
      </c>
      <c r="C35" s="20">
        <v>26</v>
      </c>
      <c r="D35" s="20">
        <v>26.24</v>
      </c>
      <c r="E35" s="20">
        <f t="shared" si="1"/>
        <v>0.23999999999999844</v>
      </c>
      <c r="F35" s="21"/>
      <c r="G35" s="21" t="s">
        <v>59</v>
      </c>
      <c r="H35" s="21"/>
      <c r="I35" s="21"/>
      <c r="J35" s="21"/>
      <c r="K35" s="21" t="s">
        <v>59</v>
      </c>
      <c r="L35" s="21"/>
      <c r="M35" s="21"/>
      <c r="N35" s="21" t="s">
        <v>59</v>
      </c>
      <c r="O35" s="21"/>
      <c r="P35" s="21"/>
      <c r="Q35" s="21" t="s">
        <v>59</v>
      </c>
      <c r="R35" s="21"/>
      <c r="S35" s="21"/>
      <c r="T35" s="21" t="s">
        <v>59</v>
      </c>
      <c r="U35" s="21"/>
      <c r="V35" s="22"/>
      <c r="W35" s="23" t="str">
        <f t="shared" si="2"/>
        <v>OK</v>
      </c>
    </row>
    <row r="37" spans="1:23" x14ac:dyDescent="0.25">
      <c r="A37" s="43" t="s">
        <v>60</v>
      </c>
      <c r="B37" s="28"/>
      <c r="C37" s="28"/>
      <c r="D37" s="28"/>
      <c r="E37" s="28"/>
      <c r="G37" s="43" t="s">
        <v>60</v>
      </c>
      <c r="H37" s="28"/>
      <c r="I37" s="28"/>
      <c r="J37" s="28"/>
      <c r="K37" s="28"/>
    </row>
    <row r="38" spans="1:23" x14ac:dyDescent="0.25">
      <c r="A38" s="41" t="s">
        <v>61</v>
      </c>
      <c r="B38" s="28"/>
      <c r="C38" s="28"/>
      <c r="D38" s="28"/>
      <c r="E38" s="28"/>
      <c r="G38" s="41" t="s">
        <v>62</v>
      </c>
      <c r="H38" s="28"/>
      <c r="I38" s="28"/>
      <c r="J38" s="28"/>
      <c r="K38" s="28"/>
    </row>
    <row r="40" spans="1:23" x14ac:dyDescent="0.25">
      <c r="A40" s="49" t="s">
        <v>63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5" t="s">
        <v>64</v>
      </c>
      <c r="B41" s="28"/>
      <c r="C41" s="28"/>
      <c r="D41" s="28"/>
      <c r="E41" s="28"/>
      <c r="F41" s="9">
        <f t="shared" ref="F41:U41" si="3">SUMIF(F$9:F$35,"X",$E$9:$E$35)</f>
        <v>13</v>
      </c>
      <c r="G41" s="9">
        <f t="shared" si="3"/>
        <v>8.2399999999999984</v>
      </c>
      <c r="H41" s="9">
        <f t="shared" si="3"/>
        <v>5</v>
      </c>
      <c r="I41" s="9">
        <f t="shared" si="3"/>
        <v>0</v>
      </c>
      <c r="J41" s="9">
        <f t="shared" si="3"/>
        <v>0</v>
      </c>
      <c r="K41" s="9">
        <f t="shared" si="3"/>
        <v>26.24</v>
      </c>
      <c r="L41" s="9">
        <f t="shared" si="3"/>
        <v>0</v>
      </c>
      <c r="M41" s="9">
        <f t="shared" si="3"/>
        <v>0</v>
      </c>
      <c r="N41" s="9">
        <f t="shared" si="3"/>
        <v>26.24</v>
      </c>
      <c r="O41" s="9">
        <f t="shared" si="3"/>
        <v>0</v>
      </c>
      <c r="P41" s="9">
        <f t="shared" si="3"/>
        <v>0</v>
      </c>
      <c r="Q41" s="9">
        <f t="shared" si="3"/>
        <v>26.24</v>
      </c>
      <c r="R41" s="9">
        <f t="shared" si="3"/>
        <v>0</v>
      </c>
      <c r="S41" s="9">
        <f t="shared" si="3"/>
        <v>0</v>
      </c>
      <c r="T41" s="9">
        <f t="shared" si="3"/>
        <v>26.24</v>
      </c>
      <c r="U41" s="9">
        <f t="shared" si="3"/>
        <v>0</v>
      </c>
    </row>
    <row r="42" spans="1:23" x14ac:dyDescent="0.25">
      <c r="A42" s="35" t="s">
        <v>65</v>
      </c>
      <c r="B42" s="28"/>
      <c r="C42" s="28"/>
      <c r="D42" s="28"/>
      <c r="E42" s="28"/>
      <c r="F42" s="25">
        <f t="shared" ref="F42:U42" si="4">IF($R44=0,0,F41/$R44)</f>
        <v>0.49542682926829273</v>
      </c>
      <c r="G42" s="25">
        <f t="shared" si="4"/>
        <v>0.31402439024390238</v>
      </c>
      <c r="H42" s="25">
        <f t="shared" si="4"/>
        <v>0.19054878048780488</v>
      </c>
      <c r="I42" s="25">
        <f t="shared" si="4"/>
        <v>0</v>
      </c>
      <c r="J42" s="25">
        <f t="shared" si="4"/>
        <v>0</v>
      </c>
      <c r="K42" s="25">
        <f t="shared" si="4"/>
        <v>1</v>
      </c>
      <c r="L42" s="25">
        <f t="shared" si="4"/>
        <v>0</v>
      </c>
      <c r="M42" s="25">
        <f t="shared" si="4"/>
        <v>0</v>
      </c>
      <c r="N42" s="25">
        <f t="shared" si="4"/>
        <v>1</v>
      </c>
      <c r="O42" s="25">
        <f t="shared" si="4"/>
        <v>0</v>
      </c>
      <c r="P42" s="25">
        <f t="shared" si="4"/>
        <v>0</v>
      </c>
      <c r="Q42" s="25">
        <f t="shared" si="4"/>
        <v>1</v>
      </c>
      <c r="R42" s="25">
        <f t="shared" si="4"/>
        <v>0</v>
      </c>
      <c r="S42" s="25">
        <f t="shared" si="4"/>
        <v>0</v>
      </c>
      <c r="T42" s="25">
        <f t="shared" si="4"/>
        <v>1</v>
      </c>
      <c r="U42" s="25">
        <f t="shared" si="4"/>
        <v>0</v>
      </c>
    </row>
    <row r="43" spans="1:23" x14ac:dyDescent="0.25">
      <c r="A43" s="35" t="s">
        <v>66</v>
      </c>
      <c r="B43" s="28"/>
      <c r="C43" s="28"/>
      <c r="D43" s="28"/>
      <c r="E43" s="28"/>
      <c r="F43" s="45" t="str">
        <f>IF(SUM(F41:J41)=0,"— não preenchido",IF(ROUND(SUM(F41:J41)-$R44,3)=0,"OK — "&amp;ROUND(SUM(F41:J41),3)&amp;" km","ERRO — dif. de "&amp;ROUND(SUM(F41:J41)-$R44,3)&amp;" km"))</f>
        <v>OK — 26,24 km</v>
      </c>
      <c r="G43" s="32"/>
      <c r="H43" s="32"/>
      <c r="I43" s="32"/>
      <c r="J43" s="30"/>
      <c r="K43" s="45" t="str">
        <f>IF(SUM(K41:L41)=0,"— não preenchido",IF(ROUND(SUM(K41:L41)-$R44,3)=0,"OK — "&amp;ROUND(SUM(K41:L41),3)&amp;" km","ERRO — dif. de "&amp;ROUND(SUM(K41:L41)-$R44,3)&amp;" km"))</f>
        <v>OK — 26,24 km</v>
      </c>
      <c r="L43" s="30"/>
      <c r="M43" s="45" t="str">
        <f>IF(SUM(M41:O41)=0,"— não preenchido",IF(ROUND(SUM(M41:O41)-$R44,3)=0,"OK — "&amp;ROUND(SUM(M41:O41),3)&amp;" km","ERRO — dif. de "&amp;ROUND(SUM(M41:O41)-$R44,3)&amp;" km"))</f>
        <v>OK — 26,24 km</v>
      </c>
      <c r="N43" s="32"/>
      <c r="O43" s="30"/>
      <c r="P43" s="45" t="str">
        <f>IF(SUM(P41:R41)=0,"— não preenchido",IF(ROUND(SUM(P41:R41)-$R44,3)=0,"OK — "&amp;ROUND(SUM(P41:R41),3)&amp;" km","ERRO — dif. de "&amp;ROUND(SUM(P41:R41)-$R44,3)&amp;" km"))</f>
        <v>OK — 26,24 km</v>
      </c>
      <c r="Q43" s="32"/>
      <c r="R43" s="30"/>
      <c r="S43" s="45" t="str">
        <f>IF(SUM(S41:U41)=0,"— não preenchido",IF(ROUND(SUM(S41:U41)-$R44,3)=0,"OK — "&amp;ROUND(SUM(S41:U41),3)&amp;" km","ERRO — dif. de "&amp;ROUND(SUM(S41:U41)-$R44,3)&amp;" km"))</f>
        <v>OK — 26,24 km</v>
      </c>
      <c r="T43" s="32"/>
      <c r="U43" s="30"/>
    </row>
    <row r="44" spans="1:23" x14ac:dyDescent="0.25">
      <c r="A44" s="35" t="s">
        <v>67</v>
      </c>
      <c r="B44" s="28"/>
      <c r="C44" s="28"/>
      <c r="D44" s="28"/>
      <c r="E44" s="28"/>
      <c r="R44" s="26">
        <f>SUM(E9:E35)</f>
        <v>26.24</v>
      </c>
      <c r="V44" s="8" t="str">
        <f>COUNTIF(W9:W35,"OK")&amp;" de "&amp;COUNT($E$9:$E$35)&amp;" linhas conferidas"</f>
        <v>27 de 27 linhas conferidas</v>
      </c>
    </row>
    <row r="46" spans="1:23" x14ac:dyDescent="0.25">
      <c r="A46" s="44" t="s">
        <v>68</v>
      </c>
      <c r="B46" s="28"/>
      <c r="C46" s="28"/>
      <c r="D46" s="28"/>
      <c r="E46" s="28"/>
    </row>
    <row r="47" spans="1:23" x14ac:dyDescent="0.25">
      <c r="A47" s="35" t="s">
        <v>69</v>
      </c>
      <c r="B47" s="28"/>
      <c r="C47" s="28"/>
      <c r="D47" s="28"/>
      <c r="E47" s="34" t="s">
        <v>70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35" t="s">
        <v>71</v>
      </c>
      <c r="B48" s="28"/>
      <c r="C48" s="28"/>
      <c r="D48" s="28"/>
      <c r="E48" s="34" t="s">
        <v>72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5" t="s">
        <v>73</v>
      </c>
      <c r="B49" s="28"/>
      <c r="C49" s="28"/>
      <c r="D49" s="28"/>
      <c r="E49" s="34" t="s">
        <v>74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5" t="s">
        <v>75</v>
      </c>
      <c r="B50" s="28"/>
      <c r="C50" s="28"/>
      <c r="D50" s="28"/>
      <c r="E50" s="34" t="s">
        <v>76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5" t="s">
        <v>77</v>
      </c>
      <c r="B51" s="28"/>
      <c r="C51" s="28"/>
      <c r="D51" s="28"/>
      <c r="E51" s="34" t="s">
        <v>78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5" t="s">
        <v>50</v>
      </c>
      <c r="B52" s="28"/>
      <c r="C52" s="28"/>
      <c r="D52" s="28"/>
      <c r="E52" s="34" t="s">
        <v>79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5" t="s">
        <v>80</v>
      </c>
      <c r="B53" s="28"/>
      <c r="C53" s="28"/>
      <c r="D53" s="28"/>
      <c r="E53" s="34" t="s">
        <v>81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5" t="s">
        <v>82</v>
      </c>
      <c r="B54" s="28"/>
      <c r="C54" s="28"/>
      <c r="D54" s="28"/>
      <c r="E54" s="34" t="s">
        <v>83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5" t="s">
        <v>11</v>
      </c>
      <c r="B55" s="28"/>
      <c r="C55" s="28"/>
      <c r="D55" s="28"/>
      <c r="E55" s="34" t="s">
        <v>84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sheet="1" formatCells="0"/>
  <mergeCells count="57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W6:W7"/>
    <mergeCell ref="A37:E37"/>
    <mergeCell ref="E6:E7"/>
    <mergeCell ref="G37:K37"/>
    <mergeCell ref="A46:E46"/>
    <mergeCell ref="P43:R43"/>
    <mergeCell ref="B6:B7"/>
    <mergeCell ref="N2:O2"/>
    <mergeCell ref="A41:E41"/>
    <mergeCell ref="A48:D48"/>
    <mergeCell ref="P2:Q2"/>
    <mergeCell ref="E49:V49"/>
    <mergeCell ref="A49:D49"/>
    <mergeCell ref="E51:V51"/>
    <mergeCell ref="A53:D53"/>
    <mergeCell ref="G2:H2"/>
    <mergeCell ref="I2:J2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  <mergeCell ref="G38:K38"/>
  </mergeCells>
  <conditionalFormatting sqref="F9:J35">
    <cfRule type="expression" dxfId="116" priority="1">
      <formula>AND(F9&lt;&gt;"",COUNTIF($F9:$J9,"X")&gt;1)</formula>
    </cfRule>
  </conditionalFormatting>
  <conditionalFormatting sqref="F43:U43">
    <cfRule type="expression" dxfId="115" priority="8">
      <formula>LEFT(F43,4)="ERRO"</formula>
    </cfRule>
    <cfRule type="expression" dxfId="114" priority="9">
      <formula>LEFT(F43,2)="OK"</formula>
    </cfRule>
  </conditionalFormatting>
  <conditionalFormatting sqref="K9:L35">
    <cfRule type="expression" dxfId="113" priority="2">
      <formula>AND(K9&lt;&gt;"",COUNTIF($K9:$L9,"X")&gt;1)</formula>
    </cfRule>
  </conditionalFormatting>
  <conditionalFormatting sqref="M9:O35">
    <cfRule type="expression" dxfId="112" priority="3">
      <formula>AND(M9&lt;&gt;"",COUNTIF($M9:$O9,"X")&gt;1)</formula>
    </cfRule>
  </conditionalFormatting>
  <conditionalFormatting sqref="P9:R35">
    <cfRule type="expression" dxfId="111" priority="4">
      <formula>AND(P9&lt;&gt;"",COUNTIF($P9:$R9,"X")&gt;1)</formula>
    </cfRule>
  </conditionalFormatting>
  <conditionalFormatting sqref="S9:U35">
    <cfRule type="expression" dxfId="110" priority="5">
      <formula>AND(S9&lt;&gt;"",COUNTIF($S9:$U9,"X")&gt;1)</formula>
    </cfRule>
  </conditionalFormatting>
  <conditionalFormatting sqref="W9:W35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224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10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 t="e">
        <f t="shared" ref="Y2:AN2" si="0">IF(F91=0,NA(),F91)</f>
        <v>#N/A</v>
      </c>
      <c r="Z2" s="2">
        <f t="shared" si="0"/>
        <v>19</v>
      </c>
      <c r="AA2" s="2">
        <f t="shared" si="0"/>
        <v>57.278130035900006</v>
      </c>
      <c r="AB2" s="2" t="e">
        <f t="shared" si="0"/>
        <v>#N/A</v>
      </c>
      <c r="AC2" s="2" t="e">
        <f t="shared" si="0"/>
        <v>#N/A</v>
      </c>
      <c r="AD2" s="2">
        <f t="shared" si="0"/>
        <v>76.278130035900006</v>
      </c>
      <c r="AE2" s="2" t="e">
        <f t="shared" si="0"/>
        <v>#N/A</v>
      </c>
      <c r="AF2" s="2">
        <f t="shared" si="0"/>
        <v>6</v>
      </c>
      <c r="AG2" s="2">
        <f t="shared" si="0"/>
        <v>46</v>
      </c>
      <c r="AH2" s="2" t="e">
        <f t="shared" si="0"/>
        <v>#N/A</v>
      </c>
      <c r="AI2" s="2" t="e">
        <f t="shared" si="0"/>
        <v>#N/A</v>
      </c>
      <c r="AJ2" s="2">
        <f t="shared" si="0"/>
        <v>76.278130035900006</v>
      </c>
      <c r="AK2" s="2" t="e">
        <f t="shared" si="0"/>
        <v>#N/A</v>
      </c>
      <c r="AL2" s="2" t="e">
        <f t="shared" si="0"/>
        <v>#N/A</v>
      </c>
      <c r="AM2" s="2">
        <f t="shared" si="0"/>
        <v>76.278130035900006</v>
      </c>
      <c r="AN2" s="2" t="e">
        <f t="shared" si="0"/>
        <v>#N/A</v>
      </c>
    </row>
    <row r="3" spans="1:40" ht="15" customHeight="1" x14ac:dyDescent="0.25">
      <c r="A3" s="48" t="s">
        <v>85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86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87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88</v>
      </c>
      <c r="B9" s="13" t="s">
        <v>58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88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 t="s">
        <v>59</v>
      </c>
      <c r="L10" s="15"/>
      <c r="M10" s="15" t="s">
        <v>59</v>
      </c>
      <c r="N10" s="15"/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88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59</v>
      </c>
      <c r="I11" s="15"/>
      <c r="J11" s="15"/>
      <c r="K11" s="15" t="s">
        <v>59</v>
      </c>
      <c r="L11" s="15"/>
      <c r="M11" s="15"/>
      <c r="N11" s="15"/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FALTA/DUPLA: ELEM. DE DRENAGEM</v>
      </c>
    </row>
    <row r="12" spans="1:40" ht="20.100000000000001" customHeight="1" x14ac:dyDescent="0.25">
      <c r="A12" s="12" t="s">
        <v>88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/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FALTA/DUPLA: ELEM. DE DRENAGEM</v>
      </c>
    </row>
    <row r="13" spans="1:40" ht="20.100000000000001" customHeight="1" x14ac:dyDescent="0.25">
      <c r="A13" s="12" t="s">
        <v>88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59</v>
      </c>
      <c r="I13" s="15"/>
      <c r="J13" s="15"/>
      <c r="K13" s="15" t="s">
        <v>59</v>
      </c>
      <c r="L13" s="15"/>
      <c r="M13" s="15" t="s">
        <v>59</v>
      </c>
      <c r="N13" s="15"/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88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59</v>
      </c>
      <c r="I14" s="15"/>
      <c r="J14" s="15"/>
      <c r="K14" s="15" t="s">
        <v>59</v>
      </c>
      <c r="L14" s="15"/>
      <c r="M14" s="15" t="s">
        <v>59</v>
      </c>
      <c r="N14" s="15"/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88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59</v>
      </c>
      <c r="I15" s="15"/>
      <c r="J15" s="15"/>
      <c r="K15" s="15" t="s">
        <v>59</v>
      </c>
      <c r="L15" s="15"/>
      <c r="M15" s="15" t="s">
        <v>59</v>
      </c>
      <c r="N15" s="15"/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88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59</v>
      </c>
      <c r="I16" s="15"/>
      <c r="J16" s="15"/>
      <c r="K16" s="15" t="s">
        <v>59</v>
      </c>
      <c r="L16" s="15"/>
      <c r="M16" s="15" t="s">
        <v>59</v>
      </c>
      <c r="N16" s="15"/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88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88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88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59</v>
      </c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88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59</v>
      </c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88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59</v>
      </c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88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59</v>
      </c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88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88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88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88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88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59</v>
      </c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88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88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 t="s">
        <v>59</v>
      </c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88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 t="s">
        <v>59</v>
      </c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88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59</v>
      </c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88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/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FALTA/DUPLA: ELEM. DE DRENAGEM</v>
      </c>
    </row>
    <row r="33" spans="1:23" ht="20.100000000000001" customHeight="1" x14ac:dyDescent="0.25">
      <c r="A33" s="12" t="s">
        <v>88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/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FALTA/DUPLA: ELEM. DE DRENAGEM</v>
      </c>
    </row>
    <row r="34" spans="1:23" ht="20.100000000000001" customHeight="1" x14ac:dyDescent="0.25">
      <c r="A34" s="12" t="s">
        <v>88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/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FALTA/DUPLA: ELEM. DE DRENAGEM</v>
      </c>
    </row>
    <row r="35" spans="1:23" ht="20.100000000000001" customHeight="1" x14ac:dyDescent="0.25">
      <c r="A35" s="12" t="s">
        <v>88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/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FALTA/DUPLA: ELEM. DE DRENAGEM</v>
      </c>
    </row>
    <row r="36" spans="1:23" ht="20.100000000000001" customHeight="1" x14ac:dyDescent="0.25">
      <c r="A36" s="12" t="s">
        <v>88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/>
      <c r="G36" s="15" t="s">
        <v>59</v>
      </c>
      <c r="H36" s="15"/>
      <c r="I36" s="15"/>
      <c r="J36" s="15"/>
      <c r="K36" s="15" t="s">
        <v>59</v>
      </c>
      <c r="L36" s="15"/>
      <c r="M36" s="15"/>
      <c r="N36" s="15"/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FALTA/DUPLA: ELEM. DE DRENAGEM</v>
      </c>
    </row>
    <row r="37" spans="1:23" ht="20.100000000000001" customHeight="1" x14ac:dyDescent="0.25">
      <c r="A37" s="12" t="s">
        <v>88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/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FALTA/DUPLA: ELEM. DE DRENAGEM</v>
      </c>
    </row>
    <row r="38" spans="1:23" ht="20.100000000000001" customHeight="1" x14ac:dyDescent="0.25">
      <c r="A38" s="12" t="s">
        <v>88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/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FALTA/DUPLA: ELEM. DE DRENAGEM</v>
      </c>
    </row>
    <row r="39" spans="1:23" ht="20.100000000000001" customHeight="1" x14ac:dyDescent="0.25">
      <c r="A39" s="12" t="s">
        <v>88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/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FALTA/DUPLA: ELEM. DE DRENAGEM</v>
      </c>
    </row>
    <row r="40" spans="1:23" ht="20.100000000000001" customHeight="1" x14ac:dyDescent="0.25">
      <c r="A40" s="12" t="s">
        <v>88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/>
      <c r="H40" s="15" t="s">
        <v>59</v>
      </c>
      <c r="I40" s="15"/>
      <c r="J40" s="15"/>
      <c r="K40" s="15" t="s">
        <v>59</v>
      </c>
      <c r="L40" s="15"/>
      <c r="M40" s="15"/>
      <c r="N40" s="15"/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FALTA/DUPLA: ELEM. DE DRENAGEM</v>
      </c>
    </row>
    <row r="41" spans="1:23" ht="20.100000000000001" customHeight="1" x14ac:dyDescent="0.25">
      <c r="A41" s="12" t="s">
        <v>88</v>
      </c>
      <c r="B41" s="13" t="s">
        <v>58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59</v>
      </c>
      <c r="H41" s="15"/>
      <c r="I41" s="15"/>
      <c r="J41" s="15"/>
      <c r="K41" s="15" t="s">
        <v>59</v>
      </c>
      <c r="L41" s="15"/>
      <c r="M41" s="15"/>
      <c r="N41" s="15"/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ref="W41:W72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FALTA/DUPLA: ELEM. DE DRENAGEM</v>
      </c>
    </row>
    <row r="42" spans="1:23" ht="20.100000000000001" customHeight="1" x14ac:dyDescent="0.25">
      <c r="A42" s="12" t="s">
        <v>88</v>
      </c>
      <c r="B42" s="13" t="s">
        <v>58</v>
      </c>
      <c r="C42" s="14">
        <v>33</v>
      </c>
      <c r="D42" s="14">
        <v>34</v>
      </c>
      <c r="E42" s="14">
        <f t="shared" si="3"/>
        <v>1</v>
      </c>
      <c r="F42" s="15"/>
      <c r="G42" s="15" t="s">
        <v>59</v>
      </c>
      <c r="H42" s="15"/>
      <c r="I42" s="15"/>
      <c r="J42" s="15"/>
      <c r="K42" s="15" t="s">
        <v>59</v>
      </c>
      <c r="L42" s="15"/>
      <c r="M42" s="15"/>
      <c r="N42" s="15"/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FALTA/DUPLA: ELEM. DE DRENAGEM</v>
      </c>
    </row>
    <row r="43" spans="1:23" ht="20.100000000000001" customHeight="1" x14ac:dyDescent="0.25">
      <c r="A43" s="12" t="s">
        <v>88</v>
      </c>
      <c r="B43" s="13" t="s">
        <v>58</v>
      </c>
      <c r="C43" s="14">
        <v>34</v>
      </c>
      <c r="D43" s="14">
        <v>35</v>
      </c>
      <c r="E43" s="14">
        <f t="shared" si="3"/>
        <v>1</v>
      </c>
      <c r="F43" s="15"/>
      <c r="G43" s="15"/>
      <c r="H43" s="15" t="s">
        <v>59</v>
      </c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88</v>
      </c>
      <c r="B44" s="13" t="s">
        <v>58</v>
      </c>
      <c r="C44" s="14">
        <v>35</v>
      </c>
      <c r="D44" s="14">
        <v>36</v>
      </c>
      <c r="E44" s="14">
        <f t="shared" si="3"/>
        <v>1</v>
      </c>
      <c r="F44" s="15"/>
      <c r="G44" s="15"/>
      <c r="H44" s="15" t="s">
        <v>59</v>
      </c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88</v>
      </c>
      <c r="B45" s="13" t="s">
        <v>58</v>
      </c>
      <c r="C45" s="14">
        <v>36</v>
      </c>
      <c r="D45" s="14">
        <v>37</v>
      </c>
      <c r="E45" s="14">
        <f t="shared" si="3"/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88</v>
      </c>
      <c r="B46" s="13" t="s">
        <v>58</v>
      </c>
      <c r="C46" s="14">
        <v>37</v>
      </c>
      <c r="D46" s="14">
        <v>38</v>
      </c>
      <c r="E46" s="14">
        <f t="shared" si="3"/>
        <v>1</v>
      </c>
      <c r="F46" s="15"/>
      <c r="G46" s="15"/>
      <c r="H46" s="15" t="s">
        <v>59</v>
      </c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88</v>
      </c>
      <c r="B47" s="13" t="s">
        <v>58</v>
      </c>
      <c r="C47" s="14">
        <v>38</v>
      </c>
      <c r="D47" s="14">
        <v>39</v>
      </c>
      <c r="E47" s="14">
        <f t="shared" si="3"/>
        <v>1</v>
      </c>
      <c r="F47" s="15"/>
      <c r="G47" s="15"/>
      <c r="H47" s="15" t="s">
        <v>59</v>
      </c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88</v>
      </c>
      <c r="B48" s="13" t="s">
        <v>58</v>
      </c>
      <c r="C48" s="14">
        <v>39</v>
      </c>
      <c r="D48" s="14">
        <v>40</v>
      </c>
      <c r="E48" s="14">
        <f t="shared" si="3"/>
        <v>1</v>
      </c>
      <c r="F48" s="15"/>
      <c r="G48" s="15"/>
      <c r="H48" s="15" t="s">
        <v>59</v>
      </c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88</v>
      </c>
      <c r="B49" s="13" t="s">
        <v>58</v>
      </c>
      <c r="C49" s="14">
        <v>40</v>
      </c>
      <c r="D49" s="14">
        <v>41</v>
      </c>
      <c r="E49" s="14">
        <f t="shared" si="3"/>
        <v>1</v>
      </c>
      <c r="F49" s="15"/>
      <c r="G49" s="15"/>
      <c r="H49" s="15" t="s">
        <v>59</v>
      </c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88</v>
      </c>
      <c r="B50" s="13" t="s">
        <v>58</v>
      </c>
      <c r="C50" s="14">
        <v>41</v>
      </c>
      <c r="D50" s="14">
        <v>42</v>
      </c>
      <c r="E50" s="14">
        <f t="shared" si="3"/>
        <v>1</v>
      </c>
      <c r="F50" s="15"/>
      <c r="G50" s="15"/>
      <c r="H50" s="15" t="s">
        <v>59</v>
      </c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88</v>
      </c>
      <c r="B51" s="13" t="s">
        <v>58</v>
      </c>
      <c r="C51" s="14">
        <v>42</v>
      </c>
      <c r="D51" s="14">
        <v>43</v>
      </c>
      <c r="E51" s="14">
        <f t="shared" si="3"/>
        <v>1</v>
      </c>
      <c r="F51" s="15"/>
      <c r="G51" s="15"/>
      <c r="H51" s="15" t="s">
        <v>59</v>
      </c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88</v>
      </c>
      <c r="B52" s="13" t="s">
        <v>58</v>
      </c>
      <c r="C52" s="14">
        <v>43</v>
      </c>
      <c r="D52" s="14">
        <v>44</v>
      </c>
      <c r="E52" s="14">
        <f t="shared" si="3"/>
        <v>1</v>
      </c>
      <c r="F52" s="15"/>
      <c r="G52" s="15"/>
      <c r="H52" s="15" t="s">
        <v>59</v>
      </c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88</v>
      </c>
      <c r="B53" s="13" t="s">
        <v>58</v>
      </c>
      <c r="C53" s="14">
        <v>44</v>
      </c>
      <c r="D53" s="14">
        <v>45</v>
      </c>
      <c r="E53" s="14">
        <f t="shared" si="3"/>
        <v>1</v>
      </c>
      <c r="F53" s="15"/>
      <c r="G53" s="15"/>
      <c r="H53" s="15" t="s">
        <v>59</v>
      </c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88</v>
      </c>
      <c r="B54" s="13" t="s">
        <v>58</v>
      </c>
      <c r="C54" s="14">
        <v>45</v>
      </c>
      <c r="D54" s="14">
        <v>46</v>
      </c>
      <c r="E54" s="14">
        <f t="shared" si="3"/>
        <v>1</v>
      </c>
      <c r="F54" s="15"/>
      <c r="G54" s="15"/>
      <c r="H54" s="15" t="s">
        <v>59</v>
      </c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88</v>
      </c>
      <c r="B55" s="13" t="s">
        <v>58</v>
      </c>
      <c r="C55" s="14">
        <v>46</v>
      </c>
      <c r="D55" s="14">
        <v>47</v>
      </c>
      <c r="E55" s="14">
        <f t="shared" si="3"/>
        <v>1</v>
      </c>
      <c r="F55" s="15"/>
      <c r="G55" s="15"/>
      <c r="H55" s="15" t="s">
        <v>59</v>
      </c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88</v>
      </c>
      <c r="B56" s="13" t="s">
        <v>58</v>
      </c>
      <c r="C56" s="14">
        <v>47</v>
      </c>
      <c r="D56" s="14">
        <v>48</v>
      </c>
      <c r="E56" s="14">
        <f t="shared" si="3"/>
        <v>1</v>
      </c>
      <c r="F56" s="15"/>
      <c r="G56" s="15"/>
      <c r="H56" s="15" t="s">
        <v>59</v>
      </c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88</v>
      </c>
      <c r="B57" s="13" t="s">
        <v>58</v>
      </c>
      <c r="C57" s="14">
        <v>48</v>
      </c>
      <c r="D57" s="14">
        <v>49</v>
      </c>
      <c r="E57" s="14">
        <f t="shared" si="3"/>
        <v>1</v>
      </c>
      <c r="F57" s="15"/>
      <c r="G57" s="15"/>
      <c r="H57" s="15" t="s">
        <v>59</v>
      </c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88</v>
      </c>
      <c r="B58" s="13" t="s">
        <v>58</v>
      </c>
      <c r="C58" s="14">
        <v>49</v>
      </c>
      <c r="D58" s="14">
        <v>50</v>
      </c>
      <c r="E58" s="14">
        <f t="shared" si="3"/>
        <v>1</v>
      </c>
      <c r="F58" s="15"/>
      <c r="G58" s="15"/>
      <c r="H58" s="15" t="s">
        <v>59</v>
      </c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88</v>
      </c>
      <c r="B59" s="13" t="s">
        <v>58</v>
      </c>
      <c r="C59" s="14">
        <v>50</v>
      </c>
      <c r="D59" s="14">
        <v>51</v>
      </c>
      <c r="E59" s="14">
        <f t="shared" si="3"/>
        <v>1</v>
      </c>
      <c r="F59" s="15"/>
      <c r="G59" s="15"/>
      <c r="H59" s="15" t="s">
        <v>59</v>
      </c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88</v>
      </c>
      <c r="B60" s="13" t="s">
        <v>58</v>
      </c>
      <c r="C60" s="14">
        <v>51</v>
      </c>
      <c r="D60" s="14">
        <v>52</v>
      </c>
      <c r="E60" s="14">
        <f t="shared" si="3"/>
        <v>1</v>
      </c>
      <c r="F60" s="15"/>
      <c r="G60" s="15"/>
      <c r="H60" s="15" t="s">
        <v>59</v>
      </c>
      <c r="I60" s="15"/>
      <c r="J60" s="15"/>
      <c r="K60" s="15" t="s">
        <v>59</v>
      </c>
      <c r="L60" s="15"/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88</v>
      </c>
      <c r="B61" s="13" t="s">
        <v>58</v>
      </c>
      <c r="C61" s="14">
        <v>52</v>
      </c>
      <c r="D61" s="14">
        <v>53</v>
      </c>
      <c r="E61" s="14">
        <f t="shared" si="3"/>
        <v>1</v>
      </c>
      <c r="F61" s="15"/>
      <c r="G61" s="15" t="s">
        <v>59</v>
      </c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88</v>
      </c>
      <c r="B62" s="13" t="s">
        <v>58</v>
      </c>
      <c r="C62" s="14">
        <v>53</v>
      </c>
      <c r="D62" s="14">
        <v>54</v>
      </c>
      <c r="E62" s="14">
        <f t="shared" si="3"/>
        <v>1</v>
      </c>
      <c r="F62" s="15"/>
      <c r="G62" s="15"/>
      <c r="H62" s="15" t="s">
        <v>59</v>
      </c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88</v>
      </c>
      <c r="B63" s="13" t="s">
        <v>58</v>
      </c>
      <c r="C63" s="14">
        <v>54</v>
      </c>
      <c r="D63" s="14">
        <v>55</v>
      </c>
      <c r="E63" s="14">
        <f t="shared" si="3"/>
        <v>1</v>
      </c>
      <c r="F63" s="15"/>
      <c r="G63" s="15"/>
      <c r="H63" s="15" t="s">
        <v>59</v>
      </c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88</v>
      </c>
      <c r="B64" s="13" t="s">
        <v>58</v>
      </c>
      <c r="C64" s="14">
        <v>55</v>
      </c>
      <c r="D64" s="14">
        <v>56</v>
      </c>
      <c r="E64" s="14">
        <f t="shared" si="3"/>
        <v>1</v>
      </c>
      <c r="F64" s="15"/>
      <c r="G64" s="15"/>
      <c r="H64" s="15" t="s">
        <v>59</v>
      </c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88</v>
      </c>
      <c r="B65" s="13" t="s">
        <v>58</v>
      </c>
      <c r="C65" s="14">
        <v>56</v>
      </c>
      <c r="D65" s="14">
        <v>57</v>
      </c>
      <c r="E65" s="14">
        <f t="shared" si="3"/>
        <v>1</v>
      </c>
      <c r="F65" s="15"/>
      <c r="G65" s="15"/>
      <c r="H65" s="15" t="s">
        <v>59</v>
      </c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88</v>
      </c>
      <c r="B66" s="13" t="s">
        <v>58</v>
      </c>
      <c r="C66" s="14">
        <v>57</v>
      </c>
      <c r="D66" s="14">
        <v>58</v>
      </c>
      <c r="E66" s="14">
        <f t="shared" si="3"/>
        <v>1</v>
      </c>
      <c r="F66" s="15"/>
      <c r="G66" s="15"/>
      <c r="H66" s="15" t="s">
        <v>59</v>
      </c>
      <c r="I66" s="15"/>
      <c r="J66" s="15"/>
      <c r="K66" s="15" t="s">
        <v>59</v>
      </c>
      <c r="L66" s="15"/>
      <c r="M66" s="15"/>
      <c r="N66" s="15" t="s">
        <v>59</v>
      </c>
      <c r="O66" s="15"/>
      <c r="P66" s="15"/>
      <c r="Q66" s="15" t="s">
        <v>59</v>
      </c>
      <c r="R66" s="15"/>
      <c r="S66" s="15"/>
      <c r="T66" s="15" t="s">
        <v>59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88</v>
      </c>
      <c r="B67" s="13" t="s">
        <v>58</v>
      </c>
      <c r="C67" s="14">
        <v>58</v>
      </c>
      <c r="D67" s="14">
        <v>59</v>
      </c>
      <c r="E67" s="14">
        <f t="shared" si="3"/>
        <v>1</v>
      </c>
      <c r="F67" s="15"/>
      <c r="G67" s="15"/>
      <c r="H67" s="15" t="s">
        <v>59</v>
      </c>
      <c r="I67" s="15"/>
      <c r="J67" s="15"/>
      <c r="K67" s="15" t="s">
        <v>59</v>
      </c>
      <c r="L67" s="15"/>
      <c r="M67" s="15"/>
      <c r="N67" s="15" t="s">
        <v>59</v>
      </c>
      <c r="O67" s="15"/>
      <c r="P67" s="15"/>
      <c r="Q67" s="15" t="s">
        <v>59</v>
      </c>
      <c r="R67" s="15"/>
      <c r="S67" s="15"/>
      <c r="T67" s="15" t="s">
        <v>59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88</v>
      </c>
      <c r="B68" s="13" t="s">
        <v>58</v>
      </c>
      <c r="C68" s="14">
        <v>59</v>
      </c>
      <c r="D68" s="14">
        <v>60</v>
      </c>
      <c r="E68" s="14">
        <f t="shared" si="3"/>
        <v>1</v>
      </c>
      <c r="F68" s="15"/>
      <c r="G68" s="15"/>
      <c r="H68" s="15" t="s">
        <v>59</v>
      </c>
      <c r="I68" s="15"/>
      <c r="J68" s="15"/>
      <c r="K68" s="15" t="s">
        <v>59</v>
      </c>
      <c r="L68" s="15"/>
      <c r="M68" s="15"/>
      <c r="N68" s="15" t="s">
        <v>59</v>
      </c>
      <c r="O68" s="15"/>
      <c r="P68" s="15"/>
      <c r="Q68" s="15" t="s">
        <v>59</v>
      </c>
      <c r="R68" s="15"/>
      <c r="S68" s="15"/>
      <c r="T68" s="15" t="s">
        <v>59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88</v>
      </c>
      <c r="B69" s="13" t="s">
        <v>58</v>
      </c>
      <c r="C69" s="14">
        <v>60</v>
      </c>
      <c r="D69" s="14">
        <v>61</v>
      </c>
      <c r="E69" s="14">
        <f t="shared" si="3"/>
        <v>1</v>
      </c>
      <c r="F69" s="15"/>
      <c r="G69" s="15"/>
      <c r="H69" s="15" t="s">
        <v>59</v>
      </c>
      <c r="I69" s="15"/>
      <c r="J69" s="15"/>
      <c r="K69" s="15" t="s">
        <v>59</v>
      </c>
      <c r="L69" s="15"/>
      <c r="M69" s="15"/>
      <c r="N69" s="15" t="s">
        <v>59</v>
      </c>
      <c r="O69" s="15"/>
      <c r="P69" s="15"/>
      <c r="Q69" s="15" t="s">
        <v>59</v>
      </c>
      <c r="R69" s="15"/>
      <c r="S69" s="15"/>
      <c r="T69" s="15" t="s">
        <v>59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88</v>
      </c>
      <c r="B70" s="13" t="s">
        <v>58</v>
      </c>
      <c r="C70" s="14">
        <v>61</v>
      </c>
      <c r="D70" s="14">
        <v>62</v>
      </c>
      <c r="E70" s="14">
        <f t="shared" si="3"/>
        <v>1</v>
      </c>
      <c r="F70" s="15"/>
      <c r="G70" s="15"/>
      <c r="H70" s="15" t="s">
        <v>59</v>
      </c>
      <c r="I70" s="15"/>
      <c r="J70" s="15"/>
      <c r="K70" s="15" t="s">
        <v>59</v>
      </c>
      <c r="L70" s="15"/>
      <c r="M70" s="15"/>
      <c r="N70" s="15" t="s">
        <v>59</v>
      </c>
      <c r="O70" s="15"/>
      <c r="P70" s="15"/>
      <c r="Q70" s="15" t="s">
        <v>59</v>
      </c>
      <c r="R70" s="15"/>
      <c r="S70" s="15"/>
      <c r="T70" s="15" t="s">
        <v>59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88</v>
      </c>
      <c r="B71" s="13" t="s">
        <v>58</v>
      </c>
      <c r="C71" s="14">
        <v>62</v>
      </c>
      <c r="D71" s="14">
        <v>63</v>
      </c>
      <c r="E71" s="14">
        <f t="shared" si="3"/>
        <v>1</v>
      </c>
      <c r="F71" s="15"/>
      <c r="G71" s="15"/>
      <c r="H71" s="15" t="s">
        <v>59</v>
      </c>
      <c r="I71" s="15"/>
      <c r="J71" s="15"/>
      <c r="K71" s="15" t="s">
        <v>59</v>
      </c>
      <c r="L71" s="15"/>
      <c r="M71" s="15"/>
      <c r="N71" s="15" t="s">
        <v>59</v>
      </c>
      <c r="O71" s="15"/>
      <c r="P71" s="15"/>
      <c r="Q71" s="15" t="s">
        <v>59</v>
      </c>
      <c r="R71" s="15"/>
      <c r="S71" s="15"/>
      <c r="T71" s="15" t="s">
        <v>59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88</v>
      </c>
      <c r="B72" s="13" t="s">
        <v>58</v>
      </c>
      <c r="C72" s="14">
        <v>63</v>
      </c>
      <c r="D72" s="14">
        <v>64</v>
      </c>
      <c r="E72" s="14">
        <f t="shared" si="3"/>
        <v>1</v>
      </c>
      <c r="F72" s="15"/>
      <c r="G72" s="15"/>
      <c r="H72" s="15" t="s">
        <v>59</v>
      </c>
      <c r="I72" s="15"/>
      <c r="J72" s="15"/>
      <c r="K72" s="15" t="s">
        <v>59</v>
      </c>
      <c r="L72" s="15"/>
      <c r="M72" s="15"/>
      <c r="N72" s="15" t="s">
        <v>59</v>
      </c>
      <c r="O72" s="15"/>
      <c r="P72" s="15"/>
      <c r="Q72" s="15" t="s">
        <v>59</v>
      </c>
      <c r="R72" s="15"/>
      <c r="S72" s="15"/>
      <c r="T72" s="15" t="s">
        <v>59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88</v>
      </c>
      <c r="B73" s="13" t="s">
        <v>58</v>
      </c>
      <c r="C73" s="14">
        <v>64</v>
      </c>
      <c r="D73" s="14">
        <v>65</v>
      </c>
      <c r="E73" s="14">
        <f t="shared" ref="E73:E104" si="5">D73-C73</f>
        <v>1</v>
      </c>
      <c r="F73" s="15"/>
      <c r="G73" s="15"/>
      <c r="H73" s="15" t="s">
        <v>59</v>
      </c>
      <c r="I73" s="15"/>
      <c r="J73" s="15"/>
      <c r="K73" s="15" t="s">
        <v>59</v>
      </c>
      <c r="L73" s="15"/>
      <c r="M73" s="15"/>
      <c r="N73" s="15" t="s">
        <v>59</v>
      </c>
      <c r="O73" s="15"/>
      <c r="P73" s="15"/>
      <c r="Q73" s="15" t="s">
        <v>59</v>
      </c>
      <c r="R73" s="15"/>
      <c r="S73" s="15"/>
      <c r="T73" s="15" t="s">
        <v>59</v>
      </c>
      <c r="U73" s="15"/>
      <c r="V73" s="16"/>
      <c r="W73" s="17" t="str">
        <f t="shared" ref="W73:W85" si="6"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2" t="s">
        <v>88</v>
      </c>
      <c r="B74" s="13" t="s">
        <v>58</v>
      </c>
      <c r="C74" s="14">
        <v>65</v>
      </c>
      <c r="D74" s="14">
        <v>66</v>
      </c>
      <c r="E74" s="14">
        <f t="shared" si="5"/>
        <v>1</v>
      </c>
      <c r="F74" s="15"/>
      <c r="G74" s="15" t="s">
        <v>59</v>
      </c>
      <c r="H74" s="15"/>
      <c r="I74" s="15"/>
      <c r="J74" s="15"/>
      <c r="K74" s="15" t="s">
        <v>59</v>
      </c>
      <c r="L74" s="15"/>
      <c r="M74" s="15"/>
      <c r="N74" s="15"/>
      <c r="O74" s="15"/>
      <c r="P74" s="15"/>
      <c r="Q74" s="15" t="s">
        <v>59</v>
      </c>
      <c r="R74" s="15"/>
      <c r="S74" s="15"/>
      <c r="T74" s="15" t="s">
        <v>59</v>
      </c>
      <c r="U74" s="15"/>
      <c r="V74" s="16"/>
      <c r="W74" s="17" t="str">
        <f t="shared" si="6"/>
        <v>FALTA/DUPLA: ELEM. DE DRENAGEM</v>
      </c>
    </row>
    <row r="75" spans="1:23" ht="20.100000000000001" customHeight="1" x14ac:dyDescent="0.25">
      <c r="A75" s="12" t="s">
        <v>88</v>
      </c>
      <c r="B75" s="13" t="s">
        <v>58</v>
      </c>
      <c r="C75" s="14">
        <v>66</v>
      </c>
      <c r="D75" s="14">
        <v>67</v>
      </c>
      <c r="E75" s="14">
        <f t="shared" si="5"/>
        <v>1</v>
      </c>
      <c r="F75" s="15"/>
      <c r="G75" s="15" t="s">
        <v>59</v>
      </c>
      <c r="H75" s="15"/>
      <c r="I75" s="15"/>
      <c r="J75" s="15"/>
      <c r="K75" s="15" t="s">
        <v>59</v>
      </c>
      <c r="L75" s="15"/>
      <c r="M75" s="15"/>
      <c r="N75" s="15"/>
      <c r="O75" s="15"/>
      <c r="P75" s="15"/>
      <c r="Q75" s="15" t="s">
        <v>59</v>
      </c>
      <c r="R75" s="15"/>
      <c r="S75" s="15"/>
      <c r="T75" s="15" t="s">
        <v>59</v>
      </c>
      <c r="U75" s="15"/>
      <c r="V75" s="16"/>
      <c r="W75" s="17" t="str">
        <f t="shared" si="6"/>
        <v>FALTA/DUPLA: ELEM. DE DRENAGEM</v>
      </c>
    </row>
    <row r="76" spans="1:23" ht="20.100000000000001" customHeight="1" x14ac:dyDescent="0.25">
      <c r="A76" s="12" t="s">
        <v>88</v>
      </c>
      <c r="B76" s="13" t="s">
        <v>58</v>
      </c>
      <c r="C76" s="14">
        <v>67</v>
      </c>
      <c r="D76" s="14">
        <v>68</v>
      </c>
      <c r="E76" s="14">
        <f t="shared" si="5"/>
        <v>1</v>
      </c>
      <c r="F76" s="15"/>
      <c r="G76" s="15"/>
      <c r="H76" s="15" t="s">
        <v>59</v>
      </c>
      <c r="I76" s="15"/>
      <c r="J76" s="15"/>
      <c r="K76" s="15" t="s">
        <v>59</v>
      </c>
      <c r="L76" s="15"/>
      <c r="M76" s="15"/>
      <c r="N76" s="15"/>
      <c r="O76" s="15"/>
      <c r="P76" s="15"/>
      <c r="Q76" s="15" t="s">
        <v>59</v>
      </c>
      <c r="R76" s="15"/>
      <c r="S76" s="15"/>
      <c r="T76" s="15" t="s">
        <v>59</v>
      </c>
      <c r="U76" s="15"/>
      <c r="V76" s="16"/>
      <c r="W76" s="17" t="str">
        <f t="shared" si="6"/>
        <v>FALTA/DUPLA: ELEM. DE DRENAGEM</v>
      </c>
    </row>
    <row r="77" spans="1:23" ht="20.100000000000001" customHeight="1" x14ac:dyDescent="0.25">
      <c r="A77" s="12" t="s">
        <v>88</v>
      </c>
      <c r="B77" s="13" t="s">
        <v>58</v>
      </c>
      <c r="C77" s="14">
        <v>68</v>
      </c>
      <c r="D77" s="14">
        <v>69</v>
      </c>
      <c r="E77" s="14">
        <f t="shared" si="5"/>
        <v>1</v>
      </c>
      <c r="F77" s="15"/>
      <c r="G77" s="15" t="s">
        <v>59</v>
      </c>
      <c r="H77" s="15"/>
      <c r="I77" s="15"/>
      <c r="J77" s="15"/>
      <c r="K77" s="15" t="s">
        <v>59</v>
      </c>
      <c r="L77" s="15"/>
      <c r="M77" s="15"/>
      <c r="N77" s="15"/>
      <c r="O77" s="15"/>
      <c r="P77" s="15"/>
      <c r="Q77" s="15" t="s">
        <v>59</v>
      </c>
      <c r="R77" s="15"/>
      <c r="S77" s="15"/>
      <c r="T77" s="15" t="s">
        <v>59</v>
      </c>
      <c r="U77" s="15"/>
      <c r="V77" s="16"/>
      <c r="W77" s="17" t="str">
        <f t="shared" si="6"/>
        <v>FALTA/DUPLA: ELEM. DE DRENAGEM</v>
      </c>
    </row>
    <row r="78" spans="1:23" ht="20.100000000000001" customHeight="1" x14ac:dyDescent="0.25">
      <c r="A78" s="12" t="s">
        <v>88</v>
      </c>
      <c r="B78" s="13" t="s">
        <v>58</v>
      </c>
      <c r="C78" s="14">
        <v>69</v>
      </c>
      <c r="D78" s="14">
        <v>70</v>
      </c>
      <c r="E78" s="14">
        <f t="shared" si="5"/>
        <v>1</v>
      </c>
      <c r="F78" s="15"/>
      <c r="G78" s="15" t="s">
        <v>59</v>
      </c>
      <c r="H78" s="15"/>
      <c r="I78" s="15"/>
      <c r="J78" s="15"/>
      <c r="K78" s="15" t="s">
        <v>59</v>
      </c>
      <c r="L78" s="15"/>
      <c r="M78" s="15"/>
      <c r="N78" s="15"/>
      <c r="O78" s="15"/>
      <c r="P78" s="15"/>
      <c r="Q78" s="15" t="s">
        <v>59</v>
      </c>
      <c r="R78" s="15"/>
      <c r="S78" s="15"/>
      <c r="T78" s="15" t="s">
        <v>59</v>
      </c>
      <c r="U78" s="15"/>
      <c r="V78" s="16"/>
      <c r="W78" s="17" t="str">
        <f t="shared" si="6"/>
        <v>FALTA/DUPLA: ELEM. DE DRENAGEM</v>
      </c>
    </row>
    <row r="79" spans="1:23" ht="20.100000000000001" customHeight="1" x14ac:dyDescent="0.25">
      <c r="A79" s="12" t="s">
        <v>88</v>
      </c>
      <c r="B79" s="13" t="s">
        <v>58</v>
      </c>
      <c r="C79" s="14">
        <v>70</v>
      </c>
      <c r="D79" s="14">
        <v>71</v>
      </c>
      <c r="E79" s="14">
        <f t="shared" si="5"/>
        <v>1</v>
      </c>
      <c r="F79" s="15"/>
      <c r="G79" s="15" t="s">
        <v>59</v>
      </c>
      <c r="H79" s="15"/>
      <c r="I79" s="15"/>
      <c r="J79" s="15"/>
      <c r="K79" s="15" t="s">
        <v>59</v>
      </c>
      <c r="L79" s="15"/>
      <c r="M79" s="15"/>
      <c r="N79" s="15"/>
      <c r="O79" s="15"/>
      <c r="P79" s="15"/>
      <c r="Q79" s="15" t="s">
        <v>59</v>
      </c>
      <c r="R79" s="15"/>
      <c r="S79" s="15"/>
      <c r="T79" s="15" t="s">
        <v>59</v>
      </c>
      <c r="U79" s="15"/>
      <c r="V79" s="16"/>
      <c r="W79" s="17" t="str">
        <f t="shared" si="6"/>
        <v>FALTA/DUPLA: ELEM. DE DRENAGEM</v>
      </c>
    </row>
    <row r="80" spans="1:23" ht="20.100000000000001" customHeight="1" x14ac:dyDescent="0.25">
      <c r="A80" s="12" t="s">
        <v>88</v>
      </c>
      <c r="B80" s="13" t="s">
        <v>58</v>
      </c>
      <c r="C80" s="14">
        <v>71</v>
      </c>
      <c r="D80" s="14">
        <v>72</v>
      </c>
      <c r="E80" s="14">
        <f t="shared" si="5"/>
        <v>1</v>
      </c>
      <c r="F80" s="15"/>
      <c r="G80" s="15" t="s">
        <v>59</v>
      </c>
      <c r="H80" s="15"/>
      <c r="I80" s="15"/>
      <c r="J80" s="15"/>
      <c r="K80" s="15" t="s">
        <v>59</v>
      </c>
      <c r="L80" s="15"/>
      <c r="M80" s="15"/>
      <c r="N80" s="15"/>
      <c r="O80" s="15"/>
      <c r="P80" s="15"/>
      <c r="Q80" s="15" t="s">
        <v>59</v>
      </c>
      <c r="R80" s="15"/>
      <c r="S80" s="15"/>
      <c r="T80" s="15" t="s">
        <v>59</v>
      </c>
      <c r="U80" s="15"/>
      <c r="V80" s="16"/>
      <c r="W80" s="17" t="str">
        <f t="shared" si="6"/>
        <v>FALTA/DUPLA: ELEM. DE DRENAGEM</v>
      </c>
    </row>
    <row r="81" spans="1:23" ht="20.100000000000001" customHeight="1" x14ac:dyDescent="0.25">
      <c r="A81" s="12" t="s">
        <v>88</v>
      </c>
      <c r="B81" s="13" t="s">
        <v>58</v>
      </c>
      <c r="C81" s="14">
        <v>72</v>
      </c>
      <c r="D81" s="14">
        <v>73</v>
      </c>
      <c r="E81" s="14">
        <f t="shared" si="5"/>
        <v>1</v>
      </c>
      <c r="F81" s="15"/>
      <c r="G81" s="15"/>
      <c r="H81" s="15" t="s">
        <v>59</v>
      </c>
      <c r="I81" s="15"/>
      <c r="J81" s="15"/>
      <c r="K81" s="15" t="s">
        <v>59</v>
      </c>
      <c r="L81" s="15"/>
      <c r="M81" s="15"/>
      <c r="N81" s="15"/>
      <c r="O81" s="15"/>
      <c r="P81" s="15"/>
      <c r="Q81" s="15" t="s">
        <v>59</v>
      </c>
      <c r="R81" s="15"/>
      <c r="S81" s="15"/>
      <c r="T81" s="15" t="s">
        <v>59</v>
      </c>
      <c r="U81" s="15"/>
      <c r="V81" s="16"/>
      <c r="W81" s="17" t="str">
        <f t="shared" si="6"/>
        <v>FALTA/DUPLA: ELEM. DE DRENAGEM</v>
      </c>
    </row>
    <row r="82" spans="1:23" ht="20.100000000000001" customHeight="1" x14ac:dyDescent="0.25">
      <c r="A82" s="12" t="s">
        <v>88</v>
      </c>
      <c r="B82" s="13" t="s">
        <v>58</v>
      </c>
      <c r="C82" s="14">
        <v>73</v>
      </c>
      <c r="D82" s="14">
        <v>74</v>
      </c>
      <c r="E82" s="14">
        <f t="shared" si="5"/>
        <v>1</v>
      </c>
      <c r="F82" s="15"/>
      <c r="G82" s="15"/>
      <c r="H82" s="15" t="s">
        <v>59</v>
      </c>
      <c r="I82" s="15"/>
      <c r="J82" s="15"/>
      <c r="K82" s="15" t="s">
        <v>59</v>
      </c>
      <c r="L82" s="15"/>
      <c r="M82" s="15"/>
      <c r="N82" s="15"/>
      <c r="O82" s="15"/>
      <c r="P82" s="15"/>
      <c r="Q82" s="15" t="s">
        <v>59</v>
      </c>
      <c r="R82" s="15"/>
      <c r="S82" s="15"/>
      <c r="T82" s="15" t="s">
        <v>59</v>
      </c>
      <c r="U82" s="15"/>
      <c r="V82" s="16"/>
      <c r="W82" s="17" t="str">
        <f t="shared" si="6"/>
        <v>FALTA/DUPLA: ELEM. DE DRENAGEM</v>
      </c>
    </row>
    <row r="83" spans="1:23" ht="20.100000000000001" customHeight="1" x14ac:dyDescent="0.25">
      <c r="A83" s="12" t="s">
        <v>88</v>
      </c>
      <c r="B83" s="13" t="s">
        <v>58</v>
      </c>
      <c r="C83" s="14">
        <v>74</v>
      </c>
      <c r="D83" s="14">
        <v>75</v>
      </c>
      <c r="E83" s="14">
        <f t="shared" si="5"/>
        <v>1</v>
      </c>
      <c r="F83" s="15"/>
      <c r="G83" s="15"/>
      <c r="H83" s="15" t="s">
        <v>59</v>
      </c>
      <c r="I83" s="15"/>
      <c r="J83" s="15"/>
      <c r="K83" s="15" t="s">
        <v>59</v>
      </c>
      <c r="L83" s="15"/>
      <c r="M83" s="15"/>
      <c r="N83" s="15"/>
      <c r="O83" s="15"/>
      <c r="P83" s="15"/>
      <c r="Q83" s="15" t="s">
        <v>59</v>
      </c>
      <c r="R83" s="15"/>
      <c r="S83" s="15"/>
      <c r="T83" s="15" t="s">
        <v>59</v>
      </c>
      <c r="U83" s="15"/>
      <c r="V83" s="16"/>
      <c r="W83" s="17" t="str">
        <f t="shared" si="6"/>
        <v>FALTA/DUPLA: ELEM. DE DRENAGEM</v>
      </c>
    </row>
    <row r="84" spans="1:23" ht="20.100000000000001" customHeight="1" x14ac:dyDescent="0.25">
      <c r="A84" s="12" t="s">
        <v>88</v>
      </c>
      <c r="B84" s="13" t="s">
        <v>58</v>
      </c>
      <c r="C84" s="14">
        <v>75</v>
      </c>
      <c r="D84" s="14">
        <v>76</v>
      </c>
      <c r="E84" s="14">
        <f t="shared" si="5"/>
        <v>1</v>
      </c>
      <c r="F84" s="15"/>
      <c r="G84" s="15"/>
      <c r="H84" s="15" t="s">
        <v>59</v>
      </c>
      <c r="I84" s="15"/>
      <c r="J84" s="15"/>
      <c r="K84" s="15" t="s">
        <v>59</v>
      </c>
      <c r="L84" s="15"/>
      <c r="M84" s="15"/>
      <c r="N84" s="15"/>
      <c r="O84" s="15"/>
      <c r="P84" s="15"/>
      <c r="Q84" s="15" t="s">
        <v>59</v>
      </c>
      <c r="R84" s="15"/>
      <c r="S84" s="15"/>
      <c r="T84" s="15" t="s">
        <v>59</v>
      </c>
      <c r="U84" s="15"/>
      <c r="V84" s="16"/>
      <c r="W84" s="17" t="str">
        <f t="shared" si="6"/>
        <v>FALTA/DUPLA: ELEM. DE DRENAGEM</v>
      </c>
    </row>
    <row r="85" spans="1:23" ht="20.100000000000001" customHeight="1" x14ac:dyDescent="0.25">
      <c r="A85" s="18" t="s">
        <v>88</v>
      </c>
      <c r="B85" s="19" t="s">
        <v>58</v>
      </c>
      <c r="C85" s="20">
        <v>76</v>
      </c>
      <c r="D85" s="20">
        <v>76.278130035900006</v>
      </c>
      <c r="E85" s="20">
        <f t="shared" si="5"/>
        <v>0.27813003590000562</v>
      </c>
      <c r="F85" s="21"/>
      <c r="G85" s="21"/>
      <c r="H85" s="21" t="s">
        <v>59</v>
      </c>
      <c r="I85" s="21"/>
      <c r="J85" s="21"/>
      <c r="K85" s="21" t="s">
        <v>59</v>
      </c>
      <c r="L85" s="21"/>
      <c r="M85" s="21"/>
      <c r="N85" s="21"/>
      <c r="O85" s="21"/>
      <c r="P85" s="21"/>
      <c r="Q85" s="21" t="s">
        <v>59</v>
      </c>
      <c r="R85" s="21"/>
      <c r="S85" s="21"/>
      <c r="T85" s="21" t="s">
        <v>59</v>
      </c>
      <c r="U85" s="21"/>
      <c r="V85" s="22"/>
      <c r="W85" s="23" t="str">
        <f t="shared" si="6"/>
        <v>FALTA/DUPLA: ELEM. DE DRENAGEM</v>
      </c>
    </row>
    <row r="87" spans="1:23" x14ac:dyDescent="0.25">
      <c r="A87" s="43" t="s">
        <v>60</v>
      </c>
      <c r="B87" s="28"/>
      <c r="C87" s="28"/>
      <c r="D87" s="28"/>
      <c r="E87" s="28"/>
      <c r="G87" s="43" t="s">
        <v>60</v>
      </c>
      <c r="H87" s="28"/>
      <c r="I87" s="28"/>
      <c r="J87" s="28"/>
      <c r="K87" s="28"/>
    </row>
    <row r="88" spans="1:23" x14ac:dyDescent="0.25">
      <c r="A88" s="41" t="s">
        <v>61</v>
      </c>
      <c r="B88" s="28"/>
      <c r="C88" s="28"/>
      <c r="D88" s="28"/>
      <c r="E88" s="28"/>
      <c r="G88" s="41" t="s">
        <v>62</v>
      </c>
      <c r="H88" s="28"/>
      <c r="I88" s="28"/>
      <c r="J88" s="28"/>
      <c r="K88" s="28"/>
    </row>
    <row r="90" spans="1:23" x14ac:dyDescent="0.25">
      <c r="A90" s="49" t="s">
        <v>63</v>
      </c>
      <c r="B90" s="28"/>
      <c r="C90" s="28"/>
      <c r="D90" s="28"/>
      <c r="E90" s="28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3" x14ac:dyDescent="0.25">
      <c r="A91" s="35" t="s">
        <v>64</v>
      </c>
      <c r="B91" s="28"/>
      <c r="C91" s="28"/>
      <c r="D91" s="28"/>
      <c r="E91" s="28"/>
      <c r="F91" s="9">
        <f t="shared" ref="F91:U91" si="7">SUMIF(F$9:F$85,"X",$E$9:$E$85)</f>
        <v>0</v>
      </c>
      <c r="G91" s="9">
        <f t="shared" si="7"/>
        <v>19</v>
      </c>
      <c r="H91" s="9">
        <f t="shared" si="7"/>
        <v>57.278130035900006</v>
      </c>
      <c r="I91" s="9">
        <f t="shared" si="7"/>
        <v>0</v>
      </c>
      <c r="J91" s="9">
        <f t="shared" si="7"/>
        <v>0</v>
      </c>
      <c r="K91" s="9">
        <f t="shared" si="7"/>
        <v>76.278130035900006</v>
      </c>
      <c r="L91" s="9">
        <f t="shared" si="7"/>
        <v>0</v>
      </c>
      <c r="M91" s="9">
        <f t="shared" si="7"/>
        <v>6</v>
      </c>
      <c r="N91" s="9">
        <f t="shared" si="7"/>
        <v>46</v>
      </c>
      <c r="O91" s="9">
        <f t="shared" si="7"/>
        <v>0</v>
      </c>
      <c r="P91" s="9">
        <f t="shared" si="7"/>
        <v>0</v>
      </c>
      <c r="Q91" s="9">
        <f t="shared" si="7"/>
        <v>76.278130035900006</v>
      </c>
      <c r="R91" s="9">
        <f t="shared" si="7"/>
        <v>0</v>
      </c>
      <c r="S91" s="9">
        <f t="shared" si="7"/>
        <v>0</v>
      </c>
      <c r="T91" s="9">
        <f t="shared" si="7"/>
        <v>76.278130035900006</v>
      </c>
      <c r="U91" s="9">
        <f t="shared" si="7"/>
        <v>0</v>
      </c>
    </row>
    <row r="92" spans="1:23" x14ac:dyDescent="0.25">
      <c r="A92" s="35" t="s">
        <v>65</v>
      </c>
      <c r="B92" s="28"/>
      <c r="C92" s="28"/>
      <c r="D92" s="28"/>
      <c r="E92" s="28"/>
      <c r="F92" s="25">
        <f t="shared" ref="F92:U92" si="8">IF($R94=0,0,F91/$R94)</f>
        <v>0</v>
      </c>
      <c r="G92" s="25">
        <f t="shared" si="8"/>
        <v>0.2490884345363176</v>
      </c>
      <c r="H92" s="25">
        <f t="shared" si="8"/>
        <v>0.75091156546368243</v>
      </c>
      <c r="I92" s="25">
        <f t="shared" si="8"/>
        <v>0</v>
      </c>
      <c r="J92" s="25">
        <f t="shared" si="8"/>
        <v>0</v>
      </c>
      <c r="K92" s="25">
        <f t="shared" si="8"/>
        <v>1</v>
      </c>
      <c r="L92" s="25">
        <f t="shared" si="8"/>
        <v>0</v>
      </c>
      <c r="M92" s="25">
        <f t="shared" si="8"/>
        <v>7.8659505643047661E-2</v>
      </c>
      <c r="N92" s="25">
        <f t="shared" si="8"/>
        <v>0.60305620993003206</v>
      </c>
      <c r="O92" s="25">
        <f t="shared" si="8"/>
        <v>0</v>
      </c>
      <c r="P92" s="25">
        <f t="shared" si="8"/>
        <v>0</v>
      </c>
      <c r="Q92" s="25">
        <f t="shared" si="8"/>
        <v>1</v>
      </c>
      <c r="R92" s="25">
        <f t="shared" si="8"/>
        <v>0</v>
      </c>
      <c r="S92" s="25">
        <f t="shared" si="8"/>
        <v>0</v>
      </c>
      <c r="T92" s="25">
        <f t="shared" si="8"/>
        <v>1</v>
      </c>
      <c r="U92" s="25">
        <f t="shared" si="8"/>
        <v>0</v>
      </c>
    </row>
    <row r="93" spans="1:23" x14ac:dyDescent="0.25">
      <c r="A93" s="35" t="s">
        <v>66</v>
      </c>
      <c r="B93" s="28"/>
      <c r="C93" s="28"/>
      <c r="D93" s="28"/>
      <c r="E93" s="28"/>
      <c r="F93" s="45" t="str">
        <f>IF(SUM(F91:J91)=0,"— não preenchido",IF(ROUND(SUM(F91:J91)-$R94,3)=0,"OK — "&amp;ROUND(SUM(F91:J91),3)&amp;" km","ERRO — dif. de "&amp;ROUND(SUM(F91:J91)-$R94,3)&amp;" km"))</f>
        <v>OK — 76,278 km</v>
      </c>
      <c r="G93" s="32"/>
      <c r="H93" s="32"/>
      <c r="I93" s="32"/>
      <c r="J93" s="30"/>
      <c r="K93" s="45" t="str">
        <f>IF(SUM(K91:L91)=0,"— não preenchido",IF(ROUND(SUM(K91:L91)-$R94,3)=0,"OK — "&amp;ROUND(SUM(K91:L91),3)&amp;" km","ERRO — dif. de "&amp;ROUND(SUM(K91:L91)-$R94,3)&amp;" km"))</f>
        <v>OK — 76,278 km</v>
      </c>
      <c r="L93" s="30"/>
      <c r="M93" s="45" t="str">
        <f>IF(SUM(M91:O91)=0,"— não preenchido",IF(ROUND(SUM(M91:O91)-$R94,3)=0,"OK — "&amp;ROUND(SUM(M91:O91),3)&amp;" km","ERRO — dif. de "&amp;ROUND(SUM(M91:O91)-$R94,3)&amp;" km"))</f>
        <v>ERRO — dif. de -24,278 km</v>
      </c>
      <c r="N93" s="32"/>
      <c r="O93" s="30"/>
      <c r="P93" s="45" t="str">
        <f>IF(SUM(P91:R91)=0,"— não preenchido",IF(ROUND(SUM(P91:R91)-$R94,3)=0,"OK — "&amp;ROUND(SUM(P91:R91),3)&amp;" km","ERRO — dif. de "&amp;ROUND(SUM(P91:R91)-$R94,3)&amp;" km"))</f>
        <v>OK — 76,278 km</v>
      </c>
      <c r="Q93" s="32"/>
      <c r="R93" s="30"/>
      <c r="S93" s="45" t="str">
        <f>IF(SUM(S91:U91)=0,"— não preenchido",IF(ROUND(SUM(S91:U91)-$R94,3)=0,"OK — "&amp;ROUND(SUM(S91:U91),3)&amp;" km","ERRO — dif. de "&amp;ROUND(SUM(S91:U91)-$R94,3)&amp;" km"))</f>
        <v>OK — 76,278 km</v>
      </c>
      <c r="T93" s="32"/>
      <c r="U93" s="30"/>
    </row>
    <row r="94" spans="1:23" x14ac:dyDescent="0.25">
      <c r="A94" s="35" t="s">
        <v>67</v>
      </c>
      <c r="B94" s="28"/>
      <c r="C94" s="28"/>
      <c r="D94" s="28"/>
      <c r="E94" s="28"/>
      <c r="R94" s="26">
        <f>SUM(E9:E85)</f>
        <v>76.278130035900006</v>
      </c>
      <c r="V94" s="8" t="str">
        <f>COUNTIF(W9:W85,"OK")&amp;" de "&amp;COUNT($E$9:$E$85)&amp;" linhas conferidas"</f>
        <v>52 de 77 linhas conferidas</v>
      </c>
    </row>
    <row r="96" spans="1:23" x14ac:dyDescent="0.25">
      <c r="A96" s="44" t="s">
        <v>68</v>
      </c>
      <c r="B96" s="28"/>
      <c r="C96" s="28"/>
      <c r="D96" s="28"/>
      <c r="E96" s="28"/>
    </row>
    <row r="97" spans="1:22" x14ac:dyDescent="0.25">
      <c r="A97" s="35" t="s">
        <v>69</v>
      </c>
      <c r="B97" s="28"/>
      <c r="C97" s="28"/>
      <c r="D97" s="28"/>
      <c r="E97" s="34" t="s">
        <v>70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5" t="s">
        <v>71</v>
      </c>
      <c r="B98" s="28"/>
      <c r="C98" s="28"/>
      <c r="D98" s="28"/>
      <c r="E98" s="34" t="s">
        <v>72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35" t="s">
        <v>73</v>
      </c>
      <c r="B99" s="28"/>
      <c r="C99" s="28"/>
      <c r="D99" s="28"/>
      <c r="E99" s="34" t="s">
        <v>74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35" t="s">
        <v>75</v>
      </c>
      <c r="B100" s="28"/>
      <c r="C100" s="28"/>
      <c r="D100" s="28"/>
      <c r="E100" s="34" t="s">
        <v>76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35" t="s">
        <v>77</v>
      </c>
      <c r="B101" s="28"/>
      <c r="C101" s="28"/>
      <c r="D101" s="28"/>
      <c r="E101" s="34" t="s">
        <v>78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x14ac:dyDescent="0.25">
      <c r="A102" s="35" t="s">
        <v>50</v>
      </c>
      <c r="B102" s="28"/>
      <c r="C102" s="28"/>
      <c r="D102" s="28"/>
      <c r="E102" s="34" t="s">
        <v>79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x14ac:dyDescent="0.25">
      <c r="A103" s="35" t="s">
        <v>80</v>
      </c>
      <c r="B103" s="28"/>
      <c r="C103" s="28"/>
      <c r="D103" s="28"/>
      <c r="E103" s="34" t="s">
        <v>81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x14ac:dyDescent="0.25">
      <c r="A104" s="35" t="s">
        <v>82</v>
      </c>
      <c r="B104" s="28"/>
      <c r="C104" s="28"/>
      <c r="D104" s="28"/>
      <c r="E104" s="34" t="s">
        <v>83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x14ac:dyDescent="0.25">
      <c r="A105" s="35" t="s">
        <v>11</v>
      </c>
      <c r="B105" s="28"/>
      <c r="C105" s="28"/>
      <c r="D105" s="28"/>
      <c r="E105" s="34" t="s">
        <v>84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</sheetData>
  <sheetProtection sheet="1" formatCells="0"/>
  <mergeCells count="57">
    <mergeCell ref="A1:V1"/>
    <mergeCell ref="M93:O93"/>
    <mergeCell ref="T3:V3"/>
    <mergeCell ref="E97:V97"/>
    <mergeCell ref="A99:D99"/>
    <mergeCell ref="F93:J93"/>
    <mergeCell ref="G88:K88"/>
    <mergeCell ref="A91:E91"/>
    <mergeCell ref="A96:E96"/>
    <mergeCell ref="S93:U93"/>
    <mergeCell ref="R2:V2"/>
    <mergeCell ref="A3:S3"/>
    <mergeCell ref="A93:E93"/>
    <mergeCell ref="C6:C7"/>
    <mergeCell ref="K93:L93"/>
    <mergeCell ref="K6:L6"/>
    <mergeCell ref="W6:W7"/>
    <mergeCell ref="E6:E7"/>
    <mergeCell ref="E101:V101"/>
    <mergeCell ref="B6:B7"/>
    <mergeCell ref="A98:D98"/>
    <mergeCell ref="G87:K87"/>
    <mergeCell ref="E100:V100"/>
    <mergeCell ref="P93:R93"/>
    <mergeCell ref="A101:D101"/>
    <mergeCell ref="D6:D7"/>
    <mergeCell ref="E98:V98"/>
    <mergeCell ref="P6:R6"/>
    <mergeCell ref="A92:E92"/>
    <mergeCell ref="A87:E87"/>
    <mergeCell ref="K2:M2"/>
    <mergeCell ref="E99:V99"/>
    <mergeCell ref="E105:V105"/>
    <mergeCell ref="E104:V104"/>
    <mergeCell ref="N2:O2"/>
    <mergeCell ref="A90:E90"/>
    <mergeCell ref="P2:Q2"/>
    <mergeCell ref="A103:D103"/>
    <mergeCell ref="E102:V102"/>
    <mergeCell ref="A105:D105"/>
    <mergeCell ref="A104:D104"/>
    <mergeCell ref="A97:D97"/>
    <mergeCell ref="G2:H2"/>
    <mergeCell ref="A100:D100"/>
    <mergeCell ref="E103:V103"/>
    <mergeCell ref="I2:J2"/>
    <mergeCell ref="A8:V8"/>
    <mergeCell ref="A94:E94"/>
    <mergeCell ref="A6:A7"/>
    <mergeCell ref="F6:J6"/>
    <mergeCell ref="M6:O6"/>
    <mergeCell ref="A88:E88"/>
    <mergeCell ref="V6:V7"/>
    <mergeCell ref="A4:V4"/>
    <mergeCell ref="A102:D102"/>
    <mergeCell ref="A2:F2"/>
    <mergeCell ref="S6:U6"/>
  </mergeCells>
  <conditionalFormatting sqref="F9:J85">
    <cfRule type="expression" dxfId="107" priority="1">
      <formula>AND(F9&lt;&gt;"",COUNTIF($F9:$J9,"X")&gt;1)</formula>
    </cfRule>
  </conditionalFormatting>
  <conditionalFormatting sqref="F93:U93">
    <cfRule type="expression" dxfId="106" priority="8">
      <formula>LEFT(F93,4)="ERRO"</formula>
    </cfRule>
    <cfRule type="expression" dxfId="105" priority="9">
      <formula>LEFT(F93,2)="OK"</formula>
    </cfRule>
  </conditionalFormatting>
  <conditionalFormatting sqref="K9:L85">
    <cfRule type="expression" dxfId="104" priority="2">
      <formula>AND(K9&lt;&gt;"",COUNTIF($K9:$L9,"X")&gt;1)</formula>
    </cfRule>
  </conditionalFormatting>
  <conditionalFormatting sqref="M9:O85">
    <cfRule type="expression" dxfId="103" priority="3">
      <formula>AND(M9&lt;&gt;"",COUNTIF($M9:$O9,"X")&gt;1)</formula>
    </cfRule>
  </conditionalFormatting>
  <conditionalFormatting sqref="P9:R85">
    <cfRule type="expression" dxfId="102" priority="4">
      <formula>AND(P9&lt;&gt;"",COUNTIF($P9:$R9,"X")&gt;1)</formula>
    </cfRule>
  </conditionalFormatting>
  <conditionalFormatting sqref="S9:U85">
    <cfRule type="expression" dxfId="101" priority="5">
      <formula>AND(S9&lt;&gt;"",COUNTIF($S9:$U9,"X")&gt;1)</formula>
    </cfRule>
  </conditionalFormatting>
  <conditionalFormatting sqref="W9:W85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5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5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5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5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5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85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225</oddHeader>
    <oddFooter>&amp;L&amp;7 RTA / MSI — Programa de Manutenção Rodoviária&amp;C&amp;7 Página &amp;P de &amp;N&amp;R&amp;7 Impresso em &amp;D</oddFooter>
  </headerFooter>
  <rowBreaks count="1" manualBreakCount="1">
    <brk id="88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9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 t="e">
        <f t="shared" ref="Y2:AN2" si="0">IF(F82=0,NA(),F82)</f>
        <v>#N/A</v>
      </c>
      <c r="Z2" s="2">
        <f t="shared" si="0"/>
        <v>27.103954603890003</v>
      </c>
      <c r="AA2" s="2">
        <f t="shared" si="0"/>
        <v>37.926657861199999</v>
      </c>
      <c r="AB2" s="2" t="e">
        <f t="shared" si="0"/>
        <v>#N/A</v>
      </c>
      <c r="AC2" s="2" t="e">
        <f t="shared" si="0"/>
        <v>#N/A</v>
      </c>
      <c r="AD2" s="2">
        <f t="shared" si="0"/>
        <v>65.030612465090002</v>
      </c>
      <c r="AE2" s="2" t="e">
        <f t="shared" si="0"/>
        <v>#N/A</v>
      </c>
      <c r="AF2" s="2">
        <f t="shared" si="0"/>
        <v>13.59154085616</v>
      </c>
      <c r="AG2" s="2">
        <f t="shared" si="0"/>
        <v>29.926657861199999</v>
      </c>
      <c r="AH2" s="2" t="e">
        <f t="shared" si="0"/>
        <v>#N/A</v>
      </c>
      <c r="AI2" s="2" t="e">
        <f t="shared" si="0"/>
        <v>#N/A</v>
      </c>
      <c r="AJ2" s="2">
        <f t="shared" si="0"/>
        <v>65.030612465090002</v>
      </c>
      <c r="AK2" s="2" t="e">
        <f t="shared" si="0"/>
        <v>#N/A</v>
      </c>
      <c r="AL2" s="2" t="e">
        <f t="shared" si="0"/>
        <v>#N/A</v>
      </c>
      <c r="AM2" s="2">
        <f t="shared" si="0"/>
        <v>65.030612465090002</v>
      </c>
      <c r="AN2" s="2" t="e">
        <f t="shared" si="0"/>
        <v>#N/A</v>
      </c>
    </row>
    <row r="3" spans="1:40" ht="15" customHeight="1" x14ac:dyDescent="0.25">
      <c r="A3" s="48" t="s">
        <v>89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90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91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92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/>
      <c r="N9" s="15"/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FALTA/DUPLA: ELEM. DE DRENAGEM</v>
      </c>
    </row>
    <row r="10" spans="1:40" ht="20.100000000000001" customHeight="1" x14ac:dyDescent="0.25">
      <c r="A10" s="12" t="s">
        <v>92</v>
      </c>
      <c r="B10" s="13" t="s">
        <v>58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59</v>
      </c>
      <c r="I10" s="15"/>
      <c r="J10" s="15"/>
      <c r="K10" s="15" t="s">
        <v>59</v>
      </c>
      <c r="L10" s="15"/>
      <c r="M10" s="15"/>
      <c r="N10" s="15"/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FALTA/DUPLA: ELEM. DE DRENAGEM</v>
      </c>
    </row>
    <row r="11" spans="1:40" ht="20.100000000000001" customHeight="1" x14ac:dyDescent="0.25">
      <c r="A11" s="12" t="s">
        <v>92</v>
      </c>
      <c r="B11" s="13" t="s">
        <v>58</v>
      </c>
      <c r="C11" s="14">
        <v>2</v>
      </c>
      <c r="D11" s="14">
        <v>3</v>
      </c>
      <c r="E11" s="14">
        <f>D11-C11</f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 t="s">
        <v>59</v>
      </c>
      <c r="N11" s="15"/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92</v>
      </c>
      <c r="B12" s="19" t="s">
        <v>58</v>
      </c>
      <c r="C12" s="20">
        <v>3</v>
      </c>
      <c r="D12" s="20">
        <v>3.59154085616</v>
      </c>
      <c r="E12" s="20">
        <f>D12-C12</f>
        <v>0.59154085615999996</v>
      </c>
      <c r="F12" s="21"/>
      <c r="G12" s="21" t="s">
        <v>59</v>
      </c>
      <c r="H12" s="21"/>
      <c r="I12" s="21"/>
      <c r="J12" s="21"/>
      <c r="K12" s="21" t="s">
        <v>59</v>
      </c>
      <c r="L12" s="21"/>
      <c r="M12" s="21" t="s">
        <v>59</v>
      </c>
      <c r="N12" s="21"/>
      <c r="O12" s="21"/>
      <c r="P12" s="21"/>
      <c r="Q12" s="21" t="s">
        <v>59</v>
      </c>
      <c r="R12" s="21"/>
      <c r="S12" s="21"/>
      <c r="T12" s="21" t="s">
        <v>59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93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94</v>
      </c>
      <c r="B14" s="13" t="s">
        <v>58</v>
      </c>
      <c r="C14" s="14">
        <v>0</v>
      </c>
      <c r="D14" s="14">
        <v>1</v>
      </c>
      <c r="E14" s="14">
        <f t="shared" ref="E14:E45" si="1">D14-C14</f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/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ref="W14:W45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FALTA/DUPLA: ELEM. DE DRENAGEM</v>
      </c>
    </row>
    <row r="15" spans="1:40" ht="20.100000000000001" customHeight="1" x14ac:dyDescent="0.25">
      <c r="A15" s="12" t="s">
        <v>94</v>
      </c>
      <c r="B15" s="13" t="s">
        <v>58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 t="s">
        <v>59</v>
      </c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94</v>
      </c>
      <c r="B16" s="13" t="s">
        <v>58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 t="s">
        <v>59</v>
      </c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94</v>
      </c>
      <c r="B17" s="13" t="s">
        <v>58</v>
      </c>
      <c r="C17" s="14">
        <v>3</v>
      </c>
      <c r="D17" s="14">
        <v>4</v>
      </c>
      <c r="E17" s="14">
        <f t="shared" si="1"/>
        <v>1</v>
      </c>
      <c r="F17" s="15"/>
      <c r="G17" s="15"/>
      <c r="H17" s="15" t="s">
        <v>59</v>
      </c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94</v>
      </c>
      <c r="B18" s="13" t="s">
        <v>58</v>
      </c>
      <c r="C18" s="14">
        <v>4</v>
      </c>
      <c r="D18" s="14">
        <v>5</v>
      </c>
      <c r="E18" s="14">
        <f t="shared" si="1"/>
        <v>1</v>
      </c>
      <c r="F18" s="15"/>
      <c r="G18" s="15"/>
      <c r="H18" s="15" t="s">
        <v>59</v>
      </c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94</v>
      </c>
      <c r="B19" s="13" t="s">
        <v>58</v>
      </c>
      <c r="C19" s="14">
        <v>5</v>
      </c>
      <c r="D19" s="14">
        <v>6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/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FALTA/DUPLA: ELEM. DE DRENAGEM</v>
      </c>
    </row>
    <row r="20" spans="1:23" ht="20.100000000000001" customHeight="1" x14ac:dyDescent="0.25">
      <c r="A20" s="12" t="s">
        <v>94</v>
      </c>
      <c r="B20" s="13" t="s">
        <v>58</v>
      </c>
      <c r="C20" s="14">
        <v>6</v>
      </c>
      <c r="D20" s="14">
        <v>7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/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FALTA/DUPLA: ELEM. DE DRENAGEM</v>
      </c>
    </row>
    <row r="21" spans="1:23" ht="20.100000000000001" customHeight="1" x14ac:dyDescent="0.25">
      <c r="A21" s="12" t="s">
        <v>94</v>
      </c>
      <c r="B21" s="13" t="s">
        <v>58</v>
      </c>
      <c r="C21" s="14">
        <v>7</v>
      </c>
      <c r="D21" s="14">
        <v>8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/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FALTA/DUPLA: ELEM. DE DRENAGEM</v>
      </c>
    </row>
    <row r="22" spans="1:23" ht="20.100000000000001" customHeight="1" x14ac:dyDescent="0.25">
      <c r="A22" s="12" t="s">
        <v>94</v>
      </c>
      <c r="B22" s="13" t="s">
        <v>58</v>
      </c>
      <c r="C22" s="14">
        <v>8</v>
      </c>
      <c r="D22" s="14">
        <v>9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/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FALTA/DUPLA: ELEM. DE DRENAGEM</v>
      </c>
    </row>
    <row r="23" spans="1:23" ht="20.100000000000001" customHeight="1" x14ac:dyDescent="0.25">
      <c r="A23" s="12" t="s">
        <v>94</v>
      </c>
      <c r="B23" s="13" t="s">
        <v>58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 t="s">
        <v>59</v>
      </c>
      <c r="N23" s="15"/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94</v>
      </c>
      <c r="B24" s="13" t="s">
        <v>58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 t="s">
        <v>59</v>
      </c>
      <c r="N24" s="15"/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94</v>
      </c>
      <c r="B25" s="13" t="s">
        <v>58</v>
      </c>
      <c r="C25" s="14">
        <v>11</v>
      </c>
      <c r="D25" s="14">
        <v>12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 t="s">
        <v>59</v>
      </c>
      <c r="N25" s="15"/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94</v>
      </c>
      <c r="B26" s="13" t="s">
        <v>58</v>
      </c>
      <c r="C26" s="14">
        <v>12</v>
      </c>
      <c r="D26" s="14">
        <v>13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 t="s">
        <v>59</v>
      </c>
      <c r="N26" s="15"/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94</v>
      </c>
      <c r="B27" s="13" t="s">
        <v>58</v>
      </c>
      <c r="C27" s="14">
        <v>13</v>
      </c>
      <c r="D27" s="14">
        <v>14</v>
      </c>
      <c r="E27" s="14">
        <f t="shared" si="1"/>
        <v>1</v>
      </c>
      <c r="F27" s="15"/>
      <c r="G27" s="15"/>
      <c r="H27" s="15" t="s">
        <v>59</v>
      </c>
      <c r="I27" s="15"/>
      <c r="J27" s="15"/>
      <c r="K27" s="15" t="s">
        <v>59</v>
      </c>
      <c r="L27" s="15"/>
      <c r="M27" s="15" t="s">
        <v>59</v>
      </c>
      <c r="N27" s="15"/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94</v>
      </c>
      <c r="B28" s="13" t="s">
        <v>58</v>
      </c>
      <c r="C28" s="14">
        <v>14</v>
      </c>
      <c r="D28" s="14">
        <v>15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 t="s">
        <v>59</v>
      </c>
      <c r="N28" s="15"/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94</v>
      </c>
      <c r="B29" s="13" t="s">
        <v>58</v>
      </c>
      <c r="C29" s="14">
        <v>15</v>
      </c>
      <c r="D29" s="14">
        <v>16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 t="s">
        <v>59</v>
      </c>
      <c r="L29" s="15"/>
      <c r="M29" s="15" t="s">
        <v>59</v>
      </c>
      <c r="N29" s="15"/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94</v>
      </c>
      <c r="B30" s="13" t="s">
        <v>58</v>
      </c>
      <c r="C30" s="14">
        <v>16</v>
      </c>
      <c r="D30" s="14">
        <v>17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 t="s">
        <v>59</v>
      </c>
      <c r="L30" s="15"/>
      <c r="M30" s="15" t="s">
        <v>59</v>
      </c>
      <c r="N30" s="15"/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94</v>
      </c>
      <c r="B31" s="13" t="s">
        <v>58</v>
      </c>
      <c r="C31" s="14">
        <v>17</v>
      </c>
      <c r="D31" s="14">
        <v>18</v>
      </c>
      <c r="E31" s="14">
        <f t="shared" si="1"/>
        <v>1</v>
      </c>
      <c r="F31" s="15"/>
      <c r="G31" s="15" t="s">
        <v>59</v>
      </c>
      <c r="H31" s="15"/>
      <c r="I31" s="15"/>
      <c r="J31" s="15"/>
      <c r="K31" s="15" t="s">
        <v>59</v>
      </c>
      <c r="L31" s="15"/>
      <c r="M31" s="15" t="s">
        <v>59</v>
      </c>
      <c r="N31" s="15"/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94</v>
      </c>
      <c r="B32" s="13" t="s">
        <v>58</v>
      </c>
      <c r="C32" s="14">
        <v>18</v>
      </c>
      <c r="D32" s="14">
        <v>19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/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FALTA/DUPLA: ELEM. DE DRENAGEM</v>
      </c>
    </row>
    <row r="33" spans="1:23" ht="20.100000000000001" customHeight="1" x14ac:dyDescent="0.25">
      <c r="A33" s="12" t="s">
        <v>94</v>
      </c>
      <c r="B33" s="13" t="s">
        <v>58</v>
      </c>
      <c r="C33" s="14">
        <v>19</v>
      </c>
      <c r="D33" s="14">
        <v>20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/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FALTA/DUPLA: ELEM. DE DRENAGEM</v>
      </c>
    </row>
    <row r="34" spans="1:23" ht="20.100000000000001" customHeight="1" x14ac:dyDescent="0.25">
      <c r="A34" s="12" t="s">
        <v>94</v>
      </c>
      <c r="B34" s="13" t="s">
        <v>58</v>
      </c>
      <c r="C34" s="14">
        <v>20</v>
      </c>
      <c r="D34" s="14">
        <v>21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/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FALTA/DUPLA: ELEM. DE DRENAGEM</v>
      </c>
    </row>
    <row r="35" spans="1:23" ht="20.100000000000001" customHeight="1" x14ac:dyDescent="0.25">
      <c r="A35" s="12" t="s">
        <v>94</v>
      </c>
      <c r="B35" s="13" t="s">
        <v>58</v>
      </c>
      <c r="C35" s="14">
        <v>21</v>
      </c>
      <c r="D35" s="14">
        <v>22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/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FALTA/DUPLA: ELEM. DE DRENAGEM</v>
      </c>
    </row>
    <row r="36" spans="1:23" ht="20.100000000000001" customHeight="1" x14ac:dyDescent="0.25">
      <c r="A36" s="12" t="s">
        <v>94</v>
      </c>
      <c r="B36" s="13" t="s">
        <v>58</v>
      </c>
      <c r="C36" s="14">
        <v>22</v>
      </c>
      <c r="D36" s="14">
        <v>23</v>
      </c>
      <c r="E36" s="14">
        <f t="shared" si="1"/>
        <v>1</v>
      </c>
      <c r="F36" s="15"/>
      <c r="G36" s="15"/>
      <c r="H36" s="15" t="s">
        <v>59</v>
      </c>
      <c r="I36" s="15"/>
      <c r="J36" s="15"/>
      <c r="K36" s="15" t="s">
        <v>59</v>
      </c>
      <c r="L36" s="15"/>
      <c r="M36" s="15"/>
      <c r="N36" s="15"/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FALTA/DUPLA: ELEM. DE DRENAGEM</v>
      </c>
    </row>
    <row r="37" spans="1:23" ht="20.100000000000001" customHeight="1" x14ac:dyDescent="0.25">
      <c r="A37" s="12" t="s">
        <v>94</v>
      </c>
      <c r="B37" s="13" t="s">
        <v>58</v>
      </c>
      <c r="C37" s="14">
        <v>23</v>
      </c>
      <c r="D37" s="14">
        <v>24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/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FALTA/DUPLA: ELEM. DE DRENAGEM</v>
      </c>
    </row>
    <row r="38" spans="1:23" ht="20.100000000000001" customHeight="1" x14ac:dyDescent="0.25">
      <c r="A38" s="12" t="s">
        <v>94</v>
      </c>
      <c r="B38" s="13" t="s">
        <v>58</v>
      </c>
      <c r="C38" s="14">
        <v>24</v>
      </c>
      <c r="D38" s="14">
        <v>25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/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FALTA/DUPLA: ELEM. DE DRENAGEM</v>
      </c>
    </row>
    <row r="39" spans="1:23" ht="20.100000000000001" customHeight="1" x14ac:dyDescent="0.25">
      <c r="A39" s="12" t="s">
        <v>94</v>
      </c>
      <c r="B39" s="13" t="s">
        <v>58</v>
      </c>
      <c r="C39" s="14">
        <v>25</v>
      </c>
      <c r="D39" s="14">
        <v>26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/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FALTA/DUPLA: ELEM. DE DRENAGEM</v>
      </c>
    </row>
    <row r="40" spans="1:23" ht="20.100000000000001" customHeight="1" x14ac:dyDescent="0.25">
      <c r="A40" s="12" t="s">
        <v>94</v>
      </c>
      <c r="B40" s="13" t="s">
        <v>58</v>
      </c>
      <c r="C40" s="14">
        <v>26</v>
      </c>
      <c r="D40" s="14">
        <v>27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/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FALTA/DUPLA: ELEM. DE DRENAGEM</v>
      </c>
    </row>
    <row r="41" spans="1:23" ht="20.100000000000001" customHeight="1" x14ac:dyDescent="0.25">
      <c r="A41" s="12" t="s">
        <v>94</v>
      </c>
      <c r="B41" s="13" t="s">
        <v>58</v>
      </c>
      <c r="C41" s="14">
        <v>27</v>
      </c>
      <c r="D41" s="14">
        <v>28</v>
      </c>
      <c r="E41" s="14">
        <f t="shared" si="1"/>
        <v>1</v>
      </c>
      <c r="F41" s="15"/>
      <c r="G41" s="15" t="s">
        <v>59</v>
      </c>
      <c r="H41" s="15"/>
      <c r="I41" s="15"/>
      <c r="J41" s="15"/>
      <c r="K41" s="15" t="s">
        <v>59</v>
      </c>
      <c r="L41" s="15"/>
      <c r="M41" s="15"/>
      <c r="N41" s="15"/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2"/>
        <v>FALTA/DUPLA: ELEM. DE DRENAGEM</v>
      </c>
    </row>
    <row r="42" spans="1:23" ht="20.100000000000001" customHeight="1" x14ac:dyDescent="0.25">
      <c r="A42" s="12" t="s">
        <v>94</v>
      </c>
      <c r="B42" s="13" t="s">
        <v>58</v>
      </c>
      <c r="C42" s="14">
        <v>28</v>
      </c>
      <c r="D42" s="14">
        <v>29</v>
      </c>
      <c r="E42" s="14">
        <f t="shared" si="1"/>
        <v>1</v>
      </c>
      <c r="F42" s="15"/>
      <c r="G42" s="15" t="s">
        <v>59</v>
      </c>
      <c r="H42" s="15"/>
      <c r="I42" s="15"/>
      <c r="J42" s="15"/>
      <c r="K42" s="15" t="s">
        <v>59</v>
      </c>
      <c r="L42" s="15"/>
      <c r="M42" s="15"/>
      <c r="N42" s="15"/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2"/>
        <v>FALTA/DUPLA: ELEM. DE DRENAGEM</v>
      </c>
    </row>
    <row r="43" spans="1:23" ht="20.100000000000001" customHeight="1" x14ac:dyDescent="0.25">
      <c r="A43" s="12" t="s">
        <v>94</v>
      </c>
      <c r="B43" s="13" t="s">
        <v>58</v>
      </c>
      <c r="C43" s="14">
        <v>29</v>
      </c>
      <c r="D43" s="14">
        <v>30</v>
      </c>
      <c r="E43" s="14">
        <f t="shared" si="1"/>
        <v>1</v>
      </c>
      <c r="F43" s="15"/>
      <c r="G43" s="15" t="s">
        <v>59</v>
      </c>
      <c r="H43" s="15"/>
      <c r="I43" s="15"/>
      <c r="J43" s="15"/>
      <c r="K43" s="15" t="s">
        <v>59</v>
      </c>
      <c r="L43" s="15"/>
      <c r="M43" s="15"/>
      <c r="N43" s="15"/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2"/>
        <v>FALTA/DUPLA: ELEM. DE DRENAGEM</v>
      </c>
    </row>
    <row r="44" spans="1:23" ht="20.100000000000001" customHeight="1" x14ac:dyDescent="0.25">
      <c r="A44" s="12" t="s">
        <v>94</v>
      </c>
      <c r="B44" s="13" t="s">
        <v>58</v>
      </c>
      <c r="C44" s="14">
        <v>30</v>
      </c>
      <c r="D44" s="14">
        <v>31</v>
      </c>
      <c r="E44" s="14">
        <f t="shared" si="1"/>
        <v>1</v>
      </c>
      <c r="F44" s="15"/>
      <c r="G44" s="15"/>
      <c r="H44" s="15" t="s">
        <v>59</v>
      </c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94</v>
      </c>
      <c r="B45" s="13" t="s">
        <v>58</v>
      </c>
      <c r="C45" s="14">
        <v>31</v>
      </c>
      <c r="D45" s="14">
        <v>32</v>
      </c>
      <c r="E45" s="14">
        <f t="shared" si="1"/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94</v>
      </c>
      <c r="B46" s="13" t="s">
        <v>58</v>
      </c>
      <c r="C46" s="14">
        <v>32</v>
      </c>
      <c r="D46" s="14">
        <v>33</v>
      </c>
      <c r="E46" s="14">
        <f t="shared" ref="E46:E77" si="3">D46-C46</f>
        <v>1</v>
      </c>
      <c r="F46" s="15"/>
      <c r="G46" s="15"/>
      <c r="H46" s="15" t="s">
        <v>59</v>
      </c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ref="W46:W66" si="4"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94</v>
      </c>
      <c r="B47" s="13" t="s">
        <v>58</v>
      </c>
      <c r="C47" s="14">
        <v>33</v>
      </c>
      <c r="D47" s="14">
        <v>34</v>
      </c>
      <c r="E47" s="14">
        <f t="shared" si="3"/>
        <v>1</v>
      </c>
      <c r="F47" s="15"/>
      <c r="G47" s="15"/>
      <c r="H47" s="15" t="s">
        <v>59</v>
      </c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94</v>
      </c>
      <c r="B48" s="13" t="s">
        <v>58</v>
      </c>
      <c r="C48" s="14">
        <v>34</v>
      </c>
      <c r="D48" s="14">
        <v>35</v>
      </c>
      <c r="E48" s="14">
        <f t="shared" si="3"/>
        <v>1</v>
      </c>
      <c r="F48" s="15"/>
      <c r="G48" s="15"/>
      <c r="H48" s="15" t="s">
        <v>59</v>
      </c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94</v>
      </c>
      <c r="B49" s="13" t="s">
        <v>58</v>
      </c>
      <c r="C49" s="14">
        <v>35</v>
      </c>
      <c r="D49" s="14">
        <v>36</v>
      </c>
      <c r="E49" s="14">
        <f t="shared" si="3"/>
        <v>1</v>
      </c>
      <c r="F49" s="15"/>
      <c r="G49" s="15"/>
      <c r="H49" s="15" t="s">
        <v>59</v>
      </c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94</v>
      </c>
      <c r="B50" s="13" t="s">
        <v>58</v>
      </c>
      <c r="C50" s="14">
        <v>36</v>
      </c>
      <c r="D50" s="14">
        <v>37</v>
      </c>
      <c r="E50" s="14">
        <f t="shared" si="3"/>
        <v>1</v>
      </c>
      <c r="F50" s="15"/>
      <c r="G50" s="15"/>
      <c r="H50" s="15" t="s">
        <v>59</v>
      </c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94</v>
      </c>
      <c r="B51" s="13" t="s">
        <v>58</v>
      </c>
      <c r="C51" s="14">
        <v>37</v>
      </c>
      <c r="D51" s="14">
        <v>38</v>
      </c>
      <c r="E51" s="14">
        <f t="shared" si="3"/>
        <v>1</v>
      </c>
      <c r="F51" s="15"/>
      <c r="G51" s="15"/>
      <c r="H51" s="15" t="s">
        <v>59</v>
      </c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94</v>
      </c>
      <c r="B52" s="13" t="s">
        <v>58</v>
      </c>
      <c r="C52" s="14">
        <v>38</v>
      </c>
      <c r="D52" s="14">
        <v>39</v>
      </c>
      <c r="E52" s="14">
        <f t="shared" si="3"/>
        <v>1</v>
      </c>
      <c r="F52" s="15"/>
      <c r="G52" s="15"/>
      <c r="H52" s="15" t="s">
        <v>59</v>
      </c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94</v>
      </c>
      <c r="B53" s="13" t="s">
        <v>58</v>
      </c>
      <c r="C53" s="14">
        <v>39</v>
      </c>
      <c r="D53" s="14">
        <v>40</v>
      </c>
      <c r="E53" s="14">
        <f t="shared" si="3"/>
        <v>1</v>
      </c>
      <c r="F53" s="15"/>
      <c r="G53" s="15"/>
      <c r="H53" s="15" t="s">
        <v>59</v>
      </c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94</v>
      </c>
      <c r="B54" s="13" t="s">
        <v>58</v>
      </c>
      <c r="C54" s="14">
        <v>40</v>
      </c>
      <c r="D54" s="14">
        <v>41</v>
      </c>
      <c r="E54" s="14">
        <f t="shared" si="3"/>
        <v>1</v>
      </c>
      <c r="F54" s="15"/>
      <c r="G54" s="15"/>
      <c r="H54" s="15" t="s">
        <v>59</v>
      </c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 t="s">
        <v>59</v>
      </c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94</v>
      </c>
      <c r="B55" s="13" t="s">
        <v>58</v>
      </c>
      <c r="C55" s="14">
        <v>41</v>
      </c>
      <c r="D55" s="14">
        <v>42</v>
      </c>
      <c r="E55" s="14">
        <f t="shared" si="3"/>
        <v>1</v>
      </c>
      <c r="F55" s="15"/>
      <c r="G55" s="15"/>
      <c r="H55" s="15" t="s">
        <v>59</v>
      </c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94</v>
      </c>
      <c r="B56" s="13" t="s">
        <v>58</v>
      </c>
      <c r="C56" s="14">
        <v>42</v>
      </c>
      <c r="D56" s="14">
        <v>43</v>
      </c>
      <c r="E56" s="14">
        <f t="shared" si="3"/>
        <v>1</v>
      </c>
      <c r="F56" s="15"/>
      <c r="G56" s="15"/>
      <c r="H56" s="15" t="s">
        <v>59</v>
      </c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94</v>
      </c>
      <c r="B57" s="13" t="s">
        <v>58</v>
      </c>
      <c r="C57" s="14">
        <v>43</v>
      </c>
      <c r="D57" s="14">
        <v>44</v>
      </c>
      <c r="E57" s="14">
        <f t="shared" si="3"/>
        <v>1</v>
      </c>
      <c r="F57" s="15"/>
      <c r="G57" s="15"/>
      <c r="H57" s="15" t="s">
        <v>59</v>
      </c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94</v>
      </c>
      <c r="B58" s="13" t="s">
        <v>58</v>
      </c>
      <c r="C58" s="14">
        <v>44</v>
      </c>
      <c r="D58" s="14">
        <v>45</v>
      </c>
      <c r="E58" s="14">
        <f t="shared" si="3"/>
        <v>1</v>
      </c>
      <c r="F58" s="15"/>
      <c r="G58" s="15"/>
      <c r="H58" s="15" t="s">
        <v>59</v>
      </c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94</v>
      </c>
      <c r="B59" s="13" t="s">
        <v>58</v>
      </c>
      <c r="C59" s="14">
        <v>45</v>
      </c>
      <c r="D59" s="14">
        <v>46</v>
      </c>
      <c r="E59" s="14">
        <f t="shared" si="3"/>
        <v>1</v>
      </c>
      <c r="F59" s="15"/>
      <c r="G59" s="15" t="s">
        <v>59</v>
      </c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94</v>
      </c>
      <c r="B60" s="13" t="s">
        <v>58</v>
      </c>
      <c r="C60" s="14">
        <v>46</v>
      </c>
      <c r="D60" s="14">
        <v>47</v>
      </c>
      <c r="E60" s="14">
        <f t="shared" si="3"/>
        <v>1</v>
      </c>
      <c r="F60" s="15"/>
      <c r="G60" s="15" t="s">
        <v>59</v>
      </c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94</v>
      </c>
      <c r="B61" s="13" t="s">
        <v>58</v>
      </c>
      <c r="C61" s="14">
        <v>47</v>
      </c>
      <c r="D61" s="14">
        <v>48</v>
      </c>
      <c r="E61" s="14">
        <f t="shared" si="3"/>
        <v>1</v>
      </c>
      <c r="F61" s="15"/>
      <c r="G61" s="15" t="s">
        <v>59</v>
      </c>
      <c r="H61" s="15"/>
      <c r="I61" s="15"/>
      <c r="J61" s="15"/>
      <c r="K61" s="15" t="s">
        <v>59</v>
      </c>
      <c r="L61" s="15"/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94</v>
      </c>
      <c r="B62" s="13" t="s">
        <v>58</v>
      </c>
      <c r="C62" s="14">
        <v>48</v>
      </c>
      <c r="D62" s="14">
        <v>49</v>
      </c>
      <c r="E62" s="14">
        <f t="shared" si="3"/>
        <v>1</v>
      </c>
      <c r="F62" s="15"/>
      <c r="G62" s="15"/>
      <c r="H62" s="15" t="s">
        <v>59</v>
      </c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94</v>
      </c>
      <c r="B63" s="13" t="s">
        <v>58</v>
      </c>
      <c r="C63" s="14">
        <v>49</v>
      </c>
      <c r="D63" s="14">
        <v>50</v>
      </c>
      <c r="E63" s="14">
        <f t="shared" si="3"/>
        <v>1</v>
      </c>
      <c r="F63" s="15"/>
      <c r="G63" s="15"/>
      <c r="H63" s="15" t="s">
        <v>59</v>
      </c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94</v>
      </c>
      <c r="B64" s="13" t="s">
        <v>58</v>
      </c>
      <c r="C64" s="14">
        <v>50</v>
      </c>
      <c r="D64" s="14">
        <v>51</v>
      </c>
      <c r="E64" s="14">
        <f t="shared" si="3"/>
        <v>1</v>
      </c>
      <c r="F64" s="15"/>
      <c r="G64" s="15"/>
      <c r="H64" s="15" t="s">
        <v>59</v>
      </c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94</v>
      </c>
      <c r="B65" s="13" t="s">
        <v>58</v>
      </c>
      <c r="C65" s="14">
        <v>51</v>
      </c>
      <c r="D65" s="14">
        <v>52</v>
      </c>
      <c r="E65" s="14">
        <f t="shared" si="3"/>
        <v>1</v>
      </c>
      <c r="F65" s="15"/>
      <c r="G65" s="15"/>
      <c r="H65" s="15" t="s">
        <v>59</v>
      </c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8" t="s">
        <v>94</v>
      </c>
      <c r="B66" s="19" t="s">
        <v>58</v>
      </c>
      <c r="C66" s="20">
        <v>52</v>
      </c>
      <c r="D66" s="20">
        <v>52.926657861199999</v>
      </c>
      <c r="E66" s="20">
        <f t="shared" si="3"/>
        <v>0.92665786119999893</v>
      </c>
      <c r="F66" s="21"/>
      <c r="G66" s="21"/>
      <c r="H66" s="21" t="s">
        <v>59</v>
      </c>
      <c r="I66" s="21"/>
      <c r="J66" s="21"/>
      <c r="K66" s="21" t="s">
        <v>59</v>
      </c>
      <c r="L66" s="21"/>
      <c r="M66" s="21"/>
      <c r="N66" s="21" t="s">
        <v>59</v>
      </c>
      <c r="O66" s="21"/>
      <c r="P66" s="21"/>
      <c r="Q66" s="21" t="s">
        <v>59</v>
      </c>
      <c r="R66" s="21"/>
      <c r="S66" s="21"/>
      <c r="T66" s="21" t="s">
        <v>59</v>
      </c>
      <c r="U66" s="21"/>
      <c r="V66" s="22"/>
      <c r="W66" s="23" t="str">
        <f t="shared" si="4"/>
        <v>OK</v>
      </c>
    </row>
    <row r="67" spans="1:23" ht="15.95" customHeight="1" x14ac:dyDescent="0.25">
      <c r="A67" s="39" t="s">
        <v>95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0"/>
      <c r="W67" s="4"/>
    </row>
    <row r="68" spans="1:23" ht="20.100000000000001" customHeight="1" x14ac:dyDescent="0.25">
      <c r="A68" s="12" t="s">
        <v>96</v>
      </c>
      <c r="B68" s="13" t="s">
        <v>58</v>
      </c>
      <c r="C68" s="14">
        <v>0</v>
      </c>
      <c r="D68" s="14">
        <v>1</v>
      </c>
      <c r="E68" s="14">
        <f t="shared" ref="E68:E76" si="5">D68-C68</f>
        <v>1</v>
      </c>
      <c r="F68" s="15"/>
      <c r="G68" s="15"/>
      <c r="H68" s="15" t="s">
        <v>59</v>
      </c>
      <c r="I68" s="15"/>
      <c r="J68" s="15"/>
      <c r="K68" s="15" t="s">
        <v>59</v>
      </c>
      <c r="L68" s="15"/>
      <c r="M68" s="15" t="s">
        <v>59</v>
      </c>
      <c r="N68" s="15"/>
      <c r="O68" s="15"/>
      <c r="P68" s="15"/>
      <c r="Q68" s="15" t="s">
        <v>59</v>
      </c>
      <c r="R68" s="15"/>
      <c r="S68" s="15"/>
      <c r="T68" s="15" t="s">
        <v>59</v>
      </c>
      <c r="U68" s="15"/>
      <c r="V68" s="16"/>
      <c r="W68" s="17" t="str">
        <f t="shared" ref="W68:W76" si="6">IF(COUNTA(F68:U68)=0,"— não preenchido",IF(COUNTIF(F68:J68,"X")&lt;&gt;1,"FALTA/DUPLA: CONDIÇÃO DO PAVIMENTO",IF(COUNTIF(K68:L68,"X")&lt;&gt;1,"FALTA/DUPLA: VEGETAÇÃO",IF(COUNTIF(M68:O68,"X")&lt;&gt;1,"FALTA/DUPLA: ELEM. DE DRENAGEM",IF(COUNTIF(P68:R68,"X")&lt;&gt;1,"FALTA/DUPLA: SIN. HORIZ.",IF(COUNTIF(S68:U68,"X")&lt;&gt;1,"FALTA/DUPLA: SIN. VERTICAL","OK"))))))</f>
        <v>OK</v>
      </c>
    </row>
    <row r="69" spans="1:23" ht="20.100000000000001" customHeight="1" x14ac:dyDescent="0.25">
      <c r="A69" s="12" t="s">
        <v>96</v>
      </c>
      <c r="B69" s="13" t="s">
        <v>58</v>
      </c>
      <c r="C69" s="14">
        <v>1</v>
      </c>
      <c r="D69" s="14">
        <v>2</v>
      </c>
      <c r="E69" s="14">
        <f t="shared" si="5"/>
        <v>1</v>
      </c>
      <c r="F69" s="15"/>
      <c r="G69" s="15"/>
      <c r="H69" s="15" t="s">
        <v>59</v>
      </c>
      <c r="I69" s="15"/>
      <c r="J69" s="15"/>
      <c r="K69" s="15" t="s">
        <v>59</v>
      </c>
      <c r="L69" s="15"/>
      <c r="M69" s="15" t="s">
        <v>59</v>
      </c>
      <c r="N69" s="15"/>
      <c r="O69" s="15"/>
      <c r="P69" s="15"/>
      <c r="Q69" s="15" t="s">
        <v>59</v>
      </c>
      <c r="R69" s="15"/>
      <c r="S69" s="15"/>
      <c r="T69" s="15" t="s">
        <v>59</v>
      </c>
      <c r="U69" s="15"/>
      <c r="V69" s="16"/>
      <c r="W69" s="17" t="str">
        <f t="shared" si="6"/>
        <v>OK</v>
      </c>
    </row>
    <row r="70" spans="1:23" ht="20.100000000000001" customHeight="1" x14ac:dyDescent="0.25">
      <c r="A70" s="12" t="s">
        <v>96</v>
      </c>
      <c r="B70" s="13" t="s">
        <v>58</v>
      </c>
      <c r="C70" s="14">
        <v>2</v>
      </c>
      <c r="D70" s="14">
        <v>3</v>
      </c>
      <c r="E70" s="14">
        <f t="shared" si="5"/>
        <v>1</v>
      </c>
      <c r="F70" s="15"/>
      <c r="G70" s="15"/>
      <c r="H70" s="15" t="s">
        <v>59</v>
      </c>
      <c r="I70" s="15"/>
      <c r="J70" s="15"/>
      <c r="K70" s="15" t="s">
        <v>59</v>
      </c>
      <c r="L70" s="15"/>
      <c r="M70" s="15" t="s">
        <v>59</v>
      </c>
      <c r="N70" s="15"/>
      <c r="O70" s="15"/>
      <c r="P70" s="15"/>
      <c r="Q70" s="15" t="s">
        <v>59</v>
      </c>
      <c r="R70" s="15"/>
      <c r="S70" s="15"/>
      <c r="T70" s="15" t="s">
        <v>59</v>
      </c>
      <c r="U70" s="15"/>
      <c r="V70" s="16"/>
      <c r="W70" s="17" t="str">
        <f t="shared" si="6"/>
        <v>OK</v>
      </c>
    </row>
    <row r="71" spans="1:23" ht="20.100000000000001" customHeight="1" x14ac:dyDescent="0.25">
      <c r="A71" s="12" t="s">
        <v>96</v>
      </c>
      <c r="B71" s="13" t="s">
        <v>58</v>
      </c>
      <c r="C71" s="14">
        <v>3</v>
      </c>
      <c r="D71" s="14">
        <v>4</v>
      </c>
      <c r="E71" s="14">
        <f t="shared" si="5"/>
        <v>1</v>
      </c>
      <c r="F71" s="15"/>
      <c r="G71" s="15"/>
      <c r="H71" s="15" t="s">
        <v>59</v>
      </c>
      <c r="I71" s="15"/>
      <c r="J71" s="15"/>
      <c r="K71" s="15" t="s">
        <v>59</v>
      </c>
      <c r="L71" s="15"/>
      <c r="M71" s="15"/>
      <c r="N71" s="15" t="s">
        <v>59</v>
      </c>
      <c r="O71" s="15"/>
      <c r="P71" s="15"/>
      <c r="Q71" s="15" t="s">
        <v>59</v>
      </c>
      <c r="R71" s="15"/>
      <c r="S71" s="15"/>
      <c r="T71" s="15" t="s">
        <v>59</v>
      </c>
      <c r="U71" s="15"/>
      <c r="V71" s="16"/>
      <c r="W71" s="17" t="str">
        <f t="shared" si="6"/>
        <v>OK</v>
      </c>
    </row>
    <row r="72" spans="1:23" ht="20.100000000000001" customHeight="1" x14ac:dyDescent="0.25">
      <c r="A72" s="12" t="s">
        <v>96</v>
      </c>
      <c r="B72" s="13" t="s">
        <v>58</v>
      </c>
      <c r="C72" s="14">
        <v>4</v>
      </c>
      <c r="D72" s="14">
        <v>5</v>
      </c>
      <c r="E72" s="14">
        <f t="shared" si="5"/>
        <v>1</v>
      </c>
      <c r="F72" s="15"/>
      <c r="G72" s="15"/>
      <c r="H72" s="15" t="s">
        <v>59</v>
      </c>
      <c r="I72" s="15"/>
      <c r="J72" s="15"/>
      <c r="K72" s="15" t="s">
        <v>59</v>
      </c>
      <c r="L72" s="15"/>
      <c r="M72" s="15"/>
      <c r="N72" s="15" t="s">
        <v>59</v>
      </c>
      <c r="O72" s="15"/>
      <c r="P72" s="15"/>
      <c r="Q72" s="15" t="s">
        <v>59</v>
      </c>
      <c r="R72" s="15"/>
      <c r="S72" s="15"/>
      <c r="T72" s="15" t="s">
        <v>59</v>
      </c>
      <c r="U72" s="15"/>
      <c r="V72" s="16"/>
      <c r="W72" s="17" t="str">
        <f t="shared" si="6"/>
        <v>OK</v>
      </c>
    </row>
    <row r="73" spans="1:23" ht="20.100000000000001" customHeight="1" x14ac:dyDescent="0.25">
      <c r="A73" s="12" t="s">
        <v>96</v>
      </c>
      <c r="B73" s="13" t="s">
        <v>58</v>
      </c>
      <c r="C73" s="14">
        <v>5</v>
      </c>
      <c r="D73" s="14">
        <v>6</v>
      </c>
      <c r="E73" s="14">
        <f t="shared" si="5"/>
        <v>1</v>
      </c>
      <c r="F73" s="15"/>
      <c r="G73" s="15"/>
      <c r="H73" s="15" t="s">
        <v>59</v>
      </c>
      <c r="I73" s="15"/>
      <c r="J73" s="15"/>
      <c r="K73" s="15" t="s">
        <v>59</v>
      </c>
      <c r="L73" s="15"/>
      <c r="M73" s="15"/>
      <c r="N73" s="15" t="s">
        <v>59</v>
      </c>
      <c r="O73" s="15"/>
      <c r="P73" s="15"/>
      <c r="Q73" s="15" t="s">
        <v>59</v>
      </c>
      <c r="R73" s="15"/>
      <c r="S73" s="15"/>
      <c r="T73" s="15" t="s">
        <v>59</v>
      </c>
      <c r="U73" s="15"/>
      <c r="V73" s="16"/>
      <c r="W73" s="17" t="str">
        <f t="shared" si="6"/>
        <v>OK</v>
      </c>
    </row>
    <row r="74" spans="1:23" ht="20.100000000000001" customHeight="1" x14ac:dyDescent="0.25">
      <c r="A74" s="12" t="s">
        <v>96</v>
      </c>
      <c r="B74" s="13" t="s">
        <v>58</v>
      </c>
      <c r="C74" s="14">
        <v>6</v>
      </c>
      <c r="D74" s="14">
        <v>7</v>
      </c>
      <c r="E74" s="14">
        <f t="shared" si="5"/>
        <v>1</v>
      </c>
      <c r="F74" s="15"/>
      <c r="G74" s="15" t="s">
        <v>59</v>
      </c>
      <c r="H74" s="15"/>
      <c r="I74" s="15"/>
      <c r="J74" s="15"/>
      <c r="K74" s="15" t="s">
        <v>59</v>
      </c>
      <c r="L74" s="15"/>
      <c r="M74" s="15"/>
      <c r="N74" s="15"/>
      <c r="O74" s="15"/>
      <c r="P74" s="15"/>
      <c r="Q74" s="15" t="s">
        <v>59</v>
      </c>
      <c r="R74" s="15"/>
      <c r="S74" s="15"/>
      <c r="T74" s="15" t="s">
        <v>59</v>
      </c>
      <c r="U74" s="15"/>
      <c r="V74" s="16"/>
      <c r="W74" s="17" t="str">
        <f t="shared" si="6"/>
        <v>FALTA/DUPLA: ELEM. DE DRENAGEM</v>
      </c>
    </row>
    <row r="75" spans="1:23" ht="20.100000000000001" customHeight="1" x14ac:dyDescent="0.25">
      <c r="A75" s="12" t="s">
        <v>96</v>
      </c>
      <c r="B75" s="13" t="s">
        <v>58</v>
      </c>
      <c r="C75" s="14">
        <v>7</v>
      </c>
      <c r="D75" s="14">
        <v>8</v>
      </c>
      <c r="E75" s="14">
        <f t="shared" si="5"/>
        <v>1</v>
      </c>
      <c r="F75" s="15"/>
      <c r="G75" s="15" t="s">
        <v>59</v>
      </c>
      <c r="H75" s="15"/>
      <c r="I75" s="15"/>
      <c r="J75" s="15"/>
      <c r="K75" s="15" t="s">
        <v>59</v>
      </c>
      <c r="L75" s="15"/>
      <c r="M75" s="15"/>
      <c r="N75" s="15"/>
      <c r="O75" s="15"/>
      <c r="P75" s="15"/>
      <c r="Q75" s="15" t="s">
        <v>59</v>
      </c>
      <c r="R75" s="15"/>
      <c r="S75" s="15"/>
      <c r="T75" s="15" t="s">
        <v>59</v>
      </c>
      <c r="U75" s="15"/>
      <c r="V75" s="16"/>
      <c r="W75" s="17" t="str">
        <f t="shared" si="6"/>
        <v>FALTA/DUPLA: ELEM. DE DRENAGEM</v>
      </c>
    </row>
    <row r="76" spans="1:23" ht="20.100000000000001" customHeight="1" x14ac:dyDescent="0.25">
      <c r="A76" s="18" t="s">
        <v>96</v>
      </c>
      <c r="B76" s="19" t="s">
        <v>58</v>
      </c>
      <c r="C76" s="20">
        <v>8</v>
      </c>
      <c r="D76" s="20">
        <v>8.5124137477299993</v>
      </c>
      <c r="E76" s="20">
        <f t="shared" si="5"/>
        <v>0.51241374772999926</v>
      </c>
      <c r="F76" s="21"/>
      <c r="G76" s="21" t="s">
        <v>59</v>
      </c>
      <c r="H76" s="21"/>
      <c r="I76" s="21"/>
      <c r="J76" s="21"/>
      <c r="K76" s="21" t="s">
        <v>59</v>
      </c>
      <c r="L76" s="21"/>
      <c r="M76" s="21"/>
      <c r="N76" s="21"/>
      <c r="O76" s="21"/>
      <c r="P76" s="21"/>
      <c r="Q76" s="21" t="s">
        <v>59</v>
      </c>
      <c r="R76" s="21"/>
      <c r="S76" s="21"/>
      <c r="T76" s="21" t="s">
        <v>59</v>
      </c>
      <c r="U76" s="21"/>
      <c r="V76" s="22"/>
      <c r="W76" s="23" t="str">
        <f t="shared" si="6"/>
        <v>FALTA/DUPLA: ELEM. DE DRENAGEM</v>
      </c>
    </row>
    <row r="78" spans="1:23" x14ac:dyDescent="0.25">
      <c r="A78" s="43" t="s">
        <v>60</v>
      </c>
      <c r="B78" s="28"/>
      <c r="C78" s="28"/>
      <c r="D78" s="28"/>
      <c r="E78" s="28"/>
      <c r="G78" s="43" t="s">
        <v>60</v>
      </c>
      <c r="H78" s="28"/>
      <c r="I78" s="28"/>
      <c r="J78" s="28"/>
      <c r="K78" s="28"/>
    </row>
    <row r="79" spans="1:23" x14ac:dyDescent="0.25">
      <c r="A79" s="41" t="s">
        <v>61</v>
      </c>
      <c r="B79" s="28"/>
      <c r="C79" s="28"/>
      <c r="D79" s="28"/>
      <c r="E79" s="28"/>
      <c r="G79" s="41" t="s">
        <v>62</v>
      </c>
      <c r="H79" s="28"/>
      <c r="I79" s="28"/>
      <c r="J79" s="28"/>
      <c r="K79" s="28"/>
    </row>
    <row r="81" spans="1:22" x14ac:dyDescent="0.25">
      <c r="A81" s="49" t="s">
        <v>63</v>
      </c>
      <c r="B81" s="28"/>
      <c r="C81" s="28"/>
      <c r="D81" s="28"/>
      <c r="E81" s="28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x14ac:dyDescent="0.25">
      <c r="A82" s="35" t="s">
        <v>64</v>
      </c>
      <c r="B82" s="28"/>
      <c r="C82" s="28"/>
      <c r="D82" s="28"/>
      <c r="E82" s="28"/>
      <c r="F82" s="9">
        <f t="shared" ref="F82:U82" si="7">SUMIF(F$9:F$76,"X",$E$9:$E$76)</f>
        <v>0</v>
      </c>
      <c r="G82" s="9">
        <f t="shared" si="7"/>
        <v>27.103954603890003</v>
      </c>
      <c r="H82" s="9">
        <f t="shared" si="7"/>
        <v>37.926657861199999</v>
      </c>
      <c r="I82" s="9">
        <f t="shared" si="7"/>
        <v>0</v>
      </c>
      <c r="J82" s="9">
        <f t="shared" si="7"/>
        <v>0</v>
      </c>
      <c r="K82" s="9">
        <f t="shared" si="7"/>
        <v>65.030612465090002</v>
      </c>
      <c r="L82" s="9">
        <f t="shared" si="7"/>
        <v>0</v>
      </c>
      <c r="M82" s="9">
        <f t="shared" si="7"/>
        <v>13.59154085616</v>
      </c>
      <c r="N82" s="9">
        <f t="shared" si="7"/>
        <v>29.926657861199999</v>
      </c>
      <c r="O82" s="9">
        <f t="shared" si="7"/>
        <v>0</v>
      </c>
      <c r="P82" s="9">
        <f t="shared" si="7"/>
        <v>0</v>
      </c>
      <c r="Q82" s="9">
        <f t="shared" si="7"/>
        <v>65.030612465090002</v>
      </c>
      <c r="R82" s="9">
        <f t="shared" si="7"/>
        <v>0</v>
      </c>
      <c r="S82" s="9">
        <f t="shared" si="7"/>
        <v>0</v>
      </c>
      <c r="T82" s="9">
        <f t="shared" si="7"/>
        <v>65.030612465090002</v>
      </c>
      <c r="U82" s="9">
        <f t="shared" si="7"/>
        <v>0</v>
      </c>
    </row>
    <row r="83" spans="1:22" x14ac:dyDescent="0.25">
      <c r="A83" s="35" t="s">
        <v>65</v>
      </c>
      <c r="B83" s="28"/>
      <c r="C83" s="28"/>
      <c r="D83" s="28"/>
      <c r="E83" s="28"/>
      <c r="F83" s="25">
        <f t="shared" ref="F83:U83" si="8">IF($R85=0,0,F82/$R85)</f>
        <v>0</v>
      </c>
      <c r="G83" s="25">
        <f t="shared" si="8"/>
        <v>0.41678762626509258</v>
      </c>
      <c r="H83" s="25">
        <f t="shared" si="8"/>
        <v>0.58321237373490742</v>
      </c>
      <c r="I83" s="25">
        <f t="shared" si="8"/>
        <v>0</v>
      </c>
      <c r="J83" s="25">
        <f t="shared" si="8"/>
        <v>0</v>
      </c>
      <c r="K83" s="25">
        <f t="shared" si="8"/>
        <v>1</v>
      </c>
      <c r="L83" s="25">
        <f t="shared" si="8"/>
        <v>0</v>
      </c>
      <c r="M83" s="25">
        <f t="shared" si="8"/>
        <v>0.20900219667247125</v>
      </c>
      <c r="N83" s="25">
        <f t="shared" si="8"/>
        <v>0.46019338780278823</v>
      </c>
      <c r="O83" s="25">
        <f t="shared" si="8"/>
        <v>0</v>
      </c>
      <c r="P83" s="25">
        <f t="shared" si="8"/>
        <v>0</v>
      </c>
      <c r="Q83" s="25">
        <f t="shared" si="8"/>
        <v>1</v>
      </c>
      <c r="R83" s="25">
        <f t="shared" si="8"/>
        <v>0</v>
      </c>
      <c r="S83" s="25">
        <f t="shared" si="8"/>
        <v>0</v>
      </c>
      <c r="T83" s="25">
        <f t="shared" si="8"/>
        <v>1</v>
      </c>
      <c r="U83" s="25">
        <f t="shared" si="8"/>
        <v>0</v>
      </c>
    </row>
    <row r="84" spans="1:22" x14ac:dyDescent="0.25">
      <c r="A84" s="35" t="s">
        <v>66</v>
      </c>
      <c r="B84" s="28"/>
      <c r="C84" s="28"/>
      <c r="D84" s="28"/>
      <c r="E84" s="28"/>
      <c r="F84" s="45" t="str">
        <f>IF(SUM(F82:J82)=0,"— não preenchido",IF(ROUND(SUM(F82:J82)-$R85,3)=0,"OK — "&amp;ROUND(SUM(F82:J82),3)&amp;" km","ERRO — dif. de "&amp;ROUND(SUM(F82:J82)-$R85,3)&amp;" km"))</f>
        <v>OK — 65,031 km</v>
      </c>
      <c r="G84" s="32"/>
      <c r="H84" s="32"/>
      <c r="I84" s="32"/>
      <c r="J84" s="30"/>
      <c r="K84" s="45" t="str">
        <f>IF(SUM(K82:L82)=0,"— não preenchido",IF(ROUND(SUM(K82:L82)-$R85,3)=0,"OK — "&amp;ROUND(SUM(K82:L82),3)&amp;" km","ERRO — dif. de "&amp;ROUND(SUM(K82:L82)-$R85,3)&amp;" km"))</f>
        <v>OK — 65,031 km</v>
      </c>
      <c r="L84" s="30"/>
      <c r="M84" s="45" t="str">
        <f>IF(SUM(M82:O82)=0,"— não preenchido",IF(ROUND(SUM(M82:O82)-$R85,3)=0,"OK — "&amp;ROUND(SUM(M82:O82),3)&amp;" km","ERRO — dif. de "&amp;ROUND(SUM(M82:O82)-$R85,3)&amp;" km"))</f>
        <v>ERRO — dif. de -21,512 km</v>
      </c>
      <c r="N84" s="32"/>
      <c r="O84" s="30"/>
      <c r="P84" s="45" t="str">
        <f>IF(SUM(P82:R82)=0,"— não preenchido",IF(ROUND(SUM(P82:R82)-$R85,3)=0,"OK — "&amp;ROUND(SUM(P82:R82),3)&amp;" km","ERRO — dif. de "&amp;ROUND(SUM(P82:R82)-$R85,3)&amp;" km"))</f>
        <v>OK — 65,031 km</v>
      </c>
      <c r="Q84" s="32"/>
      <c r="R84" s="30"/>
      <c r="S84" s="45" t="str">
        <f>IF(SUM(S82:U82)=0,"— não preenchido",IF(ROUND(SUM(S82:U82)-$R85,3)=0,"OK — "&amp;ROUND(SUM(S82:U82),3)&amp;" km","ERRO — dif. de "&amp;ROUND(SUM(S82:U82)-$R85,3)&amp;" km"))</f>
        <v>OK — 65,031 km</v>
      </c>
      <c r="T84" s="32"/>
      <c r="U84" s="30"/>
    </row>
    <row r="85" spans="1:22" x14ac:dyDescent="0.25">
      <c r="A85" s="35" t="s">
        <v>67</v>
      </c>
      <c r="B85" s="28"/>
      <c r="C85" s="28"/>
      <c r="D85" s="28"/>
      <c r="E85" s="28"/>
      <c r="R85" s="26">
        <f>SUM(E9:E76)</f>
        <v>65.030612465090002</v>
      </c>
      <c r="V85" s="8" t="str">
        <f>COUNTIF(W9:W76,"OK")&amp;" de "&amp;COUNT($E$9:$E$76)&amp;" linhas conferidas"</f>
        <v>44 de 66 linhas conferidas</v>
      </c>
    </row>
    <row r="87" spans="1:22" x14ac:dyDescent="0.25">
      <c r="A87" s="44" t="s">
        <v>68</v>
      </c>
      <c r="B87" s="28"/>
      <c r="C87" s="28"/>
      <c r="D87" s="28"/>
      <c r="E87" s="28"/>
    </row>
    <row r="88" spans="1:22" x14ac:dyDescent="0.25">
      <c r="A88" s="35" t="s">
        <v>69</v>
      </c>
      <c r="B88" s="28"/>
      <c r="C88" s="28"/>
      <c r="D88" s="28"/>
      <c r="E88" s="34" t="s">
        <v>70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5" t="s">
        <v>71</v>
      </c>
      <c r="B89" s="28"/>
      <c r="C89" s="28"/>
      <c r="D89" s="28"/>
      <c r="E89" s="34" t="s">
        <v>72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5" t="s">
        <v>73</v>
      </c>
      <c r="B90" s="28"/>
      <c r="C90" s="28"/>
      <c r="D90" s="28"/>
      <c r="E90" s="34" t="s">
        <v>74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5" t="s">
        <v>75</v>
      </c>
      <c r="B91" s="28"/>
      <c r="C91" s="28"/>
      <c r="D91" s="28"/>
      <c r="E91" s="34" t="s">
        <v>76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5" t="s">
        <v>77</v>
      </c>
      <c r="B92" s="28"/>
      <c r="C92" s="28"/>
      <c r="D92" s="28"/>
      <c r="E92" s="34" t="s">
        <v>78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5" t="s">
        <v>50</v>
      </c>
      <c r="B93" s="28"/>
      <c r="C93" s="28"/>
      <c r="D93" s="28"/>
      <c r="E93" s="34" t="s">
        <v>79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5" t="s">
        <v>80</v>
      </c>
      <c r="B94" s="28"/>
      <c r="C94" s="28"/>
      <c r="D94" s="28"/>
      <c r="E94" s="34" t="s">
        <v>81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5" t="s">
        <v>82</v>
      </c>
      <c r="B95" s="28"/>
      <c r="C95" s="28"/>
      <c r="D95" s="28"/>
      <c r="E95" s="34" t="s">
        <v>83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5" t="s">
        <v>11</v>
      </c>
      <c r="B96" s="28"/>
      <c r="C96" s="28"/>
      <c r="D96" s="28"/>
      <c r="E96" s="34" t="s">
        <v>84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</sheetData>
  <sheetProtection sheet="1" formatCells="0"/>
  <mergeCells count="59">
    <mergeCell ref="E96:V96"/>
    <mergeCell ref="A89:D89"/>
    <mergeCell ref="A81:E81"/>
    <mergeCell ref="P84:R84"/>
    <mergeCell ref="R2:V2"/>
    <mergeCell ref="A3:S3"/>
    <mergeCell ref="A95:D95"/>
    <mergeCell ref="C6:C7"/>
    <mergeCell ref="K6:L6"/>
    <mergeCell ref="D6:D7"/>
    <mergeCell ref="P6:R6"/>
    <mergeCell ref="A1:V1"/>
    <mergeCell ref="A85:E85"/>
    <mergeCell ref="T3:V3"/>
    <mergeCell ref="E93:V93"/>
    <mergeCell ref="G79:K79"/>
    <mergeCell ref="A90:D90"/>
    <mergeCell ref="E95:V95"/>
    <mergeCell ref="P2:Q2"/>
    <mergeCell ref="E89:V89"/>
    <mergeCell ref="W6:W7"/>
    <mergeCell ref="E6:E7"/>
    <mergeCell ref="A67:V67"/>
    <mergeCell ref="A84:E84"/>
    <mergeCell ref="K84:L84"/>
    <mergeCell ref="B6:B7"/>
    <mergeCell ref="G78:K78"/>
    <mergeCell ref="E91:V91"/>
    <mergeCell ref="A94:D94"/>
    <mergeCell ref="A88:D88"/>
    <mergeCell ref="E94:V94"/>
    <mergeCell ref="A8:V8"/>
    <mergeCell ref="A96:D96"/>
    <mergeCell ref="A6:A7"/>
    <mergeCell ref="F6:J6"/>
    <mergeCell ref="M6:O6"/>
    <mergeCell ref="F84:J84"/>
    <mergeCell ref="A93:D93"/>
    <mergeCell ref="V6:V7"/>
    <mergeCell ref="A79:E79"/>
    <mergeCell ref="S6:U6"/>
    <mergeCell ref="A87:E87"/>
    <mergeCell ref="A78:E78"/>
    <mergeCell ref="A13:V13"/>
    <mergeCell ref="S84:U84"/>
    <mergeCell ref="E90:V90"/>
    <mergeCell ref="E92:V92"/>
    <mergeCell ref="E88:V88"/>
    <mergeCell ref="A83:E83"/>
    <mergeCell ref="A91:D91"/>
    <mergeCell ref="G2:H2"/>
    <mergeCell ref="A82:E82"/>
    <mergeCell ref="I2:J2"/>
    <mergeCell ref="M84:O84"/>
    <mergeCell ref="A4:V4"/>
    <mergeCell ref="A2:F2"/>
    <mergeCell ref="K2:M2"/>
    <mergeCell ref="N2:O2"/>
    <mergeCell ref="A92:D92"/>
  </mergeCells>
  <conditionalFormatting sqref="F9:J76">
    <cfRule type="expression" dxfId="98" priority="1">
      <formula>AND(F9&lt;&gt;"",COUNTIF($F9:$J9,"X")&gt;1)</formula>
    </cfRule>
  </conditionalFormatting>
  <conditionalFormatting sqref="F84:U84">
    <cfRule type="expression" dxfId="97" priority="8">
      <formula>LEFT(F84,4)="ERRO"</formula>
    </cfRule>
    <cfRule type="expression" dxfId="96" priority="9">
      <formula>LEFT(F84,2)="OK"</formula>
    </cfRule>
  </conditionalFormatting>
  <conditionalFormatting sqref="K9:L76">
    <cfRule type="expression" dxfId="95" priority="2">
      <formula>AND(K9&lt;&gt;"",COUNTIF($K9:$L9,"X")&gt;1)</formula>
    </cfRule>
  </conditionalFormatting>
  <conditionalFormatting sqref="M9:O76">
    <cfRule type="expression" dxfId="94" priority="3">
      <formula>AND(M9&lt;&gt;"",COUNTIF($M9:$O9,"X")&gt;1)</formula>
    </cfRule>
  </conditionalFormatting>
  <conditionalFormatting sqref="P9:R76">
    <cfRule type="expression" dxfId="93" priority="4">
      <formula>AND(P9&lt;&gt;"",COUNTIF($P9:$R9,"X")&gt;1)</formula>
    </cfRule>
  </conditionalFormatting>
  <conditionalFormatting sqref="S9:U76">
    <cfRule type="expression" dxfId="92" priority="5">
      <formula>AND(S9&lt;&gt;"",COUNTIF($S9:$U9,"X")&gt;1)</formula>
    </cfRule>
  </conditionalFormatting>
  <conditionalFormatting sqref="W9:W76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6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6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6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6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6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76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226</oddHeader>
    <oddFooter>&amp;L&amp;7 RTA / MSI — Programa de Manutenção Rodoviária&amp;C&amp;7 Página &amp;P de &amp;N&amp;R&amp;7 Impresso em &amp;D</oddFooter>
  </headerFooter>
  <rowBreaks count="1" manualBreakCount="1">
    <brk id="79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 t="e">
        <f t="shared" ref="Y2:AN2" si="0">IF(F63=0,NA(),F63)</f>
        <v>#N/A</v>
      </c>
      <c r="Z2" s="2">
        <f t="shared" si="0"/>
        <v>37.060747483590006</v>
      </c>
      <c r="AA2" s="2">
        <f t="shared" si="0"/>
        <v>6.0971139438000002</v>
      </c>
      <c r="AB2" s="2" t="e">
        <f t="shared" si="0"/>
        <v>#N/A</v>
      </c>
      <c r="AC2" s="2" t="e">
        <f t="shared" si="0"/>
        <v>#N/A</v>
      </c>
      <c r="AD2" s="2">
        <f t="shared" si="0"/>
        <v>43.157861427390003</v>
      </c>
      <c r="AE2" s="2" t="e">
        <f t="shared" si="0"/>
        <v>#N/A</v>
      </c>
      <c r="AF2" s="2">
        <f t="shared" si="0"/>
        <v>2.8557688138100001</v>
      </c>
      <c r="AG2" s="2">
        <f t="shared" si="0"/>
        <v>29.302092613580001</v>
      </c>
      <c r="AH2" s="2" t="e">
        <f t="shared" si="0"/>
        <v>#N/A</v>
      </c>
      <c r="AI2" s="2" t="e">
        <f t="shared" si="0"/>
        <v>#N/A</v>
      </c>
      <c r="AJ2" s="2">
        <f t="shared" si="0"/>
        <v>41.302092613580001</v>
      </c>
      <c r="AK2" s="2">
        <f t="shared" si="0"/>
        <v>1.8557688138099999</v>
      </c>
      <c r="AL2" s="2">
        <f t="shared" si="0"/>
        <v>8.9931636998800002</v>
      </c>
      <c r="AM2" s="2">
        <f t="shared" si="0"/>
        <v>34.164697727510003</v>
      </c>
      <c r="AN2" s="2" t="e">
        <f t="shared" si="0"/>
        <v>#N/A</v>
      </c>
    </row>
    <row r="3" spans="1:40" ht="15" customHeight="1" x14ac:dyDescent="0.25">
      <c r="A3" s="48" t="s">
        <v>97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98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99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100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/>
      <c r="R9" s="15" t="s">
        <v>59</v>
      </c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100</v>
      </c>
      <c r="B10" s="19" t="s">
        <v>58</v>
      </c>
      <c r="C10" s="20">
        <v>1</v>
      </c>
      <c r="D10" s="20">
        <v>1.8557688138099999</v>
      </c>
      <c r="E10" s="20">
        <f>D10-C10</f>
        <v>0.85576881380999992</v>
      </c>
      <c r="F10" s="21"/>
      <c r="G10" s="21"/>
      <c r="H10" s="21" t="s">
        <v>59</v>
      </c>
      <c r="I10" s="21"/>
      <c r="J10" s="21"/>
      <c r="K10" s="21" t="s">
        <v>59</v>
      </c>
      <c r="L10" s="21"/>
      <c r="M10" s="21" t="s">
        <v>59</v>
      </c>
      <c r="N10" s="21"/>
      <c r="O10" s="21"/>
      <c r="P10" s="21"/>
      <c r="Q10" s="21"/>
      <c r="R10" s="21" t="s">
        <v>59</v>
      </c>
      <c r="S10" s="21"/>
      <c r="T10" s="21" t="s">
        <v>59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9" t="s">
        <v>101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102</v>
      </c>
      <c r="B12" s="13" t="s">
        <v>58</v>
      </c>
      <c r="C12" s="14">
        <v>0</v>
      </c>
      <c r="D12" s="14">
        <v>1</v>
      </c>
      <c r="E12" s="14">
        <f>D12-C12</f>
        <v>1</v>
      </c>
      <c r="F12" s="15"/>
      <c r="G12" s="15"/>
      <c r="H12" s="15" t="s">
        <v>59</v>
      </c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102</v>
      </c>
      <c r="B13" s="19" t="s">
        <v>58</v>
      </c>
      <c r="C13" s="20">
        <v>1</v>
      </c>
      <c r="D13" s="20">
        <v>1.24134512999</v>
      </c>
      <c r="E13" s="20">
        <f>D13-C13</f>
        <v>0.24134512999000002</v>
      </c>
      <c r="F13" s="21"/>
      <c r="G13" s="21"/>
      <c r="H13" s="21" t="s">
        <v>59</v>
      </c>
      <c r="I13" s="21"/>
      <c r="J13" s="21"/>
      <c r="K13" s="21" t="s">
        <v>59</v>
      </c>
      <c r="L13" s="21"/>
      <c r="M13" s="21"/>
      <c r="N13" s="21" t="s">
        <v>59</v>
      </c>
      <c r="O13" s="21"/>
      <c r="P13" s="21"/>
      <c r="Q13" s="21" t="s">
        <v>59</v>
      </c>
      <c r="R13" s="21"/>
      <c r="S13" s="21"/>
      <c r="T13" s="21" t="s">
        <v>59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9" t="s">
        <v>103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0"/>
      <c r="W14" s="4"/>
    </row>
    <row r="15" spans="1:40" ht="20.100000000000001" customHeight="1" x14ac:dyDescent="0.25">
      <c r="A15" s="12" t="s">
        <v>104</v>
      </c>
      <c r="B15" s="13" t="s">
        <v>58</v>
      </c>
      <c r="C15" s="14">
        <v>0</v>
      </c>
      <c r="D15" s="14">
        <v>1</v>
      </c>
      <c r="E15" s="14">
        <f t="shared" ref="E15:E24" si="1">D15-C15</f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/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ref="W15:W24" si="2"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FALTA/DUPLA: ELEM. DE DRENAGEM</v>
      </c>
    </row>
    <row r="16" spans="1:40" ht="20.100000000000001" customHeight="1" x14ac:dyDescent="0.25">
      <c r="A16" s="12" t="s">
        <v>104</v>
      </c>
      <c r="B16" s="13" t="s">
        <v>58</v>
      </c>
      <c r="C16" s="14">
        <v>1</v>
      </c>
      <c r="D16" s="14">
        <v>2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/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FALTA/DUPLA: ELEM. DE DRENAGEM</v>
      </c>
    </row>
    <row r="17" spans="1:23" ht="20.100000000000001" customHeight="1" x14ac:dyDescent="0.25">
      <c r="A17" s="12" t="s">
        <v>104</v>
      </c>
      <c r="B17" s="13" t="s">
        <v>58</v>
      </c>
      <c r="C17" s="14">
        <v>2</v>
      </c>
      <c r="D17" s="14">
        <v>3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/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FALTA/DUPLA: ELEM. DE DRENAGEM</v>
      </c>
    </row>
    <row r="18" spans="1:23" ht="20.100000000000001" customHeight="1" x14ac:dyDescent="0.25">
      <c r="A18" s="12" t="s">
        <v>104</v>
      </c>
      <c r="B18" s="13" t="s">
        <v>58</v>
      </c>
      <c r="C18" s="14">
        <v>3</v>
      </c>
      <c r="D18" s="14">
        <v>4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/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FALTA/DUPLA: ELEM. DE DRENAGEM</v>
      </c>
    </row>
    <row r="19" spans="1:23" ht="20.100000000000001" customHeight="1" x14ac:dyDescent="0.25">
      <c r="A19" s="12" t="s">
        <v>104</v>
      </c>
      <c r="B19" s="13" t="s">
        <v>58</v>
      </c>
      <c r="C19" s="14">
        <v>4</v>
      </c>
      <c r="D19" s="14">
        <v>5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/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FALTA/DUPLA: ELEM. DE DRENAGEM</v>
      </c>
    </row>
    <row r="20" spans="1:23" ht="20.100000000000001" customHeight="1" x14ac:dyDescent="0.25">
      <c r="A20" s="12" t="s">
        <v>104</v>
      </c>
      <c r="B20" s="13" t="s">
        <v>58</v>
      </c>
      <c r="C20" s="14">
        <v>5</v>
      </c>
      <c r="D20" s="14">
        <v>6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104</v>
      </c>
      <c r="B21" s="13" t="s">
        <v>58</v>
      </c>
      <c r="C21" s="14">
        <v>6</v>
      </c>
      <c r="D21" s="14">
        <v>7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104</v>
      </c>
      <c r="B22" s="13" t="s">
        <v>58</v>
      </c>
      <c r="C22" s="14">
        <v>7</v>
      </c>
      <c r="D22" s="14">
        <v>8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104</v>
      </c>
      <c r="B23" s="13" t="s">
        <v>58</v>
      </c>
      <c r="C23" s="14">
        <v>8</v>
      </c>
      <c r="D23" s="14">
        <v>9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104</v>
      </c>
      <c r="B24" s="19" t="s">
        <v>58</v>
      </c>
      <c r="C24" s="20">
        <v>9</v>
      </c>
      <c r="D24" s="20">
        <v>9.5427730781100006</v>
      </c>
      <c r="E24" s="20">
        <f t="shared" si="1"/>
        <v>0.54277307811000064</v>
      </c>
      <c r="F24" s="21"/>
      <c r="G24" s="21" t="s">
        <v>59</v>
      </c>
      <c r="H24" s="21"/>
      <c r="I24" s="21"/>
      <c r="J24" s="21"/>
      <c r="K24" s="21" t="s">
        <v>59</v>
      </c>
      <c r="L24" s="21"/>
      <c r="M24" s="21"/>
      <c r="N24" s="21" t="s">
        <v>59</v>
      </c>
      <c r="O24" s="21"/>
      <c r="P24" s="21"/>
      <c r="Q24" s="21" t="s">
        <v>59</v>
      </c>
      <c r="R24" s="21"/>
      <c r="S24" s="21"/>
      <c r="T24" s="21" t="s">
        <v>59</v>
      </c>
      <c r="U24" s="21"/>
      <c r="V24" s="22"/>
      <c r="W24" s="23" t="str">
        <f t="shared" si="2"/>
        <v>OK</v>
      </c>
    </row>
    <row r="25" spans="1:23" ht="15.95" customHeight="1" x14ac:dyDescent="0.25">
      <c r="A25" s="39" t="s">
        <v>105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0"/>
      <c r="W25" s="4"/>
    </row>
    <row r="26" spans="1:23" ht="20.100000000000001" customHeight="1" x14ac:dyDescent="0.25">
      <c r="A26" s="12" t="s">
        <v>106</v>
      </c>
      <c r="B26" s="13" t="s">
        <v>58</v>
      </c>
      <c r="C26" s="14">
        <v>0</v>
      </c>
      <c r="D26" s="14">
        <v>1</v>
      </c>
      <c r="E26" s="14">
        <f t="shared" ref="E26:E47" si="3">D26-C26</f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 t="s">
        <v>59</v>
      </c>
      <c r="N26" s="15"/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ref="W26:W47" si="4"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2" t="s">
        <v>106</v>
      </c>
      <c r="B27" s="13" t="s">
        <v>58</v>
      </c>
      <c r="C27" s="14">
        <v>1</v>
      </c>
      <c r="D27" s="14">
        <v>2</v>
      </c>
      <c r="E27" s="14">
        <f t="shared" si="3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106</v>
      </c>
      <c r="B28" s="13" t="s">
        <v>58</v>
      </c>
      <c r="C28" s="14">
        <v>2</v>
      </c>
      <c r="D28" s="14">
        <v>3</v>
      </c>
      <c r="E28" s="14">
        <f t="shared" si="3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106</v>
      </c>
      <c r="B29" s="13" t="s">
        <v>58</v>
      </c>
      <c r="C29" s="14">
        <v>3</v>
      </c>
      <c r="D29" s="14">
        <v>4</v>
      </c>
      <c r="E29" s="14">
        <f t="shared" si="3"/>
        <v>1</v>
      </c>
      <c r="F29" s="15"/>
      <c r="G29" s="15"/>
      <c r="H29" s="15" t="s">
        <v>59</v>
      </c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106</v>
      </c>
      <c r="B30" s="13" t="s">
        <v>58</v>
      </c>
      <c r="C30" s="14">
        <v>4</v>
      </c>
      <c r="D30" s="14">
        <v>5</v>
      </c>
      <c r="E30" s="14">
        <f t="shared" si="3"/>
        <v>1</v>
      </c>
      <c r="F30" s="15"/>
      <c r="G30" s="15" t="s">
        <v>59</v>
      </c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106</v>
      </c>
      <c r="B31" s="13" t="s">
        <v>58</v>
      </c>
      <c r="C31" s="14">
        <v>5</v>
      </c>
      <c r="D31" s="14">
        <v>6</v>
      </c>
      <c r="E31" s="14">
        <f t="shared" si="3"/>
        <v>1</v>
      </c>
      <c r="F31" s="15"/>
      <c r="G31" s="15" t="s">
        <v>59</v>
      </c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106</v>
      </c>
      <c r="B32" s="13" t="s">
        <v>58</v>
      </c>
      <c r="C32" s="14">
        <v>6</v>
      </c>
      <c r="D32" s="14">
        <v>7</v>
      </c>
      <c r="E32" s="14">
        <f t="shared" si="3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106</v>
      </c>
      <c r="B33" s="13" t="s">
        <v>58</v>
      </c>
      <c r="C33" s="14">
        <v>7</v>
      </c>
      <c r="D33" s="14">
        <v>8</v>
      </c>
      <c r="E33" s="14">
        <f t="shared" si="3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106</v>
      </c>
      <c r="B34" s="13" t="s">
        <v>58</v>
      </c>
      <c r="C34" s="14">
        <v>8</v>
      </c>
      <c r="D34" s="14">
        <v>9</v>
      </c>
      <c r="E34" s="14">
        <f t="shared" si="3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106</v>
      </c>
      <c r="B35" s="13" t="s">
        <v>58</v>
      </c>
      <c r="C35" s="14">
        <v>9</v>
      </c>
      <c r="D35" s="14">
        <v>10</v>
      </c>
      <c r="E35" s="14">
        <f t="shared" si="3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/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4"/>
        <v>FALTA/DUPLA: ELEM. DE DRENAGEM</v>
      </c>
    </row>
    <row r="36" spans="1:23" ht="20.100000000000001" customHeight="1" x14ac:dyDescent="0.25">
      <c r="A36" s="12" t="s">
        <v>106</v>
      </c>
      <c r="B36" s="13" t="s">
        <v>58</v>
      </c>
      <c r="C36" s="14">
        <v>10</v>
      </c>
      <c r="D36" s="14">
        <v>11</v>
      </c>
      <c r="E36" s="14">
        <f t="shared" si="3"/>
        <v>1</v>
      </c>
      <c r="F36" s="15"/>
      <c r="G36" s="15" t="s">
        <v>59</v>
      </c>
      <c r="H36" s="15"/>
      <c r="I36" s="15"/>
      <c r="J36" s="15"/>
      <c r="K36" s="15" t="s">
        <v>59</v>
      </c>
      <c r="L36" s="15"/>
      <c r="M36" s="15"/>
      <c r="N36" s="15"/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4"/>
        <v>FALTA/DUPLA: ELEM. DE DRENAGEM</v>
      </c>
    </row>
    <row r="37" spans="1:23" ht="20.100000000000001" customHeight="1" x14ac:dyDescent="0.25">
      <c r="A37" s="12" t="s">
        <v>106</v>
      </c>
      <c r="B37" s="13" t="s">
        <v>58</v>
      </c>
      <c r="C37" s="14">
        <v>11</v>
      </c>
      <c r="D37" s="14">
        <v>12</v>
      </c>
      <c r="E37" s="14">
        <f t="shared" si="3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/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4"/>
        <v>FALTA/DUPLA: ELEM. DE DRENAGEM</v>
      </c>
    </row>
    <row r="38" spans="1:23" ht="20.100000000000001" customHeight="1" x14ac:dyDescent="0.25">
      <c r="A38" s="12" t="s">
        <v>106</v>
      </c>
      <c r="B38" s="13" t="s">
        <v>58</v>
      </c>
      <c r="C38" s="14">
        <v>12</v>
      </c>
      <c r="D38" s="14">
        <v>13</v>
      </c>
      <c r="E38" s="14">
        <f t="shared" si="3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/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4"/>
        <v>FALTA/DUPLA: ELEM. DE DRENAGEM</v>
      </c>
    </row>
    <row r="39" spans="1:23" ht="20.100000000000001" customHeight="1" x14ac:dyDescent="0.25">
      <c r="A39" s="12" t="s">
        <v>106</v>
      </c>
      <c r="B39" s="13" t="s">
        <v>58</v>
      </c>
      <c r="C39" s="14">
        <v>13</v>
      </c>
      <c r="D39" s="14">
        <v>14</v>
      </c>
      <c r="E39" s="14">
        <f t="shared" si="3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/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4"/>
        <v>FALTA/DUPLA: ELEM. DE DRENAGEM</v>
      </c>
    </row>
    <row r="40" spans="1:23" ht="20.100000000000001" customHeight="1" x14ac:dyDescent="0.25">
      <c r="A40" s="12" t="s">
        <v>106</v>
      </c>
      <c r="B40" s="13" t="s">
        <v>58</v>
      </c>
      <c r="C40" s="14">
        <v>14</v>
      </c>
      <c r="D40" s="14">
        <v>15</v>
      </c>
      <c r="E40" s="14">
        <f t="shared" si="3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/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4"/>
        <v>FALTA/DUPLA: ELEM. DE DRENAGEM</v>
      </c>
    </row>
    <row r="41" spans="1:23" ht="20.100000000000001" customHeight="1" x14ac:dyDescent="0.25">
      <c r="A41" s="12" t="s">
        <v>106</v>
      </c>
      <c r="B41" s="13" t="s">
        <v>58</v>
      </c>
      <c r="C41" s="14">
        <v>15</v>
      </c>
      <c r="D41" s="14">
        <v>16</v>
      </c>
      <c r="E41" s="14">
        <f t="shared" si="3"/>
        <v>1</v>
      </c>
      <c r="F41" s="15"/>
      <c r="G41" s="15"/>
      <c r="H41" s="15" t="s">
        <v>59</v>
      </c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106</v>
      </c>
      <c r="B42" s="13" t="s">
        <v>58</v>
      </c>
      <c r="C42" s="14">
        <v>16</v>
      </c>
      <c r="D42" s="14">
        <v>17</v>
      </c>
      <c r="E42" s="14">
        <f t="shared" si="3"/>
        <v>1</v>
      </c>
      <c r="F42" s="15"/>
      <c r="G42" s="15"/>
      <c r="H42" s="15" t="s">
        <v>59</v>
      </c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106</v>
      </c>
      <c r="B43" s="13" t="s">
        <v>58</v>
      </c>
      <c r="C43" s="14">
        <v>17</v>
      </c>
      <c r="D43" s="14">
        <v>18</v>
      </c>
      <c r="E43" s="14">
        <f t="shared" si="3"/>
        <v>1</v>
      </c>
      <c r="F43" s="15"/>
      <c r="G43" s="15" t="s">
        <v>59</v>
      </c>
      <c r="H43" s="15"/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106</v>
      </c>
      <c r="B44" s="13" t="s">
        <v>58</v>
      </c>
      <c r="C44" s="14">
        <v>18</v>
      </c>
      <c r="D44" s="14">
        <v>19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106</v>
      </c>
      <c r="B45" s="13" t="s">
        <v>58</v>
      </c>
      <c r="C45" s="14">
        <v>19</v>
      </c>
      <c r="D45" s="14">
        <v>20</v>
      </c>
      <c r="E45" s="14">
        <f t="shared" si="3"/>
        <v>1</v>
      </c>
      <c r="F45" s="15"/>
      <c r="G45" s="15" t="s">
        <v>59</v>
      </c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106</v>
      </c>
      <c r="B46" s="13" t="s">
        <v>58</v>
      </c>
      <c r="C46" s="14">
        <v>20</v>
      </c>
      <c r="D46" s="14">
        <v>21</v>
      </c>
      <c r="E46" s="14">
        <f t="shared" si="3"/>
        <v>1</v>
      </c>
      <c r="F46" s="15"/>
      <c r="G46" s="15" t="s">
        <v>59</v>
      </c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8" t="s">
        <v>106</v>
      </c>
      <c r="B47" s="19" t="s">
        <v>58</v>
      </c>
      <c r="C47" s="20">
        <v>21</v>
      </c>
      <c r="D47" s="20">
        <v>21.5248107056</v>
      </c>
      <c r="E47" s="20">
        <f t="shared" si="3"/>
        <v>0.5248107056000002</v>
      </c>
      <c r="F47" s="21"/>
      <c r="G47" s="21" t="s">
        <v>59</v>
      </c>
      <c r="H47" s="21"/>
      <c r="I47" s="21"/>
      <c r="J47" s="21"/>
      <c r="K47" s="21" t="s">
        <v>59</v>
      </c>
      <c r="L47" s="21"/>
      <c r="M47" s="21"/>
      <c r="N47" s="21" t="s">
        <v>59</v>
      </c>
      <c r="O47" s="21"/>
      <c r="P47" s="21"/>
      <c r="Q47" s="21" t="s">
        <v>59</v>
      </c>
      <c r="R47" s="21"/>
      <c r="S47" s="21"/>
      <c r="T47" s="21" t="s">
        <v>59</v>
      </c>
      <c r="U47" s="21"/>
      <c r="V47" s="22"/>
      <c r="W47" s="23" t="str">
        <f t="shared" si="4"/>
        <v>OK</v>
      </c>
    </row>
    <row r="48" spans="1:23" ht="15.95" customHeight="1" x14ac:dyDescent="0.25">
      <c r="A48" s="39" t="s">
        <v>107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0"/>
      <c r="W48" s="4"/>
    </row>
    <row r="49" spans="1:23" ht="20.100000000000001" customHeight="1" x14ac:dyDescent="0.25">
      <c r="A49" s="12" t="s">
        <v>108</v>
      </c>
      <c r="B49" s="13" t="s">
        <v>58</v>
      </c>
      <c r="C49" s="14">
        <v>0</v>
      </c>
      <c r="D49" s="14">
        <v>1</v>
      </c>
      <c r="E49" s="14">
        <f t="shared" ref="E49:E57" si="5">D49-C49</f>
        <v>1</v>
      </c>
      <c r="F49" s="15"/>
      <c r="G49" s="15" t="s">
        <v>59</v>
      </c>
      <c r="H49" s="15"/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 t="s">
        <v>59</v>
      </c>
      <c r="T49" s="15"/>
      <c r="U49" s="15"/>
      <c r="V49" s="16"/>
      <c r="W49" s="17" t="str">
        <f t="shared" ref="W49:W57" si="6"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108</v>
      </c>
      <c r="B50" s="13" t="s">
        <v>58</v>
      </c>
      <c r="C50" s="14">
        <v>1</v>
      </c>
      <c r="D50" s="14">
        <v>2</v>
      </c>
      <c r="E50" s="14">
        <f t="shared" si="5"/>
        <v>1</v>
      </c>
      <c r="F50" s="15"/>
      <c r="G50" s="15" t="s">
        <v>59</v>
      </c>
      <c r="H50" s="15"/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 t="s">
        <v>59</v>
      </c>
      <c r="T50" s="15"/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108</v>
      </c>
      <c r="B51" s="13" t="s">
        <v>58</v>
      </c>
      <c r="C51" s="14">
        <v>2</v>
      </c>
      <c r="D51" s="14">
        <v>3</v>
      </c>
      <c r="E51" s="14">
        <f t="shared" si="5"/>
        <v>1</v>
      </c>
      <c r="F51" s="15"/>
      <c r="G51" s="15" t="s">
        <v>59</v>
      </c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 t="s">
        <v>59</v>
      </c>
      <c r="T51" s="15"/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108</v>
      </c>
      <c r="B52" s="13" t="s">
        <v>58</v>
      </c>
      <c r="C52" s="14">
        <v>3</v>
      </c>
      <c r="D52" s="14">
        <v>4</v>
      </c>
      <c r="E52" s="14">
        <f t="shared" si="5"/>
        <v>1</v>
      </c>
      <c r="F52" s="15"/>
      <c r="G52" s="15" t="s">
        <v>59</v>
      </c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 t="s">
        <v>59</v>
      </c>
      <c r="T52" s="15"/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108</v>
      </c>
      <c r="B53" s="13" t="s">
        <v>58</v>
      </c>
      <c r="C53" s="14">
        <v>4</v>
      </c>
      <c r="D53" s="14">
        <v>5</v>
      </c>
      <c r="E53" s="14">
        <f t="shared" si="5"/>
        <v>1</v>
      </c>
      <c r="F53" s="15"/>
      <c r="G53" s="15" t="s">
        <v>59</v>
      </c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 t="s">
        <v>59</v>
      </c>
      <c r="T53" s="15"/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108</v>
      </c>
      <c r="B54" s="13" t="s">
        <v>58</v>
      </c>
      <c r="C54" s="14">
        <v>5</v>
      </c>
      <c r="D54" s="14">
        <v>6</v>
      </c>
      <c r="E54" s="14">
        <f t="shared" si="5"/>
        <v>1</v>
      </c>
      <c r="F54" s="15"/>
      <c r="G54" s="15" t="s">
        <v>59</v>
      </c>
      <c r="H54" s="15"/>
      <c r="I54" s="15"/>
      <c r="J54" s="15"/>
      <c r="K54" s="15" t="s">
        <v>59</v>
      </c>
      <c r="L54" s="15"/>
      <c r="M54" s="15"/>
      <c r="N54" s="15" t="s">
        <v>59</v>
      </c>
      <c r="O54" s="15"/>
      <c r="P54" s="15"/>
      <c r="Q54" s="15" t="s">
        <v>59</v>
      </c>
      <c r="R54" s="15"/>
      <c r="S54" s="15" t="s">
        <v>59</v>
      </c>
      <c r="T54" s="15"/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108</v>
      </c>
      <c r="B55" s="13" t="s">
        <v>58</v>
      </c>
      <c r="C55" s="14">
        <v>6</v>
      </c>
      <c r="D55" s="14">
        <v>7</v>
      </c>
      <c r="E55" s="14">
        <f t="shared" si="5"/>
        <v>1</v>
      </c>
      <c r="F55" s="15"/>
      <c r="G55" s="15" t="s">
        <v>59</v>
      </c>
      <c r="H55" s="15"/>
      <c r="I55" s="15"/>
      <c r="J55" s="15"/>
      <c r="K55" s="15" t="s">
        <v>59</v>
      </c>
      <c r="L55" s="15"/>
      <c r="M55" s="15"/>
      <c r="N55" s="15" t="s">
        <v>59</v>
      </c>
      <c r="O55" s="15"/>
      <c r="P55" s="15"/>
      <c r="Q55" s="15" t="s">
        <v>59</v>
      </c>
      <c r="R55" s="15"/>
      <c r="S55" s="15" t="s">
        <v>59</v>
      </c>
      <c r="T55" s="15"/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108</v>
      </c>
      <c r="B56" s="13" t="s">
        <v>58</v>
      </c>
      <c r="C56" s="14">
        <v>7</v>
      </c>
      <c r="D56" s="14">
        <v>8</v>
      </c>
      <c r="E56" s="14">
        <f t="shared" si="5"/>
        <v>1</v>
      </c>
      <c r="F56" s="15"/>
      <c r="G56" s="15" t="s">
        <v>59</v>
      </c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 t="s">
        <v>59</v>
      </c>
      <c r="T56" s="15"/>
      <c r="U56" s="15"/>
      <c r="V56" s="16"/>
      <c r="W56" s="17" t="str">
        <f t="shared" si="6"/>
        <v>OK</v>
      </c>
    </row>
    <row r="57" spans="1:23" ht="20.100000000000001" customHeight="1" x14ac:dyDescent="0.25">
      <c r="A57" s="18" t="s">
        <v>108</v>
      </c>
      <c r="B57" s="19" t="s">
        <v>58</v>
      </c>
      <c r="C57" s="20">
        <v>8</v>
      </c>
      <c r="D57" s="20">
        <v>8.9931636998800002</v>
      </c>
      <c r="E57" s="20">
        <f t="shared" si="5"/>
        <v>0.99316369988000019</v>
      </c>
      <c r="F57" s="21"/>
      <c r="G57" s="21" t="s">
        <v>59</v>
      </c>
      <c r="H57" s="21"/>
      <c r="I57" s="21"/>
      <c r="J57" s="21"/>
      <c r="K57" s="21" t="s">
        <v>59</v>
      </c>
      <c r="L57" s="21"/>
      <c r="M57" s="21"/>
      <c r="N57" s="21" t="s">
        <v>59</v>
      </c>
      <c r="O57" s="21"/>
      <c r="P57" s="21"/>
      <c r="Q57" s="21" t="s">
        <v>59</v>
      </c>
      <c r="R57" s="21"/>
      <c r="S57" s="21" t="s">
        <v>59</v>
      </c>
      <c r="T57" s="21"/>
      <c r="U57" s="21"/>
      <c r="V57" s="22"/>
      <c r="W57" s="23" t="str">
        <f t="shared" si="6"/>
        <v>OK</v>
      </c>
    </row>
    <row r="59" spans="1:23" x14ac:dyDescent="0.25">
      <c r="A59" s="43" t="s">
        <v>60</v>
      </c>
      <c r="B59" s="28"/>
      <c r="C59" s="28"/>
      <c r="D59" s="28"/>
      <c r="E59" s="28"/>
      <c r="G59" s="43" t="s">
        <v>60</v>
      </c>
      <c r="H59" s="28"/>
      <c r="I59" s="28"/>
      <c r="J59" s="28"/>
      <c r="K59" s="28"/>
    </row>
    <row r="60" spans="1:23" x14ac:dyDescent="0.25">
      <c r="A60" s="41" t="s">
        <v>61</v>
      </c>
      <c r="B60" s="28"/>
      <c r="C60" s="28"/>
      <c r="D60" s="28"/>
      <c r="E60" s="28"/>
      <c r="G60" s="41" t="s">
        <v>62</v>
      </c>
      <c r="H60" s="28"/>
      <c r="I60" s="28"/>
      <c r="J60" s="28"/>
      <c r="K60" s="28"/>
    </row>
    <row r="62" spans="1:23" x14ac:dyDescent="0.25">
      <c r="A62" s="49" t="s">
        <v>63</v>
      </c>
      <c r="B62" s="28"/>
      <c r="C62" s="28"/>
      <c r="D62" s="28"/>
      <c r="E62" s="28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3" x14ac:dyDescent="0.25">
      <c r="A63" s="35" t="s">
        <v>64</v>
      </c>
      <c r="B63" s="28"/>
      <c r="C63" s="28"/>
      <c r="D63" s="28"/>
      <c r="E63" s="28"/>
      <c r="F63" s="9">
        <f t="shared" ref="F63:U63" si="7">SUMIF(F$9:F$57,"X",$E$9:$E$57)</f>
        <v>0</v>
      </c>
      <c r="G63" s="9">
        <f t="shared" si="7"/>
        <v>37.060747483590006</v>
      </c>
      <c r="H63" s="9">
        <f t="shared" si="7"/>
        <v>6.0971139438000002</v>
      </c>
      <c r="I63" s="9">
        <f t="shared" si="7"/>
        <v>0</v>
      </c>
      <c r="J63" s="9">
        <f t="shared" si="7"/>
        <v>0</v>
      </c>
      <c r="K63" s="9">
        <f t="shared" si="7"/>
        <v>43.157861427390003</v>
      </c>
      <c r="L63" s="9">
        <f t="shared" si="7"/>
        <v>0</v>
      </c>
      <c r="M63" s="9">
        <f t="shared" si="7"/>
        <v>2.8557688138100001</v>
      </c>
      <c r="N63" s="9">
        <f t="shared" si="7"/>
        <v>29.302092613580001</v>
      </c>
      <c r="O63" s="9">
        <f t="shared" si="7"/>
        <v>0</v>
      </c>
      <c r="P63" s="9">
        <f t="shared" si="7"/>
        <v>0</v>
      </c>
      <c r="Q63" s="9">
        <f t="shared" si="7"/>
        <v>41.302092613580001</v>
      </c>
      <c r="R63" s="9">
        <f t="shared" si="7"/>
        <v>1.8557688138099999</v>
      </c>
      <c r="S63" s="9">
        <f t="shared" si="7"/>
        <v>8.9931636998800002</v>
      </c>
      <c r="T63" s="9">
        <f t="shared" si="7"/>
        <v>34.164697727510003</v>
      </c>
      <c r="U63" s="9">
        <f t="shared" si="7"/>
        <v>0</v>
      </c>
    </row>
    <row r="64" spans="1:23" x14ac:dyDescent="0.25">
      <c r="A64" s="35" t="s">
        <v>65</v>
      </c>
      <c r="B64" s="28"/>
      <c r="C64" s="28"/>
      <c r="D64" s="28"/>
      <c r="E64" s="28"/>
      <c r="F64" s="25">
        <f t="shared" ref="F64:U64" si="8">IF($R66=0,0,F63/$R66)</f>
        <v>0</v>
      </c>
      <c r="G64" s="25">
        <f t="shared" si="8"/>
        <v>0.85872529958283605</v>
      </c>
      <c r="H64" s="25">
        <f t="shared" si="8"/>
        <v>0.141274700417164</v>
      </c>
      <c r="I64" s="25">
        <f t="shared" si="8"/>
        <v>0</v>
      </c>
      <c r="J64" s="25">
        <f t="shared" si="8"/>
        <v>0</v>
      </c>
      <c r="K64" s="25">
        <f t="shared" si="8"/>
        <v>1</v>
      </c>
      <c r="L64" s="25">
        <f t="shared" si="8"/>
        <v>0</v>
      </c>
      <c r="M64" s="25">
        <f t="shared" si="8"/>
        <v>6.6170304073445013E-2</v>
      </c>
      <c r="N64" s="25">
        <f t="shared" si="8"/>
        <v>0.67895145042992144</v>
      </c>
      <c r="O64" s="25">
        <f t="shared" si="8"/>
        <v>0</v>
      </c>
      <c r="P64" s="25">
        <f t="shared" si="8"/>
        <v>0</v>
      </c>
      <c r="Q64" s="25">
        <f t="shared" si="8"/>
        <v>0.95700044551715802</v>
      </c>
      <c r="R64" s="25">
        <f t="shared" si="8"/>
        <v>4.2999554482841963E-2</v>
      </c>
      <c r="S64" s="25">
        <f t="shared" si="8"/>
        <v>0.2083783441172207</v>
      </c>
      <c r="T64" s="25">
        <f t="shared" si="8"/>
        <v>0.79162165588277933</v>
      </c>
      <c r="U64" s="25">
        <f t="shared" si="8"/>
        <v>0</v>
      </c>
    </row>
    <row r="65" spans="1:22" x14ac:dyDescent="0.25">
      <c r="A65" s="35" t="s">
        <v>66</v>
      </c>
      <c r="B65" s="28"/>
      <c r="C65" s="28"/>
      <c r="D65" s="28"/>
      <c r="E65" s="28"/>
      <c r="F65" s="45" t="str">
        <f>IF(SUM(F63:J63)=0,"— não preenchido",IF(ROUND(SUM(F63:J63)-$R66,3)=0,"OK — "&amp;ROUND(SUM(F63:J63),3)&amp;" km","ERRO — dif. de "&amp;ROUND(SUM(F63:J63)-$R66,3)&amp;" km"))</f>
        <v>OK — 43,158 km</v>
      </c>
      <c r="G65" s="32"/>
      <c r="H65" s="32"/>
      <c r="I65" s="32"/>
      <c r="J65" s="30"/>
      <c r="K65" s="45" t="str">
        <f>IF(SUM(K63:L63)=0,"— não preenchido",IF(ROUND(SUM(K63:L63)-$R66,3)=0,"OK — "&amp;ROUND(SUM(K63:L63),3)&amp;" km","ERRO — dif. de "&amp;ROUND(SUM(K63:L63)-$R66,3)&amp;" km"))</f>
        <v>OK — 43,158 km</v>
      </c>
      <c r="L65" s="30"/>
      <c r="M65" s="45" t="str">
        <f>IF(SUM(M63:O63)=0,"— não preenchido",IF(ROUND(SUM(M63:O63)-$R66,3)=0,"OK — "&amp;ROUND(SUM(M63:O63),3)&amp;" km","ERRO — dif. de "&amp;ROUND(SUM(M63:O63)-$R66,3)&amp;" km"))</f>
        <v>ERRO — dif. de -11 km</v>
      </c>
      <c r="N65" s="32"/>
      <c r="O65" s="30"/>
      <c r="P65" s="45" t="str">
        <f>IF(SUM(P63:R63)=0,"— não preenchido",IF(ROUND(SUM(P63:R63)-$R66,3)=0,"OK — "&amp;ROUND(SUM(P63:R63),3)&amp;" km","ERRO — dif. de "&amp;ROUND(SUM(P63:R63)-$R66,3)&amp;" km"))</f>
        <v>OK — 43,158 km</v>
      </c>
      <c r="Q65" s="32"/>
      <c r="R65" s="30"/>
      <c r="S65" s="45" t="str">
        <f>IF(SUM(S63:U63)=0,"— não preenchido",IF(ROUND(SUM(S63:U63)-$R66,3)=0,"OK — "&amp;ROUND(SUM(S63:U63),3)&amp;" km","ERRO — dif. de "&amp;ROUND(SUM(S63:U63)-$R66,3)&amp;" km"))</f>
        <v>OK — 43,158 km</v>
      </c>
      <c r="T65" s="32"/>
      <c r="U65" s="30"/>
    </row>
    <row r="66" spans="1:22" x14ac:dyDescent="0.25">
      <c r="A66" s="35" t="s">
        <v>67</v>
      </c>
      <c r="B66" s="28"/>
      <c r="C66" s="28"/>
      <c r="D66" s="28"/>
      <c r="E66" s="28"/>
      <c r="R66" s="26">
        <f>SUM(E9:E57)</f>
        <v>43.157861427390003</v>
      </c>
      <c r="V66" s="8" t="str">
        <f>COUNTIF(W9:W57,"OK")&amp;" de "&amp;COUNT($E$9:$E$57)&amp;" linhas conferidas"</f>
        <v>34 de 45 linhas conferidas</v>
      </c>
    </row>
    <row r="68" spans="1:22" x14ac:dyDescent="0.25">
      <c r="A68" s="44" t="s">
        <v>68</v>
      </c>
      <c r="B68" s="28"/>
      <c r="C68" s="28"/>
      <c r="D68" s="28"/>
      <c r="E68" s="28"/>
    </row>
    <row r="69" spans="1:22" x14ac:dyDescent="0.25">
      <c r="A69" s="35" t="s">
        <v>69</v>
      </c>
      <c r="B69" s="28"/>
      <c r="C69" s="28"/>
      <c r="D69" s="28"/>
      <c r="E69" s="34" t="s">
        <v>70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5" t="s">
        <v>71</v>
      </c>
      <c r="B70" s="28"/>
      <c r="C70" s="28"/>
      <c r="D70" s="28"/>
      <c r="E70" s="34" t="s">
        <v>72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5" t="s">
        <v>73</v>
      </c>
      <c r="B71" s="28"/>
      <c r="C71" s="28"/>
      <c r="D71" s="28"/>
      <c r="E71" s="34" t="s">
        <v>74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75</v>
      </c>
      <c r="B72" s="28"/>
      <c r="C72" s="28"/>
      <c r="D72" s="28"/>
      <c r="E72" s="34" t="s">
        <v>76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5" t="s">
        <v>77</v>
      </c>
      <c r="B73" s="28"/>
      <c r="C73" s="28"/>
      <c r="D73" s="28"/>
      <c r="E73" s="34" t="s">
        <v>78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5" t="s">
        <v>50</v>
      </c>
      <c r="B74" s="28"/>
      <c r="C74" s="28"/>
      <c r="D74" s="28"/>
      <c r="E74" s="34" t="s">
        <v>79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5" t="s">
        <v>80</v>
      </c>
      <c r="B75" s="28"/>
      <c r="C75" s="28"/>
      <c r="D75" s="28"/>
      <c r="E75" s="34" t="s">
        <v>81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82</v>
      </c>
      <c r="B76" s="28"/>
      <c r="C76" s="28"/>
      <c r="D76" s="28"/>
      <c r="E76" s="34" t="s">
        <v>83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11</v>
      </c>
      <c r="B77" s="28"/>
      <c r="C77" s="28"/>
      <c r="D77" s="28"/>
      <c r="E77" s="34" t="s">
        <v>84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</sheetData>
  <sheetProtection sheet="1" formatCells="0"/>
  <mergeCells count="61">
    <mergeCell ref="A1:V1"/>
    <mergeCell ref="E75:V75"/>
    <mergeCell ref="T3:V3"/>
    <mergeCell ref="A25:V25"/>
    <mergeCell ref="A75:D75"/>
    <mergeCell ref="A62:E62"/>
    <mergeCell ref="A74:D74"/>
    <mergeCell ref="K65:L65"/>
    <mergeCell ref="E71:V71"/>
    <mergeCell ref="A68:E68"/>
    <mergeCell ref="A63:E63"/>
    <mergeCell ref="R2:V2"/>
    <mergeCell ref="A3:S3"/>
    <mergeCell ref="C6:C7"/>
    <mergeCell ref="A71:D71"/>
    <mergeCell ref="K6:L6"/>
    <mergeCell ref="W6:W7"/>
    <mergeCell ref="E6:E7"/>
    <mergeCell ref="A73:D73"/>
    <mergeCell ref="A66:E66"/>
    <mergeCell ref="E70:V70"/>
    <mergeCell ref="B6:B7"/>
    <mergeCell ref="A48:V48"/>
    <mergeCell ref="A70:D70"/>
    <mergeCell ref="A11:V11"/>
    <mergeCell ref="A69:D69"/>
    <mergeCell ref="E72:V72"/>
    <mergeCell ref="D6:D7"/>
    <mergeCell ref="G60:K60"/>
    <mergeCell ref="P6:R6"/>
    <mergeCell ref="E74:V74"/>
    <mergeCell ref="K2:M2"/>
    <mergeCell ref="A65:E65"/>
    <mergeCell ref="A77:D77"/>
    <mergeCell ref="E77:V77"/>
    <mergeCell ref="N2:O2"/>
    <mergeCell ref="S65:U65"/>
    <mergeCell ref="P2:Q2"/>
    <mergeCell ref="E76:V76"/>
    <mergeCell ref="A76:D76"/>
    <mergeCell ref="E69:V69"/>
    <mergeCell ref="A4:V4"/>
    <mergeCell ref="V6:V7"/>
    <mergeCell ref="A2:F2"/>
    <mergeCell ref="S6:U6"/>
    <mergeCell ref="E73:V73"/>
    <mergeCell ref="A59:E59"/>
    <mergeCell ref="G59:K59"/>
    <mergeCell ref="P65:R65"/>
    <mergeCell ref="G2:H2"/>
    <mergeCell ref="A64:E64"/>
    <mergeCell ref="F65:J65"/>
    <mergeCell ref="I2:J2"/>
    <mergeCell ref="A60:E60"/>
    <mergeCell ref="A8:V8"/>
    <mergeCell ref="A14:V14"/>
    <mergeCell ref="A72:D72"/>
    <mergeCell ref="M65:O65"/>
    <mergeCell ref="A6:A7"/>
    <mergeCell ref="F6:J6"/>
    <mergeCell ref="M6:O6"/>
  </mergeCells>
  <conditionalFormatting sqref="F9:J57">
    <cfRule type="expression" dxfId="89" priority="1">
      <formula>AND(F9&lt;&gt;"",COUNTIF($F9:$J9,"X")&gt;1)</formula>
    </cfRule>
  </conditionalFormatting>
  <conditionalFormatting sqref="F65:U65">
    <cfRule type="expression" dxfId="88" priority="8">
      <formula>LEFT(F65,4)="ERRO"</formula>
    </cfRule>
    <cfRule type="expression" dxfId="87" priority="9">
      <formula>LEFT(F65,2)="OK"</formula>
    </cfRule>
  </conditionalFormatting>
  <conditionalFormatting sqref="K9:L57">
    <cfRule type="expression" dxfId="86" priority="2">
      <formula>AND(K9&lt;&gt;"",COUNTIF($K9:$L9,"X")&gt;1)</formula>
    </cfRule>
  </conditionalFormatting>
  <conditionalFormatting sqref="M9:O57">
    <cfRule type="expression" dxfId="85" priority="3">
      <formula>AND(M9&lt;&gt;"",COUNTIF($M9:$O9,"X")&gt;1)</formula>
    </cfRule>
  </conditionalFormatting>
  <conditionalFormatting sqref="P9:R57">
    <cfRule type="expression" dxfId="84" priority="4">
      <formula>AND(P9&lt;&gt;"",COUNTIF($P9:$R9,"X")&gt;1)</formula>
    </cfRule>
  </conditionalFormatting>
  <conditionalFormatting sqref="S9:U57">
    <cfRule type="expression" dxfId="83" priority="5">
      <formula>AND(S9&lt;&gt;"",COUNTIF($S9:$U9,"X")&gt;1)</formula>
    </cfRule>
  </conditionalFormatting>
  <conditionalFormatting sqref="W9:W57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7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7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7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7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7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57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227</oddHeader>
    <oddFooter>&amp;L&amp;7 RTA / MSI — Programa de Manutenção Rodoviária&amp;C&amp;7 Página &amp;P de &amp;N&amp;R&amp;7 Impresso em &amp;D</oddFooter>
  </headerFooter>
  <rowBreaks count="1" manualBreakCount="1">
    <brk id="60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8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IF(F69=0,NA(),F69)</f>
        <v>3.9419762825000007</v>
      </c>
      <c r="Z2" s="2">
        <f t="shared" si="0"/>
        <v>51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54.941976282500001</v>
      </c>
      <c r="AF2" s="2" t="e">
        <f t="shared" si="0"/>
        <v>#N/A</v>
      </c>
      <c r="AG2" s="2">
        <f t="shared" si="0"/>
        <v>54.941976282500001</v>
      </c>
      <c r="AH2" s="2" t="e">
        <f t="shared" si="0"/>
        <v>#N/A</v>
      </c>
      <c r="AI2" s="2">
        <f t="shared" si="0"/>
        <v>54.941976282500001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54.941976282500001</v>
      </c>
      <c r="AN2" s="2" t="e">
        <f t="shared" si="0"/>
        <v>#N/A</v>
      </c>
    </row>
    <row r="3" spans="1:40" ht="15" customHeight="1" x14ac:dyDescent="0.25">
      <c r="A3" s="48" t="s">
        <v>109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110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112</v>
      </c>
      <c r="B9" s="13" t="s">
        <v>58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59</v>
      </c>
      <c r="H9" s="15"/>
      <c r="I9" s="15"/>
      <c r="J9" s="15"/>
      <c r="K9" s="15"/>
      <c r="L9" s="15" t="s">
        <v>59</v>
      </c>
      <c r="M9" s="15"/>
      <c r="N9" s="15" t="s">
        <v>59</v>
      </c>
      <c r="O9" s="15"/>
      <c r="P9" s="15" t="s">
        <v>59</v>
      </c>
      <c r="Q9" s="15"/>
      <c r="R9" s="15"/>
      <c r="S9" s="15"/>
      <c r="T9" s="15" t="s">
        <v>59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112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/>
      <c r="L10" s="15" t="s">
        <v>59</v>
      </c>
      <c r="M10" s="15"/>
      <c r="N10" s="15" t="s">
        <v>59</v>
      </c>
      <c r="O10" s="15"/>
      <c r="P10" s="15" t="s">
        <v>59</v>
      </c>
      <c r="Q10" s="15"/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112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/>
      <c r="L11" s="15" t="s">
        <v>59</v>
      </c>
      <c r="M11" s="15"/>
      <c r="N11" s="15" t="s">
        <v>59</v>
      </c>
      <c r="O11" s="15"/>
      <c r="P11" s="15" t="s">
        <v>59</v>
      </c>
      <c r="Q11" s="15"/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112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/>
      <c r="L12" s="15" t="s">
        <v>59</v>
      </c>
      <c r="M12" s="15"/>
      <c r="N12" s="15" t="s">
        <v>59</v>
      </c>
      <c r="O12" s="15"/>
      <c r="P12" s="15" t="s">
        <v>59</v>
      </c>
      <c r="Q12" s="15"/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112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/>
      <c r="L13" s="15" t="s">
        <v>59</v>
      </c>
      <c r="M13" s="15"/>
      <c r="N13" s="15" t="s">
        <v>59</v>
      </c>
      <c r="O13" s="15"/>
      <c r="P13" s="15" t="s">
        <v>59</v>
      </c>
      <c r="Q13" s="15"/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112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/>
      <c r="L14" s="15" t="s">
        <v>59</v>
      </c>
      <c r="M14" s="15"/>
      <c r="N14" s="15" t="s">
        <v>59</v>
      </c>
      <c r="O14" s="15"/>
      <c r="P14" s="15" t="s">
        <v>59</v>
      </c>
      <c r="Q14" s="15"/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112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/>
      <c r="L15" s="15" t="s">
        <v>59</v>
      </c>
      <c r="M15" s="15"/>
      <c r="N15" s="15" t="s">
        <v>59</v>
      </c>
      <c r="O15" s="15"/>
      <c r="P15" s="15" t="s">
        <v>59</v>
      </c>
      <c r="Q15" s="15"/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112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/>
      <c r="L16" s="15" t="s">
        <v>59</v>
      </c>
      <c r="M16" s="15"/>
      <c r="N16" s="15" t="s">
        <v>59</v>
      </c>
      <c r="O16" s="15"/>
      <c r="P16" s="15" t="s">
        <v>59</v>
      </c>
      <c r="Q16" s="15"/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112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/>
      <c r="L17" s="15" t="s">
        <v>59</v>
      </c>
      <c r="M17" s="15"/>
      <c r="N17" s="15" t="s">
        <v>59</v>
      </c>
      <c r="O17" s="15"/>
      <c r="P17" s="15" t="s">
        <v>59</v>
      </c>
      <c r="Q17" s="15"/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112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/>
      <c r="L18" s="15" t="s">
        <v>59</v>
      </c>
      <c r="M18" s="15"/>
      <c r="N18" s="15" t="s">
        <v>59</v>
      </c>
      <c r="O18" s="15"/>
      <c r="P18" s="15" t="s">
        <v>59</v>
      </c>
      <c r="Q18" s="15"/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112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/>
      <c r="L19" s="15" t="s">
        <v>59</v>
      </c>
      <c r="M19" s="15"/>
      <c r="N19" s="15" t="s">
        <v>59</v>
      </c>
      <c r="O19" s="15"/>
      <c r="P19" s="15" t="s">
        <v>59</v>
      </c>
      <c r="Q19" s="15"/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112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/>
      <c r="L20" s="15" t="s">
        <v>59</v>
      </c>
      <c r="M20" s="15"/>
      <c r="N20" s="15" t="s">
        <v>59</v>
      </c>
      <c r="O20" s="15"/>
      <c r="P20" s="15" t="s">
        <v>59</v>
      </c>
      <c r="Q20" s="15"/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112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/>
      <c r="L21" s="15" t="s">
        <v>59</v>
      </c>
      <c r="M21" s="15"/>
      <c r="N21" s="15" t="s">
        <v>59</v>
      </c>
      <c r="O21" s="15"/>
      <c r="P21" s="15" t="s">
        <v>59</v>
      </c>
      <c r="Q21" s="15"/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112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/>
      <c r="L22" s="15" t="s">
        <v>59</v>
      </c>
      <c r="M22" s="15"/>
      <c r="N22" s="15" t="s">
        <v>59</v>
      </c>
      <c r="O22" s="15"/>
      <c r="P22" s="15" t="s">
        <v>59</v>
      </c>
      <c r="Q22" s="15"/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112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/>
      <c r="L23" s="15" t="s">
        <v>59</v>
      </c>
      <c r="M23" s="15"/>
      <c r="N23" s="15" t="s">
        <v>59</v>
      </c>
      <c r="O23" s="15"/>
      <c r="P23" s="15" t="s">
        <v>59</v>
      </c>
      <c r="Q23" s="15"/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112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/>
      <c r="L24" s="15" t="s">
        <v>59</v>
      </c>
      <c r="M24" s="15"/>
      <c r="N24" s="15" t="s">
        <v>59</v>
      </c>
      <c r="O24" s="15"/>
      <c r="P24" s="15" t="s">
        <v>59</v>
      </c>
      <c r="Q24" s="15"/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112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/>
      <c r="L25" s="15" t="s">
        <v>59</v>
      </c>
      <c r="M25" s="15"/>
      <c r="N25" s="15" t="s">
        <v>59</v>
      </c>
      <c r="O25" s="15"/>
      <c r="P25" s="15" t="s">
        <v>59</v>
      </c>
      <c r="Q25" s="15"/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112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/>
      <c r="L26" s="15" t="s">
        <v>59</v>
      </c>
      <c r="M26" s="15"/>
      <c r="N26" s="15" t="s">
        <v>59</v>
      </c>
      <c r="O26" s="15"/>
      <c r="P26" s="15" t="s">
        <v>59</v>
      </c>
      <c r="Q26" s="15"/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112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/>
      <c r="L27" s="15" t="s">
        <v>59</v>
      </c>
      <c r="M27" s="15"/>
      <c r="N27" s="15" t="s">
        <v>59</v>
      </c>
      <c r="O27" s="15"/>
      <c r="P27" s="15" t="s">
        <v>59</v>
      </c>
      <c r="Q27" s="15"/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112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/>
      <c r="L28" s="15" t="s">
        <v>59</v>
      </c>
      <c r="M28" s="15"/>
      <c r="N28" s="15" t="s">
        <v>59</v>
      </c>
      <c r="O28" s="15"/>
      <c r="P28" s="15" t="s">
        <v>59</v>
      </c>
      <c r="Q28" s="15"/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112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/>
      <c r="L29" s="15" t="s">
        <v>59</v>
      </c>
      <c r="M29" s="15"/>
      <c r="N29" s="15" t="s">
        <v>59</v>
      </c>
      <c r="O29" s="15"/>
      <c r="P29" s="15" t="s">
        <v>59</v>
      </c>
      <c r="Q29" s="15"/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112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/>
      <c r="L30" s="15" t="s">
        <v>59</v>
      </c>
      <c r="M30" s="15"/>
      <c r="N30" s="15" t="s">
        <v>59</v>
      </c>
      <c r="O30" s="15"/>
      <c r="P30" s="15" t="s">
        <v>59</v>
      </c>
      <c r="Q30" s="15"/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112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 t="s">
        <v>59</v>
      </c>
      <c r="H31" s="15"/>
      <c r="I31" s="15"/>
      <c r="J31" s="15"/>
      <c r="K31" s="15"/>
      <c r="L31" s="15" t="s">
        <v>59</v>
      </c>
      <c r="M31" s="15"/>
      <c r="N31" s="15" t="s">
        <v>59</v>
      </c>
      <c r="O31" s="15"/>
      <c r="P31" s="15" t="s">
        <v>59</v>
      </c>
      <c r="Q31" s="15"/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112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/>
      <c r="L32" s="15" t="s">
        <v>59</v>
      </c>
      <c r="M32" s="15"/>
      <c r="N32" s="15" t="s">
        <v>59</v>
      </c>
      <c r="O32" s="15"/>
      <c r="P32" s="15" t="s">
        <v>59</v>
      </c>
      <c r="Q32" s="15"/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112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/>
      <c r="L33" s="15" t="s">
        <v>59</v>
      </c>
      <c r="M33" s="15"/>
      <c r="N33" s="15" t="s">
        <v>59</v>
      </c>
      <c r="O33" s="15"/>
      <c r="P33" s="15" t="s">
        <v>59</v>
      </c>
      <c r="Q33" s="15"/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112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/>
      <c r="L34" s="15" t="s">
        <v>59</v>
      </c>
      <c r="M34" s="15"/>
      <c r="N34" s="15" t="s">
        <v>59</v>
      </c>
      <c r="O34" s="15"/>
      <c r="P34" s="15" t="s">
        <v>59</v>
      </c>
      <c r="Q34" s="15"/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112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/>
      <c r="L35" s="15" t="s">
        <v>59</v>
      </c>
      <c r="M35" s="15"/>
      <c r="N35" s="15" t="s">
        <v>59</v>
      </c>
      <c r="O35" s="15"/>
      <c r="P35" s="15" t="s">
        <v>59</v>
      </c>
      <c r="Q35" s="15"/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112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/>
      <c r="G36" s="15" t="s">
        <v>59</v>
      </c>
      <c r="H36" s="15"/>
      <c r="I36" s="15"/>
      <c r="J36" s="15"/>
      <c r="K36" s="15"/>
      <c r="L36" s="15" t="s">
        <v>59</v>
      </c>
      <c r="M36" s="15"/>
      <c r="N36" s="15" t="s">
        <v>59</v>
      </c>
      <c r="O36" s="15"/>
      <c r="P36" s="15" t="s">
        <v>59</v>
      </c>
      <c r="Q36" s="15"/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112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/>
      <c r="L37" s="15" t="s">
        <v>59</v>
      </c>
      <c r="M37" s="15"/>
      <c r="N37" s="15" t="s">
        <v>59</v>
      </c>
      <c r="O37" s="15"/>
      <c r="P37" s="15" t="s">
        <v>59</v>
      </c>
      <c r="Q37" s="15"/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112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/>
      <c r="L38" s="15" t="s">
        <v>59</v>
      </c>
      <c r="M38" s="15"/>
      <c r="N38" s="15" t="s">
        <v>59</v>
      </c>
      <c r="O38" s="15"/>
      <c r="P38" s="15" t="s">
        <v>59</v>
      </c>
      <c r="Q38" s="15"/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112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/>
      <c r="L39" s="15" t="s">
        <v>59</v>
      </c>
      <c r="M39" s="15"/>
      <c r="N39" s="15" t="s">
        <v>59</v>
      </c>
      <c r="O39" s="15"/>
      <c r="P39" s="15" t="s">
        <v>59</v>
      </c>
      <c r="Q39" s="15"/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112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/>
      <c r="L40" s="15" t="s">
        <v>59</v>
      </c>
      <c r="M40" s="15"/>
      <c r="N40" s="15" t="s">
        <v>59</v>
      </c>
      <c r="O40" s="15"/>
      <c r="P40" s="15" t="s">
        <v>59</v>
      </c>
      <c r="Q40" s="15"/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112</v>
      </c>
      <c r="B41" s="13" t="s">
        <v>58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59</v>
      </c>
      <c r="H41" s="15"/>
      <c r="I41" s="15"/>
      <c r="J41" s="15"/>
      <c r="K41" s="15"/>
      <c r="L41" s="15" t="s">
        <v>59</v>
      </c>
      <c r="M41" s="15"/>
      <c r="N41" s="15" t="s">
        <v>59</v>
      </c>
      <c r="O41" s="15"/>
      <c r="P41" s="15" t="s">
        <v>59</v>
      </c>
      <c r="Q41" s="15"/>
      <c r="R41" s="15"/>
      <c r="S41" s="15"/>
      <c r="T41" s="15" t="s">
        <v>59</v>
      </c>
      <c r="U41" s="15"/>
      <c r="V41" s="16"/>
      <c r="W41" s="17" t="str">
        <f t="shared" ref="W41:W63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112</v>
      </c>
      <c r="B42" s="13" t="s">
        <v>58</v>
      </c>
      <c r="C42" s="14">
        <v>33</v>
      </c>
      <c r="D42" s="14">
        <v>34</v>
      </c>
      <c r="E42" s="14">
        <f t="shared" si="3"/>
        <v>1</v>
      </c>
      <c r="F42" s="15"/>
      <c r="G42" s="15" t="s">
        <v>59</v>
      </c>
      <c r="H42" s="15"/>
      <c r="I42" s="15"/>
      <c r="J42" s="15"/>
      <c r="K42" s="15"/>
      <c r="L42" s="15" t="s">
        <v>59</v>
      </c>
      <c r="M42" s="15"/>
      <c r="N42" s="15" t="s">
        <v>59</v>
      </c>
      <c r="O42" s="15"/>
      <c r="P42" s="15" t="s">
        <v>59</v>
      </c>
      <c r="Q42" s="15"/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112</v>
      </c>
      <c r="B43" s="13" t="s">
        <v>58</v>
      </c>
      <c r="C43" s="14">
        <v>34</v>
      </c>
      <c r="D43" s="14">
        <v>35</v>
      </c>
      <c r="E43" s="14">
        <f t="shared" si="3"/>
        <v>1</v>
      </c>
      <c r="F43" s="15"/>
      <c r="G43" s="15" t="s">
        <v>59</v>
      </c>
      <c r="H43" s="15"/>
      <c r="I43" s="15"/>
      <c r="J43" s="15"/>
      <c r="K43" s="15"/>
      <c r="L43" s="15" t="s">
        <v>59</v>
      </c>
      <c r="M43" s="15"/>
      <c r="N43" s="15" t="s">
        <v>59</v>
      </c>
      <c r="O43" s="15"/>
      <c r="P43" s="15" t="s">
        <v>59</v>
      </c>
      <c r="Q43" s="15"/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112</v>
      </c>
      <c r="B44" s="13" t="s">
        <v>58</v>
      </c>
      <c r="C44" s="14">
        <v>35</v>
      </c>
      <c r="D44" s="14">
        <v>36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/>
      <c r="L44" s="15" t="s">
        <v>59</v>
      </c>
      <c r="M44" s="15"/>
      <c r="N44" s="15" t="s">
        <v>59</v>
      </c>
      <c r="O44" s="15"/>
      <c r="P44" s="15" t="s">
        <v>59</v>
      </c>
      <c r="Q44" s="15"/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112</v>
      </c>
      <c r="B45" s="13" t="s">
        <v>58</v>
      </c>
      <c r="C45" s="14">
        <v>36</v>
      </c>
      <c r="D45" s="14">
        <v>37</v>
      </c>
      <c r="E45" s="14">
        <f t="shared" si="3"/>
        <v>1</v>
      </c>
      <c r="F45" s="15"/>
      <c r="G45" s="15" t="s">
        <v>59</v>
      </c>
      <c r="H45" s="15"/>
      <c r="I45" s="15"/>
      <c r="J45" s="15"/>
      <c r="K45" s="15"/>
      <c r="L45" s="15" t="s">
        <v>59</v>
      </c>
      <c r="M45" s="15"/>
      <c r="N45" s="15" t="s">
        <v>59</v>
      </c>
      <c r="O45" s="15"/>
      <c r="P45" s="15" t="s">
        <v>59</v>
      </c>
      <c r="Q45" s="15"/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112</v>
      </c>
      <c r="B46" s="13" t="s">
        <v>58</v>
      </c>
      <c r="C46" s="14">
        <v>37</v>
      </c>
      <c r="D46" s="14">
        <v>38</v>
      </c>
      <c r="E46" s="14">
        <f t="shared" si="3"/>
        <v>1</v>
      </c>
      <c r="F46" s="15"/>
      <c r="G46" s="15" t="s">
        <v>59</v>
      </c>
      <c r="H46" s="15"/>
      <c r="I46" s="15"/>
      <c r="J46" s="15"/>
      <c r="K46" s="15"/>
      <c r="L46" s="15" t="s">
        <v>59</v>
      </c>
      <c r="M46" s="15"/>
      <c r="N46" s="15" t="s">
        <v>59</v>
      </c>
      <c r="O46" s="15"/>
      <c r="P46" s="15" t="s">
        <v>59</v>
      </c>
      <c r="Q46" s="15"/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112</v>
      </c>
      <c r="B47" s="13" t="s">
        <v>58</v>
      </c>
      <c r="C47" s="14">
        <v>38</v>
      </c>
      <c r="D47" s="14">
        <v>39</v>
      </c>
      <c r="E47" s="14">
        <f t="shared" si="3"/>
        <v>1</v>
      </c>
      <c r="F47" s="15"/>
      <c r="G47" s="15" t="s">
        <v>59</v>
      </c>
      <c r="H47" s="15"/>
      <c r="I47" s="15"/>
      <c r="J47" s="15"/>
      <c r="K47" s="15"/>
      <c r="L47" s="15" t="s">
        <v>59</v>
      </c>
      <c r="M47" s="15"/>
      <c r="N47" s="15" t="s">
        <v>59</v>
      </c>
      <c r="O47" s="15"/>
      <c r="P47" s="15" t="s">
        <v>59</v>
      </c>
      <c r="Q47" s="15"/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112</v>
      </c>
      <c r="B48" s="13" t="s">
        <v>58</v>
      </c>
      <c r="C48" s="14">
        <v>39</v>
      </c>
      <c r="D48" s="14">
        <v>40</v>
      </c>
      <c r="E48" s="14">
        <f t="shared" si="3"/>
        <v>1</v>
      </c>
      <c r="F48" s="15"/>
      <c r="G48" s="15" t="s">
        <v>59</v>
      </c>
      <c r="H48" s="15"/>
      <c r="I48" s="15"/>
      <c r="J48" s="15"/>
      <c r="K48" s="15"/>
      <c r="L48" s="15" t="s">
        <v>59</v>
      </c>
      <c r="M48" s="15"/>
      <c r="N48" s="15" t="s">
        <v>59</v>
      </c>
      <c r="O48" s="15"/>
      <c r="P48" s="15" t="s">
        <v>59</v>
      </c>
      <c r="Q48" s="15"/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112</v>
      </c>
      <c r="B49" s="13" t="s">
        <v>58</v>
      </c>
      <c r="C49" s="14">
        <v>40</v>
      </c>
      <c r="D49" s="14">
        <v>41</v>
      </c>
      <c r="E49" s="14">
        <f t="shared" si="3"/>
        <v>1</v>
      </c>
      <c r="F49" s="15"/>
      <c r="G49" s="15" t="s">
        <v>59</v>
      </c>
      <c r="H49" s="15"/>
      <c r="I49" s="15"/>
      <c r="J49" s="15"/>
      <c r="K49" s="15"/>
      <c r="L49" s="15" t="s">
        <v>59</v>
      </c>
      <c r="M49" s="15"/>
      <c r="N49" s="15" t="s">
        <v>59</v>
      </c>
      <c r="O49" s="15"/>
      <c r="P49" s="15" t="s">
        <v>59</v>
      </c>
      <c r="Q49" s="15"/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112</v>
      </c>
      <c r="B50" s="13" t="s">
        <v>58</v>
      </c>
      <c r="C50" s="14">
        <v>41</v>
      </c>
      <c r="D50" s="14">
        <v>42</v>
      </c>
      <c r="E50" s="14">
        <f t="shared" si="3"/>
        <v>1</v>
      </c>
      <c r="F50" s="15"/>
      <c r="G50" s="15" t="s">
        <v>59</v>
      </c>
      <c r="H50" s="15"/>
      <c r="I50" s="15"/>
      <c r="J50" s="15"/>
      <c r="K50" s="15"/>
      <c r="L50" s="15" t="s">
        <v>59</v>
      </c>
      <c r="M50" s="15"/>
      <c r="N50" s="15" t="s">
        <v>59</v>
      </c>
      <c r="O50" s="15"/>
      <c r="P50" s="15" t="s">
        <v>59</v>
      </c>
      <c r="Q50" s="15"/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112</v>
      </c>
      <c r="B51" s="13" t="s">
        <v>58</v>
      </c>
      <c r="C51" s="14">
        <v>42</v>
      </c>
      <c r="D51" s="14">
        <v>43</v>
      </c>
      <c r="E51" s="14">
        <f t="shared" si="3"/>
        <v>1</v>
      </c>
      <c r="F51" s="15"/>
      <c r="G51" s="15" t="s">
        <v>59</v>
      </c>
      <c r="H51" s="15"/>
      <c r="I51" s="15"/>
      <c r="J51" s="15"/>
      <c r="K51" s="15"/>
      <c r="L51" s="15" t="s">
        <v>59</v>
      </c>
      <c r="M51" s="15"/>
      <c r="N51" s="15" t="s">
        <v>59</v>
      </c>
      <c r="O51" s="15"/>
      <c r="P51" s="15" t="s">
        <v>59</v>
      </c>
      <c r="Q51" s="15"/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112</v>
      </c>
      <c r="B52" s="13" t="s">
        <v>58</v>
      </c>
      <c r="C52" s="14">
        <v>43</v>
      </c>
      <c r="D52" s="14">
        <v>44</v>
      </c>
      <c r="E52" s="14">
        <f t="shared" si="3"/>
        <v>1</v>
      </c>
      <c r="F52" s="15"/>
      <c r="G52" s="15" t="s">
        <v>59</v>
      </c>
      <c r="H52" s="15"/>
      <c r="I52" s="15"/>
      <c r="J52" s="15"/>
      <c r="K52" s="15"/>
      <c r="L52" s="15" t="s">
        <v>59</v>
      </c>
      <c r="M52" s="15"/>
      <c r="N52" s="15" t="s">
        <v>59</v>
      </c>
      <c r="O52" s="15"/>
      <c r="P52" s="15" t="s">
        <v>59</v>
      </c>
      <c r="Q52" s="15"/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112</v>
      </c>
      <c r="B53" s="13" t="s">
        <v>58</v>
      </c>
      <c r="C53" s="14">
        <v>44</v>
      </c>
      <c r="D53" s="14">
        <v>45</v>
      </c>
      <c r="E53" s="14">
        <f t="shared" si="3"/>
        <v>1</v>
      </c>
      <c r="F53" s="15"/>
      <c r="G53" s="15" t="s">
        <v>59</v>
      </c>
      <c r="H53" s="15"/>
      <c r="I53" s="15"/>
      <c r="J53" s="15"/>
      <c r="K53" s="15"/>
      <c r="L53" s="15" t="s">
        <v>59</v>
      </c>
      <c r="M53" s="15"/>
      <c r="N53" s="15" t="s">
        <v>59</v>
      </c>
      <c r="O53" s="15"/>
      <c r="P53" s="15" t="s">
        <v>59</v>
      </c>
      <c r="Q53" s="15"/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112</v>
      </c>
      <c r="B54" s="13" t="s">
        <v>58</v>
      </c>
      <c r="C54" s="14">
        <v>45</v>
      </c>
      <c r="D54" s="14">
        <v>46</v>
      </c>
      <c r="E54" s="14">
        <f t="shared" si="3"/>
        <v>1</v>
      </c>
      <c r="F54" s="15"/>
      <c r="G54" s="15" t="s">
        <v>59</v>
      </c>
      <c r="H54" s="15"/>
      <c r="I54" s="15"/>
      <c r="J54" s="15"/>
      <c r="K54" s="15"/>
      <c r="L54" s="15" t="s">
        <v>59</v>
      </c>
      <c r="M54" s="15"/>
      <c r="N54" s="15" t="s">
        <v>59</v>
      </c>
      <c r="O54" s="15"/>
      <c r="P54" s="15" t="s">
        <v>59</v>
      </c>
      <c r="Q54" s="15"/>
      <c r="R54" s="15"/>
      <c r="S54" s="15"/>
      <c r="T54" s="15" t="s">
        <v>59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112</v>
      </c>
      <c r="B55" s="13" t="s">
        <v>58</v>
      </c>
      <c r="C55" s="14">
        <v>46</v>
      </c>
      <c r="D55" s="14">
        <v>47</v>
      </c>
      <c r="E55" s="14">
        <f t="shared" si="3"/>
        <v>1</v>
      </c>
      <c r="F55" s="15"/>
      <c r="G55" s="15" t="s">
        <v>59</v>
      </c>
      <c r="H55" s="15"/>
      <c r="I55" s="15"/>
      <c r="J55" s="15"/>
      <c r="K55" s="15"/>
      <c r="L55" s="15" t="s">
        <v>59</v>
      </c>
      <c r="M55" s="15"/>
      <c r="N55" s="15" t="s">
        <v>59</v>
      </c>
      <c r="O55" s="15"/>
      <c r="P55" s="15" t="s">
        <v>59</v>
      </c>
      <c r="Q55" s="15"/>
      <c r="R55" s="15"/>
      <c r="S55" s="15"/>
      <c r="T55" s="15" t="s">
        <v>59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112</v>
      </c>
      <c r="B56" s="13" t="s">
        <v>58</v>
      </c>
      <c r="C56" s="14">
        <v>47</v>
      </c>
      <c r="D56" s="14">
        <v>48</v>
      </c>
      <c r="E56" s="14">
        <f t="shared" si="3"/>
        <v>1</v>
      </c>
      <c r="F56" s="15"/>
      <c r="G56" s="15" t="s">
        <v>59</v>
      </c>
      <c r="H56" s="15"/>
      <c r="I56" s="15"/>
      <c r="J56" s="15"/>
      <c r="K56" s="15"/>
      <c r="L56" s="15" t="s">
        <v>59</v>
      </c>
      <c r="M56" s="15"/>
      <c r="N56" s="15" t="s">
        <v>59</v>
      </c>
      <c r="O56" s="15"/>
      <c r="P56" s="15" t="s">
        <v>59</v>
      </c>
      <c r="Q56" s="15"/>
      <c r="R56" s="15"/>
      <c r="S56" s="15"/>
      <c r="T56" s="15" t="s">
        <v>59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112</v>
      </c>
      <c r="B57" s="13" t="s">
        <v>58</v>
      </c>
      <c r="C57" s="14">
        <v>48</v>
      </c>
      <c r="D57" s="14">
        <v>49</v>
      </c>
      <c r="E57" s="14">
        <f t="shared" si="3"/>
        <v>1</v>
      </c>
      <c r="F57" s="15"/>
      <c r="G57" s="15" t="s">
        <v>59</v>
      </c>
      <c r="H57" s="15"/>
      <c r="I57" s="15"/>
      <c r="J57" s="15"/>
      <c r="K57" s="15"/>
      <c r="L57" s="15" t="s">
        <v>59</v>
      </c>
      <c r="M57" s="15"/>
      <c r="N57" s="15" t="s">
        <v>59</v>
      </c>
      <c r="O57" s="15"/>
      <c r="P57" s="15" t="s">
        <v>59</v>
      </c>
      <c r="Q57" s="15"/>
      <c r="R57" s="15"/>
      <c r="S57" s="15"/>
      <c r="T57" s="15" t="s">
        <v>59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112</v>
      </c>
      <c r="B58" s="13" t="s">
        <v>58</v>
      </c>
      <c r="C58" s="14">
        <v>49</v>
      </c>
      <c r="D58" s="14">
        <v>50</v>
      </c>
      <c r="E58" s="14">
        <f t="shared" si="3"/>
        <v>1</v>
      </c>
      <c r="F58" s="15"/>
      <c r="G58" s="15" t="s">
        <v>59</v>
      </c>
      <c r="H58" s="15"/>
      <c r="I58" s="15"/>
      <c r="J58" s="15"/>
      <c r="K58" s="15"/>
      <c r="L58" s="15" t="s">
        <v>59</v>
      </c>
      <c r="M58" s="15"/>
      <c r="N58" s="15" t="s">
        <v>59</v>
      </c>
      <c r="O58" s="15"/>
      <c r="P58" s="15" t="s">
        <v>59</v>
      </c>
      <c r="Q58" s="15"/>
      <c r="R58" s="15"/>
      <c r="S58" s="15"/>
      <c r="T58" s="15" t="s">
        <v>59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112</v>
      </c>
      <c r="B59" s="13" t="s">
        <v>58</v>
      </c>
      <c r="C59" s="14">
        <v>50</v>
      </c>
      <c r="D59" s="14">
        <v>51</v>
      </c>
      <c r="E59" s="14">
        <f t="shared" si="3"/>
        <v>1</v>
      </c>
      <c r="F59" s="15"/>
      <c r="G59" s="15" t="s">
        <v>59</v>
      </c>
      <c r="H59" s="15"/>
      <c r="I59" s="15"/>
      <c r="J59" s="15"/>
      <c r="K59" s="15"/>
      <c r="L59" s="15" t="s">
        <v>59</v>
      </c>
      <c r="M59" s="15"/>
      <c r="N59" s="15" t="s">
        <v>59</v>
      </c>
      <c r="O59" s="15"/>
      <c r="P59" s="15" t="s">
        <v>59</v>
      </c>
      <c r="Q59" s="15"/>
      <c r="R59" s="15"/>
      <c r="S59" s="15"/>
      <c r="T59" s="15" t="s">
        <v>59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112</v>
      </c>
      <c r="B60" s="13" t="s">
        <v>58</v>
      </c>
      <c r="C60" s="14">
        <v>51</v>
      </c>
      <c r="D60" s="14">
        <v>52</v>
      </c>
      <c r="E60" s="14">
        <f t="shared" si="3"/>
        <v>1</v>
      </c>
      <c r="F60" s="15" t="s">
        <v>59</v>
      </c>
      <c r="G60" s="15"/>
      <c r="H60" s="15"/>
      <c r="I60" s="15"/>
      <c r="J60" s="15"/>
      <c r="K60" s="15"/>
      <c r="L60" s="15" t="s">
        <v>59</v>
      </c>
      <c r="M60" s="15"/>
      <c r="N60" s="15" t="s">
        <v>59</v>
      </c>
      <c r="O60" s="15"/>
      <c r="P60" s="15" t="s">
        <v>59</v>
      </c>
      <c r="Q60" s="15"/>
      <c r="R60" s="15"/>
      <c r="S60" s="15"/>
      <c r="T60" s="15" t="s">
        <v>59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112</v>
      </c>
      <c r="B61" s="13" t="s">
        <v>58</v>
      </c>
      <c r="C61" s="14">
        <v>52</v>
      </c>
      <c r="D61" s="14">
        <v>53</v>
      </c>
      <c r="E61" s="14">
        <f t="shared" si="3"/>
        <v>1</v>
      </c>
      <c r="F61" s="15" t="s">
        <v>59</v>
      </c>
      <c r="G61" s="15"/>
      <c r="H61" s="15"/>
      <c r="I61" s="15"/>
      <c r="J61" s="15"/>
      <c r="K61" s="15"/>
      <c r="L61" s="15" t="s">
        <v>59</v>
      </c>
      <c r="M61" s="15"/>
      <c r="N61" s="15" t="s">
        <v>59</v>
      </c>
      <c r="O61" s="15"/>
      <c r="P61" s="15" t="s">
        <v>59</v>
      </c>
      <c r="Q61" s="15"/>
      <c r="R61" s="15"/>
      <c r="S61" s="15"/>
      <c r="T61" s="15" t="s">
        <v>59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112</v>
      </c>
      <c r="B62" s="13" t="s">
        <v>58</v>
      </c>
      <c r="C62" s="14">
        <v>53</v>
      </c>
      <c r="D62" s="14">
        <v>54</v>
      </c>
      <c r="E62" s="14">
        <f t="shared" si="3"/>
        <v>1</v>
      </c>
      <c r="F62" s="15" t="s">
        <v>59</v>
      </c>
      <c r="G62" s="15"/>
      <c r="H62" s="15"/>
      <c r="I62" s="15"/>
      <c r="J62" s="15"/>
      <c r="K62" s="15"/>
      <c r="L62" s="15" t="s">
        <v>59</v>
      </c>
      <c r="M62" s="15"/>
      <c r="N62" s="15" t="s">
        <v>59</v>
      </c>
      <c r="O62" s="15"/>
      <c r="P62" s="15" t="s">
        <v>59</v>
      </c>
      <c r="Q62" s="15"/>
      <c r="R62" s="15"/>
      <c r="S62" s="15"/>
      <c r="T62" s="15" t="s">
        <v>59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8" t="s">
        <v>112</v>
      </c>
      <c r="B63" s="19" t="s">
        <v>58</v>
      </c>
      <c r="C63" s="20">
        <v>54</v>
      </c>
      <c r="D63" s="20">
        <v>54.941976282500001</v>
      </c>
      <c r="E63" s="20">
        <f t="shared" si="3"/>
        <v>0.94197628250000065</v>
      </c>
      <c r="F63" s="21" t="s">
        <v>59</v>
      </c>
      <c r="G63" s="21"/>
      <c r="H63" s="21"/>
      <c r="I63" s="21"/>
      <c r="J63" s="21"/>
      <c r="K63" s="21"/>
      <c r="L63" s="21" t="s">
        <v>59</v>
      </c>
      <c r="M63" s="21"/>
      <c r="N63" s="21" t="s">
        <v>59</v>
      </c>
      <c r="O63" s="21"/>
      <c r="P63" s="21" t="s">
        <v>59</v>
      </c>
      <c r="Q63" s="21"/>
      <c r="R63" s="21"/>
      <c r="S63" s="21"/>
      <c r="T63" s="21" t="s">
        <v>59</v>
      </c>
      <c r="U63" s="21"/>
      <c r="V63" s="22"/>
      <c r="W63" s="23" t="str">
        <f t="shared" si="4"/>
        <v>OK</v>
      </c>
    </row>
    <row r="65" spans="1:22" x14ac:dyDescent="0.25">
      <c r="A65" s="43" t="s">
        <v>60</v>
      </c>
      <c r="B65" s="28"/>
      <c r="C65" s="28"/>
      <c r="D65" s="28"/>
      <c r="E65" s="28"/>
      <c r="G65" s="43" t="s">
        <v>60</v>
      </c>
      <c r="H65" s="28"/>
      <c r="I65" s="28"/>
      <c r="J65" s="28"/>
      <c r="K65" s="28"/>
    </row>
    <row r="66" spans="1:22" x14ac:dyDescent="0.25">
      <c r="A66" s="41" t="s">
        <v>61</v>
      </c>
      <c r="B66" s="28"/>
      <c r="C66" s="28"/>
      <c r="D66" s="28"/>
      <c r="E66" s="28"/>
      <c r="G66" s="41" t="s">
        <v>62</v>
      </c>
      <c r="H66" s="28"/>
      <c r="I66" s="28"/>
      <c r="J66" s="28"/>
      <c r="K66" s="28"/>
    </row>
    <row r="68" spans="1:22" x14ac:dyDescent="0.25">
      <c r="A68" s="49" t="s">
        <v>63</v>
      </c>
      <c r="B68" s="28"/>
      <c r="C68" s="28"/>
      <c r="D68" s="28"/>
      <c r="E68" s="28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A69" s="35" t="s">
        <v>64</v>
      </c>
      <c r="B69" s="28"/>
      <c r="C69" s="28"/>
      <c r="D69" s="28"/>
      <c r="E69" s="28"/>
      <c r="F69" s="9">
        <f t="shared" ref="F69:U69" si="5">SUMIF(F$9:F$63,"X",$E$9:$E$63)</f>
        <v>3.9419762825000007</v>
      </c>
      <c r="G69" s="9">
        <f t="shared" si="5"/>
        <v>51</v>
      </c>
      <c r="H69" s="9">
        <f t="shared" si="5"/>
        <v>0</v>
      </c>
      <c r="I69" s="9">
        <f t="shared" si="5"/>
        <v>0</v>
      </c>
      <c r="J69" s="9">
        <f t="shared" si="5"/>
        <v>0</v>
      </c>
      <c r="K69" s="9">
        <f t="shared" si="5"/>
        <v>0</v>
      </c>
      <c r="L69" s="9">
        <f t="shared" si="5"/>
        <v>54.941976282500001</v>
      </c>
      <c r="M69" s="9">
        <f t="shared" si="5"/>
        <v>0</v>
      </c>
      <c r="N69" s="9">
        <f t="shared" si="5"/>
        <v>54.941976282500001</v>
      </c>
      <c r="O69" s="9">
        <f t="shared" si="5"/>
        <v>0</v>
      </c>
      <c r="P69" s="9">
        <f t="shared" si="5"/>
        <v>54.941976282500001</v>
      </c>
      <c r="Q69" s="9">
        <f t="shared" si="5"/>
        <v>0</v>
      </c>
      <c r="R69" s="9">
        <f t="shared" si="5"/>
        <v>0</v>
      </c>
      <c r="S69" s="9">
        <f t="shared" si="5"/>
        <v>0</v>
      </c>
      <c r="T69" s="9">
        <f t="shared" si="5"/>
        <v>54.941976282500001</v>
      </c>
      <c r="U69" s="9">
        <f t="shared" si="5"/>
        <v>0</v>
      </c>
    </row>
    <row r="70" spans="1:22" x14ac:dyDescent="0.25">
      <c r="A70" s="35" t="s">
        <v>65</v>
      </c>
      <c r="B70" s="28"/>
      <c r="C70" s="28"/>
      <c r="D70" s="28"/>
      <c r="E70" s="28"/>
      <c r="F70" s="25">
        <f t="shared" ref="F70:U70" si="6">IF($R72=0,0,F69/$R72)</f>
        <v>7.1747988500289725E-2</v>
      </c>
      <c r="G70" s="25">
        <f t="shared" si="6"/>
        <v>0.92825201149971026</v>
      </c>
      <c r="H70" s="25">
        <f t="shared" si="6"/>
        <v>0</v>
      </c>
      <c r="I70" s="25">
        <f t="shared" si="6"/>
        <v>0</v>
      </c>
      <c r="J70" s="25">
        <f t="shared" si="6"/>
        <v>0</v>
      </c>
      <c r="K70" s="25">
        <f t="shared" si="6"/>
        <v>0</v>
      </c>
      <c r="L70" s="25">
        <f t="shared" si="6"/>
        <v>1</v>
      </c>
      <c r="M70" s="25">
        <f t="shared" si="6"/>
        <v>0</v>
      </c>
      <c r="N70" s="25">
        <f t="shared" si="6"/>
        <v>1</v>
      </c>
      <c r="O70" s="25">
        <f t="shared" si="6"/>
        <v>0</v>
      </c>
      <c r="P70" s="25">
        <f t="shared" si="6"/>
        <v>1</v>
      </c>
      <c r="Q70" s="25">
        <f t="shared" si="6"/>
        <v>0</v>
      </c>
      <c r="R70" s="25">
        <f t="shared" si="6"/>
        <v>0</v>
      </c>
      <c r="S70" s="25">
        <f t="shared" si="6"/>
        <v>0</v>
      </c>
      <c r="T70" s="25">
        <f t="shared" si="6"/>
        <v>1</v>
      </c>
      <c r="U70" s="25">
        <f t="shared" si="6"/>
        <v>0</v>
      </c>
    </row>
    <row r="71" spans="1:22" x14ac:dyDescent="0.25">
      <c r="A71" s="35" t="s">
        <v>66</v>
      </c>
      <c r="B71" s="28"/>
      <c r="C71" s="28"/>
      <c r="D71" s="28"/>
      <c r="E71" s="28"/>
      <c r="F71" s="45" t="str">
        <f>IF(SUM(F69:J69)=0,"— não preenchido",IF(ROUND(SUM(F69:J69)-$R72,3)=0,"OK — "&amp;ROUND(SUM(F69:J69),3)&amp;" km","ERRO — dif. de "&amp;ROUND(SUM(F69:J69)-$R72,3)&amp;" km"))</f>
        <v>OK — 54,942 km</v>
      </c>
      <c r="G71" s="32"/>
      <c r="H71" s="32"/>
      <c r="I71" s="32"/>
      <c r="J71" s="30"/>
      <c r="K71" s="45" t="str">
        <f>IF(SUM(K69:L69)=0,"— não preenchido",IF(ROUND(SUM(K69:L69)-$R72,3)=0,"OK — "&amp;ROUND(SUM(K69:L69),3)&amp;" km","ERRO — dif. de "&amp;ROUND(SUM(K69:L69)-$R72,3)&amp;" km"))</f>
        <v>OK — 54,942 km</v>
      </c>
      <c r="L71" s="30"/>
      <c r="M71" s="45" t="str">
        <f>IF(SUM(M69:O69)=0,"— não preenchido",IF(ROUND(SUM(M69:O69)-$R72,3)=0,"OK — "&amp;ROUND(SUM(M69:O69),3)&amp;" km","ERRO — dif. de "&amp;ROUND(SUM(M69:O69)-$R72,3)&amp;" km"))</f>
        <v>OK — 54,942 km</v>
      </c>
      <c r="N71" s="32"/>
      <c r="O71" s="30"/>
      <c r="P71" s="45" t="str">
        <f>IF(SUM(P69:R69)=0,"— não preenchido",IF(ROUND(SUM(P69:R69)-$R72,3)=0,"OK — "&amp;ROUND(SUM(P69:R69),3)&amp;" km","ERRO — dif. de "&amp;ROUND(SUM(P69:R69)-$R72,3)&amp;" km"))</f>
        <v>OK — 54,942 km</v>
      </c>
      <c r="Q71" s="32"/>
      <c r="R71" s="30"/>
      <c r="S71" s="45" t="str">
        <f>IF(SUM(S69:U69)=0,"— não preenchido",IF(ROUND(SUM(S69:U69)-$R72,3)=0,"OK — "&amp;ROUND(SUM(S69:U69),3)&amp;" km","ERRO — dif. de "&amp;ROUND(SUM(S69:U69)-$R72,3)&amp;" km"))</f>
        <v>OK — 54,942 km</v>
      </c>
      <c r="T71" s="32"/>
      <c r="U71" s="30"/>
    </row>
    <row r="72" spans="1:22" x14ac:dyDescent="0.25">
      <c r="A72" s="35" t="s">
        <v>67</v>
      </c>
      <c r="B72" s="28"/>
      <c r="C72" s="28"/>
      <c r="D72" s="28"/>
      <c r="E72" s="28"/>
      <c r="R72" s="26">
        <f>SUM(E9:E63)</f>
        <v>54.941976282500001</v>
      </c>
      <c r="V72" s="8" t="str">
        <f>COUNTIF(W9:W63,"OK")&amp;" de "&amp;COUNT($E$9:$E$63)&amp;" linhas conferidas"</f>
        <v>55 de 55 linhas conferidas</v>
      </c>
    </row>
    <row r="74" spans="1:22" x14ac:dyDescent="0.25">
      <c r="A74" s="44" t="s">
        <v>68</v>
      </c>
      <c r="B74" s="28"/>
      <c r="C74" s="28"/>
      <c r="D74" s="28"/>
      <c r="E74" s="28"/>
    </row>
    <row r="75" spans="1:22" x14ac:dyDescent="0.25">
      <c r="A75" s="35" t="s">
        <v>69</v>
      </c>
      <c r="B75" s="28"/>
      <c r="C75" s="28"/>
      <c r="D75" s="28"/>
      <c r="E75" s="34" t="s">
        <v>70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71</v>
      </c>
      <c r="B76" s="28"/>
      <c r="C76" s="28"/>
      <c r="D76" s="28"/>
      <c r="E76" s="34" t="s">
        <v>72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73</v>
      </c>
      <c r="B77" s="28"/>
      <c r="C77" s="28"/>
      <c r="D77" s="28"/>
      <c r="E77" s="34" t="s">
        <v>74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5" t="s">
        <v>75</v>
      </c>
      <c r="B78" s="28"/>
      <c r="C78" s="28"/>
      <c r="D78" s="28"/>
      <c r="E78" s="34" t="s">
        <v>76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5" t="s">
        <v>77</v>
      </c>
      <c r="B79" s="28"/>
      <c r="C79" s="28"/>
      <c r="D79" s="28"/>
      <c r="E79" s="34" t="s">
        <v>78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35" t="s">
        <v>50</v>
      </c>
      <c r="B80" s="28"/>
      <c r="C80" s="28"/>
      <c r="D80" s="28"/>
      <c r="E80" s="34" t="s">
        <v>79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5" t="s">
        <v>80</v>
      </c>
      <c r="B81" s="28"/>
      <c r="C81" s="28"/>
      <c r="D81" s="28"/>
      <c r="E81" s="34" t="s">
        <v>81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5" t="s">
        <v>82</v>
      </c>
      <c r="B82" s="28"/>
      <c r="C82" s="28"/>
      <c r="D82" s="28"/>
      <c r="E82" s="34" t="s">
        <v>83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5" t="s">
        <v>11</v>
      </c>
      <c r="B83" s="28"/>
      <c r="C83" s="28"/>
      <c r="D83" s="28"/>
      <c r="E83" s="34" t="s">
        <v>84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</sheetData>
  <sheetProtection sheet="1" formatCells="0"/>
  <mergeCells count="57">
    <mergeCell ref="A1:V1"/>
    <mergeCell ref="A78:D78"/>
    <mergeCell ref="E81:V81"/>
    <mergeCell ref="A71:E71"/>
    <mergeCell ref="M71:O71"/>
    <mergeCell ref="K71:L71"/>
    <mergeCell ref="T3:V3"/>
    <mergeCell ref="E75:V75"/>
    <mergeCell ref="G65:K65"/>
    <mergeCell ref="F71:J71"/>
    <mergeCell ref="A80:D80"/>
    <mergeCell ref="A75:D75"/>
    <mergeCell ref="A72:E72"/>
    <mergeCell ref="S71:U71"/>
    <mergeCell ref="A68:E68"/>
    <mergeCell ref="R2:V2"/>
    <mergeCell ref="W6:W7"/>
    <mergeCell ref="E6:E7"/>
    <mergeCell ref="A66:E66"/>
    <mergeCell ref="B6:B7"/>
    <mergeCell ref="A74:E74"/>
    <mergeCell ref="P71:R71"/>
    <mergeCell ref="C6:C7"/>
    <mergeCell ref="K6:L6"/>
    <mergeCell ref="D6:D7"/>
    <mergeCell ref="P6:R6"/>
    <mergeCell ref="A65:E65"/>
    <mergeCell ref="A77:D77"/>
    <mergeCell ref="A83:D83"/>
    <mergeCell ref="E77:V77"/>
    <mergeCell ref="N2:O2"/>
    <mergeCell ref="E80:V80"/>
    <mergeCell ref="P2:Q2"/>
    <mergeCell ref="G66:K66"/>
    <mergeCell ref="A82:D82"/>
    <mergeCell ref="A79:D79"/>
    <mergeCell ref="E76:V76"/>
    <mergeCell ref="A3:S3"/>
    <mergeCell ref="A76:D76"/>
    <mergeCell ref="E83:V83"/>
    <mergeCell ref="E79:V79"/>
    <mergeCell ref="E82:V82"/>
    <mergeCell ref="G2:H2"/>
    <mergeCell ref="I2:J2"/>
    <mergeCell ref="A8:V8"/>
    <mergeCell ref="A81:D81"/>
    <mergeCell ref="A6:A7"/>
    <mergeCell ref="F6:J6"/>
    <mergeCell ref="E78:V78"/>
    <mergeCell ref="M6:O6"/>
    <mergeCell ref="V6:V7"/>
    <mergeCell ref="A4:V4"/>
    <mergeCell ref="A70:E70"/>
    <mergeCell ref="A2:F2"/>
    <mergeCell ref="S6:U6"/>
    <mergeCell ref="A69:E69"/>
    <mergeCell ref="K2:M2"/>
  </mergeCells>
  <conditionalFormatting sqref="F9:J63">
    <cfRule type="expression" dxfId="80" priority="1">
      <formula>AND(F9&lt;&gt;"",COUNTIF($F9:$J9,"X")&gt;1)</formula>
    </cfRule>
  </conditionalFormatting>
  <conditionalFormatting sqref="F71:U71">
    <cfRule type="expression" dxfId="79" priority="8">
      <formula>LEFT(F71,4)="ERRO"</formula>
    </cfRule>
    <cfRule type="expression" dxfId="78" priority="9">
      <formula>LEFT(F71,2)="OK"</formula>
    </cfRule>
  </conditionalFormatting>
  <conditionalFormatting sqref="K9:L63">
    <cfRule type="expression" dxfId="77" priority="2">
      <formula>AND(K9&lt;&gt;"",COUNTIF($K9:$L9,"X")&gt;1)</formula>
    </cfRule>
  </conditionalFormatting>
  <conditionalFormatting sqref="M9:O63">
    <cfRule type="expression" dxfId="76" priority="3">
      <formula>AND(M9&lt;&gt;"",COUNTIF($M9:$O9,"X")&gt;1)</formula>
    </cfRule>
  </conditionalFormatting>
  <conditionalFormatting sqref="P9:R63">
    <cfRule type="expression" dxfId="75" priority="4">
      <formula>AND(P9&lt;&gt;"",COUNTIF($P9:$R9,"X")&gt;1)</formula>
    </cfRule>
  </conditionalFormatting>
  <conditionalFormatting sqref="S9:U63">
    <cfRule type="expression" dxfId="74" priority="5">
      <formula>AND(S9&lt;&gt;"",COUNTIF($S9:$U9,"X")&gt;1)</formula>
    </cfRule>
  </conditionalFormatting>
  <conditionalFormatting sqref="W9:W63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3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3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3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3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3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63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228</oddHeader>
    <oddFooter>&amp;L&amp;7 RTA / MSI — Programa de Manutenção Rodoviária&amp;C&amp;7 Página &amp;P de &amp;N&amp;R&amp;7 Impresso em &amp;D</oddFooter>
  </headerFooter>
  <rowBreaks count="1" manualBreakCount="1">
    <brk id="6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3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IF(F21=0,NA(),F21)</f>
        <v>0.438659302704</v>
      </c>
      <c r="Z2" s="2" t="e">
        <f t="shared" si="0"/>
        <v>#N/A</v>
      </c>
      <c r="AA2" s="2">
        <f t="shared" si="0"/>
        <v>1.96994655083</v>
      </c>
      <c r="AB2" s="2" t="e">
        <f t="shared" si="0"/>
        <v>#N/A</v>
      </c>
      <c r="AC2" s="2" t="e">
        <f t="shared" si="0"/>
        <v>#N/A</v>
      </c>
      <c r="AD2" s="2">
        <f t="shared" si="0"/>
        <v>2.4086058535339996</v>
      </c>
      <c r="AE2" s="2" t="e">
        <f t="shared" si="0"/>
        <v>#N/A</v>
      </c>
      <c r="AF2" s="2">
        <f t="shared" si="0"/>
        <v>0.438659302704</v>
      </c>
      <c r="AG2" s="2">
        <f t="shared" si="0"/>
        <v>1.96994655083</v>
      </c>
      <c r="AH2" s="2" t="e">
        <f t="shared" si="0"/>
        <v>#N/A</v>
      </c>
      <c r="AI2" s="2" t="e">
        <f t="shared" si="0"/>
        <v>#N/A</v>
      </c>
      <c r="AJ2" s="2">
        <f t="shared" si="0"/>
        <v>2.4086058535339996</v>
      </c>
      <c r="AK2" s="2" t="e">
        <f t="shared" si="0"/>
        <v>#N/A</v>
      </c>
      <c r="AL2" s="2" t="e">
        <f t="shared" si="0"/>
        <v>#N/A</v>
      </c>
      <c r="AM2" s="2">
        <f t="shared" si="0"/>
        <v>2.4086058535339996</v>
      </c>
      <c r="AN2" s="2" t="e">
        <f t="shared" si="0"/>
        <v>#N/A</v>
      </c>
    </row>
    <row r="3" spans="1:40" ht="15" customHeight="1" x14ac:dyDescent="0.25">
      <c r="A3" s="48" t="s">
        <v>113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114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115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116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59</v>
      </c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116</v>
      </c>
      <c r="B10" s="19" t="s">
        <v>58</v>
      </c>
      <c r="C10" s="20">
        <v>1</v>
      </c>
      <c r="D10" s="20">
        <v>1.96994655083</v>
      </c>
      <c r="E10" s="20">
        <f>D10-C10</f>
        <v>0.96994655083000003</v>
      </c>
      <c r="F10" s="21"/>
      <c r="G10" s="21"/>
      <c r="H10" s="21" t="s">
        <v>59</v>
      </c>
      <c r="I10" s="21"/>
      <c r="J10" s="21"/>
      <c r="K10" s="21" t="s">
        <v>59</v>
      </c>
      <c r="L10" s="21"/>
      <c r="M10" s="21"/>
      <c r="N10" s="21" t="s">
        <v>59</v>
      </c>
      <c r="O10" s="21"/>
      <c r="P10" s="21"/>
      <c r="Q10" s="21" t="s">
        <v>59</v>
      </c>
      <c r="R10" s="21"/>
      <c r="S10" s="21"/>
      <c r="T10" s="21" t="s">
        <v>59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50" t="s">
        <v>117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39" t="s">
        <v>118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8" t="s">
        <v>119</v>
      </c>
      <c r="B13" s="19" t="s">
        <v>58</v>
      </c>
      <c r="C13" s="20">
        <v>0</v>
      </c>
      <c r="D13" s="20">
        <v>0.197889553547</v>
      </c>
      <c r="E13" s="20">
        <f>D13-C13</f>
        <v>0.197889553547</v>
      </c>
      <c r="F13" s="21" t="s">
        <v>59</v>
      </c>
      <c r="G13" s="21"/>
      <c r="H13" s="21"/>
      <c r="I13" s="21"/>
      <c r="J13" s="21"/>
      <c r="K13" s="21" t="s">
        <v>59</v>
      </c>
      <c r="L13" s="21"/>
      <c r="M13" s="21" t="s">
        <v>59</v>
      </c>
      <c r="N13" s="21"/>
      <c r="O13" s="21"/>
      <c r="P13" s="21"/>
      <c r="Q13" s="21" t="s">
        <v>59</v>
      </c>
      <c r="R13" s="21"/>
      <c r="S13" s="21"/>
      <c r="T13" s="21" t="s">
        <v>59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9" t="s">
        <v>120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0"/>
      <c r="W14" s="4"/>
    </row>
    <row r="15" spans="1:40" ht="20.100000000000001" customHeight="1" x14ac:dyDescent="0.25">
      <c r="A15" s="18" t="s">
        <v>121</v>
      </c>
      <c r="B15" s="19" t="s">
        <v>58</v>
      </c>
      <c r="C15" s="20">
        <v>0</v>
      </c>
      <c r="D15" s="20">
        <v>0.240769749157</v>
      </c>
      <c r="E15" s="20">
        <f>D15-C15</f>
        <v>0.240769749157</v>
      </c>
      <c r="F15" s="21" t="s">
        <v>59</v>
      </c>
      <c r="G15" s="21"/>
      <c r="H15" s="21"/>
      <c r="I15" s="21"/>
      <c r="J15" s="21"/>
      <c r="K15" s="21" t="s">
        <v>59</v>
      </c>
      <c r="L15" s="21"/>
      <c r="M15" s="21" t="s">
        <v>59</v>
      </c>
      <c r="N15" s="21"/>
      <c r="O15" s="21"/>
      <c r="P15" s="21"/>
      <c r="Q15" s="21" t="s">
        <v>59</v>
      </c>
      <c r="R15" s="21"/>
      <c r="S15" s="21"/>
      <c r="T15" s="21" t="s">
        <v>59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7" spans="1:22" x14ac:dyDescent="0.25">
      <c r="A17" s="43" t="s">
        <v>60</v>
      </c>
      <c r="B17" s="28"/>
      <c r="C17" s="28"/>
      <c r="D17" s="28"/>
      <c r="E17" s="28"/>
      <c r="G17" s="43" t="s">
        <v>60</v>
      </c>
      <c r="H17" s="28"/>
      <c r="I17" s="28"/>
      <c r="J17" s="28"/>
      <c r="K17" s="28"/>
    </row>
    <row r="18" spans="1:22" x14ac:dyDescent="0.25">
      <c r="A18" s="41" t="s">
        <v>61</v>
      </c>
      <c r="B18" s="28"/>
      <c r="C18" s="28"/>
      <c r="D18" s="28"/>
      <c r="E18" s="28"/>
      <c r="G18" s="41" t="s">
        <v>62</v>
      </c>
      <c r="H18" s="28"/>
      <c r="I18" s="28"/>
      <c r="J18" s="28"/>
      <c r="K18" s="28"/>
    </row>
    <row r="20" spans="1:22" x14ac:dyDescent="0.25">
      <c r="A20" s="49" t="s">
        <v>63</v>
      </c>
      <c r="B20" s="28"/>
      <c r="C20" s="28"/>
      <c r="D20" s="28"/>
      <c r="E20" s="28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35" t="s">
        <v>64</v>
      </c>
      <c r="B21" s="28"/>
      <c r="C21" s="28"/>
      <c r="D21" s="28"/>
      <c r="E21" s="28"/>
      <c r="F21" s="9">
        <f t="shared" ref="F21:U21" si="1">SUMIF(F$9:F$15,"X",$E$9:$E$15)</f>
        <v>0.438659302704</v>
      </c>
      <c r="G21" s="9">
        <f t="shared" si="1"/>
        <v>0</v>
      </c>
      <c r="H21" s="9">
        <f t="shared" si="1"/>
        <v>1.96994655083</v>
      </c>
      <c r="I21" s="9">
        <f t="shared" si="1"/>
        <v>0</v>
      </c>
      <c r="J21" s="9">
        <f t="shared" si="1"/>
        <v>0</v>
      </c>
      <c r="K21" s="9">
        <f t="shared" si="1"/>
        <v>2.4086058535339996</v>
      </c>
      <c r="L21" s="9">
        <f t="shared" si="1"/>
        <v>0</v>
      </c>
      <c r="M21" s="9">
        <f t="shared" si="1"/>
        <v>0.438659302704</v>
      </c>
      <c r="N21" s="9">
        <f t="shared" si="1"/>
        <v>1.96994655083</v>
      </c>
      <c r="O21" s="9">
        <f t="shared" si="1"/>
        <v>0</v>
      </c>
      <c r="P21" s="9">
        <f t="shared" si="1"/>
        <v>0</v>
      </c>
      <c r="Q21" s="9">
        <f t="shared" si="1"/>
        <v>2.4086058535339996</v>
      </c>
      <c r="R21" s="9">
        <f t="shared" si="1"/>
        <v>0</v>
      </c>
      <c r="S21" s="9">
        <f t="shared" si="1"/>
        <v>0</v>
      </c>
      <c r="T21" s="9">
        <f t="shared" si="1"/>
        <v>2.4086058535339996</v>
      </c>
      <c r="U21" s="9">
        <f t="shared" si="1"/>
        <v>0</v>
      </c>
    </row>
    <row r="22" spans="1:22" x14ac:dyDescent="0.25">
      <c r="A22" s="35" t="s">
        <v>65</v>
      </c>
      <c r="B22" s="28"/>
      <c r="C22" s="28"/>
      <c r="D22" s="28"/>
      <c r="E22" s="28"/>
      <c r="F22" s="25">
        <f t="shared" ref="F22:U22" si="2">IF($R24=0,0,F21/$R24)</f>
        <v>0.18212166264579244</v>
      </c>
      <c r="G22" s="25">
        <f t="shared" si="2"/>
        <v>0</v>
      </c>
      <c r="H22" s="25">
        <f t="shared" si="2"/>
        <v>0.81787833735420779</v>
      </c>
      <c r="I22" s="25">
        <f t="shared" si="2"/>
        <v>0</v>
      </c>
      <c r="J22" s="25">
        <f t="shared" si="2"/>
        <v>0</v>
      </c>
      <c r="K22" s="25">
        <f t="shared" si="2"/>
        <v>1</v>
      </c>
      <c r="L22" s="25">
        <f t="shared" si="2"/>
        <v>0</v>
      </c>
      <c r="M22" s="25">
        <f t="shared" si="2"/>
        <v>0.18212166264579244</v>
      </c>
      <c r="N22" s="25">
        <f t="shared" si="2"/>
        <v>0.81787833735420779</v>
      </c>
      <c r="O22" s="25">
        <f t="shared" si="2"/>
        <v>0</v>
      </c>
      <c r="P22" s="25">
        <f t="shared" si="2"/>
        <v>0</v>
      </c>
      <c r="Q22" s="25">
        <f t="shared" si="2"/>
        <v>1</v>
      </c>
      <c r="R22" s="25">
        <f t="shared" si="2"/>
        <v>0</v>
      </c>
      <c r="S22" s="25">
        <f t="shared" si="2"/>
        <v>0</v>
      </c>
      <c r="T22" s="25">
        <f t="shared" si="2"/>
        <v>1</v>
      </c>
      <c r="U22" s="25">
        <f t="shared" si="2"/>
        <v>0</v>
      </c>
    </row>
    <row r="23" spans="1:22" x14ac:dyDescent="0.25">
      <c r="A23" s="35" t="s">
        <v>66</v>
      </c>
      <c r="B23" s="28"/>
      <c r="C23" s="28"/>
      <c r="D23" s="28"/>
      <c r="E23" s="28"/>
      <c r="F23" s="45" t="str">
        <f>IF(SUM(F21:J21)=0,"— não preenchido",IF(ROUND(SUM(F21:J21)-$R24,3)=0,"OK — "&amp;ROUND(SUM(F21:J21),3)&amp;" km","ERRO — dif. de "&amp;ROUND(SUM(F21:J21)-$R24,3)&amp;" km"))</f>
        <v>OK — 2,409 km</v>
      </c>
      <c r="G23" s="32"/>
      <c r="H23" s="32"/>
      <c r="I23" s="32"/>
      <c r="J23" s="30"/>
      <c r="K23" s="45" t="str">
        <f>IF(SUM(K21:L21)=0,"— não preenchido",IF(ROUND(SUM(K21:L21)-$R24,3)=0,"OK — "&amp;ROUND(SUM(K21:L21),3)&amp;" km","ERRO — dif. de "&amp;ROUND(SUM(K21:L21)-$R24,3)&amp;" km"))</f>
        <v>OK — 2,409 km</v>
      </c>
      <c r="L23" s="30"/>
      <c r="M23" s="45" t="str">
        <f>IF(SUM(M21:O21)=0,"— não preenchido",IF(ROUND(SUM(M21:O21)-$R24,3)=0,"OK — "&amp;ROUND(SUM(M21:O21),3)&amp;" km","ERRO — dif. de "&amp;ROUND(SUM(M21:O21)-$R24,3)&amp;" km"))</f>
        <v>OK — 2,409 km</v>
      </c>
      <c r="N23" s="32"/>
      <c r="O23" s="30"/>
      <c r="P23" s="45" t="str">
        <f>IF(SUM(P21:R21)=0,"— não preenchido",IF(ROUND(SUM(P21:R21)-$R24,3)=0,"OK — "&amp;ROUND(SUM(P21:R21),3)&amp;" km","ERRO — dif. de "&amp;ROUND(SUM(P21:R21)-$R24,3)&amp;" km"))</f>
        <v>OK — 2,409 km</v>
      </c>
      <c r="Q23" s="32"/>
      <c r="R23" s="30"/>
      <c r="S23" s="45" t="str">
        <f>IF(SUM(S21:U21)=0,"— não preenchido",IF(ROUND(SUM(S21:U21)-$R24,3)=0,"OK — "&amp;ROUND(SUM(S21:U21),3)&amp;" km","ERRO — dif. de "&amp;ROUND(SUM(S21:U21)-$R24,3)&amp;" km"))</f>
        <v>OK — 2,409 km</v>
      </c>
      <c r="T23" s="32"/>
      <c r="U23" s="30"/>
    </row>
    <row r="24" spans="1:22" x14ac:dyDescent="0.25">
      <c r="A24" s="35" t="s">
        <v>67</v>
      </c>
      <c r="B24" s="28"/>
      <c r="C24" s="28"/>
      <c r="D24" s="28"/>
      <c r="E24" s="28"/>
      <c r="R24" s="26">
        <f>SUM(E9:E15)</f>
        <v>2.4086058535339996</v>
      </c>
      <c r="V24" s="8" t="str">
        <f>COUNTIF(W9:W15,"OK")&amp;" de "&amp;COUNT($E$9:$E$15)&amp;" linhas conferidas"</f>
        <v>4 de 4 linhas conferidas</v>
      </c>
    </row>
    <row r="26" spans="1:22" x14ac:dyDescent="0.25">
      <c r="A26" s="44" t="s">
        <v>68</v>
      </c>
      <c r="B26" s="28"/>
      <c r="C26" s="28"/>
      <c r="D26" s="28"/>
      <c r="E26" s="28"/>
    </row>
    <row r="27" spans="1:22" x14ac:dyDescent="0.25">
      <c r="A27" s="35" t="s">
        <v>69</v>
      </c>
      <c r="B27" s="28"/>
      <c r="C27" s="28"/>
      <c r="D27" s="28"/>
      <c r="E27" s="34" t="s">
        <v>70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71</v>
      </c>
      <c r="B28" s="28"/>
      <c r="C28" s="28"/>
      <c r="D28" s="28"/>
      <c r="E28" s="34" t="s">
        <v>72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73</v>
      </c>
      <c r="B29" s="28"/>
      <c r="C29" s="28"/>
      <c r="D29" s="28"/>
      <c r="E29" s="34" t="s">
        <v>74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75</v>
      </c>
      <c r="B30" s="28"/>
      <c r="C30" s="28"/>
      <c r="D30" s="28"/>
      <c r="E30" s="34" t="s">
        <v>76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5" t="s">
        <v>77</v>
      </c>
      <c r="B31" s="28"/>
      <c r="C31" s="28"/>
      <c r="D31" s="28"/>
      <c r="E31" s="34" t="s">
        <v>78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5" t="s">
        <v>50</v>
      </c>
      <c r="B32" s="28"/>
      <c r="C32" s="28"/>
      <c r="D32" s="28"/>
      <c r="E32" s="34" t="s">
        <v>79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5" t="s">
        <v>80</v>
      </c>
      <c r="B33" s="28"/>
      <c r="C33" s="28"/>
      <c r="D33" s="28"/>
      <c r="E33" s="34" t="s">
        <v>81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5" t="s">
        <v>82</v>
      </c>
      <c r="B34" s="28"/>
      <c r="C34" s="28"/>
      <c r="D34" s="28"/>
      <c r="E34" s="34" t="s">
        <v>83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5" t="s">
        <v>11</v>
      </c>
      <c r="B35" s="28"/>
      <c r="C35" s="28"/>
      <c r="D35" s="28"/>
      <c r="E35" s="34" t="s">
        <v>84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</sheetData>
  <sheetProtection sheet="1" formatCells="0"/>
  <mergeCells count="60">
    <mergeCell ref="A1:V1"/>
    <mergeCell ref="F23:J23"/>
    <mergeCell ref="E32:V32"/>
    <mergeCell ref="T3:V3"/>
    <mergeCell ref="A23:E23"/>
    <mergeCell ref="K23:L23"/>
    <mergeCell ref="A22:E22"/>
    <mergeCell ref="A17:E17"/>
    <mergeCell ref="A27:D27"/>
    <mergeCell ref="A20:E20"/>
    <mergeCell ref="R2:V2"/>
    <mergeCell ref="A3:S3"/>
    <mergeCell ref="C6:C7"/>
    <mergeCell ref="K6:L6"/>
    <mergeCell ref="D6:D7"/>
    <mergeCell ref="A12:V12"/>
    <mergeCell ref="W6:W7"/>
    <mergeCell ref="E6:E7"/>
    <mergeCell ref="B6:B7"/>
    <mergeCell ref="A18:E18"/>
    <mergeCell ref="G18:K18"/>
    <mergeCell ref="A11:V11"/>
    <mergeCell ref="P6:R6"/>
    <mergeCell ref="A2:F2"/>
    <mergeCell ref="S6:U6"/>
    <mergeCell ref="K2:M2"/>
    <mergeCell ref="E30:V30"/>
    <mergeCell ref="A31:D31"/>
    <mergeCell ref="N2:O2"/>
    <mergeCell ref="A30:D30"/>
    <mergeCell ref="E27:V27"/>
    <mergeCell ref="P2:Q2"/>
    <mergeCell ref="A21:E21"/>
    <mergeCell ref="M23:O23"/>
    <mergeCell ref="A26:E26"/>
    <mergeCell ref="V6:V7"/>
    <mergeCell ref="A4:V4"/>
    <mergeCell ref="E31:V31"/>
    <mergeCell ref="E34:V34"/>
    <mergeCell ref="G17:K17"/>
    <mergeCell ref="A32:D32"/>
    <mergeCell ref="A34:D34"/>
    <mergeCell ref="E33:V33"/>
    <mergeCell ref="A33:D33"/>
    <mergeCell ref="E35:V35"/>
    <mergeCell ref="A24:E24"/>
    <mergeCell ref="E29:V29"/>
    <mergeCell ref="G2:H2"/>
    <mergeCell ref="S23:U23"/>
    <mergeCell ref="A35:D35"/>
    <mergeCell ref="I2:J2"/>
    <mergeCell ref="A8:V8"/>
    <mergeCell ref="A14:V14"/>
    <mergeCell ref="E28:V28"/>
    <mergeCell ref="A29:D29"/>
    <mergeCell ref="P23:R23"/>
    <mergeCell ref="A6:A7"/>
    <mergeCell ref="F6:J6"/>
    <mergeCell ref="M6:O6"/>
    <mergeCell ref="A28:D28"/>
  </mergeCells>
  <conditionalFormatting sqref="F9:J15">
    <cfRule type="expression" dxfId="71" priority="1">
      <formula>AND(F9&lt;&gt;"",COUNTIF($F9:$J9,"X")&gt;1)</formula>
    </cfRule>
  </conditionalFormatting>
  <conditionalFormatting sqref="F23:U23">
    <cfRule type="expression" dxfId="70" priority="8">
      <formula>LEFT(F23,4)="ERRO"</formula>
    </cfRule>
    <cfRule type="expression" dxfId="69" priority="9">
      <formula>LEFT(F23,2)="OK"</formula>
    </cfRule>
  </conditionalFormatting>
  <conditionalFormatting sqref="K9:L15">
    <cfRule type="expression" dxfId="68" priority="2">
      <formula>AND(K9&lt;&gt;"",COUNTIF($K9:$L9,"X")&gt;1)</formula>
    </cfRule>
  </conditionalFormatting>
  <conditionalFormatting sqref="M9:O15">
    <cfRule type="expression" dxfId="67" priority="3">
      <formula>AND(M9&lt;&gt;"",COUNTIF($M9:$O9,"X")&gt;1)</formula>
    </cfRule>
  </conditionalFormatting>
  <conditionalFormatting sqref="P9:R15">
    <cfRule type="expression" dxfId="66" priority="4">
      <formula>AND(P9&lt;&gt;"",COUNTIF($P9:$R9,"X")&gt;1)</formula>
    </cfRule>
  </conditionalFormatting>
  <conditionalFormatting sqref="S9:U15">
    <cfRule type="expression" dxfId="65" priority="5">
      <formula>AND(S9&lt;&gt;"",COUNTIF($S9:$U9,"X")&gt;1)</formula>
    </cfRule>
  </conditionalFormatting>
  <conditionalFormatting sqref="W9:W15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5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5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5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5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5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5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229</oddHeader>
    <oddFooter>&amp;L&amp;7 RTA / MSI — Programa de Manutenção Rodoviária&amp;C&amp;7 Página &amp;P de &amp;N&amp;R&amp;7 Impresso em &amp;D</oddFooter>
  </headerFooter>
  <rowBreaks count="1" manualBreakCount="1">
    <brk id="1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9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IF(F79=0,NA(),F79)</f>
        <v>13.519213165099998</v>
      </c>
      <c r="Z2" s="2">
        <f t="shared" si="0"/>
        <v>28.3845222737</v>
      </c>
      <c r="AA2" s="2">
        <f t="shared" si="0"/>
        <v>10</v>
      </c>
      <c r="AB2" s="2" t="e">
        <f t="shared" si="0"/>
        <v>#N/A</v>
      </c>
      <c r="AC2" s="2">
        <f t="shared" si="0"/>
        <v>11</v>
      </c>
      <c r="AD2" s="2">
        <f t="shared" si="0"/>
        <v>1</v>
      </c>
      <c r="AE2" s="2">
        <f t="shared" si="0"/>
        <v>61.903735438799998</v>
      </c>
      <c r="AF2" s="2" t="e">
        <f t="shared" si="0"/>
        <v>#N/A</v>
      </c>
      <c r="AG2" s="2">
        <f t="shared" si="0"/>
        <v>38.519213165099998</v>
      </c>
      <c r="AH2" s="2" t="e">
        <f t="shared" si="0"/>
        <v>#N/A</v>
      </c>
      <c r="AI2" s="2" t="e">
        <f t="shared" si="0"/>
        <v>#N/A</v>
      </c>
      <c r="AJ2" s="2">
        <f t="shared" si="0"/>
        <v>38.519213165099998</v>
      </c>
      <c r="AK2" s="2" t="e">
        <f t="shared" si="0"/>
        <v>#N/A</v>
      </c>
      <c r="AL2" s="2" t="e">
        <f t="shared" si="0"/>
        <v>#N/A</v>
      </c>
      <c r="AM2" s="2">
        <f t="shared" si="0"/>
        <v>38.519213165099998</v>
      </c>
      <c r="AN2" s="2" t="e">
        <f t="shared" si="0"/>
        <v>#N/A</v>
      </c>
    </row>
    <row r="3" spans="1:40" ht="15" customHeight="1" x14ac:dyDescent="0.25">
      <c r="A3" s="48" t="s">
        <v>122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123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124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125</v>
      </c>
      <c r="B9" s="13" t="s">
        <v>58</v>
      </c>
      <c r="C9" s="14">
        <v>0</v>
      </c>
      <c r="D9" s="14">
        <v>1</v>
      </c>
      <c r="E9" s="14">
        <f t="shared" ref="E9:E25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2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125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/>
      <c r="L10" s="15" t="s">
        <v>59</v>
      </c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125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/>
      <c r="L11" s="15" t="s">
        <v>59</v>
      </c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125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/>
      <c r="L12" s="15" t="s">
        <v>59</v>
      </c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125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/>
      <c r="J13" s="15" t="s">
        <v>59</v>
      </c>
      <c r="K13" s="15"/>
      <c r="L13" s="15" t="s">
        <v>59</v>
      </c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125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/>
      <c r="J14" s="15" t="s">
        <v>59</v>
      </c>
      <c r="K14" s="15"/>
      <c r="L14" s="15" t="s">
        <v>59</v>
      </c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125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 t="s">
        <v>59</v>
      </c>
      <c r="K15" s="15"/>
      <c r="L15" s="15" t="s">
        <v>59</v>
      </c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125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 t="s">
        <v>59</v>
      </c>
      <c r="K16" s="15"/>
      <c r="L16" s="15" t="s">
        <v>59</v>
      </c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125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59</v>
      </c>
      <c r="K17" s="15"/>
      <c r="L17" s="15" t="s">
        <v>59</v>
      </c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125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 t="s">
        <v>59</v>
      </c>
      <c r="K18" s="15"/>
      <c r="L18" s="15" t="s">
        <v>59</v>
      </c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125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59</v>
      </c>
      <c r="K19" s="15"/>
      <c r="L19" s="15" t="s">
        <v>59</v>
      </c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125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/>
      <c r="I20" s="15"/>
      <c r="J20" s="15" t="s">
        <v>59</v>
      </c>
      <c r="K20" s="15"/>
      <c r="L20" s="15" t="s">
        <v>59</v>
      </c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125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/>
      <c r="I21" s="15"/>
      <c r="J21" s="15" t="s">
        <v>59</v>
      </c>
      <c r="K21" s="15"/>
      <c r="L21" s="15" t="s">
        <v>59</v>
      </c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125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/>
      <c r="L22" s="15" t="s">
        <v>59</v>
      </c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125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/>
      <c r="L23" s="15" t="s">
        <v>59</v>
      </c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125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/>
      <c r="L24" s="15" t="s">
        <v>59</v>
      </c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8" t="s">
        <v>125</v>
      </c>
      <c r="B25" s="19" t="s">
        <v>58</v>
      </c>
      <c r="C25" s="20">
        <v>16</v>
      </c>
      <c r="D25" s="20">
        <v>16.519213165099998</v>
      </c>
      <c r="E25" s="20">
        <f t="shared" si="1"/>
        <v>0.51921316509999826</v>
      </c>
      <c r="F25" s="21" t="s">
        <v>59</v>
      </c>
      <c r="G25" s="21"/>
      <c r="H25" s="21"/>
      <c r="I25" s="21"/>
      <c r="J25" s="21"/>
      <c r="K25" s="21"/>
      <c r="L25" s="21" t="s">
        <v>59</v>
      </c>
      <c r="M25" s="21"/>
      <c r="N25" s="21" t="s">
        <v>59</v>
      </c>
      <c r="O25" s="21"/>
      <c r="P25" s="21"/>
      <c r="Q25" s="21" t="s">
        <v>59</v>
      </c>
      <c r="R25" s="21"/>
      <c r="S25" s="21"/>
      <c r="T25" s="21" t="s">
        <v>59</v>
      </c>
      <c r="U25" s="21"/>
      <c r="V25" s="22"/>
      <c r="W25" s="23" t="str">
        <f t="shared" si="2"/>
        <v>OK</v>
      </c>
    </row>
    <row r="26" spans="1:23" ht="15.95" customHeight="1" x14ac:dyDescent="0.25">
      <c r="A26" s="39" t="s">
        <v>126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0"/>
      <c r="W26" s="4"/>
    </row>
    <row r="27" spans="1:23" ht="20.100000000000001" customHeight="1" x14ac:dyDescent="0.25">
      <c r="A27" s="12" t="s">
        <v>127</v>
      </c>
      <c r="B27" s="13" t="s">
        <v>58</v>
      </c>
      <c r="C27" s="14">
        <v>0</v>
      </c>
      <c r="D27" s="14">
        <v>1</v>
      </c>
      <c r="E27" s="14">
        <f t="shared" ref="E27:E73" si="3">D27-C27</f>
        <v>1</v>
      </c>
      <c r="F27" s="15"/>
      <c r="G27" s="15" t="s">
        <v>59</v>
      </c>
      <c r="H27" s="15"/>
      <c r="I27" s="15"/>
      <c r="J27" s="15"/>
      <c r="K27" s="15"/>
      <c r="L27" s="15" t="s">
        <v>59</v>
      </c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ref="W27:W73" si="4"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127</v>
      </c>
      <c r="B28" s="13" t="s">
        <v>58</v>
      </c>
      <c r="C28" s="14">
        <v>1</v>
      </c>
      <c r="D28" s="14">
        <v>2</v>
      </c>
      <c r="E28" s="14">
        <f t="shared" si="3"/>
        <v>1</v>
      </c>
      <c r="F28" s="15" t="s">
        <v>59</v>
      </c>
      <c r="G28" s="15"/>
      <c r="H28" s="15"/>
      <c r="I28" s="15"/>
      <c r="J28" s="15"/>
      <c r="K28" s="15"/>
      <c r="L28" s="15" t="s">
        <v>59</v>
      </c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127</v>
      </c>
      <c r="B29" s="13" t="s">
        <v>58</v>
      </c>
      <c r="C29" s="14">
        <v>2</v>
      </c>
      <c r="D29" s="14">
        <v>3</v>
      </c>
      <c r="E29" s="14">
        <f t="shared" si="3"/>
        <v>1</v>
      </c>
      <c r="F29" s="15" t="s">
        <v>59</v>
      </c>
      <c r="G29" s="15"/>
      <c r="H29" s="15"/>
      <c r="I29" s="15"/>
      <c r="J29" s="15"/>
      <c r="K29" s="15"/>
      <c r="L29" s="15" t="s">
        <v>59</v>
      </c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127</v>
      </c>
      <c r="B30" s="13" t="s">
        <v>58</v>
      </c>
      <c r="C30" s="14">
        <v>3</v>
      </c>
      <c r="D30" s="14">
        <v>4</v>
      </c>
      <c r="E30" s="14">
        <f t="shared" si="3"/>
        <v>1</v>
      </c>
      <c r="F30" s="15" t="s">
        <v>59</v>
      </c>
      <c r="G30" s="15"/>
      <c r="H30" s="15"/>
      <c r="I30" s="15"/>
      <c r="J30" s="15"/>
      <c r="K30" s="15"/>
      <c r="L30" s="15" t="s">
        <v>59</v>
      </c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127</v>
      </c>
      <c r="B31" s="13" t="s">
        <v>58</v>
      </c>
      <c r="C31" s="14">
        <v>4</v>
      </c>
      <c r="D31" s="14">
        <v>5</v>
      </c>
      <c r="E31" s="14">
        <f t="shared" si="3"/>
        <v>1</v>
      </c>
      <c r="F31" s="15"/>
      <c r="G31" s="15" t="s">
        <v>59</v>
      </c>
      <c r="H31" s="15"/>
      <c r="I31" s="15"/>
      <c r="J31" s="15"/>
      <c r="K31" s="15"/>
      <c r="L31" s="15" t="s">
        <v>59</v>
      </c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127</v>
      </c>
      <c r="B32" s="13" t="s">
        <v>58</v>
      </c>
      <c r="C32" s="14">
        <v>5</v>
      </c>
      <c r="D32" s="14">
        <v>6</v>
      </c>
      <c r="E32" s="14">
        <f t="shared" si="3"/>
        <v>1</v>
      </c>
      <c r="F32" s="15"/>
      <c r="G32" s="15" t="s">
        <v>59</v>
      </c>
      <c r="H32" s="15"/>
      <c r="I32" s="15"/>
      <c r="J32" s="15"/>
      <c r="K32" s="15"/>
      <c r="L32" s="15" t="s">
        <v>59</v>
      </c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127</v>
      </c>
      <c r="B33" s="13" t="s">
        <v>58</v>
      </c>
      <c r="C33" s="14">
        <v>6</v>
      </c>
      <c r="D33" s="14">
        <v>7</v>
      </c>
      <c r="E33" s="14">
        <f t="shared" si="3"/>
        <v>1</v>
      </c>
      <c r="F33" s="15"/>
      <c r="G33" s="15" t="s">
        <v>59</v>
      </c>
      <c r="H33" s="15"/>
      <c r="I33" s="15"/>
      <c r="J33" s="15"/>
      <c r="K33" s="15"/>
      <c r="L33" s="15" t="s">
        <v>59</v>
      </c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127</v>
      </c>
      <c r="B34" s="13" t="s">
        <v>58</v>
      </c>
      <c r="C34" s="14">
        <v>7</v>
      </c>
      <c r="D34" s="14">
        <v>8</v>
      </c>
      <c r="E34" s="14">
        <f t="shared" si="3"/>
        <v>1</v>
      </c>
      <c r="F34" s="15"/>
      <c r="G34" s="15" t="s">
        <v>59</v>
      </c>
      <c r="H34" s="15"/>
      <c r="I34" s="15"/>
      <c r="J34" s="15"/>
      <c r="K34" s="15"/>
      <c r="L34" s="15" t="s">
        <v>59</v>
      </c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127</v>
      </c>
      <c r="B35" s="13" t="s">
        <v>58</v>
      </c>
      <c r="C35" s="14">
        <v>8</v>
      </c>
      <c r="D35" s="14">
        <v>9</v>
      </c>
      <c r="E35" s="14">
        <f t="shared" si="3"/>
        <v>1</v>
      </c>
      <c r="F35" s="15"/>
      <c r="G35" s="15"/>
      <c r="H35" s="15" t="s">
        <v>59</v>
      </c>
      <c r="I35" s="15"/>
      <c r="J35" s="15"/>
      <c r="K35" s="15"/>
      <c r="L35" s="15" t="s">
        <v>59</v>
      </c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127</v>
      </c>
      <c r="B36" s="13" t="s">
        <v>58</v>
      </c>
      <c r="C36" s="14">
        <v>9</v>
      </c>
      <c r="D36" s="14">
        <v>10</v>
      </c>
      <c r="E36" s="14">
        <f t="shared" si="3"/>
        <v>1</v>
      </c>
      <c r="F36" s="15"/>
      <c r="G36" s="15"/>
      <c r="H36" s="15" t="s">
        <v>59</v>
      </c>
      <c r="I36" s="15"/>
      <c r="J36" s="15"/>
      <c r="K36" s="15"/>
      <c r="L36" s="15" t="s">
        <v>59</v>
      </c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127</v>
      </c>
      <c r="B37" s="13" t="s">
        <v>58</v>
      </c>
      <c r="C37" s="14">
        <v>10</v>
      </c>
      <c r="D37" s="14">
        <v>11</v>
      </c>
      <c r="E37" s="14">
        <f t="shared" si="3"/>
        <v>1</v>
      </c>
      <c r="F37" s="15"/>
      <c r="G37" s="15"/>
      <c r="H37" s="15" t="s">
        <v>59</v>
      </c>
      <c r="I37" s="15"/>
      <c r="J37" s="15"/>
      <c r="K37" s="15"/>
      <c r="L37" s="15" t="s">
        <v>59</v>
      </c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127</v>
      </c>
      <c r="B38" s="13" t="s">
        <v>58</v>
      </c>
      <c r="C38" s="14">
        <v>11</v>
      </c>
      <c r="D38" s="14">
        <v>12</v>
      </c>
      <c r="E38" s="14">
        <f t="shared" si="3"/>
        <v>1</v>
      </c>
      <c r="F38" s="15"/>
      <c r="G38" s="15"/>
      <c r="H38" s="15" t="s">
        <v>59</v>
      </c>
      <c r="I38" s="15"/>
      <c r="J38" s="15"/>
      <c r="K38" s="15"/>
      <c r="L38" s="15" t="s">
        <v>59</v>
      </c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127</v>
      </c>
      <c r="B39" s="13" t="s">
        <v>58</v>
      </c>
      <c r="C39" s="14">
        <v>12</v>
      </c>
      <c r="D39" s="14">
        <v>13</v>
      </c>
      <c r="E39" s="14">
        <f t="shared" si="3"/>
        <v>1</v>
      </c>
      <c r="F39" s="15"/>
      <c r="G39" s="15"/>
      <c r="H39" s="15" t="s">
        <v>59</v>
      </c>
      <c r="I39" s="15"/>
      <c r="J39" s="15"/>
      <c r="K39" s="15"/>
      <c r="L39" s="15" t="s">
        <v>59</v>
      </c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127</v>
      </c>
      <c r="B40" s="13" t="s">
        <v>58</v>
      </c>
      <c r="C40" s="14">
        <v>13</v>
      </c>
      <c r="D40" s="14">
        <v>14</v>
      </c>
      <c r="E40" s="14">
        <f t="shared" si="3"/>
        <v>1</v>
      </c>
      <c r="F40" s="15" t="s">
        <v>59</v>
      </c>
      <c r="G40" s="15"/>
      <c r="H40" s="15"/>
      <c r="I40" s="15"/>
      <c r="J40" s="15"/>
      <c r="K40" s="15"/>
      <c r="L40" s="15" t="s">
        <v>59</v>
      </c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127</v>
      </c>
      <c r="B41" s="13" t="s">
        <v>58</v>
      </c>
      <c r="C41" s="14">
        <v>14</v>
      </c>
      <c r="D41" s="14">
        <v>15</v>
      </c>
      <c r="E41" s="14">
        <f t="shared" si="3"/>
        <v>1</v>
      </c>
      <c r="F41" s="15" t="s">
        <v>59</v>
      </c>
      <c r="G41" s="15"/>
      <c r="H41" s="15"/>
      <c r="I41" s="15"/>
      <c r="J41" s="15"/>
      <c r="K41" s="15"/>
      <c r="L41" s="15" t="s">
        <v>59</v>
      </c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127</v>
      </c>
      <c r="B42" s="13" t="s">
        <v>58</v>
      </c>
      <c r="C42" s="14">
        <v>15</v>
      </c>
      <c r="D42" s="14">
        <v>16</v>
      </c>
      <c r="E42" s="14">
        <f t="shared" si="3"/>
        <v>1</v>
      </c>
      <c r="F42" s="15"/>
      <c r="G42" s="15"/>
      <c r="H42" s="15" t="s">
        <v>59</v>
      </c>
      <c r="I42" s="15"/>
      <c r="J42" s="15"/>
      <c r="K42" s="15"/>
      <c r="L42" s="15" t="s">
        <v>59</v>
      </c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127</v>
      </c>
      <c r="B43" s="13" t="s">
        <v>58</v>
      </c>
      <c r="C43" s="14">
        <v>16</v>
      </c>
      <c r="D43" s="14">
        <v>17</v>
      </c>
      <c r="E43" s="14">
        <f t="shared" si="3"/>
        <v>1</v>
      </c>
      <c r="F43" s="15"/>
      <c r="G43" s="15" t="s">
        <v>59</v>
      </c>
      <c r="H43" s="15"/>
      <c r="I43" s="15"/>
      <c r="J43" s="15"/>
      <c r="K43" s="15"/>
      <c r="L43" s="15" t="s">
        <v>59</v>
      </c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127</v>
      </c>
      <c r="B44" s="13" t="s">
        <v>58</v>
      </c>
      <c r="C44" s="14">
        <v>17</v>
      </c>
      <c r="D44" s="14">
        <v>18</v>
      </c>
      <c r="E44" s="14">
        <f t="shared" si="3"/>
        <v>1</v>
      </c>
      <c r="F44" s="15"/>
      <c r="G44" s="15" t="s">
        <v>59</v>
      </c>
      <c r="H44" s="15"/>
      <c r="I44" s="15"/>
      <c r="J44" s="15"/>
      <c r="K44" s="15"/>
      <c r="L44" s="15" t="s">
        <v>59</v>
      </c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127</v>
      </c>
      <c r="B45" s="13" t="s">
        <v>58</v>
      </c>
      <c r="C45" s="14">
        <v>18</v>
      </c>
      <c r="D45" s="14">
        <v>19</v>
      </c>
      <c r="E45" s="14">
        <f t="shared" si="3"/>
        <v>1</v>
      </c>
      <c r="F45" s="15"/>
      <c r="G45" s="15" t="s">
        <v>59</v>
      </c>
      <c r="H45" s="15"/>
      <c r="I45" s="15"/>
      <c r="J45" s="15"/>
      <c r="K45" s="15"/>
      <c r="L45" s="15" t="s">
        <v>59</v>
      </c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127</v>
      </c>
      <c r="B46" s="13" t="s">
        <v>58</v>
      </c>
      <c r="C46" s="14">
        <v>19</v>
      </c>
      <c r="D46" s="14">
        <v>20</v>
      </c>
      <c r="E46" s="14">
        <f t="shared" si="3"/>
        <v>1</v>
      </c>
      <c r="F46" s="15"/>
      <c r="G46" s="15"/>
      <c r="H46" s="15" t="s">
        <v>59</v>
      </c>
      <c r="I46" s="15"/>
      <c r="J46" s="15"/>
      <c r="K46" s="15"/>
      <c r="L46" s="15" t="s">
        <v>59</v>
      </c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127</v>
      </c>
      <c r="B47" s="13" t="s">
        <v>58</v>
      </c>
      <c r="C47" s="14">
        <v>20</v>
      </c>
      <c r="D47" s="14">
        <v>21</v>
      </c>
      <c r="E47" s="14">
        <f t="shared" si="3"/>
        <v>1</v>
      </c>
      <c r="F47" s="15"/>
      <c r="G47" s="15"/>
      <c r="H47" s="15" t="s">
        <v>59</v>
      </c>
      <c r="I47" s="15"/>
      <c r="J47" s="15"/>
      <c r="K47" s="15"/>
      <c r="L47" s="15" t="s">
        <v>59</v>
      </c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127</v>
      </c>
      <c r="B48" s="13" t="s">
        <v>58</v>
      </c>
      <c r="C48" s="14">
        <v>21</v>
      </c>
      <c r="D48" s="14">
        <v>22</v>
      </c>
      <c r="E48" s="14">
        <f t="shared" si="3"/>
        <v>1</v>
      </c>
      <c r="F48" s="15"/>
      <c r="G48" s="15"/>
      <c r="H48" s="15" t="s">
        <v>59</v>
      </c>
      <c r="I48" s="15"/>
      <c r="J48" s="15"/>
      <c r="K48" s="15"/>
      <c r="L48" s="15" t="s">
        <v>59</v>
      </c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127</v>
      </c>
      <c r="B49" s="13" t="s">
        <v>58</v>
      </c>
      <c r="C49" s="14">
        <v>22</v>
      </c>
      <c r="D49" s="14">
        <v>23</v>
      </c>
      <c r="E49" s="14">
        <f t="shared" si="3"/>
        <v>1</v>
      </c>
      <c r="F49" s="15"/>
      <c r="G49" s="15" t="s">
        <v>59</v>
      </c>
      <c r="H49" s="15"/>
      <c r="I49" s="15"/>
      <c r="J49" s="15"/>
      <c r="K49" s="15"/>
      <c r="L49" s="15" t="s">
        <v>59</v>
      </c>
      <c r="M49" s="15"/>
      <c r="N49" s="15"/>
      <c r="O49" s="15"/>
      <c r="P49" s="15"/>
      <c r="Q49" s="15"/>
      <c r="R49" s="15"/>
      <c r="S49" s="15"/>
      <c r="T49" s="15"/>
      <c r="U49" s="15"/>
      <c r="V49" s="16"/>
      <c r="W49" s="17" t="str">
        <f t="shared" si="4"/>
        <v>FALTA/DUPLA: ELEM. DE DRENAGEM</v>
      </c>
    </row>
    <row r="50" spans="1:23" ht="20.100000000000001" customHeight="1" x14ac:dyDescent="0.25">
      <c r="A50" s="12" t="s">
        <v>127</v>
      </c>
      <c r="B50" s="13" t="s">
        <v>58</v>
      </c>
      <c r="C50" s="14">
        <v>23</v>
      </c>
      <c r="D50" s="14">
        <v>24</v>
      </c>
      <c r="E50" s="14">
        <f t="shared" si="3"/>
        <v>1</v>
      </c>
      <c r="F50" s="15"/>
      <c r="G50" s="15" t="s">
        <v>59</v>
      </c>
      <c r="H50" s="15"/>
      <c r="I50" s="15"/>
      <c r="J50" s="15"/>
      <c r="K50" s="15"/>
      <c r="L50" s="15" t="s">
        <v>59</v>
      </c>
      <c r="M50" s="15"/>
      <c r="N50" s="15"/>
      <c r="O50" s="15"/>
      <c r="P50" s="15"/>
      <c r="Q50" s="15"/>
      <c r="R50" s="15"/>
      <c r="S50" s="15"/>
      <c r="T50" s="15"/>
      <c r="U50" s="15"/>
      <c r="V50" s="16"/>
      <c r="W50" s="17" t="str">
        <f t="shared" si="4"/>
        <v>FALTA/DUPLA: ELEM. DE DRENAGEM</v>
      </c>
    </row>
    <row r="51" spans="1:23" ht="20.100000000000001" customHeight="1" x14ac:dyDescent="0.25">
      <c r="A51" s="12" t="s">
        <v>127</v>
      </c>
      <c r="B51" s="13" t="s">
        <v>58</v>
      </c>
      <c r="C51" s="14">
        <v>24</v>
      </c>
      <c r="D51" s="14">
        <v>25</v>
      </c>
      <c r="E51" s="14">
        <f t="shared" si="3"/>
        <v>1</v>
      </c>
      <c r="F51" s="15"/>
      <c r="G51" s="15" t="s">
        <v>59</v>
      </c>
      <c r="H51" s="15"/>
      <c r="I51" s="15"/>
      <c r="J51" s="15"/>
      <c r="K51" s="15"/>
      <c r="L51" s="15" t="s">
        <v>59</v>
      </c>
      <c r="M51" s="15"/>
      <c r="N51" s="15"/>
      <c r="O51" s="15"/>
      <c r="P51" s="15"/>
      <c r="Q51" s="15"/>
      <c r="R51" s="15"/>
      <c r="S51" s="15"/>
      <c r="T51" s="15"/>
      <c r="U51" s="15"/>
      <c r="V51" s="16"/>
      <c r="W51" s="17" t="str">
        <f t="shared" si="4"/>
        <v>FALTA/DUPLA: ELEM. DE DRENAGEM</v>
      </c>
    </row>
    <row r="52" spans="1:23" ht="20.100000000000001" customHeight="1" x14ac:dyDescent="0.25">
      <c r="A52" s="12" t="s">
        <v>127</v>
      </c>
      <c r="B52" s="13" t="s">
        <v>58</v>
      </c>
      <c r="C52" s="14">
        <v>25</v>
      </c>
      <c r="D52" s="14">
        <v>26</v>
      </c>
      <c r="E52" s="14">
        <f t="shared" si="3"/>
        <v>1</v>
      </c>
      <c r="F52" s="15"/>
      <c r="G52" s="15" t="s">
        <v>59</v>
      </c>
      <c r="H52" s="15"/>
      <c r="I52" s="15"/>
      <c r="J52" s="15"/>
      <c r="K52" s="15"/>
      <c r="L52" s="15" t="s">
        <v>59</v>
      </c>
      <c r="M52" s="15"/>
      <c r="N52" s="15"/>
      <c r="O52" s="15"/>
      <c r="P52" s="15"/>
      <c r="Q52" s="15"/>
      <c r="R52" s="15"/>
      <c r="S52" s="15"/>
      <c r="T52" s="15"/>
      <c r="U52" s="15"/>
      <c r="V52" s="16"/>
      <c r="W52" s="17" t="str">
        <f t="shared" si="4"/>
        <v>FALTA/DUPLA: ELEM. DE DRENAGEM</v>
      </c>
    </row>
    <row r="53" spans="1:23" ht="20.100000000000001" customHeight="1" x14ac:dyDescent="0.25">
      <c r="A53" s="12" t="s">
        <v>127</v>
      </c>
      <c r="B53" s="13" t="s">
        <v>58</v>
      </c>
      <c r="C53" s="14">
        <v>26</v>
      </c>
      <c r="D53" s="14">
        <v>27</v>
      </c>
      <c r="E53" s="14">
        <f t="shared" si="3"/>
        <v>1</v>
      </c>
      <c r="F53" s="15"/>
      <c r="G53" s="15" t="s">
        <v>59</v>
      </c>
      <c r="H53" s="15"/>
      <c r="I53" s="15"/>
      <c r="J53" s="15"/>
      <c r="K53" s="15"/>
      <c r="L53" s="15" t="s">
        <v>59</v>
      </c>
      <c r="M53" s="15"/>
      <c r="N53" s="15"/>
      <c r="O53" s="15"/>
      <c r="P53" s="15"/>
      <c r="Q53" s="15"/>
      <c r="R53" s="15"/>
      <c r="S53" s="15"/>
      <c r="T53" s="15"/>
      <c r="U53" s="15"/>
      <c r="V53" s="16"/>
      <c r="W53" s="17" t="str">
        <f t="shared" si="4"/>
        <v>FALTA/DUPLA: ELEM. DE DRENAGEM</v>
      </c>
    </row>
    <row r="54" spans="1:23" ht="20.100000000000001" customHeight="1" x14ac:dyDescent="0.25">
      <c r="A54" s="12" t="s">
        <v>127</v>
      </c>
      <c r="B54" s="13" t="s">
        <v>58</v>
      </c>
      <c r="C54" s="14">
        <v>27</v>
      </c>
      <c r="D54" s="14">
        <v>28</v>
      </c>
      <c r="E54" s="14">
        <f t="shared" si="3"/>
        <v>1</v>
      </c>
      <c r="F54" s="15"/>
      <c r="G54" s="15" t="s">
        <v>59</v>
      </c>
      <c r="H54" s="15"/>
      <c r="I54" s="15"/>
      <c r="J54" s="15"/>
      <c r="K54" s="15"/>
      <c r="L54" s="15" t="s">
        <v>59</v>
      </c>
      <c r="M54" s="15"/>
      <c r="N54" s="15"/>
      <c r="O54" s="15"/>
      <c r="P54" s="15"/>
      <c r="Q54" s="15"/>
      <c r="R54" s="15"/>
      <c r="S54" s="15"/>
      <c r="T54" s="15"/>
      <c r="U54" s="15"/>
      <c r="V54" s="16"/>
      <c r="W54" s="17" t="str">
        <f t="shared" si="4"/>
        <v>FALTA/DUPLA: ELEM. DE DRENAGEM</v>
      </c>
    </row>
    <row r="55" spans="1:23" ht="20.100000000000001" customHeight="1" x14ac:dyDescent="0.25">
      <c r="A55" s="12" t="s">
        <v>127</v>
      </c>
      <c r="B55" s="13" t="s">
        <v>58</v>
      </c>
      <c r="C55" s="14">
        <v>28</v>
      </c>
      <c r="D55" s="14">
        <v>29</v>
      </c>
      <c r="E55" s="14">
        <f t="shared" si="3"/>
        <v>1</v>
      </c>
      <c r="F55" s="15" t="s">
        <v>59</v>
      </c>
      <c r="G55" s="15"/>
      <c r="H55" s="15"/>
      <c r="I55" s="15"/>
      <c r="J55" s="15"/>
      <c r="K55" s="15"/>
      <c r="L55" s="15" t="s">
        <v>59</v>
      </c>
      <c r="M55" s="15"/>
      <c r="N55" s="15"/>
      <c r="O55" s="15"/>
      <c r="P55" s="15"/>
      <c r="Q55" s="15"/>
      <c r="R55" s="15"/>
      <c r="S55" s="15"/>
      <c r="T55" s="15"/>
      <c r="U55" s="15"/>
      <c r="V55" s="16"/>
      <c r="W55" s="17" t="str">
        <f t="shared" si="4"/>
        <v>FALTA/DUPLA: ELEM. DE DRENAGEM</v>
      </c>
    </row>
    <row r="56" spans="1:23" ht="20.100000000000001" customHeight="1" x14ac:dyDescent="0.25">
      <c r="A56" s="12" t="s">
        <v>127</v>
      </c>
      <c r="B56" s="13" t="s">
        <v>58</v>
      </c>
      <c r="C56" s="14">
        <v>29</v>
      </c>
      <c r="D56" s="14">
        <v>30</v>
      </c>
      <c r="E56" s="14">
        <f t="shared" si="3"/>
        <v>1</v>
      </c>
      <c r="F56" s="15" t="s">
        <v>59</v>
      </c>
      <c r="G56" s="15"/>
      <c r="H56" s="15"/>
      <c r="I56" s="15"/>
      <c r="J56" s="15"/>
      <c r="K56" s="15"/>
      <c r="L56" s="15" t="s">
        <v>59</v>
      </c>
      <c r="M56" s="15"/>
      <c r="N56" s="15"/>
      <c r="O56" s="15"/>
      <c r="P56" s="15"/>
      <c r="Q56" s="15"/>
      <c r="R56" s="15"/>
      <c r="S56" s="15"/>
      <c r="T56" s="15"/>
      <c r="U56" s="15"/>
      <c r="V56" s="16"/>
      <c r="W56" s="17" t="str">
        <f t="shared" si="4"/>
        <v>FALTA/DUPLA: ELEM. DE DRENAGEM</v>
      </c>
    </row>
    <row r="57" spans="1:23" ht="20.100000000000001" customHeight="1" x14ac:dyDescent="0.25">
      <c r="A57" s="12" t="s">
        <v>127</v>
      </c>
      <c r="B57" s="13" t="s">
        <v>58</v>
      </c>
      <c r="C57" s="14">
        <v>30</v>
      </c>
      <c r="D57" s="14">
        <v>31</v>
      </c>
      <c r="E57" s="14">
        <f t="shared" si="3"/>
        <v>1</v>
      </c>
      <c r="F57" s="15"/>
      <c r="G57" s="15" t="s">
        <v>59</v>
      </c>
      <c r="H57" s="15"/>
      <c r="I57" s="15"/>
      <c r="J57" s="15"/>
      <c r="K57" s="15"/>
      <c r="L57" s="15" t="s">
        <v>59</v>
      </c>
      <c r="M57" s="15"/>
      <c r="N57" s="15"/>
      <c r="O57" s="15"/>
      <c r="P57" s="15"/>
      <c r="Q57" s="15"/>
      <c r="R57" s="15"/>
      <c r="S57" s="15"/>
      <c r="T57" s="15"/>
      <c r="U57" s="15"/>
      <c r="V57" s="16"/>
      <c r="W57" s="17" t="str">
        <f t="shared" si="4"/>
        <v>FALTA/DUPLA: ELEM. DE DRENAGEM</v>
      </c>
    </row>
    <row r="58" spans="1:23" ht="20.100000000000001" customHeight="1" x14ac:dyDescent="0.25">
      <c r="A58" s="12" t="s">
        <v>127</v>
      </c>
      <c r="B58" s="13" t="s">
        <v>58</v>
      </c>
      <c r="C58" s="14">
        <v>31</v>
      </c>
      <c r="D58" s="14">
        <v>32</v>
      </c>
      <c r="E58" s="14">
        <f t="shared" si="3"/>
        <v>1</v>
      </c>
      <c r="F58" s="15"/>
      <c r="G58" s="15" t="s">
        <v>59</v>
      </c>
      <c r="H58" s="15"/>
      <c r="I58" s="15"/>
      <c r="J58" s="15"/>
      <c r="K58" s="15"/>
      <c r="L58" s="15" t="s">
        <v>59</v>
      </c>
      <c r="M58" s="15"/>
      <c r="N58" s="15"/>
      <c r="O58" s="15"/>
      <c r="P58" s="15"/>
      <c r="Q58" s="15"/>
      <c r="R58" s="15"/>
      <c r="S58" s="15"/>
      <c r="T58" s="15"/>
      <c r="U58" s="15"/>
      <c r="V58" s="16"/>
      <c r="W58" s="17" t="str">
        <f t="shared" si="4"/>
        <v>FALTA/DUPLA: ELEM. DE DRENAGEM</v>
      </c>
    </row>
    <row r="59" spans="1:23" ht="20.100000000000001" customHeight="1" x14ac:dyDescent="0.25">
      <c r="A59" s="12" t="s">
        <v>127</v>
      </c>
      <c r="B59" s="13" t="s">
        <v>58</v>
      </c>
      <c r="C59" s="14">
        <v>32</v>
      </c>
      <c r="D59" s="14">
        <v>33</v>
      </c>
      <c r="E59" s="14">
        <f t="shared" si="3"/>
        <v>1</v>
      </c>
      <c r="F59" s="15"/>
      <c r="G59" s="15" t="s">
        <v>59</v>
      </c>
      <c r="H59" s="15"/>
      <c r="I59" s="15"/>
      <c r="J59" s="15"/>
      <c r="K59" s="15"/>
      <c r="L59" s="15" t="s">
        <v>59</v>
      </c>
      <c r="M59" s="15"/>
      <c r="N59" s="15"/>
      <c r="O59" s="15"/>
      <c r="P59" s="15"/>
      <c r="Q59" s="15"/>
      <c r="R59" s="15"/>
      <c r="S59" s="15"/>
      <c r="T59" s="15"/>
      <c r="U59" s="15"/>
      <c r="V59" s="16"/>
      <c r="W59" s="17" t="str">
        <f t="shared" si="4"/>
        <v>FALTA/DUPLA: ELEM. DE DRENAGEM</v>
      </c>
    </row>
    <row r="60" spans="1:23" ht="20.100000000000001" customHeight="1" x14ac:dyDescent="0.25">
      <c r="A60" s="12" t="s">
        <v>127</v>
      </c>
      <c r="B60" s="13" t="s">
        <v>58</v>
      </c>
      <c r="C60" s="14">
        <v>33</v>
      </c>
      <c r="D60" s="14">
        <v>34</v>
      </c>
      <c r="E60" s="14">
        <f t="shared" si="3"/>
        <v>1</v>
      </c>
      <c r="F60" s="15"/>
      <c r="G60" s="15" t="s">
        <v>59</v>
      </c>
      <c r="H60" s="15"/>
      <c r="I60" s="15"/>
      <c r="J60" s="15"/>
      <c r="K60" s="15"/>
      <c r="L60" s="15" t="s">
        <v>59</v>
      </c>
      <c r="M60" s="15"/>
      <c r="N60" s="15"/>
      <c r="O60" s="15"/>
      <c r="P60" s="15"/>
      <c r="Q60" s="15"/>
      <c r="R60" s="15"/>
      <c r="S60" s="15"/>
      <c r="T60" s="15"/>
      <c r="U60" s="15"/>
      <c r="V60" s="16"/>
      <c r="W60" s="17" t="str">
        <f t="shared" si="4"/>
        <v>FALTA/DUPLA: ELEM. DE DRENAGEM</v>
      </c>
    </row>
    <row r="61" spans="1:23" ht="20.100000000000001" customHeight="1" x14ac:dyDescent="0.25">
      <c r="A61" s="12" t="s">
        <v>127</v>
      </c>
      <c r="B61" s="13" t="s">
        <v>58</v>
      </c>
      <c r="C61" s="14">
        <v>34</v>
      </c>
      <c r="D61" s="14">
        <v>35</v>
      </c>
      <c r="E61" s="14">
        <f t="shared" si="3"/>
        <v>1</v>
      </c>
      <c r="F61" s="15"/>
      <c r="G61" s="15" t="s">
        <v>59</v>
      </c>
      <c r="H61" s="15"/>
      <c r="I61" s="15"/>
      <c r="J61" s="15"/>
      <c r="K61" s="15"/>
      <c r="L61" s="15" t="s">
        <v>59</v>
      </c>
      <c r="M61" s="15"/>
      <c r="N61" s="15"/>
      <c r="O61" s="15"/>
      <c r="P61" s="15"/>
      <c r="Q61" s="15"/>
      <c r="R61" s="15"/>
      <c r="S61" s="15"/>
      <c r="T61" s="15"/>
      <c r="U61" s="15"/>
      <c r="V61" s="16"/>
      <c r="W61" s="17" t="str">
        <f t="shared" si="4"/>
        <v>FALTA/DUPLA: ELEM. DE DRENAGEM</v>
      </c>
    </row>
    <row r="62" spans="1:23" ht="20.100000000000001" customHeight="1" x14ac:dyDescent="0.25">
      <c r="A62" s="12" t="s">
        <v>127</v>
      </c>
      <c r="B62" s="13" t="s">
        <v>58</v>
      </c>
      <c r="C62" s="14">
        <v>35</v>
      </c>
      <c r="D62" s="14">
        <v>36</v>
      </c>
      <c r="E62" s="14">
        <f t="shared" si="3"/>
        <v>1</v>
      </c>
      <c r="F62" s="15"/>
      <c r="G62" s="15" t="s">
        <v>59</v>
      </c>
      <c r="H62" s="15"/>
      <c r="I62" s="15"/>
      <c r="J62" s="15"/>
      <c r="K62" s="15"/>
      <c r="L62" s="15" t="s">
        <v>59</v>
      </c>
      <c r="M62" s="15"/>
      <c r="N62" s="15"/>
      <c r="O62" s="15"/>
      <c r="P62" s="15"/>
      <c r="Q62" s="15"/>
      <c r="R62" s="15"/>
      <c r="S62" s="15"/>
      <c r="T62" s="15"/>
      <c r="U62" s="15"/>
      <c r="V62" s="16"/>
      <c r="W62" s="17" t="str">
        <f t="shared" si="4"/>
        <v>FALTA/DUPLA: ELEM. DE DRENAGEM</v>
      </c>
    </row>
    <row r="63" spans="1:23" ht="20.100000000000001" customHeight="1" x14ac:dyDescent="0.25">
      <c r="A63" s="12" t="s">
        <v>127</v>
      </c>
      <c r="B63" s="13" t="s">
        <v>58</v>
      </c>
      <c r="C63" s="14">
        <v>36</v>
      </c>
      <c r="D63" s="14">
        <v>37</v>
      </c>
      <c r="E63" s="14">
        <f t="shared" si="3"/>
        <v>1</v>
      </c>
      <c r="F63" s="15"/>
      <c r="G63" s="15" t="s">
        <v>59</v>
      </c>
      <c r="H63" s="15"/>
      <c r="I63" s="15"/>
      <c r="J63" s="15"/>
      <c r="K63" s="15"/>
      <c r="L63" s="15" t="s">
        <v>59</v>
      </c>
      <c r="M63" s="15"/>
      <c r="N63" s="15"/>
      <c r="O63" s="15"/>
      <c r="P63" s="15"/>
      <c r="Q63" s="15"/>
      <c r="R63" s="15"/>
      <c r="S63" s="15"/>
      <c r="T63" s="15"/>
      <c r="U63" s="15"/>
      <c r="V63" s="16"/>
      <c r="W63" s="17" t="str">
        <f t="shared" si="4"/>
        <v>FALTA/DUPLA: ELEM. DE DRENAGEM</v>
      </c>
    </row>
    <row r="64" spans="1:23" ht="20.100000000000001" customHeight="1" x14ac:dyDescent="0.25">
      <c r="A64" s="12" t="s">
        <v>127</v>
      </c>
      <c r="B64" s="13" t="s">
        <v>58</v>
      </c>
      <c r="C64" s="14">
        <v>37</v>
      </c>
      <c r="D64" s="14">
        <v>38</v>
      </c>
      <c r="E64" s="14">
        <f t="shared" si="3"/>
        <v>1</v>
      </c>
      <c r="F64" s="15"/>
      <c r="G64" s="15" t="s">
        <v>59</v>
      </c>
      <c r="H64" s="15"/>
      <c r="I64" s="15"/>
      <c r="J64" s="15"/>
      <c r="K64" s="15"/>
      <c r="L64" s="15" t="s">
        <v>59</v>
      </c>
      <c r="M64" s="15"/>
      <c r="N64" s="15"/>
      <c r="O64" s="15"/>
      <c r="P64" s="15"/>
      <c r="Q64" s="15"/>
      <c r="R64" s="15"/>
      <c r="S64" s="15"/>
      <c r="T64" s="15"/>
      <c r="U64" s="15"/>
      <c r="V64" s="16"/>
      <c r="W64" s="17" t="str">
        <f t="shared" si="4"/>
        <v>FALTA/DUPLA: ELEM. DE DRENAGEM</v>
      </c>
    </row>
    <row r="65" spans="1:23" ht="20.100000000000001" customHeight="1" x14ac:dyDescent="0.25">
      <c r="A65" s="12" t="s">
        <v>127</v>
      </c>
      <c r="B65" s="13" t="s">
        <v>58</v>
      </c>
      <c r="C65" s="14">
        <v>38</v>
      </c>
      <c r="D65" s="14">
        <v>39</v>
      </c>
      <c r="E65" s="14">
        <f t="shared" si="3"/>
        <v>1</v>
      </c>
      <c r="F65" s="15"/>
      <c r="G65" s="15" t="s">
        <v>59</v>
      </c>
      <c r="H65" s="15"/>
      <c r="I65" s="15"/>
      <c r="J65" s="15"/>
      <c r="K65" s="15"/>
      <c r="L65" s="15" t="s">
        <v>59</v>
      </c>
      <c r="M65" s="15"/>
      <c r="N65" s="15"/>
      <c r="O65" s="15"/>
      <c r="P65" s="15"/>
      <c r="Q65" s="15"/>
      <c r="R65" s="15"/>
      <c r="S65" s="15"/>
      <c r="T65" s="15"/>
      <c r="U65" s="15"/>
      <c r="V65" s="16"/>
      <c r="W65" s="17" t="str">
        <f t="shared" si="4"/>
        <v>FALTA/DUPLA: ELEM. DE DRENAGEM</v>
      </c>
    </row>
    <row r="66" spans="1:23" ht="20.100000000000001" customHeight="1" x14ac:dyDescent="0.25">
      <c r="A66" s="12" t="s">
        <v>127</v>
      </c>
      <c r="B66" s="13" t="s">
        <v>58</v>
      </c>
      <c r="C66" s="14">
        <v>39</v>
      </c>
      <c r="D66" s="14">
        <v>40</v>
      </c>
      <c r="E66" s="14">
        <f t="shared" si="3"/>
        <v>1</v>
      </c>
      <c r="F66" s="15"/>
      <c r="G66" s="15" t="s">
        <v>59</v>
      </c>
      <c r="H66" s="15"/>
      <c r="I66" s="15"/>
      <c r="J66" s="15"/>
      <c r="K66" s="15"/>
      <c r="L66" s="15" t="s">
        <v>59</v>
      </c>
      <c r="M66" s="15"/>
      <c r="N66" s="15"/>
      <c r="O66" s="15"/>
      <c r="P66" s="15"/>
      <c r="Q66" s="15"/>
      <c r="R66" s="15"/>
      <c r="S66" s="15"/>
      <c r="T66" s="15"/>
      <c r="U66" s="15"/>
      <c r="V66" s="16"/>
      <c r="W66" s="17" t="str">
        <f t="shared" si="4"/>
        <v>FALTA/DUPLA: ELEM. DE DRENAGEM</v>
      </c>
    </row>
    <row r="67" spans="1:23" ht="20.100000000000001" customHeight="1" x14ac:dyDescent="0.25">
      <c r="A67" s="12" t="s">
        <v>127</v>
      </c>
      <c r="B67" s="13" t="s">
        <v>58</v>
      </c>
      <c r="C67" s="14">
        <v>40</v>
      </c>
      <c r="D67" s="14">
        <v>41</v>
      </c>
      <c r="E67" s="14">
        <f t="shared" si="3"/>
        <v>1</v>
      </c>
      <c r="F67" s="15"/>
      <c r="G67" s="15" t="s">
        <v>59</v>
      </c>
      <c r="H67" s="15"/>
      <c r="I67" s="15"/>
      <c r="J67" s="15"/>
      <c r="K67" s="15"/>
      <c r="L67" s="15" t="s">
        <v>59</v>
      </c>
      <c r="M67" s="15"/>
      <c r="N67" s="15"/>
      <c r="O67" s="15"/>
      <c r="P67" s="15"/>
      <c r="Q67" s="15"/>
      <c r="R67" s="15"/>
      <c r="S67" s="15"/>
      <c r="T67" s="15"/>
      <c r="U67" s="15"/>
      <c r="V67" s="16"/>
      <c r="W67" s="17" t="str">
        <f t="shared" si="4"/>
        <v>FALTA/DUPLA: ELEM. DE DRENAGEM</v>
      </c>
    </row>
    <row r="68" spans="1:23" ht="20.100000000000001" customHeight="1" x14ac:dyDescent="0.25">
      <c r="A68" s="12" t="s">
        <v>127</v>
      </c>
      <c r="B68" s="13" t="s">
        <v>58</v>
      </c>
      <c r="C68" s="14">
        <v>41</v>
      </c>
      <c r="D68" s="14">
        <v>42</v>
      </c>
      <c r="E68" s="14">
        <f t="shared" si="3"/>
        <v>1</v>
      </c>
      <c r="F68" s="15"/>
      <c r="G68" s="15"/>
      <c r="H68" s="15" t="s">
        <v>59</v>
      </c>
      <c r="I68" s="15"/>
      <c r="J68" s="15"/>
      <c r="K68" s="15"/>
      <c r="L68" s="15" t="s">
        <v>59</v>
      </c>
      <c r="M68" s="15"/>
      <c r="N68" s="15"/>
      <c r="O68" s="15"/>
      <c r="P68" s="15"/>
      <c r="Q68" s="15"/>
      <c r="R68" s="15"/>
      <c r="S68" s="15"/>
      <c r="T68" s="15"/>
      <c r="U68" s="15"/>
      <c r="V68" s="16"/>
      <c r="W68" s="17" t="str">
        <f t="shared" si="4"/>
        <v>FALTA/DUPLA: ELEM. DE DRENAGEM</v>
      </c>
    </row>
    <row r="69" spans="1:23" ht="20.100000000000001" customHeight="1" x14ac:dyDescent="0.25">
      <c r="A69" s="12" t="s">
        <v>127</v>
      </c>
      <c r="B69" s="13" t="s">
        <v>58</v>
      </c>
      <c r="C69" s="14">
        <v>42</v>
      </c>
      <c r="D69" s="14">
        <v>43</v>
      </c>
      <c r="E69" s="14">
        <f t="shared" si="3"/>
        <v>1</v>
      </c>
      <c r="F69" s="15"/>
      <c r="G69" s="15"/>
      <c r="H69" s="15"/>
      <c r="I69" s="15"/>
      <c r="J69" s="15" t="s">
        <v>59</v>
      </c>
      <c r="K69" s="15"/>
      <c r="L69" s="15" t="s">
        <v>59</v>
      </c>
      <c r="M69" s="15"/>
      <c r="N69" s="15"/>
      <c r="O69" s="15"/>
      <c r="P69" s="15"/>
      <c r="Q69" s="15"/>
      <c r="R69" s="15"/>
      <c r="S69" s="15"/>
      <c r="T69" s="15"/>
      <c r="U69" s="15"/>
      <c r="V69" s="16"/>
      <c r="W69" s="17" t="str">
        <f t="shared" si="4"/>
        <v>FALTA/DUPLA: ELEM. DE DRENAGEM</v>
      </c>
    </row>
    <row r="70" spans="1:23" ht="20.100000000000001" customHeight="1" x14ac:dyDescent="0.25">
      <c r="A70" s="12" t="s">
        <v>127</v>
      </c>
      <c r="B70" s="13" t="s">
        <v>58</v>
      </c>
      <c r="C70" s="14">
        <v>43</v>
      </c>
      <c r="D70" s="14">
        <v>44</v>
      </c>
      <c r="E70" s="14">
        <f t="shared" si="3"/>
        <v>1</v>
      </c>
      <c r="F70" s="15"/>
      <c r="G70" s="15"/>
      <c r="H70" s="15"/>
      <c r="I70" s="15"/>
      <c r="J70" s="15" t="s">
        <v>59</v>
      </c>
      <c r="K70" s="15"/>
      <c r="L70" s="15" t="s">
        <v>59</v>
      </c>
      <c r="M70" s="15"/>
      <c r="N70" s="15"/>
      <c r="O70" s="15"/>
      <c r="P70" s="15"/>
      <c r="Q70" s="15"/>
      <c r="R70" s="15"/>
      <c r="S70" s="15"/>
      <c r="T70" s="15"/>
      <c r="U70" s="15"/>
      <c r="V70" s="16"/>
      <c r="W70" s="17" t="str">
        <f t="shared" si="4"/>
        <v>FALTA/DUPLA: ELEM. DE DRENAGEM</v>
      </c>
    </row>
    <row r="71" spans="1:23" ht="20.100000000000001" customHeight="1" x14ac:dyDescent="0.25">
      <c r="A71" s="12" t="s">
        <v>127</v>
      </c>
      <c r="B71" s="13" t="s">
        <v>58</v>
      </c>
      <c r="C71" s="14">
        <v>44</v>
      </c>
      <c r="D71" s="14">
        <v>45</v>
      </c>
      <c r="E71" s="14">
        <f t="shared" si="3"/>
        <v>1</v>
      </c>
      <c r="F71" s="15"/>
      <c r="G71" s="15" t="s">
        <v>59</v>
      </c>
      <c r="H71" s="15"/>
      <c r="I71" s="15"/>
      <c r="J71" s="15"/>
      <c r="K71" s="15"/>
      <c r="L71" s="15" t="s">
        <v>59</v>
      </c>
      <c r="M71" s="15"/>
      <c r="N71" s="15"/>
      <c r="O71" s="15"/>
      <c r="P71" s="15"/>
      <c r="Q71" s="15"/>
      <c r="R71" s="15"/>
      <c r="S71" s="15"/>
      <c r="T71" s="15"/>
      <c r="U71" s="15"/>
      <c r="V71" s="16"/>
      <c r="W71" s="17" t="str">
        <f t="shared" si="4"/>
        <v>FALTA/DUPLA: ELEM. DE DRENAGEM</v>
      </c>
    </row>
    <row r="72" spans="1:23" ht="20.100000000000001" customHeight="1" x14ac:dyDescent="0.25">
      <c r="A72" s="12" t="s">
        <v>127</v>
      </c>
      <c r="B72" s="13" t="s">
        <v>58</v>
      </c>
      <c r="C72" s="14">
        <v>45</v>
      </c>
      <c r="D72" s="14">
        <v>46</v>
      </c>
      <c r="E72" s="14">
        <f t="shared" si="3"/>
        <v>1</v>
      </c>
      <c r="F72" s="15"/>
      <c r="G72" s="15" t="s">
        <v>59</v>
      </c>
      <c r="H72" s="15"/>
      <c r="I72" s="15"/>
      <c r="J72" s="15"/>
      <c r="K72" s="15"/>
      <c r="L72" s="15" t="s">
        <v>59</v>
      </c>
      <c r="M72" s="15"/>
      <c r="N72" s="15"/>
      <c r="O72" s="15"/>
      <c r="P72" s="15"/>
      <c r="Q72" s="15"/>
      <c r="R72" s="15"/>
      <c r="S72" s="15"/>
      <c r="T72" s="15"/>
      <c r="U72" s="15"/>
      <c r="V72" s="16"/>
      <c r="W72" s="17" t="str">
        <f t="shared" si="4"/>
        <v>FALTA/DUPLA: ELEM. DE DRENAGEM</v>
      </c>
    </row>
    <row r="73" spans="1:23" ht="20.100000000000001" customHeight="1" x14ac:dyDescent="0.25">
      <c r="A73" s="18" t="s">
        <v>127</v>
      </c>
      <c r="B73" s="19" t="s">
        <v>58</v>
      </c>
      <c r="C73" s="20">
        <v>46</v>
      </c>
      <c r="D73" s="20">
        <v>46.3845222737</v>
      </c>
      <c r="E73" s="20">
        <f t="shared" si="3"/>
        <v>0.38452227370000003</v>
      </c>
      <c r="F73" s="21"/>
      <c r="G73" s="21" t="s">
        <v>59</v>
      </c>
      <c r="H73" s="21"/>
      <c r="I73" s="21"/>
      <c r="J73" s="21"/>
      <c r="K73" s="21"/>
      <c r="L73" s="21" t="s">
        <v>59</v>
      </c>
      <c r="M73" s="21"/>
      <c r="N73" s="21"/>
      <c r="O73" s="21"/>
      <c r="P73" s="21"/>
      <c r="Q73" s="21"/>
      <c r="R73" s="21"/>
      <c r="S73" s="21"/>
      <c r="T73" s="21"/>
      <c r="U73" s="21"/>
      <c r="V73" s="22"/>
      <c r="W73" s="23" t="str">
        <f t="shared" si="4"/>
        <v>FALTA/DUPLA: ELEM. DE DRENAGEM</v>
      </c>
    </row>
    <row r="75" spans="1:23" x14ac:dyDescent="0.25">
      <c r="A75" s="43" t="s">
        <v>60</v>
      </c>
      <c r="B75" s="28"/>
      <c r="C75" s="28"/>
      <c r="D75" s="28"/>
      <c r="E75" s="28"/>
      <c r="G75" s="43" t="s">
        <v>60</v>
      </c>
      <c r="H75" s="28"/>
      <c r="I75" s="28"/>
      <c r="J75" s="28"/>
      <c r="K75" s="28"/>
    </row>
    <row r="76" spans="1:23" x14ac:dyDescent="0.25">
      <c r="A76" s="41" t="s">
        <v>61</v>
      </c>
      <c r="B76" s="28"/>
      <c r="C76" s="28"/>
      <c r="D76" s="28"/>
      <c r="E76" s="28"/>
      <c r="G76" s="41" t="s">
        <v>62</v>
      </c>
      <c r="H76" s="28"/>
      <c r="I76" s="28"/>
      <c r="J76" s="28"/>
      <c r="K76" s="28"/>
    </row>
    <row r="78" spans="1:23" x14ac:dyDescent="0.25">
      <c r="A78" s="49" t="s">
        <v>63</v>
      </c>
      <c r="B78" s="28"/>
      <c r="C78" s="28"/>
      <c r="D78" s="28"/>
      <c r="E78" s="28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3" x14ac:dyDescent="0.25">
      <c r="A79" s="35" t="s">
        <v>64</v>
      </c>
      <c r="B79" s="28"/>
      <c r="C79" s="28"/>
      <c r="D79" s="28"/>
      <c r="E79" s="28"/>
      <c r="F79" s="9">
        <f t="shared" ref="F79:U79" si="5">SUMIF(F$9:F$73,"X",$E$9:$E$73)</f>
        <v>13.519213165099998</v>
      </c>
      <c r="G79" s="9">
        <f t="shared" si="5"/>
        <v>28.3845222737</v>
      </c>
      <c r="H79" s="9">
        <f t="shared" si="5"/>
        <v>10</v>
      </c>
      <c r="I79" s="9">
        <f t="shared" si="5"/>
        <v>0</v>
      </c>
      <c r="J79" s="9">
        <f t="shared" si="5"/>
        <v>11</v>
      </c>
      <c r="K79" s="9">
        <f t="shared" si="5"/>
        <v>1</v>
      </c>
      <c r="L79" s="9">
        <f t="shared" si="5"/>
        <v>61.903735438799998</v>
      </c>
      <c r="M79" s="9">
        <f t="shared" si="5"/>
        <v>0</v>
      </c>
      <c r="N79" s="9">
        <f t="shared" si="5"/>
        <v>38.519213165099998</v>
      </c>
      <c r="O79" s="9">
        <f t="shared" si="5"/>
        <v>0</v>
      </c>
      <c r="P79" s="9">
        <f t="shared" si="5"/>
        <v>0</v>
      </c>
      <c r="Q79" s="9">
        <f t="shared" si="5"/>
        <v>38.519213165099998</v>
      </c>
      <c r="R79" s="9">
        <f t="shared" si="5"/>
        <v>0</v>
      </c>
      <c r="S79" s="9">
        <f t="shared" si="5"/>
        <v>0</v>
      </c>
      <c r="T79" s="9">
        <f t="shared" si="5"/>
        <v>38.519213165099998</v>
      </c>
      <c r="U79" s="9">
        <f t="shared" si="5"/>
        <v>0</v>
      </c>
    </row>
    <row r="80" spans="1:23" x14ac:dyDescent="0.25">
      <c r="A80" s="35" t="s">
        <v>65</v>
      </c>
      <c r="B80" s="28"/>
      <c r="C80" s="28"/>
      <c r="D80" s="28"/>
      <c r="E80" s="28"/>
      <c r="F80" s="25">
        <f t="shared" ref="F80:U80" si="6">IF($R82=0,0,F79/$R82)</f>
        <v>0.21491908343429059</v>
      </c>
      <c r="G80" s="25">
        <f t="shared" si="6"/>
        <v>0.45123746746829896</v>
      </c>
      <c r="H80" s="25">
        <f t="shared" si="6"/>
        <v>0.15897307099876687</v>
      </c>
      <c r="I80" s="25">
        <f t="shared" si="6"/>
        <v>0</v>
      </c>
      <c r="J80" s="25">
        <f t="shared" si="6"/>
        <v>0.17487037809864356</v>
      </c>
      <c r="K80" s="25">
        <f t="shared" si="6"/>
        <v>1.5897307099876686E-2</v>
      </c>
      <c r="L80" s="25">
        <f t="shared" si="6"/>
        <v>0.98410269290012331</v>
      </c>
      <c r="M80" s="25">
        <f t="shared" si="6"/>
        <v>0</v>
      </c>
      <c r="N80" s="25">
        <f t="shared" si="6"/>
        <v>0.6123517609312078</v>
      </c>
      <c r="O80" s="25">
        <f t="shared" si="6"/>
        <v>0</v>
      </c>
      <c r="P80" s="25">
        <f t="shared" si="6"/>
        <v>0</v>
      </c>
      <c r="Q80" s="25">
        <f t="shared" si="6"/>
        <v>0.6123517609312078</v>
      </c>
      <c r="R80" s="25">
        <f t="shared" si="6"/>
        <v>0</v>
      </c>
      <c r="S80" s="25">
        <f t="shared" si="6"/>
        <v>0</v>
      </c>
      <c r="T80" s="25">
        <f t="shared" si="6"/>
        <v>0.6123517609312078</v>
      </c>
      <c r="U80" s="25">
        <f t="shared" si="6"/>
        <v>0</v>
      </c>
    </row>
    <row r="81" spans="1:22" x14ac:dyDescent="0.25">
      <c r="A81" s="35" t="s">
        <v>66</v>
      </c>
      <c r="B81" s="28"/>
      <c r="C81" s="28"/>
      <c r="D81" s="28"/>
      <c r="E81" s="28"/>
      <c r="F81" s="45" t="str">
        <f>IF(SUM(F79:J79)=0,"— não preenchido",IF(ROUND(SUM(F79:J79)-$R82,3)=0,"OK — "&amp;ROUND(SUM(F79:J79),3)&amp;" km","ERRO — dif. de "&amp;ROUND(SUM(F79:J79)-$R82,3)&amp;" km"))</f>
        <v>OK — 62,904 km</v>
      </c>
      <c r="G81" s="32"/>
      <c r="H81" s="32"/>
      <c r="I81" s="32"/>
      <c r="J81" s="30"/>
      <c r="K81" s="45" t="str">
        <f>IF(SUM(K79:L79)=0,"— não preenchido",IF(ROUND(SUM(K79:L79)-$R82,3)=0,"OK — "&amp;ROUND(SUM(K79:L79),3)&amp;" km","ERRO — dif. de "&amp;ROUND(SUM(K79:L79)-$R82,3)&amp;" km"))</f>
        <v>OK — 62,904 km</v>
      </c>
      <c r="L81" s="30"/>
      <c r="M81" s="45" t="str">
        <f>IF(SUM(M79:O79)=0,"— não preenchido",IF(ROUND(SUM(M79:O79)-$R82,3)=0,"OK — "&amp;ROUND(SUM(M79:O79),3)&amp;" km","ERRO — dif. de "&amp;ROUND(SUM(M79:O79)-$R82,3)&amp;" km"))</f>
        <v>ERRO — dif. de -24,385 km</v>
      </c>
      <c r="N81" s="32"/>
      <c r="O81" s="30"/>
      <c r="P81" s="45" t="str">
        <f>IF(SUM(P79:R79)=0,"— não preenchido",IF(ROUND(SUM(P79:R79)-$R82,3)=0,"OK — "&amp;ROUND(SUM(P79:R79),3)&amp;" km","ERRO — dif. de "&amp;ROUND(SUM(P79:R79)-$R82,3)&amp;" km"))</f>
        <v>ERRO — dif. de -24,385 km</v>
      </c>
      <c r="Q81" s="32"/>
      <c r="R81" s="30"/>
      <c r="S81" s="45" t="str">
        <f>IF(SUM(S79:U79)=0,"— não preenchido",IF(ROUND(SUM(S79:U79)-$R82,3)=0,"OK — "&amp;ROUND(SUM(S79:U79),3)&amp;" km","ERRO — dif. de "&amp;ROUND(SUM(S79:U79)-$R82,3)&amp;" km"))</f>
        <v>ERRO — dif. de -24,385 km</v>
      </c>
      <c r="T81" s="32"/>
      <c r="U81" s="30"/>
    </row>
    <row r="82" spans="1:22" x14ac:dyDescent="0.25">
      <c r="A82" s="35" t="s">
        <v>67</v>
      </c>
      <c r="B82" s="28"/>
      <c r="C82" s="28"/>
      <c r="D82" s="28"/>
      <c r="E82" s="28"/>
      <c r="R82" s="26">
        <f>SUM(E9:E73)</f>
        <v>62.903735438799998</v>
      </c>
      <c r="V82" s="8" t="str">
        <f>COUNTIF(W9:W73,"OK")&amp;" de "&amp;COUNT($E$9:$E$73)&amp;" linhas conferidas"</f>
        <v>39 de 64 linhas conferidas</v>
      </c>
    </row>
    <row r="84" spans="1:22" x14ac:dyDescent="0.25">
      <c r="A84" s="44" t="s">
        <v>68</v>
      </c>
      <c r="B84" s="28"/>
      <c r="C84" s="28"/>
      <c r="D84" s="28"/>
      <c r="E84" s="28"/>
    </row>
    <row r="85" spans="1:22" x14ac:dyDescent="0.25">
      <c r="A85" s="35" t="s">
        <v>69</v>
      </c>
      <c r="B85" s="28"/>
      <c r="C85" s="28"/>
      <c r="D85" s="28"/>
      <c r="E85" s="34" t="s">
        <v>70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5" t="s">
        <v>71</v>
      </c>
      <c r="B86" s="28"/>
      <c r="C86" s="28"/>
      <c r="D86" s="28"/>
      <c r="E86" s="34" t="s">
        <v>72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5" t="s">
        <v>73</v>
      </c>
      <c r="B87" s="28"/>
      <c r="C87" s="28"/>
      <c r="D87" s="28"/>
      <c r="E87" s="34" t="s">
        <v>74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5" t="s">
        <v>75</v>
      </c>
      <c r="B88" s="28"/>
      <c r="C88" s="28"/>
      <c r="D88" s="28"/>
      <c r="E88" s="34" t="s">
        <v>76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5" t="s">
        <v>77</v>
      </c>
      <c r="B89" s="28"/>
      <c r="C89" s="28"/>
      <c r="D89" s="28"/>
      <c r="E89" s="34" t="s">
        <v>78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5" t="s">
        <v>50</v>
      </c>
      <c r="B90" s="28"/>
      <c r="C90" s="28"/>
      <c r="D90" s="28"/>
      <c r="E90" s="34" t="s">
        <v>79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5" t="s">
        <v>80</v>
      </c>
      <c r="B91" s="28"/>
      <c r="C91" s="28"/>
      <c r="D91" s="28"/>
      <c r="E91" s="34" t="s">
        <v>81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5" t="s">
        <v>82</v>
      </c>
      <c r="B92" s="28"/>
      <c r="C92" s="28"/>
      <c r="D92" s="28"/>
      <c r="E92" s="34" t="s">
        <v>83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5" t="s">
        <v>11</v>
      </c>
      <c r="B93" s="28"/>
      <c r="C93" s="28"/>
      <c r="D93" s="28"/>
      <c r="E93" s="34" t="s">
        <v>84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</sheetData>
  <sheetProtection sheet="1" formatCells="0"/>
  <mergeCells count="58">
    <mergeCell ref="A1:V1"/>
    <mergeCell ref="F81:J81"/>
    <mergeCell ref="A76:E76"/>
    <mergeCell ref="A87:D87"/>
    <mergeCell ref="T3:V3"/>
    <mergeCell ref="S81:U81"/>
    <mergeCell ref="A81:E81"/>
    <mergeCell ref="G76:K76"/>
    <mergeCell ref="A86:D86"/>
    <mergeCell ref="A85:D85"/>
    <mergeCell ref="R2:V2"/>
    <mergeCell ref="A3:S3"/>
    <mergeCell ref="C6:C7"/>
    <mergeCell ref="K6:L6"/>
    <mergeCell ref="D6:D7"/>
    <mergeCell ref="P6:R6"/>
    <mergeCell ref="P2:Q2"/>
    <mergeCell ref="W6:W7"/>
    <mergeCell ref="E89:V89"/>
    <mergeCell ref="A75:E75"/>
    <mergeCell ref="E6:E7"/>
    <mergeCell ref="A84:E84"/>
    <mergeCell ref="B6:B7"/>
    <mergeCell ref="A80:E80"/>
    <mergeCell ref="E85:V85"/>
    <mergeCell ref="A88:D88"/>
    <mergeCell ref="A89:D89"/>
    <mergeCell ref="A26:V26"/>
    <mergeCell ref="A93:D93"/>
    <mergeCell ref="A4:V4"/>
    <mergeCell ref="V6:V7"/>
    <mergeCell ref="A79:E79"/>
    <mergeCell ref="G75:K75"/>
    <mergeCell ref="S6:U6"/>
    <mergeCell ref="A78:E78"/>
    <mergeCell ref="E90:V90"/>
    <mergeCell ref="E86:V86"/>
    <mergeCell ref="K81:L81"/>
    <mergeCell ref="A92:D92"/>
    <mergeCell ref="E91:V91"/>
    <mergeCell ref="E93:V93"/>
    <mergeCell ref="A90:D90"/>
    <mergeCell ref="E92:V92"/>
    <mergeCell ref="E88:V88"/>
    <mergeCell ref="A91:D91"/>
    <mergeCell ref="G2:H2"/>
    <mergeCell ref="E87:V87"/>
    <mergeCell ref="A82:E82"/>
    <mergeCell ref="I2:J2"/>
    <mergeCell ref="A8:V8"/>
    <mergeCell ref="P81:R81"/>
    <mergeCell ref="F6:J6"/>
    <mergeCell ref="A6:A7"/>
    <mergeCell ref="M6:O6"/>
    <mergeCell ref="M81:O81"/>
    <mergeCell ref="A2:F2"/>
    <mergeCell ref="K2:M2"/>
    <mergeCell ref="N2:O2"/>
  </mergeCells>
  <conditionalFormatting sqref="F9:J73">
    <cfRule type="expression" dxfId="62" priority="1">
      <formula>AND(F9&lt;&gt;"",COUNTIF($F9:$J9,"X")&gt;1)</formula>
    </cfRule>
  </conditionalFormatting>
  <conditionalFormatting sqref="F81:U81">
    <cfRule type="expression" dxfId="61" priority="8">
      <formula>LEFT(F81,4)="ERRO"</formula>
    </cfRule>
    <cfRule type="expression" dxfId="60" priority="9">
      <formula>LEFT(F81,2)="OK"</formula>
    </cfRule>
  </conditionalFormatting>
  <conditionalFormatting sqref="K9:L73">
    <cfRule type="expression" dxfId="59" priority="2">
      <formula>AND(K9&lt;&gt;"",COUNTIF($K9:$L9,"X")&gt;1)</formula>
    </cfRule>
  </conditionalFormatting>
  <conditionalFormatting sqref="M9:O73">
    <cfRule type="expression" dxfId="58" priority="3">
      <formula>AND(M9&lt;&gt;"",COUNTIF($M9:$O9,"X")&gt;1)</formula>
    </cfRule>
  </conditionalFormatting>
  <conditionalFormatting sqref="P9:R73">
    <cfRule type="expression" dxfId="57" priority="4">
      <formula>AND(P9&lt;&gt;"",COUNTIF($P9:$R9,"X")&gt;1)</formula>
    </cfRule>
  </conditionalFormatting>
  <conditionalFormatting sqref="S9:U73">
    <cfRule type="expression" dxfId="56" priority="5">
      <formula>AND(S9&lt;&gt;"",COUNTIF($S9:$U9,"X")&gt;1)</formula>
    </cfRule>
  </conditionalFormatting>
  <conditionalFormatting sqref="W9:W73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3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3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3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3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3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73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230</oddHeader>
    <oddFooter>&amp;L&amp;7 RTA / MSI — Programa de Manutenção Rodoviária&amp;C&amp;7 Página &amp;P de &amp;N&amp;R&amp;7 Impresso em &amp;D</oddFooter>
  </headerFooter>
  <rowBreaks count="1" manualBreakCount="1">
    <brk id="7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 t="e">
        <f t="shared" ref="Y2:AN2" si="0">IF(F16=0,NA(),F16)</f>
        <v>#N/A</v>
      </c>
      <c r="Z2" s="2">
        <f t="shared" si="0"/>
        <v>1.12549100823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1.12549100823</v>
      </c>
      <c r="AE2" s="2" t="e">
        <f t="shared" si="0"/>
        <v>#N/A</v>
      </c>
      <c r="AF2" s="2">
        <f t="shared" si="0"/>
        <v>1.12549100823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1.12549100823</v>
      </c>
      <c r="AK2" s="2" t="e">
        <f t="shared" si="0"/>
        <v>#N/A</v>
      </c>
      <c r="AL2" s="2" t="e">
        <f t="shared" si="0"/>
        <v>#N/A</v>
      </c>
      <c r="AM2" s="2">
        <f t="shared" si="0"/>
        <v>1.12549100823</v>
      </c>
      <c r="AN2" s="2" t="e">
        <f t="shared" si="0"/>
        <v>#N/A</v>
      </c>
    </row>
    <row r="3" spans="1:40" ht="15" customHeight="1" x14ac:dyDescent="0.25">
      <c r="A3" s="48" t="s">
        <v>128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129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131</v>
      </c>
      <c r="B9" s="13" t="s">
        <v>58</v>
      </c>
      <c r="C9" s="14">
        <v>0</v>
      </c>
      <c r="D9" s="14">
        <v>1</v>
      </c>
      <c r="E9" s="14">
        <f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 t="s">
        <v>59</v>
      </c>
      <c r="N9" s="15"/>
      <c r="O9" s="15"/>
      <c r="P9" s="15"/>
      <c r="Q9" s="15" t="s">
        <v>59</v>
      </c>
      <c r="R9" s="15"/>
      <c r="S9" s="15"/>
      <c r="T9" s="15" t="s">
        <v>59</v>
      </c>
      <c r="U9" s="15"/>
      <c r="V9" s="16" t="s">
        <v>132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131</v>
      </c>
      <c r="B10" s="19" t="s">
        <v>58</v>
      </c>
      <c r="C10" s="20">
        <v>1</v>
      </c>
      <c r="D10" s="20">
        <v>1.12549100823</v>
      </c>
      <c r="E10" s="20">
        <f>D10-C10</f>
        <v>0.12549100823000003</v>
      </c>
      <c r="F10" s="21"/>
      <c r="G10" s="21" t="s">
        <v>59</v>
      </c>
      <c r="H10" s="21"/>
      <c r="I10" s="21"/>
      <c r="J10" s="21"/>
      <c r="K10" s="21" t="s">
        <v>59</v>
      </c>
      <c r="L10" s="21"/>
      <c r="M10" s="21" t="s">
        <v>59</v>
      </c>
      <c r="N10" s="21"/>
      <c r="O10" s="21"/>
      <c r="P10" s="21"/>
      <c r="Q10" s="21" t="s">
        <v>59</v>
      </c>
      <c r="R10" s="21"/>
      <c r="S10" s="21"/>
      <c r="T10" s="21" t="s">
        <v>59</v>
      </c>
      <c r="U10" s="21"/>
      <c r="V10" s="22" t="s">
        <v>132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3" t="s">
        <v>60</v>
      </c>
      <c r="B12" s="28"/>
      <c r="C12" s="28"/>
      <c r="D12" s="28"/>
      <c r="E12" s="28"/>
      <c r="G12" s="43" t="s">
        <v>60</v>
      </c>
      <c r="H12" s="28"/>
      <c r="I12" s="28"/>
      <c r="J12" s="28"/>
      <c r="K12" s="28"/>
    </row>
    <row r="13" spans="1:40" x14ac:dyDescent="0.25">
      <c r="A13" s="41" t="s">
        <v>61</v>
      </c>
      <c r="B13" s="28"/>
      <c r="C13" s="28"/>
      <c r="D13" s="28"/>
      <c r="E13" s="28"/>
      <c r="G13" s="41" t="s">
        <v>62</v>
      </c>
      <c r="H13" s="28"/>
      <c r="I13" s="28"/>
      <c r="J13" s="28"/>
      <c r="K13" s="28"/>
    </row>
    <row r="15" spans="1:40" x14ac:dyDescent="0.25">
      <c r="A15" s="49" t="s">
        <v>63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5" t="s">
        <v>64</v>
      </c>
      <c r="B16" s="28"/>
      <c r="C16" s="28"/>
      <c r="D16" s="28"/>
      <c r="E16" s="28"/>
      <c r="F16" s="9">
        <f t="shared" ref="F16:U16" si="1">SUMIF(F$9:F$10,"X",$E$9:$E$10)</f>
        <v>0</v>
      </c>
      <c r="G16" s="9">
        <f t="shared" si="1"/>
        <v>1.12549100823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1.12549100823</v>
      </c>
      <c r="L16" s="9">
        <f t="shared" si="1"/>
        <v>0</v>
      </c>
      <c r="M16" s="9">
        <f t="shared" si="1"/>
        <v>1.12549100823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1.12549100823</v>
      </c>
      <c r="R16" s="9">
        <f t="shared" si="1"/>
        <v>0</v>
      </c>
      <c r="S16" s="9">
        <f t="shared" si="1"/>
        <v>0</v>
      </c>
      <c r="T16" s="9">
        <f t="shared" si="1"/>
        <v>1.12549100823</v>
      </c>
      <c r="U16" s="9">
        <f t="shared" si="1"/>
        <v>0</v>
      </c>
    </row>
    <row r="17" spans="1:22" x14ac:dyDescent="0.25">
      <c r="A17" s="35" t="s">
        <v>65</v>
      </c>
      <c r="B17" s="28"/>
      <c r="C17" s="28"/>
      <c r="D17" s="28"/>
      <c r="E17" s="28"/>
      <c r="F17" s="25">
        <f t="shared" ref="F17:U17" si="2">IF($R19=0,0,F16/$R19)</f>
        <v>0</v>
      </c>
      <c r="G17" s="25">
        <f t="shared" si="2"/>
        <v>1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1</v>
      </c>
      <c r="L17" s="25">
        <f t="shared" si="2"/>
        <v>0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5" t="s">
        <v>66</v>
      </c>
      <c r="B18" s="28"/>
      <c r="C18" s="28"/>
      <c r="D18" s="28"/>
      <c r="E18" s="28"/>
      <c r="F18" s="45" t="str">
        <f>IF(SUM(F16:J16)=0,"— não preenchido",IF(ROUND(SUM(F16:J16)-$R19,3)=0,"OK — "&amp;ROUND(SUM(F16:J16),3)&amp;" km","ERRO — dif. de "&amp;ROUND(SUM(F16:J16)-$R19,3)&amp;" km"))</f>
        <v>OK — 1,125 km</v>
      </c>
      <c r="G18" s="32"/>
      <c r="H18" s="32"/>
      <c r="I18" s="32"/>
      <c r="J18" s="30"/>
      <c r="K18" s="45" t="str">
        <f>IF(SUM(K16:L16)=0,"— não preenchido",IF(ROUND(SUM(K16:L16)-$R19,3)=0,"OK — "&amp;ROUND(SUM(K16:L16),3)&amp;" km","ERRO — dif. de "&amp;ROUND(SUM(K16:L16)-$R19,3)&amp;" km"))</f>
        <v>OK — 1,125 km</v>
      </c>
      <c r="L18" s="30"/>
      <c r="M18" s="45" t="str">
        <f>IF(SUM(M16:O16)=0,"— não preenchido",IF(ROUND(SUM(M16:O16)-$R19,3)=0,"OK — "&amp;ROUND(SUM(M16:O16),3)&amp;" km","ERRO — dif. de "&amp;ROUND(SUM(M16:O16)-$R19,3)&amp;" km"))</f>
        <v>OK — 1,125 km</v>
      </c>
      <c r="N18" s="32"/>
      <c r="O18" s="30"/>
      <c r="P18" s="45" t="str">
        <f>IF(SUM(P16:R16)=0,"— não preenchido",IF(ROUND(SUM(P16:R16)-$R19,3)=0,"OK — "&amp;ROUND(SUM(P16:R16),3)&amp;" km","ERRO — dif. de "&amp;ROUND(SUM(P16:R16)-$R19,3)&amp;" km"))</f>
        <v>OK — 1,125 km</v>
      </c>
      <c r="Q18" s="32"/>
      <c r="R18" s="30"/>
      <c r="S18" s="45" t="str">
        <f>IF(SUM(S16:U16)=0,"— não preenchido",IF(ROUND(SUM(S16:U16)-$R19,3)=0,"OK — "&amp;ROUND(SUM(S16:U16),3)&amp;" km","ERRO — dif. de "&amp;ROUND(SUM(S16:U16)-$R19,3)&amp;" km"))</f>
        <v>OK — 1,125 km</v>
      </c>
      <c r="T18" s="32"/>
      <c r="U18" s="30"/>
    </row>
    <row r="19" spans="1:22" x14ac:dyDescent="0.25">
      <c r="A19" s="35" t="s">
        <v>67</v>
      </c>
      <c r="B19" s="28"/>
      <c r="C19" s="28"/>
      <c r="D19" s="28"/>
      <c r="E19" s="28"/>
      <c r="R19" s="26">
        <f>SUM(E9:E10)</f>
        <v>1.12549100823</v>
      </c>
      <c r="V19" s="8" t="str">
        <f>COUNTIF(W9:W10,"OK")&amp;" de "&amp;COUNT($E$9:$E$10)&amp;" linhas conferidas"</f>
        <v>2 de 2 linhas conferidas</v>
      </c>
    </row>
    <row r="21" spans="1:22" x14ac:dyDescent="0.25">
      <c r="A21" s="44" t="s">
        <v>68</v>
      </c>
      <c r="B21" s="28"/>
      <c r="C21" s="28"/>
      <c r="D21" s="28"/>
      <c r="E21" s="28"/>
    </row>
    <row r="22" spans="1:22" x14ac:dyDescent="0.25">
      <c r="A22" s="35" t="s">
        <v>69</v>
      </c>
      <c r="B22" s="28"/>
      <c r="C22" s="28"/>
      <c r="D22" s="28"/>
      <c r="E22" s="34" t="s">
        <v>70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5" t="s">
        <v>71</v>
      </c>
      <c r="B23" s="28"/>
      <c r="C23" s="28"/>
      <c r="D23" s="28"/>
      <c r="E23" s="34" t="s">
        <v>72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5" t="s">
        <v>73</v>
      </c>
      <c r="B24" s="28"/>
      <c r="C24" s="28"/>
      <c r="D24" s="28"/>
      <c r="E24" s="34" t="s">
        <v>74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5" t="s">
        <v>75</v>
      </c>
      <c r="B25" s="28"/>
      <c r="C25" s="28"/>
      <c r="D25" s="28"/>
      <c r="E25" s="34" t="s">
        <v>76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5" t="s">
        <v>77</v>
      </c>
      <c r="B26" s="28"/>
      <c r="C26" s="28"/>
      <c r="D26" s="28"/>
      <c r="E26" s="34" t="s">
        <v>78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5" t="s">
        <v>50</v>
      </c>
      <c r="B27" s="28"/>
      <c r="C27" s="28"/>
      <c r="D27" s="28"/>
      <c r="E27" s="34" t="s">
        <v>79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80</v>
      </c>
      <c r="B28" s="28"/>
      <c r="C28" s="28"/>
      <c r="D28" s="28"/>
      <c r="E28" s="34" t="s">
        <v>81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82</v>
      </c>
      <c r="B29" s="28"/>
      <c r="C29" s="28"/>
      <c r="D29" s="28"/>
      <c r="E29" s="34" t="s">
        <v>83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11</v>
      </c>
      <c r="B30" s="28"/>
      <c r="C30" s="28"/>
      <c r="D30" s="28"/>
      <c r="E30" s="34" t="s">
        <v>84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sheet="1" formatCells="0"/>
  <mergeCells count="57">
    <mergeCell ref="A27:D27"/>
    <mergeCell ref="A26:D26"/>
    <mergeCell ref="A19:E19"/>
    <mergeCell ref="E24:V24"/>
    <mergeCell ref="S18:U18"/>
    <mergeCell ref="K18:L18"/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W6:W7"/>
    <mergeCell ref="P18:R18"/>
    <mergeCell ref="F18:J18"/>
    <mergeCell ref="G13:K13"/>
    <mergeCell ref="E6:E7"/>
    <mergeCell ref="A18:E18"/>
    <mergeCell ref="A12:E12"/>
    <mergeCell ref="A4:V4"/>
    <mergeCell ref="A2:F2"/>
    <mergeCell ref="S6:U6"/>
    <mergeCell ref="K2:M2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A15:E15"/>
    <mergeCell ref="A22:D2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</mergeCells>
  <conditionalFormatting sqref="F9:J10">
    <cfRule type="expression" dxfId="53" priority="1">
      <formula>AND(F9&lt;&gt;"",COUNTIF($F9:$J9,"X")&gt;1)</formula>
    </cfRule>
  </conditionalFormatting>
  <conditionalFormatting sqref="F18:U18">
    <cfRule type="expression" dxfId="52" priority="8">
      <formula>LEFT(F18,4)="ERRO"</formula>
    </cfRule>
    <cfRule type="expression" dxfId="51" priority="9">
      <formula>LEFT(F18,2)="OK"</formula>
    </cfRule>
  </conditionalFormatting>
  <conditionalFormatting sqref="K9:L10">
    <cfRule type="expression" dxfId="50" priority="2">
      <formula>AND(K9&lt;&gt;"",COUNTIF($K9:$L9,"X")&gt;1)</formula>
    </cfRule>
  </conditionalFormatting>
  <conditionalFormatting sqref="M9:O10">
    <cfRule type="expression" dxfId="49" priority="3">
      <formula>AND(M9&lt;&gt;"",COUNTIF($M9:$O9,"X")&gt;1)</formula>
    </cfRule>
  </conditionalFormatting>
  <conditionalFormatting sqref="P9:R10">
    <cfRule type="expression" dxfId="48" priority="4">
      <formula>AND(P9&lt;&gt;"",COUNTIF($P9:$R9,"X")&gt;1)</formula>
    </cfRule>
  </conditionalFormatting>
  <conditionalFormatting sqref="S9:U10">
    <cfRule type="expression" dxfId="47" priority="5">
      <formula>AND(S9&lt;&gt;"",COUNTIF($S9:$U9,"X")&gt;1)</formula>
    </cfRule>
  </conditionalFormatting>
  <conditionalFormatting sqref="W9:W10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231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11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IF(F100=0,NA(),F100)</f>
        <v>9</v>
      </c>
      <c r="Z2" s="2">
        <f t="shared" si="0"/>
        <v>49.9765185913</v>
      </c>
      <c r="AA2" s="2">
        <f t="shared" si="0"/>
        <v>22.872973655999999</v>
      </c>
      <c r="AB2" s="2" t="e">
        <f t="shared" si="0"/>
        <v>#N/A</v>
      </c>
      <c r="AC2" s="2" t="e">
        <f t="shared" si="0"/>
        <v>#N/A</v>
      </c>
      <c r="AD2" s="2">
        <f t="shared" si="0"/>
        <v>80.849492247299992</v>
      </c>
      <c r="AE2" s="2" t="e">
        <f t="shared" si="0"/>
        <v>#N/A</v>
      </c>
      <c r="AF2" s="2">
        <f t="shared" si="0"/>
        <v>9.8729736559999992</v>
      </c>
      <c r="AG2" s="2">
        <f t="shared" si="0"/>
        <v>69.976518591299993</v>
      </c>
      <c r="AH2" s="2" t="e">
        <f t="shared" si="0"/>
        <v>#N/A</v>
      </c>
      <c r="AI2" s="2" t="e">
        <f t="shared" si="0"/>
        <v>#N/A</v>
      </c>
      <c r="AJ2" s="2">
        <f t="shared" si="0"/>
        <v>81.849492247299992</v>
      </c>
      <c r="AK2" s="2" t="e">
        <f t="shared" si="0"/>
        <v>#N/A</v>
      </c>
      <c r="AL2" s="2" t="e">
        <f t="shared" si="0"/>
        <v>#N/A</v>
      </c>
      <c r="AM2" s="2">
        <f t="shared" si="0"/>
        <v>81.849492247299992</v>
      </c>
      <c r="AN2" s="2" t="e">
        <f t="shared" si="0"/>
        <v>#N/A</v>
      </c>
    </row>
    <row r="3" spans="1:40" ht="15" customHeight="1" x14ac:dyDescent="0.25">
      <c r="A3" s="48" t="s">
        <v>133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134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135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136</v>
      </c>
      <c r="B9" s="13" t="s">
        <v>58</v>
      </c>
      <c r="C9" s="14">
        <v>0</v>
      </c>
      <c r="D9" s="14">
        <v>1</v>
      </c>
      <c r="E9" s="14">
        <f t="shared" ref="E9:E31" si="1">D9-C9</f>
        <v>1</v>
      </c>
      <c r="F9" s="15"/>
      <c r="G9" s="15" t="s">
        <v>59</v>
      </c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3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136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136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136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 t="s">
        <v>59</v>
      </c>
      <c r="N12" s="15"/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136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 t="s">
        <v>59</v>
      </c>
      <c r="N13" s="15"/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136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 t="s">
        <v>59</v>
      </c>
      <c r="N14" s="15"/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136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 t="s">
        <v>59</v>
      </c>
      <c r="N15" s="15"/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136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 t="s">
        <v>59</v>
      </c>
      <c r="N16" s="15"/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136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 t="s">
        <v>59</v>
      </c>
      <c r="N17" s="15"/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136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136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136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 t="s">
        <v>59</v>
      </c>
      <c r="G20" s="15"/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136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136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136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 t="s">
        <v>59</v>
      </c>
      <c r="G23" s="15"/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136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136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136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136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136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136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 t="s">
        <v>59</v>
      </c>
      <c r="L29" s="15"/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136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 t="s">
        <v>59</v>
      </c>
      <c r="L30" s="15"/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8" t="s">
        <v>136</v>
      </c>
      <c r="B31" s="19" t="s">
        <v>58</v>
      </c>
      <c r="C31" s="20">
        <v>22</v>
      </c>
      <c r="D31" s="20">
        <v>22.7883117728</v>
      </c>
      <c r="E31" s="20">
        <f t="shared" si="1"/>
        <v>0.7883117728000002</v>
      </c>
      <c r="F31" s="21"/>
      <c r="G31" s="21" t="s">
        <v>59</v>
      </c>
      <c r="H31" s="21"/>
      <c r="I31" s="21"/>
      <c r="J31" s="21"/>
      <c r="K31" s="21" t="s">
        <v>59</v>
      </c>
      <c r="L31" s="21"/>
      <c r="M31" s="21"/>
      <c r="N31" s="21" t="s">
        <v>59</v>
      </c>
      <c r="O31" s="21"/>
      <c r="P31" s="21"/>
      <c r="Q31" s="21" t="s">
        <v>59</v>
      </c>
      <c r="R31" s="21"/>
      <c r="S31" s="21"/>
      <c r="T31" s="21" t="s">
        <v>59</v>
      </c>
      <c r="U31" s="21"/>
      <c r="V31" s="22"/>
      <c r="W31" s="23" t="str">
        <f t="shared" si="2"/>
        <v>OK</v>
      </c>
    </row>
    <row r="32" spans="1:23" ht="15.95" customHeight="1" x14ac:dyDescent="0.25">
      <c r="A32" s="39" t="s">
        <v>137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0"/>
      <c r="W32" s="4"/>
    </row>
    <row r="33" spans="1:23" ht="20.100000000000001" customHeight="1" x14ac:dyDescent="0.25">
      <c r="A33" s="12" t="s">
        <v>138</v>
      </c>
      <c r="B33" s="13" t="s">
        <v>58</v>
      </c>
      <c r="C33" s="14">
        <v>0</v>
      </c>
      <c r="D33" s="14">
        <v>1</v>
      </c>
      <c r="E33" s="14">
        <f t="shared" ref="E33:E54" si="3">D33-C33</f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ref="W33:W54" si="4"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2" t="s">
        <v>138</v>
      </c>
      <c r="B34" s="13" t="s">
        <v>58</v>
      </c>
      <c r="C34" s="14">
        <v>1</v>
      </c>
      <c r="D34" s="14">
        <v>2</v>
      </c>
      <c r="E34" s="14">
        <f t="shared" si="3"/>
        <v>1</v>
      </c>
      <c r="F34" s="15"/>
      <c r="G34" s="15" t="s">
        <v>59</v>
      </c>
      <c r="H34" s="15"/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138</v>
      </c>
      <c r="B35" s="13" t="s">
        <v>58</v>
      </c>
      <c r="C35" s="14">
        <v>2</v>
      </c>
      <c r="D35" s="14">
        <v>3</v>
      </c>
      <c r="E35" s="14">
        <f t="shared" si="3"/>
        <v>1</v>
      </c>
      <c r="F35" s="15"/>
      <c r="G35" s="15" t="s">
        <v>59</v>
      </c>
      <c r="H35" s="15"/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138</v>
      </c>
      <c r="B36" s="13" t="s">
        <v>58</v>
      </c>
      <c r="C36" s="14">
        <v>3</v>
      </c>
      <c r="D36" s="14">
        <v>4</v>
      </c>
      <c r="E36" s="14">
        <f t="shared" si="3"/>
        <v>1</v>
      </c>
      <c r="F36" s="15"/>
      <c r="G36" s="15" t="s">
        <v>59</v>
      </c>
      <c r="H36" s="15"/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138</v>
      </c>
      <c r="B37" s="13" t="s">
        <v>58</v>
      </c>
      <c r="C37" s="14">
        <v>4</v>
      </c>
      <c r="D37" s="14">
        <v>5</v>
      </c>
      <c r="E37" s="14">
        <f t="shared" si="3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138</v>
      </c>
      <c r="B38" s="13" t="s">
        <v>58</v>
      </c>
      <c r="C38" s="14">
        <v>5</v>
      </c>
      <c r="D38" s="14">
        <v>6</v>
      </c>
      <c r="E38" s="14">
        <f t="shared" si="3"/>
        <v>1</v>
      </c>
      <c r="F38" s="15"/>
      <c r="G38" s="15"/>
      <c r="H38" s="15" t="s">
        <v>59</v>
      </c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138</v>
      </c>
      <c r="B39" s="13" t="s">
        <v>58</v>
      </c>
      <c r="C39" s="14">
        <v>6</v>
      </c>
      <c r="D39" s="14">
        <v>7</v>
      </c>
      <c r="E39" s="14">
        <f t="shared" si="3"/>
        <v>1</v>
      </c>
      <c r="F39" s="15"/>
      <c r="G39" s="15"/>
      <c r="H39" s="15" t="s">
        <v>59</v>
      </c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138</v>
      </c>
      <c r="B40" s="13" t="s">
        <v>58</v>
      </c>
      <c r="C40" s="14">
        <v>7</v>
      </c>
      <c r="D40" s="14">
        <v>8</v>
      </c>
      <c r="E40" s="14">
        <f t="shared" si="3"/>
        <v>1</v>
      </c>
      <c r="F40" s="15"/>
      <c r="G40" s="15"/>
      <c r="H40" s="15" t="s">
        <v>59</v>
      </c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138</v>
      </c>
      <c r="B41" s="13" t="s">
        <v>58</v>
      </c>
      <c r="C41" s="14">
        <v>8</v>
      </c>
      <c r="D41" s="14">
        <v>9</v>
      </c>
      <c r="E41" s="14">
        <f t="shared" si="3"/>
        <v>1</v>
      </c>
      <c r="F41" s="15"/>
      <c r="G41" s="15"/>
      <c r="H41" s="15" t="s">
        <v>59</v>
      </c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138</v>
      </c>
      <c r="B42" s="13" t="s">
        <v>58</v>
      </c>
      <c r="C42" s="14">
        <v>9</v>
      </c>
      <c r="D42" s="14">
        <v>10</v>
      </c>
      <c r="E42" s="14">
        <f t="shared" si="3"/>
        <v>1</v>
      </c>
      <c r="F42" s="15"/>
      <c r="G42" s="15"/>
      <c r="H42" s="15" t="s">
        <v>59</v>
      </c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138</v>
      </c>
      <c r="B43" s="13" t="s">
        <v>58</v>
      </c>
      <c r="C43" s="14">
        <v>10</v>
      </c>
      <c r="D43" s="14">
        <v>11</v>
      </c>
      <c r="E43" s="14">
        <f t="shared" si="3"/>
        <v>1</v>
      </c>
      <c r="F43" s="15"/>
      <c r="G43" s="15"/>
      <c r="H43" s="15" t="s">
        <v>59</v>
      </c>
      <c r="I43" s="15"/>
      <c r="J43" s="15"/>
      <c r="K43" s="15" t="s">
        <v>59</v>
      </c>
      <c r="L43" s="15"/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138</v>
      </c>
      <c r="B44" s="13" t="s">
        <v>58</v>
      </c>
      <c r="C44" s="14">
        <v>11</v>
      </c>
      <c r="D44" s="14">
        <v>12</v>
      </c>
      <c r="E44" s="14">
        <f t="shared" si="3"/>
        <v>1</v>
      </c>
      <c r="F44" s="15"/>
      <c r="G44" s="15"/>
      <c r="H44" s="15" t="s">
        <v>59</v>
      </c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138</v>
      </c>
      <c r="B45" s="13" t="s">
        <v>58</v>
      </c>
      <c r="C45" s="14">
        <v>12</v>
      </c>
      <c r="D45" s="14">
        <v>13</v>
      </c>
      <c r="E45" s="14">
        <f t="shared" si="3"/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138</v>
      </c>
      <c r="B46" s="13" t="s">
        <v>58</v>
      </c>
      <c r="C46" s="14">
        <v>13</v>
      </c>
      <c r="D46" s="14">
        <v>14</v>
      </c>
      <c r="E46" s="14">
        <f t="shared" si="3"/>
        <v>1</v>
      </c>
      <c r="F46" s="15"/>
      <c r="G46" s="15"/>
      <c r="H46" s="15" t="s">
        <v>59</v>
      </c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138</v>
      </c>
      <c r="B47" s="13" t="s">
        <v>58</v>
      </c>
      <c r="C47" s="14">
        <v>14</v>
      </c>
      <c r="D47" s="14">
        <v>15</v>
      </c>
      <c r="E47" s="14">
        <f t="shared" si="3"/>
        <v>1</v>
      </c>
      <c r="F47" s="15"/>
      <c r="G47" s="15"/>
      <c r="H47" s="15" t="s">
        <v>59</v>
      </c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138</v>
      </c>
      <c r="B48" s="13" t="s">
        <v>58</v>
      </c>
      <c r="C48" s="14">
        <v>15</v>
      </c>
      <c r="D48" s="14">
        <v>16</v>
      </c>
      <c r="E48" s="14">
        <f t="shared" si="3"/>
        <v>1</v>
      </c>
      <c r="F48" s="15"/>
      <c r="G48" s="15" t="s">
        <v>59</v>
      </c>
      <c r="H48" s="15"/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138</v>
      </c>
      <c r="B49" s="13" t="s">
        <v>58</v>
      </c>
      <c r="C49" s="14">
        <v>16</v>
      </c>
      <c r="D49" s="14">
        <v>17</v>
      </c>
      <c r="E49" s="14">
        <f t="shared" si="3"/>
        <v>1</v>
      </c>
      <c r="F49" s="15"/>
      <c r="G49" s="15"/>
      <c r="H49" s="15" t="s">
        <v>59</v>
      </c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138</v>
      </c>
      <c r="B50" s="13" t="s">
        <v>58</v>
      </c>
      <c r="C50" s="14">
        <v>17</v>
      </c>
      <c r="D50" s="14">
        <v>18</v>
      </c>
      <c r="E50" s="14">
        <f t="shared" si="3"/>
        <v>1</v>
      </c>
      <c r="F50" s="15"/>
      <c r="G50" s="15"/>
      <c r="H50" s="15" t="s">
        <v>59</v>
      </c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138</v>
      </c>
      <c r="B51" s="13" t="s">
        <v>58</v>
      </c>
      <c r="C51" s="14">
        <v>18</v>
      </c>
      <c r="D51" s="14">
        <v>19</v>
      </c>
      <c r="E51" s="14">
        <f t="shared" si="3"/>
        <v>1</v>
      </c>
      <c r="F51" s="15"/>
      <c r="G51" s="15"/>
      <c r="H51" s="15" t="s">
        <v>59</v>
      </c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138</v>
      </c>
      <c r="B52" s="13" t="s">
        <v>58</v>
      </c>
      <c r="C52" s="14">
        <v>19</v>
      </c>
      <c r="D52" s="14">
        <v>20</v>
      </c>
      <c r="E52" s="14">
        <f t="shared" si="3"/>
        <v>1</v>
      </c>
      <c r="F52" s="15"/>
      <c r="G52" s="15"/>
      <c r="H52" s="15" t="s">
        <v>59</v>
      </c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138</v>
      </c>
      <c r="B53" s="13" t="s">
        <v>58</v>
      </c>
      <c r="C53" s="14">
        <v>20</v>
      </c>
      <c r="D53" s="14">
        <v>21</v>
      </c>
      <c r="E53" s="14">
        <f t="shared" si="3"/>
        <v>1</v>
      </c>
      <c r="F53" s="15"/>
      <c r="G53" s="15" t="s">
        <v>59</v>
      </c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8" t="s">
        <v>138</v>
      </c>
      <c r="B54" s="19" t="s">
        <v>58</v>
      </c>
      <c r="C54" s="20">
        <v>21</v>
      </c>
      <c r="D54" s="20">
        <v>21.785344017</v>
      </c>
      <c r="E54" s="20">
        <f t="shared" si="3"/>
        <v>0.78534401699999989</v>
      </c>
      <c r="F54" s="21"/>
      <c r="G54" s="21" t="s">
        <v>59</v>
      </c>
      <c r="H54" s="21"/>
      <c r="I54" s="21"/>
      <c r="J54" s="21"/>
      <c r="K54" s="21" t="s">
        <v>59</v>
      </c>
      <c r="L54" s="21"/>
      <c r="M54" s="21"/>
      <c r="N54" s="21" t="s">
        <v>59</v>
      </c>
      <c r="O54" s="21"/>
      <c r="P54" s="21"/>
      <c r="Q54" s="21" t="s">
        <v>59</v>
      </c>
      <c r="R54" s="21"/>
      <c r="S54" s="21"/>
      <c r="T54" s="21" t="s">
        <v>59</v>
      </c>
      <c r="U54" s="21"/>
      <c r="V54" s="22"/>
      <c r="W54" s="23" t="str">
        <f t="shared" si="4"/>
        <v>OK</v>
      </c>
    </row>
    <row r="55" spans="1:23" ht="15.95" customHeight="1" x14ac:dyDescent="0.25">
      <c r="A55" s="39" t="s">
        <v>139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0"/>
      <c r="W55" s="4"/>
    </row>
    <row r="56" spans="1:23" ht="20.100000000000001" customHeight="1" x14ac:dyDescent="0.25">
      <c r="A56" s="12" t="s">
        <v>140</v>
      </c>
      <c r="B56" s="13" t="s">
        <v>58</v>
      </c>
      <c r="C56" s="14">
        <v>0</v>
      </c>
      <c r="D56" s="14">
        <v>1</v>
      </c>
      <c r="E56" s="14">
        <f t="shared" ref="E56:E69" si="5">D56-C56</f>
        <v>1</v>
      </c>
      <c r="F56" s="15"/>
      <c r="G56" s="15" t="s">
        <v>59</v>
      </c>
      <c r="H56" s="15"/>
      <c r="I56" s="15"/>
      <c r="J56" s="15"/>
      <c r="K56" s="15" t="s">
        <v>59</v>
      </c>
      <c r="L56" s="15"/>
      <c r="M56" s="15"/>
      <c r="N56" s="15" t="s">
        <v>59</v>
      </c>
      <c r="O56" s="15"/>
      <c r="P56" s="15"/>
      <c r="Q56" s="15" t="s">
        <v>59</v>
      </c>
      <c r="R56" s="15"/>
      <c r="S56" s="15"/>
      <c r="T56" s="15" t="s">
        <v>59</v>
      </c>
      <c r="U56" s="15"/>
      <c r="V56" s="16"/>
      <c r="W56" s="17" t="str">
        <f t="shared" ref="W56:W69" si="6"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2" t="s">
        <v>140</v>
      </c>
      <c r="B57" s="13" t="s">
        <v>58</v>
      </c>
      <c r="C57" s="14">
        <v>1</v>
      </c>
      <c r="D57" s="14">
        <v>2</v>
      </c>
      <c r="E57" s="14">
        <f t="shared" si="5"/>
        <v>1</v>
      </c>
      <c r="F57" s="15"/>
      <c r="G57" s="15" t="s">
        <v>59</v>
      </c>
      <c r="H57" s="15"/>
      <c r="I57" s="15"/>
      <c r="J57" s="15"/>
      <c r="K57" s="15" t="s">
        <v>59</v>
      </c>
      <c r="L57" s="15"/>
      <c r="M57" s="15"/>
      <c r="N57" s="15" t="s">
        <v>59</v>
      </c>
      <c r="O57" s="15"/>
      <c r="P57" s="15"/>
      <c r="Q57" s="15" t="s">
        <v>59</v>
      </c>
      <c r="R57" s="15"/>
      <c r="S57" s="15"/>
      <c r="T57" s="15" t="s">
        <v>59</v>
      </c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140</v>
      </c>
      <c r="B58" s="13" t="s">
        <v>58</v>
      </c>
      <c r="C58" s="14">
        <v>2</v>
      </c>
      <c r="D58" s="14">
        <v>3</v>
      </c>
      <c r="E58" s="14">
        <f t="shared" si="5"/>
        <v>1</v>
      </c>
      <c r="F58" s="15"/>
      <c r="G58" s="15" t="s">
        <v>59</v>
      </c>
      <c r="H58" s="15"/>
      <c r="I58" s="15"/>
      <c r="J58" s="15"/>
      <c r="K58" s="15" t="s">
        <v>59</v>
      </c>
      <c r="L58" s="15"/>
      <c r="M58" s="15"/>
      <c r="N58" s="15" t="s">
        <v>59</v>
      </c>
      <c r="O58" s="15"/>
      <c r="P58" s="15"/>
      <c r="Q58" s="15" t="s">
        <v>59</v>
      </c>
      <c r="R58" s="15"/>
      <c r="S58" s="15"/>
      <c r="T58" s="15" t="s">
        <v>59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140</v>
      </c>
      <c r="B59" s="13" t="s">
        <v>58</v>
      </c>
      <c r="C59" s="14">
        <v>3</v>
      </c>
      <c r="D59" s="14">
        <v>4</v>
      </c>
      <c r="E59" s="14">
        <f t="shared" si="5"/>
        <v>1</v>
      </c>
      <c r="F59" s="15"/>
      <c r="G59" s="15" t="s">
        <v>59</v>
      </c>
      <c r="H59" s="15"/>
      <c r="I59" s="15"/>
      <c r="J59" s="15"/>
      <c r="K59" s="15" t="s">
        <v>59</v>
      </c>
      <c r="L59" s="15"/>
      <c r="M59" s="15"/>
      <c r="N59" s="15" t="s">
        <v>59</v>
      </c>
      <c r="O59" s="15"/>
      <c r="P59" s="15"/>
      <c r="Q59" s="15" t="s">
        <v>59</v>
      </c>
      <c r="R59" s="15"/>
      <c r="S59" s="15"/>
      <c r="T59" s="15" t="s">
        <v>59</v>
      </c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140</v>
      </c>
      <c r="B60" s="13" t="s">
        <v>58</v>
      </c>
      <c r="C60" s="14">
        <v>4</v>
      </c>
      <c r="D60" s="14">
        <v>5</v>
      </c>
      <c r="E60" s="14">
        <f t="shared" si="5"/>
        <v>1</v>
      </c>
      <c r="F60" s="15"/>
      <c r="G60" s="15" t="s">
        <v>59</v>
      </c>
      <c r="H60" s="15"/>
      <c r="I60" s="15"/>
      <c r="J60" s="15"/>
      <c r="K60" s="15" t="s">
        <v>59</v>
      </c>
      <c r="L60" s="15"/>
      <c r="M60" s="15"/>
      <c r="N60" s="15" t="s">
        <v>59</v>
      </c>
      <c r="O60" s="15"/>
      <c r="P60" s="15"/>
      <c r="Q60" s="15" t="s">
        <v>59</v>
      </c>
      <c r="R60" s="15"/>
      <c r="S60" s="15"/>
      <c r="T60" s="15" t="s">
        <v>59</v>
      </c>
      <c r="U60" s="15"/>
      <c r="V60" s="16"/>
      <c r="W60" s="17" t="str">
        <f t="shared" si="6"/>
        <v>OK</v>
      </c>
    </row>
    <row r="61" spans="1:23" ht="20.100000000000001" customHeight="1" x14ac:dyDescent="0.25">
      <c r="A61" s="12" t="s">
        <v>140</v>
      </c>
      <c r="B61" s="13" t="s">
        <v>58</v>
      </c>
      <c r="C61" s="14">
        <v>5</v>
      </c>
      <c r="D61" s="14">
        <v>6</v>
      </c>
      <c r="E61" s="14">
        <f t="shared" si="5"/>
        <v>1</v>
      </c>
      <c r="F61" s="15" t="s">
        <v>59</v>
      </c>
      <c r="G61" s="15"/>
      <c r="H61" s="15"/>
      <c r="I61" s="15"/>
      <c r="J61" s="15"/>
      <c r="K61" s="15"/>
      <c r="L61" s="15"/>
      <c r="M61" s="15"/>
      <c r="N61" s="15" t="s">
        <v>59</v>
      </c>
      <c r="O61" s="15"/>
      <c r="P61" s="15"/>
      <c r="Q61" s="15" t="s">
        <v>59</v>
      </c>
      <c r="R61" s="15"/>
      <c r="S61" s="15"/>
      <c r="T61" s="15" t="s">
        <v>59</v>
      </c>
      <c r="U61" s="15"/>
      <c r="V61" s="16"/>
      <c r="W61" s="17" t="str">
        <f t="shared" si="6"/>
        <v>FALTA/DUPLA: VEGETAÇÃO</v>
      </c>
    </row>
    <row r="62" spans="1:23" ht="20.100000000000001" customHeight="1" x14ac:dyDescent="0.25">
      <c r="A62" s="12" t="s">
        <v>140</v>
      </c>
      <c r="B62" s="13" t="s">
        <v>58</v>
      </c>
      <c r="C62" s="14">
        <v>6</v>
      </c>
      <c r="D62" s="14">
        <v>7</v>
      </c>
      <c r="E62" s="14">
        <f t="shared" si="5"/>
        <v>1</v>
      </c>
      <c r="F62" s="15"/>
      <c r="G62" s="15" t="s">
        <v>59</v>
      </c>
      <c r="H62" s="15"/>
      <c r="I62" s="15"/>
      <c r="J62" s="15"/>
      <c r="K62" s="15" t="s">
        <v>59</v>
      </c>
      <c r="L62" s="15"/>
      <c r="M62" s="15"/>
      <c r="N62" s="15" t="s">
        <v>59</v>
      </c>
      <c r="O62" s="15"/>
      <c r="P62" s="15"/>
      <c r="Q62" s="15" t="s">
        <v>59</v>
      </c>
      <c r="R62" s="15"/>
      <c r="S62" s="15"/>
      <c r="T62" s="15" t="s">
        <v>59</v>
      </c>
      <c r="U62" s="15"/>
      <c r="V62" s="16"/>
      <c r="W62" s="17" t="str">
        <f t="shared" si="6"/>
        <v>OK</v>
      </c>
    </row>
    <row r="63" spans="1:23" ht="20.100000000000001" customHeight="1" x14ac:dyDescent="0.25">
      <c r="A63" s="12" t="s">
        <v>140</v>
      </c>
      <c r="B63" s="13" t="s">
        <v>58</v>
      </c>
      <c r="C63" s="14">
        <v>7</v>
      </c>
      <c r="D63" s="14">
        <v>8</v>
      </c>
      <c r="E63" s="14">
        <f t="shared" si="5"/>
        <v>1</v>
      </c>
      <c r="F63" s="15"/>
      <c r="G63" s="15" t="s">
        <v>59</v>
      </c>
      <c r="H63" s="15"/>
      <c r="I63" s="15"/>
      <c r="J63" s="15"/>
      <c r="K63" s="15" t="s">
        <v>59</v>
      </c>
      <c r="L63" s="15"/>
      <c r="M63" s="15"/>
      <c r="N63" s="15" t="s">
        <v>59</v>
      </c>
      <c r="O63" s="15"/>
      <c r="P63" s="15"/>
      <c r="Q63" s="15" t="s">
        <v>59</v>
      </c>
      <c r="R63" s="15"/>
      <c r="S63" s="15"/>
      <c r="T63" s="15" t="s">
        <v>59</v>
      </c>
      <c r="U63" s="15"/>
      <c r="V63" s="16"/>
      <c r="W63" s="17" t="str">
        <f t="shared" si="6"/>
        <v>OK</v>
      </c>
    </row>
    <row r="64" spans="1:23" ht="20.100000000000001" customHeight="1" x14ac:dyDescent="0.25">
      <c r="A64" s="12" t="s">
        <v>140</v>
      </c>
      <c r="B64" s="13" t="s">
        <v>58</v>
      </c>
      <c r="C64" s="14">
        <v>8</v>
      </c>
      <c r="D64" s="14">
        <v>9</v>
      </c>
      <c r="E64" s="14">
        <f t="shared" si="5"/>
        <v>1</v>
      </c>
      <c r="F64" s="15"/>
      <c r="G64" s="15" t="s">
        <v>59</v>
      </c>
      <c r="H64" s="15"/>
      <c r="I64" s="15"/>
      <c r="J64" s="15"/>
      <c r="K64" s="15" t="s">
        <v>59</v>
      </c>
      <c r="L64" s="15"/>
      <c r="M64" s="15"/>
      <c r="N64" s="15" t="s">
        <v>59</v>
      </c>
      <c r="O64" s="15"/>
      <c r="P64" s="15"/>
      <c r="Q64" s="15" t="s">
        <v>59</v>
      </c>
      <c r="R64" s="15"/>
      <c r="S64" s="15"/>
      <c r="T64" s="15" t="s">
        <v>59</v>
      </c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140</v>
      </c>
      <c r="B65" s="13" t="s">
        <v>58</v>
      </c>
      <c r="C65" s="14">
        <v>9</v>
      </c>
      <c r="D65" s="14">
        <v>10</v>
      </c>
      <c r="E65" s="14">
        <f t="shared" si="5"/>
        <v>1</v>
      </c>
      <c r="F65" s="15"/>
      <c r="G65" s="15" t="s">
        <v>59</v>
      </c>
      <c r="H65" s="15"/>
      <c r="I65" s="15"/>
      <c r="J65" s="15"/>
      <c r="K65" s="15" t="s">
        <v>59</v>
      </c>
      <c r="L65" s="15"/>
      <c r="M65" s="15"/>
      <c r="N65" s="15" t="s">
        <v>59</v>
      </c>
      <c r="O65" s="15"/>
      <c r="P65" s="15"/>
      <c r="Q65" s="15" t="s">
        <v>59</v>
      </c>
      <c r="R65" s="15"/>
      <c r="S65" s="15"/>
      <c r="T65" s="15" t="s">
        <v>59</v>
      </c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140</v>
      </c>
      <c r="B66" s="13" t="s">
        <v>58</v>
      </c>
      <c r="C66" s="14">
        <v>10</v>
      </c>
      <c r="D66" s="14">
        <v>11</v>
      </c>
      <c r="E66" s="14">
        <f t="shared" si="5"/>
        <v>1</v>
      </c>
      <c r="F66" s="15"/>
      <c r="G66" s="15" t="s">
        <v>59</v>
      </c>
      <c r="H66" s="15"/>
      <c r="I66" s="15"/>
      <c r="J66" s="15"/>
      <c r="K66" s="15" t="s">
        <v>59</v>
      </c>
      <c r="L66" s="15"/>
      <c r="M66" s="15"/>
      <c r="N66" s="15" t="s">
        <v>59</v>
      </c>
      <c r="O66" s="15"/>
      <c r="P66" s="15"/>
      <c r="Q66" s="15" t="s">
        <v>59</v>
      </c>
      <c r="R66" s="15"/>
      <c r="S66" s="15"/>
      <c r="T66" s="15" t="s">
        <v>59</v>
      </c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140</v>
      </c>
      <c r="B67" s="13" t="s">
        <v>58</v>
      </c>
      <c r="C67" s="14">
        <v>11</v>
      </c>
      <c r="D67" s="14">
        <v>12</v>
      </c>
      <c r="E67" s="14">
        <f t="shared" si="5"/>
        <v>1</v>
      </c>
      <c r="F67" s="15"/>
      <c r="G67" s="15" t="s">
        <v>59</v>
      </c>
      <c r="H67" s="15"/>
      <c r="I67" s="15"/>
      <c r="J67" s="15"/>
      <c r="K67" s="15" t="s">
        <v>59</v>
      </c>
      <c r="L67" s="15"/>
      <c r="M67" s="15"/>
      <c r="N67" s="15" t="s">
        <v>59</v>
      </c>
      <c r="O67" s="15"/>
      <c r="P67" s="15"/>
      <c r="Q67" s="15" t="s">
        <v>59</v>
      </c>
      <c r="R67" s="15"/>
      <c r="S67" s="15"/>
      <c r="T67" s="15" t="s">
        <v>59</v>
      </c>
      <c r="U67" s="15"/>
      <c r="V67" s="16"/>
      <c r="W67" s="17" t="str">
        <f t="shared" si="6"/>
        <v>OK</v>
      </c>
    </row>
    <row r="68" spans="1:23" ht="20.100000000000001" customHeight="1" x14ac:dyDescent="0.25">
      <c r="A68" s="12" t="s">
        <v>140</v>
      </c>
      <c r="B68" s="13" t="s">
        <v>58</v>
      </c>
      <c r="C68" s="14">
        <v>12</v>
      </c>
      <c r="D68" s="14">
        <v>13</v>
      </c>
      <c r="E68" s="14">
        <f t="shared" si="5"/>
        <v>1</v>
      </c>
      <c r="F68" s="15"/>
      <c r="G68" s="15" t="s">
        <v>59</v>
      </c>
      <c r="H68" s="15"/>
      <c r="I68" s="15"/>
      <c r="J68" s="15"/>
      <c r="K68" s="15" t="s">
        <v>59</v>
      </c>
      <c r="L68" s="15"/>
      <c r="M68" s="15"/>
      <c r="N68" s="15" t="s">
        <v>59</v>
      </c>
      <c r="O68" s="15"/>
      <c r="P68" s="15"/>
      <c r="Q68" s="15" t="s">
        <v>59</v>
      </c>
      <c r="R68" s="15"/>
      <c r="S68" s="15"/>
      <c r="T68" s="15" t="s">
        <v>59</v>
      </c>
      <c r="U68" s="15"/>
      <c r="V68" s="16"/>
      <c r="W68" s="17" t="str">
        <f t="shared" si="6"/>
        <v>OK</v>
      </c>
    </row>
    <row r="69" spans="1:23" ht="20.100000000000001" customHeight="1" x14ac:dyDescent="0.25">
      <c r="A69" s="18" t="s">
        <v>140</v>
      </c>
      <c r="B69" s="19" t="s">
        <v>58</v>
      </c>
      <c r="C69" s="20">
        <v>13</v>
      </c>
      <c r="D69" s="20">
        <v>13.872973655999999</v>
      </c>
      <c r="E69" s="20">
        <f t="shared" si="5"/>
        <v>0.87297365599999921</v>
      </c>
      <c r="F69" s="21"/>
      <c r="G69" s="21"/>
      <c r="H69" s="21" t="s">
        <v>59</v>
      </c>
      <c r="I69" s="21"/>
      <c r="J69" s="21"/>
      <c r="K69" s="21" t="s">
        <v>59</v>
      </c>
      <c r="L69" s="21"/>
      <c r="M69" s="21" t="s">
        <v>59</v>
      </c>
      <c r="N69" s="21"/>
      <c r="O69" s="21"/>
      <c r="P69" s="21"/>
      <c r="Q69" s="21" t="s">
        <v>59</v>
      </c>
      <c r="R69" s="21"/>
      <c r="S69" s="21"/>
      <c r="T69" s="21" t="s">
        <v>59</v>
      </c>
      <c r="U69" s="21"/>
      <c r="V69" s="22"/>
      <c r="W69" s="23" t="str">
        <f t="shared" si="6"/>
        <v>OK</v>
      </c>
    </row>
    <row r="70" spans="1:23" ht="15.95" customHeight="1" x14ac:dyDescent="0.25">
      <c r="A70" s="39" t="s">
        <v>141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0"/>
      <c r="W70" s="4"/>
    </row>
    <row r="71" spans="1:23" ht="20.100000000000001" customHeight="1" x14ac:dyDescent="0.25">
      <c r="A71" s="12" t="s">
        <v>142</v>
      </c>
      <c r="B71" s="13" t="s">
        <v>58</v>
      </c>
      <c r="C71" s="14">
        <v>0</v>
      </c>
      <c r="D71" s="14">
        <v>1</v>
      </c>
      <c r="E71" s="14">
        <f t="shared" ref="E71:E94" si="7">D71-C71</f>
        <v>1</v>
      </c>
      <c r="F71" s="15"/>
      <c r="G71" s="15"/>
      <c r="H71" s="15" t="s">
        <v>59</v>
      </c>
      <c r="I71" s="15"/>
      <c r="J71" s="15"/>
      <c r="K71" s="15" t="s">
        <v>59</v>
      </c>
      <c r="L71" s="15"/>
      <c r="M71" s="15" t="s">
        <v>59</v>
      </c>
      <c r="N71" s="15"/>
      <c r="O71" s="15"/>
      <c r="P71" s="15"/>
      <c r="Q71" s="15" t="s">
        <v>59</v>
      </c>
      <c r="R71" s="15"/>
      <c r="S71" s="15"/>
      <c r="T71" s="15" t="s">
        <v>59</v>
      </c>
      <c r="U71" s="15"/>
      <c r="V71" s="16"/>
      <c r="W71" s="17" t="str">
        <f t="shared" ref="W71:W94" si="8">IF(COUNTA(F71:U71)=0,"— não preenchido",IF(COUNTIF(F71:J71,"X")&lt;&gt;1,"FALTA/DUPLA: CONDIÇÃO DO PAVIMENTO",IF(COUNTIF(K71:L71,"X")&lt;&gt;1,"FALTA/DUPLA: VEGETAÇÃO",IF(COUNTIF(M71:O71,"X")&lt;&gt;1,"FALTA/DUPLA: ELEM. DE DRENAGEM",IF(COUNTIF(P71:R71,"X")&lt;&gt;1,"FALTA/DUPLA: SIN. HORIZ.",IF(COUNTIF(S71:U71,"X")&lt;&gt;1,"FALTA/DUPLA: SIN. VERTICAL","OK"))))))</f>
        <v>OK</v>
      </c>
    </row>
    <row r="72" spans="1:23" ht="20.100000000000001" customHeight="1" x14ac:dyDescent="0.25">
      <c r="A72" s="12" t="s">
        <v>142</v>
      </c>
      <c r="B72" s="13" t="s">
        <v>58</v>
      </c>
      <c r="C72" s="14">
        <v>1</v>
      </c>
      <c r="D72" s="14">
        <v>2</v>
      </c>
      <c r="E72" s="14">
        <f t="shared" si="7"/>
        <v>1</v>
      </c>
      <c r="F72" s="15"/>
      <c r="G72" s="15"/>
      <c r="H72" s="15" t="s">
        <v>59</v>
      </c>
      <c r="I72" s="15"/>
      <c r="J72" s="15"/>
      <c r="K72" s="15" t="s">
        <v>59</v>
      </c>
      <c r="L72" s="15"/>
      <c r="M72" s="15" t="s">
        <v>59</v>
      </c>
      <c r="N72" s="15"/>
      <c r="O72" s="15"/>
      <c r="P72" s="15"/>
      <c r="Q72" s="15" t="s">
        <v>59</v>
      </c>
      <c r="R72" s="15"/>
      <c r="S72" s="15"/>
      <c r="T72" s="15" t="s">
        <v>59</v>
      </c>
      <c r="U72" s="15"/>
      <c r="V72" s="16"/>
      <c r="W72" s="17" t="str">
        <f t="shared" si="8"/>
        <v>OK</v>
      </c>
    </row>
    <row r="73" spans="1:23" ht="20.100000000000001" customHeight="1" x14ac:dyDescent="0.25">
      <c r="A73" s="12" t="s">
        <v>142</v>
      </c>
      <c r="B73" s="13" t="s">
        <v>58</v>
      </c>
      <c r="C73" s="14">
        <v>2</v>
      </c>
      <c r="D73" s="14">
        <v>3</v>
      </c>
      <c r="E73" s="14">
        <f t="shared" si="7"/>
        <v>1</v>
      </c>
      <c r="F73" s="15"/>
      <c r="G73" s="15"/>
      <c r="H73" s="15" t="s">
        <v>59</v>
      </c>
      <c r="I73" s="15"/>
      <c r="J73" s="15"/>
      <c r="K73" s="15" t="s">
        <v>59</v>
      </c>
      <c r="L73" s="15"/>
      <c r="M73" s="15" t="s">
        <v>59</v>
      </c>
      <c r="N73" s="15"/>
      <c r="O73" s="15"/>
      <c r="P73" s="15"/>
      <c r="Q73" s="15" t="s">
        <v>59</v>
      </c>
      <c r="R73" s="15"/>
      <c r="S73" s="15"/>
      <c r="T73" s="15" t="s">
        <v>59</v>
      </c>
      <c r="U73" s="15"/>
      <c r="V73" s="16"/>
      <c r="W73" s="17" t="str">
        <f t="shared" si="8"/>
        <v>OK</v>
      </c>
    </row>
    <row r="74" spans="1:23" ht="20.100000000000001" customHeight="1" x14ac:dyDescent="0.25">
      <c r="A74" s="12" t="s">
        <v>142</v>
      </c>
      <c r="B74" s="13" t="s">
        <v>58</v>
      </c>
      <c r="C74" s="14">
        <v>3</v>
      </c>
      <c r="D74" s="14">
        <v>4</v>
      </c>
      <c r="E74" s="14">
        <f t="shared" si="7"/>
        <v>1</v>
      </c>
      <c r="F74" s="15"/>
      <c r="G74" s="15"/>
      <c r="H74" s="15" t="s">
        <v>59</v>
      </c>
      <c r="I74" s="15"/>
      <c r="J74" s="15"/>
      <c r="K74" s="15" t="s">
        <v>59</v>
      </c>
      <c r="L74" s="15"/>
      <c r="M74" s="15"/>
      <c r="N74" s="15" t="s">
        <v>59</v>
      </c>
      <c r="O74" s="15"/>
      <c r="P74" s="15"/>
      <c r="Q74" s="15" t="s">
        <v>59</v>
      </c>
      <c r="R74" s="15"/>
      <c r="S74" s="15"/>
      <c r="T74" s="15" t="s">
        <v>59</v>
      </c>
      <c r="U74" s="15"/>
      <c r="V74" s="16"/>
      <c r="W74" s="17" t="str">
        <f t="shared" si="8"/>
        <v>OK</v>
      </c>
    </row>
    <row r="75" spans="1:23" ht="20.100000000000001" customHeight="1" x14ac:dyDescent="0.25">
      <c r="A75" s="12" t="s">
        <v>142</v>
      </c>
      <c r="B75" s="13" t="s">
        <v>58</v>
      </c>
      <c r="C75" s="14">
        <v>4</v>
      </c>
      <c r="D75" s="14">
        <v>5</v>
      </c>
      <c r="E75" s="14">
        <f t="shared" si="7"/>
        <v>1</v>
      </c>
      <c r="F75" s="15"/>
      <c r="G75" s="15"/>
      <c r="H75" s="15" t="s">
        <v>59</v>
      </c>
      <c r="I75" s="15"/>
      <c r="J75" s="15"/>
      <c r="K75" s="15" t="s">
        <v>59</v>
      </c>
      <c r="L75" s="15"/>
      <c r="M75" s="15"/>
      <c r="N75" s="15" t="s">
        <v>59</v>
      </c>
      <c r="O75" s="15"/>
      <c r="P75" s="15"/>
      <c r="Q75" s="15" t="s">
        <v>59</v>
      </c>
      <c r="R75" s="15"/>
      <c r="S75" s="15"/>
      <c r="T75" s="15" t="s">
        <v>59</v>
      </c>
      <c r="U75" s="15"/>
      <c r="V75" s="16"/>
      <c r="W75" s="17" t="str">
        <f t="shared" si="8"/>
        <v>OK</v>
      </c>
    </row>
    <row r="76" spans="1:23" ht="20.100000000000001" customHeight="1" x14ac:dyDescent="0.25">
      <c r="A76" s="12" t="s">
        <v>142</v>
      </c>
      <c r="B76" s="13" t="s">
        <v>58</v>
      </c>
      <c r="C76" s="14">
        <v>5</v>
      </c>
      <c r="D76" s="14">
        <v>6</v>
      </c>
      <c r="E76" s="14">
        <f t="shared" si="7"/>
        <v>1</v>
      </c>
      <c r="F76" s="15"/>
      <c r="G76" s="15"/>
      <c r="H76" s="15" t="s">
        <v>59</v>
      </c>
      <c r="I76" s="15"/>
      <c r="J76" s="15"/>
      <c r="K76" s="15" t="s">
        <v>59</v>
      </c>
      <c r="L76" s="15"/>
      <c r="M76" s="15"/>
      <c r="N76" s="15" t="s">
        <v>59</v>
      </c>
      <c r="O76" s="15"/>
      <c r="P76" s="15"/>
      <c r="Q76" s="15" t="s">
        <v>59</v>
      </c>
      <c r="R76" s="15"/>
      <c r="S76" s="15"/>
      <c r="T76" s="15" t="s">
        <v>59</v>
      </c>
      <c r="U76" s="15"/>
      <c r="V76" s="16"/>
      <c r="W76" s="17" t="str">
        <f t="shared" si="8"/>
        <v>OK</v>
      </c>
    </row>
    <row r="77" spans="1:23" ht="20.100000000000001" customHeight="1" x14ac:dyDescent="0.25">
      <c r="A77" s="12" t="s">
        <v>142</v>
      </c>
      <c r="B77" s="13" t="s">
        <v>58</v>
      </c>
      <c r="C77" s="14">
        <v>6</v>
      </c>
      <c r="D77" s="14">
        <v>7</v>
      </c>
      <c r="E77" s="14">
        <f t="shared" si="7"/>
        <v>1</v>
      </c>
      <c r="F77" s="15"/>
      <c r="G77" s="15"/>
      <c r="H77" s="15" t="s">
        <v>59</v>
      </c>
      <c r="I77" s="15"/>
      <c r="J77" s="15"/>
      <c r="K77" s="15" t="s">
        <v>59</v>
      </c>
      <c r="L77" s="15"/>
      <c r="M77" s="15"/>
      <c r="N77" s="15" t="s">
        <v>59</v>
      </c>
      <c r="O77" s="15"/>
      <c r="P77" s="15"/>
      <c r="Q77" s="15" t="s">
        <v>59</v>
      </c>
      <c r="R77" s="15"/>
      <c r="S77" s="15"/>
      <c r="T77" s="15" t="s">
        <v>59</v>
      </c>
      <c r="U77" s="15"/>
      <c r="V77" s="16"/>
      <c r="W77" s="17" t="str">
        <f t="shared" si="8"/>
        <v>OK</v>
      </c>
    </row>
    <row r="78" spans="1:23" ht="20.100000000000001" customHeight="1" x14ac:dyDescent="0.25">
      <c r="A78" s="12" t="s">
        <v>142</v>
      </c>
      <c r="B78" s="13" t="s">
        <v>58</v>
      </c>
      <c r="C78" s="14">
        <v>7</v>
      </c>
      <c r="D78" s="14">
        <v>8</v>
      </c>
      <c r="E78" s="14">
        <f t="shared" si="7"/>
        <v>1</v>
      </c>
      <c r="F78" s="15"/>
      <c r="G78" s="15"/>
      <c r="H78" s="15" t="s">
        <v>59</v>
      </c>
      <c r="I78" s="15"/>
      <c r="J78" s="15"/>
      <c r="K78" s="15" t="s">
        <v>59</v>
      </c>
      <c r="L78" s="15"/>
      <c r="M78" s="15"/>
      <c r="N78" s="15" t="s">
        <v>59</v>
      </c>
      <c r="O78" s="15"/>
      <c r="P78" s="15"/>
      <c r="Q78" s="15" t="s">
        <v>59</v>
      </c>
      <c r="R78" s="15"/>
      <c r="S78" s="15"/>
      <c r="T78" s="15" t="s">
        <v>59</v>
      </c>
      <c r="U78" s="15"/>
      <c r="V78" s="16"/>
      <c r="W78" s="17" t="str">
        <f t="shared" si="8"/>
        <v>OK</v>
      </c>
    </row>
    <row r="79" spans="1:23" ht="20.100000000000001" customHeight="1" x14ac:dyDescent="0.25">
      <c r="A79" s="12" t="s">
        <v>142</v>
      </c>
      <c r="B79" s="13" t="s">
        <v>58</v>
      </c>
      <c r="C79" s="14">
        <v>8</v>
      </c>
      <c r="D79" s="14">
        <v>9</v>
      </c>
      <c r="E79" s="14">
        <f t="shared" si="7"/>
        <v>1</v>
      </c>
      <c r="F79" s="15"/>
      <c r="G79" s="15" t="s">
        <v>59</v>
      </c>
      <c r="H79" s="15"/>
      <c r="I79" s="15"/>
      <c r="J79" s="15"/>
      <c r="K79" s="15" t="s">
        <v>59</v>
      </c>
      <c r="L79" s="15"/>
      <c r="M79" s="15"/>
      <c r="N79" s="15" t="s">
        <v>59</v>
      </c>
      <c r="O79" s="15"/>
      <c r="P79" s="15"/>
      <c r="Q79" s="15" t="s">
        <v>59</v>
      </c>
      <c r="R79" s="15"/>
      <c r="S79" s="15"/>
      <c r="T79" s="15" t="s">
        <v>59</v>
      </c>
      <c r="U79" s="15"/>
      <c r="V79" s="16"/>
      <c r="W79" s="17" t="str">
        <f t="shared" si="8"/>
        <v>OK</v>
      </c>
    </row>
    <row r="80" spans="1:23" ht="20.100000000000001" customHeight="1" x14ac:dyDescent="0.25">
      <c r="A80" s="12" t="s">
        <v>142</v>
      </c>
      <c r="B80" s="13" t="s">
        <v>58</v>
      </c>
      <c r="C80" s="14">
        <v>9</v>
      </c>
      <c r="D80" s="14">
        <v>10</v>
      </c>
      <c r="E80" s="14">
        <f t="shared" si="7"/>
        <v>1</v>
      </c>
      <c r="F80" s="15"/>
      <c r="G80" s="15" t="s">
        <v>59</v>
      </c>
      <c r="H80" s="15"/>
      <c r="I80" s="15"/>
      <c r="J80" s="15"/>
      <c r="K80" s="15" t="s">
        <v>59</v>
      </c>
      <c r="L80" s="15"/>
      <c r="M80" s="15"/>
      <c r="N80" s="15" t="s">
        <v>59</v>
      </c>
      <c r="O80" s="15"/>
      <c r="P80" s="15"/>
      <c r="Q80" s="15" t="s">
        <v>59</v>
      </c>
      <c r="R80" s="15"/>
      <c r="S80" s="15"/>
      <c r="T80" s="15" t="s">
        <v>59</v>
      </c>
      <c r="U80" s="15"/>
      <c r="V80" s="16"/>
      <c r="W80" s="17" t="str">
        <f t="shared" si="8"/>
        <v>OK</v>
      </c>
    </row>
    <row r="81" spans="1:23" ht="20.100000000000001" customHeight="1" x14ac:dyDescent="0.25">
      <c r="A81" s="12" t="s">
        <v>142</v>
      </c>
      <c r="B81" s="13" t="s">
        <v>58</v>
      </c>
      <c r="C81" s="14">
        <v>10</v>
      </c>
      <c r="D81" s="14">
        <v>11</v>
      </c>
      <c r="E81" s="14">
        <f t="shared" si="7"/>
        <v>1</v>
      </c>
      <c r="F81" s="15"/>
      <c r="G81" s="15" t="s">
        <v>59</v>
      </c>
      <c r="H81" s="15"/>
      <c r="I81" s="15"/>
      <c r="J81" s="15"/>
      <c r="K81" s="15" t="s">
        <v>59</v>
      </c>
      <c r="L81" s="15"/>
      <c r="M81" s="15"/>
      <c r="N81" s="15" t="s">
        <v>59</v>
      </c>
      <c r="O81" s="15"/>
      <c r="P81" s="15"/>
      <c r="Q81" s="15" t="s">
        <v>59</v>
      </c>
      <c r="R81" s="15"/>
      <c r="S81" s="15"/>
      <c r="T81" s="15" t="s">
        <v>59</v>
      </c>
      <c r="U81" s="15"/>
      <c r="V81" s="16"/>
      <c r="W81" s="17" t="str">
        <f t="shared" si="8"/>
        <v>OK</v>
      </c>
    </row>
    <row r="82" spans="1:23" ht="20.100000000000001" customHeight="1" x14ac:dyDescent="0.25">
      <c r="A82" s="12" t="s">
        <v>142</v>
      </c>
      <c r="B82" s="13" t="s">
        <v>58</v>
      </c>
      <c r="C82" s="14">
        <v>11</v>
      </c>
      <c r="D82" s="14">
        <v>12</v>
      </c>
      <c r="E82" s="14">
        <f t="shared" si="7"/>
        <v>1</v>
      </c>
      <c r="F82" s="15"/>
      <c r="G82" s="15" t="s">
        <v>59</v>
      </c>
      <c r="H82" s="15"/>
      <c r="I82" s="15"/>
      <c r="J82" s="15"/>
      <c r="K82" s="15" t="s">
        <v>59</v>
      </c>
      <c r="L82" s="15"/>
      <c r="M82" s="15"/>
      <c r="N82" s="15" t="s">
        <v>59</v>
      </c>
      <c r="O82" s="15"/>
      <c r="P82" s="15"/>
      <c r="Q82" s="15" t="s">
        <v>59</v>
      </c>
      <c r="R82" s="15"/>
      <c r="S82" s="15"/>
      <c r="T82" s="15" t="s">
        <v>59</v>
      </c>
      <c r="U82" s="15"/>
      <c r="V82" s="16"/>
      <c r="W82" s="17" t="str">
        <f t="shared" si="8"/>
        <v>OK</v>
      </c>
    </row>
    <row r="83" spans="1:23" ht="20.100000000000001" customHeight="1" x14ac:dyDescent="0.25">
      <c r="A83" s="12" t="s">
        <v>142</v>
      </c>
      <c r="B83" s="13" t="s">
        <v>58</v>
      </c>
      <c r="C83" s="14">
        <v>12</v>
      </c>
      <c r="D83" s="14">
        <v>13</v>
      </c>
      <c r="E83" s="14">
        <f t="shared" si="7"/>
        <v>1</v>
      </c>
      <c r="F83" s="15"/>
      <c r="G83" s="15" t="s">
        <v>59</v>
      </c>
      <c r="H83" s="15"/>
      <c r="I83" s="15"/>
      <c r="J83" s="15"/>
      <c r="K83" s="15" t="s">
        <v>59</v>
      </c>
      <c r="L83" s="15"/>
      <c r="M83" s="15"/>
      <c r="N83" s="15" t="s">
        <v>59</v>
      </c>
      <c r="O83" s="15"/>
      <c r="P83" s="15"/>
      <c r="Q83" s="15" t="s">
        <v>59</v>
      </c>
      <c r="R83" s="15"/>
      <c r="S83" s="15"/>
      <c r="T83" s="15" t="s">
        <v>59</v>
      </c>
      <c r="U83" s="15"/>
      <c r="V83" s="16"/>
      <c r="W83" s="17" t="str">
        <f t="shared" si="8"/>
        <v>OK</v>
      </c>
    </row>
    <row r="84" spans="1:23" ht="20.100000000000001" customHeight="1" x14ac:dyDescent="0.25">
      <c r="A84" s="12" t="s">
        <v>142</v>
      </c>
      <c r="B84" s="13" t="s">
        <v>58</v>
      </c>
      <c r="C84" s="14">
        <v>13</v>
      </c>
      <c r="D84" s="14">
        <v>14</v>
      </c>
      <c r="E84" s="14">
        <f t="shared" si="7"/>
        <v>1</v>
      </c>
      <c r="F84" s="15"/>
      <c r="G84" s="15" t="s">
        <v>59</v>
      </c>
      <c r="H84" s="15"/>
      <c r="I84" s="15"/>
      <c r="J84" s="15"/>
      <c r="K84" s="15" t="s">
        <v>59</v>
      </c>
      <c r="L84" s="15"/>
      <c r="M84" s="15"/>
      <c r="N84" s="15" t="s">
        <v>59</v>
      </c>
      <c r="O84" s="15"/>
      <c r="P84" s="15"/>
      <c r="Q84" s="15" t="s">
        <v>59</v>
      </c>
      <c r="R84" s="15"/>
      <c r="S84" s="15"/>
      <c r="T84" s="15" t="s">
        <v>59</v>
      </c>
      <c r="U84" s="15"/>
      <c r="V84" s="16"/>
      <c r="W84" s="17" t="str">
        <f t="shared" si="8"/>
        <v>OK</v>
      </c>
    </row>
    <row r="85" spans="1:23" ht="20.100000000000001" customHeight="1" x14ac:dyDescent="0.25">
      <c r="A85" s="12" t="s">
        <v>142</v>
      </c>
      <c r="B85" s="13" t="s">
        <v>58</v>
      </c>
      <c r="C85" s="14">
        <v>14</v>
      </c>
      <c r="D85" s="14">
        <v>15</v>
      </c>
      <c r="E85" s="14">
        <f t="shared" si="7"/>
        <v>1</v>
      </c>
      <c r="F85" s="15"/>
      <c r="G85" s="15" t="s">
        <v>59</v>
      </c>
      <c r="H85" s="15"/>
      <c r="I85" s="15"/>
      <c r="J85" s="15"/>
      <c r="K85" s="15" t="s">
        <v>59</v>
      </c>
      <c r="L85" s="15"/>
      <c r="M85" s="15"/>
      <c r="N85" s="15" t="s">
        <v>59</v>
      </c>
      <c r="O85" s="15"/>
      <c r="P85" s="15"/>
      <c r="Q85" s="15" t="s">
        <v>59</v>
      </c>
      <c r="R85" s="15"/>
      <c r="S85" s="15"/>
      <c r="T85" s="15" t="s">
        <v>59</v>
      </c>
      <c r="U85" s="15"/>
      <c r="V85" s="16"/>
      <c r="W85" s="17" t="str">
        <f t="shared" si="8"/>
        <v>OK</v>
      </c>
    </row>
    <row r="86" spans="1:23" ht="20.100000000000001" customHeight="1" x14ac:dyDescent="0.25">
      <c r="A86" s="12" t="s">
        <v>142</v>
      </c>
      <c r="B86" s="13" t="s">
        <v>58</v>
      </c>
      <c r="C86" s="14">
        <v>15</v>
      </c>
      <c r="D86" s="14">
        <v>16</v>
      </c>
      <c r="E86" s="14">
        <f t="shared" si="7"/>
        <v>1</v>
      </c>
      <c r="F86" s="15" t="s">
        <v>59</v>
      </c>
      <c r="G86" s="15"/>
      <c r="H86" s="15"/>
      <c r="I86" s="15"/>
      <c r="J86" s="15"/>
      <c r="K86" s="15" t="s">
        <v>59</v>
      </c>
      <c r="L86" s="15"/>
      <c r="M86" s="15"/>
      <c r="N86" s="15"/>
      <c r="O86" s="15"/>
      <c r="P86" s="15"/>
      <c r="Q86" s="15" t="s">
        <v>59</v>
      </c>
      <c r="R86" s="15"/>
      <c r="S86" s="15"/>
      <c r="T86" s="15" t="s">
        <v>59</v>
      </c>
      <c r="U86" s="15"/>
      <c r="V86" s="16"/>
      <c r="W86" s="17" t="str">
        <f t="shared" si="8"/>
        <v>FALTA/DUPLA: ELEM. DE DRENAGEM</v>
      </c>
    </row>
    <row r="87" spans="1:23" ht="20.100000000000001" customHeight="1" x14ac:dyDescent="0.25">
      <c r="A87" s="12" t="s">
        <v>142</v>
      </c>
      <c r="B87" s="13" t="s">
        <v>58</v>
      </c>
      <c r="C87" s="14">
        <v>16</v>
      </c>
      <c r="D87" s="14">
        <v>17</v>
      </c>
      <c r="E87" s="14">
        <f t="shared" si="7"/>
        <v>1</v>
      </c>
      <c r="F87" s="15" t="s">
        <v>59</v>
      </c>
      <c r="G87" s="15"/>
      <c r="H87" s="15"/>
      <c r="I87" s="15"/>
      <c r="J87" s="15"/>
      <c r="K87" s="15" t="s">
        <v>59</v>
      </c>
      <c r="L87" s="15"/>
      <c r="M87" s="15"/>
      <c r="N87" s="15"/>
      <c r="O87" s="15"/>
      <c r="P87" s="15"/>
      <c r="Q87" s="15" t="s">
        <v>59</v>
      </c>
      <c r="R87" s="15"/>
      <c r="S87" s="15"/>
      <c r="T87" s="15" t="s">
        <v>59</v>
      </c>
      <c r="U87" s="15"/>
      <c r="V87" s="16"/>
      <c r="W87" s="17" t="str">
        <f t="shared" si="8"/>
        <v>FALTA/DUPLA: ELEM. DE DRENAGEM</v>
      </c>
    </row>
    <row r="88" spans="1:23" ht="20.100000000000001" customHeight="1" x14ac:dyDescent="0.25">
      <c r="A88" s="12" t="s">
        <v>142</v>
      </c>
      <c r="B88" s="13" t="s">
        <v>58</v>
      </c>
      <c r="C88" s="14">
        <v>17</v>
      </c>
      <c r="D88" s="14">
        <v>18</v>
      </c>
      <c r="E88" s="14">
        <f t="shared" si="7"/>
        <v>1</v>
      </c>
      <c r="F88" s="15"/>
      <c r="G88" s="15" t="s">
        <v>59</v>
      </c>
      <c r="H88" s="15"/>
      <c r="I88" s="15"/>
      <c r="J88" s="15"/>
      <c r="K88" s="15" t="s">
        <v>59</v>
      </c>
      <c r="L88" s="15"/>
      <c r="M88" s="15"/>
      <c r="N88" s="15" t="s">
        <v>59</v>
      </c>
      <c r="O88" s="15"/>
      <c r="P88" s="15"/>
      <c r="Q88" s="15" t="s">
        <v>59</v>
      </c>
      <c r="R88" s="15"/>
      <c r="S88" s="15"/>
      <c r="T88" s="15" t="s">
        <v>59</v>
      </c>
      <c r="U88" s="15"/>
      <c r="V88" s="16"/>
      <c r="W88" s="17" t="str">
        <f t="shared" si="8"/>
        <v>OK</v>
      </c>
    </row>
    <row r="89" spans="1:23" ht="20.100000000000001" customHeight="1" x14ac:dyDescent="0.25">
      <c r="A89" s="12" t="s">
        <v>142</v>
      </c>
      <c r="B89" s="13" t="s">
        <v>58</v>
      </c>
      <c r="C89" s="14">
        <v>18</v>
      </c>
      <c r="D89" s="14">
        <v>19</v>
      </c>
      <c r="E89" s="14">
        <f t="shared" si="7"/>
        <v>1</v>
      </c>
      <c r="F89" s="15"/>
      <c r="G89" s="15" t="s">
        <v>59</v>
      </c>
      <c r="H89" s="15"/>
      <c r="I89" s="15"/>
      <c r="J89" s="15"/>
      <c r="K89" s="15" t="s">
        <v>59</v>
      </c>
      <c r="L89" s="15"/>
      <c r="M89" s="15"/>
      <c r="N89" s="15" t="s">
        <v>59</v>
      </c>
      <c r="O89" s="15"/>
      <c r="P89" s="15"/>
      <c r="Q89" s="15" t="s">
        <v>59</v>
      </c>
      <c r="R89" s="15"/>
      <c r="S89" s="15"/>
      <c r="T89" s="15" t="s">
        <v>59</v>
      </c>
      <c r="U89" s="15"/>
      <c r="V89" s="16"/>
      <c r="W89" s="17" t="str">
        <f t="shared" si="8"/>
        <v>OK</v>
      </c>
    </row>
    <row r="90" spans="1:23" ht="20.100000000000001" customHeight="1" x14ac:dyDescent="0.25">
      <c r="A90" s="12" t="s">
        <v>142</v>
      </c>
      <c r="B90" s="13" t="s">
        <v>58</v>
      </c>
      <c r="C90" s="14">
        <v>19</v>
      </c>
      <c r="D90" s="14">
        <v>20</v>
      </c>
      <c r="E90" s="14">
        <f t="shared" si="7"/>
        <v>1</v>
      </c>
      <c r="F90" s="15"/>
      <c r="G90" s="15" t="s">
        <v>59</v>
      </c>
      <c r="H90" s="15"/>
      <c r="I90" s="15"/>
      <c r="J90" s="15"/>
      <c r="K90" s="15" t="s">
        <v>59</v>
      </c>
      <c r="L90" s="15"/>
      <c r="M90" s="15"/>
      <c r="N90" s="15" t="s">
        <v>59</v>
      </c>
      <c r="O90" s="15"/>
      <c r="P90" s="15"/>
      <c r="Q90" s="15" t="s">
        <v>59</v>
      </c>
      <c r="R90" s="15"/>
      <c r="S90" s="15"/>
      <c r="T90" s="15" t="s">
        <v>59</v>
      </c>
      <c r="U90" s="15"/>
      <c r="V90" s="16"/>
      <c r="W90" s="17" t="str">
        <f t="shared" si="8"/>
        <v>OK</v>
      </c>
    </row>
    <row r="91" spans="1:23" ht="20.100000000000001" customHeight="1" x14ac:dyDescent="0.25">
      <c r="A91" s="12" t="s">
        <v>142</v>
      </c>
      <c r="B91" s="13" t="s">
        <v>58</v>
      </c>
      <c r="C91" s="14">
        <v>20</v>
      </c>
      <c r="D91" s="14">
        <v>21</v>
      </c>
      <c r="E91" s="14">
        <f t="shared" si="7"/>
        <v>1</v>
      </c>
      <c r="F91" s="15"/>
      <c r="G91" s="15" t="s">
        <v>59</v>
      </c>
      <c r="H91" s="15"/>
      <c r="I91" s="15"/>
      <c r="J91" s="15"/>
      <c r="K91" s="15" t="s">
        <v>59</v>
      </c>
      <c r="L91" s="15"/>
      <c r="M91" s="15"/>
      <c r="N91" s="15" t="s">
        <v>59</v>
      </c>
      <c r="O91" s="15"/>
      <c r="P91" s="15"/>
      <c r="Q91" s="15" t="s">
        <v>59</v>
      </c>
      <c r="R91" s="15"/>
      <c r="S91" s="15"/>
      <c r="T91" s="15" t="s">
        <v>59</v>
      </c>
      <c r="U91" s="15"/>
      <c r="V91" s="16"/>
      <c r="W91" s="17" t="str">
        <f t="shared" si="8"/>
        <v>OK</v>
      </c>
    </row>
    <row r="92" spans="1:23" ht="20.100000000000001" customHeight="1" x14ac:dyDescent="0.25">
      <c r="A92" s="12" t="s">
        <v>142</v>
      </c>
      <c r="B92" s="13" t="s">
        <v>58</v>
      </c>
      <c r="C92" s="14">
        <v>21</v>
      </c>
      <c r="D92" s="14">
        <v>22</v>
      </c>
      <c r="E92" s="14">
        <f t="shared" si="7"/>
        <v>1</v>
      </c>
      <c r="F92" s="15"/>
      <c r="G92" s="15" t="s">
        <v>59</v>
      </c>
      <c r="H92" s="15"/>
      <c r="I92" s="15"/>
      <c r="J92" s="15"/>
      <c r="K92" s="15" t="s">
        <v>59</v>
      </c>
      <c r="L92" s="15"/>
      <c r="M92" s="15"/>
      <c r="N92" s="15" t="s">
        <v>59</v>
      </c>
      <c r="O92" s="15"/>
      <c r="P92" s="15"/>
      <c r="Q92" s="15" t="s">
        <v>59</v>
      </c>
      <c r="R92" s="15"/>
      <c r="S92" s="15"/>
      <c r="T92" s="15" t="s">
        <v>59</v>
      </c>
      <c r="U92" s="15"/>
      <c r="V92" s="16"/>
      <c r="W92" s="17" t="str">
        <f t="shared" si="8"/>
        <v>OK</v>
      </c>
    </row>
    <row r="93" spans="1:23" ht="20.100000000000001" customHeight="1" x14ac:dyDescent="0.25">
      <c r="A93" s="12" t="s">
        <v>142</v>
      </c>
      <c r="B93" s="13" t="s">
        <v>58</v>
      </c>
      <c r="C93" s="14">
        <v>22</v>
      </c>
      <c r="D93" s="14">
        <v>23</v>
      </c>
      <c r="E93" s="14">
        <f t="shared" si="7"/>
        <v>1</v>
      </c>
      <c r="F93" s="15"/>
      <c r="G93" s="15" t="s">
        <v>59</v>
      </c>
      <c r="H93" s="15"/>
      <c r="I93" s="15"/>
      <c r="J93" s="15"/>
      <c r="K93" s="15" t="s">
        <v>59</v>
      </c>
      <c r="L93" s="15"/>
      <c r="M93" s="15"/>
      <c r="N93" s="15" t="s">
        <v>59</v>
      </c>
      <c r="O93" s="15"/>
      <c r="P93" s="15"/>
      <c r="Q93" s="15" t="s">
        <v>59</v>
      </c>
      <c r="R93" s="15"/>
      <c r="S93" s="15"/>
      <c r="T93" s="15" t="s">
        <v>59</v>
      </c>
      <c r="U93" s="15"/>
      <c r="V93" s="16"/>
      <c r="W93" s="17" t="str">
        <f t="shared" si="8"/>
        <v>OK</v>
      </c>
    </row>
    <row r="94" spans="1:23" ht="20.100000000000001" customHeight="1" x14ac:dyDescent="0.25">
      <c r="A94" s="18" t="s">
        <v>142</v>
      </c>
      <c r="B94" s="19" t="s">
        <v>58</v>
      </c>
      <c r="C94" s="20">
        <v>23</v>
      </c>
      <c r="D94" s="20">
        <v>23.4028628015</v>
      </c>
      <c r="E94" s="20">
        <f t="shared" si="7"/>
        <v>0.40286280149999953</v>
      </c>
      <c r="F94" s="21"/>
      <c r="G94" s="21" t="s">
        <v>59</v>
      </c>
      <c r="H94" s="21"/>
      <c r="I94" s="21"/>
      <c r="J94" s="21"/>
      <c r="K94" s="21" t="s">
        <v>59</v>
      </c>
      <c r="L94" s="21"/>
      <c r="M94" s="21"/>
      <c r="N94" s="21" t="s">
        <v>59</v>
      </c>
      <c r="O94" s="21"/>
      <c r="P94" s="21"/>
      <c r="Q94" s="21" t="s">
        <v>59</v>
      </c>
      <c r="R94" s="21"/>
      <c r="S94" s="21"/>
      <c r="T94" s="21" t="s">
        <v>59</v>
      </c>
      <c r="U94" s="21"/>
      <c r="V94" s="22"/>
      <c r="W94" s="23" t="str">
        <f t="shared" si="8"/>
        <v>OK</v>
      </c>
    </row>
    <row r="96" spans="1:23" x14ac:dyDescent="0.25">
      <c r="A96" s="43" t="s">
        <v>60</v>
      </c>
      <c r="B96" s="28"/>
      <c r="C96" s="28"/>
      <c r="D96" s="28"/>
      <c r="E96" s="28"/>
      <c r="G96" s="43" t="s">
        <v>60</v>
      </c>
      <c r="H96" s="28"/>
      <c r="I96" s="28"/>
      <c r="J96" s="28"/>
      <c r="K96" s="28"/>
    </row>
    <row r="97" spans="1:22" x14ac:dyDescent="0.25">
      <c r="A97" s="41" t="s">
        <v>61</v>
      </c>
      <c r="B97" s="28"/>
      <c r="C97" s="28"/>
      <c r="D97" s="28"/>
      <c r="E97" s="28"/>
      <c r="G97" s="41" t="s">
        <v>62</v>
      </c>
      <c r="H97" s="28"/>
      <c r="I97" s="28"/>
      <c r="J97" s="28"/>
      <c r="K97" s="28"/>
    </row>
    <row r="99" spans="1:22" x14ac:dyDescent="0.25">
      <c r="A99" s="49" t="s">
        <v>63</v>
      </c>
      <c r="B99" s="28"/>
      <c r="C99" s="28"/>
      <c r="D99" s="28"/>
      <c r="E99" s="28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1:22" x14ac:dyDescent="0.25">
      <c r="A100" s="35" t="s">
        <v>64</v>
      </c>
      <c r="B100" s="28"/>
      <c r="C100" s="28"/>
      <c r="D100" s="28"/>
      <c r="E100" s="28"/>
      <c r="F100" s="9">
        <f t="shared" ref="F100:U100" si="9">SUMIF(F$9:F$94,"X",$E$9:$E$94)</f>
        <v>9</v>
      </c>
      <c r="G100" s="9">
        <f t="shared" si="9"/>
        <v>49.9765185913</v>
      </c>
      <c r="H100" s="9">
        <f t="shared" si="9"/>
        <v>22.872973655999999</v>
      </c>
      <c r="I100" s="9">
        <f t="shared" si="9"/>
        <v>0</v>
      </c>
      <c r="J100" s="9">
        <f t="shared" si="9"/>
        <v>0</v>
      </c>
      <c r="K100" s="9">
        <f t="shared" si="9"/>
        <v>80.849492247299992</v>
      </c>
      <c r="L100" s="9">
        <f t="shared" si="9"/>
        <v>0</v>
      </c>
      <c r="M100" s="9">
        <f t="shared" si="9"/>
        <v>9.8729736559999992</v>
      </c>
      <c r="N100" s="9">
        <f t="shared" si="9"/>
        <v>69.976518591299993</v>
      </c>
      <c r="O100" s="9">
        <f t="shared" si="9"/>
        <v>0</v>
      </c>
      <c r="P100" s="9">
        <f t="shared" si="9"/>
        <v>0</v>
      </c>
      <c r="Q100" s="9">
        <f t="shared" si="9"/>
        <v>81.849492247299992</v>
      </c>
      <c r="R100" s="9">
        <f t="shared" si="9"/>
        <v>0</v>
      </c>
      <c r="S100" s="9">
        <f t="shared" si="9"/>
        <v>0</v>
      </c>
      <c r="T100" s="9">
        <f t="shared" si="9"/>
        <v>81.849492247299992</v>
      </c>
      <c r="U100" s="9">
        <f t="shared" si="9"/>
        <v>0</v>
      </c>
    </row>
    <row r="101" spans="1:22" x14ac:dyDescent="0.25">
      <c r="A101" s="35" t="s">
        <v>65</v>
      </c>
      <c r="B101" s="28"/>
      <c r="C101" s="28"/>
      <c r="D101" s="28"/>
      <c r="E101" s="28"/>
      <c r="F101" s="25">
        <f t="shared" ref="F101:U101" si="10">IF($R103=0,0,F100/$R103)</f>
        <v>0.10995792097044911</v>
      </c>
      <c r="G101" s="25">
        <f t="shared" si="10"/>
        <v>0.61059045351559404</v>
      </c>
      <c r="H101" s="25">
        <f t="shared" si="10"/>
        <v>0.27945162551395691</v>
      </c>
      <c r="I101" s="25">
        <f t="shared" si="10"/>
        <v>0</v>
      </c>
      <c r="J101" s="25">
        <f t="shared" si="10"/>
        <v>0</v>
      </c>
      <c r="K101" s="25">
        <f t="shared" si="10"/>
        <v>0.98778245322550562</v>
      </c>
      <c r="L101" s="25">
        <f t="shared" si="10"/>
        <v>0</v>
      </c>
      <c r="M101" s="25">
        <f t="shared" si="10"/>
        <v>0.12062351744553045</v>
      </c>
      <c r="N101" s="25">
        <f t="shared" si="10"/>
        <v>0.85494138900548089</v>
      </c>
      <c r="O101" s="25">
        <f t="shared" si="10"/>
        <v>0</v>
      </c>
      <c r="P101" s="25">
        <f t="shared" si="10"/>
        <v>0</v>
      </c>
      <c r="Q101" s="25">
        <f t="shared" si="10"/>
        <v>1</v>
      </c>
      <c r="R101" s="25">
        <f t="shared" si="10"/>
        <v>0</v>
      </c>
      <c r="S101" s="25">
        <f t="shared" si="10"/>
        <v>0</v>
      </c>
      <c r="T101" s="25">
        <f t="shared" si="10"/>
        <v>1</v>
      </c>
      <c r="U101" s="25">
        <f t="shared" si="10"/>
        <v>0</v>
      </c>
    </row>
    <row r="102" spans="1:22" x14ac:dyDescent="0.25">
      <c r="A102" s="35" t="s">
        <v>66</v>
      </c>
      <c r="B102" s="28"/>
      <c r="C102" s="28"/>
      <c r="D102" s="28"/>
      <c r="E102" s="28"/>
      <c r="F102" s="45" t="str">
        <f>IF(SUM(F100:J100)=0,"— não preenchido",IF(ROUND(SUM(F100:J100)-$R103,3)=0,"OK — "&amp;ROUND(SUM(F100:J100),3)&amp;" km","ERRO — dif. de "&amp;ROUND(SUM(F100:J100)-$R103,3)&amp;" km"))</f>
        <v>OK — 81,849 km</v>
      </c>
      <c r="G102" s="32"/>
      <c r="H102" s="32"/>
      <c r="I102" s="32"/>
      <c r="J102" s="30"/>
      <c r="K102" s="45" t="str">
        <f>IF(SUM(K100:L100)=0,"— não preenchido",IF(ROUND(SUM(K100:L100)-$R103,3)=0,"OK — "&amp;ROUND(SUM(K100:L100),3)&amp;" km","ERRO — dif. de "&amp;ROUND(SUM(K100:L100)-$R103,3)&amp;" km"))</f>
        <v>ERRO — dif. de -1 km</v>
      </c>
      <c r="L102" s="30"/>
      <c r="M102" s="45" t="str">
        <f>IF(SUM(M100:O100)=0,"— não preenchido",IF(ROUND(SUM(M100:O100)-$R103,3)=0,"OK — "&amp;ROUND(SUM(M100:O100),3)&amp;" km","ERRO — dif. de "&amp;ROUND(SUM(M100:O100)-$R103,3)&amp;" km"))</f>
        <v>ERRO — dif. de -2 km</v>
      </c>
      <c r="N102" s="32"/>
      <c r="O102" s="30"/>
      <c r="P102" s="45" t="str">
        <f>IF(SUM(P100:R100)=0,"— não preenchido",IF(ROUND(SUM(P100:R100)-$R103,3)=0,"OK — "&amp;ROUND(SUM(P100:R100),3)&amp;" km","ERRO — dif. de "&amp;ROUND(SUM(P100:R100)-$R103,3)&amp;" km"))</f>
        <v>OK — 81,849 km</v>
      </c>
      <c r="Q102" s="32"/>
      <c r="R102" s="30"/>
      <c r="S102" s="45" t="str">
        <f>IF(SUM(S100:U100)=0,"— não preenchido",IF(ROUND(SUM(S100:U100)-$R103,3)=0,"OK — "&amp;ROUND(SUM(S100:U100),3)&amp;" km","ERRO — dif. de "&amp;ROUND(SUM(S100:U100)-$R103,3)&amp;" km"))</f>
        <v>OK — 81,849 km</v>
      </c>
      <c r="T102" s="32"/>
      <c r="U102" s="30"/>
    </row>
    <row r="103" spans="1:22" x14ac:dyDescent="0.25">
      <c r="A103" s="35" t="s">
        <v>67</v>
      </c>
      <c r="B103" s="28"/>
      <c r="C103" s="28"/>
      <c r="D103" s="28"/>
      <c r="E103" s="28"/>
      <c r="R103" s="26">
        <f>SUM(E9:E94)</f>
        <v>81.849492247299992</v>
      </c>
      <c r="V103" s="8" t="str">
        <f>COUNTIF(W9:W94,"OK")&amp;" de "&amp;COUNT($E$9:$E$94)&amp;" linhas conferidas"</f>
        <v>80 de 83 linhas conferidas</v>
      </c>
    </row>
    <row r="105" spans="1:22" x14ac:dyDescent="0.25">
      <c r="A105" s="44" t="s">
        <v>68</v>
      </c>
      <c r="B105" s="28"/>
      <c r="C105" s="28"/>
      <c r="D105" s="28"/>
      <c r="E105" s="28"/>
    </row>
    <row r="106" spans="1:22" x14ac:dyDescent="0.25">
      <c r="A106" s="35" t="s">
        <v>69</v>
      </c>
      <c r="B106" s="28"/>
      <c r="C106" s="28"/>
      <c r="D106" s="28"/>
      <c r="E106" s="34" t="s">
        <v>70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x14ac:dyDescent="0.25">
      <c r="A107" s="35" t="s">
        <v>71</v>
      </c>
      <c r="B107" s="28"/>
      <c r="C107" s="28"/>
      <c r="D107" s="28"/>
      <c r="E107" s="34" t="s">
        <v>72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x14ac:dyDescent="0.25">
      <c r="A108" s="35" t="s">
        <v>73</v>
      </c>
      <c r="B108" s="28"/>
      <c r="C108" s="28"/>
      <c r="D108" s="28"/>
      <c r="E108" s="34" t="s">
        <v>74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x14ac:dyDescent="0.25">
      <c r="A109" s="35" t="s">
        <v>75</v>
      </c>
      <c r="B109" s="28"/>
      <c r="C109" s="28"/>
      <c r="D109" s="28"/>
      <c r="E109" s="34" t="s">
        <v>76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x14ac:dyDescent="0.25">
      <c r="A110" s="35" t="s">
        <v>77</v>
      </c>
      <c r="B110" s="28"/>
      <c r="C110" s="28"/>
      <c r="D110" s="28"/>
      <c r="E110" s="34" t="s">
        <v>78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x14ac:dyDescent="0.25">
      <c r="A111" s="35" t="s">
        <v>50</v>
      </c>
      <c r="B111" s="28"/>
      <c r="C111" s="28"/>
      <c r="D111" s="28"/>
      <c r="E111" s="34" t="s">
        <v>79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x14ac:dyDescent="0.25">
      <c r="A112" s="35" t="s">
        <v>80</v>
      </c>
      <c r="B112" s="28"/>
      <c r="C112" s="28"/>
      <c r="D112" s="28"/>
      <c r="E112" s="34" t="s">
        <v>81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x14ac:dyDescent="0.25">
      <c r="A113" s="35" t="s">
        <v>82</v>
      </c>
      <c r="B113" s="28"/>
      <c r="C113" s="28"/>
      <c r="D113" s="28"/>
      <c r="E113" s="34" t="s">
        <v>83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x14ac:dyDescent="0.25">
      <c r="A114" s="35" t="s">
        <v>11</v>
      </c>
      <c r="B114" s="28"/>
      <c r="C114" s="28"/>
      <c r="D114" s="28"/>
      <c r="E114" s="34" t="s">
        <v>84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</sheetData>
  <sheetProtection sheet="1" formatCells="0"/>
  <mergeCells count="60">
    <mergeCell ref="A1:V1"/>
    <mergeCell ref="E112:V112"/>
    <mergeCell ref="M102:O102"/>
    <mergeCell ref="T3:V3"/>
    <mergeCell ref="A70:V70"/>
    <mergeCell ref="F102:J102"/>
    <mergeCell ref="A97:E97"/>
    <mergeCell ref="E109:V109"/>
    <mergeCell ref="A108:D108"/>
    <mergeCell ref="A100:E100"/>
    <mergeCell ref="A96:E96"/>
    <mergeCell ref="E106:V106"/>
    <mergeCell ref="S102:U102"/>
    <mergeCell ref="E111:V111"/>
    <mergeCell ref="A102:E102"/>
    <mergeCell ref="R2:V2"/>
    <mergeCell ref="W6:W7"/>
    <mergeCell ref="A99:E99"/>
    <mergeCell ref="P102:R102"/>
    <mergeCell ref="E6:E7"/>
    <mergeCell ref="A107:D107"/>
    <mergeCell ref="B6:B7"/>
    <mergeCell ref="K102:L102"/>
    <mergeCell ref="A105:E105"/>
    <mergeCell ref="A101:E101"/>
    <mergeCell ref="C6:C7"/>
    <mergeCell ref="K6:L6"/>
    <mergeCell ref="D6:D7"/>
    <mergeCell ref="A55:V55"/>
    <mergeCell ref="P6:R6"/>
    <mergeCell ref="E114:V114"/>
    <mergeCell ref="A2:F2"/>
    <mergeCell ref="S6:U6"/>
    <mergeCell ref="K2:M2"/>
    <mergeCell ref="E108:V108"/>
    <mergeCell ref="A114:D114"/>
    <mergeCell ref="N2:O2"/>
    <mergeCell ref="P2:Q2"/>
    <mergeCell ref="E110:V110"/>
    <mergeCell ref="E113:V113"/>
    <mergeCell ref="A110:D110"/>
    <mergeCell ref="A3:S3"/>
    <mergeCell ref="A113:D113"/>
    <mergeCell ref="A109:D109"/>
    <mergeCell ref="A103:E103"/>
    <mergeCell ref="A112:D112"/>
    <mergeCell ref="A6:A7"/>
    <mergeCell ref="F6:J6"/>
    <mergeCell ref="A111:D111"/>
    <mergeCell ref="G97:K97"/>
    <mergeCell ref="G96:K96"/>
    <mergeCell ref="E107:V107"/>
    <mergeCell ref="A106:D106"/>
    <mergeCell ref="G2:H2"/>
    <mergeCell ref="I2:J2"/>
    <mergeCell ref="A32:V32"/>
    <mergeCell ref="A8:V8"/>
    <mergeCell ref="M6:O6"/>
    <mergeCell ref="V6:V7"/>
    <mergeCell ref="A4:V4"/>
  </mergeCells>
  <conditionalFormatting sqref="F9:J94">
    <cfRule type="expression" dxfId="44" priority="1">
      <formula>AND(F9&lt;&gt;"",COUNTIF($F9:$J9,"X")&gt;1)</formula>
    </cfRule>
  </conditionalFormatting>
  <conditionalFormatting sqref="F102:U102">
    <cfRule type="expression" dxfId="43" priority="8">
      <formula>LEFT(F102,4)="ERRO"</formula>
    </cfRule>
    <cfRule type="expression" dxfId="42" priority="9">
      <formula>LEFT(F102,2)="OK"</formula>
    </cfRule>
  </conditionalFormatting>
  <conditionalFormatting sqref="K9:L94">
    <cfRule type="expression" dxfId="41" priority="2">
      <formula>AND(K9&lt;&gt;"",COUNTIF($K9:$L9,"X")&gt;1)</formula>
    </cfRule>
  </conditionalFormatting>
  <conditionalFormatting sqref="M9:O94">
    <cfRule type="expression" dxfId="40" priority="3">
      <formula>AND(M9&lt;&gt;"",COUNTIF($M9:$O9,"X")&gt;1)</formula>
    </cfRule>
  </conditionalFormatting>
  <conditionalFormatting sqref="P9:R94">
    <cfRule type="expression" dxfId="39" priority="4">
      <formula>AND(P9&lt;&gt;"",COUNTIF($P9:$R9,"X")&gt;1)</formula>
    </cfRule>
  </conditionalFormatting>
  <conditionalFormatting sqref="S9:U94">
    <cfRule type="expression" dxfId="38" priority="5">
      <formula>AND(S9&lt;&gt;"",COUNTIF($S9:$U9,"X")&gt;1)</formula>
    </cfRule>
  </conditionalFormatting>
  <conditionalFormatting sqref="W9:W94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4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4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4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4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4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94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233</oddHeader>
    <oddFooter>&amp;L&amp;7 RTA / MSI — Programa de Manutenção Rodoviária&amp;C&amp;7 Página &amp;P de &amp;N&amp;R&amp;7 Impresso em &amp;D</oddFooter>
  </headerFooter>
  <rowBreaks count="1" manualBreakCount="1">
    <brk id="97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6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IF(F52=0,NA(),F52)</f>
        <v>3</v>
      </c>
      <c r="Z2" s="2">
        <f t="shared" si="0"/>
        <v>33.422325510199997</v>
      </c>
      <c r="AA2" s="2">
        <f t="shared" si="0"/>
        <v>1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37.422325510199997</v>
      </c>
      <c r="AF2" s="2" t="e">
        <f t="shared" si="0"/>
        <v>#N/A</v>
      </c>
      <c r="AG2" s="2">
        <f t="shared" si="0"/>
        <v>37.422325510199997</v>
      </c>
      <c r="AH2" s="2" t="e">
        <f t="shared" si="0"/>
        <v>#N/A</v>
      </c>
      <c r="AI2" s="2" t="e">
        <f t="shared" si="0"/>
        <v>#N/A</v>
      </c>
      <c r="AJ2" s="2">
        <f t="shared" si="0"/>
        <v>37.422325510199997</v>
      </c>
      <c r="AK2" s="2" t="e">
        <f t="shared" si="0"/>
        <v>#N/A</v>
      </c>
      <c r="AL2" s="2" t="e">
        <f t="shared" si="0"/>
        <v>#N/A</v>
      </c>
      <c r="AM2" s="2">
        <f t="shared" si="0"/>
        <v>37.422325510199997</v>
      </c>
      <c r="AN2" s="2" t="e">
        <f t="shared" si="0"/>
        <v>#N/A</v>
      </c>
    </row>
    <row r="3" spans="1:40" ht="15" customHeight="1" x14ac:dyDescent="0.25">
      <c r="A3" s="48" t="s">
        <v>143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144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145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146</v>
      </c>
      <c r="B9" s="13" t="s">
        <v>58</v>
      </c>
      <c r="C9" s="14">
        <v>0</v>
      </c>
      <c r="D9" s="14">
        <v>1</v>
      </c>
      <c r="E9" s="14">
        <f t="shared" ref="E9:E46" si="1">D9-C9</f>
        <v>1</v>
      </c>
      <c r="F9" s="15"/>
      <c r="G9" s="15" t="s">
        <v>59</v>
      </c>
      <c r="H9" s="15"/>
      <c r="I9" s="15"/>
      <c r="J9" s="15"/>
      <c r="K9" s="15"/>
      <c r="L9" s="15" t="s">
        <v>59</v>
      </c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4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146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/>
      <c r="G10" s="15" t="s">
        <v>59</v>
      </c>
      <c r="H10" s="15"/>
      <c r="I10" s="15"/>
      <c r="J10" s="15"/>
      <c r="K10" s="15"/>
      <c r="L10" s="15" t="s">
        <v>59</v>
      </c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146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/>
      <c r="L11" s="15" t="s">
        <v>59</v>
      </c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146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/>
      <c r="L12" s="15" t="s">
        <v>59</v>
      </c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146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/>
      <c r="L13" s="15" t="s">
        <v>59</v>
      </c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146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59</v>
      </c>
      <c r="I14" s="15"/>
      <c r="J14" s="15"/>
      <c r="K14" s="15"/>
      <c r="L14" s="15" t="s">
        <v>59</v>
      </c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146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/>
      <c r="L15" s="15" t="s">
        <v>59</v>
      </c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146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/>
      <c r="L16" s="15" t="s">
        <v>59</v>
      </c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146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/>
      <c r="L17" s="15" t="s">
        <v>59</v>
      </c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146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 t="s">
        <v>59</v>
      </c>
      <c r="G18" s="15"/>
      <c r="H18" s="15"/>
      <c r="I18" s="15"/>
      <c r="J18" s="15"/>
      <c r="K18" s="15"/>
      <c r="L18" s="15" t="s">
        <v>59</v>
      </c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146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 t="s">
        <v>59</v>
      </c>
      <c r="G19" s="15"/>
      <c r="H19" s="15"/>
      <c r="I19" s="15"/>
      <c r="J19" s="15"/>
      <c r="K19" s="15"/>
      <c r="L19" s="15" t="s">
        <v>59</v>
      </c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146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/>
      <c r="L20" s="15" t="s">
        <v>59</v>
      </c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146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/>
      <c r="L21" s="15" t="s">
        <v>59</v>
      </c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146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/>
      <c r="L22" s="15" t="s">
        <v>59</v>
      </c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146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/>
      <c r="L23" s="15" t="s">
        <v>59</v>
      </c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146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 t="s">
        <v>59</v>
      </c>
      <c r="H24" s="15"/>
      <c r="I24" s="15"/>
      <c r="J24" s="15"/>
      <c r="K24" s="15"/>
      <c r="L24" s="15" t="s">
        <v>59</v>
      </c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146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 t="s">
        <v>59</v>
      </c>
      <c r="H25" s="15"/>
      <c r="I25" s="15"/>
      <c r="J25" s="15"/>
      <c r="K25" s="15"/>
      <c r="L25" s="15" t="s">
        <v>59</v>
      </c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146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 t="s">
        <v>59</v>
      </c>
      <c r="H26" s="15"/>
      <c r="I26" s="15"/>
      <c r="J26" s="15"/>
      <c r="K26" s="15"/>
      <c r="L26" s="15" t="s">
        <v>59</v>
      </c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146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 t="s">
        <v>59</v>
      </c>
      <c r="H27" s="15"/>
      <c r="I27" s="15"/>
      <c r="J27" s="15"/>
      <c r="K27" s="15"/>
      <c r="L27" s="15" t="s">
        <v>59</v>
      </c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146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 t="s">
        <v>59</v>
      </c>
      <c r="H28" s="15"/>
      <c r="I28" s="15"/>
      <c r="J28" s="15"/>
      <c r="K28" s="15"/>
      <c r="L28" s="15" t="s">
        <v>59</v>
      </c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146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/>
      <c r="G29" s="15" t="s">
        <v>59</v>
      </c>
      <c r="H29" s="15"/>
      <c r="I29" s="15"/>
      <c r="J29" s="15"/>
      <c r="K29" s="15"/>
      <c r="L29" s="15" t="s">
        <v>59</v>
      </c>
      <c r="M29" s="15"/>
      <c r="N29" s="15" t="s">
        <v>59</v>
      </c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146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/>
      <c r="G30" s="15" t="s">
        <v>59</v>
      </c>
      <c r="H30" s="15"/>
      <c r="I30" s="15"/>
      <c r="J30" s="15"/>
      <c r="K30" s="15"/>
      <c r="L30" s="15" t="s">
        <v>59</v>
      </c>
      <c r="M30" s="15"/>
      <c r="N30" s="15" t="s">
        <v>59</v>
      </c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146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/>
      <c r="G31" s="15" t="s">
        <v>59</v>
      </c>
      <c r="H31" s="15"/>
      <c r="I31" s="15"/>
      <c r="J31" s="15"/>
      <c r="K31" s="15"/>
      <c r="L31" s="15" t="s">
        <v>59</v>
      </c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146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/>
      <c r="G32" s="15" t="s">
        <v>59</v>
      </c>
      <c r="H32" s="15"/>
      <c r="I32" s="15"/>
      <c r="J32" s="15"/>
      <c r="K32" s="15"/>
      <c r="L32" s="15" t="s">
        <v>59</v>
      </c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146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/>
      <c r="G33" s="15" t="s">
        <v>59</v>
      </c>
      <c r="H33" s="15"/>
      <c r="I33" s="15"/>
      <c r="J33" s="15"/>
      <c r="K33" s="15"/>
      <c r="L33" s="15" t="s">
        <v>59</v>
      </c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146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/>
      <c r="G34" s="15" t="s">
        <v>59</v>
      </c>
      <c r="H34" s="15"/>
      <c r="I34" s="15"/>
      <c r="J34" s="15"/>
      <c r="K34" s="15"/>
      <c r="L34" s="15" t="s">
        <v>59</v>
      </c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146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/>
      <c r="G35" s="15" t="s">
        <v>59</v>
      </c>
      <c r="H35" s="15"/>
      <c r="I35" s="15"/>
      <c r="J35" s="15"/>
      <c r="K35" s="15"/>
      <c r="L35" s="15" t="s">
        <v>59</v>
      </c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146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/>
      <c r="L36" s="15" t="s">
        <v>59</v>
      </c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146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/>
      <c r="L37" s="15" t="s">
        <v>59</v>
      </c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146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/>
      <c r="L38" s="15" t="s">
        <v>59</v>
      </c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146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 t="s">
        <v>59</v>
      </c>
      <c r="H39" s="15"/>
      <c r="I39" s="15"/>
      <c r="J39" s="15"/>
      <c r="K39" s="15"/>
      <c r="L39" s="15" t="s">
        <v>59</v>
      </c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146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/>
      <c r="L40" s="15" t="s">
        <v>59</v>
      </c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146</v>
      </c>
      <c r="B41" s="13" t="s">
        <v>58</v>
      </c>
      <c r="C41" s="14">
        <v>32</v>
      </c>
      <c r="D41" s="14">
        <v>33</v>
      </c>
      <c r="E41" s="14">
        <f t="shared" si="1"/>
        <v>1</v>
      </c>
      <c r="F41" s="15"/>
      <c r="G41" s="15" t="s">
        <v>59</v>
      </c>
      <c r="H41" s="15"/>
      <c r="I41" s="15"/>
      <c r="J41" s="15"/>
      <c r="K41" s="15"/>
      <c r="L41" s="15" t="s">
        <v>59</v>
      </c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146</v>
      </c>
      <c r="B42" s="13" t="s">
        <v>58</v>
      </c>
      <c r="C42" s="14">
        <v>33</v>
      </c>
      <c r="D42" s="14">
        <v>34</v>
      </c>
      <c r="E42" s="14">
        <f t="shared" si="1"/>
        <v>1</v>
      </c>
      <c r="F42" s="15"/>
      <c r="G42" s="15" t="s">
        <v>59</v>
      </c>
      <c r="H42" s="15"/>
      <c r="I42" s="15"/>
      <c r="J42" s="15"/>
      <c r="K42" s="15"/>
      <c r="L42" s="15" t="s">
        <v>59</v>
      </c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146</v>
      </c>
      <c r="B43" s="13" t="s">
        <v>58</v>
      </c>
      <c r="C43" s="14">
        <v>34</v>
      </c>
      <c r="D43" s="14">
        <v>35</v>
      </c>
      <c r="E43" s="14">
        <f t="shared" si="1"/>
        <v>1</v>
      </c>
      <c r="F43" s="15"/>
      <c r="G43" s="15" t="s">
        <v>59</v>
      </c>
      <c r="H43" s="15"/>
      <c r="I43" s="15"/>
      <c r="J43" s="15"/>
      <c r="K43" s="15"/>
      <c r="L43" s="15" t="s">
        <v>59</v>
      </c>
      <c r="M43" s="15"/>
      <c r="N43" s="15" t="s">
        <v>59</v>
      </c>
      <c r="O43" s="15"/>
      <c r="P43" s="15"/>
      <c r="Q43" s="15" t="s">
        <v>59</v>
      </c>
      <c r="R43" s="15"/>
      <c r="S43" s="15"/>
      <c r="T43" s="15" t="s">
        <v>59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146</v>
      </c>
      <c r="B44" s="13" t="s">
        <v>58</v>
      </c>
      <c r="C44" s="14">
        <v>35</v>
      </c>
      <c r="D44" s="14">
        <v>36</v>
      </c>
      <c r="E44" s="14">
        <f t="shared" si="1"/>
        <v>1</v>
      </c>
      <c r="F44" s="15"/>
      <c r="G44" s="15" t="s">
        <v>59</v>
      </c>
      <c r="H44" s="15"/>
      <c r="I44" s="15"/>
      <c r="J44" s="15"/>
      <c r="K44" s="15"/>
      <c r="L44" s="15" t="s">
        <v>59</v>
      </c>
      <c r="M44" s="15"/>
      <c r="N44" s="15" t="s">
        <v>59</v>
      </c>
      <c r="O44" s="15"/>
      <c r="P44" s="15"/>
      <c r="Q44" s="15" t="s">
        <v>59</v>
      </c>
      <c r="R44" s="15"/>
      <c r="S44" s="15"/>
      <c r="T44" s="15" t="s">
        <v>59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146</v>
      </c>
      <c r="B45" s="13" t="s">
        <v>58</v>
      </c>
      <c r="C45" s="14">
        <v>36</v>
      </c>
      <c r="D45" s="14">
        <v>37</v>
      </c>
      <c r="E45" s="14">
        <f t="shared" si="1"/>
        <v>1</v>
      </c>
      <c r="F45" s="15"/>
      <c r="G45" s="15" t="s">
        <v>59</v>
      </c>
      <c r="H45" s="15"/>
      <c r="I45" s="15"/>
      <c r="J45" s="15"/>
      <c r="K45" s="15"/>
      <c r="L45" s="15" t="s">
        <v>59</v>
      </c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8" t="s">
        <v>146</v>
      </c>
      <c r="B46" s="19" t="s">
        <v>58</v>
      </c>
      <c r="C46" s="20">
        <v>37</v>
      </c>
      <c r="D46" s="20">
        <v>37.422325510199997</v>
      </c>
      <c r="E46" s="20">
        <f t="shared" si="1"/>
        <v>0.42232551019999676</v>
      </c>
      <c r="F46" s="21"/>
      <c r="G46" s="21" t="s">
        <v>59</v>
      </c>
      <c r="H46" s="21"/>
      <c r="I46" s="21"/>
      <c r="J46" s="21"/>
      <c r="K46" s="21"/>
      <c r="L46" s="21" t="s">
        <v>59</v>
      </c>
      <c r="M46" s="21"/>
      <c r="N46" s="21" t="s">
        <v>59</v>
      </c>
      <c r="O46" s="21"/>
      <c r="P46" s="21"/>
      <c r="Q46" s="21" t="s">
        <v>59</v>
      </c>
      <c r="R46" s="21"/>
      <c r="S46" s="21"/>
      <c r="T46" s="21" t="s">
        <v>59</v>
      </c>
      <c r="U46" s="21"/>
      <c r="V46" s="22"/>
      <c r="W46" s="23" t="str">
        <f t="shared" si="2"/>
        <v>OK</v>
      </c>
    </row>
    <row r="48" spans="1:23" x14ac:dyDescent="0.25">
      <c r="A48" s="43" t="s">
        <v>60</v>
      </c>
      <c r="B48" s="28"/>
      <c r="C48" s="28"/>
      <c r="D48" s="28"/>
      <c r="E48" s="28"/>
      <c r="G48" s="43" t="s">
        <v>60</v>
      </c>
      <c r="H48" s="28"/>
      <c r="I48" s="28"/>
      <c r="J48" s="28"/>
      <c r="K48" s="28"/>
    </row>
    <row r="49" spans="1:22" x14ac:dyDescent="0.25">
      <c r="A49" s="41" t="s">
        <v>61</v>
      </c>
      <c r="B49" s="28"/>
      <c r="C49" s="28"/>
      <c r="D49" s="28"/>
      <c r="E49" s="28"/>
      <c r="G49" s="41" t="s">
        <v>62</v>
      </c>
      <c r="H49" s="28"/>
      <c r="I49" s="28"/>
      <c r="J49" s="28"/>
      <c r="K49" s="28"/>
    </row>
    <row r="51" spans="1:22" x14ac:dyDescent="0.25">
      <c r="A51" s="49" t="s">
        <v>63</v>
      </c>
      <c r="B51" s="28"/>
      <c r="C51" s="28"/>
      <c r="D51" s="28"/>
      <c r="E51" s="28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x14ac:dyDescent="0.25">
      <c r="A52" s="35" t="s">
        <v>64</v>
      </c>
      <c r="B52" s="28"/>
      <c r="C52" s="28"/>
      <c r="D52" s="28"/>
      <c r="E52" s="28"/>
      <c r="F52" s="9">
        <f t="shared" ref="F52:U52" si="3">SUMIF(F$9:F$46,"X",$E$9:$E$46)</f>
        <v>3</v>
      </c>
      <c r="G52" s="9">
        <f t="shared" si="3"/>
        <v>33.422325510199997</v>
      </c>
      <c r="H52" s="9">
        <f t="shared" si="3"/>
        <v>1</v>
      </c>
      <c r="I52" s="9">
        <f t="shared" si="3"/>
        <v>0</v>
      </c>
      <c r="J52" s="9">
        <f t="shared" si="3"/>
        <v>0</v>
      </c>
      <c r="K52" s="9">
        <f t="shared" si="3"/>
        <v>0</v>
      </c>
      <c r="L52" s="9">
        <f t="shared" si="3"/>
        <v>37.422325510199997</v>
      </c>
      <c r="M52" s="9">
        <f t="shared" si="3"/>
        <v>0</v>
      </c>
      <c r="N52" s="9">
        <f t="shared" si="3"/>
        <v>37.422325510199997</v>
      </c>
      <c r="O52" s="9">
        <f t="shared" si="3"/>
        <v>0</v>
      </c>
      <c r="P52" s="9">
        <f t="shared" si="3"/>
        <v>0</v>
      </c>
      <c r="Q52" s="9">
        <f t="shared" si="3"/>
        <v>37.422325510199997</v>
      </c>
      <c r="R52" s="9">
        <f t="shared" si="3"/>
        <v>0</v>
      </c>
      <c r="S52" s="9">
        <f t="shared" si="3"/>
        <v>0</v>
      </c>
      <c r="T52" s="9">
        <f t="shared" si="3"/>
        <v>37.422325510199997</v>
      </c>
      <c r="U52" s="9">
        <f t="shared" si="3"/>
        <v>0</v>
      </c>
    </row>
    <row r="53" spans="1:22" x14ac:dyDescent="0.25">
      <c r="A53" s="35" t="s">
        <v>65</v>
      </c>
      <c r="B53" s="28"/>
      <c r="C53" s="28"/>
      <c r="D53" s="28"/>
      <c r="E53" s="28"/>
      <c r="F53" s="25">
        <f t="shared" ref="F53:U53" si="4">IF($R55=0,0,F52/$R55)</f>
        <v>8.0166049519886373E-2</v>
      </c>
      <c r="G53" s="25">
        <f t="shared" si="4"/>
        <v>0.89311193397348487</v>
      </c>
      <c r="H53" s="25">
        <f t="shared" si="4"/>
        <v>2.6722016506628792E-2</v>
      </c>
      <c r="I53" s="25">
        <f t="shared" si="4"/>
        <v>0</v>
      </c>
      <c r="J53" s="25">
        <f t="shared" si="4"/>
        <v>0</v>
      </c>
      <c r="K53" s="25">
        <f t="shared" si="4"/>
        <v>0</v>
      </c>
      <c r="L53" s="25">
        <f t="shared" si="4"/>
        <v>1</v>
      </c>
      <c r="M53" s="25">
        <f t="shared" si="4"/>
        <v>0</v>
      </c>
      <c r="N53" s="25">
        <f t="shared" si="4"/>
        <v>1</v>
      </c>
      <c r="O53" s="25">
        <f t="shared" si="4"/>
        <v>0</v>
      </c>
      <c r="P53" s="25">
        <f t="shared" si="4"/>
        <v>0</v>
      </c>
      <c r="Q53" s="25">
        <f t="shared" si="4"/>
        <v>1</v>
      </c>
      <c r="R53" s="25">
        <f t="shared" si="4"/>
        <v>0</v>
      </c>
      <c r="S53" s="25">
        <f t="shared" si="4"/>
        <v>0</v>
      </c>
      <c r="T53" s="25">
        <f t="shared" si="4"/>
        <v>1</v>
      </c>
      <c r="U53" s="25">
        <f t="shared" si="4"/>
        <v>0</v>
      </c>
    </row>
    <row r="54" spans="1:22" x14ac:dyDescent="0.25">
      <c r="A54" s="35" t="s">
        <v>66</v>
      </c>
      <c r="B54" s="28"/>
      <c r="C54" s="28"/>
      <c r="D54" s="28"/>
      <c r="E54" s="28"/>
      <c r="F54" s="45" t="str">
        <f>IF(SUM(F52:J52)=0,"— não preenchido",IF(ROUND(SUM(F52:J52)-$R55,3)=0,"OK — "&amp;ROUND(SUM(F52:J52),3)&amp;" km","ERRO — dif. de "&amp;ROUND(SUM(F52:J52)-$R55,3)&amp;" km"))</f>
        <v>OK — 37,422 km</v>
      </c>
      <c r="G54" s="32"/>
      <c r="H54" s="32"/>
      <c r="I54" s="32"/>
      <c r="J54" s="30"/>
      <c r="K54" s="45" t="str">
        <f>IF(SUM(K52:L52)=0,"— não preenchido",IF(ROUND(SUM(K52:L52)-$R55,3)=0,"OK — "&amp;ROUND(SUM(K52:L52),3)&amp;" km","ERRO — dif. de "&amp;ROUND(SUM(K52:L52)-$R55,3)&amp;" km"))</f>
        <v>OK — 37,422 km</v>
      </c>
      <c r="L54" s="30"/>
      <c r="M54" s="45" t="str">
        <f>IF(SUM(M52:O52)=0,"— não preenchido",IF(ROUND(SUM(M52:O52)-$R55,3)=0,"OK — "&amp;ROUND(SUM(M52:O52),3)&amp;" km","ERRO — dif. de "&amp;ROUND(SUM(M52:O52)-$R55,3)&amp;" km"))</f>
        <v>OK — 37,422 km</v>
      </c>
      <c r="N54" s="32"/>
      <c r="O54" s="30"/>
      <c r="P54" s="45" t="str">
        <f>IF(SUM(P52:R52)=0,"— não preenchido",IF(ROUND(SUM(P52:R52)-$R55,3)=0,"OK — "&amp;ROUND(SUM(P52:R52),3)&amp;" km","ERRO — dif. de "&amp;ROUND(SUM(P52:R52)-$R55,3)&amp;" km"))</f>
        <v>OK — 37,422 km</v>
      </c>
      <c r="Q54" s="32"/>
      <c r="R54" s="30"/>
      <c r="S54" s="45" t="str">
        <f>IF(SUM(S52:U52)=0,"— não preenchido",IF(ROUND(SUM(S52:U52)-$R55,3)=0,"OK — "&amp;ROUND(SUM(S52:U52),3)&amp;" km","ERRO — dif. de "&amp;ROUND(SUM(S52:U52)-$R55,3)&amp;" km"))</f>
        <v>OK — 37,422 km</v>
      </c>
      <c r="T54" s="32"/>
      <c r="U54" s="30"/>
    </row>
    <row r="55" spans="1:22" x14ac:dyDescent="0.25">
      <c r="A55" s="35" t="s">
        <v>67</v>
      </c>
      <c r="B55" s="28"/>
      <c r="C55" s="28"/>
      <c r="D55" s="28"/>
      <c r="E55" s="28"/>
      <c r="R55" s="26">
        <f>SUM(E9:E46)</f>
        <v>37.422325510199997</v>
      </c>
      <c r="V55" s="8" t="str">
        <f>COUNTIF(W9:W46,"OK")&amp;" de "&amp;COUNT($E$9:$E$46)&amp;" linhas conferidas"</f>
        <v>38 de 38 linhas conferidas</v>
      </c>
    </row>
    <row r="57" spans="1:22" x14ac:dyDescent="0.25">
      <c r="A57" s="44" t="s">
        <v>68</v>
      </c>
      <c r="B57" s="28"/>
      <c r="C57" s="28"/>
      <c r="D57" s="28"/>
      <c r="E57" s="28"/>
    </row>
    <row r="58" spans="1:22" x14ac:dyDescent="0.25">
      <c r="A58" s="35" t="s">
        <v>69</v>
      </c>
      <c r="B58" s="28"/>
      <c r="C58" s="28"/>
      <c r="D58" s="28"/>
      <c r="E58" s="34" t="s">
        <v>70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5" t="s">
        <v>71</v>
      </c>
      <c r="B59" s="28"/>
      <c r="C59" s="28"/>
      <c r="D59" s="28"/>
      <c r="E59" s="34" t="s">
        <v>72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5" t="s">
        <v>73</v>
      </c>
      <c r="B60" s="28"/>
      <c r="C60" s="28"/>
      <c r="D60" s="28"/>
      <c r="E60" s="34" t="s">
        <v>74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75</v>
      </c>
      <c r="B61" s="28"/>
      <c r="C61" s="28"/>
      <c r="D61" s="28"/>
      <c r="E61" s="34" t="s">
        <v>76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77</v>
      </c>
      <c r="B62" s="28"/>
      <c r="C62" s="28"/>
      <c r="D62" s="28"/>
      <c r="E62" s="34" t="s">
        <v>78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50</v>
      </c>
      <c r="B63" s="28"/>
      <c r="C63" s="28"/>
      <c r="D63" s="28"/>
      <c r="E63" s="34" t="s">
        <v>79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80</v>
      </c>
      <c r="B64" s="28"/>
      <c r="C64" s="28"/>
      <c r="D64" s="28"/>
      <c r="E64" s="34" t="s">
        <v>81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82</v>
      </c>
      <c r="B65" s="28"/>
      <c r="C65" s="28"/>
      <c r="D65" s="28"/>
      <c r="E65" s="34" t="s">
        <v>83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11</v>
      </c>
      <c r="B66" s="28"/>
      <c r="C66" s="28"/>
      <c r="D66" s="28"/>
      <c r="E66" s="34" t="s">
        <v>84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</sheetData>
  <sheetProtection sheet="1" formatCells="0"/>
  <mergeCells count="57">
    <mergeCell ref="A1:V1"/>
    <mergeCell ref="P54:R54"/>
    <mergeCell ref="T3:V3"/>
    <mergeCell ref="A65:D65"/>
    <mergeCell ref="E66:V66"/>
    <mergeCell ref="A66:D66"/>
    <mergeCell ref="E58:V58"/>
    <mergeCell ref="A53:E53"/>
    <mergeCell ref="A52:E52"/>
    <mergeCell ref="E62:V62"/>
    <mergeCell ref="R2:V2"/>
    <mergeCell ref="A3:S3"/>
    <mergeCell ref="C6:C7"/>
    <mergeCell ref="K6:L6"/>
    <mergeCell ref="D6:D7"/>
    <mergeCell ref="P6:R6"/>
    <mergeCell ref="W6:W7"/>
    <mergeCell ref="E6:E7"/>
    <mergeCell ref="B6:B7"/>
    <mergeCell ref="A60:D60"/>
    <mergeCell ref="E61:V61"/>
    <mergeCell ref="G49:K49"/>
    <mergeCell ref="A55:E55"/>
    <mergeCell ref="S54:U54"/>
    <mergeCell ref="A57:E57"/>
    <mergeCell ref="A61:D61"/>
    <mergeCell ref="A2:F2"/>
    <mergeCell ref="S6:U6"/>
    <mergeCell ref="K2:M2"/>
    <mergeCell ref="A58:D58"/>
    <mergeCell ref="A54:E54"/>
    <mergeCell ref="N2:O2"/>
    <mergeCell ref="P2:Q2"/>
    <mergeCell ref="V6:V7"/>
    <mergeCell ref="A4:V4"/>
    <mergeCell ref="A6:A7"/>
    <mergeCell ref="G48:K48"/>
    <mergeCell ref="E65:V65"/>
    <mergeCell ref="E59:V59"/>
    <mergeCell ref="A64:D64"/>
    <mergeCell ref="A59:D59"/>
    <mergeCell ref="E64:V64"/>
    <mergeCell ref="A48:E48"/>
    <mergeCell ref="M54:O54"/>
    <mergeCell ref="G2:H2"/>
    <mergeCell ref="I2:J2"/>
    <mergeCell ref="F54:J54"/>
    <mergeCell ref="A62:D62"/>
    <mergeCell ref="A8:V8"/>
    <mergeCell ref="A49:E49"/>
    <mergeCell ref="A51:E51"/>
    <mergeCell ref="E63:V63"/>
    <mergeCell ref="F6:J6"/>
    <mergeCell ref="A63:D63"/>
    <mergeCell ref="E60:V60"/>
    <mergeCell ref="M6:O6"/>
    <mergeCell ref="K54:L54"/>
  </mergeCells>
  <conditionalFormatting sqref="F9:J46">
    <cfRule type="expression" dxfId="35" priority="1">
      <formula>AND(F9&lt;&gt;"",COUNTIF($F9:$J9,"X")&gt;1)</formula>
    </cfRule>
  </conditionalFormatting>
  <conditionalFormatting sqref="F54:U54">
    <cfRule type="expression" dxfId="34" priority="8">
      <formula>LEFT(F54,4)="ERRO"</formula>
    </cfRule>
    <cfRule type="expression" dxfId="33" priority="9">
      <formula>LEFT(F54,2)="OK"</formula>
    </cfRule>
  </conditionalFormatting>
  <conditionalFormatting sqref="K9:L46">
    <cfRule type="expression" dxfId="32" priority="2">
      <formula>AND(K9&lt;&gt;"",COUNTIF($K9:$L9,"X")&gt;1)</formula>
    </cfRule>
  </conditionalFormatting>
  <conditionalFormatting sqref="M9:O46">
    <cfRule type="expression" dxfId="31" priority="3">
      <formula>AND(M9&lt;&gt;"",COUNTIF($M9:$O9,"X")&gt;1)</formula>
    </cfRule>
  </conditionalFormatting>
  <conditionalFormatting sqref="P9:R46">
    <cfRule type="expression" dxfId="30" priority="4">
      <formula>AND(P9&lt;&gt;"",COUNTIF($P9:$R9,"X")&gt;1)</formula>
    </cfRule>
  </conditionalFormatting>
  <conditionalFormatting sqref="S9:U46">
    <cfRule type="expression" dxfId="29" priority="5">
      <formula>AND(S9&lt;&gt;"",COUNTIF($S9:$U9,"X")&gt;1)</formula>
    </cfRule>
  </conditionalFormatting>
  <conditionalFormatting sqref="W9:W46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6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6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6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6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6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46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234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6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IF(F51=0,NA(),F51)</f>
        <v>3</v>
      </c>
      <c r="Z2" s="2">
        <f t="shared" si="0"/>
        <v>5.3221506387400002</v>
      </c>
      <c r="AA2" s="2">
        <f t="shared" si="0"/>
        <v>0.64415038338800001</v>
      </c>
      <c r="AB2" s="2">
        <f t="shared" si="0"/>
        <v>2</v>
      </c>
      <c r="AC2" s="2" t="e">
        <f t="shared" si="0"/>
        <v>#N/A</v>
      </c>
      <c r="AD2" s="2">
        <f t="shared" si="0"/>
        <v>10.966301022128</v>
      </c>
      <c r="AE2" s="2" t="e">
        <f t="shared" si="0"/>
        <v>#N/A</v>
      </c>
      <c r="AF2" s="2" t="e">
        <f t="shared" si="0"/>
        <v>#N/A</v>
      </c>
      <c r="AG2" s="2">
        <f t="shared" si="0"/>
        <v>10.966301022128</v>
      </c>
      <c r="AH2" s="2" t="e">
        <f t="shared" si="0"/>
        <v>#N/A</v>
      </c>
      <c r="AI2" s="2">
        <f t="shared" si="0"/>
        <v>10.966301022128</v>
      </c>
      <c r="AJ2" s="2" t="e">
        <f t="shared" si="0"/>
        <v>#N/A</v>
      </c>
      <c r="AK2" s="2" t="e">
        <f t="shared" si="0"/>
        <v>#N/A</v>
      </c>
      <c r="AL2" s="2">
        <f t="shared" si="0"/>
        <v>10.966301022128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8" t="s">
        <v>147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148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149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150</v>
      </c>
      <c r="B9" s="19" t="s">
        <v>58</v>
      </c>
      <c r="C9" s="20">
        <v>0</v>
      </c>
      <c r="D9" s="20">
        <v>0.64415038338800001</v>
      </c>
      <c r="E9" s="20">
        <f>D9-C9</f>
        <v>0.64415038338800001</v>
      </c>
      <c r="F9" s="21"/>
      <c r="G9" s="21"/>
      <c r="H9" s="21" t="s">
        <v>59</v>
      </c>
      <c r="I9" s="21"/>
      <c r="J9" s="21"/>
      <c r="K9" s="21" t="s">
        <v>59</v>
      </c>
      <c r="L9" s="21"/>
      <c r="M9" s="21"/>
      <c r="N9" s="21" t="s">
        <v>59</v>
      </c>
      <c r="O9" s="21"/>
      <c r="P9" s="21" t="s">
        <v>59</v>
      </c>
      <c r="Q9" s="21"/>
      <c r="R9" s="21"/>
      <c r="S9" s="21" t="s">
        <v>59</v>
      </c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9" t="s">
        <v>151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2" t="s">
        <v>152</v>
      </c>
      <c r="B11" s="13" t="s">
        <v>58</v>
      </c>
      <c r="C11" s="14">
        <v>0</v>
      </c>
      <c r="D11" s="14">
        <v>1</v>
      </c>
      <c r="E11" s="14">
        <f>D11-C11</f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 t="s">
        <v>59</v>
      </c>
      <c r="Q11" s="15"/>
      <c r="R11" s="15"/>
      <c r="S11" s="15" t="s">
        <v>59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152</v>
      </c>
      <c r="B12" s="19" t="s">
        <v>58</v>
      </c>
      <c r="C12" s="20">
        <v>1</v>
      </c>
      <c r="D12" s="20">
        <v>1.3221506387399999</v>
      </c>
      <c r="E12" s="20">
        <f>D12-C12</f>
        <v>0.32215063873999994</v>
      </c>
      <c r="F12" s="21"/>
      <c r="G12" s="21" t="s">
        <v>59</v>
      </c>
      <c r="H12" s="21"/>
      <c r="I12" s="21"/>
      <c r="J12" s="21"/>
      <c r="K12" s="21" t="s">
        <v>59</v>
      </c>
      <c r="L12" s="21"/>
      <c r="M12" s="21"/>
      <c r="N12" s="21" t="s">
        <v>59</v>
      </c>
      <c r="O12" s="21"/>
      <c r="P12" s="21" t="s">
        <v>59</v>
      </c>
      <c r="Q12" s="21"/>
      <c r="R12" s="21"/>
      <c r="S12" s="21" t="s">
        <v>59</v>
      </c>
      <c r="T12" s="21"/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153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154</v>
      </c>
      <c r="B14" s="13" t="s">
        <v>58</v>
      </c>
      <c r="C14" s="14">
        <v>0</v>
      </c>
      <c r="D14" s="14">
        <v>1</v>
      </c>
      <c r="E14" s="14">
        <f t="shared" ref="E14:E30" si="1">D14-C14</f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 t="s">
        <v>59</v>
      </c>
      <c r="Q14" s="15"/>
      <c r="R14" s="15"/>
      <c r="S14" s="15" t="s">
        <v>59</v>
      </c>
      <c r="T14" s="15"/>
      <c r="U14" s="15"/>
      <c r="V14" s="16"/>
      <c r="W14" s="17" t="str">
        <f t="shared" ref="W14:W30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154</v>
      </c>
      <c r="B15" s="13" t="s">
        <v>58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 t="s">
        <v>59</v>
      </c>
      <c r="J15" s="15"/>
      <c r="K15" s="15" t="s">
        <v>59</v>
      </c>
      <c r="L15" s="15"/>
      <c r="M15" s="15"/>
      <c r="N15" s="15" t="s">
        <v>59</v>
      </c>
      <c r="O15" s="15"/>
      <c r="P15" s="15" t="s">
        <v>59</v>
      </c>
      <c r="Q15" s="15"/>
      <c r="R15" s="15"/>
      <c r="S15" s="15" t="s">
        <v>59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154</v>
      </c>
      <c r="B16" s="13" t="s">
        <v>58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 t="s">
        <v>59</v>
      </c>
      <c r="J16" s="15"/>
      <c r="K16" s="15" t="s">
        <v>59</v>
      </c>
      <c r="L16" s="15"/>
      <c r="M16" s="15"/>
      <c r="N16" s="15" t="s">
        <v>59</v>
      </c>
      <c r="O16" s="15"/>
      <c r="P16" s="15" t="s">
        <v>59</v>
      </c>
      <c r="Q16" s="15"/>
      <c r="R16" s="15"/>
      <c r="S16" s="15" t="s">
        <v>59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154</v>
      </c>
      <c r="B17" s="13" t="s">
        <v>58</v>
      </c>
      <c r="C17" s="14">
        <v>3</v>
      </c>
      <c r="D17" s="14">
        <v>4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 t="s">
        <v>59</v>
      </c>
      <c r="Q17" s="15"/>
      <c r="R17" s="15"/>
      <c r="S17" s="15" t="s">
        <v>59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154</v>
      </c>
      <c r="B18" s="13" t="s">
        <v>58</v>
      </c>
      <c r="C18" s="14">
        <v>4</v>
      </c>
      <c r="D18" s="14">
        <v>5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 t="s">
        <v>59</v>
      </c>
      <c r="Q18" s="15"/>
      <c r="R18" s="15"/>
      <c r="S18" s="15" t="s">
        <v>59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154</v>
      </c>
      <c r="B19" s="13" t="s">
        <v>58</v>
      </c>
      <c r="C19" s="14">
        <v>5</v>
      </c>
      <c r="D19" s="14">
        <v>6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 t="s">
        <v>59</v>
      </c>
      <c r="Q19" s="15"/>
      <c r="R19" s="15"/>
      <c r="S19" s="15" t="s">
        <v>59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154</v>
      </c>
      <c r="B20" s="13" t="s">
        <v>58</v>
      </c>
      <c r="C20" s="14">
        <v>6</v>
      </c>
      <c r="D20" s="14">
        <v>7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 t="s">
        <v>59</v>
      </c>
      <c r="Q20" s="15"/>
      <c r="R20" s="15"/>
      <c r="S20" s="15" t="s">
        <v>59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154</v>
      </c>
      <c r="B21" s="13" t="s">
        <v>58</v>
      </c>
      <c r="C21" s="14">
        <v>7</v>
      </c>
      <c r="D21" s="14">
        <v>8</v>
      </c>
      <c r="E21" s="14">
        <f t="shared" si="1"/>
        <v>1</v>
      </c>
      <c r="F21" s="15" t="s">
        <v>59</v>
      </c>
      <c r="G21" s="15"/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 t="s">
        <v>59</v>
      </c>
      <c r="Q21" s="15"/>
      <c r="R21" s="15"/>
      <c r="S21" s="15" t="s">
        <v>59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154</v>
      </c>
      <c r="B22" s="13" t="s">
        <v>58</v>
      </c>
      <c r="C22" s="14">
        <v>8</v>
      </c>
      <c r="D22" s="14">
        <v>9</v>
      </c>
      <c r="E22" s="14">
        <f t="shared" si="1"/>
        <v>1</v>
      </c>
      <c r="F22" s="15" t="s">
        <v>59</v>
      </c>
      <c r="G22" s="15"/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 t="s">
        <v>59</v>
      </c>
      <c r="Q22" s="15"/>
      <c r="R22" s="15"/>
      <c r="S22" s="15" t="s">
        <v>59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154</v>
      </c>
      <c r="B23" s="13" t="s">
        <v>58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6"/>
      <c r="W23" s="17" t="str">
        <f t="shared" si="2"/>
        <v>— não preenchido</v>
      </c>
    </row>
    <row r="24" spans="1:23" ht="20.100000000000001" customHeight="1" x14ac:dyDescent="0.25">
      <c r="A24" s="12" t="s">
        <v>154</v>
      </c>
      <c r="B24" s="13" t="s">
        <v>58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  <c r="W24" s="17" t="str">
        <f t="shared" si="2"/>
        <v>— não preenchido</v>
      </c>
    </row>
    <row r="25" spans="1:23" ht="20.100000000000001" customHeight="1" x14ac:dyDescent="0.25">
      <c r="A25" s="12" t="s">
        <v>154</v>
      </c>
      <c r="B25" s="13" t="s">
        <v>58</v>
      </c>
      <c r="C25" s="14">
        <v>11</v>
      </c>
      <c r="D25" s="14">
        <v>12</v>
      </c>
      <c r="E25" s="14">
        <f t="shared" si="1"/>
        <v>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6"/>
      <c r="W25" s="17" t="str">
        <f t="shared" si="2"/>
        <v>— não preenchido</v>
      </c>
    </row>
    <row r="26" spans="1:23" ht="20.100000000000001" customHeight="1" x14ac:dyDescent="0.25">
      <c r="A26" s="12" t="s">
        <v>154</v>
      </c>
      <c r="B26" s="13" t="s">
        <v>58</v>
      </c>
      <c r="C26" s="14">
        <v>12</v>
      </c>
      <c r="D26" s="14">
        <v>13</v>
      </c>
      <c r="E26" s="14">
        <f t="shared" si="1"/>
        <v>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6"/>
      <c r="W26" s="17" t="str">
        <f t="shared" si="2"/>
        <v>— não preenchido</v>
      </c>
    </row>
    <row r="27" spans="1:23" ht="20.100000000000001" customHeight="1" x14ac:dyDescent="0.25">
      <c r="A27" s="12" t="s">
        <v>154</v>
      </c>
      <c r="B27" s="13" t="s">
        <v>58</v>
      </c>
      <c r="C27" s="14">
        <v>13</v>
      </c>
      <c r="D27" s="14">
        <v>14</v>
      </c>
      <c r="E27" s="14">
        <f t="shared" si="1"/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6"/>
      <c r="W27" s="17" t="str">
        <f t="shared" si="2"/>
        <v>— não preenchido</v>
      </c>
    </row>
    <row r="28" spans="1:23" ht="20.100000000000001" customHeight="1" x14ac:dyDescent="0.25">
      <c r="A28" s="12" t="s">
        <v>154</v>
      </c>
      <c r="B28" s="13" t="s">
        <v>58</v>
      </c>
      <c r="C28" s="14">
        <v>14</v>
      </c>
      <c r="D28" s="14">
        <v>15</v>
      </c>
      <c r="E28" s="14">
        <f t="shared" si="1"/>
        <v>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6"/>
      <c r="W28" s="17" t="str">
        <f t="shared" si="2"/>
        <v>— não preenchido</v>
      </c>
    </row>
    <row r="29" spans="1:23" ht="20.100000000000001" customHeight="1" x14ac:dyDescent="0.25">
      <c r="A29" s="12" t="s">
        <v>154</v>
      </c>
      <c r="B29" s="13" t="s">
        <v>58</v>
      </c>
      <c r="C29" s="14">
        <v>15</v>
      </c>
      <c r="D29" s="14">
        <v>16</v>
      </c>
      <c r="E29" s="14">
        <f t="shared" si="1"/>
        <v>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6"/>
      <c r="W29" s="17" t="str">
        <f t="shared" si="2"/>
        <v>— não preenchido</v>
      </c>
    </row>
    <row r="30" spans="1:23" ht="20.100000000000001" customHeight="1" x14ac:dyDescent="0.25">
      <c r="A30" s="18" t="s">
        <v>154</v>
      </c>
      <c r="B30" s="19" t="s">
        <v>58</v>
      </c>
      <c r="C30" s="20">
        <v>16</v>
      </c>
      <c r="D30" s="20">
        <v>16.889369018</v>
      </c>
      <c r="E30" s="20">
        <f t="shared" si="1"/>
        <v>0.88936901800000001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/>
      <c r="W30" s="23" t="str">
        <f t="shared" si="2"/>
        <v>— não preenchido</v>
      </c>
    </row>
    <row r="31" spans="1:23" ht="15.95" customHeight="1" x14ac:dyDescent="0.25">
      <c r="A31" s="39" t="s">
        <v>155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0"/>
      <c r="W31" s="4"/>
    </row>
    <row r="32" spans="1:23" ht="20.100000000000001" customHeight="1" x14ac:dyDescent="0.25">
      <c r="A32" s="12" t="s">
        <v>156</v>
      </c>
      <c r="B32" s="13" t="s">
        <v>58</v>
      </c>
      <c r="C32" s="14">
        <v>0</v>
      </c>
      <c r="D32" s="14">
        <v>1</v>
      </c>
      <c r="E32" s="14">
        <f t="shared" ref="E32:E37" si="3">D32-C32</f>
        <v>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6"/>
      <c r="W32" s="17" t="str">
        <f t="shared" ref="W32:W37" si="4"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— não preenchido</v>
      </c>
    </row>
    <row r="33" spans="1:23" ht="20.100000000000001" customHeight="1" x14ac:dyDescent="0.25">
      <c r="A33" s="12" t="s">
        <v>156</v>
      </c>
      <c r="B33" s="13" t="s">
        <v>58</v>
      </c>
      <c r="C33" s="14">
        <v>1</v>
      </c>
      <c r="D33" s="14">
        <v>2</v>
      </c>
      <c r="E33" s="14">
        <f t="shared" si="3"/>
        <v>1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6"/>
      <c r="W33" s="17" t="str">
        <f t="shared" si="4"/>
        <v>— não preenchido</v>
      </c>
    </row>
    <row r="34" spans="1:23" ht="20.100000000000001" customHeight="1" x14ac:dyDescent="0.25">
      <c r="A34" s="12" t="s">
        <v>156</v>
      </c>
      <c r="B34" s="13" t="s">
        <v>58</v>
      </c>
      <c r="C34" s="14">
        <v>2</v>
      </c>
      <c r="D34" s="14">
        <v>3</v>
      </c>
      <c r="E34" s="14">
        <f t="shared" si="3"/>
        <v>1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6"/>
      <c r="W34" s="17" t="str">
        <f t="shared" si="4"/>
        <v>— não preenchido</v>
      </c>
    </row>
    <row r="35" spans="1:23" ht="20.100000000000001" customHeight="1" x14ac:dyDescent="0.25">
      <c r="A35" s="12" t="s">
        <v>156</v>
      </c>
      <c r="B35" s="13" t="s">
        <v>58</v>
      </c>
      <c r="C35" s="14">
        <v>3</v>
      </c>
      <c r="D35" s="14">
        <v>4</v>
      </c>
      <c r="E35" s="14">
        <f t="shared" si="3"/>
        <v>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6"/>
      <c r="W35" s="17" t="str">
        <f t="shared" si="4"/>
        <v>— não preenchido</v>
      </c>
    </row>
    <row r="36" spans="1:23" ht="20.100000000000001" customHeight="1" x14ac:dyDescent="0.25">
      <c r="A36" s="12" t="s">
        <v>156</v>
      </c>
      <c r="B36" s="13" t="s">
        <v>58</v>
      </c>
      <c r="C36" s="14">
        <v>4</v>
      </c>
      <c r="D36" s="14">
        <v>5</v>
      </c>
      <c r="E36" s="14">
        <f t="shared" si="3"/>
        <v>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6"/>
      <c r="W36" s="17" t="str">
        <f t="shared" si="4"/>
        <v>— não preenchido</v>
      </c>
    </row>
    <row r="37" spans="1:23" ht="20.100000000000001" customHeight="1" x14ac:dyDescent="0.25">
      <c r="A37" s="18" t="s">
        <v>156</v>
      </c>
      <c r="B37" s="19" t="s">
        <v>58</v>
      </c>
      <c r="C37" s="20">
        <v>5</v>
      </c>
      <c r="D37" s="20">
        <v>5.0201753927799997</v>
      </c>
      <c r="E37" s="20">
        <f t="shared" si="3"/>
        <v>2.017539277999969E-2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2"/>
      <c r="W37" s="23" t="str">
        <f t="shared" si="4"/>
        <v>— não preenchido</v>
      </c>
    </row>
    <row r="38" spans="1:23" ht="15.95" customHeight="1" x14ac:dyDescent="0.25">
      <c r="A38" s="39" t="s">
        <v>157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0"/>
      <c r="W38" s="4"/>
    </row>
    <row r="39" spans="1:23" ht="20.100000000000001" customHeight="1" x14ac:dyDescent="0.25">
      <c r="A39" s="12" t="s">
        <v>158</v>
      </c>
      <c r="B39" s="13" t="s">
        <v>58</v>
      </c>
      <c r="C39" s="14">
        <v>0</v>
      </c>
      <c r="D39" s="14">
        <v>1</v>
      </c>
      <c r="E39" s="14">
        <f t="shared" ref="E39:E45" si="5">D39-C39</f>
        <v>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"/>
      <c r="W39" s="17" t="str">
        <f t="shared" ref="W39:W45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— não preenchido</v>
      </c>
    </row>
    <row r="40" spans="1:23" ht="20.100000000000001" customHeight="1" x14ac:dyDescent="0.25">
      <c r="A40" s="12" t="s">
        <v>158</v>
      </c>
      <c r="B40" s="13" t="s">
        <v>58</v>
      </c>
      <c r="C40" s="14">
        <v>1</v>
      </c>
      <c r="D40" s="14">
        <v>2</v>
      </c>
      <c r="E40" s="14">
        <f t="shared" si="5"/>
        <v>1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/>
      <c r="W40" s="17" t="str">
        <f t="shared" si="6"/>
        <v>— não preenchido</v>
      </c>
    </row>
    <row r="41" spans="1:23" ht="20.100000000000001" customHeight="1" x14ac:dyDescent="0.25">
      <c r="A41" s="12" t="s">
        <v>158</v>
      </c>
      <c r="B41" s="13" t="s">
        <v>58</v>
      </c>
      <c r="C41" s="14">
        <v>2</v>
      </c>
      <c r="D41" s="14">
        <v>3</v>
      </c>
      <c r="E41" s="14">
        <f t="shared" si="5"/>
        <v>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6"/>
      <c r="W41" s="17" t="str">
        <f t="shared" si="6"/>
        <v>— não preenchido</v>
      </c>
    </row>
    <row r="42" spans="1:23" ht="20.100000000000001" customHeight="1" x14ac:dyDescent="0.25">
      <c r="A42" s="12" t="s">
        <v>158</v>
      </c>
      <c r="B42" s="13" t="s">
        <v>58</v>
      </c>
      <c r="C42" s="14">
        <v>3</v>
      </c>
      <c r="D42" s="14">
        <v>4</v>
      </c>
      <c r="E42" s="14">
        <f t="shared" si="5"/>
        <v>1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7" t="str">
        <f t="shared" si="6"/>
        <v>— não preenchido</v>
      </c>
    </row>
    <row r="43" spans="1:23" ht="20.100000000000001" customHeight="1" x14ac:dyDescent="0.25">
      <c r="A43" s="12" t="s">
        <v>158</v>
      </c>
      <c r="B43" s="13" t="s">
        <v>58</v>
      </c>
      <c r="C43" s="14">
        <v>4</v>
      </c>
      <c r="D43" s="14">
        <v>5</v>
      </c>
      <c r="E43" s="14">
        <f t="shared" si="5"/>
        <v>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6"/>
      <c r="W43" s="17" t="str">
        <f t="shared" si="6"/>
        <v>— não preenchido</v>
      </c>
    </row>
    <row r="44" spans="1:23" ht="20.100000000000001" customHeight="1" x14ac:dyDescent="0.25">
      <c r="A44" s="12" t="s">
        <v>158</v>
      </c>
      <c r="B44" s="13" t="s">
        <v>58</v>
      </c>
      <c r="C44" s="14">
        <v>5</v>
      </c>
      <c r="D44" s="14">
        <v>6</v>
      </c>
      <c r="E44" s="14">
        <f t="shared" si="5"/>
        <v>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6"/>
      <c r="W44" s="17" t="str">
        <f t="shared" si="6"/>
        <v>— não preenchido</v>
      </c>
    </row>
    <row r="45" spans="1:23" ht="20.100000000000001" customHeight="1" x14ac:dyDescent="0.25">
      <c r="A45" s="18" t="s">
        <v>158</v>
      </c>
      <c r="B45" s="19" t="s">
        <v>58</v>
      </c>
      <c r="C45" s="20">
        <v>6</v>
      </c>
      <c r="D45" s="20">
        <v>6.2417577269300004</v>
      </c>
      <c r="E45" s="20">
        <f t="shared" si="5"/>
        <v>0.24175772693000042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2"/>
      <c r="W45" s="23" t="str">
        <f t="shared" si="6"/>
        <v>— não preenchido</v>
      </c>
    </row>
    <row r="47" spans="1:23" x14ac:dyDescent="0.25">
      <c r="A47" s="43" t="s">
        <v>60</v>
      </c>
      <c r="B47" s="28"/>
      <c r="C47" s="28"/>
      <c r="D47" s="28"/>
      <c r="E47" s="28"/>
      <c r="G47" s="43" t="s">
        <v>60</v>
      </c>
      <c r="H47" s="28"/>
      <c r="I47" s="28"/>
      <c r="J47" s="28"/>
      <c r="K47" s="28"/>
    </row>
    <row r="48" spans="1:23" x14ac:dyDescent="0.25">
      <c r="A48" s="41" t="s">
        <v>61</v>
      </c>
      <c r="B48" s="28"/>
      <c r="C48" s="28"/>
      <c r="D48" s="28"/>
      <c r="E48" s="28"/>
      <c r="G48" s="41" t="s">
        <v>62</v>
      </c>
      <c r="H48" s="28"/>
      <c r="I48" s="28"/>
      <c r="J48" s="28"/>
      <c r="K48" s="28"/>
    </row>
    <row r="50" spans="1:22" x14ac:dyDescent="0.25">
      <c r="A50" s="49" t="s">
        <v>63</v>
      </c>
      <c r="B50" s="28"/>
      <c r="C50" s="28"/>
      <c r="D50" s="28"/>
      <c r="E50" s="28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 x14ac:dyDescent="0.25">
      <c r="A51" s="35" t="s">
        <v>64</v>
      </c>
      <c r="B51" s="28"/>
      <c r="C51" s="28"/>
      <c r="D51" s="28"/>
      <c r="E51" s="28"/>
      <c r="F51" s="9">
        <f t="shared" ref="F51:U51" si="7">SUMIF(F$9:F$45,"X",$E$9:$E$45)</f>
        <v>3</v>
      </c>
      <c r="G51" s="9">
        <f t="shared" si="7"/>
        <v>5.3221506387400002</v>
      </c>
      <c r="H51" s="9">
        <f t="shared" si="7"/>
        <v>0.64415038338800001</v>
      </c>
      <c r="I51" s="9">
        <f t="shared" si="7"/>
        <v>2</v>
      </c>
      <c r="J51" s="9">
        <f t="shared" si="7"/>
        <v>0</v>
      </c>
      <c r="K51" s="9">
        <f t="shared" si="7"/>
        <v>10.966301022128</v>
      </c>
      <c r="L51" s="9">
        <f t="shared" si="7"/>
        <v>0</v>
      </c>
      <c r="M51" s="9">
        <f t="shared" si="7"/>
        <v>0</v>
      </c>
      <c r="N51" s="9">
        <f t="shared" si="7"/>
        <v>10.966301022128</v>
      </c>
      <c r="O51" s="9">
        <f t="shared" si="7"/>
        <v>0</v>
      </c>
      <c r="P51" s="9">
        <f t="shared" si="7"/>
        <v>10.966301022128</v>
      </c>
      <c r="Q51" s="9">
        <f t="shared" si="7"/>
        <v>0</v>
      </c>
      <c r="R51" s="9">
        <f t="shared" si="7"/>
        <v>0</v>
      </c>
      <c r="S51" s="9">
        <f t="shared" si="7"/>
        <v>10.966301022128</v>
      </c>
      <c r="T51" s="9">
        <f t="shared" si="7"/>
        <v>0</v>
      </c>
      <c r="U51" s="9">
        <f t="shared" si="7"/>
        <v>0</v>
      </c>
    </row>
    <row r="52" spans="1:22" x14ac:dyDescent="0.25">
      <c r="A52" s="35" t="s">
        <v>65</v>
      </c>
      <c r="B52" s="28"/>
      <c r="C52" s="28"/>
      <c r="D52" s="28"/>
      <c r="E52" s="28"/>
      <c r="F52" s="25">
        <f t="shared" ref="F52:U52" si="8">IF($R54=0,0,F51/$R54)</f>
        <v>9.960952018919346E-2</v>
      </c>
      <c r="G52" s="25">
        <f t="shared" si="8"/>
        <v>0.17671229049983364</v>
      </c>
      <c r="H52" s="25">
        <f t="shared" si="8"/>
        <v>2.1387836872987898E-2</v>
      </c>
      <c r="I52" s="25">
        <f t="shared" si="8"/>
        <v>6.640634679279564E-2</v>
      </c>
      <c r="J52" s="25">
        <f t="shared" si="8"/>
        <v>0</v>
      </c>
      <c r="K52" s="25">
        <f t="shared" si="8"/>
        <v>0.36411599435481062</v>
      </c>
      <c r="L52" s="25">
        <f t="shared" si="8"/>
        <v>0</v>
      </c>
      <c r="M52" s="25">
        <f t="shared" si="8"/>
        <v>0</v>
      </c>
      <c r="N52" s="25">
        <f t="shared" si="8"/>
        <v>0.36411599435481062</v>
      </c>
      <c r="O52" s="25">
        <f t="shared" si="8"/>
        <v>0</v>
      </c>
      <c r="P52" s="25">
        <f t="shared" si="8"/>
        <v>0.36411599435481062</v>
      </c>
      <c r="Q52" s="25">
        <f t="shared" si="8"/>
        <v>0</v>
      </c>
      <c r="R52" s="25">
        <f t="shared" si="8"/>
        <v>0</v>
      </c>
      <c r="S52" s="25">
        <f t="shared" si="8"/>
        <v>0.36411599435481062</v>
      </c>
      <c r="T52" s="25">
        <f t="shared" si="8"/>
        <v>0</v>
      </c>
      <c r="U52" s="25">
        <f t="shared" si="8"/>
        <v>0</v>
      </c>
    </row>
    <row r="53" spans="1:22" x14ac:dyDescent="0.25">
      <c r="A53" s="35" t="s">
        <v>66</v>
      </c>
      <c r="B53" s="28"/>
      <c r="C53" s="28"/>
      <c r="D53" s="28"/>
      <c r="E53" s="28"/>
      <c r="F53" s="45" t="str">
        <f>IF(SUM(F51:J51)=0,"— não preenchido",IF(ROUND(SUM(F51:J51)-$R54,3)=0,"OK — "&amp;ROUND(SUM(F51:J51),3)&amp;" km","ERRO — dif. de "&amp;ROUND(SUM(F51:J51)-$R54,3)&amp;" km"))</f>
        <v>ERRO — dif. de -19,151 km</v>
      </c>
      <c r="G53" s="32"/>
      <c r="H53" s="32"/>
      <c r="I53" s="32"/>
      <c r="J53" s="30"/>
      <c r="K53" s="45" t="str">
        <f>IF(SUM(K51:L51)=0,"— não preenchido",IF(ROUND(SUM(K51:L51)-$R54,3)=0,"OK — "&amp;ROUND(SUM(K51:L51),3)&amp;" km","ERRO — dif. de "&amp;ROUND(SUM(K51:L51)-$R54,3)&amp;" km"))</f>
        <v>ERRO — dif. de -19,151 km</v>
      </c>
      <c r="L53" s="30"/>
      <c r="M53" s="45" t="str">
        <f>IF(SUM(M51:O51)=0,"— não preenchido",IF(ROUND(SUM(M51:O51)-$R54,3)=0,"OK — "&amp;ROUND(SUM(M51:O51),3)&amp;" km","ERRO — dif. de "&amp;ROUND(SUM(M51:O51)-$R54,3)&amp;" km"))</f>
        <v>ERRO — dif. de -19,151 km</v>
      </c>
      <c r="N53" s="32"/>
      <c r="O53" s="30"/>
      <c r="P53" s="45" t="str">
        <f>IF(SUM(P51:R51)=0,"— não preenchido",IF(ROUND(SUM(P51:R51)-$R54,3)=0,"OK — "&amp;ROUND(SUM(P51:R51),3)&amp;" km","ERRO — dif. de "&amp;ROUND(SUM(P51:R51)-$R54,3)&amp;" km"))</f>
        <v>ERRO — dif. de -19,151 km</v>
      </c>
      <c r="Q53" s="32"/>
      <c r="R53" s="30"/>
      <c r="S53" s="45" t="str">
        <f>IF(SUM(S51:U51)=0,"— não preenchido",IF(ROUND(SUM(S51:U51)-$R54,3)=0,"OK — "&amp;ROUND(SUM(S51:U51),3)&amp;" km","ERRO — dif. de "&amp;ROUND(SUM(S51:U51)-$R54,3)&amp;" km"))</f>
        <v>ERRO — dif. de -19,151 km</v>
      </c>
      <c r="T53" s="32"/>
      <c r="U53" s="30"/>
    </row>
    <row r="54" spans="1:22" x14ac:dyDescent="0.25">
      <c r="A54" s="35" t="s">
        <v>67</v>
      </c>
      <c r="B54" s="28"/>
      <c r="C54" s="28"/>
      <c r="D54" s="28"/>
      <c r="E54" s="28"/>
      <c r="R54" s="26">
        <f>SUM(E9:E45)</f>
        <v>30.117603159838001</v>
      </c>
      <c r="V54" s="8" t="str">
        <f>COUNTIF(W9:W45,"OK")&amp;" de "&amp;COUNT($E$9:$E$45)&amp;" linhas conferidas"</f>
        <v>12 de 33 linhas conferidas</v>
      </c>
    </row>
    <row r="56" spans="1:22" x14ac:dyDescent="0.25">
      <c r="A56" s="44" t="s">
        <v>68</v>
      </c>
      <c r="B56" s="28"/>
      <c r="C56" s="28"/>
      <c r="D56" s="28"/>
      <c r="E56" s="28"/>
    </row>
    <row r="57" spans="1:22" x14ac:dyDescent="0.25">
      <c r="A57" s="35" t="s">
        <v>69</v>
      </c>
      <c r="B57" s="28"/>
      <c r="C57" s="28"/>
      <c r="D57" s="28"/>
      <c r="E57" s="34" t="s">
        <v>70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5" t="s">
        <v>71</v>
      </c>
      <c r="B58" s="28"/>
      <c r="C58" s="28"/>
      <c r="D58" s="28"/>
      <c r="E58" s="34" t="s">
        <v>72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5" t="s">
        <v>73</v>
      </c>
      <c r="B59" s="28"/>
      <c r="C59" s="28"/>
      <c r="D59" s="28"/>
      <c r="E59" s="34" t="s">
        <v>74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5" t="s">
        <v>75</v>
      </c>
      <c r="B60" s="28"/>
      <c r="C60" s="28"/>
      <c r="D60" s="28"/>
      <c r="E60" s="34" t="s">
        <v>76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77</v>
      </c>
      <c r="B61" s="28"/>
      <c r="C61" s="28"/>
      <c r="D61" s="28"/>
      <c r="E61" s="34" t="s">
        <v>78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50</v>
      </c>
      <c r="B62" s="28"/>
      <c r="C62" s="28"/>
      <c r="D62" s="28"/>
      <c r="E62" s="34" t="s">
        <v>79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80</v>
      </c>
      <c r="B63" s="28"/>
      <c r="C63" s="28"/>
      <c r="D63" s="28"/>
      <c r="E63" s="34" t="s">
        <v>81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82</v>
      </c>
      <c r="B64" s="28"/>
      <c r="C64" s="28"/>
      <c r="D64" s="28"/>
      <c r="E64" s="34" t="s">
        <v>83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11</v>
      </c>
      <c r="B65" s="28"/>
      <c r="C65" s="28"/>
      <c r="D65" s="28"/>
      <c r="E65" s="34" t="s">
        <v>84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</sheetData>
  <sheetProtection sheet="1" formatCells="0"/>
  <mergeCells count="61">
    <mergeCell ref="A1:V1"/>
    <mergeCell ref="M53:O53"/>
    <mergeCell ref="A47:E47"/>
    <mergeCell ref="T3:V3"/>
    <mergeCell ref="A65:D65"/>
    <mergeCell ref="E58:V58"/>
    <mergeCell ref="A53:E53"/>
    <mergeCell ref="K53:L53"/>
    <mergeCell ref="A52:E52"/>
    <mergeCell ref="G47:K47"/>
    <mergeCell ref="E62:V62"/>
    <mergeCell ref="R2:V2"/>
    <mergeCell ref="A3:S3"/>
    <mergeCell ref="A57:D57"/>
    <mergeCell ref="C6:C7"/>
    <mergeCell ref="K6:L6"/>
    <mergeCell ref="A60:D60"/>
    <mergeCell ref="A56:E56"/>
    <mergeCell ref="E61:V61"/>
    <mergeCell ref="E57:V57"/>
    <mergeCell ref="A50:E50"/>
    <mergeCell ref="A61:D61"/>
    <mergeCell ref="A59:D59"/>
    <mergeCell ref="P53:R53"/>
    <mergeCell ref="W6:W7"/>
    <mergeCell ref="E6:E7"/>
    <mergeCell ref="B6:B7"/>
    <mergeCell ref="D6:D7"/>
    <mergeCell ref="P6:R6"/>
    <mergeCell ref="E65:V65"/>
    <mergeCell ref="G48:K48"/>
    <mergeCell ref="A38:V38"/>
    <mergeCell ref="A2:F2"/>
    <mergeCell ref="S6:U6"/>
    <mergeCell ref="A10:V10"/>
    <mergeCell ref="K2:M2"/>
    <mergeCell ref="S53:U53"/>
    <mergeCell ref="A13:V13"/>
    <mergeCell ref="A54:E54"/>
    <mergeCell ref="A58:D58"/>
    <mergeCell ref="E59:V59"/>
    <mergeCell ref="N2:O2"/>
    <mergeCell ref="A31:V31"/>
    <mergeCell ref="P2:Q2"/>
    <mergeCell ref="A64:D64"/>
    <mergeCell ref="F53:J53"/>
    <mergeCell ref="E64:V64"/>
    <mergeCell ref="A48:E48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5">
    <cfRule type="expression" dxfId="26" priority="1">
      <formula>AND(F9&lt;&gt;"",COUNTIF($F9:$J9,"X")&gt;1)</formula>
    </cfRule>
  </conditionalFormatting>
  <conditionalFormatting sqref="F53:U53">
    <cfRule type="expression" dxfId="25" priority="8">
      <formula>LEFT(F53,4)="ERRO"</formula>
    </cfRule>
    <cfRule type="expression" dxfId="24" priority="9">
      <formula>LEFT(F53,2)="OK"</formula>
    </cfRule>
  </conditionalFormatting>
  <conditionalFormatting sqref="K9:L45">
    <cfRule type="expression" dxfId="23" priority="2">
      <formula>AND(K9&lt;&gt;"",COUNTIF($K9:$L9,"X")&gt;1)</formula>
    </cfRule>
  </conditionalFormatting>
  <conditionalFormatting sqref="M9:O45">
    <cfRule type="expression" dxfId="22" priority="3">
      <formula>AND(M9&lt;&gt;"",COUNTIF($M9:$O9,"X")&gt;1)</formula>
    </cfRule>
  </conditionalFormatting>
  <conditionalFormatting sqref="P9:R45">
    <cfRule type="expression" dxfId="21" priority="4">
      <formula>AND(P9&lt;&gt;"",COUNTIF($P9:$R9,"X")&gt;1)</formula>
    </cfRule>
  </conditionalFormatting>
  <conditionalFormatting sqref="S9:U45">
    <cfRule type="expression" dxfId="20" priority="5">
      <formula>AND(S9&lt;&gt;"",COUNTIF($S9:$U9,"X")&gt;1)</formula>
    </cfRule>
  </conditionalFormatting>
  <conditionalFormatting sqref="W9:W45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5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5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5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5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5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45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235</oddHeader>
    <oddFooter>&amp;L&amp;7 RTA / MSI — Programa de Manutenção Rodoviária&amp;C&amp;7 Página &amp;P de &amp;N&amp;R&amp;7 Impresso em &amp;D</oddFooter>
  </headerFooter>
  <rowBreaks count="1" manualBreakCount="1">
    <brk id="48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6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IF(F54=0,NA(),F54)</f>
        <v>25.025770520729999</v>
      </c>
      <c r="Z2" s="2">
        <f t="shared" si="0"/>
        <v>10.0347892375</v>
      </c>
      <c r="AA2" s="2" t="e">
        <f t="shared" si="0"/>
        <v>#N/A</v>
      </c>
      <c r="AB2" s="2">
        <f t="shared" si="0"/>
        <v>1</v>
      </c>
      <c r="AC2" s="2" t="e">
        <f t="shared" si="0"/>
        <v>#N/A</v>
      </c>
      <c r="AD2" s="2">
        <f t="shared" si="0"/>
        <v>36.060559758229999</v>
      </c>
      <c r="AE2" s="2" t="e">
        <f t="shared" si="0"/>
        <v>#N/A</v>
      </c>
      <c r="AF2" s="2">
        <f t="shared" si="0"/>
        <v>13</v>
      </c>
      <c r="AG2" s="2">
        <f t="shared" si="0"/>
        <v>23.060559758229999</v>
      </c>
      <c r="AH2" s="2" t="e">
        <f t="shared" si="0"/>
        <v>#N/A</v>
      </c>
      <c r="AI2" s="2" t="e">
        <f t="shared" si="0"/>
        <v>#N/A</v>
      </c>
      <c r="AJ2" s="2">
        <f t="shared" si="0"/>
        <v>36.060559758229999</v>
      </c>
      <c r="AK2" s="2" t="e">
        <f t="shared" si="0"/>
        <v>#N/A</v>
      </c>
      <c r="AL2" s="2">
        <f t="shared" si="0"/>
        <v>1</v>
      </c>
      <c r="AM2" s="2">
        <f t="shared" si="0"/>
        <v>35.060559758229999</v>
      </c>
      <c r="AN2" s="2" t="e">
        <f t="shared" si="0"/>
        <v>#N/A</v>
      </c>
    </row>
    <row r="3" spans="1:40" ht="15" customHeight="1" x14ac:dyDescent="0.25">
      <c r="A3" s="48" t="s">
        <v>159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160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161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162</v>
      </c>
      <c r="B9" s="13" t="s">
        <v>58</v>
      </c>
      <c r="C9" s="14">
        <v>0</v>
      </c>
      <c r="D9" s="14">
        <v>1</v>
      </c>
      <c r="E9" s="14">
        <f t="shared" ref="E9:E41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4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162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162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 t="s">
        <v>59</v>
      </c>
      <c r="G11" s="15"/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162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 t="s">
        <v>59</v>
      </c>
      <c r="G12" s="15"/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162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 t="s">
        <v>59</v>
      </c>
      <c r="G13" s="15"/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162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 t="s">
        <v>59</v>
      </c>
      <c r="G14" s="15"/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162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 t="s">
        <v>59</v>
      </c>
      <c r="G15" s="15"/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162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 t="s">
        <v>59</v>
      </c>
      <c r="G16" s="15"/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162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 t="s">
        <v>59</v>
      </c>
      <c r="G17" s="15"/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162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162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162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162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162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162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 t="s">
        <v>59</v>
      </c>
      <c r="H23" s="15"/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162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 t="s">
        <v>59</v>
      </c>
      <c r="G24" s="15"/>
      <c r="H24" s="15"/>
      <c r="I24" s="15"/>
      <c r="J24" s="15"/>
      <c r="K24" s="15" t="s">
        <v>59</v>
      </c>
      <c r="L24" s="15"/>
      <c r="M24" s="15" t="s">
        <v>59</v>
      </c>
      <c r="N24" s="15"/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162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 t="s">
        <v>59</v>
      </c>
      <c r="G25" s="15"/>
      <c r="H25" s="15"/>
      <c r="I25" s="15"/>
      <c r="J25" s="15"/>
      <c r="K25" s="15" t="s">
        <v>59</v>
      </c>
      <c r="L25" s="15"/>
      <c r="M25" s="15" t="s">
        <v>59</v>
      </c>
      <c r="N25" s="15"/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162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 t="s">
        <v>59</v>
      </c>
      <c r="G26" s="15"/>
      <c r="H26" s="15"/>
      <c r="I26" s="15"/>
      <c r="J26" s="15"/>
      <c r="K26" s="15" t="s">
        <v>59</v>
      </c>
      <c r="L26" s="15"/>
      <c r="M26" s="15" t="s">
        <v>59</v>
      </c>
      <c r="N26" s="15"/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162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 t="s">
        <v>59</v>
      </c>
      <c r="G27" s="15"/>
      <c r="H27" s="15"/>
      <c r="I27" s="15"/>
      <c r="J27" s="15"/>
      <c r="K27" s="15" t="s">
        <v>59</v>
      </c>
      <c r="L27" s="15"/>
      <c r="M27" s="15" t="s">
        <v>59</v>
      </c>
      <c r="N27" s="15"/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162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 t="s">
        <v>59</v>
      </c>
      <c r="G28" s="15"/>
      <c r="H28" s="15"/>
      <c r="I28" s="15"/>
      <c r="J28" s="15"/>
      <c r="K28" s="15" t="s">
        <v>59</v>
      </c>
      <c r="L28" s="15"/>
      <c r="M28" s="15" t="s">
        <v>59</v>
      </c>
      <c r="N28" s="15"/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162</v>
      </c>
      <c r="B29" s="13" t="s">
        <v>58</v>
      </c>
      <c r="C29" s="14">
        <v>20</v>
      </c>
      <c r="D29" s="14">
        <v>21</v>
      </c>
      <c r="E29" s="14">
        <f t="shared" si="1"/>
        <v>1</v>
      </c>
      <c r="F29" s="15" t="s">
        <v>59</v>
      </c>
      <c r="G29" s="15"/>
      <c r="H29" s="15"/>
      <c r="I29" s="15"/>
      <c r="J29" s="15"/>
      <c r="K29" s="15" t="s">
        <v>59</v>
      </c>
      <c r="L29" s="15"/>
      <c r="M29" s="15" t="s">
        <v>59</v>
      </c>
      <c r="N29" s="15"/>
      <c r="O29" s="15"/>
      <c r="P29" s="15"/>
      <c r="Q29" s="15" t="s">
        <v>59</v>
      </c>
      <c r="R29" s="15"/>
      <c r="S29" s="15"/>
      <c r="T29" s="15" t="s">
        <v>59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162</v>
      </c>
      <c r="B30" s="13" t="s">
        <v>58</v>
      </c>
      <c r="C30" s="14">
        <v>21</v>
      </c>
      <c r="D30" s="14">
        <v>22</v>
      </c>
      <c r="E30" s="14">
        <f t="shared" si="1"/>
        <v>1</v>
      </c>
      <c r="F30" s="15" t="s">
        <v>59</v>
      </c>
      <c r="G30" s="15"/>
      <c r="H30" s="15"/>
      <c r="I30" s="15"/>
      <c r="J30" s="15"/>
      <c r="K30" s="15" t="s">
        <v>59</v>
      </c>
      <c r="L30" s="15"/>
      <c r="M30" s="15" t="s">
        <v>59</v>
      </c>
      <c r="N30" s="15"/>
      <c r="O30" s="15"/>
      <c r="P30" s="15"/>
      <c r="Q30" s="15" t="s">
        <v>59</v>
      </c>
      <c r="R30" s="15"/>
      <c r="S30" s="15"/>
      <c r="T30" s="15" t="s">
        <v>59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162</v>
      </c>
      <c r="B31" s="13" t="s">
        <v>58</v>
      </c>
      <c r="C31" s="14">
        <v>22</v>
      </c>
      <c r="D31" s="14">
        <v>23</v>
      </c>
      <c r="E31" s="14">
        <f t="shared" si="1"/>
        <v>1</v>
      </c>
      <c r="F31" s="15" t="s">
        <v>59</v>
      </c>
      <c r="G31" s="15"/>
      <c r="H31" s="15"/>
      <c r="I31" s="15"/>
      <c r="J31" s="15"/>
      <c r="K31" s="15" t="s">
        <v>59</v>
      </c>
      <c r="L31" s="15"/>
      <c r="M31" s="15" t="s">
        <v>59</v>
      </c>
      <c r="N31" s="15"/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162</v>
      </c>
      <c r="B32" s="13" t="s">
        <v>58</v>
      </c>
      <c r="C32" s="14">
        <v>23</v>
      </c>
      <c r="D32" s="14">
        <v>24</v>
      </c>
      <c r="E32" s="14">
        <f t="shared" si="1"/>
        <v>1</v>
      </c>
      <c r="F32" s="15" t="s">
        <v>59</v>
      </c>
      <c r="G32" s="15"/>
      <c r="H32" s="15"/>
      <c r="I32" s="15"/>
      <c r="J32" s="15"/>
      <c r="K32" s="15" t="s">
        <v>59</v>
      </c>
      <c r="L32" s="15"/>
      <c r="M32" s="15" t="s">
        <v>59</v>
      </c>
      <c r="N32" s="15"/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162</v>
      </c>
      <c r="B33" s="13" t="s">
        <v>58</v>
      </c>
      <c r="C33" s="14">
        <v>24</v>
      </c>
      <c r="D33" s="14">
        <v>25</v>
      </c>
      <c r="E33" s="14">
        <f t="shared" si="1"/>
        <v>1</v>
      </c>
      <c r="F33" s="15" t="s">
        <v>59</v>
      </c>
      <c r="G33" s="15"/>
      <c r="H33" s="15"/>
      <c r="I33" s="15"/>
      <c r="J33" s="15"/>
      <c r="K33" s="15" t="s">
        <v>59</v>
      </c>
      <c r="L33" s="15"/>
      <c r="M33" s="15" t="s">
        <v>59</v>
      </c>
      <c r="N33" s="15"/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162</v>
      </c>
      <c r="B34" s="13" t="s">
        <v>58</v>
      </c>
      <c r="C34" s="14">
        <v>25</v>
      </c>
      <c r="D34" s="14">
        <v>26</v>
      </c>
      <c r="E34" s="14">
        <f t="shared" si="1"/>
        <v>1</v>
      </c>
      <c r="F34" s="15" t="s">
        <v>59</v>
      </c>
      <c r="G34" s="15"/>
      <c r="H34" s="15"/>
      <c r="I34" s="15"/>
      <c r="J34" s="15"/>
      <c r="K34" s="15" t="s">
        <v>59</v>
      </c>
      <c r="L34" s="15"/>
      <c r="M34" s="15" t="s">
        <v>59</v>
      </c>
      <c r="N34" s="15"/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162</v>
      </c>
      <c r="B35" s="13" t="s">
        <v>58</v>
      </c>
      <c r="C35" s="14">
        <v>26</v>
      </c>
      <c r="D35" s="14">
        <v>27</v>
      </c>
      <c r="E35" s="14">
        <f t="shared" si="1"/>
        <v>1</v>
      </c>
      <c r="F35" s="15" t="s">
        <v>59</v>
      </c>
      <c r="G35" s="15"/>
      <c r="H35" s="15"/>
      <c r="I35" s="15"/>
      <c r="J35" s="15"/>
      <c r="K35" s="15" t="s">
        <v>59</v>
      </c>
      <c r="L35" s="15"/>
      <c r="M35" s="15" t="s">
        <v>59</v>
      </c>
      <c r="N35" s="15"/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162</v>
      </c>
      <c r="B36" s="13" t="s">
        <v>58</v>
      </c>
      <c r="C36" s="14">
        <v>27</v>
      </c>
      <c r="D36" s="14">
        <v>28</v>
      </c>
      <c r="E36" s="14">
        <f t="shared" si="1"/>
        <v>1</v>
      </c>
      <c r="F36" s="15" t="s">
        <v>59</v>
      </c>
      <c r="G36" s="15"/>
      <c r="H36" s="15"/>
      <c r="I36" s="15"/>
      <c r="J36" s="15"/>
      <c r="K36" s="15" t="s">
        <v>59</v>
      </c>
      <c r="L36" s="15"/>
      <c r="M36" s="15" t="s">
        <v>59</v>
      </c>
      <c r="N36" s="15"/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162</v>
      </c>
      <c r="B37" s="13" t="s">
        <v>58</v>
      </c>
      <c r="C37" s="14">
        <v>28</v>
      </c>
      <c r="D37" s="14">
        <v>29</v>
      </c>
      <c r="E37" s="14">
        <f t="shared" si="1"/>
        <v>1</v>
      </c>
      <c r="F37" s="15"/>
      <c r="G37" s="15" t="s">
        <v>59</v>
      </c>
      <c r="H37" s="15"/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162</v>
      </c>
      <c r="B38" s="13" t="s">
        <v>58</v>
      </c>
      <c r="C38" s="14">
        <v>29</v>
      </c>
      <c r="D38" s="14">
        <v>30</v>
      </c>
      <c r="E38" s="14">
        <f t="shared" si="1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162</v>
      </c>
      <c r="B39" s="13" t="s">
        <v>58</v>
      </c>
      <c r="C39" s="14">
        <v>30</v>
      </c>
      <c r="D39" s="14">
        <v>31</v>
      </c>
      <c r="E39" s="14">
        <f t="shared" si="1"/>
        <v>1</v>
      </c>
      <c r="F39" s="15"/>
      <c r="G39" s="15"/>
      <c r="H39" s="15"/>
      <c r="I39" s="15" t="s">
        <v>59</v>
      </c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162</v>
      </c>
      <c r="B40" s="13" t="s">
        <v>58</v>
      </c>
      <c r="C40" s="14">
        <v>31</v>
      </c>
      <c r="D40" s="14">
        <v>32</v>
      </c>
      <c r="E40" s="14">
        <f t="shared" si="1"/>
        <v>1</v>
      </c>
      <c r="F40" s="15"/>
      <c r="G40" s="15" t="s">
        <v>59</v>
      </c>
      <c r="H40" s="15"/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8" t="s">
        <v>162</v>
      </c>
      <c r="B41" s="19" t="s">
        <v>58</v>
      </c>
      <c r="C41" s="20">
        <v>32</v>
      </c>
      <c r="D41" s="20">
        <v>32.0347892375</v>
      </c>
      <c r="E41" s="20">
        <f t="shared" si="1"/>
        <v>3.478923750000007E-2</v>
      </c>
      <c r="F41" s="21"/>
      <c r="G41" s="21" t="s">
        <v>59</v>
      </c>
      <c r="H41" s="21"/>
      <c r="I41" s="21"/>
      <c r="J41" s="21"/>
      <c r="K41" s="21" t="s">
        <v>59</v>
      </c>
      <c r="L41" s="21"/>
      <c r="M41" s="21"/>
      <c r="N41" s="21" t="s">
        <v>59</v>
      </c>
      <c r="O41" s="21"/>
      <c r="P41" s="21"/>
      <c r="Q41" s="21" t="s">
        <v>59</v>
      </c>
      <c r="R41" s="21"/>
      <c r="S41" s="21"/>
      <c r="T41" s="21" t="s">
        <v>59</v>
      </c>
      <c r="U41" s="21"/>
      <c r="V41" s="22"/>
      <c r="W41" s="23" t="str">
        <f t="shared" si="2"/>
        <v>OK</v>
      </c>
    </row>
    <row r="42" spans="1:23" ht="15" customHeight="1" x14ac:dyDescent="0.25">
      <c r="A42" s="50" t="s">
        <v>163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0"/>
      <c r="W42" s="4"/>
    </row>
    <row r="43" spans="1:23" ht="15.95" customHeight="1" x14ac:dyDescent="0.25">
      <c r="A43" s="39" t="s">
        <v>164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20.100000000000001" customHeight="1" x14ac:dyDescent="0.25">
      <c r="A44" s="12" t="s">
        <v>165</v>
      </c>
      <c r="B44" s="13" t="s">
        <v>58</v>
      </c>
      <c r="C44" s="14">
        <v>0</v>
      </c>
      <c r="D44" s="14">
        <v>1</v>
      </c>
      <c r="E44" s="14">
        <f>D44-C44</f>
        <v>1</v>
      </c>
      <c r="F44" s="15"/>
      <c r="G44" s="15" t="s">
        <v>59</v>
      </c>
      <c r="H44" s="15"/>
      <c r="I44" s="15"/>
      <c r="J44" s="15"/>
      <c r="K44" s="15" t="s">
        <v>59</v>
      </c>
      <c r="L44" s="15"/>
      <c r="M44" s="15"/>
      <c r="N44" s="15" t="s">
        <v>59</v>
      </c>
      <c r="O44" s="15"/>
      <c r="P44" s="15"/>
      <c r="Q44" s="15" t="s">
        <v>59</v>
      </c>
      <c r="R44" s="15"/>
      <c r="S44" s="15" t="s">
        <v>59</v>
      </c>
      <c r="T44" s="15"/>
      <c r="U44" s="15"/>
      <c r="V44" s="16"/>
      <c r="W44" s="17" t="str">
        <f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165</v>
      </c>
      <c r="B45" s="13" t="s">
        <v>58</v>
      </c>
      <c r="C45" s="14">
        <v>1</v>
      </c>
      <c r="D45" s="14">
        <v>2</v>
      </c>
      <c r="E45" s="14">
        <f>D45-C45</f>
        <v>1</v>
      </c>
      <c r="F45" s="15" t="s">
        <v>59</v>
      </c>
      <c r="G45" s="15"/>
      <c r="H45" s="15"/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165</v>
      </c>
      <c r="B46" s="13" t="s">
        <v>58</v>
      </c>
      <c r="C46" s="14">
        <v>2</v>
      </c>
      <c r="D46" s="14">
        <v>3</v>
      </c>
      <c r="E46" s="14">
        <f>D46-C46</f>
        <v>1</v>
      </c>
      <c r="F46" s="15" t="s">
        <v>59</v>
      </c>
      <c r="G46" s="15"/>
      <c r="H46" s="15"/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165</v>
      </c>
      <c r="B47" s="13" t="s">
        <v>58</v>
      </c>
      <c r="C47" s="14">
        <v>3</v>
      </c>
      <c r="D47" s="14">
        <v>4</v>
      </c>
      <c r="E47" s="14">
        <f>D47-C47</f>
        <v>1</v>
      </c>
      <c r="F47" s="15" t="s">
        <v>59</v>
      </c>
      <c r="G47" s="15"/>
      <c r="H47" s="15"/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>IF(COUNTA(F47:U47)=0,"— não preenchido",IF(COUNTIF(F47:J47,"X")&lt;&gt;1,"FALTA/DUPLA: CONDIÇÃO DO PAVIMENTO",IF(COUNTIF(K47:L47,"X")&lt;&gt;1,"FALTA/DUPLA: VEGETAÇÃO",IF(COUNTIF(M47:O47,"X")&lt;&gt;1,"FALTA/DUPLA: ELEM. DE DRENAGEM",IF(COUNTIF(P47:R47,"X")&lt;&gt;1,"FALTA/DUPLA: SIN. HORIZ.",IF(COUNTIF(S47:U47,"X")&lt;&gt;1,"FALTA/DUPLA: SIN. VERTICAL","OK"))))))</f>
        <v>OK</v>
      </c>
    </row>
    <row r="48" spans="1:23" ht="20.100000000000001" customHeight="1" x14ac:dyDescent="0.25">
      <c r="A48" s="18" t="s">
        <v>165</v>
      </c>
      <c r="B48" s="19" t="s">
        <v>58</v>
      </c>
      <c r="C48" s="20">
        <v>4</v>
      </c>
      <c r="D48" s="20">
        <v>4.0257705207300001</v>
      </c>
      <c r="E48" s="20">
        <f>D48-C48</f>
        <v>2.5770520730000079E-2</v>
      </c>
      <c r="F48" s="21" t="s">
        <v>59</v>
      </c>
      <c r="G48" s="21"/>
      <c r="H48" s="21"/>
      <c r="I48" s="21"/>
      <c r="J48" s="21"/>
      <c r="K48" s="21" t="s">
        <v>59</v>
      </c>
      <c r="L48" s="21"/>
      <c r="M48" s="21"/>
      <c r="N48" s="21" t="s">
        <v>59</v>
      </c>
      <c r="O48" s="21"/>
      <c r="P48" s="21"/>
      <c r="Q48" s="21" t="s">
        <v>59</v>
      </c>
      <c r="R48" s="21"/>
      <c r="S48" s="21"/>
      <c r="T48" s="21" t="s">
        <v>59</v>
      </c>
      <c r="U48" s="21"/>
      <c r="V48" s="22"/>
      <c r="W48" s="23" t="str">
        <f>IF(COUNTA(F48:U48)=0,"— não preenchido",IF(COUNTIF(F48:J48,"X")&lt;&gt;1,"FALTA/DUPLA: CONDIÇÃO DO PAVIMENTO",IF(COUNTIF(K48:L48,"X")&lt;&gt;1,"FALTA/DUPLA: VEGETAÇÃO",IF(COUNTIF(M48:O48,"X")&lt;&gt;1,"FALTA/DUPLA: ELEM. DE DRENAGEM",IF(COUNTIF(P48:R48,"X")&lt;&gt;1,"FALTA/DUPLA: SIN. HORIZ.",IF(COUNTIF(S48:U48,"X")&lt;&gt;1,"FALTA/DUPLA: SIN. VERTICAL","OK"))))))</f>
        <v>OK</v>
      </c>
    </row>
    <row r="50" spans="1:22" x14ac:dyDescent="0.25">
      <c r="A50" s="43" t="s">
        <v>60</v>
      </c>
      <c r="B50" s="28"/>
      <c r="C50" s="28"/>
      <c r="D50" s="28"/>
      <c r="E50" s="28"/>
      <c r="G50" s="43" t="s">
        <v>60</v>
      </c>
      <c r="H50" s="28"/>
      <c r="I50" s="28"/>
      <c r="J50" s="28"/>
      <c r="K50" s="28"/>
    </row>
    <row r="51" spans="1:22" x14ac:dyDescent="0.25">
      <c r="A51" s="41" t="s">
        <v>61</v>
      </c>
      <c r="B51" s="28"/>
      <c r="C51" s="28"/>
      <c r="D51" s="28"/>
      <c r="E51" s="28"/>
      <c r="G51" s="41" t="s">
        <v>62</v>
      </c>
      <c r="H51" s="28"/>
      <c r="I51" s="28"/>
      <c r="J51" s="28"/>
      <c r="K51" s="28"/>
    </row>
    <row r="53" spans="1:22" x14ac:dyDescent="0.25">
      <c r="A53" s="49" t="s">
        <v>63</v>
      </c>
      <c r="B53" s="28"/>
      <c r="C53" s="28"/>
      <c r="D53" s="28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35" t="s">
        <v>64</v>
      </c>
      <c r="B54" s="28"/>
      <c r="C54" s="28"/>
      <c r="D54" s="28"/>
      <c r="E54" s="28"/>
      <c r="F54" s="9">
        <f t="shared" ref="F54:U54" si="3">SUMIF(F$9:F$48,"X",$E$9:$E$48)</f>
        <v>25.025770520729999</v>
      </c>
      <c r="G54" s="9">
        <f t="shared" si="3"/>
        <v>10.0347892375</v>
      </c>
      <c r="H54" s="9">
        <f t="shared" si="3"/>
        <v>0</v>
      </c>
      <c r="I54" s="9">
        <f t="shared" si="3"/>
        <v>1</v>
      </c>
      <c r="J54" s="9">
        <f t="shared" si="3"/>
        <v>0</v>
      </c>
      <c r="K54" s="9">
        <f t="shared" si="3"/>
        <v>36.060559758229999</v>
      </c>
      <c r="L54" s="9">
        <f t="shared" si="3"/>
        <v>0</v>
      </c>
      <c r="M54" s="9">
        <f t="shared" si="3"/>
        <v>13</v>
      </c>
      <c r="N54" s="9">
        <f t="shared" si="3"/>
        <v>23.060559758229999</v>
      </c>
      <c r="O54" s="9">
        <f t="shared" si="3"/>
        <v>0</v>
      </c>
      <c r="P54" s="9">
        <f t="shared" si="3"/>
        <v>0</v>
      </c>
      <c r="Q54" s="9">
        <f t="shared" si="3"/>
        <v>36.060559758229999</v>
      </c>
      <c r="R54" s="9">
        <f t="shared" si="3"/>
        <v>0</v>
      </c>
      <c r="S54" s="9">
        <f t="shared" si="3"/>
        <v>1</v>
      </c>
      <c r="T54" s="9">
        <f t="shared" si="3"/>
        <v>35.060559758229999</v>
      </c>
      <c r="U54" s="9">
        <f t="shared" si="3"/>
        <v>0</v>
      </c>
    </row>
    <row r="55" spans="1:22" x14ac:dyDescent="0.25">
      <c r="A55" s="35" t="s">
        <v>65</v>
      </c>
      <c r="B55" s="28"/>
      <c r="C55" s="28"/>
      <c r="D55" s="28"/>
      <c r="E55" s="28"/>
      <c r="F55" s="25">
        <f t="shared" ref="F55:U55" si="4">IF($R57=0,0,F54/$R57)</f>
        <v>0.69399284671443395</v>
      </c>
      <c r="G55" s="25">
        <f t="shared" si="4"/>
        <v>0.27827602524139378</v>
      </c>
      <c r="H55" s="25">
        <f t="shared" si="4"/>
        <v>0</v>
      </c>
      <c r="I55" s="25">
        <f t="shared" si="4"/>
        <v>2.7731128044172215E-2</v>
      </c>
      <c r="J55" s="25">
        <f t="shared" si="4"/>
        <v>0</v>
      </c>
      <c r="K55" s="25">
        <f t="shared" si="4"/>
        <v>1</v>
      </c>
      <c r="L55" s="25">
        <f t="shared" si="4"/>
        <v>0</v>
      </c>
      <c r="M55" s="25">
        <f t="shared" si="4"/>
        <v>0.3605046645742388</v>
      </c>
      <c r="N55" s="25">
        <f t="shared" si="4"/>
        <v>0.6394953354257612</v>
      </c>
      <c r="O55" s="25">
        <f t="shared" si="4"/>
        <v>0</v>
      </c>
      <c r="P55" s="25">
        <f t="shared" si="4"/>
        <v>0</v>
      </c>
      <c r="Q55" s="25">
        <f t="shared" si="4"/>
        <v>1</v>
      </c>
      <c r="R55" s="25">
        <f t="shared" si="4"/>
        <v>0</v>
      </c>
      <c r="S55" s="25">
        <f t="shared" si="4"/>
        <v>2.7731128044172215E-2</v>
      </c>
      <c r="T55" s="25">
        <f t="shared" si="4"/>
        <v>0.97226887195582778</v>
      </c>
      <c r="U55" s="25">
        <f t="shared" si="4"/>
        <v>0</v>
      </c>
    </row>
    <row r="56" spans="1:22" x14ac:dyDescent="0.25">
      <c r="A56" s="35" t="s">
        <v>66</v>
      </c>
      <c r="B56" s="28"/>
      <c r="C56" s="28"/>
      <c r="D56" s="28"/>
      <c r="E56" s="28"/>
      <c r="F56" s="45" t="str">
        <f>IF(SUM(F54:J54)=0,"— não preenchido",IF(ROUND(SUM(F54:J54)-$R57,3)=0,"OK — "&amp;ROUND(SUM(F54:J54),3)&amp;" km","ERRO — dif. de "&amp;ROUND(SUM(F54:J54)-$R57,3)&amp;" km"))</f>
        <v>OK — 36,061 km</v>
      </c>
      <c r="G56" s="32"/>
      <c r="H56" s="32"/>
      <c r="I56" s="32"/>
      <c r="J56" s="30"/>
      <c r="K56" s="45" t="str">
        <f>IF(SUM(K54:L54)=0,"— não preenchido",IF(ROUND(SUM(K54:L54)-$R57,3)=0,"OK — "&amp;ROUND(SUM(K54:L54),3)&amp;" km","ERRO — dif. de "&amp;ROUND(SUM(K54:L54)-$R57,3)&amp;" km"))</f>
        <v>OK — 36,061 km</v>
      </c>
      <c r="L56" s="30"/>
      <c r="M56" s="45" t="str">
        <f>IF(SUM(M54:O54)=0,"— não preenchido",IF(ROUND(SUM(M54:O54)-$R57,3)=0,"OK — "&amp;ROUND(SUM(M54:O54),3)&amp;" km","ERRO — dif. de "&amp;ROUND(SUM(M54:O54)-$R57,3)&amp;" km"))</f>
        <v>OK — 36,061 km</v>
      </c>
      <c r="N56" s="32"/>
      <c r="O56" s="30"/>
      <c r="P56" s="45" t="str">
        <f>IF(SUM(P54:R54)=0,"— não preenchido",IF(ROUND(SUM(P54:R54)-$R57,3)=0,"OK — "&amp;ROUND(SUM(P54:R54),3)&amp;" km","ERRO — dif. de "&amp;ROUND(SUM(P54:R54)-$R57,3)&amp;" km"))</f>
        <v>OK — 36,061 km</v>
      </c>
      <c r="Q56" s="32"/>
      <c r="R56" s="30"/>
      <c r="S56" s="45" t="str">
        <f>IF(SUM(S54:U54)=0,"— não preenchido",IF(ROUND(SUM(S54:U54)-$R57,3)=0,"OK — "&amp;ROUND(SUM(S54:U54),3)&amp;" km","ERRO — dif. de "&amp;ROUND(SUM(S54:U54)-$R57,3)&amp;" km"))</f>
        <v>OK — 36,061 km</v>
      </c>
      <c r="T56" s="32"/>
      <c r="U56" s="30"/>
    </row>
    <row r="57" spans="1:22" x14ac:dyDescent="0.25">
      <c r="A57" s="35" t="s">
        <v>67</v>
      </c>
      <c r="B57" s="28"/>
      <c r="C57" s="28"/>
      <c r="D57" s="28"/>
      <c r="E57" s="28"/>
      <c r="R57" s="26">
        <f>SUM(E9:E48)</f>
        <v>36.060559758229999</v>
      </c>
      <c r="V57" s="8" t="str">
        <f>COUNTIF(W9:W48,"OK")&amp;" de "&amp;COUNT($E$9:$E$48)&amp;" linhas conferidas"</f>
        <v>38 de 38 linhas conferidas</v>
      </c>
    </row>
    <row r="59" spans="1:22" x14ac:dyDescent="0.25">
      <c r="A59" s="44" t="s">
        <v>68</v>
      </c>
      <c r="B59" s="28"/>
      <c r="C59" s="28"/>
      <c r="D59" s="28"/>
      <c r="E59" s="28"/>
    </row>
    <row r="60" spans="1:22" x14ac:dyDescent="0.25">
      <c r="A60" s="35" t="s">
        <v>69</v>
      </c>
      <c r="B60" s="28"/>
      <c r="C60" s="28"/>
      <c r="D60" s="28"/>
      <c r="E60" s="34" t="s">
        <v>70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5" t="s">
        <v>71</v>
      </c>
      <c r="B61" s="28"/>
      <c r="C61" s="28"/>
      <c r="D61" s="28"/>
      <c r="E61" s="34" t="s">
        <v>72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5" t="s">
        <v>73</v>
      </c>
      <c r="B62" s="28"/>
      <c r="C62" s="28"/>
      <c r="D62" s="28"/>
      <c r="E62" s="34" t="s">
        <v>74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5" t="s">
        <v>75</v>
      </c>
      <c r="B63" s="28"/>
      <c r="C63" s="28"/>
      <c r="D63" s="28"/>
      <c r="E63" s="34" t="s">
        <v>76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5" t="s">
        <v>77</v>
      </c>
      <c r="B64" s="28"/>
      <c r="C64" s="28"/>
      <c r="D64" s="28"/>
      <c r="E64" s="34" t="s">
        <v>78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50</v>
      </c>
      <c r="B65" s="28"/>
      <c r="C65" s="28"/>
      <c r="D65" s="28"/>
      <c r="E65" s="34" t="s">
        <v>79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80</v>
      </c>
      <c r="B66" s="28"/>
      <c r="C66" s="28"/>
      <c r="D66" s="28"/>
      <c r="E66" s="34" t="s">
        <v>81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82</v>
      </c>
      <c r="B67" s="28"/>
      <c r="C67" s="28"/>
      <c r="D67" s="28"/>
      <c r="E67" s="34" t="s">
        <v>83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11</v>
      </c>
      <c r="B68" s="28"/>
      <c r="C68" s="28"/>
      <c r="D68" s="28"/>
      <c r="E68" s="34" t="s">
        <v>84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</sheetData>
  <sheetProtection sheet="1"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53:E53"/>
    <mergeCell ref="G51:K51"/>
    <mergeCell ref="E62:V62"/>
    <mergeCell ref="G50:K50"/>
    <mergeCell ref="R2:V2"/>
    <mergeCell ref="A3:S3"/>
    <mergeCell ref="C6:C7"/>
    <mergeCell ref="P56:R56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K6:L6"/>
    <mergeCell ref="D6:D7"/>
    <mergeCell ref="P6:R6"/>
    <mergeCell ref="E65:V65"/>
    <mergeCell ref="A68:D68"/>
    <mergeCell ref="A43:V43"/>
    <mergeCell ref="A2:F2"/>
    <mergeCell ref="S6:U6"/>
    <mergeCell ref="K2:M2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A42:V42"/>
    <mergeCell ref="A59:E59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17" priority="1">
      <formula>AND(F9&lt;&gt;"",COUNTIF($F9:$J9,"X")&gt;1)</formula>
    </cfRule>
  </conditionalFormatting>
  <conditionalFormatting sqref="F56:U56">
    <cfRule type="expression" dxfId="16" priority="8">
      <formula>LEFT(F56,4)="ERRO"</formula>
    </cfRule>
    <cfRule type="expression" dxfId="15" priority="9">
      <formula>LEFT(F56,2)="OK"</formula>
    </cfRule>
  </conditionalFormatting>
  <conditionalFormatting sqref="K9:L48">
    <cfRule type="expression" dxfId="14" priority="2">
      <formula>AND(K9&lt;&gt;"",COUNTIF($K9:$L9,"X")&gt;1)</formula>
    </cfRule>
  </conditionalFormatting>
  <conditionalFormatting sqref="M9:O48">
    <cfRule type="expression" dxfId="13" priority="3">
      <formula>AND(M9&lt;&gt;"",COUNTIF($M9:$O9,"X")&gt;1)</formula>
    </cfRule>
  </conditionalFormatting>
  <conditionalFormatting sqref="P9:R48">
    <cfRule type="expression" dxfId="12" priority="4">
      <formula>AND(P9&lt;&gt;"",COUNTIF($P9:$R9,"X")&gt;1)</formula>
    </cfRule>
  </conditionalFormatting>
  <conditionalFormatting sqref="S9:U48">
    <cfRule type="expression" dxfId="11" priority="5">
      <formula>AND(S9&lt;&gt;"",COUNTIF($S9:$U9,"X")&gt;1)</formula>
    </cfRule>
  </conditionalFormatting>
  <conditionalFormatting sqref="W9:W48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243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7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42</v>
      </c>
      <c r="B2" s="28"/>
      <c r="C2" s="28"/>
      <c r="D2" s="28"/>
      <c r="E2" s="28"/>
      <c r="F2" s="28"/>
      <c r="G2" s="36" t="s">
        <v>43</v>
      </c>
      <c r="H2" s="28"/>
      <c r="I2" s="37"/>
      <c r="J2" s="38"/>
      <c r="K2" s="36" t="s">
        <v>44</v>
      </c>
      <c r="L2" s="28"/>
      <c r="M2" s="28"/>
      <c r="N2" s="42"/>
      <c r="O2" s="38"/>
      <c r="P2" s="36" t="s">
        <v>45</v>
      </c>
      <c r="Q2" s="28"/>
      <c r="R2" s="46"/>
      <c r="S2" s="47"/>
      <c r="T2" s="47"/>
      <c r="U2" s="47"/>
      <c r="V2" s="38"/>
      <c r="Y2" s="2">
        <f t="shared" ref="Y2:AN2" si="0">IF(F60=0,NA(),F60)</f>
        <v>2</v>
      </c>
      <c r="Z2" s="2">
        <f t="shared" si="0"/>
        <v>20</v>
      </c>
      <c r="AA2" s="2">
        <f t="shared" si="0"/>
        <v>20.043029103599999</v>
      </c>
      <c r="AB2" s="2" t="e">
        <f t="shared" si="0"/>
        <v>#N/A</v>
      </c>
      <c r="AC2" s="2" t="e">
        <f t="shared" si="0"/>
        <v>#N/A</v>
      </c>
      <c r="AD2" s="2">
        <f t="shared" si="0"/>
        <v>42.043029103599999</v>
      </c>
      <c r="AE2" s="2" t="e">
        <f t="shared" si="0"/>
        <v>#N/A</v>
      </c>
      <c r="AF2" s="2" t="e">
        <f t="shared" si="0"/>
        <v>#N/A</v>
      </c>
      <c r="AG2" s="2">
        <f t="shared" si="0"/>
        <v>42.043029103599999</v>
      </c>
      <c r="AH2" s="2" t="e">
        <f t="shared" si="0"/>
        <v>#N/A</v>
      </c>
      <c r="AI2" s="2" t="e">
        <f t="shared" si="0"/>
        <v>#N/A</v>
      </c>
      <c r="AJ2" s="2">
        <f t="shared" si="0"/>
        <v>42.043029103599999</v>
      </c>
      <c r="AK2" s="2" t="e">
        <f t="shared" si="0"/>
        <v>#N/A</v>
      </c>
      <c r="AL2" s="2" t="e">
        <f t="shared" si="0"/>
        <v>#N/A</v>
      </c>
      <c r="AM2" s="2">
        <f t="shared" si="0"/>
        <v>42.043029103599999</v>
      </c>
      <c r="AN2" s="2" t="e">
        <f t="shared" si="0"/>
        <v>#N/A</v>
      </c>
    </row>
    <row r="3" spans="1:40" ht="15" customHeight="1" x14ac:dyDescent="0.25">
      <c r="A3" s="48" t="s">
        <v>166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167</v>
      </c>
      <c r="U3" s="28"/>
      <c r="V3" s="28"/>
    </row>
    <row r="4" spans="1:40" ht="20.100000000000001" customHeight="1" x14ac:dyDescent="0.25">
      <c r="A4" s="33" t="s">
        <v>48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54</v>
      </c>
      <c r="W6" s="29" t="s">
        <v>55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9" t="s">
        <v>168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169</v>
      </c>
      <c r="B9" s="13" t="s">
        <v>58</v>
      </c>
      <c r="C9" s="14">
        <v>0</v>
      </c>
      <c r="D9" s="14">
        <v>1</v>
      </c>
      <c r="E9" s="14">
        <f t="shared" ref="E9:E29" si="1">D9-C9</f>
        <v>1</v>
      </c>
      <c r="F9" s="15" t="s">
        <v>59</v>
      </c>
      <c r="G9" s="15"/>
      <c r="H9" s="15"/>
      <c r="I9" s="15"/>
      <c r="J9" s="15"/>
      <c r="K9" s="15" t="s">
        <v>59</v>
      </c>
      <c r="L9" s="15"/>
      <c r="M9" s="15"/>
      <c r="N9" s="15" t="s">
        <v>59</v>
      </c>
      <c r="O9" s="15"/>
      <c r="P9" s="15"/>
      <c r="Q9" s="15" t="s">
        <v>59</v>
      </c>
      <c r="R9" s="15"/>
      <c r="S9" s="15"/>
      <c r="T9" s="15" t="s">
        <v>59</v>
      </c>
      <c r="U9" s="15"/>
      <c r="V9" s="16"/>
      <c r="W9" s="17" t="str">
        <f t="shared" ref="W9:W29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169</v>
      </c>
      <c r="B10" s="13" t="s">
        <v>58</v>
      </c>
      <c r="C10" s="14">
        <v>1</v>
      </c>
      <c r="D10" s="14">
        <v>2</v>
      </c>
      <c r="E10" s="14">
        <f t="shared" si="1"/>
        <v>1</v>
      </c>
      <c r="F10" s="15" t="s">
        <v>59</v>
      </c>
      <c r="G10" s="15"/>
      <c r="H10" s="15"/>
      <c r="I10" s="15"/>
      <c r="J10" s="15"/>
      <c r="K10" s="15" t="s">
        <v>59</v>
      </c>
      <c r="L10" s="15"/>
      <c r="M10" s="15"/>
      <c r="N10" s="15" t="s">
        <v>59</v>
      </c>
      <c r="O10" s="15"/>
      <c r="P10" s="15"/>
      <c r="Q10" s="15" t="s">
        <v>59</v>
      </c>
      <c r="R10" s="15"/>
      <c r="S10" s="15"/>
      <c r="T10" s="15" t="s">
        <v>59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169</v>
      </c>
      <c r="B11" s="13" t="s">
        <v>58</v>
      </c>
      <c r="C11" s="14">
        <v>2</v>
      </c>
      <c r="D11" s="14">
        <v>3</v>
      </c>
      <c r="E11" s="14">
        <f t="shared" si="1"/>
        <v>1</v>
      </c>
      <c r="F11" s="15"/>
      <c r="G11" s="15" t="s">
        <v>59</v>
      </c>
      <c r="H11" s="15"/>
      <c r="I11" s="15"/>
      <c r="J11" s="15"/>
      <c r="K11" s="15" t="s">
        <v>59</v>
      </c>
      <c r="L11" s="15"/>
      <c r="M11" s="15"/>
      <c r="N11" s="15" t="s">
        <v>59</v>
      </c>
      <c r="O11" s="15"/>
      <c r="P11" s="15"/>
      <c r="Q11" s="15" t="s">
        <v>59</v>
      </c>
      <c r="R11" s="15"/>
      <c r="S11" s="15"/>
      <c r="T11" s="15" t="s">
        <v>59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169</v>
      </c>
      <c r="B12" s="13" t="s">
        <v>58</v>
      </c>
      <c r="C12" s="14">
        <v>3</v>
      </c>
      <c r="D12" s="14">
        <v>4</v>
      </c>
      <c r="E12" s="14">
        <f t="shared" si="1"/>
        <v>1</v>
      </c>
      <c r="F12" s="15"/>
      <c r="G12" s="15" t="s">
        <v>59</v>
      </c>
      <c r="H12" s="15"/>
      <c r="I12" s="15"/>
      <c r="J12" s="15"/>
      <c r="K12" s="15" t="s">
        <v>59</v>
      </c>
      <c r="L12" s="15"/>
      <c r="M12" s="15"/>
      <c r="N12" s="15" t="s">
        <v>59</v>
      </c>
      <c r="O12" s="15"/>
      <c r="P12" s="15"/>
      <c r="Q12" s="15" t="s">
        <v>59</v>
      </c>
      <c r="R12" s="15"/>
      <c r="S12" s="15"/>
      <c r="T12" s="15" t="s">
        <v>59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169</v>
      </c>
      <c r="B13" s="13" t="s">
        <v>58</v>
      </c>
      <c r="C13" s="14">
        <v>4</v>
      </c>
      <c r="D13" s="14">
        <v>5</v>
      </c>
      <c r="E13" s="14">
        <f t="shared" si="1"/>
        <v>1</v>
      </c>
      <c r="F13" s="15"/>
      <c r="G13" s="15" t="s">
        <v>59</v>
      </c>
      <c r="H13" s="15"/>
      <c r="I13" s="15"/>
      <c r="J13" s="15"/>
      <c r="K13" s="15" t="s">
        <v>59</v>
      </c>
      <c r="L13" s="15"/>
      <c r="M13" s="15"/>
      <c r="N13" s="15" t="s">
        <v>59</v>
      </c>
      <c r="O13" s="15"/>
      <c r="P13" s="15"/>
      <c r="Q13" s="15" t="s">
        <v>59</v>
      </c>
      <c r="R13" s="15"/>
      <c r="S13" s="15"/>
      <c r="T13" s="15" t="s">
        <v>59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169</v>
      </c>
      <c r="B14" s="13" t="s">
        <v>58</v>
      </c>
      <c r="C14" s="14">
        <v>5</v>
      </c>
      <c r="D14" s="14">
        <v>6</v>
      </c>
      <c r="E14" s="14">
        <f t="shared" si="1"/>
        <v>1</v>
      </c>
      <c r="F14" s="15"/>
      <c r="G14" s="15" t="s">
        <v>59</v>
      </c>
      <c r="H14" s="15"/>
      <c r="I14" s="15"/>
      <c r="J14" s="15"/>
      <c r="K14" s="15" t="s">
        <v>59</v>
      </c>
      <c r="L14" s="15"/>
      <c r="M14" s="15"/>
      <c r="N14" s="15" t="s">
        <v>59</v>
      </c>
      <c r="O14" s="15"/>
      <c r="P14" s="15"/>
      <c r="Q14" s="15" t="s">
        <v>59</v>
      </c>
      <c r="R14" s="15"/>
      <c r="S14" s="15"/>
      <c r="T14" s="15" t="s">
        <v>59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169</v>
      </c>
      <c r="B15" s="13" t="s">
        <v>58</v>
      </c>
      <c r="C15" s="14">
        <v>6</v>
      </c>
      <c r="D15" s="14">
        <v>7</v>
      </c>
      <c r="E15" s="14">
        <f t="shared" si="1"/>
        <v>1</v>
      </c>
      <c r="F15" s="15"/>
      <c r="G15" s="15" t="s">
        <v>59</v>
      </c>
      <c r="H15" s="15"/>
      <c r="I15" s="15"/>
      <c r="J15" s="15"/>
      <c r="K15" s="15" t="s">
        <v>59</v>
      </c>
      <c r="L15" s="15"/>
      <c r="M15" s="15"/>
      <c r="N15" s="15" t="s">
        <v>59</v>
      </c>
      <c r="O15" s="15"/>
      <c r="P15" s="15"/>
      <c r="Q15" s="15" t="s">
        <v>59</v>
      </c>
      <c r="R15" s="15"/>
      <c r="S15" s="15"/>
      <c r="T15" s="15" t="s">
        <v>59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169</v>
      </c>
      <c r="B16" s="13" t="s">
        <v>58</v>
      </c>
      <c r="C16" s="14">
        <v>7</v>
      </c>
      <c r="D16" s="14">
        <v>8</v>
      </c>
      <c r="E16" s="14">
        <f t="shared" si="1"/>
        <v>1</v>
      </c>
      <c r="F16" s="15"/>
      <c r="G16" s="15" t="s">
        <v>59</v>
      </c>
      <c r="H16" s="15"/>
      <c r="I16" s="15"/>
      <c r="J16" s="15"/>
      <c r="K16" s="15" t="s">
        <v>59</v>
      </c>
      <c r="L16" s="15"/>
      <c r="M16" s="15"/>
      <c r="N16" s="15" t="s">
        <v>59</v>
      </c>
      <c r="O16" s="15"/>
      <c r="P16" s="15"/>
      <c r="Q16" s="15" t="s">
        <v>59</v>
      </c>
      <c r="R16" s="15"/>
      <c r="S16" s="15"/>
      <c r="T16" s="15" t="s">
        <v>59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169</v>
      </c>
      <c r="B17" s="13" t="s">
        <v>58</v>
      </c>
      <c r="C17" s="14">
        <v>8</v>
      </c>
      <c r="D17" s="14">
        <v>9</v>
      </c>
      <c r="E17" s="14">
        <f t="shared" si="1"/>
        <v>1</v>
      </c>
      <c r="F17" s="15"/>
      <c r="G17" s="15" t="s">
        <v>59</v>
      </c>
      <c r="H17" s="15"/>
      <c r="I17" s="15"/>
      <c r="J17" s="15"/>
      <c r="K17" s="15" t="s">
        <v>59</v>
      </c>
      <c r="L17" s="15"/>
      <c r="M17" s="15"/>
      <c r="N17" s="15" t="s">
        <v>59</v>
      </c>
      <c r="O17" s="15"/>
      <c r="P17" s="15"/>
      <c r="Q17" s="15" t="s">
        <v>59</v>
      </c>
      <c r="R17" s="15"/>
      <c r="S17" s="15"/>
      <c r="T17" s="15" t="s">
        <v>59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169</v>
      </c>
      <c r="B18" s="13" t="s">
        <v>58</v>
      </c>
      <c r="C18" s="14">
        <v>9</v>
      </c>
      <c r="D18" s="14">
        <v>10</v>
      </c>
      <c r="E18" s="14">
        <f t="shared" si="1"/>
        <v>1</v>
      </c>
      <c r="F18" s="15"/>
      <c r="G18" s="15" t="s">
        <v>59</v>
      </c>
      <c r="H18" s="15"/>
      <c r="I18" s="15"/>
      <c r="J18" s="15"/>
      <c r="K18" s="15" t="s">
        <v>59</v>
      </c>
      <c r="L18" s="15"/>
      <c r="M18" s="15"/>
      <c r="N18" s="15" t="s">
        <v>59</v>
      </c>
      <c r="O18" s="15"/>
      <c r="P18" s="15"/>
      <c r="Q18" s="15" t="s">
        <v>59</v>
      </c>
      <c r="R18" s="15"/>
      <c r="S18" s="15"/>
      <c r="T18" s="15" t="s">
        <v>59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169</v>
      </c>
      <c r="B19" s="13" t="s">
        <v>58</v>
      </c>
      <c r="C19" s="14">
        <v>10</v>
      </c>
      <c r="D19" s="14">
        <v>11</v>
      </c>
      <c r="E19" s="14">
        <f t="shared" si="1"/>
        <v>1</v>
      </c>
      <c r="F19" s="15"/>
      <c r="G19" s="15" t="s">
        <v>59</v>
      </c>
      <c r="H19" s="15"/>
      <c r="I19" s="15"/>
      <c r="J19" s="15"/>
      <c r="K19" s="15" t="s">
        <v>59</v>
      </c>
      <c r="L19" s="15"/>
      <c r="M19" s="15"/>
      <c r="N19" s="15" t="s">
        <v>59</v>
      </c>
      <c r="O19" s="15"/>
      <c r="P19" s="15"/>
      <c r="Q19" s="15" t="s">
        <v>59</v>
      </c>
      <c r="R19" s="15"/>
      <c r="S19" s="15"/>
      <c r="T19" s="15" t="s">
        <v>59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169</v>
      </c>
      <c r="B20" s="13" t="s">
        <v>58</v>
      </c>
      <c r="C20" s="14">
        <v>11</v>
      </c>
      <c r="D20" s="14">
        <v>12</v>
      </c>
      <c r="E20" s="14">
        <f t="shared" si="1"/>
        <v>1</v>
      </c>
      <c r="F20" s="15"/>
      <c r="G20" s="15" t="s">
        <v>59</v>
      </c>
      <c r="H20" s="15"/>
      <c r="I20" s="15"/>
      <c r="J20" s="15"/>
      <c r="K20" s="15" t="s">
        <v>59</v>
      </c>
      <c r="L20" s="15"/>
      <c r="M20" s="15"/>
      <c r="N20" s="15" t="s">
        <v>59</v>
      </c>
      <c r="O20" s="15"/>
      <c r="P20" s="15"/>
      <c r="Q20" s="15" t="s">
        <v>59</v>
      </c>
      <c r="R20" s="15"/>
      <c r="S20" s="15"/>
      <c r="T20" s="15" t="s">
        <v>59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169</v>
      </c>
      <c r="B21" s="13" t="s">
        <v>58</v>
      </c>
      <c r="C21" s="14">
        <v>12</v>
      </c>
      <c r="D21" s="14">
        <v>13</v>
      </c>
      <c r="E21" s="14">
        <f t="shared" si="1"/>
        <v>1</v>
      </c>
      <c r="F21" s="15"/>
      <c r="G21" s="15" t="s">
        <v>59</v>
      </c>
      <c r="H21" s="15"/>
      <c r="I21" s="15"/>
      <c r="J21" s="15"/>
      <c r="K21" s="15" t="s">
        <v>59</v>
      </c>
      <c r="L21" s="15"/>
      <c r="M21" s="15"/>
      <c r="N21" s="15" t="s">
        <v>59</v>
      </c>
      <c r="O21" s="15"/>
      <c r="P21" s="15"/>
      <c r="Q21" s="15" t="s">
        <v>59</v>
      </c>
      <c r="R21" s="15"/>
      <c r="S21" s="15"/>
      <c r="T21" s="15" t="s">
        <v>59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169</v>
      </c>
      <c r="B22" s="13" t="s">
        <v>58</v>
      </c>
      <c r="C22" s="14">
        <v>13</v>
      </c>
      <c r="D22" s="14">
        <v>14</v>
      </c>
      <c r="E22" s="14">
        <f t="shared" si="1"/>
        <v>1</v>
      </c>
      <c r="F22" s="15"/>
      <c r="G22" s="15" t="s">
        <v>59</v>
      </c>
      <c r="H22" s="15"/>
      <c r="I22" s="15"/>
      <c r="J22" s="15"/>
      <c r="K22" s="15" t="s">
        <v>59</v>
      </c>
      <c r="L22" s="15"/>
      <c r="M22" s="15"/>
      <c r="N22" s="15" t="s">
        <v>59</v>
      </c>
      <c r="O22" s="15"/>
      <c r="P22" s="15"/>
      <c r="Q22" s="15" t="s">
        <v>59</v>
      </c>
      <c r="R22" s="15"/>
      <c r="S22" s="15"/>
      <c r="T22" s="15" t="s">
        <v>59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169</v>
      </c>
      <c r="B23" s="13" t="s">
        <v>58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59</v>
      </c>
      <c r="I23" s="15"/>
      <c r="J23" s="15"/>
      <c r="K23" s="15" t="s">
        <v>59</v>
      </c>
      <c r="L23" s="15"/>
      <c r="M23" s="15"/>
      <c r="N23" s="15" t="s">
        <v>59</v>
      </c>
      <c r="O23" s="15"/>
      <c r="P23" s="15"/>
      <c r="Q23" s="15" t="s">
        <v>59</v>
      </c>
      <c r="R23" s="15"/>
      <c r="S23" s="15"/>
      <c r="T23" s="15" t="s">
        <v>59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169</v>
      </c>
      <c r="B24" s="13" t="s">
        <v>58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59</v>
      </c>
      <c r="I24" s="15"/>
      <c r="J24" s="15"/>
      <c r="K24" s="15" t="s">
        <v>59</v>
      </c>
      <c r="L24" s="15"/>
      <c r="M24" s="15"/>
      <c r="N24" s="15" t="s">
        <v>59</v>
      </c>
      <c r="O24" s="15"/>
      <c r="P24" s="15"/>
      <c r="Q24" s="15" t="s">
        <v>59</v>
      </c>
      <c r="R24" s="15"/>
      <c r="S24" s="15"/>
      <c r="T24" s="15" t="s">
        <v>59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169</v>
      </c>
      <c r="B25" s="13" t="s">
        <v>58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59</v>
      </c>
      <c r="I25" s="15"/>
      <c r="J25" s="15"/>
      <c r="K25" s="15" t="s">
        <v>59</v>
      </c>
      <c r="L25" s="15"/>
      <c r="M25" s="15"/>
      <c r="N25" s="15" t="s">
        <v>59</v>
      </c>
      <c r="O25" s="15"/>
      <c r="P25" s="15"/>
      <c r="Q25" s="15" t="s">
        <v>59</v>
      </c>
      <c r="R25" s="15"/>
      <c r="S25" s="15"/>
      <c r="T25" s="15" t="s">
        <v>59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169</v>
      </c>
      <c r="B26" s="13" t="s">
        <v>58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59</v>
      </c>
      <c r="I26" s="15"/>
      <c r="J26" s="15"/>
      <c r="K26" s="15" t="s">
        <v>59</v>
      </c>
      <c r="L26" s="15"/>
      <c r="M26" s="15"/>
      <c r="N26" s="15" t="s">
        <v>59</v>
      </c>
      <c r="O26" s="15"/>
      <c r="P26" s="15"/>
      <c r="Q26" s="15" t="s">
        <v>59</v>
      </c>
      <c r="R26" s="15"/>
      <c r="S26" s="15"/>
      <c r="T26" s="15" t="s">
        <v>59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169</v>
      </c>
      <c r="B27" s="13" t="s">
        <v>58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59</v>
      </c>
      <c r="I27" s="15"/>
      <c r="J27" s="15"/>
      <c r="K27" s="15" t="s">
        <v>59</v>
      </c>
      <c r="L27" s="15"/>
      <c r="M27" s="15"/>
      <c r="N27" s="15" t="s">
        <v>59</v>
      </c>
      <c r="O27" s="15"/>
      <c r="P27" s="15"/>
      <c r="Q27" s="15" t="s">
        <v>59</v>
      </c>
      <c r="R27" s="15"/>
      <c r="S27" s="15"/>
      <c r="T27" s="15" t="s">
        <v>59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169</v>
      </c>
      <c r="B28" s="13" t="s">
        <v>58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59</v>
      </c>
      <c r="I28" s="15"/>
      <c r="J28" s="15"/>
      <c r="K28" s="15" t="s">
        <v>59</v>
      </c>
      <c r="L28" s="15"/>
      <c r="M28" s="15"/>
      <c r="N28" s="15" t="s">
        <v>59</v>
      </c>
      <c r="O28" s="15"/>
      <c r="P28" s="15"/>
      <c r="Q28" s="15" t="s">
        <v>59</v>
      </c>
      <c r="R28" s="15"/>
      <c r="S28" s="15"/>
      <c r="T28" s="15" t="s">
        <v>59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8" t="s">
        <v>169</v>
      </c>
      <c r="B29" s="19" t="s">
        <v>58</v>
      </c>
      <c r="C29" s="20">
        <v>20</v>
      </c>
      <c r="D29" s="20">
        <v>20.941914691400001</v>
      </c>
      <c r="E29" s="20">
        <f t="shared" si="1"/>
        <v>0.94191469140000095</v>
      </c>
      <c r="F29" s="21"/>
      <c r="G29" s="21"/>
      <c r="H29" s="21" t="s">
        <v>59</v>
      </c>
      <c r="I29" s="21"/>
      <c r="J29" s="21"/>
      <c r="K29" s="21" t="s">
        <v>59</v>
      </c>
      <c r="L29" s="21"/>
      <c r="M29" s="21"/>
      <c r="N29" s="21" t="s">
        <v>59</v>
      </c>
      <c r="O29" s="21"/>
      <c r="P29" s="21"/>
      <c r="Q29" s="21" t="s">
        <v>59</v>
      </c>
      <c r="R29" s="21"/>
      <c r="S29" s="21"/>
      <c r="T29" s="21" t="s">
        <v>59</v>
      </c>
      <c r="U29" s="21"/>
      <c r="V29" s="22"/>
      <c r="W29" s="23" t="str">
        <f t="shared" si="2"/>
        <v>OK</v>
      </c>
    </row>
    <row r="30" spans="1:23" ht="15.95" customHeight="1" x14ac:dyDescent="0.25">
      <c r="A30" s="39" t="s">
        <v>170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0"/>
      <c r="W30" s="4"/>
    </row>
    <row r="31" spans="1:23" ht="20.100000000000001" customHeight="1" x14ac:dyDescent="0.25">
      <c r="A31" s="12" t="s">
        <v>171</v>
      </c>
      <c r="B31" s="13" t="s">
        <v>58</v>
      </c>
      <c r="C31" s="14">
        <v>0</v>
      </c>
      <c r="D31" s="14">
        <v>1</v>
      </c>
      <c r="E31" s="14">
        <f t="shared" ref="E31:E43" si="3">D31-C31</f>
        <v>1</v>
      </c>
      <c r="F31" s="15"/>
      <c r="G31" s="15" t="s">
        <v>59</v>
      </c>
      <c r="H31" s="15"/>
      <c r="I31" s="15"/>
      <c r="J31" s="15"/>
      <c r="K31" s="15" t="s">
        <v>59</v>
      </c>
      <c r="L31" s="15"/>
      <c r="M31" s="15"/>
      <c r="N31" s="15" t="s">
        <v>59</v>
      </c>
      <c r="O31" s="15"/>
      <c r="P31" s="15"/>
      <c r="Q31" s="15" t="s">
        <v>59</v>
      </c>
      <c r="R31" s="15"/>
      <c r="S31" s="15"/>
      <c r="T31" s="15" t="s">
        <v>59</v>
      </c>
      <c r="U31" s="15"/>
      <c r="V31" s="16"/>
      <c r="W31" s="17" t="str">
        <f t="shared" ref="W31:W43" si="4">IF(COUNTA(F31:U31)=0,"— não preenchido",IF(COUNTIF(F31:J31,"X")&lt;&gt;1,"FALTA/DUPLA: CONDIÇÃO DO PAVIMENTO",IF(COUNTIF(K31:L31,"X")&lt;&gt;1,"FALTA/DUPLA: VEGETAÇÃO",IF(COUNTIF(M31:O31,"X")&lt;&gt;1,"FALTA/DUPLA: ELEM. DE DRENAGEM",IF(COUNTIF(P31:R31,"X")&lt;&gt;1,"FALTA/DUPLA: SIN. HORIZ.",IF(COUNTIF(S31:U31,"X")&lt;&gt;1,"FALTA/DUPLA: SIN. VERTICAL","OK"))))))</f>
        <v>OK</v>
      </c>
    </row>
    <row r="32" spans="1:23" ht="20.100000000000001" customHeight="1" x14ac:dyDescent="0.25">
      <c r="A32" s="12" t="s">
        <v>171</v>
      </c>
      <c r="B32" s="13" t="s">
        <v>58</v>
      </c>
      <c r="C32" s="14">
        <v>1</v>
      </c>
      <c r="D32" s="14">
        <v>2</v>
      </c>
      <c r="E32" s="14">
        <f t="shared" si="3"/>
        <v>1</v>
      </c>
      <c r="F32" s="15"/>
      <c r="G32" s="15" t="s">
        <v>59</v>
      </c>
      <c r="H32" s="15"/>
      <c r="I32" s="15"/>
      <c r="J32" s="15"/>
      <c r="K32" s="15" t="s">
        <v>59</v>
      </c>
      <c r="L32" s="15"/>
      <c r="M32" s="15"/>
      <c r="N32" s="15" t="s">
        <v>59</v>
      </c>
      <c r="O32" s="15"/>
      <c r="P32" s="15"/>
      <c r="Q32" s="15" t="s">
        <v>59</v>
      </c>
      <c r="R32" s="15"/>
      <c r="S32" s="15"/>
      <c r="T32" s="15" t="s">
        <v>59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171</v>
      </c>
      <c r="B33" s="13" t="s">
        <v>58</v>
      </c>
      <c r="C33" s="14">
        <v>2</v>
      </c>
      <c r="D33" s="14">
        <v>3</v>
      </c>
      <c r="E33" s="14">
        <f t="shared" si="3"/>
        <v>1</v>
      </c>
      <c r="F33" s="15"/>
      <c r="G33" s="15" t="s">
        <v>59</v>
      </c>
      <c r="H33" s="15"/>
      <c r="I33" s="15"/>
      <c r="J33" s="15"/>
      <c r="K33" s="15" t="s">
        <v>59</v>
      </c>
      <c r="L33" s="15"/>
      <c r="M33" s="15"/>
      <c r="N33" s="15" t="s">
        <v>59</v>
      </c>
      <c r="O33" s="15"/>
      <c r="P33" s="15"/>
      <c r="Q33" s="15" t="s">
        <v>59</v>
      </c>
      <c r="R33" s="15"/>
      <c r="S33" s="15"/>
      <c r="T33" s="15" t="s">
        <v>59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171</v>
      </c>
      <c r="B34" s="13" t="s">
        <v>58</v>
      </c>
      <c r="C34" s="14">
        <v>3</v>
      </c>
      <c r="D34" s="14">
        <v>4</v>
      </c>
      <c r="E34" s="14">
        <f t="shared" si="3"/>
        <v>1</v>
      </c>
      <c r="F34" s="15"/>
      <c r="G34" s="15"/>
      <c r="H34" s="15" t="s">
        <v>59</v>
      </c>
      <c r="I34" s="15"/>
      <c r="J34" s="15"/>
      <c r="K34" s="15" t="s">
        <v>59</v>
      </c>
      <c r="L34" s="15"/>
      <c r="M34" s="15"/>
      <c r="N34" s="15" t="s">
        <v>59</v>
      </c>
      <c r="O34" s="15"/>
      <c r="P34" s="15"/>
      <c r="Q34" s="15" t="s">
        <v>59</v>
      </c>
      <c r="R34" s="15"/>
      <c r="S34" s="15"/>
      <c r="T34" s="15" t="s">
        <v>59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171</v>
      </c>
      <c r="B35" s="13" t="s">
        <v>58</v>
      </c>
      <c r="C35" s="14">
        <v>4</v>
      </c>
      <c r="D35" s="14">
        <v>5</v>
      </c>
      <c r="E35" s="14">
        <f t="shared" si="3"/>
        <v>1</v>
      </c>
      <c r="F35" s="15"/>
      <c r="G35" s="15"/>
      <c r="H35" s="15" t="s">
        <v>59</v>
      </c>
      <c r="I35" s="15"/>
      <c r="J35" s="15"/>
      <c r="K35" s="15" t="s">
        <v>59</v>
      </c>
      <c r="L35" s="15"/>
      <c r="M35" s="15"/>
      <c r="N35" s="15" t="s">
        <v>59</v>
      </c>
      <c r="O35" s="15"/>
      <c r="P35" s="15"/>
      <c r="Q35" s="15" t="s">
        <v>59</v>
      </c>
      <c r="R35" s="15"/>
      <c r="S35" s="15"/>
      <c r="T35" s="15" t="s">
        <v>59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171</v>
      </c>
      <c r="B36" s="13" t="s">
        <v>58</v>
      </c>
      <c r="C36" s="14">
        <v>5</v>
      </c>
      <c r="D36" s="14">
        <v>6</v>
      </c>
      <c r="E36" s="14">
        <f t="shared" si="3"/>
        <v>1</v>
      </c>
      <c r="F36" s="15"/>
      <c r="G36" s="15"/>
      <c r="H36" s="15" t="s">
        <v>59</v>
      </c>
      <c r="I36" s="15"/>
      <c r="J36" s="15"/>
      <c r="K36" s="15" t="s">
        <v>59</v>
      </c>
      <c r="L36" s="15"/>
      <c r="M36" s="15"/>
      <c r="N36" s="15" t="s">
        <v>59</v>
      </c>
      <c r="O36" s="15"/>
      <c r="P36" s="15"/>
      <c r="Q36" s="15" t="s">
        <v>59</v>
      </c>
      <c r="R36" s="15"/>
      <c r="S36" s="15"/>
      <c r="T36" s="15" t="s">
        <v>59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171</v>
      </c>
      <c r="B37" s="13" t="s">
        <v>58</v>
      </c>
      <c r="C37" s="14">
        <v>6</v>
      </c>
      <c r="D37" s="14">
        <v>7</v>
      </c>
      <c r="E37" s="14">
        <f t="shared" si="3"/>
        <v>1</v>
      </c>
      <c r="F37" s="15"/>
      <c r="G37" s="15"/>
      <c r="H37" s="15" t="s">
        <v>59</v>
      </c>
      <c r="I37" s="15"/>
      <c r="J37" s="15"/>
      <c r="K37" s="15" t="s">
        <v>59</v>
      </c>
      <c r="L37" s="15"/>
      <c r="M37" s="15"/>
      <c r="N37" s="15" t="s">
        <v>59</v>
      </c>
      <c r="O37" s="15"/>
      <c r="P37" s="15"/>
      <c r="Q37" s="15" t="s">
        <v>59</v>
      </c>
      <c r="R37" s="15"/>
      <c r="S37" s="15"/>
      <c r="T37" s="15" t="s">
        <v>59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171</v>
      </c>
      <c r="B38" s="13" t="s">
        <v>58</v>
      </c>
      <c r="C38" s="14">
        <v>7</v>
      </c>
      <c r="D38" s="14">
        <v>8</v>
      </c>
      <c r="E38" s="14">
        <f t="shared" si="3"/>
        <v>1</v>
      </c>
      <c r="F38" s="15"/>
      <c r="G38" s="15" t="s">
        <v>59</v>
      </c>
      <c r="H38" s="15"/>
      <c r="I38" s="15"/>
      <c r="J38" s="15"/>
      <c r="K38" s="15" t="s">
        <v>59</v>
      </c>
      <c r="L38" s="15"/>
      <c r="M38" s="15"/>
      <c r="N38" s="15" t="s">
        <v>59</v>
      </c>
      <c r="O38" s="15"/>
      <c r="P38" s="15"/>
      <c r="Q38" s="15" t="s">
        <v>59</v>
      </c>
      <c r="R38" s="15"/>
      <c r="S38" s="15"/>
      <c r="T38" s="15" t="s">
        <v>59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171</v>
      </c>
      <c r="B39" s="13" t="s">
        <v>58</v>
      </c>
      <c r="C39" s="14">
        <v>8</v>
      </c>
      <c r="D39" s="14">
        <v>9</v>
      </c>
      <c r="E39" s="14">
        <f t="shared" si="3"/>
        <v>1</v>
      </c>
      <c r="F39" s="15"/>
      <c r="G39" s="15" t="s">
        <v>59</v>
      </c>
      <c r="H39" s="15"/>
      <c r="I39" s="15"/>
      <c r="J39" s="15"/>
      <c r="K39" s="15" t="s">
        <v>59</v>
      </c>
      <c r="L39" s="15"/>
      <c r="M39" s="15"/>
      <c r="N39" s="15" t="s">
        <v>59</v>
      </c>
      <c r="O39" s="15"/>
      <c r="P39" s="15"/>
      <c r="Q39" s="15" t="s">
        <v>59</v>
      </c>
      <c r="R39" s="15"/>
      <c r="S39" s="15"/>
      <c r="T39" s="15" t="s">
        <v>59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171</v>
      </c>
      <c r="B40" s="13" t="s">
        <v>58</v>
      </c>
      <c r="C40" s="14">
        <v>9</v>
      </c>
      <c r="D40" s="14">
        <v>10</v>
      </c>
      <c r="E40" s="14">
        <f t="shared" si="3"/>
        <v>1</v>
      </c>
      <c r="F40" s="15"/>
      <c r="G40" s="15"/>
      <c r="H40" s="15" t="s">
        <v>59</v>
      </c>
      <c r="I40" s="15"/>
      <c r="J40" s="15"/>
      <c r="K40" s="15" t="s">
        <v>59</v>
      </c>
      <c r="L40" s="15"/>
      <c r="M40" s="15"/>
      <c r="N40" s="15" t="s">
        <v>59</v>
      </c>
      <c r="O40" s="15"/>
      <c r="P40" s="15"/>
      <c r="Q40" s="15" t="s">
        <v>59</v>
      </c>
      <c r="R40" s="15"/>
      <c r="S40" s="15"/>
      <c r="T40" s="15" t="s">
        <v>59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171</v>
      </c>
      <c r="B41" s="13" t="s">
        <v>58</v>
      </c>
      <c r="C41" s="14">
        <v>10</v>
      </c>
      <c r="D41" s="14">
        <v>11</v>
      </c>
      <c r="E41" s="14">
        <f t="shared" si="3"/>
        <v>1</v>
      </c>
      <c r="F41" s="15"/>
      <c r="G41" s="15"/>
      <c r="H41" s="15" t="s">
        <v>59</v>
      </c>
      <c r="I41" s="15"/>
      <c r="J41" s="15"/>
      <c r="K41" s="15" t="s">
        <v>59</v>
      </c>
      <c r="L41" s="15"/>
      <c r="M41" s="15"/>
      <c r="N41" s="15" t="s">
        <v>59</v>
      </c>
      <c r="O41" s="15"/>
      <c r="P41" s="15"/>
      <c r="Q41" s="15" t="s">
        <v>59</v>
      </c>
      <c r="R41" s="15"/>
      <c r="S41" s="15"/>
      <c r="T41" s="15" t="s">
        <v>59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171</v>
      </c>
      <c r="B42" s="13" t="s">
        <v>58</v>
      </c>
      <c r="C42" s="14">
        <v>11</v>
      </c>
      <c r="D42" s="14">
        <v>12</v>
      </c>
      <c r="E42" s="14">
        <f t="shared" si="3"/>
        <v>1</v>
      </c>
      <c r="F42" s="15"/>
      <c r="G42" s="15"/>
      <c r="H42" s="15" t="s">
        <v>59</v>
      </c>
      <c r="I42" s="15"/>
      <c r="J42" s="15"/>
      <c r="K42" s="15" t="s">
        <v>59</v>
      </c>
      <c r="L42" s="15"/>
      <c r="M42" s="15"/>
      <c r="N42" s="15" t="s">
        <v>59</v>
      </c>
      <c r="O42" s="15"/>
      <c r="P42" s="15"/>
      <c r="Q42" s="15" t="s">
        <v>59</v>
      </c>
      <c r="R42" s="15"/>
      <c r="S42" s="15"/>
      <c r="T42" s="15" t="s">
        <v>59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8" t="s">
        <v>171</v>
      </c>
      <c r="B43" s="19" t="s">
        <v>58</v>
      </c>
      <c r="C43" s="20">
        <v>12</v>
      </c>
      <c r="D43" s="20">
        <v>12.101114412199999</v>
      </c>
      <c r="E43" s="20">
        <f t="shared" si="3"/>
        <v>0.10111441219999939</v>
      </c>
      <c r="F43" s="21"/>
      <c r="G43" s="21"/>
      <c r="H43" s="21" t="s">
        <v>59</v>
      </c>
      <c r="I43" s="21"/>
      <c r="J43" s="21"/>
      <c r="K43" s="21" t="s">
        <v>59</v>
      </c>
      <c r="L43" s="21"/>
      <c r="M43" s="21"/>
      <c r="N43" s="21" t="s">
        <v>59</v>
      </c>
      <c r="O43" s="21"/>
      <c r="P43" s="21"/>
      <c r="Q43" s="21" t="s">
        <v>59</v>
      </c>
      <c r="R43" s="21"/>
      <c r="S43" s="21"/>
      <c r="T43" s="21" t="s">
        <v>59</v>
      </c>
      <c r="U43" s="21"/>
      <c r="V43" s="22"/>
      <c r="W43" s="23" t="str">
        <f t="shared" si="4"/>
        <v>OK</v>
      </c>
    </row>
    <row r="44" spans="1:23" ht="15.95" customHeight="1" x14ac:dyDescent="0.25">
      <c r="A44" s="39" t="s">
        <v>172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0"/>
      <c r="W44" s="4"/>
    </row>
    <row r="45" spans="1:23" ht="20.100000000000001" customHeight="1" x14ac:dyDescent="0.25">
      <c r="A45" s="12" t="s">
        <v>173</v>
      </c>
      <c r="B45" s="13" t="s">
        <v>58</v>
      </c>
      <c r="C45" s="14">
        <v>0</v>
      </c>
      <c r="D45" s="14">
        <v>1</v>
      </c>
      <c r="E45" s="14">
        <f t="shared" ref="E45:E54" si="5">D45-C45</f>
        <v>1</v>
      </c>
      <c r="F45" s="15"/>
      <c r="G45" s="15"/>
      <c r="H45" s="15" t="s">
        <v>59</v>
      </c>
      <c r="I45" s="15"/>
      <c r="J45" s="15"/>
      <c r="K45" s="15" t="s">
        <v>59</v>
      </c>
      <c r="L45" s="15"/>
      <c r="M45" s="15"/>
      <c r="N45" s="15" t="s">
        <v>59</v>
      </c>
      <c r="O45" s="15"/>
      <c r="P45" s="15"/>
      <c r="Q45" s="15" t="s">
        <v>59</v>
      </c>
      <c r="R45" s="15"/>
      <c r="S45" s="15"/>
      <c r="T45" s="15" t="s">
        <v>59</v>
      </c>
      <c r="U45" s="15"/>
      <c r="V45" s="16"/>
      <c r="W45" s="17" t="str">
        <f t="shared" ref="W45:W54" si="6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173</v>
      </c>
      <c r="B46" s="13" t="s">
        <v>58</v>
      </c>
      <c r="C46" s="14">
        <v>1</v>
      </c>
      <c r="D46" s="14">
        <v>2</v>
      </c>
      <c r="E46" s="14">
        <f t="shared" si="5"/>
        <v>1</v>
      </c>
      <c r="F46" s="15"/>
      <c r="G46" s="15"/>
      <c r="H46" s="15" t="s">
        <v>59</v>
      </c>
      <c r="I46" s="15"/>
      <c r="J46" s="15"/>
      <c r="K46" s="15" t="s">
        <v>59</v>
      </c>
      <c r="L46" s="15"/>
      <c r="M46" s="15"/>
      <c r="N46" s="15" t="s">
        <v>59</v>
      </c>
      <c r="O46" s="15"/>
      <c r="P46" s="15"/>
      <c r="Q46" s="15" t="s">
        <v>59</v>
      </c>
      <c r="R46" s="15"/>
      <c r="S46" s="15"/>
      <c r="T46" s="15" t="s">
        <v>59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173</v>
      </c>
      <c r="B47" s="13" t="s">
        <v>58</v>
      </c>
      <c r="C47" s="14">
        <v>2</v>
      </c>
      <c r="D47" s="14">
        <v>3</v>
      </c>
      <c r="E47" s="14">
        <f t="shared" si="5"/>
        <v>1</v>
      </c>
      <c r="F47" s="15"/>
      <c r="G47" s="15"/>
      <c r="H47" s="15" t="s">
        <v>59</v>
      </c>
      <c r="I47" s="15"/>
      <c r="J47" s="15"/>
      <c r="K47" s="15" t="s">
        <v>59</v>
      </c>
      <c r="L47" s="15"/>
      <c r="M47" s="15"/>
      <c r="N47" s="15" t="s">
        <v>59</v>
      </c>
      <c r="O47" s="15"/>
      <c r="P47" s="15"/>
      <c r="Q47" s="15" t="s">
        <v>59</v>
      </c>
      <c r="R47" s="15"/>
      <c r="S47" s="15"/>
      <c r="T47" s="15" t="s">
        <v>59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173</v>
      </c>
      <c r="B48" s="13" t="s">
        <v>58</v>
      </c>
      <c r="C48" s="14">
        <v>3</v>
      </c>
      <c r="D48" s="14">
        <v>4</v>
      </c>
      <c r="E48" s="14">
        <f t="shared" si="5"/>
        <v>1</v>
      </c>
      <c r="F48" s="15"/>
      <c r="G48" s="15"/>
      <c r="H48" s="15" t="s">
        <v>59</v>
      </c>
      <c r="I48" s="15"/>
      <c r="J48" s="15"/>
      <c r="K48" s="15" t="s">
        <v>59</v>
      </c>
      <c r="L48" s="15"/>
      <c r="M48" s="15"/>
      <c r="N48" s="15" t="s">
        <v>59</v>
      </c>
      <c r="O48" s="15"/>
      <c r="P48" s="15"/>
      <c r="Q48" s="15" t="s">
        <v>59</v>
      </c>
      <c r="R48" s="15"/>
      <c r="S48" s="15"/>
      <c r="T48" s="15" t="s">
        <v>59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173</v>
      </c>
      <c r="B49" s="13" t="s">
        <v>58</v>
      </c>
      <c r="C49" s="14">
        <v>4</v>
      </c>
      <c r="D49" s="14">
        <v>5</v>
      </c>
      <c r="E49" s="14">
        <f t="shared" si="5"/>
        <v>1</v>
      </c>
      <c r="F49" s="15"/>
      <c r="G49" s="15"/>
      <c r="H49" s="15" t="s">
        <v>59</v>
      </c>
      <c r="I49" s="15"/>
      <c r="J49" s="15"/>
      <c r="K49" s="15" t="s">
        <v>59</v>
      </c>
      <c r="L49" s="15"/>
      <c r="M49" s="15"/>
      <c r="N49" s="15" t="s">
        <v>59</v>
      </c>
      <c r="O49" s="15"/>
      <c r="P49" s="15"/>
      <c r="Q49" s="15" t="s">
        <v>59</v>
      </c>
      <c r="R49" s="15"/>
      <c r="S49" s="15"/>
      <c r="T49" s="15" t="s">
        <v>59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173</v>
      </c>
      <c r="B50" s="13" t="s">
        <v>58</v>
      </c>
      <c r="C50" s="14">
        <v>5</v>
      </c>
      <c r="D50" s="14">
        <v>6</v>
      </c>
      <c r="E50" s="14">
        <f t="shared" si="5"/>
        <v>1</v>
      </c>
      <c r="F50" s="15"/>
      <c r="G50" s="15"/>
      <c r="H50" s="15" t="s">
        <v>59</v>
      </c>
      <c r="I50" s="15"/>
      <c r="J50" s="15"/>
      <c r="K50" s="15" t="s">
        <v>59</v>
      </c>
      <c r="L50" s="15"/>
      <c r="M50" s="15"/>
      <c r="N50" s="15" t="s">
        <v>59</v>
      </c>
      <c r="O50" s="15"/>
      <c r="P50" s="15"/>
      <c r="Q50" s="15" t="s">
        <v>59</v>
      </c>
      <c r="R50" s="15"/>
      <c r="S50" s="15"/>
      <c r="T50" s="15" t="s">
        <v>59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173</v>
      </c>
      <c r="B51" s="13" t="s">
        <v>58</v>
      </c>
      <c r="C51" s="14">
        <v>6</v>
      </c>
      <c r="D51" s="14">
        <v>7</v>
      </c>
      <c r="E51" s="14">
        <f t="shared" si="5"/>
        <v>1</v>
      </c>
      <c r="F51" s="15"/>
      <c r="G51" s="15" t="s">
        <v>59</v>
      </c>
      <c r="H51" s="15"/>
      <c r="I51" s="15"/>
      <c r="J51" s="15"/>
      <c r="K51" s="15" t="s">
        <v>59</v>
      </c>
      <c r="L51" s="15"/>
      <c r="M51" s="15"/>
      <c r="N51" s="15" t="s">
        <v>59</v>
      </c>
      <c r="O51" s="15"/>
      <c r="P51" s="15"/>
      <c r="Q51" s="15" t="s">
        <v>59</v>
      </c>
      <c r="R51" s="15"/>
      <c r="S51" s="15"/>
      <c r="T51" s="15" t="s">
        <v>59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173</v>
      </c>
      <c r="B52" s="13" t="s">
        <v>58</v>
      </c>
      <c r="C52" s="14">
        <v>7</v>
      </c>
      <c r="D52" s="14">
        <v>8</v>
      </c>
      <c r="E52" s="14">
        <f t="shared" si="5"/>
        <v>1</v>
      </c>
      <c r="F52" s="15"/>
      <c r="G52" s="15" t="s">
        <v>59</v>
      </c>
      <c r="H52" s="15"/>
      <c r="I52" s="15"/>
      <c r="J52" s="15"/>
      <c r="K52" s="15" t="s">
        <v>59</v>
      </c>
      <c r="L52" s="15"/>
      <c r="M52" s="15"/>
      <c r="N52" s="15" t="s">
        <v>59</v>
      </c>
      <c r="O52" s="15"/>
      <c r="P52" s="15"/>
      <c r="Q52" s="15" t="s">
        <v>59</v>
      </c>
      <c r="R52" s="15"/>
      <c r="S52" s="15"/>
      <c r="T52" s="15" t="s">
        <v>59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173</v>
      </c>
      <c r="B53" s="13" t="s">
        <v>58</v>
      </c>
      <c r="C53" s="14">
        <v>8</v>
      </c>
      <c r="D53" s="14">
        <v>9</v>
      </c>
      <c r="E53" s="14">
        <f t="shared" si="5"/>
        <v>1</v>
      </c>
      <c r="F53" s="15"/>
      <c r="G53" s="15" t="s">
        <v>59</v>
      </c>
      <c r="H53" s="15"/>
      <c r="I53" s="15"/>
      <c r="J53" s="15"/>
      <c r="K53" s="15" t="s">
        <v>59</v>
      </c>
      <c r="L53" s="15"/>
      <c r="M53" s="15"/>
      <c r="N53" s="15" t="s">
        <v>59</v>
      </c>
      <c r="O53" s="15"/>
      <c r="P53" s="15"/>
      <c r="Q53" s="15" t="s">
        <v>59</v>
      </c>
      <c r="R53" s="15"/>
      <c r="S53" s="15"/>
      <c r="T53" s="15" t="s">
        <v>59</v>
      </c>
      <c r="U53" s="15"/>
      <c r="V53" s="16"/>
      <c r="W53" s="17" t="str">
        <f t="shared" si="6"/>
        <v>OK</v>
      </c>
    </row>
    <row r="54" spans="1:23" ht="20.100000000000001" customHeight="1" x14ac:dyDescent="0.25">
      <c r="A54" s="18" t="s">
        <v>173</v>
      </c>
      <c r="B54" s="19" t="s">
        <v>58</v>
      </c>
      <c r="C54" s="20">
        <v>9</v>
      </c>
      <c r="D54" s="20">
        <v>9.0435974920700009</v>
      </c>
      <c r="E54" s="20">
        <f t="shared" si="5"/>
        <v>4.3597492070000854E-2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2"/>
      <c r="W54" s="23" t="str">
        <f t="shared" si="6"/>
        <v>— não preenchido</v>
      </c>
    </row>
    <row r="56" spans="1:23" x14ac:dyDescent="0.25">
      <c r="A56" s="43" t="s">
        <v>60</v>
      </c>
      <c r="B56" s="28"/>
      <c r="C56" s="28"/>
      <c r="D56" s="28"/>
      <c r="E56" s="28"/>
      <c r="G56" s="43" t="s">
        <v>60</v>
      </c>
      <c r="H56" s="28"/>
      <c r="I56" s="28"/>
      <c r="J56" s="28"/>
      <c r="K56" s="28"/>
    </row>
    <row r="57" spans="1:23" x14ac:dyDescent="0.25">
      <c r="A57" s="41" t="s">
        <v>61</v>
      </c>
      <c r="B57" s="28"/>
      <c r="C57" s="28"/>
      <c r="D57" s="28"/>
      <c r="E57" s="28"/>
      <c r="G57" s="41" t="s">
        <v>62</v>
      </c>
      <c r="H57" s="28"/>
      <c r="I57" s="28"/>
      <c r="J57" s="28"/>
      <c r="K57" s="28"/>
    </row>
    <row r="59" spans="1:23" x14ac:dyDescent="0.25">
      <c r="A59" s="49" t="s">
        <v>63</v>
      </c>
      <c r="B59" s="28"/>
      <c r="C59" s="28"/>
      <c r="D59" s="28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3" x14ac:dyDescent="0.25">
      <c r="A60" s="35" t="s">
        <v>64</v>
      </c>
      <c r="B60" s="28"/>
      <c r="C60" s="28"/>
      <c r="D60" s="28"/>
      <c r="E60" s="28"/>
      <c r="F60" s="9">
        <f t="shared" ref="F60:U60" si="7">SUMIF(F$9:F$54,"X",$E$9:$E$54)</f>
        <v>2</v>
      </c>
      <c r="G60" s="9">
        <f t="shared" si="7"/>
        <v>20</v>
      </c>
      <c r="H60" s="9">
        <f t="shared" si="7"/>
        <v>20.043029103599999</v>
      </c>
      <c r="I60" s="9">
        <f t="shared" si="7"/>
        <v>0</v>
      </c>
      <c r="J60" s="9">
        <f t="shared" si="7"/>
        <v>0</v>
      </c>
      <c r="K60" s="9">
        <f t="shared" si="7"/>
        <v>42.043029103599999</v>
      </c>
      <c r="L60" s="9">
        <f t="shared" si="7"/>
        <v>0</v>
      </c>
      <c r="M60" s="9">
        <f t="shared" si="7"/>
        <v>0</v>
      </c>
      <c r="N60" s="9">
        <f t="shared" si="7"/>
        <v>42.043029103599999</v>
      </c>
      <c r="O60" s="9">
        <f t="shared" si="7"/>
        <v>0</v>
      </c>
      <c r="P60" s="9">
        <f t="shared" si="7"/>
        <v>0</v>
      </c>
      <c r="Q60" s="9">
        <f t="shared" si="7"/>
        <v>42.043029103599999</v>
      </c>
      <c r="R60" s="9">
        <f t="shared" si="7"/>
        <v>0</v>
      </c>
      <c r="S60" s="9">
        <f t="shared" si="7"/>
        <v>0</v>
      </c>
      <c r="T60" s="9">
        <f t="shared" si="7"/>
        <v>42.043029103599999</v>
      </c>
      <c r="U60" s="9">
        <f t="shared" si="7"/>
        <v>0</v>
      </c>
    </row>
    <row r="61" spans="1:23" x14ac:dyDescent="0.25">
      <c r="A61" s="35" t="s">
        <v>65</v>
      </c>
      <c r="B61" s="28"/>
      <c r="C61" s="28"/>
      <c r="D61" s="28"/>
      <c r="E61" s="28"/>
      <c r="F61" s="25">
        <f t="shared" ref="F61:U61" si="8">IF($R63=0,0,F60/$R63)</f>
        <v>4.7521033681653314E-2</v>
      </c>
      <c r="G61" s="25">
        <f t="shared" si="8"/>
        <v>0.47521033681653313</v>
      </c>
      <c r="H61" s="25">
        <f t="shared" si="8"/>
        <v>0.47623273055726656</v>
      </c>
      <c r="I61" s="25">
        <f t="shared" si="8"/>
        <v>0</v>
      </c>
      <c r="J61" s="25">
        <f t="shared" si="8"/>
        <v>0</v>
      </c>
      <c r="K61" s="25">
        <f t="shared" si="8"/>
        <v>0.99896410105545297</v>
      </c>
      <c r="L61" s="25">
        <f t="shared" si="8"/>
        <v>0</v>
      </c>
      <c r="M61" s="25">
        <f t="shared" si="8"/>
        <v>0</v>
      </c>
      <c r="N61" s="25">
        <f t="shared" si="8"/>
        <v>0.99896410105545297</v>
      </c>
      <c r="O61" s="25">
        <f t="shared" si="8"/>
        <v>0</v>
      </c>
      <c r="P61" s="25">
        <f t="shared" si="8"/>
        <v>0</v>
      </c>
      <c r="Q61" s="25">
        <f t="shared" si="8"/>
        <v>0.99896410105545297</v>
      </c>
      <c r="R61" s="25">
        <f t="shared" si="8"/>
        <v>0</v>
      </c>
      <c r="S61" s="25">
        <f t="shared" si="8"/>
        <v>0</v>
      </c>
      <c r="T61" s="25">
        <f t="shared" si="8"/>
        <v>0.99896410105545297</v>
      </c>
      <c r="U61" s="25">
        <f t="shared" si="8"/>
        <v>0</v>
      </c>
    </row>
    <row r="62" spans="1:23" x14ac:dyDescent="0.25">
      <c r="A62" s="35" t="s">
        <v>66</v>
      </c>
      <c r="B62" s="28"/>
      <c r="C62" s="28"/>
      <c r="D62" s="28"/>
      <c r="E62" s="28"/>
      <c r="F62" s="45" t="str">
        <f>IF(SUM(F60:J60)=0,"— não preenchido",IF(ROUND(SUM(F60:J60)-$R63,3)=0,"OK — "&amp;ROUND(SUM(F60:J60),3)&amp;" km","ERRO — dif. de "&amp;ROUND(SUM(F60:J60)-$R63,3)&amp;" km"))</f>
        <v>ERRO — dif. de -0,044 km</v>
      </c>
      <c r="G62" s="32"/>
      <c r="H62" s="32"/>
      <c r="I62" s="32"/>
      <c r="J62" s="30"/>
      <c r="K62" s="45" t="str">
        <f>IF(SUM(K60:L60)=0,"— não preenchido",IF(ROUND(SUM(K60:L60)-$R63,3)=0,"OK — "&amp;ROUND(SUM(K60:L60),3)&amp;" km","ERRO — dif. de "&amp;ROUND(SUM(K60:L60)-$R63,3)&amp;" km"))</f>
        <v>ERRO — dif. de -0,044 km</v>
      </c>
      <c r="L62" s="30"/>
      <c r="M62" s="45" t="str">
        <f>IF(SUM(M60:O60)=0,"— não preenchido",IF(ROUND(SUM(M60:O60)-$R63,3)=0,"OK — "&amp;ROUND(SUM(M60:O60),3)&amp;" km","ERRO — dif. de "&amp;ROUND(SUM(M60:O60)-$R63,3)&amp;" km"))</f>
        <v>ERRO — dif. de -0,044 km</v>
      </c>
      <c r="N62" s="32"/>
      <c r="O62" s="30"/>
      <c r="P62" s="45" t="str">
        <f>IF(SUM(P60:R60)=0,"— não preenchido",IF(ROUND(SUM(P60:R60)-$R63,3)=0,"OK — "&amp;ROUND(SUM(P60:R60),3)&amp;" km","ERRO — dif. de "&amp;ROUND(SUM(P60:R60)-$R63,3)&amp;" km"))</f>
        <v>ERRO — dif. de -0,044 km</v>
      </c>
      <c r="Q62" s="32"/>
      <c r="R62" s="30"/>
      <c r="S62" s="45" t="str">
        <f>IF(SUM(S60:U60)=0,"— não preenchido",IF(ROUND(SUM(S60:U60)-$R63,3)=0,"OK — "&amp;ROUND(SUM(S60:U60),3)&amp;" km","ERRO — dif. de "&amp;ROUND(SUM(S60:U60)-$R63,3)&amp;" km"))</f>
        <v>ERRO — dif. de -0,044 km</v>
      </c>
      <c r="T62" s="32"/>
      <c r="U62" s="30"/>
    </row>
    <row r="63" spans="1:23" x14ac:dyDescent="0.25">
      <c r="A63" s="35" t="s">
        <v>67</v>
      </c>
      <c r="B63" s="28"/>
      <c r="C63" s="28"/>
      <c r="D63" s="28"/>
      <c r="E63" s="28"/>
      <c r="R63" s="26">
        <f>SUM(E9:E54)</f>
        <v>42.086626595669998</v>
      </c>
      <c r="V63" s="8" t="str">
        <f>COUNTIF(W9:W54,"OK")&amp;" de "&amp;COUNT($E$9:$E$54)&amp;" linhas conferidas"</f>
        <v>43 de 44 linhas conferidas</v>
      </c>
    </row>
    <row r="65" spans="1:22" x14ac:dyDescent="0.25">
      <c r="A65" s="44" t="s">
        <v>68</v>
      </c>
      <c r="B65" s="28"/>
      <c r="C65" s="28"/>
      <c r="D65" s="28"/>
      <c r="E65" s="28"/>
    </row>
    <row r="66" spans="1:22" x14ac:dyDescent="0.25">
      <c r="A66" s="35" t="s">
        <v>69</v>
      </c>
      <c r="B66" s="28"/>
      <c r="C66" s="28"/>
      <c r="D66" s="28"/>
      <c r="E66" s="34" t="s">
        <v>70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71</v>
      </c>
      <c r="B67" s="28"/>
      <c r="C67" s="28"/>
      <c r="D67" s="28"/>
      <c r="E67" s="34" t="s">
        <v>72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73</v>
      </c>
      <c r="B68" s="28"/>
      <c r="C68" s="28"/>
      <c r="D68" s="28"/>
      <c r="E68" s="34" t="s">
        <v>74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5" t="s">
        <v>75</v>
      </c>
      <c r="B69" s="28"/>
      <c r="C69" s="28"/>
      <c r="D69" s="28"/>
      <c r="E69" s="34" t="s">
        <v>76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5" t="s">
        <v>77</v>
      </c>
      <c r="B70" s="28"/>
      <c r="C70" s="28"/>
      <c r="D70" s="28"/>
      <c r="E70" s="34" t="s">
        <v>78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5" t="s">
        <v>50</v>
      </c>
      <c r="B71" s="28"/>
      <c r="C71" s="28"/>
      <c r="D71" s="28"/>
      <c r="E71" s="34" t="s">
        <v>79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5" t="s">
        <v>80</v>
      </c>
      <c r="B72" s="28"/>
      <c r="C72" s="28"/>
      <c r="D72" s="28"/>
      <c r="E72" s="34" t="s">
        <v>81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5" t="s">
        <v>82</v>
      </c>
      <c r="B73" s="28"/>
      <c r="C73" s="28"/>
      <c r="D73" s="28"/>
      <c r="E73" s="34" t="s">
        <v>83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5" t="s">
        <v>11</v>
      </c>
      <c r="B74" s="28"/>
      <c r="C74" s="28"/>
      <c r="D74" s="28"/>
      <c r="E74" s="34" t="s">
        <v>84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</sheetData>
  <sheetProtection sheet="1" formatCells="0"/>
  <mergeCells count="59">
    <mergeCell ref="A1:V1"/>
    <mergeCell ref="K62:L62"/>
    <mergeCell ref="T3:V3"/>
    <mergeCell ref="E66:V66"/>
    <mergeCell ref="A66:D66"/>
    <mergeCell ref="A62:E62"/>
    <mergeCell ref="S62:U62"/>
    <mergeCell ref="A63:E63"/>
    <mergeCell ref="R2:V2"/>
    <mergeCell ref="A3:S3"/>
    <mergeCell ref="C6:C7"/>
    <mergeCell ref="K6:L6"/>
    <mergeCell ref="D6:D7"/>
    <mergeCell ref="P6:R6"/>
    <mergeCell ref="W6:W7"/>
    <mergeCell ref="G57:K57"/>
    <mergeCell ref="E6:E7"/>
    <mergeCell ref="A73:D73"/>
    <mergeCell ref="A30:V30"/>
    <mergeCell ref="E70:V70"/>
    <mergeCell ref="B6:B7"/>
    <mergeCell ref="A56:E56"/>
    <mergeCell ref="M62:O62"/>
    <mergeCell ref="F62:J62"/>
    <mergeCell ref="A70:D70"/>
    <mergeCell ref="A57:E57"/>
    <mergeCell ref="P62:R62"/>
    <mergeCell ref="A69:D69"/>
    <mergeCell ref="E72:V72"/>
    <mergeCell ref="E68:V68"/>
    <mergeCell ref="A2:F2"/>
    <mergeCell ref="S6:U6"/>
    <mergeCell ref="E74:V74"/>
    <mergeCell ref="K2:M2"/>
    <mergeCell ref="A65:E65"/>
    <mergeCell ref="A67:D67"/>
    <mergeCell ref="A44:V44"/>
    <mergeCell ref="N2:O2"/>
    <mergeCell ref="P2:Q2"/>
    <mergeCell ref="A74:D74"/>
    <mergeCell ref="E71:V71"/>
    <mergeCell ref="E67:V67"/>
    <mergeCell ref="A71:D71"/>
    <mergeCell ref="E73:V73"/>
    <mergeCell ref="G56:K56"/>
    <mergeCell ref="A59:E59"/>
    <mergeCell ref="G2:H2"/>
    <mergeCell ref="I2:J2"/>
    <mergeCell ref="A60:E60"/>
    <mergeCell ref="A8:V8"/>
    <mergeCell ref="A72:D72"/>
    <mergeCell ref="A6:A7"/>
    <mergeCell ref="F6:J6"/>
    <mergeCell ref="A61:E61"/>
    <mergeCell ref="M6:O6"/>
    <mergeCell ref="E69:V69"/>
    <mergeCell ref="V6:V7"/>
    <mergeCell ref="A4:V4"/>
    <mergeCell ref="A68:D68"/>
  </mergeCells>
  <conditionalFormatting sqref="F9:J54">
    <cfRule type="expression" dxfId="8" priority="1">
      <formula>AND(F9&lt;&gt;"",COUNTIF($F9:$J9,"X")&gt;1)</formula>
    </cfRule>
  </conditionalFormatting>
  <conditionalFormatting sqref="F62:U62">
    <cfRule type="expression" dxfId="7" priority="8">
      <formula>LEFT(F62,4)="ERRO"</formula>
    </cfRule>
    <cfRule type="expression" dxfId="6" priority="9">
      <formula>LEFT(F62,2)="OK"</formula>
    </cfRule>
  </conditionalFormatting>
  <conditionalFormatting sqref="K9:L54">
    <cfRule type="expression" dxfId="5" priority="2">
      <formula>AND(K9&lt;&gt;"",COUNTIF($K9:$L9,"X")&gt;1)</formula>
    </cfRule>
  </conditionalFormatting>
  <conditionalFormatting sqref="M9:O54">
    <cfRule type="expression" dxfId="4" priority="3">
      <formula>AND(M9&lt;&gt;"",COUNTIF($M9:$O9,"X")&gt;1)</formula>
    </cfRule>
  </conditionalFormatting>
  <conditionalFormatting sqref="P9:R54">
    <cfRule type="expression" dxfId="3" priority="4">
      <formula>AND(P9&lt;&gt;"",COUNTIF($P9:$R9,"X")&gt;1)</formula>
    </cfRule>
  </conditionalFormatting>
  <conditionalFormatting sqref="S9:U54">
    <cfRule type="expression" dxfId="2" priority="5">
      <formula>AND(S9&lt;&gt;"",COUNTIF($S9:$U9,"X")&gt;1)</formula>
    </cfRule>
  </conditionalFormatting>
  <conditionalFormatting sqref="W9:W54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4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4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4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4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4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54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244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174</v>
      </c>
    </row>
    <row r="2" spans="1:1" x14ac:dyDescent="0.25">
      <c r="A2" t="s">
        <v>175</v>
      </c>
    </row>
    <row r="3" spans="1:1" x14ac:dyDescent="0.25">
      <c r="A3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224</vt:lpstr>
      <vt:lpstr>225</vt:lpstr>
      <vt:lpstr>226</vt:lpstr>
      <vt:lpstr>227</vt:lpstr>
      <vt:lpstr>228</vt:lpstr>
      <vt:lpstr>229</vt:lpstr>
      <vt:lpstr>230</vt:lpstr>
      <vt:lpstr>231</vt:lpstr>
      <vt:lpstr>233</vt:lpstr>
      <vt:lpstr>234</vt:lpstr>
      <vt:lpstr>235</vt:lpstr>
      <vt:lpstr>243</vt:lpstr>
      <vt:lpstr>244</vt:lpstr>
      <vt:lpstr>LISTAS</vt:lpstr>
      <vt:lpstr>'224'!Area_de_impressao</vt:lpstr>
      <vt:lpstr>'225'!Area_de_impressao</vt:lpstr>
      <vt:lpstr>'226'!Area_de_impressao</vt:lpstr>
      <vt:lpstr>'227'!Area_de_impressao</vt:lpstr>
      <vt:lpstr>'228'!Area_de_impressao</vt:lpstr>
      <vt:lpstr>'229'!Area_de_impressao</vt:lpstr>
      <vt:lpstr>'230'!Area_de_impressao</vt:lpstr>
      <vt:lpstr>'231'!Area_de_impressao</vt:lpstr>
      <vt:lpstr>'233'!Area_de_impressao</vt:lpstr>
      <vt:lpstr>'234'!Area_de_impressao</vt:lpstr>
      <vt:lpstr>'235'!Area_de_impressao</vt:lpstr>
      <vt:lpstr>'243'!Area_de_impressao</vt:lpstr>
      <vt:lpstr>'244'!Area_de_impressao</vt:lpstr>
      <vt:lpstr>RESUMO!Area_de_impressao</vt:lpstr>
      <vt:lpstr>'224'!Titulos_de_impressao</vt:lpstr>
      <vt:lpstr>'225'!Titulos_de_impressao</vt:lpstr>
      <vt:lpstr>'226'!Titulos_de_impressao</vt:lpstr>
      <vt:lpstr>'227'!Titulos_de_impressao</vt:lpstr>
      <vt:lpstr>'228'!Titulos_de_impressao</vt:lpstr>
      <vt:lpstr>'229'!Titulos_de_impressao</vt:lpstr>
      <vt:lpstr>'230'!Titulos_de_impressao</vt:lpstr>
      <vt:lpstr>'231'!Titulos_de_impressao</vt:lpstr>
      <vt:lpstr>'233'!Titulos_de_impressao</vt:lpstr>
      <vt:lpstr>'234'!Titulos_de_impressao</vt:lpstr>
      <vt:lpstr>'235'!Titulos_de_impressao</vt:lpstr>
      <vt:lpstr>'243'!Titulos_de_impressao</vt:lpstr>
      <vt:lpstr>'244'!Titulos_de_impressao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2026-08-12T19:05:39Z</dcterms:created>
  <dcterms:modified xsi:type="dcterms:W3CDTF">2026-08-12T19:07:16Z</dcterms:modified>
</cp:coreProperties>
</file>