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SETEMBRO 2026\"/>
    </mc:Choice>
  </mc:AlternateContent>
  <xr:revisionPtr revIDLastSave="0" documentId="13_ncr:1_{32662007-B1C6-487E-9ABB-92111C191C03}" xr6:coauthVersionLast="47" xr6:coauthVersionMax="47" xr10:uidLastSave="{00000000-0000-0000-0000-000000000000}"/>
  <bookViews>
    <workbookView xWindow="-28920" yWindow="-4680" windowWidth="29040" windowHeight="15840" activeTab="7" xr2:uid="{00000000-000D-0000-FFFF-FFFF00000000}"/>
  </bookViews>
  <sheets>
    <sheet name="OS SETEMBRO" sheetId="16" r:id="rId1"/>
    <sheet name="RESUMO" sheetId="1" r:id="rId2"/>
    <sheet name="202" sheetId="2" r:id="rId3"/>
    <sheet name="203" sheetId="3" r:id="rId4"/>
    <sheet name="204" sheetId="4" r:id="rId5"/>
    <sheet name="205" sheetId="5" r:id="rId6"/>
    <sheet name="206" sheetId="6" r:id="rId7"/>
    <sheet name="209" sheetId="7" r:id="rId8"/>
    <sheet name="210" sheetId="8" r:id="rId9"/>
    <sheet name="212" sheetId="9" r:id="rId10"/>
    <sheet name="214" sheetId="10" r:id="rId11"/>
    <sheet name="218" sheetId="11" r:id="rId12"/>
    <sheet name="219" sheetId="12" r:id="rId13"/>
    <sheet name="220" sheetId="13" r:id="rId14"/>
    <sheet name="222" sheetId="14" r:id="rId15"/>
    <sheet name="LISTAS" sheetId="15" state="hidden" r:id="rId16"/>
  </sheets>
  <definedNames>
    <definedName name="_xlnm.Print_Area" localSheetId="2">'202'!$A$1:$V$137</definedName>
    <definedName name="_xlnm.Print_Area" localSheetId="3">'203'!$A$1:$V$29</definedName>
    <definedName name="_xlnm.Print_Area" localSheetId="4">'204'!$A$1:$V$89</definedName>
    <definedName name="_xlnm.Print_Area" localSheetId="5">'205'!$A$1:$V$78</definedName>
    <definedName name="_xlnm.Print_Area" localSheetId="6">'206'!$A$1:$V$97</definedName>
    <definedName name="_xlnm.Print_Area" localSheetId="7">'209'!$A$1:$V$66</definedName>
    <definedName name="_xlnm.Print_Area" localSheetId="8">'210'!$A$1:$V$55</definedName>
    <definedName name="_xlnm.Print_Area" localSheetId="9">'212'!$A$1:$V$77</definedName>
    <definedName name="_xlnm.Print_Area" localSheetId="10">'214'!$A$1:$V$29</definedName>
    <definedName name="_xlnm.Print_Area" localSheetId="11">'218'!$A$1:$V$144</definedName>
    <definedName name="_xlnm.Print_Area" localSheetId="12">'219'!$A$1:$V$79</definedName>
    <definedName name="_xlnm.Print_Area" localSheetId="13">'220'!$A$1:$V$43</definedName>
    <definedName name="_xlnm.Print_Area" localSheetId="14">'222'!$A$1:$V$29</definedName>
    <definedName name="_xlnm.Print_Area" localSheetId="1">RESUMO!$A$1:$T$20</definedName>
    <definedName name="_xlnm.Print_Titles" localSheetId="2">'202'!$6:$7</definedName>
    <definedName name="_xlnm.Print_Titles" localSheetId="3">'203'!$6:$7</definedName>
    <definedName name="_xlnm.Print_Titles" localSheetId="4">'204'!$6:$7</definedName>
    <definedName name="_xlnm.Print_Titles" localSheetId="5">'205'!$6:$7</definedName>
    <definedName name="_xlnm.Print_Titles" localSheetId="6">'206'!$6:$7</definedName>
    <definedName name="_xlnm.Print_Titles" localSheetId="7">'209'!$6:$7</definedName>
    <definedName name="_xlnm.Print_Titles" localSheetId="8">'210'!$6:$7</definedName>
    <definedName name="_xlnm.Print_Titles" localSheetId="9">'212'!$6:$7</definedName>
    <definedName name="_xlnm.Print_Titles" localSheetId="10">'214'!$6:$7</definedName>
    <definedName name="_xlnm.Print_Titles" localSheetId="11">'218'!$6:$7</definedName>
    <definedName name="_xlnm.Print_Titles" localSheetId="12">'219'!$6:$7</definedName>
    <definedName name="_xlnm.Print_Titles" localSheetId="13">'220'!$6:$7</definedName>
    <definedName name="_xlnm.Print_Titles" localSheetId="14">'222'!$6:$7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6" l="1"/>
  <c r="U15" i="14"/>
  <c r="AN2" i="14" s="1"/>
  <c r="T15" i="14"/>
  <c r="S15" i="14"/>
  <c r="S17" i="14" s="1"/>
  <c r="R15" i="14"/>
  <c r="Q15" i="14"/>
  <c r="AJ2" i="14" s="1"/>
  <c r="P15" i="14"/>
  <c r="O15" i="14"/>
  <c r="N15" i="14"/>
  <c r="AG2" i="14" s="1"/>
  <c r="M15" i="14"/>
  <c r="L15" i="14"/>
  <c r="AE2" i="14" s="1"/>
  <c r="K15" i="14"/>
  <c r="K17" i="14" s="1"/>
  <c r="J15" i="14"/>
  <c r="I15" i="14"/>
  <c r="AB2" i="14" s="1"/>
  <c r="H15" i="14"/>
  <c r="AA2" i="14" s="1"/>
  <c r="G15" i="14"/>
  <c r="Z2" i="14" s="1"/>
  <c r="F15" i="14"/>
  <c r="W9" i="14"/>
  <c r="E9" i="14"/>
  <c r="R18" i="14" s="1"/>
  <c r="M16" i="14" s="1"/>
  <c r="AM2" i="14"/>
  <c r="AK2" i="14"/>
  <c r="AI2" i="14"/>
  <c r="AH2" i="14"/>
  <c r="AC2" i="14"/>
  <c r="Y2" i="14"/>
  <c r="T29" i="13"/>
  <c r="R17" i="1" s="1"/>
  <c r="S29" i="13"/>
  <c r="P29" i="13"/>
  <c r="AI2" i="13" s="1"/>
  <c r="O29" i="13"/>
  <c r="AH2" i="13" s="1"/>
  <c r="L29" i="13"/>
  <c r="J29" i="13"/>
  <c r="AC2" i="13" s="1"/>
  <c r="I29" i="13"/>
  <c r="F29" i="13"/>
  <c r="Y2" i="13" s="1"/>
  <c r="W23" i="13"/>
  <c r="E23" i="13"/>
  <c r="W22" i="13"/>
  <c r="E22" i="13"/>
  <c r="W21" i="13"/>
  <c r="E21" i="13"/>
  <c r="W20" i="13"/>
  <c r="E20" i="13"/>
  <c r="W19" i="13"/>
  <c r="E19" i="13"/>
  <c r="W18" i="13"/>
  <c r="E18" i="13"/>
  <c r="W17" i="13"/>
  <c r="E17" i="13"/>
  <c r="W16" i="13"/>
  <c r="E16" i="13"/>
  <c r="W15" i="13"/>
  <c r="E15" i="13"/>
  <c r="W14" i="13"/>
  <c r="E14" i="13"/>
  <c r="W13" i="13"/>
  <c r="E13" i="13"/>
  <c r="W12" i="13"/>
  <c r="E12" i="13"/>
  <c r="W11" i="13"/>
  <c r="E11" i="13"/>
  <c r="W10" i="13"/>
  <c r="E10" i="13"/>
  <c r="W9" i="13"/>
  <c r="E9" i="13"/>
  <c r="R29" i="13" s="1"/>
  <c r="AK2" i="13" s="1"/>
  <c r="AL2" i="13"/>
  <c r="AE2" i="13"/>
  <c r="AB2" i="13"/>
  <c r="S65" i="12"/>
  <c r="R65" i="12"/>
  <c r="Q65" i="12"/>
  <c r="O16" i="1" s="1"/>
  <c r="O65" i="12"/>
  <c r="AH2" i="12" s="1"/>
  <c r="M65" i="12"/>
  <c r="L65" i="12"/>
  <c r="J65" i="12"/>
  <c r="AC2" i="12" s="1"/>
  <c r="I65" i="12"/>
  <c r="H65" i="12"/>
  <c r="G65" i="12"/>
  <c r="Z2" i="12" s="1"/>
  <c r="W59" i="12"/>
  <c r="E59" i="12"/>
  <c r="W58" i="12"/>
  <c r="E58" i="12"/>
  <c r="W57" i="12"/>
  <c r="E57" i="12"/>
  <c r="W56" i="12"/>
  <c r="E56" i="12"/>
  <c r="W55" i="12"/>
  <c r="E55" i="12"/>
  <c r="W54" i="12"/>
  <c r="E54" i="12"/>
  <c r="W53" i="12"/>
  <c r="E53" i="12"/>
  <c r="W52" i="12"/>
  <c r="E52" i="12"/>
  <c r="W51" i="12"/>
  <c r="E51" i="12"/>
  <c r="W50" i="12"/>
  <c r="E50" i="12"/>
  <c r="W49" i="12"/>
  <c r="E49" i="12"/>
  <c r="W48" i="12"/>
  <c r="E48" i="12"/>
  <c r="W47" i="12"/>
  <c r="E47" i="12"/>
  <c r="W46" i="12"/>
  <c r="E46" i="12"/>
  <c r="W45" i="12"/>
  <c r="E45" i="12"/>
  <c r="W44" i="12"/>
  <c r="E44" i="12"/>
  <c r="W43" i="12"/>
  <c r="E43" i="12"/>
  <c r="W42" i="12"/>
  <c r="E42" i="12"/>
  <c r="W41" i="12"/>
  <c r="E41" i="12"/>
  <c r="W40" i="12"/>
  <c r="E40" i="12"/>
  <c r="W39" i="12"/>
  <c r="E39" i="12"/>
  <c r="W38" i="12"/>
  <c r="E38" i="12"/>
  <c r="W37" i="12"/>
  <c r="E37" i="12"/>
  <c r="W36" i="12"/>
  <c r="E36" i="12"/>
  <c r="W35" i="12"/>
  <c r="E35" i="12"/>
  <c r="W34" i="12"/>
  <c r="E34" i="12"/>
  <c r="W33" i="12"/>
  <c r="E33" i="12"/>
  <c r="W32" i="12"/>
  <c r="E32" i="12"/>
  <c r="W31" i="12"/>
  <c r="E31" i="12"/>
  <c r="W30" i="12"/>
  <c r="E30" i="12"/>
  <c r="W29" i="12"/>
  <c r="E29" i="12"/>
  <c r="W28" i="12"/>
  <c r="E28" i="12"/>
  <c r="W27" i="12"/>
  <c r="E27" i="12"/>
  <c r="W26" i="12"/>
  <c r="E26" i="12"/>
  <c r="W25" i="12"/>
  <c r="E25" i="12"/>
  <c r="W24" i="12"/>
  <c r="E24" i="12"/>
  <c r="W23" i="12"/>
  <c r="E23" i="12"/>
  <c r="W22" i="12"/>
  <c r="E22" i="12"/>
  <c r="W21" i="12"/>
  <c r="E21" i="12"/>
  <c r="W20" i="12"/>
  <c r="E20" i="12"/>
  <c r="W19" i="12"/>
  <c r="E19" i="12"/>
  <c r="W18" i="12"/>
  <c r="E18" i="12"/>
  <c r="W17" i="12"/>
  <c r="E17" i="12"/>
  <c r="W16" i="12"/>
  <c r="E16" i="12"/>
  <c r="W15" i="12"/>
  <c r="E15" i="12"/>
  <c r="W14" i="12"/>
  <c r="E14" i="12"/>
  <c r="W13" i="12"/>
  <c r="E13" i="12"/>
  <c r="W12" i="12"/>
  <c r="E12" i="12"/>
  <c r="W11" i="12"/>
  <c r="E11" i="12"/>
  <c r="W10" i="12"/>
  <c r="E10" i="12"/>
  <c r="K65" i="12" s="1"/>
  <c r="W9" i="12"/>
  <c r="E9" i="12"/>
  <c r="AK2" i="12"/>
  <c r="AJ2" i="12"/>
  <c r="AF2" i="12"/>
  <c r="AE2" i="12"/>
  <c r="AB2" i="12"/>
  <c r="AA2" i="12"/>
  <c r="S130" i="11"/>
  <c r="AL2" i="11" s="1"/>
  <c r="Q130" i="11"/>
  <c r="AJ2" i="11" s="1"/>
  <c r="P130" i="11"/>
  <c r="O130" i="11"/>
  <c r="M130" i="11"/>
  <c r="AF2" i="11" s="1"/>
  <c r="L130" i="11"/>
  <c r="J15" i="1" s="1"/>
  <c r="J130" i="11"/>
  <c r="I130" i="11"/>
  <c r="H130" i="11"/>
  <c r="G130" i="11"/>
  <c r="Z2" i="11" s="1"/>
  <c r="W124" i="11"/>
  <c r="E124" i="11"/>
  <c r="W123" i="11"/>
  <c r="E123" i="11"/>
  <c r="W122" i="11"/>
  <c r="E122" i="11"/>
  <c r="W121" i="11"/>
  <c r="E121" i="11"/>
  <c r="W120" i="11"/>
  <c r="E120" i="11"/>
  <c r="W119" i="11"/>
  <c r="E119" i="11"/>
  <c r="W118" i="11"/>
  <c r="E118" i="11"/>
  <c r="W117" i="11"/>
  <c r="E117" i="11"/>
  <c r="W116" i="11"/>
  <c r="E116" i="11"/>
  <c r="W115" i="11"/>
  <c r="E115" i="11"/>
  <c r="W114" i="11"/>
  <c r="E114" i="11"/>
  <c r="W112" i="11"/>
  <c r="E112" i="11"/>
  <c r="W111" i="11"/>
  <c r="E111" i="11"/>
  <c r="W110" i="11"/>
  <c r="E110" i="11"/>
  <c r="W109" i="11"/>
  <c r="E109" i="11"/>
  <c r="W108" i="11"/>
  <c r="E108" i="11"/>
  <c r="W107" i="11"/>
  <c r="E107" i="11"/>
  <c r="W106" i="11"/>
  <c r="E106" i="11"/>
  <c r="U130" i="11" s="1"/>
  <c r="W104" i="11"/>
  <c r="E104" i="11"/>
  <c r="W103" i="11"/>
  <c r="E103" i="11"/>
  <c r="W102" i="11"/>
  <c r="E102" i="11"/>
  <c r="W101" i="11"/>
  <c r="E101" i="11"/>
  <c r="W100" i="11"/>
  <c r="E100" i="11"/>
  <c r="W99" i="11"/>
  <c r="E99" i="11"/>
  <c r="W98" i="11"/>
  <c r="E98" i="11"/>
  <c r="W97" i="11"/>
  <c r="E97" i="11"/>
  <c r="W96" i="11"/>
  <c r="E96" i="11"/>
  <c r="W95" i="11"/>
  <c r="E95" i="11"/>
  <c r="W94" i="11"/>
  <c r="E94" i="11"/>
  <c r="W93" i="11"/>
  <c r="E93" i="11"/>
  <c r="W92" i="11"/>
  <c r="E92" i="11"/>
  <c r="W91" i="11"/>
  <c r="E91" i="11"/>
  <c r="W90" i="11"/>
  <c r="E90" i="11"/>
  <c r="W89" i="11"/>
  <c r="E89" i="11"/>
  <c r="W88" i="11"/>
  <c r="E88" i="11"/>
  <c r="W87" i="11"/>
  <c r="E87" i="11"/>
  <c r="W86" i="11"/>
  <c r="E86" i="11"/>
  <c r="W85" i="11"/>
  <c r="E85" i="11"/>
  <c r="W84" i="11"/>
  <c r="E84" i="11"/>
  <c r="W83" i="11"/>
  <c r="E83" i="11"/>
  <c r="W82" i="11"/>
  <c r="E82" i="11"/>
  <c r="W81" i="11"/>
  <c r="E81" i="11"/>
  <c r="W80" i="11"/>
  <c r="E80" i="11"/>
  <c r="W79" i="11"/>
  <c r="E79" i="11"/>
  <c r="W78" i="11"/>
  <c r="E78" i="11"/>
  <c r="W77" i="11"/>
  <c r="E77" i="11"/>
  <c r="W76" i="11"/>
  <c r="E76" i="11"/>
  <c r="W75" i="11"/>
  <c r="E75" i="11"/>
  <c r="W74" i="11"/>
  <c r="E74" i="11"/>
  <c r="W73" i="11"/>
  <c r="E73" i="11"/>
  <c r="W72" i="11"/>
  <c r="E72" i="11"/>
  <c r="W71" i="11"/>
  <c r="E71" i="11"/>
  <c r="W70" i="11"/>
  <c r="E70" i="11"/>
  <c r="W69" i="11"/>
  <c r="E69" i="11"/>
  <c r="W68" i="11"/>
  <c r="E68" i="11"/>
  <c r="W67" i="11"/>
  <c r="E67" i="11"/>
  <c r="W66" i="11"/>
  <c r="E66" i="11"/>
  <c r="W65" i="11"/>
  <c r="E65" i="11"/>
  <c r="W64" i="11"/>
  <c r="E64" i="11"/>
  <c r="W63" i="11"/>
  <c r="E63" i="11"/>
  <c r="W62" i="11"/>
  <c r="E62" i="11"/>
  <c r="W61" i="11"/>
  <c r="E61" i="11"/>
  <c r="W60" i="11"/>
  <c r="E60" i="11"/>
  <c r="W59" i="11"/>
  <c r="E59" i="11"/>
  <c r="W58" i="11"/>
  <c r="E58" i="11"/>
  <c r="W57" i="11"/>
  <c r="E57" i="11"/>
  <c r="W56" i="11"/>
  <c r="E56" i="11"/>
  <c r="W55" i="11"/>
  <c r="E55" i="11"/>
  <c r="W54" i="11"/>
  <c r="E54" i="11"/>
  <c r="W53" i="11"/>
  <c r="E53" i="11"/>
  <c r="W52" i="11"/>
  <c r="E52" i="11"/>
  <c r="W51" i="11"/>
  <c r="E51" i="11"/>
  <c r="W50" i="11"/>
  <c r="E50" i="11"/>
  <c r="W49" i="11"/>
  <c r="E49" i="11"/>
  <c r="W48" i="11"/>
  <c r="E48" i="11"/>
  <c r="W47" i="11"/>
  <c r="E47" i="11"/>
  <c r="W46" i="11"/>
  <c r="E46" i="11"/>
  <c r="W45" i="11"/>
  <c r="E45" i="11"/>
  <c r="W44" i="11"/>
  <c r="E44" i="11"/>
  <c r="W43" i="11"/>
  <c r="E43" i="11"/>
  <c r="W42" i="11"/>
  <c r="E42" i="11"/>
  <c r="W41" i="11"/>
  <c r="E41" i="11"/>
  <c r="W40" i="11"/>
  <c r="E40" i="11"/>
  <c r="W39" i="11"/>
  <c r="E39" i="11"/>
  <c r="W38" i="11"/>
  <c r="E38" i="11"/>
  <c r="W37" i="11"/>
  <c r="E37" i="11"/>
  <c r="W36" i="11"/>
  <c r="E36" i="11"/>
  <c r="W35" i="11"/>
  <c r="E35" i="11"/>
  <c r="W34" i="11"/>
  <c r="E34" i="11"/>
  <c r="W33" i="11"/>
  <c r="E33" i="11"/>
  <c r="W32" i="11"/>
  <c r="E32" i="11"/>
  <c r="W31" i="11"/>
  <c r="E31" i="11"/>
  <c r="W30" i="11"/>
  <c r="E30" i="11"/>
  <c r="W29" i="11"/>
  <c r="E29" i="11"/>
  <c r="W28" i="11"/>
  <c r="E28" i="11"/>
  <c r="W27" i="11"/>
  <c r="E27" i="11"/>
  <c r="W26" i="11"/>
  <c r="E26" i="11"/>
  <c r="W25" i="11"/>
  <c r="E25" i="11"/>
  <c r="W24" i="11"/>
  <c r="E24" i="11"/>
  <c r="W23" i="11"/>
  <c r="E23" i="11"/>
  <c r="W22" i="11"/>
  <c r="E22" i="11"/>
  <c r="W21" i="11"/>
  <c r="E21" i="11"/>
  <c r="W20" i="11"/>
  <c r="E20" i="11"/>
  <c r="W19" i="11"/>
  <c r="E19" i="11"/>
  <c r="W18" i="11"/>
  <c r="E18" i="11"/>
  <c r="W17" i="11"/>
  <c r="E17" i="11"/>
  <c r="W16" i="11"/>
  <c r="E16" i="11"/>
  <c r="W15" i="11"/>
  <c r="E15" i="11"/>
  <c r="W14" i="11"/>
  <c r="E14" i="11"/>
  <c r="W13" i="11"/>
  <c r="E13" i="11"/>
  <c r="W12" i="11"/>
  <c r="E12" i="11"/>
  <c r="W11" i="11"/>
  <c r="E11" i="11"/>
  <c r="W10" i="11"/>
  <c r="E10" i="11"/>
  <c r="W9" i="11"/>
  <c r="V133" i="11" s="1"/>
  <c r="E9" i="11"/>
  <c r="R133" i="11" s="1"/>
  <c r="AI2" i="11"/>
  <c r="AH2" i="11"/>
  <c r="AC2" i="11"/>
  <c r="AB2" i="11"/>
  <c r="AA2" i="11"/>
  <c r="U15" i="10"/>
  <c r="S15" i="10"/>
  <c r="AL2" i="10" s="1"/>
  <c r="R15" i="10"/>
  <c r="P15" i="10"/>
  <c r="O15" i="10"/>
  <c r="AH2" i="10" s="1"/>
  <c r="M15" i="10"/>
  <c r="AF2" i="10" s="1"/>
  <c r="L15" i="10"/>
  <c r="AE2" i="10" s="1"/>
  <c r="J15" i="10"/>
  <c r="I15" i="10"/>
  <c r="H15" i="10"/>
  <c r="AA2" i="10" s="1"/>
  <c r="F15" i="10"/>
  <c r="Y2" i="10" s="1"/>
  <c r="W9" i="10"/>
  <c r="E9" i="10"/>
  <c r="AN2" i="10"/>
  <c r="AK2" i="10"/>
  <c r="AC2" i="10"/>
  <c r="AB2" i="10"/>
  <c r="U63" i="9"/>
  <c r="S63" i="9"/>
  <c r="AL2" i="9" s="1"/>
  <c r="R63" i="9"/>
  <c r="AK2" i="9" s="1"/>
  <c r="P63" i="9"/>
  <c r="AI2" i="9" s="1"/>
  <c r="O63" i="9"/>
  <c r="AH2" i="9" s="1"/>
  <c r="M63" i="9"/>
  <c r="AF2" i="9" s="1"/>
  <c r="L63" i="9"/>
  <c r="AE2" i="9" s="1"/>
  <c r="J63" i="9"/>
  <c r="AC2" i="9" s="1"/>
  <c r="F63" i="9"/>
  <c r="W57" i="9"/>
  <c r="E57" i="9"/>
  <c r="W56" i="9"/>
  <c r="E56" i="9"/>
  <c r="W55" i="9"/>
  <c r="E55" i="9"/>
  <c r="W54" i="9"/>
  <c r="E54" i="9"/>
  <c r="W53" i="9"/>
  <c r="E53" i="9"/>
  <c r="W52" i="9"/>
  <c r="E52" i="9"/>
  <c r="W51" i="9"/>
  <c r="E51" i="9"/>
  <c r="W50" i="9"/>
  <c r="E50" i="9"/>
  <c r="W49" i="9"/>
  <c r="E49" i="9"/>
  <c r="W48" i="9"/>
  <c r="E48" i="9"/>
  <c r="W47" i="9"/>
  <c r="E47" i="9"/>
  <c r="W46" i="9"/>
  <c r="E46" i="9"/>
  <c r="W45" i="9"/>
  <c r="E45" i="9"/>
  <c r="W44" i="9"/>
  <c r="E44" i="9"/>
  <c r="W43" i="9"/>
  <c r="E43" i="9"/>
  <c r="W42" i="9"/>
  <c r="E42" i="9"/>
  <c r="W41" i="9"/>
  <c r="E41" i="9"/>
  <c r="W40" i="9"/>
  <c r="E40" i="9"/>
  <c r="W39" i="9"/>
  <c r="E39" i="9"/>
  <c r="W38" i="9"/>
  <c r="E38" i="9"/>
  <c r="W37" i="9"/>
  <c r="E37" i="9"/>
  <c r="W36" i="9"/>
  <c r="E36" i="9"/>
  <c r="W35" i="9"/>
  <c r="E35" i="9"/>
  <c r="W34" i="9"/>
  <c r="E34" i="9"/>
  <c r="W33" i="9"/>
  <c r="E33" i="9"/>
  <c r="W32" i="9"/>
  <c r="E32" i="9"/>
  <c r="W31" i="9"/>
  <c r="E31" i="9"/>
  <c r="H63" i="9" s="1"/>
  <c r="AA2" i="9" s="1"/>
  <c r="W30" i="9"/>
  <c r="E30" i="9"/>
  <c r="W29" i="9"/>
  <c r="E29" i="9"/>
  <c r="W28" i="9"/>
  <c r="E28" i="9"/>
  <c r="W27" i="9"/>
  <c r="E27" i="9"/>
  <c r="W26" i="9"/>
  <c r="E26" i="9"/>
  <c r="W25" i="9"/>
  <c r="E25" i="9"/>
  <c r="W24" i="9"/>
  <c r="E24" i="9"/>
  <c r="W23" i="9"/>
  <c r="E23" i="9"/>
  <c r="W22" i="9"/>
  <c r="E22" i="9"/>
  <c r="W21" i="9"/>
  <c r="E21" i="9"/>
  <c r="W20" i="9"/>
  <c r="E20" i="9"/>
  <c r="W19" i="9"/>
  <c r="E19" i="9"/>
  <c r="W18" i="9"/>
  <c r="E18" i="9"/>
  <c r="W17" i="9"/>
  <c r="E17" i="9"/>
  <c r="W16" i="9"/>
  <c r="E16" i="9"/>
  <c r="W15" i="9"/>
  <c r="E15" i="9"/>
  <c r="W14" i="9"/>
  <c r="E14" i="9"/>
  <c r="W13" i="9"/>
  <c r="E13" i="9"/>
  <c r="W12" i="9"/>
  <c r="E12" i="9"/>
  <c r="W11" i="9"/>
  <c r="E11" i="9"/>
  <c r="I63" i="9" s="1"/>
  <c r="G13" i="1" s="1"/>
  <c r="W10" i="9"/>
  <c r="E10" i="9"/>
  <c r="W9" i="9"/>
  <c r="E9" i="9"/>
  <c r="N63" i="9" s="1"/>
  <c r="L13" i="1" s="1"/>
  <c r="AN2" i="9"/>
  <c r="Y2" i="9"/>
  <c r="R41" i="8"/>
  <c r="P41" i="8"/>
  <c r="N12" i="1" s="1"/>
  <c r="O41" i="8"/>
  <c r="AH2" i="8" s="1"/>
  <c r="L41" i="8"/>
  <c r="AE2" i="8" s="1"/>
  <c r="J41" i="8"/>
  <c r="AC2" i="8" s="1"/>
  <c r="I41" i="8"/>
  <c r="AB2" i="8" s="1"/>
  <c r="W35" i="8"/>
  <c r="E35" i="8"/>
  <c r="T41" i="8" s="1"/>
  <c r="W34" i="8"/>
  <c r="E34" i="8"/>
  <c r="W33" i="8"/>
  <c r="E33" i="8"/>
  <c r="W32" i="8"/>
  <c r="E32" i="8"/>
  <c r="W31" i="8"/>
  <c r="E31" i="8"/>
  <c r="W30" i="8"/>
  <c r="E30" i="8"/>
  <c r="W29" i="8"/>
  <c r="E29" i="8"/>
  <c r="W28" i="8"/>
  <c r="E28" i="8"/>
  <c r="W27" i="8"/>
  <c r="E27" i="8"/>
  <c r="W26" i="8"/>
  <c r="E26" i="8"/>
  <c r="W25" i="8"/>
  <c r="E25" i="8"/>
  <c r="W24" i="8"/>
  <c r="E24" i="8"/>
  <c r="W23" i="8"/>
  <c r="E23" i="8"/>
  <c r="W22" i="8"/>
  <c r="E22" i="8"/>
  <c r="W21" i="8"/>
  <c r="E21" i="8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W12" i="8"/>
  <c r="E12" i="8"/>
  <c r="W11" i="8"/>
  <c r="E11" i="8"/>
  <c r="W10" i="8"/>
  <c r="E10" i="8"/>
  <c r="W9" i="8"/>
  <c r="E9" i="8"/>
  <c r="M41" i="8" s="1"/>
  <c r="AK2" i="8"/>
  <c r="T52" i="7"/>
  <c r="S52" i="7"/>
  <c r="Q11" i="1" s="1"/>
  <c r="P52" i="7"/>
  <c r="O52" i="7"/>
  <c r="L52" i="7"/>
  <c r="J52" i="7"/>
  <c r="I52" i="7"/>
  <c r="F52" i="7"/>
  <c r="D11" i="1" s="1"/>
  <c r="W46" i="7"/>
  <c r="E46" i="7"/>
  <c r="W45" i="7"/>
  <c r="E45" i="7"/>
  <c r="W44" i="7"/>
  <c r="E44" i="7"/>
  <c r="W43" i="7"/>
  <c r="E43" i="7"/>
  <c r="W42" i="7"/>
  <c r="E42" i="7"/>
  <c r="W41" i="7"/>
  <c r="E41" i="7"/>
  <c r="W40" i="7"/>
  <c r="E40" i="7"/>
  <c r="W39" i="7"/>
  <c r="E39" i="7"/>
  <c r="W38" i="7"/>
  <c r="E38" i="7"/>
  <c r="W37" i="7"/>
  <c r="E37" i="7"/>
  <c r="W36" i="7"/>
  <c r="E36" i="7"/>
  <c r="W35" i="7"/>
  <c r="E35" i="7"/>
  <c r="W34" i="7"/>
  <c r="E34" i="7"/>
  <c r="W33" i="7"/>
  <c r="E33" i="7"/>
  <c r="W32" i="7"/>
  <c r="E32" i="7"/>
  <c r="W31" i="7"/>
  <c r="E31" i="7"/>
  <c r="W30" i="7"/>
  <c r="E30" i="7"/>
  <c r="W29" i="7"/>
  <c r="E29" i="7"/>
  <c r="W27" i="7"/>
  <c r="E27" i="7"/>
  <c r="W26" i="7"/>
  <c r="E26" i="7"/>
  <c r="W25" i="7"/>
  <c r="E25" i="7"/>
  <c r="M52" i="7" s="1"/>
  <c r="AF2" i="7" s="1"/>
  <c r="W24" i="7"/>
  <c r="E24" i="7"/>
  <c r="W23" i="7"/>
  <c r="E23" i="7"/>
  <c r="W22" i="7"/>
  <c r="E22" i="7"/>
  <c r="W21" i="7"/>
  <c r="E21" i="7"/>
  <c r="W20" i="7"/>
  <c r="E20" i="7"/>
  <c r="W19" i="7"/>
  <c r="E19" i="7"/>
  <c r="Q52" i="7" s="1"/>
  <c r="AJ2" i="7" s="1"/>
  <c r="W18" i="7"/>
  <c r="E18" i="7"/>
  <c r="W17" i="7"/>
  <c r="E17" i="7"/>
  <c r="W16" i="7"/>
  <c r="E16" i="7"/>
  <c r="W15" i="7"/>
  <c r="E15" i="7"/>
  <c r="W14" i="7"/>
  <c r="E14" i="7"/>
  <c r="W13" i="7"/>
  <c r="E13" i="7"/>
  <c r="G52" i="7" s="1"/>
  <c r="W12" i="7"/>
  <c r="E12" i="7"/>
  <c r="W11" i="7"/>
  <c r="E11" i="7"/>
  <c r="W10" i="7"/>
  <c r="E10" i="7"/>
  <c r="W9" i="7"/>
  <c r="E9" i="7"/>
  <c r="H52" i="7" s="1"/>
  <c r="AA2" i="7" s="1"/>
  <c r="AM2" i="7"/>
  <c r="AI2" i="7"/>
  <c r="AH2" i="7"/>
  <c r="AE2" i="7"/>
  <c r="AC2" i="7"/>
  <c r="Y2" i="7"/>
  <c r="S83" i="6"/>
  <c r="O83" i="6"/>
  <c r="M10" i="1" s="1"/>
  <c r="M83" i="6"/>
  <c r="K10" i="1" s="1"/>
  <c r="L83" i="6"/>
  <c r="AE2" i="6" s="1"/>
  <c r="J83" i="6"/>
  <c r="I83" i="6"/>
  <c r="W77" i="6"/>
  <c r="E77" i="6"/>
  <c r="W76" i="6"/>
  <c r="E76" i="6"/>
  <c r="W75" i="6"/>
  <c r="E75" i="6"/>
  <c r="U83" i="6" s="1"/>
  <c r="AN2" i="6" s="1"/>
  <c r="W74" i="6"/>
  <c r="E74" i="6"/>
  <c r="W72" i="6"/>
  <c r="E72" i="6"/>
  <c r="W71" i="6"/>
  <c r="E71" i="6"/>
  <c r="W70" i="6"/>
  <c r="E70" i="6"/>
  <c r="W69" i="6"/>
  <c r="E69" i="6"/>
  <c r="W68" i="6"/>
  <c r="E68" i="6"/>
  <c r="W67" i="6"/>
  <c r="E67" i="6"/>
  <c r="W66" i="6"/>
  <c r="E66" i="6"/>
  <c r="W65" i="6"/>
  <c r="E65" i="6"/>
  <c r="W64" i="6"/>
  <c r="E64" i="6"/>
  <c r="W63" i="6"/>
  <c r="E63" i="6"/>
  <c r="W62" i="6"/>
  <c r="E62" i="6"/>
  <c r="W61" i="6"/>
  <c r="E61" i="6"/>
  <c r="W60" i="6"/>
  <c r="E60" i="6"/>
  <c r="W59" i="6"/>
  <c r="E59" i="6"/>
  <c r="W58" i="6"/>
  <c r="E58" i="6"/>
  <c r="W57" i="6"/>
  <c r="E57" i="6"/>
  <c r="W56" i="6"/>
  <c r="E56" i="6"/>
  <c r="W55" i="6"/>
  <c r="E55" i="6"/>
  <c r="W54" i="6"/>
  <c r="E54" i="6"/>
  <c r="W53" i="6"/>
  <c r="E53" i="6"/>
  <c r="W52" i="6"/>
  <c r="E52" i="6"/>
  <c r="W51" i="6"/>
  <c r="E51" i="6"/>
  <c r="W50" i="6"/>
  <c r="E50" i="6"/>
  <c r="W49" i="6"/>
  <c r="E49" i="6"/>
  <c r="W48" i="6"/>
  <c r="E48" i="6"/>
  <c r="W47" i="6"/>
  <c r="E47" i="6"/>
  <c r="W46" i="6"/>
  <c r="E46" i="6"/>
  <c r="W45" i="6"/>
  <c r="E45" i="6"/>
  <c r="W44" i="6"/>
  <c r="E44" i="6"/>
  <c r="W43" i="6"/>
  <c r="E43" i="6"/>
  <c r="W42" i="6"/>
  <c r="E42" i="6"/>
  <c r="W41" i="6"/>
  <c r="E41" i="6"/>
  <c r="W40" i="6"/>
  <c r="E40" i="6"/>
  <c r="W39" i="6"/>
  <c r="E39" i="6"/>
  <c r="W38" i="6"/>
  <c r="E38" i="6"/>
  <c r="W37" i="6"/>
  <c r="E37" i="6"/>
  <c r="W36" i="6"/>
  <c r="E36" i="6"/>
  <c r="W35" i="6"/>
  <c r="E35" i="6"/>
  <c r="W34" i="6"/>
  <c r="E34" i="6"/>
  <c r="W33" i="6"/>
  <c r="E33" i="6"/>
  <c r="W32" i="6"/>
  <c r="E32" i="6"/>
  <c r="H83" i="6" s="1"/>
  <c r="W31" i="6"/>
  <c r="E31" i="6"/>
  <c r="W30" i="6"/>
  <c r="E30" i="6"/>
  <c r="W29" i="6"/>
  <c r="E29" i="6"/>
  <c r="W28" i="6"/>
  <c r="E28" i="6"/>
  <c r="W27" i="6"/>
  <c r="E27" i="6"/>
  <c r="W26" i="6"/>
  <c r="E26" i="6"/>
  <c r="W25" i="6"/>
  <c r="E25" i="6"/>
  <c r="W24" i="6"/>
  <c r="E24" i="6"/>
  <c r="W23" i="6"/>
  <c r="E23" i="6"/>
  <c r="W22" i="6"/>
  <c r="E22" i="6"/>
  <c r="W21" i="6"/>
  <c r="E21" i="6"/>
  <c r="W20" i="6"/>
  <c r="E20" i="6"/>
  <c r="W19" i="6"/>
  <c r="E19" i="6"/>
  <c r="W18" i="6"/>
  <c r="E18" i="6"/>
  <c r="W17" i="6"/>
  <c r="E17" i="6"/>
  <c r="W16" i="6"/>
  <c r="E16" i="6"/>
  <c r="W15" i="6"/>
  <c r="E15" i="6"/>
  <c r="W14" i="6"/>
  <c r="E14" i="6"/>
  <c r="W13" i="6"/>
  <c r="E13" i="6"/>
  <c r="W12" i="6"/>
  <c r="E12" i="6"/>
  <c r="Q83" i="6" s="1"/>
  <c r="AJ2" i="6" s="1"/>
  <c r="W11" i="6"/>
  <c r="E11" i="6"/>
  <c r="W9" i="6"/>
  <c r="E9" i="6"/>
  <c r="AL2" i="6"/>
  <c r="AH2" i="6"/>
  <c r="AF2" i="6"/>
  <c r="AC2" i="6"/>
  <c r="AB2" i="6"/>
  <c r="U64" i="5"/>
  <c r="S9" i="1" s="1"/>
  <c r="S64" i="5"/>
  <c r="AL2" i="5" s="1"/>
  <c r="R64" i="5"/>
  <c r="Q64" i="5"/>
  <c r="O9" i="1" s="1"/>
  <c r="O64" i="5"/>
  <c r="M9" i="1" s="1"/>
  <c r="M64" i="5"/>
  <c r="L64" i="5"/>
  <c r="J64" i="5"/>
  <c r="I64" i="5"/>
  <c r="G9" i="1" s="1"/>
  <c r="W58" i="5"/>
  <c r="E58" i="5"/>
  <c r="W57" i="5"/>
  <c r="E57" i="5"/>
  <c r="W56" i="5"/>
  <c r="E56" i="5"/>
  <c r="W55" i="5"/>
  <c r="E55" i="5"/>
  <c r="W53" i="5"/>
  <c r="E53" i="5"/>
  <c r="W52" i="5"/>
  <c r="E52" i="5"/>
  <c r="W51" i="5"/>
  <c r="E51" i="5"/>
  <c r="W50" i="5"/>
  <c r="E50" i="5"/>
  <c r="W49" i="5"/>
  <c r="E49" i="5"/>
  <c r="W48" i="5"/>
  <c r="E48" i="5"/>
  <c r="W47" i="5"/>
  <c r="E47" i="5"/>
  <c r="W46" i="5"/>
  <c r="E46" i="5"/>
  <c r="W45" i="5"/>
  <c r="E45" i="5"/>
  <c r="W44" i="5"/>
  <c r="E44" i="5"/>
  <c r="W43" i="5"/>
  <c r="E43" i="5"/>
  <c r="W42" i="5"/>
  <c r="E42" i="5"/>
  <c r="W41" i="5"/>
  <c r="E41" i="5"/>
  <c r="W40" i="5"/>
  <c r="E40" i="5"/>
  <c r="W39" i="5"/>
  <c r="E39" i="5"/>
  <c r="W38" i="5"/>
  <c r="E38" i="5"/>
  <c r="W37" i="5"/>
  <c r="E37" i="5"/>
  <c r="W35" i="5"/>
  <c r="E35" i="5"/>
  <c r="W34" i="5"/>
  <c r="E34" i="5"/>
  <c r="W33" i="5"/>
  <c r="E33" i="5"/>
  <c r="W32" i="5"/>
  <c r="E32" i="5"/>
  <c r="W31" i="5"/>
  <c r="E31" i="5"/>
  <c r="W30" i="5"/>
  <c r="E30" i="5"/>
  <c r="W29" i="5"/>
  <c r="E29" i="5"/>
  <c r="W28" i="5"/>
  <c r="E28" i="5"/>
  <c r="W27" i="5"/>
  <c r="E27" i="5"/>
  <c r="W26" i="5"/>
  <c r="E26" i="5"/>
  <c r="W25" i="5"/>
  <c r="E25" i="5"/>
  <c r="W24" i="5"/>
  <c r="E24" i="5"/>
  <c r="W23" i="5"/>
  <c r="E23" i="5"/>
  <c r="W22" i="5"/>
  <c r="E22" i="5"/>
  <c r="W21" i="5"/>
  <c r="E21" i="5"/>
  <c r="W20" i="5"/>
  <c r="E20" i="5"/>
  <c r="W19" i="5"/>
  <c r="E19" i="5"/>
  <c r="W18" i="5"/>
  <c r="E18" i="5"/>
  <c r="W17" i="5"/>
  <c r="E17" i="5"/>
  <c r="W16" i="5"/>
  <c r="E16" i="5"/>
  <c r="W15" i="5"/>
  <c r="E15" i="5"/>
  <c r="W14" i="5"/>
  <c r="E14" i="5"/>
  <c r="W13" i="5"/>
  <c r="E13" i="5"/>
  <c r="W12" i="5"/>
  <c r="E12" i="5"/>
  <c r="W11" i="5"/>
  <c r="E11" i="5"/>
  <c r="W10" i="5"/>
  <c r="E10" i="5"/>
  <c r="W9" i="5"/>
  <c r="E9" i="5"/>
  <c r="R67" i="5" s="1"/>
  <c r="Q65" i="5" s="1"/>
  <c r="AK2" i="5"/>
  <c r="AH2" i="5"/>
  <c r="AF2" i="5"/>
  <c r="AE2" i="5"/>
  <c r="AC2" i="5"/>
  <c r="AB2" i="5"/>
  <c r="U75" i="4"/>
  <c r="S75" i="4"/>
  <c r="AL2" i="4" s="1"/>
  <c r="P75" i="4"/>
  <c r="AI2" i="4" s="1"/>
  <c r="O75" i="4"/>
  <c r="M8" i="1" s="1"/>
  <c r="L75" i="4"/>
  <c r="J75" i="4"/>
  <c r="AC2" i="4" s="1"/>
  <c r="I75" i="4"/>
  <c r="G8" i="1" s="1"/>
  <c r="F75" i="4"/>
  <c r="D8" i="1" s="1"/>
  <c r="W69" i="4"/>
  <c r="E69" i="4"/>
  <c r="H75" i="4" s="1"/>
  <c r="W67" i="4"/>
  <c r="E67" i="4"/>
  <c r="W66" i="4"/>
  <c r="E66" i="4"/>
  <c r="W65" i="4"/>
  <c r="E65" i="4"/>
  <c r="W64" i="4"/>
  <c r="E64" i="4"/>
  <c r="W63" i="4"/>
  <c r="E63" i="4"/>
  <c r="W62" i="4"/>
  <c r="E62" i="4"/>
  <c r="W61" i="4"/>
  <c r="E61" i="4"/>
  <c r="W60" i="4"/>
  <c r="E60" i="4"/>
  <c r="W59" i="4"/>
  <c r="E59" i="4"/>
  <c r="W58" i="4"/>
  <c r="E58" i="4"/>
  <c r="W57" i="4"/>
  <c r="E57" i="4"/>
  <c r="W56" i="4"/>
  <c r="E56" i="4"/>
  <c r="W55" i="4"/>
  <c r="E55" i="4"/>
  <c r="W54" i="4"/>
  <c r="E54" i="4"/>
  <c r="W53" i="4"/>
  <c r="E53" i="4"/>
  <c r="W52" i="4"/>
  <c r="E52" i="4"/>
  <c r="W51" i="4"/>
  <c r="E51" i="4"/>
  <c r="W50" i="4"/>
  <c r="E50" i="4"/>
  <c r="W49" i="4"/>
  <c r="E49" i="4"/>
  <c r="W48" i="4"/>
  <c r="E48" i="4"/>
  <c r="W47" i="4"/>
  <c r="E47" i="4"/>
  <c r="W46" i="4"/>
  <c r="E46" i="4"/>
  <c r="W45" i="4"/>
  <c r="E45" i="4"/>
  <c r="W44" i="4"/>
  <c r="E44" i="4"/>
  <c r="W43" i="4"/>
  <c r="E43" i="4"/>
  <c r="W42" i="4"/>
  <c r="E42" i="4"/>
  <c r="W41" i="4"/>
  <c r="E41" i="4"/>
  <c r="W40" i="4"/>
  <c r="E40" i="4"/>
  <c r="W39" i="4"/>
  <c r="E39" i="4"/>
  <c r="W38" i="4"/>
  <c r="E38" i="4"/>
  <c r="W37" i="4"/>
  <c r="E37" i="4"/>
  <c r="W36" i="4"/>
  <c r="E36" i="4"/>
  <c r="W35" i="4"/>
  <c r="E35" i="4"/>
  <c r="W34" i="4"/>
  <c r="E34" i="4"/>
  <c r="W33" i="4"/>
  <c r="E33" i="4"/>
  <c r="W32" i="4"/>
  <c r="E32" i="4"/>
  <c r="W31" i="4"/>
  <c r="E31" i="4"/>
  <c r="W30" i="4"/>
  <c r="E30" i="4"/>
  <c r="W29" i="4"/>
  <c r="E29" i="4"/>
  <c r="W28" i="4"/>
  <c r="E28" i="4"/>
  <c r="W27" i="4"/>
  <c r="E27" i="4"/>
  <c r="W26" i="4"/>
  <c r="E26" i="4"/>
  <c r="W25" i="4"/>
  <c r="E25" i="4"/>
  <c r="W24" i="4"/>
  <c r="E24" i="4"/>
  <c r="W23" i="4"/>
  <c r="E23" i="4"/>
  <c r="W22" i="4"/>
  <c r="E22" i="4"/>
  <c r="W21" i="4"/>
  <c r="E21" i="4"/>
  <c r="W20" i="4"/>
  <c r="E20" i="4"/>
  <c r="W19" i="4"/>
  <c r="E19" i="4"/>
  <c r="W18" i="4"/>
  <c r="E18" i="4"/>
  <c r="W17" i="4"/>
  <c r="E17" i="4"/>
  <c r="W16" i="4"/>
  <c r="E16" i="4"/>
  <c r="W15" i="4"/>
  <c r="E15" i="4"/>
  <c r="W14" i="4"/>
  <c r="E14" i="4"/>
  <c r="W13" i="4"/>
  <c r="E13" i="4"/>
  <c r="W12" i="4"/>
  <c r="E12" i="4"/>
  <c r="W11" i="4"/>
  <c r="E11" i="4"/>
  <c r="W10" i="4"/>
  <c r="E10" i="4"/>
  <c r="T75" i="4" s="1"/>
  <c r="W9" i="4"/>
  <c r="E9" i="4"/>
  <c r="AN2" i="4"/>
  <c r="AH2" i="4"/>
  <c r="AE2" i="4"/>
  <c r="Y2" i="4"/>
  <c r="U15" i="3"/>
  <c r="S7" i="1" s="1"/>
  <c r="S15" i="3"/>
  <c r="AL2" i="3" s="1"/>
  <c r="R15" i="3"/>
  <c r="AK2" i="3" s="1"/>
  <c r="P15" i="3"/>
  <c r="N7" i="1" s="1"/>
  <c r="O15" i="3"/>
  <c r="AH2" i="3" s="1"/>
  <c r="N15" i="3"/>
  <c r="AG2" i="3" s="1"/>
  <c r="L15" i="3"/>
  <c r="K15" i="3"/>
  <c r="AD2" i="3" s="1"/>
  <c r="J15" i="3"/>
  <c r="AC2" i="3" s="1"/>
  <c r="I15" i="3"/>
  <c r="AB2" i="3" s="1"/>
  <c r="G15" i="3"/>
  <c r="Z2" i="3" s="1"/>
  <c r="F15" i="3"/>
  <c r="Y2" i="3" s="1"/>
  <c r="W9" i="3"/>
  <c r="E9" i="3"/>
  <c r="Q15" i="3" s="1"/>
  <c r="O7" i="1" s="1"/>
  <c r="AJ2" i="3"/>
  <c r="AI2" i="3"/>
  <c r="AE2" i="3"/>
  <c r="U123" i="2"/>
  <c r="AN2" i="2" s="1"/>
  <c r="S123" i="2"/>
  <c r="R123" i="2"/>
  <c r="P123" i="2"/>
  <c r="O123" i="2"/>
  <c r="M123" i="2"/>
  <c r="K6" i="1" s="1"/>
  <c r="J123" i="2"/>
  <c r="I123" i="2"/>
  <c r="AB2" i="2" s="1"/>
  <c r="F123" i="2"/>
  <c r="Y2" i="2" s="1"/>
  <c r="W117" i="2"/>
  <c r="E117" i="2"/>
  <c r="W116" i="2"/>
  <c r="E116" i="2"/>
  <c r="W115" i="2"/>
  <c r="E115" i="2"/>
  <c r="W114" i="2"/>
  <c r="E114" i="2"/>
  <c r="W113" i="2"/>
  <c r="E113" i="2"/>
  <c r="W112" i="2"/>
  <c r="E112" i="2"/>
  <c r="W111" i="2"/>
  <c r="E111" i="2"/>
  <c r="W110" i="2"/>
  <c r="E110" i="2"/>
  <c r="W109" i="2"/>
  <c r="E109" i="2"/>
  <c r="W108" i="2"/>
  <c r="E108" i="2"/>
  <c r="W107" i="2"/>
  <c r="E107" i="2"/>
  <c r="W106" i="2"/>
  <c r="E106" i="2"/>
  <c r="W105" i="2"/>
  <c r="E105" i="2"/>
  <c r="W104" i="2"/>
  <c r="E104" i="2"/>
  <c r="W103" i="2"/>
  <c r="E103" i="2"/>
  <c r="W102" i="2"/>
  <c r="E102" i="2"/>
  <c r="W101" i="2"/>
  <c r="E101" i="2"/>
  <c r="W100" i="2"/>
  <c r="E100" i="2"/>
  <c r="W99" i="2"/>
  <c r="E99" i="2"/>
  <c r="W98" i="2"/>
  <c r="E98" i="2"/>
  <c r="W97" i="2"/>
  <c r="E97" i="2"/>
  <c r="W96" i="2"/>
  <c r="E96" i="2"/>
  <c r="W95" i="2"/>
  <c r="E95" i="2"/>
  <c r="W94" i="2"/>
  <c r="E94" i="2"/>
  <c r="W93" i="2"/>
  <c r="E93" i="2"/>
  <c r="W92" i="2"/>
  <c r="E92" i="2"/>
  <c r="W91" i="2"/>
  <c r="E91" i="2"/>
  <c r="W90" i="2"/>
  <c r="E90" i="2"/>
  <c r="W89" i="2"/>
  <c r="E89" i="2"/>
  <c r="W88" i="2"/>
  <c r="E88" i="2"/>
  <c r="W87" i="2"/>
  <c r="E87" i="2"/>
  <c r="W86" i="2"/>
  <c r="E86" i="2"/>
  <c r="W85" i="2"/>
  <c r="E85" i="2"/>
  <c r="W83" i="2"/>
  <c r="E83" i="2"/>
  <c r="W82" i="2"/>
  <c r="E82" i="2"/>
  <c r="W81" i="2"/>
  <c r="E81" i="2"/>
  <c r="W80" i="2"/>
  <c r="E80" i="2"/>
  <c r="W79" i="2"/>
  <c r="E79" i="2"/>
  <c r="W78" i="2"/>
  <c r="E78" i="2"/>
  <c r="W77" i="2"/>
  <c r="E77" i="2"/>
  <c r="W76" i="2"/>
  <c r="E76" i="2"/>
  <c r="W75" i="2"/>
  <c r="E75" i="2"/>
  <c r="W74" i="2"/>
  <c r="E74" i="2"/>
  <c r="W72" i="2"/>
  <c r="E72" i="2"/>
  <c r="W71" i="2"/>
  <c r="E71" i="2"/>
  <c r="W70" i="2"/>
  <c r="E70" i="2"/>
  <c r="W69" i="2"/>
  <c r="E69" i="2"/>
  <c r="W68" i="2"/>
  <c r="E68" i="2"/>
  <c r="W67" i="2"/>
  <c r="E67" i="2"/>
  <c r="W66" i="2"/>
  <c r="E66" i="2"/>
  <c r="W65" i="2"/>
  <c r="E65" i="2"/>
  <c r="W64" i="2"/>
  <c r="E64" i="2"/>
  <c r="W63" i="2"/>
  <c r="E63" i="2"/>
  <c r="W62" i="2"/>
  <c r="E62" i="2"/>
  <c r="W61" i="2"/>
  <c r="E61" i="2"/>
  <c r="W60" i="2"/>
  <c r="E60" i="2"/>
  <c r="W59" i="2"/>
  <c r="E59" i="2"/>
  <c r="W58" i="2"/>
  <c r="E58" i="2"/>
  <c r="W57" i="2"/>
  <c r="E57" i="2"/>
  <c r="W56" i="2"/>
  <c r="E56" i="2"/>
  <c r="W55" i="2"/>
  <c r="E55" i="2"/>
  <c r="W54" i="2"/>
  <c r="E54" i="2"/>
  <c r="W53" i="2"/>
  <c r="E53" i="2"/>
  <c r="W52" i="2"/>
  <c r="E52" i="2"/>
  <c r="W51" i="2"/>
  <c r="E51" i="2"/>
  <c r="W50" i="2"/>
  <c r="E50" i="2"/>
  <c r="W49" i="2"/>
  <c r="E49" i="2"/>
  <c r="W48" i="2"/>
  <c r="E48" i="2"/>
  <c r="W47" i="2"/>
  <c r="E47" i="2"/>
  <c r="W46" i="2"/>
  <c r="E46" i="2"/>
  <c r="W45" i="2"/>
  <c r="E45" i="2"/>
  <c r="W44" i="2"/>
  <c r="E44" i="2"/>
  <c r="W43" i="2"/>
  <c r="E43" i="2"/>
  <c r="W42" i="2"/>
  <c r="E42" i="2"/>
  <c r="W41" i="2"/>
  <c r="E41" i="2"/>
  <c r="W40" i="2"/>
  <c r="E40" i="2"/>
  <c r="W39" i="2"/>
  <c r="E39" i="2"/>
  <c r="W38" i="2"/>
  <c r="E38" i="2"/>
  <c r="W37" i="2"/>
  <c r="E37" i="2"/>
  <c r="W36" i="2"/>
  <c r="E36" i="2"/>
  <c r="W35" i="2"/>
  <c r="E35" i="2"/>
  <c r="W34" i="2"/>
  <c r="E34" i="2"/>
  <c r="W33" i="2"/>
  <c r="E33" i="2"/>
  <c r="W32" i="2"/>
  <c r="E32" i="2"/>
  <c r="W31" i="2"/>
  <c r="E31" i="2"/>
  <c r="W30" i="2"/>
  <c r="E30" i="2"/>
  <c r="W29" i="2"/>
  <c r="E29" i="2"/>
  <c r="W28" i="2"/>
  <c r="E28" i="2"/>
  <c r="W27" i="2"/>
  <c r="E27" i="2"/>
  <c r="W26" i="2"/>
  <c r="E26" i="2"/>
  <c r="W25" i="2"/>
  <c r="E25" i="2"/>
  <c r="W24" i="2"/>
  <c r="E24" i="2"/>
  <c r="W23" i="2"/>
  <c r="E23" i="2"/>
  <c r="W22" i="2"/>
  <c r="E22" i="2"/>
  <c r="W21" i="2"/>
  <c r="E21" i="2"/>
  <c r="W20" i="2"/>
  <c r="E20" i="2"/>
  <c r="W19" i="2"/>
  <c r="E19" i="2"/>
  <c r="W18" i="2"/>
  <c r="E18" i="2"/>
  <c r="W17" i="2"/>
  <c r="E17" i="2"/>
  <c r="W16" i="2"/>
  <c r="E16" i="2"/>
  <c r="W15" i="2"/>
  <c r="E15" i="2"/>
  <c r="W14" i="2"/>
  <c r="E14" i="2"/>
  <c r="W13" i="2"/>
  <c r="E13" i="2"/>
  <c r="W10" i="2"/>
  <c r="E10" i="2"/>
  <c r="W9" i="2"/>
  <c r="E9" i="2"/>
  <c r="AK2" i="2"/>
  <c r="AC2" i="2"/>
  <c r="S18" i="1"/>
  <c r="R18" i="1"/>
  <c r="Q18" i="1"/>
  <c r="P18" i="1"/>
  <c r="O18" i="1"/>
  <c r="N18" i="1"/>
  <c r="M18" i="1"/>
  <c r="L18" i="1"/>
  <c r="K18" i="1"/>
  <c r="J18" i="1"/>
  <c r="I18" i="1"/>
  <c r="H18" i="1"/>
  <c r="E18" i="1"/>
  <c r="D18" i="1"/>
  <c r="Q17" i="1"/>
  <c r="N17" i="1"/>
  <c r="J17" i="1"/>
  <c r="H17" i="1"/>
  <c r="G17" i="1"/>
  <c r="Q16" i="1"/>
  <c r="P16" i="1"/>
  <c r="K16" i="1"/>
  <c r="J16" i="1"/>
  <c r="H16" i="1"/>
  <c r="G16" i="1"/>
  <c r="F16" i="1"/>
  <c r="E16" i="1"/>
  <c r="Q15" i="1"/>
  <c r="N15" i="1"/>
  <c r="M15" i="1"/>
  <c r="K15" i="1"/>
  <c r="H15" i="1"/>
  <c r="G15" i="1"/>
  <c r="F15" i="1"/>
  <c r="S14" i="1"/>
  <c r="Q14" i="1"/>
  <c r="P14" i="1"/>
  <c r="N14" i="1"/>
  <c r="M14" i="1"/>
  <c r="K14" i="1"/>
  <c r="J14" i="1"/>
  <c r="H14" i="1"/>
  <c r="G14" i="1"/>
  <c r="F14" i="1"/>
  <c r="D14" i="1"/>
  <c r="S13" i="1"/>
  <c r="N13" i="1"/>
  <c r="H13" i="1"/>
  <c r="D13" i="1"/>
  <c r="P12" i="1"/>
  <c r="J12" i="1"/>
  <c r="R11" i="1"/>
  <c r="N11" i="1"/>
  <c r="M11" i="1"/>
  <c r="J11" i="1"/>
  <c r="H11" i="1"/>
  <c r="H10" i="1"/>
  <c r="G10" i="1"/>
  <c r="Q9" i="1"/>
  <c r="P9" i="1"/>
  <c r="J9" i="1"/>
  <c r="H9" i="1"/>
  <c r="S8" i="1"/>
  <c r="J8" i="1"/>
  <c r="H8" i="1"/>
  <c r="Q7" i="1"/>
  <c r="P7" i="1"/>
  <c r="L7" i="1"/>
  <c r="J7" i="1"/>
  <c r="G7" i="1"/>
  <c r="E7" i="1"/>
  <c r="S6" i="1"/>
  <c r="P6" i="1"/>
  <c r="N6" i="1"/>
  <c r="H6" i="1"/>
  <c r="V78" i="4" l="1"/>
  <c r="G6" i="1"/>
  <c r="G18" i="1"/>
  <c r="F18" i="1"/>
  <c r="Z2" i="7"/>
  <c r="E11" i="1"/>
  <c r="AD2" i="12"/>
  <c r="I16" i="1"/>
  <c r="AF2" i="8"/>
  <c r="K12" i="1"/>
  <c r="R12" i="1"/>
  <c r="AM2" i="8"/>
  <c r="H19" i="1"/>
  <c r="Z2" i="1" s="1"/>
  <c r="R52" i="7"/>
  <c r="M7" i="1"/>
  <c r="J13" i="1"/>
  <c r="M16" i="1"/>
  <c r="I65" i="5"/>
  <c r="V66" i="9"/>
  <c r="AM2" i="13"/>
  <c r="AD2" i="14"/>
  <c r="D6" i="1"/>
  <c r="D7" i="1"/>
  <c r="I7" i="1"/>
  <c r="N8" i="1"/>
  <c r="G12" i="1"/>
  <c r="M12" i="1"/>
  <c r="K13" i="1"/>
  <c r="Q13" i="1"/>
  <c r="O15" i="1"/>
  <c r="D17" i="1"/>
  <c r="M17" i="1"/>
  <c r="C18" i="1"/>
  <c r="AF2" i="2"/>
  <c r="V126" i="2"/>
  <c r="AN2" i="3"/>
  <c r="T64" i="5"/>
  <c r="R9" i="1" s="1"/>
  <c r="H64" i="5"/>
  <c r="AA2" i="5" s="1"/>
  <c r="G64" i="5"/>
  <c r="M65" i="5"/>
  <c r="AL2" i="7"/>
  <c r="K52" i="7"/>
  <c r="I11" i="1" s="1"/>
  <c r="T130" i="11"/>
  <c r="V18" i="14"/>
  <c r="N52" i="7"/>
  <c r="M54" i="7" s="1"/>
  <c r="AG2" i="9"/>
  <c r="H7" i="1"/>
  <c r="J10" i="1"/>
  <c r="P13" i="1"/>
  <c r="AB2" i="4"/>
  <c r="R55" i="7"/>
  <c r="AB2" i="9"/>
  <c r="S10" i="1"/>
  <c r="F11" i="1"/>
  <c r="H12" i="1"/>
  <c r="F13" i="1"/>
  <c r="E15" i="1"/>
  <c r="T18" i="1"/>
  <c r="Q123" i="2"/>
  <c r="N123" i="2"/>
  <c r="H123" i="2"/>
  <c r="AA2" i="2" s="1"/>
  <c r="R18" i="3"/>
  <c r="AN2" i="5"/>
  <c r="V67" i="5"/>
  <c r="U52" i="7"/>
  <c r="S54" i="7" s="1"/>
  <c r="G41" i="8"/>
  <c r="E12" i="1" s="1"/>
  <c r="F41" i="8"/>
  <c r="D12" i="1" s="1"/>
  <c r="N65" i="12"/>
  <c r="L16" i="1" s="1"/>
  <c r="U65" i="12"/>
  <c r="R68" i="12"/>
  <c r="V32" i="13"/>
  <c r="AL2" i="14"/>
  <c r="AA2" i="6"/>
  <c r="F10" i="1"/>
  <c r="AM2" i="4"/>
  <c r="R8" i="1"/>
  <c r="AA2" i="4"/>
  <c r="F8" i="1"/>
  <c r="Q6" i="1"/>
  <c r="AL2" i="2"/>
  <c r="C7" i="1"/>
  <c r="AM2" i="5"/>
  <c r="S66" i="5"/>
  <c r="R86" i="6"/>
  <c r="K83" i="6"/>
  <c r="G83" i="6"/>
  <c r="N83" i="6"/>
  <c r="P83" i="6"/>
  <c r="V86" i="6"/>
  <c r="I53" i="7"/>
  <c r="G11" i="1"/>
  <c r="G19" i="1" s="1"/>
  <c r="Y2" i="1" s="1"/>
  <c r="N41" i="8"/>
  <c r="Q41" i="8"/>
  <c r="H41" i="8"/>
  <c r="Z2" i="8"/>
  <c r="Y2" i="8"/>
  <c r="S131" i="11"/>
  <c r="O131" i="11"/>
  <c r="G131" i="11"/>
  <c r="J131" i="11"/>
  <c r="U131" i="11"/>
  <c r="Q131" i="11"/>
  <c r="M131" i="11"/>
  <c r="I131" i="11"/>
  <c r="H131" i="11"/>
  <c r="T131" i="11"/>
  <c r="C15" i="1"/>
  <c r="P131" i="11"/>
  <c r="AN2" i="11"/>
  <c r="S15" i="1"/>
  <c r="M13" i="1"/>
  <c r="P17" i="1"/>
  <c r="M6" i="1"/>
  <c r="AH2" i="2"/>
  <c r="T123" i="2"/>
  <c r="R126" i="2"/>
  <c r="P125" i="2" s="1"/>
  <c r="N75" i="4"/>
  <c r="K9" i="1"/>
  <c r="U53" i="7"/>
  <c r="U41" i="8"/>
  <c r="Q15" i="10"/>
  <c r="T15" i="10"/>
  <c r="K15" i="10"/>
  <c r="G15" i="10"/>
  <c r="V18" i="10"/>
  <c r="N15" i="10"/>
  <c r="R18" i="10"/>
  <c r="G123" i="2"/>
  <c r="K123" i="2"/>
  <c r="AI2" i="2"/>
  <c r="G16" i="3"/>
  <c r="AJ2" i="5"/>
  <c r="T65" i="5"/>
  <c r="L65" i="5"/>
  <c r="S65" i="5"/>
  <c r="O65" i="5"/>
  <c r="G65" i="5"/>
  <c r="C9" i="1"/>
  <c r="R65" i="5"/>
  <c r="J65" i="5"/>
  <c r="U65" i="5"/>
  <c r="F83" i="6"/>
  <c r="R83" i="6"/>
  <c r="T83" i="6"/>
  <c r="S85" i="6" s="1"/>
  <c r="AB2" i="7"/>
  <c r="K54" i="7"/>
  <c r="AI2" i="8"/>
  <c r="P17" i="10"/>
  <c r="AI2" i="10"/>
  <c r="AE2" i="11"/>
  <c r="S132" i="11"/>
  <c r="AM2" i="11"/>
  <c r="R15" i="1"/>
  <c r="L131" i="11"/>
  <c r="O10" i="1"/>
  <c r="L123" i="2"/>
  <c r="R78" i="4"/>
  <c r="K75" i="4"/>
  <c r="G75" i="4"/>
  <c r="Q75" i="4"/>
  <c r="R75" i="4"/>
  <c r="M75" i="4"/>
  <c r="K11" i="1"/>
  <c r="P54" i="7"/>
  <c r="O11" i="1"/>
  <c r="Q53" i="7"/>
  <c r="AN2" i="7"/>
  <c r="S11" i="1"/>
  <c r="V44" i="8"/>
  <c r="H15" i="3"/>
  <c r="T15" i="3"/>
  <c r="V18" i="3"/>
  <c r="F64" i="5"/>
  <c r="V55" i="7"/>
  <c r="F54" i="7"/>
  <c r="T53" i="7"/>
  <c r="P53" i="7"/>
  <c r="L53" i="7"/>
  <c r="H53" i="7"/>
  <c r="G63" i="9"/>
  <c r="F65" i="9" s="1"/>
  <c r="K63" i="9"/>
  <c r="T63" i="9"/>
  <c r="AG2" i="12"/>
  <c r="AL2" i="12"/>
  <c r="Q29" i="13"/>
  <c r="P31" i="13" s="1"/>
  <c r="H29" i="13"/>
  <c r="N29" i="13"/>
  <c r="T16" i="14"/>
  <c r="P16" i="14"/>
  <c r="L16" i="14"/>
  <c r="H16" i="14"/>
  <c r="S16" i="14"/>
  <c r="O16" i="14"/>
  <c r="K16" i="14"/>
  <c r="G16" i="14"/>
  <c r="R16" i="14"/>
  <c r="N16" i="14"/>
  <c r="J16" i="14"/>
  <c r="F16" i="14"/>
  <c r="Q16" i="14"/>
  <c r="N64" i="5"/>
  <c r="N65" i="5" s="1"/>
  <c r="Q8" i="1"/>
  <c r="Q10" i="1"/>
  <c r="M15" i="3"/>
  <c r="K64" i="5"/>
  <c r="K65" i="5" s="1"/>
  <c r="G53" i="7"/>
  <c r="M53" i="7"/>
  <c r="R44" i="8"/>
  <c r="P43" i="8" s="1"/>
  <c r="S41" i="8"/>
  <c r="K41" i="8"/>
  <c r="Q63" i="9"/>
  <c r="R66" i="9"/>
  <c r="M65" i="9" s="1"/>
  <c r="V68" i="12"/>
  <c r="M17" i="14"/>
  <c r="AF2" i="14"/>
  <c r="U16" i="14"/>
  <c r="P64" i="5"/>
  <c r="J66" i="12"/>
  <c r="I66" i="12"/>
  <c r="U29" i="13"/>
  <c r="F17" i="14"/>
  <c r="I16" i="14"/>
  <c r="P17" i="14"/>
  <c r="P65" i="12"/>
  <c r="T65" i="12"/>
  <c r="S67" i="12" s="1"/>
  <c r="G29" i="13"/>
  <c r="K29" i="13"/>
  <c r="R32" i="13"/>
  <c r="F130" i="11"/>
  <c r="F131" i="11" s="1"/>
  <c r="N130" i="11"/>
  <c r="R130" i="11"/>
  <c r="K130" i="11"/>
  <c r="K131" i="11" s="1"/>
  <c r="F65" i="12"/>
  <c r="M29" i="13"/>
  <c r="F125" i="2" l="1"/>
  <c r="S66" i="12"/>
  <c r="G66" i="12"/>
  <c r="C16" i="1"/>
  <c r="O66" i="12"/>
  <c r="K16" i="3"/>
  <c r="S16" i="3"/>
  <c r="AK2" i="7"/>
  <c r="P11" i="1"/>
  <c r="M66" i="12"/>
  <c r="N16" i="3"/>
  <c r="F66" i="12"/>
  <c r="S65" i="9"/>
  <c r="F17" i="3"/>
  <c r="H65" i="5"/>
  <c r="L16" i="3"/>
  <c r="Q16" i="3"/>
  <c r="F6" i="1"/>
  <c r="L6" i="1"/>
  <c r="AG2" i="2"/>
  <c r="K67" i="12"/>
  <c r="P66" i="12"/>
  <c r="U66" i="12"/>
  <c r="K66" i="12"/>
  <c r="AD2" i="7"/>
  <c r="O16" i="3"/>
  <c r="P17" i="3"/>
  <c r="M19" i="1"/>
  <c r="AE2" i="1" s="1"/>
  <c r="P16" i="3"/>
  <c r="U16" i="3"/>
  <c r="O6" i="1"/>
  <c r="AJ2" i="2"/>
  <c r="O53" i="7"/>
  <c r="F53" i="7"/>
  <c r="N53" i="7"/>
  <c r="J53" i="7"/>
  <c r="S53" i="7"/>
  <c r="C11" i="1"/>
  <c r="T11" i="1" s="1"/>
  <c r="Z2" i="5"/>
  <c r="E9" i="1"/>
  <c r="H66" i="12"/>
  <c r="M67" i="12"/>
  <c r="T16" i="3"/>
  <c r="R16" i="3"/>
  <c r="F9" i="1"/>
  <c r="I16" i="3"/>
  <c r="AG2" i="7"/>
  <c r="L11" i="1"/>
  <c r="N66" i="12"/>
  <c r="S16" i="1"/>
  <c r="AN2" i="12"/>
  <c r="T66" i="12"/>
  <c r="L66" i="12"/>
  <c r="Q66" i="12"/>
  <c r="R66" i="12"/>
  <c r="R53" i="7"/>
  <c r="M16" i="3"/>
  <c r="J16" i="3"/>
  <c r="K53" i="7"/>
  <c r="K17" i="3"/>
  <c r="F16" i="3"/>
  <c r="AD2" i="13"/>
  <c r="K31" i="13"/>
  <c r="I17" i="1"/>
  <c r="AI2" i="5"/>
  <c r="P66" i="5"/>
  <c r="N9" i="1"/>
  <c r="AK2" i="4"/>
  <c r="P8" i="1"/>
  <c r="S76" i="4"/>
  <c r="O76" i="4"/>
  <c r="K76" i="4"/>
  <c r="G76" i="4"/>
  <c r="R76" i="4"/>
  <c r="N76" i="4"/>
  <c r="J76" i="4"/>
  <c r="F76" i="4"/>
  <c r="M76" i="4"/>
  <c r="U76" i="4"/>
  <c r="Q76" i="4"/>
  <c r="I76" i="4"/>
  <c r="H76" i="4"/>
  <c r="C8" i="1"/>
  <c r="T76" i="4"/>
  <c r="P76" i="4"/>
  <c r="L76" i="4"/>
  <c r="F85" i="6"/>
  <c r="D10" i="1"/>
  <c r="Y2" i="6"/>
  <c r="M17" i="10"/>
  <c r="AG2" i="10"/>
  <c r="L14" i="1"/>
  <c r="AG2" i="8"/>
  <c r="L12" i="1"/>
  <c r="AI2" i="6"/>
  <c r="P85" i="6"/>
  <c r="N10" i="1"/>
  <c r="S84" i="6"/>
  <c r="O84" i="6"/>
  <c r="K84" i="6"/>
  <c r="G84" i="6"/>
  <c r="R84" i="6"/>
  <c r="N84" i="6"/>
  <c r="J84" i="6"/>
  <c r="F84" i="6"/>
  <c r="U84" i="6"/>
  <c r="Q84" i="6"/>
  <c r="M84" i="6"/>
  <c r="I84" i="6"/>
  <c r="H84" i="6"/>
  <c r="T84" i="6"/>
  <c r="P84" i="6"/>
  <c r="L84" i="6"/>
  <c r="C10" i="1"/>
  <c r="M31" i="13"/>
  <c r="AF2" i="13"/>
  <c r="K17" i="1"/>
  <c r="AG2" i="11"/>
  <c r="M132" i="11"/>
  <c r="L15" i="1"/>
  <c r="Z2" i="13"/>
  <c r="E17" i="1"/>
  <c r="AN2" i="13"/>
  <c r="S17" i="1"/>
  <c r="S31" i="13"/>
  <c r="R64" i="9"/>
  <c r="N64" i="9"/>
  <c r="J64" i="9"/>
  <c r="F64" i="9"/>
  <c r="Q64" i="9"/>
  <c r="L64" i="9"/>
  <c r="G64" i="9"/>
  <c r="U64" i="9"/>
  <c r="P64" i="9"/>
  <c r="K64" i="9"/>
  <c r="C13" i="1"/>
  <c r="T64" i="9"/>
  <c r="O64" i="9"/>
  <c r="I64" i="9"/>
  <c r="S64" i="9"/>
  <c r="M64" i="9"/>
  <c r="H64" i="9"/>
  <c r="Q12" i="1"/>
  <c r="Q19" i="1" s="1"/>
  <c r="AI2" i="1" s="1"/>
  <c r="S43" i="8"/>
  <c r="AL2" i="8"/>
  <c r="F17" i="1"/>
  <c r="AA2" i="13"/>
  <c r="K65" i="9"/>
  <c r="AD2" i="9"/>
  <c r="I13" i="1"/>
  <c r="F66" i="5"/>
  <c r="Y2" i="5"/>
  <c r="D9" i="1"/>
  <c r="AJ2" i="4"/>
  <c r="O8" i="1"/>
  <c r="S17" i="3"/>
  <c r="P65" i="5"/>
  <c r="I6" i="1"/>
  <c r="AD2" i="2"/>
  <c r="K125" i="2"/>
  <c r="AJ2" i="10"/>
  <c r="O14" i="1"/>
  <c r="R124" i="2"/>
  <c r="N124" i="2"/>
  <c r="J124" i="2"/>
  <c r="F124" i="2"/>
  <c r="Q124" i="2"/>
  <c r="U124" i="2"/>
  <c r="M124" i="2"/>
  <c r="I124" i="2"/>
  <c r="O124" i="2"/>
  <c r="G124" i="2"/>
  <c r="C6" i="1"/>
  <c r="T124" i="2"/>
  <c r="L124" i="2"/>
  <c r="S124" i="2"/>
  <c r="K124" i="2"/>
  <c r="M125" i="2"/>
  <c r="P124" i="2"/>
  <c r="H124" i="2"/>
  <c r="M85" i="6"/>
  <c r="L10" i="1"/>
  <c r="AG2" i="6"/>
  <c r="AK2" i="11"/>
  <c r="P15" i="1"/>
  <c r="AG2" i="13"/>
  <c r="L17" i="1"/>
  <c r="AA2" i="3"/>
  <c r="F7" i="1"/>
  <c r="T7" i="1" s="1"/>
  <c r="AG2" i="4"/>
  <c r="L8" i="1"/>
  <c r="F132" i="11"/>
  <c r="Y2" i="11"/>
  <c r="D15" i="1"/>
  <c r="T15" i="1" s="1"/>
  <c r="S42" i="8"/>
  <c r="O42" i="8"/>
  <c r="K42" i="8"/>
  <c r="G42" i="8"/>
  <c r="T42" i="8"/>
  <c r="N42" i="8"/>
  <c r="I42" i="8"/>
  <c r="R42" i="8"/>
  <c r="M42" i="8"/>
  <c r="H42" i="8"/>
  <c r="Q42" i="8"/>
  <c r="L42" i="8"/>
  <c r="F42" i="8"/>
  <c r="P42" i="8"/>
  <c r="C12" i="1"/>
  <c r="T12" i="1" s="1"/>
  <c r="J42" i="8"/>
  <c r="U42" i="8"/>
  <c r="AG2" i="5"/>
  <c r="L9" i="1"/>
  <c r="Z2" i="9"/>
  <c r="E13" i="1"/>
  <c r="P77" i="4"/>
  <c r="E8" i="1"/>
  <c r="T8" i="1" s="1"/>
  <c r="Z2" i="4"/>
  <c r="AM2" i="6"/>
  <c r="R10" i="1"/>
  <c r="F65" i="5"/>
  <c r="E6" i="1"/>
  <c r="Z2" i="2"/>
  <c r="Z2" i="10"/>
  <c r="E14" i="1"/>
  <c r="F17" i="10"/>
  <c r="AN2" i="8"/>
  <c r="S12" i="1"/>
  <c r="M66" i="5"/>
  <c r="AM2" i="2"/>
  <c r="R6" i="1"/>
  <c r="N131" i="11"/>
  <c r="F43" i="8"/>
  <c r="AA2" i="8"/>
  <c r="F12" i="1"/>
  <c r="E10" i="1"/>
  <c r="Z2" i="6"/>
  <c r="K43" i="8"/>
  <c r="AD2" i="8"/>
  <c r="I12" i="1"/>
  <c r="AM2" i="9"/>
  <c r="R13" i="1"/>
  <c r="AE2" i="2"/>
  <c r="J6" i="1"/>
  <c r="J19" i="1" s="1"/>
  <c r="AB2" i="1" s="1"/>
  <c r="AM2" i="10"/>
  <c r="S17" i="10"/>
  <c r="R14" i="1"/>
  <c r="F67" i="12"/>
  <c r="Y2" i="12"/>
  <c r="D16" i="1"/>
  <c r="T16" i="1" s="1"/>
  <c r="AM2" i="12"/>
  <c r="R16" i="1"/>
  <c r="AJ2" i="9"/>
  <c r="O13" i="1"/>
  <c r="K66" i="5"/>
  <c r="AD2" i="5"/>
  <c r="I9" i="1"/>
  <c r="AJ2" i="13"/>
  <c r="O17" i="1"/>
  <c r="K132" i="11"/>
  <c r="AD2" i="11"/>
  <c r="I15" i="1"/>
  <c r="U30" i="13"/>
  <c r="Q30" i="13"/>
  <c r="M30" i="13"/>
  <c r="I30" i="13"/>
  <c r="T30" i="13"/>
  <c r="P30" i="13"/>
  <c r="L30" i="13"/>
  <c r="H30" i="13"/>
  <c r="S30" i="13"/>
  <c r="O30" i="13"/>
  <c r="K30" i="13"/>
  <c r="G30" i="13"/>
  <c r="F30" i="13"/>
  <c r="R30" i="13"/>
  <c r="C17" i="1"/>
  <c r="N30" i="13"/>
  <c r="J30" i="13"/>
  <c r="AI2" i="12"/>
  <c r="P67" i="12"/>
  <c r="N16" i="1"/>
  <c r="F31" i="13"/>
  <c r="P132" i="11"/>
  <c r="M43" i="8"/>
  <c r="K7" i="1"/>
  <c r="M17" i="3"/>
  <c r="AF2" i="3"/>
  <c r="P65" i="9"/>
  <c r="AM2" i="3"/>
  <c r="R7" i="1"/>
  <c r="AF2" i="4"/>
  <c r="M77" i="4"/>
  <c r="K8" i="1"/>
  <c r="K77" i="4"/>
  <c r="I8" i="1"/>
  <c r="AD2" i="4"/>
  <c r="AK2" i="6"/>
  <c r="P10" i="1"/>
  <c r="U16" i="10"/>
  <c r="Q16" i="10"/>
  <c r="M16" i="10"/>
  <c r="I16" i="10"/>
  <c r="S16" i="10"/>
  <c r="N16" i="10"/>
  <c r="H16" i="10"/>
  <c r="R16" i="10"/>
  <c r="L16" i="10"/>
  <c r="G16" i="10"/>
  <c r="P16" i="10"/>
  <c r="K16" i="10"/>
  <c r="F16" i="10"/>
  <c r="O16" i="10"/>
  <c r="J16" i="10"/>
  <c r="T16" i="10"/>
  <c r="C14" i="1"/>
  <c r="AD2" i="10"/>
  <c r="K17" i="10"/>
  <c r="I14" i="1"/>
  <c r="F77" i="4"/>
  <c r="R131" i="11"/>
  <c r="AJ2" i="8"/>
  <c r="O12" i="1"/>
  <c r="K85" i="6"/>
  <c r="I10" i="1"/>
  <c r="AD2" i="6"/>
  <c r="S77" i="4"/>
  <c r="H16" i="3"/>
  <c r="S125" i="2"/>
  <c r="F19" i="1" l="1"/>
  <c r="X2" i="1" s="1"/>
  <c r="S19" i="1"/>
  <c r="AK2" i="1" s="1"/>
  <c r="P19" i="1"/>
  <c r="AH2" i="1" s="1"/>
  <c r="K19" i="1"/>
  <c r="AC2" i="1" s="1"/>
  <c r="R19" i="1"/>
  <c r="AJ2" i="1" s="1"/>
  <c r="T13" i="1"/>
  <c r="L19" i="1"/>
  <c r="AD2" i="1" s="1"/>
  <c r="O19" i="1"/>
  <c r="AG2" i="1" s="1"/>
  <c r="T10" i="1"/>
  <c r="E19" i="1"/>
  <c r="W2" i="1" s="1"/>
  <c r="T6" i="1"/>
  <c r="I19" i="1"/>
  <c r="AA2" i="1" s="1"/>
  <c r="T17" i="1"/>
  <c r="N19" i="1"/>
  <c r="AF2" i="1" s="1"/>
  <c r="T14" i="1"/>
  <c r="C19" i="1"/>
  <c r="D19" i="1"/>
  <c r="T9" i="1"/>
  <c r="D20" i="1" l="1"/>
  <c r="V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Heitor</author>
  </authors>
  <commentList>
    <comment ref="A3" authorId="0" shapeId="0" xr:uid="{D4216C63-2B41-4E51-A90F-DEE898A800FF}">
      <text>
        <r>
          <rPr>
            <b/>
            <sz val="9"/>
            <color indexed="81"/>
            <rFont val="Segoe UI"/>
            <family val="2"/>
          </rPr>
          <t>OS MEDIDA EM SETEMBRO/2026 (Geoportal RTA-MSI)</t>
        </r>
        <r>
          <rPr>
            <sz val="9"/>
            <color indexed="81"/>
            <rFont val="Segoe UI"/>
            <family val="2"/>
          </rPr>
          <t xml:space="preserve">
• OSP 6 — contrato 042.2025 — Restauração
   Situação: Em andamento · medição nº 4 (01/09/2026 a 30/09/2026)
   Medido no mês: R$ 3.030.639,59 · executado 36% da OS
   Serviços: Reciclagem com adição de brita comercial e... / Brita 1 (+23 itens)
Condições copiadas de AGOSTO/2026 — atualizar em campo.</t>
        </r>
      </text>
    </comment>
  </commentList>
</comments>
</file>

<file path=xl/sharedStrings.xml><?xml version="1.0" encoding="utf-8"?>
<sst xmlns="http://schemas.openxmlformats.org/spreadsheetml/2006/main" count="4984" uniqueCount="181">
  <si>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</si>
  <si>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</si>
  <si>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</si>
  <si>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</si>
  <si>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</si>
  <si>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</si>
  <si>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</si>
  <si>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</si>
  <si>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</si>
  <si>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</si>
  <si>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</si>
  <si>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</si>
  <si>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</si>
  <si>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</si>
  <si>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</si>
  <si>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</si>
  <si>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</si>
  <si>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</si>
  <si>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</si>
  <si>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REG.</t>
  </si>
  <si>
    <t>RODOVIA TO-070 - TRECHO SANDOLÂNDIA - FORMOSO DO ARAGUAIA</t>
  </si>
  <si>
    <t>RODOVIA TO-373 - TRECHO ALVORADA - ARAGUAÇU - PERÍMETRO URBANO</t>
  </si>
  <si>
    <t>RODOVIA TO-070 - TRECHO ALIANÇA DO TOCANTINS - BREJINHO DE NAZARÉ</t>
  </si>
  <si>
    <t>RODOVIA TO-070 - TRECHO DUERÉ - ALIANÇA DO TOCANTINS</t>
  </si>
  <si>
    <t>RODOVIA TO-070 - TRECHO FORMOSO DO ARAGUAIA - DUERÉ</t>
  </si>
  <si>
    <t>RODOVIA TO-181 - TRECHO FAZENDA COBRAPE - ENTR. BR-242</t>
  </si>
  <si>
    <t>RODOVIA TO-181 - TRECHO ENTR. BR-242 - FUNDAÇÃO BRADESCO</t>
  </si>
  <si>
    <t>RODOVIA TO-181 - TRECHO ARAGUAÇU - SANDOLÂNDIA</t>
  </si>
  <si>
    <t>RODOVIA TO-362 - TRECHO SANTA RITA DO TOCANTINS - BREJINHO DE NAZARÉ</t>
  </si>
  <si>
    <t>RODOVIA TO-373 - TRECHO ALVORADA - ARAGUAÇU - DIVISA TO-GO</t>
  </si>
  <si>
    <t>RODOVIA TO-374 - TRECHO DUERÉ - GURUPI</t>
  </si>
  <si>
    <t>RODOVIA TO-460 - TRECHO BR-242 (VILA QUIXABA) - SUCUPIRA</t>
  </si>
  <si>
    <t>RODOVIA TO-483 - TRECHO SUCUPIRA - FIGUEIRÓPOLIS</t>
  </si>
  <si>
    <t>TOTAL PERCORRIDO NO MÊS</t>
  </si>
  <si>
    <t>% DA EXTENSÃO DA MALHA (563.40 km)</t>
  </si>
  <si>
    <t>(soma do grupo 'CONDIÇÃO DO PAVIMENTO' dividida pela malha)</t>
  </si>
  <si>
    <t>PROGRAMA DE MANUTENÇÃO RODOVIÁRIA — FICHA DE INSPEÇÃO — RODOVIAS PAVIMENTADAS</t>
  </si>
  <si>
    <t>REGIÃO:  11 — GURUPI</t>
  </si>
  <si>
    <t>MÊS / ANO:</t>
  </si>
  <si>
    <t>DATA:</t>
  </si>
  <si>
    <t>TÉCNICO:</t>
  </si>
  <si>
    <t>TRECHO 202 — RODOVIA TO-070 - TRECHO SANDOLÂNDIA - FORMOSO DO ARAGUAIA</t>
  </si>
  <si>
    <t>EXTENSÃO: 102,397 km  ·  4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</si>
  <si>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</si>
  <si>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</si>
  <si>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</si>
  <si>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</si>
  <si>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</si>
  <si>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</si>
  <si>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</si>
  <si>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</si>
  <si>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181ETO0171   |   PERÍMETRO URBANO DE SANDOLÂNDIA   |   PSU · Municipal · 1.147 km  ·  sem coordenada no shape</t>
  </si>
  <si>
    <t>181ETO0171</t>
  </si>
  <si>
    <t>C</t>
  </si>
  <si>
    <t>X</t>
  </si>
  <si>
    <t>▲ AQUI HÁ 5.577 km FORA DO ESCOPO DO CONTRATO (perímetro urbano de jurisdição municipal). Você passa por ele, mas NÃO preenche.</t>
  </si>
  <si>
    <t>S.R.E. 070ETO0230   |   ENTR. BR-242 (FORMOSO DO ARAGUAIA ) - DORILÂNDIA   |   PPS · Estadual · 59.748 km  ·  início: -11.809321, -49.533811</t>
  </si>
  <si>
    <t>070ETO0230</t>
  </si>
  <si>
    <t>S.R.E. 070ETO0240   |   DORILÂNDIA - ENTR. TO-181   |   PPS · Estadual · 9.491 km  ·  início: -12.246573, -49.747334</t>
  </si>
  <si>
    <t>070ETO0240</t>
  </si>
  <si>
    <t>S.R.E. 070ETO0250   |   ENTR. TO-181 - SANDOLÂNDIA *TRECHO URBANO*   |   PPS · Estadual · 32.011 km  ·  início: -12.282216, -49.82553</t>
  </si>
  <si>
    <t>070ETO0250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</si>
  <si>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</si>
  <si>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</si>
  <si>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</si>
  <si>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</si>
  <si>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</si>
  <si>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</si>
  <si>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</si>
  <si>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</si>
  <si>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</si>
  <si>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</si>
  <si>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</si>
  <si>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</si>
  <si>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</si>
  <si>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</si>
  <si>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</si>
  <si>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</si>
  <si>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</si>
  <si>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</si>
  <si>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</si>
  <si>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</si>
  <si>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</si>
  <si>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</si>
  <si>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</si>
  <si>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</si>
  <si>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</si>
  <si>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203 — RODOVIA TO-373 - TRECHO ALVORADA - ARAGUAÇU - PERÍMETRO URBANO</t>
  </si>
  <si>
    <t>EXTENSÃO: 1,000 km  ·  1 S.R.E.</t>
  </si>
  <si>
    <t>S.R.E. 373ETO0221   |   ALVORADA *TRECHO URBANO*   |   PSU · Municipal · 1.000 km  ·  início: -12.4898, -49.12822</t>
  </si>
  <si>
    <t>373ETO0221</t>
  </si>
  <si>
    <t>TRECHO 204 — RODOVIA TO-070 - TRECHO ALIANÇA DO TOCANTINS - BREJINHO DE NAZARÉ</t>
  </si>
  <si>
    <t>EXTENSÃO: 59,746 km  ·  2 S.R.E.</t>
  </si>
  <si>
    <t>S.R.E. 070ETO0120   |   BREJINHO DE NAZARÉ *TRECHO URBANO* - ALIANCA *TRECHO URBANO*   |   PPS · Estadual · 58.755 km  ·  início: -11.015083, -48.579912</t>
  </si>
  <si>
    <t>070ETO0120</t>
  </si>
  <si>
    <t>S.R.E. 070ETO0121   |   ALIANCA *TRECHO URBANO*   |   PPS · Estadual · 0.990 km  ·  início: -11.303736, -48.927362</t>
  </si>
  <si>
    <t>070ETO0121</t>
  </si>
  <si>
    <t>TRECHO 205 — RODOVIA TO-070 - TRECHO DUERÉ - ALIANÇA DO TOCANTINS</t>
  </si>
  <si>
    <t>EXTENSÃO: 46,836 km  ·  3 S.R.E.</t>
  </si>
  <si>
    <t>S.R.E. 070ETO0140   |   ENTR. BR-153 (B) - ENTR. TO-164   |   PPS · Estadual · 26.907 km  ·  início: -11.297987, -48.939857</t>
  </si>
  <si>
    <t>070ETO0140</t>
  </si>
  <si>
    <t>S.R.E. 070ETO0150   |   ENTR. TO-164 - ENTR. TO-374   |   PPS · Estadual · 16.264 km  ·  início: -11.220131, -49.15999</t>
  </si>
  <si>
    <t>070ETO0150</t>
  </si>
  <si>
    <t>S.R.E. 070ETO0160   |   ENTR. TO-374 - DUERÉ *TRECHO URBANO*   |   PPS · Estadual · 3.665 km  ·  início: -11.310701, -49.251884</t>
  </si>
  <si>
    <t>070ETO0160</t>
  </si>
  <si>
    <t>TRECHO 206 — RODOVIA TO-070 - TRECHO FORMOSO DO ARAGUAIA - DUERÉ</t>
  </si>
  <si>
    <t>EXTENSÃO: 64,926 km  ·  3 S.R.E.</t>
  </si>
  <si>
    <t>S.R.E. 070ETO0170   |   DUERÉ *TRECHO URBANO* - ENTR.TO-374   |   PPS · Estadual · 0.419 km  ·  início: -11.339721, -49.265578</t>
  </si>
  <si>
    <t>070ETO0170</t>
  </si>
  <si>
    <t>S.R.E. 070ETO0200   |   ENTR. TO-374 (DUERE) - FORMOSO DO ARAGUAIA *TRECHO URBANO*   |   PPS · Estadual · 61.372 km  ·  início: -11.349598, -49.269462</t>
  </si>
  <si>
    <t>070ETO0200</t>
  </si>
  <si>
    <t>S.R.E. 070ETO0201   |   FORMOSO DO ARAGUAIA *TRECHO URBANO*   |   PDU · Estadual · 3.135 km  ·  início: -11.793308, -49.520029</t>
  </si>
  <si>
    <t>070ETO0201</t>
  </si>
  <si>
    <t>TRECHO 209 — RODOVIA TO-181 - TRECHO FAZENDA COBRAPE - ENTR. BR-242</t>
  </si>
  <si>
    <t>EXTENSÃO: 35,676 km  ·  2 S.R.E.</t>
  </si>
  <si>
    <t>S.R.E. 181ETO0110   |   FAZ. COBRAPE - LAGOA DA ONÇA   |   PPS · Estadual · 18.311 km  ·  início: -11.631979, -49.848099</t>
  </si>
  <si>
    <t>181ETO0110</t>
  </si>
  <si>
    <t>S.R.E. 181ETO0120   |   LAGOA DA ONÇA - ENTR. BR-242   |   PPS · Estadual · 17.364 km  ·  início: -11.731576, -49.87685</t>
  </si>
  <si>
    <t>181ETO0120</t>
  </si>
  <si>
    <t>TRECHO 210 — RODOVIA TO-181 - TRECHO ENTR. BR-242 - FUNDAÇÃO BRADESCO</t>
  </si>
  <si>
    <t>EXTENSÃO: 26,160 km  ·  1 S.R.E.</t>
  </si>
  <si>
    <t>S.R.E. 181ETO0140   |   ENTR. BR-242 (B) - FUNDAÇÃO BRADESCO   |   PPS · Estadual · 26.160 km  ·  início: -11.979505, -49.896445</t>
  </si>
  <si>
    <t>181ETO0140</t>
  </si>
  <si>
    <t>TRECHO 212 — RODOVIA TO-181 - TRECHO ARAGUAÇU - SANDOLÂNDIA</t>
  </si>
  <si>
    <t>EXTENSÃO: 48,650 km  ·  1 S.R.E.</t>
  </si>
  <si>
    <t>S.R.E. 181ETO0200   |   SANDOLANDIA *TRECHO URBANO* - ENTR. TO-373 (ARAGUAÇU *TRECHO URBANO*)   |   PPS · Estadual · 48.650 km  ·  início: -12.542978, -49.93248</t>
  </si>
  <si>
    <t>181ETO0200</t>
  </si>
  <si>
    <t>TRECHO 214 — RODOVIA TO-362 - TRECHO SANTA RITA DO TOCANTINS - BREJINHO DE NAZARÉ</t>
  </si>
  <si>
    <t>EXTENSÃO: 0,375 km  ·  1 S.R.E.</t>
  </si>
  <si>
    <t>S.R.E. 362ETO0110   |   ENTR. TO-070 - BREJINHO DE NAZARÉ *TRECHO URBANO*   |   PSU · Estadual · 0.375 km  ·  sem coordenada no shape</t>
  </si>
  <si>
    <t>362ETO0110</t>
  </si>
  <si>
    <t>TRECHO 218 — RODOVIA TO-373 - TRECHO ALVORADA - ARAGUAÇU - DIVISA TO-GO</t>
  </si>
  <si>
    <t>EXTENSÃO: 112,309 km  ·  3 S.R.E.</t>
  </si>
  <si>
    <t>S.R.E. 373ETO0240   |   ALVORADA *TRECHO URBANO* - ENTR. TO-181 (ARAGUAÇU *TRECHO URBANO*)   |   PPS · Estadual · 95.249 km  ·  início: -12.489874, -49.128276</t>
  </si>
  <si>
    <t>373ETO0240</t>
  </si>
  <si>
    <t>S.R.E. 373ETO0250   |   ENTR. TO-181 (ARAGUAÇU *TRECHO URBANO*) - ARAGUAÇU (ACESSO SUL)   |   PPS · Estadual · 6.169 km  ·  início: -12.914704, -49.830338</t>
  </si>
  <si>
    <t>373ETO0250</t>
  </si>
  <si>
    <t>S.R.E. 373ETO0260   |   ARAGUAÇU (ACESSO SUL) - DIV TO-GO   |   PPS · Estadual · 10.892 km  ·  início: -12.947198, -49.84488</t>
  </si>
  <si>
    <t>373ETO0260</t>
  </si>
  <si>
    <t>TRECHO 219 — RODOVIA TO-374 - TRECHO DUERÉ - GURUPI</t>
  </si>
  <si>
    <t>EXTENSÃO: 50,300 km  ·  1 S.R.E.</t>
  </si>
  <si>
    <t>S.R.E. 374ETO0200   |   ENTR. TO-070 - GURUPI *TRECHO URBANO*   |   PPS · Estadual · 50.300 km  ·  início: -11.711759, -49.104033</t>
  </si>
  <si>
    <t>374ETO0200</t>
  </si>
  <si>
    <t>TRECHO 220 — RODOVIA TO-460 - TRECHO BR-242 (VILA QUIXABA) - SUCUPIRA</t>
  </si>
  <si>
    <t>EXTENSÃO: 14,041 km  ·  1 S.R.E.</t>
  </si>
  <si>
    <t>S.R.E. 460ETO0010   |   BR-242 (VILA QUIXABA) - SUCUPIRA *TRECHO URBANO*   |   PPS · Estadual · 14.041 km  ·  início: -11.98187, -48.904262</t>
  </si>
  <si>
    <t>460ETO0010</t>
  </si>
  <si>
    <t>TRECHO 222 — RODOVIA TO-483 - TRECHO SUCUPIRA - FIGUEIRÓPOLIS</t>
  </si>
  <si>
    <t>EXTENSÃO: 0,980 km  ·  1 S.R.E.</t>
  </si>
  <si>
    <t>S.R.E. 483ETO0010   |   SUCUPIRA *TRECHO URBANO* - FIM PAVIMENTAÇÃO   |   PPS · Estadual · 0.980 km  ·  sem coordenada no shape</t>
  </si>
  <si>
    <t>483ETO0010</t>
  </si>
  <si>
    <t>TÉCNICOS</t>
  </si>
  <si>
    <t>ENG. VINÍCIUS RODRIGUES FERREIRA DE OLIVEIRA</t>
  </si>
  <si>
    <t>LABORATORISTA CLAUDIOMIRO VIEIRA LOPES</t>
  </si>
  <si>
    <t>ENG. THIAGO BORGES TORQUATO</t>
  </si>
  <si>
    <t>LIMPOS</t>
  </si>
  <si>
    <t>SUJOS</t>
  </si>
  <si>
    <t>DAN.</t>
  </si>
  <si>
    <t>INEXIST.</t>
  </si>
  <si>
    <t>POUCAS</t>
  </si>
  <si>
    <t>ORDENS DE SERVIÇO MEDIDAS EM SETEMBRO/2026</t>
  </si>
  <si>
    <t>REGIÃO 11 — RODOVIAS PAVIMENTADAS  ·  Fonte: Geoportal RTA-MSI (geoportal-ordens-servico.vercel.app), consultado em 02/10/2026</t>
  </si>
  <si>
    <t>Os trechos abaixo estão com a ABA EM LARANJA e uma nota no título do trecho (A3). As condições desta ficha foram copiadas de AGOSTO/2026: atualizar em campo, com atenção especial a estes trechos.</t>
  </si>
  <si>
    <t>TRECHO
(ABA)</t>
  </si>
  <si>
    <t>RODOVIA / TRECHO</t>
  </si>
  <si>
    <t>OSP</t>
  </si>
  <si>
    <t>CONTRATO</t>
  </si>
  <si>
    <t>TIPO</t>
  </si>
  <si>
    <t>SERVIÇOS (resumo do geoportal)</t>
  </si>
  <si>
    <t>SITUAÇÃO</t>
  </si>
  <si>
    <t>MEDIÇÃO DO MÊS</t>
  </si>
  <si>
    <t>VALOR MEDIDO
NO MÊS</t>
  </si>
  <si>
    <t>% EXEC.
DA OS</t>
  </si>
  <si>
    <t>PRAZO
LIMITE</t>
  </si>
  <si>
    <t>042.2025</t>
  </si>
  <si>
    <t>Restauração</t>
  </si>
  <si>
    <t>Reciclagem com adição de brita comercial e... / Brita 1 (+23 itens)</t>
  </si>
  <si>
    <t>Em andamento</t>
  </si>
  <si>
    <t>nº 4 — 01/09/2026 a 30/09/2026</t>
  </si>
  <si>
    <t>Novembro/2026</t>
  </si>
  <si>
    <t>TOTAL MEDIDO NO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</si>
</sst>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dd/mm/aaaa"/>
    <numFmt numFmtId="166" formatCode="0.0%"/>
    <numFmt numFmtId="167" formatCode="#,##0.000&quot; km&quot;"/>
    <numFmt numFmtId="168" formatCode="&quot;R$&quot;\ #,##0.00"/>
    <numFmt numFmtId="169" formatCode="0&quot;%&quot;"/>
  </numFmts>
  <fonts count="2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8"/>
      <name val="Arial"/>
      <family val="2"/>
    </font>
    <font>
      <b/>
      <sz val="9"/>
      <color rgb="FF0000FF"/>
      <name val="Arial"/>
      <family val="2"/>
    </font>
    <font>
      <b/>
      <sz val="8.5"/>
      <color rgb="FF1F3864"/>
      <name val="Arial"/>
      <family val="2"/>
    </font>
    <font>
      <sz val="6.5"/>
      <color rgb="FF333333"/>
      <name val="Arial"/>
      <family val="2"/>
    </font>
    <font>
      <b/>
      <sz val="7.5"/>
      <color rgb="FFFFFFFF"/>
      <name val="Arial"/>
      <family val="2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7.5"/>
      <color rgb="FF000000"/>
      <name val="Arial"/>
      <family val="2"/>
    </font>
    <font>
      <b/>
      <sz val="9"/>
      <color rgb="FF1F3864"/>
      <name val="Arial"/>
      <family val="2"/>
    </font>
    <font>
      <i/>
      <sz val="7"/>
      <color rgb="FF808080"/>
      <name val="Arial"/>
      <family val="2"/>
    </font>
    <font>
      <sz val="7"/>
      <color rgb="FF808080"/>
      <name val="Arial"/>
      <family val="2"/>
    </font>
    <font>
      <b/>
      <sz val="10"/>
      <color rgb="FF1F3864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4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9"/>
      <color rgb="FFC55A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D9E2F3"/>
      </patternFill>
    </fill>
    <fill>
      <patternFill patternType="solid">
        <fgColor rgb="FFFCE4D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</fills>
  <borders count="7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67">
    <xf numFmtId="0" fontId="0" fillId="0" borderId="0" xfId="0"/>
    <xf numFmtId="0" fontId="11" fillId="0" borderId="0" xfId="0" applyFont="1"/>
    <xf numFmtId="4" fontId="12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10" borderId="1" xfId="0" applyNumberFormat="1" applyFont="1" applyFill="1" applyBorder="1" applyAlignment="1">
      <alignment horizontal="center"/>
    </xf>
    <xf numFmtId="10" fontId="13" fillId="10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10" borderId="1" xfId="0" applyNumberFormat="1" applyFont="1" applyFill="1" applyBorder="1" applyAlignment="1">
      <alignment horizontal="center"/>
    </xf>
    <xf numFmtId="167" fontId="10" fillId="10" borderId="1" xfId="0" applyNumberFormat="1" applyFont="1" applyFill="1" applyBorder="1"/>
    <xf numFmtId="0" fontId="14" fillId="0" borderId="0" xfId="0" applyFont="1" applyAlignment="1">
      <alignment horizontal="right"/>
    </xf>
    <xf numFmtId="168" fontId="14" fillId="0" borderId="0" xfId="0" applyNumberFormat="1" applyFont="1"/>
    <xf numFmtId="0" fontId="19" fillId="13" borderId="6" xfId="0" applyFont="1" applyFill="1" applyBorder="1" applyAlignment="1">
      <alignment horizontal="center" vertical="center" wrapText="1"/>
    </xf>
    <xf numFmtId="0" fontId="21" fillId="0" borderId="6" xfId="1" applyFont="1" applyBorder="1" applyAlignment="1">
      <alignment horizontal="center" vertical="top" wrapText="1"/>
    </xf>
    <xf numFmtId="49" fontId="18" fillId="0" borderId="6" xfId="0" applyNumberFormat="1" applyFont="1" applyBorder="1" applyAlignment="1">
      <alignment vertical="top" wrapText="1"/>
    </xf>
    <xf numFmtId="0" fontId="18" fillId="0" borderId="6" xfId="0" applyFont="1" applyBorder="1" applyAlignment="1">
      <alignment horizontal="center" vertical="top" wrapText="1"/>
    </xf>
    <xf numFmtId="49" fontId="18" fillId="0" borderId="6" xfId="0" applyNumberFormat="1" applyFont="1" applyBorder="1" applyAlignment="1">
      <alignment horizontal="center" vertical="top" wrapText="1"/>
    </xf>
    <xf numFmtId="49" fontId="22" fillId="0" borderId="6" xfId="0" applyNumberFormat="1" applyFont="1" applyBorder="1" applyAlignment="1">
      <alignment vertical="top" wrapText="1"/>
    </xf>
    <xf numFmtId="168" fontId="18" fillId="0" borderId="6" xfId="0" applyNumberFormat="1" applyFont="1" applyBorder="1" applyAlignment="1">
      <alignment vertical="top" wrapText="1"/>
    </xf>
    <xf numFmtId="169" fontId="18" fillId="0" borderId="6" xfId="0" applyNumberFormat="1" applyFont="1" applyBorder="1" applyAlignment="1">
      <alignment horizontal="center" vertical="top" wrapText="1"/>
    </xf>
    <xf numFmtId="0" fontId="17" fillId="12" borderId="0" xfId="0" applyFont="1" applyFill="1" applyAlignment="1">
      <alignment wrapText="1"/>
    </xf>
    <xf numFmtId="0" fontId="0" fillId="12" borderId="0" xfId="0" applyFill="1" applyAlignment="1">
      <alignment wrapText="1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 vertical="center"/>
    </xf>
    <xf numFmtId="17" fontId="3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5" fillId="0" borderId="0" xfId="0" applyFont="1" applyAlignment="1">
      <alignment horizontal="center"/>
    </xf>
    <xf numFmtId="0" fontId="7" fillId="6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4" fillId="11" borderId="0" xfId="0" applyFont="1" applyFill="1" applyAlignment="1">
      <alignment horizontal="left" vertical="center"/>
    </xf>
    <xf numFmtId="0" fontId="0" fillId="11" borderId="0" xfId="0" applyFill="1"/>
  </cellXfs>
  <cellStyles count="2">
    <cellStyle name="Hiperlink" xfId="1" builtinId="8"/>
    <cellStyle name="Normal" xfId="0" builtinId="0"/>
  </cellStyles>
  <dxfs count="122"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4E-4901-9F12-38528594CE2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4E-4901-9F12-38528594CE2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4E-4901-9F12-38528594CE2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E4E-4901-9F12-38528594CE2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E4E-4901-9F12-38528594CE2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210.44531228713998</c:v>
                </c:pt>
                <c:pt idx="1">
                  <c:v>258.41380920238902</c:v>
                </c:pt>
                <c:pt idx="2">
                  <c:v>88.536188432261</c:v>
                </c:pt>
                <c:pt idx="3">
                  <c:v>6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4E-4901-9F12-38528594CE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B66-4885-AD2A-99A572FBF2E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B66-4885-AD2A-99A572FBF2E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485.17606982305404</c:v>
                </c:pt>
                <c:pt idx="1">
                  <c:v>78.219240098736009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66-4885-AD2A-99A572FBF2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B3-4334-AD1D-9EF0E6346A0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B3-4334-AD1D-9EF0E6346A0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B3-4334-AD1D-9EF0E6346A0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23.666003938265</c:v>
                </c:pt>
                <c:pt idx="1">
                  <c:v>539.72930598352502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B3-4334-AD1D-9EF0E6346A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FB-4856-AEDF-6485DC2E54A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FB-4856-AEDF-6485DC2E54A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FB-4856-AEDF-6485DC2E54A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97.136168097679999</c:v>
                </c:pt>
                <c:pt idx="1">
                  <c:v>325.78388636634099</c:v>
                </c:pt>
                <c:pt idx="2">
                  <c:v>140.47525545776898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FB-4856-AEDF-6485DC2E54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BED-40C6-A991-D70B9F4017A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BED-40C6-A991-D70B9F4017A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BED-40C6-A991-D70B9F4017A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1</c:v>
                </c:pt>
                <c:pt idx="1">
                  <c:v>425.18288218734995</c:v>
                </c:pt>
                <c:pt idx="2">
                  <c:v>137.21242773444001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ED-40C6-A991-D70B9F4017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353-4755-B1A7-1829F7E7767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353-4755-B1A7-1829F7E7767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353-4755-B1A7-1829F7E7767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353-4755-B1A7-1829F7E7767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353-4755-B1A7-1829F7E7767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'202'!$Y$2:$AC$2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81.396930932940023</c:v>
                </c:pt>
                <c:pt idx="2">
                  <c:v>19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53-4755-B1A7-1829F7E776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4C5-4468-B88B-FCE7B8EEDD1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4C5-4468-B88B-FCE7B8EEDD1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'202'!$AD$2:$AE$2</c:f>
              <c:numCache>
                <c:formatCode>#,##0.00</c:formatCode>
                <c:ptCount val="2"/>
                <c:pt idx="0">
                  <c:v>25.157820082520004</c:v>
                </c:pt>
                <c:pt idx="1">
                  <c:v>77.239110850420005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C5-4468-B88B-FCE7B8EEDD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7E-43E4-8E47-00E1E60075F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7E-43E4-8E47-00E1E60075F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7E-43E4-8E47-00E1E60075F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102.39693093294002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7E-43E4-8E47-00E1E60075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F97-4666-9BE8-9EA6695219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F97-4666-9BE8-9EA6695219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F97-4666-9BE8-9EA6695219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102.39693093294002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97-4666-9BE8-9EA6695219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B2-4BE0-B7B3-58641129F43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B2-4BE0-B7B3-58641129F43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CB2-4BE0-B7B3-58641129F43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102.39693093294002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B2-4BE0-B7B3-58641129F4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C3-4DA9-AEA1-338A5A9C6FD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C3-4DA9-AEA1-338A5A9C6FD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C3-4DA9-AEA1-338A5A9C6FD7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C3-4DA9-AEA1-338A5A9C6FD7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5C3-4DA9-AEA1-338A5A9C6FD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'203'!$Y$2:$AC$2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0.99985588713600004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C3-4DA9-AEA1-338A5A9C6F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B30-4120-A062-6E7437EA9FF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B30-4120-A062-6E7437EA9FF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'203'!$AD$2:$AE$2</c:f>
              <c:numCache>
                <c:formatCode>#,##0.00</c:formatCode>
                <c:ptCount val="2"/>
                <c:pt idx="0">
                  <c:v>0.99985588713600004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30-4120-A062-6E7437EA9F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F2-45B8-86E7-60D01A33B5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F2-45B8-86E7-60D01A33B5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DF2-45B8-86E7-60D01A33B5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'203'!$AF$2:$AH$2</c:f>
              <c:numCache>
                <c:formatCode>#,##0.00</c:formatCode>
                <c:ptCount val="3"/>
                <c:pt idx="0">
                  <c:v>0.99985588713600004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F2-45B8-86E7-60D01A33B5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DC-43E9-85D4-D88E96A5514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DC-43E9-85D4-D88E96A5514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DC-43E9-85D4-D88E96A5514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0.99985588713600004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DC-43E9-85D4-D88E96A551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77-4BEF-B86B-8AD1C036832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77-4BEF-B86B-8AD1C036832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277-4BEF-B86B-8AD1C036832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0.99985588713600004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77-4BEF-B86B-8AD1C03683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F0B-42BC-BEE4-D48B879B5FC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F0B-42BC-BEE4-D48B879B5FC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F0B-42BC-BEE4-D48B879B5FC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F0B-42BC-BEE4-D48B879B5FC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F0B-42BC-BEE4-D48B879B5FC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'204'!$Y$2:$AC$2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56</c:v>
                </c:pt>
                <c:pt idx="2">
                  <c:v>3.7456117878290005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0B-42BC-BEE4-D48B879B5F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45-45EB-BA1E-F77F4DE9455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45-45EB-BA1E-F77F4DE9455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'204'!$AD$2:$AE$2</c:f>
              <c:numCache>
                <c:formatCode>#,##0.00</c:formatCode>
                <c:ptCount val="2"/>
                <c:pt idx="0">
                  <c:v>59.745611787828999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45-45EB-BA1E-F77F4DE945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DD9-43C6-B6AD-95679F215C8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DD9-43C6-B6AD-95679F215C8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DD9-43C6-B6AD-95679F215C8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'204'!$AF$2:$AH$2</c:f>
              <c:numCache>
                <c:formatCode>#,##0.00</c:formatCode>
                <c:ptCount val="3"/>
                <c:pt idx="0">
                  <c:v>0.99026287712899996</c:v>
                </c:pt>
                <c:pt idx="1">
                  <c:v>58.7553489107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D9-43C6-B6AD-95679F215C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FB0-4AD2-AAE5-E3FABDDCB74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FB0-4AD2-AAE5-E3FABDDCB74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FB0-4AD2-AAE5-E3FABDDCB74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57.7553489107</c:v>
                </c:pt>
                <c:pt idx="2">
                  <c:v>1.9902628771290001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B0-4AD2-AAE5-E3FABDDCB7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5E-4A08-8DC9-053C4D7F52E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5E-4A08-8DC9-053C4D7F52E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5E-4A08-8DC9-053C4D7F52E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59.745611787828999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5E-4A08-8DC9-053C4D7F52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2B-405B-877E-7625DA49DC8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2B-405B-877E-7625DA49DC8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D2B-405B-877E-7625DA49DC8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D2B-405B-877E-7625DA49DC8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D2B-405B-877E-7625DA49DC8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'205'!$Y$2:$AC$2</c:f>
              <c:numCache>
                <c:formatCode>#,##0.00</c:formatCode>
                <c:ptCount val="5"/>
                <c:pt idx="0">
                  <c:v>27.836115982580001</c:v>
                </c:pt>
                <c:pt idx="1">
                  <c:v>9</c:v>
                </c:pt>
                <c:pt idx="2">
                  <c:v>10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2B-405B-877E-7625DA49DC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A0-455F-9A0F-693C2D67D49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A0-455F-9A0F-693C2D67D49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'205'!$AD$2:$AE$2</c:f>
              <c:numCache>
                <c:formatCode>#,##0.00</c:formatCode>
                <c:ptCount val="2"/>
                <c:pt idx="0">
                  <c:v>46.836115982579997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A0-455F-9A0F-693C2D67D4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5B8-452B-BFD2-DBEE119055A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5B8-452B-BFD2-DBEE119055A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5B8-452B-BFD2-DBEE119055A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46.836115982579997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B8-452B-BFD2-DBEE119055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DCA-4113-BCDA-73E7E2FE37F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DCA-4113-BCDA-73E7E2FE37F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DCA-4113-BCDA-73E7E2FE37F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'205'!$AI$2:$AK$2</c:f>
              <c:numCache>
                <c:formatCode>#,##0.00</c:formatCode>
                <c:ptCount val="3"/>
                <c:pt idx="0">
                  <c:v>46.836115982579997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CA-4113-BCDA-73E7E2FE37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9F-45EA-B0C3-911B96B7834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9F-45EA-B0C3-911B96B7834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9F-45EA-B0C3-911B96B7834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46.836115982579997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9F-45EA-B0C3-911B96B783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92-414F-96D1-0116F76E921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892-414F-96D1-0116F76E921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892-414F-96D1-0116F76E921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892-414F-96D1-0116F76E921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892-414F-96D1-0116F76E921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'206'!$Y$2:$AC$2</c:f>
              <c:numCache>
                <c:formatCode>#,##0.00</c:formatCode>
                <c:ptCount val="5"/>
                <c:pt idx="0">
                  <c:v>6</c:v>
                </c:pt>
                <c:pt idx="1">
                  <c:v>48.790985066681998</c:v>
                </c:pt>
                <c:pt idx="2">
                  <c:v>10.134706334980001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92-414F-96D1-0116F76E92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4D5-4C26-BC98-B576D6E6B351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4D5-4C26-BC98-B576D6E6B35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'206'!$AD$2:$AE$2</c:f>
              <c:numCache>
                <c:formatCode>#,##0.00</c:formatCode>
                <c:ptCount val="2"/>
                <c:pt idx="0">
                  <c:v>64.925691401661993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D5-4C26-BC98-B576D6E6B3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7E0-42F6-A30A-DE037CE4D11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7E0-42F6-A30A-DE037CE4D11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7E0-42F6-A30A-DE037CE4D11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64.925691401661993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E0-42F6-A30A-DE037CE4D1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EE7-49B4-862C-01BC3D899F7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EE7-49B4-862C-01BC3D899F7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EE7-49B4-862C-01BC3D899F7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'206'!$AI$2:$AK$2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61.790985066681998</c:v>
                </c:pt>
                <c:pt idx="2">
                  <c:v>3.1347063349800002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E7-49B4-862C-01BC3D899F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424-474B-9788-6A6110BD850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424-474B-9788-6A6110BD850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424-474B-9788-6A6110BD850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61.790985066681998</c:v>
                </c:pt>
                <c:pt idx="2">
                  <c:v>3.1347063349800002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24-474B-9788-6A6110BD85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D8-4E18-B666-59C5AE5C3D7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D8-4E18-B666-59C5AE5C3D7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D8-4E18-B666-59C5AE5C3D7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ED8-4E18-B666-59C5AE5C3D7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ED8-4E18-B666-59C5AE5C3D7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'209'!$Y$2:$AC$2</c:f>
              <c:numCache>
                <c:formatCode>#,##0.00</c:formatCode>
                <c:ptCount val="5"/>
                <c:pt idx="0">
                  <c:v>13</c:v>
                </c:pt>
                <c:pt idx="1">
                  <c:v>6</c:v>
                </c:pt>
                <c:pt idx="2">
                  <c:v>16.675885174000001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D8-4E18-B666-59C5AE5C3D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2D-4E20-A8DF-EB7B9A1887EB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2D-4E20-A8DF-EB7B9A1887E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'209'!$AD$2:$AE$2</c:f>
              <c:numCache>
                <c:formatCode>#,##0.00</c:formatCode>
                <c:ptCount val="2"/>
                <c:pt idx="0">
                  <c:v>35.675885174000001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2D-4E20-A8DF-EB7B9A1887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03-4BD5-B047-96221881596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03-4BD5-B047-96221881596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503-4BD5-B047-96221881596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'209'!$AF$2:$AH$2</c:f>
              <c:numCache>
                <c:formatCode>#,##0.00</c:formatCode>
                <c:ptCount val="3"/>
                <c:pt idx="0">
                  <c:v>19.675885174000001</c:v>
                </c:pt>
                <c:pt idx="1">
                  <c:v>16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03-4BD5-B047-9622188159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EB-4C38-B962-6B0B7989D1C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EB-4C38-B962-6B0B7989D1C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AEB-4C38-B962-6B0B7989D1C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'209'!$AI$2:$AK$2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26.675885174000001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EB-4C38-B962-6B0B7989D1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28-4C37-8F64-AF0697A1B6E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28-4C37-8F64-AF0697A1B6E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28-4C37-8F64-AF0697A1B6E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'209'!$AL$2:$AN$2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35.675885174000001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28-4C37-8F64-AF0697A1B6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9C-4A96-8D64-E28ACD6C78F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9C-4A96-8D64-E28ACD6C78F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29C-4A96-8D64-E28ACD6C78F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29C-4A96-8D64-E28ACD6C78F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29C-4A96-8D64-E28ACD6C78F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'210'!$Y$2:$AC$2</c:f>
              <c:numCache>
                <c:formatCode>#,##0.00</c:formatCode>
                <c:ptCount val="5"/>
                <c:pt idx="0">
                  <c:v>1</c:v>
                </c:pt>
                <c:pt idx="1">
                  <c:v>9.1603247918000008</c:v>
                </c:pt>
                <c:pt idx="2">
                  <c:v>16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9C-4A96-8D64-E28ACD6C78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30F-441C-B919-C6077A103DC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30F-441C-B919-C6077A103DC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'210'!$AD$2:$AE$2</c:f>
              <c:numCache>
                <c:formatCode>#,##0.00</c:formatCode>
                <c:ptCount val="2"/>
                <c:pt idx="0">
                  <c:v>26.160324791800001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0F-441C-B919-C6077A103D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FD4-4639-935B-4A7317DC1BF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FD4-4639-935B-4A7317DC1BF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FD4-4639-935B-4A7317DC1BF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'210'!$AF$2:$AH$2</c:f>
              <c:numCache>
                <c:formatCode>#,##0.00</c:formatCode>
                <c:ptCount val="3"/>
                <c:pt idx="0">
                  <c:v>1</c:v>
                </c:pt>
                <c:pt idx="1">
                  <c:v>25.160324791800001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D4-4639-935B-4A7317DC1B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9F-427F-94A3-BF17DE7DBE3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9F-427F-94A3-BF17DE7DBE3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9F-427F-94A3-BF17DE7DBE3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'210'!$AI$2:$AK$2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26.160324791800001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9F-427F-94A3-BF17DE7DBE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E4-4EED-8551-2A1684166D8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E4-4EED-8551-2A1684166D8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E4-4EED-8551-2A1684166D8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'210'!$AL$2:$AN$2</c:f>
              <c:numCache>
                <c:formatCode>#,##0.00</c:formatCode>
                <c:ptCount val="3"/>
                <c:pt idx="0">
                  <c:v>1</c:v>
                </c:pt>
                <c:pt idx="1">
                  <c:v>0.16032479180000081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E4-4EED-8551-2A1684166D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48-4FD1-B204-D6D0632D1AC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48-4FD1-B204-D6D0632D1AC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648-4FD1-B204-D6D0632D1AC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648-4FD1-B204-D6D0632D1AC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648-4FD1-B204-D6D0632D1AC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'212'!$Y$2:$AC$2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35.649724135100001</c:v>
                </c:pt>
                <c:pt idx="2">
                  <c:v>9</c:v>
                </c:pt>
                <c:pt idx="3">
                  <c:v>4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48-4FD1-B204-D6D0632D1A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688-4F7D-94C3-E140E8AF43B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688-4F7D-94C3-E140E8AF43B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'212'!$AD$2:$AE$2</c:f>
              <c:numCache>
                <c:formatCode>#,##0.00</c:formatCode>
                <c:ptCount val="2"/>
                <c:pt idx="0">
                  <c:v>48.649724135100001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88-4F7D-94C3-E140E8AF43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16-47D0-B978-C28449CEDC4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16-47D0-B978-C28449CEDC4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16-47D0-B978-C28449CEDC4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'212'!$M$7:$O$7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'212'!$AF$2:$AH$2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48.649724135100001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16-47D0-B978-C28449CEDC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F6-4E08-9193-011C93852DC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F6-4E08-9193-011C93852DC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F6-4E08-9193-011C93852DC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'212'!$AI$2:$AK$2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48.649724135100001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F6-4E08-9193-011C93852D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71-47DF-9797-BBE5D224633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71-47DF-9797-BBE5D224633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71-47DF-9797-BBE5D224633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'212'!$S$7:$U$7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'212'!$AL$2:$AN$2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48.649724135100001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71-47DF-9797-BBE5D22463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0CF-4572-8EC2-5D643136A11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0CF-4572-8EC2-5D643136A11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0CF-4572-8EC2-5D643136A11D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0CF-4572-8EC2-5D643136A11D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0CF-4572-8EC2-5D643136A11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'214'!$Y$2:$AC$2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0.37470221966700001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CF-4572-8EC2-5D643136A1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00-45D6-B888-0ED65DAC06E1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00-45D6-B888-0ED65DAC06E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'214'!$AD$2:$AE$2</c:f>
              <c:numCache>
                <c:formatCode>#,##0.00</c:formatCode>
                <c:ptCount val="2"/>
                <c:pt idx="0">
                  <c:v>0.37470221966700001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00-45D6-B888-0ED65DAC06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F3C-4646-9DAE-F2C090EAA6F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F3C-4646-9DAE-F2C090EAA6F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F3C-4646-9DAE-F2C090EAA6F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'214'!$AF$2:$AH$2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0.37470221966700001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3C-4646-9DAE-F2C090EAA6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3A8-40E2-9E84-8B42A3F1808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3A8-40E2-9E84-8B42A3F1808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3A8-40E2-9E84-8B42A3F1808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'214'!$AI$2:$AK$2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0.37470221966700001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A8-40E2-9E84-8B42A3F180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28-4D29-A30C-0F33ADD6A6F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28-4D29-A30C-0F33ADD6A6F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428-4D29-A30C-0F33ADD6A6F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'214'!$AL$2:$AN$2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0.37470221966700001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28-4D29-A30C-0F33ADD6A6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8A-4394-AA12-8309BC33DAF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8A-4394-AA12-8309BC33DAF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88A-4394-AA12-8309BC33DAF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88A-4394-AA12-8309BC33DAF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88A-4394-AA12-8309BC33DAF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'218'!$Y$2:$AC$2</c:f>
              <c:numCache>
                <c:formatCode>#,##0.00</c:formatCode>
                <c:ptCount val="5"/>
                <c:pt idx="0">
                  <c:v>112.30914418946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8A-4394-AA12-8309BC33DA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CB-4370-9FDF-1EB10262A2C7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CB-4370-9FDF-1EB10262A2C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'218'!$AD$2:$AE$2</c:f>
              <c:numCache>
                <c:formatCode>#,##0.00</c:formatCode>
                <c:ptCount val="2"/>
                <c:pt idx="0">
                  <c:v>112.30914418946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CB-4370-9FDF-1EB10262A2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5C-4070-96D9-CD61E17EB3B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45C-4070-96D9-CD61E17EB3B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45C-4070-96D9-CD61E17EB3B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'218'!$AF$2:$AH$2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112.30914418946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5C-4070-96D9-CD61E17EB3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606-42F7-A5DD-A249C16B66E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606-42F7-A5DD-A249C16B66E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606-42F7-A5DD-A249C16B66E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'218'!$AI$2:$AK$2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112.30914418946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06-42F7-A5DD-A249C16B66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03-4696-A601-B9B48F73C6F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03-4696-A601-B9B48F73C6F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703-4696-A601-B9B48F73C6F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'218'!$AL$2:$AN$2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95.248502135300001</c:v>
                </c:pt>
                <c:pt idx="2">
                  <c:v>17.060642054159999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03-4696-A601-B9B48F73C6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DAF-4A9F-8868-814D8C2D8FA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DAF-4A9F-8868-814D8C2D8FA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DAF-4A9F-8868-814D8C2D8FA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DAF-4A9F-8868-814D8C2D8FA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DAF-4A9F-8868-814D8C2D8FA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'219'!$Y$2:$AC$2</c:f>
              <c:numCache>
                <c:formatCode>#,##0.00</c:formatCode>
                <c:ptCount val="5"/>
                <c:pt idx="0">
                  <c:v>50.300052115100002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DAF-4A9F-8868-814D8C2D8F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204-433D-8B5B-A0503543FF7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204-433D-8B5B-A0503543FF7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'219'!$AD$2:$AE$2</c:f>
              <c:numCache>
                <c:formatCode>#,##0.00</c:formatCode>
                <c:ptCount val="2"/>
                <c:pt idx="0">
                  <c:v>50.300052115100002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4-433D-8B5B-A0503543FF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30F-4083-A971-5FB6BA53E74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30F-4083-A971-5FB6BA53E74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30F-4083-A971-5FB6BA53E74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'219'!$AF$2:$AH$2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50.300052115100002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0F-4083-A971-5FB6BA53E7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082-4AB4-9264-8671C44BF10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082-4AB4-9264-8671C44BF10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082-4AB4-9264-8671C44BF10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'219'!$AI$2:$AK$2</c:f>
              <c:numCache>
                <c:formatCode>#,##0.00</c:formatCode>
                <c:ptCount val="3"/>
                <c:pt idx="0">
                  <c:v>50.300052115100002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82-4AB4-9264-8671C44BF1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60D-4699-8272-9710403CB22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60D-4699-8272-9710403CB22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60D-4699-8272-9710403CB22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'219'!$AL$2:$AN$2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</c:v>
                </c:pt>
                <c:pt idx="2">
                  <c:v>46.300052115100002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0D-4699-8272-9710403CB2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1A-420C-B6AF-D0A4EB74A8A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1A-420C-B6AF-D0A4EB74A8A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1A-420C-B6AF-D0A4EB74A8A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B1A-420C-B6AF-D0A4EB74A8A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B1A-420C-B6AF-D0A4EB74A8A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'220'!$Y$2:$AC$2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12.0411420562</c:v>
                </c:pt>
                <c:pt idx="2">
                  <c:v>2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1A-420C-B6AF-D0A4EB74A8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32-4C5F-84D3-FF7D07433107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32-4C5F-84D3-FF7D0743310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'220'!$AD$2:$AE$2</c:f>
              <c:numCache>
                <c:formatCode>#,##0.00</c:formatCode>
                <c:ptCount val="2"/>
                <c:pt idx="0">
                  <c:v>14.0411420562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32-4C5F-84D3-FF7D074331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1FD-4C78-BA5A-534F65E4F4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1FD-4C78-BA5A-534F65E4F4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1FD-4C78-BA5A-534F65E4F4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'220'!$AF$2:$AH$2</c:f>
              <c:numCache>
                <c:formatCode>#,##0.00</c:formatCode>
                <c:ptCount val="3"/>
                <c:pt idx="0">
                  <c:v>1</c:v>
                </c:pt>
                <c:pt idx="1">
                  <c:v>13.0411420562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FD-4C78-BA5A-534F65E4F4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72-4A73-9DC8-7C0E1E33920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B72-4A73-9DC8-7C0E1E33920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B72-4A73-9DC8-7C0E1E33920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14.0411420562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72-4A73-9DC8-7C0E1E3392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20-446F-BB0F-5D160B3C866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20-446F-BB0F-5D160B3C866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920-446F-BB0F-5D160B3C866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</c:v>
                </c:pt>
                <c:pt idx="2">
                  <c:v>10.0411420562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20-446F-BB0F-5D160B3C86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BE-4431-A0C6-C61F2D12C9B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BE-4431-A0C6-C61F2D12C9B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BE-4431-A0C6-C61F2D12C9B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2BE-4431-A0C6-C61F2D12C9B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2BE-4431-A0C6-C61F2D12C9B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'222'!$Y$2:$AC$2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0.98012924831600001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BE-4431-A0C6-C61F2D12C9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4E-442F-A6DB-FC0B666AEB3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4E-442F-A6DB-FC0B666AEB3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'222'!$AD$2:$AE$2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0.98012924831600001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4E-442F-A6DB-FC0B666AEB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35-4961-8D29-D7818DC23F9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35-4961-8D29-D7818DC23F9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35-4961-8D29-D7818DC23F9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0.98012924831600001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35-4961-8D29-D7818DC23F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27-42A7-B06C-4BDE569C5DB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27-42A7-B06C-4BDE569C5DB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27-42A7-B06C-4BDE569C5DB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0.98012924831600001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27-42A7-B06C-4BDE569C5D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63-40C1-8EF3-CA486C213C1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63-40C1-8EF3-CA486C213C1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763-40C1-8EF3-CA486C213C1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0.98012924831600001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63-40C1-8EF3-CA486C213C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18ED-2203-4560-BDC2-EF5742A45AEB}">
  <sheetPr>
    <pageSetUpPr fitToPage="1"/>
  </sheetPr>
  <dimension ref="A1:K7"/>
  <sheetViews>
    <sheetView workbookViewId="0">
      <pane ySplit="5" topLeftCell="A6" activePane="bottomLeft" state="frozenSplit"/>
      <selection pane="bottomLeft" activeCell="A6" sqref="A6"/>
    </sheetView>
  </sheetViews>
  <sheetFormatPr defaultRowHeight="15" x14ac:dyDescent="0.25"/>
  <cols>
    <col min="1" max="1" width="8.7109375" customWidth="1"/>
    <col min="2" max="2" width="46.7109375" customWidth="1"/>
    <col min="3" max="3" width="6.7109375" customWidth="1"/>
    <col min="4" max="4" width="10.7109375" customWidth="1"/>
    <col min="5" max="5" width="12.7109375" customWidth="1"/>
    <col min="6" max="6" width="52.7109375" customWidth="1"/>
    <col min="7" max="7" width="13.7109375" customWidth="1"/>
    <col min="8" max="8" width="25.7109375" customWidth="1"/>
    <col min="9" max="9" width="18.7109375" customWidth="1"/>
    <col min="10" max="10" width="8.7109375" customWidth="1"/>
    <col min="11" max="11" width="13.7109375" customWidth="1"/>
  </cols>
  <sheetData>
    <row r="1" spans="1:11" ht="24" customHeight="1" x14ac:dyDescent="0.3">
      <c r="A1" s="37" t="s">
        <v>160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x14ac:dyDescent="0.25">
      <c r="A2" s="39" t="s">
        <v>161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ht="30" customHeight="1" x14ac:dyDescent="0.25">
      <c r="A3" s="39" t="s">
        <v>162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5" spans="1:11" ht="30" customHeight="1" x14ac:dyDescent="0.25">
      <c r="A5" s="29" t="s">
        <v>163</v>
      </c>
      <c r="B5" s="29" t="s">
        <v>164</v>
      </c>
      <c r="C5" s="29" t="s">
        <v>165</v>
      </c>
      <c r="D5" s="29" t="s">
        <v>166</v>
      </c>
      <c r="E5" s="29" t="s">
        <v>167</v>
      </c>
      <c r="F5" s="29" t="s">
        <v>168</v>
      </c>
      <c r="G5" s="29" t="s">
        <v>169</v>
      </c>
      <c r="H5" s="29" t="s">
        <v>170</v>
      </c>
      <c r="I5" s="29" t="s">
        <v>171</v>
      </c>
      <c r="J5" s="29" t="s">
        <v>172</v>
      </c>
      <c r="K5" s="29" t="s">
        <v>173</v>
      </c>
    </row>
    <row r="6" spans="1:11" ht="24" x14ac:dyDescent="0.25">
      <c r="A6" s="30">
        <v>209</v>
      </c>
      <c r="B6" s="31" t="s">
        <v>25</v>
      </c>
      <c r="C6" s="32">
        <v>6</v>
      </c>
      <c r="D6" s="33" t="s">
        <v>174</v>
      </c>
      <c r="E6" s="33" t="s">
        <v>175</v>
      </c>
      <c r="F6" s="31" t="s">
        <v>176</v>
      </c>
      <c r="G6" s="34" t="s">
        <v>177</v>
      </c>
      <c r="H6" s="31" t="s">
        <v>178</v>
      </c>
      <c r="I6" s="35">
        <v>3030639.59</v>
      </c>
      <c r="J6" s="36">
        <v>36.299999999999997</v>
      </c>
      <c r="K6" s="33" t="s">
        <v>179</v>
      </c>
    </row>
    <row r="7" spans="1:11" x14ac:dyDescent="0.25">
      <c r="H7" s="27" t="s">
        <v>180</v>
      </c>
      <c r="I7" s="28">
        <f>SUM(I6:I6)</f>
        <v>3030639.59</v>
      </c>
    </row>
  </sheetData>
  <mergeCells count="3">
    <mergeCell ref="A1:K1"/>
    <mergeCell ref="A2:K2"/>
    <mergeCell ref="A3:K3"/>
  </mergeCells>
  <hyperlinks>
    <hyperlink ref="A6" location="'209'!A1" tooltip="Ir para o trecho 209" display="209" xr:uid="{718BF7EA-9F9E-4C9C-820C-9BF747A6CDB5}"/>
  </hyperlinks>
  <pageMargins left="0.511811024" right="0.511811024" top="0.78740157499999996" bottom="0.78740157499999996" header="0.31496062000000002" footer="0.31496062000000002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T18" sqref="T18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V1" s="1" t="s">
        <v>1</v>
      </c>
    </row>
    <row r="2" spans="1:37" ht="20.100000000000001" customHeight="1" x14ac:dyDescent="0.25">
      <c r="A2" s="47" t="s">
        <v>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V2" s="2">
        <f t="shared" ref="V2:AK2" si="0">IF(D19=0,NA(),D19)</f>
        <v>210.44531228713998</v>
      </c>
      <c r="W2" s="2">
        <f t="shared" si="0"/>
        <v>258.41380920238902</v>
      </c>
      <c r="X2" s="2">
        <f t="shared" si="0"/>
        <v>88.536188432261</v>
      </c>
      <c r="Y2" s="2">
        <f t="shared" si="0"/>
        <v>6</v>
      </c>
      <c r="Z2" s="2" t="e">
        <f t="shared" si="0"/>
        <v>#N/A</v>
      </c>
      <c r="AA2" s="2">
        <f t="shared" si="0"/>
        <v>485.17606982305404</v>
      </c>
      <c r="AB2" s="2">
        <f t="shared" si="0"/>
        <v>78.219240098736009</v>
      </c>
      <c r="AC2" s="2">
        <f t="shared" si="0"/>
        <v>23.666003938265</v>
      </c>
      <c r="AD2" s="2">
        <f t="shared" si="0"/>
        <v>539.72930598352502</v>
      </c>
      <c r="AE2" s="2" t="e">
        <f t="shared" si="0"/>
        <v>#N/A</v>
      </c>
      <c r="AF2" s="2">
        <f t="shared" si="0"/>
        <v>97.136168097679999</v>
      </c>
      <c r="AG2" s="2">
        <f t="shared" si="0"/>
        <v>325.78388636634099</v>
      </c>
      <c r="AH2" s="2">
        <f t="shared" si="0"/>
        <v>140.47525545776898</v>
      </c>
      <c r="AI2" s="2">
        <f t="shared" si="0"/>
        <v>1</v>
      </c>
      <c r="AJ2" s="2">
        <f t="shared" si="0"/>
        <v>425.18288218734995</v>
      </c>
      <c r="AK2" s="2">
        <f t="shared" si="0"/>
        <v>137.21242773444001</v>
      </c>
    </row>
    <row r="4" spans="1:37" ht="26.1" customHeight="1" x14ac:dyDescent="0.25">
      <c r="A4" s="43" t="s">
        <v>3</v>
      </c>
      <c r="B4" s="43" t="s">
        <v>4</v>
      </c>
      <c r="C4" s="43" t="s">
        <v>5</v>
      </c>
      <c r="D4" s="43" t="s">
        <v>6</v>
      </c>
      <c r="E4" s="46"/>
      <c r="F4" s="46"/>
      <c r="G4" s="46"/>
      <c r="H4" s="44"/>
      <c r="I4" s="43" t="s">
        <v>7</v>
      </c>
      <c r="J4" s="44"/>
      <c r="K4" s="43" t="s">
        <v>8</v>
      </c>
      <c r="L4" s="46"/>
      <c r="M4" s="44"/>
      <c r="N4" s="43" t="s">
        <v>9</v>
      </c>
      <c r="O4" s="46"/>
      <c r="P4" s="44"/>
      <c r="Q4" s="43" t="s">
        <v>10</v>
      </c>
      <c r="R4" s="46"/>
      <c r="S4" s="44"/>
      <c r="T4" s="43" t="s">
        <v>11</v>
      </c>
    </row>
    <row r="5" spans="1:37" ht="18" customHeight="1" x14ac:dyDescent="0.25">
      <c r="A5" s="45"/>
      <c r="B5" s="45"/>
      <c r="C5" s="45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155</v>
      </c>
      <c r="L5" s="3" t="s">
        <v>156</v>
      </c>
      <c r="M5" s="3" t="s">
        <v>157</v>
      </c>
      <c r="N5" s="3" t="s">
        <v>12</v>
      </c>
      <c r="O5" s="3" t="s">
        <v>19</v>
      </c>
      <c r="P5" s="3" t="s">
        <v>158</v>
      </c>
      <c r="Q5" s="3" t="s">
        <v>12</v>
      </c>
      <c r="R5" s="3" t="s">
        <v>159</v>
      </c>
      <c r="S5" s="3" t="s">
        <v>158</v>
      </c>
      <c r="T5" s="45"/>
    </row>
    <row r="6" spans="1:37" x14ac:dyDescent="0.25">
      <c r="A6" s="5">
        <v>202</v>
      </c>
      <c r="B6" s="6" t="s">
        <v>20</v>
      </c>
      <c r="C6" s="7">
        <f>'202'!R126</f>
        <v>102.39693093294002</v>
      </c>
      <c r="D6" s="7">
        <f>'202'!F123</f>
        <v>0</v>
      </c>
      <c r="E6" s="7">
        <f>'202'!G123</f>
        <v>81.396930932940023</v>
      </c>
      <c r="F6" s="7">
        <f>'202'!H123</f>
        <v>19</v>
      </c>
      <c r="G6" s="7">
        <f>'202'!I123</f>
        <v>2</v>
      </c>
      <c r="H6" s="7">
        <f>'202'!J123</f>
        <v>0</v>
      </c>
      <c r="I6" s="7">
        <f>'202'!K123</f>
        <v>25.157820082520004</v>
      </c>
      <c r="J6" s="7">
        <f>'202'!L123</f>
        <v>77.239110850420005</v>
      </c>
      <c r="K6" s="7">
        <f>'202'!M123</f>
        <v>0</v>
      </c>
      <c r="L6" s="7">
        <f>'202'!N123</f>
        <v>102.39693093294002</v>
      </c>
      <c r="M6" s="7">
        <f>'202'!O123</f>
        <v>0</v>
      </c>
      <c r="N6" s="7">
        <f>'202'!P123</f>
        <v>0</v>
      </c>
      <c r="O6" s="7">
        <f>'202'!Q123</f>
        <v>102.39693093294002</v>
      </c>
      <c r="P6" s="7">
        <f>'202'!R123</f>
        <v>0</v>
      </c>
      <c r="Q6" s="7">
        <f>'202'!S123</f>
        <v>0</v>
      </c>
      <c r="R6" s="7">
        <f>'202'!T123</f>
        <v>102.39693093294002</v>
      </c>
      <c r="S6" s="7">
        <f>'202'!U123</f>
        <v>0</v>
      </c>
      <c r="T6" s="5" t="str">
        <f t="shared" ref="T6:T18" si="1">IF(SUM(D6:H6)=0,"— não preenchido",IF(ROUND(SUM(D6:H6)-C6,3)=0,"OK","ERRO — dif. de "&amp;ROUND(SUM(D6:H6)-C6,3)&amp;" km"))</f>
        <v>OK</v>
      </c>
    </row>
    <row r="7" spans="1:37" x14ac:dyDescent="0.25">
      <c r="A7" s="5">
        <v>203</v>
      </c>
      <c r="B7" s="6" t="s">
        <v>21</v>
      </c>
      <c r="C7" s="7">
        <f>'203'!R18</f>
        <v>0.99985588713600004</v>
      </c>
      <c r="D7" s="7">
        <f>'203'!F15</f>
        <v>0</v>
      </c>
      <c r="E7" s="7">
        <f>'203'!G15</f>
        <v>0</v>
      </c>
      <c r="F7" s="7">
        <f>'203'!H15</f>
        <v>0.99985588713600004</v>
      </c>
      <c r="G7" s="7">
        <f>'203'!I15</f>
        <v>0</v>
      </c>
      <c r="H7" s="7">
        <f>'203'!J15</f>
        <v>0</v>
      </c>
      <c r="I7" s="7">
        <f>'203'!K15</f>
        <v>0.99985588713600004</v>
      </c>
      <c r="J7" s="7">
        <f>'203'!L15</f>
        <v>0</v>
      </c>
      <c r="K7" s="7">
        <f>'203'!M15</f>
        <v>0.99985588713600004</v>
      </c>
      <c r="L7" s="7">
        <f>'203'!N15</f>
        <v>0</v>
      </c>
      <c r="M7" s="7">
        <f>'203'!O15</f>
        <v>0</v>
      </c>
      <c r="N7" s="7">
        <f>'203'!P15</f>
        <v>0</v>
      </c>
      <c r="O7" s="7">
        <f>'203'!Q15</f>
        <v>0.99985588713600004</v>
      </c>
      <c r="P7" s="7">
        <f>'203'!R15</f>
        <v>0</v>
      </c>
      <c r="Q7" s="7">
        <f>'203'!S15</f>
        <v>0</v>
      </c>
      <c r="R7" s="7">
        <f>'203'!T15</f>
        <v>0.99985588713600004</v>
      </c>
      <c r="S7" s="7">
        <f>'203'!U15</f>
        <v>0</v>
      </c>
      <c r="T7" s="5" t="str">
        <f t="shared" si="1"/>
        <v>OK</v>
      </c>
    </row>
    <row r="8" spans="1:37" x14ac:dyDescent="0.25">
      <c r="A8" s="5">
        <v>204</v>
      </c>
      <c r="B8" s="6" t="s">
        <v>22</v>
      </c>
      <c r="C8" s="7">
        <f>'204'!R78</f>
        <v>59.745611787828999</v>
      </c>
      <c r="D8" s="7">
        <f>'204'!F75</f>
        <v>0</v>
      </c>
      <c r="E8" s="7">
        <f>'204'!G75</f>
        <v>56</v>
      </c>
      <c r="F8" s="7">
        <f>'204'!H75</f>
        <v>3.7456117878290005</v>
      </c>
      <c r="G8" s="7">
        <f>'204'!I75</f>
        <v>0</v>
      </c>
      <c r="H8" s="7">
        <f>'204'!J75</f>
        <v>0</v>
      </c>
      <c r="I8" s="7">
        <f>'204'!K75</f>
        <v>59.745611787828999</v>
      </c>
      <c r="J8" s="7">
        <f>'204'!L75</f>
        <v>0</v>
      </c>
      <c r="K8" s="7">
        <f>'204'!M75</f>
        <v>0.99026287712899996</v>
      </c>
      <c r="L8" s="7">
        <f>'204'!N75</f>
        <v>58.7553489107</v>
      </c>
      <c r="M8" s="7">
        <f>'204'!O75</f>
        <v>0</v>
      </c>
      <c r="N8" s="7">
        <f>'204'!P75</f>
        <v>0</v>
      </c>
      <c r="O8" s="7">
        <f>'204'!Q75</f>
        <v>57.7553489107</v>
      </c>
      <c r="P8" s="7">
        <f>'204'!R75</f>
        <v>1.9902628771290001</v>
      </c>
      <c r="Q8" s="7">
        <f>'204'!S75</f>
        <v>0</v>
      </c>
      <c r="R8" s="7">
        <f>'204'!T75</f>
        <v>59.745611787828999</v>
      </c>
      <c r="S8" s="7">
        <f>'204'!U75</f>
        <v>0</v>
      </c>
      <c r="T8" s="5" t="str">
        <f t="shared" si="1"/>
        <v>OK</v>
      </c>
    </row>
    <row r="9" spans="1:37" x14ac:dyDescent="0.25">
      <c r="A9" s="5">
        <v>205</v>
      </c>
      <c r="B9" s="6" t="s">
        <v>23</v>
      </c>
      <c r="C9" s="7">
        <f>'205'!R67</f>
        <v>46.836115982579997</v>
      </c>
      <c r="D9" s="7">
        <f>'205'!F64</f>
        <v>27.836115982580001</v>
      </c>
      <c r="E9" s="7">
        <f>'205'!G64</f>
        <v>9</v>
      </c>
      <c r="F9" s="7">
        <f>'205'!H64</f>
        <v>10</v>
      </c>
      <c r="G9" s="7">
        <f>'205'!I64</f>
        <v>0</v>
      </c>
      <c r="H9" s="7">
        <f>'205'!J64</f>
        <v>0</v>
      </c>
      <c r="I9" s="7">
        <f>'205'!K64</f>
        <v>46.836115982579997</v>
      </c>
      <c r="J9" s="7">
        <f>'205'!L64</f>
        <v>0</v>
      </c>
      <c r="K9" s="7">
        <f>'205'!M64</f>
        <v>0</v>
      </c>
      <c r="L9" s="7">
        <f>'205'!N64</f>
        <v>46.836115982579997</v>
      </c>
      <c r="M9" s="7">
        <f>'205'!O64</f>
        <v>0</v>
      </c>
      <c r="N9" s="7">
        <f>'205'!P64</f>
        <v>46.836115982579997</v>
      </c>
      <c r="O9" s="7">
        <f>'205'!Q64</f>
        <v>0</v>
      </c>
      <c r="P9" s="7">
        <f>'205'!R64</f>
        <v>0</v>
      </c>
      <c r="Q9" s="7">
        <f>'205'!S64</f>
        <v>0</v>
      </c>
      <c r="R9" s="7">
        <f>'205'!T64</f>
        <v>46.836115982579997</v>
      </c>
      <c r="S9" s="7">
        <f>'205'!U64</f>
        <v>0</v>
      </c>
      <c r="T9" s="5" t="str">
        <f t="shared" si="1"/>
        <v>OK</v>
      </c>
    </row>
    <row r="10" spans="1:37" x14ac:dyDescent="0.25">
      <c r="A10" s="5">
        <v>206</v>
      </c>
      <c r="B10" s="6" t="s">
        <v>24</v>
      </c>
      <c r="C10" s="7">
        <f>'206'!R86</f>
        <v>64.925691401661993</v>
      </c>
      <c r="D10" s="7">
        <f>'206'!F83</f>
        <v>6</v>
      </c>
      <c r="E10" s="7">
        <f>'206'!G83</f>
        <v>48.790985066681998</v>
      </c>
      <c r="F10" s="7">
        <f>'206'!H83</f>
        <v>10.134706334980001</v>
      </c>
      <c r="G10" s="7">
        <f>'206'!I83</f>
        <v>0</v>
      </c>
      <c r="H10" s="7">
        <f>'206'!J83</f>
        <v>0</v>
      </c>
      <c r="I10" s="7">
        <f>'206'!K83</f>
        <v>64.925691401661993</v>
      </c>
      <c r="J10" s="7">
        <f>'206'!L83</f>
        <v>0</v>
      </c>
      <c r="K10" s="7">
        <f>'206'!M83</f>
        <v>0</v>
      </c>
      <c r="L10" s="7">
        <f>'206'!N83</f>
        <v>64.925691401661993</v>
      </c>
      <c r="M10" s="7">
        <f>'206'!O83</f>
        <v>0</v>
      </c>
      <c r="N10" s="7">
        <f>'206'!P83</f>
        <v>0</v>
      </c>
      <c r="O10" s="7">
        <f>'206'!Q83</f>
        <v>61.790985066681998</v>
      </c>
      <c r="P10" s="7">
        <f>'206'!R83</f>
        <v>3.1347063349800002</v>
      </c>
      <c r="Q10" s="7">
        <f>'206'!S83</f>
        <v>0</v>
      </c>
      <c r="R10" s="7">
        <f>'206'!T83</f>
        <v>61.790985066681998</v>
      </c>
      <c r="S10" s="7">
        <f>'206'!U83</f>
        <v>3.1347063349800002</v>
      </c>
      <c r="T10" s="5" t="str">
        <f t="shared" si="1"/>
        <v>OK</v>
      </c>
    </row>
    <row r="11" spans="1:37" x14ac:dyDescent="0.25">
      <c r="A11" s="5">
        <v>209</v>
      </c>
      <c r="B11" s="6" t="s">
        <v>25</v>
      </c>
      <c r="C11" s="7">
        <f>'209'!R55</f>
        <v>35.675885174000001</v>
      </c>
      <c r="D11" s="7">
        <f>'209'!F52</f>
        <v>13</v>
      </c>
      <c r="E11" s="7">
        <f>'209'!G52</f>
        <v>6</v>
      </c>
      <c r="F11" s="7">
        <f>'209'!H52</f>
        <v>16.675885174000001</v>
      </c>
      <c r="G11" s="7">
        <f>'209'!I52</f>
        <v>0</v>
      </c>
      <c r="H11" s="7">
        <f>'209'!J52</f>
        <v>0</v>
      </c>
      <c r="I11" s="7">
        <f>'209'!K52</f>
        <v>35.675885174000001</v>
      </c>
      <c r="J11" s="7">
        <f>'209'!L52</f>
        <v>0</v>
      </c>
      <c r="K11" s="7">
        <f>'209'!M52</f>
        <v>19.675885174000001</v>
      </c>
      <c r="L11" s="7">
        <f>'209'!N52</f>
        <v>16</v>
      </c>
      <c r="M11" s="7">
        <f>'209'!O52</f>
        <v>0</v>
      </c>
      <c r="N11" s="7">
        <f>'209'!P52</f>
        <v>0</v>
      </c>
      <c r="O11" s="7">
        <f>'209'!Q52</f>
        <v>26.675885174000001</v>
      </c>
      <c r="P11" s="7">
        <f>'209'!R52</f>
        <v>9</v>
      </c>
      <c r="Q11" s="7">
        <f>'209'!S52</f>
        <v>0</v>
      </c>
      <c r="R11" s="7">
        <f>'209'!T52</f>
        <v>0</v>
      </c>
      <c r="S11" s="7">
        <f>'209'!U52</f>
        <v>35.675885174000001</v>
      </c>
      <c r="T11" s="5" t="str">
        <f t="shared" si="1"/>
        <v>OK</v>
      </c>
    </row>
    <row r="12" spans="1:37" x14ac:dyDescent="0.25">
      <c r="A12" s="5">
        <v>210</v>
      </c>
      <c r="B12" s="6" t="s">
        <v>26</v>
      </c>
      <c r="C12" s="7">
        <f>'210'!R44</f>
        <v>26.160324791800001</v>
      </c>
      <c r="D12" s="7">
        <f>'210'!F41</f>
        <v>1</v>
      </c>
      <c r="E12" s="7">
        <f>'210'!G41</f>
        <v>9.1603247918000008</v>
      </c>
      <c r="F12" s="7">
        <f>'210'!H41</f>
        <v>16</v>
      </c>
      <c r="G12" s="7">
        <f>'210'!I41</f>
        <v>0</v>
      </c>
      <c r="H12" s="7">
        <f>'210'!J41</f>
        <v>0</v>
      </c>
      <c r="I12" s="7">
        <f>'210'!K41</f>
        <v>26.160324791800001</v>
      </c>
      <c r="J12" s="7">
        <f>'210'!L41</f>
        <v>0</v>
      </c>
      <c r="K12" s="7">
        <f>'210'!M41</f>
        <v>1</v>
      </c>
      <c r="L12" s="7">
        <f>'210'!N41</f>
        <v>25.160324791800001</v>
      </c>
      <c r="M12" s="7">
        <f>'210'!O41</f>
        <v>0</v>
      </c>
      <c r="N12" s="7">
        <f>'210'!P41</f>
        <v>0</v>
      </c>
      <c r="O12" s="7">
        <f>'210'!Q41</f>
        <v>26.160324791800001</v>
      </c>
      <c r="P12" s="7">
        <f>'210'!R41</f>
        <v>0</v>
      </c>
      <c r="Q12" s="7">
        <f>'210'!S41</f>
        <v>1</v>
      </c>
      <c r="R12" s="7">
        <f>'210'!T41</f>
        <v>0.16032479180000081</v>
      </c>
      <c r="S12" s="7">
        <f>'210'!U41</f>
        <v>25</v>
      </c>
      <c r="T12" s="5" t="str">
        <f t="shared" si="1"/>
        <v>OK</v>
      </c>
    </row>
    <row r="13" spans="1:37" x14ac:dyDescent="0.25">
      <c r="A13" s="5">
        <v>212</v>
      </c>
      <c r="B13" s="6" t="s">
        <v>27</v>
      </c>
      <c r="C13" s="7">
        <f>'212'!R66</f>
        <v>48.649724135100001</v>
      </c>
      <c r="D13" s="7">
        <f>'212'!F63</f>
        <v>0</v>
      </c>
      <c r="E13" s="7">
        <f>'212'!G63</f>
        <v>35.649724135100001</v>
      </c>
      <c r="F13" s="7">
        <f>'212'!H63</f>
        <v>9</v>
      </c>
      <c r="G13" s="7">
        <f>'212'!I63</f>
        <v>4</v>
      </c>
      <c r="H13" s="7">
        <f>'212'!J63</f>
        <v>0</v>
      </c>
      <c r="I13" s="7">
        <f>'212'!K63</f>
        <v>48.649724135100001</v>
      </c>
      <c r="J13" s="7">
        <f>'212'!L63</f>
        <v>0</v>
      </c>
      <c r="K13" s="7">
        <f>'212'!M63</f>
        <v>0</v>
      </c>
      <c r="L13" s="7">
        <f>'212'!N63</f>
        <v>48.649724135100001</v>
      </c>
      <c r="M13" s="7">
        <f>'212'!O63</f>
        <v>0</v>
      </c>
      <c r="N13" s="7">
        <f>'212'!P63</f>
        <v>0</v>
      </c>
      <c r="O13" s="7">
        <f>'212'!Q63</f>
        <v>48.649724135100001</v>
      </c>
      <c r="P13" s="7">
        <f>'212'!R63</f>
        <v>0</v>
      </c>
      <c r="Q13" s="7">
        <f>'212'!S63</f>
        <v>0</v>
      </c>
      <c r="R13" s="7">
        <f>'212'!T63</f>
        <v>48.649724135100001</v>
      </c>
      <c r="S13" s="7">
        <f>'212'!U63</f>
        <v>0</v>
      </c>
      <c r="T13" s="5" t="str">
        <f t="shared" si="1"/>
        <v>OK</v>
      </c>
    </row>
    <row r="14" spans="1:37" x14ac:dyDescent="0.25">
      <c r="A14" s="5">
        <v>214</v>
      </c>
      <c r="B14" s="6" t="s">
        <v>28</v>
      </c>
      <c r="C14" s="7">
        <f>'214'!R18</f>
        <v>0.37470221966700001</v>
      </c>
      <c r="D14" s="7">
        <f>'214'!F15</f>
        <v>0</v>
      </c>
      <c r="E14" s="7">
        <f>'214'!G15</f>
        <v>0.37470221966700001</v>
      </c>
      <c r="F14" s="7">
        <f>'214'!H15</f>
        <v>0</v>
      </c>
      <c r="G14" s="7">
        <f>'214'!I15</f>
        <v>0</v>
      </c>
      <c r="H14" s="7">
        <f>'214'!J15</f>
        <v>0</v>
      </c>
      <c r="I14" s="7">
        <f>'214'!K15</f>
        <v>0.37470221966700001</v>
      </c>
      <c r="J14" s="7">
        <f>'214'!L15</f>
        <v>0</v>
      </c>
      <c r="K14" s="7">
        <f>'214'!M15</f>
        <v>0</v>
      </c>
      <c r="L14" s="7">
        <f>'214'!N15</f>
        <v>0.37470221966700001</v>
      </c>
      <c r="M14" s="7">
        <f>'214'!O15</f>
        <v>0</v>
      </c>
      <c r="N14" s="7">
        <f>'214'!P15</f>
        <v>0</v>
      </c>
      <c r="O14" s="7">
        <f>'214'!Q15</f>
        <v>0.37470221966700001</v>
      </c>
      <c r="P14" s="7">
        <f>'214'!R15</f>
        <v>0</v>
      </c>
      <c r="Q14" s="7">
        <f>'214'!S15</f>
        <v>0</v>
      </c>
      <c r="R14" s="7">
        <f>'214'!T15</f>
        <v>0.37470221966700001</v>
      </c>
      <c r="S14" s="7">
        <f>'214'!U15</f>
        <v>0</v>
      </c>
      <c r="T14" s="5" t="str">
        <f t="shared" si="1"/>
        <v>OK</v>
      </c>
    </row>
    <row r="15" spans="1:37" x14ac:dyDescent="0.25">
      <c r="A15" s="5">
        <v>218</v>
      </c>
      <c r="B15" s="6" t="s">
        <v>29</v>
      </c>
      <c r="C15" s="7">
        <f>'218'!R133</f>
        <v>112.30914418946</v>
      </c>
      <c r="D15" s="7">
        <f>'218'!F130</f>
        <v>112.30914418946</v>
      </c>
      <c r="E15" s="7">
        <f>'218'!G130</f>
        <v>0</v>
      </c>
      <c r="F15" s="7">
        <f>'218'!H130</f>
        <v>0</v>
      </c>
      <c r="G15" s="7">
        <f>'218'!I130</f>
        <v>0</v>
      </c>
      <c r="H15" s="7">
        <f>'218'!J130</f>
        <v>0</v>
      </c>
      <c r="I15" s="7">
        <f>'218'!K130</f>
        <v>112.30914418946</v>
      </c>
      <c r="J15" s="7">
        <f>'218'!L130</f>
        <v>0</v>
      </c>
      <c r="K15" s="7">
        <f>'218'!M130</f>
        <v>0</v>
      </c>
      <c r="L15" s="7">
        <f>'218'!N130</f>
        <v>112.30914418946</v>
      </c>
      <c r="M15" s="7">
        <f>'218'!O130</f>
        <v>0</v>
      </c>
      <c r="N15" s="7">
        <f>'218'!P130</f>
        <v>0</v>
      </c>
      <c r="O15" s="7">
        <f>'218'!Q130</f>
        <v>0</v>
      </c>
      <c r="P15" s="7">
        <f>'218'!R130</f>
        <v>112.30914418946</v>
      </c>
      <c r="Q15" s="7">
        <f>'218'!S130</f>
        <v>0</v>
      </c>
      <c r="R15" s="7">
        <f>'218'!T130</f>
        <v>95.248502135300001</v>
      </c>
      <c r="S15" s="7">
        <f>'218'!U130</f>
        <v>17.060642054159999</v>
      </c>
      <c r="T15" s="5" t="str">
        <f t="shared" si="1"/>
        <v>OK</v>
      </c>
    </row>
    <row r="16" spans="1:37" x14ac:dyDescent="0.25">
      <c r="A16" s="5">
        <v>219</v>
      </c>
      <c r="B16" s="6" t="s">
        <v>30</v>
      </c>
      <c r="C16" s="7">
        <f>'219'!R68</f>
        <v>50.300052115100002</v>
      </c>
      <c r="D16" s="7">
        <f>'219'!F65</f>
        <v>50.300052115100002</v>
      </c>
      <c r="E16" s="7">
        <f>'219'!G65</f>
        <v>0</v>
      </c>
      <c r="F16" s="7">
        <f>'219'!H65</f>
        <v>0</v>
      </c>
      <c r="G16" s="7">
        <f>'219'!I65</f>
        <v>0</v>
      </c>
      <c r="H16" s="7">
        <f>'219'!J65</f>
        <v>0</v>
      </c>
      <c r="I16" s="7">
        <f>'219'!K65</f>
        <v>50.300052115100002</v>
      </c>
      <c r="J16" s="7">
        <f>'219'!L65</f>
        <v>0</v>
      </c>
      <c r="K16" s="7">
        <f>'219'!M65</f>
        <v>0</v>
      </c>
      <c r="L16" s="7">
        <f>'219'!N65</f>
        <v>50.300052115100002</v>
      </c>
      <c r="M16" s="7">
        <f>'219'!O65</f>
        <v>0</v>
      </c>
      <c r="N16" s="7">
        <f>'219'!P65</f>
        <v>50.300052115100002</v>
      </c>
      <c r="O16" s="7">
        <f>'219'!Q65</f>
        <v>0</v>
      </c>
      <c r="P16" s="7">
        <f>'219'!R65</f>
        <v>0</v>
      </c>
      <c r="Q16" s="7">
        <f>'219'!S65</f>
        <v>0</v>
      </c>
      <c r="R16" s="7">
        <f>'219'!T65</f>
        <v>4</v>
      </c>
      <c r="S16" s="7">
        <f>'219'!U65</f>
        <v>46.300052115100002</v>
      </c>
      <c r="T16" s="5" t="str">
        <f t="shared" si="1"/>
        <v>OK</v>
      </c>
    </row>
    <row r="17" spans="1:20" x14ac:dyDescent="0.25">
      <c r="A17" s="5">
        <v>220</v>
      </c>
      <c r="B17" s="6" t="s">
        <v>31</v>
      </c>
      <c r="C17" s="7">
        <f>'220'!R32</f>
        <v>14.0411420562</v>
      </c>
      <c r="D17" s="7">
        <f>'220'!F29</f>
        <v>0</v>
      </c>
      <c r="E17" s="7">
        <f>'220'!G29</f>
        <v>12.0411420562</v>
      </c>
      <c r="F17" s="7">
        <f>'220'!H29</f>
        <v>2</v>
      </c>
      <c r="G17" s="7">
        <f>'220'!I29</f>
        <v>0</v>
      </c>
      <c r="H17" s="7">
        <f>'220'!J29</f>
        <v>0</v>
      </c>
      <c r="I17" s="7">
        <f>'220'!K29</f>
        <v>14.0411420562</v>
      </c>
      <c r="J17" s="7">
        <f>'220'!L29</f>
        <v>0</v>
      </c>
      <c r="K17" s="7">
        <f>'220'!M29</f>
        <v>1</v>
      </c>
      <c r="L17" s="7">
        <f>'220'!N29</f>
        <v>13.0411420562</v>
      </c>
      <c r="M17" s="7">
        <f>'220'!O29</f>
        <v>0</v>
      </c>
      <c r="N17" s="7">
        <f>'220'!P29</f>
        <v>0</v>
      </c>
      <c r="O17" s="7">
        <f>'220'!Q29</f>
        <v>0</v>
      </c>
      <c r="P17" s="7">
        <f>'220'!R29</f>
        <v>14.0411420562</v>
      </c>
      <c r="Q17" s="7">
        <f>'220'!S29</f>
        <v>0</v>
      </c>
      <c r="R17" s="7">
        <f>'220'!T29</f>
        <v>4</v>
      </c>
      <c r="S17" s="7">
        <f>'220'!U29</f>
        <v>10.0411420562</v>
      </c>
      <c r="T17" s="5" t="str">
        <f t="shared" si="1"/>
        <v>OK</v>
      </c>
    </row>
    <row r="18" spans="1:20" x14ac:dyDescent="0.25">
      <c r="A18" s="5">
        <v>222</v>
      </c>
      <c r="B18" s="6" t="s">
        <v>32</v>
      </c>
      <c r="C18" s="7">
        <f>'222'!R18</f>
        <v>0.98012924831600001</v>
      </c>
      <c r="D18" s="7">
        <f>'222'!F15</f>
        <v>0</v>
      </c>
      <c r="E18" s="7">
        <f>'222'!G15</f>
        <v>0</v>
      </c>
      <c r="F18" s="7">
        <f>'222'!H15</f>
        <v>0.98012924831600001</v>
      </c>
      <c r="G18" s="7">
        <f>'222'!I15</f>
        <v>0</v>
      </c>
      <c r="H18" s="7">
        <f>'222'!J15</f>
        <v>0</v>
      </c>
      <c r="I18" s="7">
        <f>'222'!K15</f>
        <v>0</v>
      </c>
      <c r="J18" s="7">
        <f>'222'!L15</f>
        <v>0.98012924831600001</v>
      </c>
      <c r="K18" s="7">
        <f>'222'!M15</f>
        <v>0</v>
      </c>
      <c r="L18" s="7">
        <f>'222'!N15</f>
        <v>0.98012924831600001</v>
      </c>
      <c r="M18" s="7">
        <f>'222'!O15</f>
        <v>0</v>
      </c>
      <c r="N18" s="7">
        <f>'222'!P15</f>
        <v>0</v>
      </c>
      <c r="O18" s="7">
        <f>'222'!Q15</f>
        <v>0.98012924831600001</v>
      </c>
      <c r="P18" s="7">
        <f>'222'!R15</f>
        <v>0</v>
      </c>
      <c r="Q18" s="7">
        <f>'222'!S15</f>
        <v>0</v>
      </c>
      <c r="R18" s="7">
        <f>'222'!T15</f>
        <v>0.98012924831600001</v>
      </c>
      <c r="S18" s="7">
        <f>'222'!U15</f>
        <v>0</v>
      </c>
      <c r="T18" s="5" t="str">
        <f t="shared" si="1"/>
        <v>OK</v>
      </c>
    </row>
    <row r="19" spans="1:20" x14ac:dyDescent="0.25">
      <c r="B19" s="8" t="s">
        <v>33</v>
      </c>
      <c r="C19" s="9">
        <f t="shared" ref="C19:S19" si="2">SUM(C6:C18)</f>
        <v>563.39530992178993</v>
      </c>
      <c r="D19" s="9">
        <f t="shared" si="2"/>
        <v>210.44531228713998</v>
      </c>
      <c r="E19" s="9">
        <f t="shared" si="2"/>
        <v>258.41380920238902</v>
      </c>
      <c r="F19" s="9">
        <f t="shared" si="2"/>
        <v>88.536188432261</v>
      </c>
      <c r="G19" s="9">
        <f t="shared" si="2"/>
        <v>6</v>
      </c>
      <c r="H19" s="9">
        <f t="shared" si="2"/>
        <v>0</v>
      </c>
      <c r="I19" s="9">
        <f t="shared" si="2"/>
        <v>485.17606982305404</v>
      </c>
      <c r="J19" s="9">
        <f t="shared" si="2"/>
        <v>78.219240098736009</v>
      </c>
      <c r="K19" s="9">
        <f t="shared" si="2"/>
        <v>23.666003938265</v>
      </c>
      <c r="L19" s="9">
        <f t="shared" si="2"/>
        <v>539.72930598352502</v>
      </c>
      <c r="M19" s="9">
        <f t="shared" si="2"/>
        <v>0</v>
      </c>
      <c r="N19" s="9">
        <f t="shared" si="2"/>
        <v>97.136168097679999</v>
      </c>
      <c r="O19" s="9">
        <f t="shared" si="2"/>
        <v>325.78388636634099</v>
      </c>
      <c r="P19" s="9">
        <f t="shared" si="2"/>
        <v>140.47525545776898</v>
      </c>
      <c r="Q19" s="9">
        <f t="shared" si="2"/>
        <v>1</v>
      </c>
      <c r="R19" s="9">
        <f t="shared" si="2"/>
        <v>425.18288218734995</v>
      </c>
      <c r="S19" s="9">
        <f t="shared" si="2"/>
        <v>137.21242773444001</v>
      </c>
    </row>
    <row r="20" spans="1:20" x14ac:dyDescent="0.25">
      <c r="B20" s="8" t="s">
        <v>34</v>
      </c>
      <c r="D20" s="10">
        <f>SUM(D19:H19)/563.4</f>
        <v>0.9999916754025383</v>
      </c>
      <c r="I20" s="11" t="s">
        <v>35</v>
      </c>
    </row>
  </sheetData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18">
    <cfRule type="expression" dxfId="121" priority="1">
      <formula>LEFT(T6,4)="ERRO"</formula>
    </cfRule>
    <cfRule type="expression" dxfId="120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137"/>
  <sheetViews>
    <sheetView showGridLines="0" workbookViewId="0">
      <pane xSplit="5" ySplit="7" topLeftCell="F105" activePane="bottomRight" state="frozen"/>
      <selection pane="topRight"/>
      <selection pane="bottomLeft"/>
      <selection pane="bottomRight" activeCell="I89" sqref="I8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1" t="s">
        <v>36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Y1" s="1" t="s">
        <v>1</v>
      </c>
    </row>
    <row r="2" spans="1:40" ht="17.100000000000001" customHeight="1" x14ac:dyDescent="0.25">
      <c r="A2" s="54" t="s">
        <v>37</v>
      </c>
      <c r="B2" s="42"/>
      <c r="C2" s="42"/>
      <c r="D2" s="42"/>
      <c r="E2" s="42"/>
      <c r="F2" s="42"/>
      <c r="G2" s="50" t="s">
        <v>38</v>
      </c>
      <c r="H2" s="42"/>
      <c r="I2" s="51">
        <v>46266</v>
      </c>
      <c r="J2" s="52"/>
      <c r="K2" s="50" t="s">
        <v>39</v>
      </c>
      <c r="L2" s="42"/>
      <c r="M2" s="42"/>
      <c r="N2" s="55"/>
      <c r="O2" s="52"/>
      <c r="P2" s="50" t="s">
        <v>40</v>
      </c>
      <c r="Q2" s="42"/>
      <c r="R2" s="56" t="s">
        <v>154</v>
      </c>
      <c r="S2" s="57"/>
      <c r="T2" s="57"/>
      <c r="U2" s="57"/>
      <c r="V2" s="52"/>
      <c r="Y2" s="2" t="e">
        <f t="shared" ref="Y2:AN2" si="0">IF(F123=0,NA(),F123)</f>
        <v>#N/A</v>
      </c>
      <c r="Z2" s="2">
        <f t="shared" si="0"/>
        <v>81.396930932940023</v>
      </c>
      <c r="AA2" s="2">
        <f t="shared" si="0"/>
        <v>19</v>
      </c>
      <c r="AB2" s="2">
        <f t="shared" si="0"/>
        <v>2</v>
      </c>
      <c r="AC2" s="2" t="e">
        <f t="shared" si="0"/>
        <v>#N/A</v>
      </c>
      <c r="AD2" s="2">
        <f t="shared" si="0"/>
        <v>25.157820082520004</v>
      </c>
      <c r="AE2" s="2">
        <f t="shared" si="0"/>
        <v>77.239110850420005</v>
      </c>
      <c r="AF2" s="2" t="e">
        <f t="shared" si="0"/>
        <v>#N/A</v>
      </c>
      <c r="AG2" s="2">
        <f t="shared" si="0"/>
        <v>102.39693093294002</v>
      </c>
      <c r="AH2" s="2" t="e">
        <f t="shared" si="0"/>
        <v>#N/A</v>
      </c>
      <c r="AI2" s="2" t="e">
        <f t="shared" si="0"/>
        <v>#N/A</v>
      </c>
      <c r="AJ2" s="2">
        <f t="shared" si="0"/>
        <v>102.39693093294002</v>
      </c>
      <c r="AK2" s="2" t="e">
        <f t="shared" si="0"/>
        <v>#N/A</v>
      </c>
      <c r="AL2" s="2" t="e">
        <f t="shared" si="0"/>
        <v>#N/A</v>
      </c>
      <c r="AM2" s="2">
        <f t="shared" si="0"/>
        <v>102.39693093294002</v>
      </c>
      <c r="AN2" s="2" t="e">
        <f t="shared" si="0"/>
        <v>#N/A</v>
      </c>
    </row>
    <row r="3" spans="1:40" ht="15" customHeight="1" x14ac:dyDescent="0.25">
      <c r="A3" s="63" t="s">
        <v>41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50" t="s">
        <v>42</v>
      </c>
      <c r="U3" s="42"/>
      <c r="V3" s="42"/>
    </row>
    <row r="4" spans="1:40" ht="20.100000000000001" customHeight="1" x14ac:dyDescent="0.25">
      <c r="A4" s="47" t="s">
        <v>43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6" spans="1:40" ht="21.95" customHeight="1" x14ac:dyDescent="0.25">
      <c r="A6" s="43" t="s">
        <v>44</v>
      </c>
      <c r="B6" s="43" t="s">
        <v>45</v>
      </c>
      <c r="C6" s="43" t="s">
        <v>46</v>
      </c>
      <c r="D6" s="43" t="s">
        <v>47</v>
      </c>
      <c r="E6" s="43" t="s">
        <v>48</v>
      </c>
      <c r="F6" s="43" t="s">
        <v>6</v>
      </c>
      <c r="G6" s="46"/>
      <c r="H6" s="46"/>
      <c r="I6" s="46"/>
      <c r="J6" s="44"/>
      <c r="K6" s="43" t="s">
        <v>7</v>
      </c>
      <c r="L6" s="44"/>
      <c r="M6" s="43" t="s">
        <v>8</v>
      </c>
      <c r="N6" s="46"/>
      <c r="O6" s="44"/>
      <c r="P6" s="43" t="s">
        <v>9</v>
      </c>
      <c r="Q6" s="46"/>
      <c r="R6" s="44"/>
      <c r="S6" s="43" t="s">
        <v>10</v>
      </c>
      <c r="T6" s="46"/>
      <c r="U6" s="44"/>
      <c r="V6" s="43" t="s">
        <v>49</v>
      </c>
      <c r="W6" s="43" t="s">
        <v>50</v>
      </c>
    </row>
    <row r="7" spans="1:40" ht="20.100000000000001" customHeight="1" x14ac:dyDescent="0.25">
      <c r="A7" s="45"/>
      <c r="B7" s="45"/>
      <c r="C7" s="45"/>
      <c r="D7" s="45"/>
      <c r="E7" s="4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45"/>
      <c r="W7" s="45"/>
    </row>
    <row r="8" spans="1:40" ht="15.95" customHeight="1" x14ac:dyDescent="0.25">
      <c r="A8" s="59" t="s">
        <v>51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4"/>
      <c r="W8" s="4"/>
    </row>
    <row r="9" spans="1:40" ht="20.100000000000001" customHeight="1" x14ac:dyDescent="0.25">
      <c r="A9" s="12" t="s">
        <v>52</v>
      </c>
      <c r="B9" s="13" t="s">
        <v>53</v>
      </c>
      <c r="C9" s="14">
        <v>0</v>
      </c>
      <c r="D9" s="14">
        <v>1</v>
      </c>
      <c r="E9" s="14">
        <f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52</v>
      </c>
      <c r="B10" s="19" t="s">
        <v>53</v>
      </c>
      <c r="C10" s="20">
        <v>1</v>
      </c>
      <c r="D10" s="20">
        <v>1.1468162850200001</v>
      </c>
      <c r="E10" s="20">
        <f>D10-C10</f>
        <v>0.1468162850200001</v>
      </c>
      <c r="F10" s="21"/>
      <c r="G10" s="21" t="s">
        <v>54</v>
      </c>
      <c r="H10" s="21"/>
      <c r="I10" s="21"/>
      <c r="J10" s="21"/>
      <c r="K10" s="21" t="s">
        <v>54</v>
      </c>
      <c r="L10" s="21"/>
      <c r="M10" s="21"/>
      <c r="N10" s="21" t="s">
        <v>54</v>
      </c>
      <c r="O10" s="21"/>
      <c r="P10" s="21"/>
      <c r="Q10" s="21" t="s">
        <v>54</v>
      </c>
      <c r="R10" s="21"/>
      <c r="S10" s="21"/>
      <c r="T10" s="21" t="s">
        <v>54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" customHeight="1" x14ac:dyDescent="0.25">
      <c r="A11" s="60" t="s">
        <v>55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4"/>
      <c r="W11" s="4"/>
    </row>
    <row r="12" spans="1:40" ht="15.95" customHeight="1" x14ac:dyDescent="0.25">
      <c r="A12" s="59" t="s">
        <v>56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4"/>
      <c r="W12" s="4"/>
    </row>
    <row r="13" spans="1:40" ht="20.100000000000001" customHeight="1" x14ac:dyDescent="0.25">
      <c r="A13" s="12" t="s">
        <v>57</v>
      </c>
      <c r="B13" s="13" t="s">
        <v>53</v>
      </c>
      <c r="C13" s="14">
        <v>0</v>
      </c>
      <c r="D13" s="14">
        <v>1</v>
      </c>
      <c r="E13" s="14">
        <f t="shared" ref="E13:E44" si="1">D13-C13</f>
        <v>1</v>
      </c>
      <c r="F13" s="15"/>
      <c r="G13" s="15" t="s">
        <v>54</v>
      </c>
      <c r="H13" s="15"/>
      <c r="I13" s="15"/>
      <c r="J13" s="15"/>
      <c r="K13" s="15"/>
      <c r="L13" s="15" t="s">
        <v>54</v>
      </c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ref="W13:W44" si="2"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20.100000000000001" customHeight="1" x14ac:dyDescent="0.25">
      <c r="A14" s="12" t="s">
        <v>57</v>
      </c>
      <c r="B14" s="13" t="s">
        <v>53</v>
      </c>
      <c r="C14" s="14">
        <v>1</v>
      </c>
      <c r="D14" s="14">
        <v>2</v>
      </c>
      <c r="E14" s="14">
        <f t="shared" si="1"/>
        <v>1</v>
      </c>
      <c r="F14" s="15"/>
      <c r="G14" s="15" t="s">
        <v>54</v>
      </c>
      <c r="H14" s="15"/>
      <c r="I14" s="15"/>
      <c r="J14" s="15"/>
      <c r="K14" s="15"/>
      <c r="L14" s="15" t="s">
        <v>54</v>
      </c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57</v>
      </c>
      <c r="B15" s="13" t="s">
        <v>53</v>
      </c>
      <c r="C15" s="14">
        <v>2</v>
      </c>
      <c r="D15" s="14">
        <v>3</v>
      </c>
      <c r="E15" s="14">
        <f t="shared" si="1"/>
        <v>1</v>
      </c>
      <c r="F15" s="15"/>
      <c r="G15" s="15"/>
      <c r="H15" s="15" t="s">
        <v>54</v>
      </c>
      <c r="I15" s="15"/>
      <c r="J15" s="15"/>
      <c r="K15" s="15"/>
      <c r="L15" s="15" t="s">
        <v>54</v>
      </c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57</v>
      </c>
      <c r="B16" s="13" t="s">
        <v>53</v>
      </c>
      <c r="C16" s="14">
        <v>3</v>
      </c>
      <c r="D16" s="14">
        <v>4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/>
      <c r="L16" s="15" t="s">
        <v>54</v>
      </c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57</v>
      </c>
      <c r="B17" s="13" t="s">
        <v>53</v>
      </c>
      <c r="C17" s="14">
        <v>4</v>
      </c>
      <c r="D17" s="14">
        <v>5</v>
      </c>
      <c r="E17" s="14">
        <f t="shared" si="1"/>
        <v>1</v>
      </c>
      <c r="F17" s="15"/>
      <c r="G17" s="15"/>
      <c r="H17" s="15" t="s">
        <v>54</v>
      </c>
      <c r="I17" s="15"/>
      <c r="J17" s="15"/>
      <c r="K17" s="15"/>
      <c r="L17" s="15" t="s">
        <v>54</v>
      </c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57</v>
      </c>
      <c r="B18" s="13" t="s">
        <v>53</v>
      </c>
      <c r="C18" s="14">
        <v>5</v>
      </c>
      <c r="D18" s="14">
        <v>6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/>
      <c r="L18" s="15" t="s">
        <v>54</v>
      </c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57</v>
      </c>
      <c r="B19" s="13" t="s">
        <v>53</v>
      </c>
      <c r="C19" s="14">
        <v>6</v>
      </c>
      <c r="D19" s="14">
        <v>7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/>
      <c r="L19" s="15" t="s">
        <v>54</v>
      </c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57</v>
      </c>
      <c r="B20" s="13" t="s">
        <v>53</v>
      </c>
      <c r="C20" s="14">
        <v>7</v>
      </c>
      <c r="D20" s="14">
        <v>8</v>
      </c>
      <c r="E20" s="14">
        <f t="shared" si="1"/>
        <v>1</v>
      </c>
      <c r="F20" s="15"/>
      <c r="G20" s="15"/>
      <c r="H20" s="15"/>
      <c r="I20" s="15" t="s">
        <v>54</v>
      </c>
      <c r="J20" s="15"/>
      <c r="K20" s="15"/>
      <c r="L20" s="15" t="s">
        <v>54</v>
      </c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57</v>
      </c>
      <c r="B21" s="13" t="s">
        <v>53</v>
      </c>
      <c r="C21" s="14">
        <v>8</v>
      </c>
      <c r="D21" s="14">
        <v>9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/>
      <c r="L21" s="15" t="s">
        <v>54</v>
      </c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57</v>
      </c>
      <c r="B22" s="13" t="s">
        <v>53</v>
      </c>
      <c r="C22" s="14">
        <v>9</v>
      </c>
      <c r="D22" s="14">
        <v>10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/>
      <c r="L22" s="15" t="s">
        <v>54</v>
      </c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57</v>
      </c>
      <c r="B23" s="13" t="s">
        <v>53</v>
      </c>
      <c r="C23" s="14">
        <v>10</v>
      </c>
      <c r="D23" s="14">
        <v>11</v>
      </c>
      <c r="E23" s="14">
        <f t="shared" si="1"/>
        <v>1</v>
      </c>
      <c r="F23" s="15"/>
      <c r="G23" s="15" t="s">
        <v>54</v>
      </c>
      <c r="H23" s="15"/>
      <c r="I23" s="15"/>
      <c r="J23" s="15"/>
      <c r="K23" s="15"/>
      <c r="L23" s="15" t="s">
        <v>54</v>
      </c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57</v>
      </c>
      <c r="B24" s="13" t="s">
        <v>53</v>
      </c>
      <c r="C24" s="14">
        <v>11</v>
      </c>
      <c r="D24" s="14">
        <v>12</v>
      </c>
      <c r="E24" s="14">
        <f t="shared" si="1"/>
        <v>1</v>
      </c>
      <c r="F24" s="15"/>
      <c r="G24" s="15"/>
      <c r="H24" s="15"/>
      <c r="I24" s="15" t="s">
        <v>54</v>
      </c>
      <c r="J24" s="15"/>
      <c r="K24" s="15"/>
      <c r="L24" s="15" t="s">
        <v>54</v>
      </c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57</v>
      </c>
      <c r="B25" s="13" t="s">
        <v>53</v>
      </c>
      <c r="C25" s="14">
        <v>12</v>
      </c>
      <c r="D25" s="14">
        <v>13</v>
      </c>
      <c r="E25" s="14">
        <f t="shared" si="1"/>
        <v>1</v>
      </c>
      <c r="F25" s="15"/>
      <c r="G25" s="15" t="s">
        <v>54</v>
      </c>
      <c r="H25" s="15"/>
      <c r="I25" s="15"/>
      <c r="J25" s="15"/>
      <c r="K25" s="15"/>
      <c r="L25" s="15" t="s">
        <v>54</v>
      </c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57</v>
      </c>
      <c r="B26" s="13" t="s">
        <v>53</v>
      </c>
      <c r="C26" s="14">
        <v>13</v>
      </c>
      <c r="D26" s="14">
        <v>14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/>
      <c r="L26" s="15" t="s">
        <v>54</v>
      </c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57</v>
      </c>
      <c r="B27" s="13" t="s">
        <v>53</v>
      </c>
      <c r="C27" s="14">
        <v>14</v>
      </c>
      <c r="D27" s="14">
        <v>15</v>
      </c>
      <c r="E27" s="14">
        <f t="shared" si="1"/>
        <v>1</v>
      </c>
      <c r="F27" s="15"/>
      <c r="G27" s="15" t="s">
        <v>54</v>
      </c>
      <c r="H27" s="15"/>
      <c r="I27" s="15"/>
      <c r="J27" s="15"/>
      <c r="K27" s="15"/>
      <c r="L27" s="15" t="s">
        <v>54</v>
      </c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57</v>
      </c>
      <c r="B28" s="13" t="s">
        <v>53</v>
      </c>
      <c r="C28" s="14">
        <v>15</v>
      </c>
      <c r="D28" s="14">
        <v>16</v>
      </c>
      <c r="E28" s="14">
        <f t="shared" si="1"/>
        <v>1</v>
      </c>
      <c r="F28" s="15"/>
      <c r="G28" s="15" t="s">
        <v>54</v>
      </c>
      <c r="H28" s="15"/>
      <c r="I28" s="15"/>
      <c r="J28" s="15"/>
      <c r="K28" s="15"/>
      <c r="L28" s="15" t="s">
        <v>54</v>
      </c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57</v>
      </c>
      <c r="B29" s="13" t="s">
        <v>53</v>
      </c>
      <c r="C29" s="14">
        <v>16</v>
      </c>
      <c r="D29" s="14">
        <v>17</v>
      </c>
      <c r="E29" s="14">
        <f t="shared" si="1"/>
        <v>1</v>
      </c>
      <c r="F29" s="15"/>
      <c r="G29" s="15" t="s">
        <v>54</v>
      </c>
      <c r="H29" s="15"/>
      <c r="I29" s="15"/>
      <c r="J29" s="15"/>
      <c r="K29" s="15"/>
      <c r="L29" s="15" t="s">
        <v>54</v>
      </c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57</v>
      </c>
      <c r="B30" s="13" t="s">
        <v>53</v>
      </c>
      <c r="C30" s="14">
        <v>17</v>
      </c>
      <c r="D30" s="14">
        <v>18</v>
      </c>
      <c r="E30" s="14">
        <f t="shared" si="1"/>
        <v>1</v>
      </c>
      <c r="F30" s="15"/>
      <c r="G30" s="15" t="s">
        <v>54</v>
      </c>
      <c r="H30" s="15"/>
      <c r="I30" s="15"/>
      <c r="J30" s="15"/>
      <c r="K30" s="15"/>
      <c r="L30" s="15" t="s">
        <v>54</v>
      </c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57</v>
      </c>
      <c r="B31" s="13" t="s">
        <v>53</v>
      </c>
      <c r="C31" s="14">
        <v>18</v>
      </c>
      <c r="D31" s="14">
        <v>19</v>
      </c>
      <c r="E31" s="14">
        <f t="shared" si="1"/>
        <v>1</v>
      </c>
      <c r="F31" s="15"/>
      <c r="G31" s="15" t="s">
        <v>54</v>
      </c>
      <c r="H31" s="15"/>
      <c r="I31" s="15"/>
      <c r="J31" s="15"/>
      <c r="K31" s="15"/>
      <c r="L31" s="15" t="s">
        <v>54</v>
      </c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57</v>
      </c>
      <c r="B32" s="13" t="s">
        <v>53</v>
      </c>
      <c r="C32" s="14">
        <v>19</v>
      </c>
      <c r="D32" s="14">
        <v>20</v>
      </c>
      <c r="E32" s="14">
        <f t="shared" si="1"/>
        <v>1</v>
      </c>
      <c r="F32" s="15"/>
      <c r="G32" s="15" t="s">
        <v>54</v>
      </c>
      <c r="H32" s="15"/>
      <c r="I32" s="15"/>
      <c r="J32" s="15"/>
      <c r="K32" s="15"/>
      <c r="L32" s="15" t="s">
        <v>54</v>
      </c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57</v>
      </c>
      <c r="B33" s="13" t="s">
        <v>53</v>
      </c>
      <c r="C33" s="14">
        <v>20</v>
      </c>
      <c r="D33" s="14">
        <v>21</v>
      </c>
      <c r="E33" s="14">
        <f t="shared" si="1"/>
        <v>1</v>
      </c>
      <c r="F33" s="15"/>
      <c r="G33" s="15" t="s">
        <v>54</v>
      </c>
      <c r="H33" s="15"/>
      <c r="I33" s="15"/>
      <c r="J33" s="15"/>
      <c r="K33" s="15"/>
      <c r="L33" s="15" t="s">
        <v>54</v>
      </c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57</v>
      </c>
      <c r="B34" s="13" t="s">
        <v>53</v>
      </c>
      <c r="C34" s="14">
        <v>21</v>
      </c>
      <c r="D34" s="14">
        <v>22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/>
      <c r="L34" s="15" t="s">
        <v>54</v>
      </c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57</v>
      </c>
      <c r="B35" s="13" t="s">
        <v>53</v>
      </c>
      <c r="C35" s="14">
        <v>22</v>
      </c>
      <c r="D35" s="14">
        <v>23</v>
      </c>
      <c r="E35" s="14">
        <f t="shared" si="1"/>
        <v>1</v>
      </c>
      <c r="F35" s="15"/>
      <c r="G35" s="15" t="s">
        <v>54</v>
      </c>
      <c r="H35" s="15"/>
      <c r="I35" s="15"/>
      <c r="J35" s="15"/>
      <c r="K35" s="15"/>
      <c r="L35" s="15" t="s">
        <v>54</v>
      </c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57</v>
      </c>
      <c r="B36" s="13" t="s">
        <v>53</v>
      </c>
      <c r="C36" s="14">
        <v>23</v>
      </c>
      <c r="D36" s="14">
        <v>24</v>
      </c>
      <c r="E36" s="14">
        <f t="shared" si="1"/>
        <v>1</v>
      </c>
      <c r="F36" s="15"/>
      <c r="G36" s="15" t="s">
        <v>54</v>
      </c>
      <c r="H36" s="15"/>
      <c r="I36" s="15"/>
      <c r="J36" s="15"/>
      <c r="K36" s="15"/>
      <c r="L36" s="15" t="s">
        <v>54</v>
      </c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57</v>
      </c>
      <c r="B37" s="13" t="s">
        <v>53</v>
      </c>
      <c r="C37" s="14">
        <v>24</v>
      </c>
      <c r="D37" s="14">
        <v>25</v>
      </c>
      <c r="E37" s="14">
        <f t="shared" si="1"/>
        <v>1</v>
      </c>
      <c r="F37" s="15"/>
      <c r="G37" s="15" t="s">
        <v>54</v>
      </c>
      <c r="H37" s="15"/>
      <c r="I37" s="15"/>
      <c r="J37" s="15"/>
      <c r="K37" s="15"/>
      <c r="L37" s="15" t="s">
        <v>54</v>
      </c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57</v>
      </c>
      <c r="B38" s="13" t="s">
        <v>53</v>
      </c>
      <c r="C38" s="14">
        <v>25</v>
      </c>
      <c r="D38" s="14">
        <v>26</v>
      </c>
      <c r="E38" s="14">
        <f t="shared" si="1"/>
        <v>1</v>
      </c>
      <c r="F38" s="15"/>
      <c r="G38" s="15" t="s">
        <v>54</v>
      </c>
      <c r="H38" s="15"/>
      <c r="I38" s="15"/>
      <c r="J38" s="15"/>
      <c r="K38" s="15"/>
      <c r="L38" s="15" t="s">
        <v>54</v>
      </c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57</v>
      </c>
      <c r="B39" s="13" t="s">
        <v>53</v>
      </c>
      <c r="C39" s="14">
        <v>26</v>
      </c>
      <c r="D39" s="14">
        <v>27</v>
      </c>
      <c r="E39" s="14">
        <f t="shared" si="1"/>
        <v>1</v>
      </c>
      <c r="F39" s="15"/>
      <c r="G39" s="15" t="s">
        <v>54</v>
      </c>
      <c r="H39" s="15"/>
      <c r="I39" s="15"/>
      <c r="J39" s="15"/>
      <c r="K39" s="15"/>
      <c r="L39" s="15" t="s">
        <v>54</v>
      </c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57</v>
      </c>
      <c r="B40" s="13" t="s">
        <v>53</v>
      </c>
      <c r="C40" s="14">
        <v>27</v>
      </c>
      <c r="D40" s="14">
        <v>28</v>
      </c>
      <c r="E40" s="14">
        <f t="shared" si="1"/>
        <v>1</v>
      </c>
      <c r="F40" s="15"/>
      <c r="G40" s="15" t="s">
        <v>54</v>
      </c>
      <c r="H40" s="15"/>
      <c r="I40" s="15"/>
      <c r="J40" s="15"/>
      <c r="K40" s="15"/>
      <c r="L40" s="15" t="s">
        <v>54</v>
      </c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57</v>
      </c>
      <c r="B41" s="13" t="s">
        <v>53</v>
      </c>
      <c r="C41" s="14">
        <v>28</v>
      </c>
      <c r="D41" s="14">
        <v>29</v>
      </c>
      <c r="E41" s="14">
        <f t="shared" si="1"/>
        <v>1</v>
      </c>
      <c r="F41" s="15"/>
      <c r="G41" s="15" t="s">
        <v>54</v>
      </c>
      <c r="H41" s="15"/>
      <c r="I41" s="15"/>
      <c r="J41" s="15"/>
      <c r="K41" s="15"/>
      <c r="L41" s="15" t="s">
        <v>54</v>
      </c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57</v>
      </c>
      <c r="B42" s="13" t="s">
        <v>53</v>
      </c>
      <c r="C42" s="14">
        <v>29</v>
      </c>
      <c r="D42" s="14">
        <v>30</v>
      </c>
      <c r="E42" s="14">
        <f t="shared" si="1"/>
        <v>1</v>
      </c>
      <c r="F42" s="15"/>
      <c r="G42" s="15" t="s">
        <v>54</v>
      </c>
      <c r="H42" s="15"/>
      <c r="I42" s="15"/>
      <c r="J42" s="15"/>
      <c r="K42" s="15"/>
      <c r="L42" s="15" t="s">
        <v>54</v>
      </c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57</v>
      </c>
      <c r="B43" s="13" t="s">
        <v>53</v>
      </c>
      <c r="C43" s="14">
        <v>30</v>
      </c>
      <c r="D43" s="14">
        <v>31</v>
      </c>
      <c r="E43" s="14">
        <f t="shared" si="1"/>
        <v>1</v>
      </c>
      <c r="F43" s="15"/>
      <c r="G43" s="15" t="s">
        <v>54</v>
      </c>
      <c r="H43" s="15"/>
      <c r="I43" s="15"/>
      <c r="J43" s="15"/>
      <c r="K43" s="15"/>
      <c r="L43" s="15" t="s">
        <v>54</v>
      </c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2" t="s">
        <v>57</v>
      </c>
      <c r="B44" s="13" t="s">
        <v>53</v>
      </c>
      <c r="C44" s="14">
        <v>31</v>
      </c>
      <c r="D44" s="14">
        <v>32</v>
      </c>
      <c r="E44" s="14">
        <f t="shared" si="1"/>
        <v>1</v>
      </c>
      <c r="F44" s="15"/>
      <c r="G44" s="15" t="s">
        <v>54</v>
      </c>
      <c r="H44" s="15"/>
      <c r="I44" s="15"/>
      <c r="J44" s="15"/>
      <c r="K44" s="15"/>
      <c r="L44" s="15" t="s">
        <v>54</v>
      </c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2"/>
        <v>OK</v>
      </c>
    </row>
    <row r="45" spans="1:23" ht="20.100000000000001" customHeight="1" x14ac:dyDescent="0.25">
      <c r="A45" s="12" t="s">
        <v>57</v>
      </c>
      <c r="B45" s="13" t="s">
        <v>53</v>
      </c>
      <c r="C45" s="14">
        <v>32</v>
      </c>
      <c r="D45" s="14">
        <v>33</v>
      </c>
      <c r="E45" s="14">
        <f t="shared" ref="E45:E72" si="3">D45-C45</f>
        <v>1</v>
      </c>
      <c r="F45" s="15"/>
      <c r="G45" s="15" t="s">
        <v>54</v>
      </c>
      <c r="H45" s="15"/>
      <c r="I45" s="15"/>
      <c r="J45" s="15"/>
      <c r="K45" s="15"/>
      <c r="L45" s="15" t="s">
        <v>54</v>
      </c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ref="W45:W72" si="4">IF(COUNTA(F45:U45)=0,"— não preenchido",IF(COUNTIF(F45:J45,"X")&lt;&gt;1,"FALTA/DUPLA: CONDIÇÃO DO PAVIMENTO",IF(COUNTIF(K45:L45,"X")&lt;&gt;1,"FALTA/DUPLA: VEGETAÇÃO",IF(COUNTIF(M45:O45,"X")&lt;&gt;1,"FALTA/DUPLA: ELEM. DE DRENAGEM",IF(COUNTIF(P45:R45,"X")&lt;&gt;1,"FALTA/DUPLA: SIN. HORIZ.",IF(COUNTIF(S45:U45,"X")&lt;&gt;1,"FALTA/DUPLA: SIN. VERTICAL","OK"))))))</f>
        <v>OK</v>
      </c>
    </row>
    <row r="46" spans="1:23" ht="20.100000000000001" customHeight="1" x14ac:dyDescent="0.25">
      <c r="A46" s="12" t="s">
        <v>57</v>
      </c>
      <c r="B46" s="13" t="s">
        <v>53</v>
      </c>
      <c r="C46" s="14">
        <v>33</v>
      </c>
      <c r="D46" s="14">
        <v>34</v>
      </c>
      <c r="E46" s="14">
        <f t="shared" si="3"/>
        <v>1</v>
      </c>
      <c r="F46" s="15"/>
      <c r="G46" s="15"/>
      <c r="H46" s="15" t="s">
        <v>54</v>
      </c>
      <c r="I46" s="15"/>
      <c r="J46" s="15"/>
      <c r="K46" s="15"/>
      <c r="L46" s="15" t="s">
        <v>54</v>
      </c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57</v>
      </c>
      <c r="B47" s="13" t="s">
        <v>53</v>
      </c>
      <c r="C47" s="14">
        <v>34</v>
      </c>
      <c r="D47" s="14">
        <v>35</v>
      </c>
      <c r="E47" s="14">
        <f t="shared" si="3"/>
        <v>1</v>
      </c>
      <c r="F47" s="15"/>
      <c r="G47" s="15" t="s">
        <v>54</v>
      </c>
      <c r="H47" s="15"/>
      <c r="I47" s="15"/>
      <c r="J47" s="15"/>
      <c r="K47" s="15"/>
      <c r="L47" s="15" t="s">
        <v>54</v>
      </c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57</v>
      </c>
      <c r="B48" s="13" t="s">
        <v>53</v>
      </c>
      <c r="C48" s="14">
        <v>35</v>
      </c>
      <c r="D48" s="14">
        <v>36</v>
      </c>
      <c r="E48" s="14">
        <f t="shared" si="3"/>
        <v>1</v>
      </c>
      <c r="F48" s="15"/>
      <c r="G48" s="15" t="s">
        <v>54</v>
      </c>
      <c r="H48" s="15"/>
      <c r="I48" s="15"/>
      <c r="J48" s="15"/>
      <c r="K48" s="15"/>
      <c r="L48" s="15" t="s">
        <v>54</v>
      </c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57</v>
      </c>
      <c r="B49" s="13" t="s">
        <v>53</v>
      </c>
      <c r="C49" s="14">
        <v>36</v>
      </c>
      <c r="D49" s="14">
        <v>37</v>
      </c>
      <c r="E49" s="14">
        <f t="shared" si="3"/>
        <v>1</v>
      </c>
      <c r="F49" s="15"/>
      <c r="G49" s="15" t="s">
        <v>54</v>
      </c>
      <c r="H49" s="15"/>
      <c r="I49" s="15"/>
      <c r="J49" s="15"/>
      <c r="K49" s="15"/>
      <c r="L49" s="15" t="s">
        <v>54</v>
      </c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57</v>
      </c>
      <c r="B50" s="13" t="s">
        <v>53</v>
      </c>
      <c r="C50" s="14">
        <v>37</v>
      </c>
      <c r="D50" s="14">
        <v>38</v>
      </c>
      <c r="E50" s="14">
        <f t="shared" si="3"/>
        <v>1</v>
      </c>
      <c r="F50" s="15"/>
      <c r="G50" s="15" t="s">
        <v>54</v>
      </c>
      <c r="H50" s="15"/>
      <c r="I50" s="15"/>
      <c r="J50" s="15"/>
      <c r="K50" s="15"/>
      <c r="L50" s="15" t="s">
        <v>54</v>
      </c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57</v>
      </c>
      <c r="B51" s="13" t="s">
        <v>53</v>
      </c>
      <c r="C51" s="14">
        <v>38</v>
      </c>
      <c r="D51" s="14">
        <v>39</v>
      </c>
      <c r="E51" s="14">
        <f t="shared" si="3"/>
        <v>1</v>
      </c>
      <c r="F51" s="15"/>
      <c r="G51" s="15" t="s">
        <v>54</v>
      </c>
      <c r="H51" s="15"/>
      <c r="I51" s="15"/>
      <c r="J51" s="15"/>
      <c r="K51" s="15"/>
      <c r="L51" s="15" t="s">
        <v>54</v>
      </c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57</v>
      </c>
      <c r="B52" s="13" t="s">
        <v>53</v>
      </c>
      <c r="C52" s="14">
        <v>39</v>
      </c>
      <c r="D52" s="14">
        <v>40</v>
      </c>
      <c r="E52" s="14">
        <f t="shared" si="3"/>
        <v>1</v>
      </c>
      <c r="F52" s="15"/>
      <c r="G52" s="15" t="s">
        <v>54</v>
      </c>
      <c r="H52" s="15"/>
      <c r="I52" s="15"/>
      <c r="J52" s="15"/>
      <c r="K52" s="15"/>
      <c r="L52" s="15" t="s">
        <v>54</v>
      </c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57</v>
      </c>
      <c r="B53" s="13" t="s">
        <v>53</v>
      </c>
      <c r="C53" s="14">
        <v>40</v>
      </c>
      <c r="D53" s="14">
        <v>41</v>
      </c>
      <c r="E53" s="14">
        <f t="shared" si="3"/>
        <v>1</v>
      </c>
      <c r="F53" s="15"/>
      <c r="G53" s="15" t="s">
        <v>54</v>
      </c>
      <c r="H53" s="15"/>
      <c r="I53" s="15"/>
      <c r="J53" s="15"/>
      <c r="K53" s="15"/>
      <c r="L53" s="15" t="s">
        <v>54</v>
      </c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57</v>
      </c>
      <c r="B54" s="13" t="s">
        <v>53</v>
      </c>
      <c r="C54" s="14">
        <v>41</v>
      </c>
      <c r="D54" s="14">
        <v>42</v>
      </c>
      <c r="E54" s="14">
        <f t="shared" si="3"/>
        <v>1</v>
      </c>
      <c r="F54" s="15"/>
      <c r="G54" s="15" t="s">
        <v>54</v>
      </c>
      <c r="H54" s="15"/>
      <c r="I54" s="15"/>
      <c r="J54" s="15"/>
      <c r="K54" s="15"/>
      <c r="L54" s="15" t="s">
        <v>54</v>
      </c>
      <c r="M54" s="15"/>
      <c r="N54" s="15" t="s">
        <v>54</v>
      </c>
      <c r="O54" s="15"/>
      <c r="P54" s="15"/>
      <c r="Q54" s="15" t="s">
        <v>54</v>
      </c>
      <c r="R54" s="15"/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57</v>
      </c>
      <c r="B55" s="13" t="s">
        <v>53</v>
      </c>
      <c r="C55" s="14">
        <v>42</v>
      </c>
      <c r="D55" s="14">
        <v>43</v>
      </c>
      <c r="E55" s="14">
        <f t="shared" si="3"/>
        <v>1</v>
      </c>
      <c r="F55" s="15"/>
      <c r="G55" s="15" t="s">
        <v>54</v>
      </c>
      <c r="H55" s="15"/>
      <c r="I55" s="15"/>
      <c r="J55" s="15"/>
      <c r="K55" s="15"/>
      <c r="L55" s="15" t="s">
        <v>54</v>
      </c>
      <c r="M55" s="15"/>
      <c r="N55" s="15" t="s">
        <v>54</v>
      </c>
      <c r="O55" s="15"/>
      <c r="P55" s="15"/>
      <c r="Q55" s="15" t="s">
        <v>54</v>
      </c>
      <c r="R55" s="15"/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57</v>
      </c>
      <c r="B56" s="13" t="s">
        <v>53</v>
      </c>
      <c r="C56" s="14">
        <v>43</v>
      </c>
      <c r="D56" s="14">
        <v>44</v>
      </c>
      <c r="E56" s="14">
        <f t="shared" si="3"/>
        <v>1</v>
      </c>
      <c r="F56" s="15"/>
      <c r="G56" s="15" t="s">
        <v>54</v>
      </c>
      <c r="H56" s="15"/>
      <c r="I56" s="15"/>
      <c r="J56" s="15"/>
      <c r="K56" s="15"/>
      <c r="L56" s="15" t="s">
        <v>54</v>
      </c>
      <c r="M56" s="15"/>
      <c r="N56" s="15" t="s">
        <v>54</v>
      </c>
      <c r="O56" s="15"/>
      <c r="P56" s="15"/>
      <c r="Q56" s="15" t="s">
        <v>54</v>
      </c>
      <c r="R56" s="15"/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57</v>
      </c>
      <c r="B57" s="13" t="s">
        <v>53</v>
      </c>
      <c r="C57" s="14">
        <v>44</v>
      </c>
      <c r="D57" s="14">
        <v>45</v>
      </c>
      <c r="E57" s="14">
        <f t="shared" si="3"/>
        <v>1</v>
      </c>
      <c r="F57" s="15"/>
      <c r="G57" s="15" t="s">
        <v>54</v>
      </c>
      <c r="H57" s="15"/>
      <c r="I57" s="15"/>
      <c r="J57" s="15"/>
      <c r="K57" s="15"/>
      <c r="L57" s="15" t="s">
        <v>54</v>
      </c>
      <c r="M57" s="15"/>
      <c r="N57" s="15" t="s">
        <v>54</v>
      </c>
      <c r="O57" s="15"/>
      <c r="P57" s="15"/>
      <c r="Q57" s="15" t="s">
        <v>54</v>
      </c>
      <c r="R57" s="15"/>
      <c r="S57" s="15"/>
      <c r="T57" s="15" t="s">
        <v>54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57</v>
      </c>
      <c r="B58" s="13" t="s">
        <v>53</v>
      </c>
      <c r="C58" s="14">
        <v>45</v>
      </c>
      <c r="D58" s="14">
        <v>46</v>
      </c>
      <c r="E58" s="14">
        <f t="shared" si="3"/>
        <v>1</v>
      </c>
      <c r="F58" s="15"/>
      <c r="G58" s="15" t="s">
        <v>54</v>
      </c>
      <c r="H58" s="15"/>
      <c r="I58" s="15"/>
      <c r="J58" s="15"/>
      <c r="K58" s="15"/>
      <c r="L58" s="15" t="s">
        <v>54</v>
      </c>
      <c r="M58" s="15"/>
      <c r="N58" s="15" t="s">
        <v>54</v>
      </c>
      <c r="O58" s="15"/>
      <c r="P58" s="15"/>
      <c r="Q58" s="15" t="s">
        <v>54</v>
      </c>
      <c r="R58" s="15"/>
      <c r="S58" s="15"/>
      <c r="T58" s="15" t="s">
        <v>54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57</v>
      </c>
      <c r="B59" s="13" t="s">
        <v>53</v>
      </c>
      <c r="C59" s="14">
        <v>46</v>
      </c>
      <c r="D59" s="14">
        <v>47</v>
      </c>
      <c r="E59" s="14">
        <f t="shared" si="3"/>
        <v>1</v>
      </c>
      <c r="F59" s="15"/>
      <c r="G59" s="15" t="s">
        <v>54</v>
      </c>
      <c r="H59" s="15"/>
      <c r="I59" s="15"/>
      <c r="J59" s="15"/>
      <c r="K59" s="15"/>
      <c r="L59" s="15" t="s">
        <v>54</v>
      </c>
      <c r="M59" s="15"/>
      <c r="N59" s="15" t="s">
        <v>54</v>
      </c>
      <c r="O59" s="15"/>
      <c r="P59" s="15"/>
      <c r="Q59" s="15" t="s">
        <v>54</v>
      </c>
      <c r="R59" s="15"/>
      <c r="S59" s="15"/>
      <c r="T59" s="15" t="s">
        <v>54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57</v>
      </c>
      <c r="B60" s="13" t="s">
        <v>53</v>
      </c>
      <c r="C60" s="14">
        <v>47</v>
      </c>
      <c r="D60" s="14">
        <v>48</v>
      </c>
      <c r="E60" s="14">
        <f t="shared" si="3"/>
        <v>1</v>
      </c>
      <c r="F60" s="15"/>
      <c r="G60" s="15" t="s">
        <v>54</v>
      </c>
      <c r="H60" s="15"/>
      <c r="I60" s="15"/>
      <c r="J60" s="15"/>
      <c r="K60" s="15"/>
      <c r="L60" s="15" t="s">
        <v>54</v>
      </c>
      <c r="M60" s="15"/>
      <c r="N60" s="15" t="s">
        <v>54</v>
      </c>
      <c r="O60" s="15"/>
      <c r="P60" s="15"/>
      <c r="Q60" s="15" t="s">
        <v>54</v>
      </c>
      <c r="R60" s="15"/>
      <c r="S60" s="15"/>
      <c r="T60" s="15" t="s">
        <v>54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57</v>
      </c>
      <c r="B61" s="13" t="s">
        <v>53</v>
      </c>
      <c r="C61" s="14">
        <v>48</v>
      </c>
      <c r="D61" s="14">
        <v>49</v>
      </c>
      <c r="E61" s="14">
        <f t="shared" si="3"/>
        <v>1</v>
      </c>
      <c r="F61" s="15"/>
      <c r="G61" s="15" t="s">
        <v>54</v>
      </c>
      <c r="H61" s="15"/>
      <c r="I61" s="15"/>
      <c r="J61" s="15"/>
      <c r="K61" s="15"/>
      <c r="L61" s="15" t="s">
        <v>54</v>
      </c>
      <c r="M61" s="15"/>
      <c r="N61" s="15" t="s">
        <v>54</v>
      </c>
      <c r="O61" s="15"/>
      <c r="P61" s="15"/>
      <c r="Q61" s="15" t="s">
        <v>54</v>
      </c>
      <c r="R61" s="15"/>
      <c r="S61" s="15"/>
      <c r="T61" s="15" t="s">
        <v>54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57</v>
      </c>
      <c r="B62" s="13" t="s">
        <v>53</v>
      </c>
      <c r="C62" s="14">
        <v>49</v>
      </c>
      <c r="D62" s="14">
        <v>50</v>
      </c>
      <c r="E62" s="14">
        <f t="shared" si="3"/>
        <v>1</v>
      </c>
      <c r="F62" s="15"/>
      <c r="G62" s="15" t="s">
        <v>54</v>
      </c>
      <c r="H62" s="15"/>
      <c r="I62" s="15"/>
      <c r="J62" s="15"/>
      <c r="K62" s="15"/>
      <c r="L62" s="15" t="s">
        <v>54</v>
      </c>
      <c r="M62" s="15"/>
      <c r="N62" s="15" t="s">
        <v>54</v>
      </c>
      <c r="O62" s="15"/>
      <c r="P62" s="15"/>
      <c r="Q62" s="15" t="s">
        <v>54</v>
      </c>
      <c r="R62" s="15"/>
      <c r="S62" s="15"/>
      <c r="T62" s="15" t="s">
        <v>54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57</v>
      </c>
      <c r="B63" s="13" t="s">
        <v>53</v>
      </c>
      <c r="C63" s="14">
        <v>50</v>
      </c>
      <c r="D63" s="14">
        <v>51</v>
      </c>
      <c r="E63" s="14">
        <f t="shared" si="3"/>
        <v>1</v>
      </c>
      <c r="F63" s="15"/>
      <c r="G63" s="15" t="s">
        <v>54</v>
      </c>
      <c r="H63" s="15"/>
      <c r="I63" s="15"/>
      <c r="J63" s="15"/>
      <c r="K63" s="15"/>
      <c r="L63" s="15" t="s">
        <v>54</v>
      </c>
      <c r="M63" s="15"/>
      <c r="N63" s="15" t="s">
        <v>54</v>
      </c>
      <c r="O63" s="15"/>
      <c r="P63" s="15"/>
      <c r="Q63" s="15" t="s">
        <v>54</v>
      </c>
      <c r="R63" s="15"/>
      <c r="S63" s="15"/>
      <c r="T63" s="15" t="s">
        <v>54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57</v>
      </c>
      <c r="B64" s="13" t="s">
        <v>53</v>
      </c>
      <c r="C64" s="14">
        <v>51</v>
      </c>
      <c r="D64" s="14">
        <v>52</v>
      </c>
      <c r="E64" s="14">
        <f t="shared" si="3"/>
        <v>1</v>
      </c>
      <c r="F64" s="15"/>
      <c r="G64" s="15" t="s">
        <v>54</v>
      </c>
      <c r="H64" s="15"/>
      <c r="I64" s="15"/>
      <c r="J64" s="15"/>
      <c r="K64" s="15"/>
      <c r="L64" s="15" t="s">
        <v>54</v>
      </c>
      <c r="M64" s="15"/>
      <c r="N64" s="15" t="s">
        <v>54</v>
      </c>
      <c r="O64" s="15"/>
      <c r="P64" s="15"/>
      <c r="Q64" s="15" t="s">
        <v>54</v>
      </c>
      <c r="R64" s="15"/>
      <c r="S64" s="15"/>
      <c r="T64" s="15" t="s">
        <v>54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57</v>
      </c>
      <c r="B65" s="13" t="s">
        <v>53</v>
      </c>
      <c r="C65" s="14">
        <v>52</v>
      </c>
      <c r="D65" s="14">
        <v>53</v>
      </c>
      <c r="E65" s="14">
        <f t="shared" si="3"/>
        <v>1</v>
      </c>
      <c r="F65" s="15"/>
      <c r="G65" s="15" t="s">
        <v>54</v>
      </c>
      <c r="H65" s="15"/>
      <c r="I65" s="15"/>
      <c r="J65" s="15"/>
      <c r="K65" s="15"/>
      <c r="L65" s="15" t="s">
        <v>54</v>
      </c>
      <c r="M65" s="15"/>
      <c r="N65" s="15" t="s">
        <v>54</v>
      </c>
      <c r="O65" s="15"/>
      <c r="P65" s="15"/>
      <c r="Q65" s="15" t="s">
        <v>54</v>
      </c>
      <c r="R65" s="15"/>
      <c r="S65" s="15"/>
      <c r="T65" s="15" t="s">
        <v>54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57</v>
      </c>
      <c r="B66" s="13" t="s">
        <v>53</v>
      </c>
      <c r="C66" s="14">
        <v>53</v>
      </c>
      <c r="D66" s="14">
        <v>54</v>
      </c>
      <c r="E66" s="14">
        <f t="shared" si="3"/>
        <v>1</v>
      </c>
      <c r="F66" s="15"/>
      <c r="G66" s="15" t="s">
        <v>54</v>
      </c>
      <c r="H66" s="15"/>
      <c r="I66" s="15"/>
      <c r="J66" s="15"/>
      <c r="K66" s="15"/>
      <c r="L66" s="15" t="s">
        <v>54</v>
      </c>
      <c r="M66" s="15"/>
      <c r="N66" s="15" t="s">
        <v>54</v>
      </c>
      <c r="O66" s="15"/>
      <c r="P66" s="15"/>
      <c r="Q66" s="15" t="s">
        <v>54</v>
      </c>
      <c r="R66" s="15"/>
      <c r="S66" s="15"/>
      <c r="T66" s="15" t="s">
        <v>54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57</v>
      </c>
      <c r="B67" s="13" t="s">
        <v>53</v>
      </c>
      <c r="C67" s="14">
        <v>54</v>
      </c>
      <c r="D67" s="14">
        <v>55</v>
      </c>
      <c r="E67" s="14">
        <f t="shared" si="3"/>
        <v>1</v>
      </c>
      <c r="F67" s="15"/>
      <c r="G67" s="15" t="s">
        <v>54</v>
      </c>
      <c r="H67" s="15"/>
      <c r="I67" s="15"/>
      <c r="J67" s="15"/>
      <c r="K67" s="15"/>
      <c r="L67" s="15" t="s">
        <v>54</v>
      </c>
      <c r="M67" s="15"/>
      <c r="N67" s="15" t="s">
        <v>54</v>
      </c>
      <c r="O67" s="15"/>
      <c r="P67" s="15"/>
      <c r="Q67" s="15" t="s">
        <v>54</v>
      </c>
      <c r="R67" s="15"/>
      <c r="S67" s="15"/>
      <c r="T67" s="15" t="s">
        <v>54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57</v>
      </c>
      <c r="B68" s="13" t="s">
        <v>53</v>
      </c>
      <c r="C68" s="14">
        <v>55</v>
      </c>
      <c r="D68" s="14">
        <v>56</v>
      </c>
      <c r="E68" s="14">
        <f t="shared" si="3"/>
        <v>1</v>
      </c>
      <c r="F68" s="15"/>
      <c r="G68" s="15" t="s">
        <v>54</v>
      </c>
      <c r="H68" s="15"/>
      <c r="I68" s="15"/>
      <c r="J68" s="15"/>
      <c r="K68" s="15"/>
      <c r="L68" s="15" t="s">
        <v>54</v>
      </c>
      <c r="M68" s="15"/>
      <c r="N68" s="15" t="s">
        <v>54</v>
      </c>
      <c r="O68" s="15"/>
      <c r="P68" s="15"/>
      <c r="Q68" s="15" t="s">
        <v>54</v>
      </c>
      <c r="R68" s="15"/>
      <c r="S68" s="15"/>
      <c r="T68" s="15" t="s">
        <v>54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57</v>
      </c>
      <c r="B69" s="13" t="s">
        <v>53</v>
      </c>
      <c r="C69" s="14">
        <v>56</v>
      </c>
      <c r="D69" s="14">
        <v>57</v>
      </c>
      <c r="E69" s="14">
        <f t="shared" si="3"/>
        <v>1</v>
      </c>
      <c r="F69" s="15"/>
      <c r="G69" s="15" t="s">
        <v>54</v>
      </c>
      <c r="H69" s="15"/>
      <c r="I69" s="15"/>
      <c r="J69" s="15"/>
      <c r="K69" s="15"/>
      <c r="L69" s="15" t="s">
        <v>54</v>
      </c>
      <c r="M69" s="15"/>
      <c r="N69" s="15" t="s">
        <v>54</v>
      </c>
      <c r="O69" s="15"/>
      <c r="P69" s="15"/>
      <c r="Q69" s="15" t="s">
        <v>54</v>
      </c>
      <c r="R69" s="15"/>
      <c r="S69" s="15"/>
      <c r="T69" s="15" t="s">
        <v>54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57</v>
      </c>
      <c r="B70" s="13" t="s">
        <v>53</v>
      </c>
      <c r="C70" s="14">
        <v>57</v>
      </c>
      <c r="D70" s="14">
        <v>58</v>
      </c>
      <c r="E70" s="14">
        <f t="shared" si="3"/>
        <v>1</v>
      </c>
      <c r="F70" s="15"/>
      <c r="G70" s="15" t="s">
        <v>54</v>
      </c>
      <c r="H70" s="15"/>
      <c r="I70" s="15"/>
      <c r="J70" s="15"/>
      <c r="K70" s="15"/>
      <c r="L70" s="15" t="s">
        <v>54</v>
      </c>
      <c r="M70" s="15"/>
      <c r="N70" s="15" t="s">
        <v>54</v>
      </c>
      <c r="O70" s="15"/>
      <c r="P70" s="15"/>
      <c r="Q70" s="15" t="s">
        <v>54</v>
      </c>
      <c r="R70" s="15"/>
      <c r="S70" s="15"/>
      <c r="T70" s="15" t="s">
        <v>54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57</v>
      </c>
      <c r="B71" s="13" t="s">
        <v>53</v>
      </c>
      <c r="C71" s="14">
        <v>58</v>
      </c>
      <c r="D71" s="14">
        <v>59</v>
      </c>
      <c r="E71" s="14">
        <f t="shared" si="3"/>
        <v>1</v>
      </c>
      <c r="F71" s="15"/>
      <c r="G71" s="15" t="s">
        <v>54</v>
      </c>
      <c r="H71" s="15"/>
      <c r="I71" s="15"/>
      <c r="J71" s="15"/>
      <c r="K71" s="15"/>
      <c r="L71" s="15" t="s">
        <v>54</v>
      </c>
      <c r="M71" s="15"/>
      <c r="N71" s="15" t="s">
        <v>54</v>
      </c>
      <c r="O71" s="15"/>
      <c r="P71" s="15"/>
      <c r="Q71" s="15" t="s">
        <v>54</v>
      </c>
      <c r="R71" s="15"/>
      <c r="S71" s="15"/>
      <c r="T71" s="15" t="s">
        <v>54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8" t="s">
        <v>57</v>
      </c>
      <c r="B72" s="19" t="s">
        <v>53</v>
      </c>
      <c r="C72" s="20">
        <v>59</v>
      </c>
      <c r="D72" s="20">
        <v>59.748298006200002</v>
      </c>
      <c r="E72" s="20">
        <f t="shared" si="3"/>
        <v>0.74829800620000242</v>
      </c>
      <c r="F72" s="21"/>
      <c r="G72" s="21" t="s">
        <v>54</v>
      </c>
      <c r="H72" s="21"/>
      <c r="I72" s="21"/>
      <c r="J72" s="21"/>
      <c r="K72" s="21"/>
      <c r="L72" s="21" t="s">
        <v>54</v>
      </c>
      <c r="M72" s="21"/>
      <c r="N72" s="21" t="s">
        <v>54</v>
      </c>
      <c r="O72" s="21"/>
      <c r="P72" s="21"/>
      <c r="Q72" s="21" t="s">
        <v>54</v>
      </c>
      <c r="R72" s="21"/>
      <c r="S72" s="21"/>
      <c r="T72" s="21" t="s">
        <v>54</v>
      </c>
      <c r="U72" s="21"/>
      <c r="V72" s="22"/>
      <c r="W72" s="23" t="str">
        <f t="shared" si="4"/>
        <v>OK</v>
      </c>
    </row>
    <row r="73" spans="1:23" ht="15.95" customHeight="1" x14ac:dyDescent="0.25">
      <c r="A73" s="59" t="s">
        <v>58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4"/>
      <c r="W73" s="4"/>
    </row>
    <row r="74" spans="1:23" ht="20.100000000000001" customHeight="1" x14ac:dyDescent="0.25">
      <c r="A74" s="12" t="s">
        <v>59</v>
      </c>
      <c r="B74" s="13" t="s">
        <v>53</v>
      </c>
      <c r="C74" s="14">
        <v>0</v>
      </c>
      <c r="D74" s="14">
        <v>1</v>
      </c>
      <c r="E74" s="14">
        <f t="shared" ref="E74:E83" si="5">D74-C74</f>
        <v>1</v>
      </c>
      <c r="F74" s="15"/>
      <c r="G74" s="15" t="s">
        <v>54</v>
      </c>
      <c r="H74" s="15"/>
      <c r="I74" s="15"/>
      <c r="J74" s="15"/>
      <c r="K74" s="15"/>
      <c r="L74" s="15" t="s">
        <v>54</v>
      </c>
      <c r="M74" s="15"/>
      <c r="N74" s="15" t="s">
        <v>54</v>
      </c>
      <c r="O74" s="15"/>
      <c r="P74" s="15"/>
      <c r="Q74" s="15" t="s">
        <v>54</v>
      </c>
      <c r="R74" s="15"/>
      <c r="S74" s="15"/>
      <c r="T74" s="15" t="s">
        <v>54</v>
      </c>
      <c r="U74" s="15"/>
      <c r="V74" s="16"/>
      <c r="W74" s="17" t="str">
        <f t="shared" ref="W74:W83" si="6">IF(COUNTA(F74:U74)=0,"— não preenchido",IF(COUNTIF(F74:J74,"X")&lt;&gt;1,"FALTA/DUPLA: CONDIÇÃO DO PAVIMENTO",IF(COUNTIF(K74:L74,"X")&lt;&gt;1,"FALTA/DUPLA: VEGETAÇÃO",IF(COUNTIF(M74:O74,"X")&lt;&gt;1,"FALTA/DUPLA: ELEM. DE DRENAGEM",IF(COUNTIF(P74:R74,"X")&lt;&gt;1,"FALTA/DUPLA: SIN. HORIZ.",IF(COUNTIF(S74:U74,"X")&lt;&gt;1,"FALTA/DUPLA: SIN. VERTICAL","OK"))))))</f>
        <v>OK</v>
      </c>
    </row>
    <row r="75" spans="1:23" ht="20.100000000000001" customHeight="1" x14ac:dyDescent="0.25">
      <c r="A75" s="12" t="s">
        <v>59</v>
      </c>
      <c r="B75" s="13" t="s">
        <v>53</v>
      </c>
      <c r="C75" s="14">
        <v>1</v>
      </c>
      <c r="D75" s="14">
        <v>2</v>
      </c>
      <c r="E75" s="14">
        <f t="shared" si="5"/>
        <v>1</v>
      </c>
      <c r="F75" s="15"/>
      <c r="G75" s="15" t="s">
        <v>54</v>
      </c>
      <c r="H75" s="15"/>
      <c r="I75" s="15"/>
      <c r="J75" s="15"/>
      <c r="K75" s="15"/>
      <c r="L75" s="15" t="s">
        <v>54</v>
      </c>
      <c r="M75" s="15"/>
      <c r="N75" s="15" t="s">
        <v>54</v>
      </c>
      <c r="O75" s="15"/>
      <c r="P75" s="15"/>
      <c r="Q75" s="15" t="s">
        <v>54</v>
      </c>
      <c r="R75" s="15"/>
      <c r="S75" s="15"/>
      <c r="T75" s="15" t="s">
        <v>54</v>
      </c>
      <c r="U75" s="15"/>
      <c r="V75" s="16"/>
      <c r="W75" s="17" t="str">
        <f t="shared" si="6"/>
        <v>OK</v>
      </c>
    </row>
    <row r="76" spans="1:23" ht="20.100000000000001" customHeight="1" x14ac:dyDescent="0.25">
      <c r="A76" s="12" t="s">
        <v>59</v>
      </c>
      <c r="B76" s="13" t="s">
        <v>53</v>
      </c>
      <c r="C76" s="14">
        <v>2</v>
      </c>
      <c r="D76" s="14">
        <v>3</v>
      </c>
      <c r="E76" s="14">
        <f t="shared" si="5"/>
        <v>1</v>
      </c>
      <c r="F76" s="15"/>
      <c r="G76" s="15" t="s">
        <v>54</v>
      </c>
      <c r="H76" s="15"/>
      <c r="I76" s="15"/>
      <c r="J76" s="15"/>
      <c r="K76" s="15"/>
      <c r="L76" s="15" t="s">
        <v>54</v>
      </c>
      <c r="M76" s="15"/>
      <c r="N76" s="15" t="s">
        <v>54</v>
      </c>
      <c r="O76" s="15"/>
      <c r="P76" s="15"/>
      <c r="Q76" s="15" t="s">
        <v>54</v>
      </c>
      <c r="R76" s="15"/>
      <c r="S76" s="15"/>
      <c r="T76" s="15" t="s">
        <v>54</v>
      </c>
      <c r="U76" s="15"/>
      <c r="V76" s="16"/>
      <c r="W76" s="17" t="str">
        <f t="shared" si="6"/>
        <v>OK</v>
      </c>
    </row>
    <row r="77" spans="1:23" ht="20.100000000000001" customHeight="1" x14ac:dyDescent="0.25">
      <c r="A77" s="12" t="s">
        <v>59</v>
      </c>
      <c r="B77" s="13" t="s">
        <v>53</v>
      </c>
      <c r="C77" s="14">
        <v>3</v>
      </c>
      <c r="D77" s="14">
        <v>4</v>
      </c>
      <c r="E77" s="14">
        <f t="shared" si="5"/>
        <v>1</v>
      </c>
      <c r="F77" s="15"/>
      <c r="G77" s="15" t="s">
        <v>54</v>
      </c>
      <c r="H77" s="15"/>
      <c r="I77" s="15"/>
      <c r="J77" s="15"/>
      <c r="K77" s="15"/>
      <c r="L77" s="15" t="s">
        <v>54</v>
      </c>
      <c r="M77" s="15"/>
      <c r="N77" s="15" t="s">
        <v>54</v>
      </c>
      <c r="O77" s="15"/>
      <c r="P77" s="15"/>
      <c r="Q77" s="15" t="s">
        <v>54</v>
      </c>
      <c r="R77" s="15"/>
      <c r="S77" s="15"/>
      <c r="T77" s="15" t="s">
        <v>54</v>
      </c>
      <c r="U77" s="15"/>
      <c r="V77" s="16"/>
      <c r="W77" s="17" t="str">
        <f t="shared" si="6"/>
        <v>OK</v>
      </c>
    </row>
    <row r="78" spans="1:23" ht="20.100000000000001" customHeight="1" x14ac:dyDescent="0.25">
      <c r="A78" s="12" t="s">
        <v>59</v>
      </c>
      <c r="B78" s="13" t="s">
        <v>53</v>
      </c>
      <c r="C78" s="14">
        <v>4</v>
      </c>
      <c r="D78" s="14">
        <v>5</v>
      </c>
      <c r="E78" s="14">
        <f t="shared" si="5"/>
        <v>1</v>
      </c>
      <c r="F78" s="15"/>
      <c r="G78" s="15" t="s">
        <v>54</v>
      </c>
      <c r="H78" s="15"/>
      <c r="I78" s="15"/>
      <c r="J78" s="15"/>
      <c r="K78" s="15"/>
      <c r="L78" s="15" t="s">
        <v>54</v>
      </c>
      <c r="M78" s="15"/>
      <c r="N78" s="15" t="s">
        <v>54</v>
      </c>
      <c r="O78" s="15"/>
      <c r="P78" s="15"/>
      <c r="Q78" s="15" t="s">
        <v>54</v>
      </c>
      <c r="R78" s="15"/>
      <c r="S78" s="15"/>
      <c r="T78" s="15" t="s">
        <v>54</v>
      </c>
      <c r="U78" s="15"/>
      <c r="V78" s="16"/>
      <c r="W78" s="17" t="str">
        <f t="shared" si="6"/>
        <v>OK</v>
      </c>
    </row>
    <row r="79" spans="1:23" ht="20.100000000000001" customHeight="1" x14ac:dyDescent="0.25">
      <c r="A79" s="12" t="s">
        <v>59</v>
      </c>
      <c r="B79" s="13" t="s">
        <v>53</v>
      </c>
      <c r="C79" s="14">
        <v>5</v>
      </c>
      <c r="D79" s="14">
        <v>6</v>
      </c>
      <c r="E79" s="14">
        <f t="shared" si="5"/>
        <v>1</v>
      </c>
      <c r="F79" s="15"/>
      <c r="G79" s="15" t="s">
        <v>54</v>
      </c>
      <c r="H79" s="15"/>
      <c r="I79" s="15"/>
      <c r="J79" s="15"/>
      <c r="K79" s="15"/>
      <c r="L79" s="15" t="s">
        <v>54</v>
      </c>
      <c r="M79" s="15"/>
      <c r="N79" s="15" t="s">
        <v>54</v>
      </c>
      <c r="O79" s="15"/>
      <c r="P79" s="15"/>
      <c r="Q79" s="15" t="s">
        <v>54</v>
      </c>
      <c r="R79" s="15"/>
      <c r="S79" s="15"/>
      <c r="T79" s="15" t="s">
        <v>54</v>
      </c>
      <c r="U79" s="15"/>
      <c r="V79" s="16"/>
      <c r="W79" s="17" t="str">
        <f t="shared" si="6"/>
        <v>OK</v>
      </c>
    </row>
    <row r="80" spans="1:23" ht="20.100000000000001" customHeight="1" x14ac:dyDescent="0.25">
      <c r="A80" s="12" t="s">
        <v>59</v>
      </c>
      <c r="B80" s="13" t="s">
        <v>53</v>
      </c>
      <c r="C80" s="14">
        <v>6</v>
      </c>
      <c r="D80" s="14">
        <v>7</v>
      </c>
      <c r="E80" s="14">
        <f t="shared" si="5"/>
        <v>1</v>
      </c>
      <c r="F80" s="15"/>
      <c r="G80" s="15" t="s">
        <v>54</v>
      </c>
      <c r="H80" s="15"/>
      <c r="I80" s="15"/>
      <c r="J80" s="15"/>
      <c r="K80" s="15"/>
      <c r="L80" s="15" t="s">
        <v>54</v>
      </c>
      <c r="M80" s="15"/>
      <c r="N80" s="15" t="s">
        <v>54</v>
      </c>
      <c r="O80" s="15"/>
      <c r="P80" s="15"/>
      <c r="Q80" s="15" t="s">
        <v>54</v>
      </c>
      <c r="R80" s="15"/>
      <c r="S80" s="15"/>
      <c r="T80" s="15" t="s">
        <v>54</v>
      </c>
      <c r="U80" s="15"/>
      <c r="V80" s="16"/>
      <c r="W80" s="17" t="str">
        <f t="shared" si="6"/>
        <v>OK</v>
      </c>
    </row>
    <row r="81" spans="1:23" ht="20.100000000000001" customHeight="1" x14ac:dyDescent="0.25">
      <c r="A81" s="12" t="s">
        <v>59</v>
      </c>
      <c r="B81" s="13" t="s">
        <v>53</v>
      </c>
      <c r="C81" s="14">
        <v>7</v>
      </c>
      <c r="D81" s="14">
        <v>8</v>
      </c>
      <c r="E81" s="14">
        <f t="shared" si="5"/>
        <v>1</v>
      </c>
      <c r="F81" s="15"/>
      <c r="G81" s="15" t="s">
        <v>54</v>
      </c>
      <c r="H81" s="15"/>
      <c r="I81" s="15"/>
      <c r="J81" s="15"/>
      <c r="K81" s="15"/>
      <c r="L81" s="15" t="s">
        <v>54</v>
      </c>
      <c r="M81" s="15"/>
      <c r="N81" s="15" t="s">
        <v>54</v>
      </c>
      <c r="O81" s="15"/>
      <c r="P81" s="15"/>
      <c r="Q81" s="15" t="s">
        <v>54</v>
      </c>
      <c r="R81" s="15"/>
      <c r="S81" s="15"/>
      <c r="T81" s="15" t="s">
        <v>54</v>
      </c>
      <c r="U81" s="15"/>
      <c r="V81" s="16"/>
      <c r="W81" s="17" t="str">
        <f t="shared" si="6"/>
        <v>OK</v>
      </c>
    </row>
    <row r="82" spans="1:23" ht="20.100000000000001" customHeight="1" x14ac:dyDescent="0.25">
      <c r="A82" s="12" t="s">
        <v>59</v>
      </c>
      <c r="B82" s="13" t="s">
        <v>53</v>
      </c>
      <c r="C82" s="14">
        <v>8</v>
      </c>
      <c r="D82" s="14">
        <v>9</v>
      </c>
      <c r="E82" s="14">
        <f t="shared" si="5"/>
        <v>1</v>
      </c>
      <c r="F82" s="15"/>
      <c r="G82" s="15" t="s">
        <v>54</v>
      </c>
      <c r="H82" s="15"/>
      <c r="I82" s="15"/>
      <c r="J82" s="15"/>
      <c r="K82" s="15"/>
      <c r="L82" s="15" t="s">
        <v>54</v>
      </c>
      <c r="M82" s="15"/>
      <c r="N82" s="15" t="s">
        <v>54</v>
      </c>
      <c r="O82" s="15"/>
      <c r="P82" s="15"/>
      <c r="Q82" s="15" t="s">
        <v>54</v>
      </c>
      <c r="R82" s="15"/>
      <c r="S82" s="15"/>
      <c r="T82" s="15" t="s">
        <v>54</v>
      </c>
      <c r="U82" s="15"/>
      <c r="V82" s="16"/>
      <c r="W82" s="17" t="str">
        <f t="shared" si="6"/>
        <v>OK</v>
      </c>
    </row>
    <row r="83" spans="1:23" ht="20.100000000000001" customHeight="1" x14ac:dyDescent="0.25">
      <c r="A83" s="18" t="s">
        <v>59</v>
      </c>
      <c r="B83" s="19" t="s">
        <v>53</v>
      </c>
      <c r="C83" s="20">
        <v>9</v>
      </c>
      <c r="D83" s="20">
        <v>9.4908128442200006</v>
      </c>
      <c r="E83" s="20">
        <f t="shared" si="5"/>
        <v>0.4908128442200006</v>
      </c>
      <c r="F83" s="21"/>
      <c r="G83" s="21" t="s">
        <v>54</v>
      </c>
      <c r="H83" s="21"/>
      <c r="I83" s="21"/>
      <c r="J83" s="21"/>
      <c r="K83" s="21"/>
      <c r="L83" s="21" t="s">
        <v>54</v>
      </c>
      <c r="M83" s="21"/>
      <c r="N83" s="21" t="s">
        <v>54</v>
      </c>
      <c r="O83" s="21"/>
      <c r="P83" s="21"/>
      <c r="Q83" s="21" t="s">
        <v>54</v>
      </c>
      <c r="R83" s="21"/>
      <c r="S83" s="21"/>
      <c r="T83" s="21" t="s">
        <v>54</v>
      </c>
      <c r="U83" s="21"/>
      <c r="V83" s="22"/>
      <c r="W83" s="23" t="str">
        <f t="shared" si="6"/>
        <v>OK</v>
      </c>
    </row>
    <row r="84" spans="1:23" ht="15.95" customHeight="1" x14ac:dyDescent="0.25">
      <c r="A84" s="59" t="s">
        <v>60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4"/>
      <c r="W84" s="4"/>
    </row>
    <row r="85" spans="1:23" ht="20.100000000000001" customHeight="1" x14ac:dyDescent="0.25">
      <c r="A85" s="12" t="s">
        <v>61</v>
      </c>
      <c r="B85" s="13" t="s">
        <v>53</v>
      </c>
      <c r="C85" s="14">
        <v>0</v>
      </c>
      <c r="D85" s="14">
        <v>1</v>
      </c>
      <c r="E85" s="14">
        <f t="shared" ref="E85:E117" si="7">D85-C85</f>
        <v>1</v>
      </c>
      <c r="F85" s="15"/>
      <c r="G85" s="15"/>
      <c r="H85" s="15" t="s">
        <v>54</v>
      </c>
      <c r="I85" s="15"/>
      <c r="J85" s="15"/>
      <c r="K85" s="15"/>
      <c r="L85" s="15" t="s">
        <v>54</v>
      </c>
      <c r="M85" s="15"/>
      <c r="N85" s="15" t="s">
        <v>54</v>
      </c>
      <c r="O85" s="15"/>
      <c r="P85" s="15"/>
      <c r="Q85" s="15" t="s">
        <v>54</v>
      </c>
      <c r="R85" s="15"/>
      <c r="S85" s="15"/>
      <c r="T85" s="15" t="s">
        <v>54</v>
      </c>
      <c r="U85" s="15"/>
      <c r="V85" s="16"/>
      <c r="W85" s="17" t="str">
        <f t="shared" ref="W85:W117" si="8">IF(COUNTA(F85:U85)=0,"— não preenchido",IF(COUNTIF(F85:J85,"X")&lt;&gt;1,"FALTA/DUPLA: CONDIÇÃO DO PAVIMENTO",IF(COUNTIF(K85:L85,"X")&lt;&gt;1,"FALTA/DUPLA: VEGETAÇÃO",IF(COUNTIF(M85:O85,"X")&lt;&gt;1,"FALTA/DUPLA: ELEM. DE DRENAGEM",IF(COUNTIF(P85:R85,"X")&lt;&gt;1,"FALTA/DUPLA: SIN. HORIZ.",IF(COUNTIF(S85:U85,"X")&lt;&gt;1,"FALTA/DUPLA: SIN. VERTICAL","OK"))))))</f>
        <v>OK</v>
      </c>
    </row>
    <row r="86" spans="1:23" ht="20.100000000000001" customHeight="1" x14ac:dyDescent="0.25">
      <c r="A86" s="12" t="s">
        <v>61</v>
      </c>
      <c r="B86" s="13" t="s">
        <v>53</v>
      </c>
      <c r="C86" s="14">
        <v>1</v>
      </c>
      <c r="D86" s="14">
        <v>2</v>
      </c>
      <c r="E86" s="14">
        <f t="shared" si="7"/>
        <v>1</v>
      </c>
      <c r="F86" s="15"/>
      <c r="G86" s="15"/>
      <c r="H86" s="15" t="s">
        <v>54</v>
      </c>
      <c r="I86" s="15"/>
      <c r="J86" s="15"/>
      <c r="K86" s="15"/>
      <c r="L86" s="15" t="s">
        <v>54</v>
      </c>
      <c r="M86" s="15"/>
      <c r="N86" s="15" t="s">
        <v>54</v>
      </c>
      <c r="O86" s="15"/>
      <c r="P86" s="15"/>
      <c r="Q86" s="15" t="s">
        <v>54</v>
      </c>
      <c r="R86" s="15"/>
      <c r="S86" s="15"/>
      <c r="T86" s="15" t="s">
        <v>54</v>
      </c>
      <c r="U86" s="15"/>
      <c r="V86" s="16"/>
      <c r="W86" s="17" t="str">
        <f t="shared" si="8"/>
        <v>OK</v>
      </c>
    </row>
    <row r="87" spans="1:23" ht="20.100000000000001" customHeight="1" x14ac:dyDescent="0.25">
      <c r="A87" s="12" t="s">
        <v>61</v>
      </c>
      <c r="B87" s="13" t="s">
        <v>53</v>
      </c>
      <c r="C87" s="14">
        <v>2</v>
      </c>
      <c r="D87" s="14">
        <v>3</v>
      </c>
      <c r="E87" s="14">
        <f t="shared" si="7"/>
        <v>1</v>
      </c>
      <c r="F87" s="15"/>
      <c r="G87" s="15"/>
      <c r="H87" s="15" t="s">
        <v>54</v>
      </c>
      <c r="I87" s="15"/>
      <c r="J87" s="15"/>
      <c r="K87" s="15"/>
      <c r="L87" s="15" t="s">
        <v>54</v>
      </c>
      <c r="M87" s="15"/>
      <c r="N87" s="15" t="s">
        <v>54</v>
      </c>
      <c r="O87" s="15"/>
      <c r="P87" s="15"/>
      <c r="Q87" s="15" t="s">
        <v>54</v>
      </c>
      <c r="R87" s="15"/>
      <c r="S87" s="15"/>
      <c r="T87" s="15" t="s">
        <v>54</v>
      </c>
      <c r="U87" s="15"/>
      <c r="V87" s="16"/>
      <c r="W87" s="17" t="str">
        <f t="shared" si="8"/>
        <v>OK</v>
      </c>
    </row>
    <row r="88" spans="1:23" ht="20.100000000000001" customHeight="1" x14ac:dyDescent="0.25">
      <c r="A88" s="12" t="s">
        <v>61</v>
      </c>
      <c r="B88" s="13" t="s">
        <v>53</v>
      </c>
      <c r="C88" s="14">
        <v>3</v>
      </c>
      <c r="D88" s="14">
        <v>4</v>
      </c>
      <c r="E88" s="14">
        <f t="shared" si="7"/>
        <v>1</v>
      </c>
      <c r="F88" s="15"/>
      <c r="G88" s="15"/>
      <c r="H88" s="15" t="s">
        <v>54</v>
      </c>
      <c r="I88" s="15"/>
      <c r="J88" s="15"/>
      <c r="K88" s="15"/>
      <c r="L88" s="15" t="s">
        <v>54</v>
      </c>
      <c r="M88" s="15"/>
      <c r="N88" s="15" t="s">
        <v>54</v>
      </c>
      <c r="O88" s="15"/>
      <c r="P88" s="15"/>
      <c r="Q88" s="15" t="s">
        <v>54</v>
      </c>
      <c r="R88" s="15"/>
      <c r="S88" s="15"/>
      <c r="T88" s="15" t="s">
        <v>54</v>
      </c>
      <c r="U88" s="15"/>
      <c r="V88" s="16"/>
      <c r="W88" s="17" t="str">
        <f t="shared" si="8"/>
        <v>OK</v>
      </c>
    </row>
    <row r="89" spans="1:23" ht="20.100000000000001" customHeight="1" x14ac:dyDescent="0.25">
      <c r="A89" s="12" t="s">
        <v>61</v>
      </c>
      <c r="B89" s="13" t="s">
        <v>53</v>
      </c>
      <c r="C89" s="14">
        <v>4</v>
      </c>
      <c r="D89" s="14">
        <v>5</v>
      </c>
      <c r="E89" s="14">
        <f t="shared" si="7"/>
        <v>1</v>
      </c>
      <c r="F89" s="15"/>
      <c r="G89" s="15"/>
      <c r="H89" s="15" t="s">
        <v>54</v>
      </c>
      <c r="I89" s="15"/>
      <c r="J89" s="15"/>
      <c r="K89" s="15"/>
      <c r="L89" s="15" t="s">
        <v>54</v>
      </c>
      <c r="M89" s="15"/>
      <c r="N89" s="15" t="s">
        <v>54</v>
      </c>
      <c r="O89" s="15"/>
      <c r="P89" s="15"/>
      <c r="Q89" s="15" t="s">
        <v>54</v>
      </c>
      <c r="R89" s="15"/>
      <c r="S89" s="15"/>
      <c r="T89" s="15" t="s">
        <v>54</v>
      </c>
      <c r="U89" s="15"/>
      <c r="V89" s="16"/>
      <c r="W89" s="17" t="str">
        <f t="shared" si="8"/>
        <v>OK</v>
      </c>
    </row>
    <row r="90" spans="1:23" ht="20.100000000000001" customHeight="1" x14ac:dyDescent="0.25">
      <c r="A90" s="12" t="s">
        <v>61</v>
      </c>
      <c r="B90" s="13" t="s">
        <v>53</v>
      </c>
      <c r="C90" s="14">
        <v>5</v>
      </c>
      <c r="D90" s="14">
        <v>6</v>
      </c>
      <c r="E90" s="14">
        <f t="shared" si="7"/>
        <v>1</v>
      </c>
      <c r="F90" s="15"/>
      <c r="G90" s="15" t="s">
        <v>54</v>
      </c>
      <c r="H90" s="15"/>
      <c r="I90" s="15"/>
      <c r="J90" s="15"/>
      <c r="K90" s="15"/>
      <c r="L90" s="15" t="s">
        <v>54</v>
      </c>
      <c r="M90" s="15"/>
      <c r="N90" s="15" t="s">
        <v>54</v>
      </c>
      <c r="O90" s="15"/>
      <c r="P90" s="15"/>
      <c r="Q90" s="15" t="s">
        <v>54</v>
      </c>
      <c r="R90" s="15"/>
      <c r="S90" s="15"/>
      <c r="T90" s="15" t="s">
        <v>54</v>
      </c>
      <c r="U90" s="15"/>
      <c r="V90" s="16"/>
      <c r="W90" s="17" t="str">
        <f t="shared" si="8"/>
        <v>OK</v>
      </c>
    </row>
    <row r="91" spans="1:23" ht="20.100000000000001" customHeight="1" x14ac:dyDescent="0.25">
      <c r="A91" s="12" t="s">
        <v>61</v>
      </c>
      <c r="B91" s="13" t="s">
        <v>53</v>
      </c>
      <c r="C91" s="14">
        <v>6</v>
      </c>
      <c r="D91" s="14">
        <v>7</v>
      </c>
      <c r="E91" s="14">
        <f t="shared" si="7"/>
        <v>1</v>
      </c>
      <c r="F91" s="15"/>
      <c r="G91" s="15" t="s">
        <v>54</v>
      </c>
      <c r="H91" s="15"/>
      <c r="I91" s="15"/>
      <c r="J91" s="15"/>
      <c r="K91" s="15"/>
      <c r="L91" s="15" t="s">
        <v>54</v>
      </c>
      <c r="M91" s="15"/>
      <c r="N91" s="15" t="s">
        <v>54</v>
      </c>
      <c r="O91" s="15"/>
      <c r="P91" s="15"/>
      <c r="Q91" s="15" t="s">
        <v>54</v>
      </c>
      <c r="R91" s="15"/>
      <c r="S91" s="15"/>
      <c r="T91" s="15" t="s">
        <v>54</v>
      </c>
      <c r="U91" s="15"/>
      <c r="V91" s="16"/>
      <c r="W91" s="17" t="str">
        <f t="shared" si="8"/>
        <v>OK</v>
      </c>
    </row>
    <row r="92" spans="1:23" ht="20.100000000000001" customHeight="1" x14ac:dyDescent="0.25">
      <c r="A92" s="12" t="s">
        <v>61</v>
      </c>
      <c r="B92" s="13" t="s">
        <v>53</v>
      </c>
      <c r="C92" s="14">
        <v>7</v>
      </c>
      <c r="D92" s="14">
        <v>8</v>
      </c>
      <c r="E92" s="14">
        <f t="shared" si="7"/>
        <v>1</v>
      </c>
      <c r="F92" s="15"/>
      <c r="G92" s="15"/>
      <c r="H92" s="15" t="s">
        <v>54</v>
      </c>
      <c r="I92" s="15"/>
      <c r="J92" s="15"/>
      <c r="K92" s="15"/>
      <c r="L92" s="15" t="s">
        <v>54</v>
      </c>
      <c r="M92" s="15"/>
      <c r="N92" s="15" t="s">
        <v>54</v>
      </c>
      <c r="O92" s="15"/>
      <c r="P92" s="15"/>
      <c r="Q92" s="15" t="s">
        <v>54</v>
      </c>
      <c r="R92" s="15"/>
      <c r="S92" s="15"/>
      <c r="T92" s="15" t="s">
        <v>54</v>
      </c>
      <c r="U92" s="15"/>
      <c r="V92" s="16"/>
      <c r="W92" s="17" t="str">
        <f t="shared" si="8"/>
        <v>OK</v>
      </c>
    </row>
    <row r="93" spans="1:23" ht="20.100000000000001" customHeight="1" x14ac:dyDescent="0.25">
      <c r="A93" s="12" t="s">
        <v>61</v>
      </c>
      <c r="B93" s="13" t="s">
        <v>53</v>
      </c>
      <c r="C93" s="14">
        <v>8</v>
      </c>
      <c r="D93" s="14">
        <v>9</v>
      </c>
      <c r="E93" s="14">
        <f t="shared" si="7"/>
        <v>1</v>
      </c>
      <c r="F93" s="15"/>
      <c r="G93" s="15" t="s">
        <v>54</v>
      </c>
      <c r="H93" s="15"/>
      <c r="I93" s="15"/>
      <c r="J93" s="15"/>
      <c r="K93" s="15" t="s">
        <v>54</v>
      </c>
      <c r="L93" s="15"/>
      <c r="M93" s="15"/>
      <c r="N93" s="15" t="s">
        <v>54</v>
      </c>
      <c r="O93" s="15"/>
      <c r="P93" s="15"/>
      <c r="Q93" s="15" t="s">
        <v>54</v>
      </c>
      <c r="R93" s="15"/>
      <c r="S93" s="15"/>
      <c r="T93" s="15" t="s">
        <v>54</v>
      </c>
      <c r="U93" s="15"/>
      <c r="V93" s="16"/>
      <c r="W93" s="17" t="str">
        <f t="shared" si="8"/>
        <v>OK</v>
      </c>
    </row>
    <row r="94" spans="1:23" ht="20.100000000000001" customHeight="1" x14ac:dyDescent="0.25">
      <c r="A94" s="12" t="s">
        <v>61</v>
      </c>
      <c r="B94" s="13" t="s">
        <v>53</v>
      </c>
      <c r="C94" s="14">
        <v>9</v>
      </c>
      <c r="D94" s="14">
        <v>10</v>
      </c>
      <c r="E94" s="14">
        <f t="shared" si="7"/>
        <v>1</v>
      </c>
      <c r="F94" s="15"/>
      <c r="G94" s="15"/>
      <c r="H94" s="15" t="s">
        <v>54</v>
      </c>
      <c r="I94" s="15"/>
      <c r="J94" s="15"/>
      <c r="K94" s="15" t="s">
        <v>54</v>
      </c>
      <c r="L94" s="15"/>
      <c r="M94" s="15"/>
      <c r="N94" s="15" t="s">
        <v>54</v>
      </c>
      <c r="O94" s="15"/>
      <c r="P94" s="15"/>
      <c r="Q94" s="15" t="s">
        <v>54</v>
      </c>
      <c r="R94" s="15"/>
      <c r="S94" s="15"/>
      <c r="T94" s="15" t="s">
        <v>54</v>
      </c>
      <c r="U94" s="15"/>
      <c r="V94" s="16"/>
      <c r="W94" s="17" t="str">
        <f t="shared" si="8"/>
        <v>OK</v>
      </c>
    </row>
    <row r="95" spans="1:23" ht="20.100000000000001" customHeight="1" x14ac:dyDescent="0.25">
      <c r="A95" s="12" t="s">
        <v>61</v>
      </c>
      <c r="B95" s="13" t="s">
        <v>53</v>
      </c>
      <c r="C95" s="14">
        <v>10</v>
      </c>
      <c r="D95" s="14">
        <v>11</v>
      </c>
      <c r="E95" s="14">
        <f t="shared" si="7"/>
        <v>1</v>
      </c>
      <c r="F95" s="15"/>
      <c r="G95" s="15"/>
      <c r="H95" s="15" t="s">
        <v>54</v>
      </c>
      <c r="I95" s="15"/>
      <c r="J95" s="15"/>
      <c r="K95" s="15" t="s">
        <v>54</v>
      </c>
      <c r="L95" s="15"/>
      <c r="M95" s="15"/>
      <c r="N95" s="15" t="s">
        <v>54</v>
      </c>
      <c r="O95" s="15"/>
      <c r="P95" s="15"/>
      <c r="Q95" s="15" t="s">
        <v>54</v>
      </c>
      <c r="R95" s="15"/>
      <c r="S95" s="15"/>
      <c r="T95" s="15" t="s">
        <v>54</v>
      </c>
      <c r="U95" s="15"/>
      <c r="V95" s="16"/>
      <c r="W95" s="17" t="str">
        <f t="shared" si="8"/>
        <v>OK</v>
      </c>
    </row>
    <row r="96" spans="1:23" ht="20.100000000000001" customHeight="1" x14ac:dyDescent="0.25">
      <c r="A96" s="12" t="s">
        <v>61</v>
      </c>
      <c r="B96" s="13" t="s">
        <v>53</v>
      </c>
      <c r="C96" s="14">
        <v>11</v>
      </c>
      <c r="D96" s="14">
        <v>12</v>
      </c>
      <c r="E96" s="14">
        <f t="shared" si="7"/>
        <v>1</v>
      </c>
      <c r="F96" s="15"/>
      <c r="G96" s="15" t="s">
        <v>54</v>
      </c>
      <c r="H96" s="15"/>
      <c r="I96" s="15"/>
      <c r="J96" s="15"/>
      <c r="K96" s="15" t="s">
        <v>54</v>
      </c>
      <c r="L96" s="15"/>
      <c r="M96" s="15"/>
      <c r="N96" s="15" t="s">
        <v>54</v>
      </c>
      <c r="O96" s="15"/>
      <c r="P96" s="15"/>
      <c r="Q96" s="15" t="s">
        <v>54</v>
      </c>
      <c r="R96" s="15"/>
      <c r="S96" s="15"/>
      <c r="T96" s="15" t="s">
        <v>54</v>
      </c>
      <c r="U96" s="15"/>
      <c r="V96" s="16"/>
      <c r="W96" s="17" t="str">
        <f t="shared" si="8"/>
        <v>OK</v>
      </c>
    </row>
    <row r="97" spans="1:23" ht="20.100000000000001" customHeight="1" x14ac:dyDescent="0.25">
      <c r="A97" s="12" t="s">
        <v>61</v>
      </c>
      <c r="B97" s="13" t="s">
        <v>53</v>
      </c>
      <c r="C97" s="14">
        <v>12</v>
      </c>
      <c r="D97" s="14">
        <v>13</v>
      </c>
      <c r="E97" s="14">
        <f t="shared" si="7"/>
        <v>1</v>
      </c>
      <c r="F97" s="15"/>
      <c r="G97" s="15"/>
      <c r="H97" s="15" t="s">
        <v>54</v>
      </c>
      <c r="I97" s="15"/>
      <c r="J97" s="15"/>
      <c r="K97" s="15" t="s">
        <v>54</v>
      </c>
      <c r="L97" s="15"/>
      <c r="M97" s="15"/>
      <c r="N97" s="15" t="s">
        <v>54</v>
      </c>
      <c r="O97" s="15"/>
      <c r="P97" s="15"/>
      <c r="Q97" s="15" t="s">
        <v>54</v>
      </c>
      <c r="R97" s="15"/>
      <c r="S97" s="15"/>
      <c r="T97" s="15" t="s">
        <v>54</v>
      </c>
      <c r="U97" s="15"/>
      <c r="V97" s="16"/>
      <c r="W97" s="17" t="str">
        <f t="shared" si="8"/>
        <v>OK</v>
      </c>
    </row>
    <row r="98" spans="1:23" ht="20.100000000000001" customHeight="1" x14ac:dyDescent="0.25">
      <c r="A98" s="12" t="s">
        <v>61</v>
      </c>
      <c r="B98" s="13" t="s">
        <v>53</v>
      </c>
      <c r="C98" s="14">
        <v>13</v>
      </c>
      <c r="D98" s="14">
        <v>14</v>
      </c>
      <c r="E98" s="14">
        <f t="shared" si="7"/>
        <v>1</v>
      </c>
      <c r="F98" s="15"/>
      <c r="G98" s="15"/>
      <c r="H98" s="15" t="s">
        <v>54</v>
      </c>
      <c r="I98" s="15"/>
      <c r="J98" s="15"/>
      <c r="K98" s="15" t="s">
        <v>54</v>
      </c>
      <c r="L98" s="15"/>
      <c r="M98" s="15"/>
      <c r="N98" s="15" t="s">
        <v>54</v>
      </c>
      <c r="O98" s="15"/>
      <c r="P98" s="15"/>
      <c r="Q98" s="15" t="s">
        <v>54</v>
      </c>
      <c r="R98" s="15"/>
      <c r="S98" s="15"/>
      <c r="T98" s="15" t="s">
        <v>54</v>
      </c>
      <c r="U98" s="15"/>
      <c r="V98" s="16"/>
      <c r="W98" s="17" t="str">
        <f t="shared" si="8"/>
        <v>OK</v>
      </c>
    </row>
    <row r="99" spans="1:23" ht="20.100000000000001" customHeight="1" x14ac:dyDescent="0.25">
      <c r="A99" s="12" t="s">
        <v>61</v>
      </c>
      <c r="B99" s="13" t="s">
        <v>53</v>
      </c>
      <c r="C99" s="14">
        <v>14</v>
      </c>
      <c r="D99" s="14">
        <v>15</v>
      </c>
      <c r="E99" s="14">
        <f t="shared" si="7"/>
        <v>1</v>
      </c>
      <c r="F99" s="15"/>
      <c r="G99" s="15"/>
      <c r="H99" s="15" t="s">
        <v>54</v>
      </c>
      <c r="I99" s="15"/>
      <c r="J99" s="15"/>
      <c r="K99" s="15" t="s">
        <v>54</v>
      </c>
      <c r="L99" s="15"/>
      <c r="M99" s="15"/>
      <c r="N99" s="15" t="s">
        <v>54</v>
      </c>
      <c r="O99" s="15"/>
      <c r="P99" s="15"/>
      <c r="Q99" s="15" t="s">
        <v>54</v>
      </c>
      <c r="R99" s="15"/>
      <c r="S99" s="15"/>
      <c r="T99" s="15" t="s">
        <v>54</v>
      </c>
      <c r="U99" s="15"/>
      <c r="V99" s="16"/>
      <c r="W99" s="17" t="str">
        <f t="shared" si="8"/>
        <v>OK</v>
      </c>
    </row>
    <row r="100" spans="1:23" ht="20.100000000000001" customHeight="1" x14ac:dyDescent="0.25">
      <c r="A100" s="12" t="s">
        <v>61</v>
      </c>
      <c r="B100" s="13" t="s">
        <v>53</v>
      </c>
      <c r="C100" s="14">
        <v>15</v>
      </c>
      <c r="D100" s="14">
        <v>16</v>
      </c>
      <c r="E100" s="14">
        <f t="shared" si="7"/>
        <v>1</v>
      </c>
      <c r="F100" s="15"/>
      <c r="G100" s="15" t="s">
        <v>54</v>
      </c>
      <c r="H100" s="15"/>
      <c r="I100" s="15"/>
      <c r="J100" s="15"/>
      <c r="K100" s="15" t="s">
        <v>54</v>
      </c>
      <c r="L100" s="15"/>
      <c r="M100" s="15"/>
      <c r="N100" s="15" t="s">
        <v>54</v>
      </c>
      <c r="O100" s="15"/>
      <c r="P100" s="15"/>
      <c r="Q100" s="15" t="s">
        <v>54</v>
      </c>
      <c r="R100" s="15"/>
      <c r="S100" s="15"/>
      <c r="T100" s="15" t="s">
        <v>54</v>
      </c>
      <c r="U100" s="15"/>
      <c r="V100" s="16"/>
      <c r="W100" s="17" t="str">
        <f t="shared" si="8"/>
        <v>OK</v>
      </c>
    </row>
    <row r="101" spans="1:23" ht="20.100000000000001" customHeight="1" x14ac:dyDescent="0.25">
      <c r="A101" s="12" t="s">
        <v>61</v>
      </c>
      <c r="B101" s="13" t="s">
        <v>53</v>
      </c>
      <c r="C101" s="14">
        <v>16</v>
      </c>
      <c r="D101" s="14">
        <v>17</v>
      </c>
      <c r="E101" s="14">
        <f t="shared" si="7"/>
        <v>1</v>
      </c>
      <c r="F101" s="15"/>
      <c r="G101" s="15" t="s">
        <v>54</v>
      </c>
      <c r="H101" s="15"/>
      <c r="I101" s="15"/>
      <c r="J101" s="15"/>
      <c r="K101" s="15" t="s">
        <v>54</v>
      </c>
      <c r="L101" s="15"/>
      <c r="M101" s="15"/>
      <c r="N101" s="15" t="s">
        <v>54</v>
      </c>
      <c r="O101" s="15"/>
      <c r="P101" s="15"/>
      <c r="Q101" s="15" t="s">
        <v>54</v>
      </c>
      <c r="R101" s="15"/>
      <c r="S101" s="15"/>
      <c r="T101" s="15" t="s">
        <v>54</v>
      </c>
      <c r="U101" s="15"/>
      <c r="V101" s="16"/>
      <c r="W101" s="17" t="str">
        <f t="shared" si="8"/>
        <v>OK</v>
      </c>
    </row>
    <row r="102" spans="1:23" ht="20.100000000000001" customHeight="1" x14ac:dyDescent="0.25">
      <c r="A102" s="12" t="s">
        <v>61</v>
      </c>
      <c r="B102" s="13" t="s">
        <v>53</v>
      </c>
      <c r="C102" s="14">
        <v>17</v>
      </c>
      <c r="D102" s="14">
        <v>18</v>
      </c>
      <c r="E102" s="14">
        <f t="shared" si="7"/>
        <v>1</v>
      </c>
      <c r="F102" s="15"/>
      <c r="G102" s="15" t="s">
        <v>54</v>
      </c>
      <c r="H102" s="15"/>
      <c r="I102" s="15"/>
      <c r="J102" s="15"/>
      <c r="K102" s="15" t="s">
        <v>54</v>
      </c>
      <c r="L102" s="15"/>
      <c r="M102" s="15"/>
      <c r="N102" s="15" t="s">
        <v>54</v>
      </c>
      <c r="O102" s="15"/>
      <c r="P102" s="15"/>
      <c r="Q102" s="15" t="s">
        <v>54</v>
      </c>
      <c r="R102" s="15"/>
      <c r="S102" s="15"/>
      <c r="T102" s="15" t="s">
        <v>54</v>
      </c>
      <c r="U102" s="15"/>
      <c r="V102" s="16"/>
      <c r="W102" s="17" t="str">
        <f t="shared" si="8"/>
        <v>OK</v>
      </c>
    </row>
    <row r="103" spans="1:23" ht="20.100000000000001" customHeight="1" x14ac:dyDescent="0.25">
      <c r="A103" s="12" t="s">
        <v>61</v>
      </c>
      <c r="B103" s="13" t="s">
        <v>53</v>
      </c>
      <c r="C103" s="14">
        <v>18</v>
      </c>
      <c r="D103" s="14">
        <v>19</v>
      </c>
      <c r="E103" s="14">
        <f t="shared" si="7"/>
        <v>1</v>
      </c>
      <c r="F103" s="15"/>
      <c r="G103" s="15" t="s">
        <v>54</v>
      </c>
      <c r="H103" s="15"/>
      <c r="I103" s="15"/>
      <c r="J103" s="15"/>
      <c r="K103" s="15" t="s">
        <v>54</v>
      </c>
      <c r="L103" s="15"/>
      <c r="M103" s="15"/>
      <c r="N103" s="15" t="s">
        <v>54</v>
      </c>
      <c r="O103" s="15"/>
      <c r="P103" s="15"/>
      <c r="Q103" s="15" t="s">
        <v>54</v>
      </c>
      <c r="R103" s="15"/>
      <c r="S103" s="15"/>
      <c r="T103" s="15" t="s">
        <v>54</v>
      </c>
      <c r="U103" s="15"/>
      <c r="V103" s="16"/>
      <c r="W103" s="17" t="str">
        <f t="shared" si="8"/>
        <v>OK</v>
      </c>
    </row>
    <row r="104" spans="1:23" ht="20.100000000000001" customHeight="1" x14ac:dyDescent="0.25">
      <c r="A104" s="12" t="s">
        <v>61</v>
      </c>
      <c r="B104" s="13" t="s">
        <v>53</v>
      </c>
      <c r="C104" s="14">
        <v>19</v>
      </c>
      <c r="D104" s="14">
        <v>20</v>
      </c>
      <c r="E104" s="14">
        <f t="shared" si="7"/>
        <v>1</v>
      </c>
      <c r="F104" s="15"/>
      <c r="G104" s="15" t="s">
        <v>54</v>
      </c>
      <c r="H104" s="15"/>
      <c r="I104" s="15"/>
      <c r="J104" s="15"/>
      <c r="K104" s="15" t="s">
        <v>54</v>
      </c>
      <c r="L104" s="15"/>
      <c r="M104" s="15"/>
      <c r="N104" s="15" t="s">
        <v>54</v>
      </c>
      <c r="O104" s="15"/>
      <c r="P104" s="15"/>
      <c r="Q104" s="15" t="s">
        <v>54</v>
      </c>
      <c r="R104" s="15"/>
      <c r="S104" s="15"/>
      <c r="T104" s="15" t="s">
        <v>54</v>
      </c>
      <c r="U104" s="15"/>
      <c r="V104" s="16"/>
      <c r="W104" s="17" t="str">
        <f t="shared" si="8"/>
        <v>OK</v>
      </c>
    </row>
    <row r="105" spans="1:23" ht="20.100000000000001" customHeight="1" x14ac:dyDescent="0.25">
      <c r="A105" s="12" t="s">
        <v>61</v>
      </c>
      <c r="B105" s="13" t="s">
        <v>53</v>
      </c>
      <c r="C105" s="14">
        <v>20</v>
      </c>
      <c r="D105" s="14">
        <v>21</v>
      </c>
      <c r="E105" s="14">
        <f t="shared" si="7"/>
        <v>1</v>
      </c>
      <c r="F105" s="15"/>
      <c r="G105" s="15" t="s">
        <v>54</v>
      </c>
      <c r="H105" s="15"/>
      <c r="I105" s="15"/>
      <c r="J105" s="15"/>
      <c r="K105" s="15" t="s">
        <v>54</v>
      </c>
      <c r="L105" s="15"/>
      <c r="M105" s="15"/>
      <c r="N105" s="15" t="s">
        <v>54</v>
      </c>
      <c r="O105" s="15"/>
      <c r="P105" s="15"/>
      <c r="Q105" s="15" t="s">
        <v>54</v>
      </c>
      <c r="R105" s="15"/>
      <c r="S105" s="15"/>
      <c r="T105" s="15" t="s">
        <v>54</v>
      </c>
      <c r="U105" s="15"/>
      <c r="V105" s="16"/>
      <c r="W105" s="17" t="str">
        <f t="shared" si="8"/>
        <v>OK</v>
      </c>
    </row>
    <row r="106" spans="1:23" ht="20.100000000000001" customHeight="1" x14ac:dyDescent="0.25">
      <c r="A106" s="12" t="s">
        <v>61</v>
      </c>
      <c r="B106" s="13" t="s">
        <v>53</v>
      </c>
      <c r="C106" s="14">
        <v>21</v>
      </c>
      <c r="D106" s="14">
        <v>22</v>
      </c>
      <c r="E106" s="14">
        <f t="shared" si="7"/>
        <v>1</v>
      </c>
      <c r="F106" s="15"/>
      <c r="G106" s="15"/>
      <c r="H106" s="15" t="s">
        <v>54</v>
      </c>
      <c r="I106" s="15"/>
      <c r="J106" s="15"/>
      <c r="K106" s="15" t="s">
        <v>54</v>
      </c>
      <c r="L106" s="15"/>
      <c r="M106" s="15"/>
      <c r="N106" s="15" t="s">
        <v>54</v>
      </c>
      <c r="O106" s="15"/>
      <c r="P106" s="15"/>
      <c r="Q106" s="15" t="s">
        <v>54</v>
      </c>
      <c r="R106" s="15"/>
      <c r="S106" s="15"/>
      <c r="T106" s="15" t="s">
        <v>54</v>
      </c>
      <c r="U106" s="15"/>
      <c r="V106" s="16"/>
      <c r="W106" s="17" t="str">
        <f t="shared" si="8"/>
        <v>OK</v>
      </c>
    </row>
    <row r="107" spans="1:23" ht="20.100000000000001" customHeight="1" x14ac:dyDescent="0.25">
      <c r="A107" s="12" t="s">
        <v>61</v>
      </c>
      <c r="B107" s="13" t="s">
        <v>53</v>
      </c>
      <c r="C107" s="14">
        <v>22</v>
      </c>
      <c r="D107" s="14">
        <v>23</v>
      </c>
      <c r="E107" s="14">
        <f t="shared" si="7"/>
        <v>1</v>
      </c>
      <c r="F107" s="15"/>
      <c r="G107" s="15"/>
      <c r="H107" s="15" t="s">
        <v>54</v>
      </c>
      <c r="I107" s="15"/>
      <c r="J107" s="15"/>
      <c r="K107" s="15" t="s">
        <v>54</v>
      </c>
      <c r="L107" s="15"/>
      <c r="M107" s="15"/>
      <c r="N107" s="15" t="s">
        <v>54</v>
      </c>
      <c r="O107" s="15"/>
      <c r="P107" s="15"/>
      <c r="Q107" s="15" t="s">
        <v>54</v>
      </c>
      <c r="R107" s="15"/>
      <c r="S107" s="15"/>
      <c r="T107" s="15" t="s">
        <v>54</v>
      </c>
      <c r="U107" s="15"/>
      <c r="V107" s="16"/>
      <c r="W107" s="17" t="str">
        <f t="shared" si="8"/>
        <v>OK</v>
      </c>
    </row>
    <row r="108" spans="1:23" ht="20.100000000000001" customHeight="1" x14ac:dyDescent="0.25">
      <c r="A108" s="12" t="s">
        <v>61</v>
      </c>
      <c r="B108" s="13" t="s">
        <v>53</v>
      </c>
      <c r="C108" s="14">
        <v>23</v>
      </c>
      <c r="D108" s="14">
        <v>24</v>
      </c>
      <c r="E108" s="14">
        <f t="shared" si="7"/>
        <v>1</v>
      </c>
      <c r="F108" s="15"/>
      <c r="G108" s="15"/>
      <c r="H108" s="15" t="s">
        <v>54</v>
      </c>
      <c r="I108" s="15"/>
      <c r="J108" s="15"/>
      <c r="K108" s="15" t="s">
        <v>54</v>
      </c>
      <c r="L108" s="15"/>
      <c r="M108" s="15"/>
      <c r="N108" s="15" t="s">
        <v>54</v>
      </c>
      <c r="O108" s="15"/>
      <c r="P108" s="15"/>
      <c r="Q108" s="15" t="s">
        <v>54</v>
      </c>
      <c r="R108" s="15"/>
      <c r="S108" s="15"/>
      <c r="T108" s="15" t="s">
        <v>54</v>
      </c>
      <c r="U108" s="15"/>
      <c r="V108" s="16"/>
      <c r="W108" s="17" t="str">
        <f t="shared" si="8"/>
        <v>OK</v>
      </c>
    </row>
    <row r="109" spans="1:23" ht="20.100000000000001" customHeight="1" x14ac:dyDescent="0.25">
      <c r="A109" s="12" t="s">
        <v>61</v>
      </c>
      <c r="B109" s="13" t="s">
        <v>53</v>
      </c>
      <c r="C109" s="14">
        <v>24</v>
      </c>
      <c r="D109" s="14">
        <v>25</v>
      </c>
      <c r="E109" s="14">
        <f t="shared" si="7"/>
        <v>1</v>
      </c>
      <c r="F109" s="15"/>
      <c r="G109" s="15"/>
      <c r="H109" s="15" t="s">
        <v>54</v>
      </c>
      <c r="I109" s="15"/>
      <c r="J109" s="15"/>
      <c r="K109" s="15" t="s">
        <v>54</v>
      </c>
      <c r="L109" s="15"/>
      <c r="M109" s="15"/>
      <c r="N109" s="15" t="s">
        <v>54</v>
      </c>
      <c r="O109" s="15"/>
      <c r="P109" s="15"/>
      <c r="Q109" s="15" t="s">
        <v>54</v>
      </c>
      <c r="R109" s="15"/>
      <c r="S109" s="15"/>
      <c r="T109" s="15" t="s">
        <v>54</v>
      </c>
      <c r="U109" s="15"/>
      <c r="V109" s="16"/>
      <c r="W109" s="17" t="str">
        <f t="shared" si="8"/>
        <v>OK</v>
      </c>
    </row>
    <row r="110" spans="1:23" ht="20.100000000000001" customHeight="1" x14ac:dyDescent="0.25">
      <c r="A110" s="12" t="s">
        <v>61</v>
      </c>
      <c r="B110" s="13" t="s">
        <v>53</v>
      </c>
      <c r="C110" s="14">
        <v>25</v>
      </c>
      <c r="D110" s="14">
        <v>26</v>
      </c>
      <c r="E110" s="14">
        <f t="shared" si="7"/>
        <v>1</v>
      </c>
      <c r="F110" s="15"/>
      <c r="G110" s="15"/>
      <c r="H110" s="15" t="s">
        <v>54</v>
      </c>
      <c r="I110" s="15"/>
      <c r="J110" s="15"/>
      <c r="K110" s="15" t="s">
        <v>54</v>
      </c>
      <c r="L110" s="15"/>
      <c r="M110" s="15"/>
      <c r="N110" s="15" t="s">
        <v>54</v>
      </c>
      <c r="O110" s="15"/>
      <c r="P110" s="15"/>
      <c r="Q110" s="15" t="s">
        <v>54</v>
      </c>
      <c r="R110" s="15"/>
      <c r="S110" s="15"/>
      <c r="T110" s="15" t="s">
        <v>54</v>
      </c>
      <c r="U110" s="15"/>
      <c r="V110" s="16"/>
      <c r="W110" s="17" t="str">
        <f t="shared" si="8"/>
        <v>OK</v>
      </c>
    </row>
    <row r="111" spans="1:23" ht="20.100000000000001" customHeight="1" x14ac:dyDescent="0.25">
      <c r="A111" s="12" t="s">
        <v>61</v>
      </c>
      <c r="B111" s="13" t="s">
        <v>53</v>
      </c>
      <c r="C111" s="14">
        <v>26</v>
      </c>
      <c r="D111" s="14">
        <v>27</v>
      </c>
      <c r="E111" s="14">
        <f t="shared" si="7"/>
        <v>1</v>
      </c>
      <c r="F111" s="15"/>
      <c r="G111" s="15" t="s">
        <v>54</v>
      </c>
      <c r="H111" s="15"/>
      <c r="I111" s="15"/>
      <c r="J111" s="15"/>
      <c r="K111" s="15" t="s">
        <v>54</v>
      </c>
      <c r="L111" s="15"/>
      <c r="M111" s="15"/>
      <c r="N111" s="15" t="s">
        <v>54</v>
      </c>
      <c r="O111" s="15"/>
      <c r="P111" s="15"/>
      <c r="Q111" s="15" t="s">
        <v>54</v>
      </c>
      <c r="R111" s="15"/>
      <c r="S111" s="15"/>
      <c r="T111" s="15" t="s">
        <v>54</v>
      </c>
      <c r="U111" s="15"/>
      <c r="V111" s="16"/>
      <c r="W111" s="17" t="str">
        <f t="shared" si="8"/>
        <v>OK</v>
      </c>
    </row>
    <row r="112" spans="1:23" ht="20.100000000000001" customHeight="1" x14ac:dyDescent="0.25">
      <c r="A112" s="12" t="s">
        <v>61</v>
      </c>
      <c r="B112" s="13" t="s">
        <v>53</v>
      </c>
      <c r="C112" s="14">
        <v>27</v>
      </c>
      <c r="D112" s="14">
        <v>28</v>
      </c>
      <c r="E112" s="14">
        <f t="shared" si="7"/>
        <v>1</v>
      </c>
      <c r="F112" s="15"/>
      <c r="G112" s="15" t="s">
        <v>54</v>
      </c>
      <c r="H112" s="15"/>
      <c r="I112" s="15"/>
      <c r="J112" s="15"/>
      <c r="K112" s="15" t="s">
        <v>54</v>
      </c>
      <c r="L112" s="15"/>
      <c r="M112" s="15"/>
      <c r="N112" s="15" t="s">
        <v>54</v>
      </c>
      <c r="O112" s="15"/>
      <c r="P112" s="15"/>
      <c r="Q112" s="15" t="s">
        <v>54</v>
      </c>
      <c r="R112" s="15"/>
      <c r="S112" s="15"/>
      <c r="T112" s="15" t="s">
        <v>54</v>
      </c>
      <c r="U112" s="15"/>
      <c r="V112" s="16"/>
      <c r="W112" s="17" t="str">
        <f t="shared" si="8"/>
        <v>OK</v>
      </c>
    </row>
    <row r="113" spans="1:23" ht="20.100000000000001" customHeight="1" x14ac:dyDescent="0.25">
      <c r="A113" s="12" t="s">
        <v>61</v>
      </c>
      <c r="B113" s="13" t="s">
        <v>53</v>
      </c>
      <c r="C113" s="14">
        <v>28</v>
      </c>
      <c r="D113" s="14">
        <v>29</v>
      </c>
      <c r="E113" s="14">
        <f t="shared" si="7"/>
        <v>1</v>
      </c>
      <c r="F113" s="15"/>
      <c r="G113" s="15" t="s">
        <v>54</v>
      </c>
      <c r="H113" s="15"/>
      <c r="I113" s="15"/>
      <c r="J113" s="15"/>
      <c r="K113" s="15" t="s">
        <v>54</v>
      </c>
      <c r="L113" s="15"/>
      <c r="M113" s="15"/>
      <c r="N113" s="15" t="s">
        <v>54</v>
      </c>
      <c r="O113" s="15"/>
      <c r="P113" s="15"/>
      <c r="Q113" s="15" t="s">
        <v>54</v>
      </c>
      <c r="R113" s="15"/>
      <c r="S113" s="15"/>
      <c r="T113" s="15" t="s">
        <v>54</v>
      </c>
      <c r="U113" s="15"/>
      <c r="V113" s="16"/>
      <c r="W113" s="17" t="str">
        <f t="shared" si="8"/>
        <v>OK</v>
      </c>
    </row>
    <row r="114" spans="1:23" ht="20.100000000000001" customHeight="1" x14ac:dyDescent="0.25">
      <c r="A114" s="12" t="s">
        <v>61</v>
      </c>
      <c r="B114" s="13" t="s">
        <v>53</v>
      </c>
      <c r="C114" s="14">
        <v>29</v>
      </c>
      <c r="D114" s="14">
        <v>30</v>
      </c>
      <c r="E114" s="14">
        <f t="shared" si="7"/>
        <v>1</v>
      </c>
      <c r="F114" s="15"/>
      <c r="G114" s="15" t="s">
        <v>54</v>
      </c>
      <c r="H114" s="15"/>
      <c r="I114" s="15"/>
      <c r="J114" s="15"/>
      <c r="K114" s="15" t="s">
        <v>54</v>
      </c>
      <c r="L114" s="15"/>
      <c r="M114" s="15"/>
      <c r="N114" s="15" t="s">
        <v>54</v>
      </c>
      <c r="O114" s="15"/>
      <c r="P114" s="15"/>
      <c r="Q114" s="15" t="s">
        <v>54</v>
      </c>
      <c r="R114" s="15"/>
      <c r="S114" s="15"/>
      <c r="T114" s="15" t="s">
        <v>54</v>
      </c>
      <c r="U114" s="15"/>
      <c r="V114" s="16"/>
      <c r="W114" s="17" t="str">
        <f t="shared" si="8"/>
        <v>OK</v>
      </c>
    </row>
    <row r="115" spans="1:23" ht="20.100000000000001" customHeight="1" x14ac:dyDescent="0.25">
      <c r="A115" s="12" t="s">
        <v>61</v>
      </c>
      <c r="B115" s="13" t="s">
        <v>53</v>
      </c>
      <c r="C115" s="14">
        <v>30</v>
      </c>
      <c r="D115" s="14">
        <v>31</v>
      </c>
      <c r="E115" s="14">
        <f t="shared" si="7"/>
        <v>1</v>
      </c>
      <c r="F115" s="15"/>
      <c r="G115" s="15" t="s">
        <v>54</v>
      </c>
      <c r="H115" s="15"/>
      <c r="I115" s="15"/>
      <c r="J115" s="15"/>
      <c r="K115" s="15" t="s">
        <v>54</v>
      </c>
      <c r="L115" s="15"/>
      <c r="M115" s="15"/>
      <c r="N115" s="15" t="s">
        <v>54</v>
      </c>
      <c r="O115" s="15"/>
      <c r="P115" s="15"/>
      <c r="Q115" s="15" t="s">
        <v>54</v>
      </c>
      <c r="R115" s="15"/>
      <c r="S115" s="15"/>
      <c r="T115" s="15" t="s">
        <v>54</v>
      </c>
      <c r="U115" s="15"/>
      <c r="V115" s="16"/>
      <c r="W115" s="17" t="str">
        <f t="shared" si="8"/>
        <v>OK</v>
      </c>
    </row>
    <row r="116" spans="1:23" ht="20.100000000000001" customHeight="1" x14ac:dyDescent="0.25">
      <c r="A116" s="12" t="s">
        <v>61</v>
      </c>
      <c r="B116" s="13" t="s">
        <v>53</v>
      </c>
      <c r="C116" s="14">
        <v>31</v>
      </c>
      <c r="D116" s="14">
        <v>32</v>
      </c>
      <c r="E116" s="14">
        <f t="shared" si="7"/>
        <v>1</v>
      </c>
      <c r="F116" s="15"/>
      <c r="G116" s="15" t="s">
        <v>54</v>
      </c>
      <c r="H116" s="15"/>
      <c r="I116" s="15"/>
      <c r="J116" s="15"/>
      <c r="K116" s="15" t="s">
        <v>54</v>
      </c>
      <c r="L116" s="15"/>
      <c r="M116" s="15"/>
      <c r="N116" s="15" t="s">
        <v>54</v>
      </c>
      <c r="O116" s="15"/>
      <c r="P116" s="15"/>
      <c r="Q116" s="15" t="s">
        <v>54</v>
      </c>
      <c r="R116" s="15"/>
      <c r="S116" s="15"/>
      <c r="T116" s="15" t="s">
        <v>54</v>
      </c>
      <c r="U116" s="15"/>
      <c r="V116" s="16"/>
      <c r="W116" s="17" t="str">
        <f t="shared" si="8"/>
        <v>OK</v>
      </c>
    </row>
    <row r="117" spans="1:23" ht="20.100000000000001" customHeight="1" x14ac:dyDescent="0.25">
      <c r="A117" s="18" t="s">
        <v>61</v>
      </c>
      <c r="B117" s="19" t="s">
        <v>53</v>
      </c>
      <c r="C117" s="20">
        <v>32</v>
      </c>
      <c r="D117" s="20">
        <v>32.011003797500003</v>
      </c>
      <c r="E117" s="20">
        <f t="shared" si="7"/>
        <v>1.1003797500002577E-2</v>
      </c>
      <c r="F117" s="21"/>
      <c r="G117" s="21" t="s">
        <v>54</v>
      </c>
      <c r="H117" s="21"/>
      <c r="I117" s="21"/>
      <c r="J117" s="21"/>
      <c r="K117" s="21" t="s">
        <v>54</v>
      </c>
      <c r="L117" s="21"/>
      <c r="M117" s="21"/>
      <c r="N117" s="21" t="s">
        <v>54</v>
      </c>
      <c r="O117" s="21"/>
      <c r="P117" s="21"/>
      <c r="Q117" s="21" t="s">
        <v>54</v>
      </c>
      <c r="R117" s="21"/>
      <c r="S117" s="21"/>
      <c r="T117" s="21" t="s">
        <v>54</v>
      </c>
      <c r="U117" s="21"/>
      <c r="V117" s="22"/>
      <c r="W117" s="23" t="str">
        <f t="shared" si="8"/>
        <v>OK</v>
      </c>
    </row>
    <row r="119" spans="1:23" x14ac:dyDescent="0.25">
      <c r="A119" s="61" t="s">
        <v>62</v>
      </c>
      <c r="B119" s="42"/>
      <c r="C119" s="42"/>
      <c r="D119" s="42"/>
      <c r="E119" s="42"/>
      <c r="G119" s="61" t="s">
        <v>62</v>
      </c>
      <c r="H119" s="42"/>
      <c r="I119" s="42"/>
      <c r="J119" s="42"/>
      <c r="K119" s="42"/>
    </row>
    <row r="120" spans="1:23" x14ac:dyDescent="0.25">
      <c r="A120" s="58" t="s">
        <v>63</v>
      </c>
      <c r="B120" s="42"/>
      <c r="C120" s="42"/>
      <c r="D120" s="42"/>
      <c r="E120" s="42"/>
      <c r="G120" s="58" t="s">
        <v>64</v>
      </c>
      <c r="H120" s="42"/>
      <c r="I120" s="42"/>
      <c r="J120" s="42"/>
      <c r="K120" s="42"/>
    </row>
    <row r="122" spans="1:23" x14ac:dyDescent="0.25">
      <c r="A122" s="64" t="s">
        <v>65</v>
      </c>
      <c r="B122" s="42"/>
      <c r="C122" s="42"/>
      <c r="D122" s="42"/>
      <c r="E122" s="42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 spans="1:23" x14ac:dyDescent="0.25">
      <c r="A123" s="53" t="s">
        <v>66</v>
      </c>
      <c r="B123" s="42"/>
      <c r="C123" s="42"/>
      <c r="D123" s="42"/>
      <c r="E123" s="42"/>
      <c r="F123" s="9">
        <f t="shared" ref="F123:U123" si="9">SUMIF(F$9:F$117,"X",$E$9:$E$117)</f>
        <v>0</v>
      </c>
      <c r="G123" s="9">
        <f t="shared" si="9"/>
        <v>81.396930932940023</v>
      </c>
      <c r="H123" s="9">
        <f t="shared" si="9"/>
        <v>19</v>
      </c>
      <c r="I123" s="9">
        <f t="shared" si="9"/>
        <v>2</v>
      </c>
      <c r="J123" s="9">
        <f t="shared" si="9"/>
        <v>0</v>
      </c>
      <c r="K123" s="9">
        <f t="shared" si="9"/>
        <v>25.157820082520004</v>
      </c>
      <c r="L123" s="9">
        <f t="shared" si="9"/>
        <v>77.239110850420005</v>
      </c>
      <c r="M123" s="9">
        <f t="shared" si="9"/>
        <v>0</v>
      </c>
      <c r="N123" s="9">
        <f t="shared" si="9"/>
        <v>102.39693093294002</v>
      </c>
      <c r="O123" s="9">
        <f t="shared" si="9"/>
        <v>0</v>
      </c>
      <c r="P123" s="9">
        <f t="shared" si="9"/>
        <v>0</v>
      </c>
      <c r="Q123" s="9">
        <f t="shared" si="9"/>
        <v>102.39693093294002</v>
      </c>
      <c r="R123" s="9">
        <f t="shared" si="9"/>
        <v>0</v>
      </c>
      <c r="S123" s="9">
        <f t="shared" si="9"/>
        <v>0</v>
      </c>
      <c r="T123" s="9">
        <f t="shared" si="9"/>
        <v>102.39693093294002</v>
      </c>
      <c r="U123" s="9">
        <f t="shared" si="9"/>
        <v>0</v>
      </c>
    </row>
    <row r="124" spans="1:23" x14ac:dyDescent="0.25">
      <c r="A124" s="53" t="s">
        <v>67</v>
      </c>
      <c r="B124" s="42"/>
      <c r="C124" s="42"/>
      <c r="D124" s="42"/>
      <c r="E124" s="42"/>
      <c r="F124" s="25">
        <f t="shared" ref="F124:U124" si="10">IF($R126=0,0,F123/$R126)</f>
        <v>0</v>
      </c>
      <c r="G124" s="25">
        <f t="shared" si="10"/>
        <v>0.79491572834587254</v>
      </c>
      <c r="H124" s="25">
        <f t="shared" si="10"/>
        <v>0.18555243625849629</v>
      </c>
      <c r="I124" s="25">
        <f t="shared" si="10"/>
        <v>1.9531835395631188E-2</v>
      </c>
      <c r="J124" s="25">
        <f t="shared" si="10"/>
        <v>0</v>
      </c>
      <c r="K124" s="25">
        <f t="shared" si="10"/>
        <v>0.24568920038234268</v>
      </c>
      <c r="L124" s="25">
        <f t="shared" si="10"/>
        <v>0.75431079961765723</v>
      </c>
      <c r="M124" s="25">
        <f t="shared" si="10"/>
        <v>0</v>
      </c>
      <c r="N124" s="25">
        <f t="shared" si="10"/>
        <v>1</v>
      </c>
      <c r="O124" s="25">
        <f t="shared" si="10"/>
        <v>0</v>
      </c>
      <c r="P124" s="25">
        <f t="shared" si="10"/>
        <v>0</v>
      </c>
      <c r="Q124" s="25">
        <f t="shared" si="10"/>
        <v>1</v>
      </c>
      <c r="R124" s="25">
        <f t="shared" si="10"/>
        <v>0</v>
      </c>
      <c r="S124" s="25">
        <f t="shared" si="10"/>
        <v>0</v>
      </c>
      <c r="T124" s="25">
        <f t="shared" si="10"/>
        <v>1</v>
      </c>
      <c r="U124" s="25">
        <f t="shared" si="10"/>
        <v>0</v>
      </c>
    </row>
    <row r="125" spans="1:23" x14ac:dyDescent="0.25">
      <c r="A125" s="53" t="s">
        <v>68</v>
      </c>
      <c r="B125" s="42"/>
      <c r="C125" s="42"/>
      <c r="D125" s="42"/>
      <c r="E125" s="42"/>
      <c r="F125" s="49" t="str">
        <f>IF(SUM(F123:J123)=0,"— não preenchido",IF(ROUND(SUM(F123:J123)-$R126,3)=0,"OK — "&amp;ROUND(SUM(F123:J123),3)&amp;" km","ERRO — dif. de "&amp;ROUND(SUM(F123:J123)-$R126,3)&amp;" km"))</f>
        <v>OK — 102,397 km</v>
      </c>
      <c r="G125" s="46"/>
      <c r="H125" s="46"/>
      <c r="I125" s="46"/>
      <c r="J125" s="44"/>
      <c r="K125" s="49" t="str">
        <f>IF(SUM(K123:L123)=0,"— não preenchido",IF(ROUND(SUM(K123:L123)-$R126,3)=0,"OK — "&amp;ROUND(SUM(K123:L123),3)&amp;" km","ERRO — dif. de "&amp;ROUND(SUM(K123:L123)-$R126,3)&amp;" km"))</f>
        <v>OK — 102,397 km</v>
      </c>
      <c r="L125" s="44"/>
      <c r="M125" s="49" t="str">
        <f>IF(SUM(M123:O123)=0,"— não preenchido",IF(ROUND(SUM(M123:O123)-$R126,3)=0,"OK — "&amp;ROUND(SUM(M123:O123),3)&amp;" km","ERRO — dif. de "&amp;ROUND(SUM(M123:O123)-$R126,3)&amp;" km"))</f>
        <v>OK — 102,397 km</v>
      </c>
      <c r="N125" s="46"/>
      <c r="O125" s="44"/>
      <c r="P125" s="49" t="str">
        <f>IF(SUM(P123:R123)=0,"— não preenchido",IF(ROUND(SUM(P123:R123)-$R126,3)=0,"OK — "&amp;ROUND(SUM(P123:R123),3)&amp;" km","ERRO — dif. de "&amp;ROUND(SUM(P123:R123)-$R126,3)&amp;" km"))</f>
        <v>OK — 102,397 km</v>
      </c>
      <c r="Q125" s="46"/>
      <c r="R125" s="44"/>
      <c r="S125" s="49" t="str">
        <f>IF(SUM(S123:U123)=0,"— não preenchido",IF(ROUND(SUM(S123:U123)-$R126,3)=0,"OK — "&amp;ROUND(SUM(S123:U123),3)&amp;" km","ERRO — dif. de "&amp;ROUND(SUM(S123:U123)-$R126,3)&amp;" km"))</f>
        <v>OK — 102,397 km</v>
      </c>
      <c r="T125" s="46"/>
      <c r="U125" s="44"/>
    </row>
    <row r="126" spans="1:23" x14ac:dyDescent="0.25">
      <c r="A126" s="53" t="s">
        <v>69</v>
      </c>
      <c r="B126" s="42"/>
      <c r="C126" s="42"/>
      <c r="D126" s="42"/>
      <c r="E126" s="42"/>
      <c r="R126" s="26">
        <f>SUM(E9:E117)</f>
        <v>102.39693093294002</v>
      </c>
      <c r="V126" s="8" t="str">
        <f>COUNTIF(W9:W117,"OK")&amp;" de "&amp;COUNT($E$9:$E$117)&amp;" linhas conferidas"</f>
        <v>105 de 105 linhas conferidas</v>
      </c>
    </row>
    <row r="128" spans="1:23" x14ac:dyDescent="0.25">
      <c r="A128" s="62" t="s">
        <v>70</v>
      </c>
      <c r="B128" s="42"/>
      <c r="C128" s="42"/>
      <c r="D128" s="42"/>
      <c r="E128" s="42"/>
    </row>
    <row r="129" spans="1:22" x14ac:dyDescent="0.25">
      <c r="A129" s="53" t="s">
        <v>71</v>
      </c>
      <c r="B129" s="42"/>
      <c r="C129" s="42"/>
      <c r="D129" s="42"/>
      <c r="E129" s="48" t="s">
        <v>72</v>
      </c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</row>
    <row r="130" spans="1:22" x14ac:dyDescent="0.25">
      <c r="A130" s="53" t="s">
        <v>73</v>
      </c>
      <c r="B130" s="42"/>
      <c r="C130" s="42"/>
      <c r="D130" s="42"/>
      <c r="E130" s="48" t="s">
        <v>74</v>
      </c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</row>
    <row r="131" spans="1:22" x14ac:dyDescent="0.25">
      <c r="A131" s="53" t="s">
        <v>75</v>
      </c>
      <c r="B131" s="42"/>
      <c r="C131" s="42"/>
      <c r="D131" s="42"/>
      <c r="E131" s="48" t="s">
        <v>76</v>
      </c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</row>
    <row r="132" spans="1:22" x14ac:dyDescent="0.25">
      <c r="A132" s="53" t="s">
        <v>77</v>
      </c>
      <c r="B132" s="42"/>
      <c r="C132" s="42"/>
      <c r="D132" s="42"/>
      <c r="E132" s="48" t="s">
        <v>78</v>
      </c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</row>
    <row r="133" spans="1:22" x14ac:dyDescent="0.25">
      <c r="A133" s="53" t="s">
        <v>79</v>
      </c>
      <c r="B133" s="42"/>
      <c r="C133" s="42"/>
      <c r="D133" s="42"/>
      <c r="E133" s="48" t="s">
        <v>80</v>
      </c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</row>
    <row r="134" spans="1:22" x14ac:dyDescent="0.25">
      <c r="A134" s="53" t="s">
        <v>45</v>
      </c>
      <c r="B134" s="42"/>
      <c r="C134" s="42"/>
      <c r="D134" s="42"/>
      <c r="E134" s="48" t="s">
        <v>81</v>
      </c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</row>
    <row r="135" spans="1:22" x14ac:dyDescent="0.25">
      <c r="A135" s="53" t="s">
        <v>82</v>
      </c>
      <c r="B135" s="42"/>
      <c r="C135" s="42"/>
      <c r="D135" s="42"/>
      <c r="E135" s="48" t="s">
        <v>83</v>
      </c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</row>
    <row r="136" spans="1:22" x14ac:dyDescent="0.25">
      <c r="A136" s="53" t="s">
        <v>84</v>
      </c>
      <c r="B136" s="42"/>
      <c r="C136" s="42"/>
      <c r="D136" s="42"/>
      <c r="E136" s="48" t="s">
        <v>85</v>
      </c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</row>
    <row r="137" spans="1:22" x14ac:dyDescent="0.25">
      <c r="A137" s="53" t="s">
        <v>11</v>
      </c>
      <c r="B137" s="42"/>
      <c r="C137" s="42"/>
      <c r="D137" s="42"/>
      <c r="E137" s="48" t="s">
        <v>86</v>
      </c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</row>
  </sheetData>
  <sheetProtection formatCells="0"/>
  <mergeCells count="61">
    <mergeCell ref="E133:V133"/>
    <mergeCell ref="A132:D132"/>
    <mergeCell ref="A136:D136"/>
    <mergeCell ref="A135:D135"/>
    <mergeCell ref="A3:S3"/>
    <mergeCell ref="A129:D129"/>
    <mergeCell ref="E136:V136"/>
    <mergeCell ref="E131:V131"/>
    <mergeCell ref="A131:D131"/>
    <mergeCell ref="E132:V132"/>
    <mergeCell ref="S125:U125"/>
    <mergeCell ref="A122:E122"/>
    <mergeCell ref="E130:V130"/>
    <mergeCell ref="A125:E125"/>
    <mergeCell ref="K125:L125"/>
    <mergeCell ref="E129:V129"/>
    <mergeCell ref="E137:V137"/>
    <mergeCell ref="A123:E123"/>
    <mergeCell ref="A6:A7"/>
    <mergeCell ref="F6:J6"/>
    <mergeCell ref="A119:E119"/>
    <mergeCell ref="M6:O6"/>
    <mergeCell ref="V6:V7"/>
    <mergeCell ref="A124:E124"/>
    <mergeCell ref="S6:U6"/>
    <mergeCell ref="P125:R125"/>
    <mergeCell ref="A128:E128"/>
    <mergeCell ref="A130:D130"/>
    <mergeCell ref="A12:V12"/>
    <mergeCell ref="P6:R6"/>
    <mergeCell ref="M125:O125"/>
    <mergeCell ref="A137:D137"/>
    <mergeCell ref="W6:W7"/>
    <mergeCell ref="E6:E7"/>
    <mergeCell ref="B6:B7"/>
    <mergeCell ref="A120:E120"/>
    <mergeCell ref="A73:V73"/>
    <mergeCell ref="A11:V11"/>
    <mergeCell ref="C6:C7"/>
    <mergeCell ref="K6:L6"/>
    <mergeCell ref="D6:D7"/>
    <mergeCell ref="A8:V8"/>
    <mergeCell ref="G120:K120"/>
    <mergeCell ref="A84:V84"/>
    <mergeCell ref="G119:K119"/>
    <mergeCell ref="E135:V135"/>
    <mergeCell ref="A1:V1"/>
    <mergeCell ref="F125:J125"/>
    <mergeCell ref="E134:V134"/>
    <mergeCell ref="G2:H2"/>
    <mergeCell ref="I2:J2"/>
    <mergeCell ref="A134:D134"/>
    <mergeCell ref="A4:V4"/>
    <mergeCell ref="A2:F2"/>
    <mergeCell ref="K2:M2"/>
    <mergeCell ref="N2:O2"/>
    <mergeCell ref="P2:Q2"/>
    <mergeCell ref="R2:V2"/>
    <mergeCell ref="T3:V3"/>
    <mergeCell ref="A133:D133"/>
    <mergeCell ref="A126:E126"/>
  </mergeCells>
  <conditionalFormatting sqref="F9:J117">
    <cfRule type="expression" dxfId="119" priority="1">
      <formula>AND(F9&lt;&gt;"",COUNTIF($F9:$J9,"X")&gt;1)</formula>
    </cfRule>
  </conditionalFormatting>
  <conditionalFormatting sqref="F125:U125">
    <cfRule type="expression" dxfId="118" priority="8">
      <formula>LEFT(F125,4)="ERRO"</formula>
    </cfRule>
    <cfRule type="expression" dxfId="117" priority="9">
      <formula>LEFT(F125,2)="OK"</formula>
    </cfRule>
  </conditionalFormatting>
  <conditionalFormatting sqref="K9:L117">
    <cfRule type="expression" dxfId="116" priority="2">
      <formula>AND(K9&lt;&gt;"",COUNTIF($K9:$L9,"X")&gt;1)</formula>
    </cfRule>
  </conditionalFormatting>
  <conditionalFormatting sqref="M9:O117">
    <cfRule type="expression" dxfId="115" priority="3">
      <formula>AND(M9&lt;&gt;"",COUNTIF($M9:$O9,"X")&gt;1)</formula>
    </cfRule>
  </conditionalFormatting>
  <conditionalFormatting sqref="P9:R117">
    <cfRule type="expression" dxfId="114" priority="4">
      <formula>AND(P9&lt;&gt;"",COUNTIF($P9:$R9,"X")&gt;1)</formula>
    </cfRule>
  </conditionalFormatting>
  <conditionalFormatting sqref="S9:U117">
    <cfRule type="expression" dxfId="113" priority="5">
      <formula>AND(S9&lt;&gt;"",COUNTIF($S9:$U9,"X")&gt;1)</formula>
    </cfRule>
  </conditionalFormatting>
  <conditionalFormatting sqref="W9:W117">
    <cfRule type="expression" dxfId="112" priority="6">
      <formula>AND(W9&lt;&gt;"OK",W9&lt;&gt;"")</formula>
    </cfRule>
    <cfRule type="expression" dxfId="11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17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17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17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17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17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117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202</oddHeader>
    <oddFooter>&amp;L&amp;7 RTA / MSI — Programa de Manutenção Rodoviária&amp;C&amp;7 Página &amp;P de &amp;N&amp;R&amp;7 Impresso em &amp;D</oddFooter>
  </headerFooter>
  <rowBreaks count="1" manualBreakCount="1">
    <brk id="120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29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1" t="s">
        <v>36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Y1" s="1" t="s">
        <v>1</v>
      </c>
    </row>
    <row r="2" spans="1:40" ht="17.100000000000001" customHeight="1" x14ac:dyDescent="0.25">
      <c r="A2" s="54" t="s">
        <v>37</v>
      </c>
      <c r="B2" s="42"/>
      <c r="C2" s="42"/>
      <c r="D2" s="42"/>
      <c r="E2" s="42"/>
      <c r="F2" s="42"/>
      <c r="G2" s="50" t="s">
        <v>38</v>
      </c>
      <c r="H2" s="42"/>
      <c r="I2" s="51">
        <v>46266</v>
      </c>
      <c r="J2" s="52"/>
      <c r="K2" s="50" t="s">
        <v>39</v>
      </c>
      <c r="L2" s="42"/>
      <c r="M2" s="42"/>
      <c r="N2" s="55"/>
      <c r="O2" s="52"/>
      <c r="P2" s="50" t="s">
        <v>40</v>
      </c>
      <c r="Q2" s="42"/>
      <c r="R2" s="56" t="s">
        <v>154</v>
      </c>
      <c r="S2" s="57"/>
      <c r="T2" s="57"/>
      <c r="U2" s="57"/>
      <c r="V2" s="52"/>
      <c r="Y2" s="2" t="e">
        <f t="shared" ref="Y2:AN2" si="0">IF(F15=0,NA(),F15)</f>
        <v>#N/A</v>
      </c>
      <c r="Z2" s="2" t="e">
        <f t="shared" si="0"/>
        <v>#N/A</v>
      </c>
      <c r="AA2" s="2">
        <f t="shared" si="0"/>
        <v>0.99985588713600004</v>
      </c>
      <c r="AB2" s="2" t="e">
        <f t="shared" si="0"/>
        <v>#N/A</v>
      </c>
      <c r="AC2" s="2" t="e">
        <f t="shared" si="0"/>
        <v>#N/A</v>
      </c>
      <c r="AD2" s="2">
        <f t="shared" si="0"/>
        <v>0.99985588713600004</v>
      </c>
      <c r="AE2" s="2" t="e">
        <f t="shared" si="0"/>
        <v>#N/A</v>
      </c>
      <c r="AF2" s="2">
        <f t="shared" si="0"/>
        <v>0.99985588713600004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0.99985588713600004</v>
      </c>
      <c r="AK2" s="2" t="e">
        <f t="shared" si="0"/>
        <v>#N/A</v>
      </c>
      <c r="AL2" s="2" t="e">
        <f t="shared" si="0"/>
        <v>#N/A</v>
      </c>
      <c r="AM2" s="2">
        <f t="shared" si="0"/>
        <v>0.99985588713600004</v>
      </c>
      <c r="AN2" s="2" t="e">
        <f t="shared" si="0"/>
        <v>#N/A</v>
      </c>
    </row>
    <row r="3" spans="1:40" ht="15" customHeight="1" x14ac:dyDescent="0.25">
      <c r="A3" s="63" t="s">
        <v>87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50" t="s">
        <v>88</v>
      </c>
      <c r="U3" s="42"/>
      <c r="V3" s="42"/>
    </row>
    <row r="4" spans="1:40" ht="20.100000000000001" customHeight="1" x14ac:dyDescent="0.25">
      <c r="A4" s="47" t="s">
        <v>43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6" spans="1:40" ht="21.95" customHeight="1" x14ac:dyDescent="0.25">
      <c r="A6" s="43" t="s">
        <v>44</v>
      </c>
      <c r="B6" s="43" t="s">
        <v>45</v>
      </c>
      <c r="C6" s="43" t="s">
        <v>46</v>
      </c>
      <c r="D6" s="43" t="s">
        <v>47</v>
      </c>
      <c r="E6" s="43" t="s">
        <v>48</v>
      </c>
      <c r="F6" s="43" t="s">
        <v>6</v>
      </c>
      <c r="G6" s="46"/>
      <c r="H6" s="46"/>
      <c r="I6" s="46"/>
      <c r="J6" s="44"/>
      <c r="K6" s="43" t="s">
        <v>7</v>
      </c>
      <c r="L6" s="44"/>
      <c r="M6" s="43" t="s">
        <v>8</v>
      </c>
      <c r="N6" s="46"/>
      <c r="O6" s="44"/>
      <c r="P6" s="43" t="s">
        <v>9</v>
      </c>
      <c r="Q6" s="46"/>
      <c r="R6" s="44"/>
      <c r="S6" s="43" t="s">
        <v>10</v>
      </c>
      <c r="T6" s="46"/>
      <c r="U6" s="44"/>
      <c r="V6" s="43" t="s">
        <v>49</v>
      </c>
      <c r="W6" s="43" t="s">
        <v>50</v>
      </c>
    </row>
    <row r="7" spans="1:40" ht="20.100000000000001" customHeight="1" x14ac:dyDescent="0.25">
      <c r="A7" s="45"/>
      <c r="B7" s="45"/>
      <c r="C7" s="45"/>
      <c r="D7" s="45"/>
      <c r="E7" s="4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45"/>
      <c r="W7" s="45"/>
    </row>
    <row r="8" spans="1:40" ht="15.95" customHeight="1" x14ac:dyDescent="0.25">
      <c r="A8" s="59" t="s">
        <v>89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4"/>
      <c r="W8" s="4"/>
    </row>
    <row r="9" spans="1:40" ht="20.100000000000001" customHeight="1" x14ac:dyDescent="0.25">
      <c r="A9" s="18" t="s">
        <v>90</v>
      </c>
      <c r="B9" s="19" t="s">
        <v>53</v>
      </c>
      <c r="C9" s="20">
        <v>0</v>
      </c>
      <c r="D9" s="20">
        <v>0.99985588713600004</v>
      </c>
      <c r="E9" s="20">
        <f>D9-C9</f>
        <v>0.99985588713600004</v>
      </c>
      <c r="F9" s="21"/>
      <c r="G9" s="21"/>
      <c r="H9" s="21" t="s">
        <v>54</v>
      </c>
      <c r="I9" s="21"/>
      <c r="J9" s="21"/>
      <c r="K9" s="21" t="s">
        <v>54</v>
      </c>
      <c r="L9" s="21"/>
      <c r="M9" s="21" t="s">
        <v>54</v>
      </c>
      <c r="N9" s="21"/>
      <c r="O9" s="21"/>
      <c r="P9" s="21"/>
      <c r="Q9" s="21" t="s">
        <v>54</v>
      </c>
      <c r="R9" s="21"/>
      <c r="S9" s="21"/>
      <c r="T9" s="21" t="s">
        <v>54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1" spans="1:40" x14ac:dyDescent="0.25">
      <c r="A11" s="61" t="s">
        <v>62</v>
      </c>
      <c r="B11" s="42"/>
      <c r="C11" s="42"/>
      <c r="D11" s="42"/>
      <c r="E11" s="42"/>
      <c r="G11" s="61" t="s">
        <v>62</v>
      </c>
      <c r="H11" s="42"/>
      <c r="I11" s="42"/>
      <c r="J11" s="42"/>
      <c r="K11" s="42"/>
    </row>
    <row r="12" spans="1:40" x14ac:dyDescent="0.25">
      <c r="A12" s="58" t="s">
        <v>63</v>
      </c>
      <c r="B12" s="42"/>
      <c r="C12" s="42"/>
      <c r="D12" s="42"/>
      <c r="E12" s="42"/>
      <c r="G12" s="58" t="s">
        <v>64</v>
      </c>
      <c r="H12" s="42"/>
      <c r="I12" s="42"/>
      <c r="J12" s="42"/>
      <c r="K12" s="42"/>
    </row>
    <row r="14" spans="1:40" x14ac:dyDescent="0.25">
      <c r="A14" s="64" t="s">
        <v>65</v>
      </c>
      <c r="B14" s="42"/>
      <c r="C14" s="42"/>
      <c r="D14" s="42"/>
      <c r="E14" s="42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40" x14ac:dyDescent="0.25">
      <c r="A15" s="53" t="s">
        <v>66</v>
      </c>
      <c r="B15" s="42"/>
      <c r="C15" s="42"/>
      <c r="D15" s="42"/>
      <c r="E15" s="42"/>
      <c r="F15" s="9">
        <f t="shared" ref="F15:U15" si="1">SUMIF(F$9:F$9,"X",$E$9:$E$9)</f>
        <v>0</v>
      </c>
      <c r="G15" s="9">
        <f t="shared" si="1"/>
        <v>0</v>
      </c>
      <c r="H15" s="9">
        <f t="shared" si="1"/>
        <v>0.99985588713600004</v>
      </c>
      <c r="I15" s="9">
        <f t="shared" si="1"/>
        <v>0</v>
      </c>
      <c r="J15" s="9">
        <f t="shared" si="1"/>
        <v>0</v>
      </c>
      <c r="K15" s="9">
        <f t="shared" si="1"/>
        <v>0.99985588713600004</v>
      </c>
      <c r="L15" s="9">
        <f t="shared" si="1"/>
        <v>0</v>
      </c>
      <c r="M15" s="9">
        <f t="shared" si="1"/>
        <v>0.99985588713600004</v>
      </c>
      <c r="N15" s="9">
        <f t="shared" si="1"/>
        <v>0</v>
      </c>
      <c r="O15" s="9">
        <f t="shared" si="1"/>
        <v>0</v>
      </c>
      <c r="P15" s="9">
        <f t="shared" si="1"/>
        <v>0</v>
      </c>
      <c r="Q15" s="9">
        <f t="shared" si="1"/>
        <v>0.99985588713600004</v>
      </c>
      <c r="R15" s="9">
        <f t="shared" si="1"/>
        <v>0</v>
      </c>
      <c r="S15" s="9">
        <f t="shared" si="1"/>
        <v>0</v>
      </c>
      <c r="T15" s="9">
        <f t="shared" si="1"/>
        <v>0.99985588713600004</v>
      </c>
      <c r="U15" s="9">
        <f t="shared" si="1"/>
        <v>0</v>
      </c>
    </row>
    <row r="16" spans="1:40" x14ac:dyDescent="0.25">
      <c r="A16" s="53" t="s">
        <v>67</v>
      </c>
      <c r="B16" s="42"/>
      <c r="C16" s="42"/>
      <c r="D16" s="42"/>
      <c r="E16" s="42"/>
      <c r="F16" s="25">
        <f t="shared" ref="F16:U16" si="2">IF($R18=0,0,F15/$R18)</f>
        <v>0</v>
      </c>
      <c r="G16" s="25">
        <f t="shared" si="2"/>
        <v>0</v>
      </c>
      <c r="H16" s="25">
        <f t="shared" si="2"/>
        <v>1</v>
      </c>
      <c r="I16" s="25">
        <f t="shared" si="2"/>
        <v>0</v>
      </c>
      <c r="J16" s="25">
        <f t="shared" si="2"/>
        <v>0</v>
      </c>
      <c r="K16" s="25">
        <f t="shared" si="2"/>
        <v>1</v>
      </c>
      <c r="L16" s="25">
        <f t="shared" si="2"/>
        <v>0</v>
      </c>
      <c r="M16" s="25">
        <f t="shared" si="2"/>
        <v>1</v>
      </c>
      <c r="N16" s="25">
        <f t="shared" si="2"/>
        <v>0</v>
      </c>
      <c r="O16" s="25">
        <f t="shared" si="2"/>
        <v>0</v>
      </c>
      <c r="P16" s="25">
        <f t="shared" si="2"/>
        <v>0</v>
      </c>
      <c r="Q16" s="25">
        <f t="shared" si="2"/>
        <v>1</v>
      </c>
      <c r="R16" s="25">
        <f t="shared" si="2"/>
        <v>0</v>
      </c>
      <c r="S16" s="25">
        <f t="shared" si="2"/>
        <v>0</v>
      </c>
      <c r="T16" s="25">
        <f t="shared" si="2"/>
        <v>1</v>
      </c>
      <c r="U16" s="25">
        <f t="shared" si="2"/>
        <v>0</v>
      </c>
    </row>
    <row r="17" spans="1:22" x14ac:dyDescent="0.25">
      <c r="A17" s="53" t="s">
        <v>68</v>
      </c>
      <c r="B17" s="42"/>
      <c r="C17" s="42"/>
      <c r="D17" s="42"/>
      <c r="E17" s="42"/>
      <c r="F17" s="49" t="str">
        <f>IF(SUM(F15:J15)=0,"— não preenchido",IF(ROUND(SUM(F15:J15)-$R18,3)=0,"OK — "&amp;ROUND(SUM(F15:J15),3)&amp;" km","ERRO — dif. de "&amp;ROUND(SUM(F15:J15)-$R18,3)&amp;" km"))</f>
        <v>OK — 1 km</v>
      </c>
      <c r="G17" s="46"/>
      <c r="H17" s="46"/>
      <c r="I17" s="46"/>
      <c r="J17" s="44"/>
      <c r="K17" s="49" t="str">
        <f>IF(SUM(K15:L15)=0,"— não preenchido",IF(ROUND(SUM(K15:L15)-$R18,3)=0,"OK — "&amp;ROUND(SUM(K15:L15),3)&amp;" km","ERRO — dif. de "&amp;ROUND(SUM(K15:L15)-$R18,3)&amp;" km"))</f>
        <v>OK — 1 km</v>
      </c>
      <c r="L17" s="44"/>
      <c r="M17" s="49" t="str">
        <f>IF(SUM(M15:O15)=0,"— não preenchido",IF(ROUND(SUM(M15:O15)-$R18,3)=0,"OK — "&amp;ROUND(SUM(M15:O15),3)&amp;" km","ERRO — dif. de "&amp;ROUND(SUM(M15:O15)-$R18,3)&amp;" km"))</f>
        <v>OK — 1 km</v>
      </c>
      <c r="N17" s="46"/>
      <c r="O17" s="44"/>
      <c r="P17" s="49" t="str">
        <f>IF(SUM(P15:R15)=0,"— não preenchido",IF(ROUND(SUM(P15:R15)-$R18,3)=0,"OK — "&amp;ROUND(SUM(P15:R15),3)&amp;" km","ERRO — dif. de "&amp;ROUND(SUM(P15:R15)-$R18,3)&amp;" km"))</f>
        <v>OK — 1 km</v>
      </c>
      <c r="Q17" s="46"/>
      <c r="R17" s="44"/>
      <c r="S17" s="49" t="str">
        <f>IF(SUM(S15:U15)=0,"— não preenchido",IF(ROUND(SUM(S15:U15)-$R18,3)=0,"OK — "&amp;ROUND(SUM(S15:U15),3)&amp;" km","ERRO — dif. de "&amp;ROUND(SUM(S15:U15)-$R18,3)&amp;" km"))</f>
        <v>OK — 1 km</v>
      </c>
      <c r="T17" s="46"/>
      <c r="U17" s="44"/>
    </row>
    <row r="18" spans="1:22" x14ac:dyDescent="0.25">
      <c r="A18" s="53" t="s">
        <v>69</v>
      </c>
      <c r="B18" s="42"/>
      <c r="C18" s="42"/>
      <c r="D18" s="42"/>
      <c r="E18" s="42"/>
      <c r="R18" s="26">
        <f>SUM(E9:E9)</f>
        <v>0.99985588713600004</v>
      </c>
      <c r="V18" s="8" t="str">
        <f>COUNTIF(W9:W9,"OK")&amp;" de "&amp;COUNT($E$9:$E$9)&amp;" linhas conferidas"</f>
        <v>1 de 1 linhas conferidas</v>
      </c>
    </row>
    <row r="20" spans="1:22" x14ac:dyDescent="0.25">
      <c r="A20" s="62" t="s">
        <v>70</v>
      </c>
      <c r="B20" s="42"/>
      <c r="C20" s="42"/>
      <c r="D20" s="42"/>
      <c r="E20" s="42"/>
    </row>
    <row r="21" spans="1:22" x14ac:dyDescent="0.25">
      <c r="A21" s="53" t="s">
        <v>71</v>
      </c>
      <c r="B21" s="42"/>
      <c r="C21" s="42"/>
      <c r="D21" s="42"/>
      <c r="E21" s="48" t="s">
        <v>72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x14ac:dyDescent="0.25">
      <c r="A22" s="53" t="s">
        <v>73</v>
      </c>
      <c r="B22" s="42"/>
      <c r="C22" s="42"/>
      <c r="D22" s="42"/>
      <c r="E22" s="48" t="s">
        <v>74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x14ac:dyDescent="0.25">
      <c r="A23" s="53" t="s">
        <v>75</v>
      </c>
      <c r="B23" s="42"/>
      <c r="C23" s="42"/>
      <c r="D23" s="42"/>
      <c r="E23" s="48" t="s">
        <v>76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x14ac:dyDescent="0.25">
      <c r="A24" s="53" t="s">
        <v>77</v>
      </c>
      <c r="B24" s="42"/>
      <c r="C24" s="42"/>
      <c r="D24" s="42"/>
      <c r="E24" s="48" t="s">
        <v>78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x14ac:dyDescent="0.25">
      <c r="A25" s="53" t="s">
        <v>79</v>
      </c>
      <c r="B25" s="42"/>
      <c r="C25" s="42"/>
      <c r="D25" s="42"/>
      <c r="E25" s="48" t="s">
        <v>80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x14ac:dyDescent="0.25">
      <c r="A26" s="53" t="s">
        <v>45</v>
      </c>
      <c r="B26" s="42"/>
      <c r="C26" s="42"/>
      <c r="D26" s="42"/>
      <c r="E26" s="48" t="s">
        <v>81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x14ac:dyDescent="0.25">
      <c r="A27" s="53" t="s">
        <v>82</v>
      </c>
      <c r="B27" s="42"/>
      <c r="C27" s="42"/>
      <c r="D27" s="42"/>
      <c r="E27" s="48" t="s">
        <v>83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x14ac:dyDescent="0.25">
      <c r="A28" s="53" t="s">
        <v>84</v>
      </c>
      <c r="B28" s="42"/>
      <c r="C28" s="42"/>
      <c r="D28" s="42"/>
      <c r="E28" s="48" t="s">
        <v>85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x14ac:dyDescent="0.25">
      <c r="A29" s="53" t="s">
        <v>11</v>
      </c>
      <c r="B29" s="42"/>
      <c r="C29" s="42"/>
      <c r="D29" s="42"/>
      <c r="E29" s="48" t="s">
        <v>86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</row>
  </sheetData>
  <sheetProtection formatCells="0"/>
  <mergeCells count="57">
    <mergeCell ref="E29:V29"/>
    <mergeCell ref="G12:K12"/>
    <mergeCell ref="G2:H2"/>
    <mergeCell ref="A15:E15"/>
    <mergeCell ref="A22:D22"/>
    <mergeCell ref="I2:J2"/>
    <mergeCell ref="E23:V23"/>
    <mergeCell ref="A8:V8"/>
    <mergeCell ref="A11:E11"/>
    <mergeCell ref="G11:K11"/>
    <mergeCell ref="E28:V28"/>
    <mergeCell ref="A29:D29"/>
    <mergeCell ref="P17:R17"/>
    <mergeCell ref="A6:A7"/>
    <mergeCell ref="F6:J6"/>
    <mergeCell ref="A28:D28"/>
    <mergeCell ref="N2:O2"/>
    <mergeCell ref="E27:V27"/>
    <mergeCell ref="P2:Q2"/>
    <mergeCell ref="A27:D27"/>
    <mergeCell ref="A23:D23"/>
    <mergeCell ref="A4:V4"/>
    <mergeCell ref="V6:V7"/>
    <mergeCell ref="A2:F2"/>
    <mergeCell ref="S6:U6"/>
    <mergeCell ref="K2:M2"/>
    <mergeCell ref="W6:W7"/>
    <mergeCell ref="M17:O17"/>
    <mergeCell ref="E6:E7"/>
    <mergeCell ref="A24:D24"/>
    <mergeCell ref="E26:V26"/>
    <mergeCell ref="B6:B7"/>
    <mergeCell ref="A18:E18"/>
    <mergeCell ref="F17:J17"/>
    <mergeCell ref="A12:E12"/>
    <mergeCell ref="E25:V25"/>
    <mergeCell ref="A26:D26"/>
    <mergeCell ref="D6:D7"/>
    <mergeCell ref="P6:R6"/>
    <mergeCell ref="M6:O6"/>
    <mergeCell ref="A16:E16"/>
    <mergeCell ref="A1:V1"/>
    <mergeCell ref="T3:V3"/>
    <mergeCell ref="E22:V22"/>
    <mergeCell ref="A25:D25"/>
    <mergeCell ref="A14:E14"/>
    <mergeCell ref="A17:E17"/>
    <mergeCell ref="K17:L17"/>
    <mergeCell ref="E21:V21"/>
    <mergeCell ref="A20:E20"/>
    <mergeCell ref="A21:D21"/>
    <mergeCell ref="E24:V24"/>
    <mergeCell ref="R2:V2"/>
    <mergeCell ref="A3:S3"/>
    <mergeCell ref="C6:C7"/>
    <mergeCell ref="S17:U17"/>
    <mergeCell ref="K6:L6"/>
  </mergeCells>
  <conditionalFormatting sqref="F9:J9">
    <cfRule type="expression" dxfId="110" priority="1">
      <formula>AND(F9&lt;&gt;"",COUNTIF($F9:$J9,"X")&gt;1)</formula>
    </cfRule>
  </conditionalFormatting>
  <conditionalFormatting sqref="F17:U17">
    <cfRule type="expression" dxfId="109" priority="8">
      <formula>LEFT(F17,4)="ERRO"</formula>
    </cfRule>
    <cfRule type="expression" dxfId="108" priority="9">
      <formula>LEFT(F17,2)="OK"</formula>
    </cfRule>
  </conditionalFormatting>
  <conditionalFormatting sqref="K9:L9">
    <cfRule type="expression" dxfId="107" priority="2">
      <formula>AND(K9&lt;&gt;"",COUNTIF($K9:$L9,"X")&gt;1)</formula>
    </cfRule>
  </conditionalFormatting>
  <conditionalFormatting sqref="M9:O9">
    <cfRule type="expression" dxfId="106" priority="3">
      <formula>AND(M9&lt;&gt;"",COUNTIF($M9:$O9,"X")&gt;1)</formula>
    </cfRule>
  </conditionalFormatting>
  <conditionalFormatting sqref="P9:R9">
    <cfRule type="expression" dxfId="105" priority="4">
      <formula>AND(P9&lt;&gt;"",COUNTIF($P9:$R9,"X")&gt;1)</formula>
    </cfRule>
  </conditionalFormatting>
  <conditionalFormatting sqref="S9:U9">
    <cfRule type="expression" dxfId="104" priority="5">
      <formula>AND(S9&lt;&gt;"",COUNTIF($S9:$U9,"X")&gt;1)</formula>
    </cfRule>
  </conditionalFormatting>
  <conditionalFormatting sqref="W9">
    <cfRule type="expression" dxfId="103" priority="6">
      <formula>AND(W9&lt;&gt;"OK",W9&lt;&gt;"")</formula>
    </cfRule>
    <cfRule type="expression" dxfId="10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9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9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9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9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9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203</oddHeader>
    <oddFooter>&amp;L&amp;7 RTA / MSI — Programa de Manutenção Rodoviária&amp;C&amp;7 Página &amp;P de &amp;N&amp;R&amp;7 Impresso em &amp;D</oddFooter>
  </headerFooter>
  <rowBreaks count="1" manualBreakCount="1">
    <brk id="12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89"/>
  <sheetViews>
    <sheetView showGridLines="0" workbookViewId="0">
      <pane xSplit="5" ySplit="7" topLeftCell="F54" activePane="bottomRight" state="frozen"/>
      <selection pane="topRight"/>
      <selection pane="bottomLeft"/>
      <selection pane="bottomRight" activeCell="Q24" sqref="Q24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1" t="s">
        <v>36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Y1" s="1" t="s">
        <v>1</v>
      </c>
    </row>
    <row r="2" spans="1:40" ht="17.100000000000001" customHeight="1" x14ac:dyDescent="0.25">
      <c r="A2" s="54" t="s">
        <v>37</v>
      </c>
      <c r="B2" s="42"/>
      <c r="C2" s="42"/>
      <c r="D2" s="42"/>
      <c r="E2" s="42"/>
      <c r="F2" s="42"/>
      <c r="G2" s="50" t="s">
        <v>38</v>
      </c>
      <c r="H2" s="42"/>
      <c r="I2" s="51">
        <v>46266</v>
      </c>
      <c r="J2" s="52"/>
      <c r="K2" s="50" t="s">
        <v>39</v>
      </c>
      <c r="L2" s="42"/>
      <c r="M2" s="42"/>
      <c r="N2" s="55"/>
      <c r="O2" s="52"/>
      <c r="P2" s="50" t="s">
        <v>40</v>
      </c>
      <c r="Q2" s="42"/>
      <c r="R2" s="56" t="s">
        <v>154</v>
      </c>
      <c r="S2" s="57"/>
      <c r="T2" s="57"/>
      <c r="U2" s="57"/>
      <c r="V2" s="52"/>
      <c r="Y2" s="2" t="e">
        <f t="shared" ref="Y2:AN2" si="0">IF(F75=0,NA(),F75)</f>
        <v>#N/A</v>
      </c>
      <c r="Z2" s="2">
        <f t="shared" si="0"/>
        <v>56</v>
      </c>
      <c r="AA2" s="2">
        <f t="shared" si="0"/>
        <v>3.7456117878290005</v>
      </c>
      <c r="AB2" s="2" t="e">
        <f t="shared" si="0"/>
        <v>#N/A</v>
      </c>
      <c r="AC2" s="2" t="e">
        <f t="shared" si="0"/>
        <v>#N/A</v>
      </c>
      <c r="AD2" s="2">
        <f t="shared" si="0"/>
        <v>59.745611787828999</v>
      </c>
      <c r="AE2" s="2" t="e">
        <f t="shared" si="0"/>
        <v>#N/A</v>
      </c>
      <c r="AF2" s="2">
        <f t="shared" si="0"/>
        <v>0.99026287712899996</v>
      </c>
      <c r="AG2" s="2">
        <f t="shared" si="0"/>
        <v>58.7553489107</v>
      </c>
      <c r="AH2" s="2" t="e">
        <f t="shared" si="0"/>
        <v>#N/A</v>
      </c>
      <c r="AI2" s="2" t="e">
        <f t="shared" si="0"/>
        <v>#N/A</v>
      </c>
      <c r="AJ2" s="2">
        <f t="shared" si="0"/>
        <v>57.7553489107</v>
      </c>
      <c r="AK2" s="2">
        <f t="shared" si="0"/>
        <v>1.9902628771290001</v>
      </c>
      <c r="AL2" s="2" t="e">
        <f t="shared" si="0"/>
        <v>#N/A</v>
      </c>
      <c r="AM2" s="2">
        <f t="shared" si="0"/>
        <v>59.745611787828999</v>
      </c>
      <c r="AN2" s="2" t="e">
        <f t="shared" si="0"/>
        <v>#N/A</v>
      </c>
    </row>
    <row r="3" spans="1:40" ht="15" customHeight="1" x14ac:dyDescent="0.25">
      <c r="A3" s="63" t="s">
        <v>91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50" t="s">
        <v>92</v>
      </c>
      <c r="U3" s="42"/>
      <c r="V3" s="42"/>
    </row>
    <row r="4" spans="1:40" ht="20.100000000000001" customHeight="1" x14ac:dyDescent="0.25">
      <c r="A4" s="47" t="s">
        <v>43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6" spans="1:40" ht="21.95" customHeight="1" x14ac:dyDescent="0.25">
      <c r="A6" s="43" t="s">
        <v>44</v>
      </c>
      <c r="B6" s="43" t="s">
        <v>45</v>
      </c>
      <c r="C6" s="43" t="s">
        <v>46</v>
      </c>
      <c r="D6" s="43" t="s">
        <v>47</v>
      </c>
      <c r="E6" s="43" t="s">
        <v>48</v>
      </c>
      <c r="F6" s="43" t="s">
        <v>6</v>
      </c>
      <c r="G6" s="46"/>
      <c r="H6" s="46"/>
      <c r="I6" s="46"/>
      <c r="J6" s="44"/>
      <c r="K6" s="43" t="s">
        <v>7</v>
      </c>
      <c r="L6" s="44"/>
      <c r="M6" s="43" t="s">
        <v>8</v>
      </c>
      <c r="N6" s="46"/>
      <c r="O6" s="44"/>
      <c r="P6" s="43" t="s">
        <v>9</v>
      </c>
      <c r="Q6" s="46"/>
      <c r="R6" s="44"/>
      <c r="S6" s="43" t="s">
        <v>10</v>
      </c>
      <c r="T6" s="46"/>
      <c r="U6" s="44"/>
      <c r="V6" s="43" t="s">
        <v>49</v>
      </c>
      <c r="W6" s="43" t="s">
        <v>50</v>
      </c>
    </row>
    <row r="7" spans="1:40" ht="20.100000000000001" customHeight="1" x14ac:dyDescent="0.25">
      <c r="A7" s="45"/>
      <c r="B7" s="45"/>
      <c r="C7" s="45"/>
      <c r="D7" s="45"/>
      <c r="E7" s="4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45"/>
      <c r="W7" s="45"/>
    </row>
    <row r="8" spans="1:40" ht="15.95" customHeight="1" x14ac:dyDescent="0.25">
      <c r="A8" s="59" t="s">
        <v>93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4"/>
      <c r="W8" s="4"/>
    </row>
    <row r="9" spans="1:40" ht="20.100000000000001" customHeight="1" x14ac:dyDescent="0.25">
      <c r="A9" s="12" t="s">
        <v>94</v>
      </c>
      <c r="B9" s="13" t="s">
        <v>53</v>
      </c>
      <c r="C9" s="14">
        <v>0</v>
      </c>
      <c r="D9" s="14">
        <v>1</v>
      </c>
      <c r="E9" s="14">
        <f t="shared" ref="E9:E40" si="1"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94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 t="s">
        <v>54</v>
      </c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94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94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94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94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94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94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94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94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94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94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54</v>
      </c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94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94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94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 t="s">
        <v>54</v>
      </c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94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 t="s">
        <v>54</v>
      </c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/>
      <c r="R24" s="15" t="s">
        <v>54</v>
      </c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94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 t="s">
        <v>54</v>
      </c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94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94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94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/>
      <c r="G28" s="15" t="s">
        <v>54</v>
      </c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94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/>
      <c r="G29" s="15" t="s">
        <v>54</v>
      </c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94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/>
      <c r="G30" s="15" t="s">
        <v>54</v>
      </c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94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/>
      <c r="G31" s="15"/>
      <c r="H31" s="15" t="s">
        <v>54</v>
      </c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94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94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94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94</v>
      </c>
      <c r="B35" s="13" t="s">
        <v>53</v>
      </c>
      <c r="C35" s="14">
        <v>26</v>
      </c>
      <c r="D35" s="14">
        <v>27</v>
      </c>
      <c r="E35" s="14">
        <f t="shared" si="1"/>
        <v>1</v>
      </c>
      <c r="F35" s="15"/>
      <c r="G35" s="15" t="s">
        <v>54</v>
      </c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94</v>
      </c>
      <c r="B36" s="13" t="s">
        <v>53</v>
      </c>
      <c r="C36" s="14">
        <v>27</v>
      </c>
      <c r="D36" s="14">
        <v>28</v>
      </c>
      <c r="E36" s="14">
        <f t="shared" si="1"/>
        <v>1</v>
      </c>
      <c r="F36" s="15"/>
      <c r="G36" s="15" t="s">
        <v>54</v>
      </c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94</v>
      </c>
      <c r="B37" s="13" t="s">
        <v>53</v>
      </c>
      <c r="C37" s="14">
        <v>28</v>
      </c>
      <c r="D37" s="14">
        <v>29</v>
      </c>
      <c r="E37" s="14">
        <f t="shared" si="1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94</v>
      </c>
      <c r="B38" s="13" t="s">
        <v>53</v>
      </c>
      <c r="C38" s="14">
        <v>29</v>
      </c>
      <c r="D38" s="14">
        <v>30</v>
      </c>
      <c r="E38" s="14">
        <f t="shared" si="1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94</v>
      </c>
      <c r="B39" s="13" t="s">
        <v>53</v>
      </c>
      <c r="C39" s="14">
        <v>30</v>
      </c>
      <c r="D39" s="14">
        <v>31</v>
      </c>
      <c r="E39" s="14">
        <f t="shared" si="1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94</v>
      </c>
      <c r="B40" s="13" t="s">
        <v>53</v>
      </c>
      <c r="C40" s="14">
        <v>31</v>
      </c>
      <c r="D40" s="14">
        <v>32</v>
      </c>
      <c r="E40" s="14">
        <f t="shared" si="1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94</v>
      </c>
      <c r="B41" s="13" t="s">
        <v>53</v>
      </c>
      <c r="C41" s="14">
        <v>32</v>
      </c>
      <c r="D41" s="14">
        <v>33</v>
      </c>
      <c r="E41" s="14">
        <f t="shared" ref="E41:E67" si="3">D41-C41</f>
        <v>1</v>
      </c>
      <c r="F41" s="15"/>
      <c r="G41" s="15" t="s">
        <v>54</v>
      </c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ref="W41:W67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94</v>
      </c>
      <c r="B42" s="13" t="s">
        <v>53</v>
      </c>
      <c r="C42" s="14">
        <v>33</v>
      </c>
      <c r="D42" s="14">
        <v>34</v>
      </c>
      <c r="E42" s="14">
        <f t="shared" si="3"/>
        <v>1</v>
      </c>
      <c r="F42" s="15"/>
      <c r="G42" s="15" t="s">
        <v>54</v>
      </c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94</v>
      </c>
      <c r="B43" s="13" t="s">
        <v>53</v>
      </c>
      <c r="C43" s="14">
        <v>34</v>
      </c>
      <c r="D43" s="14">
        <v>35</v>
      </c>
      <c r="E43" s="14">
        <f t="shared" si="3"/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94</v>
      </c>
      <c r="B44" s="13" t="s">
        <v>53</v>
      </c>
      <c r="C44" s="14">
        <v>35</v>
      </c>
      <c r="D44" s="14">
        <v>36</v>
      </c>
      <c r="E44" s="14">
        <f t="shared" si="3"/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94</v>
      </c>
      <c r="B45" s="13" t="s">
        <v>53</v>
      </c>
      <c r="C45" s="14">
        <v>36</v>
      </c>
      <c r="D45" s="14">
        <v>37</v>
      </c>
      <c r="E45" s="14">
        <f t="shared" si="3"/>
        <v>1</v>
      </c>
      <c r="F45" s="15"/>
      <c r="G45" s="15" t="s">
        <v>54</v>
      </c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94</v>
      </c>
      <c r="B46" s="13" t="s">
        <v>53</v>
      </c>
      <c r="C46" s="14">
        <v>37</v>
      </c>
      <c r="D46" s="14">
        <v>38</v>
      </c>
      <c r="E46" s="14">
        <f t="shared" si="3"/>
        <v>1</v>
      </c>
      <c r="F46" s="15"/>
      <c r="G46" s="15" t="s">
        <v>54</v>
      </c>
      <c r="H46" s="15"/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94</v>
      </c>
      <c r="B47" s="13" t="s">
        <v>53</v>
      </c>
      <c r="C47" s="14">
        <v>38</v>
      </c>
      <c r="D47" s="14">
        <v>39</v>
      </c>
      <c r="E47" s="14">
        <f t="shared" si="3"/>
        <v>1</v>
      </c>
      <c r="F47" s="15"/>
      <c r="G47" s="15" t="s">
        <v>54</v>
      </c>
      <c r="H47" s="15"/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94</v>
      </c>
      <c r="B48" s="13" t="s">
        <v>53</v>
      </c>
      <c r="C48" s="14">
        <v>39</v>
      </c>
      <c r="D48" s="14">
        <v>40</v>
      </c>
      <c r="E48" s="14">
        <f t="shared" si="3"/>
        <v>1</v>
      </c>
      <c r="F48" s="15"/>
      <c r="G48" s="15" t="s">
        <v>54</v>
      </c>
      <c r="H48" s="15"/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94</v>
      </c>
      <c r="B49" s="13" t="s">
        <v>53</v>
      </c>
      <c r="C49" s="14">
        <v>40</v>
      </c>
      <c r="D49" s="14">
        <v>41</v>
      </c>
      <c r="E49" s="14">
        <f t="shared" si="3"/>
        <v>1</v>
      </c>
      <c r="F49" s="15"/>
      <c r="G49" s="15" t="s">
        <v>54</v>
      </c>
      <c r="H49" s="15"/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94</v>
      </c>
      <c r="B50" s="13" t="s">
        <v>53</v>
      </c>
      <c r="C50" s="14">
        <v>41</v>
      </c>
      <c r="D50" s="14">
        <v>42</v>
      </c>
      <c r="E50" s="14">
        <f t="shared" si="3"/>
        <v>1</v>
      </c>
      <c r="F50" s="15"/>
      <c r="G50" s="15" t="s">
        <v>54</v>
      </c>
      <c r="H50" s="15"/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94</v>
      </c>
      <c r="B51" s="13" t="s">
        <v>53</v>
      </c>
      <c r="C51" s="14">
        <v>42</v>
      </c>
      <c r="D51" s="14">
        <v>43</v>
      </c>
      <c r="E51" s="14">
        <f t="shared" si="3"/>
        <v>1</v>
      </c>
      <c r="F51" s="15"/>
      <c r="G51" s="15" t="s">
        <v>54</v>
      </c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94</v>
      </c>
      <c r="B52" s="13" t="s">
        <v>53</v>
      </c>
      <c r="C52" s="14">
        <v>43</v>
      </c>
      <c r="D52" s="14">
        <v>44</v>
      </c>
      <c r="E52" s="14">
        <f t="shared" si="3"/>
        <v>1</v>
      </c>
      <c r="F52" s="15"/>
      <c r="G52" s="15" t="s">
        <v>54</v>
      </c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94</v>
      </c>
      <c r="B53" s="13" t="s">
        <v>53</v>
      </c>
      <c r="C53" s="14">
        <v>44</v>
      </c>
      <c r="D53" s="14">
        <v>45</v>
      </c>
      <c r="E53" s="14">
        <f t="shared" si="3"/>
        <v>1</v>
      </c>
      <c r="F53" s="15"/>
      <c r="G53" s="15" t="s">
        <v>54</v>
      </c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94</v>
      </c>
      <c r="B54" s="13" t="s">
        <v>53</v>
      </c>
      <c r="C54" s="14">
        <v>45</v>
      </c>
      <c r="D54" s="14">
        <v>46</v>
      </c>
      <c r="E54" s="14">
        <f t="shared" si="3"/>
        <v>1</v>
      </c>
      <c r="F54" s="15"/>
      <c r="G54" s="15" t="s">
        <v>54</v>
      </c>
      <c r="H54" s="15"/>
      <c r="I54" s="15"/>
      <c r="J54" s="15"/>
      <c r="K54" s="15" t="s">
        <v>54</v>
      </c>
      <c r="L54" s="15"/>
      <c r="M54" s="15"/>
      <c r="N54" s="15" t="s">
        <v>54</v>
      </c>
      <c r="O54" s="15"/>
      <c r="P54" s="15"/>
      <c r="Q54" s="15" t="s">
        <v>54</v>
      </c>
      <c r="R54" s="15"/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94</v>
      </c>
      <c r="B55" s="13" t="s">
        <v>53</v>
      </c>
      <c r="C55" s="14">
        <v>46</v>
      </c>
      <c r="D55" s="14">
        <v>47</v>
      </c>
      <c r="E55" s="14">
        <f t="shared" si="3"/>
        <v>1</v>
      </c>
      <c r="F55" s="15"/>
      <c r="G55" s="15" t="s">
        <v>54</v>
      </c>
      <c r="H55" s="15"/>
      <c r="I55" s="15"/>
      <c r="J55" s="15"/>
      <c r="K55" s="15" t="s">
        <v>54</v>
      </c>
      <c r="L55" s="15"/>
      <c r="M55" s="15"/>
      <c r="N55" s="15" t="s">
        <v>54</v>
      </c>
      <c r="O55" s="15"/>
      <c r="P55" s="15"/>
      <c r="Q55" s="15" t="s">
        <v>54</v>
      </c>
      <c r="R55" s="15"/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94</v>
      </c>
      <c r="B56" s="13" t="s">
        <v>53</v>
      </c>
      <c r="C56" s="14">
        <v>47</v>
      </c>
      <c r="D56" s="14">
        <v>48</v>
      </c>
      <c r="E56" s="14">
        <f t="shared" si="3"/>
        <v>1</v>
      </c>
      <c r="F56" s="15"/>
      <c r="G56" s="15" t="s">
        <v>54</v>
      </c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/>
      <c r="Q56" s="15" t="s">
        <v>54</v>
      </c>
      <c r="R56" s="15"/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94</v>
      </c>
      <c r="B57" s="13" t="s">
        <v>53</v>
      </c>
      <c r="C57" s="14">
        <v>48</v>
      </c>
      <c r="D57" s="14">
        <v>49</v>
      </c>
      <c r="E57" s="14">
        <f t="shared" si="3"/>
        <v>1</v>
      </c>
      <c r="F57" s="15"/>
      <c r="G57" s="15" t="s">
        <v>54</v>
      </c>
      <c r="H57" s="15"/>
      <c r="I57" s="15"/>
      <c r="J57" s="15"/>
      <c r="K57" s="15" t="s">
        <v>54</v>
      </c>
      <c r="L57" s="15"/>
      <c r="M57" s="15"/>
      <c r="N57" s="15" t="s">
        <v>54</v>
      </c>
      <c r="O57" s="15"/>
      <c r="P57" s="15"/>
      <c r="Q57" s="15" t="s">
        <v>54</v>
      </c>
      <c r="R57" s="15"/>
      <c r="S57" s="15"/>
      <c r="T57" s="15" t="s">
        <v>54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94</v>
      </c>
      <c r="B58" s="13" t="s">
        <v>53</v>
      </c>
      <c r="C58" s="14">
        <v>49</v>
      </c>
      <c r="D58" s="14">
        <v>50</v>
      </c>
      <c r="E58" s="14">
        <f t="shared" si="3"/>
        <v>1</v>
      </c>
      <c r="F58" s="15"/>
      <c r="G58" s="15" t="s">
        <v>54</v>
      </c>
      <c r="H58" s="15"/>
      <c r="I58" s="15"/>
      <c r="J58" s="15"/>
      <c r="K58" s="15" t="s">
        <v>54</v>
      </c>
      <c r="L58" s="15"/>
      <c r="M58" s="15"/>
      <c r="N58" s="15" t="s">
        <v>54</v>
      </c>
      <c r="O58" s="15"/>
      <c r="P58" s="15"/>
      <c r="Q58" s="15" t="s">
        <v>54</v>
      </c>
      <c r="R58" s="15"/>
      <c r="S58" s="15"/>
      <c r="T58" s="15" t="s">
        <v>54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94</v>
      </c>
      <c r="B59" s="13" t="s">
        <v>53</v>
      </c>
      <c r="C59" s="14">
        <v>50</v>
      </c>
      <c r="D59" s="14">
        <v>51</v>
      </c>
      <c r="E59" s="14">
        <f t="shared" si="3"/>
        <v>1</v>
      </c>
      <c r="F59" s="15"/>
      <c r="G59" s="15" t="s">
        <v>54</v>
      </c>
      <c r="H59" s="15"/>
      <c r="I59" s="15"/>
      <c r="J59" s="15"/>
      <c r="K59" s="15" t="s">
        <v>54</v>
      </c>
      <c r="L59" s="15"/>
      <c r="M59" s="15"/>
      <c r="N59" s="15" t="s">
        <v>54</v>
      </c>
      <c r="O59" s="15"/>
      <c r="P59" s="15"/>
      <c r="Q59" s="15" t="s">
        <v>54</v>
      </c>
      <c r="R59" s="15"/>
      <c r="S59" s="15"/>
      <c r="T59" s="15" t="s">
        <v>54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94</v>
      </c>
      <c r="B60" s="13" t="s">
        <v>53</v>
      </c>
      <c r="C60" s="14">
        <v>51</v>
      </c>
      <c r="D60" s="14">
        <v>52</v>
      </c>
      <c r="E60" s="14">
        <f t="shared" si="3"/>
        <v>1</v>
      </c>
      <c r="F60" s="15"/>
      <c r="G60" s="15" t="s">
        <v>54</v>
      </c>
      <c r="H60" s="15"/>
      <c r="I60" s="15"/>
      <c r="J60" s="15"/>
      <c r="K60" s="15" t="s">
        <v>54</v>
      </c>
      <c r="L60" s="15"/>
      <c r="M60" s="15"/>
      <c r="N60" s="15" t="s">
        <v>54</v>
      </c>
      <c r="O60" s="15"/>
      <c r="P60" s="15"/>
      <c r="Q60" s="15" t="s">
        <v>54</v>
      </c>
      <c r="R60" s="15"/>
      <c r="S60" s="15"/>
      <c r="T60" s="15" t="s">
        <v>54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94</v>
      </c>
      <c r="B61" s="13" t="s">
        <v>53</v>
      </c>
      <c r="C61" s="14">
        <v>52</v>
      </c>
      <c r="D61" s="14">
        <v>53</v>
      </c>
      <c r="E61" s="14">
        <f t="shared" si="3"/>
        <v>1</v>
      </c>
      <c r="F61" s="15"/>
      <c r="G61" s="15" t="s">
        <v>54</v>
      </c>
      <c r="H61" s="15"/>
      <c r="I61" s="15"/>
      <c r="J61" s="15"/>
      <c r="K61" s="15" t="s">
        <v>54</v>
      </c>
      <c r="L61" s="15"/>
      <c r="M61" s="15"/>
      <c r="N61" s="15" t="s">
        <v>54</v>
      </c>
      <c r="O61" s="15"/>
      <c r="P61" s="15"/>
      <c r="Q61" s="15" t="s">
        <v>54</v>
      </c>
      <c r="R61" s="15"/>
      <c r="S61" s="15"/>
      <c r="T61" s="15" t="s">
        <v>54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94</v>
      </c>
      <c r="B62" s="13" t="s">
        <v>53</v>
      </c>
      <c r="C62" s="14">
        <v>53</v>
      </c>
      <c r="D62" s="14">
        <v>54</v>
      </c>
      <c r="E62" s="14">
        <f t="shared" si="3"/>
        <v>1</v>
      </c>
      <c r="F62" s="15"/>
      <c r="G62" s="15" t="s">
        <v>54</v>
      </c>
      <c r="H62" s="15"/>
      <c r="I62" s="15"/>
      <c r="J62" s="15"/>
      <c r="K62" s="15" t="s">
        <v>54</v>
      </c>
      <c r="L62" s="15"/>
      <c r="M62" s="15"/>
      <c r="N62" s="15" t="s">
        <v>54</v>
      </c>
      <c r="O62" s="15"/>
      <c r="P62" s="15"/>
      <c r="Q62" s="15" t="s">
        <v>54</v>
      </c>
      <c r="R62" s="15"/>
      <c r="S62" s="15"/>
      <c r="T62" s="15" t="s">
        <v>54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94</v>
      </c>
      <c r="B63" s="13" t="s">
        <v>53</v>
      </c>
      <c r="C63" s="14">
        <v>54</v>
      </c>
      <c r="D63" s="14">
        <v>55</v>
      </c>
      <c r="E63" s="14">
        <f t="shared" si="3"/>
        <v>1</v>
      </c>
      <c r="F63" s="15"/>
      <c r="G63" s="15" t="s">
        <v>54</v>
      </c>
      <c r="H63" s="15"/>
      <c r="I63" s="15"/>
      <c r="J63" s="15"/>
      <c r="K63" s="15" t="s">
        <v>54</v>
      </c>
      <c r="L63" s="15"/>
      <c r="M63" s="15"/>
      <c r="N63" s="15" t="s">
        <v>54</v>
      </c>
      <c r="O63" s="15"/>
      <c r="P63" s="15"/>
      <c r="Q63" s="15" t="s">
        <v>54</v>
      </c>
      <c r="R63" s="15"/>
      <c r="S63" s="15"/>
      <c r="T63" s="15" t="s">
        <v>54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94</v>
      </c>
      <c r="B64" s="13" t="s">
        <v>53</v>
      </c>
      <c r="C64" s="14">
        <v>55</v>
      </c>
      <c r="D64" s="14">
        <v>56</v>
      </c>
      <c r="E64" s="14">
        <f t="shared" si="3"/>
        <v>1</v>
      </c>
      <c r="F64" s="15"/>
      <c r="G64" s="15" t="s">
        <v>54</v>
      </c>
      <c r="H64" s="15"/>
      <c r="I64" s="15"/>
      <c r="J64" s="15"/>
      <c r="K64" s="15" t="s">
        <v>54</v>
      </c>
      <c r="L64" s="15"/>
      <c r="M64" s="15"/>
      <c r="N64" s="15" t="s">
        <v>54</v>
      </c>
      <c r="O64" s="15"/>
      <c r="P64" s="15"/>
      <c r="Q64" s="15" t="s">
        <v>54</v>
      </c>
      <c r="R64" s="15"/>
      <c r="S64" s="15"/>
      <c r="T64" s="15" t="s">
        <v>54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94</v>
      </c>
      <c r="B65" s="13" t="s">
        <v>53</v>
      </c>
      <c r="C65" s="14">
        <v>56</v>
      </c>
      <c r="D65" s="14">
        <v>57</v>
      </c>
      <c r="E65" s="14">
        <f t="shared" si="3"/>
        <v>1</v>
      </c>
      <c r="F65" s="15"/>
      <c r="G65" s="15" t="s">
        <v>54</v>
      </c>
      <c r="H65" s="15"/>
      <c r="I65" s="15"/>
      <c r="J65" s="15"/>
      <c r="K65" s="15" t="s">
        <v>54</v>
      </c>
      <c r="L65" s="15"/>
      <c r="M65" s="15"/>
      <c r="N65" s="15" t="s">
        <v>54</v>
      </c>
      <c r="O65" s="15"/>
      <c r="P65" s="15"/>
      <c r="Q65" s="15" t="s">
        <v>54</v>
      </c>
      <c r="R65" s="15"/>
      <c r="S65" s="15"/>
      <c r="T65" s="15" t="s">
        <v>54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94</v>
      </c>
      <c r="B66" s="13" t="s">
        <v>53</v>
      </c>
      <c r="C66" s="14">
        <v>57</v>
      </c>
      <c r="D66" s="14">
        <v>58</v>
      </c>
      <c r="E66" s="14">
        <f t="shared" si="3"/>
        <v>1</v>
      </c>
      <c r="F66" s="15"/>
      <c r="G66" s="15" t="s">
        <v>54</v>
      </c>
      <c r="H66" s="15"/>
      <c r="I66" s="15"/>
      <c r="J66" s="15"/>
      <c r="K66" s="15" t="s">
        <v>54</v>
      </c>
      <c r="L66" s="15"/>
      <c r="M66" s="15"/>
      <c r="N66" s="15" t="s">
        <v>54</v>
      </c>
      <c r="O66" s="15"/>
      <c r="P66" s="15"/>
      <c r="Q66" s="15" t="s">
        <v>54</v>
      </c>
      <c r="R66" s="15"/>
      <c r="S66" s="15"/>
      <c r="T66" s="15" t="s">
        <v>54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8" t="s">
        <v>94</v>
      </c>
      <c r="B67" s="19" t="s">
        <v>53</v>
      </c>
      <c r="C67" s="20">
        <v>58</v>
      </c>
      <c r="D67" s="20">
        <v>58.7553489107</v>
      </c>
      <c r="E67" s="20">
        <f t="shared" si="3"/>
        <v>0.75534891070000043</v>
      </c>
      <c r="F67" s="21"/>
      <c r="G67" s="21"/>
      <c r="H67" s="21" t="s">
        <v>54</v>
      </c>
      <c r="I67" s="21"/>
      <c r="J67" s="21"/>
      <c r="K67" s="21" t="s">
        <v>54</v>
      </c>
      <c r="L67" s="21"/>
      <c r="M67" s="21"/>
      <c r="N67" s="21" t="s">
        <v>54</v>
      </c>
      <c r="O67" s="21"/>
      <c r="P67" s="21"/>
      <c r="Q67" s="21" t="s">
        <v>54</v>
      </c>
      <c r="R67" s="21"/>
      <c r="S67" s="21"/>
      <c r="T67" s="21" t="s">
        <v>54</v>
      </c>
      <c r="U67" s="21"/>
      <c r="V67" s="22"/>
      <c r="W67" s="23" t="str">
        <f t="shared" si="4"/>
        <v>OK</v>
      </c>
    </row>
    <row r="68" spans="1:23" ht="15.95" customHeight="1" x14ac:dyDescent="0.25">
      <c r="A68" s="59" t="s">
        <v>95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4"/>
      <c r="W68" s="4"/>
    </row>
    <row r="69" spans="1:23" ht="20.100000000000001" customHeight="1" x14ac:dyDescent="0.25">
      <c r="A69" s="18" t="s">
        <v>96</v>
      </c>
      <c r="B69" s="19" t="s">
        <v>53</v>
      </c>
      <c r="C69" s="20">
        <v>0</v>
      </c>
      <c r="D69" s="20">
        <v>0.99026287712899996</v>
      </c>
      <c r="E69" s="20">
        <f>D69-C69</f>
        <v>0.99026287712899996</v>
      </c>
      <c r="F69" s="21"/>
      <c r="G69" s="21"/>
      <c r="H69" s="21" t="s">
        <v>54</v>
      </c>
      <c r="I69" s="21"/>
      <c r="J69" s="21"/>
      <c r="K69" s="21" t="s">
        <v>54</v>
      </c>
      <c r="L69" s="21"/>
      <c r="M69" s="21" t="s">
        <v>54</v>
      </c>
      <c r="N69" s="21"/>
      <c r="O69" s="21"/>
      <c r="P69" s="21"/>
      <c r="Q69" s="21"/>
      <c r="R69" s="21" t="s">
        <v>54</v>
      </c>
      <c r="S69" s="21"/>
      <c r="T69" s="21" t="s">
        <v>54</v>
      </c>
      <c r="U69" s="21"/>
      <c r="V69" s="22"/>
      <c r="W69" s="23" t="str">
        <f>IF(COUNTA(F69:U69)=0,"— não preenchido",IF(COUNTIF(F69:J69,"X")&lt;&gt;1,"FALTA/DUPLA: CONDIÇÃO DO PAVIMENTO",IF(COUNTIF(K69:L69,"X")&lt;&gt;1,"FALTA/DUPLA: VEGETAÇÃO",IF(COUNTIF(M69:O69,"X")&lt;&gt;1,"FALTA/DUPLA: ELEM. DE DRENAGEM",IF(COUNTIF(P69:R69,"X")&lt;&gt;1,"FALTA/DUPLA: SIN. HORIZ.",IF(COUNTIF(S69:U69,"X")&lt;&gt;1,"FALTA/DUPLA: SIN. VERTICAL","OK"))))))</f>
        <v>OK</v>
      </c>
    </row>
    <row r="71" spans="1:23" x14ac:dyDescent="0.25">
      <c r="A71" s="61" t="s">
        <v>62</v>
      </c>
      <c r="B71" s="42"/>
      <c r="C71" s="42"/>
      <c r="D71" s="42"/>
      <c r="E71" s="42"/>
      <c r="G71" s="61" t="s">
        <v>62</v>
      </c>
      <c r="H71" s="42"/>
      <c r="I71" s="42"/>
      <c r="J71" s="42"/>
      <c r="K71" s="42"/>
    </row>
    <row r="72" spans="1:23" x14ac:dyDescent="0.25">
      <c r="A72" s="58" t="s">
        <v>63</v>
      </c>
      <c r="B72" s="42"/>
      <c r="C72" s="42"/>
      <c r="D72" s="42"/>
      <c r="E72" s="42"/>
      <c r="G72" s="58" t="s">
        <v>64</v>
      </c>
      <c r="H72" s="42"/>
      <c r="I72" s="42"/>
      <c r="J72" s="42"/>
      <c r="K72" s="42"/>
    </row>
    <row r="74" spans="1:23" x14ac:dyDescent="0.25">
      <c r="A74" s="64" t="s">
        <v>65</v>
      </c>
      <c r="B74" s="42"/>
      <c r="C74" s="42"/>
      <c r="D74" s="42"/>
      <c r="E74" s="42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</row>
    <row r="75" spans="1:23" x14ac:dyDescent="0.25">
      <c r="A75" s="53" t="s">
        <v>66</v>
      </c>
      <c r="B75" s="42"/>
      <c r="C75" s="42"/>
      <c r="D75" s="42"/>
      <c r="E75" s="42"/>
      <c r="F75" s="9">
        <f t="shared" ref="F75:U75" si="5">SUMIF(F$9:F$69,"X",$E$9:$E$69)</f>
        <v>0</v>
      </c>
      <c r="G75" s="9">
        <f t="shared" si="5"/>
        <v>56</v>
      </c>
      <c r="H75" s="9">
        <f t="shared" si="5"/>
        <v>3.7456117878290005</v>
      </c>
      <c r="I75" s="9">
        <f t="shared" si="5"/>
        <v>0</v>
      </c>
      <c r="J75" s="9">
        <f t="shared" si="5"/>
        <v>0</v>
      </c>
      <c r="K75" s="9">
        <f t="shared" si="5"/>
        <v>59.745611787828999</v>
      </c>
      <c r="L75" s="9">
        <f t="shared" si="5"/>
        <v>0</v>
      </c>
      <c r="M75" s="9">
        <f t="shared" si="5"/>
        <v>0.99026287712899996</v>
      </c>
      <c r="N75" s="9">
        <f t="shared" si="5"/>
        <v>58.7553489107</v>
      </c>
      <c r="O75" s="9">
        <f t="shared" si="5"/>
        <v>0</v>
      </c>
      <c r="P75" s="9">
        <f t="shared" si="5"/>
        <v>0</v>
      </c>
      <c r="Q75" s="9">
        <f t="shared" si="5"/>
        <v>57.7553489107</v>
      </c>
      <c r="R75" s="9">
        <f t="shared" si="5"/>
        <v>1.9902628771290001</v>
      </c>
      <c r="S75" s="9">
        <f t="shared" si="5"/>
        <v>0</v>
      </c>
      <c r="T75" s="9">
        <f t="shared" si="5"/>
        <v>59.745611787828999</v>
      </c>
      <c r="U75" s="9">
        <f t="shared" si="5"/>
        <v>0</v>
      </c>
    </row>
    <row r="76" spans="1:23" x14ac:dyDescent="0.25">
      <c r="A76" s="53" t="s">
        <v>67</v>
      </c>
      <c r="B76" s="42"/>
      <c r="C76" s="42"/>
      <c r="D76" s="42"/>
      <c r="E76" s="42"/>
      <c r="F76" s="25">
        <f t="shared" ref="F76:U76" si="6">IF($R78=0,0,F75/$R78)</f>
        <v>0</v>
      </c>
      <c r="G76" s="25">
        <f t="shared" si="6"/>
        <v>0.93730733227520435</v>
      </c>
      <c r="H76" s="25">
        <f t="shared" si="6"/>
        <v>6.2692667724795703E-2</v>
      </c>
      <c r="I76" s="25">
        <f t="shared" si="6"/>
        <v>0</v>
      </c>
      <c r="J76" s="25">
        <f t="shared" si="6"/>
        <v>0</v>
      </c>
      <c r="K76" s="25">
        <f t="shared" si="6"/>
        <v>1</v>
      </c>
      <c r="L76" s="25">
        <f t="shared" si="6"/>
        <v>0</v>
      </c>
      <c r="M76" s="25">
        <f t="shared" si="6"/>
        <v>1.657465456451699E-2</v>
      </c>
      <c r="N76" s="25">
        <f t="shared" si="6"/>
        <v>0.98342534543548299</v>
      </c>
      <c r="O76" s="25">
        <f t="shared" si="6"/>
        <v>0</v>
      </c>
      <c r="P76" s="25">
        <f t="shared" si="6"/>
        <v>0</v>
      </c>
      <c r="Q76" s="25">
        <f t="shared" si="6"/>
        <v>0.9666877145019972</v>
      </c>
      <c r="R76" s="25">
        <f t="shared" si="6"/>
        <v>3.3312285498002782E-2</v>
      </c>
      <c r="S76" s="25">
        <f t="shared" si="6"/>
        <v>0</v>
      </c>
      <c r="T76" s="25">
        <f t="shared" si="6"/>
        <v>1</v>
      </c>
      <c r="U76" s="25">
        <f t="shared" si="6"/>
        <v>0</v>
      </c>
    </row>
    <row r="77" spans="1:23" x14ac:dyDescent="0.25">
      <c r="A77" s="53" t="s">
        <v>68</v>
      </c>
      <c r="B77" s="42"/>
      <c r="C77" s="42"/>
      <c r="D77" s="42"/>
      <c r="E77" s="42"/>
      <c r="F77" s="49" t="str">
        <f>IF(SUM(F75:J75)=0,"— não preenchido",IF(ROUND(SUM(F75:J75)-$R78,3)=0,"OK — "&amp;ROUND(SUM(F75:J75),3)&amp;" km","ERRO — dif. de "&amp;ROUND(SUM(F75:J75)-$R78,3)&amp;" km"))</f>
        <v>OK — 59,746 km</v>
      </c>
      <c r="G77" s="46"/>
      <c r="H77" s="46"/>
      <c r="I77" s="46"/>
      <c r="J77" s="44"/>
      <c r="K77" s="49" t="str">
        <f>IF(SUM(K75:L75)=0,"— não preenchido",IF(ROUND(SUM(K75:L75)-$R78,3)=0,"OK — "&amp;ROUND(SUM(K75:L75),3)&amp;" km","ERRO — dif. de "&amp;ROUND(SUM(K75:L75)-$R78,3)&amp;" km"))</f>
        <v>OK — 59,746 km</v>
      </c>
      <c r="L77" s="44"/>
      <c r="M77" s="49" t="str">
        <f>IF(SUM(M75:O75)=0,"— não preenchido",IF(ROUND(SUM(M75:O75)-$R78,3)=0,"OK — "&amp;ROUND(SUM(M75:O75),3)&amp;" km","ERRO — dif. de "&amp;ROUND(SUM(M75:O75)-$R78,3)&amp;" km"))</f>
        <v>OK — 59,746 km</v>
      </c>
      <c r="N77" s="46"/>
      <c r="O77" s="44"/>
      <c r="P77" s="49" t="str">
        <f>IF(SUM(P75:R75)=0,"— não preenchido",IF(ROUND(SUM(P75:R75)-$R78,3)=0,"OK — "&amp;ROUND(SUM(P75:R75),3)&amp;" km","ERRO — dif. de "&amp;ROUND(SUM(P75:R75)-$R78,3)&amp;" km"))</f>
        <v>OK — 59,746 km</v>
      </c>
      <c r="Q77" s="46"/>
      <c r="R77" s="44"/>
      <c r="S77" s="49" t="str">
        <f>IF(SUM(S75:U75)=0,"— não preenchido",IF(ROUND(SUM(S75:U75)-$R78,3)=0,"OK — "&amp;ROUND(SUM(S75:U75),3)&amp;" km","ERRO — dif. de "&amp;ROUND(SUM(S75:U75)-$R78,3)&amp;" km"))</f>
        <v>OK — 59,746 km</v>
      </c>
      <c r="T77" s="46"/>
      <c r="U77" s="44"/>
    </row>
    <row r="78" spans="1:23" x14ac:dyDescent="0.25">
      <c r="A78" s="53" t="s">
        <v>69</v>
      </c>
      <c r="B78" s="42"/>
      <c r="C78" s="42"/>
      <c r="D78" s="42"/>
      <c r="E78" s="42"/>
      <c r="R78" s="26">
        <f>SUM(E9:E69)</f>
        <v>59.745611787828999</v>
      </c>
      <c r="V78" s="8" t="str">
        <f>COUNTIF(W9:W69,"OK")&amp;" de "&amp;COUNT($E$9:$E$69)&amp;" linhas conferidas"</f>
        <v>60 de 60 linhas conferidas</v>
      </c>
    </row>
    <row r="80" spans="1:23" x14ac:dyDescent="0.25">
      <c r="A80" s="62" t="s">
        <v>70</v>
      </c>
      <c r="B80" s="42"/>
      <c r="C80" s="42"/>
      <c r="D80" s="42"/>
      <c r="E80" s="42"/>
    </row>
    <row r="81" spans="1:22" x14ac:dyDescent="0.25">
      <c r="A81" s="53" t="s">
        <v>71</v>
      </c>
      <c r="B81" s="42"/>
      <c r="C81" s="42"/>
      <c r="D81" s="42"/>
      <c r="E81" s="48" t="s">
        <v>72</v>
      </c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spans="1:22" x14ac:dyDescent="0.25">
      <c r="A82" s="53" t="s">
        <v>73</v>
      </c>
      <c r="B82" s="42"/>
      <c r="C82" s="42"/>
      <c r="D82" s="42"/>
      <c r="E82" s="48" t="s">
        <v>74</v>
      </c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spans="1:22" x14ac:dyDescent="0.25">
      <c r="A83" s="53" t="s">
        <v>75</v>
      </c>
      <c r="B83" s="42"/>
      <c r="C83" s="42"/>
      <c r="D83" s="42"/>
      <c r="E83" s="48" t="s">
        <v>76</v>
      </c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spans="1:22" x14ac:dyDescent="0.25">
      <c r="A84" s="53" t="s">
        <v>77</v>
      </c>
      <c r="B84" s="42"/>
      <c r="C84" s="42"/>
      <c r="D84" s="42"/>
      <c r="E84" s="48" t="s">
        <v>78</v>
      </c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spans="1:22" x14ac:dyDescent="0.25">
      <c r="A85" s="53" t="s">
        <v>79</v>
      </c>
      <c r="B85" s="42"/>
      <c r="C85" s="42"/>
      <c r="D85" s="42"/>
      <c r="E85" s="48" t="s">
        <v>80</v>
      </c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 spans="1:22" x14ac:dyDescent="0.25">
      <c r="A86" s="53" t="s">
        <v>45</v>
      </c>
      <c r="B86" s="42"/>
      <c r="C86" s="42"/>
      <c r="D86" s="42"/>
      <c r="E86" s="48" t="s">
        <v>81</v>
      </c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 spans="1:22" x14ac:dyDescent="0.25">
      <c r="A87" s="53" t="s">
        <v>82</v>
      </c>
      <c r="B87" s="42"/>
      <c r="C87" s="42"/>
      <c r="D87" s="42"/>
      <c r="E87" s="48" t="s">
        <v>83</v>
      </c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 spans="1:22" x14ac:dyDescent="0.25">
      <c r="A88" s="53" t="s">
        <v>84</v>
      </c>
      <c r="B88" s="42"/>
      <c r="C88" s="42"/>
      <c r="D88" s="42"/>
      <c r="E88" s="48" t="s">
        <v>85</v>
      </c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spans="1:22" x14ac:dyDescent="0.25">
      <c r="A89" s="53" t="s">
        <v>11</v>
      </c>
      <c r="B89" s="42"/>
      <c r="C89" s="42"/>
      <c r="D89" s="42"/>
      <c r="E89" s="48" t="s">
        <v>86</v>
      </c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</row>
  </sheetData>
  <sheetProtection formatCells="0"/>
  <mergeCells count="58">
    <mergeCell ref="E88:V88"/>
    <mergeCell ref="G72:K72"/>
    <mergeCell ref="E82:V82"/>
    <mergeCell ref="S77:U77"/>
    <mergeCell ref="V6:V7"/>
    <mergeCell ref="A78:E78"/>
    <mergeCell ref="A83:D83"/>
    <mergeCell ref="E86:V86"/>
    <mergeCell ref="A81:D81"/>
    <mergeCell ref="E84:V84"/>
    <mergeCell ref="A4:V4"/>
    <mergeCell ref="A2:F2"/>
    <mergeCell ref="S6:U6"/>
    <mergeCell ref="M77:O77"/>
    <mergeCell ref="A77:E77"/>
    <mergeCell ref="K2:M2"/>
    <mergeCell ref="A68:V68"/>
    <mergeCell ref="N2:O2"/>
    <mergeCell ref="P2:Q2"/>
    <mergeCell ref="G2:H2"/>
    <mergeCell ref="I2:J2"/>
    <mergeCell ref="A8:V8"/>
    <mergeCell ref="G71:K71"/>
    <mergeCell ref="F6:J6"/>
    <mergeCell ref="P77:R77"/>
    <mergeCell ref="A6:A7"/>
    <mergeCell ref="E89:V89"/>
    <mergeCell ref="A82:D82"/>
    <mergeCell ref="W6:W7"/>
    <mergeCell ref="A75:E75"/>
    <mergeCell ref="E6:E7"/>
    <mergeCell ref="B6:B7"/>
    <mergeCell ref="A74:E74"/>
    <mergeCell ref="A80:E80"/>
    <mergeCell ref="E85:V85"/>
    <mergeCell ref="K77:L77"/>
    <mergeCell ref="A88:D88"/>
    <mergeCell ref="A89:D89"/>
    <mergeCell ref="E83:V83"/>
    <mergeCell ref="P6:R6"/>
    <mergeCell ref="E87:V87"/>
    <mergeCell ref="M6:O6"/>
    <mergeCell ref="A1:V1"/>
    <mergeCell ref="E81:V81"/>
    <mergeCell ref="A76:E76"/>
    <mergeCell ref="A71:E71"/>
    <mergeCell ref="A87:D87"/>
    <mergeCell ref="T3:V3"/>
    <mergeCell ref="A84:D84"/>
    <mergeCell ref="F77:J77"/>
    <mergeCell ref="A72:E72"/>
    <mergeCell ref="A86:D86"/>
    <mergeCell ref="A85:D85"/>
    <mergeCell ref="R2:V2"/>
    <mergeCell ref="A3:S3"/>
    <mergeCell ref="C6:C7"/>
    <mergeCell ref="K6:L6"/>
    <mergeCell ref="D6:D7"/>
  </mergeCells>
  <conditionalFormatting sqref="F9:J29 F30 H30:J30 F31:G31 I31:J31 F32:J69">
    <cfRule type="expression" dxfId="101" priority="2">
      <formula>AND(F9&lt;&gt;"",COUNTIF($F9:$J9,"X")&gt;1)</formula>
    </cfRule>
  </conditionalFormatting>
  <conditionalFormatting sqref="F77:U77">
    <cfRule type="expression" dxfId="100" priority="9">
      <formula>LEFT(F77,4)="ERRO"</formula>
    </cfRule>
    <cfRule type="expression" dxfId="99" priority="10">
      <formula>LEFT(F77,2)="OK"</formula>
    </cfRule>
  </conditionalFormatting>
  <conditionalFormatting sqref="G30">
    <cfRule type="expression" dxfId="98" priority="1">
      <formula>AND(G30&lt;&gt;"",COUNTIF($F29:$J29,"X")&gt;1)</formula>
    </cfRule>
  </conditionalFormatting>
  <conditionalFormatting sqref="H31">
    <cfRule type="expression" dxfId="97" priority="12">
      <formula>AND(H31&lt;&gt;"",COUNTIF($F30:$J30,"X")&gt;1)</formula>
    </cfRule>
  </conditionalFormatting>
  <conditionalFormatting sqref="K9:L69">
    <cfRule type="expression" dxfId="96" priority="3">
      <formula>AND(K9&lt;&gt;"",COUNTIF($K9:$L9,"X")&gt;1)</formula>
    </cfRule>
  </conditionalFormatting>
  <conditionalFormatting sqref="M9:O69">
    <cfRule type="expression" dxfId="95" priority="4">
      <formula>AND(M9&lt;&gt;"",COUNTIF($M9:$O9,"X")&gt;1)</formula>
    </cfRule>
  </conditionalFormatting>
  <conditionalFormatting sqref="P9:R69">
    <cfRule type="expression" dxfId="94" priority="5">
      <formula>AND(P9&lt;&gt;"",COUNTIF($P9:$R9,"X")&gt;1)</formula>
    </cfRule>
  </conditionalFormatting>
  <conditionalFormatting sqref="S9:U69">
    <cfRule type="expression" dxfId="93" priority="6">
      <formula>AND(S9&lt;&gt;"",COUNTIF($S9:$U9,"X")&gt;1)</formula>
    </cfRule>
  </conditionalFormatting>
  <conditionalFormatting sqref="W9:W69">
    <cfRule type="expression" dxfId="92" priority="7">
      <formula>AND(W9&lt;&gt;"OK",W9&lt;&gt;"")</formula>
    </cfRule>
    <cfRule type="expression" dxfId="91" priority="8">
      <formula>W9="OK"</formula>
    </cfRule>
  </conditionalFormatting>
  <dataValidations count="7">
    <dataValidation type="custom" allowBlank="1" showErrorMessage="1" errorTitle="Marcação inválida" error="Digite apenas X, e apenas uma X por grupo nesta linha._x000a_Grupo: VEGETAÇÃO" sqref="K9:L69" xr:uid="{6D3795BC-F9F0-4D19-9CEF-B8523594F6CB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9" xr:uid="{950030BB-8431-41F9-83A5-16D6F1772A2E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9" xr:uid="{AF73A26E-2343-48FC-A856-18C20D5CB62B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9" xr:uid="{14CCF1C7-92F1-443C-9C3C-6ECB02628E9E}">
      <formula1>AND(UPPER(S9)="X",COUNTIF($S9:$U9,"X")&lt;=1)</formula1>
    </dataValidation>
    <dataValidation type="list" showErrorMessage="1" errorTitle="Sentido inválido" error="Use C (crescente) ou D (decrescente)." sqref="B9:B69" xr:uid="{DE39C793-5735-4250-A6D6-47AB7D757270}">
      <formula1>"C,D"</formula1>
    </dataValidation>
    <dataValidation type="custom" allowBlank="1" showErrorMessage="1" errorTitle="Marcação inválida" error="Digite apenas X, e apenas uma X por grupo nesta linha._x000a_Grupo: CONDIÇÃO DO PAVIMENTO" sqref="F9:J29 F32:J69 H30:J30 I31:J31 G31 F30:F31" xr:uid="{3599771E-057D-47C2-884C-08D6FAFE70EE}">
      <formula1>AND(UPPER(F9)="X",COUNTIF($F9:$J9,"X")&lt;=1)</formula1>
    </dataValidation>
    <dataValidation type="custom" allowBlank="1" showErrorMessage="1" errorTitle="Marcação inválida" error="Digite apenas X, e apenas uma X por grupo nesta linha._x000a_Grupo: CONDIÇÃO DO PAVIMENTO" sqref="H31" xr:uid="{DCFDF323-FB91-41EE-B057-7169943F6447}">
      <formula1>AND(UPPER(H31)="X",COUNTIF($F30:$J30,"X")&lt;=1)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204</oddHeader>
    <oddFooter>&amp;L&amp;7 RTA / MSI — Programa de Manutenção Rodoviária&amp;C&amp;7 Página &amp;P de &amp;N&amp;R&amp;7 Impresso em &amp;D</oddFooter>
  </headerFooter>
  <rowBreaks count="1" manualBreakCount="1">
    <brk id="72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78"/>
  <sheetViews>
    <sheetView showGridLines="0" workbookViewId="0">
      <pane xSplit="5" ySplit="7" topLeftCell="F49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1" t="s">
        <v>36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Y1" s="1" t="s">
        <v>1</v>
      </c>
    </row>
    <row r="2" spans="1:40" ht="17.100000000000001" customHeight="1" x14ac:dyDescent="0.25">
      <c r="A2" s="54" t="s">
        <v>37</v>
      </c>
      <c r="B2" s="42"/>
      <c r="C2" s="42"/>
      <c r="D2" s="42"/>
      <c r="E2" s="42"/>
      <c r="F2" s="42"/>
      <c r="G2" s="50" t="s">
        <v>38</v>
      </c>
      <c r="H2" s="42"/>
      <c r="I2" s="51">
        <v>46266</v>
      </c>
      <c r="J2" s="52"/>
      <c r="K2" s="50" t="s">
        <v>39</v>
      </c>
      <c r="L2" s="42"/>
      <c r="M2" s="42"/>
      <c r="N2" s="55"/>
      <c r="O2" s="52"/>
      <c r="P2" s="50" t="s">
        <v>40</v>
      </c>
      <c r="Q2" s="42"/>
      <c r="R2" s="56" t="s">
        <v>154</v>
      </c>
      <c r="S2" s="57"/>
      <c r="T2" s="57"/>
      <c r="U2" s="57"/>
      <c r="V2" s="52"/>
      <c r="Y2" s="2">
        <f t="shared" ref="Y2:AN2" si="0">IF(F64=0,NA(),F64)</f>
        <v>27.836115982580001</v>
      </c>
      <c r="Z2" s="2">
        <f t="shared" si="0"/>
        <v>9</v>
      </c>
      <c r="AA2" s="2">
        <f t="shared" si="0"/>
        <v>10</v>
      </c>
      <c r="AB2" s="2" t="e">
        <f t="shared" si="0"/>
        <v>#N/A</v>
      </c>
      <c r="AC2" s="2" t="e">
        <f t="shared" si="0"/>
        <v>#N/A</v>
      </c>
      <c r="AD2" s="2">
        <f t="shared" si="0"/>
        <v>46.836115982579997</v>
      </c>
      <c r="AE2" s="2" t="e">
        <f t="shared" si="0"/>
        <v>#N/A</v>
      </c>
      <c r="AF2" s="2" t="e">
        <f t="shared" si="0"/>
        <v>#N/A</v>
      </c>
      <c r="AG2" s="2">
        <f t="shared" si="0"/>
        <v>46.836115982579997</v>
      </c>
      <c r="AH2" s="2" t="e">
        <f t="shared" si="0"/>
        <v>#N/A</v>
      </c>
      <c r="AI2" s="2">
        <f t="shared" si="0"/>
        <v>46.836115982579997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46.836115982579997</v>
      </c>
      <c r="AN2" s="2" t="e">
        <f t="shared" si="0"/>
        <v>#N/A</v>
      </c>
    </row>
    <row r="3" spans="1:40" ht="15" customHeight="1" x14ac:dyDescent="0.25">
      <c r="A3" s="63" t="s">
        <v>97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50" t="s">
        <v>98</v>
      </c>
      <c r="U3" s="42"/>
      <c r="V3" s="42"/>
    </row>
    <row r="4" spans="1:40" ht="20.100000000000001" customHeight="1" x14ac:dyDescent="0.25">
      <c r="A4" s="47" t="s">
        <v>43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6" spans="1:40" ht="21.95" customHeight="1" x14ac:dyDescent="0.25">
      <c r="A6" s="43" t="s">
        <v>44</v>
      </c>
      <c r="B6" s="43" t="s">
        <v>45</v>
      </c>
      <c r="C6" s="43" t="s">
        <v>46</v>
      </c>
      <c r="D6" s="43" t="s">
        <v>47</v>
      </c>
      <c r="E6" s="43" t="s">
        <v>48</v>
      </c>
      <c r="F6" s="43" t="s">
        <v>6</v>
      </c>
      <c r="G6" s="46"/>
      <c r="H6" s="46"/>
      <c r="I6" s="46"/>
      <c r="J6" s="44"/>
      <c r="K6" s="43" t="s">
        <v>7</v>
      </c>
      <c r="L6" s="44"/>
      <c r="M6" s="43" t="s">
        <v>8</v>
      </c>
      <c r="N6" s="46"/>
      <c r="O6" s="44"/>
      <c r="P6" s="43" t="s">
        <v>9</v>
      </c>
      <c r="Q6" s="46"/>
      <c r="R6" s="44"/>
      <c r="S6" s="43" t="s">
        <v>10</v>
      </c>
      <c r="T6" s="46"/>
      <c r="U6" s="44"/>
      <c r="V6" s="43" t="s">
        <v>49</v>
      </c>
      <c r="W6" s="43" t="s">
        <v>50</v>
      </c>
    </row>
    <row r="7" spans="1:40" ht="20.100000000000001" customHeight="1" x14ac:dyDescent="0.25">
      <c r="A7" s="45"/>
      <c r="B7" s="45"/>
      <c r="C7" s="45"/>
      <c r="D7" s="45"/>
      <c r="E7" s="4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45"/>
      <c r="W7" s="45"/>
    </row>
    <row r="8" spans="1:40" ht="15.95" customHeight="1" x14ac:dyDescent="0.25">
      <c r="A8" s="59" t="s">
        <v>99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4"/>
      <c r="W8" s="4"/>
    </row>
    <row r="9" spans="1:40" ht="20.100000000000001" customHeight="1" x14ac:dyDescent="0.25">
      <c r="A9" s="12" t="s">
        <v>100</v>
      </c>
      <c r="B9" s="13" t="s">
        <v>53</v>
      </c>
      <c r="C9" s="14">
        <v>0</v>
      </c>
      <c r="D9" s="14">
        <v>1</v>
      </c>
      <c r="E9" s="14">
        <f t="shared" ref="E9:E35" si="1">D9-C9</f>
        <v>1</v>
      </c>
      <c r="F9" s="15" t="s">
        <v>54</v>
      </c>
      <c r="G9" s="15"/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 t="s">
        <v>54</v>
      </c>
      <c r="Q9" s="15"/>
      <c r="R9" s="15"/>
      <c r="S9" s="15"/>
      <c r="T9" s="15" t="s">
        <v>54</v>
      </c>
      <c r="U9" s="15"/>
      <c r="V9" s="16"/>
      <c r="W9" s="17" t="str">
        <f t="shared" ref="W9:W3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100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 t="s">
        <v>54</v>
      </c>
      <c r="G10" s="15"/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 t="s">
        <v>54</v>
      </c>
      <c r="Q10" s="15"/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100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 t="s">
        <v>54</v>
      </c>
      <c r="G11" s="15"/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 t="s">
        <v>54</v>
      </c>
      <c r="Q11" s="15"/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100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 t="s">
        <v>54</v>
      </c>
      <c r="G12" s="15"/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 t="s">
        <v>54</v>
      </c>
      <c r="Q12" s="15"/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100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 t="s">
        <v>54</v>
      </c>
      <c r="G13" s="15"/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 t="s">
        <v>54</v>
      </c>
      <c r="Q13" s="15"/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100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 t="s">
        <v>54</v>
      </c>
      <c r="G14" s="15"/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 t="s">
        <v>54</v>
      </c>
      <c r="Q14" s="15"/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100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 t="s">
        <v>54</v>
      </c>
      <c r="G15" s="15"/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 t="s">
        <v>54</v>
      </c>
      <c r="Q15" s="15"/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100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 t="s">
        <v>54</v>
      </c>
      <c r="I16" s="15"/>
      <c r="J16" s="15"/>
      <c r="K16" s="15" t="s">
        <v>54</v>
      </c>
      <c r="L16" s="15"/>
      <c r="M16" s="15"/>
      <c r="N16" s="15" t="s">
        <v>54</v>
      </c>
      <c r="O16" s="15"/>
      <c r="P16" s="15" t="s">
        <v>54</v>
      </c>
      <c r="Q16" s="15"/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100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54</v>
      </c>
      <c r="I17" s="15"/>
      <c r="J17" s="15"/>
      <c r="K17" s="15" t="s">
        <v>54</v>
      </c>
      <c r="L17" s="15"/>
      <c r="M17" s="15"/>
      <c r="N17" s="15" t="s">
        <v>54</v>
      </c>
      <c r="O17" s="15"/>
      <c r="P17" s="15" t="s">
        <v>54</v>
      </c>
      <c r="Q17" s="15"/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100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54</v>
      </c>
      <c r="I18" s="15"/>
      <c r="J18" s="15"/>
      <c r="K18" s="15" t="s">
        <v>54</v>
      </c>
      <c r="L18" s="15"/>
      <c r="M18" s="15"/>
      <c r="N18" s="15" t="s">
        <v>54</v>
      </c>
      <c r="O18" s="15"/>
      <c r="P18" s="15" t="s">
        <v>54</v>
      </c>
      <c r="Q18" s="15"/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100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54</v>
      </c>
      <c r="I19" s="15"/>
      <c r="J19" s="15"/>
      <c r="K19" s="15" t="s">
        <v>54</v>
      </c>
      <c r="L19" s="15"/>
      <c r="M19" s="15"/>
      <c r="N19" s="15" t="s">
        <v>54</v>
      </c>
      <c r="O19" s="15"/>
      <c r="P19" s="15" t="s">
        <v>54</v>
      </c>
      <c r="Q19" s="15"/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100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54</v>
      </c>
      <c r="I20" s="15"/>
      <c r="J20" s="15"/>
      <c r="K20" s="15" t="s">
        <v>54</v>
      </c>
      <c r="L20" s="15"/>
      <c r="M20" s="15"/>
      <c r="N20" s="15" t="s">
        <v>54</v>
      </c>
      <c r="O20" s="15"/>
      <c r="P20" s="15" t="s">
        <v>54</v>
      </c>
      <c r="Q20" s="15"/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100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54</v>
      </c>
      <c r="I21" s="15"/>
      <c r="J21" s="15"/>
      <c r="K21" s="15" t="s">
        <v>54</v>
      </c>
      <c r="L21" s="15"/>
      <c r="M21" s="15"/>
      <c r="N21" s="15" t="s">
        <v>54</v>
      </c>
      <c r="O21" s="15"/>
      <c r="P21" s="15" t="s">
        <v>54</v>
      </c>
      <c r="Q21" s="15"/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100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54</v>
      </c>
      <c r="I22" s="15"/>
      <c r="J22" s="15"/>
      <c r="K22" s="15" t="s">
        <v>54</v>
      </c>
      <c r="L22" s="15"/>
      <c r="M22" s="15"/>
      <c r="N22" s="15" t="s">
        <v>54</v>
      </c>
      <c r="O22" s="15"/>
      <c r="P22" s="15" t="s">
        <v>54</v>
      </c>
      <c r="Q22" s="15"/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100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54</v>
      </c>
      <c r="I23" s="15"/>
      <c r="J23" s="15"/>
      <c r="K23" s="15" t="s">
        <v>54</v>
      </c>
      <c r="L23" s="15"/>
      <c r="M23" s="15"/>
      <c r="N23" s="15" t="s">
        <v>54</v>
      </c>
      <c r="O23" s="15"/>
      <c r="P23" s="15" t="s">
        <v>54</v>
      </c>
      <c r="Q23" s="15"/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100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54</v>
      </c>
      <c r="I24" s="15"/>
      <c r="J24" s="15"/>
      <c r="K24" s="15" t="s">
        <v>54</v>
      </c>
      <c r="L24" s="15"/>
      <c r="M24" s="15"/>
      <c r="N24" s="15" t="s">
        <v>54</v>
      </c>
      <c r="O24" s="15"/>
      <c r="P24" s="15" t="s">
        <v>54</v>
      </c>
      <c r="Q24" s="15"/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100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 t="s">
        <v>54</v>
      </c>
      <c r="G25" s="15"/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 t="s">
        <v>54</v>
      </c>
      <c r="Q25" s="15"/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100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 t="s">
        <v>54</v>
      </c>
      <c r="G26" s="15"/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 t="s">
        <v>54</v>
      </c>
      <c r="Q26" s="15"/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100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 t="s">
        <v>54</v>
      </c>
      <c r="G27" s="15"/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 t="s">
        <v>54</v>
      </c>
      <c r="Q27" s="15"/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100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 t="s">
        <v>54</v>
      </c>
      <c r="G28" s="15"/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 t="s">
        <v>54</v>
      </c>
      <c r="Q28" s="15"/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100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 t="s">
        <v>54</v>
      </c>
      <c r="G29" s="15"/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 t="s">
        <v>54</v>
      </c>
      <c r="Q29" s="15"/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100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 t="s">
        <v>54</v>
      </c>
      <c r="G30" s="15"/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 t="s">
        <v>54</v>
      </c>
      <c r="Q30" s="15"/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100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 t="s">
        <v>54</v>
      </c>
      <c r="G31" s="15"/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 t="s">
        <v>54</v>
      </c>
      <c r="Q31" s="15"/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100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 t="s">
        <v>54</v>
      </c>
      <c r="G32" s="15"/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 t="s">
        <v>54</v>
      </c>
      <c r="Q32" s="15"/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100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 t="s">
        <v>54</v>
      </c>
      <c r="G33" s="15"/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 t="s">
        <v>54</v>
      </c>
      <c r="Q33" s="15"/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100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 t="s">
        <v>54</v>
      </c>
      <c r="G34" s="15"/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 t="s">
        <v>54</v>
      </c>
      <c r="Q34" s="15"/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8" t="s">
        <v>100</v>
      </c>
      <c r="B35" s="19" t="s">
        <v>53</v>
      </c>
      <c r="C35" s="20">
        <v>26</v>
      </c>
      <c r="D35" s="20">
        <v>26.907003094499998</v>
      </c>
      <c r="E35" s="20">
        <f t="shared" si="1"/>
        <v>0.9070030944999985</v>
      </c>
      <c r="F35" s="21" t="s">
        <v>54</v>
      </c>
      <c r="G35" s="21"/>
      <c r="H35" s="21"/>
      <c r="I35" s="21"/>
      <c r="J35" s="21"/>
      <c r="K35" s="21" t="s">
        <v>54</v>
      </c>
      <c r="L35" s="21"/>
      <c r="M35" s="21"/>
      <c r="N35" s="21" t="s">
        <v>54</v>
      </c>
      <c r="O35" s="21"/>
      <c r="P35" s="21" t="s">
        <v>54</v>
      </c>
      <c r="Q35" s="21"/>
      <c r="R35" s="21"/>
      <c r="S35" s="21"/>
      <c r="T35" s="21" t="s">
        <v>54</v>
      </c>
      <c r="U35" s="21"/>
      <c r="V35" s="22"/>
      <c r="W35" s="23" t="str">
        <f t="shared" si="2"/>
        <v>OK</v>
      </c>
    </row>
    <row r="36" spans="1:23" ht="15.95" customHeight="1" x14ac:dyDescent="0.25">
      <c r="A36" s="59" t="s">
        <v>101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4"/>
      <c r="W36" s="4"/>
    </row>
    <row r="37" spans="1:23" ht="20.100000000000001" customHeight="1" x14ac:dyDescent="0.25">
      <c r="A37" s="12" t="s">
        <v>102</v>
      </c>
      <c r="B37" s="13" t="s">
        <v>53</v>
      </c>
      <c r="C37" s="14">
        <v>0</v>
      </c>
      <c r="D37" s="14">
        <v>1</v>
      </c>
      <c r="E37" s="14">
        <f t="shared" ref="E37:E53" si="3">D37-C37</f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 t="s">
        <v>54</v>
      </c>
      <c r="Q37" s="15"/>
      <c r="R37" s="15"/>
      <c r="S37" s="15"/>
      <c r="T37" s="15" t="s">
        <v>54</v>
      </c>
      <c r="U37" s="15"/>
      <c r="V37" s="16"/>
      <c r="W37" s="17" t="str">
        <f t="shared" ref="W37:W53" si="4"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2" t="s">
        <v>102</v>
      </c>
      <c r="B38" s="13" t="s">
        <v>53</v>
      </c>
      <c r="C38" s="14">
        <v>1</v>
      </c>
      <c r="D38" s="14">
        <v>2</v>
      </c>
      <c r="E38" s="14">
        <f t="shared" si="3"/>
        <v>1</v>
      </c>
      <c r="F38" s="15" t="s">
        <v>54</v>
      </c>
      <c r="G38" s="15"/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 t="s">
        <v>54</v>
      </c>
      <c r="Q38" s="15"/>
      <c r="R38" s="15"/>
      <c r="S38" s="15"/>
      <c r="T38" s="15" t="s">
        <v>54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102</v>
      </c>
      <c r="B39" s="13" t="s">
        <v>53</v>
      </c>
      <c r="C39" s="14">
        <v>2</v>
      </c>
      <c r="D39" s="14">
        <v>3</v>
      </c>
      <c r="E39" s="14">
        <f t="shared" si="3"/>
        <v>1</v>
      </c>
      <c r="F39" s="15" t="s">
        <v>54</v>
      </c>
      <c r="G39" s="15"/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 t="s">
        <v>54</v>
      </c>
      <c r="Q39" s="15"/>
      <c r="R39" s="15"/>
      <c r="S39" s="15"/>
      <c r="T39" s="15" t="s">
        <v>54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102</v>
      </c>
      <c r="B40" s="13" t="s">
        <v>53</v>
      </c>
      <c r="C40" s="14">
        <v>3</v>
      </c>
      <c r="D40" s="14">
        <v>4</v>
      </c>
      <c r="E40" s="14">
        <f t="shared" si="3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 t="s">
        <v>54</v>
      </c>
      <c r="Q40" s="15"/>
      <c r="R40" s="15"/>
      <c r="S40" s="15"/>
      <c r="T40" s="15" t="s">
        <v>54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102</v>
      </c>
      <c r="B41" s="13" t="s">
        <v>53</v>
      </c>
      <c r="C41" s="14">
        <v>4</v>
      </c>
      <c r="D41" s="14">
        <v>5</v>
      </c>
      <c r="E41" s="14">
        <f t="shared" si="3"/>
        <v>1</v>
      </c>
      <c r="F41" s="15"/>
      <c r="G41" s="15" t="s">
        <v>54</v>
      </c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 t="s">
        <v>54</v>
      </c>
      <c r="Q41" s="15"/>
      <c r="R41" s="15"/>
      <c r="S41" s="15"/>
      <c r="T41" s="15" t="s">
        <v>54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102</v>
      </c>
      <c r="B42" s="13" t="s">
        <v>53</v>
      </c>
      <c r="C42" s="14">
        <v>5</v>
      </c>
      <c r="D42" s="14">
        <v>6</v>
      </c>
      <c r="E42" s="14">
        <f t="shared" si="3"/>
        <v>1</v>
      </c>
      <c r="F42" s="15"/>
      <c r="G42" s="15" t="s">
        <v>54</v>
      </c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 t="s">
        <v>54</v>
      </c>
      <c r="Q42" s="15"/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102</v>
      </c>
      <c r="B43" s="13" t="s">
        <v>53</v>
      </c>
      <c r="C43" s="14">
        <v>6</v>
      </c>
      <c r="D43" s="14">
        <v>7</v>
      </c>
      <c r="E43" s="14">
        <f t="shared" si="3"/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 t="s">
        <v>54</v>
      </c>
      <c r="Q43" s="15"/>
      <c r="R43" s="15"/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102</v>
      </c>
      <c r="B44" s="13" t="s">
        <v>53</v>
      </c>
      <c r="C44" s="14">
        <v>7</v>
      </c>
      <c r="D44" s="14">
        <v>8</v>
      </c>
      <c r="E44" s="14">
        <f t="shared" si="3"/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 t="s">
        <v>54</v>
      </c>
      <c r="Q44" s="15"/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102</v>
      </c>
      <c r="B45" s="13" t="s">
        <v>53</v>
      </c>
      <c r="C45" s="14">
        <v>8</v>
      </c>
      <c r="D45" s="14">
        <v>9</v>
      </c>
      <c r="E45" s="14">
        <f t="shared" si="3"/>
        <v>1</v>
      </c>
      <c r="F45" s="15"/>
      <c r="G45" s="15" t="s">
        <v>54</v>
      </c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 t="s">
        <v>54</v>
      </c>
      <c r="Q45" s="15"/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102</v>
      </c>
      <c r="B46" s="13" t="s">
        <v>53</v>
      </c>
      <c r="C46" s="14">
        <v>9</v>
      </c>
      <c r="D46" s="14">
        <v>10</v>
      </c>
      <c r="E46" s="14">
        <f t="shared" si="3"/>
        <v>1</v>
      </c>
      <c r="F46" s="15"/>
      <c r="G46" s="15"/>
      <c r="H46" s="15" t="s">
        <v>54</v>
      </c>
      <c r="I46" s="15"/>
      <c r="J46" s="15"/>
      <c r="K46" s="15" t="s">
        <v>54</v>
      </c>
      <c r="L46" s="15"/>
      <c r="M46" s="15"/>
      <c r="N46" s="15" t="s">
        <v>54</v>
      </c>
      <c r="O46" s="15"/>
      <c r="P46" s="15" t="s">
        <v>54</v>
      </c>
      <c r="Q46" s="15"/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102</v>
      </c>
      <c r="B47" s="13" t="s">
        <v>53</v>
      </c>
      <c r="C47" s="14">
        <v>10</v>
      </c>
      <c r="D47" s="14">
        <v>11</v>
      </c>
      <c r="E47" s="14">
        <f t="shared" si="3"/>
        <v>1</v>
      </c>
      <c r="F47" s="15"/>
      <c r="G47" s="15" t="s">
        <v>54</v>
      </c>
      <c r="H47" s="15"/>
      <c r="I47" s="15"/>
      <c r="J47" s="15"/>
      <c r="K47" s="15" t="s">
        <v>54</v>
      </c>
      <c r="L47" s="15"/>
      <c r="M47" s="15"/>
      <c r="N47" s="15" t="s">
        <v>54</v>
      </c>
      <c r="O47" s="15"/>
      <c r="P47" s="15" t="s">
        <v>54</v>
      </c>
      <c r="Q47" s="15"/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102</v>
      </c>
      <c r="B48" s="13" t="s">
        <v>53</v>
      </c>
      <c r="C48" s="14">
        <v>11</v>
      </c>
      <c r="D48" s="14">
        <v>12</v>
      </c>
      <c r="E48" s="14">
        <f t="shared" si="3"/>
        <v>1</v>
      </c>
      <c r="F48" s="15"/>
      <c r="G48" s="15" t="s">
        <v>54</v>
      </c>
      <c r="H48" s="15"/>
      <c r="I48" s="15"/>
      <c r="J48" s="15"/>
      <c r="K48" s="15" t="s">
        <v>54</v>
      </c>
      <c r="L48" s="15"/>
      <c r="M48" s="15"/>
      <c r="N48" s="15" t="s">
        <v>54</v>
      </c>
      <c r="O48" s="15"/>
      <c r="P48" s="15" t="s">
        <v>54</v>
      </c>
      <c r="Q48" s="15"/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102</v>
      </c>
      <c r="B49" s="13" t="s">
        <v>53</v>
      </c>
      <c r="C49" s="14">
        <v>12</v>
      </c>
      <c r="D49" s="14">
        <v>13</v>
      </c>
      <c r="E49" s="14">
        <f t="shared" si="3"/>
        <v>1</v>
      </c>
      <c r="F49" s="15" t="s">
        <v>54</v>
      </c>
      <c r="G49" s="15"/>
      <c r="H49" s="15"/>
      <c r="I49" s="15"/>
      <c r="J49" s="15"/>
      <c r="K49" s="15" t="s">
        <v>54</v>
      </c>
      <c r="L49" s="15"/>
      <c r="M49" s="15"/>
      <c r="N49" s="15" t="s">
        <v>54</v>
      </c>
      <c r="O49" s="15"/>
      <c r="P49" s="15" t="s">
        <v>54</v>
      </c>
      <c r="Q49" s="15"/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102</v>
      </c>
      <c r="B50" s="13" t="s">
        <v>53</v>
      </c>
      <c r="C50" s="14">
        <v>13</v>
      </c>
      <c r="D50" s="14">
        <v>14</v>
      </c>
      <c r="E50" s="14">
        <f t="shared" si="3"/>
        <v>1</v>
      </c>
      <c r="F50" s="15" t="s">
        <v>54</v>
      </c>
      <c r="G50" s="15"/>
      <c r="H50" s="15"/>
      <c r="I50" s="15"/>
      <c r="J50" s="15"/>
      <c r="K50" s="15" t="s">
        <v>54</v>
      </c>
      <c r="L50" s="15"/>
      <c r="M50" s="15"/>
      <c r="N50" s="15" t="s">
        <v>54</v>
      </c>
      <c r="O50" s="15"/>
      <c r="P50" s="15" t="s">
        <v>54</v>
      </c>
      <c r="Q50" s="15"/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102</v>
      </c>
      <c r="B51" s="13" t="s">
        <v>53</v>
      </c>
      <c r="C51" s="14">
        <v>14</v>
      </c>
      <c r="D51" s="14">
        <v>15</v>
      </c>
      <c r="E51" s="14">
        <f t="shared" si="3"/>
        <v>1</v>
      </c>
      <c r="F51" s="15" t="s">
        <v>54</v>
      </c>
      <c r="G51" s="15"/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 t="s">
        <v>54</v>
      </c>
      <c r="Q51" s="15"/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102</v>
      </c>
      <c r="B52" s="13" t="s">
        <v>53</v>
      </c>
      <c r="C52" s="14">
        <v>15</v>
      </c>
      <c r="D52" s="14">
        <v>16</v>
      </c>
      <c r="E52" s="14">
        <f t="shared" si="3"/>
        <v>1</v>
      </c>
      <c r="F52" s="15" t="s">
        <v>54</v>
      </c>
      <c r="G52" s="15"/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 t="s">
        <v>54</v>
      </c>
      <c r="Q52" s="15"/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8" t="s">
        <v>102</v>
      </c>
      <c r="B53" s="19" t="s">
        <v>53</v>
      </c>
      <c r="C53" s="20">
        <v>16</v>
      </c>
      <c r="D53" s="20">
        <v>16.263874520800002</v>
      </c>
      <c r="E53" s="20">
        <f t="shared" si="3"/>
        <v>0.26387452080000173</v>
      </c>
      <c r="F53" s="21" t="s">
        <v>54</v>
      </c>
      <c r="G53" s="21"/>
      <c r="H53" s="21"/>
      <c r="I53" s="21"/>
      <c r="J53" s="21"/>
      <c r="K53" s="21" t="s">
        <v>54</v>
      </c>
      <c r="L53" s="21"/>
      <c r="M53" s="21"/>
      <c r="N53" s="21" t="s">
        <v>54</v>
      </c>
      <c r="O53" s="21"/>
      <c r="P53" s="21" t="s">
        <v>54</v>
      </c>
      <c r="Q53" s="21"/>
      <c r="R53" s="21"/>
      <c r="S53" s="21"/>
      <c r="T53" s="21" t="s">
        <v>54</v>
      </c>
      <c r="U53" s="21"/>
      <c r="V53" s="22"/>
      <c r="W53" s="23" t="str">
        <f t="shared" si="4"/>
        <v>OK</v>
      </c>
    </row>
    <row r="54" spans="1:23" ht="15.95" customHeight="1" x14ac:dyDescent="0.25">
      <c r="A54" s="59" t="s">
        <v>103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4"/>
      <c r="W54" s="4"/>
    </row>
    <row r="55" spans="1:23" ht="20.100000000000001" customHeight="1" x14ac:dyDescent="0.25">
      <c r="A55" s="12" t="s">
        <v>104</v>
      </c>
      <c r="B55" s="13" t="s">
        <v>53</v>
      </c>
      <c r="C55" s="14">
        <v>0</v>
      </c>
      <c r="D55" s="14">
        <v>1</v>
      </c>
      <c r="E55" s="14">
        <f>D55-C55</f>
        <v>1</v>
      </c>
      <c r="F55" s="15" t="s">
        <v>54</v>
      </c>
      <c r="G55" s="15"/>
      <c r="H55" s="15"/>
      <c r="I55" s="15"/>
      <c r="J55" s="15"/>
      <c r="K55" s="15" t="s">
        <v>54</v>
      </c>
      <c r="L55" s="15"/>
      <c r="M55" s="15"/>
      <c r="N55" s="15" t="s">
        <v>54</v>
      </c>
      <c r="O55" s="15"/>
      <c r="P55" s="15" t="s">
        <v>54</v>
      </c>
      <c r="Q55" s="15"/>
      <c r="R55" s="15"/>
      <c r="S55" s="15"/>
      <c r="T55" s="15" t="s">
        <v>54</v>
      </c>
      <c r="U55" s="15"/>
      <c r="V55" s="16"/>
      <c r="W55" s="17" t="str">
        <f>IF(COUNTA(F55:U55)=0,"— não preenchido",IF(COUNTIF(F55:J55,"X")&lt;&gt;1,"FALTA/DUPLA: CONDIÇÃO DO PAVIMENTO",IF(COUNTIF(K55:L55,"X")&lt;&gt;1,"FALTA/DUPLA: VEGETAÇÃO",IF(COUNTIF(M55:O55,"X")&lt;&gt;1,"FALTA/DUPLA: ELEM. DE DRENAGEM",IF(COUNTIF(P55:R55,"X")&lt;&gt;1,"FALTA/DUPLA: SIN. HORIZ.",IF(COUNTIF(S55:U55,"X")&lt;&gt;1,"FALTA/DUPLA: SIN. VERTICAL","OK"))))))</f>
        <v>OK</v>
      </c>
    </row>
    <row r="56" spans="1:23" ht="20.100000000000001" customHeight="1" x14ac:dyDescent="0.25">
      <c r="A56" s="12" t="s">
        <v>104</v>
      </c>
      <c r="B56" s="13" t="s">
        <v>53</v>
      </c>
      <c r="C56" s="14">
        <v>1</v>
      </c>
      <c r="D56" s="14">
        <v>2</v>
      </c>
      <c r="E56" s="14">
        <f>D56-C56</f>
        <v>1</v>
      </c>
      <c r="F56" s="15" t="s">
        <v>54</v>
      </c>
      <c r="G56" s="15"/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 t="s">
        <v>54</v>
      </c>
      <c r="Q56" s="15"/>
      <c r="R56" s="15"/>
      <c r="S56" s="15"/>
      <c r="T56" s="15" t="s">
        <v>54</v>
      </c>
      <c r="U56" s="15"/>
      <c r="V56" s="16"/>
      <c r="W56" s="17" t="str">
        <f>IF(COUNTA(F56:U56)=0,"— não preenchido",IF(COUNTIF(F56:J56,"X")&lt;&gt;1,"FALTA/DUPLA: CONDIÇÃO DO PAVIMENTO",IF(COUNTIF(K56:L56,"X")&lt;&gt;1,"FALTA/DUPLA: VEGETAÇÃO",IF(COUNTIF(M56:O56,"X")&lt;&gt;1,"FALTA/DUPLA: ELEM. DE DRENAGEM",IF(COUNTIF(P56:R56,"X")&lt;&gt;1,"FALTA/DUPLA: SIN. HORIZ.",IF(COUNTIF(S56:U56,"X")&lt;&gt;1,"FALTA/DUPLA: SIN. VERTICAL","OK"))))))</f>
        <v>OK</v>
      </c>
    </row>
    <row r="57" spans="1:23" ht="20.100000000000001" customHeight="1" x14ac:dyDescent="0.25">
      <c r="A57" s="12" t="s">
        <v>104</v>
      </c>
      <c r="B57" s="13" t="s">
        <v>53</v>
      </c>
      <c r="C57" s="14">
        <v>2</v>
      </c>
      <c r="D57" s="14">
        <v>3</v>
      </c>
      <c r="E57" s="14">
        <f>D57-C57</f>
        <v>1</v>
      </c>
      <c r="F57" s="15" t="s">
        <v>54</v>
      </c>
      <c r="G57" s="15"/>
      <c r="H57" s="15"/>
      <c r="I57" s="15"/>
      <c r="J57" s="15"/>
      <c r="K57" s="15" t="s">
        <v>54</v>
      </c>
      <c r="L57" s="15"/>
      <c r="M57" s="15"/>
      <c r="N57" s="15" t="s">
        <v>54</v>
      </c>
      <c r="O57" s="15"/>
      <c r="P57" s="15" t="s">
        <v>54</v>
      </c>
      <c r="Q57" s="15"/>
      <c r="R57" s="15"/>
      <c r="S57" s="15"/>
      <c r="T57" s="15" t="s">
        <v>54</v>
      </c>
      <c r="U57" s="15"/>
      <c r="V57" s="16"/>
      <c r="W57" s="17" t="str">
        <f>IF(COUNTA(F57:U57)=0,"— não preenchido",IF(COUNTIF(F57:J57,"X")&lt;&gt;1,"FALTA/DUPLA: CONDIÇÃO DO PAVIMENTO",IF(COUNTIF(K57:L57,"X")&lt;&gt;1,"FALTA/DUPLA: VEGETAÇÃO",IF(COUNTIF(M57:O57,"X")&lt;&gt;1,"FALTA/DUPLA: ELEM. DE DRENAGEM",IF(COUNTIF(P57:R57,"X")&lt;&gt;1,"FALTA/DUPLA: SIN. HORIZ.",IF(COUNTIF(S57:U57,"X")&lt;&gt;1,"FALTA/DUPLA: SIN. VERTICAL","OK"))))))</f>
        <v>OK</v>
      </c>
    </row>
    <row r="58" spans="1:23" ht="20.100000000000001" customHeight="1" x14ac:dyDescent="0.25">
      <c r="A58" s="18" t="s">
        <v>104</v>
      </c>
      <c r="B58" s="19" t="s">
        <v>53</v>
      </c>
      <c r="C58" s="20">
        <v>3</v>
      </c>
      <c r="D58" s="20">
        <v>3.6652383672800002</v>
      </c>
      <c r="E58" s="20">
        <f>D58-C58</f>
        <v>0.66523836728000019</v>
      </c>
      <c r="F58" s="21" t="s">
        <v>54</v>
      </c>
      <c r="G58" s="21"/>
      <c r="H58" s="21"/>
      <c r="I58" s="21"/>
      <c r="J58" s="21"/>
      <c r="K58" s="21" t="s">
        <v>54</v>
      </c>
      <c r="L58" s="21"/>
      <c r="M58" s="21"/>
      <c r="N58" s="21" t="s">
        <v>54</v>
      </c>
      <c r="O58" s="21"/>
      <c r="P58" s="21" t="s">
        <v>54</v>
      </c>
      <c r="Q58" s="21"/>
      <c r="R58" s="21"/>
      <c r="S58" s="21"/>
      <c r="T58" s="21" t="s">
        <v>54</v>
      </c>
      <c r="U58" s="21"/>
      <c r="V58" s="22"/>
      <c r="W58" s="23" t="str">
        <f>IF(COUNTA(F58:U58)=0,"— não preenchido",IF(COUNTIF(F58:J58,"X")&lt;&gt;1,"FALTA/DUPLA: CONDIÇÃO DO PAVIMENTO",IF(COUNTIF(K58:L58,"X")&lt;&gt;1,"FALTA/DUPLA: VEGETAÇÃO",IF(COUNTIF(M58:O58,"X")&lt;&gt;1,"FALTA/DUPLA: ELEM. DE DRENAGEM",IF(COUNTIF(P58:R58,"X")&lt;&gt;1,"FALTA/DUPLA: SIN. HORIZ.",IF(COUNTIF(S58:U58,"X")&lt;&gt;1,"FALTA/DUPLA: SIN. VERTICAL","OK"))))))</f>
        <v>OK</v>
      </c>
    </row>
    <row r="60" spans="1:23" x14ac:dyDescent="0.25">
      <c r="A60" s="61" t="s">
        <v>62</v>
      </c>
      <c r="B60" s="42"/>
      <c r="C60" s="42"/>
      <c r="D60" s="42"/>
      <c r="E60" s="42"/>
      <c r="G60" s="61" t="s">
        <v>62</v>
      </c>
      <c r="H60" s="42"/>
      <c r="I60" s="42"/>
      <c r="J60" s="42"/>
      <c r="K60" s="42"/>
    </row>
    <row r="61" spans="1:23" x14ac:dyDescent="0.25">
      <c r="A61" s="58" t="s">
        <v>63</v>
      </c>
      <c r="B61" s="42"/>
      <c r="C61" s="42"/>
      <c r="D61" s="42"/>
      <c r="E61" s="42"/>
      <c r="G61" s="58" t="s">
        <v>64</v>
      </c>
      <c r="H61" s="42"/>
      <c r="I61" s="42"/>
      <c r="J61" s="42"/>
      <c r="K61" s="42"/>
    </row>
    <row r="63" spans="1:23" x14ac:dyDescent="0.25">
      <c r="A63" s="64" t="s">
        <v>65</v>
      </c>
      <c r="B63" s="42"/>
      <c r="C63" s="42"/>
      <c r="D63" s="42"/>
      <c r="E63" s="42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 spans="1:23" x14ac:dyDescent="0.25">
      <c r="A64" s="53" t="s">
        <v>66</v>
      </c>
      <c r="B64" s="42"/>
      <c r="C64" s="42"/>
      <c r="D64" s="42"/>
      <c r="E64" s="42"/>
      <c r="F64" s="9">
        <f t="shared" ref="F64:U64" si="5">SUMIF(F$9:F$58,"X",$E$9:$E$58)</f>
        <v>27.836115982580001</v>
      </c>
      <c r="G64" s="9">
        <f t="shared" si="5"/>
        <v>9</v>
      </c>
      <c r="H64" s="9">
        <f t="shared" si="5"/>
        <v>10</v>
      </c>
      <c r="I64" s="9">
        <f t="shared" si="5"/>
        <v>0</v>
      </c>
      <c r="J64" s="9">
        <f t="shared" si="5"/>
        <v>0</v>
      </c>
      <c r="K64" s="9">
        <f t="shared" si="5"/>
        <v>46.836115982579997</v>
      </c>
      <c r="L64" s="9">
        <f t="shared" si="5"/>
        <v>0</v>
      </c>
      <c r="M64" s="9">
        <f t="shared" si="5"/>
        <v>0</v>
      </c>
      <c r="N64" s="9">
        <f t="shared" si="5"/>
        <v>46.836115982579997</v>
      </c>
      <c r="O64" s="9">
        <f t="shared" si="5"/>
        <v>0</v>
      </c>
      <c r="P64" s="9">
        <f t="shared" si="5"/>
        <v>46.836115982579997</v>
      </c>
      <c r="Q64" s="9">
        <f t="shared" si="5"/>
        <v>0</v>
      </c>
      <c r="R64" s="9">
        <f t="shared" si="5"/>
        <v>0</v>
      </c>
      <c r="S64" s="9">
        <f t="shared" si="5"/>
        <v>0</v>
      </c>
      <c r="T64" s="9">
        <f t="shared" si="5"/>
        <v>46.836115982579997</v>
      </c>
      <c r="U64" s="9">
        <f t="shared" si="5"/>
        <v>0</v>
      </c>
    </row>
    <row r="65" spans="1:22" x14ac:dyDescent="0.25">
      <c r="A65" s="53" t="s">
        <v>67</v>
      </c>
      <c r="B65" s="42"/>
      <c r="C65" s="42"/>
      <c r="D65" s="42"/>
      <c r="E65" s="42"/>
      <c r="F65" s="25">
        <f t="shared" ref="F65:U65" si="6">IF($R67=0,0,F64/$R67)</f>
        <v>0.59433015310093673</v>
      </c>
      <c r="G65" s="25">
        <f t="shared" si="6"/>
        <v>0.19215940116271421</v>
      </c>
      <c r="H65" s="25">
        <f t="shared" si="6"/>
        <v>0.21351044573634911</v>
      </c>
      <c r="I65" s="25">
        <f t="shared" si="6"/>
        <v>0</v>
      </c>
      <c r="J65" s="25">
        <f t="shared" si="6"/>
        <v>0</v>
      </c>
      <c r="K65" s="25">
        <f t="shared" si="6"/>
        <v>1</v>
      </c>
      <c r="L65" s="25">
        <f t="shared" si="6"/>
        <v>0</v>
      </c>
      <c r="M65" s="25">
        <f t="shared" si="6"/>
        <v>0</v>
      </c>
      <c r="N65" s="25">
        <f t="shared" si="6"/>
        <v>1</v>
      </c>
      <c r="O65" s="25">
        <f t="shared" si="6"/>
        <v>0</v>
      </c>
      <c r="P65" s="25">
        <f t="shared" si="6"/>
        <v>1</v>
      </c>
      <c r="Q65" s="25">
        <f t="shared" si="6"/>
        <v>0</v>
      </c>
      <c r="R65" s="25">
        <f t="shared" si="6"/>
        <v>0</v>
      </c>
      <c r="S65" s="25">
        <f t="shared" si="6"/>
        <v>0</v>
      </c>
      <c r="T65" s="25">
        <f t="shared" si="6"/>
        <v>1</v>
      </c>
      <c r="U65" s="25">
        <f t="shared" si="6"/>
        <v>0</v>
      </c>
    </row>
    <row r="66" spans="1:22" x14ac:dyDescent="0.25">
      <c r="A66" s="53" t="s">
        <v>68</v>
      </c>
      <c r="B66" s="42"/>
      <c r="C66" s="42"/>
      <c r="D66" s="42"/>
      <c r="E66" s="42"/>
      <c r="F66" s="49" t="str">
        <f>IF(SUM(F64:J64)=0,"— não preenchido",IF(ROUND(SUM(F64:J64)-$R67,3)=0,"OK — "&amp;ROUND(SUM(F64:J64),3)&amp;" km","ERRO — dif. de "&amp;ROUND(SUM(F64:J64)-$R67,3)&amp;" km"))</f>
        <v>OK — 46,836 km</v>
      </c>
      <c r="G66" s="46"/>
      <c r="H66" s="46"/>
      <c r="I66" s="46"/>
      <c r="J66" s="44"/>
      <c r="K66" s="49" t="str">
        <f>IF(SUM(K64:L64)=0,"— não preenchido",IF(ROUND(SUM(K64:L64)-$R67,3)=0,"OK — "&amp;ROUND(SUM(K64:L64),3)&amp;" km","ERRO — dif. de "&amp;ROUND(SUM(K64:L64)-$R67,3)&amp;" km"))</f>
        <v>OK — 46,836 km</v>
      </c>
      <c r="L66" s="44"/>
      <c r="M66" s="49" t="str">
        <f>IF(SUM(M64:O64)=0,"— não preenchido",IF(ROUND(SUM(M64:O64)-$R67,3)=0,"OK — "&amp;ROUND(SUM(M64:O64),3)&amp;" km","ERRO — dif. de "&amp;ROUND(SUM(M64:O64)-$R67,3)&amp;" km"))</f>
        <v>OK — 46,836 km</v>
      </c>
      <c r="N66" s="46"/>
      <c r="O66" s="44"/>
      <c r="P66" s="49" t="str">
        <f>IF(SUM(P64:R64)=0,"— não preenchido",IF(ROUND(SUM(P64:R64)-$R67,3)=0,"OK — "&amp;ROUND(SUM(P64:R64),3)&amp;" km","ERRO — dif. de "&amp;ROUND(SUM(P64:R64)-$R67,3)&amp;" km"))</f>
        <v>OK — 46,836 km</v>
      </c>
      <c r="Q66" s="46"/>
      <c r="R66" s="44"/>
      <c r="S66" s="49" t="str">
        <f>IF(SUM(S64:U64)=0,"— não preenchido",IF(ROUND(SUM(S64:U64)-$R67,3)=0,"OK — "&amp;ROUND(SUM(S64:U64),3)&amp;" km","ERRO — dif. de "&amp;ROUND(SUM(S64:U64)-$R67,3)&amp;" km"))</f>
        <v>OK — 46,836 km</v>
      </c>
      <c r="T66" s="46"/>
      <c r="U66" s="44"/>
    </row>
    <row r="67" spans="1:22" x14ac:dyDescent="0.25">
      <c r="A67" s="53" t="s">
        <v>69</v>
      </c>
      <c r="B67" s="42"/>
      <c r="C67" s="42"/>
      <c r="D67" s="42"/>
      <c r="E67" s="42"/>
      <c r="R67" s="26">
        <f>SUM(E9:E58)</f>
        <v>46.836115982579997</v>
      </c>
      <c r="V67" s="8" t="str">
        <f>COUNTIF(W9:W58,"OK")&amp;" de "&amp;COUNT($E$9:$E$58)&amp;" linhas conferidas"</f>
        <v>48 de 48 linhas conferidas</v>
      </c>
    </row>
    <row r="69" spans="1:22" x14ac:dyDescent="0.25">
      <c r="A69" s="62" t="s">
        <v>70</v>
      </c>
      <c r="B69" s="42"/>
      <c r="C69" s="42"/>
      <c r="D69" s="42"/>
      <c r="E69" s="42"/>
    </row>
    <row r="70" spans="1:22" x14ac:dyDescent="0.25">
      <c r="A70" s="53" t="s">
        <v>71</v>
      </c>
      <c r="B70" s="42"/>
      <c r="C70" s="42"/>
      <c r="D70" s="42"/>
      <c r="E70" s="48" t="s">
        <v>72</v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spans="1:22" x14ac:dyDescent="0.25">
      <c r="A71" s="53" t="s">
        <v>73</v>
      </c>
      <c r="B71" s="42"/>
      <c r="C71" s="42"/>
      <c r="D71" s="42"/>
      <c r="E71" s="48" t="s">
        <v>74</v>
      </c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x14ac:dyDescent="0.25">
      <c r="A72" s="53" t="s">
        <v>75</v>
      </c>
      <c r="B72" s="42"/>
      <c r="C72" s="42"/>
      <c r="D72" s="42"/>
      <c r="E72" s="48" t="s">
        <v>76</v>
      </c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x14ac:dyDescent="0.25">
      <c r="A73" s="53" t="s">
        <v>77</v>
      </c>
      <c r="B73" s="42"/>
      <c r="C73" s="42"/>
      <c r="D73" s="42"/>
      <c r="E73" s="48" t="s">
        <v>78</v>
      </c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x14ac:dyDescent="0.25">
      <c r="A74" s="53" t="s">
        <v>79</v>
      </c>
      <c r="B74" s="42"/>
      <c r="C74" s="42"/>
      <c r="D74" s="42"/>
      <c r="E74" s="48" t="s">
        <v>80</v>
      </c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x14ac:dyDescent="0.25">
      <c r="A75" s="53" t="s">
        <v>45</v>
      </c>
      <c r="B75" s="42"/>
      <c r="C75" s="42"/>
      <c r="D75" s="42"/>
      <c r="E75" s="48" t="s">
        <v>81</v>
      </c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x14ac:dyDescent="0.25">
      <c r="A76" s="53" t="s">
        <v>82</v>
      </c>
      <c r="B76" s="42"/>
      <c r="C76" s="42"/>
      <c r="D76" s="42"/>
      <c r="E76" s="48" t="s">
        <v>83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x14ac:dyDescent="0.25">
      <c r="A77" s="53" t="s">
        <v>84</v>
      </c>
      <c r="B77" s="42"/>
      <c r="C77" s="42"/>
      <c r="D77" s="42"/>
      <c r="E77" s="48" t="s">
        <v>85</v>
      </c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spans="1:22" x14ac:dyDescent="0.25">
      <c r="A78" s="53" t="s">
        <v>11</v>
      </c>
      <c r="B78" s="42"/>
      <c r="C78" s="42"/>
      <c r="D78" s="42"/>
      <c r="E78" s="48" t="s">
        <v>86</v>
      </c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</sheetData>
  <sheetProtection formatCells="0"/>
  <mergeCells count="59">
    <mergeCell ref="G2:H2"/>
    <mergeCell ref="A64:E64"/>
    <mergeCell ref="I2:J2"/>
    <mergeCell ref="A60:E60"/>
    <mergeCell ref="A8:V8"/>
    <mergeCell ref="A6:A7"/>
    <mergeCell ref="A61:E61"/>
    <mergeCell ref="F6:J6"/>
    <mergeCell ref="A2:F2"/>
    <mergeCell ref="K2:M2"/>
    <mergeCell ref="N2:O2"/>
    <mergeCell ref="P2:Q2"/>
    <mergeCell ref="E78:V78"/>
    <mergeCell ref="G61:K61"/>
    <mergeCell ref="V6:V7"/>
    <mergeCell ref="A4:V4"/>
    <mergeCell ref="M6:O6"/>
    <mergeCell ref="S6:U6"/>
    <mergeCell ref="A69:E69"/>
    <mergeCell ref="A65:E65"/>
    <mergeCell ref="E74:V74"/>
    <mergeCell ref="A77:D77"/>
    <mergeCell ref="E77:V77"/>
    <mergeCell ref="P66:R66"/>
    <mergeCell ref="E76:V76"/>
    <mergeCell ref="E73:V73"/>
    <mergeCell ref="S66:U66"/>
    <mergeCell ref="A72:D72"/>
    <mergeCell ref="W6:W7"/>
    <mergeCell ref="E6:E7"/>
    <mergeCell ref="A73:D73"/>
    <mergeCell ref="A66:E66"/>
    <mergeCell ref="E70:V70"/>
    <mergeCell ref="B6:B7"/>
    <mergeCell ref="F66:J66"/>
    <mergeCell ref="A70:D70"/>
    <mergeCell ref="A36:V36"/>
    <mergeCell ref="E72:V72"/>
    <mergeCell ref="K6:L6"/>
    <mergeCell ref="D6:D7"/>
    <mergeCell ref="G60:K60"/>
    <mergeCell ref="P6:R6"/>
    <mergeCell ref="A67:E67"/>
    <mergeCell ref="A1:V1"/>
    <mergeCell ref="M66:O66"/>
    <mergeCell ref="A78:D78"/>
    <mergeCell ref="E75:V75"/>
    <mergeCell ref="T3:V3"/>
    <mergeCell ref="A54:V54"/>
    <mergeCell ref="A75:D75"/>
    <mergeCell ref="A74:D74"/>
    <mergeCell ref="E71:V71"/>
    <mergeCell ref="K66:L66"/>
    <mergeCell ref="A63:E63"/>
    <mergeCell ref="R2:V2"/>
    <mergeCell ref="A3:S3"/>
    <mergeCell ref="A76:D76"/>
    <mergeCell ref="C6:C7"/>
    <mergeCell ref="A71:D71"/>
  </mergeCells>
  <conditionalFormatting sqref="F9:J58">
    <cfRule type="expression" dxfId="90" priority="1">
      <formula>AND(F9&lt;&gt;"",COUNTIF($F9:$J9,"X")&gt;1)</formula>
    </cfRule>
  </conditionalFormatting>
  <conditionalFormatting sqref="F66:U66">
    <cfRule type="expression" dxfId="89" priority="8">
      <formula>LEFT(F66,4)="ERRO"</formula>
    </cfRule>
    <cfRule type="expression" dxfId="88" priority="9">
      <formula>LEFT(F66,2)="OK"</formula>
    </cfRule>
  </conditionalFormatting>
  <conditionalFormatting sqref="K9:L58">
    <cfRule type="expression" dxfId="87" priority="2">
      <formula>AND(K9&lt;&gt;"",COUNTIF($K9:$L9,"X")&gt;1)</formula>
    </cfRule>
  </conditionalFormatting>
  <conditionalFormatting sqref="M9:O58">
    <cfRule type="expression" dxfId="86" priority="3">
      <formula>AND(M9&lt;&gt;"",COUNTIF($M9:$O9,"X")&gt;1)</formula>
    </cfRule>
  </conditionalFormatting>
  <conditionalFormatting sqref="P9:R58">
    <cfRule type="expression" dxfId="85" priority="4">
      <formula>AND(P9&lt;&gt;"",COUNTIF($P9:$R9,"X")&gt;1)</formula>
    </cfRule>
  </conditionalFormatting>
  <conditionalFormatting sqref="S9:U58">
    <cfRule type="expression" dxfId="84" priority="5">
      <formula>AND(S9&lt;&gt;"",COUNTIF($S9:$U9,"X")&gt;1)</formula>
    </cfRule>
  </conditionalFormatting>
  <conditionalFormatting sqref="W9:W58">
    <cfRule type="expression" dxfId="83" priority="6">
      <formula>AND(W9&lt;&gt;"OK",W9&lt;&gt;"")</formula>
    </cfRule>
    <cfRule type="expression" dxfId="8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8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8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8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8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8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58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205</oddHeader>
    <oddFooter>&amp;L&amp;7 RTA / MSI — Programa de Manutenção Rodoviária&amp;C&amp;7 Página &amp;P de &amp;N&amp;R&amp;7 Impresso em &amp;D</oddFooter>
  </headerFooter>
  <rowBreaks count="1" manualBreakCount="1">
    <brk id="61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97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T13" sqref="T13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1" t="s">
        <v>36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Y1" s="1" t="s">
        <v>1</v>
      </c>
    </row>
    <row r="2" spans="1:40" ht="17.100000000000001" customHeight="1" x14ac:dyDescent="0.25">
      <c r="A2" s="54" t="s">
        <v>37</v>
      </c>
      <c r="B2" s="42"/>
      <c r="C2" s="42"/>
      <c r="D2" s="42"/>
      <c r="E2" s="42"/>
      <c r="F2" s="42"/>
      <c r="G2" s="50" t="s">
        <v>38</v>
      </c>
      <c r="H2" s="42"/>
      <c r="I2" s="51">
        <v>46266</v>
      </c>
      <c r="J2" s="52"/>
      <c r="K2" s="50" t="s">
        <v>39</v>
      </c>
      <c r="L2" s="42"/>
      <c r="M2" s="42"/>
      <c r="N2" s="55"/>
      <c r="O2" s="52"/>
      <c r="P2" s="50" t="s">
        <v>40</v>
      </c>
      <c r="Q2" s="42"/>
      <c r="R2" s="56" t="s">
        <v>154</v>
      </c>
      <c r="S2" s="57"/>
      <c r="T2" s="57"/>
      <c r="U2" s="57"/>
      <c r="V2" s="52"/>
      <c r="Y2" s="2">
        <f t="shared" ref="Y2:AN2" si="0">IF(F83=0,NA(),F83)</f>
        <v>6</v>
      </c>
      <c r="Z2" s="2">
        <f t="shared" si="0"/>
        <v>48.790985066681998</v>
      </c>
      <c r="AA2" s="2">
        <f t="shared" si="0"/>
        <v>10.134706334980001</v>
      </c>
      <c r="AB2" s="2" t="e">
        <f t="shared" si="0"/>
        <v>#N/A</v>
      </c>
      <c r="AC2" s="2" t="e">
        <f t="shared" si="0"/>
        <v>#N/A</v>
      </c>
      <c r="AD2" s="2">
        <f t="shared" si="0"/>
        <v>64.925691401661993</v>
      </c>
      <c r="AE2" s="2" t="e">
        <f t="shared" si="0"/>
        <v>#N/A</v>
      </c>
      <c r="AF2" s="2" t="e">
        <f t="shared" si="0"/>
        <v>#N/A</v>
      </c>
      <c r="AG2" s="2">
        <f t="shared" si="0"/>
        <v>64.925691401661993</v>
      </c>
      <c r="AH2" s="2" t="e">
        <f t="shared" si="0"/>
        <v>#N/A</v>
      </c>
      <c r="AI2" s="2" t="e">
        <f t="shared" si="0"/>
        <v>#N/A</v>
      </c>
      <c r="AJ2" s="2">
        <f t="shared" si="0"/>
        <v>61.790985066681998</v>
      </c>
      <c r="AK2" s="2">
        <f t="shared" si="0"/>
        <v>3.1347063349800002</v>
      </c>
      <c r="AL2" s="2" t="e">
        <f t="shared" si="0"/>
        <v>#N/A</v>
      </c>
      <c r="AM2" s="2">
        <f t="shared" si="0"/>
        <v>61.790985066681998</v>
      </c>
      <c r="AN2" s="2">
        <f t="shared" si="0"/>
        <v>3.1347063349800002</v>
      </c>
    </row>
    <row r="3" spans="1:40" ht="15" customHeight="1" x14ac:dyDescent="0.25">
      <c r="A3" s="63" t="s">
        <v>105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50" t="s">
        <v>106</v>
      </c>
      <c r="U3" s="42"/>
      <c r="V3" s="42"/>
    </row>
    <row r="4" spans="1:40" ht="20.100000000000001" customHeight="1" x14ac:dyDescent="0.25">
      <c r="A4" s="47" t="s">
        <v>43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6" spans="1:40" ht="21.95" customHeight="1" x14ac:dyDescent="0.25">
      <c r="A6" s="43" t="s">
        <v>44</v>
      </c>
      <c r="B6" s="43" t="s">
        <v>45</v>
      </c>
      <c r="C6" s="43" t="s">
        <v>46</v>
      </c>
      <c r="D6" s="43" t="s">
        <v>47</v>
      </c>
      <c r="E6" s="43" t="s">
        <v>48</v>
      </c>
      <c r="F6" s="43" t="s">
        <v>6</v>
      </c>
      <c r="G6" s="46"/>
      <c r="H6" s="46"/>
      <c r="I6" s="46"/>
      <c r="J6" s="44"/>
      <c r="K6" s="43" t="s">
        <v>7</v>
      </c>
      <c r="L6" s="44"/>
      <c r="M6" s="43" t="s">
        <v>8</v>
      </c>
      <c r="N6" s="46"/>
      <c r="O6" s="44"/>
      <c r="P6" s="43" t="s">
        <v>9</v>
      </c>
      <c r="Q6" s="46"/>
      <c r="R6" s="44"/>
      <c r="S6" s="43" t="s">
        <v>10</v>
      </c>
      <c r="T6" s="46"/>
      <c r="U6" s="44"/>
      <c r="V6" s="43" t="s">
        <v>49</v>
      </c>
      <c r="W6" s="43" t="s">
        <v>50</v>
      </c>
    </row>
    <row r="7" spans="1:40" ht="20.100000000000001" customHeight="1" x14ac:dyDescent="0.25">
      <c r="A7" s="45"/>
      <c r="B7" s="45"/>
      <c r="C7" s="45"/>
      <c r="D7" s="45"/>
      <c r="E7" s="4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45"/>
      <c r="W7" s="45"/>
    </row>
    <row r="8" spans="1:40" ht="15.95" customHeight="1" x14ac:dyDescent="0.25">
      <c r="A8" s="59" t="s">
        <v>107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4"/>
      <c r="W8" s="4"/>
    </row>
    <row r="9" spans="1:40" ht="20.100000000000001" customHeight="1" x14ac:dyDescent="0.25">
      <c r="A9" s="18" t="s">
        <v>108</v>
      </c>
      <c r="B9" s="19" t="s">
        <v>53</v>
      </c>
      <c r="C9" s="20">
        <v>0</v>
      </c>
      <c r="D9" s="20">
        <v>0.41866269148200003</v>
      </c>
      <c r="E9" s="20">
        <f>D9-C9</f>
        <v>0.41866269148200003</v>
      </c>
      <c r="F9" s="21"/>
      <c r="G9" s="21" t="s">
        <v>54</v>
      </c>
      <c r="H9" s="21"/>
      <c r="I9" s="21"/>
      <c r="J9" s="21"/>
      <c r="K9" s="21" t="s">
        <v>54</v>
      </c>
      <c r="L9" s="21"/>
      <c r="M9" s="21"/>
      <c r="N9" s="21" t="s">
        <v>54</v>
      </c>
      <c r="O9" s="21"/>
      <c r="P9" s="21"/>
      <c r="Q9" s="21" t="s">
        <v>54</v>
      </c>
      <c r="R9" s="21"/>
      <c r="S9" s="21"/>
      <c r="T9" s="21" t="s">
        <v>54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.95" customHeight="1" x14ac:dyDescent="0.25">
      <c r="A10" s="59" t="s">
        <v>109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4"/>
      <c r="W10" s="4"/>
    </row>
    <row r="11" spans="1:40" ht="20.100000000000001" customHeight="1" x14ac:dyDescent="0.25">
      <c r="A11" s="12" t="s">
        <v>110</v>
      </c>
      <c r="B11" s="13" t="s">
        <v>53</v>
      </c>
      <c r="C11" s="14">
        <v>0</v>
      </c>
      <c r="D11" s="14">
        <v>1</v>
      </c>
      <c r="E11" s="14">
        <f t="shared" ref="E11:E42" si="1">D11-C11</f>
        <v>1</v>
      </c>
      <c r="F11" s="15" t="s">
        <v>54</v>
      </c>
      <c r="G11" s="15"/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ref="W11:W42" si="2"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110</v>
      </c>
      <c r="B12" s="13" t="s">
        <v>53</v>
      </c>
      <c r="C12" s="14">
        <v>1</v>
      </c>
      <c r="D12" s="14">
        <v>2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110</v>
      </c>
      <c r="B13" s="13" t="s">
        <v>53</v>
      </c>
      <c r="C13" s="14">
        <v>2</v>
      </c>
      <c r="D13" s="14">
        <v>3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110</v>
      </c>
      <c r="B14" s="13" t="s">
        <v>53</v>
      </c>
      <c r="C14" s="14">
        <v>3</v>
      </c>
      <c r="D14" s="14">
        <v>4</v>
      </c>
      <c r="E14" s="14">
        <f t="shared" si="1"/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110</v>
      </c>
      <c r="B15" s="13" t="s">
        <v>53</v>
      </c>
      <c r="C15" s="14">
        <v>4</v>
      </c>
      <c r="D15" s="14">
        <v>5</v>
      </c>
      <c r="E15" s="14">
        <f t="shared" si="1"/>
        <v>1</v>
      </c>
      <c r="F15" s="15" t="s">
        <v>54</v>
      </c>
      <c r="G15" s="15"/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110</v>
      </c>
      <c r="B16" s="13" t="s">
        <v>53</v>
      </c>
      <c r="C16" s="14">
        <v>5</v>
      </c>
      <c r="D16" s="14">
        <v>6</v>
      </c>
      <c r="E16" s="14">
        <f t="shared" si="1"/>
        <v>1</v>
      </c>
      <c r="F16" s="15" t="s">
        <v>54</v>
      </c>
      <c r="G16" s="15"/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110</v>
      </c>
      <c r="B17" s="13" t="s">
        <v>53</v>
      </c>
      <c r="C17" s="14">
        <v>6</v>
      </c>
      <c r="D17" s="14">
        <v>7</v>
      </c>
      <c r="E17" s="14">
        <f t="shared" si="1"/>
        <v>1</v>
      </c>
      <c r="F17" s="15" t="s">
        <v>54</v>
      </c>
      <c r="G17" s="15"/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110</v>
      </c>
      <c r="B18" s="13" t="s">
        <v>53</v>
      </c>
      <c r="C18" s="14">
        <v>7</v>
      </c>
      <c r="D18" s="14">
        <v>8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110</v>
      </c>
      <c r="B19" s="13" t="s">
        <v>53</v>
      </c>
      <c r="C19" s="14">
        <v>8</v>
      </c>
      <c r="D19" s="14">
        <v>9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110</v>
      </c>
      <c r="B20" s="13" t="s">
        <v>53</v>
      </c>
      <c r="C20" s="14">
        <v>9</v>
      </c>
      <c r="D20" s="14">
        <v>10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110</v>
      </c>
      <c r="B21" s="13" t="s">
        <v>53</v>
      </c>
      <c r="C21" s="14">
        <v>10</v>
      </c>
      <c r="D21" s="14">
        <v>11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110</v>
      </c>
      <c r="B22" s="13" t="s">
        <v>53</v>
      </c>
      <c r="C22" s="14">
        <v>11</v>
      </c>
      <c r="D22" s="14">
        <v>12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110</v>
      </c>
      <c r="B23" s="13" t="s">
        <v>53</v>
      </c>
      <c r="C23" s="14">
        <v>12</v>
      </c>
      <c r="D23" s="14">
        <v>13</v>
      </c>
      <c r="E23" s="14">
        <f t="shared" si="1"/>
        <v>1</v>
      </c>
      <c r="F23" s="15"/>
      <c r="G23" s="15" t="s">
        <v>54</v>
      </c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110</v>
      </c>
      <c r="B24" s="13" t="s">
        <v>53</v>
      </c>
      <c r="C24" s="14">
        <v>13</v>
      </c>
      <c r="D24" s="14">
        <v>14</v>
      </c>
      <c r="E24" s="14">
        <f t="shared" si="1"/>
        <v>1</v>
      </c>
      <c r="F24" s="15"/>
      <c r="G24" s="15" t="s">
        <v>54</v>
      </c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110</v>
      </c>
      <c r="B25" s="13" t="s">
        <v>53</v>
      </c>
      <c r="C25" s="14">
        <v>14</v>
      </c>
      <c r="D25" s="14">
        <v>15</v>
      </c>
      <c r="E25" s="14">
        <f t="shared" si="1"/>
        <v>1</v>
      </c>
      <c r="F25" s="15"/>
      <c r="G25" s="15" t="s">
        <v>54</v>
      </c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110</v>
      </c>
      <c r="B26" s="13" t="s">
        <v>53</v>
      </c>
      <c r="C26" s="14">
        <v>15</v>
      </c>
      <c r="D26" s="14">
        <v>16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110</v>
      </c>
      <c r="B27" s="13" t="s">
        <v>53</v>
      </c>
      <c r="C27" s="14">
        <v>16</v>
      </c>
      <c r="D27" s="14">
        <v>17</v>
      </c>
      <c r="E27" s="14">
        <f t="shared" si="1"/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110</v>
      </c>
      <c r="B28" s="13" t="s">
        <v>53</v>
      </c>
      <c r="C28" s="14">
        <v>17</v>
      </c>
      <c r="D28" s="14">
        <v>18</v>
      </c>
      <c r="E28" s="14">
        <f t="shared" si="1"/>
        <v>1</v>
      </c>
      <c r="F28" s="15"/>
      <c r="G28" s="15" t="s">
        <v>54</v>
      </c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110</v>
      </c>
      <c r="B29" s="13" t="s">
        <v>53</v>
      </c>
      <c r="C29" s="14">
        <v>18</v>
      </c>
      <c r="D29" s="14">
        <v>19</v>
      </c>
      <c r="E29" s="14">
        <f t="shared" si="1"/>
        <v>1</v>
      </c>
      <c r="F29" s="15" t="s">
        <v>54</v>
      </c>
      <c r="G29" s="15"/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110</v>
      </c>
      <c r="B30" s="13" t="s">
        <v>53</v>
      </c>
      <c r="C30" s="14">
        <v>19</v>
      </c>
      <c r="D30" s="14">
        <v>20</v>
      </c>
      <c r="E30" s="14">
        <f t="shared" si="1"/>
        <v>1</v>
      </c>
      <c r="F30" s="15" t="s">
        <v>54</v>
      </c>
      <c r="G30" s="15"/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110</v>
      </c>
      <c r="B31" s="13" t="s">
        <v>53</v>
      </c>
      <c r="C31" s="14">
        <v>20</v>
      </c>
      <c r="D31" s="14">
        <v>21</v>
      </c>
      <c r="E31" s="14">
        <f t="shared" si="1"/>
        <v>1</v>
      </c>
      <c r="F31" s="15"/>
      <c r="G31" s="15"/>
      <c r="H31" s="15" t="s">
        <v>54</v>
      </c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110</v>
      </c>
      <c r="B32" s="13" t="s">
        <v>53</v>
      </c>
      <c r="C32" s="14">
        <v>21</v>
      </c>
      <c r="D32" s="14">
        <v>22</v>
      </c>
      <c r="E32" s="14">
        <f t="shared" si="1"/>
        <v>1</v>
      </c>
      <c r="F32" s="15"/>
      <c r="G32" s="15"/>
      <c r="H32" s="15" t="s">
        <v>54</v>
      </c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110</v>
      </c>
      <c r="B33" s="13" t="s">
        <v>53</v>
      </c>
      <c r="C33" s="14">
        <v>22</v>
      </c>
      <c r="D33" s="14">
        <v>23</v>
      </c>
      <c r="E33" s="14">
        <f t="shared" si="1"/>
        <v>1</v>
      </c>
      <c r="F33" s="15"/>
      <c r="G33" s="15"/>
      <c r="H33" s="15" t="s">
        <v>54</v>
      </c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110</v>
      </c>
      <c r="B34" s="13" t="s">
        <v>53</v>
      </c>
      <c r="C34" s="14">
        <v>23</v>
      </c>
      <c r="D34" s="14">
        <v>24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110</v>
      </c>
      <c r="B35" s="13" t="s">
        <v>53</v>
      </c>
      <c r="C35" s="14">
        <v>24</v>
      </c>
      <c r="D35" s="14">
        <v>25</v>
      </c>
      <c r="E35" s="14">
        <f t="shared" si="1"/>
        <v>1</v>
      </c>
      <c r="F35" s="15"/>
      <c r="G35" s="15" t="s">
        <v>54</v>
      </c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110</v>
      </c>
      <c r="B36" s="13" t="s">
        <v>53</v>
      </c>
      <c r="C36" s="14">
        <v>25</v>
      </c>
      <c r="D36" s="14">
        <v>26</v>
      </c>
      <c r="E36" s="14">
        <f t="shared" si="1"/>
        <v>1</v>
      </c>
      <c r="F36" s="15"/>
      <c r="G36" s="15" t="s">
        <v>54</v>
      </c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110</v>
      </c>
      <c r="B37" s="13" t="s">
        <v>53</v>
      </c>
      <c r="C37" s="14">
        <v>26</v>
      </c>
      <c r="D37" s="14">
        <v>27</v>
      </c>
      <c r="E37" s="14">
        <f t="shared" si="1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110</v>
      </c>
      <c r="B38" s="13" t="s">
        <v>53</v>
      </c>
      <c r="C38" s="14">
        <v>27</v>
      </c>
      <c r="D38" s="14">
        <v>28</v>
      </c>
      <c r="E38" s="14">
        <f t="shared" si="1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110</v>
      </c>
      <c r="B39" s="13" t="s">
        <v>53</v>
      </c>
      <c r="C39" s="14">
        <v>28</v>
      </c>
      <c r="D39" s="14">
        <v>29</v>
      </c>
      <c r="E39" s="14">
        <f t="shared" si="1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110</v>
      </c>
      <c r="B40" s="13" t="s">
        <v>53</v>
      </c>
      <c r="C40" s="14">
        <v>29</v>
      </c>
      <c r="D40" s="14">
        <v>30</v>
      </c>
      <c r="E40" s="14">
        <f t="shared" si="1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110</v>
      </c>
      <c r="B41" s="13" t="s">
        <v>53</v>
      </c>
      <c r="C41" s="14">
        <v>30</v>
      </c>
      <c r="D41" s="14">
        <v>31</v>
      </c>
      <c r="E41" s="14">
        <f t="shared" si="1"/>
        <v>1</v>
      </c>
      <c r="F41" s="15"/>
      <c r="G41" s="15" t="s">
        <v>54</v>
      </c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110</v>
      </c>
      <c r="B42" s="13" t="s">
        <v>53</v>
      </c>
      <c r="C42" s="14">
        <v>31</v>
      </c>
      <c r="D42" s="14">
        <v>32</v>
      </c>
      <c r="E42" s="14">
        <f t="shared" si="1"/>
        <v>1</v>
      </c>
      <c r="F42" s="15"/>
      <c r="G42" s="15" t="s">
        <v>54</v>
      </c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110</v>
      </c>
      <c r="B43" s="13" t="s">
        <v>53</v>
      </c>
      <c r="C43" s="14">
        <v>32</v>
      </c>
      <c r="D43" s="14">
        <v>33</v>
      </c>
      <c r="E43" s="14">
        <f t="shared" ref="E43:E72" si="3">D43-C43</f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ref="W43:W72" si="4">IF(COUNTA(F43:U43)=0,"— não preenchido",IF(COUNTIF(F43:J43,"X")&lt;&gt;1,"FALTA/DUPLA: CONDIÇÃO DO PAVIMENTO",IF(COUNTIF(K43:L43,"X")&lt;&gt;1,"FALTA/DUPLA: VEGETAÇÃO",IF(COUNTIF(M43:O43,"X")&lt;&gt;1,"FALTA/DUPLA: ELEM. DE DRENAGEM",IF(COUNTIF(P43:R43,"X")&lt;&gt;1,"FALTA/DUPLA: SIN. HORIZ.",IF(COUNTIF(S43:U43,"X")&lt;&gt;1,"FALTA/DUPLA: SIN. VERTICAL","OK"))))))</f>
        <v>OK</v>
      </c>
    </row>
    <row r="44" spans="1:23" ht="20.100000000000001" customHeight="1" x14ac:dyDescent="0.25">
      <c r="A44" s="12" t="s">
        <v>110</v>
      </c>
      <c r="B44" s="13" t="s">
        <v>53</v>
      </c>
      <c r="C44" s="14">
        <v>33</v>
      </c>
      <c r="D44" s="14">
        <v>34</v>
      </c>
      <c r="E44" s="14">
        <f t="shared" si="3"/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110</v>
      </c>
      <c r="B45" s="13" t="s">
        <v>53</v>
      </c>
      <c r="C45" s="14">
        <v>34</v>
      </c>
      <c r="D45" s="14">
        <v>35</v>
      </c>
      <c r="E45" s="14">
        <f t="shared" si="3"/>
        <v>1</v>
      </c>
      <c r="F45" s="15"/>
      <c r="G45" s="15" t="s">
        <v>54</v>
      </c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110</v>
      </c>
      <c r="B46" s="13" t="s">
        <v>53</v>
      </c>
      <c r="C46" s="14">
        <v>35</v>
      </c>
      <c r="D46" s="14">
        <v>36</v>
      </c>
      <c r="E46" s="14">
        <f t="shared" si="3"/>
        <v>1</v>
      </c>
      <c r="F46" s="15"/>
      <c r="G46" s="15" t="s">
        <v>54</v>
      </c>
      <c r="H46" s="15"/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110</v>
      </c>
      <c r="B47" s="13" t="s">
        <v>53</v>
      </c>
      <c r="C47" s="14">
        <v>36</v>
      </c>
      <c r="D47" s="14">
        <v>37</v>
      </c>
      <c r="E47" s="14">
        <f t="shared" si="3"/>
        <v>1</v>
      </c>
      <c r="F47" s="15"/>
      <c r="G47" s="15" t="s">
        <v>54</v>
      </c>
      <c r="H47" s="15"/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110</v>
      </c>
      <c r="B48" s="13" t="s">
        <v>53</v>
      </c>
      <c r="C48" s="14">
        <v>37</v>
      </c>
      <c r="D48" s="14">
        <v>38</v>
      </c>
      <c r="E48" s="14">
        <f t="shared" si="3"/>
        <v>1</v>
      </c>
      <c r="F48" s="15"/>
      <c r="G48" s="15"/>
      <c r="H48" s="15" t="s">
        <v>54</v>
      </c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110</v>
      </c>
      <c r="B49" s="13" t="s">
        <v>53</v>
      </c>
      <c r="C49" s="14">
        <v>38</v>
      </c>
      <c r="D49" s="14">
        <v>39</v>
      </c>
      <c r="E49" s="14">
        <f t="shared" si="3"/>
        <v>1</v>
      </c>
      <c r="F49" s="15"/>
      <c r="G49" s="15"/>
      <c r="H49" s="15" t="s">
        <v>54</v>
      </c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110</v>
      </c>
      <c r="B50" s="13" t="s">
        <v>53</v>
      </c>
      <c r="C50" s="14">
        <v>39</v>
      </c>
      <c r="D50" s="14">
        <v>40</v>
      </c>
      <c r="E50" s="14">
        <f t="shared" si="3"/>
        <v>1</v>
      </c>
      <c r="F50" s="15"/>
      <c r="G50" s="15" t="s">
        <v>54</v>
      </c>
      <c r="H50" s="15"/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110</v>
      </c>
      <c r="B51" s="13" t="s">
        <v>53</v>
      </c>
      <c r="C51" s="14">
        <v>40</v>
      </c>
      <c r="D51" s="14">
        <v>41</v>
      </c>
      <c r="E51" s="14">
        <f t="shared" si="3"/>
        <v>1</v>
      </c>
      <c r="F51" s="15"/>
      <c r="G51" s="15" t="s">
        <v>54</v>
      </c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110</v>
      </c>
      <c r="B52" s="13" t="s">
        <v>53</v>
      </c>
      <c r="C52" s="14">
        <v>41</v>
      </c>
      <c r="D52" s="14">
        <v>42</v>
      </c>
      <c r="E52" s="14">
        <f t="shared" si="3"/>
        <v>1</v>
      </c>
      <c r="F52" s="15"/>
      <c r="G52" s="15" t="s">
        <v>54</v>
      </c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110</v>
      </c>
      <c r="B53" s="13" t="s">
        <v>53</v>
      </c>
      <c r="C53" s="14">
        <v>42</v>
      </c>
      <c r="D53" s="14">
        <v>43</v>
      </c>
      <c r="E53" s="14">
        <f t="shared" si="3"/>
        <v>1</v>
      </c>
      <c r="F53" s="15"/>
      <c r="G53" s="15"/>
      <c r="H53" s="15" t="s">
        <v>54</v>
      </c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110</v>
      </c>
      <c r="B54" s="13" t="s">
        <v>53</v>
      </c>
      <c r="C54" s="14">
        <v>43</v>
      </c>
      <c r="D54" s="14">
        <v>44</v>
      </c>
      <c r="E54" s="14">
        <f t="shared" si="3"/>
        <v>1</v>
      </c>
      <c r="F54" s="15"/>
      <c r="G54" s="15" t="s">
        <v>54</v>
      </c>
      <c r="H54" s="15"/>
      <c r="I54" s="15"/>
      <c r="J54" s="15"/>
      <c r="K54" s="15" t="s">
        <v>54</v>
      </c>
      <c r="L54" s="15"/>
      <c r="M54" s="15"/>
      <c r="N54" s="15" t="s">
        <v>54</v>
      </c>
      <c r="O54" s="15"/>
      <c r="P54" s="15"/>
      <c r="Q54" s="15" t="s">
        <v>54</v>
      </c>
      <c r="R54" s="15"/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110</v>
      </c>
      <c r="B55" s="13" t="s">
        <v>53</v>
      </c>
      <c r="C55" s="14">
        <v>44</v>
      </c>
      <c r="D55" s="14">
        <v>45</v>
      </c>
      <c r="E55" s="14">
        <f t="shared" si="3"/>
        <v>1</v>
      </c>
      <c r="F55" s="15"/>
      <c r="G55" s="15" t="s">
        <v>54</v>
      </c>
      <c r="H55" s="15"/>
      <c r="I55" s="15"/>
      <c r="J55" s="15"/>
      <c r="K55" s="15" t="s">
        <v>54</v>
      </c>
      <c r="L55" s="15"/>
      <c r="M55" s="15"/>
      <c r="N55" s="15" t="s">
        <v>54</v>
      </c>
      <c r="O55" s="15"/>
      <c r="P55" s="15"/>
      <c r="Q55" s="15" t="s">
        <v>54</v>
      </c>
      <c r="R55" s="15"/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110</v>
      </c>
      <c r="B56" s="13" t="s">
        <v>53</v>
      </c>
      <c r="C56" s="14">
        <v>45</v>
      </c>
      <c r="D56" s="14">
        <v>46</v>
      </c>
      <c r="E56" s="14">
        <f t="shared" si="3"/>
        <v>1</v>
      </c>
      <c r="F56" s="15"/>
      <c r="G56" s="15" t="s">
        <v>54</v>
      </c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/>
      <c r="Q56" s="15" t="s">
        <v>54</v>
      </c>
      <c r="R56" s="15"/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110</v>
      </c>
      <c r="B57" s="13" t="s">
        <v>53</v>
      </c>
      <c r="C57" s="14">
        <v>46</v>
      </c>
      <c r="D57" s="14">
        <v>47</v>
      </c>
      <c r="E57" s="14">
        <f t="shared" si="3"/>
        <v>1</v>
      </c>
      <c r="F57" s="15"/>
      <c r="G57" s="15" t="s">
        <v>54</v>
      </c>
      <c r="H57" s="15"/>
      <c r="I57" s="15"/>
      <c r="J57" s="15"/>
      <c r="K57" s="15" t="s">
        <v>54</v>
      </c>
      <c r="L57" s="15"/>
      <c r="M57" s="15"/>
      <c r="N57" s="15" t="s">
        <v>54</v>
      </c>
      <c r="O57" s="15"/>
      <c r="P57" s="15"/>
      <c r="Q57" s="15" t="s">
        <v>54</v>
      </c>
      <c r="R57" s="15"/>
      <c r="S57" s="15"/>
      <c r="T57" s="15" t="s">
        <v>54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110</v>
      </c>
      <c r="B58" s="13" t="s">
        <v>53</v>
      </c>
      <c r="C58" s="14">
        <v>47</v>
      </c>
      <c r="D58" s="14">
        <v>48</v>
      </c>
      <c r="E58" s="14">
        <f t="shared" si="3"/>
        <v>1</v>
      </c>
      <c r="F58" s="15"/>
      <c r="G58" s="15" t="s">
        <v>54</v>
      </c>
      <c r="H58" s="15"/>
      <c r="I58" s="15"/>
      <c r="J58" s="15"/>
      <c r="K58" s="15" t="s">
        <v>54</v>
      </c>
      <c r="L58" s="15"/>
      <c r="M58" s="15"/>
      <c r="N58" s="15" t="s">
        <v>54</v>
      </c>
      <c r="O58" s="15"/>
      <c r="P58" s="15"/>
      <c r="Q58" s="15" t="s">
        <v>54</v>
      </c>
      <c r="R58" s="15"/>
      <c r="S58" s="15"/>
      <c r="T58" s="15" t="s">
        <v>54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110</v>
      </c>
      <c r="B59" s="13" t="s">
        <v>53</v>
      </c>
      <c r="C59" s="14">
        <v>48</v>
      </c>
      <c r="D59" s="14">
        <v>49</v>
      </c>
      <c r="E59" s="14">
        <f t="shared" si="3"/>
        <v>1</v>
      </c>
      <c r="F59" s="15"/>
      <c r="G59" s="15"/>
      <c r="H59" s="15" t="s">
        <v>54</v>
      </c>
      <c r="I59" s="15"/>
      <c r="J59" s="15"/>
      <c r="K59" s="15" t="s">
        <v>54</v>
      </c>
      <c r="L59" s="15"/>
      <c r="M59" s="15"/>
      <c r="N59" s="15" t="s">
        <v>54</v>
      </c>
      <c r="O59" s="15"/>
      <c r="P59" s="15"/>
      <c r="Q59" s="15" t="s">
        <v>54</v>
      </c>
      <c r="R59" s="15"/>
      <c r="S59" s="15"/>
      <c r="T59" s="15" t="s">
        <v>54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110</v>
      </c>
      <c r="B60" s="13" t="s">
        <v>53</v>
      </c>
      <c r="C60" s="14">
        <v>49</v>
      </c>
      <c r="D60" s="14">
        <v>50</v>
      </c>
      <c r="E60" s="14">
        <f t="shared" si="3"/>
        <v>1</v>
      </c>
      <c r="F60" s="15"/>
      <c r="G60" s="15" t="s">
        <v>54</v>
      </c>
      <c r="H60" s="15"/>
      <c r="I60" s="15"/>
      <c r="J60" s="15"/>
      <c r="K60" s="15" t="s">
        <v>54</v>
      </c>
      <c r="L60" s="15"/>
      <c r="M60" s="15"/>
      <c r="N60" s="15" t="s">
        <v>54</v>
      </c>
      <c r="O60" s="15"/>
      <c r="P60" s="15"/>
      <c r="Q60" s="15" t="s">
        <v>54</v>
      </c>
      <c r="R60" s="15"/>
      <c r="S60" s="15"/>
      <c r="T60" s="15" t="s">
        <v>54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110</v>
      </c>
      <c r="B61" s="13" t="s">
        <v>53</v>
      </c>
      <c r="C61" s="14">
        <v>50</v>
      </c>
      <c r="D61" s="14">
        <v>51</v>
      </c>
      <c r="E61" s="14">
        <f t="shared" si="3"/>
        <v>1</v>
      </c>
      <c r="F61" s="15"/>
      <c r="G61" s="15" t="s">
        <v>54</v>
      </c>
      <c r="H61" s="15"/>
      <c r="I61" s="15"/>
      <c r="J61" s="15"/>
      <c r="K61" s="15" t="s">
        <v>54</v>
      </c>
      <c r="L61" s="15"/>
      <c r="M61" s="15"/>
      <c r="N61" s="15" t="s">
        <v>54</v>
      </c>
      <c r="O61" s="15"/>
      <c r="P61" s="15"/>
      <c r="Q61" s="15" t="s">
        <v>54</v>
      </c>
      <c r="R61" s="15"/>
      <c r="S61" s="15"/>
      <c r="T61" s="15" t="s">
        <v>54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110</v>
      </c>
      <c r="B62" s="13" t="s">
        <v>53</v>
      </c>
      <c r="C62" s="14">
        <v>51</v>
      </c>
      <c r="D62" s="14">
        <v>52</v>
      </c>
      <c r="E62" s="14">
        <f t="shared" si="3"/>
        <v>1</v>
      </c>
      <c r="F62" s="15"/>
      <c r="G62" s="15" t="s">
        <v>54</v>
      </c>
      <c r="H62" s="15"/>
      <c r="I62" s="15"/>
      <c r="J62" s="15"/>
      <c r="K62" s="15" t="s">
        <v>54</v>
      </c>
      <c r="L62" s="15"/>
      <c r="M62" s="15"/>
      <c r="N62" s="15" t="s">
        <v>54</v>
      </c>
      <c r="O62" s="15"/>
      <c r="P62" s="15"/>
      <c r="Q62" s="15" t="s">
        <v>54</v>
      </c>
      <c r="R62" s="15"/>
      <c r="S62" s="15"/>
      <c r="T62" s="15" t="s">
        <v>54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110</v>
      </c>
      <c r="B63" s="13" t="s">
        <v>53</v>
      </c>
      <c r="C63" s="14">
        <v>52</v>
      </c>
      <c r="D63" s="14">
        <v>53</v>
      </c>
      <c r="E63" s="14">
        <f t="shared" si="3"/>
        <v>1</v>
      </c>
      <c r="F63" s="15"/>
      <c r="G63" s="15" t="s">
        <v>54</v>
      </c>
      <c r="H63" s="15"/>
      <c r="I63" s="15"/>
      <c r="J63" s="15"/>
      <c r="K63" s="15" t="s">
        <v>54</v>
      </c>
      <c r="L63" s="15"/>
      <c r="M63" s="15"/>
      <c r="N63" s="15" t="s">
        <v>54</v>
      </c>
      <c r="O63" s="15"/>
      <c r="P63" s="15"/>
      <c r="Q63" s="15" t="s">
        <v>54</v>
      </c>
      <c r="R63" s="15"/>
      <c r="S63" s="15"/>
      <c r="T63" s="15" t="s">
        <v>54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110</v>
      </c>
      <c r="B64" s="13" t="s">
        <v>53</v>
      </c>
      <c r="C64" s="14">
        <v>53</v>
      </c>
      <c r="D64" s="14">
        <v>54</v>
      </c>
      <c r="E64" s="14">
        <f t="shared" si="3"/>
        <v>1</v>
      </c>
      <c r="F64" s="15"/>
      <c r="G64" s="15" t="s">
        <v>54</v>
      </c>
      <c r="H64" s="15"/>
      <c r="I64" s="15"/>
      <c r="J64" s="15"/>
      <c r="K64" s="15" t="s">
        <v>54</v>
      </c>
      <c r="L64" s="15"/>
      <c r="M64" s="15"/>
      <c r="N64" s="15" t="s">
        <v>54</v>
      </c>
      <c r="O64" s="15"/>
      <c r="P64" s="15"/>
      <c r="Q64" s="15" t="s">
        <v>54</v>
      </c>
      <c r="R64" s="15"/>
      <c r="S64" s="15"/>
      <c r="T64" s="15" t="s">
        <v>54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110</v>
      </c>
      <c r="B65" s="13" t="s">
        <v>53</v>
      </c>
      <c r="C65" s="14">
        <v>54</v>
      </c>
      <c r="D65" s="14">
        <v>55</v>
      </c>
      <c r="E65" s="14">
        <f t="shared" si="3"/>
        <v>1</v>
      </c>
      <c r="F65" s="15"/>
      <c r="G65" s="15" t="s">
        <v>54</v>
      </c>
      <c r="H65" s="15"/>
      <c r="I65" s="15"/>
      <c r="J65" s="15"/>
      <c r="K65" s="15" t="s">
        <v>54</v>
      </c>
      <c r="L65" s="15"/>
      <c r="M65" s="15"/>
      <c r="N65" s="15" t="s">
        <v>54</v>
      </c>
      <c r="O65" s="15"/>
      <c r="P65" s="15"/>
      <c r="Q65" s="15" t="s">
        <v>54</v>
      </c>
      <c r="R65" s="15"/>
      <c r="S65" s="15"/>
      <c r="T65" s="15" t="s">
        <v>54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110</v>
      </c>
      <c r="B66" s="13" t="s">
        <v>53</v>
      </c>
      <c r="C66" s="14">
        <v>55</v>
      </c>
      <c r="D66" s="14">
        <v>56</v>
      </c>
      <c r="E66" s="14">
        <f t="shared" si="3"/>
        <v>1</v>
      </c>
      <c r="F66" s="15"/>
      <c r="G66" s="15" t="s">
        <v>54</v>
      </c>
      <c r="H66" s="15"/>
      <c r="I66" s="15"/>
      <c r="J66" s="15"/>
      <c r="K66" s="15" t="s">
        <v>54</v>
      </c>
      <c r="L66" s="15"/>
      <c r="M66" s="15"/>
      <c r="N66" s="15" t="s">
        <v>54</v>
      </c>
      <c r="O66" s="15"/>
      <c r="P66" s="15"/>
      <c r="Q66" s="15" t="s">
        <v>54</v>
      </c>
      <c r="R66" s="15"/>
      <c r="S66" s="15"/>
      <c r="T66" s="15" t="s">
        <v>54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110</v>
      </c>
      <c r="B67" s="13" t="s">
        <v>53</v>
      </c>
      <c r="C67" s="14">
        <v>56</v>
      </c>
      <c r="D67" s="14">
        <v>57</v>
      </c>
      <c r="E67" s="14">
        <f t="shared" si="3"/>
        <v>1</v>
      </c>
      <c r="F67" s="15"/>
      <c r="G67" s="15" t="s">
        <v>54</v>
      </c>
      <c r="H67" s="15"/>
      <c r="I67" s="15"/>
      <c r="J67" s="15"/>
      <c r="K67" s="15" t="s">
        <v>54</v>
      </c>
      <c r="L67" s="15"/>
      <c r="M67" s="15"/>
      <c r="N67" s="15" t="s">
        <v>54</v>
      </c>
      <c r="O67" s="15"/>
      <c r="P67" s="15"/>
      <c r="Q67" s="15" t="s">
        <v>54</v>
      </c>
      <c r="R67" s="15"/>
      <c r="S67" s="15"/>
      <c r="T67" s="15" t="s">
        <v>54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110</v>
      </c>
      <c r="B68" s="13" t="s">
        <v>53</v>
      </c>
      <c r="C68" s="14">
        <v>57</v>
      </c>
      <c r="D68" s="14">
        <v>58</v>
      </c>
      <c r="E68" s="14">
        <f t="shared" si="3"/>
        <v>1</v>
      </c>
      <c r="F68" s="15"/>
      <c r="G68" s="15" t="s">
        <v>54</v>
      </c>
      <c r="H68" s="15"/>
      <c r="I68" s="15"/>
      <c r="J68" s="15"/>
      <c r="K68" s="15" t="s">
        <v>54</v>
      </c>
      <c r="L68" s="15"/>
      <c r="M68" s="15"/>
      <c r="N68" s="15" t="s">
        <v>54</v>
      </c>
      <c r="O68" s="15"/>
      <c r="P68" s="15"/>
      <c r="Q68" s="15" t="s">
        <v>54</v>
      </c>
      <c r="R68" s="15"/>
      <c r="S68" s="15"/>
      <c r="T68" s="15" t="s">
        <v>54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110</v>
      </c>
      <c r="B69" s="13" t="s">
        <v>53</v>
      </c>
      <c r="C69" s="14">
        <v>58</v>
      </c>
      <c r="D69" s="14">
        <v>59</v>
      </c>
      <c r="E69" s="14">
        <f t="shared" si="3"/>
        <v>1</v>
      </c>
      <c r="F69" s="15"/>
      <c r="G69" s="15" t="s">
        <v>54</v>
      </c>
      <c r="H69" s="15"/>
      <c r="I69" s="15"/>
      <c r="J69" s="15"/>
      <c r="K69" s="15" t="s">
        <v>54</v>
      </c>
      <c r="L69" s="15"/>
      <c r="M69" s="15"/>
      <c r="N69" s="15" t="s">
        <v>54</v>
      </c>
      <c r="O69" s="15"/>
      <c r="P69" s="15"/>
      <c r="Q69" s="15" t="s">
        <v>54</v>
      </c>
      <c r="R69" s="15"/>
      <c r="S69" s="15"/>
      <c r="T69" s="15" t="s">
        <v>54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110</v>
      </c>
      <c r="B70" s="13" t="s">
        <v>53</v>
      </c>
      <c r="C70" s="14">
        <v>59</v>
      </c>
      <c r="D70" s="14">
        <v>60</v>
      </c>
      <c r="E70" s="14">
        <f t="shared" si="3"/>
        <v>1</v>
      </c>
      <c r="F70" s="15"/>
      <c r="G70" s="15" t="s">
        <v>54</v>
      </c>
      <c r="H70" s="15"/>
      <c r="I70" s="15"/>
      <c r="J70" s="15"/>
      <c r="K70" s="15" t="s">
        <v>54</v>
      </c>
      <c r="L70" s="15"/>
      <c r="M70" s="15"/>
      <c r="N70" s="15" t="s">
        <v>54</v>
      </c>
      <c r="O70" s="15"/>
      <c r="P70" s="15"/>
      <c r="Q70" s="15" t="s">
        <v>54</v>
      </c>
      <c r="R70" s="15"/>
      <c r="S70" s="15"/>
      <c r="T70" s="15" t="s">
        <v>54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110</v>
      </c>
      <c r="B71" s="13" t="s">
        <v>53</v>
      </c>
      <c r="C71" s="14">
        <v>60</v>
      </c>
      <c r="D71" s="14">
        <v>61</v>
      </c>
      <c r="E71" s="14">
        <f t="shared" si="3"/>
        <v>1</v>
      </c>
      <c r="F71" s="15"/>
      <c r="G71" s="15" t="s">
        <v>54</v>
      </c>
      <c r="H71" s="15"/>
      <c r="I71" s="15"/>
      <c r="J71" s="15"/>
      <c r="K71" s="15" t="s">
        <v>54</v>
      </c>
      <c r="L71" s="15"/>
      <c r="M71" s="15"/>
      <c r="N71" s="15" t="s">
        <v>54</v>
      </c>
      <c r="O71" s="15"/>
      <c r="P71" s="15"/>
      <c r="Q71" s="15" t="s">
        <v>54</v>
      </c>
      <c r="R71" s="15"/>
      <c r="S71" s="15"/>
      <c r="T71" s="15" t="s">
        <v>54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8" t="s">
        <v>110</v>
      </c>
      <c r="B72" s="19" t="s">
        <v>53</v>
      </c>
      <c r="C72" s="20">
        <v>61</v>
      </c>
      <c r="D72" s="20">
        <v>61.3723223752</v>
      </c>
      <c r="E72" s="20">
        <f t="shared" si="3"/>
        <v>0.37232237519999956</v>
      </c>
      <c r="F72" s="21"/>
      <c r="G72" s="21" t="s">
        <v>54</v>
      </c>
      <c r="H72" s="21"/>
      <c r="I72" s="21"/>
      <c r="J72" s="21"/>
      <c r="K72" s="21" t="s">
        <v>54</v>
      </c>
      <c r="L72" s="21"/>
      <c r="M72" s="21"/>
      <c r="N72" s="21" t="s">
        <v>54</v>
      </c>
      <c r="O72" s="21"/>
      <c r="P72" s="21"/>
      <c r="Q72" s="21" t="s">
        <v>54</v>
      </c>
      <c r="R72" s="21"/>
      <c r="S72" s="21"/>
      <c r="T72" s="21" t="s">
        <v>54</v>
      </c>
      <c r="U72" s="21"/>
      <c r="V72" s="22"/>
      <c r="W72" s="23" t="str">
        <f t="shared" si="4"/>
        <v>OK</v>
      </c>
    </row>
    <row r="73" spans="1:23" ht="15.95" customHeight="1" x14ac:dyDescent="0.25">
      <c r="A73" s="59" t="s">
        <v>111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4"/>
      <c r="W73" s="4"/>
    </row>
    <row r="74" spans="1:23" ht="20.100000000000001" customHeight="1" x14ac:dyDescent="0.25">
      <c r="A74" s="12" t="s">
        <v>112</v>
      </c>
      <c r="B74" s="13" t="s">
        <v>53</v>
      </c>
      <c r="C74" s="14">
        <v>0</v>
      </c>
      <c r="D74" s="14">
        <v>1</v>
      </c>
      <c r="E74" s="14">
        <f>D74-C74</f>
        <v>1</v>
      </c>
      <c r="F74" s="15"/>
      <c r="G74" s="15"/>
      <c r="H74" s="15" t="s">
        <v>54</v>
      </c>
      <c r="I74" s="15"/>
      <c r="J74" s="15"/>
      <c r="K74" s="15" t="s">
        <v>54</v>
      </c>
      <c r="L74" s="15"/>
      <c r="M74" s="15"/>
      <c r="N74" s="15" t="s">
        <v>54</v>
      </c>
      <c r="O74" s="15"/>
      <c r="P74" s="15"/>
      <c r="Q74" s="15"/>
      <c r="R74" s="15" t="s">
        <v>54</v>
      </c>
      <c r="S74" s="15"/>
      <c r="T74" s="15"/>
      <c r="U74" s="15" t="s">
        <v>54</v>
      </c>
      <c r="V74" s="16"/>
      <c r="W74" s="17" t="str">
        <f>IF(COUNTA(F74:U74)=0,"— não preenchido",IF(COUNTIF(F74:J74,"X")&lt;&gt;1,"FALTA/DUPLA: CONDIÇÃO DO PAVIMENTO",IF(COUNTIF(K74:L74,"X")&lt;&gt;1,"FALTA/DUPLA: VEGETAÇÃO",IF(COUNTIF(M74:O74,"X")&lt;&gt;1,"FALTA/DUPLA: ELEM. DE DRENAGEM",IF(COUNTIF(P74:R74,"X")&lt;&gt;1,"FALTA/DUPLA: SIN. HORIZ.",IF(COUNTIF(S74:U74,"X")&lt;&gt;1,"FALTA/DUPLA: SIN. VERTICAL","OK"))))))</f>
        <v>OK</v>
      </c>
    </row>
    <row r="75" spans="1:23" ht="20.100000000000001" customHeight="1" x14ac:dyDescent="0.25">
      <c r="A75" s="12" t="s">
        <v>112</v>
      </c>
      <c r="B75" s="13" t="s">
        <v>53</v>
      </c>
      <c r="C75" s="14">
        <v>1</v>
      </c>
      <c r="D75" s="14">
        <v>2</v>
      </c>
      <c r="E75" s="14">
        <f>D75-C75</f>
        <v>1</v>
      </c>
      <c r="F75" s="15"/>
      <c r="G75" s="15"/>
      <c r="H75" s="15" t="s">
        <v>54</v>
      </c>
      <c r="I75" s="15"/>
      <c r="J75" s="15"/>
      <c r="K75" s="15" t="s">
        <v>54</v>
      </c>
      <c r="L75" s="15"/>
      <c r="M75" s="15"/>
      <c r="N75" s="15" t="s">
        <v>54</v>
      </c>
      <c r="O75" s="15"/>
      <c r="P75" s="15"/>
      <c r="Q75" s="15"/>
      <c r="R75" s="15" t="s">
        <v>54</v>
      </c>
      <c r="S75" s="15"/>
      <c r="T75" s="15"/>
      <c r="U75" s="15" t="s">
        <v>54</v>
      </c>
      <c r="V75" s="16"/>
      <c r="W75" s="17" t="str">
        <f>IF(COUNTA(F75:U75)=0,"— não preenchido",IF(COUNTIF(F75:J75,"X")&lt;&gt;1,"FALTA/DUPLA: CONDIÇÃO DO PAVIMENTO",IF(COUNTIF(K75:L75,"X")&lt;&gt;1,"FALTA/DUPLA: VEGETAÇÃO",IF(COUNTIF(M75:O75,"X")&lt;&gt;1,"FALTA/DUPLA: ELEM. DE DRENAGEM",IF(COUNTIF(P75:R75,"X")&lt;&gt;1,"FALTA/DUPLA: SIN. HORIZ.",IF(COUNTIF(S75:U75,"X")&lt;&gt;1,"FALTA/DUPLA: SIN. VERTICAL","OK"))))))</f>
        <v>OK</v>
      </c>
    </row>
    <row r="76" spans="1:23" ht="20.100000000000001" customHeight="1" x14ac:dyDescent="0.25">
      <c r="A76" s="12" t="s">
        <v>112</v>
      </c>
      <c r="B76" s="13" t="s">
        <v>53</v>
      </c>
      <c r="C76" s="14">
        <v>2</v>
      </c>
      <c r="D76" s="14">
        <v>3</v>
      </c>
      <c r="E76" s="14">
        <f>D76-C76</f>
        <v>1</v>
      </c>
      <c r="F76" s="15"/>
      <c r="G76" s="15"/>
      <c r="H76" s="15" t="s">
        <v>54</v>
      </c>
      <c r="I76" s="15"/>
      <c r="J76" s="15"/>
      <c r="K76" s="15" t="s">
        <v>54</v>
      </c>
      <c r="L76" s="15"/>
      <c r="M76" s="15"/>
      <c r="N76" s="15" t="s">
        <v>54</v>
      </c>
      <c r="O76" s="15"/>
      <c r="P76" s="15"/>
      <c r="Q76" s="15"/>
      <c r="R76" s="15" t="s">
        <v>54</v>
      </c>
      <c r="S76" s="15"/>
      <c r="T76" s="15"/>
      <c r="U76" s="15" t="s">
        <v>54</v>
      </c>
      <c r="V76" s="16"/>
      <c r="W76" s="17" t="str">
        <f>IF(COUNTA(F76:U76)=0,"— não preenchido",IF(COUNTIF(F76:J76,"X")&lt;&gt;1,"FALTA/DUPLA: CONDIÇÃO DO PAVIMENTO",IF(COUNTIF(K76:L76,"X")&lt;&gt;1,"FALTA/DUPLA: VEGETAÇÃO",IF(COUNTIF(M76:O76,"X")&lt;&gt;1,"FALTA/DUPLA: ELEM. DE DRENAGEM",IF(COUNTIF(P76:R76,"X")&lt;&gt;1,"FALTA/DUPLA: SIN. HORIZ.",IF(COUNTIF(S76:U76,"X")&lt;&gt;1,"FALTA/DUPLA: SIN. VERTICAL","OK"))))))</f>
        <v>OK</v>
      </c>
    </row>
    <row r="77" spans="1:23" ht="20.100000000000001" customHeight="1" x14ac:dyDescent="0.25">
      <c r="A77" s="18" t="s">
        <v>112</v>
      </c>
      <c r="B77" s="19" t="s">
        <v>53</v>
      </c>
      <c r="C77" s="20">
        <v>3</v>
      </c>
      <c r="D77" s="20">
        <v>3.1347063349800002</v>
      </c>
      <c r="E77" s="20">
        <f>D77-C77</f>
        <v>0.13470633498000018</v>
      </c>
      <c r="F77" s="21"/>
      <c r="G77" s="21"/>
      <c r="H77" s="21" t="s">
        <v>54</v>
      </c>
      <c r="I77" s="21"/>
      <c r="J77" s="21"/>
      <c r="K77" s="21" t="s">
        <v>54</v>
      </c>
      <c r="L77" s="21"/>
      <c r="M77" s="21"/>
      <c r="N77" s="21" t="s">
        <v>54</v>
      </c>
      <c r="O77" s="21"/>
      <c r="P77" s="21"/>
      <c r="Q77" s="21"/>
      <c r="R77" s="21" t="s">
        <v>54</v>
      </c>
      <c r="S77" s="21"/>
      <c r="T77" s="21"/>
      <c r="U77" s="21" t="s">
        <v>54</v>
      </c>
      <c r="V77" s="22"/>
      <c r="W77" s="23" t="str">
        <f>IF(COUNTA(F77:U77)=0,"— não preenchido",IF(COUNTIF(F77:J77,"X")&lt;&gt;1,"FALTA/DUPLA: CONDIÇÃO DO PAVIMENTO",IF(COUNTIF(K77:L77,"X")&lt;&gt;1,"FALTA/DUPLA: VEGETAÇÃO",IF(COUNTIF(M77:O77,"X")&lt;&gt;1,"FALTA/DUPLA: ELEM. DE DRENAGEM",IF(COUNTIF(P77:R77,"X")&lt;&gt;1,"FALTA/DUPLA: SIN. HORIZ.",IF(COUNTIF(S77:U77,"X")&lt;&gt;1,"FALTA/DUPLA: SIN. VERTICAL","OK"))))))</f>
        <v>OK</v>
      </c>
    </row>
    <row r="79" spans="1:23" x14ac:dyDescent="0.25">
      <c r="A79" s="61" t="s">
        <v>62</v>
      </c>
      <c r="B79" s="42"/>
      <c r="C79" s="42"/>
      <c r="D79" s="42"/>
      <c r="E79" s="42"/>
      <c r="G79" s="61" t="s">
        <v>62</v>
      </c>
      <c r="H79" s="42"/>
      <c r="I79" s="42"/>
      <c r="J79" s="42"/>
      <c r="K79" s="42"/>
    </row>
    <row r="80" spans="1:23" x14ac:dyDescent="0.25">
      <c r="A80" s="58" t="s">
        <v>63</v>
      </c>
      <c r="B80" s="42"/>
      <c r="C80" s="42"/>
      <c r="D80" s="42"/>
      <c r="E80" s="42"/>
      <c r="G80" s="58" t="s">
        <v>64</v>
      </c>
      <c r="H80" s="42"/>
      <c r="I80" s="42"/>
      <c r="J80" s="42"/>
      <c r="K80" s="42"/>
    </row>
    <row r="82" spans="1:22" x14ac:dyDescent="0.25">
      <c r="A82" s="64" t="s">
        <v>65</v>
      </c>
      <c r="B82" s="42"/>
      <c r="C82" s="42"/>
      <c r="D82" s="42"/>
      <c r="E82" s="42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</row>
    <row r="83" spans="1:22" x14ac:dyDescent="0.25">
      <c r="A83" s="53" t="s">
        <v>66</v>
      </c>
      <c r="B83" s="42"/>
      <c r="C83" s="42"/>
      <c r="D83" s="42"/>
      <c r="E83" s="42"/>
      <c r="F83" s="9">
        <f t="shared" ref="F83:U83" si="5">SUMIF(F$9:F$77,"X",$E$9:$E$77)</f>
        <v>6</v>
      </c>
      <c r="G83" s="9">
        <f t="shared" si="5"/>
        <v>48.790985066681998</v>
      </c>
      <c r="H83" s="9">
        <f t="shared" si="5"/>
        <v>10.134706334980001</v>
      </c>
      <c r="I83" s="9">
        <f t="shared" si="5"/>
        <v>0</v>
      </c>
      <c r="J83" s="9">
        <f t="shared" si="5"/>
        <v>0</v>
      </c>
      <c r="K83" s="9">
        <f t="shared" si="5"/>
        <v>64.925691401661993</v>
      </c>
      <c r="L83" s="9">
        <f t="shared" si="5"/>
        <v>0</v>
      </c>
      <c r="M83" s="9">
        <f t="shared" si="5"/>
        <v>0</v>
      </c>
      <c r="N83" s="9">
        <f t="shared" si="5"/>
        <v>64.925691401661993</v>
      </c>
      <c r="O83" s="9">
        <f t="shared" si="5"/>
        <v>0</v>
      </c>
      <c r="P83" s="9">
        <f t="shared" si="5"/>
        <v>0</v>
      </c>
      <c r="Q83" s="9">
        <f t="shared" si="5"/>
        <v>61.790985066681998</v>
      </c>
      <c r="R83" s="9">
        <f t="shared" si="5"/>
        <v>3.1347063349800002</v>
      </c>
      <c r="S83" s="9">
        <f t="shared" si="5"/>
        <v>0</v>
      </c>
      <c r="T83" s="9">
        <f t="shared" si="5"/>
        <v>61.790985066681998</v>
      </c>
      <c r="U83" s="9">
        <f t="shared" si="5"/>
        <v>3.1347063349800002</v>
      </c>
    </row>
    <row r="84" spans="1:22" x14ac:dyDescent="0.25">
      <c r="A84" s="53" t="s">
        <v>67</v>
      </c>
      <c r="B84" s="42"/>
      <c r="C84" s="42"/>
      <c r="D84" s="42"/>
      <c r="E84" s="42"/>
      <c r="F84" s="25">
        <f t="shared" ref="F84:U84" si="6">IF($R86=0,0,F83/$R86)</f>
        <v>9.2413340088765075E-2</v>
      </c>
      <c r="G84" s="25">
        <f t="shared" si="6"/>
        <v>0.7514896493721902</v>
      </c>
      <c r="H84" s="25">
        <f t="shared" si="6"/>
        <v>0.15609701053904476</v>
      </c>
      <c r="I84" s="25">
        <f t="shared" si="6"/>
        <v>0</v>
      </c>
      <c r="J84" s="25">
        <f t="shared" si="6"/>
        <v>0</v>
      </c>
      <c r="K84" s="25">
        <f t="shared" si="6"/>
        <v>1</v>
      </c>
      <c r="L84" s="25">
        <f t="shared" si="6"/>
        <v>0</v>
      </c>
      <c r="M84" s="25">
        <f t="shared" si="6"/>
        <v>0</v>
      </c>
      <c r="N84" s="25">
        <f t="shared" si="6"/>
        <v>1</v>
      </c>
      <c r="O84" s="25">
        <f t="shared" si="6"/>
        <v>0</v>
      </c>
      <c r="P84" s="25">
        <f t="shared" si="6"/>
        <v>0</v>
      </c>
      <c r="Q84" s="25">
        <f t="shared" si="6"/>
        <v>0.9517185528978479</v>
      </c>
      <c r="R84" s="25">
        <f t="shared" si="6"/>
        <v>4.8281447102152181E-2</v>
      </c>
      <c r="S84" s="25">
        <f t="shared" si="6"/>
        <v>0</v>
      </c>
      <c r="T84" s="25">
        <f t="shared" si="6"/>
        <v>0.9517185528978479</v>
      </c>
      <c r="U84" s="25">
        <f t="shared" si="6"/>
        <v>4.8281447102152181E-2</v>
      </c>
    </row>
    <row r="85" spans="1:22" x14ac:dyDescent="0.25">
      <c r="A85" s="53" t="s">
        <v>68</v>
      </c>
      <c r="B85" s="42"/>
      <c r="C85" s="42"/>
      <c r="D85" s="42"/>
      <c r="E85" s="42"/>
      <c r="F85" s="49" t="str">
        <f>IF(SUM(F83:J83)=0,"— não preenchido",IF(ROUND(SUM(F83:J83)-$R86,3)=0,"OK — "&amp;ROUND(SUM(F83:J83),3)&amp;" km","ERRO — dif. de "&amp;ROUND(SUM(F83:J83)-$R86,3)&amp;" km"))</f>
        <v>OK — 64,926 km</v>
      </c>
      <c r="G85" s="46"/>
      <c r="H85" s="46"/>
      <c r="I85" s="46"/>
      <c r="J85" s="44"/>
      <c r="K85" s="49" t="str">
        <f>IF(SUM(K83:L83)=0,"— não preenchido",IF(ROUND(SUM(K83:L83)-$R86,3)=0,"OK — "&amp;ROUND(SUM(K83:L83),3)&amp;" km","ERRO — dif. de "&amp;ROUND(SUM(K83:L83)-$R86,3)&amp;" km"))</f>
        <v>OK — 64,926 km</v>
      </c>
      <c r="L85" s="44"/>
      <c r="M85" s="49" t="str">
        <f>IF(SUM(M83:O83)=0,"— não preenchido",IF(ROUND(SUM(M83:O83)-$R86,3)=0,"OK — "&amp;ROUND(SUM(M83:O83),3)&amp;" km","ERRO — dif. de "&amp;ROUND(SUM(M83:O83)-$R86,3)&amp;" km"))</f>
        <v>OK — 64,926 km</v>
      </c>
      <c r="N85" s="46"/>
      <c r="O85" s="44"/>
      <c r="P85" s="49" t="str">
        <f>IF(SUM(P83:R83)=0,"— não preenchido",IF(ROUND(SUM(P83:R83)-$R86,3)=0,"OK — "&amp;ROUND(SUM(P83:R83),3)&amp;" km","ERRO — dif. de "&amp;ROUND(SUM(P83:R83)-$R86,3)&amp;" km"))</f>
        <v>OK — 64,926 km</v>
      </c>
      <c r="Q85" s="46"/>
      <c r="R85" s="44"/>
      <c r="S85" s="49" t="str">
        <f>IF(SUM(S83:U83)=0,"— não preenchido",IF(ROUND(SUM(S83:U83)-$R86,3)=0,"OK — "&amp;ROUND(SUM(S83:U83),3)&amp;" km","ERRO — dif. de "&amp;ROUND(SUM(S83:U83)-$R86,3)&amp;" km"))</f>
        <v>OK — 64,926 km</v>
      </c>
      <c r="T85" s="46"/>
      <c r="U85" s="44"/>
    </row>
    <row r="86" spans="1:22" x14ac:dyDescent="0.25">
      <c r="A86" s="53" t="s">
        <v>69</v>
      </c>
      <c r="B86" s="42"/>
      <c r="C86" s="42"/>
      <c r="D86" s="42"/>
      <c r="E86" s="42"/>
      <c r="R86" s="26">
        <f>SUM(E9:E77)</f>
        <v>64.925691401661993</v>
      </c>
      <c r="V86" s="8" t="str">
        <f>COUNTIF(W9:W77,"OK")&amp;" de "&amp;COUNT($E$9:$E$77)&amp;" linhas conferidas"</f>
        <v>67 de 67 linhas conferidas</v>
      </c>
    </row>
    <row r="88" spans="1:22" x14ac:dyDescent="0.25">
      <c r="A88" s="62" t="s">
        <v>70</v>
      </c>
      <c r="B88" s="42"/>
      <c r="C88" s="42"/>
      <c r="D88" s="42"/>
      <c r="E88" s="42"/>
    </row>
    <row r="89" spans="1:22" x14ac:dyDescent="0.25">
      <c r="A89" s="53" t="s">
        <v>71</v>
      </c>
      <c r="B89" s="42"/>
      <c r="C89" s="42"/>
      <c r="D89" s="42"/>
      <c r="E89" s="48" t="s">
        <v>72</v>
      </c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</row>
    <row r="90" spans="1:22" x14ac:dyDescent="0.25">
      <c r="A90" s="53" t="s">
        <v>73</v>
      </c>
      <c r="B90" s="42"/>
      <c r="C90" s="42"/>
      <c r="D90" s="42"/>
      <c r="E90" s="48" t="s">
        <v>74</v>
      </c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</row>
    <row r="91" spans="1:22" x14ac:dyDescent="0.25">
      <c r="A91" s="53" t="s">
        <v>75</v>
      </c>
      <c r="B91" s="42"/>
      <c r="C91" s="42"/>
      <c r="D91" s="42"/>
      <c r="E91" s="48" t="s">
        <v>76</v>
      </c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</row>
    <row r="92" spans="1:22" x14ac:dyDescent="0.25">
      <c r="A92" s="53" t="s">
        <v>77</v>
      </c>
      <c r="B92" s="42"/>
      <c r="C92" s="42"/>
      <c r="D92" s="42"/>
      <c r="E92" s="48" t="s">
        <v>78</v>
      </c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</row>
    <row r="93" spans="1:22" x14ac:dyDescent="0.25">
      <c r="A93" s="53" t="s">
        <v>79</v>
      </c>
      <c r="B93" s="42"/>
      <c r="C93" s="42"/>
      <c r="D93" s="42"/>
      <c r="E93" s="48" t="s">
        <v>80</v>
      </c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</row>
    <row r="94" spans="1:22" x14ac:dyDescent="0.25">
      <c r="A94" s="53" t="s">
        <v>45</v>
      </c>
      <c r="B94" s="42"/>
      <c r="C94" s="42"/>
      <c r="D94" s="42"/>
      <c r="E94" s="48" t="s">
        <v>81</v>
      </c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</row>
    <row r="95" spans="1:22" x14ac:dyDescent="0.25">
      <c r="A95" s="53" t="s">
        <v>82</v>
      </c>
      <c r="B95" s="42"/>
      <c r="C95" s="42"/>
      <c r="D95" s="42"/>
      <c r="E95" s="48" t="s">
        <v>83</v>
      </c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</row>
    <row r="96" spans="1:22" x14ac:dyDescent="0.25">
      <c r="A96" s="53" t="s">
        <v>84</v>
      </c>
      <c r="B96" s="42"/>
      <c r="C96" s="42"/>
      <c r="D96" s="42"/>
      <c r="E96" s="48" t="s">
        <v>85</v>
      </c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</row>
    <row r="97" spans="1:22" x14ac:dyDescent="0.25">
      <c r="A97" s="53" t="s">
        <v>11</v>
      </c>
      <c r="B97" s="42"/>
      <c r="C97" s="42"/>
      <c r="D97" s="42"/>
      <c r="E97" s="48" t="s">
        <v>86</v>
      </c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</row>
  </sheetData>
  <sheetProtection formatCells="0"/>
  <mergeCells count="59">
    <mergeCell ref="A4:V4"/>
    <mergeCell ref="N2:O2"/>
    <mergeCell ref="A92:D92"/>
    <mergeCell ref="V6:V7"/>
    <mergeCell ref="A79:E79"/>
    <mergeCell ref="A2:F2"/>
    <mergeCell ref="S6:U6"/>
    <mergeCell ref="A10:V10"/>
    <mergeCell ref="K2:M2"/>
    <mergeCell ref="E92:V92"/>
    <mergeCell ref="A83:E83"/>
    <mergeCell ref="A91:D91"/>
    <mergeCell ref="G2:H2"/>
    <mergeCell ref="A82:E82"/>
    <mergeCell ref="I2:J2"/>
    <mergeCell ref="A8:V8"/>
    <mergeCell ref="A6:A7"/>
    <mergeCell ref="W6:W7"/>
    <mergeCell ref="E6:E7"/>
    <mergeCell ref="A84:E84"/>
    <mergeCell ref="F85:J85"/>
    <mergeCell ref="B6:B7"/>
    <mergeCell ref="A80:E80"/>
    <mergeCell ref="A73:V73"/>
    <mergeCell ref="S85:U85"/>
    <mergeCell ref="M85:O85"/>
    <mergeCell ref="K85:L85"/>
    <mergeCell ref="F6:J6"/>
    <mergeCell ref="M6:O6"/>
    <mergeCell ref="A1:V1"/>
    <mergeCell ref="A85:E85"/>
    <mergeCell ref="T3:V3"/>
    <mergeCell ref="G80:K80"/>
    <mergeCell ref="E93:V93"/>
    <mergeCell ref="R2:V2"/>
    <mergeCell ref="A3:S3"/>
    <mergeCell ref="C6:C7"/>
    <mergeCell ref="K6:L6"/>
    <mergeCell ref="D6:D7"/>
    <mergeCell ref="P6:R6"/>
    <mergeCell ref="P2:Q2"/>
    <mergeCell ref="E89:V89"/>
    <mergeCell ref="E91:V91"/>
    <mergeCell ref="A86:E86"/>
    <mergeCell ref="E90:V90"/>
    <mergeCell ref="E97:V97"/>
    <mergeCell ref="G79:K79"/>
    <mergeCell ref="A90:D90"/>
    <mergeCell ref="E96:V96"/>
    <mergeCell ref="A89:D89"/>
    <mergeCell ref="P85:R85"/>
    <mergeCell ref="A95:D95"/>
    <mergeCell ref="E95:V95"/>
    <mergeCell ref="A94:D94"/>
    <mergeCell ref="A97:D97"/>
    <mergeCell ref="E94:V94"/>
    <mergeCell ref="A96:D96"/>
    <mergeCell ref="A88:E88"/>
    <mergeCell ref="A93:D93"/>
  </mergeCells>
  <conditionalFormatting sqref="F9:J77">
    <cfRule type="expression" dxfId="81" priority="1">
      <formula>AND(F9&lt;&gt;"",COUNTIF($F9:$J9,"X")&gt;1)</formula>
    </cfRule>
  </conditionalFormatting>
  <conditionalFormatting sqref="F85:U85">
    <cfRule type="expression" dxfId="80" priority="8">
      <formula>LEFT(F85,4)="ERRO"</formula>
    </cfRule>
    <cfRule type="expression" dxfId="79" priority="9">
      <formula>LEFT(F85,2)="OK"</formula>
    </cfRule>
  </conditionalFormatting>
  <conditionalFormatting sqref="K9:L77">
    <cfRule type="expression" dxfId="78" priority="2">
      <formula>AND(K9&lt;&gt;"",COUNTIF($K9:$L9,"X")&gt;1)</formula>
    </cfRule>
  </conditionalFormatting>
  <conditionalFormatting sqref="M9:O77">
    <cfRule type="expression" dxfId="77" priority="3">
      <formula>AND(M9&lt;&gt;"",COUNTIF($M9:$O9,"X")&gt;1)</formula>
    </cfRule>
  </conditionalFormatting>
  <conditionalFormatting sqref="P9:R77">
    <cfRule type="expression" dxfId="76" priority="4">
      <formula>AND(P9&lt;&gt;"",COUNTIF($P9:$R9,"X")&gt;1)</formula>
    </cfRule>
  </conditionalFormatting>
  <conditionalFormatting sqref="S9:U77">
    <cfRule type="expression" dxfId="75" priority="5">
      <formula>AND(S9&lt;&gt;"",COUNTIF($S9:$U9,"X")&gt;1)</formula>
    </cfRule>
  </conditionalFormatting>
  <conditionalFormatting sqref="W9:W77">
    <cfRule type="expression" dxfId="74" priority="6">
      <formula>AND(W9&lt;&gt;"OK",W9&lt;&gt;"")</formula>
    </cfRule>
    <cfRule type="expression" dxfId="7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77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77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77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77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77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77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206</oddHeader>
    <oddFooter>&amp;L&amp;7 RTA / MSI — Programa de Manutenção Rodoviária&amp;C&amp;7 Página &amp;P de &amp;N&amp;R&amp;7 Impresso em &amp;D</oddFooter>
  </headerFooter>
  <rowBreaks count="1" manualBreakCount="1">
    <brk id="80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  <pageSetUpPr fitToPage="1"/>
  </sheetPr>
  <dimension ref="A1:AN66"/>
  <sheetViews>
    <sheetView showGridLines="0" tabSelected="1" workbookViewId="0">
      <pane xSplit="5" ySplit="7" topLeftCell="F56" activePane="bottomRight" state="frozen"/>
      <selection pane="topRight"/>
      <selection pane="bottomLeft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1" t="s">
        <v>36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Y1" s="1" t="s">
        <v>1</v>
      </c>
    </row>
    <row r="2" spans="1:40" ht="17.100000000000001" customHeight="1" x14ac:dyDescent="0.25">
      <c r="A2" s="54" t="s">
        <v>37</v>
      </c>
      <c r="B2" s="42"/>
      <c r="C2" s="42"/>
      <c r="D2" s="42"/>
      <c r="E2" s="42"/>
      <c r="F2" s="42"/>
      <c r="G2" s="50" t="s">
        <v>38</v>
      </c>
      <c r="H2" s="42"/>
      <c r="I2" s="51">
        <v>46266</v>
      </c>
      <c r="J2" s="52"/>
      <c r="K2" s="50" t="s">
        <v>39</v>
      </c>
      <c r="L2" s="42"/>
      <c r="M2" s="42"/>
      <c r="N2" s="55"/>
      <c r="O2" s="52"/>
      <c r="P2" s="50" t="s">
        <v>40</v>
      </c>
      <c r="Q2" s="42"/>
      <c r="R2" s="56" t="s">
        <v>154</v>
      </c>
      <c r="S2" s="57"/>
      <c r="T2" s="57"/>
      <c r="U2" s="57"/>
      <c r="V2" s="52"/>
      <c r="Y2" s="2">
        <f t="shared" ref="Y2:AN2" si="0">IF(F52=0,NA(),F52)</f>
        <v>13</v>
      </c>
      <c r="Z2" s="2">
        <f t="shared" si="0"/>
        <v>6</v>
      </c>
      <c r="AA2" s="2">
        <f t="shared" si="0"/>
        <v>16.675885174000001</v>
      </c>
      <c r="AB2" s="2" t="e">
        <f t="shared" si="0"/>
        <v>#N/A</v>
      </c>
      <c r="AC2" s="2" t="e">
        <f t="shared" si="0"/>
        <v>#N/A</v>
      </c>
      <c r="AD2" s="2">
        <f t="shared" si="0"/>
        <v>35.675885174000001</v>
      </c>
      <c r="AE2" s="2" t="e">
        <f t="shared" si="0"/>
        <v>#N/A</v>
      </c>
      <c r="AF2" s="2">
        <f t="shared" si="0"/>
        <v>19.675885174000001</v>
      </c>
      <c r="AG2" s="2">
        <f t="shared" si="0"/>
        <v>16</v>
      </c>
      <c r="AH2" s="2" t="e">
        <f t="shared" si="0"/>
        <v>#N/A</v>
      </c>
      <c r="AI2" s="2" t="e">
        <f t="shared" si="0"/>
        <v>#N/A</v>
      </c>
      <c r="AJ2" s="2">
        <f t="shared" si="0"/>
        <v>26.675885174000001</v>
      </c>
      <c r="AK2" s="2">
        <f t="shared" si="0"/>
        <v>9</v>
      </c>
      <c r="AL2" s="2" t="e">
        <f t="shared" si="0"/>
        <v>#N/A</v>
      </c>
      <c r="AM2" s="2" t="e">
        <f t="shared" si="0"/>
        <v>#N/A</v>
      </c>
      <c r="AN2" s="2">
        <f t="shared" si="0"/>
        <v>35.675885174000001</v>
      </c>
    </row>
    <row r="3" spans="1:40" ht="15" customHeight="1" x14ac:dyDescent="0.25">
      <c r="A3" s="65" t="s">
        <v>113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50" t="s">
        <v>114</v>
      </c>
      <c r="U3" s="42"/>
      <c r="V3" s="42"/>
    </row>
    <row r="4" spans="1:40" ht="20.100000000000001" customHeight="1" x14ac:dyDescent="0.25">
      <c r="A4" s="47" t="s">
        <v>43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6" spans="1:40" ht="21.95" customHeight="1" x14ac:dyDescent="0.25">
      <c r="A6" s="43" t="s">
        <v>44</v>
      </c>
      <c r="B6" s="43" t="s">
        <v>45</v>
      </c>
      <c r="C6" s="43" t="s">
        <v>46</v>
      </c>
      <c r="D6" s="43" t="s">
        <v>47</v>
      </c>
      <c r="E6" s="43" t="s">
        <v>48</v>
      </c>
      <c r="F6" s="43" t="s">
        <v>6</v>
      </c>
      <c r="G6" s="46"/>
      <c r="H6" s="46"/>
      <c r="I6" s="46"/>
      <c r="J6" s="44"/>
      <c r="K6" s="43" t="s">
        <v>7</v>
      </c>
      <c r="L6" s="44"/>
      <c r="M6" s="43" t="s">
        <v>8</v>
      </c>
      <c r="N6" s="46"/>
      <c r="O6" s="44"/>
      <c r="P6" s="43" t="s">
        <v>9</v>
      </c>
      <c r="Q6" s="46"/>
      <c r="R6" s="44"/>
      <c r="S6" s="43" t="s">
        <v>10</v>
      </c>
      <c r="T6" s="46"/>
      <c r="U6" s="44"/>
      <c r="V6" s="43" t="s">
        <v>49</v>
      </c>
      <c r="W6" s="43" t="s">
        <v>50</v>
      </c>
    </row>
    <row r="7" spans="1:40" ht="20.100000000000001" customHeight="1" x14ac:dyDescent="0.25">
      <c r="A7" s="45"/>
      <c r="B7" s="45"/>
      <c r="C7" s="45"/>
      <c r="D7" s="45"/>
      <c r="E7" s="4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45"/>
      <c r="W7" s="45"/>
    </row>
    <row r="8" spans="1:40" ht="15.95" customHeight="1" x14ac:dyDescent="0.25">
      <c r="A8" s="59" t="s">
        <v>115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4"/>
      <c r="W8" s="4"/>
    </row>
    <row r="9" spans="1:40" ht="20.100000000000001" customHeight="1" x14ac:dyDescent="0.25">
      <c r="A9" s="12" t="s">
        <v>116</v>
      </c>
      <c r="B9" s="13" t="s">
        <v>53</v>
      </c>
      <c r="C9" s="14">
        <v>0</v>
      </c>
      <c r="D9" s="14">
        <v>1</v>
      </c>
      <c r="E9" s="14">
        <f t="shared" ref="E9:E27" si="1">D9-C9</f>
        <v>1</v>
      </c>
      <c r="F9" s="15"/>
      <c r="G9" s="15"/>
      <c r="H9" s="15" t="s">
        <v>54</v>
      </c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/>
      <c r="R9" s="15" t="s">
        <v>54</v>
      </c>
      <c r="S9" s="15"/>
      <c r="T9" s="15"/>
      <c r="U9" s="15" t="s">
        <v>54</v>
      </c>
      <c r="V9" s="16"/>
      <c r="W9" s="17" t="str">
        <f t="shared" ref="W9:W27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116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54</v>
      </c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/>
      <c r="R10" s="15" t="s">
        <v>54</v>
      </c>
      <c r="S10" s="15"/>
      <c r="T10" s="15"/>
      <c r="U10" s="15" t="s">
        <v>54</v>
      </c>
      <c r="V10" s="16"/>
      <c r="W10" s="17" t="str">
        <f t="shared" si="2"/>
        <v>OK</v>
      </c>
    </row>
    <row r="11" spans="1:40" ht="20.100000000000001" customHeight="1" x14ac:dyDescent="0.25">
      <c r="A11" s="12" t="s">
        <v>116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54</v>
      </c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/>
      <c r="R11" s="15" t="s">
        <v>54</v>
      </c>
      <c r="S11" s="15"/>
      <c r="T11" s="15"/>
      <c r="U11" s="15" t="s">
        <v>54</v>
      </c>
      <c r="V11" s="16"/>
      <c r="W11" s="17" t="str">
        <f t="shared" si="2"/>
        <v>OK</v>
      </c>
    </row>
    <row r="12" spans="1:40" ht="20.100000000000001" customHeight="1" x14ac:dyDescent="0.25">
      <c r="A12" s="12" t="s">
        <v>116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/>
      <c r="R12" s="15" t="s">
        <v>54</v>
      </c>
      <c r="S12" s="15"/>
      <c r="T12" s="15"/>
      <c r="U12" s="15" t="s">
        <v>54</v>
      </c>
      <c r="V12" s="16"/>
      <c r="W12" s="17" t="str">
        <f t="shared" si="2"/>
        <v>OK</v>
      </c>
    </row>
    <row r="13" spans="1:40" ht="20.100000000000001" customHeight="1" x14ac:dyDescent="0.25">
      <c r="A13" s="12" t="s">
        <v>116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/>
      <c r="R13" s="15" t="s">
        <v>54</v>
      </c>
      <c r="S13" s="15"/>
      <c r="T13" s="15"/>
      <c r="U13" s="15" t="s">
        <v>54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116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54</v>
      </c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/>
      <c r="R14" s="15" t="s">
        <v>54</v>
      </c>
      <c r="S14" s="15"/>
      <c r="T14" s="15"/>
      <c r="U14" s="15" t="s">
        <v>54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116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/>
      <c r="R15" s="15" t="s">
        <v>54</v>
      </c>
      <c r="S15" s="15"/>
      <c r="T15" s="15"/>
      <c r="U15" s="15" t="s">
        <v>54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116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/>
      <c r="R16" s="15" t="s">
        <v>54</v>
      </c>
      <c r="S16" s="15"/>
      <c r="T16" s="15"/>
      <c r="U16" s="15" t="s">
        <v>54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116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/>
      <c r="R17" s="15" t="s">
        <v>54</v>
      </c>
      <c r="S17" s="15"/>
      <c r="T17" s="15"/>
      <c r="U17" s="15" t="s">
        <v>54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116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54</v>
      </c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/>
      <c r="U18" s="15" t="s">
        <v>54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116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54</v>
      </c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/>
      <c r="U19" s="15" t="s">
        <v>54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116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/>
      <c r="U20" s="15" t="s">
        <v>54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116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54</v>
      </c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/>
      <c r="U21" s="15" t="s">
        <v>54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116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54</v>
      </c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/>
      <c r="U22" s="15" t="s">
        <v>54</v>
      </c>
      <c r="V22" s="16"/>
      <c r="W22" s="17" t="str">
        <f t="shared" si="2"/>
        <v>OK</v>
      </c>
    </row>
    <row r="23" spans="1:23" ht="20.100000000000001" customHeight="1" x14ac:dyDescent="0.25">
      <c r="A23" s="12" t="s">
        <v>116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54</v>
      </c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/>
      <c r="U23" s="15" t="s">
        <v>54</v>
      </c>
      <c r="V23" s="16"/>
      <c r="W23" s="17" t="str">
        <f t="shared" si="2"/>
        <v>OK</v>
      </c>
    </row>
    <row r="24" spans="1:23" ht="20.100000000000001" customHeight="1" x14ac:dyDescent="0.25">
      <c r="A24" s="12" t="s">
        <v>116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54</v>
      </c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/>
      <c r="U24" s="15" t="s">
        <v>54</v>
      </c>
      <c r="V24" s="16"/>
      <c r="W24" s="17" t="str">
        <f t="shared" si="2"/>
        <v>OK</v>
      </c>
    </row>
    <row r="25" spans="1:23" ht="20.100000000000001" customHeight="1" x14ac:dyDescent="0.25">
      <c r="A25" s="12" t="s">
        <v>116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54</v>
      </c>
      <c r="I25" s="15"/>
      <c r="J25" s="15"/>
      <c r="K25" s="15" t="s">
        <v>54</v>
      </c>
      <c r="L25" s="15"/>
      <c r="M25" s="15" t="s">
        <v>54</v>
      </c>
      <c r="N25" s="15"/>
      <c r="O25" s="15"/>
      <c r="P25" s="15"/>
      <c r="Q25" s="15" t="s">
        <v>54</v>
      </c>
      <c r="R25" s="15"/>
      <c r="S25" s="15"/>
      <c r="T25" s="15"/>
      <c r="U25" s="15" t="s">
        <v>54</v>
      </c>
      <c r="V25" s="16"/>
      <c r="W25" s="17" t="str">
        <f t="shared" si="2"/>
        <v>OK</v>
      </c>
    </row>
    <row r="26" spans="1:23" ht="20.100000000000001" customHeight="1" x14ac:dyDescent="0.25">
      <c r="A26" s="12" t="s">
        <v>116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/>
      <c r="H26" s="15" t="s">
        <v>54</v>
      </c>
      <c r="I26" s="15"/>
      <c r="J26" s="15"/>
      <c r="K26" s="15" t="s">
        <v>54</v>
      </c>
      <c r="L26" s="15"/>
      <c r="M26" s="15" t="s">
        <v>54</v>
      </c>
      <c r="N26" s="15"/>
      <c r="O26" s="15"/>
      <c r="P26" s="15"/>
      <c r="Q26" s="15" t="s">
        <v>54</v>
      </c>
      <c r="R26" s="15"/>
      <c r="S26" s="15"/>
      <c r="T26" s="15"/>
      <c r="U26" s="15" t="s">
        <v>54</v>
      </c>
      <c r="V26" s="16"/>
      <c r="W26" s="17" t="str">
        <f t="shared" si="2"/>
        <v>OK</v>
      </c>
    </row>
    <row r="27" spans="1:23" ht="20.100000000000001" customHeight="1" x14ac:dyDescent="0.25">
      <c r="A27" s="18" t="s">
        <v>116</v>
      </c>
      <c r="B27" s="19" t="s">
        <v>53</v>
      </c>
      <c r="C27" s="20">
        <v>18</v>
      </c>
      <c r="D27" s="20">
        <v>18.3114871348</v>
      </c>
      <c r="E27" s="20">
        <f t="shared" si="1"/>
        <v>0.31148713480000012</v>
      </c>
      <c r="F27" s="21"/>
      <c r="G27" s="21"/>
      <c r="H27" s="21" t="s">
        <v>54</v>
      </c>
      <c r="I27" s="21"/>
      <c r="J27" s="21"/>
      <c r="K27" s="21" t="s">
        <v>54</v>
      </c>
      <c r="L27" s="21"/>
      <c r="M27" s="21" t="s">
        <v>54</v>
      </c>
      <c r="N27" s="21"/>
      <c r="O27" s="21"/>
      <c r="P27" s="21"/>
      <c r="Q27" s="21" t="s">
        <v>54</v>
      </c>
      <c r="R27" s="21"/>
      <c r="S27" s="21"/>
      <c r="T27" s="21"/>
      <c r="U27" s="21" t="s">
        <v>54</v>
      </c>
      <c r="V27" s="22"/>
      <c r="W27" s="23" t="str">
        <f t="shared" si="2"/>
        <v>OK</v>
      </c>
    </row>
    <row r="28" spans="1:23" ht="15.95" customHeight="1" x14ac:dyDescent="0.25">
      <c r="A28" s="59" t="s">
        <v>117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4"/>
      <c r="W28" s="4"/>
    </row>
    <row r="29" spans="1:23" ht="20.100000000000001" customHeight="1" x14ac:dyDescent="0.25">
      <c r="A29" s="12" t="s">
        <v>118</v>
      </c>
      <c r="B29" s="13" t="s">
        <v>53</v>
      </c>
      <c r="C29" s="14">
        <v>0</v>
      </c>
      <c r="D29" s="14">
        <v>1</v>
      </c>
      <c r="E29" s="14">
        <f t="shared" ref="E29:E46" si="3">D29-C29</f>
        <v>1</v>
      </c>
      <c r="F29" s="15" t="s">
        <v>54</v>
      </c>
      <c r="G29" s="15"/>
      <c r="H29" s="15"/>
      <c r="I29" s="15"/>
      <c r="J29" s="15"/>
      <c r="K29" s="15" t="s">
        <v>54</v>
      </c>
      <c r="L29" s="15"/>
      <c r="M29" s="15" t="s">
        <v>54</v>
      </c>
      <c r="N29" s="15"/>
      <c r="O29" s="15"/>
      <c r="P29" s="15"/>
      <c r="Q29" s="15" t="s">
        <v>54</v>
      </c>
      <c r="R29" s="15"/>
      <c r="S29" s="15"/>
      <c r="T29" s="15"/>
      <c r="U29" s="15" t="s">
        <v>54</v>
      </c>
      <c r="V29" s="16"/>
      <c r="W29" s="17" t="str">
        <f t="shared" ref="W29:W46" si="4">IF(COUNTA(F29:U29)=0,"— não preenchido",IF(COUNTIF(F29:J29,"X")&lt;&gt;1,"FALTA/DUPLA: CONDIÇÃO DO PAVIMENTO",IF(COUNTIF(K29:L29,"X")&lt;&gt;1,"FALTA/DUPLA: VEGETAÇÃO",IF(COUNTIF(M29:O29,"X")&lt;&gt;1,"FALTA/DUPLA: ELEM. DE DRENAGEM",IF(COUNTIF(P29:R29,"X")&lt;&gt;1,"FALTA/DUPLA: SIN. HORIZ.",IF(COUNTIF(S29:U29,"X")&lt;&gt;1,"FALTA/DUPLA: SIN. VERTICAL","OK"))))))</f>
        <v>OK</v>
      </c>
    </row>
    <row r="30" spans="1:23" ht="20.100000000000001" customHeight="1" x14ac:dyDescent="0.25">
      <c r="A30" s="12" t="s">
        <v>118</v>
      </c>
      <c r="B30" s="13" t="s">
        <v>53</v>
      </c>
      <c r="C30" s="14">
        <v>1</v>
      </c>
      <c r="D30" s="14">
        <v>2</v>
      </c>
      <c r="E30" s="14">
        <f t="shared" si="3"/>
        <v>1</v>
      </c>
      <c r="F30" s="15" t="s">
        <v>54</v>
      </c>
      <c r="G30" s="15"/>
      <c r="H30" s="15"/>
      <c r="I30" s="15"/>
      <c r="J30" s="15"/>
      <c r="K30" s="15" t="s">
        <v>54</v>
      </c>
      <c r="L30" s="15"/>
      <c r="M30" s="15" t="s">
        <v>54</v>
      </c>
      <c r="N30" s="15"/>
      <c r="O30" s="15"/>
      <c r="P30" s="15"/>
      <c r="Q30" s="15" t="s">
        <v>54</v>
      </c>
      <c r="R30" s="15"/>
      <c r="S30" s="15"/>
      <c r="T30" s="15"/>
      <c r="U30" s="15" t="s">
        <v>54</v>
      </c>
      <c r="V30" s="16"/>
      <c r="W30" s="17" t="str">
        <f t="shared" si="4"/>
        <v>OK</v>
      </c>
    </row>
    <row r="31" spans="1:23" ht="20.100000000000001" customHeight="1" x14ac:dyDescent="0.25">
      <c r="A31" s="12" t="s">
        <v>118</v>
      </c>
      <c r="B31" s="13" t="s">
        <v>53</v>
      </c>
      <c r="C31" s="14">
        <v>2</v>
      </c>
      <c r="D31" s="14">
        <v>3</v>
      </c>
      <c r="E31" s="14">
        <f t="shared" si="3"/>
        <v>1</v>
      </c>
      <c r="F31" s="15" t="s">
        <v>54</v>
      </c>
      <c r="G31" s="15"/>
      <c r="H31" s="15"/>
      <c r="I31" s="15"/>
      <c r="J31" s="15"/>
      <c r="K31" s="15" t="s">
        <v>54</v>
      </c>
      <c r="L31" s="15"/>
      <c r="M31" s="15" t="s">
        <v>54</v>
      </c>
      <c r="N31" s="15"/>
      <c r="O31" s="15"/>
      <c r="P31" s="15"/>
      <c r="Q31" s="15" t="s">
        <v>54</v>
      </c>
      <c r="R31" s="15"/>
      <c r="S31" s="15"/>
      <c r="T31" s="15"/>
      <c r="U31" s="15" t="s">
        <v>54</v>
      </c>
      <c r="V31" s="16"/>
      <c r="W31" s="17" t="str">
        <f t="shared" si="4"/>
        <v>OK</v>
      </c>
    </row>
    <row r="32" spans="1:23" ht="20.100000000000001" customHeight="1" x14ac:dyDescent="0.25">
      <c r="A32" s="12" t="s">
        <v>118</v>
      </c>
      <c r="B32" s="13" t="s">
        <v>53</v>
      </c>
      <c r="C32" s="14">
        <v>3</v>
      </c>
      <c r="D32" s="14">
        <v>4</v>
      </c>
      <c r="E32" s="14">
        <f t="shared" si="3"/>
        <v>1</v>
      </c>
      <c r="F32" s="15" t="s">
        <v>54</v>
      </c>
      <c r="G32" s="15"/>
      <c r="H32" s="15"/>
      <c r="I32" s="15"/>
      <c r="J32" s="15"/>
      <c r="K32" s="15" t="s">
        <v>54</v>
      </c>
      <c r="L32" s="15"/>
      <c r="M32" s="15" t="s">
        <v>54</v>
      </c>
      <c r="N32" s="15"/>
      <c r="O32" s="15"/>
      <c r="P32" s="15"/>
      <c r="Q32" s="15" t="s">
        <v>54</v>
      </c>
      <c r="R32" s="15"/>
      <c r="S32" s="15"/>
      <c r="T32" s="15"/>
      <c r="U32" s="15" t="s">
        <v>54</v>
      </c>
      <c r="V32" s="16"/>
      <c r="W32" s="17" t="str">
        <f t="shared" si="4"/>
        <v>OK</v>
      </c>
    </row>
    <row r="33" spans="1:23" ht="20.100000000000001" customHeight="1" x14ac:dyDescent="0.25">
      <c r="A33" s="12" t="s">
        <v>118</v>
      </c>
      <c r="B33" s="13" t="s">
        <v>53</v>
      </c>
      <c r="C33" s="14">
        <v>4</v>
      </c>
      <c r="D33" s="14">
        <v>5</v>
      </c>
      <c r="E33" s="14">
        <f t="shared" si="3"/>
        <v>1</v>
      </c>
      <c r="F33" s="15" t="s">
        <v>54</v>
      </c>
      <c r="G33" s="15"/>
      <c r="H33" s="15"/>
      <c r="I33" s="15"/>
      <c r="J33" s="15"/>
      <c r="K33" s="15" t="s">
        <v>54</v>
      </c>
      <c r="L33" s="15"/>
      <c r="M33" s="15" t="s">
        <v>54</v>
      </c>
      <c r="N33" s="15"/>
      <c r="O33" s="15"/>
      <c r="P33" s="15"/>
      <c r="Q33" s="15" t="s">
        <v>54</v>
      </c>
      <c r="R33" s="15"/>
      <c r="S33" s="15"/>
      <c r="T33" s="15"/>
      <c r="U33" s="15" t="s">
        <v>54</v>
      </c>
      <c r="V33" s="16"/>
      <c r="W33" s="17" t="str">
        <f t="shared" si="4"/>
        <v>OK</v>
      </c>
    </row>
    <row r="34" spans="1:23" ht="20.100000000000001" customHeight="1" x14ac:dyDescent="0.25">
      <c r="A34" s="12" t="s">
        <v>118</v>
      </c>
      <c r="B34" s="13" t="s">
        <v>53</v>
      </c>
      <c r="C34" s="14">
        <v>5</v>
      </c>
      <c r="D34" s="14">
        <v>6</v>
      </c>
      <c r="E34" s="14">
        <f t="shared" si="3"/>
        <v>1</v>
      </c>
      <c r="F34" s="15" t="s">
        <v>54</v>
      </c>
      <c r="G34" s="15"/>
      <c r="H34" s="15"/>
      <c r="I34" s="15"/>
      <c r="J34" s="15"/>
      <c r="K34" s="15" t="s">
        <v>54</v>
      </c>
      <c r="L34" s="15"/>
      <c r="M34" s="15" t="s">
        <v>54</v>
      </c>
      <c r="N34" s="15"/>
      <c r="O34" s="15"/>
      <c r="P34" s="15"/>
      <c r="Q34" s="15" t="s">
        <v>54</v>
      </c>
      <c r="R34" s="15"/>
      <c r="S34" s="15"/>
      <c r="T34" s="15"/>
      <c r="U34" s="15" t="s">
        <v>54</v>
      </c>
      <c r="V34" s="16"/>
      <c r="W34" s="17" t="str">
        <f t="shared" si="4"/>
        <v>OK</v>
      </c>
    </row>
    <row r="35" spans="1:23" ht="20.100000000000001" customHeight="1" x14ac:dyDescent="0.25">
      <c r="A35" s="12" t="s">
        <v>118</v>
      </c>
      <c r="B35" s="13" t="s">
        <v>53</v>
      </c>
      <c r="C35" s="14">
        <v>6</v>
      </c>
      <c r="D35" s="14">
        <v>7</v>
      </c>
      <c r="E35" s="14">
        <f t="shared" si="3"/>
        <v>1</v>
      </c>
      <c r="F35" s="15" t="s">
        <v>54</v>
      </c>
      <c r="G35" s="15"/>
      <c r="H35" s="15"/>
      <c r="I35" s="15"/>
      <c r="J35" s="15"/>
      <c r="K35" s="15" t="s">
        <v>54</v>
      </c>
      <c r="L35" s="15"/>
      <c r="M35" s="15" t="s">
        <v>54</v>
      </c>
      <c r="N35" s="15"/>
      <c r="O35" s="15"/>
      <c r="P35" s="15"/>
      <c r="Q35" s="15" t="s">
        <v>54</v>
      </c>
      <c r="R35" s="15"/>
      <c r="S35" s="15"/>
      <c r="T35" s="15"/>
      <c r="U35" s="15" t="s">
        <v>54</v>
      </c>
      <c r="V35" s="16"/>
      <c r="W35" s="17" t="str">
        <f t="shared" si="4"/>
        <v>OK</v>
      </c>
    </row>
    <row r="36" spans="1:23" ht="20.100000000000001" customHeight="1" x14ac:dyDescent="0.25">
      <c r="A36" s="12" t="s">
        <v>118</v>
      </c>
      <c r="B36" s="13" t="s">
        <v>53</v>
      </c>
      <c r="C36" s="14">
        <v>7</v>
      </c>
      <c r="D36" s="14">
        <v>8</v>
      </c>
      <c r="E36" s="14">
        <f t="shared" si="3"/>
        <v>1</v>
      </c>
      <c r="F36" s="15" t="s">
        <v>54</v>
      </c>
      <c r="G36" s="15"/>
      <c r="H36" s="15"/>
      <c r="I36" s="15"/>
      <c r="J36" s="15"/>
      <c r="K36" s="15" t="s">
        <v>54</v>
      </c>
      <c r="L36" s="15"/>
      <c r="M36" s="15" t="s">
        <v>54</v>
      </c>
      <c r="N36" s="15"/>
      <c r="O36" s="15"/>
      <c r="P36" s="15"/>
      <c r="Q36" s="15" t="s">
        <v>54</v>
      </c>
      <c r="R36" s="15"/>
      <c r="S36" s="15"/>
      <c r="T36" s="15"/>
      <c r="U36" s="15" t="s">
        <v>54</v>
      </c>
      <c r="V36" s="16"/>
      <c r="W36" s="17" t="str">
        <f t="shared" si="4"/>
        <v>OK</v>
      </c>
    </row>
    <row r="37" spans="1:23" ht="20.100000000000001" customHeight="1" x14ac:dyDescent="0.25">
      <c r="A37" s="12" t="s">
        <v>118</v>
      </c>
      <c r="B37" s="13" t="s">
        <v>53</v>
      </c>
      <c r="C37" s="14">
        <v>8</v>
      </c>
      <c r="D37" s="14">
        <v>9</v>
      </c>
      <c r="E37" s="14">
        <f t="shared" si="3"/>
        <v>1</v>
      </c>
      <c r="F37" s="15" t="s">
        <v>54</v>
      </c>
      <c r="G37" s="15"/>
      <c r="H37" s="15"/>
      <c r="I37" s="15"/>
      <c r="J37" s="15"/>
      <c r="K37" s="15" t="s">
        <v>54</v>
      </c>
      <c r="L37" s="15"/>
      <c r="M37" s="15" t="s">
        <v>54</v>
      </c>
      <c r="N37" s="15"/>
      <c r="O37" s="15"/>
      <c r="P37" s="15"/>
      <c r="Q37" s="15" t="s">
        <v>54</v>
      </c>
      <c r="R37" s="15"/>
      <c r="S37" s="15"/>
      <c r="T37" s="15"/>
      <c r="U37" s="15" t="s">
        <v>54</v>
      </c>
      <c r="V37" s="16"/>
      <c r="W37" s="17" t="str">
        <f t="shared" si="4"/>
        <v>OK</v>
      </c>
    </row>
    <row r="38" spans="1:23" ht="20.100000000000001" customHeight="1" x14ac:dyDescent="0.25">
      <c r="A38" s="12" t="s">
        <v>118</v>
      </c>
      <c r="B38" s="13" t="s">
        <v>53</v>
      </c>
      <c r="C38" s="14">
        <v>9</v>
      </c>
      <c r="D38" s="14">
        <v>10</v>
      </c>
      <c r="E38" s="14">
        <f t="shared" si="3"/>
        <v>1</v>
      </c>
      <c r="F38" s="15" t="s">
        <v>54</v>
      </c>
      <c r="G38" s="15"/>
      <c r="H38" s="15"/>
      <c r="I38" s="15"/>
      <c r="J38" s="15"/>
      <c r="K38" s="15" t="s">
        <v>54</v>
      </c>
      <c r="L38" s="15"/>
      <c r="M38" s="15" t="s">
        <v>54</v>
      </c>
      <c r="N38" s="15"/>
      <c r="O38" s="15"/>
      <c r="P38" s="15"/>
      <c r="Q38" s="15" t="s">
        <v>54</v>
      </c>
      <c r="R38" s="15"/>
      <c r="S38" s="15"/>
      <c r="T38" s="15"/>
      <c r="U38" s="15" t="s">
        <v>54</v>
      </c>
      <c r="V38" s="16"/>
      <c r="W38" s="17" t="str">
        <f t="shared" si="4"/>
        <v>OK</v>
      </c>
    </row>
    <row r="39" spans="1:23" ht="20.100000000000001" customHeight="1" x14ac:dyDescent="0.25">
      <c r="A39" s="12" t="s">
        <v>118</v>
      </c>
      <c r="B39" s="13" t="s">
        <v>53</v>
      </c>
      <c r="C39" s="14">
        <v>10</v>
      </c>
      <c r="D39" s="14">
        <v>11</v>
      </c>
      <c r="E39" s="14">
        <f t="shared" si="3"/>
        <v>1</v>
      </c>
      <c r="F39" s="15" t="s">
        <v>54</v>
      </c>
      <c r="G39" s="15"/>
      <c r="H39" s="15"/>
      <c r="I39" s="15"/>
      <c r="J39" s="15"/>
      <c r="K39" s="15" t="s">
        <v>54</v>
      </c>
      <c r="L39" s="15"/>
      <c r="M39" s="15" t="s">
        <v>54</v>
      </c>
      <c r="N39" s="15"/>
      <c r="O39" s="15"/>
      <c r="P39" s="15"/>
      <c r="Q39" s="15" t="s">
        <v>54</v>
      </c>
      <c r="R39" s="15"/>
      <c r="S39" s="15"/>
      <c r="T39" s="15"/>
      <c r="U39" s="15" t="s">
        <v>54</v>
      </c>
      <c r="V39" s="16"/>
      <c r="W39" s="17" t="str">
        <f t="shared" si="4"/>
        <v>OK</v>
      </c>
    </row>
    <row r="40" spans="1:23" ht="20.100000000000001" customHeight="1" x14ac:dyDescent="0.25">
      <c r="A40" s="12" t="s">
        <v>118</v>
      </c>
      <c r="B40" s="13" t="s">
        <v>53</v>
      </c>
      <c r="C40" s="14">
        <v>11</v>
      </c>
      <c r="D40" s="14">
        <v>12</v>
      </c>
      <c r="E40" s="14">
        <f t="shared" si="3"/>
        <v>1</v>
      </c>
      <c r="F40" s="15" t="s">
        <v>54</v>
      </c>
      <c r="G40" s="15"/>
      <c r="H40" s="15"/>
      <c r="I40" s="15"/>
      <c r="J40" s="15"/>
      <c r="K40" s="15" t="s">
        <v>54</v>
      </c>
      <c r="L40" s="15"/>
      <c r="M40" s="15" t="s">
        <v>54</v>
      </c>
      <c r="N40" s="15"/>
      <c r="O40" s="15"/>
      <c r="P40" s="15"/>
      <c r="Q40" s="15" t="s">
        <v>54</v>
      </c>
      <c r="R40" s="15"/>
      <c r="S40" s="15"/>
      <c r="T40" s="15"/>
      <c r="U40" s="15" t="s">
        <v>54</v>
      </c>
      <c r="V40" s="16"/>
      <c r="W40" s="17" t="str">
        <f t="shared" si="4"/>
        <v>OK</v>
      </c>
    </row>
    <row r="41" spans="1:23" ht="20.100000000000001" customHeight="1" x14ac:dyDescent="0.25">
      <c r="A41" s="12" t="s">
        <v>118</v>
      </c>
      <c r="B41" s="13" t="s">
        <v>53</v>
      </c>
      <c r="C41" s="14">
        <v>12</v>
      </c>
      <c r="D41" s="14">
        <v>13</v>
      </c>
      <c r="E41" s="14">
        <f t="shared" si="3"/>
        <v>1</v>
      </c>
      <c r="F41" s="15" t="s">
        <v>54</v>
      </c>
      <c r="G41" s="15"/>
      <c r="H41" s="15"/>
      <c r="I41" s="15"/>
      <c r="J41" s="15"/>
      <c r="K41" s="15" t="s">
        <v>54</v>
      </c>
      <c r="L41" s="15"/>
      <c r="M41" s="15" t="s">
        <v>54</v>
      </c>
      <c r="N41" s="15"/>
      <c r="O41" s="15"/>
      <c r="P41" s="15"/>
      <c r="Q41" s="15" t="s">
        <v>54</v>
      </c>
      <c r="R41" s="15"/>
      <c r="S41" s="15"/>
      <c r="T41" s="15"/>
      <c r="U41" s="15" t="s">
        <v>54</v>
      </c>
      <c r="V41" s="16"/>
      <c r="W41" s="17" t="str">
        <f t="shared" si="4"/>
        <v>OK</v>
      </c>
    </row>
    <row r="42" spans="1:23" ht="20.100000000000001" customHeight="1" x14ac:dyDescent="0.25">
      <c r="A42" s="12" t="s">
        <v>118</v>
      </c>
      <c r="B42" s="13" t="s">
        <v>53</v>
      </c>
      <c r="C42" s="14">
        <v>13</v>
      </c>
      <c r="D42" s="14">
        <v>14</v>
      </c>
      <c r="E42" s="14">
        <f t="shared" si="3"/>
        <v>1</v>
      </c>
      <c r="F42" s="15"/>
      <c r="G42" s="15"/>
      <c r="H42" s="15" t="s">
        <v>54</v>
      </c>
      <c r="I42" s="15"/>
      <c r="J42" s="15"/>
      <c r="K42" s="15" t="s">
        <v>54</v>
      </c>
      <c r="L42" s="15"/>
      <c r="M42" s="15" t="s">
        <v>54</v>
      </c>
      <c r="N42" s="15"/>
      <c r="O42" s="15"/>
      <c r="P42" s="15"/>
      <c r="Q42" s="15" t="s">
        <v>54</v>
      </c>
      <c r="R42" s="15"/>
      <c r="S42" s="15"/>
      <c r="T42" s="15"/>
      <c r="U42" s="15" t="s">
        <v>54</v>
      </c>
      <c r="V42" s="16"/>
      <c r="W42" s="17" t="str">
        <f t="shared" si="4"/>
        <v>OK</v>
      </c>
    </row>
    <row r="43" spans="1:23" ht="20.100000000000001" customHeight="1" x14ac:dyDescent="0.25">
      <c r="A43" s="12" t="s">
        <v>118</v>
      </c>
      <c r="B43" s="13" t="s">
        <v>53</v>
      </c>
      <c r="C43" s="14">
        <v>14</v>
      </c>
      <c r="D43" s="14">
        <v>15</v>
      </c>
      <c r="E43" s="14">
        <f t="shared" si="3"/>
        <v>1</v>
      </c>
      <c r="F43" s="15"/>
      <c r="G43" s="15"/>
      <c r="H43" s="15" t="s">
        <v>54</v>
      </c>
      <c r="I43" s="15"/>
      <c r="J43" s="15"/>
      <c r="K43" s="15" t="s">
        <v>54</v>
      </c>
      <c r="L43" s="15"/>
      <c r="M43" s="15" t="s">
        <v>54</v>
      </c>
      <c r="N43" s="15"/>
      <c r="O43" s="15"/>
      <c r="P43" s="15"/>
      <c r="Q43" s="15" t="s">
        <v>54</v>
      </c>
      <c r="R43" s="15"/>
      <c r="S43" s="15"/>
      <c r="T43" s="15"/>
      <c r="U43" s="15" t="s">
        <v>54</v>
      </c>
      <c r="V43" s="16"/>
      <c r="W43" s="17" t="str">
        <f t="shared" si="4"/>
        <v>OK</v>
      </c>
    </row>
    <row r="44" spans="1:23" ht="20.100000000000001" customHeight="1" x14ac:dyDescent="0.25">
      <c r="A44" s="12" t="s">
        <v>118</v>
      </c>
      <c r="B44" s="13" t="s">
        <v>53</v>
      </c>
      <c r="C44" s="14">
        <v>15</v>
      </c>
      <c r="D44" s="14">
        <v>16</v>
      </c>
      <c r="E44" s="14">
        <f t="shared" si="3"/>
        <v>1</v>
      </c>
      <c r="F44" s="15"/>
      <c r="G44" s="15"/>
      <c r="H44" s="15" t="s">
        <v>54</v>
      </c>
      <c r="I44" s="15"/>
      <c r="J44" s="15"/>
      <c r="K44" s="15" t="s">
        <v>54</v>
      </c>
      <c r="L44" s="15"/>
      <c r="M44" s="15" t="s">
        <v>54</v>
      </c>
      <c r="N44" s="15"/>
      <c r="O44" s="15"/>
      <c r="P44" s="15"/>
      <c r="Q44" s="15" t="s">
        <v>54</v>
      </c>
      <c r="R44" s="15"/>
      <c r="S44" s="15"/>
      <c r="T44" s="15"/>
      <c r="U44" s="15" t="s">
        <v>54</v>
      </c>
      <c r="V44" s="16"/>
      <c r="W44" s="17" t="str">
        <f t="shared" si="4"/>
        <v>OK</v>
      </c>
    </row>
    <row r="45" spans="1:23" ht="20.100000000000001" customHeight="1" x14ac:dyDescent="0.25">
      <c r="A45" s="12" t="s">
        <v>118</v>
      </c>
      <c r="B45" s="13" t="s">
        <v>53</v>
      </c>
      <c r="C45" s="14">
        <v>16</v>
      </c>
      <c r="D45" s="14">
        <v>17</v>
      </c>
      <c r="E45" s="14">
        <f t="shared" si="3"/>
        <v>1</v>
      </c>
      <c r="F45" s="15"/>
      <c r="G45" s="15"/>
      <c r="H45" s="15" t="s">
        <v>54</v>
      </c>
      <c r="I45" s="15"/>
      <c r="J45" s="15"/>
      <c r="K45" s="15" t="s">
        <v>54</v>
      </c>
      <c r="L45" s="15"/>
      <c r="M45" s="15" t="s">
        <v>54</v>
      </c>
      <c r="N45" s="15"/>
      <c r="O45" s="15"/>
      <c r="P45" s="15"/>
      <c r="Q45" s="15" t="s">
        <v>54</v>
      </c>
      <c r="R45" s="15"/>
      <c r="S45" s="15"/>
      <c r="T45" s="15"/>
      <c r="U45" s="15" t="s">
        <v>54</v>
      </c>
      <c r="V45" s="16"/>
      <c r="W45" s="17" t="str">
        <f t="shared" si="4"/>
        <v>OK</v>
      </c>
    </row>
    <row r="46" spans="1:23" ht="20.100000000000001" customHeight="1" x14ac:dyDescent="0.25">
      <c r="A46" s="18" t="s">
        <v>118</v>
      </c>
      <c r="B46" s="19" t="s">
        <v>53</v>
      </c>
      <c r="C46" s="20">
        <v>17</v>
      </c>
      <c r="D46" s="20">
        <v>17.364398039200001</v>
      </c>
      <c r="E46" s="20">
        <f t="shared" si="3"/>
        <v>0.36439803920000102</v>
      </c>
      <c r="F46" s="21"/>
      <c r="G46" s="21"/>
      <c r="H46" s="21" t="s">
        <v>54</v>
      </c>
      <c r="I46" s="21"/>
      <c r="J46" s="21"/>
      <c r="K46" s="21" t="s">
        <v>54</v>
      </c>
      <c r="L46" s="21"/>
      <c r="M46" s="21" t="s">
        <v>54</v>
      </c>
      <c r="N46" s="21"/>
      <c r="O46" s="21"/>
      <c r="P46" s="21"/>
      <c r="Q46" s="21" t="s">
        <v>54</v>
      </c>
      <c r="R46" s="21"/>
      <c r="S46" s="21"/>
      <c r="T46" s="21"/>
      <c r="U46" s="21" t="s">
        <v>54</v>
      </c>
      <c r="V46" s="22"/>
      <c r="W46" s="23" t="str">
        <f t="shared" si="4"/>
        <v>OK</v>
      </c>
    </row>
    <row r="48" spans="1:23" x14ac:dyDescent="0.25">
      <c r="A48" s="61" t="s">
        <v>62</v>
      </c>
      <c r="B48" s="42"/>
      <c r="C48" s="42"/>
      <c r="D48" s="42"/>
      <c r="E48" s="42"/>
      <c r="G48" s="61" t="s">
        <v>62</v>
      </c>
      <c r="H48" s="42"/>
      <c r="I48" s="42"/>
      <c r="J48" s="42"/>
      <c r="K48" s="42"/>
    </row>
    <row r="49" spans="1:22" x14ac:dyDescent="0.25">
      <c r="A49" s="58" t="s">
        <v>63</v>
      </c>
      <c r="B49" s="42"/>
      <c r="C49" s="42"/>
      <c r="D49" s="42"/>
      <c r="E49" s="42"/>
      <c r="G49" s="58" t="s">
        <v>64</v>
      </c>
      <c r="H49" s="42"/>
      <c r="I49" s="42"/>
      <c r="J49" s="42"/>
      <c r="K49" s="42"/>
    </row>
    <row r="51" spans="1:22" x14ac:dyDescent="0.25">
      <c r="A51" s="64" t="s">
        <v>65</v>
      </c>
      <c r="B51" s="42"/>
      <c r="C51" s="42"/>
      <c r="D51" s="42"/>
      <c r="E51" s="42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 spans="1:22" x14ac:dyDescent="0.25">
      <c r="A52" s="53" t="s">
        <v>66</v>
      </c>
      <c r="B52" s="42"/>
      <c r="C52" s="42"/>
      <c r="D52" s="42"/>
      <c r="E52" s="42"/>
      <c r="F52" s="9">
        <f t="shared" ref="F52:U52" si="5">SUMIF(F$9:F$46,"X",$E$9:$E$46)</f>
        <v>13</v>
      </c>
      <c r="G52" s="9">
        <f t="shared" si="5"/>
        <v>6</v>
      </c>
      <c r="H52" s="9">
        <f t="shared" si="5"/>
        <v>16.675885174000001</v>
      </c>
      <c r="I52" s="9">
        <f t="shared" si="5"/>
        <v>0</v>
      </c>
      <c r="J52" s="9">
        <f t="shared" si="5"/>
        <v>0</v>
      </c>
      <c r="K52" s="9">
        <f t="shared" si="5"/>
        <v>35.675885174000001</v>
      </c>
      <c r="L52" s="9">
        <f t="shared" si="5"/>
        <v>0</v>
      </c>
      <c r="M52" s="9">
        <f t="shared" si="5"/>
        <v>19.675885174000001</v>
      </c>
      <c r="N52" s="9">
        <f t="shared" si="5"/>
        <v>16</v>
      </c>
      <c r="O52" s="9">
        <f t="shared" si="5"/>
        <v>0</v>
      </c>
      <c r="P52" s="9">
        <f t="shared" si="5"/>
        <v>0</v>
      </c>
      <c r="Q52" s="9">
        <f t="shared" si="5"/>
        <v>26.675885174000001</v>
      </c>
      <c r="R52" s="9">
        <f t="shared" si="5"/>
        <v>9</v>
      </c>
      <c r="S52" s="9">
        <f t="shared" si="5"/>
        <v>0</v>
      </c>
      <c r="T52" s="9">
        <f t="shared" si="5"/>
        <v>0</v>
      </c>
      <c r="U52" s="9">
        <f t="shared" si="5"/>
        <v>35.675885174000001</v>
      </c>
    </row>
    <row r="53" spans="1:22" x14ac:dyDescent="0.25">
      <c r="A53" s="53" t="s">
        <v>67</v>
      </c>
      <c r="B53" s="42"/>
      <c r="C53" s="42"/>
      <c r="D53" s="42"/>
      <c r="E53" s="42"/>
      <c r="F53" s="25">
        <f t="shared" ref="F53:U53" si="6">IF($R55=0,0,F52/$R55)</f>
        <v>0.36439179957542261</v>
      </c>
      <c r="G53" s="25">
        <f t="shared" si="6"/>
        <v>0.16818083057327199</v>
      </c>
      <c r="H53" s="25">
        <f t="shared" si="6"/>
        <v>0.4674273698513054</v>
      </c>
      <c r="I53" s="25">
        <f t="shared" si="6"/>
        <v>0</v>
      </c>
      <c r="J53" s="25">
        <f t="shared" si="6"/>
        <v>0</v>
      </c>
      <c r="K53" s="25">
        <f t="shared" si="6"/>
        <v>1</v>
      </c>
      <c r="L53" s="25">
        <f t="shared" si="6"/>
        <v>0</v>
      </c>
      <c r="M53" s="25">
        <f t="shared" si="6"/>
        <v>0.55151778513794136</v>
      </c>
      <c r="N53" s="25">
        <f t="shared" si="6"/>
        <v>0.44848221486205864</v>
      </c>
      <c r="O53" s="25">
        <f t="shared" si="6"/>
        <v>0</v>
      </c>
      <c r="P53" s="25">
        <f t="shared" si="6"/>
        <v>0</v>
      </c>
      <c r="Q53" s="25">
        <f t="shared" si="6"/>
        <v>0.74772875414009199</v>
      </c>
      <c r="R53" s="25">
        <f t="shared" si="6"/>
        <v>0.25227124585990796</v>
      </c>
      <c r="S53" s="25">
        <f t="shared" si="6"/>
        <v>0</v>
      </c>
      <c r="T53" s="25">
        <f t="shared" si="6"/>
        <v>0</v>
      </c>
      <c r="U53" s="25">
        <f t="shared" si="6"/>
        <v>1</v>
      </c>
    </row>
    <row r="54" spans="1:22" x14ac:dyDescent="0.25">
      <c r="A54" s="53" t="s">
        <v>68</v>
      </c>
      <c r="B54" s="42"/>
      <c r="C54" s="42"/>
      <c r="D54" s="42"/>
      <c r="E54" s="42"/>
      <c r="F54" s="49" t="str">
        <f>IF(SUM(F52:J52)=0,"— não preenchido",IF(ROUND(SUM(F52:J52)-$R55,3)=0,"OK — "&amp;ROUND(SUM(F52:J52),3)&amp;" km","ERRO — dif. de "&amp;ROUND(SUM(F52:J52)-$R55,3)&amp;" km"))</f>
        <v>OK — 35,676 km</v>
      </c>
      <c r="G54" s="46"/>
      <c r="H54" s="46"/>
      <c r="I54" s="46"/>
      <c r="J54" s="44"/>
      <c r="K54" s="49" t="str">
        <f>IF(SUM(K52:L52)=0,"— não preenchido",IF(ROUND(SUM(K52:L52)-$R55,3)=0,"OK — "&amp;ROUND(SUM(K52:L52),3)&amp;" km","ERRO — dif. de "&amp;ROUND(SUM(K52:L52)-$R55,3)&amp;" km"))</f>
        <v>OK — 35,676 km</v>
      </c>
      <c r="L54" s="44"/>
      <c r="M54" s="49" t="str">
        <f>IF(SUM(M52:O52)=0,"— não preenchido",IF(ROUND(SUM(M52:O52)-$R55,3)=0,"OK — "&amp;ROUND(SUM(M52:O52),3)&amp;" km","ERRO — dif. de "&amp;ROUND(SUM(M52:O52)-$R55,3)&amp;" km"))</f>
        <v>OK — 35,676 km</v>
      </c>
      <c r="N54" s="46"/>
      <c r="O54" s="44"/>
      <c r="P54" s="49" t="str">
        <f>IF(SUM(P52:R52)=0,"— não preenchido",IF(ROUND(SUM(P52:R52)-$R55,3)=0,"OK — "&amp;ROUND(SUM(P52:R52),3)&amp;" km","ERRO — dif. de "&amp;ROUND(SUM(P52:R52)-$R55,3)&amp;" km"))</f>
        <v>OK — 35,676 km</v>
      </c>
      <c r="Q54" s="46"/>
      <c r="R54" s="44"/>
      <c r="S54" s="49" t="str">
        <f>IF(SUM(S52:U52)=0,"— não preenchido",IF(ROUND(SUM(S52:U52)-$R55,3)=0,"OK — "&amp;ROUND(SUM(S52:U52),3)&amp;" km","ERRO — dif. de "&amp;ROUND(SUM(S52:U52)-$R55,3)&amp;" km"))</f>
        <v>OK — 35,676 km</v>
      </c>
      <c r="T54" s="46"/>
      <c r="U54" s="44"/>
    </row>
    <row r="55" spans="1:22" x14ac:dyDescent="0.25">
      <c r="A55" s="53" t="s">
        <v>69</v>
      </c>
      <c r="B55" s="42"/>
      <c r="C55" s="42"/>
      <c r="D55" s="42"/>
      <c r="E55" s="42"/>
      <c r="R55" s="26">
        <f>SUM(E9:E46)</f>
        <v>35.675885174000001</v>
      </c>
      <c r="V55" s="8" t="str">
        <f>COUNTIF(W9:W46,"OK")&amp;" de "&amp;COUNT($E$9:$E$46)&amp;" linhas conferidas"</f>
        <v>37 de 37 linhas conferidas</v>
      </c>
    </row>
    <row r="57" spans="1:22" x14ac:dyDescent="0.25">
      <c r="A57" s="62" t="s">
        <v>70</v>
      </c>
      <c r="B57" s="42"/>
      <c r="C57" s="42"/>
      <c r="D57" s="42"/>
      <c r="E57" s="42"/>
    </row>
    <row r="58" spans="1:22" x14ac:dyDescent="0.25">
      <c r="A58" s="53" t="s">
        <v>71</v>
      </c>
      <c r="B58" s="42"/>
      <c r="C58" s="42"/>
      <c r="D58" s="42"/>
      <c r="E58" s="48" t="s">
        <v>72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 spans="1:22" x14ac:dyDescent="0.25">
      <c r="A59" s="53" t="s">
        <v>73</v>
      </c>
      <c r="B59" s="42"/>
      <c r="C59" s="42"/>
      <c r="D59" s="42"/>
      <c r="E59" s="48" t="s">
        <v>74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 spans="1:22" x14ac:dyDescent="0.25">
      <c r="A60" s="53" t="s">
        <v>75</v>
      </c>
      <c r="B60" s="42"/>
      <c r="C60" s="42"/>
      <c r="D60" s="42"/>
      <c r="E60" s="48" t="s">
        <v>76</v>
      </c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</row>
    <row r="61" spans="1:22" x14ac:dyDescent="0.25">
      <c r="A61" s="53" t="s">
        <v>77</v>
      </c>
      <c r="B61" s="42"/>
      <c r="C61" s="42"/>
      <c r="D61" s="42"/>
      <c r="E61" s="48" t="s">
        <v>78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</row>
    <row r="62" spans="1:22" x14ac:dyDescent="0.25">
      <c r="A62" s="53" t="s">
        <v>79</v>
      </c>
      <c r="B62" s="42"/>
      <c r="C62" s="42"/>
      <c r="D62" s="42"/>
      <c r="E62" s="48" t="s">
        <v>80</v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</row>
    <row r="63" spans="1:22" x14ac:dyDescent="0.25">
      <c r="A63" s="53" t="s">
        <v>45</v>
      </c>
      <c r="B63" s="42"/>
      <c r="C63" s="42"/>
      <c r="D63" s="42"/>
      <c r="E63" s="48" t="s">
        <v>81</v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</row>
    <row r="64" spans="1:22" x14ac:dyDescent="0.25">
      <c r="A64" s="53" t="s">
        <v>82</v>
      </c>
      <c r="B64" s="42"/>
      <c r="C64" s="42"/>
      <c r="D64" s="42"/>
      <c r="E64" s="48" t="s">
        <v>83</v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spans="1:22" x14ac:dyDescent="0.25">
      <c r="A65" s="53" t="s">
        <v>84</v>
      </c>
      <c r="B65" s="42"/>
      <c r="C65" s="42"/>
      <c r="D65" s="42"/>
      <c r="E65" s="48" t="s">
        <v>85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</row>
    <row r="66" spans="1:22" x14ac:dyDescent="0.25">
      <c r="A66" s="53" t="s">
        <v>11</v>
      </c>
      <c r="B66" s="42"/>
      <c r="C66" s="42"/>
      <c r="D66" s="42"/>
      <c r="E66" s="48" t="s">
        <v>86</v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</row>
  </sheetData>
  <sheetProtection formatCells="0"/>
  <mergeCells count="58">
    <mergeCell ref="K54:L54"/>
    <mergeCell ref="E65:V65"/>
    <mergeCell ref="E59:V59"/>
    <mergeCell ref="A64:D64"/>
    <mergeCell ref="A59:D59"/>
    <mergeCell ref="E64:V64"/>
    <mergeCell ref="A62:D62"/>
    <mergeCell ref="E63:V63"/>
    <mergeCell ref="A63:D63"/>
    <mergeCell ref="E60:V60"/>
    <mergeCell ref="A2:F2"/>
    <mergeCell ref="S6:U6"/>
    <mergeCell ref="K2:M2"/>
    <mergeCell ref="A28:V28"/>
    <mergeCell ref="A58:D58"/>
    <mergeCell ref="A54:E54"/>
    <mergeCell ref="N2:O2"/>
    <mergeCell ref="P2:Q2"/>
    <mergeCell ref="V6:V7"/>
    <mergeCell ref="A4:V4"/>
    <mergeCell ref="A6:A7"/>
    <mergeCell ref="G48:K48"/>
    <mergeCell ref="A48:E48"/>
    <mergeCell ref="M54:O54"/>
    <mergeCell ref="G2:H2"/>
    <mergeCell ref="I2:J2"/>
    <mergeCell ref="W6:W7"/>
    <mergeCell ref="E6:E7"/>
    <mergeCell ref="B6:B7"/>
    <mergeCell ref="A60:D60"/>
    <mergeCell ref="E61:V61"/>
    <mergeCell ref="G49:K49"/>
    <mergeCell ref="A55:E55"/>
    <mergeCell ref="S54:U54"/>
    <mergeCell ref="A57:E57"/>
    <mergeCell ref="A61:D61"/>
    <mergeCell ref="F54:J54"/>
    <mergeCell ref="A8:V8"/>
    <mergeCell ref="A49:E49"/>
    <mergeCell ref="A51:E51"/>
    <mergeCell ref="F6:J6"/>
    <mergeCell ref="M6:O6"/>
    <mergeCell ref="A1:V1"/>
    <mergeCell ref="P54:R54"/>
    <mergeCell ref="T3:V3"/>
    <mergeCell ref="A65:D65"/>
    <mergeCell ref="E66:V66"/>
    <mergeCell ref="A66:D66"/>
    <mergeCell ref="E58:V58"/>
    <mergeCell ref="A53:E53"/>
    <mergeCell ref="A52:E52"/>
    <mergeCell ref="E62:V62"/>
    <mergeCell ref="R2:V2"/>
    <mergeCell ref="A3:S3"/>
    <mergeCell ref="C6:C7"/>
    <mergeCell ref="K6:L6"/>
    <mergeCell ref="D6:D7"/>
    <mergeCell ref="P6:R6"/>
  </mergeCells>
  <conditionalFormatting sqref="F9:J46">
    <cfRule type="expression" dxfId="72" priority="1">
      <formula>AND(F9&lt;&gt;"",COUNTIF($F9:$J9,"X")&gt;1)</formula>
    </cfRule>
  </conditionalFormatting>
  <conditionalFormatting sqref="F54:U54">
    <cfRule type="expression" dxfId="71" priority="8">
      <formula>LEFT(F54,4)="ERRO"</formula>
    </cfRule>
    <cfRule type="expression" dxfId="70" priority="9">
      <formula>LEFT(F54,2)="OK"</formula>
    </cfRule>
  </conditionalFormatting>
  <conditionalFormatting sqref="K9:L46">
    <cfRule type="expression" dxfId="69" priority="2">
      <formula>AND(K9&lt;&gt;"",COUNTIF($K9:$L9,"X")&gt;1)</formula>
    </cfRule>
  </conditionalFormatting>
  <conditionalFormatting sqref="M9:O46">
    <cfRule type="expression" dxfId="68" priority="3">
      <formula>AND(M9&lt;&gt;"",COUNTIF($M9:$O9,"X")&gt;1)</formula>
    </cfRule>
  </conditionalFormatting>
  <conditionalFormatting sqref="P9:R46">
    <cfRule type="expression" dxfId="67" priority="4">
      <formula>AND(P9&lt;&gt;"",COUNTIF($P9:$R9,"X")&gt;1)</formula>
    </cfRule>
  </conditionalFormatting>
  <conditionalFormatting sqref="S9:U46">
    <cfRule type="expression" dxfId="66" priority="5">
      <formula>AND(S9&lt;&gt;"",COUNTIF($S9:$U9,"X")&gt;1)</formula>
    </cfRule>
  </conditionalFormatting>
  <conditionalFormatting sqref="W9:W46">
    <cfRule type="expression" dxfId="65" priority="6">
      <formula>AND(W9&lt;&gt;"OK",W9&lt;&gt;"")</formula>
    </cfRule>
    <cfRule type="expression" dxfId="6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6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6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6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6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6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46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209</oddHeader>
    <oddFooter>&amp;L&amp;7 RTA / MSI — Programa de Manutenção Rodoviária&amp;C&amp;7 Página &amp;P de &amp;N&amp;R&amp;7 Impresso em &amp;D</oddFooter>
  </headerFooter>
  <rowBreaks count="1" manualBreakCount="1">
    <brk id="49" max="16383" man="1"/>
  </rowBreaks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N55"/>
  <sheetViews>
    <sheetView showGridLines="0" workbookViewId="0">
      <pane xSplit="5" ySplit="7" topLeftCell="F33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1" t="s">
        <v>36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Y1" s="1" t="s">
        <v>1</v>
      </c>
    </row>
    <row r="2" spans="1:40" ht="17.100000000000001" customHeight="1" x14ac:dyDescent="0.25">
      <c r="A2" s="54" t="s">
        <v>37</v>
      </c>
      <c r="B2" s="42"/>
      <c r="C2" s="42"/>
      <c r="D2" s="42"/>
      <c r="E2" s="42"/>
      <c r="F2" s="42"/>
      <c r="G2" s="50" t="s">
        <v>38</v>
      </c>
      <c r="H2" s="42"/>
      <c r="I2" s="51">
        <v>46266</v>
      </c>
      <c r="J2" s="52"/>
      <c r="K2" s="50" t="s">
        <v>39</v>
      </c>
      <c r="L2" s="42"/>
      <c r="M2" s="42"/>
      <c r="N2" s="55"/>
      <c r="O2" s="52"/>
      <c r="P2" s="50" t="s">
        <v>40</v>
      </c>
      <c r="Q2" s="42"/>
      <c r="R2" s="56" t="s">
        <v>154</v>
      </c>
      <c r="S2" s="57"/>
      <c r="T2" s="57"/>
      <c r="U2" s="57"/>
      <c r="V2" s="52"/>
      <c r="Y2" s="2">
        <f t="shared" ref="Y2:AN2" si="0">IF(F41=0,NA(),F41)</f>
        <v>1</v>
      </c>
      <c r="Z2" s="2">
        <f t="shared" si="0"/>
        <v>9.1603247918000008</v>
      </c>
      <c r="AA2" s="2">
        <f t="shared" si="0"/>
        <v>16</v>
      </c>
      <c r="AB2" s="2" t="e">
        <f t="shared" si="0"/>
        <v>#N/A</v>
      </c>
      <c r="AC2" s="2" t="e">
        <f t="shared" si="0"/>
        <v>#N/A</v>
      </c>
      <c r="AD2" s="2">
        <f t="shared" si="0"/>
        <v>26.160324791800001</v>
      </c>
      <c r="AE2" s="2" t="e">
        <f t="shared" si="0"/>
        <v>#N/A</v>
      </c>
      <c r="AF2" s="2">
        <f t="shared" si="0"/>
        <v>1</v>
      </c>
      <c r="AG2" s="2">
        <f t="shared" si="0"/>
        <v>25.160324791800001</v>
      </c>
      <c r="AH2" s="2" t="e">
        <f t="shared" si="0"/>
        <v>#N/A</v>
      </c>
      <c r="AI2" s="2" t="e">
        <f t="shared" si="0"/>
        <v>#N/A</v>
      </c>
      <c r="AJ2" s="2">
        <f t="shared" si="0"/>
        <v>26.160324791800001</v>
      </c>
      <c r="AK2" s="2" t="e">
        <f t="shared" si="0"/>
        <v>#N/A</v>
      </c>
      <c r="AL2" s="2">
        <f t="shared" si="0"/>
        <v>1</v>
      </c>
      <c r="AM2" s="2">
        <f t="shared" si="0"/>
        <v>0.16032479180000081</v>
      </c>
      <c r="AN2" s="2">
        <f t="shared" si="0"/>
        <v>25</v>
      </c>
    </row>
    <row r="3" spans="1:40" ht="15" customHeight="1" x14ac:dyDescent="0.25">
      <c r="A3" s="63" t="s">
        <v>119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50" t="s">
        <v>120</v>
      </c>
      <c r="U3" s="42"/>
      <c r="V3" s="42"/>
    </row>
    <row r="4" spans="1:40" ht="20.100000000000001" customHeight="1" x14ac:dyDescent="0.25">
      <c r="A4" s="47" t="s">
        <v>43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6" spans="1:40" ht="21.95" customHeight="1" x14ac:dyDescent="0.25">
      <c r="A6" s="43" t="s">
        <v>44</v>
      </c>
      <c r="B6" s="43" t="s">
        <v>45</v>
      </c>
      <c r="C6" s="43" t="s">
        <v>46</v>
      </c>
      <c r="D6" s="43" t="s">
        <v>47</v>
      </c>
      <c r="E6" s="43" t="s">
        <v>48</v>
      </c>
      <c r="F6" s="43" t="s">
        <v>6</v>
      </c>
      <c r="G6" s="46"/>
      <c r="H6" s="46"/>
      <c r="I6" s="46"/>
      <c r="J6" s="44"/>
      <c r="K6" s="43" t="s">
        <v>7</v>
      </c>
      <c r="L6" s="44"/>
      <c r="M6" s="43" t="s">
        <v>8</v>
      </c>
      <c r="N6" s="46"/>
      <c r="O6" s="44"/>
      <c r="P6" s="43" t="s">
        <v>9</v>
      </c>
      <c r="Q6" s="46"/>
      <c r="R6" s="44"/>
      <c r="S6" s="43" t="s">
        <v>10</v>
      </c>
      <c r="T6" s="46"/>
      <c r="U6" s="44"/>
      <c r="V6" s="43" t="s">
        <v>49</v>
      </c>
      <c r="W6" s="43" t="s">
        <v>50</v>
      </c>
    </row>
    <row r="7" spans="1:40" ht="20.100000000000001" customHeight="1" x14ac:dyDescent="0.25">
      <c r="A7" s="45"/>
      <c r="B7" s="45"/>
      <c r="C7" s="45"/>
      <c r="D7" s="45"/>
      <c r="E7" s="4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45"/>
      <c r="W7" s="45"/>
    </row>
    <row r="8" spans="1:40" ht="15.95" customHeight="1" x14ac:dyDescent="0.25">
      <c r="A8" s="59" t="s">
        <v>121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4"/>
      <c r="W8" s="4"/>
    </row>
    <row r="9" spans="1:40" ht="20.100000000000001" customHeight="1" x14ac:dyDescent="0.25">
      <c r="A9" s="12" t="s">
        <v>122</v>
      </c>
      <c r="B9" s="13" t="s">
        <v>53</v>
      </c>
      <c r="C9" s="14">
        <v>0</v>
      </c>
      <c r="D9" s="14">
        <v>1</v>
      </c>
      <c r="E9" s="14">
        <f t="shared" ref="E9:E35" si="1">D9-C9</f>
        <v>1</v>
      </c>
      <c r="F9" s="15" t="s">
        <v>54</v>
      </c>
      <c r="G9" s="15"/>
      <c r="H9" s="15"/>
      <c r="I9" s="15"/>
      <c r="J9" s="15"/>
      <c r="K9" s="15" t="s">
        <v>54</v>
      </c>
      <c r="L9" s="15"/>
      <c r="M9" s="15" t="s">
        <v>54</v>
      </c>
      <c r="N9" s="15"/>
      <c r="O9" s="15"/>
      <c r="P9" s="15"/>
      <c r="Q9" s="15" t="s">
        <v>54</v>
      </c>
      <c r="R9" s="15"/>
      <c r="S9" s="15" t="s">
        <v>54</v>
      </c>
      <c r="T9" s="15"/>
      <c r="U9" s="15"/>
      <c r="V9" s="16"/>
      <c r="W9" s="17" t="str">
        <f t="shared" ref="W9:W3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122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54</v>
      </c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/>
      <c r="U10" s="15" t="s">
        <v>54</v>
      </c>
      <c r="V10" s="16"/>
      <c r="W10" s="17" t="str">
        <f t="shared" si="2"/>
        <v>OK</v>
      </c>
    </row>
    <row r="11" spans="1:40" ht="20.100000000000001" customHeight="1" x14ac:dyDescent="0.25">
      <c r="A11" s="12" t="s">
        <v>122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54</v>
      </c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/>
      <c r="U11" s="15" t="s">
        <v>54</v>
      </c>
      <c r="V11" s="16"/>
      <c r="W11" s="17" t="str">
        <f t="shared" si="2"/>
        <v>OK</v>
      </c>
    </row>
    <row r="12" spans="1:40" ht="20.100000000000001" customHeight="1" x14ac:dyDescent="0.25">
      <c r="A12" s="12" t="s">
        <v>122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54</v>
      </c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/>
      <c r="U12" s="15" t="s">
        <v>54</v>
      </c>
      <c r="V12" s="16"/>
      <c r="W12" s="17" t="str">
        <f t="shared" si="2"/>
        <v>OK</v>
      </c>
    </row>
    <row r="13" spans="1:40" ht="20.100000000000001" customHeight="1" x14ac:dyDescent="0.25">
      <c r="A13" s="12" t="s">
        <v>122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54</v>
      </c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/>
      <c r="U13" s="15" t="s">
        <v>54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122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54</v>
      </c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/>
      <c r="U14" s="15" t="s">
        <v>54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122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54</v>
      </c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/>
      <c r="U15" s="15" t="s">
        <v>54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122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 t="s">
        <v>54</v>
      </c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/>
      <c r="U16" s="15" t="s">
        <v>54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122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54</v>
      </c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/>
      <c r="U17" s="15" t="s">
        <v>54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122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54</v>
      </c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/>
      <c r="U18" s="15" t="s">
        <v>54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122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54</v>
      </c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/>
      <c r="U19" s="15" t="s">
        <v>54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122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54</v>
      </c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/>
      <c r="U20" s="15" t="s">
        <v>54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122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54</v>
      </c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/>
      <c r="U21" s="15" t="s">
        <v>54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122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54</v>
      </c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/>
      <c r="U22" s="15" t="s">
        <v>54</v>
      </c>
      <c r="V22" s="16"/>
      <c r="W22" s="17" t="str">
        <f t="shared" si="2"/>
        <v>OK</v>
      </c>
    </row>
    <row r="23" spans="1:23" ht="20.100000000000001" customHeight="1" x14ac:dyDescent="0.25">
      <c r="A23" s="12" t="s">
        <v>122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54</v>
      </c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/>
      <c r="U23" s="15" t="s">
        <v>54</v>
      </c>
      <c r="V23" s="16"/>
      <c r="W23" s="17" t="str">
        <f t="shared" si="2"/>
        <v>OK</v>
      </c>
    </row>
    <row r="24" spans="1:23" ht="20.100000000000001" customHeight="1" x14ac:dyDescent="0.25">
      <c r="A24" s="12" t="s">
        <v>122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54</v>
      </c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/>
      <c r="U24" s="15" t="s">
        <v>54</v>
      </c>
      <c r="V24" s="16"/>
      <c r="W24" s="17" t="str">
        <f t="shared" si="2"/>
        <v>OK</v>
      </c>
    </row>
    <row r="25" spans="1:23" ht="20.100000000000001" customHeight="1" x14ac:dyDescent="0.25">
      <c r="A25" s="12" t="s">
        <v>122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54</v>
      </c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/>
      <c r="U25" s="15" t="s">
        <v>54</v>
      </c>
      <c r="V25" s="16"/>
      <c r="W25" s="17" t="str">
        <f t="shared" si="2"/>
        <v>OK</v>
      </c>
    </row>
    <row r="26" spans="1:23" ht="20.100000000000001" customHeight="1" x14ac:dyDescent="0.25">
      <c r="A26" s="12" t="s">
        <v>122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/>
      <c r="U26" s="15" t="s">
        <v>54</v>
      </c>
      <c r="V26" s="16"/>
      <c r="W26" s="17" t="str">
        <f t="shared" si="2"/>
        <v>OK</v>
      </c>
    </row>
    <row r="27" spans="1:23" ht="20.100000000000001" customHeight="1" x14ac:dyDescent="0.25">
      <c r="A27" s="12" t="s">
        <v>122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/>
      <c r="U27" s="15" t="s">
        <v>54</v>
      </c>
      <c r="V27" s="16"/>
      <c r="W27" s="17" t="str">
        <f t="shared" si="2"/>
        <v>OK</v>
      </c>
    </row>
    <row r="28" spans="1:23" ht="20.100000000000001" customHeight="1" x14ac:dyDescent="0.25">
      <c r="A28" s="12" t="s">
        <v>122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/>
      <c r="G28" s="15" t="s">
        <v>54</v>
      </c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/>
      <c r="U28" s="15" t="s">
        <v>54</v>
      </c>
      <c r="V28" s="16"/>
      <c r="W28" s="17" t="str">
        <f t="shared" si="2"/>
        <v>OK</v>
      </c>
    </row>
    <row r="29" spans="1:23" ht="20.100000000000001" customHeight="1" x14ac:dyDescent="0.25">
      <c r="A29" s="12" t="s">
        <v>122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/>
      <c r="G29" s="15" t="s">
        <v>54</v>
      </c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/>
      <c r="U29" s="15" t="s">
        <v>54</v>
      </c>
      <c r="V29" s="16"/>
      <c r="W29" s="17" t="str">
        <f t="shared" si="2"/>
        <v>OK</v>
      </c>
    </row>
    <row r="30" spans="1:23" ht="20.100000000000001" customHeight="1" x14ac:dyDescent="0.25">
      <c r="A30" s="12" t="s">
        <v>122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/>
      <c r="G30" s="15" t="s">
        <v>54</v>
      </c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/>
      <c r="U30" s="15" t="s">
        <v>54</v>
      </c>
      <c r="V30" s="16"/>
      <c r="W30" s="17" t="str">
        <f t="shared" si="2"/>
        <v>OK</v>
      </c>
    </row>
    <row r="31" spans="1:23" ht="20.100000000000001" customHeight="1" x14ac:dyDescent="0.25">
      <c r="A31" s="12" t="s">
        <v>122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/>
      <c r="G31" s="15" t="s">
        <v>54</v>
      </c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/>
      <c r="U31" s="15" t="s">
        <v>54</v>
      </c>
      <c r="V31" s="16"/>
      <c r="W31" s="17" t="str">
        <f t="shared" si="2"/>
        <v>OK</v>
      </c>
    </row>
    <row r="32" spans="1:23" ht="20.100000000000001" customHeight="1" x14ac:dyDescent="0.25">
      <c r="A32" s="12" t="s">
        <v>122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/>
      <c r="U32" s="15" t="s">
        <v>54</v>
      </c>
      <c r="V32" s="16"/>
      <c r="W32" s="17" t="str">
        <f t="shared" si="2"/>
        <v>OK</v>
      </c>
    </row>
    <row r="33" spans="1:23" ht="20.100000000000001" customHeight="1" x14ac:dyDescent="0.25">
      <c r="A33" s="12" t="s">
        <v>122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/>
      <c r="U33" s="15" t="s">
        <v>54</v>
      </c>
      <c r="V33" s="16"/>
      <c r="W33" s="17" t="str">
        <f t="shared" si="2"/>
        <v>OK</v>
      </c>
    </row>
    <row r="34" spans="1:23" ht="20.100000000000001" customHeight="1" x14ac:dyDescent="0.25">
      <c r="A34" s="12" t="s">
        <v>122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/>
      <c r="U34" s="15" t="s">
        <v>54</v>
      </c>
      <c r="V34" s="16"/>
      <c r="W34" s="17" t="str">
        <f t="shared" si="2"/>
        <v>OK</v>
      </c>
    </row>
    <row r="35" spans="1:23" ht="20.100000000000001" customHeight="1" x14ac:dyDescent="0.25">
      <c r="A35" s="18" t="s">
        <v>122</v>
      </c>
      <c r="B35" s="19" t="s">
        <v>53</v>
      </c>
      <c r="C35" s="20">
        <v>26</v>
      </c>
      <c r="D35" s="20">
        <v>26.160324791800001</v>
      </c>
      <c r="E35" s="20">
        <f t="shared" si="1"/>
        <v>0.16032479180000081</v>
      </c>
      <c r="F35" s="21"/>
      <c r="G35" s="21" t="s">
        <v>54</v>
      </c>
      <c r="H35" s="21"/>
      <c r="I35" s="21"/>
      <c r="J35" s="21"/>
      <c r="K35" s="21" t="s">
        <v>54</v>
      </c>
      <c r="L35" s="21"/>
      <c r="M35" s="21"/>
      <c r="N35" s="21" t="s">
        <v>54</v>
      </c>
      <c r="O35" s="21"/>
      <c r="P35" s="21"/>
      <c r="Q35" s="21" t="s">
        <v>54</v>
      </c>
      <c r="R35" s="21"/>
      <c r="S35" s="21"/>
      <c r="T35" s="21" t="s">
        <v>54</v>
      </c>
      <c r="U35" s="21"/>
      <c r="V35" s="22"/>
      <c r="W35" s="23" t="str">
        <f t="shared" si="2"/>
        <v>OK</v>
      </c>
    </row>
    <row r="37" spans="1:23" x14ac:dyDescent="0.25">
      <c r="A37" s="61" t="s">
        <v>62</v>
      </c>
      <c r="B37" s="42"/>
      <c r="C37" s="42"/>
      <c r="D37" s="42"/>
      <c r="E37" s="42"/>
      <c r="G37" s="61" t="s">
        <v>62</v>
      </c>
      <c r="H37" s="42"/>
      <c r="I37" s="42"/>
      <c r="J37" s="42"/>
      <c r="K37" s="42"/>
    </row>
    <row r="38" spans="1:23" x14ac:dyDescent="0.25">
      <c r="A38" s="58" t="s">
        <v>63</v>
      </c>
      <c r="B38" s="42"/>
      <c r="C38" s="42"/>
      <c r="D38" s="42"/>
      <c r="E38" s="42"/>
      <c r="G38" s="58" t="s">
        <v>64</v>
      </c>
      <c r="H38" s="42"/>
      <c r="I38" s="42"/>
      <c r="J38" s="42"/>
      <c r="K38" s="42"/>
    </row>
    <row r="40" spans="1:23" x14ac:dyDescent="0.25">
      <c r="A40" s="64" t="s">
        <v>65</v>
      </c>
      <c r="B40" s="42"/>
      <c r="C40" s="42"/>
      <c r="D40" s="42"/>
      <c r="E40" s="42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spans="1:23" x14ac:dyDescent="0.25">
      <c r="A41" s="53" t="s">
        <v>66</v>
      </c>
      <c r="B41" s="42"/>
      <c r="C41" s="42"/>
      <c r="D41" s="42"/>
      <c r="E41" s="42"/>
      <c r="F41" s="9">
        <f t="shared" ref="F41:U41" si="3">SUMIF(F$9:F$35,"X",$E$9:$E$35)</f>
        <v>1</v>
      </c>
      <c r="G41" s="9">
        <f t="shared" si="3"/>
        <v>9.1603247918000008</v>
      </c>
      <c r="H41" s="9">
        <f t="shared" si="3"/>
        <v>16</v>
      </c>
      <c r="I41" s="9">
        <f t="shared" si="3"/>
        <v>0</v>
      </c>
      <c r="J41" s="9">
        <f t="shared" si="3"/>
        <v>0</v>
      </c>
      <c r="K41" s="9">
        <f t="shared" si="3"/>
        <v>26.160324791800001</v>
      </c>
      <c r="L41" s="9">
        <f t="shared" si="3"/>
        <v>0</v>
      </c>
      <c r="M41" s="9">
        <f t="shared" si="3"/>
        <v>1</v>
      </c>
      <c r="N41" s="9">
        <f t="shared" si="3"/>
        <v>25.160324791800001</v>
      </c>
      <c r="O41" s="9">
        <f t="shared" si="3"/>
        <v>0</v>
      </c>
      <c r="P41" s="9">
        <f t="shared" si="3"/>
        <v>0</v>
      </c>
      <c r="Q41" s="9">
        <f t="shared" si="3"/>
        <v>26.160324791800001</v>
      </c>
      <c r="R41" s="9">
        <f t="shared" si="3"/>
        <v>0</v>
      </c>
      <c r="S41" s="9">
        <f t="shared" si="3"/>
        <v>1</v>
      </c>
      <c r="T41" s="9">
        <f t="shared" si="3"/>
        <v>0.16032479180000081</v>
      </c>
      <c r="U41" s="9">
        <f t="shared" si="3"/>
        <v>25</v>
      </c>
    </row>
    <row r="42" spans="1:23" x14ac:dyDescent="0.25">
      <c r="A42" s="53" t="s">
        <v>67</v>
      </c>
      <c r="B42" s="42"/>
      <c r="C42" s="42"/>
      <c r="D42" s="42"/>
      <c r="E42" s="42"/>
      <c r="F42" s="25">
        <f t="shared" ref="F42:U42" si="4">IF($R44=0,0,F41/$R44)</f>
        <v>3.8225825098068038E-2</v>
      </c>
      <c r="G42" s="25">
        <f t="shared" si="4"/>
        <v>0.35016097333284335</v>
      </c>
      <c r="H42" s="25">
        <f t="shared" si="4"/>
        <v>0.6116132015690886</v>
      </c>
      <c r="I42" s="25">
        <f t="shared" si="4"/>
        <v>0</v>
      </c>
      <c r="J42" s="25">
        <f t="shared" si="4"/>
        <v>0</v>
      </c>
      <c r="K42" s="25">
        <f t="shared" si="4"/>
        <v>1</v>
      </c>
      <c r="L42" s="25">
        <f t="shared" si="4"/>
        <v>0</v>
      </c>
      <c r="M42" s="25">
        <f t="shared" si="4"/>
        <v>3.8225825098068038E-2</v>
      </c>
      <c r="N42" s="25">
        <f t="shared" si="4"/>
        <v>0.96177417490193196</v>
      </c>
      <c r="O42" s="25">
        <f t="shared" si="4"/>
        <v>0</v>
      </c>
      <c r="P42" s="25">
        <f t="shared" si="4"/>
        <v>0</v>
      </c>
      <c r="Q42" s="25">
        <f t="shared" si="4"/>
        <v>1</v>
      </c>
      <c r="R42" s="25">
        <f t="shared" si="4"/>
        <v>0</v>
      </c>
      <c r="S42" s="25">
        <f t="shared" si="4"/>
        <v>3.8225825098068038E-2</v>
      </c>
      <c r="T42" s="25">
        <f t="shared" si="4"/>
        <v>6.1285474502310042E-3</v>
      </c>
      <c r="U42" s="25">
        <f t="shared" si="4"/>
        <v>0.95564562745170101</v>
      </c>
    </row>
    <row r="43" spans="1:23" x14ac:dyDescent="0.25">
      <c r="A43" s="53" t="s">
        <v>68</v>
      </c>
      <c r="B43" s="42"/>
      <c r="C43" s="42"/>
      <c r="D43" s="42"/>
      <c r="E43" s="42"/>
      <c r="F43" s="49" t="str">
        <f>IF(SUM(F41:J41)=0,"— não preenchido",IF(ROUND(SUM(F41:J41)-$R44,3)=0,"OK — "&amp;ROUND(SUM(F41:J41),3)&amp;" km","ERRO — dif. de "&amp;ROUND(SUM(F41:J41)-$R44,3)&amp;" km"))</f>
        <v>OK — 26,16 km</v>
      </c>
      <c r="G43" s="46"/>
      <c r="H43" s="46"/>
      <c r="I43" s="46"/>
      <c r="J43" s="44"/>
      <c r="K43" s="49" t="str">
        <f>IF(SUM(K41:L41)=0,"— não preenchido",IF(ROUND(SUM(K41:L41)-$R44,3)=0,"OK — "&amp;ROUND(SUM(K41:L41),3)&amp;" km","ERRO — dif. de "&amp;ROUND(SUM(K41:L41)-$R44,3)&amp;" km"))</f>
        <v>OK — 26,16 km</v>
      </c>
      <c r="L43" s="44"/>
      <c r="M43" s="49" t="str">
        <f>IF(SUM(M41:O41)=0,"— não preenchido",IF(ROUND(SUM(M41:O41)-$R44,3)=0,"OK — "&amp;ROUND(SUM(M41:O41),3)&amp;" km","ERRO — dif. de "&amp;ROUND(SUM(M41:O41)-$R44,3)&amp;" km"))</f>
        <v>OK — 26,16 km</v>
      </c>
      <c r="N43" s="46"/>
      <c r="O43" s="44"/>
      <c r="P43" s="49" t="str">
        <f>IF(SUM(P41:R41)=0,"— não preenchido",IF(ROUND(SUM(P41:R41)-$R44,3)=0,"OK — "&amp;ROUND(SUM(P41:R41),3)&amp;" km","ERRO — dif. de "&amp;ROUND(SUM(P41:R41)-$R44,3)&amp;" km"))</f>
        <v>OK — 26,16 km</v>
      </c>
      <c r="Q43" s="46"/>
      <c r="R43" s="44"/>
      <c r="S43" s="49" t="str">
        <f>IF(SUM(S41:U41)=0,"— não preenchido",IF(ROUND(SUM(S41:U41)-$R44,3)=0,"OK — "&amp;ROUND(SUM(S41:U41),3)&amp;" km","ERRO — dif. de "&amp;ROUND(SUM(S41:U41)-$R44,3)&amp;" km"))</f>
        <v>OK — 26,16 km</v>
      </c>
      <c r="T43" s="46"/>
      <c r="U43" s="44"/>
    </row>
    <row r="44" spans="1:23" x14ac:dyDescent="0.25">
      <c r="A44" s="53" t="s">
        <v>69</v>
      </c>
      <c r="B44" s="42"/>
      <c r="C44" s="42"/>
      <c r="D44" s="42"/>
      <c r="E44" s="42"/>
      <c r="R44" s="26">
        <f>SUM(E9:E35)</f>
        <v>26.160324791800001</v>
      </c>
      <c r="V44" s="8" t="str">
        <f>COUNTIF(W9:W35,"OK")&amp;" de "&amp;COUNT($E$9:$E$35)&amp;" linhas conferidas"</f>
        <v>27 de 27 linhas conferidas</v>
      </c>
    </row>
    <row r="46" spans="1:23" x14ac:dyDescent="0.25">
      <c r="A46" s="62" t="s">
        <v>70</v>
      </c>
      <c r="B46" s="42"/>
      <c r="C46" s="42"/>
      <c r="D46" s="42"/>
      <c r="E46" s="42"/>
    </row>
    <row r="47" spans="1:23" x14ac:dyDescent="0.25">
      <c r="A47" s="53" t="s">
        <v>71</v>
      </c>
      <c r="B47" s="42"/>
      <c r="C47" s="42"/>
      <c r="D47" s="42"/>
      <c r="E47" s="48" t="s">
        <v>72</v>
      </c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1:23" x14ac:dyDescent="0.25">
      <c r="A48" s="53" t="s">
        <v>73</v>
      </c>
      <c r="B48" s="42"/>
      <c r="C48" s="42"/>
      <c r="D48" s="42"/>
      <c r="E48" s="48" t="s">
        <v>74</v>
      </c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1:22" x14ac:dyDescent="0.25">
      <c r="A49" s="53" t="s">
        <v>75</v>
      </c>
      <c r="B49" s="42"/>
      <c r="C49" s="42"/>
      <c r="D49" s="42"/>
      <c r="E49" s="48" t="s">
        <v>76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1:22" x14ac:dyDescent="0.25">
      <c r="A50" s="53" t="s">
        <v>77</v>
      </c>
      <c r="B50" s="42"/>
      <c r="C50" s="42"/>
      <c r="D50" s="42"/>
      <c r="E50" s="48" t="s">
        <v>78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1:22" x14ac:dyDescent="0.25">
      <c r="A51" s="53" t="s">
        <v>79</v>
      </c>
      <c r="B51" s="42"/>
      <c r="C51" s="42"/>
      <c r="D51" s="42"/>
      <c r="E51" s="48" t="s">
        <v>80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1:22" x14ac:dyDescent="0.25">
      <c r="A52" s="53" t="s">
        <v>45</v>
      </c>
      <c r="B52" s="42"/>
      <c r="C52" s="42"/>
      <c r="D52" s="42"/>
      <c r="E52" s="48" t="s">
        <v>81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1:22" x14ac:dyDescent="0.25">
      <c r="A53" s="53" t="s">
        <v>82</v>
      </c>
      <c r="B53" s="42"/>
      <c r="C53" s="42"/>
      <c r="D53" s="42"/>
      <c r="E53" s="48" t="s">
        <v>83</v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spans="1:22" x14ac:dyDescent="0.25">
      <c r="A54" s="53" t="s">
        <v>84</v>
      </c>
      <c r="B54" s="42"/>
      <c r="C54" s="42"/>
      <c r="D54" s="42"/>
      <c r="E54" s="48" t="s">
        <v>85</v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spans="1:22" x14ac:dyDescent="0.25">
      <c r="A55" s="53" t="s">
        <v>11</v>
      </c>
      <c r="B55" s="42"/>
      <c r="C55" s="42"/>
      <c r="D55" s="42"/>
      <c r="E55" s="48" t="s">
        <v>86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</row>
  </sheetData>
  <sheetProtection formatCells="0"/>
  <mergeCells count="57">
    <mergeCell ref="A49:D49"/>
    <mergeCell ref="E51:V51"/>
    <mergeCell ref="A53:D53"/>
    <mergeCell ref="G2:H2"/>
    <mergeCell ref="I2:J2"/>
    <mergeCell ref="A8:V8"/>
    <mergeCell ref="A52:D52"/>
    <mergeCell ref="A6:A7"/>
    <mergeCell ref="F6:J6"/>
    <mergeCell ref="M6:O6"/>
    <mergeCell ref="V6:V7"/>
    <mergeCell ref="A4:V4"/>
    <mergeCell ref="A47:D47"/>
    <mergeCell ref="A2:F2"/>
    <mergeCell ref="S6:U6"/>
    <mergeCell ref="K2:M2"/>
    <mergeCell ref="W6:W7"/>
    <mergeCell ref="A37:E37"/>
    <mergeCell ref="E6:E7"/>
    <mergeCell ref="G37:K37"/>
    <mergeCell ref="A46:E46"/>
    <mergeCell ref="P43:R43"/>
    <mergeCell ref="B6:B7"/>
    <mergeCell ref="A41:E41"/>
    <mergeCell ref="G38:K38"/>
    <mergeCell ref="A1:V1"/>
    <mergeCell ref="A42:E42"/>
    <mergeCell ref="A54:D54"/>
    <mergeCell ref="T3:V3"/>
    <mergeCell ref="A44:E44"/>
    <mergeCell ref="M43:O43"/>
    <mergeCell ref="E53:V53"/>
    <mergeCell ref="E47:V47"/>
    <mergeCell ref="S43:U43"/>
    <mergeCell ref="E50:V50"/>
    <mergeCell ref="F43:J43"/>
    <mergeCell ref="A43:E43"/>
    <mergeCell ref="A38:E38"/>
    <mergeCell ref="N2:O2"/>
    <mergeCell ref="A48:D48"/>
    <mergeCell ref="P2:Q2"/>
    <mergeCell ref="A50:D50"/>
    <mergeCell ref="E55:V55"/>
    <mergeCell ref="A55:D55"/>
    <mergeCell ref="R2:V2"/>
    <mergeCell ref="A3:S3"/>
    <mergeCell ref="E52:V52"/>
    <mergeCell ref="C6:C7"/>
    <mergeCell ref="E48:V48"/>
    <mergeCell ref="K6:L6"/>
    <mergeCell ref="D6:D7"/>
    <mergeCell ref="A40:E40"/>
    <mergeCell ref="P6:R6"/>
    <mergeCell ref="A51:D51"/>
    <mergeCell ref="K43:L43"/>
    <mergeCell ref="E54:V54"/>
    <mergeCell ref="E49:V49"/>
  </mergeCells>
  <conditionalFormatting sqref="F9:J35">
    <cfRule type="expression" dxfId="63" priority="1">
      <formula>AND(F9&lt;&gt;"",COUNTIF($F9:$J9,"X")&gt;1)</formula>
    </cfRule>
  </conditionalFormatting>
  <conditionalFormatting sqref="F43:U43">
    <cfRule type="expression" dxfId="62" priority="8">
      <formula>LEFT(F43,4)="ERRO"</formula>
    </cfRule>
    <cfRule type="expression" dxfId="61" priority="9">
      <formula>LEFT(F43,2)="OK"</formula>
    </cfRule>
  </conditionalFormatting>
  <conditionalFormatting sqref="K9:L35">
    <cfRule type="expression" dxfId="60" priority="2">
      <formula>AND(K9&lt;&gt;"",COUNTIF($K9:$L9,"X")&gt;1)</formula>
    </cfRule>
  </conditionalFormatting>
  <conditionalFormatting sqref="M9:O35">
    <cfRule type="expression" dxfId="59" priority="3">
      <formula>AND(M9&lt;&gt;"",COUNTIF($M9:$O9,"X")&gt;1)</formula>
    </cfRule>
  </conditionalFormatting>
  <conditionalFormatting sqref="P9:R35">
    <cfRule type="expression" dxfId="58" priority="4">
      <formula>AND(P9&lt;&gt;"",COUNTIF($P9:$R9,"X")&gt;1)</formula>
    </cfRule>
  </conditionalFormatting>
  <conditionalFormatting sqref="S9:U35">
    <cfRule type="expression" dxfId="57" priority="5">
      <formula>AND(S9&lt;&gt;"",COUNTIF($S9:$U9,"X")&gt;1)</formula>
    </cfRule>
  </conditionalFormatting>
  <conditionalFormatting sqref="W9:W35">
    <cfRule type="expression" dxfId="56" priority="6">
      <formula>AND(W9&lt;&gt;"OK",W9&lt;&gt;"")</formula>
    </cfRule>
    <cfRule type="expression" dxfId="5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5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5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5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5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5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35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210</oddHeader>
    <oddFooter>&amp;L&amp;7 RTA / MSI — Programa de Manutenção Rodoviária&amp;C&amp;7 Página &amp;P de &amp;N&amp;R&amp;7 Impresso em &amp;D</oddFooter>
  </headerFooter>
  <rowBreaks count="1" manualBreakCount="1">
    <brk id="38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N77"/>
  <sheetViews>
    <sheetView showGridLines="0" workbookViewId="0">
      <pane xSplit="5" ySplit="7" topLeftCell="F49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1" t="s">
        <v>36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Y1" s="1" t="s">
        <v>1</v>
      </c>
    </row>
    <row r="2" spans="1:40" ht="17.100000000000001" customHeight="1" x14ac:dyDescent="0.25">
      <c r="A2" s="54" t="s">
        <v>37</v>
      </c>
      <c r="B2" s="42"/>
      <c r="C2" s="42"/>
      <c r="D2" s="42"/>
      <c r="E2" s="42"/>
      <c r="F2" s="42"/>
      <c r="G2" s="50" t="s">
        <v>38</v>
      </c>
      <c r="H2" s="42"/>
      <c r="I2" s="51">
        <v>46266</v>
      </c>
      <c r="J2" s="52"/>
      <c r="K2" s="50" t="s">
        <v>39</v>
      </c>
      <c r="L2" s="42"/>
      <c r="M2" s="42"/>
      <c r="N2" s="55"/>
      <c r="O2" s="52"/>
      <c r="P2" s="50" t="s">
        <v>40</v>
      </c>
      <c r="Q2" s="42"/>
      <c r="R2" s="56" t="s">
        <v>154</v>
      </c>
      <c r="S2" s="57"/>
      <c r="T2" s="57"/>
      <c r="U2" s="57"/>
      <c r="V2" s="52"/>
      <c r="Y2" s="2" t="e">
        <f t="shared" ref="Y2:AN2" si="0">IF(F63=0,NA(),F63)</f>
        <v>#N/A</v>
      </c>
      <c r="Z2" s="2">
        <f t="shared" si="0"/>
        <v>35.649724135100001</v>
      </c>
      <c r="AA2" s="2">
        <f t="shared" si="0"/>
        <v>9</v>
      </c>
      <c r="AB2" s="2">
        <f t="shared" si="0"/>
        <v>4</v>
      </c>
      <c r="AC2" s="2" t="e">
        <f t="shared" si="0"/>
        <v>#N/A</v>
      </c>
      <c r="AD2" s="2">
        <f t="shared" si="0"/>
        <v>48.649724135100001</v>
      </c>
      <c r="AE2" s="2" t="e">
        <f t="shared" si="0"/>
        <v>#N/A</v>
      </c>
      <c r="AF2" s="2" t="e">
        <f t="shared" si="0"/>
        <v>#N/A</v>
      </c>
      <c r="AG2" s="2">
        <f t="shared" si="0"/>
        <v>48.649724135100001</v>
      </c>
      <c r="AH2" s="2" t="e">
        <f t="shared" si="0"/>
        <v>#N/A</v>
      </c>
      <c r="AI2" s="2" t="e">
        <f t="shared" si="0"/>
        <v>#N/A</v>
      </c>
      <c r="AJ2" s="2">
        <f t="shared" si="0"/>
        <v>48.649724135100001</v>
      </c>
      <c r="AK2" s="2" t="e">
        <f t="shared" si="0"/>
        <v>#N/A</v>
      </c>
      <c r="AL2" s="2" t="e">
        <f t="shared" si="0"/>
        <v>#N/A</v>
      </c>
      <c r="AM2" s="2">
        <f t="shared" si="0"/>
        <v>48.649724135100001</v>
      </c>
      <c r="AN2" s="2" t="e">
        <f t="shared" si="0"/>
        <v>#N/A</v>
      </c>
    </row>
    <row r="3" spans="1:40" ht="15" customHeight="1" x14ac:dyDescent="0.25">
      <c r="A3" s="63" t="s">
        <v>123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50" t="s">
        <v>124</v>
      </c>
      <c r="U3" s="42"/>
      <c r="V3" s="42"/>
    </row>
    <row r="4" spans="1:40" ht="20.100000000000001" customHeight="1" x14ac:dyDescent="0.25">
      <c r="A4" s="47" t="s">
        <v>43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6" spans="1:40" ht="21.95" customHeight="1" x14ac:dyDescent="0.25">
      <c r="A6" s="43" t="s">
        <v>44</v>
      </c>
      <c r="B6" s="43" t="s">
        <v>45</v>
      </c>
      <c r="C6" s="43" t="s">
        <v>46</v>
      </c>
      <c r="D6" s="43" t="s">
        <v>47</v>
      </c>
      <c r="E6" s="43" t="s">
        <v>48</v>
      </c>
      <c r="F6" s="43" t="s">
        <v>6</v>
      </c>
      <c r="G6" s="46"/>
      <c r="H6" s="46"/>
      <c r="I6" s="46"/>
      <c r="J6" s="44"/>
      <c r="K6" s="43" t="s">
        <v>7</v>
      </c>
      <c r="L6" s="44"/>
      <c r="M6" s="43" t="s">
        <v>8</v>
      </c>
      <c r="N6" s="46"/>
      <c r="O6" s="44"/>
      <c r="P6" s="43" t="s">
        <v>9</v>
      </c>
      <c r="Q6" s="46"/>
      <c r="R6" s="44"/>
      <c r="S6" s="43" t="s">
        <v>10</v>
      </c>
      <c r="T6" s="46"/>
      <c r="U6" s="44"/>
      <c r="V6" s="43" t="s">
        <v>49</v>
      </c>
      <c r="W6" s="43" t="s">
        <v>50</v>
      </c>
    </row>
    <row r="7" spans="1:40" ht="20.100000000000001" customHeight="1" x14ac:dyDescent="0.25">
      <c r="A7" s="45"/>
      <c r="B7" s="45"/>
      <c r="C7" s="45"/>
      <c r="D7" s="45"/>
      <c r="E7" s="4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45"/>
      <c r="W7" s="45"/>
    </row>
    <row r="8" spans="1:40" ht="15.95" customHeight="1" x14ac:dyDescent="0.25">
      <c r="A8" s="59" t="s">
        <v>125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4"/>
      <c r="W8" s="4"/>
    </row>
    <row r="9" spans="1:40" ht="20.100000000000001" customHeight="1" x14ac:dyDescent="0.25">
      <c r="A9" s="12" t="s">
        <v>126</v>
      </c>
      <c r="B9" s="13" t="s">
        <v>53</v>
      </c>
      <c r="C9" s="14">
        <v>0</v>
      </c>
      <c r="D9" s="14">
        <v>1</v>
      </c>
      <c r="E9" s="14">
        <f t="shared" ref="E9:E40" si="1"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126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54</v>
      </c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126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/>
      <c r="I11" s="15" t="s">
        <v>54</v>
      </c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126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126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126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126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126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126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126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126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126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126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126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126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 t="s">
        <v>54</v>
      </c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126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 t="s">
        <v>54</v>
      </c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126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/>
      <c r="I25" s="15" t="s">
        <v>54</v>
      </c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126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126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126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/>
      <c r="I28" s="15" t="s">
        <v>54</v>
      </c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126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/>
      <c r="G29" s="15"/>
      <c r="H29" s="15"/>
      <c r="I29" s="15" t="s">
        <v>54</v>
      </c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126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/>
      <c r="G30" s="15"/>
      <c r="H30" s="15" t="s">
        <v>54</v>
      </c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126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/>
      <c r="G31" s="15"/>
      <c r="H31" s="15" t="s">
        <v>54</v>
      </c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126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126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126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126</v>
      </c>
      <c r="B35" s="13" t="s">
        <v>53</v>
      </c>
      <c r="C35" s="14">
        <v>26</v>
      </c>
      <c r="D35" s="14">
        <v>27</v>
      </c>
      <c r="E35" s="14">
        <f t="shared" si="1"/>
        <v>1</v>
      </c>
      <c r="F35" s="15"/>
      <c r="G35" s="15" t="s">
        <v>54</v>
      </c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126</v>
      </c>
      <c r="B36" s="13" t="s">
        <v>53</v>
      </c>
      <c r="C36" s="14">
        <v>27</v>
      </c>
      <c r="D36" s="14">
        <v>28</v>
      </c>
      <c r="E36" s="14">
        <f t="shared" si="1"/>
        <v>1</v>
      </c>
      <c r="F36" s="15"/>
      <c r="G36" s="15" t="s">
        <v>54</v>
      </c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126</v>
      </c>
      <c r="B37" s="13" t="s">
        <v>53</v>
      </c>
      <c r="C37" s="14">
        <v>28</v>
      </c>
      <c r="D37" s="14">
        <v>29</v>
      </c>
      <c r="E37" s="14">
        <f t="shared" si="1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126</v>
      </c>
      <c r="B38" s="13" t="s">
        <v>53</v>
      </c>
      <c r="C38" s="14">
        <v>29</v>
      </c>
      <c r="D38" s="14">
        <v>30</v>
      </c>
      <c r="E38" s="14">
        <f t="shared" si="1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126</v>
      </c>
      <c r="B39" s="13" t="s">
        <v>53</v>
      </c>
      <c r="C39" s="14">
        <v>30</v>
      </c>
      <c r="D39" s="14">
        <v>31</v>
      </c>
      <c r="E39" s="14">
        <f t="shared" si="1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126</v>
      </c>
      <c r="B40" s="13" t="s">
        <v>53</v>
      </c>
      <c r="C40" s="14">
        <v>31</v>
      </c>
      <c r="D40" s="14">
        <v>32</v>
      </c>
      <c r="E40" s="14">
        <f t="shared" si="1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126</v>
      </c>
      <c r="B41" s="13" t="s">
        <v>53</v>
      </c>
      <c r="C41" s="14">
        <v>32</v>
      </c>
      <c r="D41" s="14">
        <v>33</v>
      </c>
      <c r="E41" s="14">
        <f t="shared" ref="E41:E57" si="3">D41-C41</f>
        <v>1</v>
      </c>
      <c r="F41" s="15"/>
      <c r="G41" s="15" t="s">
        <v>54</v>
      </c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ref="W41:W57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126</v>
      </c>
      <c r="B42" s="13" t="s">
        <v>53</v>
      </c>
      <c r="C42" s="14">
        <v>33</v>
      </c>
      <c r="D42" s="14">
        <v>34</v>
      </c>
      <c r="E42" s="14">
        <f t="shared" si="3"/>
        <v>1</v>
      </c>
      <c r="F42" s="15"/>
      <c r="G42" s="15" t="s">
        <v>54</v>
      </c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126</v>
      </c>
      <c r="B43" s="13" t="s">
        <v>53</v>
      </c>
      <c r="C43" s="14">
        <v>34</v>
      </c>
      <c r="D43" s="14">
        <v>35</v>
      </c>
      <c r="E43" s="14">
        <f t="shared" si="3"/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126</v>
      </c>
      <c r="B44" s="13" t="s">
        <v>53</v>
      </c>
      <c r="C44" s="14">
        <v>35</v>
      </c>
      <c r="D44" s="14">
        <v>36</v>
      </c>
      <c r="E44" s="14">
        <f t="shared" si="3"/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126</v>
      </c>
      <c r="B45" s="13" t="s">
        <v>53</v>
      </c>
      <c r="C45" s="14">
        <v>36</v>
      </c>
      <c r="D45" s="14">
        <v>37</v>
      </c>
      <c r="E45" s="14">
        <f t="shared" si="3"/>
        <v>1</v>
      </c>
      <c r="F45" s="15"/>
      <c r="G45" s="15"/>
      <c r="H45" s="15" t="s">
        <v>54</v>
      </c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126</v>
      </c>
      <c r="B46" s="13" t="s">
        <v>53</v>
      </c>
      <c r="C46" s="14">
        <v>37</v>
      </c>
      <c r="D46" s="14">
        <v>38</v>
      </c>
      <c r="E46" s="14">
        <f t="shared" si="3"/>
        <v>1</v>
      </c>
      <c r="F46" s="15"/>
      <c r="G46" s="15" t="s">
        <v>54</v>
      </c>
      <c r="H46" s="15"/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126</v>
      </c>
      <c r="B47" s="13" t="s">
        <v>53</v>
      </c>
      <c r="C47" s="14">
        <v>38</v>
      </c>
      <c r="D47" s="14">
        <v>39</v>
      </c>
      <c r="E47" s="14">
        <f t="shared" si="3"/>
        <v>1</v>
      </c>
      <c r="F47" s="15"/>
      <c r="G47" s="15" t="s">
        <v>54</v>
      </c>
      <c r="H47" s="15"/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126</v>
      </c>
      <c r="B48" s="13" t="s">
        <v>53</v>
      </c>
      <c r="C48" s="14">
        <v>39</v>
      </c>
      <c r="D48" s="14">
        <v>40</v>
      </c>
      <c r="E48" s="14">
        <f t="shared" si="3"/>
        <v>1</v>
      </c>
      <c r="F48" s="15"/>
      <c r="G48" s="15" t="s">
        <v>54</v>
      </c>
      <c r="H48" s="15"/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126</v>
      </c>
      <c r="B49" s="13" t="s">
        <v>53</v>
      </c>
      <c r="C49" s="14">
        <v>40</v>
      </c>
      <c r="D49" s="14">
        <v>41</v>
      </c>
      <c r="E49" s="14">
        <f t="shared" si="3"/>
        <v>1</v>
      </c>
      <c r="F49" s="15"/>
      <c r="G49" s="15" t="s">
        <v>54</v>
      </c>
      <c r="H49" s="15"/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126</v>
      </c>
      <c r="B50" s="13" t="s">
        <v>53</v>
      </c>
      <c r="C50" s="14">
        <v>41</v>
      </c>
      <c r="D50" s="14">
        <v>42</v>
      </c>
      <c r="E50" s="14">
        <f t="shared" si="3"/>
        <v>1</v>
      </c>
      <c r="F50" s="15"/>
      <c r="G50" s="15"/>
      <c r="H50" s="15" t="s">
        <v>54</v>
      </c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126</v>
      </c>
      <c r="B51" s="13" t="s">
        <v>53</v>
      </c>
      <c r="C51" s="14">
        <v>42</v>
      </c>
      <c r="D51" s="14">
        <v>43</v>
      </c>
      <c r="E51" s="14">
        <f t="shared" si="3"/>
        <v>1</v>
      </c>
      <c r="F51" s="15"/>
      <c r="G51" s="15"/>
      <c r="H51" s="15" t="s">
        <v>54</v>
      </c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126</v>
      </c>
      <c r="B52" s="13" t="s">
        <v>53</v>
      </c>
      <c r="C52" s="14">
        <v>43</v>
      </c>
      <c r="D52" s="14">
        <v>44</v>
      </c>
      <c r="E52" s="14">
        <f t="shared" si="3"/>
        <v>1</v>
      </c>
      <c r="F52" s="15"/>
      <c r="G52" s="15" t="s">
        <v>54</v>
      </c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126</v>
      </c>
      <c r="B53" s="13" t="s">
        <v>53</v>
      </c>
      <c r="C53" s="14">
        <v>44</v>
      </c>
      <c r="D53" s="14">
        <v>45</v>
      </c>
      <c r="E53" s="14">
        <f t="shared" si="3"/>
        <v>1</v>
      </c>
      <c r="F53" s="15"/>
      <c r="G53" s="15" t="s">
        <v>54</v>
      </c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126</v>
      </c>
      <c r="B54" s="13" t="s">
        <v>53</v>
      </c>
      <c r="C54" s="14">
        <v>45</v>
      </c>
      <c r="D54" s="14">
        <v>46</v>
      </c>
      <c r="E54" s="14">
        <f t="shared" si="3"/>
        <v>1</v>
      </c>
      <c r="F54" s="15"/>
      <c r="G54" s="15"/>
      <c r="H54" s="15" t="s">
        <v>54</v>
      </c>
      <c r="I54" s="15"/>
      <c r="J54" s="15"/>
      <c r="K54" s="15" t="s">
        <v>54</v>
      </c>
      <c r="L54" s="15"/>
      <c r="M54" s="15"/>
      <c r="N54" s="15" t="s">
        <v>54</v>
      </c>
      <c r="O54" s="15"/>
      <c r="P54" s="15"/>
      <c r="Q54" s="15" t="s">
        <v>54</v>
      </c>
      <c r="R54" s="15"/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126</v>
      </c>
      <c r="B55" s="13" t="s">
        <v>53</v>
      </c>
      <c r="C55" s="14">
        <v>46</v>
      </c>
      <c r="D55" s="14">
        <v>47</v>
      </c>
      <c r="E55" s="14">
        <f t="shared" si="3"/>
        <v>1</v>
      </c>
      <c r="F55" s="15"/>
      <c r="G55" s="15"/>
      <c r="H55" s="15" t="s">
        <v>54</v>
      </c>
      <c r="I55" s="15"/>
      <c r="J55" s="15"/>
      <c r="K55" s="15" t="s">
        <v>54</v>
      </c>
      <c r="L55" s="15"/>
      <c r="M55" s="15"/>
      <c r="N55" s="15" t="s">
        <v>54</v>
      </c>
      <c r="O55" s="15"/>
      <c r="P55" s="15"/>
      <c r="Q55" s="15" t="s">
        <v>54</v>
      </c>
      <c r="R55" s="15"/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126</v>
      </c>
      <c r="B56" s="13" t="s">
        <v>53</v>
      </c>
      <c r="C56" s="14">
        <v>47</v>
      </c>
      <c r="D56" s="14">
        <v>48</v>
      </c>
      <c r="E56" s="14">
        <f t="shared" si="3"/>
        <v>1</v>
      </c>
      <c r="F56" s="15"/>
      <c r="G56" s="15"/>
      <c r="H56" s="15" t="s">
        <v>54</v>
      </c>
      <c r="I56" s="15"/>
      <c r="J56" s="15"/>
      <c r="K56" s="15" t="s">
        <v>54</v>
      </c>
      <c r="L56" s="15"/>
      <c r="M56" s="15"/>
      <c r="N56" s="15" t="s">
        <v>54</v>
      </c>
      <c r="O56" s="15"/>
      <c r="P56" s="15"/>
      <c r="Q56" s="15" t="s">
        <v>54</v>
      </c>
      <c r="R56" s="15"/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8" t="s">
        <v>126</v>
      </c>
      <c r="B57" s="19" t="s">
        <v>53</v>
      </c>
      <c r="C57" s="20">
        <v>48</v>
      </c>
      <c r="D57" s="20">
        <v>48.649724135100001</v>
      </c>
      <c r="E57" s="20">
        <f t="shared" si="3"/>
        <v>0.64972413510000138</v>
      </c>
      <c r="F57" s="21"/>
      <c r="G57" s="21" t="s">
        <v>54</v>
      </c>
      <c r="H57" s="21"/>
      <c r="I57" s="21"/>
      <c r="J57" s="21"/>
      <c r="K57" s="21" t="s">
        <v>54</v>
      </c>
      <c r="L57" s="21"/>
      <c r="M57" s="21"/>
      <c r="N57" s="21" t="s">
        <v>54</v>
      </c>
      <c r="O57" s="21"/>
      <c r="P57" s="21"/>
      <c r="Q57" s="21" t="s">
        <v>54</v>
      </c>
      <c r="R57" s="21"/>
      <c r="S57" s="21"/>
      <c r="T57" s="21" t="s">
        <v>54</v>
      </c>
      <c r="U57" s="21"/>
      <c r="V57" s="22"/>
      <c r="W57" s="23" t="str">
        <f t="shared" si="4"/>
        <v>OK</v>
      </c>
    </row>
    <row r="59" spans="1:23" x14ac:dyDescent="0.25">
      <c r="A59" s="61" t="s">
        <v>62</v>
      </c>
      <c r="B59" s="42"/>
      <c r="C59" s="42"/>
      <c r="D59" s="42"/>
      <c r="E59" s="42"/>
      <c r="G59" s="61" t="s">
        <v>62</v>
      </c>
      <c r="H59" s="42"/>
      <c r="I59" s="42"/>
      <c r="J59" s="42"/>
      <c r="K59" s="42"/>
    </row>
    <row r="60" spans="1:23" x14ac:dyDescent="0.25">
      <c r="A60" s="58" t="s">
        <v>63</v>
      </c>
      <c r="B60" s="42"/>
      <c r="C60" s="42"/>
      <c r="D60" s="42"/>
      <c r="E60" s="42"/>
      <c r="G60" s="58" t="s">
        <v>64</v>
      </c>
      <c r="H60" s="42"/>
      <c r="I60" s="42"/>
      <c r="J60" s="42"/>
      <c r="K60" s="42"/>
    </row>
    <row r="62" spans="1:23" x14ac:dyDescent="0.25">
      <c r="A62" s="64" t="s">
        <v>65</v>
      </c>
      <c r="B62" s="42"/>
      <c r="C62" s="42"/>
      <c r="D62" s="42"/>
      <c r="E62" s="42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 spans="1:23" x14ac:dyDescent="0.25">
      <c r="A63" s="53" t="s">
        <v>66</v>
      </c>
      <c r="B63" s="42"/>
      <c r="C63" s="42"/>
      <c r="D63" s="42"/>
      <c r="E63" s="42"/>
      <c r="F63" s="9">
        <f t="shared" ref="F63:U63" si="5">SUMIF(F$9:F$57,"X",$E$9:$E$57)</f>
        <v>0</v>
      </c>
      <c r="G63" s="9">
        <f t="shared" si="5"/>
        <v>35.649724135100001</v>
      </c>
      <c r="H63" s="9">
        <f t="shared" si="5"/>
        <v>9</v>
      </c>
      <c r="I63" s="9">
        <f t="shared" si="5"/>
        <v>4</v>
      </c>
      <c r="J63" s="9">
        <f t="shared" si="5"/>
        <v>0</v>
      </c>
      <c r="K63" s="9">
        <f t="shared" si="5"/>
        <v>48.649724135100001</v>
      </c>
      <c r="L63" s="9">
        <f t="shared" si="5"/>
        <v>0</v>
      </c>
      <c r="M63" s="9">
        <f t="shared" si="5"/>
        <v>0</v>
      </c>
      <c r="N63" s="9">
        <f t="shared" si="5"/>
        <v>48.649724135100001</v>
      </c>
      <c r="O63" s="9">
        <f t="shared" si="5"/>
        <v>0</v>
      </c>
      <c r="P63" s="9">
        <f t="shared" si="5"/>
        <v>0</v>
      </c>
      <c r="Q63" s="9">
        <f t="shared" si="5"/>
        <v>48.649724135100001</v>
      </c>
      <c r="R63" s="9">
        <f t="shared" si="5"/>
        <v>0</v>
      </c>
      <c r="S63" s="9">
        <f t="shared" si="5"/>
        <v>0</v>
      </c>
      <c r="T63" s="9">
        <f t="shared" si="5"/>
        <v>48.649724135100001</v>
      </c>
      <c r="U63" s="9">
        <f t="shared" si="5"/>
        <v>0</v>
      </c>
    </row>
    <row r="64" spans="1:23" x14ac:dyDescent="0.25">
      <c r="A64" s="53" t="s">
        <v>67</v>
      </c>
      <c r="B64" s="42"/>
      <c r="C64" s="42"/>
      <c r="D64" s="42"/>
      <c r="E64" s="42"/>
      <c r="F64" s="25">
        <f t="shared" ref="F64:U64" si="6">IF($R66=0,0,F63/$R66)</f>
        <v>0</v>
      </c>
      <c r="G64" s="25">
        <f t="shared" si="6"/>
        <v>0.73278368518803771</v>
      </c>
      <c r="H64" s="25">
        <f t="shared" si="6"/>
        <v>0.1849959102544354</v>
      </c>
      <c r="I64" s="25">
        <f t="shared" si="6"/>
        <v>8.2220404557526841E-2</v>
      </c>
      <c r="J64" s="25">
        <f t="shared" si="6"/>
        <v>0</v>
      </c>
      <c r="K64" s="25">
        <f t="shared" si="6"/>
        <v>1</v>
      </c>
      <c r="L64" s="25">
        <f t="shared" si="6"/>
        <v>0</v>
      </c>
      <c r="M64" s="25">
        <f t="shared" si="6"/>
        <v>0</v>
      </c>
      <c r="N64" s="25">
        <f t="shared" si="6"/>
        <v>1</v>
      </c>
      <c r="O64" s="25">
        <f t="shared" si="6"/>
        <v>0</v>
      </c>
      <c r="P64" s="25">
        <f t="shared" si="6"/>
        <v>0</v>
      </c>
      <c r="Q64" s="25">
        <f t="shared" si="6"/>
        <v>1</v>
      </c>
      <c r="R64" s="25">
        <f t="shared" si="6"/>
        <v>0</v>
      </c>
      <c r="S64" s="25">
        <f t="shared" si="6"/>
        <v>0</v>
      </c>
      <c r="T64" s="25">
        <f t="shared" si="6"/>
        <v>1</v>
      </c>
      <c r="U64" s="25">
        <f t="shared" si="6"/>
        <v>0</v>
      </c>
    </row>
    <row r="65" spans="1:22" x14ac:dyDescent="0.25">
      <c r="A65" s="53" t="s">
        <v>68</v>
      </c>
      <c r="B65" s="42"/>
      <c r="C65" s="42"/>
      <c r="D65" s="42"/>
      <c r="E65" s="42"/>
      <c r="F65" s="49" t="str">
        <f>IF(SUM(F63:J63)=0,"— não preenchido",IF(ROUND(SUM(F63:J63)-$R66,3)=0,"OK — "&amp;ROUND(SUM(F63:J63),3)&amp;" km","ERRO — dif. de "&amp;ROUND(SUM(F63:J63)-$R66,3)&amp;" km"))</f>
        <v>OK — 48,65 km</v>
      </c>
      <c r="G65" s="46"/>
      <c r="H65" s="46"/>
      <c r="I65" s="46"/>
      <c r="J65" s="44"/>
      <c r="K65" s="49" t="str">
        <f>IF(SUM(K63:L63)=0,"— não preenchido",IF(ROUND(SUM(K63:L63)-$R66,3)=0,"OK — "&amp;ROUND(SUM(K63:L63),3)&amp;" km","ERRO — dif. de "&amp;ROUND(SUM(K63:L63)-$R66,3)&amp;" km"))</f>
        <v>OK — 48,65 km</v>
      </c>
      <c r="L65" s="44"/>
      <c r="M65" s="49" t="str">
        <f>IF(SUM(M63:O63)=0,"— não preenchido",IF(ROUND(SUM(M63:O63)-$R66,3)=0,"OK — "&amp;ROUND(SUM(M63:O63),3)&amp;" km","ERRO — dif. de "&amp;ROUND(SUM(M63:O63)-$R66,3)&amp;" km"))</f>
        <v>OK — 48,65 km</v>
      </c>
      <c r="N65" s="46"/>
      <c r="O65" s="44"/>
      <c r="P65" s="49" t="str">
        <f>IF(SUM(P63:R63)=0,"— não preenchido",IF(ROUND(SUM(P63:R63)-$R66,3)=0,"OK — "&amp;ROUND(SUM(P63:R63),3)&amp;" km","ERRO — dif. de "&amp;ROUND(SUM(P63:R63)-$R66,3)&amp;" km"))</f>
        <v>OK — 48,65 km</v>
      </c>
      <c r="Q65" s="46"/>
      <c r="R65" s="44"/>
      <c r="S65" s="49" t="str">
        <f>IF(SUM(S63:U63)=0,"— não preenchido",IF(ROUND(SUM(S63:U63)-$R66,3)=0,"OK — "&amp;ROUND(SUM(S63:U63),3)&amp;" km","ERRO — dif. de "&amp;ROUND(SUM(S63:U63)-$R66,3)&amp;" km"))</f>
        <v>OK — 48,65 km</v>
      </c>
      <c r="T65" s="46"/>
      <c r="U65" s="44"/>
    </row>
    <row r="66" spans="1:22" x14ac:dyDescent="0.25">
      <c r="A66" s="53" t="s">
        <v>69</v>
      </c>
      <c r="B66" s="42"/>
      <c r="C66" s="42"/>
      <c r="D66" s="42"/>
      <c r="E66" s="42"/>
      <c r="R66" s="26">
        <f>SUM(E9:E57)</f>
        <v>48.649724135100001</v>
      </c>
      <c r="V66" s="8" t="str">
        <f>COUNTIF(W9:W57,"OK")&amp;" de "&amp;COUNT($E$9:$E$57)&amp;" linhas conferidas"</f>
        <v>49 de 49 linhas conferidas</v>
      </c>
    </row>
    <row r="68" spans="1:22" x14ac:dyDescent="0.25">
      <c r="A68" s="62" t="s">
        <v>70</v>
      </c>
      <c r="B68" s="42"/>
      <c r="C68" s="42"/>
      <c r="D68" s="42"/>
      <c r="E68" s="42"/>
    </row>
    <row r="69" spans="1:22" x14ac:dyDescent="0.25">
      <c r="A69" s="53" t="s">
        <v>71</v>
      </c>
      <c r="B69" s="42"/>
      <c r="C69" s="42"/>
      <c r="D69" s="42"/>
      <c r="E69" s="48" t="s">
        <v>72</v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spans="1:22" x14ac:dyDescent="0.25">
      <c r="A70" s="53" t="s">
        <v>73</v>
      </c>
      <c r="B70" s="42"/>
      <c r="C70" s="42"/>
      <c r="D70" s="42"/>
      <c r="E70" s="48" t="s">
        <v>74</v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spans="1:22" x14ac:dyDescent="0.25">
      <c r="A71" s="53" t="s">
        <v>75</v>
      </c>
      <c r="B71" s="42"/>
      <c r="C71" s="42"/>
      <c r="D71" s="42"/>
      <c r="E71" s="48" t="s">
        <v>76</v>
      </c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x14ac:dyDescent="0.25">
      <c r="A72" s="53" t="s">
        <v>77</v>
      </c>
      <c r="B72" s="42"/>
      <c r="C72" s="42"/>
      <c r="D72" s="42"/>
      <c r="E72" s="48" t="s">
        <v>78</v>
      </c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x14ac:dyDescent="0.25">
      <c r="A73" s="53" t="s">
        <v>79</v>
      </c>
      <c r="B73" s="42"/>
      <c r="C73" s="42"/>
      <c r="D73" s="42"/>
      <c r="E73" s="48" t="s">
        <v>80</v>
      </c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x14ac:dyDescent="0.25">
      <c r="A74" s="53" t="s">
        <v>45</v>
      </c>
      <c r="B74" s="42"/>
      <c r="C74" s="42"/>
      <c r="D74" s="42"/>
      <c r="E74" s="48" t="s">
        <v>81</v>
      </c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x14ac:dyDescent="0.25">
      <c r="A75" s="53" t="s">
        <v>82</v>
      </c>
      <c r="B75" s="42"/>
      <c r="C75" s="42"/>
      <c r="D75" s="42"/>
      <c r="E75" s="48" t="s">
        <v>83</v>
      </c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x14ac:dyDescent="0.25">
      <c r="A76" s="53" t="s">
        <v>84</v>
      </c>
      <c r="B76" s="42"/>
      <c r="C76" s="42"/>
      <c r="D76" s="42"/>
      <c r="E76" s="48" t="s">
        <v>85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x14ac:dyDescent="0.25">
      <c r="A77" s="53" t="s">
        <v>11</v>
      </c>
      <c r="B77" s="42"/>
      <c r="C77" s="42"/>
      <c r="D77" s="42"/>
      <c r="E77" s="48" t="s">
        <v>86</v>
      </c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</sheetData>
  <sheetProtection formatCells="0"/>
  <mergeCells count="57">
    <mergeCell ref="G2:H2"/>
    <mergeCell ref="A64:E64"/>
    <mergeCell ref="F65:J65"/>
    <mergeCell ref="I2:J2"/>
    <mergeCell ref="A60:E60"/>
    <mergeCell ref="A8:V8"/>
    <mergeCell ref="M65:O65"/>
    <mergeCell ref="A6:A7"/>
    <mergeCell ref="F6:J6"/>
    <mergeCell ref="M6:O6"/>
    <mergeCell ref="A77:D77"/>
    <mergeCell ref="E77:V77"/>
    <mergeCell ref="N2:O2"/>
    <mergeCell ref="S65:U65"/>
    <mergeCell ref="P2:Q2"/>
    <mergeCell ref="E76:V76"/>
    <mergeCell ref="A76:D76"/>
    <mergeCell ref="A4:V4"/>
    <mergeCell ref="V6:V7"/>
    <mergeCell ref="A2:F2"/>
    <mergeCell ref="S6:U6"/>
    <mergeCell ref="E74:V74"/>
    <mergeCell ref="K2:M2"/>
    <mergeCell ref="A65:E65"/>
    <mergeCell ref="E73:V73"/>
    <mergeCell ref="A59:E59"/>
    <mergeCell ref="W6:W7"/>
    <mergeCell ref="E6:E7"/>
    <mergeCell ref="A73:D73"/>
    <mergeCell ref="A66:E66"/>
    <mergeCell ref="E70:V70"/>
    <mergeCell ref="B6:B7"/>
    <mergeCell ref="A70:D70"/>
    <mergeCell ref="A69:D69"/>
    <mergeCell ref="E72:V72"/>
    <mergeCell ref="G60:K60"/>
    <mergeCell ref="P6:R6"/>
    <mergeCell ref="G59:K59"/>
    <mergeCell ref="P65:R65"/>
    <mergeCell ref="A72:D72"/>
    <mergeCell ref="E69:V69"/>
    <mergeCell ref="A1:V1"/>
    <mergeCell ref="E75:V75"/>
    <mergeCell ref="T3:V3"/>
    <mergeCell ref="A75:D75"/>
    <mergeCell ref="A62:E62"/>
    <mergeCell ref="A74:D74"/>
    <mergeCell ref="K65:L65"/>
    <mergeCell ref="E71:V71"/>
    <mergeCell ref="A68:E68"/>
    <mergeCell ref="A63:E63"/>
    <mergeCell ref="R2:V2"/>
    <mergeCell ref="A3:S3"/>
    <mergeCell ref="C6:C7"/>
    <mergeCell ref="A71:D71"/>
    <mergeCell ref="K6:L6"/>
    <mergeCell ref="D6:D7"/>
  </mergeCells>
  <conditionalFormatting sqref="F9:J57">
    <cfRule type="expression" dxfId="54" priority="1">
      <formula>AND(F9&lt;&gt;"",COUNTIF($F9:$J9,"X")&gt;1)</formula>
    </cfRule>
  </conditionalFormatting>
  <conditionalFormatting sqref="F65:U65">
    <cfRule type="expression" dxfId="53" priority="8">
      <formula>LEFT(F65,4)="ERRO"</formula>
    </cfRule>
    <cfRule type="expression" dxfId="52" priority="9">
      <formula>LEFT(F65,2)="OK"</formula>
    </cfRule>
  </conditionalFormatting>
  <conditionalFormatting sqref="K9:L57">
    <cfRule type="expression" dxfId="51" priority="2">
      <formula>AND(K9&lt;&gt;"",COUNTIF($K9:$L9,"X")&gt;1)</formula>
    </cfRule>
  </conditionalFormatting>
  <conditionalFormatting sqref="M9:O57">
    <cfRule type="expression" dxfId="50" priority="3">
      <formula>AND(M9&lt;&gt;"",COUNTIF($M9:$O9,"X")&gt;1)</formula>
    </cfRule>
  </conditionalFormatting>
  <conditionalFormatting sqref="P9:R57">
    <cfRule type="expression" dxfId="49" priority="4">
      <formula>AND(P9&lt;&gt;"",COUNTIF($P9:$R9,"X")&gt;1)</formula>
    </cfRule>
  </conditionalFormatting>
  <conditionalFormatting sqref="S9:U57">
    <cfRule type="expression" dxfId="48" priority="5">
      <formula>AND(S9&lt;&gt;"",COUNTIF($S9:$U9,"X")&gt;1)</formula>
    </cfRule>
  </conditionalFormatting>
  <conditionalFormatting sqref="W9:W57">
    <cfRule type="expression" dxfId="47" priority="6">
      <formula>AND(W9&lt;&gt;"OK",W9&lt;&gt;"")</formula>
    </cfRule>
    <cfRule type="expression" dxfId="4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7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7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7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7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7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57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212</oddHeader>
    <oddFooter>&amp;L&amp;7 RTA / MSI — Programa de Manutenção Rodoviária&amp;C&amp;7 Página &amp;P de &amp;N&amp;R&amp;7 Impresso em &amp;D</oddFooter>
  </headerFooter>
  <rowBreaks count="1" manualBreakCount="1">
    <brk id="60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N29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1" t="s">
        <v>36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Y1" s="1" t="s">
        <v>1</v>
      </c>
    </row>
    <row r="2" spans="1:40" ht="17.100000000000001" customHeight="1" x14ac:dyDescent="0.25">
      <c r="A2" s="54" t="s">
        <v>37</v>
      </c>
      <c r="B2" s="42"/>
      <c r="C2" s="42"/>
      <c r="D2" s="42"/>
      <c r="E2" s="42"/>
      <c r="F2" s="42"/>
      <c r="G2" s="50" t="s">
        <v>38</v>
      </c>
      <c r="H2" s="42"/>
      <c r="I2" s="51">
        <v>46266</v>
      </c>
      <c r="J2" s="52"/>
      <c r="K2" s="50" t="s">
        <v>39</v>
      </c>
      <c r="L2" s="42"/>
      <c r="M2" s="42"/>
      <c r="N2" s="55"/>
      <c r="O2" s="52"/>
      <c r="P2" s="50" t="s">
        <v>40</v>
      </c>
      <c r="Q2" s="42"/>
      <c r="R2" s="56" t="s">
        <v>154</v>
      </c>
      <c r="S2" s="57"/>
      <c r="T2" s="57"/>
      <c r="U2" s="57"/>
      <c r="V2" s="52"/>
      <c r="Y2" s="2" t="e">
        <f t="shared" ref="Y2:AN2" si="0">IF(F15=0,NA(),F15)</f>
        <v>#N/A</v>
      </c>
      <c r="Z2" s="2">
        <f t="shared" si="0"/>
        <v>0.37470221966700001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0.37470221966700001</v>
      </c>
      <c r="AE2" s="2" t="e">
        <f t="shared" si="0"/>
        <v>#N/A</v>
      </c>
      <c r="AF2" s="2" t="e">
        <f t="shared" si="0"/>
        <v>#N/A</v>
      </c>
      <c r="AG2" s="2">
        <f t="shared" si="0"/>
        <v>0.37470221966700001</v>
      </c>
      <c r="AH2" s="2" t="e">
        <f t="shared" si="0"/>
        <v>#N/A</v>
      </c>
      <c r="AI2" s="2" t="e">
        <f t="shared" si="0"/>
        <v>#N/A</v>
      </c>
      <c r="AJ2" s="2">
        <f t="shared" si="0"/>
        <v>0.37470221966700001</v>
      </c>
      <c r="AK2" s="2" t="e">
        <f t="shared" si="0"/>
        <v>#N/A</v>
      </c>
      <c r="AL2" s="2" t="e">
        <f t="shared" si="0"/>
        <v>#N/A</v>
      </c>
      <c r="AM2" s="2">
        <f t="shared" si="0"/>
        <v>0.37470221966700001</v>
      </c>
      <c r="AN2" s="2" t="e">
        <f t="shared" si="0"/>
        <v>#N/A</v>
      </c>
    </row>
    <row r="3" spans="1:40" ht="15" customHeight="1" x14ac:dyDescent="0.25">
      <c r="A3" s="63" t="s">
        <v>127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50" t="s">
        <v>128</v>
      </c>
      <c r="U3" s="42"/>
      <c r="V3" s="42"/>
    </row>
    <row r="4" spans="1:40" ht="20.100000000000001" customHeight="1" x14ac:dyDescent="0.25">
      <c r="A4" s="47" t="s">
        <v>43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6" spans="1:40" ht="21.95" customHeight="1" x14ac:dyDescent="0.25">
      <c r="A6" s="43" t="s">
        <v>44</v>
      </c>
      <c r="B6" s="43" t="s">
        <v>45</v>
      </c>
      <c r="C6" s="43" t="s">
        <v>46</v>
      </c>
      <c r="D6" s="43" t="s">
        <v>47</v>
      </c>
      <c r="E6" s="43" t="s">
        <v>48</v>
      </c>
      <c r="F6" s="43" t="s">
        <v>6</v>
      </c>
      <c r="G6" s="46"/>
      <c r="H6" s="46"/>
      <c r="I6" s="46"/>
      <c r="J6" s="44"/>
      <c r="K6" s="43" t="s">
        <v>7</v>
      </c>
      <c r="L6" s="44"/>
      <c r="M6" s="43" t="s">
        <v>8</v>
      </c>
      <c r="N6" s="46"/>
      <c r="O6" s="44"/>
      <c r="P6" s="43" t="s">
        <v>9</v>
      </c>
      <c r="Q6" s="46"/>
      <c r="R6" s="44"/>
      <c r="S6" s="43" t="s">
        <v>10</v>
      </c>
      <c r="T6" s="46"/>
      <c r="U6" s="44"/>
      <c r="V6" s="43" t="s">
        <v>49</v>
      </c>
      <c r="W6" s="43" t="s">
        <v>50</v>
      </c>
    </row>
    <row r="7" spans="1:40" ht="20.100000000000001" customHeight="1" x14ac:dyDescent="0.25">
      <c r="A7" s="45"/>
      <c r="B7" s="45"/>
      <c r="C7" s="45"/>
      <c r="D7" s="45"/>
      <c r="E7" s="4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45"/>
      <c r="W7" s="45"/>
    </row>
    <row r="8" spans="1:40" ht="15.95" customHeight="1" x14ac:dyDescent="0.25">
      <c r="A8" s="59" t="s">
        <v>129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4"/>
      <c r="W8" s="4"/>
    </row>
    <row r="9" spans="1:40" ht="20.100000000000001" customHeight="1" x14ac:dyDescent="0.25">
      <c r="A9" s="18" t="s">
        <v>130</v>
      </c>
      <c r="B9" s="19" t="s">
        <v>53</v>
      </c>
      <c r="C9" s="20">
        <v>0</v>
      </c>
      <c r="D9" s="20">
        <v>0.37470221966700001</v>
      </c>
      <c r="E9" s="20">
        <f>D9-C9</f>
        <v>0.37470221966700001</v>
      </c>
      <c r="F9" s="21"/>
      <c r="G9" s="21" t="s">
        <v>54</v>
      </c>
      <c r="H9" s="21"/>
      <c r="I9" s="21"/>
      <c r="J9" s="21"/>
      <c r="K9" s="21" t="s">
        <v>54</v>
      </c>
      <c r="L9" s="21"/>
      <c r="M9" s="21"/>
      <c r="N9" s="21" t="s">
        <v>54</v>
      </c>
      <c r="O9" s="21"/>
      <c r="P9" s="21"/>
      <c r="Q9" s="21" t="s">
        <v>54</v>
      </c>
      <c r="R9" s="21"/>
      <c r="S9" s="21"/>
      <c r="T9" s="21" t="s">
        <v>54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1" spans="1:40" x14ac:dyDescent="0.25">
      <c r="A11" s="61" t="s">
        <v>62</v>
      </c>
      <c r="B11" s="42"/>
      <c r="C11" s="42"/>
      <c r="D11" s="42"/>
      <c r="E11" s="42"/>
      <c r="G11" s="61" t="s">
        <v>62</v>
      </c>
      <c r="H11" s="42"/>
      <c r="I11" s="42"/>
      <c r="J11" s="42"/>
      <c r="K11" s="42"/>
    </row>
    <row r="12" spans="1:40" x14ac:dyDescent="0.25">
      <c r="A12" s="58" t="s">
        <v>63</v>
      </c>
      <c r="B12" s="42"/>
      <c r="C12" s="42"/>
      <c r="D12" s="42"/>
      <c r="E12" s="42"/>
      <c r="G12" s="58" t="s">
        <v>64</v>
      </c>
      <c r="H12" s="42"/>
      <c r="I12" s="42"/>
      <c r="J12" s="42"/>
      <c r="K12" s="42"/>
    </row>
    <row r="14" spans="1:40" x14ac:dyDescent="0.25">
      <c r="A14" s="64" t="s">
        <v>65</v>
      </c>
      <c r="B14" s="42"/>
      <c r="C14" s="42"/>
      <c r="D14" s="42"/>
      <c r="E14" s="42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40" x14ac:dyDescent="0.25">
      <c r="A15" s="53" t="s">
        <v>66</v>
      </c>
      <c r="B15" s="42"/>
      <c r="C15" s="42"/>
      <c r="D15" s="42"/>
      <c r="E15" s="42"/>
      <c r="F15" s="9">
        <f t="shared" ref="F15:U15" si="1">SUMIF(F$9:F$9,"X",$E$9:$E$9)</f>
        <v>0</v>
      </c>
      <c r="G15" s="9">
        <f t="shared" si="1"/>
        <v>0.37470221966700001</v>
      </c>
      <c r="H15" s="9">
        <f t="shared" si="1"/>
        <v>0</v>
      </c>
      <c r="I15" s="9">
        <f t="shared" si="1"/>
        <v>0</v>
      </c>
      <c r="J15" s="9">
        <f t="shared" si="1"/>
        <v>0</v>
      </c>
      <c r="K15" s="9">
        <f t="shared" si="1"/>
        <v>0.37470221966700001</v>
      </c>
      <c r="L15" s="9">
        <f t="shared" si="1"/>
        <v>0</v>
      </c>
      <c r="M15" s="9">
        <f t="shared" si="1"/>
        <v>0</v>
      </c>
      <c r="N15" s="9">
        <f t="shared" si="1"/>
        <v>0.37470221966700001</v>
      </c>
      <c r="O15" s="9">
        <f t="shared" si="1"/>
        <v>0</v>
      </c>
      <c r="P15" s="9">
        <f t="shared" si="1"/>
        <v>0</v>
      </c>
      <c r="Q15" s="9">
        <f t="shared" si="1"/>
        <v>0.37470221966700001</v>
      </c>
      <c r="R15" s="9">
        <f t="shared" si="1"/>
        <v>0</v>
      </c>
      <c r="S15" s="9">
        <f t="shared" si="1"/>
        <v>0</v>
      </c>
      <c r="T15" s="9">
        <f t="shared" si="1"/>
        <v>0.37470221966700001</v>
      </c>
      <c r="U15" s="9">
        <f t="shared" si="1"/>
        <v>0</v>
      </c>
    </row>
    <row r="16" spans="1:40" x14ac:dyDescent="0.25">
      <c r="A16" s="53" t="s">
        <v>67</v>
      </c>
      <c r="B16" s="42"/>
      <c r="C16" s="42"/>
      <c r="D16" s="42"/>
      <c r="E16" s="42"/>
      <c r="F16" s="25">
        <f t="shared" ref="F16:U16" si="2">IF($R18=0,0,F15/$R18)</f>
        <v>0</v>
      </c>
      <c r="G16" s="25">
        <f t="shared" si="2"/>
        <v>1</v>
      </c>
      <c r="H16" s="25">
        <f t="shared" si="2"/>
        <v>0</v>
      </c>
      <c r="I16" s="25">
        <f t="shared" si="2"/>
        <v>0</v>
      </c>
      <c r="J16" s="25">
        <f t="shared" si="2"/>
        <v>0</v>
      </c>
      <c r="K16" s="25">
        <f t="shared" si="2"/>
        <v>1</v>
      </c>
      <c r="L16" s="25">
        <f t="shared" si="2"/>
        <v>0</v>
      </c>
      <c r="M16" s="25">
        <f t="shared" si="2"/>
        <v>0</v>
      </c>
      <c r="N16" s="25">
        <f t="shared" si="2"/>
        <v>1</v>
      </c>
      <c r="O16" s="25">
        <f t="shared" si="2"/>
        <v>0</v>
      </c>
      <c r="P16" s="25">
        <f t="shared" si="2"/>
        <v>0</v>
      </c>
      <c r="Q16" s="25">
        <f t="shared" si="2"/>
        <v>1</v>
      </c>
      <c r="R16" s="25">
        <f t="shared" si="2"/>
        <v>0</v>
      </c>
      <c r="S16" s="25">
        <f t="shared" si="2"/>
        <v>0</v>
      </c>
      <c r="T16" s="25">
        <f t="shared" si="2"/>
        <v>1</v>
      </c>
      <c r="U16" s="25">
        <f t="shared" si="2"/>
        <v>0</v>
      </c>
    </row>
    <row r="17" spans="1:22" x14ac:dyDescent="0.25">
      <c r="A17" s="53" t="s">
        <v>68</v>
      </c>
      <c r="B17" s="42"/>
      <c r="C17" s="42"/>
      <c r="D17" s="42"/>
      <c r="E17" s="42"/>
      <c r="F17" s="49" t="str">
        <f>IF(SUM(F15:J15)=0,"— não preenchido",IF(ROUND(SUM(F15:J15)-$R18,3)=0,"OK — "&amp;ROUND(SUM(F15:J15),3)&amp;" km","ERRO — dif. de "&amp;ROUND(SUM(F15:J15)-$R18,3)&amp;" km"))</f>
        <v>OK — 0,375 km</v>
      </c>
      <c r="G17" s="46"/>
      <c r="H17" s="46"/>
      <c r="I17" s="46"/>
      <c r="J17" s="44"/>
      <c r="K17" s="49" t="str">
        <f>IF(SUM(K15:L15)=0,"— não preenchido",IF(ROUND(SUM(K15:L15)-$R18,3)=0,"OK — "&amp;ROUND(SUM(K15:L15),3)&amp;" km","ERRO — dif. de "&amp;ROUND(SUM(K15:L15)-$R18,3)&amp;" km"))</f>
        <v>OK — 0,375 km</v>
      </c>
      <c r="L17" s="44"/>
      <c r="M17" s="49" t="str">
        <f>IF(SUM(M15:O15)=0,"— não preenchido",IF(ROUND(SUM(M15:O15)-$R18,3)=0,"OK — "&amp;ROUND(SUM(M15:O15),3)&amp;" km","ERRO — dif. de "&amp;ROUND(SUM(M15:O15)-$R18,3)&amp;" km"))</f>
        <v>OK — 0,375 km</v>
      </c>
      <c r="N17" s="46"/>
      <c r="O17" s="44"/>
      <c r="P17" s="49" t="str">
        <f>IF(SUM(P15:R15)=0,"— não preenchido",IF(ROUND(SUM(P15:R15)-$R18,3)=0,"OK — "&amp;ROUND(SUM(P15:R15),3)&amp;" km","ERRO — dif. de "&amp;ROUND(SUM(P15:R15)-$R18,3)&amp;" km"))</f>
        <v>OK — 0,375 km</v>
      </c>
      <c r="Q17" s="46"/>
      <c r="R17" s="44"/>
      <c r="S17" s="49" t="str">
        <f>IF(SUM(S15:U15)=0,"— não preenchido",IF(ROUND(SUM(S15:U15)-$R18,3)=0,"OK — "&amp;ROUND(SUM(S15:U15),3)&amp;" km","ERRO — dif. de "&amp;ROUND(SUM(S15:U15)-$R18,3)&amp;" km"))</f>
        <v>OK — 0,375 km</v>
      </c>
      <c r="T17" s="46"/>
      <c r="U17" s="44"/>
    </row>
    <row r="18" spans="1:22" x14ac:dyDescent="0.25">
      <c r="A18" s="53" t="s">
        <v>69</v>
      </c>
      <c r="B18" s="42"/>
      <c r="C18" s="42"/>
      <c r="D18" s="42"/>
      <c r="E18" s="42"/>
      <c r="R18" s="26">
        <f>SUM(E9:E9)</f>
        <v>0.37470221966700001</v>
      </c>
      <c r="V18" s="8" t="str">
        <f>COUNTIF(W9:W9,"OK")&amp;" de "&amp;COUNT($E$9:$E$9)&amp;" linhas conferidas"</f>
        <v>1 de 1 linhas conferidas</v>
      </c>
    </row>
    <row r="20" spans="1:22" x14ac:dyDescent="0.25">
      <c r="A20" s="62" t="s">
        <v>70</v>
      </c>
      <c r="B20" s="42"/>
      <c r="C20" s="42"/>
      <c r="D20" s="42"/>
      <c r="E20" s="42"/>
    </row>
    <row r="21" spans="1:22" x14ac:dyDescent="0.25">
      <c r="A21" s="53" t="s">
        <v>71</v>
      </c>
      <c r="B21" s="42"/>
      <c r="C21" s="42"/>
      <c r="D21" s="42"/>
      <c r="E21" s="48" t="s">
        <v>72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x14ac:dyDescent="0.25">
      <c r="A22" s="53" t="s">
        <v>73</v>
      </c>
      <c r="B22" s="42"/>
      <c r="C22" s="42"/>
      <c r="D22" s="42"/>
      <c r="E22" s="48" t="s">
        <v>74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x14ac:dyDescent="0.25">
      <c r="A23" s="53" t="s">
        <v>75</v>
      </c>
      <c r="B23" s="42"/>
      <c r="C23" s="42"/>
      <c r="D23" s="42"/>
      <c r="E23" s="48" t="s">
        <v>76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x14ac:dyDescent="0.25">
      <c r="A24" s="53" t="s">
        <v>77</v>
      </c>
      <c r="B24" s="42"/>
      <c r="C24" s="42"/>
      <c r="D24" s="42"/>
      <c r="E24" s="48" t="s">
        <v>78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x14ac:dyDescent="0.25">
      <c r="A25" s="53" t="s">
        <v>79</v>
      </c>
      <c r="B25" s="42"/>
      <c r="C25" s="42"/>
      <c r="D25" s="42"/>
      <c r="E25" s="48" t="s">
        <v>80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x14ac:dyDescent="0.25">
      <c r="A26" s="53" t="s">
        <v>45</v>
      </c>
      <c r="B26" s="42"/>
      <c r="C26" s="42"/>
      <c r="D26" s="42"/>
      <c r="E26" s="48" t="s">
        <v>81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x14ac:dyDescent="0.25">
      <c r="A27" s="53" t="s">
        <v>82</v>
      </c>
      <c r="B27" s="42"/>
      <c r="C27" s="42"/>
      <c r="D27" s="42"/>
      <c r="E27" s="48" t="s">
        <v>83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x14ac:dyDescent="0.25">
      <c r="A28" s="53" t="s">
        <v>84</v>
      </c>
      <c r="B28" s="42"/>
      <c r="C28" s="42"/>
      <c r="D28" s="42"/>
      <c r="E28" s="48" t="s">
        <v>85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x14ac:dyDescent="0.25">
      <c r="A29" s="53" t="s">
        <v>11</v>
      </c>
      <c r="B29" s="42"/>
      <c r="C29" s="42"/>
      <c r="D29" s="42"/>
      <c r="E29" s="48" t="s">
        <v>86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</row>
  </sheetData>
  <sheetProtection formatCells="0"/>
  <mergeCells count="57">
    <mergeCell ref="E29:V29"/>
    <mergeCell ref="G12:K12"/>
    <mergeCell ref="G2:H2"/>
    <mergeCell ref="A15:E15"/>
    <mergeCell ref="A22:D22"/>
    <mergeCell ref="I2:J2"/>
    <mergeCell ref="E23:V23"/>
    <mergeCell ref="A8:V8"/>
    <mergeCell ref="A11:E11"/>
    <mergeCell ref="G11:K11"/>
    <mergeCell ref="E28:V28"/>
    <mergeCell ref="A29:D29"/>
    <mergeCell ref="P17:R17"/>
    <mergeCell ref="A6:A7"/>
    <mergeCell ref="F6:J6"/>
    <mergeCell ref="A28:D28"/>
    <mergeCell ref="N2:O2"/>
    <mergeCell ref="E27:V27"/>
    <mergeCell ref="P2:Q2"/>
    <mergeCell ref="A27:D27"/>
    <mergeCell ref="A23:D23"/>
    <mergeCell ref="A4:V4"/>
    <mergeCell ref="V6:V7"/>
    <mergeCell ref="A2:F2"/>
    <mergeCell ref="S6:U6"/>
    <mergeCell ref="K2:M2"/>
    <mergeCell ref="W6:W7"/>
    <mergeCell ref="M17:O17"/>
    <mergeCell ref="E6:E7"/>
    <mergeCell ref="A24:D24"/>
    <mergeCell ref="E26:V26"/>
    <mergeCell ref="B6:B7"/>
    <mergeCell ref="A18:E18"/>
    <mergeCell ref="F17:J17"/>
    <mergeCell ref="A12:E12"/>
    <mergeCell ref="E25:V25"/>
    <mergeCell ref="A26:D26"/>
    <mergeCell ref="D6:D7"/>
    <mergeCell ref="P6:R6"/>
    <mergeCell ref="M6:O6"/>
    <mergeCell ref="A16:E16"/>
    <mergeCell ref="A1:V1"/>
    <mergeCell ref="T3:V3"/>
    <mergeCell ref="E22:V22"/>
    <mergeCell ref="A25:D25"/>
    <mergeCell ref="A14:E14"/>
    <mergeCell ref="A17:E17"/>
    <mergeCell ref="K17:L17"/>
    <mergeCell ref="E21:V21"/>
    <mergeCell ref="A20:E20"/>
    <mergeCell ref="A21:D21"/>
    <mergeCell ref="E24:V24"/>
    <mergeCell ref="R2:V2"/>
    <mergeCell ref="A3:S3"/>
    <mergeCell ref="C6:C7"/>
    <mergeCell ref="S17:U17"/>
    <mergeCell ref="K6:L6"/>
  </mergeCells>
  <conditionalFormatting sqref="F9:J9">
    <cfRule type="expression" dxfId="45" priority="1">
      <formula>AND(F9&lt;&gt;"",COUNTIF($F9:$J9,"X")&gt;1)</formula>
    </cfRule>
  </conditionalFormatting>
  <conditionalFormatting sqref="F17:U17">
    <cfRule type="expression" dxfId="44" priority="8">
      <formula>LEFT(F17,4)="ERRO"</formula>
    </cfRule>
    <cfRule type="expression" dxfId="43" priority="9">
      <formula>LEFT(F17,2)="OK"</formula>
    </cfRule>
  </conditionalFormatting>
  <conditionalFormatting sqref="K9:L9">
    <cfRule type="expression" dxfId="42" priority="2">
      <formula>AND(K9&lt;&gt;"",COUNTIF($K9:$L9,"X")&gt;1)</formula>
    </cfRule>
  </conditionalFormatting>
  <conditionalFormatting sqref="M9:O9">
    <cfRule type="expression" dxfId="41" priority="3">
      <formula>AND(M9&lt;&gt;"",COUNTIF($M9:$O9,"X")&gt;1)</formula>
    </cfRule>
  </conditionalFormatting>
  <conditionalFormatting sqref="P9:R9">
    <cfRule type="expression" dxfId="40" priority="4">
      <formula>AND(P9&lt;&gt;"",COUNTIF($P9:$R9,"X")&gt;1)</formula>
    </cfRule>
  </conditionalFormatting>
  <conditionalFormatting sqref="S9:U9">
    <cfRule type="expression" dxfId="39" priority="5">
      <formula>AND(S9&lt;&gt;"",COUNTIF($S9:$U9,"X")&gt;1)</formula>
    </cfRule>
  </conditionalFormatting>
  <conditionalFormatting sqref="W9">
    <cfRule type="expression" dxfId="38" priority="6">
      <formula>AND(W9&lt;&gt;"OK",W9&lt;&gt;"")</formula>
    </cfRule>
    <cfRule type="expression" dxfId="3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9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9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9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9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9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214</oddHeader>
    <oddFooter>&amp;L&amp;7 RTA / MSI — Programa de Manutenção Rodoviária&amp;C&amp;7 Página &amp;P de &amp;N&amp;R&amp;7 Impresso em &amp;D</oddFooter>
  </headerFooter>
  <rowBreaks count="1" manualBreakCount="1">
    <brk id="12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N144"/>
  <sheetViews>
    <sheetView showGridLines="0" workbookViewId="0">
      <pane xSplit="5" ySplit="7" topLeftCell="F117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1" t="s">
        <v>36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Y1" s="1" t="s">
        <v>1</v>
      </c>
    </row>
    <row r="2" spans="1:40" ht="17.100000000000001" customHeight="1" x14ac:dyDescent="0.25">
      <c r="A2" s="54" t="s">
        <v>37</v>
      </c>
      <c r="B2" s="42"/>
      <c r="C2" s="42"/>
      <c r="D2" s="42"/>
      <c r="E2" s="42"/>
      <c r="F2" s="42"/>
      <c r="G2" s="50" t="s">
        <v>38</v>
      </c>
      <c r="H2" s="42"/>
      <c r="I2" s="51">
        <v>46266</v>
      </c>
      <c r="J2" s="52"/>
      <c r="K2" s="50" t="s">
        <v>39</v>
      </c>
      <c r="L2" s="42"/>
      <c r="M2" s="42"/>
      <c r="N2" s="55"/>
      <c r="O2" s="52"/>
      <c r="P2" s="50" t="s">
        <v>40</v>
      </c>
      <c r="Q2" s="42"/>
      <c r="R2" s="56" t="s">
        <v>154</v>
      </c>
      <c r="S2" s="57"/>
      <c r="T2" s="57"/>
      <c r="U2" s="57"/>
      <c r="V2" s="52"/>
      <c r="Y2" s="2">
        <f t="shared" ref="Y2:AN2" si="0">IF(F130=0,NA(),F130)</f>
        <v>112.30914418946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112.30914418946</v>
      </c>
      <c r="AE2" s="2" t="e">
        <f t="shared" si="0"/>
        <v>#N/A</v>
      </c>
      <c r="AF2" s="2" t="e">
        <f t="shared" si="0"/>
        <v>#N/A</v>
      </c>
      <c r="AG2" s="2">
        <f t="shared" si="0"/>
        <v>112.30914418946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112.30914418946</v>
      </c>
      <c r="AL2" s="2" t="e">
        <f t="shared" si="0"/>
        <v>#N/A</v>
      </c>
      <c r="AM2" s="2">
        <f t="shared" si="0"/>
        <v>95.248502135300001</v>
      </c>
      <c r="AN2" s="2">
        <f t="shared" si="0"/>
        <v>17.060642054159999</v>
      </c>
    </row>
    <row r="3" spans="1:40" ht="15" customHeight="1" x14ac:dyDescent="0.25">
      <c r="A3" s="63" t="s">
        <v>131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50" t="s">
        <v>132</v>
      </c>
      <c r="U3" s="42"/>
      <c r="V3" s="42"/>
    </row>
    <row r="4" spans="1:40" ht="20.100000000000001" customHeight="1" x14ac:dyDescent="0.25">
      <c r="A4" s="47" t="s">
        <v>43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6" spans="1:40" ht="21.95" customHeight="1" x14ac:dyDescent="0.25">
      <c r="A6" s="43" t="s">
        <v>44</v>
      </c>
      <c r="B6" s="43" t="s">
        <v>45</v>
      </c>
      <c r="C6" s="43" t="s">
        <v>46</v>
      </c>
      <c r="D6" s="43" t="s">
        <v>47</v>
      </c>
      <c r="E6" s="43" t="s">
        <v>48</v>
      </c>
      <c r="F6" s="43" t="s">
        <v>6</v>
      </c>
      <c r="G6" s="46"/>
      <c r="H6" s="46"/>
      <c r="I6" s="46"/>
      <c r="J6" s="44"/>
      <c r="K6" s="43" t="s">
        <v>7</v>
      </c>
      <c r="L6" s="44"/>
      <c r="M6" s="43" t="s">
        <v>8</v>
      </c>
      <c r="N6" s="46"/>
      <c r="O6" s="44"/>
      <c r="P6" s="43" t="s">
        <v>9</v>
      </c>
      <c r="Q6" s="46"/>
      <c r="R6" s="44"/>
      <c r="S6" s="43" t="s">
        <v>10</v>
      </c>
      <c r="T6" s="46"/>
      <c r="U6" s="44"/>
      <c r="V6" s="43" t="s">
        <v>49</v>
      </c>
      <c r="W6" s="43" t="s">
        <v>50</v>
      </c>
    </row>
    <row r="7" spans="1:40" ht="20.100000000000001" customHeight="1" x14ac:dyDescent="0.25">
      <c r="A7" s="45"/>
      <c r="B7" s="45"/>
      <c r="C7" s="45"/>
      <c r="D7" s="45"/>
      <c r="E7" s="4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45"/>
      <c r="W7" s="45"/>
    </row>
    <row r="8" spans="1:40" ht="15.95" customHeight="1" x14ac:dyDescent="0.25">
      <c r="A8" s="59" t="s">
        <v>133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4"/>
      <c r="W8" s="4"/>
    </row>
    <row r="9" spans="1:40" ht="20.100000000000001" customHeight="1" x14ac:dyDescent="0.25">
      <c r="A9" s="12" t="s">
        <v>134</v>
      </c>
      <c r="B9" s="13" t="s">
        <v>53</v>
      </c>
      <c r="C9" s="14">
        <v>0</v>
      </c>
      <c r="D9" s="14">
        <v>1</v>
      </c>
      <c r="E9" s="14">
        <f t="shared" ref="E9:E40" si="1">D9-C9</f>
        <v>1</v>
      </c>
      <c r="F9" s="15" t="s">
        <v>54</v>
      </c>
      <c r="G9" s="15"/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/>
      <c r="R9" s="15" t="s">
        <v>54</v>
      </c>
      <c r="S9" s="15"/>
      <c r="T9" s="15" t="s">
        <v>54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134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 t="s">
        <v>54</v>
      </c>
      <c r="G10" s="15"/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/>
      <c r="R10" s="15" t="s">
        <v>54</v>
      </c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134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 t="s">
        <v>54</v>
      </c>
      <c r="G11" s="15"/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/>
      <c r="R11" s="15" t="s">
        <v>54</v>
      </c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134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 t="s">
        <v>54</v>
      </c>
      <c r="G12" s="15"/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/>
      <c r="R12" s="15" t="s">
        <v>54</v>
      </c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134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 t="s">
        <v>54</v>
      </c>
      <c r="G13" s="15"/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/>
      <c r="R13" s="15" t="s">
        <v>54</v>
      </c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134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 t="s">
        <v>54</v>
      </c>
      <c r="G14" s="15"/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/>
      <c r="R14" s="15" t="s">
        <v>54</v>
      </c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134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 t="s">
        <v>54</v>
      </c>
      <c r="G15" s="15"/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/>
      <c r="R15" s="15" t="s">
        <v>54</v>
      </c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134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 t="s">
        <v>54</v>
      </c>
      <c r="G16" s="15"/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/>
      <c r="R16" s="15" t="s">
        <v>54</v>
      </c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134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 t="s">
        <v>54</v>
      </c>
      <c r="G17" s="15"/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/>
      <c r="R17" s="15" t="s">
        <v>54</v>
      </c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134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 t="s">
        <v>54</v>
      </c>
      <c r="G18" s="15"/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/>
      <c r="R18" s="15" t="s">
        <v>54</v>
      </c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134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 t="s">
        <v>54</v>
      </c>
      <c r="G19" s="15"/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/>
      <c r="R19" s="15" t="s">
        <v>54</v>
      </c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134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 t="s">
        <v>54</v>
      </c>
      <c r="G20" s="15"/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/>
      <c r="R20" s="15" t="s">
        <v>54</v>
      </c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134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 t="s">
        <v>54</v>
      </c>
      <c r="G21" s="15"/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/>
      <c r="R21" s="15" t="s">
        <v>54</v>
      </c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134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 t="s">
        <v>54</v>
      </c>
      <c r="G22" s="15"/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/>
      <c r="R22" s="15" t="s">
        <v>54</v>
      </c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134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 t="s">
        <v>54</v>
      </c>
      <c r="G23" s="15"/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/>
      <c r="R23" s="15" t="s">
        <v>54</v>
      </c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134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 t="s">
        <v>54</v>
      </c>
      <c r="G24" s="15"/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/>
      <c r="R24" s="15" t="s">
        <v>54</v>
      </c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134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 t="s">
        <v>54</v>
      </c>
      <c r="G25" s="15"/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/>
      <c r="R25" s="15" t="s">
        <v>54</v>
      </c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134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 t="s">
        <v>54</v>
      </c>
      <c r="G26" s="15"/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/>
      <c r="R26" s="15" t="s">
        <v>54</v>
      </c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134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 t="s">
        <v>54</v>
      </c>
      <c r="G27" s="15"/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/>
      <c r="R27" s="15" t="s">
        <v>54</v>
      </c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134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 t="s">
        <v>54</v>
      </c>
      <c r="G28" s="15"/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/>
      <c r="R28" s="15" t="s">
        <v>54</v>
      </c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134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 t="s">
        <v>54</v>
      </c>
      <c r="G29" s="15"/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/>
      <c r="R29" s="15" t="s">
        <v>54</v>
      </c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134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 t="s">
        <v>54</v>
      </c>
      <c r="G30" s="15"/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/>
      <c r="R30" s="15" t="s">
        <v>54</v>
      </c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134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 t="s">
        <v>54</v>
      </c>
      <c r="G31" s="15"/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/>
      <c r="R31" s="15" t="s">
        <v>54</v>
      </c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134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 t="s">
        <v>54</v>
      </c>
      <c r="G32" s="15"/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/>
      <c r="R32" s="15" t="s">
        <v>54</v>
      </c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134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 t="s">
        <v>54</v>
      </c>
      <c r="G33" s="15"/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/>
      <c r="R33" s="15" t="s">
        <v>54</v>
      </c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134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 t="s">
        <v>54</v>
      </c>
      <c r="G34" s="15"/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/>
      <c r="R34" s="15" t="s">
        <v>54</v>
      </c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134</v>
      </c>
      <c r="B35" s="13" t="s">
        <v>53</v>
      </c>
      <c r="C35" s="14">
        <v>26</v>
      </c>
      <c r="D35" s="14">
        <v>27</v>
      </c>
      <c r="E35" s="14">
        <f t="shared" si="1"/>
        <v>1</v>
      </c>
      <c r="F35" s="15" t="s">
        <v>54</v>
      </c>
      <c r="G35" s="15"/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/>
      <c r="Q35" s="15"/>
      <c r="R35" s="15" t="s">
        <v>54</v>
      </c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134</v>
      </c>
      <c r="B36" s="13" t="s">
        <v>53</v>
      </c>
      <c r="C36" s="14">
        <v>27</v>
      </c>
      <c r="D36" s="14">
        <v>28</v>
      </c>
      <c r="E36" s="14">
        <f t="shared" si="1"/>
        <v>1</v>
      </c>
      <c r="F36" s="15" t="s">
        <v>54</v>
      </c>
      <c r="G36" s="15"/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/>
      <c r="R36" s="15" t="s">
        <v>54</v>
      </c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134</v>
      </c>
      <c r="B37" s="13" t="s">
        <v>53</v>
      </c>
      <c r="C37" s="14">
        <v>28</v>
      </c>
      <c r="D37" s="14">
        <v>29</v>
      </c>
      <c r="E37" s="14">
        <f t="shared" si="1"/>
        <v>1</v>
      </c>
      <c r="F37" s="15" t="s">
        <v>54</v>
      </c>
      <c r="G37" s="15"/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/>
      <c r="R37" s="15" t="s">
        <v>54</v>
      </c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134</v>
      </c>
      <c r="B38" s="13" t="s">
        <v>53</v>
      </c>
      <c r="C38" s="14">
        <v>29</v>
      </c>
      <c r="D38" s="14">
        <v>30</v>
      </c>
      <c r="E38" s="14">
        <f t="shared" si="1"/>
        <v>1</v>
      </c>
      <c r="F38" s="15" t="s">
        <v>54</v>
      </c>
      <c r="G38" s="15"/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/>
      <c r="R38" s="15" t="s">
        <v>54</v>
      </c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134</v>
      </c>
      <c r="B39" s="13" t="s">
        <v>53</v>
      </c>
      <c r="C39" s="14">
        <v>30</v>
      </c>
      <c r="D39" s="14">
        <v>31</v>
      </c>
      <c r="E39" s="14">
        <f t="shared" si="1"/>
        <v>1</v>
      </c>
      <c r="F39" s="15" t="s">
        <v>54</v>
      </c>
      <c r="G39" s="15"/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/>
      <c r="R39" s="15" t="s">
        <v>54</v>
      </c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134</v>
      </c>
      <c r="B40" s="13" t="s">
        <v>53</v>
      </c>
      <c r="C40" s="14">
        <v>31</v>
      </c>
      <c r="D40" s="14">
        <v>32</v>
      </c>
      <c r="E40" s="14">
        <f t="shared" si="1"/>
        <v>1</v>
      </c>
      <c r="F40" s="15" t="s">
        <v>54</v>
      </c>
      <c r="G40" s="15"/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/>
      <c r="R40" s="15" t="s">
        <v>54</v>
      </c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134</v>
      </c>
      <c r="B41" s="13" t="s">
        <v>53</v>
      </c>
      <c r="C41" s="14">
        <v>32</v>
      </c>
      <c r="D41" s="14">
        <v>33</v>
      </c>
      <c r="E41" s="14">
        <f t="shared" ref="E41:E72" si="3">D41-C41</f>
        <v>1</v>
      </c>
      <c r="F41" s="15" t="s">
        <v>54</v>
      </c>
      <c r="G41" s="15"/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/>
      <c r="R41" s="15" t="s">
        <v>54</v>
      </c>
      <c r="S41" s="15"/>
      <c r="T41" s="15" t="s">
        <v>54</v>
      </c>
      <c r="U41" s="15"/>
      <c r="V41" s="16"/>
      <c r="W41" s="17" t="str">
        <f t="shared" ref="W41:W72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134</v>
      </c>
      <c r="B42" s="13" t="s">
        <v>53</v>
      </c>
      <c r="C42" s="14">
        <v>33</v>
      </c>
      <c r="D42" s="14">
        <v>34</v>
      </c>
      <c r="E42" s="14">
        <f t="shared" si="3"/>
        <v>1</v>
      </c>
      <c r="F42" s="15" t="s">
        <v>54</v>
      </c>
      <c r="G42" s="15"/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/>
      <c r="R42" s="15" t="s">
        <v>54</v>
      </c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134</v>
      </c>
      <c r="B43" s="13" t="s">
        <v>53</v>
      </c>
      <c r="C43" s="14">
        <v>34</v>
      </c>
      <c r="D43" s="14">
        <v>35</v>
      </c>
      <c r="E43" s="14">
        <f t="shared" si="3"/>
        <v>1</v>
      </c>
      <c r="F43" s="15" t="s">
        <v>54</v>
      </c>
      <c r="G43" s="15"/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/>
      <c r="R43" s="15" t="s">
        <v>54</v>
      </c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134</v>
      </c>
      <c r="B44" s="13" t="s">
        <v>53</v>
      </c>
      <c r="C44" s="14">
        <v>35</v>
      </c>
      <c r="D44" s="14">
        <v>36</v>
      </c>
      <c r="E44" s="14">
        <f t="shared" si="3"/>
        <v>1</v>
      </c>
      <c r="F44" s="15" t="s">
        <v>54</v>
      </c>
      <c r="G44" s="15"/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/>
      <c r="R44" s="15" t="s">
        <v>54</v>
      </c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134</v>
      </c>
      <c r="B45" s="13" t="s">
        <v>53</v>
      </c>
      <c r="C45" s="14">
        <v>36</v>
      </c>
      <c r="D45" s="14">
        <v>37</v>
      </c>
      <c r="E45" s="14">
        <f t="shared" si="3"/>
        <v>1</v>
      </c>
      <c r="F45" s="15" t="s">
        <v>54</v>
      </c>
      <c r="G45" s="15"/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/>
      <c r="R45" s="15" t="s">
        <v>54</v>
      </c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134</v>
      </c>
      <c r="B46" s="13" t="s">
        <v>53</v>
      </c>
      <c r="C46" s="14">
        <v>37</v>
      </c>
      <c r="D46" s="14">
        <v>38</v>
      </c>
      <c r="E46" s="14">
        <f t="shared" si="3"/>
        <v>1</v>
      </c>
      <c r="F46" s="15" t="s">
        <v>54</v>
      </c>
      <c r="G46" s="15"/>
      <c r="H46" s="15"/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/>
      <c r="R46" s="15" t="s">
        <v>54</v>
      </c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134</v>
      </c>
      <c r="B47" s="13" t="s">
        <v>53</v>
      </c>
      <c r="C47" s="14">
        <v>38</v>
      </c>
      <c r="D47" s="14">
        <v>39</v>
      </c>
      <c r="E47" s="14">
        <f t="shared" si="3"/>
        <v>1</v>
      </c>
      <c r="F47" s="15" t="s">
        <v>54</v>
      </c>
      <c r="G47" s="15"/>
      <c r="H47" s="15"/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/>
      <c r="R47" s="15" t="s">
        <v>54</v>
      </c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134</v>
      </c>
      <c r="B48" s="13" t="s">
        <v>53</v>
      </c>
      <c r="C48" s="14">
        <v>39</v>
      </c>
      <c r="D48" s="14">
        <v>40</v>
      </c>
      <c r="E48" s="14">
        <f t="shared" si="3"/>
        <v>1</v>
      </c>
      <c r="F48" s="15" t="s">
        <v>54</v>
      </c>
      <c r="G48" s="15"/>
      <c r="H48" s="15"/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/>
      <c r="R48" s="15" t="s">
        <v>54</v>
      </c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134</v>
      </c>
      <c r="B49" s="13" t="s">
        <v>53</v>
      </c>
      <c r="C49" s="14">
        <v>40</v>
      </c>
      <c r="D49" s="14">
        <v>41</v>
      </c>
      <c r="E49" s="14">
        <f t="shared" si="3"/>
        <v>1</v>
      </c>
      <c r="F49" s="15" t="s">
        <v>54</v>
      </c>
      <c r="G49" s="15"/>
      <c r="H49" s="15"/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/>
      <c r="R49" s="15" t="s">
        <v>54</v>
      </c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134</v>
      </c>
      <c r="B50" s="13" t="s">
        <v>53</v>
      </c>
      <c r="C50" s="14">
        <v>41</v>
      </c>
      <c r="D50" s="14">
        <v>42</v>
      </c>
      <c r="E50" s="14">
        <f t="shared" si="3"/>
        <v>1</v>
      </c>
      <c r="F50" s="15" t="s">
        <v>54</v>
      </c>
      <c r="G50" s="15"/>
      <c r="H50" s="15"/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/>
      <c r="R50" s="15" t="s">
        <v>54</v>
      </c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134</v>
      </c>
      <c r="B51" s="13" t="s">
        <v>53</v>
      </c>
      <c r="C51" s="14">
        <v>42</v>
      </c>
      <c r="D51" s="14">
        <v>43</v>
      </c>
      <c r="E51" s="14">
        <f t="shared" si="3"/>
        <v>1</v>
      </c>
      <c r="F51" s="15" t="s">
        <v>54</v>
      </c>
      <c r="G51" s="15"/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/>
      <c r="R51" s="15" t="s">
        <v>54</v>
      </c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134</v>
      </c>
      <c r="B52" s="13" t="s">
        <v>53</v>
      </c>
      <c r="C52" s="14">
        <v>43</v>
      </c>
      <c r="D52" s="14">
        <v>44</v>
      </c>
      <c r="E52" s="14">
        <f t="shared" si="3"/>
        <v>1</v>
      </c>
      <c r="F52" s="15" t="s">
        <v>54</v>
      </c>
      <c r="G52" s="15"/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/>
      <c r="R52" s="15" t="s">
        <v>54</v>
      </c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134</v>
      </c>
      <c r="B53" s="13" t="s">
        <v>53</v>
      </c>
      <c r="C53" s="14">
        <v>44</v>
      </c>
      <c r="D53" s="14">
        <v>45</v>
      </c>
      <c r="E53" s="14">
        <f t="shared" si="3"/>
        <v>1</v>
      </c>
      <c r="F53" s="15" t="s">
        <v>54</v>
      </c>
      <c r="G53" s="15"/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/>
      <c r="R53" s="15" t="s">
        <v>54</v>
      </c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134</v>
      </c>
      <c r="B54" s="13" t="s">
        <v>53</v>
      </c>
      <c r="C54" s="14">
        <v>45</v>
      </c>
      <c r="D54" s="14">
        <v>46</v>
      </c>
      <c r="E54" s="14">
        <f t="shared" si="3"/>
        <v>1</v>
      </c>
      <c r="F54" s="15" t="s">
        <v>54</v>
      </c>
      <c r="G54" s="15"/>
      <c r="H54" s="15"/>
      <c r="I54" s="15"/>
      <c r="J54" s="15"/>
      <c r="K54" s="15" t="s">
        <v>54</v>
      </c>
      <c r="L54" s="15"/>
      <c r="M54" s="15"/>
      <c r="N54" s="15" t="s">
        <v>54</v>
      </c>
      <c r="O54" s="15"/>
      <c r="P54" s="15"/>
      <c r="Q54" s="15"/>
      <c r="R54" s="15" t="s">
        <v>54</v>
      </c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134</v>
      </c>
      <c r="B55" s="13" t="s">
        <v>53</v>
      </c>
      <c r="C55" s="14">
        <v>46</v>
      </c>
      <c r="D55" s="14">
        <v>47</v>
      </c>
      <c r="E55" s="14">
        <f t="shared" si="3"/>
        <v>1</v>
      </c>
      <c r="F55" s="15" t="s">
        <v>54</v>
      </c>
      <c r="G55" s="15"/>
      <c r="H55" s="15"/>
      <c r="I55" s="15"/>
      <c r="J55" s="15"/>
      <c r="K55" s="15" t="s">
        <v>54</v>
      </c>
      <c r="L55" s="15"/>
      <c r="M55" s="15"/>
      <c r="N55" s="15" t="s">
        <v>54</v>
      </c>
      <c r="O55" s="15"/>
      <c r="P55" s="15"/>
      <c r="Q55" s="15"/>
      <c r="R55" s="15" t="s">
        <v>54</v>
      </c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134</v>
      </c>
      <c r="B56" s="13" t="s">
        <v>53</v>
      </c>
      <c r="C56" s="14">
        <v>47</v>
      </c>
      <c r="D56" s="14">
        <v>48</v>
      </c>
      <c r="E56" s="14">
        <f t="shared" si="3"/>
        <v>1</v>
      </c>
      <c r="F56" s="15" t="s">
        <v>54</v>
      </c>
      <c r="G56" s="15"/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/>
      <c r="Q56" s="15"/>
      <c r="R56" s="15" t="s">
        <v>54</v>
      </c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134</v>
      </c>
      <c r="B57" s="13" t="s">
        <v>53</v>
      </c>
      <c r="C57" s="14">
        <v>48</v>
      </c>
      <c r="D57" s="14">
        <v>49</v>
      </c>
      <c r="E57" s="14">
        <f t="shared" si="3"/>
        <v>1</v>
      </c>
      <c r="F57" s="15" t="s">
        <v>54</v>
      </c>
      <c r="G57" s="15"/>
      <c r="H57" s="15"/>
      <c r="I57" s="15"/>
      <c r="J57" s="15"/>
      <c r="K57" s="15" t="s">
        <v>54</v>
      </c>
      <c r="L57" s="15"/>
      <c r="M57" s="15"/>
      <c r="N57" s="15" t="s">
        <v>54</v>
      </c>
      <c r="O57" s="15"/>
      <c r="P57" s="15"/>
      <c r="Q57" s="15"/>
      <c r="R57" s="15" t="s">
        <v>54</v>
      </c>
      <c r="S57" s="15"/>
      <c r="T57" s="15" t="s">
        <v>54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134</v>
      </c>
      <c r="B58" s="13" t="s">
        <v>53</v>
      </c>
      <c r="C58" s="14">
        <v>49</v>
      </c>
      <c r="D58" s="14">
        <v>50</v>
      </c>
      <c r="E58" s="14">
        <f t="shared" si="3"/>
        <v>1</v>
      </c>
      <c r="F58" s="15" t="s">
        <v>54</v>
      </c>
      <c r="G58" s="15"/>
      <c r="H58" s="15"/>
      <c r="I58" s="15"/>
      <c r="J58" s="15"/>
      <c r="K58" s="15" t="s">
        <v>54</v>
      </c>
      <c r="L58" s="15"/>
      <c r="M58" s="15"/>
      <c r="N58" s="15" t="s">
        <v>54</v>
      </c>
      <c r="O58" s="15"/>
      <c r="P58" s="15"/>
      <c r="Q58" s="15"/>
      <c r="R58" s="15" t="s">
        <v>54</v>
      </c>
      <c r="S58" s="15"/>
      <c r="T58" s="15" t="s">
        <v>54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134</v>
      </c>
      <c r="B59" s="13" t="s">
        <v>53</v>
      </c>
      <c r="C59" s="14">
        <v>50</v>
      </c>
      <c r="D59" s="14">
        <v>51</v>
      </c>
      <c r="E59" s="14">
        <f t="shared" si="3"/>
        <v>1</v>
      </c>
      <c r="F59" s="15" t="s">
        <v>54</v>
      </c>
      <c r="G59" s="15"/>
      <c r="H59" s="15"/>
      <c r="I59" s="15"/>
      <c r="J59" s="15"/>
      <c r="K59" s="15" t="s">
        <v>54</v>
      </c>
      <c r="L59" s="15"/>
      <c r="M59" s="15"/>
      <c r="N59" s="15" t="s">
        <v>54</v>
      </c>
      <c r="O59" s="15"/>
      <c r="P59" s="15"/>
      <c r="Q59" s="15"/>
      <c r="R59" s="15" t="s">
        <v>54</v>
      </c>
      <c r="S59" s="15"/>
      <c r="T59" s="15" t="s">
        <v>54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134</v>
      </c>
      <c r="B60" s="13" t="s">
        <v>53</v>
      </c>
      <c r="C60" s="14">
        <v>51</v>
      </c>
      <c r="D60" s="14">
        <v>52</v>
      </c>
      <c r="E60" s="14">
        <f t="shared" si="3"/>
        <v>1</v>
      </c>
      <c r="F60" s="15" t="s">
        <v>54</v>
      </c>
      <c r="G60" s="15"/>
      <c r="H60" s="15"/>
      <c r="I60" s="15"/>
      <c r="J60" s="15"/>
      <c r="K60" s="15" t="s">
        <v>54</v>
      </c>
      <c r="L60" s="15"/>
      <c r="M60" s="15"/>
      <c r="N60" s="15" t="s">
        <v>54</v>
      </c>
      <c r="O60" s="15"/>
      <c r="P60" s="15"/>
      <c r="Q60" s="15"/>
      <c r="R60" s="15" t="s">
        <v>54</v>
      </c>
      <c r="S60" s="15"/>
      <c r="T60" s="15" t="s">
        <v>54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134</v>
      </c>
      <c r="B61" s="13" t="s">
        <v>53</v>
      </c>
      <c r="C61" s="14">
        <v>52</v>
      </c>
      <c r="D61" s="14">
        <v>53</v>
      </c>
      <c r="E61" s="14">
        <f t="shared" si="3"/>
        <v>1</v>
      </c>
      <c r="F61" s="15" t="s">
        <v>54</v>
      </c>
      <c r="G61" s="15"/>
      <c r="H61" s="15"/>
      <c r="I61" s="15"/>
      <c r="J61" s="15"/>
      <c r="K61" s="15" t="s">
        <v>54</v>
      </c>
      <c r="L61" s="15"/>
      <c r="M61" s="15"/>
      <c r="N61" s="15" t="s">
        <v>54</v>
      </c>
      <c r="O61" s="15"/>
      <c r="P61" s="15"/>
      <c r="Q61" s="15"/>
      <c r="R61" s="15" t="s">
        <v>54</v>
      </c>
      <c r="S61" s="15"/>
      <c r="T61" s="15" t="s">
        <v>54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134</v>
      </c>
      <c r="B62" s="13" t="s">
        <v>53</v>
      </c>
      <c r="C62" s="14">
        <v>53</v>
      </c>
      <c r="D62" s="14">
        <v>54</v>
      </c>
      <c r="E62" s="14">
        <f t="shared" si="3"/>
        <v>1</v>
      </c>
      <c r="F62" s="15" t="s">
        <v>54</v>
      </c>
      <c r="G62" s="15"/>
      <c r="H62" s="15"/>
      <c r="I62" s="15"/>
      <c r="J62" s="15"/>
      <c r="K62" s="15" t="s">
        <v>54</v>
      </c>
      <c r="L62" s="15"/>
      <c r="M62" s="15"/>
      <c r="N62" s="15" t="s">
        <v>54</v>
      </c>
      <c r="O62" s="15"/>
      <c r="P62" s="15"/>
      <c r="Q62" s="15"/>
      <c r="R62" s="15" t="s">
        <v>54</v>
      </c>
      <c r="S62" s="15"/>
      <c r="T62" s="15" t="s">
        <v>54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134</v>
      </c>
      <c r="B63" s="13" t="s">
        <v>53</v>
      </c>
      <c r="C63" s="14">
        <v>54</v>
      </c>
      <c r="D63" s="14">
        <v>55</v>
      </c>
      <c r="E63" s="14">
        <f t="shared" si="3"/>
        <v>1</v>
      </c>
      <c r="F63" s="15" t="s">
        <v>54</v>
      </c>
      <c r="G63" s="15"/>
      <c r="H63" s="15"/>
      <c r="I63" s="15"/>
      <c r="J63" s="15"/>
      <c r="K63" s="15" t="s">
        <v>54</v>
      </c>
      <c r="L63" s="15"/>
      <c r="M63" s="15"/>
      <c r="N63" s="15" t="s">
        <v>54</v>
      </c>
      <c r="O63" s="15"/>
      <c r="P63" s="15"/>
      <c r="Q63" s="15"/>
      <c r="R63" s="15" t="s">
        <v>54</v>
      </c>
      <c r="S63" s="15"/>
      <c r="T63" s="15" t="s">
        <v>54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134</v>
      </c>
      <c r="B64" s="13" t="s">
        <v>53</v>
      </c>
      <c r="C64" s="14">
        <v>55</v>
      </c>
      <c r="D64" s="14">
        <v>56</v>
      </c>
      <c r="E64" s="14">
        <f t="shared" si="3"/>
        <v>1</v>
      </c>
      <c r="F64" s="15" t="s">
        <v>54</v>
      </c>
      <c r="G64" s="15"/>
      <c r="H64" s="15"/>
      <c r="I64" s="15"/>
      <c r="J64" s="15"/>
      <c r="K64" s="15" t="s">
        <v>54</v>
      </c>
      <c r="L64" s="15"/>
      <c r="M64" s="15"/>
      <c r="N64" s="15" t="s">
        <v>54</v>
      </c>
      <c r="O64" s="15"/>
      <c r="P64" s="15"/>
      <c r="Q64" s="15"/>
      <c r="R64" s="15" t="s">
        <v>54</v>
      </c>
      <c r="S64" s="15"/>
      <c r="T64" s="15" t="s">
        <v>54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134</v>
      </c>
      <c r="B65" s="13" t="s">
        <v>53</v>
      </c>
      <c r="C65" s="14">
        <v>56</v>
      </c>
      <c r="D65" s="14">
        <v>57</v>
      </c>
      <c r="E65" s="14">
        <f t="shared" si="3"/>
        <v>1</v>
      </c>
      <c r="F65" s="15" t="s">
        <v>54</v>
      </c>
      <c r="G65" s="15"/>
      <c r="H65" s="15"/>
      <c r="I65" s="15"/>
      <c r="J65" s="15"/>
      <c r="K65" s="15" t="s">
        <v>54</v>
      </c>
      <c r="L65" s="15"/>
      <c r="M65" s="15"/>
      <c r="N65" s="15" t="s">
        <v>54</v>
      </c>
      <c r="O65" s="15"/>
      <c r="P65" s="15"/>
      <c r="Q65" s="15"/>
      <c r="R65" s="15" t="s">
        <v>54</v>
      </c>
      <c r="S65" s="15"/>
      <c r="T65" s="15" t="s">
        <v>54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134</v>
      </c>
      <c r="B66" s="13" t="s">
        <v>53</v>
      </c>
      <c r="C66" s="14">
        <v>57</v>
      </c>
      <c r="D66" s="14">
        <v>58</v>
      </c>
      <c r="E66" s="14">
        <f t="shared" si="3"/>
        <v>1</v>
      </c>
      <c r="F66" s="15" t="s">
        <v>54</v>
      </c>
      <c r="G66" s="15"/>
      <c r="H66" s="15"/>
      <c r="I66" s="15"/>
      <c r="J66" s="15"/>
      <c r="K66" s="15" t="s">
        <v>54</v>
      </c>
      <c r="L66" s="15"/>
      <c r="M66" s="15"/>
      <c r="N66" s="15" t="s">
        <v>54</v>
      </c>
      <c r="O66" s="15"/>
      <c r="P66" s="15"/>
      <c r="Q66" s="15"/>
      <c r="R66" s="15" t="s">
        <v>54</v>
      </c>
      <c r="S66" s="15"/>
      <c r="T66" s="15" t="s">
        <v>54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134</v>
      </c>
      <c r="B67" s="13" t="s">
        <v>53</v>
      </c>
      <c r="C67" s="14">
        <v>58</v>
      </c>
      <c r="D67" s="14">
        <v>59</v>
      </c>
      <c r="E67" s="14">
        <f t="shared" si="3"/>
        <v>1</v>
      </c>
      <c r="F67" s="15" t="s">
        <v>54</v>
      </c>
      <c r="G67" s="15"/>
      <c r="H67" s="15"/>
      <c r="I67" s="15"/>
      <c r="J67" s="15"/>
      <c r="K67" s="15" t="s">
        <v>54</v>
      </c>
      <c r="L67" s="15"/>
      <c r="M67" s="15"/>
      <c r="N67" s="15" t="s">
        <v>54</v>
      </c>
      <c r="O67" s="15"/>
      <c r="P67" s="15"/>
      <c r="Q67" s="15"/>
      <c r="R67" s="15" t="s">
        <v>54</v>
      </c>
      <c r="S67" s="15"/>
      <c r="T67" s="15" t="s">
        <v>54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134</v>
      </c>
      <c r="B68" s="13" t="s">
        <v>53</v>
      </c>
      <c r="C68" s="14">
        <v>59</v>
      </c>
      <c r="D68" s="14">
        <v>60</v>
      </c>
      <c r="E68" s="14">
        <f t="shared" si="3"/>
        <v>1</v>
      </c>
      <c r="F68" s="15" t="s">
        <v>54</v>
      </c>
      <c r="G68" s="15"/>
      <c r="H68" s="15"/>
      <c r="I68" s="15"/>
      <c r="J68" s="15"/>
      <c r="K68" s="15" t="s">
        <v>54</v>
      </c>
      <c r="L68" s="15"/>
      <c r="M68" s="15"/>
      <c r="N68" s="15" t="s">
        <v>54</v>
      </c>
      <c r="O68" s="15"/>
      <c r="P68" s="15"/>
      <c r="Q68" s="15"/>
      <c r="R68" s="15" t="s">
        <v>54</v>
      </c>
      <c r="S68" s="15"/>
      <c r="T68" s="15" t="s">
        <v>54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134</v>
      </c>
      <c r="B69" s="13" t="s">
        <v>53</v>
      </c>
      <c r="C69" s="14">
        <v>60</v>
      </c>
      <c r="D69" s="14">
        <v>61</v>
      </c>
      <c r="E69" s="14">
        <f t="shared" si="3"/>
        <v>1</v>
      </c>
      <c r="F69" s="15" t="s">
        <v>54</v>
      </c>
      <c r="G69" s="15"/>
      <c r="H69" s="15"/>
      <c r="I69" s="15"/>
      <c r="J69" s="15"/>
      <c r="K69" s="15" t="s">
        <v>54</v>
      </c>
      <c r="L69" s="15"/>
      <c r="M69" s="15"/>
      <c r="N69" s="15" t="s">
        <v>54</v>
      </c>
      <c r="O69" s="15"/>
      <c r="P69" s="15"/>
      <c r="Q69" s="15"/>
      <c r="R69" s="15" t="s">
        <v>54</v>
      </c>
      <c r="S69" s="15"/>
      <c r="T69" s="15" t="s">
        <v>54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134</v>
      </c>
      <c r="B70" s="13" t="s">
        <v>53</v>
      </c>
      <c r="C70" s="14">
        <v>61</v>
      </c>
      <c r="D70" s="14">
        <v>62</v>
      </c>
      <c r="E70" s="14">
        <f t="shared" si="3"/>
        <v>1</v>
      </c>
      <c r="F70" s="15" t="s">
        <v>54</v>
      </c>
      <c r="G70" s="15"/>
      <c r="H70" s="15"/>
      <c r="I70" s="15"/>
      <c r="J70" s="15"/>
      <c r="K70" s="15" t="s">
        <v>54</v>
      </c>
      <c r="L70" s="15"/>
      <c r="M70" s="15"/>
      <c r="N70" s="15" t="s">
        <v>54</v>
      </c>
      <c r="O70" s="15"/>
      <c r="P70" s="15"/>
      <c r="Q70" s="15"/>
      <c r="R70" s="15" t="s">
        <v>54</v>
      </c>
      <c r="S70" s="15"/>
      <c r="T70" s="15" t="s">
        <v>54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134</v>
      </c>
      <c r="B71" s="13" t="s">
        <v>53</v>
      </c>
      <c r="C71" s="14">
        <v>62</v>
      </c>
      <c r="D71" s="14">
        <v>63</v>
      </c>
      <c r="E71" s="14">
        <f t="shared" si="3"/>
        <v>1</v>
      </c>
      <c r="F71" s="15" t="s">
        <v>54</v>
      </c>
      <c r="G71" s="15"/>
      <c r="H71" s="15"/>
      <c r="I71" s="15"/>
      <c r="J71" s="15"/>
      <c r="K71" s="15" t="s">
        <v>54</v>
      </c>
      <c r="L71" s="15"/>
      <c r="M71" s="15"/>
      <c r="N71" s="15" t="s">
        <v>54</v>
      </c>
      <c r="O71" s="15"/>
      <c r="P71" s="15"/>
      <c r="Q71" s="15"/>
      <c r="R71" s="15" t="s">
        <v>54</v>
      </c>
      <c r="S71" s="15"/>
      <c r="T71" s="15" t="s">
        <v>54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2" t="s">
        <v>134</v>
      </c>
      <c r="B72" s="13" t="s">
        <v>53</v>
      </c>
      <c r="C72" s="14">
        <v>63</v>
      </c>
      <c r="D72" s="14">
        <v>64</v>
      </c>
      <c r="E72" s="14">
        <f t="shared" si="3"/>
        <v>1</v>
      </c>
      <c r="F72" s="15" t="s">
        <v>54</v>
      </c>
      <c r="G72" s="15"/>
      <c r="H72" s="15"/>
      <c r="I72" s="15"/>
      <c r="J72" s="15"/>
      <c r="K72" s="15" t="s">
        <v>54</v>
      </c>
      <c r="L72" s="15"/>
      <c r="M72" s="15"/>
      <c r="N72" s="15" t="s">
        <v>54</v>
      </c>
      <c r="O72" s="15"/>
      <c r="P72" s="15"/>
      <c r="Q72" s="15"/>
      <c r="R72" s="15" t="s">
        <v>54</v>
      </c>
      <c r="S72" s="15"/>
      <c r="T72" s="15" t="s">
        <v>54</v>
      </c>
      <c r="U72" s="15"/>
      <c r="V72" s="16"/>
      <c r="W72" s="17" t="str">
        <f t="shared" si="4"/>
        <v>OK</v>
      </c>
    </row>
    <row r="73" spans="1:23" ht="20.100000000000001" customHeight="1" x14ac:dyDescent="0.25">
      <c r="A73" s="12" t="s">
        <v>134</v>
      </c>
      <c r="B73" s="13" t="s">
        <v>53</v>
      </c>
      <c r="C73" s="14">
        <v>64</v>
      </c>
      <c r="D73" s="14">
        <v>65</v>
      </c>
      <c r="E73" s="14">
        <f t="shared" ref="E73:E104" si="5">D73-C73</f>
        <v>1</v>
      </c>
      <c r="F73" s="15" t="s">
        <v>54</v>
      </c>
      <c r="G73" s="15"/>
      <c r="H73" s="15"/>
      <c r="I73" s="15"/>
      <c r="J73" s="15"/>
      <c r="K73" s="15" t="s">
        <v>54</v>
      </c>
      <c r="L73" s="15"/>
      <c r="M73" s="15"/>
      <c r="N73" s="15" t="s">
        <v>54</v>
      </c>
      <c r="O73" s="15"/>
      <c r="P73" s="15"/>
      <c r="Q73" s="15"/>
      <c r="R73" s="15" t="s">
        <v>54</v>
      </c>
      <c r="S73" s="15"/>
      <c r="T73" s="15" t="s">
        <v>54</v>
      </c>
      <c r="U73" s="15"/>
      <c r="V73" s="16"/>
      <c r="W73" s="17" t="str">
        <f t="shared" ref="W73:W104" si="6">IF(COUNTA(F73:U73)=0,"— não preenchido",IF(COUNTIF(F73:J73,"X")&lt;&gt;1,"FALTA/DUPLA: CONDIÇÃO DO PAVIMENTO",IF(COUNTIF(K73:L73,"X")&lt;&gt;1,"FALTA/DUPLA: VEGETAÇÃO",IF(COUNTIF(M73:O73,"X")&lt;&gt;1,"FALTA/DUPLA: ELEM. DE DRENAGEM",IF(COUNTIF(P73:R73,"X")&lt;&gt;1,"FALTA/DUPLA: SIN. HORIZ.",IF(COUNTIF(S73:U73,"X")&lt;&gt;1,"FALTA/DUPLA: SIN. VERTICAL","OK"))))))</f>
        <v>OK</v>
      </c>
    </row>
    <row r="74" spans="1:23" ht="20.100000000000001" customHeight="1" x14ac:dyDescent="0.25">
      <c r="A74" s="12" t="s">
        <v>134</v>
      </c>
      <c r="B74" s="13" t="s">
        <v>53</v>
      </c>
      <c r="C74" s="14">
        <v>65</v>
      </c>
      <c r="D74" s="14">
        <v>66</v>
      </c>
      <c r="E74" s="14">
        <f t="shared" si="5"/>
        <v>1</v>
      </c>
      <c r="F74" s="15" t="s">
        <v>54</v>
      </c>
      <c r="G74" s="15"/>
      <c r="H74" s="15"/>
      <c r="I74" s="15"/>
      <c r="J74" s="15"/>
      <c r="K74" s="15" t="s">
        <v>54</v>
      </c>
      <c r="L74" s="15"/>
      <c r="M74" s="15"/>
      <c r="N74" s="15" t="s">
        <v>54</v>
      </c>
      <c r="O74" s="15"/>
      <c r="P74" s="15"/>
      <c r="Q74" s="15"/>
      <c r="R74" s="15" t="s">
        <v>54</v>
      </c>
      <c r="S74" s="15"/>
      <c r="T74" s="15" t="s">
        <v>54</v>
      </c>
      <c r="U74" s="15"/>
      <c r="V74" s="16"/>
      <c r="W74" s="17" t="str">
        <f t="shared" si="6"/>
        <v>OK</v>
      </c>
    </row>
    <row r="75" spans="1:23" ht="20.100000000000001" customHeight="1" x14ac:dyDescent="0.25">
      <c r="A75" s="12" t="s">
        <v>134</v>
      </c>
      <c r="B75" s="13" t="s">
        <v>53</v>
      </c>
      <c r="C75" s="14">
        <v>66</v>
      </c>
      <c r="D75" s="14">
        <v>67</v>
      </c>
      <c r="E75" s="14">
        <f t="shared" si="5"/>
        <v>1</v>
      </c>
      <c r="F75" s="15" t="s">
        <v>54</v>
      </c>
      <c r="G75" s="15"/>
      <c r="H75" s="15"/>
      <c r="I75" s="15"/>
      <c r="J75" s="15"/>
      <c r="K75" s="15" t="s">
        <v>54</v>
      </c>
      <c r="L75" s="15"/>
      <c r="M75" s="15"/>
      <c r="N75" s="15" t="s">
        <v>54</v>
      </c>
      <c r="O75" s="15"/>
      <c r="P75" s="15"/>
      <c r="Q75" s="15"/>
      <c r="R75" s="15" t="s">
        <v>54</v>
      </c>
      <c r="S75" s="15"/>
      <c r="T75" s="15" t="s">
        <v>54</v>
      </c>
      <c r="U75" s="15"/>
      <c r="V75" s="16"/>
      <c r="W75" s="17" t="str">
        <f t="shared" si="6"/>
        <v>OK</v>
      </c>
    </row>
    <row r="76" spans="1:23" ht="20.100000000000001" customHeight="1" x14ac:dyDescent="0.25">
      <c r="A76" s="12" t="s">
        <v>134</v>
      </c>
      <c r="B76" s="13" t="s">
        <v>53</v>
      </c>
      <c r="C76" s="14">
        <v>67</v>
      </c>
      <c r="D76" s="14">
        <v>68</v>
      </c>
      <c r="E76" s="14">
        <f t="shared" si="5"/>
        <v>1</v>
      </c>
      <c r="F76" s="15" t="s">
        <v>54</v>
      </c>
      <c r="G76" s="15"/>
      <c r="H76" s="15"/>
      <c r="I76" s="15"/>
      <c r="J76" s="15"/>
      <c r="K76" s="15" t="s">
        <v>54</v>
      </c>
      <c r="L76" s="15"/>
      <c r="M76" s="15"/>
      <c r="N76" s="15" t="s">
        <v>54</v>
      </c>
      <c r="O76" s="15"/>
      <c r="P76" s="15"/>
      <c r="Q76" s="15"/>
      <c r="R76" s="15" t="s">
        <v>54</v>
      </c>
      <c r="S76" s="15"/>
      <c r="T76" s="15" t="s">
        <v>54</v>
      </c>
      <c r="U76" s="15"/>
      <c r="V76" s="16"/>
      <c r="W76" s="17" t="str">
        <f t="shared" si="6"/>
        <v>OK</v>
      </c>
    </row>
    <row r="77" spans="1:23" ht="20.100000000000001" customHeight="1" x14ac:dyDescent="0.25">
      <c r="A77" s="12" t="s">
        <v>134</v>
      </c>
      <c r="B77" s="13" t="s">
        <v>53</v>
      </c>
      <c r="C77" s="14">
        <v>68</v>
      </c>
      <c r="D77" s="14">
        <v>69</v>
      </c>
      <c r="E77" s="14">
        <f t="shared" si="5"/>
        <v>1</v>
      </c>
      <c r="F77" s="15" t="s">
        <v>54</v>
      </c>
      <c r="G77" s="15"/>
      <c r="H77" s="15"/>
      <c r="I77" s="15"/>
      <c r="J77" s="15"/>
      <c r="K77" s="15" t="s">
        <v>54</v>
      </c>
      <c r="L77" s="15"/>
      <c r="M77" s="15"/>
      <c r="N77" s="15" t="s">
        <v>54</v>
      </c>
      <c r="O77" s="15"/>
      <c r="P77" s="15"/>
      <c r="Q77" s="15"/>
      <c r="R77" s="15" t="s">
        <v>54</v>
      </c>
      <c r="S77" s="15"/>
      <c r="T77" s="15" t="s">
        <v>54</v>
      </c>
      <c r="U77" s="15"/>
      <c r="V77" s="16"/>
      <c r="W77" s="17" t="str">
        <f t="shared" si="6"/>
        <v>OK</v>
      </c>
    </row>
    <row r="78" spans="1:23" ht="20.100000000000001" customHeight="1" x14ac:dyDescent="0.25">
      <c r="A78" s="12" t="s">
        <v>134</v>
      </c>
      <c r="B78" s="13" t="s">
        <v>53</v>
      </c>
      <c r="C78" s="14">
        <v>69</v>
      </c>
      <c r="D78" s="14">
        <v>70</v>
      </c>
      <c r="E78" s="14">
        <f t="shared" si="5"/>
        <v>1</v>
      </c>
      <c r="F78" s="15" t="s">
        <v>54</v>
      </c>
      <c r="G78" s="15"/>
      <c r="H78" s="15"/>
      <c r="I78" s="15"/>
      <c r="J78" s="15"/>
      <c r="K78" s="15" t="s">
        <v>54</v>
      </c>
      <c r="L78" s="15"/>
      <c r="M78" s="15"/>
      <c r="N78" s="15" t="s">
        <v>54</v>
      </c>
      <c r="O78" s="15"/>
      <c r="P78" s="15"/>
      <c r="Q78" s="15"/>
      <c r="R78" s="15" t="s">
        <v>54</v>
      </c>
      <c r="S78" s="15"/>
      <c r="T78" s="15" t="s">
        <v>54</v>
      </c>
      <c r="U78" s="15"/>
      <c r="V78" s="16"/>
      <c r="W78" s="17" t="str">
        <f t="shared" si="6"/>
        <v>OK</v>
      </c>
    </row>
    <row r="79" spans="1:23" ht="20.100000000000001" customHeight="1" x14ac:dyDescent="0.25">
      <c r="A79" s="12" t="s">
        <v>134</v>
      </c>
      <c r="B79" s="13" t="s">
        <v>53</v>
      </c>
      <c r="C79" s="14">
        <v>70</v>
      </c>
      <c r="D79" s="14">
        <v>71</v>
      </c>
      <c r="E79" s="14">
        <f t="shared" si="5"/>
        <v>1</v>
      </c>
      <c r="F79" s="15" t="s">
        <v>54</v>
      </c>
      <c r="G79" s="15"/>
      <c r="H79" s="15"/>
      <c r="I79" s="15"/>
      <c r="J79" s="15"/>
      <c r="K79" s="15" t="s">
        <v>54</v>
      </c>
      <c r="L79" s="15"/>
      <c r="M79" s="15"/>
      <c r="N79" s="15" t="s">
        <v>54</v>
      </c>
      <c r="O79" s="15"/>
      <c r="P79" s="15"/>
      <c r="Q79" s="15"/>
      <c r="R79" s="15" t="s">
        <v>54</v>
      </c>
      <c r="S79" s="15"/>
      <c r="T79" s="15" t="s">
        <v>54</v>
      </c>
      <c r="U79" s="15"/>
      <c r="V79" s="16"/>
      <c r="W79" s="17" t="str">
        <f t="shared" si="6"/>
        <v>OK</v>
      </c>
    </row>
    <row r="80" spans="1:23" ht="20.100000000000001" customHeight="1" x14ac:dyDescent="0.25">
      <c r="A80" s="12" t="s">
        <v>134</v>
      </c>
      <c r="B80" s="13" t="s">
        <v>53</v>
      </c>
      <c r="C80" s="14">
        <v>71</v>
      </c>
      <c r="D80" s="14">
        <v>72</v>
      </c>
      <c r="E80" s="14">
        <f t="shared" si="5"/>
        <v>1</v>
      </c>
      <c r="F80" s="15" t="s">
        <v>54</v>
      </c>
      <c r="G80" s="15"/>
      <c r="H80" s="15"/>
      <c r="I80" s="15"/>
      <c r="J80" s="15"/>
      <c r="K80" s="15" t="s">
        <v>54</v>
      </c>
      <c r="L80" s="15"/>
      <c r="M80" s="15"/>
      <c r="N80" s="15" t="s">
        <v>54</v>
      </c>
      <c r="O80" s="15"/>
      <c r="P80" s="15"/>
      <c r="Q80" s="15"/>
      <c r="R80" s="15" t="s">
        <v>54</v>
      </c>
      <c r="S80" s="15"/>
      <c r="T80" s="15" t="s">
        <v>54</v>
      </c>
      <c r="U80" s="15"/>
      <c r="V80" s="16"/>
      <c r="W80" s="17" t="str">
        <f t="shared" si="6"/>
        <v>OK</v>
      </c>
    </row>
    <row r="81" spans="1:23" ht="20.100000000000001" customHeight="1" x14ac:dyDescent="0.25">
      <c r="A81" s="12" t="s">
        <v>134</v>
      </c>
      <c r="B81" s="13" t="s">
        <v>53</v>
      </c>
      <c r="C81" s="14">
        <v>72</v>
      </c>
      <c r="D81" s="14">
        <v>73</v>
      </c>
      <c r="E81" s="14">
        <f t="shared" si="5"/>
        <v>1</v>
      </c>
      <c r="F81" s="15" t="s">
        <v>54</v>
      </c>
      <c r="G81" s="15"/>
      <c r="H81" s="15"/>
      <c r="I81" s="15"/>
      <c r="J81" s="15"/>
      <c r="K81" s="15" t="s">
        <v>54</v>
      </c>
      <c r="L81" s="15"/>
      <c r="M81" s="15"/>
      <c r="N81" s="15" t="s">
        <v>54</v>
      </c>
      <c r="O81" s="15"/>
      <c r="P81" s="15"/>
      <c r="Q81" s="15"/>
      <c r="R81" s="15" t="s">
        <v>54</v>
      </c>
      <c r="S81" s="15"/>
      <c r="T81" s="15" t="s">
        <v>54</v>
      </c>
      <c r="U81" s="15"/>
      <c r="V81" s="16"/>
      <c r="W81" s="17" t="str">
        <f t="shared" si="6"/>
        <v>OK</v>
      </c>
    </row>
    <row r="82" spans="1:23" ht="20.100000000000001" customHeight="1" x14ac:dyDescent="0.25">
      <c r="A82" s="12" t="s">
        <v>134</v>
      </c>
      <c r="B82" s="13" t="s">
        <v>53</v>
      </c>
      <c r="C82" s="14">
        <v>73</v>
      </c>
      <c r="D82" s="14">
        <v>74</v>
      </c>
      <c r="E82" s="14">
        <f t="shared" si="5"/>
        <v>1</v>
      </c>
      <c r="F82" s="15" t="s">
        <v>54</v>
      </c>
      <c r="G82" s="15"/>
      <c r="H82" s="15"/>
      <c r="I82" s="15"/>
      <c r="J82" s="15"/>
      <c r="K82" s="15" t="s">
        <v>54</v>
      </c>
      <c r="L82" s="15"/>
      <c r="M82" s="15"/>
      <c r="N82" s="15" t="s">
        <v>54</v>
      </c>
      <c r="O82" s="15"/>
      <c r="P82" s="15"/>
      <c r="Q82" s="15"/>
      <c r="R82" s="15" t="s">
        <v>54</v>
      </c>
      <c r="S82" s="15"/>
      <c r="T82" s="15" t="s">
        <v>54</v>
      </c>
      <c r="U82" s="15"/>
      <c r="V82" s="16"/>
      <c r="W82" s="17" t="str">
        <f t="shared" si="6"/>
        <v>OK</v>
      </c>
    </row>
    <row r="83" spans="1:23" ht="20.100000000000001" customHeight="1" x14ac:dyDescent="0.25">
      <c r="A83" s="12" t="s">
        <v>134</v>
      </c>
      <c r="B83" s="13" t="s">
        <v>53</v>
      </c>
      <c r="C83" s="14">
        <v>74</v>
      </c>
      <c r="D83" s="14">
        <v>75</v>
      </c>
      <c r="E83" s="14">
        <f t="shared" si="5"/>
        <v>1</v>
      </c>
      <c r="F83" s="15" t="s">
        <v>54</v>
      </c>
      <c r="G83" s="15"/>
      <c r="H83" s="15"/>
      <c r="I83" s="15"/>
      <c r="J83" s="15"/>
      <c r="K83" s="15" t="s">
        <v>54</v>
      </c>
      <c r="L83" s="15"/>
      <c r="M83" s="15"/>
      <c r="N83" s="15" t="s">
        <v>54</v>
      </c>
      <c r="O83" s="15"/>
      <c r="P83" s="15"/>
      <c r="Q83" s="15"/>
      <c r="R83" s="15" t="s">
        <v>54</v>
      </c>
      <c r="S83" s="15"/>
      <c r="T83" s="15" t="s">
        <v>54</v>
      </c>
      <c r="U83" s="15"/>
      <c r="V83" s="16"/>
      <c r="W83" s="17" t="str">
        <f t="shared" si="6"/>
        <v>OK</v>
      </c>
    </row>
    <row r="84" spans="1:23" ht="20.100000000000001" customHeight="1" x14ac:dyDescent="0.25">
      <c r="A84" s="12" t="s">
        <v>134</v>
      </c>
      <c r="B84" s="13" t="s">
        <v>53</v>
      </c>
      <c r="C84" s="14">
        <v>75</v>
      </c>
      <c r="D84" s="14">
        <v>76</v>
      </c>
      <c r="E84" s="14">
        <f t="shared" si="5"/>
        <v>1</v>
      </c>
      <c r="F84" s="15" t="s">
        <v>54</v>
      </c>
      <c r="G84" s="15"/>
      <c r="H84" s="15"/>
      <c r="I84" s="15"/>
      <c r="J84" s="15"/>
      <c r="K84" s="15" t="s">
        <v>54</v>
      </c>
      <c r="L84" s="15"/>
      <c r="M84" s="15"/>
      <c r="N84" s="15" t="s">
        <v>54</v>
      </c>
      <c r="O84" s="15"/>
      <c r="P84" s="15"/>
      <c r="Q84" s="15"/>
      <c r="R84" s="15" t="s">
        <v>54</v>
      </c>
      <c r="S84" s="15"/>
      <c r="T84" s="15" t="s">
        <v>54</v>
      </c>
      <c r="U84" s="15"/>
      <c r="V84" s="16"/>
      <c r="W84" s="17" t="str">
        <f t="shared" si="6"/>
        <v>OK</v>
      </c>
    </row>
    <row r="85" spans="1:23" ht="20.100000000000001" customHeight="1" x14ac:dyDescent="0.25">
      <c r="A85" s="12" t="s">
        <v>134</v>
      </c>
      <c r="B85" s="13" t="s">
        <v>53</v>
      </c>
      <c r="C85" s="14">
        <v>76</v>
      </c>
      <c r="D85" s="14">
        <v>77</v>
      </c>
      <c r="E85" s="14">
        <f t="shared" si="5"/>
        <v>1</v>
      </c>
      <c r="F85" s="15" t="s">
        <v>54</v>
      </c>
      <c r="G85" s="15"/>
      <c r="H85" s="15"/>
      <c r="I85" s="15"/>
      <c r="J85" s="15"/>
      <c r="K85" s="15" t="s">
        <v>54</v>
      </c>
      <c r="L85" s="15"/>
      <c r="M85" s="15"/>
      <c r="N85" s="15" t="s">
        <v>54</v>
      </c>
      <c r="O85" s="15"/>
      <c r="P85" s="15"/>
      <c r="Q85" s="15"/>
      <c r="R85" s="15" t="s">
        <v>54</v>
      </c>
      <c r="S85" s="15"/>
      <c r="T85" s="15" t="s">
        <v>54</v>
      </c>
      <c r="U85" s="15"/>
      <c r="V85" s="16"/>
      <c r="W85" s="17" t="str">
        <f t="shared" si="6"/>
        <v>OK</v>
      </c>
    </row>
    <row r="86" spans="1:23" ht="20.100000000000001" customHeight="1" x14ac:dyDescent="0.25">
      <c r="A86" s="12" t="s">
        <v>134</v>
      </c>
      <c r="B86" s="13" t="s">
        <v>53</v>
      </c>
      <c r="C86" s="14">
        <v>77</v>
      </c>
      <c r="D86" s="14">
        <v>78</v>
      </c>
      <c r="E86" s="14">
        <f t="shared" si="5"/>
        <v>1</v>
      </c>
      <c r="F86" s="15" t="s">
        <v>54</v>
      </c>
      <c r="G86" s="15"/>
      <c r="H86" s="15"/>
      <c r="I86" s="15"/>
      <c r="J86" s="15"/>
      <c r="K86" s="15" t="s">
        <v>54</v>
      </c>
      <c r="L86" s="15"/>
      <c r="M86" s="15"/>
      <c r="N86" s="15" t="s">
        <v>54</v>
      </c>
      <c r="O86" s="15"/>
      <c r="P86" s="15"/>
      <c r="Q86" s="15"/>
      <c r="R86" s="15" t="s">
        <v>54</v>
      </c>
      <c r="S86" s="15"/>
      <c r="T86" s="15" t="s">
        <v>54</v>
      </c>
      <c r="U86" s="15"/>
      <c r="V86" s="16"/>
      <c r="W86" s="17" t="str">
        <f t="shared" si="6"/>
        <v>OK</v>
      </c>
    </row>
    <row r="87" spans="1:23" ht="20.100000000000001" customHeight="1" x14ac:dyDescent="0.25">
      <c r="A87" s="12" t="s">
        <v>134</v>
      </c>
      <c r="B87" s="13" t="s">
        <v>53</v>
      </c>
      <c r="C87" s="14">
        <v>78</v>
      </c>
      <c r="D87" s="14">
        <v>79</v>
      </c>
      <c r="E87" s="14">
        <f t="shared" si="5"/>
        <v>1</v>
      </c>
      <c r="F87" s="15" t="s">
        <v>54</v>
      </c>
      <c r="G87" s="15"/>
      <c r="H87" s="15"/>
      <c r="I87" s="15"/>
      <c r="J87" s="15"/>
      <c r="K87" s="15" t="s">
        <v>54</v>
      </c>
      <c r="L87" s="15"/>
      <c r="M87" s="15"/>
      <c r="N87" s="15" t="s">
        <v>54</v>
      </c>
      <c r="O87" s="15"/>
      <c r="P87" s="15"/>
      <c r="Q87" s="15"/>
      <c r="R87" s="15" t="s">
        <v>54</v>
      </c>
      <c r="S87" s="15"/>
      <c r="T87" s="15" t="s">
        <v>54</v>
      </c>
      <c r="U87" s="15"/>
      <c r="V87" s="16"/>
      <c r="W87" s="17" t="str">
        <f t="shared" si="6"/>
        <v>OK</v>
      </c>
    </row>
    <row r="88" spans="1:23" ht="20.100000000000001" customHeight="1" x14ac:dyDescent="0.25">
      <c r="A88" s="12" t="s">
        <v>134</v>
      </c>
      <c r="B88" s="13" t="s">
        <v>53</v>
      </c>
      <c r="C88" s="14">
        <v>79</v>
      </c>
      <c r="D88" s="14">
        <v>80</v>
      </c>
      <c r="E88" s="14">
        <f t="shared" si="5"/>
        <v>1</v>
      </c>
      <c r="F88" s="15" t="s">
        <v>54</v>
      </c>
      <c r="G88" s="15"/>
      <c r="H88" s="15"/>
      <c r="I88" s="15"/>
      <c r="J88" s="15"/>
      <c r="K88" s="15" t="s">
        <v>54</v>
      </c>
      <c r="L88" s="15"/>
      <c r="M88" s="15"/>
      <c r="N88" s="15" t="s">
        <v>54</v>
      </c>
      <c r="O88" s="15"/>
      <c r="P88" s="15"/>
      <c r="Q88" s="15"/>
      <c r="R88" s="15" t="s">
        <v>54</v>
      </c>
      <c r="S88" s="15"/>
      <c r="T88" s="15" t="s">
        <v>54</v>
      </c>
      <c r="U88" s="15"/>
      <c r="V88" s="16"/>
      <c r="W88" s="17" t="str">
        <f t="shared" si="6"/>
        <v>OK</v>
      </c>
    </row>
    <row r="89" spans="1:23" ht="20.100000000000001" customHeight="1" x14ac:dyDescent="0.25">
      <c r="A89" s="12" t="s">
        <v>134</v>
      </c>
      <c r="B89" s="13" t="s">
        <v>53</v>
      </c>
      <c r="C89" s="14">
        <v>80</v>
      </c>
      <c r="D89" s="14">
        <v>81</v>
      </c>
      <c r="E89" s="14">
        <f t="shared" si="5"/>
        <v>1</v>
      </c>
      <c r="F89" s="15" t="s">
        <v>54</v>
      </c>
      <c r="G89" s="15"/>
      <c r="H89" s="15"/>
      <c r="I89" s="15"/>
      <c r="J89" s="15"/>
      <c r="K89" s="15" t="s">
        <v>54</v>
      </c>
      <c r="L89" s="15"/>
      <c r="M89" s="15"/>
      <c r="N89" s="15" t="s">
        <v>54</v>
      </c>
      <c r="O89" s="15"/>
      <c r="P89" s="15"/>
      <c r="Q89" s="15"/>
      <c r="R89" s="15" t="s">
        <v>54</v>
      </c>
      <c r="S89" s="15"/>
      <c r="T89" s="15" t="s">
        <v>54</v>
      </c>
      <c r="U89" s="15"/>
      <c r="V89" s="16"/>
      <c r="W89" s="17" t="str">
        <f t="shared" si="6"/>
        <v>OK</v>
      </c>
    </row>
    <row r="90" spans="1:23" ht="20.100000000000001" customHeight="1" x14ac:dyDescent="0.25">
      <c r="A90" s="12" t="s">
        <v>134</v>
      </c>
      <c r="B90" s="13" t="s">
        <v>53</v>
      </c>
      <c r="C90" s="14">
        <v>81</v>
      </c>
      <c r="D90" s="14">
        <v>82</v>
      </c>
      <c r="E90" s="14">
        <f t="shared" si="5"/>
        <v>1</v>
      </c>
      <c r="F90" s="15" t="s">
        <v>54</v>
      </c>
      <c r="G90" s="15"/>
      <c r="H90" s="15"/>
      <c r="I90" s="15"/>
      <c r="J90" s="15"/>
      <c r="K90" s="15" t="s">
        <v>54</v>
      </c>
      <c r="L90" s="15"/>
      <c r="M90" s="15"/>
      <c r="N90" s="15" t="s">
        <v>54</v>
      </c>
      <c r="O90" s="15"/>
      <c r="P90" s="15"/>
      <c r="Q90" s="15"/>
      <c r="R90" s="15" t="s">
        <v>54</v>
      </c>
      <c r="S90" s="15"/>
      <c r="T90" s="15" t="s">
        <v>54</v>
      </c>
      <c r="U90" s="15"/>
      <c r="V90" s="16"/>
      <c r="W90" s="17" t="str">
        <f t="shared" si="6"/>
        <v>OK</v>
      </c>
    </row>
    <row r="91" spans="1:23" ht="20.100000000000001" customHeight="1" x14ac:dyDescent="0.25">
      <c r="A91" s="12" t="s">
        <v>134</v>
      </c>
      <c r="B91" s="13" t="s">
        <v>53</v>
      </c>
      <c r="C91" s="14">
        <v>82</v>
      </c>
      <c r="D91" s="14">
        <v>83</v>
      </c>
      <c r="E91" s="14">
        <f t="shared" si="5"/>
        <v>1</v>
      </c>
      <c r="F91" s="15" t="s">
        <v>54</v>
      </c>
      <c r="G91" s="15"/>
      <c r="H91" s="15"/>
      <c r="I91" s="15"/>
      <c r="J91" s="15"/>
      <c r="K91" s="15" t="s">
        <v>54</v>
      </c>
      <c r="L91" s="15"/>
      <c r="M91" s="15"/>
      <c r="N91" s="15" t="s">
        <v>54</v>
      </c>
      <c r="O91" s="15"/>
      <c r="P91" s="15"/>
      <c r="Q91" s="15"/>
      <c r="R91" s="15" t="s">
        <v>54</v>
      </c>
      <c r="S91" s="15"/>
      <c r="T91" s="15" t="s">
        <v>54</v>
      </c>
      <c r="U91" s="15"/>
      <c r="V91" s="16"/>
      <c r="W91" s="17" t="str">
        <f t="shared" si="6"/>
        <v>OK</v>
      </c>
    </row>
    <row r="92" spans="1:23" ht="20.100000000000001" customHeight="1" x14ac:dyDescent="0.25">
      <c r="A92" s="12" t="s">
        <v>134</v>
      </c>
      <c r="B92" s="13" t="s">
        <v>53</v>
      </c>
      <c r="C92" s="14">
        <v>83</v>
      </c>
      <c r="D92" s="14">
        <v>84</v>
      </c>
      <c r="E92" s="14">
        <f t="shared" si="5"/>
        <v>1</v>
      </c>
      <c r="F92" s="15" t="s">
        <v>54</v>
      </c>
      <c r="G92" s="15"/>
      <c r="H92" s="15"/>
      <c r="I92" s="15"/>
      <c r="J92" s="15"/>
      <c r="K92" s="15" t="s">
        <v>54</v>
      </c>
      <c r="L92" s="15"/>
      <c r="M92" s="15"/>
      <c r="N92" s="15" t="s">
        <v>54</v>
      </c>
      <c r="O92" s="15"/>
      <c r="P92" s="15"/>
      <c r="Q92" s="15"/>
      <c r="R92" s="15" t="s">
        <v>54</v>
      </c>
      <c r="S92" s="15"/>
      <c r="T92" s="15" t="s">
        <v>54</v>
      </c>
      <c r="U92" s="15"/>
      <c r="V92" s="16"/>
      <c r="W92" s="17" t="str">
        <f t="shared" si="6"/>
        <v>OK</v>
      </c>
    </row>
    <row r="93" spans="1:23" ht="20.100000000000001" customHeight="1" x14ac:dyDescent="0.25">
      <c r="A93" s="12" t="s">
        <v>134</v>
      </c>
      <c r="B93" s="13" t="s">
        <v>53</v>
      </c>
      <c r="C93" s="14">
        <v>84</v>
      </c>
      <c r="D93" s="14">
        <v>85</v>
      </c>
      <c r="E93" s="14">
        <f t="shared" si="5"/>
        <v>1</v>
      </c>
      <c r="F93" s="15" t="s">
        <v>54</v>
      </c>
      <c r="G93" s="15"/>
      <c r="H93" s="15"/>
      <c r="I93" s="15"/>
      <c r="J93" s="15"/>
      <c r="K93" s="15" t="s">
        <v>54</v>
      </c>
      <c r="L93" s="15"/>
      <c r="M93" s="15"/>
      <c r="N93" s="15" t="s">
        <v>54</v>
      </c>
      <c r="O93" s="15"/>
      <c r="P93" s="15"/>
      <c r="Q93" s="15"/>
      <c r="R93" s="15" t="s">
        <v>54</v>
      </c>
      <c r="S93" s="15"/>
      <c r="T93" s="15" t="s">
        <v>54</v>
      </c>
      <c r="U93" s="15"/>
      <c r="V93" s="16"/>
      <c r="W93" s="17" t="str">
        <f t="shared" si="6"/>
        <v>OK</v>
      </c>
    </row>
    <row r="94" spans="1:23" ht="20.100000000000001" customHeight="1" x14ac:dyDescent="0.25">
      <c r="A94" s="12" t="s">
        <v>134</v>
      </c>
      <c r="B94" s="13" t="s">
        <v>53</v>
      </c>
      <c r="C94" s="14">
        <v>85</v>
      </c>
      <c r="D94" s="14">
        <v>86</v>
      </c>
      <c r="E94" s="14">
        <f t="shared" si="5"/>
        <v>1</v>
      </c>
      <c r="F94" s="15" t="s">
        <v>54</v>
      </c>
      <c r="G94" s="15"/>
      <c r="H94" s="15"/>
      <c r="I94" s="15"/>
      <c r="J94" s="15"/>
      <c r="K94" s="15" t="s">
        <v>54</v>
      </c>
      <c r="L94" s="15"/>
      <c r="M94" s="15"/>
      <c r="N94" s="15" t="s">
        <v>54</v>
      </c>
      <c r="O94" s="15"/>
      <c r="P94" s="15"/>
      <c r="Q94" s="15"/>
      <c r="R94" s="15" t="s">
        <v>54</v>
      </c>
      <c r="S94" s="15"/>
      <c r="T94" s="15" t="s">
        <v>54</v>
      </c>
      <c r="U94" s="15"/>
      <c r="V94" s="16"/>
      <c r="W94" s="17" t="str">
        <f t="shared" si="6"/>
        <v>OK</v>
      </c>
    </row>
    <row r="95" spans="1:23" ht="20.100000000000001" customHeight="1" x14ac:dyDescent="0.25">
      <c r="A95" s="12" t="s">
        <v>134</v>
      </c>
      <c r="B95" s="13" t="s">
        <v>53</v>
      </c>
      <c r="C95" s="14">
        <v>86</v>
      </c>
      <c r="D95" s="14">
        <v>87</v>
      </c>
      <c r="E95" s="14">
        <f t="shared" si="5"/>
        <v>1</v>
      </c>
      <c r="F95" s="15" t="s">
        <v>54</v>
      </c>
      <c r="G95" s="15"/>
      <c r="H95" s="15"/>
      <c r="I95" s="15"/>
      <c r="J95" s="15"/>
      <c r="K95" s="15" t="s">
        <v>54</v>
      </c>
      <c r="L95" s="15"/>
      <c r="M95" s="15"/>
      <c r="N95" s="15" t="s">
        <v>54</v>
      </c>
      <c r="O95" s="15"/>
      <c r="P95" s="15"/>
      <c r="Q95" s="15"/>
      <c r="R95" s="15" t="s">
        <v>54</v>
      </c>
      <c r="S95" s="15"/>
      <c r="T95" s="15" t="s">
        <v>54</v>
      </c>
      <c r="U95" s="15"/>
      <c r="V95" s="16"/>
      <c r="W95" s="17" t="str">
        <f t="shared" si="6"/>
        <v>OK</v>
      </c>
    </row>
    <row r="96" spans="1:23" ht="20.100000000000001" customHeight="1" x14ac:dyDescent="0.25">
      <c r="A96" s="12" t="s">
        <v>134</v>
      </c>
      <c r="B96" s="13" t="s">
        <v>53</v>
      </c>
      <c r="C96" s="14">
        <v>87</v>
      </c>
      <c r="D96" s="14">
        <v>88</v>
      </c>
      <c r="E96" s="14">
        <f t="shared" si="5"/>
        <v>1</v>
      </c>
      <c r="F96" s="15" t="s">
        <v>54</v>
      </c>
      <c r="G96" s="15"/>
      <c r="H96" s="15"/>
      <c r="I96" s="15"/>
      <c r="J96" s="15"/>
      <c r="K96" s="15" t="s">
        <v>54</v>
      </c>
      <c r="L96" s="15"/>
      <c r="M96" s="15"/>
      <c r="N96" s="15" t="s">
        <v>54</v>
      </c>
      <c r="O96" s="15"/>
      <c r="P96" s="15"/>
      <c r="Q96" s="15"/>
      <c r="R96" s="15" t="s">
        <v>54</v>
      </c>
      <c r="S96" s="15"/>
      <c r="T96" s="15" t="s">
        <v>54</v>
      </c>
      <c r="U96" s="15"/>
      <c r="V96" s="16"/>
      <c r="W96" s="17" t="str">
        <f t="shared" si="6"/>
        <v>OK</v>
      </c>
    </row>
    <row r="97" spans="1:23" ht="20.100000000000001" customHeight="1" x14ac:dyDescent="0.25">
      <c r="A97" s="12" t="s">
        <v>134</v>
      </c>
      <c r="B97" s="13" t="s">
        <v>53</v>
      </c>
      <c r="C97" s="14">
        <v>88</v>
      </c>
      <c r="D97" s="14">
        <v>89</v>
      </c>
      <c r="E97" s="14">
        <f t="shared" si="5"/>
        <v>1</v>
      </c>
      <c r="F97" s="15" t="s">
        <v>54</v>
      </c>
      <c r="G97" s="15"/>
      <c r="H97" s="15"/>
      <c r="I97" s="15"/>
      <c r="J97" s="15"/>
      <c r="K97" s="15" t="s">
        <v>54</v>
      </c>
      <c r="L97" s="15"/>
      <c r="M97" s="15"/>
      <c r="N97" s="15" t="s">
        <v>54</v>
      </c>
      <c r="O97" s="15"/>
      <c r="P97" s="15"/>
      <c r="Q97" s="15"/>
      <c r="R97" s="15" t="s">
        <v>54</v>
      </c>
      <c r="S97" s="15"/>
      <c r="T97" s="15" t="s">
        <v>54</v>
      </c>
      <c r="U97" s="15"/>
      <c r="V97" s="16"/>
      <c r="W97" s="17" t="str">
        <f t="shared" si="6"/>
        <v>OK</v>
      </c>
    </row>
    <row r="98" spans="1:23" ht="20.100000000000001" customHeight="1" x14ac:dyDescent="0.25">
      <c r="A98" s="12" t="s">
        <v>134</v>
      </c>
      <c r="B98" s="13" t="s">
        <v>53</v>
      </c>
      <c r="C98" s="14">
        <v>89</v>
      </c>
      <c r="D98" s="14">
        <v>90</v>
      </c>
      <c r="E98" s="14">
        <f t="shared" si="5"/>
        <v>1</v>
      </c>
      <c r="F98" s="15" t="s">
        <v>54</v>
      </c>
      <c r="G98" s="15"/>
      <c r="H98" s="15"/>
      <c r="I98" s="15"/>
      <c r="J98" s="15"/>
      <c r="K98" s="15" t="s">
        <v>54</v>
      </c>
      <c r="L98" s="15"/>
      <c r="M98" s="15"/>
      <c r="N98" s="15" t="s">
        <v>54</v>
      </c>
      <c r="O98" s="15"/>
      <c r="P98" s="15"/>
      <c r="Q98" s="15"/>
      <c r="R98" s="15" t="s">
        <v>54</v>
      </c>
      <c r="S98" s="15"/>
      <c r="T98" s="15" t="s">
        <v>54</v>
      </c>
      <c r="U98" s="15"/>
      <c r="V98" s="16"/>
      <c r="W98" s="17" t="str">
        <f t="shared" si="6"/>
        <v>OK</v>
      </c>
    </row>
    <row r="99" spans="1:23" ht="20.100000000000001" customHeight="1" x14ac:dyDescent="0.25">
      <c r="A99" s="12" t="s">
        <v>134</v>
      </c>
      <c r="B99" s="13" t="s">
        <v>53</v>
      </c>
      <c r="C99" s="14">
        <v>90</v>
      </c>
      <c r="D99" s="14">
        <v>91</v>
      </c>
      <c r="E99" s="14">
        <f t="shared" si="5"/>
        <v>1</v>
      </c>
      <c r="F99" s="15" t="s">
        <v>54</v>
      </c>
      <c r="G99" s="15"/>
      <c r="H99" s="15"/>
      <c r="I99" s="15"/>
      <c r="J99" s="15"/>
      <c r="K99" s="15" t="s">
        <v>54</v>
      </c>
      <c r="L99" s="15"/>
      <c r="M99" s="15"/>
      <c r="N99" s="15" t="s">
        <v>54</v>
      </c>
      <c r="O99" s="15"/>
      <c r="P99" s="15"/>
      <c r="Q99" s="15"/>
      <c r="R99" s="15" t="s">
        <v>54</v>
      </c>
      <c r="S99" s="15"/>
      <c r="T99" s="15" t="s">
        <v>54</v>
      </c>
      <c r="U99" s="15"/>
      <c r="V99" s="16"/>
      <c r="W99" s="17" t="str">
        <f t="shared" si="6"/>
        <v>OK</v>
      </c>
    </row>
    <row r="100" spans="1:23" ht="20.100000000000001" customHeight="1" x14ac:dyDescent="0.25">
      <c r="A100" s="12" t="s">
        <v>134</v>
      </c>
      <c r="B100" s="13" t="s">
        <v>53</v>
      </c>
      <c r="C100" s="14">
        <v>91</v>
      </c>
      <c r="D100" s="14">
        <v>92</v>
      </c>
      <c r="E100" s="14">
        <f t="shared" si="5"/>
        <v>1</v>
      </c>
      <c r="F100" s="15" t="s">
        <v>54</v>
      </c>
      <c r="G100" s="15"/>
      <c r="H100" s="15"/>
      <c r="I100" s="15"/>
      <c r="J100" s="15"/>
      <c r="K100" s="15" t="s">
        <v>54</v>
      </c>
      <c r="L100" s="15"/>
      <c r="M100" s="15"/>
      <c r="N100" s="15" t="s">
        <v>54</v>
      </c>
      <c r="O100" s="15"/>
      <c r="P100" s="15"/>
      <c r="Q100" s="15"/>
      <c r="R100" s="15" t="s">
        <v>54</v>
      </c>
      <c r="S100" s="15"/>
      <c r="T100" s="15" t="s">
        <v>54</v>
      </c>
      <c r="U100" s="15"/>
      <c r="V100" s="16"/>
      <c r="W100" s="17" t="str">
        <f t="shared" si="6"/>
        <v>OK</v>
      </c>
    </row>
    <row r="101" spans="1:23" ht="20.100000000000001" customHeight="1" x14ac:dyDescent="0.25">
      <c r="A101" s="12" t="s">
        <v>134</v>
      </c>
      <c r="B101" s="13" t="s">
        <v>53</v>
      </c>
      <c r="C101" s="14">
        <v>92</v>
      </c>
      <c r="D101" s="14">
        <v>93</v>
      </c>
      <c r="E101" s="14">
        <f t="shared" si="5"/>
        <v>1</v>
      </c>
      <c r="F101" s="15" t="s">
        <v>54</v>
      </c>
      <c r="G101" s="15"/>
      <c r="H101" s="15"/>
      <c r="I101" s="15"/>
      <c r="J101" s="15"/>
      <c r="K101" s="15" t="s">
        <v>54</v>
      </c>
      <c r="L101" s="15"/>
      <c r="M101" s="15"/>
      <c r="N101" s="15" t="s">
        <v>54</v>
      </c>
      <c r="O101" s="15"/>
      <c r="P101" s="15"/>
      <c r="Q101" s="15"/>
      <c r="R101" s="15" t="s">
        <v>54</v>
      </c>
      <c r="S101" s="15"/>
      <c r="T101" s="15" t="s">
        <v>54</v>
      </c>
      <c r="U101" s="15"/>
      <c r="V101" s="16"/>
      <c r="W101" s="17" t="str">
        <f t="shared" si="6"/>
        <v>OK</v>
      </c>
    </row>
    <row r="102" spans="1:23" ht="20.100000000000001" customHeight="1" x14ac:dyDescent="0.25">
      <c r="A102" s="12" t="s">
        <v>134</v>
      </c>
      <c r="B102" s="13" t="s">
        <v>53</v>
      </c>
      <c r="C102" s="14">
        <v>93</v>
      </c>
      <c r="D102" s="14">
        <v>94</v>
      </c>
      <c r="E102" s="14">
        <f t="shared" si="5"/>
        <v>1</v>
      </c>
      <c r="F102" s="15" t="s">
        <v>54</v>
      </c>
      <c r="G102" s="15"/>
      <c r="H102" s="15"/>
      <c r="I102" s="15"/>
      <c r="J102" s="15"/>
      <c r="K102" s="15" t="s">
        <v>54</v>
      </c>
      <c r="L102" s="15"/>
      <c r="M102" s="15"/>
      <c r="N102" s="15" t="s">
        <v>54</v>
      </c>
      <c r="O102" s="15"/>
      <c r="P102" s="15"/>
      <c r="Q102" s="15"/>
      <c r="R102" s="15" t="s">
        <v>54</v>
      </c>
      <c r="S102" s="15"/>
      <c r="T102" s="15" t="s">
        <v>54</v>
      </c>
      <c r="U102" s="15"/>
      <c r="V102" s="16"/>
      <c r="W102" s="17" t="str">
        <f t="shared" si="6"/>
        <v>OK</v>
      </c>
    </row>
    <row r="103" spans="1:23" ht="20.100000000000001" customHeight="1" x14ac:dyDescent="0.25">
      <c r="A103" s="12" t="s">
        <v>134</v>
      </c>
      <c r="B103" s="13" t="s">
        <v>53</v>
      </c>
      <c r="C103" s="14">
        <v>94</v>
      </c>
      <c r="D103" s="14">
        <v>95</v>
      </c>
      <c r="E103" s="14">
        <f t="shared" si="5"/>
        <v>1</v>
      </c>
      <c r="F103" s="15" t="s">
        <v>54</v>
      </c>
      <c r="G103" s="15"/>
      <c r="H103" s="15"/>
      <c r="I103" s="15"/>
      <c r="J103" s="15"/>
      <c r="K103" s="15" t="s">
        <v>54</v>
      </c>
      <c r="L103" s="15"/>
      <c r="M103" s="15"/>
      <c r="N103" s="15" t="s">
        <v>54</v>
      </c>
      <c r="O103" s="15"/>
      <c r="P103" s="15"/>
      <c r="Q103" s="15"/>
      <c r="R103" s="15" t="s">
        <v>54</v>
      </c>
      <c r="S103" s="15"/>
      <c r="T103" s="15" t="s">
        <v>54</v>
      </c>
      <c r="U103" s="15"/>
      <c r="V103" s="16"/>
      <c r="W103" s="17" t="str">
        <f t="shared" si="6"/>
        <v>OK</v>
      </c>
    </row>
    <row r="104" spans="1:23" ht="20.100000000000001" customHeight="1" x14ac:dyDescent="0.25">
      <c r="A104" s="18" t="s">
        <v>134</v>
      </c>
      <c r="B104" s="19" t="s">
        <v>53</v>
      </c>
      <c r="C104" s="20">
        <v>95</v>
      </c>
      <c r="D104" s="20">
        <v>95.248502135300001</v>
      </c>
      <c r="E104" s="20">
        <f t="shared" si="5"/>
        <v>0.24850213530000076</v>
      </c>
      <c r="F104" s="21" t="s">
        <v>54</v>
      </c>
      <c r="G104" s="21"/>
      <c r="H104" s="21"/>
      <c r="I104" s="21"/>
      <c r="J104" s="21"/>
      <c r="K104" s="21" t="s">
        <v>54</v>
      </c>
      <c r="L104" s="21"/>
      <c r="M104" s="21"/>
      <c r="N104" s="21" t="s">
        <v>54</v>
      </c>
      <c r="O104" s="21"/>
      <c r="P104" s="21"/>
      <c r="Q104" s="21"/>
      <c r="R104" s="21" t="s">
        <v>54</v>
      </c>
      <c r="S104" s="21"/>
      <c r="T104" s="21" t="s">
        <v>54</v>
      </c>
      <c r="U104" s="21"/>
      <c r="V104" s="22"/>
      <c r="W104" s="23" t="str">
        <f t="shared" si="6"/>
        <v>OK</v>
      </c>
    </row>
    <row r="105" spans="1:23" ht="15.95" customHeight="1" x14ac:dyDescent="0.25">
      <c r="A105" s="59" t="s">
        <v>135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4"/>
      <c r="W105" s="4"/>
    </row>
    <row r="106" spans="1:23" ht="20.100000000000001" customHeight="1" x14ac:dyDescent="0.25">
      <c r="A106" s="12" t="s">
        <v>136</v>
      </c>
      <c r="B106" s="13" t="s">
        <v>53</v>
      </c>
      <c r="C106" s="14">
        <v>0</v>
      </c>
      <c r="D106" s="14">
        <v>1</v>
      </c>
      <c r="E106" s="14">
        <f t="shared" ref="E106:E112" si="7">D106-C106</f>
        <v>1</v>
      </c>
      <c r="F106" s="15" t="s">
        <v>54</v>
      </c>
      <c r="G106" s="15"/>
      <c r="H106" s="15"/>
      <c r="I106" s="15"/>
      <c r="J106" s="15"/>
      <c r="K106" s="15" t="s">
        <v>54</v>
      </c>
      <c r="L106" s="15"/>
      <c r="M106" s="15"/>
      <c r="N106" s="15" t="s">
        <v>54</v>
      </c>
      <c r="O106" s="15"/>
      <c r="P106" s="15"/>
      <c r="Q106" s="15"/>
      <c r="R106" s="15" t="s">
        <v>54</v>
      </c>
      <c r="S106" s="15"/>
      <c r="T106" s="15"/>
      <c r="U106" s="15" t="s">
        <v>54</v>
      </c>
      <c r="V106" s="16"/>
      <c r="W106" s="17" t="str">
        <f t="shared" ref="W106:W112" si="8">IF(COUNTA(F106:U106)=0,"— não preenchido",IF(COUNTIF(F106:J106,"X")&lt;&gt;1,"FALTA/DUPLA: CONDIÇÃO DO PAVIMENTO",IF(COUNTIF(K106:L106,"X")&lt;&gt;1,"FALTA/DUPLA: VEGETAÇÃO",IF(COUNTIF(M106:O106,"X")&lt;&gt;1,"FALTA/DUPLA: ELEM. DE DRENAGEM",IF(COUNTIF(P106:R106,"X")&lt;&gt;1,"FALTA/DUPLA: SIN. HORIZ.",IF(COUNTIF(S106:U106,"X")&lt;&gt;1,"FALTA/DUPLA: SIN. VERTICAL","OK"))))))</f>
        <v>OK</v>
      </c>
    </row>
    <row r="107" spans="1:23" ht="20.100000000000001" customHeight="1" x14ac:dyDescent="0.25">
      <c r="A107" s="12" t="s">
        <v>136</v>
      </c>
      <c r="B107" s="13" t="s">
        <v>53</v>
      </c>
      <c r="C107" s="14">
        <v>1</v>
      </c>
      <c r="D107" s="14">
        <v>2</v>
      </c>
      <c r="E107" s="14">
        <f t="shared" si="7"/>
        <v>1</v>
      </c>
      <c r="F107" s="15" t="s">
        <v>54</v>
      </c>
      <c r="G107" s="15"/>
      <c r="H107" s="15"/>
      <c r="I107" s="15"/>
      <c r="J107" s="15"/>
      <c r="K107" s="15" t="s">
        <v>54</v>
      </c>
      <c r="L107" s="15"/>
      <c r="M107" s="15"/>
      <c r="N107" s="15" t="s">
        <v>54</v>
      </c>
      <c r="O107" s="15"/>
      <c r="P107" s="15"/>
      <c r="Q107" s="15"/>
      <c r="R107" s="15" t="s">
        <v>54</v>
      </c>
      <c r="S107" s="15"/>
      <c r="T107" s="15"/>
      <c r="U107" s="15" t="s">
        <v>54</v>
      </c>
      <c r="V107" s="16"/>
      <c r="W107" s="17" t="str">
        <f t="shared" si="8"/>
        <v>OK</v>
      </c>
    </row>
    <row r="108" spans="1:23" ht="20.100000000000001" customHeight="1" x14ac:dyDescent="0.25">
      <c r="A108" s="12" t="s">
        <v>136</v>
      </c>
      <c r="B108" s="13" t="s">
        <v>53</v>
      </c>
      <c r="C108" s="14">
        <v>2</v>
      </c>
      <c r="D108" s="14">
        <v>3</v>
      </c>
      <c r="E108" s="14">
        <f t="shared" si="7"/>
        <v>1</v>
      </c>
      <c r="F108" s="15" t="s">
        <v>54</v>
      </c>
      <c r="G108" s="15"/>
      <c r="H108" s="15"/>
      <c r="I108" s="15"/>
      <c r="J108" s="15"/>
      <c r="K108" s="15" t="s">
        <v>54</v>
      </c>
      <c r="L108" s="15"/>
      <c r="M108" s="15"/>
      <c r="N108" s="15" t="s">
        <v>54</v>
      </c>
      <c r="O108" s="15"/>
      <c r="P108" s="15"/>
      <c r="Q108" s="15"/>
      <c r="R108" s="15" t="s">
        <v>54</v>
      </c>
      <c r="S108" s="15"/>
      <c r="T108" s="15"/>
      <c r="U108" s="15" t="s">
        <v>54</v>
      </c>
      <c r="V108" s="16"/>
      <c r="W108" s="17" t="str">
        <f t="shared" si="8"/>
        <v>OK</v>
      </c>
    </row>
    <row r="109" spans="1:23" ht="20.100000000000001" customHeight="1" x14ac:dyDescent="0.25">
      <c r="A109" s="12" t="s">
        <v>136</v>
      </c>
      <c r="B109" s="13" t="s">
        <v>53</v>
      </c>
      <c r="C109" s="14">
        <v>3</v>
      </c>
      <c r="D109" s="14">
        <v>4</v>
      </c>
      <c r="E109" s="14">
        <f t="shared" si="7"/>
        <v>1</v>
      </c>
      <c r="F109" s="15" t="s">
        <v>54</v>
      </c>
      <c r="G109" s="15"/>
      <c r="H109" s="15"/>
      <c r="I109" s="15"/>
      <c r="J109" s="15"/>
      <c r="K109" s="15" t="s">
        <v>54</v>
      </c>
      <c r="L109" s="15"/>
      <c r="M109" s="15"/>
      <c r="N109" s="15" t="s">
        <v>54</v>
      </c>
      <c r="O109" s="15"/>
      <c r="P109" s="15"/>
      <c r="Q109" s="15"/>
      <c r="R109" s="15" t="s">
        <v>54</v>
      </c>
      <c r="S109" s="15"/>
      <c r="T109" s="15"/>
      <c r="U109" s="15" t="s">
        <v>54</v>
      </c>
      <c r="V109" s="16"/>
      <c r="W109" s="17" t="str">
        <f t="shared" si="8"/>
        <v>OK</v>
      </c>
    </row>
    <row r="110" spans="1:23" ht="20.100000000000001" customHeight="1" x14ac:dyDescent="0.25">
      <c r="A110" s="12" t="s">
        <v>136</v>
      </c>
      <c r="B110" s="13" t="s">
        <v>53</v>
      </c>
      <c r="C110" s="14">
        <v>4</v>
      </c>
      <c r="D110" s="14">
        <v>5</v>
      </c>
      <c r="E110" s="14">
        <f t="shared" si="7"/>
        <v>1</v>
      </c>
      <c r="F110" s="15" t="s">
        <v>54</v>
      </c>
      <c r="G110" s="15"/>
      <c r="H110" s="15"/>
      <c r="I110" s="15"/>
      <c r="J110" s="15"/>
      <c r="K110" s="15" t="s">
        <v>54</v>
      </c>
      <c r="L110" s="15"/>
      <c r="M110" s="15"/>
      <c r="N110" s="15" t="s">
        <v>54</v>
      </c>
      <c r="O110" s="15"/>
      <c r="P110" s="15"/>
      <c r="Q110" s="15"/>
      <c r="R110" s="15" t="s">
        <v>54</v>
      </c>
      <c r="S110" s="15"/>
      <c r="T110" s="15"/>
      <c r="U110" s="15" t="s">
        <v>54</v>
      </c>
      <c r="V110" s="16"/>
      <c r="W110" s="17" t="str">
        <f t="shared" si="8"/>
        <v>OK</v>
      </c>
    </row>
    <row r="111" spans="1:23" ht="20.100000000000001" customHeight="1" x14ac:dyDescent="0.25">
      <c r="A111" s="12" t="s">
        <v>136</v>
      </c>
      <c r="B111" s="13" t="s">
        <v>53</v>
      </c>
      <c r="C111" s="14">
        <v>5</v>
      </c>
      <c r="D111" s="14">
        <v>6</v>
      </c>
      <c r="E111" s="14">
        <f t="shared" si="7"/>
        <v>1</v>
      </c>
      <c r="F111" s="15" t="s">
        <v>54</v>
      </c>
      <c r="G111" s="15"/>
      <c r="H111" s="15"/>
      <c r="I111" s="15"/>
      <c r="J111" s="15"/>
      <c r="K111" s="15" t="s">
        <v>54</v>
      </c>
      <c r="L111" s="15"/>
      <c r="M111" s="15"/>
      <c r="N111" s="15" t="s">
        <v>54</v>
      </c>
      <c r="O111" s="15"/>
      <c r="P111" s="15"/>
      <c r="Q111" s="15"/>
      <c r="R111" s="15" t="s">
        <v>54</v>
      </c>
      <c r="S111" s="15"/>
      <c r="T111" s="15"/>
      <c r="U111" s="15" t="s">
        <v>54</v>
      </c>
      <c r="V111" s="16"/>
      <c r="W111" s="17" t="str">
        <f t="shared" si="8"/>
        <v>OK</v>
      </c>
    </row>
    <row r="112" spans="1:23" ht="20.100000000000001" customHeight="1" x14ac:dyDescent="0.25">
      <c r="A112" s="18" t="s">
        <v>136</v>
      </c>
      <c r="B112" s="19" t="s">
        <v>53</v>
      </c>
      <c r="C112" s="20">
        <v>6</v>
      </c>
      <c r="D112" s="20">
        <v>6.1686927579599997</v>
      </c>
      <c r="E112" s="20">
        <f t="shared" si="7"/>
        <v>0.16869275795999972</v>
      </c>
      <c r="F112" s="21" t="s">
        <v>54</v>
      </c>
      <c r="G112" s="21"/>
      <c r="H112" s="21"/>
      <c r="I112" s="21"/>
      <c r="J112" s="21"/>
      <c r="K112" s="21" t="s">
        <v>54</v>
      </c>
      <c r="L112" s="21"/>
      <c r="M112" s="21"/>
      <c r="N112" s="21" t="s">
        <v>54</v>
      </c>
      <c r="O112" s="21"/>
      <c r="P112" s="21"/>
      <c r="Q112" s="21"/>
      <c r="R112" s="21" t="s">
        <v>54</v>
      </c>
      <c r="S112" s="21"/>
      <c r="T112" s="21"/>
      <c r="U112" s="21" t="s">
        <v>54</v>
      </c>
      <c r="V112" s="22"/>
      <c r="W112" s="23" t="str">
        <f t="shared" si="8"/>
        <v>OK</v>
      </c>
    </row>
    <row r="113" spans="1:23" ht="15.95" customHeight="1" x14ac:dyDescent="0.25">
      <c r="A113" s="59" t="s">
        <v>137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4"/>
      <c r="W113" s="4"/>
    </row>
    <row r="114" spans="1:23" ht="20.100000000000001" customHeight="1" x14ac:dyDescent="0.25">
      <c r="A114" s="12" t="s">
        <v>138</v>
      </c>
      <c r="B114" s="13" t="s">
        <v>53</v>
      </c>
      <c r="C114" s="14">
        <v>0</v>
      </c>
      <c r="D114" s="14">
        <v>1</v>
      </c>
      <c r="E114" s="14">
        <f t="shared" ref="E114:E124" si="9">D114-C114</f>
        <v>1</v>
      </c>
      <c r="F114" s="15" t="s">
        <v>54</v>
      </c>
      <c r="G114" s="15"/>
      <c r="H114" s="15"/>
      <c r="I114" s="15"/>
      <c r="J114" s="15"/>
      <c r="K114" s="15" t="s">
        <v>54</v>
      </c>
      <c r="L114" s="15"/>
      <c r="M114" s="15"/>
      <c r="N114" s="15" t="s">
        <v>54</v>
      </c>
      <c r="O114" s="15"/>
      <c r="P114" s="15"/>
      <c r="Q114" s="15"/>
      <c r="R114" s="15" t="s">
        <v>54</v>
      </c>
      <c r="S114" s="15"/>
      <c r="T114" s="15"/>
      <c r="U114" s="15" t="s">
        <v>54</v>
      </c>
      <c r="V114" s="16"/>
      <c r="W114" s="17" t="str">
        <f t="shared" ref="W114:W124" si="10">IF(COUNTA(F114:U114)=0,"— não preenchido",IF(COUNTIF(F114:J114,"X")&lt;&gt;1,"FALTA/DUPLA: CONDIÇÃO DO PAVIMENTO",IF(COUNTIF(K114:L114,"X")&lt;&gt;1,"FALTA/DUPLA: VEGETAÇÃO",IF(COUNTIF(M114:O114,"X")&lt;&gt;1,"FALTA/DUPLA: ELEM. DE DRENAGEM",IF(COUNTIF(P114:R114,"X")&lt;&gt;1,"FALTA/DUPLA: SIN. HORIZ.",IF(COUNTIF(S114:U114,"X")&lt;&gt;1,"FALTA/DUPLA: SIN. VERTICAL","OK"))))))</f>
        <v>OK</v>
      </c>
    </row>
    <row r="115" spans="1:23" ht="20.100000000000001" customHeight="1" x14ac:dyDescent="0.25">
      <c r="A115" s="12" t="s">
        <v>138</v>
      </c>
      <c r="B115" s="13" t="s">
        <v>53</v>
      </c>
      <c r="C115" s="14">
        <v>1</v>
      </c>
      <c r="D115" s="14">
        <v>2</v>
      </c>
      <c r="E115" s="14">
        <f t="shared" si="9"/>
        <v>1</v>
      </c>
      <c r="F115" s="15" t="s">
        <v>54</v>
      </c>
      <c r="G115" s="15"/>
      <c r="H115" s="15"/>
      <c r="I115" s="15"/>
      <c r="J115" s="15"/>
      <c r="K115" s="15" t="s">
        <v>54</v>
      </c>
      <c r="L115" s="15"/>
      <c r="M115" s="15"/>
      <c r="N115" s="15" t="s">
        <v>54</v>
      </c>
      <c r="O115" s="15"/>
      <c r="P115" s="15"/>
      <c r="Q115" s="15"/>
      <c r="R115" s="15" t="s">
        <v>54</v>
      </c>
      <c r="S115" s="15"/>
      <c r="T115" s="15"/>
      <c r="U115" s="15" t="s">
        <v>54</v>
      </c>
      <c r="V115" s="16"/>
      <c r="W115" s="17" t="str">
        <f t="shared" si="10"/>
        <v>OK</v>
      </c>
    </row>
    <row r="116" spans="1:23" ht="20.100000000000001" customHeight="1" x14ac:dyDescent="0.25">
      <c r="A116" s="12" t="s">
        <v>138</v>
      </c>
      <c r="B116" s="13" t="s">
        <v>53</v>
      </c>
      <c r="C116" s="14">
        <v>2</v>
      </c>
      <c r="D116" s="14">
        <v>3</v>
      </c>
      <c r="E116" s="14">
        <f t="shared" si="9"/>
        <v>1</v>
      </c>
      <c r="F116" s="15" t="s">
        <v>54</v>
      </c>
      <c r="G116" s="15"/>
      <c r="H116" s="15"/>
      <c r="I116" s="15"/>
      <c r="J116" s="15"/>
      <c r="K116" s="15" t="s">
        <v>54</v>
      </c>
      <c r="L116" s="15"/>
      <c r="M116" s="15"/>
      <c r="N116" s="15" t="s">
        <v>54</v>
      </c>
      <c r="O116" s="15"/>
      <c r="P116" s="15"/>
      <c r="Q116" s="15"/>
      <c r="R116" s="15" t="s">
        <v>54</v>
      </c>
      <c r="S116" s="15"/>
      <c r="T116" s="15"/>
      <c r="U116" s="15" t="s">
        <v>54</v>
      </c>
      <c r="V116" s="16"/>
      <c r="W116" s="17" t="str">
        <f t="shared" si="10"/>
        <v>OK</v>
      </c>
    </row>
    <row r="117" spans="1:23" ht="20.100000000000001" customHeight="1" x14ac:dyDescent="0.25">
      <c r="A117" s="12" t="s">
        <v>138</v>
      </c>
      <c r="B117" s="13" t="s">
        <v>53</v>
      </c>
      <c r="C117" s="14">
        <v>3</v>
      </c>
      <c r="D117" s="14">
        <v>4</v>
      </c>
      <c r="E117" s="14">
        <f t="shared" si="9"/>
        <v>1</v>
      </c>
      <c r="F117" s="15" t="s">
        <v>54</v>
      </c>
      <c r="G117" s="15"/>
      <c r="H117" s="15"/>
      <c r="I117" s="15"/>
      <c r="J117" s="15"/>
      <c r="K117" s="15" t="s">
        <v>54</v>
      </c>
      <c r="L117" s="15"/>
      <c r="M117" s="15"/>
      <c r="N117" s="15" t="s">
        <v>54</v>
      </c>
      <c r="O117" s="15"/>
      <c r="P117" s="15"/>
      <c r="Q117" s="15"/>
      <c r="R117" s="15" t="s">
        <v>54</v>
      </c>
      <c r="S117" s="15"/>
      <c r="T117" s="15"/>
      <c r="U117" s="15" t="s">
        <v>54</v>
      </c>
      <c r="V117" s="16"/>
      <c r="W117" s="17" t="str">
        <f t="shared" si="10"/>
        <v>OK</v>
      </c>
    </row>
    <row r="118" spans="1:23" ht="20.100000000000001" customHeight="1" x14ac:dyDescent="0.25">
      <c r="A118" s="12" t="s">
        <v>138</v>
      </c>
      <c r="B118" s="13" t="s">
        <v>53</v>
      </c>
      <c r="C118" s="14">
        <v>4</v>
      </c>
      <c r="D118" s="14">
        <v>5</v>
      </c>
      <c r="E118" s="14">
        <f t="shared" si="9"/>
        <v>1</v>
      </c>
      <c r="F118" s="15" t="s">
        <v>54</v>
      </c>
      <c r="G118" s="15"/>
      <c r="H118" s="15"/>
      <c r="I118" s="15"/>
      <c r="J118" s="15"/>
      <c r="K118" s="15" t="s">
        <v>54</v>
      </c>
      <c r="L118" s="15"/>
      <c r="M118" s="15"/>
      <c r="N118" s="15" t="s">
        <v>54</v>
      </c>
      <c r="O118" s="15"/>
      <c r="P118" s="15"/>
      <c r="Q118" s="15"/>
      <c r="R118" s="15" t="s">
        <v>54</v>
      </c>
      <c r="S118" s="15"/>
      <c r="T118" s="15"/>
      <c r="U118" s="15" t="s">
        <v>54</v>
      </c>
      <c r="V118" s="16"/>
      <c r="W118" s="17" t="str">
        <f t="shared" si="10"/>
        <v>OK</v>
      </c>
    </row>
    <row r="119" spans="1:23" ht="20.100000000000001" customHeight="1" x14ac:dyDescent="0.25">
      <c r="A119" s="12" t="s">
        <v>138</v>
      </c>
      <c r="B119" s="13" t="s">
        <v>53</v>
      </c>
      <c r="C119" s="14">
        <v>5</v>
      </c>
      <c r="D119" s="14">
        <v>6</v>
      </c>
      <c r="E119" s="14">
        <f t="shared" si="9"/>
        <v>1</v>
      </c>
      <c r="F119" s="15" t="s">
        <v>54</v>
      </c>
      <c r="G119" s="15"/>
      <c r="H119" s="15"/>
      <c r="I119" s="15"/>
      <c r="J119" s="15"/>
      <c r="K119" s="15" t="s">
        <v>54</v>
      </c>
      <c r="L119" s="15"/>
      <c r="M119" s="15"/>
      <c r="N119" s="15" t="s">
        <v>54</v>
      </c>
      <c r="O119" s="15"/>
      <c r="P119" s="15"/>
      <c r="Q119" s="15"/>
      <c r="R119" s="15" t="s">
        <v>54</v>
      </c>
      <c r="S119" s="15"/>
      <c r="T119" s="15"/>
      <c r="U119" s="15" t="s">
        <v>54</v>
      </c>
      <c r="V119" s="16"/>
      <c r="W119" s="17" t="str">
        <f t="shared" si="10"/>
        <v>OK</v>
      </c>
    </row>
    <row r="120" spans="1:23" ht="20.100000000000001" customHeight="1" x14ac:dyDescent="0.25">
      <c r="A120" s="12" t="s">
        <v>138</v>
      </c>
      <c r="B120" s="13" t="s">
        <v>53</v>
      </c>
      <c r="C120" s="14">
        <v>6</v>
      </c>
      <c r="D120" s="14">
        <v>7</v>
      </c>
      <c r="E120" s="14">
        <f t="shared" si="9"/>
        <v>1</v>
      </c>
      <c r="F120" s="15" t="s">
        <v>54</v>
      </c>
      <c r="G120" s="15"/>
      <c r="H120" s="15"/>
      <c r="I120" s="15"/>
      <c r="J120" s="15"/>
      <c r="K120" s="15" t="s">
        <v>54</v>
      </c>
      <c r="L120" s="15"/>
      <c r="M120" s="15"/>
      <c r="N120" s="15" t="s">
        <v>54</v>
      </c>
      <c r="O120" s="15"/>
      <c r="P120" s="15"/>
      <c r="Q120" s="15"/>
      <c r="R120" s="15" t="s">
        <v>54</v>
      </c>
      <c r="S120" s="15"/>
      <c r="T120" s="15"/>
      <c r="U120" s="15" t="s">
        <v>54</v>
      </c>
      <c r="V120" s="16"/>
      <c r="W120" s="17" t="str">
        <f t="shared" si="10"/>
        <v>OK</v>
      </c>
    </row>
    <row r="121" spans="1:23" ht="20.100000000000001" customHeight="1" x14ac:dyDescent="0.25">
      <c r="A121" s="12" t="s">
        <v>138</v>
      </c>
      <c r="B121" s="13" t="s">
        <v>53</v>
      </c>
      <c r="C121" s="14">
        <v>7</v>
      </c>
      <c r="D121" s="14">
        <v>8</v>
      </c>
      <c r="E121" s="14">
        <f t="shared" si="9"/>
        <v>1</v>
      </c>
      <c r="F121" s="15" t="s">
        <v>54</v>
      </c>
      <c r="G121" s="15"/>
      <c r="H121" s="15"/>
      <c r="I121" s="15"/>
      <c r="J121" s="15"/>
      <c r="K121" s="15" t="s">
        <v>54</v>
      </c>
      <c r="L121" s="15"/>
      <c r="M121" s="15"/>
      <c r="N121" s="15" t="s">
        <v>54</v>
      </c>
      <c r="O121" s="15"/>
      <c r="P121" s="15"/>
      <c r="Q121" s="15"/>
      <c r="R121" s="15" t="s">
        <v>54</v>
      </c>
      <c r="S121" s="15"/>
      <c r="T121" s="15"/>
      <c r="U121" s="15" t="s">
        <v>54</v>
      </c>
      <c r="V121" s="16"/>
      <c r="W121" s="17" t="str">
        <f t="shared" si="10"/>
        <v>OK</v>
      </c>
    </row>
    <row r="122" spans="1:23" ht="20.100000000000001" customHeight="1" x14ac:dyDescent="0.25">
      <c r="A122" s="12" t="s">
        <v>138</v>
      </c>
      <c r="B122" s="13" t="s">
        <v>53</v>
      </c>
      <c r="C122" s="14">
        <v>8</v>
      </c>
      <c r="D122" s="14">
        <v>9</v>
      </c>
      <c r="E122" s="14">
        <f t="shared" si="9"/>
        <v>1</v>
      </c>
      <c r="F122" s="15" t="s">
        <v>54</v>
      </c>
      <c r="G122" s="15"/>
      <c r="H122" s="15"/>
      <c r="I122" s="15"/>
      <c r="J122" s="15"/>
      <c r="K122" s="15" t="s">
        <v>54</v>
      </c>
      <c r="L122" s="15"/>
      <c r="M122" s="15"/>
      <c r="N122" s="15" t="s">
        <v>54</v>
      </c>
      <c r="O122" s="15"/>
      <c r="P122" s="15"/>
      <c r="Q122" s="15"/>
      <c r="R122" s="15" t="s">
        <v>54</v>
      </c>
      <c r="S122" s="15"/>
      <c r="T122" s="15"/>
      <c r="U122" s="15" t="s">
        <v>54</v>
      </c>
      <c r="V122" s="16"/>
      <c r="W122" s="17" t="str">
        <f t="shared" si="10"/>
        <v>OK</v>
      </c>
    </row>
    <row r="123" spans="1:23" ht="20.100000000000001" customHeight="1" x14ac:dyDescent="0.25">
      <c r="A123" s="12" t="s">
        <v>138</v>
      </c>
      <c r="B123" s="13" t="s">
        <v>53</v>
      </c>
      <c r="C123" s="14">
        <v>9</v>
      </c>
      <c r="D123" s="14">
        <v>10</v>
      </c>
      <c r="E123" s="14">
        <f t="shared" si="9"/>
        <v>1</v>
      </c>
      <c r="F123" s="15" t="s">
        <v>54</v>
      </c>
      <c r="G123" s="15"/>
      <c r="H123" s="15"/>
      <c r="I123" s="15"/>
      <c r="J123" s="15"/>
      <c r="K123" s="15" t="s">
        <v>54</v>
      </c>
      <c r="L123" s="15"/>
      <c r="M123" s="15"/>
      <c r="N123" s="15" t="s">
        <v>54</v>
      </c>
      <c r="O123" s="15"/>
      <c r="P123" s="15"/>
      <c r="Q123" s="15"/>
      <c r="R123" s="15" t="s">
        <v>54</v>
      </c>
      <c r="S123" s="15"/>
      <c r="T123" s="15"/>
      <c r="U123" s="15" t="s">
        <v>54</v>
      </c>
      <c r="V123" s="16"/>
      <c r="W123" s="17" t="str">
        <f t="shared" si="10"/>
        <v>OK</v>
      </c>
    </row>
    <row r="124" spans="1:23" ht="20.100000000000001" customHeight="1" x14ac:dyDescent="0.25">
      <c r="A124" s="18" t="s">
        <v>138</v>
      </c>
      <c r="B124" s="19" t="s">
        <v>53</v>
      </c>
      <c r="C124" s="20">
        <v>10</v>
      </c>
      <c r="D124" s="20">
        <v>10.8919492962</v>
      </c>
      <c r="E124" s="20">
        <f t="shared" si="9"/>
        <v>0.89194929619999996</v>
      </c>
      <c r="F124" s="21" t="s">
        <v>54</v>
      </c>
      <c r="G124" s="21"/>
      <c r="H124" s="21"/>
      <c r="I124" s="21"/>
      <c r="J124" s="21"/>
      <c r="K124" s="21" t="s">
        <v>54</v>
      </c>
      <c r="L124" s="21"/>
      <c r="M124" s="21"/>
      <c r="N124" s="21" t="s">
        <v>54</v>
      </c>
      <c r="O124" s="21"/>
      <c r="P124" s="21"/>
      <c r="Q124" s="21"/>
      <c r="R124" s="21" t="s">
        <v>54</v>
      </c>
      <c r="S124" s="21"/>
      <c r="T124" s="21"/>
      <c r="U124" s="21" t="s">
        <v>54</v>
      </c>
      <c r="V124" s="22"/>
      <c r="W124" s="23" t="str">
        <f t="shared" si="10"/>
        <v>OK</v>
      </c>
    </row>
    <row r="126" spans="1:23" x14ac:dyDescent="0.25">
      <c r="A126" s="61" t="s">
        <v>62</v>
      </c>
      <c r="B126" s="42"/>
      <c r="C126" s="42"/>
      <c r="D126" s="42"/>
      <c r="E126" s="42"/>
      <c r="G126" s="61" t="s">
        <v>62</v>
      </c>
      <c r="H126" s="42"/>
      <c r="I126" s="42"/>
      <c r="J126" s="42"/>
      <c r="K126" s="42"/>
    </row>
    <row r="127" spans="1:23" x14ac:dyDescent="0.25">
      <c r="A127" s="58" t="s">
        <v>63</v>
      </c>
      <c r="B127" s="42"/>
      <c r="C127" s="42"/>
      <c r="D127" s="42"/>
      <c r="E127" s="42"/>
      <c r="G127" s="58" t="s">
        <v>64</v>
      </c>
      <c r="H127" s="42"/>
      <c r="I127" s="42"/>
      <c r="J127" s="42"/>
      <c r="K127" s="42"/>
    </row>
    <row r="129" spans="1:22" x14ac:dyDescent="0.25">
      <c r="A129" s="64" t="s">
        <v>65</v>
      </c>
      <c r="B129" s="42"/>
      <c r="C129" s="42"/>
      <c r="D129" s="42"/>
      <c r="E129" s="42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</row>
    <row r="130" spans="1:22" x14ac:dyDescent="0.25">
      <c r="A130" s="53" t="s">
        <v>66</v>
      </c>
      <c r="B130" s="42"/>
      <c r="C130" s="42"/>
      <c r="D130" s="42"/>
      <c r="E130" s="42"/>
      <c r="F130" s="9">
        <f t="shared" ref="F130:U130" si="11">SUMIF(F$9:F$124,"X",$E$9:$E$124)</f>
        <v>112.30914418946</v>
      </c>
      <c r="G130" s="9">
        <f t="shared" si="11"/>
        <v>0</v>
      </c>
      <c r="H130" s="9">
        <f t="shared" si="11"/>
        <v>0</v>
      </c>
      <c r="I130" s="9">
        <f t="shared" si="11"/>
        <v>0</v>
      </c>
      <c r="J130" s="9">
        <f t="shared" si="11"/>
        <v>0</v>
      </c>
      <c r="K130" s="9">
        <f t="shared" si="11"/>
        <v>112.30914418946</v>
      </c>
      <c r="L130" s="9">
        <f t="shared" si="11"/>
        <v>0</v>
      </c>
      <c r="M130" s="9">
        <f t="shared" si="11"/>
        <v>0</v>
      </c>
      <c r="N130" s="9">
        <f t="shared" si="11"/>
        <v>112.30914418946</v>
      </c>
      <c r="O130" s="9">
        <f t="shared" si="11"/>
        <v>0</v>
      </c>
      <c r="P130" s="9">
        <f t="shared" si="11"/>
        <v>0</v>
      </c>
      <c r="Q130" s="9">
        <f t="shared" si="11"/>
        <v>0</v>
      </c>
      <c r="R130" s="9">
        <f t="shared" si="11"/>
        <v>112.30914418946</v>
      </c>
      <c r="S130" s="9">
        <f t="shared" si="11"/>
        <v>0</v>
      </c>
      <c r="T130" s="9">
        <f t="shared" si="11"/>
        <v>95.248502135300001</v>
      </c>
      <c r="U130" s="9">
        <f t="shared" si="11"/>
        <v>17.060642054159999</v>
      </c>
    </row>
    <row r="131" spans="1:22" x14ac:dyDescent="0.25">
      <c r="A131" s="53" t="s">
        <v>67</v>
      </c>
      <c r="B131" s="42"/>
      <c r="C131" s="42"/>
      <c r="D131" s="42"/>
      <c r="E131" s="42"/>
      <c r="F131" s="25">
        <f t="shared" ref="F131:U131" si="12">IF($R133=0,0,F130/$R133)</f>
        <v>1</v>
      </c>
      <c r="G131" s="25">
        <f t="shared" si="12"/>
        <v>0</v>
      </c>
      <c r="H131" s="25">
        <f t="shared" si="12"/>
        <v>0</v>
      </c>
      <c r="I131" s="25">
        <f t="shared" si="12"/>
        <v>0</v>
      </c>
      <c r="J131" s="25">
        <f t="shared" si="12"/>
        <v>0</v>
      </c>
      <c r="K131" s="25">
        <f t="shared" si="12"/>
        <v>1</v>
      </c>
      <c r="L131" s="25">
        <f t="shared" si="12"/>
        <v>0</v>
      </c>
      <c r="M131" s="25">
        <f t="shared" si="12"/>
        <v>0</v>
      </c>
      <c r="N131" s="25">
        <f t="shared" si="12"/>
        <v>1</v>
      </c>
      <c r="O131" s="25">
        <f t="shared" si="12"/>
        <v>0</v>
      </c>
      <c r="P131" s="25">
        <f t="shared" si="12"/>
        <v>0</v>
      </c>
      <c r="Q131" s="25">
        <f t="shared" si="12"/>
        <v>0</v>
      </c>
      <c r="R131" s="25">
        <f t="shared" si="12"/>
        <v>1</v>
      </c>
      <c r="S131" s="25">
        <f t="shared" si="12"/>
        <v>0</v>
      </c>
      <c r="T131" s="25">
        <f t="shared" si="12"/>
        <v>0.84809213731181554</v>
      </c>
      <c r="U131" s="25">
        <f t="shared" si="12"/>
        <v>0.15190786268818446</v>
      </c>
    </row>
    <row r="132" spans="1:22" x14ac:dyDescent="0.25">
      <c r="A132" s="53" t="s">
        <v>68</v>
      </c>
      <c r="B132" s="42"/>
      <c r="C132" s="42"/>
      <c r="D132" s="42"/>
      <c r="E132" s="42"/>
      <c r="F132" s="49" t="str">
        <f>IF(SUM(F130:J130)=0,"— não preenchido",IF(ROUND(SUM(F130:J130)-$R133,3)=0,"OK — "&amp;ROUND(SUM(F130:J130),3)&amp;" km","ERRO — dif. de "&amp;ROUND(SUM(F130:J130)-$R133,3)&amp;" km"))</f>
        <v>OK — 112,309 km</v>
      </c>
      <c r="G132" s="46"/>
      <c r="H132" s="46"/>
      <c r="I132" s="46"/>
      <c r="J132" s="44"/>
      <c r="K132" s="49" t="str">
        <f>IF(SUM(K130:L130)=0,"— não preenchido",IF(ROUND(SUM(K130:L130)-$R133,3)=0,"OK — "&amp;ROUND(SUM(K130:L130),3)&amp;" km","ERRO — dif. de "&amp;ROUND(SUM(K130:L130)-$R133,3)&amp;" km"))</f>
        <v>OK — 112,309 km</v>
      </c>
      <c r="L132" s="44"/>
      <c r="M132" s="49" t="str">
        <f>IF(SUM(M130:O130)=0,"— não preenchido",IF(ROUND(SUM(M130:O130)-$R133,3)=0,"OK — "&amp;ROUND(SUM(M130:O130),3)&amp;" km","ERRO — dif. de "&amp;ROUND(SUM(M130:O130)-$R133,3)&amp;" km"))</f>
        <v>OK — 112,309 km</v>
      </c>
      <c r="N132" s="46"/>
      <c r="O132" s="44"/>
      <c r="P132" s="49" t="str">
        <f>IF(SUM(P130:R130)=0,"— não preenchido",IF(ROUND(SUM(P130:R130)-$R133,3)=0,"OK — "&amp;ROUND(SUM(P130:R130),3)&amp;" km","ERRO — dif. de "&amp;ROUND(SUM(P130:R130)-$R133,3)&amp;" km"))</f>
        <v>OK — 112,309 km</v>
      </c>
      <c r="Q132" s="46"/>
      <c r="R132" s="44"/>
      <c r="S132" s="49" t="str">
        <f>IF(SUM(S130:U130)=0,"— não preenchido",IF(ROUND(SUM(S130:U130)-$R133,3)=0,"OK — "&amp;ROUND(SUM(S130:U130),3)&amp;" km","ERRO — dif. de "&amp;ROUND(SUM(S130:U130)-$R133,3)&amp;" km"))</f>
        <v>OK — 112,309 km</v>
      </c>
      <c r="T132" s="46"/>
      <c r="U132" s="44"/>
    </row>
    <row r="133" spans="1:22" x14ac:dyDescent="0.25">
      <c r="A133" s="53" t="s">
        <v>69</v>
      </c>
      <c r="B133" s="42"/>
      <c r="C133" s="42"/>
      <c r="D133" s="42"/>
      <c r="E133" s="42"/>
      <c r="R133" s="26">
        <f>SUM(E9:E124)</f>
        <v>112.30914418946</v>
      </c>
      <c r="V133" s="8" t="str">
        <f>COUNTIF(W9:W124,"OK")&amp;" de "&amp;COUNT($E$9:$E$124)&amp;" linhas conferidas"</f>
        <v>114 de 114 linhas conferidas</v>
      </c>
    </row>
    <row r="135" spans="1:22" x14ac:dyDescent="0.25">
      <c r="A135" s="62" t="s">
        <v>70</v>
      </c>
      <c r="B135" s="42"/>
      <c r="C135" s="42"/>
      <c r="D135" s="42"/>
      <c r="E135" s="42"/>
    </row>
    <row r="136" spans="1:22" x14ac:dyDescent="0.25">
      <c r="A136" s="53" t="s">
        <v>71</v>
      </c>
      <c r="B136" s="42"/>
      <c r="C136" s="42"/>
      <c r="D136" s="42"/>
      <c r="E136" s="48" t="s">
        <v>72</v>
      </c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</row>
    <row r="137" spans="1:22" x14ac:dyDescent="0.25">
      <c r="A137" s="53" t="s">
        <v>73</v>
      </c>
      <c r="B137" s="42"/>
      <c r="C137" s="42"/>
      <c r="D137" s="42"/>
      <c r="E137" s="48" t="s">
        <v>74</v>
      </c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</row>
    <row r="138" spans="1:22" x14ac:dyDescent="0.25">
      <c r="A138" s="53" t="s">
        <v>75</v>
      </c>
      <c r="B138" s="42"/>
      <c r="C138" s="42"/>
      <c r="D138" s="42"/>
      <c r="E138" s="48" t="s">
        <v>76</v>
      </c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</row>
    <row r="139" spans="1:22" x14ac:dyDescent="0.25">
      <c r="A139" s="53" t="s">
        <v>77</v>
      </c>
      <c r="B139" s="42"/>
      <c r="C139" s="42"/>
      <c r="D139" s="42"/>
      <c r="E139" s="48" t="s">
        <v>78</v>
      </c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</row>
    <row r="140" spans="1:22" x14ac:dyDescent="0.25">
      <c r="A140" s="53" t="s">
        <v>79</v>
      </c>
      <c r="B140" s="42"/>
      <c r="C140" s="42"/>
      <c r="D140" s="42"/>
      <c r="E140" s="48" t="s">
        <v>80</v>
      </c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</row>
    <row r="141" spans="1:22" x14ac:dyDescent="0.25">
      <c r="A141" s="53" t="s">
        <v>45</v>
      </c>
      <c r="B141" s="42"/>
      <c r="C141" s="42"/>
      <c r="D141" s="42"/>
      <c r="E141" s="48" t="s">
        <v>81</v>
      </c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</row>
    <row r="142" spans="1:22" x14ac:dyDescent="0.25">
      <c r="A142" s="53" t="s">
        <v>82</v>
      </c>
      <c r="B142" s="42"/>
      <c r="C142" s="42"/>
      <c r="D142" s="42"/>
      <c r="E142" s="48" t="s">
        <v>83</v>
      </c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</row>
    <row r="143" spans="1:22" x14ac:dyDescent="0.25">
      <c r="A143" s="53" t="s">
        <v>84</v>
      </c>
      <c r="B143" s="42"/>
      <c r="C143" s="42"/>
      <c r="D143" s="42"/>
      <c r="E143" s="48" t="s">
        <v>85</v>
      </c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</row>
    <row r="144" spans="1:22" x14ac:dyDescent="0.25">
      <c r="A144" s="53" t="s">
        <v>11</v>
      </c>
      <c r="B144" s="42"/>
      <c r="C144" s="42"/>
      <c r="D144" s="42"/>
      <c r="E144" s="48" t="s">
        <v>86</v>
      </c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</row>
  </sheetData>
  <sheetProtection formatCells="0"/>
  <mergeCells count="59">
    <mergeCell ref="E140:V140"/>
    <mergeCell ref="A144:D144"/>
    <mergeCell ref="A141:D141"/>
    <mergeCell ref="E143:V143"/>
    <mergeCell ref="E144:V144"/>
    <mergeCell ref="E142:V142"/>
    <mergeCell ref="A143:D143"/>
    <mergeCell ref="A142:D142"/>
    <mergeCell ref="E137:V137"/>
    <mergeCell ref="A132:E132"/>
    <mergeCell ref="A6:A7"/>
    <mergeCell ref="F6:J6"/>
    <mergeCell ref="M6:O6"/>
    <mergeCell ref="G126:K126"/>
    <mergeCell ref="V6:V7"/>
    <mergeCell ref="S6:U6"/>
    <mergeCell ref="F132:J132"/>
    <mergeCell ref="A135:E135"/>
    <mergeCell ref="A126:E126"/>
    <mergeCell ref="A131:E131"/>
    <mergeCell ref="W6:W7"/>
    <mergeCell ref="E141:V141"/>
    <mergeCell ref="A133:E133"/>
    <mergeCell ref="E6:E7"/>
    <mergeCell ref="B6:B7"/>
    <mergeCell ref="A138:D138"/>
    <mergeCell ref="G127:K127"/>
    <mergeCell ref="A130:E130"/>
    <mergeCell ref="A137:D137"/>
    <mergeCell ref="E139:V139"/>
    <mergeCell ref="A139:D139"/>
    <mergeCell ref="E136:V136"/>
    <mergeCell ref="A129:E129"/>
    <mergeCell ref="E138:V138"/>
    <mergeCell ref="S132:U132"/>
    <mergeCell ref="A140:D140"/>
    <mergeCell ref="N2:O2"/>
    <mergeCell ref="P2:Q2"/>
    <mergeCell ref="G2:H2"/>
    <mergeCell ref="I2:J2"/>
    <mergeCell ref="A8:V8"/>
    <mergeCell ref="A4:V4"/>
    <mergeCell ref="A2:F2"/>
    <mergeCell ref="A1:V1"/>
    <mergeCell ref="R2:V2"/>
    <mergeCell ref="K2:M2"/>
    <mergeCell ref="A136:D136"/>
    <mergeCell ref="A105:V105"/>
    <mergeCell ref="M132:O132"/>
    <mergeCell ref="A3:S3"/>
    <mergeCell ref="C6:C7"/>
    <mergeCell ref="K6:L6"/>
    <mergeCell ref="D6:D7"/>
    <mergeCell ref="A127:E127"/>
    <mergeCell ref="P6:R6"/>
    <mergeCell ref="A113:V113"/>
    <mergeCell ref="T3:V3"/>
    <mergeCell ref="P132:R132"/>
    <mergeCell ref="K132:L132"/>
  </mergeCells>
  <conditionalFormatting sqref="F9:J124">
    <cfRule type="expression" dxfId="36" priority="1">
      <formula>AND(F9&lt;&gt;"",COUNTIF($F9:$J9,"X")&gt;1)</formula>
    </cfRule>
  </conditionalFormatting>
  <conditionalFormatting sqref="F132:U132">
    <cfRule type="expression" dxfId="35" priority="8">
      <formula>LEFT(F132,4)="ERRO"</formula>
    </cfRule>
    <cfRule type="expression" dxfId="34" priority="9">
      <formula>LEFT(F132,2)="OK"</formula>
    </cfRule>
  </conditionalFormatting>
  <conditionalFormatting sqref="K9:L124">
    <cfRule type="expression" dxfId="33" priority="2">
      <formula>AND(K9&lt;&gt;"",COUNTIF($K9:$L9,"X")&gt;1)</formula>
    </cfRule>
  </conditionalFormatting>
  <conditionalFormatting sqref="M9:O124">
    <cfRule type="expression" dxfId="32" priority="3">
      <formula>AND(M9&lt;&gt;"",COUNTIF($M9:$O9,"X")&gt;1)</formula>
    </cfRule>
  </conditionalFormatting>
  <conditionalFormatting sqref="P9:R124">
    <cfRule type="expression" dxfId="31" priority="4">
      <formula>AND(P9&lt;&gt;"",COUNTIF($P9:$R9,"X")&gt;1)</formula>
    </cfRule>
  </conditionalFormatting>
  <conditionalFormatting sqref="S9:U124">
    <cfRule type="expression" dxfId="30" priority="5">
      <formula>AND(S9&lt;&gt;"",COUNTIF($S9:$U9,"X")&gt;1)</formula>
    </cfRule>
  </conditionalFormatting>
  <conditionalFormatting sqref="W9:W124">
    <cfRule type="expression" dxfId="29" priority="6">
      <formula>AND(W9&lt;&gt;"OK",W9&lt;&gt;"")</formula>
    </cfRule>
    <cfRule type="expression" dxfId="2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24" xr:uid="{00000000-0002-0000-0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24" xr:uid="{00000000-0002-0000-0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24" xr:uid="{00000000-0002-0000-0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24" xr:uid="{00000000-0002-0000-0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24" xr:uid="{00000000-0002-0000-0A00-000004000000}">
      <formula1>AND(UPPER(S9)="X",COUNTIF($S9:$U9,"X")&lt;=1)</formula1>
    </dataValidation>
    <dataValidation type="list" showErrorMessage="1" errorTitle="Sentido inválido" error="Use C (crescente) ou D (decrescente)." sqref="B9:B124" xr:uid="{00000000-0002-0000-0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218</oddHeader>
    <oddFooter>&amp;L&amp;7 RTA / MSI — Programa de Manutenção Rodoviária&amp;C&amp;7 Página &amp;P de &amp;N&amp;R&amp;7 Impresso em &amp;D</oddFooter>
  </headerFooter>
  <rowBreaks count="1" manualBreakCount="1">
    <brk id="127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N79"/>
  <sheetViews>
    <sheetView showGridLines="0" workbookViewId="0">
      <pane xSplit="5" ySplit="7" topLeftCell="F64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1" t="s">
        <v>36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Y1" s="1" t="s">
        <v>1</v>
      </c>
    </row>
    <row r="2" spans="1:40" ht="17.100000000000001" customHeight="1" x14ac:dyDescent="0.25">
      <c r="A2" s="54" t="s">
        <v>37</v>
      </c>
      <c r="B2" s="42"/>
      <c r="C2" s="42"/>
      <c r="D2" s="42"/>
      <c r="E2" s="42"/>
      <c r="F2" s="42"/>
      <c r="G2" s="50" t="s">
        <v>38</v>
      </c>
      <c r="H2" s="42"/>
      <c r="I2" s="51">
        <v>46266</v>
      </c>
      <c r="J2" s="52"/>
      <c r="K2" s="50" t="s">
        <v>39</v>
      </c>
      <c r="L2" s="42"/>
      <c r="M2" s="42"/>
      <c r="N2" s="55"/>
      <c r="O2" s="52"/>
      <c r="P2" s="50" t="s">
        <v>40</v>
      </c>
      <c r="Q2" s="42"/>
      <c r="R2" s="56" t="s">
        <v>154</v>
      </c>
      <c r="S2" s="57"/>
      <c r="T2" s="57"/>
      <c r="U2" s="57"/>
      <c r="V2" s="52"/>
      <c r="Y2" s="2">
        <f t="shared" ref="Y2:AN2" si="0">IF(F65=0,NA(),F65)</f>
        <v>50.300052115100002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50.300052115100002</v>
      </c>
      <c r="AE2" s="2" t="e">
        <f t="shared" si="0"/>
        <v>#N/A</v>
      </c>
      <c r="AF2" s="2" t="e">
        <f t="shared" si="0"/>
        <v>#N/A</v>
      </c>
      <c r="AG2" s="2">
        <f t="shared" si="0"/>
        <v>50.300052115100002</v>
      </c>
      <c r="AH2" s="2" t="e">
        <f t="shared" si="0"/>
        <v>#N/A</v>
      </c>
      <c r="AI2" s="2">
        <f t="shared" si="0"/>
        <v>50.300052115100002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4</v>
      </c>
      <c r="AN2" s="2">
        <f t="shared" si="0"/>
        <v>46.300052115100002</v>
      </c>
    </row>
    <row r="3" spans="1:40" ht="15" customHeight="1" x14ac:dyDescent="0.25">
      <c r="A3" s="63" t="s">
        <v>139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50" t="s">
        <v>140</v>
      </c>
      <c r="U3" s="42"/>
      <c r="V3" s="42"/>
    </row>
    <row r="4" spans="1:40" ht="20.100000000000001" customHeight="1" x14ac:dyDescent="0.25">
      <c r="A4" s="47" t="s">
        <v>43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6" spans="1:40" ht="21.95" customHeight="1" x14ac:dyDescent="0.25">
      <c r="A6" s="43" t="s">
        <v>44</v>
      </c>
      <c r="B6" s="43" t="s">
        <v>45</v>
      </c>
      <c r="C6" s="43" t="s">
        <v>46</v>
      </c>
      <c r="D6" s="43" t="s">
        <v>47</v>
      </c>
      <c r="E6" s="43" t="s">
        <v>48</v>
      </c>
      <c r="F6" s="43" t="s">
        <v>6</v>
      </c>
      <c r="G6" s="46"/>
      <c r="H6" s="46"/>
      <c r="I6" s="46"/>
      <c r="J6" s="44"/>
      <c r="K6" s="43" t="s">
        <v>7</v>
      </c>
      <c r="L6" s="44"/>
      <c r="M6" s="43" t="s">
        <v>8</v>
      </c>
      <c r="N6" s="46"/>
      <c r="O6" s="44"/>
      <c r="P6" s="43" t="s">
        <v>9</v>
      </c>
      <c r="Q6" s="46"/>
      <c r="R6" s="44"/>
      <c r="S6" s="43" t="s">
        <v>10</v>
      </c>
      <c r="T6" s="46"/>
      <c r="U6" s="44"/>
      <c r="V6" s="43" t="s">
        <v>49</v>
      </c>
      <c r="W6" s="43" t="s">
        <v>50</v>
      </c>
    </row>
    <row r="7" spans="1:40" ht="20.100000000000001" customHeight="1" x14ac:dyDescent="0.25">
      <c r="A7" s="45"/>
      <c r="B7" s="45"/>
      <c r="C7" s="45"/>
      <c r="D7" s="45"/>
      <c r="E7" s="4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45"/>
      <c r="W7" s="45"/>
    </row>
    <row r="8" spans="1:40" ht="15.95" customHeight="1" x14ac:dyDescent="0.25">
      <c r="A8" s="59" t="s">
        <v>141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4"/>
      <c r="W8" s="4"/>
    </row>
    <row r="9" spans="1:40" ht="20.100000000000001" customHeight="1" x14ac:dyDescent="0.25">
      <c r="A9" s="12" t="s">
        <v>142</v>
      </c>
      <c r="B9" s="13" t="s">
        <v>53</v>
      </c>
      <c r="C9" s="14">
        <v>0</v>
      </c>
      <c r="D9" s="14">
        <v>1</v>
      </c>
      <c r="E9" s="14">
        <f t="shared" ref="E9:E40" si="1">D9-C9</f>
        <v>1</v>
      </c>
      <c r="F9" s="15" t="s">
        <v>54</v>
      </c>
      <c r="G9" s="15"/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 t="s">
        <v>54</v>
      </c>
      <c r="Q9" s="15"/>
      <c r="R9" s="15"/>
      <c r="S9" s="15"/>
      <c r="T9" s="15" t="s">
        <v>54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142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 t="s">
        <v>54</v>
      </c>
      <c r="G10" s="15"/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 t="s">
        <v>54</v>
      </c>
      <c r="Q10" s="15"/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142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 t="s">
        <v>54</v>
      </c>
      <c r="G11" s="15"/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 t="s">
        <v>54</v>
      </c>
      <c r="Q11" s="15"/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142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 t="s">
        <v>54</v>
      </c>
      <c r="G12" s="15"/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 t="s">
        <v>54</v>
      </c>
      <c r="Q12" s="15"/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142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 t="s">
        <v>54</v>
      </c>
      <c r="G13" s="15"/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 t="s">
        <v>54</v>
      </c>
      <c r="Q13" s="15"/>
      <c r="R13" s="15"/>
      <c r="S13" s="15"/>
      <c r="T13" s="15"/>
      <c r="U13" s="15" t="s">
        <v>54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142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 t="s">
        <v>54</v>
      </c>
      <c r="G14" s="15"/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 t="s">
        <v>54</v>
      </c>
      <c r="Q14" s="15"/>
      <c r="R14" s="15"/>
      <c r="S14" s="15"/>
      <c r="T14" s="15"/>
      <c r="U14" s="15" t="s">
        <v>54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142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 t="s">
        <v>54</v>
      </c>
      <c r="G15" s="15"/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 t="s">
        <v>54</v>
      </c>
      <c r="Q15" s="15"/>
      <c r="R15" s="15"/>
      <c r="S15" s="15"/>
      <c r="T15" s="15"/>
      <c r="U15" s="15" t="s">
        <v>54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142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 t="s">
        <v>54</v>
      </c>
      <c r="G16" s="15"/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 t="s">
        <v>54</v>
      </c>
      <c r="Q16" s="15"/>
      <c r="R16" s="15"/>
      <c r="S16" s="15"/>
      <c r="T16" s="15"/>
      <c r="U16" s="15" t="s">
        <v>54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142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 t="s">
        <v>54</v>
      </c>
      <c r="G17" s="15"/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 t="s">
        <v>54</v>
      </c>
      <c r="Q17" s="15"/>
      <c r="R17" s="15"/>
      <c r="S17" s="15"/>
      <c r="T17" s="15"/>
      <c r="U17" s="15" t="s">
        <v>54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142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 t="s">
        <v>54</v>
      </c>
      <c r="G18" s="15"/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 t="s">
        <v>54</v>
      </c>
      <c r="Q18" s="15"/>
      <c r="R18" s="15"/>
      <c r="S18" s="15"/>
      <c r="T18" s="15"/>
      <c r="U18" s="15" t="s">
        <v>54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142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 t="s">
        <v>54</v>
      </c>
      <c r="G19" s="15"/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 t="s">
        <v>54</v>
      </c>
      <c r="Q19" s="15"/>
      <c r="R19" s="15"/>
      <c r="S19" s="15"/>
      <c r="T19" s="15"/>
      <c r="U19" s="15" t="s">
        <v>54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142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 t="s">
        <v>54</v>
      </c>
      <c r="G20" s="15"/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 t="s">
        <v>54</v>
      </c>
      <c r="Q20" s="15"/>
      <c r="R20" s="15"/>
      <c r="S20" s="15"/>
      <c r="T20" s="15"/>
      <c r="U20" s="15" t="s">
        <v>54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142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 t="s">
        <v>54</v>
      </c>
      <c r="G21" s="15"/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 t="s">
        <v>54</v>
      </c>
      <c r="Q21" s="15"/>
      <c r="R21" s="15"/>
      <c r="S21" s="15"/>
      <c r="T21" s="15"/>
      <c r="U21" s="15" t="s">
        <v>54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142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 t="s">
        <v>54</v>
      </c>
      <c r="G22" s="15"/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 t="s">
        <v>54</v>
      </c>
      <c r="Q22" s="15"/>
      <c r="R22" s="15"/>
      <c r="S22" s="15"/>
      <c r="T22" s="15"/>
      <c r="U22" s="15" t="s">
        <v>54</v>
      </c>
      <c r="V22" s="16"/>
      <c r="W22" s="17" t="str">
        <f t="shared" si="2"/>
        <v>OK</v>
      </c>
    </row>
    <row r="23" spans="1:23" ht="20.100000000000001" customHeight="1" x14ac:dyDescent="0.25">
      <c r="A23" s="12" t="s">
        <v>142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 t="s">
        <v>54</v>
      </c>
      <c r="G23" s="15"/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 t="s">
        <v>54</v>
      </c>
      <c r="Q23" s="15"/>
      <c r="R23" s="15"/>
      <c r="S23" s="15"/>
      <c r="T23" s="15"/>
      <c r="U23" s="15" t="s">
        <v>54</v>
      </c>
      <c r="V23" s="16"/>
      <c r="W23" s="17" t="str">
        <f t="shared" si="2"/>
        <v>OK</v>
      </c>
    </row>
    <row r="24" spans="1:23" ht="20.100000000000001" customHeight="1" x14ac:dyDescent="0.25">
      <c r="A24" s="12" t="s">
        <v>142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 t="s">
        <v>54</v>
      </c>
      <c r="G24" s="15"/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 t="s">
        <v>54</v>
      </c>
      <c r="Q24" s="15"/>
      <c r="R24" s="15"/>
      <c r="S24" s="15"/>
      <c r="T24" s="15"/>
      <c r="U24" s="15" t="s">
        <v>54</v>
      </c>
      <c r="V24" s="16"/>
      <c r="W24" s="17" t="str">
        <f t="shared" si="2"/>
        <v>OK</v>
      </c>
    </row>
    <row r="25" spans="1:23" ht="20.100000000000001" customHeight="1" x14ac:dyDescent="0.25">
      <c r="A25" s="12" t="s">
        <v>142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 t="s">
        <v>54</v>
      </c>
      <c r="G25" s="15"/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 t="s">
        <v>54</v>
      </c>
      <c r="Q25" s="15"/>
      <c r="R25" s="15"/>
      <c r="S25" s="15"/>
      <c r="T25" s="15"/>
      <c r="U25" s="15" t="s">
        <v>54</v>
      </c>
      <c r="V25" s="16"/>
      <c r="W25" s="17" t="str">
        <f t="shared" si="2"/>
        <v>OK</v>
      </c>
    </row>
    <row r="26" spans="1:23" ht="20.100000000000001" customHeight="1" x14ac:dyDescent="0.25">
      <c r="A26" s="12" t="s">
        <v>142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 t="s">
        <v>54</v>
      </c>
      <c r="G26" s="15"/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 t="s">
        <v>54</v>
      </c>
      <c r="Q26" s="15"/>
      <c r="R26" s="15"/>
      <c r="S26" s="15"/>
      <c r="T26" s="15"/>
      <c r="U26" s="15" t="s">
        <v>54</v>
      </c>
      <c r="V26" s="16"/>
      <c r="W26" s="17" t="str">
        <f t="shared" si="2"/>
        <v>OK</v>
      </c>
    </row>
    <row r="27" spans="1:23" ht="20.100000000000001" customHeight="1" x14ac:dyDescent="0.25">
      <c r="A27" s="12" t="s">
        <v>142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 t="s">
        <v>54</v>
      </c>
      <c r="G27" s="15"/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 t="s">
        <v>54</v>
      </c>
      <c r="Q27" s="15"/>
      <c r="R27" s="15"/>
      <c r="S27" s="15"/>
      <c r="T27" s="15"/>
      <c r="U27" s="15" t="s">
        <v>54</v>
      </c>
      <c r="V27" s="16"/>
      <c r="W27" s="17" t="str">
        <f t="shared" si="2"/>
        <v>OK</v>
      </c>
    </row>
    <row r="28" spans="1:23" ht="20.100000000000001" customHeight="1" x14ac:dyDescent="0.25">
      <c r="A28" s="12" t="s">
        <v>142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 t="s">
        <v>54</v>
      </c>
      <c r="G28" s="15"/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 t="s">
        <v>54</v>
      </c>
      <c r="Q28" s="15"/>
      <c r="R28" s="15"/>
      <c r="S28" s="15"/>
      <c r="T28" s="15"/>
      <c r="U28" s="15" t="s">
        <v>54</v>
      </c>
      <c r="V28" s="16"/>
      <c r="W28" s="17" t="str">
        <f t="shared" si="2"/>
        <v>OK</v>
      </c>
    </row>
    <row r="29" spans="1:23" ht="20.100000000000001" customHeight="1" x14ac:dyDescent="0.25">
      <c r="A29" s="12" t="s">
        <v>142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 t="s">
        <v>54</v>
      </c>
      <c r="G29" s="15"/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 t="s">
        <v>54</v>
      </c>
      <c r="Q29" s="15"/>
      <c r="R29" s="15"/>
      <c r="S29" s="15"/>
      <c r="T29" s="15"/>
      <c r="U29" s="15" t="s">
        <v>54</v>
      </c>
      <c r="V29" s="16"/>
      <c r="W29" s="17" t="str">
        <f t="shared" si="2"/>
        <v>OK</v>
      </c>
    </row>
    <row r="30" spans="1:23" ht="20.100000000000001" customHeight="1" x14ac:dyDescent="0.25">
      <c r="A30" s="12" t="s">
        <v>142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 t="s">
        <v>54</v>
      </c>
      <c r="G30" s="15"/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 t="s">
        <v>54</v>
      </c>
      <c r="Q30" s="15"/>
      <c r="R30" s="15"/>
      <c r="S30" s="15"/>
      <c r="T30" s="15"/>
      <c r="U30" s="15" t="s">
        <v>54</v>
      </c>
      <c r="V30" s="16"/>
      <c r="W30" s="17" t="str">
        <f t="shared" si="2"/>
        <v>OK</v>
      </c>
    </row>
    <row r="31" spans="1:23" ht="20.100000000000001" customHeight="1" x14ac:dyDescent="0.25">
      <c r="A31" s="12" t="s">
        <v>142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 t="s">
        <v>54</v>
      </c>
      <c r="G31" s="15"/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 t="s">
        <v>54</v>
      </c>
      <c r="Q31" s="15"/>
      <c r="R31" s="15"/>
      <c r="S31" s="15"/>
      <c r="T31" s="15"/>
      <c r="U31" s="15" t="s">
        <v>54</v>
      </c>
      <c r="V31" s="16"/>
      <c r="W31" s="17" t="str">
        <f t="shared" si="2"/>
        <v>OK</v>
      </c>
    </row>
    <row r="32" spans="1:23" ht="20.100000000000001" customHeight="1" x14ac:dyDescent="0.25">
      <c r="A32" s="12" t="s">
        <v>142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 t="s">
        <v>54</v>
      </c>
      <c r="G32" s="15"/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 t="s">
        <v>54</v>
      </c>
      <c r="Q32" s="15"/>
      <c r="R32" s="15"/>
      <c r="S32" s="15"/>
      <c r="T32" s="15"/>
      <c r="U32" s="15" t="s">
        <v>54</v>
      </c>
      <c r="V32" s="16"/>
      <c r="W32" s="17" t="str">
        <f t="shared" si="2"/>
        <v>OK</v>
      </c>
    </row>
    <row r="33" spans="1:23" ht="20.100000000000001" customHeight="1" x14ac:dyDescent="0.25">
      <c r="A33" s="12" t="s">
        <v>142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 t="s">
        <v>54</v>
      </c>
      <c r="G33" s="15"/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 t="s">
        <v>54</v>
      </c>
      <c r="Q33" s="15"/>
      <c r="R33" s="15"/>
      <c r="S33" s="15"/>
      <c r="T33" s="15"/>
      <c r="U33" s="15" t="s">
        <v>54</v>
      </c>
      <c r="V33" s="16"/>
      <c r="W33" s="17" t="str">
        <f t="shared" si="2"/>
        <v>OK</v>
      </c>
    </row>
    <row r="34" spans="1:23" ht="20.100000000000001" customHeight="1" x14ac:dyDescent="0.25">
      <c r="A34" s="12" t="s">
        <v>142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 t="s">
        <v>54</v>
      </c>
      <c r="G34" s="15"/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 t="s">
        <v>54</v>
      </c>
      <c r="Q34" s="15"/>
      <c r="R34" s="15"/>
      <c r="S34" s="15"/>
      <c r="T34" s="15"/>
      <c r="U34" s="15" t="s">
        <v>54</v>
      </c>
      <c r="V34" s="16"/>
      <c r="W34" s="17" t="str">
        <f t="shared" si="2"/>
        <v>OK</v>
      </c>
    </row>
    <row r="35" spans="1:23" ht="20.100000000000001" customHeight="1" x14ac:dyDescent="0.25">
      <c r="A35" s="12" t="s">
        <v>142</v>
      </c>
      <c r="B35" s="13" t="s">
        <v>53</v>
      </c>
      <c r="C35" s="14">
        <v>26</v>
      </c>
      <c r="D35" s="14">
        <v>27</v>
      </c>
      <c r="E35" s="14">
        <f t="shared" si="1"/>
        <v>1</v>
      </c>
      <c r="F35" s="15" t="s">
        <v>54</v>
      </c>
      <c r="G35" s="15"/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 t="s">
        <v>54</v>
      </c>
      <c r="Q35" s="15"/>
      <c r="R35" s="15"/>
      <c r="S35" s="15"/>
      <c r="T35" s="15"/>
      <c r="U35" s="15" t="s">
        <v>54</v>
      </c>
      <c r="V35" s="16"/>
      <c r="W35" s="17" t="str">
        <f t="shared" si="2"/>
        <v>OK</v>
      </c>
    </row>
    <row r="36" spans="1:23" ht="20.100000000000001" customHeight="1" x14ac:dyDescent="0.25">
      <c r="A36" s="12" t="s">
        <v>142</v>
      </c>
      <c r="B36" s="13" t="s">
        <v>53</v>
      </c>
      <c r="C36" s="14">
        <v>27</v>
      </c>
      <c r="D36" s="14">
        <v>28</v>
      </c>
      <c r="E36" s="14">
        <f t="shared" si="1"/>
        <v>1</v>
      </c>
      <c r="F36" s="15" t="s">
        <v>54</v>
      </c>
      <c r="G36" s="15"/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 t="s">
        <v>54</v>
      </c>
      <c r="Q36" s="15"/>
      <c r="R36" s="15"/>
      <c r="S36" s="15"/>
      <c r="T36" s="15"/>
      <c r="U36" s="15" t="s">
        <v>54</v>
      </c>
      <c r="V36" s="16"/>
      <c r="W36" s="17" t="str">
        <f t="shared" si="2"/>
        <v>OK</v>
      </c>
    </row>
    <row r="37" spans="1:23" ht="20.100000000000001" customHeight="1" x14ac:dyDescent="0.25">
      <c r="A37" s="12" t="s">
        <v>142</v>
      </c>
      <c r="B37" s="13" t="s">
        <v>53</v>
      </c>
      <c r="C37" s="14">
        <v>28</v>
      </c>
      <c r="D37" s="14">
        <v>29</v>
      </c>
      <c r="E37" s="14">
        <f t="shared" si="1"/>
        <v>1</v>
      </c>
      <c r="F37" s="15" t="s">
        <v>54</v>
      </c>
      <c r="G37" s="15"/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 t="s">
        <v>54</v>
      </c>
      <c r="Q37" s="15"/>
      <c r="R37" s="15"/>
      <c r="S37" s="15"/>
      <c r="T37" s="15"/>
      <c r="U37" s="15" t="s">
        <v>54</v>
      </c>
      <c r="V37" s="16"/>
      <c r="W37" s="17" t="str">
        <f t="shared" si="2"/>
        <v>OK</v>
      </c>
    </row>
    <row r="38" spans="1:23" ht="20.100000000000001" customHeight="1" x14ac:dyDescent="0.25">
      <c r="A38" s="12" t="s">
        <v>142</v>
      </c>
      <c r="B38" s="13" t="s">
        <v>53</v>
      </c>
      <c r="C38" s="14">
        <v>29</v>
      </c>
      <c r="D38" s="14">
        <v>30</v>
      </c>
      <c r="E38" s="14">
        <f t="shared" si="1"/>
        <v>1</v>
      </c>
      <c r="F38" s="15" t="s">
        <v>54</v>
      </c>
      <c r="G38" s="15"/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 t="s">
        <v>54</v>
      </c>
      <c r="Q38" s="15"/>
      <c r="R38" s="15"/>
      <c r="S38" s="15"/>
      <c r="T38" s="15"/>
      <c r="U38" s="15" t="s">
        <v>54</v>
      </c>
      <c r="V38" s="16"/>
      <c r="W38" s="17" t="str">
        <f t="shared" si="2"/>
        <v>OK</v>
      </c>
    </row>
    <row r="39" spans="1:23" ht="20.100000000000001" customHeight="1" x14ac:dyDescent="0.25">
      <c r="A39" s="12" t="s">
        <v>142</v>
      </c>
      <c r="B39" s="13" t="s">
        <v>53</v>
      </c>
      <c r="C39" s="14">
        <v>30</v>
      </c>
      <c r="D39" s="14">
        <v>31</v>
      </c>
      <c r="E39" s="14">
        <f t="shared" si="1"/>
        <v>1</v>
      </c>
      <c r="F39" s="15" t="s">
        <v>54</v>
      </c>
      <c r="G39" s="15"/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 t="s">
        <v>54</v>
      </c>
      <c r="Q39" s="15"/>
      <c r="R39" s="15"/>
      <c r="S39" s="15"/>
      <c r="T39" s="15"/>
      <c r="U39" s="15" t="s">
        <v>54</v>
      </c>
      <c r="V39" s="16"/>
      <c r="W39" s="17" t="str">
        <f t="shared" si="2"/>
        <v>OK</v>
      </c>
    </row>
    <row r="40" spans="1:23" ht="20.100000000000001" customHeight="1" x14ac:dyDescent="0.25">
      <c r="A40" s="12" t="s">
        <v>142</v>
      </c>
      <c r="B40" s="13" t="s">
        <v>53</v>
      </c>
      <c r="C40" s="14">
        <v>31</v>
      </c>
      <c r="D40" s="14">
        <v>32</v>
      </c>
      <c r="E40" s="14">
        <f t="shared" si="1"/>
        <v>1</v>
      </c>
      <c r="F40" s="15" t="s">
        <v>54</v>
      </c>
      <c r="G40" s="15"/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 t="s">
        <v>54</v>
      </c>
      <c r="Q40" s="15"/>
      <c r="R40" s="15"/>
      <c r="S40" s="15"/>
      <c r="T40" s="15"/>
      <c r="U40" s="15" t="s">
        <v>54</v>
      </c>
      <c r="V40" s="16"/>
      <c r="W40" s="17" t="str">
        <f t="shared" si="2"/>
        <v>OK</v>
      </c>
    </row>
    <row r="41" spans="1:23" ht="20.100000000000001" customHeight="1" x14ac:dyDescent="0.25">
      <c r="A41" s="12" t="s">
        <v>142</v>
      </c>
      <c r="B41" s="13" t="s">
        <v>53</v>
      </c>
      <c r="C41" s="14">
        <v>32</v>
      </c>
      <c r="D41" s="14">
        <v>33</v>
      </c>
      <c r="E41" s="14">
        <f t="shared" ref="E41:E59" si="3">D41-C41</f>
        <v>1</v>
      </c>
      <c r="F41" s="15" t="s">
        <v>54</v>
      </c>
      <c r="G41" s="15"/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 t="s">
        <v>54</v>
      </c>
      <c r="Q41" s="15"/>
      <c r="R41" s="15"/>
      <c r="S41" s="15"/>
      <c r="T41" s="15"/>
      <c r="U41" s="15" t="s">
        <v>54</v>
      </c>
      <c r="V41" s="16"/>
      <c r="W41" s="17" t="str">
        <f t="shared" ref="W41:W59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142</v>
      </c>
      <c r="B42" s="13" t="s">
        <v>53</v>
      </c>
      <c r="C42" s="14">
        <v>33</v>
      </c>
      <c r="D42" s="14">
        <v>34</v>
      </c>
      <c r="E42" s="14">
        <f t="shared" si="3"/>
        <v>1</v>
      </c>
      <c r="F42" s="15" t="s">
        <v>54</v>
      </c>
      <c r="G42" s="15"/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 t="s">
        <v>54</v>
      </c>
      <c r="Q42" s="15"/>
      <c r="R42" s="15"/>
      <c r="S42" s="15"/>
      <c r="T42" s="15"/>
      <c r="U42" s="15" t="s">
        <v>54</v>
      </c>
      <c r="V42" s="16"/>
      <c r="W42" s="17" t="str">
        <f t="shared" si="4"/>
        <v>OK</v>
      </c>
    </row>
    <row r="43" spans="1:23" ht="20.100000000000001" customHeight="1" x14ac:dyDescent="0.25">
      <c r="A43" s="12" t="s">
        <v>142</v>
      </c>
      <c r="B43" s="13" t="s">
        <v>53</v>
      </c>
      <c r="C43" s="14">
        <v>34</v>
      </c>
      <c r="D43" s="14">
        <v>35</v>
      </c>
      <c r="E43" s="14">
        <f t="shared" si="3"/>
        <v>1</v>
      </c>
      <c r="F43" s="15" t="s">
        <v>54</v>
      </c>
      <c r="G43" s="15"/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 t="s">
        <v>54</v>
      </c>
      <c r="Q43" s="15"/>
      <c r="R43" s="15"/>
      <c r="S43" s="15"/>
      <c r="T43" s="15"/>
      <c r="U43" s="15" t="s">
        <v>54</v>
      </c>
      <c r="V43" s="16"/>
      <c r="W43" s="17" t="str">
        <f t="shared" si="4"/>
        <v>OK</v>
      </c>
    </row>
    <row r="44" spans="1:23" ht="20.100000000000001" customHeight="1" x14ac:dyDescent="0.25">
      <c r="A44" s="12" t="s">
        <v>142</v>
      </c>
      <c r="B44" s="13" t="s">
        <v>53</v>
      </c>
      <c r="C44" s="14">
        <v>35</v>
      </c>
      <c r="D44" s="14">
        <v>36</v>
      </c>
      <c r="E44" s="14">
        <f t="shared" si="3"/>
        <v>1</v>
      </c>
      <c r="F44" s="15" t="s">
        <v>54</v>
      </c>
      <c r="G44" s="15"/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 t="s">
        <v>54</v>
      </c>
      <c r="Q44" s="15"/>
      <c r="R44" s="15"/>
      <c r="S44" s="15"/>
      <c r="T44" s="15"/>
      <c r="U44" s="15" t="s">
        <v>54</v>
      </c>
      <c r="V44" s="16"/>
      <c r="W44" s="17" t="str">
        <f t="shared" si="4"/>
        <v>OK</v>
      </c>
    </row>
    <row r="45" spans="1:23" ht="20.100000000000001" customHeight="1" x14ac:dyDescent="0.25">
      <c r="A45" s="12" t="s">
        <v>142</v>
      </c>
      <c r="B45" s="13" t="s">
        <v>53</v>
      </c>
      <c r="C45" s="14">
        <v>36</v>
      </c>
      <c r="D45" s="14">
        <v>37</v>
      </c>
      <c r="E45" s="14">
        <f t="shared" si="3"/>
        <v>1</v>
      </c>
      <c r="F45" s="15" t="s">
        <v>54</v>
      </c>
      <c r="G45" s="15"/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 t="s">
        <v>54</v>
      </c>
      <c r="Q45" s="15"/>
      <c r="R45" s="15"/>
      <c r="S45" s="15"/>
      <c r="T45" s="15"/>
      <c r="U45" s="15" t="s">
        <v>54</v>
      </c>
      <c r="V45" s="16"/>
      <c r="W45" s="17" t="str">
        <f t="shared" si="4"/>
        <v>OK</v>
      </c>
    </row>
    <row r="46" spans="1:23" ht="20.100000000000001" customHeight="1" x14ac:dyDescent="0.25">
      <c r="A46" s="12" t="s">
        <v>142</v>
      </c>
      <c r="B46" s="13" t="s">
        <v>53</v>
      </c>
      <c r="C46" s="14">
        <v>37</v>
      </c>
      <c r="D46" s="14">
        <v>38</v>
      </c>
      <c r="E46" s="14">
        <f t="shared" si="3"/>
        <v>1</v>
      </c>
      <c r="F46" s="15" t="s">
        <v>54</v>
      </c>
      <c r="G46" s="15"/>
      <c r="H46" s="15"/>
      <c r="I46" s="15"/>
      <c r="J46" s="15"/>
      <c r="K46" s="15" t="s">
        <v>54</v>
      </c>
      <c r="L46" s="15"/>
      <c r="M46" s="15"/>
      <c r="N46" s="15" t="s">
        <v>54</v>
      </c>
      <c r="O46" s="15"/>
      <c r="P46" s="15" t="s">
        <v>54</v>
      </c>
      <c r="Q46" s="15"/>
      <c r="R46" s="15"/>
      <c r="S46" s="15"/>
      <c r="T46" s="15"/>
      <c r="U46" s="15" t="s">
        <v>54</v>
      </c>
      <c r="V46" s="16"/>
      <c r="W46" s="17" t="str">
        <f t="shared" si="4"/>
        <v>OK</v>
      </c>
    </row>
    <row r="47" spans="1:23" ht="20.100000000000001" customHeight="1" x14ac:dyDescent="0.25">
      <c r="A47" s="12" t="s">
        <v>142</v>
      </c>
      <c r="B47" s="13" t="s">
        <v>53</v>
      </c>
      <c r="C47" s="14">
        <v>38</v>
      </c>
      <c r="D47" s="14">
        <v>39</v>
      </c>
      <c r="E47" s="14">
        <f t="shared" si="3"/>
        <v>1</v>
      </c>
      <c r="F47" s="15" t="s">
        <v>54</v>
      </c>
      <c r="G47" s="15"/>
      <c r="H47" s="15"/>
      <c r="I47" s="15"/>
      <c r="J47" s="15"/>
      <c r="K47" s="15" t="s">
        <v>54</v>
      </c>
      <c r="L47" s="15"/>
      <c r="M47" s="15"/>
      <c r="N47" s="15" t="s">
        <v>54</v>
      </c>
      <c r="O47" s="15"/>
      <c r="P47" s="15" t="s">
        <v>54</v>
      </c>
      <c r="Q47" s="15"/>
      <c r="R47" s="15"/>
      <c r="S47" s="15"/>
      <c r="T47" s="15"/>
      <c r="U47" s="15" t="s">
        <v>54</v>
      </c>
      <c r="V47" s="16"/>
      <c r="W47" s="17" t="str">
        <f t="shared" si="4"/>
        <v>OK</v>
      </c>
    </row>
    <row r="48" spans="1:23" ht="20.100000000000001" customHeight="1" x14ac:dyDescent="0.25">
      <c r="A48" s="12" t="s">
        <v>142</v>
      </c>
      <c r="B48" s="13" t="s">
        <v>53</v>
      </c>
      <c r="C48" s="14">
        <v>39</v>
      </c>
      <c r="D48" s="14">
        <v>40</v>
      </c>
      <c r="E48" s="14">
        <f t="shared" si="3"/>
        <v>1</v>
      </c>
      <c r="F48" s="15" t="s">
        <v>54</v>
      </c>
      <c r="G48" s="15"/>
      <c r="H48" s="15"/>
      <c r="I48" s="15"/>
      <c r="J48" s="15"/>
      <c r="K48" s="15" t="s">
        <v>54</v>
      </c>
      <c r="L48" s="15"/>
      <c r="M48" s="15"/>
      <c r="N48" s="15" t="s">
        <v>54</v>
      </c>
      <c r="O48" s="15"/>
      <c r="P48" s="15" t="s">
        <v>54</v>
      </c>
      <c r="Q48" s="15"/>
      <c r="R48" s="15"/>
      <c r="S48" s="15"/>
      <c r="T48" s="15"/>
      <c r="U48" s="15" t="s">
        <v>54</v>
      </c>
      <c r="V48" s="16"/>
      <c r="W48" s="17" t="str">
        <f t="shared" si="4"/>
        <v>OK</v>
      </c>
    </row>
    <row r="49" spans="1:23" ht="20.100000000000001" customHeight="1" x14ac:dyDescent="0.25">
      <c r="A49" s="12" t="s">
        <v>142</v>
      </c>
      <c r="B49" s="13" t="s">
        <v>53</v>
      </c>
      <c r="C49" s="14">
        <v>40</v>
      </c>
      <c r="D49" s="14">
        <v>41</v>
      </c>
      <c r="E49" s="14">
        <f t="shared" si="3"/>
        <v>1</v>
      </c>
      <c r="F49" s="15" t="s">
        <v>54</v>
      </c>
      <c r="G49" s="15"/>
      <c r="H49" s="15"/>
      <c r="I49" s="15"/>
      <c r="J49" s="15"/>
      <c r="K49" s="15" t="s">
        <v>54</v>
      </c>
      <c r="L49" s="15"/>
      <c r="M49" s="15"/>
      <c r="N49" s="15" t="s">
        <v>54</v>
      </c>
      <c r="O49" s="15"/>
      <c r="P49" s="15" t="s">
        <v>54</v>
      </c>
      <c r="Q49" s="15"/>
      <c r="R49" s="15"/>
      <c r="S49" s="15"/>
      <c r="T49" s="15"/>
      <c r="U49" s="15" t="s">
        <v>54</v>
      </c>
      <c r="V49" s="16"/>
      <c r="W49" s="17" t="str">
        <f t="shared" si="4"/>
        <v>OK</v>
      </c>
    </row>
    <row r="50" spans="1:23" ht="20.100000000000001" customHeight="1" x14ac:dyDescent="0.25">
      <c r="A50" s="12" t="s">
        <v>142</v>
      </c>
      <c r="B50" s="13" t="s">
        <v>53</v>
      </c>
      <c r="C50" s="14">
        <v>41</v>
      </c>
      <c r="D50" s="14">
        <v>42</v>
      </c>
      <c r="E50" s="14">
        <f t="shared" si="3"/>
        <v>1</v>
      </c>
      <c r="F50" s="15" t="s">
        <v>54</v>
      </c>
      <c r="G50" s="15"/>
      <c r="H50" s="15"/>
      <c r="I50" s="15"/>
      <c r="J50" s="15"/>
      <c r="K50" s="15" t="s">
        <v>54</v>
      </c>
      <c r="L50" s="15"/>
      <c r="M50" s="15"/>
      <c r="N50" s="15" t="s">
        <v>54</v>
      </c>
      <c r="O50" s="15"/>
      <c r="P50" s="15" t="s">
        <v>54</v>
      </c>
      <c r="Q50" s="15"/>
      <c r="R50" s="15"/>
      <c r="S50" s="15"/>
      <c r="T50" s="15"/>
      <c r="U50" s="15" t="s">
        <v>54</v>
      </c>
      <c r="V50" s="16"/>
      <c r="W50" s="17" t="str">
        <f t="shared" si="4"/>
        <v>OK</v>
      </c>
    </row>
    <row r="51" spans="1:23" ht="20.100000000000001" customHeight="1" x14ac:dyDescent="0.25">
      <c r="A51" s="12" t="s">
        <v>142</v>
      </c>
      <c r="B51" s="13" t="s">
        <v>53</v>
      </c>
      <c r="C51" s="14">
        <v>42</v>
      </c>
      <c r="D51" s="14">
        <v>43</v>
      </c>
      <c r="E51" s="14">
        <f t="shared" si="3"/>
        <v>1</v>
      </c>
      <c r="F51" s="15" t="s">
        <v>54</v>
      </c>
      <c r="G51" s="15"/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 t="s">
        <v>54</v>
      </c>
      <c r="Q51" s="15"/>
      <c r="R51" s="15"/>
      <c r="S51" s="15"/>
      <c r="T51" s="15"/>
      <c r="U51" s="15" t="s">
        <v>54</v>
      </c>
      <c r="V51" s="16"/>
      <c r="W51" s="17" t="str">
        <f t="shared" si="4"/>
        <v>OK</v>
      </c>
    </row>
    <row r="52" spans="1:23" ht="20.100000000000001" customHeight="1" x14ac:dyDescent="0.25">
      <c r="A52" s="12" t="s">
        <v>142</v>
      </c>
      <c r="B52" s="13" t="s">
        <v>53</v>
      </c>
      <c r="C52" s="14">
        <v>43</v>
      </c>
      <c r="D52" s="14">
        <v>44</v>
      </c>
      <c r="E52" s="14">
        <f t="shared" si="3"/>
        <v>1</v>
      </c>
      <c r="F52" s="15" t="s">
        <v>54</v>
      </c>
      <c r="G52" s="15"/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 t="s">
        <v>54</v>
      </c>
      <c r="Q52" s="15"/>
      <c r="R52" s="15"/>
      <c r="S52" s="15"/>
      <c r="T52" s="15"/>
      <c r="U52" s="15" t="s">
        <v>54</v>
      </c>
      <c r="V52" s="16"/>
      <c r="W52" s="17" t="str">
        <f t="shared" si="4"/>
        <v>OK</v>
      </c>
    </row>
    <row r="53" spans="1:23" ht="20.100000000000001" customHeight="1" x14ac:dyDescent="0.25">
      <c r="A53" s="12" t="s">
        <v>142</v>
      </c>
      <c r="B53" s="13" t="s">
        <v>53</v>
      </c>
      <c r="C53" s="14">
        <v>44</v>
      </c>
      <c r="D53" s="14">
        <v>45</v>
      </c>
      <c r="E53" s="14">
        <f t="shared" si="3"/>
        <v>1</v>
      </c>
      <c r="F53" s="15" t="s">
        <v>54</v>
      </c>
      <c r="G53" s="15"/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 t="s">
        <v>54</v>
      </c>
      <c r="Q53" s="15"/>
      <c r="R53" s="15"/>
      <c r="S53" s="15"/>
      <c r="T53" s="15"/>
      <c r="U53" s="15" t="s">
        <v>54</v>
      </c>
      <c r="V53" s="16"/>
      <c r="W53" s="17" t="str">
        <f t="shared" si="4"/>
        <v>OK</v>
      </c>
    </row>
    <row r="54" spans="1:23" ht="20.100000000000001" customHeight="1" x14ac:dyDescent="0.25">
      <c r="A54" s="12" t="s">
        <v>142</v>
      </c>
      <c r="B54" s="13" t="s">
        <v>53</v>
      </c>
      <c r="C54" s="14">
        <v>45</v>
      </c>
      <c r="D54" s="14">
        <v>46</v>
      </c>
      <c r="E54" s="14">
        <f t="shared" si="3"/>
        <v>1</v>
      </c>
      <c r="F54" s="15" t="s">
        <v>54</v>
      </c>
      <c r="G54" s="15"/>
      <c r="H54" s="15"/>
      <c r="I54" s="15"/>
      <c r="J54" s="15"/>
      <c r="K54" s="15" t="s">
        <v>54</v>
      </c>
      <c r="L54" s="15"/>
      <c r="M54" s="15"/>
      <c r="N54" s="15" t="s">
        <v>54</v>
      </c>
      <c r="O54" s="15"/>
      <c r="P54" s="15" t="s">
        <v>54</v>
      </c>
      <c r="Q54" s="15"/>
      <c r="R54" s="15"/>
      <c r="S54" s="15"/>
      <c r="T54" s="15"/>
      <c r="U54" s="15" t="s">
        <v>54</v>
      </c>
      <c r="V54" s="16"/>
      <c r="W54" s="17" t="str">
        <f t="shared" si="4"/>
        <v>OK</v>
      </c>
    </row>
    <row r="55" spans="1:23" ht="20.100000000000001" customHeight="1" x14ac:dyDescent="0.25">
      <c r="A55" s="12" t="s">
        <v>142</v>
      </c>
      <c r="B55" s="13" t="s">
        <v>53</v>
      </c>
      <c r="C55" s="14">
        <v>46</v>
      </c>
      <c r="D55" s="14">
        <v>47</v>
      </c>
      <c r="E55" s="14">
        <f t="shared" si="3"/>
        <v>1</v>
      </c>
      <c r="F55" s="15" t="s">
        <v>54</v>
      </c>
      <c r="G55" s="15"/>
      <c r="H55" s="15"/>
      <c r="I55" s="15"/>
      <c r="J55" s="15"/>
      <c r="K55" s="15" t="s">
        <v>54</v>
      </c>
      <c r="L55" s="15"/>
      <c r="M55" s="15"/>
      <c r="N55" s="15" t="s">
        <v>54</v>
      </c>
      <c r="O55" s="15"/>
      <c r="P55" s="15" t="s">
        <v>54</v>
      </c>
      <c r="Q55" s="15"/>
      <c r="R55" s="15"/>
      <c r="S55" s="15"/>
      <c r="T55" s="15"/>
      <c r="U55" s="15" t="s">
        <v>54</v>
      </c>
      <c r="V55" s="16"/>
      <c r="W55" s="17" t="str">
        <f t="shared" si="4"/>
        <v>OK</v>
      </c>
    </row>
    <row r="56" spans="1:23" ht="20.100000000000001" customHeight="1" x14ac:dyDescent="0.25">
      <c r="A56" s="12" t="s">
        <v>142</v>
      </c>
      <c r="B56" s="13" t="s">
        <v>53</v>
      </c>
      <c r="C56" s="14">
        <v>47</v>
      </c>
      <c r="D56" s="14">
        <v>48</v>
      </c>
      <c r="E56" s="14">
        <f t="shared" si="3"/>
        <v>1</v>
      </c>
      <c r="F56" s="15" t="s">
        <v>54</v>
      </c>
      <c r="G56" s="15"/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 t="s">
        <v>54</v>
      </c>
      <c r="Q56" s="15"/>
      <c r="R56" s="15"/>
      <c r="S56" s="15"/>
      <c r="T56" s="15"/>
      <c r="U56" s="15" t="s">
        <v>54</v>
      </c>
      <c r="V56" s="16"/>
      <c r="W56" s="17" t="str">
        <f t="shared" si="4"/>
        <v>OK</v>
      </c>
    </row>
    <row r="57" spans="1:23" ht="20.100000000000001" customHeight="1" x14ac:dyDescent="0.25">
      <c r="A57" s="12" t="s">
        <v>142</v>
      </c>
      <c r="B57" s="13" t="s">
        <v>53</v>
      </c>
      <c r="C57" s="14">
        <v>48</v>
      </c>
      <c r="D57" s="14">
        <v>49</v>
      </c>
      <c r="E57" s="14">
        <f t="shared" si="3"/>
        <v>1</v>
      </c>
      <c r="F57" s="15" t="s">
        <v>54</v>
      </c>
      <c r="G57" s="15"/>
      <c r="H57" s="15"/>
      <c r="I57" s="15"/>
      <c r="J57" s="15"/>
      <c r="K57" s="15" t="s">
        <v>54</v>
      </c>
      <c r="L57" s="15"/>
      <c r="M57" s="15"/>
      <c r="N57" s="15" t="s">
        <v>54</v>
      </c>
      <c r="O57" s="15"/>
      <c r="P57" s="15" t="s">
        <v>54</v>
      </c>
      <c r="Q57" s="15"/>
      <c r="R57" s="15"/>
      <c r="S57" s="15"/>
      <c r="T57" s="15"/>
      <c r="U57" s="15" t="s">
        <v>54</v>
      </c>
      <c r="V57" s="16"/>
      <c r="W57" s="17" t="str">
        <f t="shared" si="4"/>
        <v>OK</v>
      </c>
    </row>
    <row r="58" spans="1:23" ht="20.100000000000001" customHeight="1" x14ac:dyDescent="0.25">
      <c r="A58" s="12" t="s">
        <v>142</v>
      </c>
      <c r="B58" s="13" t="s">
        <v>53</v>
      </c>
      <c r="C58" s="14">
        <v>49</v>
      </c>
      <c r="D58" s="14">
        <v>50</v>
      </c>
      <c r="E58" s="14">
        <f t="shared" si="3"/>
        <v>1</v>
      </c>
      <c r="F58" s="15" t="s">
        <v>54</v>
      </c>
      <c r="G58" s="15"/>
      <c r="H58" s="15"/>
      <c r="I58" s="15"/>
      <c r="J58" s="15"/>
      <c r="K58" s="15" t="s">
        <v>54</v>
      </c>
      <c r="L58" s="15"/>
      <c r="M58" s="15"/>
      <c r="N58" s="15" t="s">
        <v>54</v>
      </c>
      <c r="O58" s="15"/>
      <c r="P58" s="15" t="s">
        <v>54</v>
      </c>
      <c r="Q58" s="15"/>
      <c r="R58" s="15"/>
      <c r="S58" s="15"/>
      <c r="T58" s="15"/>
      <c r="U58" s="15" t="s">
        <v>54</v>
      </c>
      <c r="V58" s="16"/>
      <c r="W58" s="17" t="str">
        <f t="shared" si="4"/>
        <v>OK</v>
      </c>
    </row>
    <row r="59" spans="1:23" ht="20.100000000000001" customHeight="1" x14ac:dyDescent="0.25">
      <c r="A59" s="18" t="s">
        <v>142</v>
      </c>
      <c r="B59" s="19" t="s">
        <v>53</v>
      </c>
      <c r="C59" s="20">
        <v>50</v>
      </c>
      <c r="D59" s="20">
        <v>50.300052115100002</v>
      </c>
      <c r="E59" s="20">
        <f t="shared" si="3"/>
        <v>0.30005211510000152</v>
      </c>
      <c r="F59" s="21" t="s">
        <v>54</v>
      </c>
      <c r="G59" s="21"/>
      <c r="H59" s="21"/>
      <c r="I59" s="21"/>
      <c r="J59" s="21"/>
      <c r="K59" s="21" t="s">
        <v>54</v>
      </c>
      <c r="L59" s="21"/>
      <c r="M59" s="21"/>
      <c r="N59" s="21" t="s">
        <v>54</v>
      </c>
      <c r="O59" s="21"/>
      <c r="P59" s="21" t="s">
        <v>54</v>
      </c>
      <c r="Q59" s="21"/>
      <c r="R59" s="21"/>
      <c r="S59" s="21"/>
      <c r="T59" s="21"/>
      <c r="U59" s="21" t="s">
        <v>54</v>
      </c>
      <c r="V59" s="22"/>
      <c r="W59" s="23" t="str">
        <f t="shared" si="4"/>
        <v>OK</v>
      </c>
    </row>
    <row r="61" spans="1:23" x14ac:dyDescent="0.25">
      <c r="A61" s="61" t="s">
        <v>62</v>
      </c>
      <c r="B61" s="42"/>
      <c r="C61" s="42"/>
      <c r="D61" s="42"/>
      <c r="E61" s="42"/>
      <c r="G61" s="61" t="s">
        <v>62</v>
      </c>
      <c r="H61" s="42"/>
      <c r="I61" s="42"/>
      <c r="J61" s="42"/>
      <c r="K61" s="42"/>
    </row>
    <row r="62" spans="1:23" x14ac:dyDescent="0.25">
      <c r="A62" s="58" t="s">
        <v>63</v>
      </c>
      <c r="B62" s="42"/>
      <c r="C62" s="42"/>
      <c r="D62" s="42"/>
      <c r="E62" s="42"/>
      <c r="G62" s="58" t="s">
        <v>64</v>
      </c>
      <c r="H62" s="42"/>
      <c r="I62" s="42"/>
      <c r="J62" s="42"/>
      <c r="K62" s="42"/>
    </row>
    <row r="64" spans="1:23" x14ac:dyDescent="0.25">
      <c r="A64" s="64" t="s">
        <v>65</v>
      </c>
      <c r="B64" s="42"/>
      <c r="C64" s="42"/>
      <c r="D64" s="42"/>
      <c r="E64" s="42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 spans="1:22" x14ac:dyDescent="0.25">
      <c r="A65" s="53" t="s">
        <v>66</v>
      </c>
      <c r="B65" s="42"/>
      <c r="C65" s="42"/>
      <c r="D65" s="42"/>
      <c r="E65" s="42"/>
      <c r="F65" s="9">
        <f t="shared" ref="F65:U65" si="5">SUMIF(F$9:F$59,"X",$E$9:$E$59)</f>
        <v>50.300052115100002</v>
      </c>
      <c r="G65" s="9">
        <f t="shared" si="5"/>
        <v>0</v>
      </c>
      <c r="H65" s="9">
        <f t="shared" si="5"/>
        <v>0</v>
      </c>
      <c r="I65" s="9">
        <f t="shared" si="5"/>
        <v>0</v>
      </c>
      <c r="J65" s="9">
        <f t="shared" si="5"/>
        <v>0</v>
      </c>
      <c r="K65" s="9">
        <f t="shared" si="5"/>
        <v>50.300052115100002</v>
      </c>
      <c r="L65" s="9">
        <f t="shared" si="5"/>
        <v>0</v>
      </c>
      <c r="M65" s="9">
        <f t="shared" si="5"/>
        <v>0</v>
      </c>
      <c r="N65" s="9">
        <f t="shared" si="5"/>
        <v>50.300052115100002</v>
      </c>
      <c r="O65" s="9">
        <f t="shared" si="5"/>
        <v>0</v>
      </c>
      <c r="P65" s="9">
        <f t="shared" si="5"/>
        <v>50.300052115100002</v>
      </c>
      <c r="Q65" s="9">
        <f t="shared" si="5"/>
        <v>0</v>
      </c>
      <c r="R65" s="9">
        <f t="shared" si="5"/>
        <v>0</v>
      </c>
      <c r="S65" s="9">
        <f t="shared" si="5"/>
        <v>0</v>
      </c>
      <c r="T65" s="9">
        <f t="shared" si="5"/>
        <v>4</v>
      </c>
      <c r="U65" s="9">
        <f t="shared" si="5"/>
        <v>46.300052115100002</v>
      </c>
    </row>
    <row r="66" spans="1:22" x14ac:dyDescent="0.25">
      <c r="A66" s="53" t="s">
        <v>67</v>
      </c>
      <c r="B66" s="42"/>
      <c r="C66" s="42"/>
      <c r="D66" s="42"/>
      <c r="E66" s="42"/>
      <c r="F66" s="25">
        <f t="shared" ref="F66:U66" si="6">IF($R68=0,0,F65/$R68)</f>
        <v>1</v>
      </c>
      <c r="G66" s="25">
        <f t="shared" si="6"/>
        <v>0</v>
      </c>
      <c r="H66" s="25">
        <f t="shared" si="6"/>
        <v>0</v>
      </c>
      <c r="I66" s="25">
        <f t="shared" si="6"/>
        <v>0</v>
      </c>
      <c r="J66" s="25">
        <f t="shared" si="6"/>
        <v>0</v>
      </c>
      <c r="K66" s="25">
        <f t="shared" si="6"/>
        <v>1</v>
      </c>
      <c r="L66" s="25">
        <f t="shared" si="6"/>
        <v>0</v>
      </c>
      <c r="M66" s="25">
        <f t="shared" si="6"/>
        <v>0</v>
      </c>
      <c r="N66" s="25">
        <f t="shared" si="6"/>
        <v>1</v>
      </c>
      <c r="O66" s="25">
        <f t="shared" si="6"/>
        <v>0</v>
      </c>
      <c r="P66" s="25">
        <f t="shared" si="6"/>
        <v>1</v>
      </c>
      <c r="Q66" s="25">
        <f t="shared" si="6"/>
        <v>0</v>
      </c>
      <c r="R66" s="25">
        <f t="shared" si="6"/>
        <v>0</v>
      </c>
      <c r="S66" s="25">
        <f t="shared" si="6"/>
        <v>0</v>
      </c>
      <c r="T66" s="25">
        <f t="shared" si="6"/>
        <v>7.9522780430662937E-2</v>
      </c>
      <c r="U66" s="25">
        <f t="shared" si="6"/>
        <v>0.92047721956933704</v>
      </c>
    </row>
    <row r="67" spans="1:22" x14ac:dyDescent="0.25">
      <c r="A67" s="53" t="s">
        <v>68</v>
      </c>
      <c r="B67" s="42"/>
      <c r="C67" s="42"/>
      <c r="D67" s="42"/>
      <c r="E67" s="42"/>
      <c r="F67" s="49" t="str">
        <f>IF(SUM(F65:J65)=0,"— não preenchido",IF(ROUND(SUM(F65:J65)-$R68,3)=0,"OK — "&amp;ROUND(SUM(F65:J65),3)&amp;" km","ERRO — dif. de "&amp;ROUND(SUM(F65:J65)-$R68,3)&amp;" km"))</f>
        <v>OK — 50,3 km</v>
      </c>
      <c r="G67" s="46"/>
      <c r="H67" s="46"/>
      <c r="I67" s="46"/>
      <c r="J67" s="44"/>
      <c r="K67" s="49" t="str">
        <f>IF(SUM(K65:L65)=0,"— não preenchido",IF(ROUND(SUM(K65:L65)-$R68,3)=0,"OK — "&amp;ROUND(SUM(K65:L65),3)&amp;" km","ERRO — dif. de "&amp;ROUND(SUM(K65:L65)-$R68,3)&amp;" km"))</f>
        <v>OK — 50,3 km</v>
      </c>
      <c r="L67" s="44"/>
      <c r="M67" s="49" t="str">
        <f>IF(SUM(M65:O65)=0,"— não preenchido",IF(ROUND(SUM(M65:O65)-$R68,3)=0,"OK — "&amp;ROUND(SUM(M65:O65),3)&amp;" km","ERRO — dif. de "&amp;ROUND(SUM(M65:O65)-$R68,3)&amp;" km"))</f>
        <v>OK — 50,3 km</v>
      </c>
      <c r="N67" s="46"/>
      <c r="O67" s="44"/>
      <c r="P67" s="49" t="str">
        <f>IF(SUM(P65:R65)=0,"— não preenchido",IF(ROUND(SUM(P65:R65)-$R68,3)=0,"OK — "&amp;ROUND(SUM(P65:R65),3)&amp;" km","ERRO — dif. de "&amp;ROUND(SUM(P65:R65)-$R68,3)&amp;" km"))</f>
        <v>OK — 50,3 km</v>
      </c>
      <c r="Q67" s="46"/>
      <c r="R67" s="44"/>
      <c r="S67" s="49" t="str">
        <f>IF(SUM(S65:U65)=0,"— não preenchido",IF(ROUND(SUM(S65:U65)-$R68,3)=0,"OK — "&amp;ROUND(SUM(S65:U65),3)&amp;" km","ERRO — dif. de "&amp;ROUND(SUM(S65:U65)-$R68,3)&amp;" km"))</f>
        <v>OK — 50,3 km</v>
      </c>
      <c r="T67" s="46"/>
      <c r="U67" s="44"/>
    </row>
    <row r="68" spans="1:22" x14ac:dyDescent="0.25">
      <c r="A68" s="53" t="s">
        <v>69</v>
      </c>
      <c r="B68" s="42"/>
      <c r="C68" s="42"/>
      <c r="D68" s="42"/>
      <c r="E68" s="42"/>
      <c r="R68" s="26">
        <f>SUM(E9:E59)</f>
        <v>50.300052115100002</v>
      </c>
      <c r="V68" s="8" t="str">
        <f>COUNTIF(W9:W59,"OK")&amp;" de "&amp;COUNT($E$9:$E$59)&amp;" linhas conferidas"</f>
        <v>51 de 51 linhas conferidas</v>
      </c>
    </row>
    <row r="70" spans="1:22" x14ac:dyDescent="0.25">
      <c r="A70" s="62" t="s">
        <v>70</v>
      </c>
      <c r="B70" s="42"/>
      <c r="C70" s="42"/>
      <c r="D70" s="42"/>
      <c r="E70" s="42"/>
    </row>
    <row r="71" spans="1:22" x14ac:dyDescent="0.25">
      <c r="A71" s="53" t="s">
        <v>71</v>
      </c>
      <c r="B71" s="42"/>
      <c r="C71" s="42"/>
      <c r="D71" s="42"/>
      <c r="E71" s="48" t="s">
        <v>72</v>
      </c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x14ac:dyDescent="0.25">
      <c r="A72" s="53" t="s">
        <v>73</v>
      </c>
      <c r="B72" s="42"/>
      <c r="C72" s="42"/>
      <c r="D72" s="42"/>
      <c r="E72" s="48" t="s">
        <v>74</v>
      </c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x14ac:dyDescent="0.25">
      <c r="A73" s="53" t="s">
        <v>75</v>
      </c>
      <c r="B73" s="42"/>
      <c r="C73" s="42"/>
      <c r="D73" s="42"/>
      <c r="E73" s="48" t="s">
        <v>76</v>
      </c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x14ac:dyDescent="0.25">
      <c r="A74" s="53" t="s">
        <v>77</v>
      </c>
      <c r="B74" s="42"/>
      <c r="C74" s="42"/>
      <c r="D74" s="42"/>
      <c r="E74" s="48" t="s">
        <v>78</v>
      </c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x14ac:dyDescent="0.25">
      <c r="A75" s="53" t="s">
        <v>79</v>
      </c>
      <c r="B75" s="42"/>
      <c r="C75" s="42"/>
      <c r="D75" s="42"/>
      <c r="E75" s="48" t="s">
        <v>80</v>
      </c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x14ac:dyDescent="0.25">
      <c r="A76" s="53" t="s">
        <v>45</v>
      </c>
      <c r="B76" s="42"/>
      <c r="C76" s="42"/>
      <c r="D76" s="42"/>
      <c r="E76" s="48" t="s">
        <v>81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x14ac:dyDescent="0.25">
      <c r="A77" s="53" t="s">
        <v>82</v>
      </c>
      <c r="B77" s="42"/>
      <c r="C77" s="42"/>
      <c r="D77" s="42"/>
      <c r="E77" s="48" t="s">
        <v>83</v>
      </c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spans="1:22" x14ac:dyDescent="0.25">
      <c r="A78" s="53" t="s">
        <v>84</v>
      </c>
      <c r="B78" s="42"/>
      <c r="C78" s="42"/>
      <c r="D78" s="42"/>
      <c r="E78" s="48" t="s">
        <v>85</v>
      </c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spans="1:22" x14ac:dyDescent="0.25">
      <c r="A79" s="53" t="s">
        <v>11</v>
      </c>
      <c r="B79" s="42"/>
      <c r="C79" s="42"/>
      <c r="D79" s="42"/>
      <c r="E79" s="48" t="s">
        <v>86</v>
      </c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</sheetData>
  <sheetProtection formatCells="0"/>
  <mergeCells count="57">
    <mergeCell ref="G2:H2"/>
    <mergeCell ref="A64:E64"/>
    <mergeCell ref="I2:J2"/>
    <mergeCell ref="A8:V8"/>
    <mergeCell ref="A72:D72"/>
    <mergeCell ref="P67:R67"/>
    <mergeCell ref="A6:A7"/>
    <mergeCell ref="A61:E61"/>
    <mergeCell ref="F6:J6"/>
    <mergeCell ref="A2:F2"/>
    <mergeCell ref="K2:M2"/>
    <mergeCell ref="N2:O2"/>
    <mergeCell ref="P2:Q2"/>
    <mergeCell ref="A3:S3"/>
    <mergeCell ref="E78:V78"/>
    <mergeCell ref="G61:K61"/>
    <mergeCell ref="V6:V7"/>
    <mergeCell ref="A4:V4"/>
    <mergeCell ref="M6:O6"/>
    <mergeCell ref="A70:E70"/>
    <mergeCell ref="S6:U6"/>
    <mergeCell ref="E74:V74"/>
    <mergeCell ref="A65:E65"/>
    <mergeCell ref="A77:D77"/>
    <mergeCell ref="E77:V77"/>
    <mergeCell ref="A76:D76"/>
    <mergeCell ref="E73:V73"/>
    <mergeCell ref="S67:U67"/>
    <mergeCell ref="W6:W7"/>
    <mergeCell ref="E6:E7"/>
    <mergeCell ref="A73:D73"/>
    <mergeCell ref="A66:E66"/>
    <mergeCell ref="B6:B7"/>
    <mergeCell ref="G62:K62"/>
    <mergeCell ref="K67:L67"/>
    <mergeCell ref="C6:C7"/>
    <mergeCell ref="A71:D71"/>
    <mergeCell ref="K6:L6"/>
    <mergeCell ref="D6:D7"/>
    <mergeCell ref="P6:R6"/>
    <mergeCell ref="A67:E67"/>
    <mergeCell ref="A79:D79"/>
    <mergeCell ref="E76:V76"/>
    <mergeCell ref="E72:V72"/>
    <mergeCell ref="A1:V1"/>
    <mergeCell ref="A78:D78"/>
    <mergeCell ref="E75:V75"/>
    <mergeCell ref="E79:V79"/>
    <mergeCell ref="T3:V3"/>
    <mergeCell ref="F67:J67"/>
    <mergeCell ref="A75:D75"/>
    <mergeCell ref="A62:E62"/>
    <mergeCell ref="A74:D74"/>
    <mergeCell ref="M67:O67"/>
    <mergeCell ref="E71:V71"/>
    <mergeCell ref="A68:E68"/>
    <mergeCell ref="R2:V2"/>
  </mergeCells>
  <conditionalFormatting sqref="F9:J59">
    <cfRule type="expression" dxfId="27" priority="1">
      <formula>AND(F9&lt;&gt;"",COUNTIF($F9:$J9,"X")&gt;1)</formula>
    </cfRule>
  </conditionalFormatting>
  <conditionalFormatting sqref="F67:U67">
    <cfRule type="expression" dxfId="26" priority="8">
      <formula>LEFT(F67,4)="ERRO"</formula>
    </cfRule>
    <cfRule type="expression" dxfId="25" priority="9">
      <formula>LEFT(F67,2)="OK"</formula>
    </cfRule>
  </conditionalFormatting>
  <conditionalFormatting sqref="K9:L59">
    <cfRule type="expression" dxfId="24" priority="2">
      <formula>AND(K9&lt;&gt;"",COUNTIF($K9:$L9,"X")&gt;1)</formula>
    </cfRule>
  </conditionalFormatting>
  <conditionalFormatting sqref="M9:O59">
    <cfRule type="expression" dxfId="23" priority="3">
      <formula>AND(M9&lt;&gt;"",COUNTIF($M9:$O9,"X")&gt;1)</formula>
    </cfRule>
  </conditionalFormatting>
  <conditionalFormatting sqref="P9:R59">
    <cfRule type="expression" dxfId="22" priority="4">
      <formula>AND(P9&lt;&gt;"",COUNTIF($P9:$R9,"X")&gt;1)</formula>
    </cfRule>
  </conditionalFormatting>
  <conditionalFormatting sqref="S9:U59">
    <cfRule type="expression" dxfId="21" priority="5">
      <formula>AND(S9&lt;&gt;"",COUNTIF($S9:$U9,"X")&gt;1)</formula>
    </cfRule>
  </conditionalFormatting>
  <conditionalFormatting sqref="W9:W59">
    <cfRule type="expression" dxfId="20" priority="6">
      <formula>AND(W9&lt;&gt;"OK",W9&lt;&gt;"")</formula>
    </cfRule>
    <cfRule type="expression" dxfId="1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9" xr:uid="{00000000-0002-0000-0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9" xr:uid="{00000000-0002-0000-0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9" xr:uid="{00000000-0002-0000-0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9" xr:uid="{00000000-0002-0000-0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9" xr:uid="{00000000-0002-0000-0B00-000004000000}">
      <formula1>AND(UPPER(S9)="X",COUNTIF($S9:$U9,"X")&lt;=1)</formula1>
    </dataValidation>
    <dataValidation type="list" showErrorMessage="1" errorTitle="Sentido inválido" error="Use C (crescente) ou D (decrescente)." sqref="B9:B59" xr:uid="{00000000-0002-0000-0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219</oddHeader>
    <oddFooter>&amp;L&amp;7 RTA / MSI — Programa de Manutenção Rodoviária&amp;C&amp;7 Página &amp;P de &amp;N&amp;R&amp;7 Impresso em &amp;D</oddFooter>
  </headerFooter>
  <rowBreaks count="1" manualBreakCount="1">
    <brk id="62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N43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V21" sqref="V2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1" t="s">
        <v>36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Y1" s="1" t="s">
        <v>1</v>
      </c>
    </row>
    <row r="2" spans="1:40" ht="17.100000000000001" customHeight="1" x14ac:dyDescent="0.25">
      <c r="A2" s="54" t="s">
        <v>37</v>
      </c>
      <c r="B2" s="42"/>
      <c r="C2" s="42"/>
      <c r="D2" s="42"/>
      <c r="E2" s="42"/>
      <c r="F2" s="42"/>
      <c r="G2" s="50" t="s">
        <v>38</v>
      </c>
      <c r="H2" s="42"/>
      <c r="I2" s="51">
        <v>46266</v>
      </c>
      <c r="J2" s="52"/>
      <c r="K2" s="50" t="s">
        <v>39</v>
      </c>
      <c r="L2" s="42"/>
      <c r="M2" s="42"/>
      <c r="N2" s="55"/>
      <c r="O2" s="52"/>
      <c r="P2" s="50" t="s">
        <v>40</v>
      </c>
      <c r="Q2" s="42"/>
      <c r="R2" s="56" t="s">
        <v>154</v>
      </c>
      <c r="S2" s="57"/>
      <c r="T2" s="57"/>
      <c r="U2" s="57"/>
      <c r="V2" s="52"/>
      <c r="Y2" s="2" t="e">
        <f t="shared" ref="Y2:AN2" si="0">IF(F29=0,NA(),F29)</f>
        <v>#N/A</v>
      </c>
      <c r="Z2" s="2">
        <f t="shared" si="0"/>
        <v>12.0411420562</v>
      </c>
      <c r="AA2" s="2">
        <f t="shared" si="0"/>
        <v>2</v>
      </c>
      <c r="AB2" s="2" t="e">
        <f t="shared" si="0"/>
        <v>#N/A</v>
      </c>
      <c r="AC2" s="2" t="e">
        <f t="shared" si="0"/>
        <v>#N/A</v>
      </c>
      <c r="AD2" s="2">
        <f t="shared" si="0"/>
        <v>14.0411420562</v>
      </c>
      <c r="AE2" s="2" t="e">
        <f t="shared" si="0"/>
        <v>#N/A</v>
      </c>
      <c r="AF2" s="2">
        <f t="shared" si="0"/>
        <v>1</v>
      </c>
      <c r="AG2" s="2">
        <f t="shared" si="0"/>
        <v>13.0411420562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14.0411420562</v>
      </c>
      <c r="AL2" s="2" t="e">
        <f t="shared" si="0"/>
        <v>#N/A</v>
      </c>
      <c r="AM2" s="2">
        <f t="shared" si="0"/>
        <v>4</v>
      </c>
      <c r="AN2" s="2">
        <f t="shared" si="0"/>
        <v>10.0411420562</v>
      </c>
    </row>
    <row r="3" spans="1:40" ht="15" customHeight="1" x14ac:dyDescent="0.25">
      <c r="A3" s="63" t="s">
        <v>143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50" t="s">
        <v>144</v>
      </c>
      <c r="U3" s="42"/>
      <c r="V3" s="42"/>
    </row>
    <row r="4" spans="1:40" ht="20.100000000000001" customHeight="1" x14ac:dyDescent="0.25">
      <c r="A4" s="47" t="s">
        <v>43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6" spans="1:40" ht="21.95" customHeight="1" x14ac:dyDescent="0.25">
      <c r="A6" s="43" t="s">
        <v>44</v>
      </c>
      <c r="B6" s="43" t="s">
        <v>45</v>
      </c>
      <c r="C6" s="43" t="s">
        <v>46</v>
      </c>
      <c r="D6" s="43" t="s">
        <v>47</v>
      </c>
      <c r="E6" s="43" t="s">
        <v>48</v>
      </c>
      <c r="F6" s="43" t="s">
        <v>6</v>
      </c>
      <c r="G6" s="46"/>
      <c r="H6" s="46"/>
      <c r="I6" s="46"/>
      <c r="J6" s="44"/>
      <c r="K6" s="43" t="s">
        <v>7</v>
      </c>
      <c r="L6" s="44"/>
      <c r="M6" s="43" t="s">
        <v>8</v>
      </c>
      <c r="N6" s="46"/>
      <c r="O6" s="44"/>
      <c r="P6" s="43" t="s">
        <v>9</v>
      </c>
      <c r="Q6" s="46"/>
      <c r="R6" s="44"/>
      <c r="S6" s="43" t="s">
        <v>10</v>
      </c>
      <c r="T6" s="46"/>
      <c r="U6" s="44"/>
      <c r="V6" s="43" t="s">
        <v>49</v>
      </c>
      <c r="W6" s="43" t="s">
        <v>50</v>
      </c>
    </row>
    <row r="7" spans="1:40" ht="20.100000000000001" customHeight="1" x14ac:dyDescent="0.25">
      <c r="A7" s="45"/>
      <c r="B7" s="45"/>
      <c r="C7" s="45"/>
      <c r="D7" s="45"/>
      <c r="E7" s="4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45"/>
      <c r="W7" s="45"/>
    </row>
    <row r="8" spans="1:40" ht="15.95" customHeight="1" x14ac:dyDescent="0.25">
      <c r="A8" s="59" t="s">
        <v>145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4"/>
      <c r="W8" s="4"/>
    </row>
    <row r="9" spans="1:40" ht="20.100000000000001" customHeight="1" x14ac:dyDescent="0.25">
      <c r="A9" s="12" t="s">
        <v>146</v>
      </c>
      <c r="B9" s="13" t="s">
        <v>53</v>
      </c>
      <c r="C9" s="14">
        <v>0</v>
      </c>
      <c r="D9" s="14">
        <v>1</v>
      </c>
      <c r="E9" s="14">
        <f t="shared" ref="E9:E23" si="1"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 t="s">
        <v>54</v>
      </c>
      <c r="N9" s="15"/>
      <c r="O9" s="15"/>
      <c r="P9" s="15"/>
      <c r="Q9" s="15"/>
      <c r="R9" s="15" t="s">
        <v>54</v>
      </c>
      <c r="S9" s="15"/>
      <c r="T9" s="15"/>
      <c r="U9" s="15" t="s">
        <v>54</v>
      </c>
      <c r="V9" s="16"/>
      <c r="W9" s="17" t="str">
        <f t="shared" ref="W9:W23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146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54</v>
      </c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/>
      <c r="R10" s="15" t="s">
        <v>54</v>
      </c>
      <c r="S10" s="15"/>
      <c r="T10" s="15"/>
      <c r="U10" s="15" t="s">
        <v>54</v>
      </c>
      <c r="V10" s="16"/>
      <c r="W10" s="17" t="str">
        <f t="shared" si="2"/>
        <v>OK</v>
      </c>
    </row>
    <row r="11" spans="1:40" ht="20.100000000000001" customHeight="1" x14ac:dyDescent="0.25">
      <c r="A11" s="12" t="s">
        <v>146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/>
      <c r="R11" s="15" t="s">
        <v>54</v>
      </c>
      <c r="S11" s="15"/>
      <c r="T11" s="15"/>
      <c r="U11" s="15" t="s">
        <v>54</v>
      </c>
      <c r="V11" s="16"/>
      <c r="W11" s="17" t="str">
        <f t="shared" si="2"/>
        <v>OK</v>
      </c>
    </row>
    <row r="12" spans="1:40" ht="20.100000000000001" customHeight="1" x14ac:dyDescent="0.25">
      <c r="A12" s="12" t="s">
        <v>146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/>
      <c r="R12" s="15" t="s">
        <v>54</v>
      </c>
      <c r="S12" s="15"/>
      <c r="T12" s="15"/>
      <c r="U12" s="15" t="s">
        <v>54</v>
      </c>
      <c r="V12" s="16"/>
      <c r="W12" s="17" t="str">
        <f t="shared" si="2"/>
        <v>OK</v>
      </c>
    </row>
    <row r="13" spans="1:40" ht="20.100000000000001" customHeight="1" x14ac:dyDescent="0.25">
      <c r="A13" s="12" t="s">
        <v>146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54</v>
      </c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/>
      <c r="R13" s="15" t="s">
        <v>54</v>
      </c>
      <c r="S13" s="15"/>
      <c r="T13" s="15"/>
      <c r="U13" s="15" t="s">
        <v>54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146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/>
      <c r="R14" s="15" t="s">
        <v>54</v>
      </c>
      <c r="S14" s="15"/>
      <c r="T14" s="15"/>
      <c r="U14" s="15" t="s">
        <v>54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146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/>
      <c r="R15" s="15" t="s">
        <v>54</v>
      </c>
      <c r="S15" s="15"/>
      <c r="T15" s="15"/>
      <c r="U15" s="15" t="s">
        <v>54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146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/>
      <c r="R16" s="15" t="s">
        <v>54</v>
      </c>
      <c r="S16" s="15"/>
      <c r="T16" s="15"/>
      <c r="U16" s="15" t="s">
        <v>54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146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/>
      <c r="R17" s="15" t="s">
        <v>54</v>
      </c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146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/>
      <c r="R18" s="15" t="s">
        <v>54</v>
      </c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146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/>
      <c r="R19" s="15" t="s">
        <v>54</v>
      </c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146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/>
      <c r="R20" s="15" t="s">
        <v>54</v>
      </c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146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/>
      <c r="R21" s="15" t="s">
        <v>54</v>
      </c>
      <c r="S21" s="15"/>
      <c r="T21" s="15"/>
      <c r="U21" s="15" t="s">
        <v>54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146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/>
      <c r="R22" s="15" t="s">
        <v>54</v>
      </c>
      <c r="S22" s="15"/>
      <c r="T22" s="15"/>
      <c r="U22" s="15" t="s">
        <v>54</v>
      </c>
      <c r="V22" s="16"/>
      <c r="W22" s="17" t="str">
        <f t="shared" si="2"/>
        <v>OK</v>
      </c>
    </row>
    <row r="23" spans="1:23" ht="20.100000000000001" customHeight="1" x14ac:dyDescent="0.25">
      <c r="A23" s="18" t="s">
        <v>146</v>
      </c>
      <c r="B23" s="19" t="s">
        <v>53</v>
      </c>
      <c r="C23" s="20">
        <v>14</v>
      </c>
      <c r="D23" s="20">
        <v>14.0411420562</v>
      </c>
      <c r="E23" s="20">
        <f t="shared" si="1"/>
        <v>4.1142056199999999E-2</v>
      </c>
      <c r="F23" s="21"/>
      <c r="G23" s="21" t="s">
        <v>54</v>
      </c>
      <c r="H23" s="21"/>
      <c r="I23" s="21"/>
      <c r="J23" s="21"/>
      <c r="K23" s="21" t="s">
        <v>54</v>
      </c>
      <c r="L23" s="21"/>
      <c r="M23" s="21"/>
      <c r="N23" s="21" t="s">
        <v>54</v>
      </c>
      <c r="O23" s="21"/>
      <c r="P23" s="21"/>
      <c r="Q23" s="21"/>
      <c r="R23" s="21" t="s">
        <v>54</v>
      </c>
      <c r="S23" s="21"/>
      <c r="T23" s="21"/>
      <c r="U23" s="21" t="s">
        <v>54</v>
      </c>
      <c r="V23" s="22"/>
      <c r="W23" s="23" t="str">
        <f t="shared" si="2"/>
        <v>OK</v>
      </c>
    </row>
    <row r="25" spans="1:23" x14ac:dyDescent="0.25">
      <c r="A25" s="61" t="s">
        <v>62</v>
      </c>
      <c r="B25" s="42"/>
      <c r="C25" s="42"/>
      <c r="D25" s="42"/>
      <c r="E25" s="42"/>
      <c r="G25" s="61" t="s">
        <v>62</v>
      </c>
      <c r="H25" s="42"/>
      <c r="I25" s="42"/>
      <c r="J25" s="42"/>
      <c r="K25" s="42"/>
    </row>
    <row r="26" spans="1:23" x14ac:dyDescent="0.25">
      <c r="A26" s="58" t="s">
        <v>63</v>
      </c>
      <c r="B26" s="42"/>
      <c r="C26" s="42"/>
      <c r="D26" s="42"/>
      <c r="E26" s="42"/>
      <c r="G26" s="58" t="s">
        <v>64</v>
      </c>
      <c r="H26" s="42"/>
      <c r="I26" s="42"/>
      <c r="J26" s="42"/>
      <c r="K26" s="42"/>
    </row>
    <row r="28" spans="1:23" x14ac:dyDescent="0.25">
      <c r="A28" s="64" t="s">
        <v>65</v>
      </c>
      <c r="B28" s="42"/>
      <c r="C28" s="42"/>
      <c r="D28" s="42"/>
      <c r="E28" s="42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3" x14ac:dyDescent="0.25">
      <c r="A29" s="53" t="s">
        <v>66</v>
      </c>
      <c r="B29" s="42"/>
      <c r="C29" s="42"/>
      <c r="D29" s="42"/>
      <c r="E29" s="42"/>
      <c r="F29" s="9">
        <f t="shared" ref="F29:U29" si="3">SUMIF(F$9:F$23,"X",$E$9:$E$23)</f>
        <v>0</v>
      </c>
      <c r="G29" s="9">
        <f t="shared" si="3"/>
        <v>12.0411420562</v>
      </c>
      <c r="H29" s="9">
        <f t="shared" si="3"/>
        <v>2</v>
      </c>
      <c r="I29" s="9">
        <f t="shared" si="3"/>
        <v>0</v>
      </c>
      <c r="J29" s="9">
        <f t="shared" si="3"/>
        <v>0</v>
      </c>
      <c r="K29" s="9">
        <f t="shared" si="3"/>
        <v>14.0411420562</v>
      </c>
      <c r="L29" s="9">
        <f t="shared" si="3"/>
        <v>0</v>
      </c>
      <c r="M29" s="9">
        <f t="shared" si="3"/>
        <v>1</v>
      </c>
      <c r="N29" s="9">
        <f t="shared" si="3"/>
        <v>13.0411420562</v>
      </c>
      <c r="O29" s="9">
        <f t="shared" si="3"/>
        <v>0</v>
      </c>
      <c r="P29" s="9">
        <f t="shared" si="3"/>
        <v>0</v>
      </c>
      <c r="Q29" s="9">
        <f t="shared" si="3"/>
        <v>0</v>
      </c>
      <c r="R29" s="9">
        <f t="shared" si="3"/>
        <v>14.0411420562</v>
      </c>
      <c r="S29" s="9">
        <f t="shared" si="3"/>
        <v>0</v>
      </c>
      <c r="T29" s="9">
        <f t="shared" si="3"/>
        <v>4</v>
      </c>
      <c r="U29" s="9">
        <f t="shared" si="3"/>
        <v>10.0411420562</v>
      </c>
    </row>
    <row r="30" spans="1:23" x14ac:dyDescent="0.25">
      <c r="A30" s="53" t="s">
        <v>67</v>
      </c>
      <c r="B30" s="42"/>
      <c r="C30" s="42"/>
      <c r="D30" s="42"/>
      <c r="E30" s="42"/>
      <c r="F30" s="25">
        <f t="shared" ref="F30:U30" si="4">IF($R32=0,0,F29/$R32)</f>
        <v>0</v>
      </c>
      <c r="G30" s="25">
        <f t="shared" si="4"/>
        <v>0.85756144393419331</v>
      </c>
      <c r="H30" s="25">
        <f t="shared" si="4"/>
        <v>0.14243855606580669</v>
      </c>
      <c r="I30" s="25">
        <f t="shared" si="4"/>
        <v>0</v>
      </c>
      <c r="J30" s="25">
        <f t="shared" si="4"/>
        <v>0</v>
      </c>
      <c r="K30" s="25">
        <f t="shared" si="4"/>
        <v>1</v>
      </c>
      <c r="L30" s="25">
        <f t="shared" si="4"/>
        <v>0</v>
      </c>
      <c r="M30" s="25">
        <f t="shared" si="4"/>
        <v>7.1219278032903344E-2</v>
      </c>
      <c r="N30" s="25">
        <f t="shared" si="4"/>
        <v>0.9287807219670966</v>
      </c>
      <c r="O30" s="25">
        <f t="shared" si="4"/>
        <v>0</v>
      </c>
      <c r="P30" s="25">
        <f t="shared" si="4"/>
        <v>0</v>
      </c>
      <c r="Q30" s="25">
        <f t="shared" si="4"/>
        <v>0</v>
      </c>
      <c r="R30" s="25">
        <f t="shared" si="4"/>
        <v>1</v>
      </c>
      <c r="S30" s="25">
        <f t="shared" si="4"/>
        <v>0</v>
      </c>
      <c r="T30" s="25">
        <f t="shared" si="4"/>
        <v>0.28487711213161337</v>
      </c>
      <c r="U30" s="25">
        <f t="shared" si="4"/>
        <v>0.71512288786838663</v>
      </c>
    </row>
    <row r="31" spans="1:23" x14ac:dyDescent="0.25">
      <c r="A31" s="53" t="s">
        <v>68</v>
      </c>
      <c r="B31" s="42"/>
      <c r="C31" s="42"/>
      <c r="D31" s="42"/>
      <c r="E31" s="42"/>
      <c r="F31" s="49" t="str">
        <f>IF(SUM(F29:J29)=0,"— não preenchido",IF(ROUND(SUM(F29:J29)-$R32,3)=0,"OK — "&amp;ROUND(SUM(F29:J29),3)&amp;" km","ERRO — dif. de "&amp;ROUND(SUM(F29:J29)-$R32,3)&amp;" km"))</f>
        <v>OK — 14,041 km</v>
      </c>
      <c r="G31" s="46"/>
      <c r="H31" s="46"/>
      <c r="I31" s="46"/>
      <c r="J31" s="44"/>
      <c r="K31" s="49" t="str">
        <f>IF(SUM(K29:L29)=0,"— não preenchido",IF(ROUND(SUM(K29:L29)-$R32,3)=0,"OK — "&amp;ROUND(SUM(K29:L29),3)&amp;" km","ERRO — dif. de "&amp;ROUND(SUM(K29:L29)-$R32,3)&amp;" km"))</f>
        <v>OK — 14,041 km</v>
      </c>
      <c r="L31" s="44"/>
      <c r="M31" s="49" t="str">
        <f>IF(SUM(M29:O29)=0,"— não preenchido",IF(ROUND(SUM(M29:O29)-$R32,3)=0,"OK — "&amp;ROUND(SUM(M29:O29),3)&amp;" km","ERRO — dif. de "&amp;ROUND(SUM(M29:O29)-$R32,3)&amp;" km"))</f>
        <v>OK — 14,041 km</v>
      </c>
      <c r="N31" s="46"/>
      <c r="O31" s="44"/>
      <c r="P31" s="49" t="str">
        <f>IF(SUM(P29:R29)=0,"— não preenchido",IF(ROUND(SUM(P29:R29)-$R32,3)=0,"OK — "&amp;ROUND(SUM(P29:R29),3)&amp;" km","ERRO — dif. de "&amp;ROUND(SUM(P29:R29)-$R32,3)&amp;" km"))</f>
        <v>OK — 14,041 km</v>
      </c>
      <c r="Q31" s="46"/>
      <c r="R31" s="44"/>
      <c r="S31" s="49" t="str">
        <f>IF(SUM(S29:U29)=0,"— não preenchido",IF(ROUND(SUM(S29:U29)-$R32,3)=0,"OK — "&amp;ROUND(SUM(S29:U29),3)&amp;" km","ERRO — dif. de "&amp;ROUND(SUM(S29:U29)-$R32,3)&amp;" km"))</f>
        <v>OK — 14,041 km</v>
      </c>
      <c r="T31" s="46"/>
      <c r="U31" s="44"/>
    </row>
    <row r="32" spans="1:23" x14ac:dyDescent="0.25">
      <c r="A32" s="53" t="s">
        <v>69</v>
      </c>
      <c r="B32" s="42"/>
      <c r="C32" s="42"/>
      <c r="D32" s="42"/>
      <c r="E32" s="42"/>
      <c r="R32" s="26">
        <f>SUM(E9:E23)</f>
        <v>14.0411420562</v>
      </c>
      <c r="V32" s="8" t="str">
        <f>COUNTIF(W9:W23,"OK")&amp;" de "&amp;COUNT($E$9:$E$23)&amp;" linhas conferidas"</f>
        <v>15 de 15 linhas conferidas</v>
      </c>
    </row>
    <row r="34" spans="1:22" x14ac:dyDescent="0.25">
      <c r="A34" s="62" t="s">
        <v>70</v>
      </c>
      <c r="B34" s="42"/>
      <c r="C34" s="42"/>
      <c r="D34" s="42"/>
      <c r="E34" s="42"/>
    </row>
    <row r="35" spans="1:22" x14ac:dyDescent="0.25">
      <c r="A35" s="53" t="s">
        <v>71</v>
      </c>
      <c r="B35" s="42"/>
      <c r="C35" s="42"/>
      <c r="D35" s="42"/>
      <c r="E35" s="48" t="s">
        <v>72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spans="1:22" x14ac:dyDescent="0.25">
      <c r="A36" s="53" t="s">
        <v>73</v>
      </c>
      <c r="B36" s="42"/>
      <c r="C36" s="42"/>
      <c r="D36" s="42"/>
      <c r="E36" s="48" t="s">
        <v>74</v>
      </c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</row>
    <row r="37" spans="1:22" x14ac:dyDescent="0.25">
      <c r="A37" s="53" t="s">
        <v>75</v>
      </c>
      <c r="B37" s="42"/>
      <c r="C37" s="42"/>
      <c r="D37" s="42"/>
      <c r="E37" s="48" t="s">
        <v>76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spans="1:22" x14ac:dyDescent="0.25">
      <c r="A38" s="53" t="s">
        <v>77</v>
      </c>
      <c r="B38" s="42"/>
      <c r="C38" s="42"/>
      <c r="D38" s="42"/>
      <c r="E38" s="48" t="s">
        <v>78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1:22" x14ac:dyDescent="0.25">
      <c r="A39" s="53" t="s">
        <v>79</v>
      </c>
      <c r="B39" s="42"/>
      <c r="C39" s="42"/>
      <c r="D39" s="42"/>
      <c r="E39" s="48" t="s">
        <v>80</v>
      </c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1:22" x14ac:dyDescent="0.25">
      <c r="A40" s="53" t="s">
        <v>45</v>
      </c>
      <c r="B40" s="42"/>
      <c r="C40" s="42"/>
      <c r="D40" s="42"/>
      <c r="E40" s="48" t="s">
        <v>81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1:22" x14ac:dyDescent="0.25">
      <c r="A41" s="53" t="s">
        <v>82</v>
      </c>
      <c r="B41" s="42"/>
      <c r="C41" s="42"/>
      <c r="D41" s="42"/>
      <c r="E41" s="48" t="s">
        <v>83</v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1:22" x14ac:dyDescent="0.25">
      <c r="A42" s="53" t="s">
        <v>84</v>
      </c>
      <c r="B42" s="42"/>
      <c r="C42" s="42"/>
      <c r="D42" s="42"/>
      <c r="E42" s="48" t="s">
        <v>85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1:22" x14ac:dyDescent="0.25">
      <c r="A43" s="53" t="s">
        <v>11</v>
      </c>
      <c r="B43" s="42"/>
      <c r="C43" s="42"/>
      <c r="D43" s="42"/>
      <c r="E43" s="48" t="s">
        <v>86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</sheetData>
  <sheetProtection formatCells="0"/>
  <mergeCells count="57">
    <mergeCell ref="E38:V38"/>
    <mergeCell ref="G2:H2"/>
    <mergeCell ref="A35:D35"/>
    <mergeCell ref="I2:J2"/>
    <mergeCell ref="A38:D38"/>
    <mergeCell ref="A8:V8"/>
    <mergeCell ref="M31:O31"/>
    <mergeCell ref="A4:V4"/>
    <mergeCell ref="A2:F2"/>
    <mergeCell ref="K2:M2"/>
    <mergeCell ref="N2:O2"/>
    <mergeCell ref="P2:Q2"/>
    <mergeCell ref="A43:D43"/>
    <mergeCell ref="A6:A7"/>
    <mergeCell ref="F6:J6"/>
    <mergeCell ref="E40:V40"/>
    <mergeCell ref="M6:O6"/>
    <mergeCell ref="V6:V7"/>
    <mergeCell ref="S6:U6"/>
    <mergeCell ref="A40:D40"/>
    <mergeCell ref="A25:E25"/>
    <mergeCell ref="A39:D39"/>
    <mergeCell ref="E43:V43"/>
    <mergeCell ref="E42:V42"/>
    <mergeCell ref="A42:D42"/>
    <mergeCell ref="E39:V39"/>
    <mergeCell ref="A30:E30"/>
    <mergeCell ref="E35:V35"/>
    <mergeCell ref="W6:W7"/>
    <mergeCell ref="E36:V36"/>
    <mergeCell ref="E6:E7"/>
    <mergeCell ref="K31:L31"/>
    <mergeCell ref="B6:B7"/>
    <mergeCell ref="A36:D36"/>
    <mergeCell ref="A26:E26"/>
    <mergeCell ref="C6:C7"/>
    <mergeCell ref="A31:E31"/>
    <mergeCell ref="K6:L6"/>
    <mergeCell ref="D6:D7"/>
    <mergeCell ref="P6:R6"/>
    <mergeCell ref="A34:E34"/>
    <mergeCell ref="A1:V1"/>
    <mergeCell ref="E41:V41"/>
    <mergeCell ref="T3:V3"/>
    <mergeCell ref="F31:J31"/>
    <mergeCell ref="S31:U31"/>
    <mergeCell ref="A32:E32"/>
    <mergeCell ref="E37:V37"/>
    <mergeCell ref="A41:D41"/>
    <mergeCell ref="G26:K26"/>
    <mergeCell ref="A37:D37"/>
    <mergeCell ref="A29:E29"/>
    <mergeCell ref="A28:E28"/>
    <mergeCell ref="G25:K25"/>
    <mergeCell ref="R2:V2"/>
    <mergeCell ref="A3:S3"/>
    <mergeCell ref="P31:R31"/>
  </mergeCells>
  <conditionalFormatting sqref="F9:J23">
    <cfRule type="expression" dxfId="18" priority="1">
      <formula>AND(F9&lt;&gt;"",COUNTIF($F9:$J9,"X")&gt;1)</formula>
    </cfRule>
  </conditionalFormatting>
  <conditionalFormatting sqref="F31:U31">
    <cfRule type="expression" dxfId="17" priority="8">
      <formula>LEFT(F31,4)="ERRO"</formula>
    </cfRule>
    <cfRule type="expression" dxfId="16" priority="9">
      <formula>LEFT(F31,2)="OK"</formula>
    </cfRule>
  </conditionalFormatting>
  <conditionalFormatting sqref="K9:L23">
    <cfRule type="expression" dxfId="15" priority="2">
      <formula>AND(K9&lt;&gt;"",COUNTIF($K9:$L9,"X")&gt;1)</formula>
    </cfRule>
  </conditionalFormatting>
  <conditionalFormatting sqref="M9:O23">
    <cfRule type="expression" dxfId="14" priority="3">
      <formula>AND(M9&lt;&gt;"",COUNTIF($M9:$O9,"X")&gt;1)</formula>
    </cfRule>
  </conditionalFormatting>
  <conditionalFormatting sqref="P9:R23">
    <cfRule type="expression" dxfId="13" priority="4">
      <formula>AND(P9&lt;&gt;"",COUNTIF($P9:$R9,"X")&gt;1)</formula>
    </cfRule>
  </conditionalFormatting>
  <conditionalFormatting sqref="S9:U23">
    <cfRule type="expression" dxfId="12" priority="5">
      <formula>AND(S9&lt;&gt;"",COUNTIF($S9:$U9,"X")&gt;1)</formula>
    </cfRule>
  </conditionalFormatting>
  <conditionalFormatting sqref="W9:W23">
    <cfRule type="expression" dxfId="11" priority="6">
      <formula>AND(W9&lt;&gt;"OK",W9&lt;&gt;"")</formula>
    </cfRule>
    <cfRule type="expression" dxfId="1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3" xr:uid="{00000000-0002-0000-0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3" xr:uid="{00000000-0002-0000-0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3" xr:uid="{00000000-0002-0000-0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3" xr:uid="{00000000-0002-0000-0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3" xr:uid="{00000000-0002-0000-0C00-000004000000}">
      <formula1>AND(UPPER(S9)="X",COUNTIF($S9:$U9,"X")&lt;=1)</formula1>
    </dataValidation>
    <dataValidation type="list" showErrorMessage="1" errorTitle="Sentido inválido" error="Use C (crescente) ou D (decrescente)." sqref="B9:B23" xr:uid="{00000000-0002-0000-0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220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N29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T10" sqref="T10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1" t="s">
        <v>36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Y1" s="1" t="s">
        <v>1</v>
      </c>
    </row>
    <row r="2" spans="1:40" ht="17.100000000000001" customHeight="1" x14ac:dyDescent="0.25">
      <c r="A2" s="54" t="s">
        <v>37</v>
      </c>
      <c r="B2" s="42"/>
      <c r="C2" s="42"/>
      <c r="D2" s="42"/>
      <c r="E2" s="42"/>
      <c r="F2" s="42"/>
      <c r="G2" s="50" t="s">
        <v>38</v>
      </c>
      <c r="H2" s="42"/>
      <c r="I2" s="51">
        <v>46266</v>
      </c>
      <c r="J2" s="52"/>
      <c r="K2" s="50" t="s">
        <v>39</v>
      </c>
      <c r="L2" s="42"/>
      <c r="M2" s="42"/>
      <c r="N2" s="55"/>
      <c r="O2" s="52"/>
      <c r="P2" s="50" t="s">
        <v>40</v>
      </c>
      <c r="Q2" s="42"/>
      <c r="R2" s="56" t="s">
        <v>154</v>
      </c>
      <c r="S2" s="57"/>
      <c r="T2" s="57"/>
      <c r="U2" s="57"/>
      <c r="V2" s="52"/>
      <c r="Y2" s="2" t="e">
        <f t="shared" ref="Y2:AN2" si="0">IF(F15=0,NA(),F15)</f>
        <v>#N/A</v>
      </c>
      <c r="Z2" s="2" t="e">
        <f t="shared" si="0"/>
        <v>#N/A</v>
      </c>
      <c r="AA2" s="2">
        <f t="shared" si="0"/>
        <v>0.98012924831600001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0.98012924831600001</v>
      </c>
      <c r="AF2" s="2" t="e">
        <f t="shared" si="0"/>
        <v>#N/A</v>
      </c>
      <c r="AG2" s="2">
        <f t="shared" si="0"/>
        <v>0.98012924831600001</v>
      </c>
      <c r="AH2" s="2" t="e">
        <f t="shared" si="0"/>
        <v>#N/A</v>
      </c>
      <c r="AI2" s="2" t="e">
        <f t="shared" si="0"/>
        <v>#N/A</v>
      </c>
      <c r="AJ2" s="2">
        <f t="shared" si="0"/>
        <v>0.98012924831600001</v>
      </c>
      <c r="AK2" s="2" t="e">
        <f t="shared" si="0"/>
        <v>#N/A</v>
      </c>
      <c r="AL2" s="2" t="e">
        <f t="shared" si="0"/>
        <v>#N/A</v>
      </c>
      <c r="AM2" s="2">
        <f t="shared" si="0"/>
        <v>0.98012924831600001</v>
      </c>
      <c r="AN2" s="2" t="e">
        <f t="shared" si="0"/>
        <v>#N/A</v>
      </c>
    </row>
    <row r="3" spans="1:40" ht="15" customHeight="1" x14ac:dyDescent="0.25">
      <c r="A3" s="63" t="s">
        <v>147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50" t="s">
        <v>148</v>
      </c>
      <c r="U3" s="42"/>
      <c r="V3" s="42"/>
    </row>
    <row r="4" spans="1:40" ht="20.100000000000001" customHeight="1" x14ac:dyDescent="0.25">
      <c r="A4" s="47" t="s">
        <v>43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6" spans="1:40" ht="21.95" customHeight="1" x14ac:dyDescent="0.25">
      <c r="A6" s="43" t="s">
        <v>44</v>
      </c>
      <c r="B6" s="43" t="s">
        <v>45</v>
      </c>
      <c r="C6" s="43" t="s">
        <v>46</v>
      </c>
      <c r="D6" s="43" t="s">
        <v>47</v>
      </c>
      <c r="E6" s="43" t="s">
        <v>48</v>
      </c>
      <c r="F6" s="43" t="s">
        <v>6</v>
      </c>
      <c r="G6" s="46"/>
      <c r="H6" s="46"/>
      <c r="I6" s="46"/>
      <c r="J6" s="44"/>
      <c r="K6" s="43" t="s">
        <v>7</v>
      </c>
      <c r="L6" s="44"/>
      <c r="M6" s="43" t="s">
        <v>8</v>
      </c>
      <c r="N6" s="46"/>
      <c r="O6" s="44"/>
      <c r="P6" s="43" t="s">
        <v>9</v>
      </c>
      <c r="Q6" s="46"/>
      <c r="R6" s="44"/>
      <c r="S6" s="43" t="s">
        <v>10</v>
      </c>
      <c r="T6" s="46"/>
      <c r="U6" s="44"/>
      <c r="V6" s="43" t="s">
        <v>49</v>
      </c>
      <c r="W6" s="43" t="s">
        <v>50</v>
      </c>
    </row>
    <row r="7" spans="1:40" ht="20.100000000000001" customHeight="1" x14ac:dyDescent="0.25">
      <c r="A7" s="45"/>
      <c r="B7" s="45"/>
      <c r="C7" s="45"/>
      <c r="D7" s="45"/>
      <c r="E7" s="45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155</v>
      </c>
      <c r="N7" s="3" t="s">
        <v>156</v>
      </c>
      <c r="O7" s="3" t="s">
        <v>157</v>
      </c>
      <c r="P7" s="3" t="s">
        <v>12</v>
      </c>
      <c r="Q7" s="3" t="s">
        <v>19</v>
      </c>
      <c r="R7" s="3" t="s">
        <v>158</v>
      </c>
      <c r="S7" s="3" t="s">
        <v>12</v>
      </c>
      <c r="T7" s="3" t="s">
        <v>159</v>
      </c>
      <c r="U7" s="3" t="s">
        <v>158</v>
      </c>
      <c r="V7" s="45"/>
      <c r="W7" s="45"/>
    </row>
    <row r="8" spans="1:40" ht="15.95" customHeight="1" x14ac:dyDescent="0.25">
      <c r="A8" s="59" t="s">
        <v>149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4"/>
      <c r="W8" s="4"/>
    </row>
    <row r="9" spans="1:40" ht="20.100000000000001" customHeight="1" x14ac:dyDescent="0.25">
      <c r="A9" s="18" t="s">
        <v>150</v>
      </c>
      <c r="B9" s="19" t="s">
        <v>53</v>
      </c>
      <c r="C9" s="20">
        <v>0</v>
      </c>
      <c r="D9" s="20">
        <v>0.98012924831600001</v>
      </c>
      <c r="E9" s="20">
        <f>D9-C9</f>
        <v>0.98012924831600001</v>
      </c>
      <c r="F9" s="21"/>
      <c r="G9" s="21"/>
      <c r="H9" s="21" t="s">
        <v>54</v>
      </c>
      <c r="I9" s="21"/>
      <c r="J9" s="21"/>
      <c r="K9" s="21"/>
      <c r="L9" s="21" t="s">
        <v>54</v>
      </c>
      <c r="M9" s="21"/>
      <c r="N9" s="21" t="s">
        <v>54</v>
      </c>
      <c r="O9" s="21"/>
      <c r="P9" s="21"/>
      <c r="Q9" s="21" t="s">
        <v>54</v>
      </c>
      <c r="R9" s="21"/>
      <c r="S9" s="21"/>
      <c r="T9" s="21" t="s">
        <v>54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1" spans="1:40" x14ac:dyDescent="0.25">
      <c r="A11" s="61" t="s">
        <v>62</v>
      </c>
      <c r="B11" s="42"/>
      <c r="C11" s="42"/>
      <c r="D11" s="42"/>
      <c r="E11" s="42"/>
      <c r="G11" s="61" t="s">
        <v>62</v>
      </c>
      <c r="H11" s="42"/>
      <c r="I11" s="42"/>
      <c r="J11" s="42"/>
      <c r="K11" s="42"/>
    </row>
    <row r="12" spans="1:40" x14ac:dyDescent="0.25">
      <c r="A12" s="58" t="s">
        <v>63</v>
      </c>
      <c r="B12" s="42"/>
      <c r="C12" s="42"/>
      <c r="D12" s="42"/>
      <c r="E12" s="42"/>
      <c r="G12" s="58" t="s">
        <v>64</v>
      </c>
      <c r="H12" s="42"/>
      <c r="I12" s="42"/>
      <c r="J12" s="42"/>
      <c r="K12" s="42"/>
    </row>
    <row r="14" spans="1:40" x14ac:dyDescent="0.25">
      <c r="A14" s="64" t="s">
        <v>65</v>
      </c>
      <c r="B14" s="42"/>
      <c r="C14" s="42"/>
      <c r="D14" s="42"/>
      <c r="E14" s="42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40" x14ac:dyDescent="0.25">
      <c r="A15" s="53" t="s">
        <v>66</v>
      </c>
      <c r="B15" s="42"/>
      <c r="C15" s="42"/>
      <c r="D15" s="42"/>
      <c r="E15" s="42"/>
      <c r="F15" s="9">
        <f t="shared" ref="F15:U15" si="1">SUMIF(F$9:F$9,"X",$E$9:$E$9)</f>
        <v>0</v>
      </c>
      <c r="G15" s="9">
        <f t="shared" si="1"/>
        <v>0</v>
      </c>
      <c r="H15" s="9">
        <f t="shared" si="1"/>
        <v>0.98012924831600001</v>
      </c>
      <c r="I15" s="9">
        <f t="shared" si="1"/>
        <v>0</v>
      </c>
      <c r="J15" s="9">
        <f t="shared" si="1"/>
        <v>0</v>
      </c>
      <c r="K15" s="9">
        <f t="shared" si="1"/>
        <v>0</v>
      </c>
      <c r="L15" s="9">
        <f t="shared" si="1"/>
        <v>0.98012924831600001</v>
      </c>
      <c r="M15" s="9">
        <f t="shared" si="1"/>
        <v>0</v>
      </c>
      <c r="N15" s="9">
        <f t="shared" si="1"/>
        <v>0.98012924831600001</v>
      </c>
      <c r="O15" s="9">
        <f t="shared" si="1"/>
        <v>0</v>
      </c>
      <c r="P15" s="9">
        <f t="shared" si="1"/>
        <v>0</v>
      </c>
      <c r="Q15" s="9">
        <f t="shared" si="1"/>
        <v>0.98012924831600001</v>
      </c>
      <c r="R15" s="9">
        <f t="shared" si="1"/>
        <v>0</v>
      </c>
      <c r="S15" s="9">
        <f t="shared" si="1"/>
        <v>0</v>
      </c>
      <c r="T15" s="9">
        <f t="shared" si="1"/>
        <v>0.98012924831600001</v>
      </c>
      <c r="U15" s="9">
        <f t="shared" si="1"/>
        <v>0</v>
      </c>
    </row>
    <row r="16" spans="1:40" x14ac:dyDescent="0.25">
      <c r="A16" s="53" t="s">
        <v>67</v>
      </c>
      <c r="B16" s="42"/>
      <c r="C16" s="42"/>
      <c r="D16" s="42"/>
      <c r="E16" s="42"/>
      <c r="F16" s="25">
        <f t="shared" ref="F16:U16" si="2">IF($R18=0,0,F15/$R18)</f>
        <v>0</v>
      </c>
      <c r="G16" s="25">
        <f t="shared" si="2"/>
        <v>0</v>
      </c>
      <c r="H16" s="25">
        <f t="shared" si="2"/>
        <v>1</v>
      </c>
      <c r="I16" s="25">
        <f t="shared" si="2"/>
        <v>0</v>
      </c>
      <c r="J16" s="25">
        <f t="shared" si="2"/>
        <v>0</v>
      </c>
      <c r="K16" s="25">
        <f t="shared" si="2"/>
        <v>0</v>
      </c>
      <c r="L16" s="25">
        <f t="shared" si="2"/>
        <v>1</v>
      </c>
      <c r="M16" s="25">
        <f t="shared" si="2"/>
        <v>0</v>
      </c>
      <c r="N16" s="25">
        <f t="shared" si="2"/>
        <v>1</v>
      </c>
      <c r="O16" s="25">
        <f t="shared" si="2"/>
        <v>0</v>
      </c>
      <c r="P16" s="25">
        <f t="shared" si="2"/>
        <v>0</v>
      </c>
      <c r="Q16" s="25">
        <f t="shared" si="2"/>
        <v>1</v>
      </c>
      <c r="R16" s="25">
        <f t="shared" si="2"/>
        <v>0</v>
      </c>
      <c r="S16" s="25">
        <f t="shared" si="2"/>
        <v>0</v>
      </c>
      <c r="T16" s="25">
        <f t="shared" si="2"/>
        <v>1</v>
      </c>
      <c r="U16" s="25">
        <f t="shared" si="2"/>
        <v>0</v>
      </c>
    </row>
    <row r="17" spans="1:22" x14ac:dyDescent="0.25">
      <c r="A17" s="53" t="s">
        <v>68</v>
      </c>
      <c r="B17" s="42"/>
      <c r="C17" s="42"/>
      <c r="D17" s="42"/>
      <c r="E17" s="42"/>
      <c r="F17" s="49" t="str">
        <f>IF(SUM(F15:J15)=0,"— não preenchido",IF(ROUND(SUM(F15:J15)-$R18,3)=0,"OK — "&amp;ROUND(SUM(F15:J15),3)&amp;" km","ERRO — dif. de "&amp;ROUND(SUM(F15:J15)-$R18,3)&amp;" km"))</f>
        <v>OK — 0,98 km</v>
      </c>
      <c r="G17" s="46"/>
      <c r="H17" s="46"/>
      <c r="I17" s="46"/>
      <c r="J17" s="44"/>
      <c r="K17" s="49" t="str">
        <f>IF(SUM(K15:L15)=0,"— não preenchido",IF(ROUND(SUM(K15:L15)-$R18,3)=0,"OK — "&amp;ROUND(SUM(K15:L15),3)&amp;" km","ERRO — dif. de "&amp;ROUND(SUM(K15:L15)-$R18,3)&amp;" km"))</f>
        <v>OK — 0,98 km</v>
      </c>
      <c r="L17" s="44"/>
      <c r="M17" s="49" t="str">
        <f>IF(SUM(M15:O15)=0,"— não preenchido",IF(ROUND(SUM(M15:O15)-$R18,3)=0,"OK — "&amp;ROUND(SUM(M15:O15),3)&amp;" km","ERRO — dif. de "&amp;ROUND(SUM(M15:O15)-$R18,3)&amp;" km"))</f>
        <v>OK — 0,98 km</v>
      </c>
      <c r="N17" s="46"/>
      <c r="O17" s="44"/>
      <c r="P17" s="49" t="str">
        <f>IF(SUM(P15:R15)=0,"— não preenchido",IF(ROUND(SUM(P15:R15)-$R18,3)=0,"OK — "&amp;ROUND(SUM(P15:R15),3)&amp;" km","ERRO — dif. de "&amp;ROUND(SUM(P15:R15)-$R18,3)&amp;" km"))</f>
        <v>OK — 0,98 km</v>
      </c>
      <c r="Q17" s="46"/>
      <c r="R17" s="44"/>
      <c r="S17" s="49" t="str">
        <f>IF(SUM(S15:U15)=0,"— não preenchido",IF(ROUND(SUM(S15:U15)-$R18,3)=0,"OK — "&amp;ROUND(SUM(S15:U15),3)&amp;" km","ERRO — dif. de "&amp;ROUND(SUM(S15:U15)-$R18,3)&amp;" km"))</f>
        <v>OK — 0,98 km</v>
      </c>
      <c r="T17" s="46"/>
      <c r="U17" s="44"/>
    </row>
    <row r="18" spans="1:22" x14ac:dyDescent="0.25">
      <c r="A18" s="53" t="s">
        <v>69</v>
      </c>
      <c r="B18" s="42"/>
      <c r="C18" s="42"/>
      <c r="D18" s="42"/>
      <c r="E18" s="42"/>
      <c r="R18" s="26">
        <f>SUM(E9:E9)</f>
        <v>0.98012924831600001</v>
      </c>
      <c r="V18" s="8" t="str">
        <f>COUNTIF(W9:W9,"OK")&amp;" de "&amp;COUNT($E$9:$E$9)&amp;" linhas conferidas"</f>
        <v>1 de 1 linhas conferidas</v>
      </c>
    </row>
    <row r="20" spans="1:22" x14ac:dyDescent="0.25">
      <c r="A20" s="62" t="s">
        <v>70</v>
      </c>
      <c r="B20" s="42"/>
      <c r="C20" s="42"/>
      <c r="D20" s="42"/>
      <c r="E20" s="42"/>
    </row>
    <row r="21" spans="1:22" x14ac:dyDescent="0.25">
      <c r="A21" s="53" t="s">
        <v>71</v>
      </c>
      <c r="B21" s="42"/>
      <c r="C21" s="42"/>
      <c r="D21" s="42"/>
      <c r="E21" s="48" t="s">
        <v>72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x14ac:dyDescent="0.25">
      <c r="A22" s="53" t="s">
        <v>73</v>
      </c>
      <c r="B22" s="42"/>
      <c r="C22" s="42"/>
      <c r="D22" s="42"/>
      <c r="E22" s="48" t="s">
        <v>74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x14ac:dyDescent="0.25">
      <c r="A23" s="53" t="s">
        <v>75</v>
      </c>
      <c r="B23" s="42"/>
      <c r="C23" s="42"/>
      <c r="D23" s="42"/>
      <c r="E23" s="48" t="s">
        <v>76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x14ac:dyDescent="0.25">
      <c r="A24" s="53" t="s">
        <v>77</v>
      </c>
      <c r="B24" s="42"/>
      <c r="C24" s="42"/>
      <c r="D24" s="42"/>
      <c r="E24" s="48" t="s">
        <v>78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x14ac:dyDescent="0.25">
      <c r="A25" s="53" t="s">
        <v>79</v>
      </c>
      <c r="B25" s="42"/>
      <c r="C25" s="42"/>
      <c r="D25" s="42"/>
      <c r="E25" s="48" t="s">
        <v>80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x14ac:dyDescent="0.25">
      <c r="A26" s="53" t="s">
        <v>45</v>
      </c>
      <c r="B26" s="42"/>
      <c r="C26" s="42"/>
      <c r="D26" s="42"/>
      <c r="E26" s="48" t="s">
        <v>81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x14ac:dyDescent="0.25">
      <c r="A27" s="53" t="s">
        <v>82</v>
      </c>
      <c r="B27" s="42"/>
      <c r="C27" s="42"/>
      <c r="D27" s="42"/>
      <c r="E27" s="48" t="s">
        <v>83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x14ac:dyDescent="0.25">
      <c r="A28" s="53" t="s">
        <v>84</v>
      </c>
      <c r="B28" s="42"/>
      <c r="C28" s="42"/>
      <c r="D28" s="42"/>
      <c r="E28" s="48" t="s">
        <v>85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x14ac:dyDescent="0.25">
      <c r="A29" s="53" t="s">
        <v>11</v>
      </c>
      <c r="B29" s="42"/>
      <c r="C29" s="42"/>
      <c r="D29" s="42"/>
      <c r="E29" s="48" t="s">
        <v>86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</row>
  </sheetData>
  <sheetProtection formatCells="0"/>
  <mergeCells count="57">
    <mergeCell ref="E29:V29"/>
    <mergeCell ref="G12:K12"/>
    <mergeCell ref="G2:H2"/>
    <mergeCell ref="A15:E15"/>
    <mergeCell ref="A22:D22"/>
    <mergeCell ref="I2:J2"/>
    <mergeCell ref="E23:V23"/>
    <mergeCell ref="A8:V8"/>
    <mergeCell ref="A11:E11"/>
    <mergeCell ref="G11:K11"/>
    <mergeCell ref="E28:V28"/>
    <mergeCell ref="A29:D29"/>
    <mergeCell ref="P17:R17"/>
    <mergeCell ref="A6:A7"/>
    <mergeCell ref="F6:J6"/>
    <mergeCell ref="A28:D28"/>
    <mergeCell ref="N2:O2"/>
    <mergeCell ref="E27:V27"/>
    <mergeCell ref="P2:Q2"/>
    <mergeCell ref="A27:D27"/>
    <mergeCell ref="A23:D23"/>
    <mergeCell ref="A4:V4"/>
    <mergeCell ref="V6:V7"/>
    <mergeCell ref="A2:F2"/>
    <mergeCell ref="S6:U6"/>
    <mergeCell ref="K2:M2"/>
    <mergeCell ref="W6:W7"/>
    <mergeCell ref="M17:O17"/>
    <mergeCell ref="E6:E7"/>
    <mergeCell ref="A24:D24"/>
    <mergeCell ref="E26:V26"/>
    <mergeCell ref="B6:B7"/>
    <mergeCell ref="A18:E18"/>
    <mergeCell ref="F17:J17"/>
    <mergeCell ref="A12:E12"/>
    <mergeCell ref="E25:V25"/>
    <mergeCell ref="A26:D26"/>
    <mergeCell ref="D6:D7"/>
    <mergeCell ref="P6:R6"/>
    <mergeCell ref="M6:O6"/>
    <mergeCell ref="A16:E16"/>
    <mergeCell ref="A1:V1"/>
    <mergeCell ref="T3:V3"/>
    <mergeCell ref="E22:V22"/>
    <mergeCell ref="A25:D25"/>
    <mergeCell ref="A14:E14"/>
    <mergeCell ref="A17:E17"/>
    <mergeCell ref="K17:L17"/>
    <mergeCell ref="E21:V21"/>
    <mergeCell ref="A20:E20"/>
    <mergeCell ref="A21:D21"/>
    <mergeCell ref="E24:V24"/>
    <mergeCell ref="R2:V2"/>
    <mergeCell ref="A3:S3"/>
    <mergeCell ref="C6:C7"/>
    <mergeCell ref="S17:U17"/>
    <mergeCell ref="K6:L6"/>
  </mergeCells>
  <conditionalFormatting sqref="F9:J9">
    <cfRule type="expression" dxfId="9" priority="1">
      <formula>AND(F9&lt;&gt;"",COUNTIF($F9:$J9,"X")&gt;1)</formula>
    </cfRule>
  </conditionalFormatting>
  <conditionalFormatting sqref="F17:U17">
    <cfRule type="expression" dxfId="8" priority="8">
      <formula>LEFT(F17,4)="ERRO"</formula>
    </cfRule>
    <cfRule type="expression" dxfId="7" priority="9">
      <formula>LEFT(F17,2)="OK"</formula>
    </cfRule>
  </conditionalFormatting>
  <conditionalFormatting sqref="K9:L9">
    <cfRule type="expression" dxfId="6" priority="2">
      <formula>AND(K9&lt;&gt;"",COUNTIF($K9:$L9,"X")&gt;1)</formula>
    </cfRule>
  </conditionalFormatting>
  <conditionalFormatting sqref="M9:O9">
    <cfRule type="expression" dxfId="5" priority="3">
      <formula>AND(M9&lt;&gt;"",COUNTIF($M9:$O9,"X")&gt;1)</formula>
    </cfRule>
  </conditionalFormatting>
  <conditionalFormatting sqref="P9:R9">
    <cfRule type="expression" dxfId="4" priority="4">
      <formula>AND(P9&lt;&gt;"",COUNTIF($P9:$R9,"X")&gt;1)</formula>
    </cfRule>
  </conditionalFormatting>
  <conditionalFormatting sqref="S9:U9">
    <cfRule type="expression" dxfId="3" priority="5">
      <formula>AND(S9&lt;&gt;"",COUNTIF($S9:$U9,"X")&gt;1)</formula>
    </cfRule>
  </conditionalFormatting>
  <conditionalFormatting sqref="W9">
    <cfRule type="expression" dxfId="2" priority="6">
      <formula>AND(W9&lt;&gt;"OK",W9&lt;&gt;"")</formula>
    </cfRule>
    <cfRule type="expression" dxfId="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9" xr:uid="{00000000-0002-0000-0D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9" xr:uid="{00000000-0002-0000-0D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9" xr:uid="{00000000-0002-0000-0D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9" xr:uid="{00000000-0002-0000-0D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9" xr:uid="{00000000-0002-0000-0D00-000004000000}">
      <formula1>AND(UPPER(S9)="X",COUNTIF($S9:$U9,"X")&lt;=1)</formula1>
    </dataValidation>
    <dataValidation type="list" showErrorMessage="1" errorTitle="Sentido inválido" error="Use C (crescente) ou D (decrescente)." sqref="B9" xr:uid="{00000000-0002-0000-0D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222</oddHeader>
    <oddFooter>&amp;L&amp;7 RTA / MSI — Programa de Manutenção Rodoviária&amp;C&amp;7 Página &amp;P de &amp;N&amp;R&amp;7 Impresso em &amp;D</oddFooter>
  </headerFooter>
  <rowBreaks count="1" manualBreakCount="1">
    <brk id="12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151</v>
      </c>
    </row>
    <row r="2" spans="1:1" x14ac:dyDescent="0.25">
      <c r="A2" t="s">
        <v>152</v>
      </c>
    </row>
    <row r="3" spans="1:1" x14ac:dyDescent="0.25">
      <c r="A3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27</vt:i4>
      </vt:variant>
    </vt:vector>
  </HeadingPairs>
  <TitlesOfParts>
    <vt:vector size="43" baseType="lpstr">
      <vt:lpstr>OS SETEMBRO</vt:lpstr>
      <vt:lpstr>RESUMO</vt:lpstr>
      <vt:lpstr>202</vt:lpstr>
      <vt:lpstr>203</vt:lpstr>
      <vt:lpstr>204</vt:lpstr>
      <vt:lpstr>205</vt:lpstr>
      <vt:lpstr>206</vt:lpstr>
      <vt:lpstr>209</vt:lpstr>
      <vt:lpstr>210</vt:lpstr>
      <vt:lpstr>212</vt:lpstr>
      <vt:lpstr>214</vt:lpstr>
      <vt:lpstr>218</vt:lpstr>
      <vt:lpstr>219</vt:lpstr>
      <vt:lpstr>220</vt:lpstr>
      <vt:lpstr>222</vt:lpstr>
      <vt:lpstr>LISTAS</vt:lpstr>
      <vt:lpstr>'202'!Area_de_impressao</vt:lpstr>
      <vt:lpstr>'203'!Area_de_impressao</vt:lpstr>
      <vt:lpstr>'204'!Area_de_impressao</vt:lpstr>
      <vt:lpstr>'205'!Area_de_impressao</vt:lpstr>
      <vt:lpstr>'206'!Area_de_impressao</vt:lpstr>
      <vt:lpstr>'209'!Area_de_impressao</vt:lpstr>
      <vt:lpstr>'210'!Area_de_impressao</vt:lpstr>
      <vt:lpstr>'212'!Area_de_impressao</vt:lpstr>
      <vt:lpstr>'214'!Area_de_impressao</vt:lpstr>
      <vt:lpstr>'218'!Area_de_impressao</vt:lpstr>
      <vt:lpstr>'219'!Area_de_impressao</vt:lpstr>
      <vt:lpstr>'220'!Area_de_impressao</vt:lpstr>
      <vt:lpstr>'222'!Area_de_impressao</vt:lpstr>
      <vt:lpstr>RESUMO!Area_de_impressao</vt:lpstr>
      <vt:lpstr>'202'!Titulos_de_impressao</vt:lpstr>
      <vt:lpstr>'203'!Titulos_de_impressao</vt:lpstr>
      <vt:lpstr>'204'!Titulos_de_impressao</vt:lpstr>
      <vt:lpstr>'205'!Titulos_de_impressao</vt:lpstr>
      <vt:lpstr>'206'!Titulos_de_impressao</vt:lpstr>
      <vt:lpstr>'209'!Titulos_de_impressao</vt:lpstr>
      <vt:lpstr>'210'!Titulos_de_impressao</vt:lpstr>
      <vt:lpstr>'212'!Titulos_de_impressao</vt:lpstr>
      <vt:lpstr>'214'!Titulos_de_impressao</vt:lpstr>
      <vt:lpstr>'218'!Titulos_de_impressao</vt:lpstr>
      <vt:lpstr>'219'!Titulos_de_impressao</vt:lpstr>
      <vt:lpstr>'220'!Titulos_de_impressao</vt:lpstr>
      <vt:lpstr>'222'!Titulos_de_impressao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2026-08-12T19:05:34Z</dcterms:created>
  <dcterms:modified xsi:type="dcterms:W3CDTF">2026-10-05T13:16:43Z</dcterms:modified>
</cp:coreProperties>
</file>