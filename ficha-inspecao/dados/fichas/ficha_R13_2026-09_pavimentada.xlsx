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omments8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omments9.xml" ContentType="application/vnd.openxmlformats-officedocument.spreadsheetml.comments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omments10.xml" ContentType="application/vnd.openxmlformats-officedocument.spreadsheetml.comments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omments11.xml" ContentType="application/vnd.openxmlformats-officedocument.spreadsheetml.comments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44B3E408-6B9A-4F4C-A6D2-81DD6579BAF8}" xr6:coauthVersionLast="47" xr6:coauthVersionMax="47" xr10:uidLastSave="{00000000-0000-0000-0000-000000000000}"/>
  <bookViews>
    <workbookView xWindow="-28920" yWindow="-4680" windowWidth="29040" windowHeight="15840" xr2:uid="{00000000-000D-0000-FFFF-FFFF00000000}"/>
  </bookViews>
  <sheets>
    <sheet name="OS SETEMBRO" sheetId="19" r:id="rId1"/>
    <sheet name="RESUMO" sheetId="1" r:id="rId2"/>
    <sheet name="246" sheetId="2" r:id="rId3"/>
    <sheet name="247" sheetId="3" r:id="rId4"/>
    <sheet name="248" sheetId="4" r:id="rId5"/>
    <sheet name="249" sheetId="5" r:id="rId6"/>
    <sheet name="250" sheetId="6" r:id="rId7"/>
    <sheet name="251" sheetId="7" r:id="rId8"/>
    <sheet name="252" sheetId="8" r:id="rId9"/>
    <sheet name="253" sheetId="9" r:id="rId10"/>
    <sheet name="254" sheetId="10" r:id="rId11"/>
    <sheet name="255" sheetId="11" r:id="rId12"/>
    <sheet name="256" sheetId="12" r:id="rId13"/>
    <sheet name="257" sheetId="13" r:id="rId14"/>
    <sheet name="258" sheetId="14" r:id="rId15"/>
    <sheet name="259" sheetId="15" r:id="rId16"/>
    <sheet name="265" sheetId="16" r:id="rId17"/>
    <sheet name="266" sheetId="17" r:id="rId18"/>
    <sheet name="LISTAS" sheetId="18" state="hidden" r:id="rId19"/>
  </sheets>
  <definedNames>
    <definedName name="_xlnm.Print_Area" localSheetId="2">'246'!$A$1:$V$45</definedName>
    <definedName name="_xlnm.Print_Area" localSheetId="3">'247'!$A$1:$V$68</definedName>
    <definedName name="_xlnm.Print_Area" localSheetId="4">'248'!$A$1:$V$73</definedName>
    <definedName name="_xlnm.Print_Area" localSheetId="5">'249'!$A$1:$V$67</definedName>
    <definedName name="_xlnm.Print_Area" localSheetId="6">'250'!$A$1:$V$46</definedName>
    <definedName name="_xlnm.Print_Area" localSheetId="7">'251'!$A$1:$V$136</definedName>
    <definedName name="_xlnm.Print_Area" localSheetId="8">'252'!$A$1:$V$85</definedName>
    <definedName name="_xlnm.Print_Area" localSheetId="9">'253'!$A$1:$V$44</definedName>
    <definedName name="_xlnm.Print_Area" localSheetId="10">'254'!$A$1:$V$51</definedName>
    <definedName name="_xlnm.Print_Area" localSheetId="11">'255'!$A$1:$V$86</definedName>
    <definedName name="_xlnm.Print_Area" localSheetId="12">'256'!$A$1:$V$72</definedName>
    <definedName name="_xlnm.Print_Area" localSheetId="13">'257'!$A$1:$V$35</definedName>
    <definedName name="_xlnm.Print_Area" localSheetId="14">'258'!$A$1:$V$68</definedName>
    <definedName name="_xlnm.Print_Area" localSheetId="15">'259'!$A$1:$V$84</definedName>
    <definedName name="_xlnm.Print_Area" localSheetId="16">'265'!$A$1:$V$30</definedName>
    <definedName name="_xlnm.Print_Area" localSheetId="17">'266'!$A$1:$V$56</definedName>
    <definedName name="_xlnm.Print_Area" localSheetId="1">RESUMO!$A$1:$T$23</definedName>
    <definedName name="_xlnm.Print_Titles" localSheetId="2">'246'!$6:$7</definedName>
    <definedName name="_xlnm.Print_Titles" localSheetId="3">'247'!$6:$7</definedName>
    <definedName name="_xlnm.Print_Titles" localSheetId="4">'248'!$6:$7</definedName>
    <definedName name="_xlnm.Print_Titles" localSheetId="5">'249'!$6:$7</definedName>
    <definedName name="_xlnm.Print_Titles" localSheetId="6">'250'!$6:$7</definedName>
    <definedName name="_xlnm.Print_Titles" localSheetId="7">'251'!$6:$7</definedName>
    <definedName name="_xlnm.Print_Titles" localSheetId="8">'252'!$6:$7</definedName>
    <definedName name="_xlnm.Print_Titles" localSheetId="9">'253'!$6:$7</definedName>
    <definedName name="_xlnm.Print_Titles" localSheetId="10">'254'!$6:$7</definedName>
    <definedName name="_xlnm.Print_Titles" localSheetId="11">'255'!$6:$7</definedName>
    <definedName name="_xlnm.Print_Titles" localSheetId="12">'256'!$6:$7</definedName>
    <definedName name="_xlnm.Print_Titles" localSheetId="13">'257'!$6:$7</definedName>
    <definedName name="_xlnm.Print_Titles" localSheetId="14">'258'!$6:$7</definedName>
    <definedName name="_xlnm.Print_Titles" localSheetId="15">'259'!$6:$7</definedName>
    <definedName name="_xlnm.Print_Titles" localSheetId="16">'265'!$6:$7</definedName>
    <definedName name="_xlnm.Print_Titles" localSheetId="17">'266'!$6:$7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9" l="1"/>
  <c r="U42" i="17"/>
  <c r="AN2" i="17" s="1"/>
  <c r="S42" i="17"/>
  <c r="R42" i="17"/>
  <c r="P42" i="17"/>
  <c r="O42" i="17"/>
  <c r="N42" i="17"/>
  <c r="K42" i="17"/>
  <c r="J42" i="17"/>
  <c r="I42" i="17"/>
  <c r="AB2" i="17" s="1"/>
  <c r="F42" i="17"/>
  <c r="Y2" i="17" s="1"/>
  <c r="W36" i="17"/>
  <c r="E36" i="17"/>
  <c r="W35" i="17"/>
  <c r="E35" i="17"/>
  <c r="W34" i="17"/>
  <c r="E34" i="17"/>
  <c r="W33" i="17"/>
  <c r="E33" i="17"/>
  <c r="W32" i="17"/>
  <c r="E32" i="17"/>
  <c r="W31" i="17"/>
  <c r="E31" i="17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M42" i="17" s="1"/>
  <c r="K21" i="1" s="1"/>
  <c r="W9" i="17"/>
  <c r="E9" i="17"/>
  <c r="AL2" i="17"/>
  <c r="AK2" i="17"/>
  <c r="AI2" i="17"/>
  <c r="AH2" i="17"/>
  <c r="AG2" i="17"/>
  <c r="AD2" i="17"/>
  <c r="AC2" i="17"/>
  <c r="U16" i="16"/>
  <c r="AN2" i="16" s="1"/>
  <c r="S16" i="16"/>
  <c r="AL2" i="16" s="1"/>
  <c r="R16" i="16"/>
  <c r="P16" i="16"/>
  <c r="O16" i="16"/>
  <c r="AH2" i="16" s="1"/>
  <c r="N16" i="16"/>
  <c r="L16" i="16"/>
  <c r="AE2" i="16" s="1"/>
  <c r="J16" i="16"/>
  <c r="AC2" i="16" s="1"/>
  <c r="I16" i="16"/>
  <c r="H16" i="16"/>
  <c r="AA2" i="16" s="1"/>
  <c r="F16" i="16"/>
  <c r="Y2" i="16" s="1"/>
  <c r="W10" i="16"/>
  <c r="E10" i="16"/>
  <c r="W9" i="16"/>
  <c r="E9" i="16"/>
  <c r="AK2" i="16"/>
  <c r="AI2" i="16"/>
  <c r="AB2" i="16"/>
  <c r="U70" i="15"/>
  <c r="S70" i="15"/>
  <c r="Q70" i="15"/>
  <c r="O70" i="15"/>
  <c r="M70" i="15"/>
  <c r="L70" i="15"/>
  <c r="I70" i="15"/>
  <c r="G19" i="1" s="1"/>
  <c r="W64" i="15"/>
  <c r="E64" i="15"/>
  <c r="W63" i="15"/>
  <c r="E63" i="15"/>
  <c r="W61" i="15"/>
  <c r="E61" i="15"/>
  <c r="W60" i="15"/>
  <c r="E60" i="15"/>
  <c r="W59" i="15"/>
  <c r="E59" i="15"/>
  <c r="W58" i="15"/>
  <c r="E58" i="15"/>
  <c r="W57" i="15"/>
  <c r="E57" i="15"/>
  <c r="W56" i="15"/>
  <c r="E56" i="15"/>
  <c r="W55" i="15"/>
  <c r="E55" i="15"/>
  <c r="W54" i="15"/>
  <c r="E54" i="15"/>
  <c r="W53" i="15"/>
  <c r="E53" i="15"/>
  <c r="W52" i="15"/>
  <c r="E52" i="15"/>
  <c r="W51" i="15"/>
  <c r="E51" i="15"/>
  <c r="W50" i="15"/>
  <c r="E50" i="15"/>
  <c r="W49" i="15"/>
  <c r="E49" i="15"/>
  <c r="W48" i="15"/>
  <c r="E48" i="15"/>
  <c r="W47" i="15"/>
  <c r="E47" i="15"/>
  <c r="W46" i="15"/>
  <c r="E46" i="15"/>
  <c r="W45" i="15"/>
  <c r="E45" i="15"/>
  <c r="W44" i="15"/>
  <c r="E44" i="15"/>
  <c r="W43" i="15"/>
  <c r="E43" i="15"/>
  <c r="W42" i="15"/>
  <c r="E42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W23" i="15"/>
  <c r="E23" i="15"/>
  <c r="W22" i="15"/>
  <c r="E22" i="15"/>
  <c r="G70" i="15" s="1"/>
  <c r="W21" i="15"/>
  <c r="E21" i="15"/>
  <c r="W20" i="15"/>
  <c r="E20" i="15"/>
  <c r="W19" i="15"/>
  <c r="E19" i="15"/>
  <c r="W18" i="15"/>
  <c r="E18" i="15"/>
  <c r="W17" i="15"/>
  <c r="E17" i="15"/>
  <c r="W16" i="15"/>
  <c r="E16" i="15"/>
  <c r="W15" i="15"/>
  <c r="E15" i="15"/>
  <c r="W14" i="15"/>
  <c r="E14" i="15"/>
  <c r="P70" i="15" s="1"/>
  <c r="AI2" i="15" s="1"/>
  <c r="W12" i="15"/>
  <c r="E12" i="15"/>
  <c r="W11" i="15"/>
  <c r="E11" i="15"/>
  <c r="W10" i="15"/>
  <c r="E10" i="15"/>
  <c r="W9" i="15"/>
  <c r="E9" i="15"/>
  <c r="T70" i="15" s="1"/>
  <c r="AM2" i="15" s="1"/>
  <c r="AN2" i="15"/>
  <c r="AL2" i="15"/>
  <c r="AJ2" i="15"/>
  <c r="AF2" i="15"/>
  <c r="AE2" i="15"/>
  <c r="U54" i="14"/>
  <c r="S54" i="14"/>
  <c r="Q18" i="1" s="1"/>
  <c r="R54" i="14"/>
  <c r="Q54" i="14"/>
  <c r="AJ2" i="14" s="1"/>
  <c r="M54" i="14"/>
  <c r="AF2" i="14" s="1"/>
  <c r="L54" i="14"/>
  <c r="AE2" i="14" s="1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I54" i="14" s="1"/>
  <c r="AB2" i="14" s="1"/>
  <c r="W10" i="14"/>
  <c r="E10" i="14"/>
  <c r="W9" i="14"/>
  <c r="E9" i="14"/>
  <c r="T54" i="14" s="1"/>
  <c r="R18" i="1" s="1"/>
  <c r="AN2" i="14"/>
  <c r="AK2" i="14"/>
  <c r="R24" i="13"/>
  <c r="S22" i="13" s="1"/>
  <c r="U21" i="13"/>
  <c r="S21" i="13"/>
  <c r="Q21" i="13"/>
  <c r="AJ2" i="13" s="1"/>
  <c r="P21" i="13"/>
  <c r="O21" i="13"/>
  <c r="AH2" i="13" s="1"/>
  <c r="L21" i="13"/>
  <c r="J17" i="1" s="1"/>
  <c r="J21" i="13"/>
  <c r="AC2" i="13" s="1"/>
  <c r="I21" i="13"/>
  <c r="H21" i="13"/>
  <c r="F17" i="1" s="1"/>
  <c r="W15" i="13"/>
  <c r="E15" i="13"/>
  <c r="W14" i="13"/>
  <c r="E14" i="13"/>
  <c r="M21" i="13" s="1"/>
  <c r="W13" i="13"/>
  <c r="E13" i="13"/>
  <c r="W12" i="13"/>
  <c r="E12" i="13"/>
  <c r="W11" i="13"/>
  <c r="E11" i="13"/>
  <c r="W10" i="13"/>
  <c r="E10" i="13"/>
  <c r="K21" i="13" s="1"/>
  <c r="W9" i="13"/>
  <c r="E9" i="13"/>
  <c r="AN2" i="13"/>
  <c r="AI2" i="13"/>
  <c r="AE2" i="13"/>
  <c r="AB2" i="13"/>
  <c r="U58" i="12"/>
  <c r="AN2" i="12" s="1"/>
  <c r="S58" i="12"/>
  <c r="R58" i="12"/>
  <c r="Q58" i="12"/>
  <c r="M58" i="12"/>
  <c r="AF2" i="12" s="1"/>
  <c r="J58" i="12"/>
  <c r="W52" i="12"/>
  <c r="E52" i="12"/>
  <c r="W51" i="12"/>
  <c r="E51" i="12"/>
  <c r="W50" i="12"/>
  <c r="E50" i="12"/>
  <c r="W49" i="12"/>
  <c r="E49" i="12"/>
  <c r="O58" i="12" s="1"/>
  <c r="AH2" i="12" s="1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I58" i="12" s="1"/>
  <c r="AB2" i="12" s="1"/>
  <c r="W26" i="12"/>
  <c r="E26" i="12"/>
  <c r="W25" i="12"/>
  <c r="E25" i="12"/>
  <c r="W24" i="12"/>
  <c r="E24" i="12"/>
  <c r="W23" i="12"/>
  <c r="E23" i="12"/>
  <c r="W22" i="12"/>
  <c r="E22" i="12"/>
  <c r="W21" i="12"/>
  <c r="E21" i="12"/>
  <c r="G58" i="12" s="1"/>
  <c r="Z2" i="12" s="1"/>
  <c r="W19" i="12"/>
  <c r="E19" i="12"/>
  <c r="W18" i="12"/>
  <c r="E18" i="12"/>
  <c r="W17" i="12"/>
  <c r="E17" i="12"/>
  <c r="W16" i="12"/>
  <c r="E16" i="12"/>
  <c r="W14" i="12"/>
  <c r="E14" i="12"/>
  <c r="W13" i="12"/>
  <c r="E13" i="12"/>
  <c r="H58" i="12" s="1"/>
  <c r="AA2" i="12" s="1"/>
  <c r="W12" i="12"/>
  <c r="E12" i="12"/>
  <c r="W11" i="12"/>
  <c r="E11" i="12"/>
  <c r="W10" i="12"/>
  <c r="E10" i="12"/>
  <c r="W9" i="12"/>
  <c r="E9" i="12"/>
  <c r="R61" i="12" s="1"/>
  <c r="C16" i="1" s="1"/>
  <c r="AL2" i="12"/>
  <c r="AK2" i="12"/>
  <c r="AJ2" i="12"/>
  <c r="AC2" i="12"/>
  <c r="R75" i="11"/>
  <c r="O73" i="11" s="1"/>
  <c r="U72" i="11"/>
  <c r="AN2" i="11" s="1"/>
  <c r="S72" i="11"/>
  <c r="R72" i="11"/>
  <c r="Q72" i="11"/>
  <c r="O72" i="11"/>
  <c r="AH2" i="11" s="1"/>
  <c r="L72" i="11"/>
  <c r="K72" i="11"/>
  <c r="J72" i="11"/>
  <c r="I72" i="11"/>
  <c r="G15" i="1" s="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F72" i="11" s="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N72" i="11" s="1"/>
  <c r="AG2" i="11" s="1"/>
  <c r="W16" i="11"/>
  <c r="E16" i="11"/>
  <c r="W15" i="11"/>
  <c r="E15" i="11"/>
  <c r="W14" i="11"/>
  <c r="E14" i="11"/>
  <c r="W13" i="11"/>
  <c r="E13" i="11"/>
  <c r="H72" i="11" s="1"/>
  <c r="AA2" i="11" s="1"/>
  <c r="W12" i="11"/>
  <c r="E12" i="11"/>
  <c r="W11" i="11"/>
  <c r="E11" i="11"/>
  <c r="W10" i="11"/>
  <c r="E10" i="11"/>
  <c r="W9" i="11"/>
  <c r="V75" i="11" s="1"/>
  <c r="E9" i="11"/>
  <c r="M72" i="11" s="1"/>
  <c r="AF2" i="11" s="1"/>
  <c r="AL2" i="11"/>
  <c r="AK2" i="11"/>
  <c r="AJ2" i="11"/>
  <c r="AE2" i="11"/>
  <c r="AC2" i="11"/>
  <c r="U37" i="10"/>
  <c r="S37" i="10"/>
  <c r="AL2" i="10" s="1"/>
  <c r="O37" i="10"/>
  <c r="N37" i="10"/>
  <c r="L14" i="1" s="1"/>
  <c r="J37" i="10"/>
  <c r="AC2" i="10" s="1"/>
  <c r="I37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2" i="10"/>
  <c r="E22" i="10"/>
  <c r="W21" i="10"/>
  <c r="E21" i="10"/>
  <c r="H37" i="10" s="1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0" i="10"/>
  <c r="E10" i="10"/>
  <c r="W9" i="10"/>
  <c r="E9" i="10"/>
  <c r="AN2" i="10"/>
  <c r="AH2" i="10"/>
  <c r="AB2" i="10"/>
  <c r="U30" i="9"/>
  <c r="S30" i="9"/>
  <c r="AL2" i="9" s="1"/>
  <c r="M30" i="9"/>
  <c r="L30" i="9"/>
  <c r="K30" i="9"/>
  <c r="J30" i="9"/>
  <c r="I30" i="9"/>
  <c r="G30" i="9"/>
  <c r="W24" i="9"/>
  <c r="E24" i="9"/>
  <c r="W23" i="9"/>
  <c r="E23" i="9"/>
  <c r="Q30" i="9" s="1"/>
  <c r="AJ2" i="9" s="1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N30" i="9" s="1"/>
  <c r="AG2" i="9" s="1"/>
  <c r="W10" i="9"/>
  <c r="E10" i="9"/>
  <c r="W9" i="9"/>
  <c r="E9" i="9"/>
  <c r="R30" i="9" s="1"/>
  <c r="AK2" i="9" s="1"/>
  <c r="AN2" i="9"/>
  <c r="AF2" i="9"/>
  <c r="AE2" i="9"/>
  <c r="AD2" i="9"/>
  <c r="AC2" i="9"/>
  <c r="AB2" i="9"/>
  <c r="Z2" i="9"/>
  <c r="U71" i="8"/>
  <c r="AN2" i="8" s="1"/>
  <c r="R71" i="8"/>
  <c r="P12" i="1" s="1"/>
  <c r="P71" i="8"/>
  <c r="N12" i="1" s="1"/>
  <c r="O71" i="8"/>
  <c r="L71" i="8"/>
  <c r="AE2" i="8" s="1"/>
  <c r="J71" i="8"/>
  <c r="H12" i="1" s="1"/>
  <c r="I71" i="8"/>
  <c r="AB2" i="8" s="1"/>
  <c r="W65" i="8"/>
  <c r="E65" i="8"/>
  <c r="W64" i="8"/>
  <c r="E64" i="8"/>
  <c r="W63" i="8"/>
  <c r="E63" i="8"/>
  <c r="W62" i="8"/>
  <c r="E62" i="8"/>
  <c r="W61" i="8"/>
  <c r="E61" i="8"/>
  <c r="W60" i="8"/>
  <c r="E60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N71" i="8" s="1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G71" i="8" s="1"/>
  <c r="Z2" i="8" s="1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0" i="8"/>
  <c r="E10" i="8"/>
  <c r="W9" i="8"/>
  <c r="E9" i="8"/>
  <c r="AK2" i="8"/>
  <c r="AH2" i="8"/>
  <c r="U122" i="7"/>
  <c r="AN2" i="7" s="1"/>
  <c r="R122" i="7"/>
  <c r="AK2" i="7" s="1"/>
  <c r="P122" i="7"/>
  <c r="AI2" i="7" s="1"/>
  <c r="L122" i="7"/>
  <c r="AE2" i="7" s="1"/>
  <c r="J122" i="7"/>
  <c r="I122" i="7"/>
  <c r="AB2" i="7" s="1"/>
  <c r="W116" i="7"/>
  <c r="E116" i="7"/>
  <c r="W115" i="7"/>
  <c r="E115" i="7"/>
  <c r="W114" i="7"/>
  <c r="E114" i="7"/>
  <c r="W113" i="7"/>
  <c r="E113" i="7"/>
  <c r="M122" i="7" s="1"/>
  <c r="K11" i="1" s="1"/>
  <c r="W111" i="7"/>
  <c r="E111" i="7"/>
  <c r="W110" i="7"/>
  <c r="E110" i="7"/>
  <c r="W109" i="7"/>
  <c r="E109" i="7"/>
  <c r="W108" i="7"/>
  <c r="E108" i="7"/>
  <c r="W107" i="7"/>
  <c r="E107" i="7"/>
  <c r="W106" i="7"/>
  <c r="E106" i="7"/>
  <c r="W105" i="7"/>
  <c r="E105" i="7"/>
  <c r="W104" i="7"/>
  <c r="E104" i="7"/>
  <c r="W103" i="7"/>
  <c r="E103" i="7"/>
  <c r="W102" i="7"/>
  <c r="E102" i="7"/>
  <c r="W101" i="7"/>
  <c r="E101" i="7"/>
  <c r="W100" i="7"/>
  <c r="E100" i="7"/>
  <c r="W99" i="7"/>
  <c r="E99" i="7"/>
  <c r="W98" i="7"/>
  <c r="E98" i="7"/>
  <c r="W97" i="7"/>
  <c r="E97" i="7"/>
  <c r="W96" i="7"/>
  <c r="E96" i="7"/>
  <c r="W95" i="7"/>
  <c r="E95" i="7"/>
  <c r="W94" i="7"/>
  <c r="E94" i="7"/>
  <c r="W93" i="7"/>
  <c r="E93" i="7"/>
  <c r="W91" i="7"/>
  <c r="E91" i="7"/>
  <c r="W90" i="7"/>
  <c r="E90" i="7"/>
  <c r="W89" i="7"/>
  <c r="E89" i="7"/>
  <c r="W88" i="7"/>
  <c r="E88" i="7"/>
  <c r="W87" i="7"/>
  <c r="E87" i="7"/>
  <c r="W86" i="7"/>
  <c r="E86" i="7"/>
  <c r="W85" i="7"/>
  <c r="E85" i="7"/>
  <c r="W84" i="7"/>
  <c r="E84" i="7"/>
  <c r="W83" i="7"/>
  <c r="E83" i="7"/>
  <c r="W82" i="7"/>
  <c r="E82" i="7"/>
  <c r="W81" i="7"/>
  <c r="E81" i="7"/>
  <c r="W80" i="7"/>
  <c r="E80" i="7"/>
  <c r="W79" i="7"/>
  <c r="E79" i="7"/>
  <c r="W78" i="7"/>
  <c r="E78" i="7"/>
  <c r="W77" i="7"/>
  <c r="E77" i="7"/>
  <c r="W76" i="7"/>
  <c r="E76" i="7"/>
  <c r="W75" i="7"/>
  <c r="E75" i="7"/>
  <c r="W74" i="7"/>
  <c r="E74" i="7"/>
  <c r="W73" i="7"/>
  <c r="E73" i="7"/>
  <c r="W72" i="7"/>
  <c r="E72" i="7"/>
  <c r="W71" i="7"/>
  <c r="E71" i="7"/>
  <c r="W70" i="7"/>
  <c r="E70" i="7"/>
  <c r="H122" i="7" s="1"/>
  <c r="W69" i="7"/>
  <c r="E69" i="7"/>
  <c r="W68" i="7"/>
  <c r="E68" i="7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G122" i="7" s="1"/>
  <c r="Z2" i="7" s="1"/>
  <c r="W18" i="7"/>
  <c r="E18" i="7"/>
  <c r="W17" i="7"/>
  <c r="E17" i="7"/>
  <c r="W16" i="7"/>
  <c r="E16" i="7"/>
  <c r="W15" i="7"/>
  <c r="E15" i="7"/>
  <c r="W14" i="7"/>
  <c r="E14" i="7"/>
  <c r="W13" i="7"/>
  <c r="E13" i="7"/>
  <c r="W12" i="7"/>
  <c r="E12" i="7"/>
  <c r="W11" i="7"/>
  <c r="E11" i="7"/>
  <c r="W10" i="7"/>
  <c r="E10" i="7"/>
  <c r="W9" i="7"/>
  <c r="E9" i="7"/>
  <c r="T122" i="7" s="1"/>
  <c r="AC2" i="7"/>
  <c r="U32" i="6"/>
  <c r="S10" i="1" s="1"/>
  <c r="T32" i="6"/>
  <c r="R10" i="1" s="1"/>
  <c r="R32" i="6"/>
  <c r="P10" i="1" s="1"/>
  <c r="P32" i="6"/>
  <c r="AI2" i="6" s="1"/>
  <c r="O32" i="6"/>
  <c r="AH2" i="6" s="1"/>
  <c r="M32" i="6"/>
  <c r="L32" i="6"/>
  <c r="J10" i="1" s="1"/>
  <c r="J32" i="6"/>
  <c r="AC2" i="6" s="1"/>
  <c r="I32" i="6"/>
  <c r="H32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3" i="6"/>
  <c r="E13" i="6"/>
  <c r="W12" i="6"/>
  <c r="E12" i="6"/>
  <c r="W11" i="6"/>
  <c r="E11" i="6"/>
  <c r="W10" i="6"/>
  <c r="E10" i="6"/>
  <c r="N32" i="6" s="1"/>
  <c r="W9" i="6"/>
  <c r="E9" i="6"/>
  <c r="AM2" i="6"/>
  <c r="AK2" i="6"/>
  <c r="AF2" i="6"/>
  <c r="AE2" i="6"/>
  <c r="AB2" i="6"/>
  <c r="AA2" i="6"/>
  <c r="U53" i="5"/>
  <c r="S53" i="5"/>
  <c r="R53" i="5"/>
  <c r="P9" i="1" s="1"/>
  <c r="P53" i="5"/>
  <c r="AI2" i="5" s="1"/>
  <c r="O53" i="5"/>
  <c r="N53" i="5"/>
  <c r="AG2" i="5" s="1"/>
  <c r="L53" i="5"/>
  <c r="AE2" i="5" s="1"/>
  <c r="J53" i="5"/>
  <c r="AC2" i="5" s="1"/>
  <c r="I53" i="5"/>
  <c r="AB2" i="5" s="1"/>
  <c r="G53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F53" i="5" s="1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T53" i="5" s="1"/>
  <c r="AM2" i="5" s="1"/>
  <c r="AN2" i="5"/>
  <c r="AH2" i="5"/>
  <c r="Z2" i="5"/>
  <c r="U59" i="4"/>
  <c r="S8" i="1" s="1"/>
  <c r="S59" i="4"/>
  <c r="R59" i="4"/>
  <c r="AK2" i="4" s="1"/>
  <c r="P59" i="4"/>
  <c r="AI2" i="4" s="1"/>
  <c r="O59" i="4"/>
  <c r="M59" i="4"/>
  <c r="K8" i="1" s="1"/>
  <c r="L59" i="4"/>
  <c r="J8" i="1" s="1"/>
  <c r="J59" i="4"/>
  <c r="AC2" i="4" s="1"/>
  <c r="I59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H59" i="4" s="1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4" i="4"/>
  <c r="E14" i="4"/>
  <c r="W13" i="4"/>
  <c r="E13" i="4"/>
  <c r="W12" i="4"/>
  <c r="E12" i="4"/>
  <c r="W11" i="4"/>
  <c r="E11" i="4"/>
  <c r="W10" i="4"/>
  <c r="E10" i="4"/>
  <c r="W9" i="4"/>
  <c r="E9" i="4"/>
  <c r="T59" i="4" s="1"/>
  <c r="AM2" i="4" s="1"/>
  <c r="AN2" i="4"/>
  <c r="AL2" i="4"/>
  <c r="AH2" i="4"/>
  <c r="AF2" i="4"/>
  <c r="AB2" i="4"/>
  <c r="U54" i="3"/>
  <c r="S54" i="3"/>
  <c r="Q7" i="1" s="1"/>
  <c r="R54" i="3"/>
  <c r="AK2" i="3" s="1"/>
  <c r="P54" i="3"/>
  <c r="O54" i="3"/>
  <c r="AH2" i="3" s="1"/>
  <c r="M54" i="3"/>
  <c r="L54" i="3"/>
  <c r="J54" i="3"/>
  <c r="I54" i="3"/>
  <c r="AB2" i="3" s="1"/>
  <c r="F54" i="3"/>
  <c r="D7" i="1" s="1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5" i="3"/>
  <c r="E15" i="3"/>
  <c r="W14" i="3"/>
  <c r="E14" i="3"/>
  <c r="W13" i="3"/>
  <c r="E13" i="3"/>
  <c r="W12" i="3"/>
  <c r="E12" i="3"/>
  <c r="W11" i="3"/>
  <c r="E11" i="3"/>
  <c r="W10" i="3"/>
  <c r="E10" i="3"/>
  <c r="W9" i="3"/>
  <c r="E9" i="3"/>
  <c r="N54" i="3" s="1"/>
  <c r="AG2" i="3" s="1"/>
  <c r="AN2" i="3"/>
  <c r="AI2" i="3"/>
  <c r="AE2" i="3"/>
  <c r="AC2" i="3"/>
  <c r="U31" i="2"/>
  <c r="S31" i="2"/>
  <c r="R31" i="2"/>
  <c r="P31" i="2"/>
  <c r="AI2" i="2" s="1"/>
  <c r="O31" i="2"/>
  <c r="AH2" i="2" s="1"/>
  <c r="M31" i="2"/>
  <c r="L31" i="2"/>
  <c r="J6" i="1" s="1"/>
  <c r="J31" i="2"/>
  <c r="AC2" i="2" s="1"/>
  <c r="I31" i="2"/>
  <c r="G31" i="2"/>
  <c r="Z2" i="2" s="1"/>
  <c r="F31" i="2"/>
  <c r="Y2" i="2" s="1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0" i="2"/>
  <c r="E10" i="2"/>
  <c r="W9" i="2"/>
  <c r="E9" i="2"/>
  <c r="Q31" i="2" s="1"/>
  <c r="AJ2" i="2" s="1"/>
  <c r="AN2" i="2"/>
  <c r="AF2" i="2"/>
  <c r="AE2" i="2"/>
  <c r="AB2" i="2"/>
  <c r="S21" i="1"/>
  <c r="Q21" i="1"/>
  <c r="P21" i="1"/>
  <c r="N21" i="1"/>
  <c r="M21" i="1"/>
  <c r="L21" i="1"/>
  <c r="I21" i="1"/>
  <c r="H21" i="1"/>
  <c r="G21" i="1"/>
  <c r="S20" i="1"/>
  <c r="Q20" i="1"/>
  <c r="P20" i="1"/>
  <c r="N20" i="1"/>
  <c r="M20" i="1"/>
  <c r="J20" i="1"/>
  <c r="H20" i="1"/>
  <c r="G20" i="1"/>
  <c r="F20" i="1"/>
  <c r="D20" i="1"/>
  <c r="S19" i="1"/>
  <c r="R19" i="1"/>
  <c r="Q19" i="1"/>
  <c r="O19" i="1"/>
  <c r="N19" i="1"/>
  <c r="K19" i="1"/>
  <c r="J19" i="1"/>
  <c r="S18" i="1"/>
  <c r="P18" i="1"/>
  <c r="O18" i="1"/>
  <c r="S17" i="1"/>
  <c r="Q17" i="1"/>
  <c r="N17" i="1"/>
  <c r="M17" i="1"/>
  <c r="H17" i="1"/>
  <c r="G17" i="1"/>
  <c r="C17" i="1"/>
  <c r="S16" i="1"/>
  <c r="Q16" i="1"/>
  <c r="P16" i="1"/>
  <c r="O16" i="1"/>
  <c r="K16" i="1"/>
  <c r="H16" i="1"/>
  <c r="S15" i="1"/>
  <c r="Q15" i="1"/>
  <c r="P15" i="1"/>
  <c r="O15" i="1"/>
  <c r="M15" i="1"/>
  <c r="L15" i="1"/>
  <c r="K15" i="1"/>
  <c r="J15" i="1"/>
  <c r="I15" i="1"/>
  <c r="H15" i="1"/>
  <c r="F15" i="1"/>
  <c r="D15" i="1"/>
  <c r="S14" i="1"/>
  <c r="Q14" i="1"/>
  <c r="M14" i="1"/>
  <c r="H14" i="1"/>
  <c r="G14" i="1"/>
  <c r="S13" i="1"/>
  <c r="Q13" i="1"/>
  <c r="P13" i="1"/>
  <c r="O13" i="1"/>
  <c r="L13" i="1"/>
  <c r="K13" i="1"/>
  <c r="J13" i="1"/>
  <c r="I13" i="1"/>
  <c r="H13" i="1"/>
  <c r="G13" i="1"/>
  <c r="E13" i="1"/>
  <c r="S12" i="1"/>
  <c r="M12" i="1"/>
  <c r="J12" i="1"/>
  <c r="S11" i="1"/>
  <c r="N11" i="1"/>
  <c r="H11" i="1"/>
  <c r="E11" i="1"/>
  <c r="N10" i="1"/>
  <c r="M10" i="1"/>
  <c r="K10" i="1"/>
  <c r="G10" i="1"/>
  <c r="F10" i="1"/>
  <c r="S9" i="1"/>
  <c r="Q9" i="1"/>
  <c r="N9" i="1"/>
  <c r="M9" i="1"/>
  <c r="L9" i="1"/>
  <c r="J9" i="1"/>
  <c r="E9" i="1"/>
  <c r="Q8" i="1"/>
  <c r="P8" i="1"/>
  <c r="M8" i="1"/>
  <c r="G8" i="1"/>
  <c r="S7" i="1"/>
  <c r="N7" i="1"/>
  <c r="M7" i="1"/>
  <c r="J7" i="1"/>
  <c r="H7" i="1"/>
  <c r="S6" i="1"/>
  <c r="M6" i="1"/>
  <c r="K6" i="1"/>
  <c r="G6" i="1"/>
  <c r="E6" i="1"/>
  <c r="V33" i="9" l="1"/>
  <c r="J18" i="1"/>
  <c r="G18" i="1"/>
  <c r="AD2" i="13"/>
  <c r="I17" i="1"/>
  <c r="K17" i="1"/>
  <c r="AF2" i="13"/>
  <c r="AA2" i="10"/>
  <c r="F14" i="1"/>
  <c r="G71" i="15"/>
  <c r="Z2" i="15"/>
  <c r="E19" i="1"/>
  <c r="O71" i="15"/>
  <c r="Q42" i="17"/>
  <c r="H10" i="1"/>
  <c r="E12" i="1"/>
  <c r="M19" i="1"/>
  <c r="Y2" i="3"/>
  <c r="AN2" i="6"/>
  <c r="AI2" i="8"/>
  <c r="O30" i="9"/>
  <c r="AH2" i="9" s="1"/>
  <c r="V40" i="10"/>
  <c r="Q37" i="10"/>
  <c r="P37" i="10"/>
  <c r="N14" i="1" s="1"/>
  <c r="AB2" i="11"/>
  <c r="AA2" i="13"/>
  <c r="R21" i="13"/>
  <c r="AL2" i="14"/>
  <c r="V57" i="14"/>
  <c r="H54" i="14"/>
  <c r="G54" i="14"/>
  <c r="P54" i="14"/>
  <c r="N18" i="1" s="1"/>
  <c r="J70" i="15"/>
  <c r="F70" i="15"/>
  <c r="D19" i="1" s="1"/>
  <c r="K70" i="15"/>
  <c r="R73" i="15"/>
  <c r="I71" i="15" s="1"/>
  <c r="R34" i="2"/>
  <c r="F32" i="2" s="1"/>
  <c r="H9" i="1"/>
  <c r="R9" i="1"/>
  <c r="D21" i="1"/>
  <c r="AK2" i="5"/>
  <c r="K53" i="5"/>
  <c r="V125" i="7"/>
  <c r="H6" i="1"/>
  <c r="N6" i="1"/>
  <c r="P7" i="1"/>
  <c r="J11" i="1"/>
  <c r="P11" i="1"/>
  <c r="G12" i="1"/>
  <c r="C15" i="1"/>
  <c r="G16" i="1"/>
  <c r="O17" i="1"/>
  <c r="K18" i="1"/>
  <c r="R57" i="3"/>
  <c r="R55" i="3" s="1"/>
  <c r="H54" i="3"/>
  <c r="F59" i="4"/>
  <c r="AL2" i="5"/>
  <c r="F32" i="6"/>
  <c r="O122" i="7"/>
  <c r="S122" i="7"/>
  <c r="Q11" i="1" s="1"/>
  <c r="K73" i="11"/>
  <c r="V61" i="12"/>
  <c r="L58" i="12"/>
  <c r="S71" i="15"/>
  <c r="T42" i="17"/>
  <c r="H42" i="17"/>
  <c r="D6" i="1"/>
  <c r="O6" i="1"/>
  <c r="AE2" i="4"/>
  <c r="M53" i="5"/>
  <c r="Q53" i="5"/>
  <c r="AJ2" i="5" s="1"/>
  <c r="R56" i="5"/>
  <c r="C9" i="1" s="1"/>
  <c r="Q122" i="7"/>
  <c r="AJ2" i="7" s="1"/>
  <c r="AD2" i="11"/>
  <c r="M74" i="11"/>
  <c r="G72" i="11"/>
  <c r="K74" i="11"/>
  <c r="P58" i="12"/>
  <c r="N16" i="1" s="1"/>
  <c r="T58" i="12"/>
  <c r="R16" i="1" s="1"/>
  <c r="G21" i="13"/>
  <c r="O22" i="13"/>
  <c r="AH2" i="15"/>
  <c r="U71" i="15"/>
  <c r="V45" i="17"/>
  <c r="U32" i="2"/>
  <c r="Q32" i="2"/>
  <c r="M32" i="2"/>
  <c r="I32" i="2"/>
  <c r="O32" i="2"/>
  <c r="J32" i="2"/>
  <c r="S32" i="2"/>
  <c r="R32" i="2"/>
  <c r="L32" i="2"/>
  <c r="G32" i="2"/>
  <c r="C6" i="1"/>
  <c r="AK2" i="2"/>
  <c r="P6" i="1"/>
  <c r="F8" i="1"/>
  <c r="AA2" i="4"/>
  <c r="L12" i="1"/>
  <c r="AG2" i="8"/>
  <c r="S33" i="2"/>
  <c r="P32" i="2"/>
  <c r="S22" i="1"/>
  <c r="AK2" i="1" s="1"/>
  <c r="L55" i="3"/>
  <c r="F55" i="3"/>
  <c r="Q55" i="3"/>
  <c r="U55" i="3"/>
  <c r="D8" i="1"/>
  <c r="Y2" i="4"/>
  <c r="Y2" i="6"/>
  <c r="D10" i="1"/>
  <c r="L10" i="1"/>
  <c r="H8" i="1"/>
  <c r="Q6" i="1"/>
  <c r="G7" i="1"/>
  <c r="G9" i="1"/>
  <c r="O9" i="1"/>
  <c r="O11" i="1"/>
  <c r="E16" i="1"/>
  <c r="V57" i="3"/>
  <c r="G54" i="3"/>
  <c r="K54" i="3"/>
  <c r="T54" i="3"/>
  <c r="AF2" i="5"/>
  <c r="V56" i="5"/>
  <c r="Q54" i="5"/>
  <c r="Q32" i="6"/>
  <c r="V35" i="6"/>
  <c r="R35" i="6"/>
  <c r="M34" i="6" s="1"/>
  <c r="S32" i="6"/>
  <c r="K32" i="6"/>
  <c r="G32" i="6"/>
  <c r="F34" i="6" s="1"/>
  <c r="AM2" i="7"/>
  <c r="R11" i="1"/>
  <c r="AA2" i="7"/>
  <c r="F11" i="1"/>
  <c r="Q71" i="8"/>
  <c r="M71" i="8"/>
  <c r="R74" i="8"/>
  <c r="S71" i="8"/>
  <c r="K71" i="8"/>
  <c r="T71" i="8"/>
  <c r="H71" i="8"/>
  <c r="F71" i="8"/>
  <c r="AG2" i="10"/>
  <c r="AI2" i="10"/>
  <c r="AL2" i="13"/>
  <c r="AI2" i="14"/>
  <c r="AM2" i="14"/>
  <c r="AG2" i="16"/>
  <c r="L20" i="1"/>
  <c r="I54" i="5"/>
  <c r="AG2" i="6"/>
  <c r="S59" i="12"/>
  <c r="O59" i="12"/>
  <c r="G59" i="12"/>
  <c r="R59" i="12"/>
  <c r="J59" i="12"/>
  <c r="U59" i="12"/>
  <c r="Q59" i="12"/>
  <c r="M59" i="12"/>
  <c r="I59" i="12"/>
  <c r="L59" i="12"/>
  <c r="H59" i="12"/>
  <c r="M13" i="1"/>
  <c r="M16" i="1"/>
  <c r="N31" i="2"/>
  <c r="N32" i="2" s="1"/>
  <c r="V34" i="2"/>
  <c r="AF2" i="3"/>
  <c r="Q59" i="4"/>
  <c r="P61" i="4" s="1"/>
  <c r="R62" i="4"/>
  <c r="S61" i="4" s="1"/>
  <c r="K59" i="4"/>
  <c r="G59" i="4"/>
  <c r="V62" i="4"/>
  <c r="Y2" i="5"/>
  <c r="M54" i="5"/>
  <c r="K7" i="1"/>
  <c r="K9" i="1"/>
  <c r="G11" i="1"/>
  <c r="AL2" i="2"/>
  <c r="K31" i="2"/>
  <c r="T31" i="2"/>
  <c r="T32" i="2" s="1"/>
  <c r="AL2" i="3"/>
  <c r="L7" i="1"/>
  <c r="N8" i="1"/>
  <c r="R8" i="1"/>
  <c r="D9" i="1"/>
  <c r="F16" i="1"/>
  <c r="H31" i="2"/>
  <c r="P33" i="2"/>
  <c r="Q54" i="3"/>
  <c r="N59" i="4"/>
  <c r="AF2" i="7"/>
  <c r="AC2" i="8"/>
  <c r="V74" i="8"/>
  <c r="J54" i="5"/>
  <c r="F122" i="7"/>
  <c r="N122" i="7"/>
  <c r="H30" i="9"/>
  <c r="P30" i="9"/>
  <c r="T30" i="9"/>
  <c r="T37" i="10"/>
  <c r="R73" i="11"/>
  <c r="N73" i="11"/>
  <c r="J73" i="11"/>
  <c r="F73" i="11"/>
  <c r="U73" i="11"/>
  <c r="Q73" i="11"/>
  <c r="M73" i="11"/>
  <c r="I73" i="11"/>
  <c r="L73" i="11"/>
  <c r="H73" i="11"/>
  <c r="V24" i="13"/>
  <c r="R57" i="14"/>
  <c r="O54" i="14"/>
  <c r="J54" i="14"/>
  <c r="AB2" i="15"/>
  <c r="K122" i="7"/>
  <c r="R125" i="7"/>
  <c r="R33" i="9"/>
  <c r="K32" i="9" s="1"/>
  <c r="Y2" i="11"/>
  <c r="S74" i="11"/>
  <c r="K23" i="13"/>
  <c r="V73" i="15"/>
  <c r="P18" i="16"/>
  <c r="H53" i="5"/>
  <c r="F55" i="5" s="1"/>
  <c r="L54" i="5"/>
  <c r="P54" i="5"/>
  <c r="F30" i="9"/>
  <c r="M37" i="10"/>
  <c r="R40" i="10"/>
  <c r="K37" i="10"/>
  <c r="G37" i="10"/>
  <c r="F37" i="10"/>
  <c r="L37" i="10"/>
  <c r="R37" i="10"/>
  <c r="S73" i="11"/>
  <c r="P23" i="13"/>
  <c r="K22" i="13"/>
  <c r="R22" i="13"/>
  <c r="J22" i="13"/>
  <c r="U22" i="13"/>
  <c r="Q22" i="13"/>
  <c r="M22" i="13"/>
  <c r="I22" i="13"/>
  <c r="P22" i="13"/>
  <c r="L22" i="13"/>
  <c r="H22" i="13"/>
  <c r="M71" i="15"/>
  <c r="T71" i="15"/>
  <c r="Q16" i="16"/>
  <c r="M16" i="16"/>
  <c r="V19" i="16"/>
  <c r="T16" i="16"/>
  <c r="R19" i="16"/>
  <c r="K16" i="16"/>
  <c r="G16" i="16"/>
  <c r="AF2" i="17"/>
  <c r="P72" i="11"/>
  <c r="T72" i="11"/>
  <c r="T73" i="11" s="1"/>
  <c r="T21" i="13"/>
  <c r="S23" i="13" s="1"/>
  <c r="N70" i="15"/>
  <c r="N71" i="15" s="1"/>
  <c r="R70" i="15"/>
  <c r="J71" i="15"/>
  <c r="R71" i="15"/>
  <c r="S72" i="15"/>
  <c r="F58" i="12"/>
  <c r="N58" i="12"/>
  <c r="F54" i="14"/>
  <c r="N54" i="14"/>
  <c r="K71" i="15"/>
  <c r="G42" i="17"/>
  <c r="R45" i="17"/>
  <c r="P44" i="17" s="1"/>
  <c r="K58" i="12"/>
  <c r="K59" i="12" s="1"/>
  <c r="F21" i="13"/>
  <c r="F22" i="13" s="1"/>
  <c r="N21" i="13"/>
  <c r="K54" i="14"/>
  <c r="H70" i="15"/>
  <c r="H71" i="15" s="1"/>
  <c r="L71" i="15"/>
  <c r="P71" i="15"/>
  <c r="L42" i="17"/>
  <c r="AM2" i="12" l="1"/>
  <c r="S60" i="12"/>
  <c r="T59" i="12"/>
  <c r="AI2" i="12"/>
  <c r="P60" i="12"/>
  <c r="P59" i="12"/>
  <c r="Z2" i="11"/>
  <c r="E15" i="1"/>
  <c r="T15" i="1" s="1"/>
  <c r="K55" i="5"/>
  <c r="AD2" i="5"/>
  <c r="I9" i="1"/>
  <c r="F18" i="1"/>
  <c r="AA2" i="14"/>
  <c r="AJ2" i="10"/>
  <c r="O14" i="1"/>
  <c r="F71" i="15"/>
  <c r="Y2" i="15"/>
  <c r="H54" i="5"/>
  <c r="F74" i="11"/>
  <c r="K54" i="5"/>
  <c r="S55" i="5"/>
  <c r="F54" i="5"/>
  <c r="M32" i="9"/>
  <c r="H55" i="3"/>
  <c r="M55" i="3"/>
  <c r="J55" i="3"/>
  <c r="P55" i="3"/>
  <c r="J16" i="1"/>
  <c r="AE2" i="12"/>
  <c r="AH2" i="7"/>
  <c r="M11" i="1"/>
  <c r="AC2" i="15"/>
  <c r="H19" i="1"/>
  <c r="G73" i="11"/>
  <c r="S54" i="5"/>
  <c r="Z2" i="13"/>
  <c r="E17" i="1"/>
  <c r="G54" i="5"/>
  <c r="G22" i="13"/>
  <c r="M72" i="15"/>
  <c r="R54" i="5"/>
  <c r="AL2" i="7"/>
  <c r="O55" i="3"/>
  <c r="C7" i="1"/>
  <c r="N55" i="3"/>
  <c r="M55" i="5"/>
  <c r="AA2" i="17"/>
  <c r="F21" i="1"/>
  <c r="C19" i="1"/>
  <c r="Q71" i="15"/>
  <c r="O54" i="5"/>
  <c r="S124" i="7"/>
  <c r="N54" i="5"/>
  <c r="T54" i="5"/>
  <c r="P55" i="5"/>
  <c r="G22" i="1"/>
  <c r="Y2" i="1" s="1"/>
  <c r="M56" i="3"/>
  <c r="I55" i="3"/>
  <c r="S55" i="3"/>
  <c r="AM2" i="17"/>
  <c r="R21" i="1"/>
  <c r="U54" i="5"/>
  <c r="F7" i="1"/>
  <c r="AA2" i="3"/>
  <c r="K72" i="15"/>
  <c r="I19" i="1"/>
  <c r="AD2" i="15"/>
  <c r="Z2" i="14"/>
  <c r="E18" i="1"/>
  <c r="AK2" i="13"/>
  <c r="P17" i="1"/>
  <c r="AJ2" i="17"/>
  <c r="O21" i="1"/>
  <c r="N22" i="1"/>
  <c r="AF2" i="1" s="1"/>
  <c r="F56" i="14"/>
  <c r="Y2" i="14"/>
  <c r="D18" i="1"/>
  <c r="AK2" i="15"/>
  <c r="P72" i="15"/>
  <c r="P19" i="1"/>
  <c r="AM2" i="16"/>
  <c r="S18" i="16"/>
  <c r="R20" i="1"/>
  <c r="U38" i="10"/>
  <c r="Q38" i="10"/>
  <c r="M38" i="10"/>
  <c r="I38" i="10"/>
  <c r="S38" i="10"/>
  <c r="O38" i="10"/>
  <c r="K38" i="10"/>
  <c r="G38" i="10"/>
  <c r="N38" i="10"/>
  <c r="F38" i="10"/>
  <c r="T38" i="10"/>
  <c r="L38" i="10"/>
  <c r="R38" i="10"/>
  <c r="J38" i="10"/>
  <c r="C14" i="1"/>
  <c r="P38" i="10"/>
  <c r="H38" i="10"/>
  <c r="P32" i="9"/>
  <c r="AI2" i="9"/>
  <c r="N13" i="1"/>
  <c r="M124" i="7"/>
  <c r="AD2" i="2"/>
  <c r="I6" i="1"/>
  <c r="K33" i="2"/>
  <c r="P39" i="10"/>
  <c r="U72" i="8"/>
  <c r="Q72" i="8"/>
  <c r="M72" i="8"/>
  <c r="I72" i="8"/>
  <c r="T72" i="8"/>
  <c r="P72" i="8"/>
  <c r="L72" i="8"/>
  <c r="H72" i="8"/>
  <c r="S72" i="8"/>
  <c r="O72" i="8"/>
  <c r="K72" i="8"/>
  <c r="G72" i="8"/>
  <c r="F72" i="8"/>
  <c r="C12" i="1"/>
  <c r="N72" i="8"/>
  <c r="J72" i="8"/>
  <c r="R72" i="8"/>
  <c r="AG2" i="13"/>
  <c r="L17" i="1"/>
  <c r="AG2" i="12"/>
  <c r="M60" i="12"/>
  <c r="L16" i="1"/>
  <c r="Z2" i="16"/>
  <c r="F18" i="16"/>
  <c r="E20" i="1"/>
  <c r="AA2" i="9"/>
  <c r="F13" i="1"/>
  <c r="M61" i="4"/>
  <c r="L8" i="1"/>
  <c r="AG2" i="4"/>
  <c r="K61" i="4"/>
  <c r="AD2" i="4"/>
  <c r="I8" i="1"/>
  <c r="N59" i="12"/>
  <c r="AF2" i="8"/>
  <c r="M73" i="8"/>
  <c r="K12" i="1"/>
  <c r="AM2" i="3"/>
  <c r="R7" i="1"/>
  <c r="F60" i="12"/>
  <c r="Y2" i="12"/>
  <c r="D16" i="1"/>
  <c r="T16" i="1" s="1"/>
  <c r="AF2" i="16"/>
  <c r="M18" i="16"/>
  <c r="K20" i="1"/>
  <c r="Z2" i="10"/>
  <c r="E14" i="1"/>
  <c r="F32" i="9"/>
  <c r="Y2" i="9"/>
  <c r="D13" i="1"/>
  <c r="AG2" i="7"/>
  <c r="L11" i="1"/>
  <c r="O7" i="1"/>
  <c r="AJ2" i="3"/>
  <c r="M33" i="2"/>
  <c r="AG2" i="2"/>
  <c r="L6" i="1"/>
  <c r="M23" i="13"/>
  <c r="K73" i="8"/>
  <c r="AD2" i="8"/>
  <c r="I12" i="1"/>
  <c r="P73" i="8"/>
  <c r="AJ2" i="8"/>
  <c r="O12" i="1"/>
  <c r="AL2" i="6"/>
  <c r="S34" i="6"/>
  <c r="Q10" i="1"/>
  <c r="AD2" i="3"/>
  <c r="K56" i="3"/>
  <c r="I7" i="1"/>
  <c r="S56" i="3"/>
  <c r="P56" i="3"/>
  <c r="K56" i="14"/>
  <c r="AD2" i="14"/>
  <c r="I18" i="1"/>
  <c r="T43" i="17"/>
  <c r="P43" i="17"/>
  <c r="L43" i="17"/>
  <c r="H43" i="17"/>
  <c r="S43" i="17"/>
  <c r="O43" i="17"/>
  <c r="K43" i="17"/>
  <c r="G43" i="17"/>
  <c r="R43" i="17"/>
  <c r="N43" i="17"/>
  <c r="J43" i="17"/>
  <c r="F43" i="17"/>
  <c r="I43" i="17"/>
  <c r="U43" i="17"/>
  <c r="Q43" i="17"/>
  <c r="M43" i="17"/>
  <c r="C21" i="1"/>
  <c r="P74" i="11"/>
  <c r="AI2" i="11"/>
  <c r="N15" i="1"/>
  <c r="F44" i="17"/>
  <c r="AE2" i="10"/>
  <c r="J14" i="1"/>
  <c r="T123" i="7"/>
  <c r="P123" i="7"/>
  <c r="L123" i="7"/>
  <c r="H123" i="7"/>
  <c r="S123" i="7"/>
  <c r="O123" i="7"/>
  <c r="K123" i="7"/>
  <c r="G123" i="7"/>
  <c r="R123" i="7"/>
  <c r="N123" i="7"/>
  <c r="J123" i="7"/>
  <c r="F123" i="7"/>
  <c r="U123" i="7"/>
  <c r="C11" i="1"/>
  <c r="P124" i="7"/>
  <c r="I123" i="7"/>
  <c r="Q123" i="7"/>
  <c r="M123" i="7"/>
  <c r="S55" i="14"/>
  <c r="O55" i="14"/>
  <c r="K55" i="14"/>
  <c r="G55" i="14"/>
  <c r="R55" i="14"/>
  <c r="N55" i="14"/>
  <c r="J55" i="14"/>
  <c r="F55" i="14"/>
  <c r="U55" i="14"/>
  <c r="Q55" i="14"/>
  <c r="M55" i="14"/>
  <c r="I55" i="14"/>
  <c r="L55" i="14"/>
  <c r="H55" i="14"/>
  <c r="T55" i="14"/>
  <c r="P55" i="14"/>
  <c r="C18" i="1"/>
  <c r="P73" i="11"/>
  <c r="F6" i="1"/>
  <c r="F33" i="2"/>
  <c r="AA2" i="2"/>
  <c r="Z2" i="4"/>
  <c r="E8" i="1"/>
  <c r="AA2" i="8"/>
  <c r="F12" i="1"/>
  <c r="Z2" i="6"/>
  <c r="E10" i="1"/>
  <c r="T10" i="1" s="1"/>
  <c r="K32" i="2"/>
  <c r="Z2" i="17"/>
  <c r="E21" i="1"/>
  <c r="AG2" i="15"/>
  <c r="L19" i="1"/>
  <c r="F39" i="10"/>
  <c r="Y2" i="10"/>
  <c r="D14" i="1"/>
  <c r="AF2" i="10"/>
  <c r="M39" i="10"/>
  <c r="K14" i="1"/>
  <c r="K124" i="7"/>
  <c r="AD2" i="7"/>
  <c r="I11" i="1"/>
  <c r="S56" i="14"/>
  <c r="AM2" i="8"/>
  <c r="R12" i="1"/>
  <c r="K34" i="6"/>
  <c r="AD2" i="6"/>
  <c r="I10" i="1"/>
  <c r="AJ2" i="6"/>
  <c r="O10" i="1"/>
  <c r="F23" i="13"/>
  <c r="Y2" i="13"/>
  <c r="D17" i="1"/>
  <c r="T17" i="1" s="1"/>
  <c r="AM2" i="13"/>
  <c r="R17" i="1"/>
  <c r="K18" i="16"/>
  <c r="AD2" i="16"/>
  <c r="I20" i="1"/>
  <c r="N22" i="13"/>
  <c r="AA2" i="5"/>
  <c r="F9" i="1"/>
  <c r="T9" i="1" s="1"/>
  <c r="AC2" i="14"/>
  <c r="H18" i="1"/>
  <c r="H22" i="1" s="1"/>
  <c r="Z2" i="1" s="1"/>
  <c r="S39" i="10"/>
  <c r="AM2" i="10"/>
  <c r="R14" i="1"/>
  <c r="U60" i="4"/>
  <c r="Q60" i="4"/>
  <c r="M60" i="4"/>
  <c r="I60" i="4"/>
  <c r="S60" i="4"/>
  <c r="O60" i="4"/>
  <c r="K60" i="4"/>
  <c r="G60" i="4"/>
  <c r="P60" i="4"/>
  <c r="H60" i="4"/>
  <c r="N60" i="4"/>
  <c r="F60" i="4"/>
  <c r="T60" i="4"/>
  <c r="L60" i="4"/>
  <c r="R60" i="4"/>
  <c r="J60" i="4"/>
  <c r="C8" i="1"/>
  <c r="T8" i="1" s="1"/>
  <c r="AE2" i="17"/>
  <c r="J21" i="1"/>
  <c r="AA2" i="15"/>
  <c r="F19" i="1"/>
  <c r="T19" i="1" s="1"/>
  <c r="K60" i="12"/>
  <c r="AD2" i="12"/>
  <c r="I16" i="1"/>
  <c r="AG2" i="14"/>
  <c r="M56" i="14"/>
  <c r="L18" i="1"/>
  <c r="AM2" i="11"/>
  <c r="R15" i="1"/>
  <c r="M44" i="17"/>
  <c r="U17" i="16"/>
  <c r="Q17" i="16"/>
  <c r="M17" i="16"/>
  <c r="I17" i="16"/>
  <c r="T17" i="16"/>
  <c r="P17" i="16"/>
  <c r="L17" i="16"/>
  <c r="H17" i="16"/>
  <c r="S17" i="16"/>
  <c r="O17" i="16"/>
  <c r="K17" i="16"/>
  <c r="G17" i="16"/>
  <c r="J17" i="16"/>
  <c r="F17" i="16"/>
  <c r="R17" i="16"/>
  <c r="N17" i="16"/>
  <c r="C20" i="1"/>
  <c r="AJ2" i="16"/>
  <c r="O20" i="1"/>
  <c r="F72" i="15"/>
  <c r="T22" i="13"/>
  <c r="AK2" i="10"/>
  <c r="P14" i="1"/>
  <c r="P22" i="1" s="1"/>
  <c r="AH2" i="1" s="1"/>
  <c r="K39" i="10"/>
  <c r="AD2" i="10"/>
  <c r="I14" i="1"/>
  <c r="K44" i="17"/>
  <c r="R31" i="9"/>
  <c r="N31" i="9"/>
  <c r="J31" i="9"/>
  <c r="F31" i="9"/>
  <c r="Q31" i="9"/>
  <c r="L31" i="9"/>
  <c r="G31" i="9"/>
  <c r="U31" i="9"/>
  <c r="P31" i="9"/>
  <c r="K31" i="9"/>
  <c r="T31" i="9"/>
  <c r="O31" i="9"/>
  <c r="I31" i="9"/>
  <c r="H31" i="9"/>
  <c r="S31" i="9"/>
  <c r="M31" i="9"/>
  <c r="C13" i="1"/>
  <c r="S44" i="17"/>
  <c r="AH2" i="14"/>
  <c r="M18" i="1"/>
  <c r="M22" i="1" s="1"/>
  <c r="AE2" i="1" s="1"/>
  <c r="AM2" i="9"/>
  <c r="R13" i="1"/>
  <c r="Y2" i="7"/>
  <c r="F124" i="7"/>
  <c r="D11" i="1"/>
  <c r="T11" i="1" s="1"/>
  <c r="AM2" i="2"/>
  <c r="R6" i="1"/>
  <c r="AJ2" i="4"/>
  <c r="O8" i="1"/>
  <c r="F59" i="12"/>
  <c r="P56" i="14"/>
  <c r="D12" i="1"/>
  <c r="F73" i="8"/>
  <c r="Y2" i="8"/>
  <c r="AL2" i="8"/>
  <c r="Q12" i="1"/>
  <c r="Q22" i="1" s="1"/>
  <c r="AI2" i="1" s="1"/>
  <c r="S73" i="8"/>
  <c r="P34" i="6"/>
  <c r="U33" i="6"/>
  <c r="Q33" i="6"/>
  <c r="M33" i="6"/>
  <c r="I33" i="6"/>
  <c r="T33" i="6"/>
  <c r="P33" i="6"/>
  <c r="L33" i="6"/>
  <c r="H33" i="6"/>
  <c r="S33" i="6"/>
  <c r="O33" i="6"/>
  <c r="K33" i="6"/>
  <c r="G33" i="6"/>
  <c r="J33" i="6"/>
  <c r="R33" i="6"/>
  <c r="N33" i="6"/>
  <c r="F33" i="6"/>
  <c r="C10" i="1"/>
  <c r="Z2" i="3"/>
  <c r="E7" i="1"/>
  <c r="S32" i="9"/>
  <c r="F56" i="3"/>
  <c r="F61" i="4"/>
  <c r="G55" i="3"/>
  <c r="K55" i="3"/>
  <c r="T55" i="3"/>
  <c r="H32" i="2"/>
  <c r="C22" i="1" l="1"/>
  <c r="K22" i="1"/>
  <c r="AC2" i="1" s="1"/>
  <c r="L22" i="1"/>
  <c r="AD2" i="1" s="1"/>
  <c r="T18" i="1"/>
  <c r="T12" i="1"/>
  <c r="T14" i="1"/>
  <c r="F22" i="1"/>
  <c r="X2" i="1" s="1"/>
  <c r="T6" i="1"/>
  <c r="O22" i="1"/>
  <c r="AG2" i="1" s="1"/>
  <c r="T20" i="1"/>
  <c r="I22" i="1"/>
  <c r="AA2" i="1" s="1"/>
  <c r="E22" i="1"/>
  <c r="W2" i="1" s="1"/>
  <c r="T7" i="1"/>
  <c r="T13" i="1"/>
  <c r="R22" i="1"/>
  <c r="AJ2" i="1" s="1"/>
  <c r="D22" i="1"/>
  <c r="T21" i="1"/>
  <c r="J22" i="1"/>
  <c r="AB2" i="1" s="1"/>
  <c r="D23" i="1" l="1"/>
  <c r="V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8E76AD4B-225F-462E-A05A-F10D005DC0E9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155 — contrato 051.2024 — Manutenção
   Situação: Em andamento · medição nº 19 (01/09/2026 a 30/09/2026)
   Medido no mês: R$ 73.574,55 · executado 83% da OS
   Serviços: Roçada com roçadeira costal (Segmentos Rod... / Roçada mecanizada
      com roçadeira articulada... (+18 itens)
Condições copiadas de AGOSTO/2026 — atualizar em campo.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CFCEEDFF-3376-4B2C-8202-2CFDF31CBC30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156 — contrato 051.2024 — Manutenção
   Situação: Concluída · medição nº 19 (01/09/2026 a 30/09/2026)
   Medido no mês: R$ 18.908,43 · executado 97% da OS
   Serviços: Roçada com roçadeira costal (Segmentos Rod... / Limpeza de valeta
      (Segmentos Urbanos e Rod...
Condições copiadas de AGOSTO/2026 — atualizar em campo.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2DD69291-D5B0-4FB5-A213-5B8E90CABADB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144 — contrato 051.2024 — Manutenção
   Situação: Em andamento · medição nº 19 (01/09/2026 a 30/09/2026)
   Medido no mês: R$ 45.206,94 · executado 70% da OS
   Serviços: Roçada mecanizada com roçadeira articulada... / Limpeza manual de
      Bueiro (Segmentos Urbano... (+2 itens)
• OSP 157 — contrato 051.2024 — Manutenção
   Situação: Concluída · medição nº 19 (01/09/2026 a 30/09/2026)
   Medido no mês: R$ 18.331,12 · executado 100% da OS
   Serviços: Roçada com roçadeira costal (Segmentos Rod... / G2 - Tapa Buraco PMF
      Classe 1 e 2 (Segment... (+20 itens)
Condições copiadas de AGOSTO/2026 — atualizar em campo.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626DE02B-CB25-4D98-8A1A-0EDE8EB0F0EC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151 — contrato 051.2024 — Manutenção
   Situação: Em andamento · medição nº 19 (01/09/2026 a 30/09/2026)
   Medido no mês: R$ 26.900,47 · executado 52% da OS
   Serviços: Roçada com roçadeira costal (Segmentos Rod... / Limpeza de valeta
      (Segmentos Urbanos e Rod... (+17 itens)
Condições copiadas de AGOSTO/2026 — atualizar em campo.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F1CE0FD6-CBE3-4FFB-8541-00217D02FEF4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142 — contrato 051.2024 — Manutenção
   Situação: Concluída · medição nº 19 (01/09/2026 a 30/09/2026)
   Medido no mês: R$ 36.542,98 · executado 99% da OS
   Serviços: Roçada com roçadeira costal (Segmentos Rod... / Limpeza de valeta
      (Segmentos Urbanos e Rod... (+17 itens)
• OSP 3 — contrato 1151.2026 — Restauração
   Situação: Concluída · medição nº 3 (01/09/2026 a 30/09/2026)
   Medido no mês: R$ 1.747.140,42 · executado 98% da OS
   Serviços: Reciclagem com adição de brita comercial e... / Brita 1 (+26 itens)
Condições copiadas de AGOSTO/2026 — atualizar em campo.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911DD5FF-D032-4329-AFCF-15AAF4B269B7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143 — contrato 051.2024 — Manutenção
   Situação: Concluída · medição nº 19 (01/09/2026 a 30/09/2026)
   Medido no mês: R$ 47.267,48 · executado 99% da OS
   Serviços: Roçada com roçadeira costal (Segmentos Rod... / Limpeza de valeta
      (Segmentos Urbanos e Rod... (+16 itens)
• OSP 5 — contrato 1151.2026 — Restauração
   Situação: Em andamento · medição nº 3 (01/09/2026 a 30/09/2026)
   Medido no mês: R$ 4.044.134,23 · executado 65% da OS
   Serviços: Reciclagem com adição de brita comercial e... / Brita 1 (+26 itens)
Condições copiadas de AGOSTO/2026 — atualizar em campo.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23D74012-E6AE-4E1C-9407-4D5FEBC39FB2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152 — contrato 051.2024 — Manutenção
   Situação: Concluída · medição nº 19 (01/09/2026 a 30/09/2026)
   Medido no mês: R$ 30.147,05 · executado 100% da OS
   Serviços: Roçada com roçadeira costal (Segmentos Rod...
Condições copiadas de AGOSTO/2026 — atualizar em campo.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08857240-CB04-4413-A7EC-05333E1A42EE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141 — contrato 051.2024 — Manutenção
   Situação: Concluída · medição nº 19 (01/09/2026 a 30/09/2026)
   Medido no mês: R$ 17.807,28 · executado 99% da OS
   Serviços: Roçada com roçadeira costal (Segmentos Rod... / Limpeza de valeta
      (Segmentos Urbanos e Rod... (+17 itens)
Condições copiadas de AGOSTO/2026 — atualizar em campo.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E3573676-2B3F-4F19-B25B-0CF99D9B6AF7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6 — contrato 1151.2026 — Restauração
   Situação: Concluída · medição nº 3 (01/09/2026 a 30/09/2026)
   Medido no mês: R$ 208.176,32 · executado 100% da OS
   Serviços: Carga, manobra e descarga de agregados ou... / Carga, manobra e
      descarga de cimento ou ca... (+4 itens)
Condições copiadas de AGOSTO/2026 — atualizar em campo.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77742A95-1102-4EB8-AD3A-23E3E8D52650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147 — contrato 051.2024 — Manutenção
   Situação: Em andamento · medição nº 19 (01/09/2026 a 30/09/2026)
   Medido no mês: R$ 180.985,26 · executado 50% da OS
   Serviços: Placa para sinalização de obras montada em... / Serviços em pontes
      de madeira sem reaprove... (+32 itens)
Condições copiadas de AGOSTO/2026 — atualizar em campo.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80FC398B-A36D-4DFF-A730-E55027CDA850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148 — contrato 051.2024 — Manutenção
   Situação: Em andamento · medição nº 19 (01/09/2026 a 30/09/2026)
   Medido no mês: R$ 31.346,65 · executado 71% da OS
   Serviços: Roçada com roçadeira costal (Segmentos Rod... / Roçada mecanizada
      com roçadeira articulada... (+3 itens)
Condições copiadas de AGOSTO/2026 — atualizar em campo.</t>
        </r>
      </text>
    </comment>
  </commentList>
</comments>
</file>

<file path=xl/sharedStrings.xml><?xml version="1.0" encoding="utf-8"?>
<sst xmlns="http://schemas.openxmlformats.org/spreadsheetml/2006/main" count="5324" uniqueCount="265">
  <si>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</si>
  <si>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</si>
  <si>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</si>
  <si>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</si>
  <si>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</si>
  <si>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</si>
  <si>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</si>
  <si>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</si>
  <si>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</si>
  <si>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</si>
  <si>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</si>
  <si>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</si>
  <si>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</si>
  <si>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</si>
  <si>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</si>
  <si>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</si>
  <si>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</si>
  <si>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</si>
  <si>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</si>
  <si>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</si>
  <si>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TO-040 - TRECHO ALMAS - PORTO ALEGRE DO TOCANTINS</t>
  </si>
  <si>
    <t>RODOVIA TO-040 - TRECHO DIANÓPOLIS - NOVO JARDIM</t>
  </si>
  <si>
    <t>RODOVIA TO-040 - TRECHO NOVO JARDIM - DIVISA TO-BA</t>
  </si>
  <si>
    <t>RODOVIA TO-040 - TRECHO PORTO ALEGRE DO TOCANTINS - DIANÓPOLIS</t>
  </si>
  <si>
    <t>RODOVIA TO-050 - TRECHO ARRAIAS - DIVISA TO-GO</t>
  </si>
  <si>
    <t>RODOVIA TO-050 - TRECHO CONCEIÇÃO DO TOCANTINS - ARRAIAS</t>
  </si>
  <si>
    <t>RODOVIA TO-050 - TRECHO ENTR. BR-010 (POVOADO PRÍNCIPE) - CONCEIÇÃO DO TOCANTINS</t>
  </si>
  <si>
    <t>RODOVIA TO-110 - TRECHO AURORA DO TOCANTINS - LAVANDEIRA</t>
  </si>
  <si>
    <t>RODOVIA TO-110 - TRECHO COMBINADO - NOVO ALEGRE - DIVISA TO-GO</t>
  </si>
  <si>
    <t>RODOVIA TO-110 - TRECHO ENTR. TO-040 (DIANÓPOLIS) - DIVISA TO-BA (GARGANTA)</t>
  </si>
  <si>
    <t>RODOVIA TO-110 - TRECHO ENTR. TO-040 - PONTE ALTA DO BOM JESUS</t>
  </si>
  <si>
    <t>RODOVIA TO-110 - TRECHO LAVANDEIRA - COMBINADO</t>
  </si>
  <si>
    <t>RODOVIA TO-110 - TRECHO PONTE ALTA DO BOM JESUS - ENTR. BR-242(TAGUATINGA)</t>
  </si>
  <si>
    <t>RODOVIA TO-110 - TRECHO TAGUATINGA - AURORA DO TOCANTINS</t>
  </si>
  <si>
    <t>RODOVIA TO-387 - TRECHO ENTR. TO-040 - TAIPAS DO TOCANTINS</t>
  </si>
  <si>
    <t>RODOVIA TO-476 - TRECHO RIO DA CONCEIÇÃO - DIANÓPOLIS</t>
  </si>
  <si>
    <t>TOTAL PERCORRIDO NO MÊS</t>
  </si>
  <si>
    <t>% DA EXTENSÃO DA MALHA (548.52 km)</t>
  </si>
  <si>
    <t>(soma do grupo 'CONDIÇÃO DO PAVIMENTO' dividida pela malha)</t>
  </si>
  <si>
    <t>PROGRAMA DE MANUTENÇÃO RODOVIÁRIA — FICHA DE INSPEÇÃO — RODOVIAS PAVIMENTADAS</t>
  </si>
  <si>
    <t>REGIÃO:  13 — DIANÓPOLIS</t>
  </si>
  <si>
    <t>MÊS / ANO:</t>
  </si>
  <si>
    <t>DATA:</t>
  </si>
  <si>
    <t>TÉCNICO:</t>
  </si>
  <si>
    <t>TRECHO 246 — RODOVIA TO-040 - TRECHO ALMAS - PORTO ALEGRE DO TOCANTINS</t>
  </si>
  <si>
    <t>EXTENSÃO: 14,894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</si>
  <si>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</si>
  <si>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</si>
  <si>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</si>
  <si>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</si>
  <si>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</si>
  <si>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</si>
  <si>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</si>
  <si>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</si>
  <si>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040ETO0150   |   ENTR. TO-280 (ALMAS) - ENTR. TO-477   |   PPS · Estadual · 1.570 km  ·  início: -11.560857, -47.168445</t>
  </si>
  <si>
    <t>040ETO0150</t>
  </si>
  <si>
    <t>C</t>
  </si>
  <si>
    <t>X</t>
  </si>
  <si>
    <t>S.R.E. 040ETO0160   |   ENTR. TO-477 - PORTO ALEGRE DO TOCANTINS   |   PPS · Estadual · 13.323 km  ·  início: -11.562467, -47.154838</t>
  </si>
  <si>
    <t>040ETO0160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</si>
  <si>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</si>
  <si>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</si>
  <si>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</si>
  <si>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</si>
  <si>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</si>
  <si>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</si>
  <si>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</si>
  <si>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</si>
  <si>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</si>
  <si>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</si>
  <si>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</si>
  <si>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</si>
  <si>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</si>
  <si>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</si>
  <si>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</si>
  <si>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</si>
  <si>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</si>
  <si>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</si>
  <si>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</si>
  <si>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</si>
  <si>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</si>
  <si>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</si>
  <si>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</si>
  <si>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</si>
  <si>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</si>
  <si>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247 — RODOVIA TO-040 - TRECHO DIANÓPOLIS - NOVO JARDIM</t>
  </si>
  <si>
    <t>EXTENSÃO: 36,047 km  ·  3 S.R.E.</t>
  </si>
  <si>
    <t>S.R.E. 040ETO0190   |   ENTR. TO-476 (DIANÓPOLIS) - ENTR. TO-387-TO-110   |   PPS · Estadual · 6.295 km  ·  início: -11.613246, -46.82411</t>
  </si>
  <si>
    <t>040ETO0190</t>
  </si>
  <si>
    <t>S.R.E. 040ETO0200   |   ENTR. TO-387-TO-110 - AMARALINA   |   PPS · Estadual · 11.481 km  ·  início: -11.627861, -46.77819</t>
  </si>
  <si>
    <t>040ETO0200</t>
  </si>
  <si>
    <t>S.R.E. 040ETO0210   |   AMARALINA - NOVO JARDIM   |   PPS · Estadual · 18.270 km  ·  início: -11.720146, -46.741074</t>
  </si>
  <si>
    <t>040ETO0210</t>
  </si>
  <si>
    <t>TRECHO 248 — RODOVIA TO-040 - TRECHO NOVO JARDIM - DIVISA TO-BA</t>
  </si>
  <si>
    <t>EXTENSÃO: 43,006 km  ·  2 S.R.E.</t>
  </si>
  <si>
    <t>S.R.E. 040ETO0220   |   NOVO JARDIM - ENTR. TO-110   |   PPS · Estadual · 5.818 km  ·  início: -11.821038, -46.621003</t>
  </si>
  <si>
    <t>040ETO0220</t>
  </si>
  <si>
    <t>S.R.E. 040ETO0230   |   ENTR. TO-110 - DIV TO-BA   |   PPS · Estadual · 37.188 km  ·  início: -11.832466, -46.580968</t>
  </si>
  <si>
    <t>040ETO0230</t>
  </si>
  <si>
    <t>37,19 km</t>
  </si>
  <si>
    <t>TRECHO 249 — RODOVIA TO-040 - TRECHO PORTO ALEGRE DO TOCANTINS - DIANÓPOLIS</t>
  </si>
  <si>
    <t>EXTENSÃO: 34,935 km  ·  3 S.R.E.</t>
  </si>
  <si>
    <t>S.R.E. 040ETO0170   |   PORTO ALEGRE DO TOCANTINS - ENTR.TO-387   |   PPS · Estadual · 15.046 km  ·  início: -11.617986, -47.012691</t>
  </si>
  <si>
    <t>040ETO0170</t>
  </si>
  <si>
    <t>S.R.E. 040ETO0180   |   ENTR.TO-387 - ENTR.TO-476 (DIANÓPOLIS)   |   PPS · Estadual · 11.205 km  ·  início: -11.629206, -46.925092</t>
  </si>
  <si>
    <t>040ETO0180</t>
  </si>
  <si>
    <t>S.R.E. ACESSO01   |   ENTR. TO-040 - PROJETO MANOEL ALVES  (código antigo: ACESSO)   |   PPS · Outros · 8.684 km  ·  início: -11.552548, -46.987098</t>
  </si>
  <si>
    <t>ACESSO01</t>
  </si>
  <si>
    <t>TRECHO 250 — RODOVIA TO-050 - TRECHO ARRAIAS - DIVISA TO-GO</t>
  </si>
  <si>
    <t>EXTENSÃO: 15,388 km  ·  3 S.R.E.</t>
  </si>
  <si>
    <t>S.R.E. 050ETO0270   |   ARRAIAS (ACESSO SUL) - ENTR. TO-499   |   PPS · Estadual · 4.984 km  ·  início: -12.94198, -46.932922</t>
  </si>
  <si>
    <t>050ETO0270</t>
  </si>
  <si>
    <t>S.R.E. 050ETO0280   |   ENTR. TO-499 - ENTR. TO-296   |   PPS · Estadual · 1.857 km  ·  início: -12.972246, -46.902353</t>
  </si>
  <si>
    <t>050ETO0280</t>
  </si>
  <si>
    <t>S.R.E. 050ETO0290   |   ENTR. TO-296 - DIV TO-GO   |   PPS · Estadual · 8.548 km  ·  início: -12.974772, -46.885864</t>
  </si>
  <si>
    <t>050ETO0290</t>
  </si>
  <si>
    <t>TRECHO 251 — RODOVIA TO-050 - TRECHO CONCEIÇÃO DO TOCANTINS - ARRAIAS</t>
  </si>
  <si>
    <t>EXTENSÃO: 104,512 km  ·  4 S.R.E.</t>
  </si>
  <si>
    <t>S.R.E. 050ETO0230   |   CONCEIÇÃO DO TOCANTINS - ENTR. BR-242   |   PPS · Estadual · 33.954 km  ·  início: -12.229553, -47.296176</t>
  </si>
  <si>
    <t>050ETO0230</t>
  </si>
  <si>
    <t>33,95 km</t>
  </si>
  <si>
    <t>S.R.E. 050ETO0240   |   ENTR. BR-242 - ENTR. TO-296   |   PPS · Estadual · 47.950 km  ·  início: -12.499814, -47.203716</t>
  </si>
  <si>
    <t>050ETO0240</t>
  </si>
  <si>
    <t>47,95 km</t>
  </si>
  <si>
    <t>S.R.E. 050ETO0250   |   ENTR. TO-296 - ARRAIAS (ACESSO NORTE)   |   PPS · Estadual · 18.959 km  ·  início: -12.843804, -47.088265</t>
  </si>
  <si>
    <t>050ETO0250</t>
  </si>
  <si>
    <t>S.R.E. 050ETO0260   |   ARRAIAS (ACESSO NORTE) - ARRAIAS (ACESSO SUL)   |   PPS · Estadual · 3.649 km  ·  início: -12.917816, -46.953378</t>
  </si>
  <si>
    <t>050ETO0260</t>
  </si>
  <si>
    <t>3,65 km</t>
  </si>
  <si>
    <t>TRECHO 252 — RODOVIA TO-050 - TRECHO ENTR. BR-010 (POVOADO PRÍNCIPE) - CONCEIÇÃO DO TOCANTINS</t>
  </si>
  <si>
    <t>EXTENSÃO: 52,673 km  ·  3 S.R.E.</t>
  </si>
  <si>
    <t>S.R.E. 387ETO0071   |   CONCEIÇÃO DO TOCANTINS *TRECHO URBANO*   |   PSU · Municipal · 1.402 km  ·  início: -12.214971, -47.290492</t>
  </si>
  <si>
    <t>387ETO0071</t>
  </si>
  <si>
    <t>1,40 km</t>
  </si>
  <si>
    <t>▲ AQUI HÁ 78.847 km FORA DO ESCOPO DO CONTRATO (perímetro urbano de jurisdição municipal). Você passa por ele, mas NÃO preenche.</t>
  </si>
  <si>
    <t>S.R.E. 050ETO0210   |   ENTR. BR-010 (PRÍNCIPE) - ENTR. TO-387   |   PPS · Estadual · 45.752 km  ·  início: -12.230213, -47.348306</t>
  </si>
  <si>
    <t>050ETO0210</t>
  </si>
  <si>
    <t>S.R.E. 050ETO0220   |   ENTR. TO-387 - CONCEIÇÃO DO TOCANTINS   |   PPS · Estadual · 5.518 km  ·  início: -12.230213, -47.348306</t>
  </si>
  <si>
    <t>050ETO0220</t>
  </si>
  <si>
    <t>5,52 km</t>
  </si>
  <si>
    <t>TRECHO 253 — RODOVIA TO-110 - TRECHO AURORA DO TOCANTINS - LAVANDEIRA</t>
  </si>
  <si>
    <t>EXTENSÃO: 15,561 km  ·  1 S.R.E.</t>
  </si>
  <si>
    <t>S.R.E. 110ETO0330   |   AURORA DO TOCANTINS *TRECHO URBANO* - LAVANDEIRA   |   PPS · Estadual · 15.561 km  ·  início: -12.713506, -46.414397</t>
  </si>
  <si>
    <t>110ETO0330</t>
  </si>
  <si>
    <t>15,56 km</t>
  </si>
  <si>
    <t>TRECHO 254 — RODOVIA TO-110 - TRECHO COMBINADO - NOVO ALEGRE - DIVISA TO-GO</t>
  </si>
  <si>
    <t>EXTENSÃO: 17,978 km  ·  3 S.R.E.</t>
  </si>
  <si>
    <t>S.R.E. 110ETO0341   |   COMBINADO *TRECHO URBANO*   |   PSU · Municipal · 1.165 km  ·  início: -12.804859, -46.54413</t>
  </si>
  <si>
    <t>110ETO0341</t>
  </si>
  <si>
    <t>1,17 km</t>
  </si>
  <si>
    <t>S.R.E. 110ETO0370   |   COMBINADO *TRECHO URBANO* - NOVO ALEGRE *TRECHO URBANO*   |   PPS · Estadual · 10.291 km  ·  início: -12.823829, -46.549716</t>
  </si>
  <si>
    <t>110ETO0370</t>
  </si>
  <si>
    <t>10,29 km</t>
  </si>
  <si>
    <t>▲ AQUI HÁ 1.626 km FORA DO ESCOPO DO CONTRATO (perímetro urbano de jurisdição municipal). Você passa por ele, mas NÃO preenche.</t>
  </si>
  <si>
    <t>S.R.E. 110ETO0390   |   NOVO ALEGRE *TRECHO URBANO* - DIV TO-GO   |   PPS · Estadual · 6.522 km  ·  início: -12.917976, -46.572274</t>
  </si>
  <si>
    <t>110ETO0390</t>
  </si>
  <si>
    <t>6,52 km</t>
  </si>
  <si>
    <t>TRECHO 255 — RODOVIA TO-110 - TRECHO ENTR. TO-040 (DIANÓPOLIS) - DIVISA TO-BA (GARGANTA)</t>
  </si>
  <si>
    <t>EXTENSÃO: 57,452 km  ·  1 S.R.E.</t>
  </si>
  <si>
    <t>S.R.E. 110ETO0110   |   GARGANTA - ENTR. TO-040-TO-280   |   PPS · Estadual · 57.452 km  ·  início: -11.627861, -46.77819</t>
  </si>
  <si>
    <t>110ETO0110</t>
  </si>
  <si>
    <t>TRECHO 256 — RODOVIA TO-110 - TRECHO ENTR. TO-040 - PONTE ALTA DO BOM JESUS</t>
  </si>
  <si>
    <t>EXTENSÃO: 38,006 km  ·  5 S.R.E.</t>
  </si>
  <si>
    <t>S.R.E. 110ETO0150   |   ENTR. TO-040 - CABECEIRINHA   |   PPS · Estadual · 5.083 km  ·  início: -11.832466, -46.580968</t>
  </si>
  <si>
    <t>110ETO0150</t>
  </si>
  <si>
    <t>5,08 Km</t>
  </si>
  <si>
    <t>S.R.E. 110ETO0160   |   CABECEIRINHA - IPANEMA   |   PPS · Estadual · 3.767 km  ·  início: -11.864544, -46.552587</t>
  </si>
  <si>
    <t>110ETO0160</t>
  </si>
  <si>
    <t>3,77 km</t>
  </si>
  <si>
    <t>S.R.E. 110ETO0170   |   IPANEMA - BOA VISTA DE BELÉM   |   PPS · Estadual · 5.361 km  ·  início: -11.891291, -46.540812</t>
  </si>
  <si>
    <t>110ETO0170</t>
  </si>
  <si>
    <t>5,36 km</t>
  </si>
  <si>
    <t>S.R.E. 110ETO0180   |   BOA VISTA DE BELÉM - ENTR. TO-485   |   PPS · Estadual · 19.875 km  ·  início: -11.919153, -46.4926</t>
  </si>
  <si>
    <t>110ETO0180</t>
  </si>
  <si>
    <t>19,87 km</t>
  </si>
  <si>
    <t>S.R.E. 110ETO0190   |   ENTR. TO-485 - PONTE ALTA DO BOM JESUS *TRECHO URBANO*   |   PPS · Estadual · 3.920 km  ·  início: -12.059836, -46.501594</t>
  </si>
  <si>
    <t>110ETO0190</t>
  </si>
  <si>
    <t>3,92 km</t>
  </si>
  <si>
    <t>TRECHO 257 — RODOVIA TO-110 - TRECHO LAVANDEIRA - COMBINADO</t>
  </si>
  <si>
    <t>EXTENSÃO: 6,384 km  ·  1 S.R.E.</t>
  </si>
  <si>
    <t>S.R.E. 110ETO0340   |   LAVANDEIRA - COMBINADO *TRECHO URBANO*   |   PPS · Estadual · 6.384 km  ·  início: -12.786731, -46.510257</t>
  </si>
  <si>
    <t>110ETO0340</t>
  </si>
  <si>
    <t>6,38 km</t>
  </si>
  <si>
    <t>TRECHO 258 — RODOVIA TO-110 - TRECHO PONTE ALTA DO BOM JESUS - ENTR. BR-242(TAGUATINGA)</t>
  </si>
  <si>
    <t>EXTENSÃO: 35,497 km  ·  3 S.R.E.</t>
  </si>
  <si>
    <t>S.R.E. 110ETO0210   |   PONTE ALTA DO BOM JESUS *TRECHO URBANO* - ALTAMIRA   |   PPS · Estadual · 7.307 km  ·  início: -12.093681, -46.478337</t>
  </si>
  <si>
    <t>110ETO0210</t>
  </si>
  <si>
    <t>7,31 km</t>
  </si>
  <si>
    <t>S.R.E. 110ETO0220   |   ALTAMIRA - SÃO GONÇALO   |   PPS · Estadual · 9.171 km  ·  início: -12.155191, -46.457584</t>
  </si>
  <si>
    <t>110ETO0220</t>
  </si>
  <si>
    <t>S.R.E. 110ETO0230   |   SÃO GONÇALO - ENTR. BR-242 (A)   |   PPS · Estadual · 19.018 km  ·  início: -12.232678, -46.452357</t>
  </si>
  <si>
    <t>110ETO0230</t>
  </si>
  <si>
    <t>19,02 km</t>
  </si>
  <si>
    <t>TRECHO 259 — RODOVIA TO-110 - TRECHO TAGUATINGA - AURORA DO TOCANTINS</t>
  </si>
  <si>
    <t>EXTENSÃO: 48,367 km  ·  5 S.R.E.</t>
  </si>
  <si>
    <t>S.R.E. 110ETO0241D   |   TAGUATINGA *TRECHO URBANO*  (código antigo: 110ETO0241)   |   PSU · Municipal · 3.631 km  ·  início: -12.392271, -46.41753</t>
  </si>
  <si>
    <t>110ETO0241D</t>
  </si>
  <si>
    <t>S.R.E. 110ETO0270   |   TAGUATINGA *TRECHO URBANO* - POV. SAPATEIRO   |   PPS · Estadual · 19.008 km  ·  início: -12.412361, -46.425392</t>
  </si>
  <si>
    <t>110ETO0270</t>
  </si>
  <si>
    <t>19,01 km</t>
  </si>
  <si>
    <t>S.R.E. 110ETO0280   |   POV. SAPATEIRO - ENTR. ACESSO POV. AZUIS   |   PPS · Estadual · 5.408 km  ·  início: -12.546218, -46.409009</t>
  </si>
  <si>
    <t>110ETO0280</t>
  </si>
  <si>
    <t>5,41 km</t>
  </si>
  <si>
    <t>S.R.E. 110ETO0290   |   ENTR. ACESSO POV. AZUIS - AURORA DO TOCANTINS *TRECHO URBANO*   |   PPS · Estadual · 19.234 km  ·  início: -12.586345, -46.413258</t>
  </si>
  <si>
    <t>110ETO0290</t>
  </si>
  <si>
    <t>19,23 km</t>
  </si>
  <si>
    <t>S.R.E. ACESSO02   |   ENTR- TO-110 - RIO AZUIS  (código antigo: ACESSO)   |   PPS · Estadual · 1.086 km  ·  início: -12.586345, -46.413258</t>
  </si>
  <si>
    <t>ACESSO02</t>
  </si>
  <si>
    <t>1,09 km</t>
  </si>
  <si>
    <t>TRECHO 265 — RODOVIA TO-387 - TRECHO ENTR. TO-040 - TAIPAS DO TOCANTINS</t>
  </si>
  <si>
    <t>EXTENSÃO: 1,087 km  ·  1 S.R.E.</t>
  </si>
  <si>
    <t>S.R.E. 387ETO0041D   |   INÍCIO PU TAIPAS - FIM PU TAIPAS  (código antigo: 387ETO0041)   |   PSU · Municipal · 1.087 km  ·  início: -12.196981, -46.992178</t>
  </si>
  <si>
    <t>387ETO0041D</t>
  </si>
  <si>
    <t>TRECHO 266 — RODOVIA TO-476 - TRECHO RIO DA CONCEIÇÃO - DIANÓPOLIS</t>
  </si>
  <si>
    <t>EXTENSÃO: 26,737 km  ·  2 S.R.E.</t>
  </si>
  <si>
    <t>S.R.E. 476ETO0060   |   RIO DA CONCEIÇÃO *TRECHO URBANO* - CATINGUEIRO   |   PPS · Estadual · 6.976 km  ·  início: -11.404958, -46.879573</t>
  </si>
  <si>
    <t>476ETO0060</t>
  </si>
  <si>
    <t>S.R.E. 476ETO0070   |   CATINGUEIRO - ENTR. TO-040-TO-280-TO-387   |   PPS · Estadual · 19.761 km  ·  início: -11.451386, -46.847847</t>
  </si>
  <si>
    <t>476ETO0070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</si>
  <si>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</si>
  <si>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</si>
  <si>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</si>
  <si>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</si>
  <si>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</si>
  <si>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</si>
  <si>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</si>
  <si>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</si>
  <si>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</si>
  <si>
    <t>ORDENS DE SERVIÇO MEDIDAS EM SETEMBRO/2026</t>
  </si>
  <si>
    <t>REGIÃO 13 — RODOVIAS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</si>
  <si>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</si>
  <si>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</si>
  <si>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</si>
  <si>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</si>
  <si>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</si>
  <si>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</si>
  <si>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</si>
  <si>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</si>
  <si>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</si>
  <si>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</si>
  <si>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</si>
  <si>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</si>
  <si>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051.2024</t>
  </si>
  <si>
    <t>Manutenção</t>
  </si>
  <si>
    <t>Roçada com roçadeira costal (Segmentos Rod... / Roçada mecanizada com roçadeira articulada... (+18 itens)</t>
  </si>
  <si>
    <t>Em andamento</t>
  </si>
  <si>
    <t>nº 19 — 01/09/2026 a 30/09/2026</t>
  </si>
  <si>
    <t>Dezembro/2026</t>
  </si>
  <si>
    <t>Roçada com roçadeira costal (Segmentos Rod... / Limpeza de valeta (Segmentos Urbanos e Rod...</t>
  </si>
  <si>
    <t>Concluída</t>
  </si>
  <si>
    <t>Novembro/2026</t>
  </si>
  <si>
    <t>Roçada mecanizada com roçadeira articulada... / Limpeza manual de Bueiro (Segmentos Urbano... (+2 itens)</t>
  </si>
  <si>
    <t>Roçada com roçadeira costal (Segmentos Rod... / G2 - Tapa Buraco PMF Classe 1 e 2 (Segment... (+20 itens)</t>
  </si>
  <si>
    <t>Roçada com roçadeira costal (Segmentos Rod... / Limpeza de valeta (Segmentos Urbanos e Rod... (+17 itens)</t>
  </si>
  <si>
    <t>1151.2026</t>
  </si>
  <si>
    <t>Restauração</t>
  </si>
  <si>
    <t>Reciclagem com adição de brita comercial e... / Brita 1 (+26 itens)</t>
  </si>
  <si>
    <t>nº 3 — 01/09/2026 a 30/09/2026</t>
  </si>
  <si>
    <t>Outubro/2026</t>
  </si>
  <si>
    <t>Roçada com roçadeira costal (Segmentos Rod... / Limpeza de valeta (Segmentos Urbanos e Rod... (+16 itens)</t>
  </si>
  <si>
    <t>Roçada com roçadeira costal (Segmentos Rod...</t>
  </si>
  <si>
    <t>Carga, manobra e descarga de agregados ou... / Carga, manobra e descarga de cimento ou ca... (+4 itens)</t>
  </si>
  <si>
    <t>Placa para sinalização de obras montada em... / Serviços em pontes de madeira sem reaprove... (+32 itens)</t>
  </si>
  <si>
    <t>Roçada com roçadeira costal (Segmentos Rod... / Roçada mecanizada com roçadeira articulada... (+3 itens)</t>
  </si>
  <si>
    <t>TOTAL MEDIDO NO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</si>
</sst>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dd/mm/aaaa"/>
    <numFmt numFmtId="166" formatCode="0.0%"/>
    <numFmt numFmtId="167" formatCode="#,##0.000&quot; km&quot;"/>
    <numFmt numFmtId="168" formatCode="&quot;R$&quot;\ #,##0.00"/>
    <numFmt numFmtId="169" formatCode="0&quot;%&quot;"/>
  </numFmts>
  <fonts count="2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rgb="FFC55A11"/>
      <name val="Calibri"/>
      <family val="2"/>
      <scheme val="minor"/>
    </font>
    <font>
      <b/>
      <sz val="9"/>
      <color rgb="FF008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8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9" fillId="13" borderId="6" xfId="0" applyFont="1" applyFill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top" wrapText="1"/>
    </xf>
    <xf numFmtId="49" fontId="18" fillId="0" borderId="6" xfId="0" applyNumberFormat="1" applyFont="1" applyBorder="1" applyAlignment="1">
      <alignment vertical="top" wrapText="1"/>
    </xf>
    <xf numFmtId="0" fontId="18" fillId="0" borderId="6" xfId="0" applyFont="1" applyBorder="1" applyAlignment="1">
      <alignment horizontal="center" vertical="top" wrapText="1"/>
    </xf>
    <xf numFmtId="49" fontId="18" fillId="0" borderId="6" xfId="0" applyNumberFormat="1" applyFont="1" applyBorder="1" applyAlignment="1">
      <alignment horizontal="center" vertical="top" wrapText="1"/>
    </xf>
    <xf numFmtId="49" fontId="22" fillId="0" borderId="6" xfId="0" applyNumberFormat="1" applyFont="1" applyBorder="1" applyAlignment="1">
      <alignment vertical="top" wrapText="1"/>
    </xf>
    <xf numFmtId="168" fontId="18" fillId="0" borderId="6" xfId="0" applyNumberFormat="1" applyFont="1" applyBorder="1" applyAlignment="1">
      <alignment vertical="top" wrapText="1"/>
    </xf>
    <xf numFmtId="169" fontId="18" fillId="0" borderId="6" xfId="0" applyNumberFormat="1" applyFont="1" applyBorder="1" applyAlignment="1">
      <alignment horizontal="center" vertical="top" wrapText="1"/>
    </xf>
    <xf numFmtId="49" fontId="23" fillId="0" borderId="6" xfId="0" applyNumberFormat="1" applyFont="1" applyBorder="1" applyAlignment="1">
      <alignment vertical="top" wrapText="1"/>
    </xf>
    <xf numFmtId="0" fontId="17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2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11" borderId="0" xfId="0" applyFont="1" applyFill="1" applyAlignment="1">
      <alignment horizontal="left" vertical="center"/>
    </xf>
    <xf numFmtId="0" fontId="0" fillId="11" borderId="0" xfId="0" applyFill="1"/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4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DA-4250-BB9E-1D513222CCA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DA-4250-BB9E-1D513222CCA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DA-4250-BB9E-1D513222CCA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DA-4250-BB9E-1D513222CCA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DA-4250-BB9E-1D513222CCA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226.57298832796997</c:v>
                </c:pt>
                <c:pt idx="1">
                  <c:v>173.01588871622999</c:v>
                </c:pt>
                <c:pt idx="2">
                  <c:v>134.93539499847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A-4250-BB9E-1D513222C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7D-411E-9AAD-D64C40CBA3E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7D-411E-9AAD-D64C40CBA3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533.52427204266996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D-411E-9AAD-D64C40CBA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B7-4085-B7F5-856E87A680B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B7-4085-B7F5-856E87A680B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B7-4085-B7F5-856E87A680B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127.13179165381999</c:v>
                </c:pt>
                <c:pt idx="1">
                  <c:v>399.97299070962003</c:v>
                </c:pt>
                <c:pt idx="2">
                  <c:v>21.419489679229997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7-4085-B7F5-856E87A68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6E-4477-B039-17A1854EA52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6E-4477-B039-17A1854EA52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6E-4477-B039-17A1854EA5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186.89557280475998</c:v>
                </c:pt>
                <c:pt idx="1">
                  <c:v>351.36135315369995</c:v>
                </c:pt>
                <c:pt idx="2">
                  <c:v>10.267346084210001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E-4477-B039-17A1854EA5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1B-47FF-9DE6-8F1BE94087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1B-47FF-9DE6-8F1BE94087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1B-47FF-9DE6-8F1BE94087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20.439553918559998</c:v>
                </c:pt>
                <c:pt idx="1">
                  <c:v>528.08471812410994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B-47FF-9DE6-8F1BE94087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8F-4C29-A19C-44FF3E177D2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8F-4C29-A19C-44FF3E177D2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8F-4C29-A19C-44FF3E177D2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8F-4C29-A19C-44FF3E177D2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8F-4C29-A19C-44FF3E177D2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'246'!$Y$2:$AC$2</c:f>
              <c:numCache>
                <c:formatCode>#,##0.00</c:formatCode>
                <c:ptCount val="5"/>
                <c:pt idx="0">
                  <c:v>4</c:v>
                </c:pt>
                <c:pt idx="1">
                  <c:v>#N/A</c:v>
                </c:pt>
                <c:pt idx="2">
                  <c:v>10.89361216961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8F-4C29-A19C-44FF3E177D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0B-4374-92C2-5C14FDA3644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0B-4374-92C2-5C14FDA364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'246'!$AD$2:$AE$2</c:f>
              <c:numCache>
                <c:formatCode>#,##0.00</c:formatCode>
                <c:ptCount val="2"/>
                <c:pt idx="0">
                  <c:v>14.89361216961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B-4374-92C2-5C14FDA36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80-40F1-BF47-F7CBD5DBC2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80-40F1-BF47-F7CBD5DBC2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80-40F1-BF47-F7CBD5DBC2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'246'!$AF$2:$AH$2</c:f>
              <c:numCache>
                <c:formatCode>#,##0.00</c:formatCode>
                <c:ptCount val="3"/>
                <c:pt idx="0">
                  <c:v>4</c:v>
                </c:pt>
                <c:pt idx="1">
                  <c:v>10.89361216961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80-40F1-BF47-F7CBD5DBC2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59-4685-A4A1-82A7C1DBB3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59-4685-A4A1-82A7C1DBB3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59-4685-A4A1-82A7C1DBB3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59-4685-A4A1-82A7C1DBB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1A-45AA-ACD2-F99C3E4B698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1A-45AA-ACD2-F99C3E4B698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1A-45AA-ACD2-F99C3E4B698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1A-45AA-ACD2-F99C3E4B6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49-44ED-8022-8053AD2B154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49-44ED-8022-8053AD2B154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49-44ED-8022-8053AD2B154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49-44ED-8022-8053AD2B154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49-44ED-8022-8053AD2B15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16.481208842299999</c:v>
                </c:pt>
                <c:pt idx="2">
                  <c:v>19.565300208729997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9-44ED-8022-8053AD2B1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C2-41D8-9585-DC8A8288F3D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C2-41D8-9585-DC8A8288F3D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'247'!$AD$2:$AE$2</c:f>
              <c:numCache>
                <c:formatCode>#,##0.00</c:formatCode>
                <c:ptCount val="2"/>
                <c:pt idx="0">
                  <c:v>36.04650905103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C2-41D8-9585-DC8A8288F3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17-4455-A9ED-5DE8587483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17-4455-A9ED-5DE8587483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17-4455-A9ED-5DE8587483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'247'!$AF$2:$AH$2</c:f>
              <c:numCache>
                <c:formatCode>#,##0.00</c:formatCode>
                <c:ptCount val="3"/>
                <c:pt idx="0">
                  <c:v>6.4812088422999992</c:v>
                </c:pt>
                <c:pt idx="1">
                  <c:v>29.565300208729997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17-4455-A9ED-5DE8587483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67-48B6-9584-AE8D4C937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67-48B6-9584-AE8D4C937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67-48B6-9584-AE8D4C937E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67-48B6-9584-AE8D4C937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61-43CB-B66C-C02F73879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61-43CB-B66C-C02F73879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61-43CB-B66C-C02F738796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61-43CB-B66C-C02F73879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A3C-AE3A-B8530D0FF12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D8-4A3C-AE3A-B8530D0FF12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D8-4A3C-AE3A-B8530D0FF12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D8-4A3C-AE3A-B8530D0FF12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D8-4A3C-AE3A-B8530D0FF1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'248'!$Y$2:$AC$2</c:f>
              <c:numCache>
                <c:formatCode>#,##0.00</c:formatCode>
                <c:ptCount val="5"/>
                <c:pt idx="0">
                  <c:v>28.187731417099997</c:v>
                </c:pt>
                <c:pt idx="1">
                  <c:v>5.8182596155799997</c:v>
                </c:pt>
                <c:pt idx="2">
                  <c:v>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8-4A3C-AE3A-B8530D0FF1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11-4D8A-916A-3075950852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11-4D8A-916A-3075950852A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'248'!$AD$2:$AE$2</c:f>
              <c:numCache>
                <c:formatCode>#,##0.00</c:formatCode>
                <c:ptCount val="2"/>
                <c:pt idx="0">
                  <c:v>43.005991032680001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11-4D8A-916A-307595085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8D-46F5-BFC3-DF0B1C9E8C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8D-46F5-BFC3-DF0B1C9E8C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8D-46F5-BFC3-DF0B1C9E8C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46F5-BFC3-DF0B1C9E8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4B-4D2E-9379-21FEB97D2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4B-4D2E-9379-21FEB97D2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4B-4D2E-9379-21FEB97D2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B-4D2E-9379-21FEB97D2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17-4400-93AE-A3AE41BA2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17-4400-93AE-A3AE41BA2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17-4400-93AE-A3AE41BA2B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17-4400-93AE-A3AE41BA2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2E-4451-A394-125E58AC00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2E-4451-A394-125E58AC00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2E-4451-A394-125E58AC00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2E-4451-A394-125E58AC00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2E-4451-A394-125E58AC00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'249'!$Y$2:$AC$2</c:f>
              <c:numCache>
                <c:formatCode>#,##0.00</c:formatCode>
                <c:ptCount val="5"/>
                <c:pt idx="0">
                  <c:v>12.68403994444</c:v>
                </c:pt>
                <c:pt idx="1">
                  <c:v>#N/A</c:v>
                </c:pt>
                <c:pt idx="2">
                  <c:v>22.251226718399998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2E-4451-A394-125E58AC0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F7-4D93-9FC5-24C7001A417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F7-4D93-9FC5-24C7001A41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'249'!$AD$2:$AE$2</c:f>
              <c:numCache>
                <c:formatCode>#,##0.00</c:formatCode>
                <c:ptCount val="2"/>
                <c:pt idx="0">
                  <c:v>34.93526666284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7-4D93-9FC5-24C7001A4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F6-4789-82C4-6778AB59F1D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F6-4789-82C4-6778AB59F1D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F6-4789-82C4-6778AB59F1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'249'!$AF$2:$AH$2</c:f>
              <c:numCache>
                <c:formatCode>#,##0.00</c:formatCode>
                <c:ptCount val="3"/>
                <c:pt idx="0">
                  <c:v>34.93526666284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F6-4789-82C4-6778AB59F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54-404E-9739-89470B5E543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54-404E-9739-89470B5E543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54-404E-9739-89470B5E54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54-404E-9739-89470B5E54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3E-4994-9BAE-6CD819E35B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3E-4994-9BAE-6CD819E35B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3E-4994-9BAE-6CD819E35B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3E-4994-9BAE-6CD819E35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C4-4FDD-8BA1-3AF08C8A5E6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C4-4FDD-8BA1-3AF08C8A5E6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C4-4FDD-8BA1-3AF08C8A5E6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C4-4FDD-8BA1-3AF08C8A5E6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BC4-4FDD-8BA1-3AF08C8A5E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'250'!$Y$2:$AC$2</c:f>
              <c:numCache>
                <c:formatCode>#,##0.00</c:formatCode>
                <c:ptCount val="5"/>
                <c:pt idx="0">
                  <c:v>1.8568037714200001</c:v>
                </c:pt>
                <c:pt idx="1">
                  <c:v>13.53160373391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C4-4FDD-8BA1-3AF08C8A5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E6-464E-AAA9-A372D0A682B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E6-464E-AAA9-A372D0A682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'250'!$AD$2:$AE$2</c:f>
              <c:numCache>
                <c:formatCode>#,##0.00</c:formatCode>
                <c:ptCount val="2"/>
                <c:pt idx="0">
                  <c:v>15.388407505329999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E6-464E-AAA9-A372D0A68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B1-496C-912D-49B3BC50909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B1-496C-912D-49B3BC50909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B1-496C-912D-49B3BC5090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1-496C-912D-49B3BC5090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5E-49FB-BC63-4E8D64AE7C6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5E-49FB-BC63-4E8D64AE7C6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5E-49FB-BC63-4E8D64AE7C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E-49FB-BC63-4E8D64AE7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1-464A-8E4E-1D8BC77AAF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1-464A-8E4E-1D8BC77AAF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1-464A-8E4E-1D8BC77AAF4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'250'!$AL$2:$AN$2</c:f>
              <c:numCache>
                <c:formatCode>#,##0.00</c:formatCode>
                <c:ptCount val="3"/>
                <c:pt idx="0">
                  <c:v>15.388407505329999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1-464A-8E4E-1D8BC77AA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64-479F-BA35-0886782E28D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64-479F-BA35-0886782E28D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64-479F-BA35-0886782E28D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64-479F-BA35-0886782E28D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64-479F-BA35-0886782E28D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'251'!$Y$2:$AC$2</c:f>
              <c:numCache>
                <c:formatCode>#,##0.00</c:formatCode>
                <c:ptCount val="5"/>
                <c:pt idx="0">
                  <c:v>59.648838973410001</c:v>
                </c:pt>
                <c:pt idx="1">
                  <c:v>24.862925466600004</c:v>
                </c:pt>
                <c:pt idx="2">
                  <c:v>20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4-479F-BA35-0886782E2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E-4139-AB02-45720732482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E-4139-AB02-45720732482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'251'!$AD$2:$AE$2</c:f>
              <c:numCache>
                <c:formatCode>#,##0.00</c:formatCode>
                <c:ptCount val="2"/>
                <c:pt idx="0">
                  <c:v>104.51176444001001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E-4139-AB02-457207324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97-44B2-8DC6-8C10938C1DE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97-44B2-8DC6-8C10938C1DE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97-44B2-8DC6-8C10938C1DE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'251'!$AF$2:$AH$2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92.862925466600018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97-44B2-8DC6-8C10938C1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0C-45A0-A7EC-0563E72296A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0C-45A0-A7EC-0563E72296A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0C-45A0-A7EC-0563E72296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104.51176444001001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0C-45A0-A7EC-0563E7229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1C-41C1-A963-0C6BAD3E07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1C-41C1-A963-0C6BAD3E07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1C-41C1-A963-0C6BAD3E07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'251'!$AL$2:$AN$2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100.86292546660002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C-41C1-A963-0C6BAD3E0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C0-4D74-9BCC-7C52ACCCCF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C0-4D74-9BCC-7C52ACCCCF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C0-4D74-9BCC-7C52ACCCCF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C0-4D74-9BCC-7C52ACCCCF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C0-4D74-9BCC-7C52ACCCCF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'252'!$Y$2:$AC$2</c:f>
              <c:numCache>
                <c:formatCode>#,##0.00</c:formatCode>
                <c:ptCount val="5"/>
                <c:pt idx="0">
                  <c:v>6.9203391951299995</c:v>
                </c:pt>
                <c:pt idx="1">
                  <c:v>22.7523322025</c:v>
                </c:pt>
                <c:pt idx="2">
                  <c:v>23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0-4D74-9BCC-7C52ACCCC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4-43A7-917E-B1A39B91AE8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4-43A7-917E-B1A39B91AE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'252'!$AD$2:$AE$2</c:f>
              <c:numCache>
                <c:formatCode>#,##0.00</c:formatCode>
                <c:ptCount val="2"/>
                <c:pt idx="0">
                  <c:v>52.672671397629998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4-43A7-917E-B1A39B91A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AD-4582-9477-02FA008387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AD-4582-9477-02FA008387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AD-4582-9477-02FA008387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'252'!$AF$2:$AH$2</c:f>
              <c:numCache>
                <c:formatCode>#,##0.00</c:formatCode>
                <c:ptCount val="3"/>
                <c:pt idx="0">
                  <c:v>27.40230743982</c:v>
                </c:pt>
                <c:pt idx="1">
                  <c:v>25.270363957809998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AD-4582-9477-02FA00838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1-4086-84FD-D688CC1602E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1-4086-84FD-D688CC1602E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1-4086-84FD-D688CC1602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52.672671397629998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1-4086-84FD-D688CC160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D-437E-882B-9A62A9FEBB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D-437E-882B-9A62A9FEBB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D-437E-882B-9A62A9FEBB5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'252'!$AL$2:$AN$2</c:f>
              <c:numCache>
                <c:formatCode>#,##0.00</c:formatCode>
                <c:ptCount val="3"/>
                <c:pt idx="0">
                  <c:v>1.4023074398199999</c:v>
                </c:pt>
                <c:pt idx="1">
                  <c:v>51.270363957809998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D-437E-882B-9A62A9FEBB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8F-4D59-9D3B-DBF248EC8D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8F-4D59-9D3B-DBF248EC8D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8F-4D59-9D3B-DBF248EC8D7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8F-4D59-9D3B-DBF248EC8D7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8F-4D59-9D3B-DBF248EC8D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'253'!$Y$2:$AC$2</c:f>
              <c:numCache>
                <c:formatCode>#,##0.00</c:formatCode>
                <c:ptCount val="5"/>
                <c:pt idx="0">
                  <c:v>15.560727356799999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8F-4D59-9D3B-DBF248EC8D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FF-4734-9241-CCAC358FB11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FF-4734-9241-CCAC358FB1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'253'!$AD$2:$AE$2</c:f>
              <c:numCache>
                <c:formatCode>#,##0.00</c:formatCode>
                <c:ptCount val="2"/>
                <c:pt idx="0">
                  <c:v>15.560727356799999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FF-4734-9241-CCAC358FB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A1-48F4-9727-9330066696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A1-48F4-9727-9330066696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A1-48F4-9727-9330066696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'253'!$AF$2:$AH$2</c:f>
              <c:numCache>
                <c:formatCode>#,##0.00</c:formatCode>
                <c:ptCount val="3"/>
                <c:pt idx="0">
                  <c:v>11</c:v>
                </c:pt>
                <c:pt idx="1">
                  <c:v>#N/A</c:v>
                </c:pt>
                <c:pt idx="2">
                  <c:v>4.5607273567999993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A1-48F4-9727-933006669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56-4239-B2F5-6F9A02A7441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56-4239-B2F5-6F9A02A7441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56-4239-B2F5-6F9A02A744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'253'!$AI$2:$AK$2</c:f>
              <c:numCache>
                <c:formatCode>#,##0.00</c:formatCode>
                <c:ptCount val="3"/>
                <c:pt idx="0">
                  <c:v>11</c:v>
                </c:pt>
                <c:pt idx="1">
                  <c:v>2.5607273567999993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56-4239-B2F5-6F9A02A74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B4-498B-946A-D05EE0AB7A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B4-498B-946A-D05EE0AB7A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B4-498B-946A-D05EE0AB7A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15.560727356799999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4-498B-946A-D05EE0AB7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29-4ABB-8390-1D193653D95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29-4ABB-8390-1D193653D95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29-4ABB-8390-1D193653D95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29-4ABB-8390-1D193653D95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29-4ABB-8390-1D193653D95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'254'!$Y$2:$AC$2</c:f>
              <c:numCache>
                <c:formatCode>#,##0.00</c:formatCode>
                <c:ptCount val="5"/>
                <c:pt idx="0">
                  <c:v>17.978237764369997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29-4ABB-8390-1D193653D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71-4D96-AAA5-595A689043E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71-4D96-AAA5-595A689043E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'254'!$AD$2:$AE$2</c:f>
              <c:numCache>
                <c:formatCode>#,##0.00</c:formatCode>
                <c:ptCount val="2"/>
                <c:pt idx="0">
                  <c:v>17.978237764369997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1-4D96-AAA5-595A68904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36-4C34-88D1-ECAE38D3A2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36-4C34-88D1-ECAE38D3A2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36-4C34-88D1-ECAE38D3A2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'254'!$AF$2:$AH$2</c:f>
              <c:numCache>
                <c:formatCode>#,##0.00</c:formatCode>
                <c:ptCount val="3"/>
                <c:pt idx="0">
                  <c:v>2.4557659083699992</c:v>
                </c:pt>
                <c:pt idx="1">
                  <c:v>15.522471855999999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36-4C34-88D1-ECAE38D3A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06-4B05-BFE1-15F216581D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06-4B05-BFE1-15F216581D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06-4B05-BFE1-15F216581D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'254'!$AI$2:$AK$2</c:f>
              <c:numCache>
                <c:formatCode>#,##0.00</c:formatCode>
                <c:ptCount val="3"/>
                <c:pt idx="0">
                  <c:v>1.2905608613999995</c:v>
                </c:pt>
                <c:pt idx="1">
                  <c:v>15.522471855999999</c:v>
                </c:pt>
                <c:pt idx="2">
                  <c:v>1.1652050469699999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6-4B05-BFE1-15F216581D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72-4FB6-A7B6-965D833FBB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72-4FB6-A7B6-965D833FBB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72-4FB6-A7B6-965D833FBB4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17.978237764369997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72-4FB6-A7B6-965D833FBB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A-4A56-94DA-FD05E153183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A-4A56-94DA-FD05E153183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A-4A56-94DA-FD05E153183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4A-4A56-94DA-FD05E153183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F4A-4A56-94DA-FD05E153183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'255'!$Y$2:$AC$2</c:f>
              <c:numCache>
                <c:formatCode>#,##0.00</c:formatCode>
                <c:ptCount val="5"/>
                <c:pt idx="0">
                  <c:v>10</c:v>
                </c:pt>
                <c:pt idx="1">
                  <c:v>42.452308968700002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4A-4A56-94DA-FD05E1531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6A-425B-ADE3-C101F50ACA9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6A-425B-ADE3-C101F50ACA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'255'!$AD$2:$AE$2</c:f>
              <c:numCache>
                <c:formatCode>#,##0.00</c:formatCode>
                <c:ptCount val="2"/>
                <c:pt idx="0">
                  <c:v>57.452308968700002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A-425B-ADE3-C101F50ACA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AC-4660-B01A-78C9912D3F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AC-4660-B01A-78C9912D3F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AC-4660-B01A-78C9912D3F7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'255'!$AF$2:$AH$2</c:f>
              <c:numCache>
                <c:formatCode>#,##0.00</c:formatCode>
                <c:ptCount val="3"/>
                <c:pt idx="0">
                  <c:v>8</c:v>
                </c:pt>
                <c:pt idx="1">
                  <c:v>49.452308968700002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C-4660-B01A-78C9912D3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6-4800-9ABF-5A97CA1CFB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6-4800-9ABF-5A97CA1CFB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6-4800-9ABF-5A97CA1CFB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'255'!$AI$2:$AK$2</c:f>
              <c:numCache>
                <c:formatCode>#,##0.00</c:formatCode>
                <c:ptCount val="3"/>
                <c:pt idx="0">
                  <c:v>57.452308968700002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6-4800-9ABF-5A97CA1CF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33-4C95-969E-8071E7DAC2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33-4C95-969E-8071E7DAC2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33-4C95-969E-8071E7DAC2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33-4C95-969E-8071E7DAC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A-4016-8C41-FD604C9B338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A-4016-8C41-FD604C9B338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A-4016-8C41-FD604C9B338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AA-4016-8C41-FD604C9B338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AA-4016-8C41-FD604C9B33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'256'!$Y$2:$AC$2</c:f>
              <c:numCache>
                <c:formatCode>#,##0.00</c:formatCode>
                <c:ptCount val="5"/>
                <c:pt idx="0">
                  <c:v>11</c:v>
                </c:pt>
                <c:pt idx="1">
                  <c:v>8.2357329937399975</c:v>
                </c:pt>
                <c:pt idx="2">
                  <c:v>8.7703518829899991</c:v>
                </c:pt>
                <c:pt idx="3">
                  <c:v>10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AA-4016-8C41-FD604C9B3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0D-45EC-9F3F-B9A02CB9851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0D-45EC-9F3F-B9A02CB985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'256'!$AD$2:$AE$2</c:f>
              <c:numCache>
                <c:formatCode>#,##0.00</c:formatCode>
                <c:ptCount val="2"/>
                <c:pt idx="0">
                  <c:v>28.00608487673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D-45EC-9F3F-B9A02CB98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A7-42E4-AB21-9CB2326B50F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A7-42E4-AB21-9CB2326B50F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A7-42E4-AB21-9CB2326B50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34.085794418709995</c:v>
                </c:pt>
                <c:pt idx="2">
                  <c:v>3.9202904580200002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7-42E4-AB21-9CB2326B50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35-4320-AE3A-C9EA3BF198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35-4320-AE3A-C9EA3BF198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35-4320-AE3A-C9EA3BF198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'256'!$AI$2:$AK$2</c:f>
              <c:numCache>
                <c:formatCode>#,##0.00</c:formatCode>
                <c:ptCount val="3"/>
                <c:pt idx="0">
                  <c:v>38.006084876729993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35-4320-AE3A-C9EA3BF19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03-473E-B2BD-A9C89649D5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03-473E-B2BD-A9C89649D5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03-473E-B2BD-A9C89649D5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38.006084876729993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3-473E-B2BD-A9C89649D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3-4ECF-9BDF-917F351BC6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3-4ECF-9BDF-917F351BC6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23-4ECF-9BDF-917F351BC6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23-4ECF-9BDF-917F351BC6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23-4ECF-9BDF-917F351BC6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'257'!$Y$2:$AC$2</c:f>
              <c:numCache>
                <c:formatCode>#,##0.00</c:formatCode>
                <c:ptCount val="5"/>
                <c:pt idx="0">
                  <c:v>4</c:v>
                </c:pt>
                <c:pt idx="1">
                  <c:v>2.3844721453100002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23-4ECF-9BDF-917F351BC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3B1-AA82-B362529864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3B1-AA82-B362529864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'257'!$AD$2:$AE$2</c:f>
              <c:numCache>
                <c:formatCode>#,##0.00</c:formatCode>
                <c:ptCount val="2"/>
                <c:pt idx="0">
                  <c:v>6.3844721453100002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20-43B1-AA82-B36252986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06-4329-A806-D02A41C186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06-4329-A806-D02A41C186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06-4329-A806-D02A41C186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'257'!$AF$2:$AH$2</c:f>
              <c:numCache>
                <c:formatCode>#,##0.00</c:formatCode>
                <c:ptCount val="3"/>
                <c:pt idx="0">
                  <c:v>1.3844721453100002</c:v>
                </c:pt>
                <c:pt idx="1">
                  <c:v>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6-4329-A806-D02A41C18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6E-4125-B91F-67DEC0561D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6E-4125-B91F-67DEC0561D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16E-4125-B91F-67DEC0561D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2.3844721453100002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6E-4125-B91F-67DEC0561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E3-4421-AA5B-96939FFF5A7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E3-4421-AA5B-96939FFF5A7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E3-4421-AA5B-96939FFF5A7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6.3844721453100002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E3-4421-AA5B-96939FFF5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4C-4B55-8FE7-040BCF7C9A6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4C-4B55-8FE7-040BCF7C9A6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4C-4B55-8FE7-040BCF7C9A6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4C-4B55-8FE7-040BCF7C9A6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4C-4B55-8FE7-040BCF7C9A6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'258'!$Y$2:$AC$2</c:f>
              <c:numCache>
                <c:formatCode>#,##0.00</c:formatCode>
                <c:ptCount val="5"/>
                <c:pt idx="0">
                  <c:v>25</c:v>
                </c:pt>
                <c:pt idx="1">
                  <c:v>2.0180992545000009</c:v>
                </c:pt>
                <c:pt idx="2">
                  <c:v>6.4786997477599995</c:v>
                </c:pt>
                <c:pt idx="3">
                  <c:v>#N/A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4C-4B55-8FE7-040BCF7C9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8-4A36-9843-636BA09C3A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8-4A36-9843-636BA09C3AA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'258'!$AD$2:$AE$2</c:f>
              <c:numCache>
                <c:formatCode>#,##0.00</c:formatCode>
                <c:ptCount val="2"/>
                <c:pt idx="0">
                  <c:v>35.496799002259998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78-4A36-9843-636BA09C3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B1-472F-A0DE-B383A0A1A76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B1-472F-A0DE-B383A0A1A76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B1-472F-A0DE-B383A0A1A76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34.189545220150002</c:v>
                </c:pt>
                <c:pt idx="2">
                  <c:v>1.3072537821100001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B1-472F-A0DE-B383A0A1A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F6-427F-AA67-97E0A0A83E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F6-427F-AA67-97E0A0A83E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F6-427F-AA67-97E0A0A83E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'258'!$AI$2:$AK$2</c:f>
              <c:numCache>
                <c:formatCode>#,##0.00</c:formatCode>
                <c:ptCount val="3"/>
                <c:pt idx="0">
                  <c:v>35.496799002259998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6-427F-AA67-97E0A0A83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64-44C7-8216-2F52B2EE37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64-44C7-8216-2F52B2EE37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64-44C7-8216-2F52B2EE37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35.496799002259998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64-44C7-8216-2F52B2EE3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07-49A2-B978-3F0DD0A91C8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07-49A2-B978-3F0DD0A91C8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07-49A2-B978-3F0DD0A91C8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07-49A2-B978-3F0DD0A91C8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07-49A2-B978-3F0DD0A91C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'259'!$Y$2:$AC$2</c:f>
              <c:numCache>
                <c:formatCode>#,##0.00</c:formatCode>
                <c:ptCount val="5"/>
                <c:pt idx="0">
                  <c:v>29.736269905300002</c:v>
                </c:pt>
                <c:pt idx="1">
                  <c:v>9.6312180823000002</c:v>
                </c:pt>
                <c:pt idx="2">
                  <c:v>7</c:v>
                </c:pt>
                <c:pt idx="3">
                  <c:v>#N/A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07-49A2-B978-3F0DD0A91C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9D-4116-9D17-9460D6537D8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9D-4116-9D17-9460D6537D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'259'!$AD$2:$AE$2</c:f>
              <c:numCache>
                <c:formatCode>#,##0.00</c:formatCode>
                <c:ptCount val="2"/>
                <c:pt idx="0">
                  <c:v>48.367487987600008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D-4116-9D17-9460D6537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7-490C-A0A3-66EF85E2F40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7-490C-A0A3-66EF85E2F40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7-490C-A0A3-66EF85E2F40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44.736269905299999</c:v>
                </c:pt>
                <c:pt idx="2">
                  <c:v>3.6312180823000002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47-490C-A0A3-66EF85E2F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C7-4D46-9264-A086A37525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C7-4D46-9264-A086A37525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C7-4D46-9264-A086A37525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'259'!$AI$2:$AK$2</c:f>
              <c:numCache>
                <c:formatCode>#,##0.00</c:formatCode>
                <c:ptCount val="3"/>
                <c:pt idx="0">
                  <c:v>43.649819095669997</c:v>
                </c:pt>
                <c:pt idx="1">
                  <c:v>#N/A</c:v>
                </c:pt>
                <c:pt idx="2">
                  <c:v>4.7176688919299998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C7-4D46-9264-A086A3752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FB-4832-A76C-8CA53F764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FB-4832-A76C-8CA53F764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FB-4832-A76C-8CA53F764B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48.367487987600008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B-4832-A76C-8CA53F764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02-4ACF-AB9E-313BBF703AD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02-4ACF-AB9E-313BBF703AD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02-4ACF-AB9E-313BBF703AD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02-4ACF-AB9E-313BBF703AD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02-4ACF-AB9E-313BBF703A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02-4ACF-AB9E-313BBF703A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D5-4647-8097-7B197B46BCD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D5-4647-8097-7B197B46BC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'265'!$AD$2:$AE$2</c:f>
              <c:numCache>
                <c:formatCode>#,##0.00</c:formatCode>
                <c:ptCount val="2"/>
                <c:pt idx="0">
                  <c:v>1.08661106769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5-4647-8097-7B197B46BC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0C-4167-B6A4-188FA340D41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0C-4167-B6A4-188FA340D41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0C-4167-B6A4-188FA340D41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'265'!$AF$2:$AH$2</c:f>
              <c:numCache>
                <c:formatCode>#,##0.00</c:formatCode>
                <c:ptCount val="3"/>
                <c:pt idx="0">
                  <c:v>1.08661106769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0C-4167-B6A4-188FA340D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C4-4E8C-B531-A2E97CF03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C4-4E8C-B531-A2E97CF03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C4-4E8C-B531-A2E97CF036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C4-4E8C-B531-A2E97CF03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28-4BA3-AFC2-5A580BD5588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28-4BA3-AFC2-5A580BD5588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28-4BA3-AFC2-5A580BD558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8-4BA3-AFC2-5A580BD55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E-4A82-AC19-A0AA28F5A9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E-4A82-AC19-A0AA28F5A9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E-4A82-AC19-A0AA28F5A97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E-4A82-AC19-A0AA28F5A97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E-4A82-AC19-A0AA28F5A9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23.761116343099999</c:v>
                </c:pt>
                <c:pt idx="2">
                  <c:v>2.9762042709800003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E-4A82-AC19-A0AA28F5A9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A0-40E3-ACEB-141E0EB86F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A0-40E3-ACEB-141E0EB86F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'266'!$AD$2:$AE$2</c:f>
              <c:numCache>
                <c:formatCode>#,##0.00</c:formatCode>
                <c:ptCount val="2"/>
                <c:pt idx="0">
                  <c:v>21.737320614079998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A0-40E3-ACEB-141E0EB86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86-4B8A-98E7-E33D91F0D18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86-4B8A-98E7-E33D91F0D18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86-4B8A-98E7-E33D91F0D18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'266'!$AF$2:$AH$2</c:f>
              <c:numCache>
                <c:formatCode>#,##0.00</c:formatCode>
                <c:ptCount val="3"/>
                <c:pt idx="0">
                  <c:v>26.737320614079998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6-4B8A-98E7-E33D91F0D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4-4BD3-B44C-0A45DB2EB5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4-4BD3-B44C-0A45DB2EB5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4-4BD3-B44C-0A45DB2EB5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BD3-B44C-0A45DB2EB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80-4044-9D8D-532F66DDE1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80-4044-9D8D-532F66DDE1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80-4044-9D8D-532F66DDE1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80-4044-9D8D-532F66DDE1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0325-2C11-426B-9559-696EE6E314F2}">
  <sheetPr>
    <pageSetUpPr fitToPage="1"/>
  </sheetPr>
  <dimension ref="A1:K20"/>
  <sheetViews>
    <sheetView tabSelected="1" workbookViewId="0">
      <pane ySplit="5" topLeftCell="A6" activePane="bottomLeft" state="frozenSplit"/>
      <selection pane="bottomLeft" activeCell="A19" sqref="A19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38" t="s">
        <v>228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40" t="s">
        <v>229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30" customHeight="1" x14ac:dyDescent="0.25">
      <c r="A3" s="40" t="s">
        <v>230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5" spans="1:11" ht="30" customHeight="1" x14ac:dyDescent="0.25">
      <c r="A5" s="29" t="s">
        <v>231</v>
      </c>
      <c r="B5" s="29" t="s">
        <v>232</v>
      </c>
      <c r="C5" s="29" t="s">
        <v>233</v>
      </c>
      <c r="D5" s="29" t="s">
        <v>234</v>
      </c>
      <c r="E5" s="29" t="s">
        <v>235</v>
      </c>
      <c r="F5" s="29" t="s">
        <v>236</v>
      </c>
      <c r="G5" s="29" t="s">
        <v>237</v>
      </c>
      <c r="H5" s="29" t="s">
        <v>238</v>
      </c>
      <c r="I5" s="29" t="s">
        <v>239</v>
      </c>
      <c r="J5" s="29" t="s">
        <v>240</v>
      </c>
      <c r="K5" s="29" t="s">
        <v>241</v>
      </c>
    </row>
    <row r="6" spans="1:11" ht="24" x14ac:dyDescent="0.25">
      <c r="A6" s="30">
        <v>246</v>
      </c>
      <c r="B6" s="31" t="s">
        <v>20</v>
      </c>
      <c r="C6" s="32">
        <v>155</v>
      </c>
      <c r="D6" s="33" t="s">
        <v>242</v>
      </c>
      <c r="E6" s="33" t="s">
        <v>243</v>
      </c>
      <c r="F6" s="31" t="s">
        <v>244</v>
      </c>
      <c r="G6" s="34" t="s">
        <v>245</v>
      </c>
      <c r="H6" s="31" t="s">
        <v>246</v>
      </c>
      <c r="I6" s="35">
        <v>73574.55</v>
      </c>
      <c r="J6" s="36">
        <v>83.4</v>
      </c>
      <c r="K6" s="33" t="s">
        <v>247</v>
      </c>
    </row>
    <row r="7" spans="1:11" ht="24" x14ac:dyDescent="0.25">
      <c r="A7" s="30">
        <v>247</v>
      </c>
      <c r="B7" s="31" t="s">
        <v>21</v>
      </c>
      <c r="C7" s="32">
        <v>156</v>
      </c>
      <c r="D7" s="33" t="s">
        <v>242</v>
      </c>
      <c r="E7" s="33" t="s">
        <v>243</v>
      </c>
      <c r="F7" s="31" t="s">
        <v>248</v>
      </c>
      <c r="G7" s="37" t="s">
        <v>249</v>
      </c>
      <c r="H7" s="31" t="s">
        <v>246</v>
      </c>
      <c r="I7" s="35">
        <v>18908.43</v>
      </c>
      <c r="J7" s="36">
        <v>96.6</v>
      </c>
      <c r="K7" s="33" t="s">
        <v>250</v>
      </c>
    </row>
    <row r="8" spans="1:11" ht="24" x14ac:dyDescent="0.25">
      <c r="A8" s="30">
        <v>249</v>
      </c>
      <c r="B8" s="31" t="s">
        <v>23</v>
      </c>
      <c r="C8" s="32">
        <v>144</v>
      </c>
      <c r="D8" s="33" t="s">
        <v>242</v>
      </c>
      <c r="E8" s="33" t="s">
        <v>243</v>
      </c>
      <c r="F8" s="31" t="s">
        <v>251</v>
      </c>
      <c r="G8" s="34" t="s">
        <v>245</v>
      </c>
      <c r="H8" s="31" t="s">
        <v>246</v>
      </c>
      <c r="I8" s="35">
        <v>45206.94</v>
      </c>
      <c r="J8" s="36">
        <v>69.8</v>
      </c>
      <c r="K8" s="33" t="s">
        <v>250</v>
      </c>
    </row>
    <row r="9" spans="1:11" ht="24" x14ac:dyDescent="0.25">
      <c r="A9" s="30">
        <v>249</v>
      </c>
      <c r="B9" s="31" t="s">
        <v>23</v>
      </c>
      <c r="C9" s="32">
        <v>157</v>
      </c>
      <c r="D9" s="33" t="s">
        <v>242</v>
      </c>
      <c r="E9" s="33" t="s">
        <v>243</v>
      </c>
      <c r="F9" s="31" t="s">
        <v>252</v>
      </c>
      <c r="G9" s="37" t="s">
        <v>249</v>
      </c>
      <c r="H9" s="31" t="s">
        <v>246</v>
      </c>
      <c r="I9" s="35">
        <v>18331.12</v>
      </c>
      <c r="J9" s="36">
        <v>99.6</v>
      </c>
      <c r="K9" s="33" t="s">
        <v>250</v>
      </c>
    </row>
    <row r="10" spans="1:11" ht="24" x14ac:dyDescent="0.25">
      <c r="A10" s="30">
        <v>252</v>
      </c>
      <c r="B10" s="31" t="s">
        <v>26</v>
      </c>
      <c r="C10" s="32">
        <v>151</v>
      </c>
      <c r="D10" s="33" t="s">
        <v>242</v>
      </c>
      <c r="E10" s="33" t="s">
        <v>243</v>
      </c>
      <c r="F10" s="31" t="s">
        <v>253</v>
      </c>
      <c r="G10" s="34" t="s">
        <v>245</v>
      </c>
      <c r="H10" s="31" t="s">
        <v>246</v>
      </c>
      <c r="I10" s="35">
        <v>26900.47</v>
      </c>
      <c r="J10" s="36">
        <v>52.3</v>
      </c>
      <c r="K10" s="33" t="s">
        <v>247</v>
      </c>
    </row>
    <row r="11" spans="1:11" ht="24" x14ac:dyDescent="0.25">
      <c r="A11" s="30">
        <v>253</v>
      </c>
      <c r="B11" s="31" t="s">
        <v>27</v>
      </c>
      <c r="C11" s="32">
        <v>3</v>
      </c>
      <c r="D11" s="33" t="s">
        <v>254</v>
      </c>
      <c r="E11" s="33" t="s">
        <v>255</v>
      </c>
      <c r="F11" s="31" t="s">
        <v>256</v>
      </c>
      <c r="G11" s="37" t="s">
        <v>249</v>
      </c>
      <c r="H11" s="31" t="s">
        <v>257</v>
      </c>
      <c r="I11" s="35">
        <v>1747140.42</v>
      </c>
      <c r="J11" s="36">
        <v>98.2</v>
      </c>
      <c r="K11" s="33" t="s">
        <v>247</v>
      </c>
    </row>
    <row r="12" spans="1:11" ht="24" x14ac:dyDescent="0.25">
      <c r="A12" s="30">
        <v>253</v>
      </c>
      <c r="B12" s="31" t="s">
        <v>27</v>
      </c>
      <c r="C12" s="32">
        <v>142</v>
      </c>
      <c r="D12" s="33" t="s">
        <v>242</v>
      </c>
      <c r="E12" s="33" t="s">
        <v>243</v>
      </c>
      <c r="F12" s="31" t="s">
        <v>253</v>
      </c>
      <c r="G12" s="37" t="s">
        <v>249</v>
      </c>
      <c r="H12" s="31" t="s">
        <v>246</v>
      </c>
      <c r="I12" s="35">
        <v>36542.980000000003</v>
      </c>
      <c r="J12" s="36">
        <v>99.4</v>
      </c>
      <c r="K12" s="33" t="s">
        <v>258</v>
      </c>
    </row>
    <row r="13" spans="1:11" ht="24" x14ac:dyDescent="0.25">
      <c r="A13" s="30">
        <v>254</v>
      </c>
      <c r="B13" s="31" t="s">
        <v>28</v>
      </c>
      <c r="C13" s="32">
        <v>5</v>
      </c>
      <c r="D13" s="33" t="s">
        <v>254</v>
      </c>
      <c r="E13" s="33" t="s">
        <v>255</v>
      </c>
      <c r="F13" s="31" t="s">
        <v>256</v>
      </c>
      <c r="G13" s="34" t="s">
        <v>245</v>
      </c>
      <c r="H13" s="31" t="s">
        <v>257</v>
      </c>
      <c r="I13" s="35">
        <v>4044134.23</v>
      </c>
      <c r="J13" s="36">
        <v>65.3</v>
      </c>
      <c r="K13" s="33" t="s">
        <v>250</v>
      </c>
    </row>
    <row r="14" spans="1:11" ht="24" x14ac:dyDescent="0.25">
      <c r="A14" s="30">
        <v>254</v>
      </c>
      <c r="B14" s="31" t="s">
        <v>28</v>
      </c>
      <c r="C14" s="32">
        <v>143</v>
      </c>
      <c r="D14" s="33" t="s">
        <v>242</v>
      </c>
      <c r="E14" s="33" t="s">
        <v>243</v>
      </c>
      <c r="F14" s="31" t="s">
        <v>259</v>
      </c>
      <c r="G14" s="37" t="s">
        <v>249</v>
      </c>
      <c r="H14" s="31" t="s">
        <v>246</v>
      </c>
      <c r="I14" s="35">
        <v>47267.48</v>
      </c>
      <c r="J14" s="36">
        <v>99.4</v>
      </c>
      <c r="K14" s="33" t="s">
        <v>258</v>
      </c>
    </row>
    <row r="15" spans="1:11" ht="24" x14ac:dyDescent="0.25">
      <c r="A15" s="30">
        <v>255</v>
      </c>
      <c r="B15" s="31" t="s">
        <v>29</v>
      </c>
      <c r="C15" s="32">
        <v>152</v>
      </c>
      <c r="D15" s="33" t="s">
        <v>242</v>
      </c>
      <c r="E15" s="33" t="s">
        <v>243</v>
      </c>
      <c r="F15" s="31" t="s">
        <v>260</v>
      </c>
      <c r="G15" s="37" t="s">
        <v>249</v>
      </c>
      <c r="H15" s="31" t="s">
        <v>246</v>
      </c>
      <c r="I15" s="35">
        <v>30147.05</v>
      </c>
      <c r="J15" s="36">
        <v>100</v>
      </c>
      <c r="K15" s="33" t="s">
        <v>247</v>
      </c>
    </row>
    <row r="16" spans="1:11" ht="24" x14ac:dyDescent="0.25">
      <c r="A16" s="30">
        <v>257</v>
      </c>
      <c r="B16" s="31" t="s">
        <v>31</v>
      </c>
      <c r="C16" s="32">
        <v>141</v>
      </c>
      <c r="D16" s="33" t="s">
        <v>242</v>
      </c>
      <c r="E16" s="33" t="s">
        <v>243</v>
      </c>
      <c r="F16" s="31" t="s">
        <v>253</v>
      </c>
      <c r="G16" s="37" t="s">
        <v>249</v>
      </c>
      <c r="H16" s="31" t="s">
        <v>246</v>
      </c>
      <c r="I16" s="35">
        <v>17807.28</v>
      </c>
      <c r="J16" s="36">
        <v>98.6</v>
      </c>
      <c r="K16" s="33" t="s">
        <v>258</v>
      </c>
    </row>
    <row r="17" spans="1:11" ht="24" x14ac:dyDescent="0.25">
      <c r="A17" s="30">
        <v>259</v>
      </c>
      <c r="B17" s="31" t="s">
        <v>33</v>
      </c>
      <c r="C17" s="32">
        <v>6</v>
      </c>
      <c r="D17" s="33" t="s">
        <v>254</v>
      </c>
      <c r="E17" s="33" t="s">
        <v>255</v>
      </c>
      <c r="F17" s="31" t="s">
        <v>261</v>
      </c>
      <c r="G17" s="37" t="s">
        <v>249</v>
      </c>
      <c r="H17" s="31" t="s">
        <v>257</v>
      </c>
      <c r="I17" s="35">
        <v>208176.32</v>
      </c>
      <c r="J17" s="36">
        <v>100</v>
      </c>
      <c r="K17" s="33" t="s">
        <v>258</v>
      </c>
    </row>
    <row r="18" spans="1:11" ht="24" x14ac:dyDescent="0.25">
      <c r="A18" s="30">
        <v>265</v>
      </c>
      <c r="B18" s="31" t="s">
        <v>34</v>
      </c>
      <c r="C18" s="32">
        <v>147</v>
      </c>
      <c r="D18" s="33" t="s">
        <v>242</v>
      </c>
      <c r="E18" s="33" t="s">
        <v>243</v>
      </c>
      <c r="F18" s="31" t="s">
        <v>262</v>
      </c>
      <c r="G18" s="34" t="s">
        <v>245</v>
      </c>
      <c r="H18" s="31" t="s">
        <v>246</v>
      </c>
      <c r="I18" s="35">
        <v>180985.26</v>
      </c>
      <c r="J18" s="36">
        <v>49.7</v>
      </c>
      <c r="K18" s="33" t="s">
        <v>247</v>
      </c>
    </row>
    <row r="19" spans="1:11" ht="24" x14ac:dyDescent="0.25">
      <c r="A19" s="30">
        <v>266</v>
      </c>
      <c r="B19" s="31" t="s">
        <v>35</v>
      </c>
      <c r="C19" s="32">
        <v>148</v>
      </c>
      <c r="D19" s="33" t="s">
        <v>242</v>
      </c>
      <c r="E19" s="33" t="s">
        <v>243</v>
      </c>
      <c r="F19" s="31" t="s">
        <v>263</v>
      </c>
      <c r="G19" s="34" t="s">
        <v>245</v>
      </c>
      <c r="H19" s="31" t="s">
        <v>246</v>
      </c>
      <c r="I19" s="35">
        <v>31346.65</v>
      </c>
      <c r="J19" s="36">
        <v>71.2</v>
      </c>
      <c r="K19" s="33" t="s">
        <v>247</v>
      </c>
    </row>
    <row r="20" spans="1:11" x14ac:dyDescent="0.25">
      <c r="H20" s="27" t="s">
        <v>264</v>
      </c>
      <c r="I20" s="28">
        <f>SUM(I6:I19)</f>
        <v>6526469.1800000006</v>
      </c>
    </row>
  </sheetData>
  <mergeCells count="3">
    <mergeCell ref="A1:K1"/>
    <mergeCell ref="A2:K2"/>
    <mergeCell ref="A3:K3"/>
  </mergeCells>
  <hyperlinks>
    <hyperlink ref="A6" location="'246'!A1" tooltip="Ir para o trecho 246" display="246" xr:uid="{B3608EDA-3A3A-46F5-AA58-F8C69672D61A}"/>
    <hyperlink ref="A7" location="'247'!A1" tooltip="Ir para o trecho 247" display="247" xr:uid="{5026FF61-9CA6-4C65-858B-52E8DA921947}"/>
    <hyperlink ref="A8" location="'249'!A1" tooltip="Ir para o trecho 249" display="249" xr:uid="{AB078C78-A9DA-47B3-A850-5EDB867BB305}"/>
    <hyperlink ref="A9" location="'249'!A1" tooltip="Ir para o trecho 249" display="249" xr:uid="{F3D6A3BE-85E8-4A01-BFF0-5C3BBF64D858}"/>
    <hyperlink ref="A10" location="'252'!A1" tooltip="Ir para o trecho 252" display="252" xr:uid="{0B7E8301-5124-4815-954F-CA48691FCE0A}"/>
    <hyperlink ref="A11" location="'253'!A1" tooltip="Ir para o trecho 253" display="253" xr:uid="{F842CF6E-4A1A-4AD0-B928-F1059384EBC4}"/>
    <hyperlink ref="A12" location="'253'!A1" tooltip="Ir para o trecho 253" display="253" xr:uid="{398F401E-A1AC-4133-9AC0-7857B0AF707E}"/>
    <hyperlink ref="A13" location="'254'!A1" tooltip="Ir para o trecho 254" display="254" xr:uid="{26D629A2-11C6-42D0-8F14-C4C199B4883C}"/>
    <hyperlink ref="A14" location="'254'!A1" tooltip="Ir para o trecho 254" display="254" xr:uid="{CFFD8568-B4CD-433F-98B6-4025B97AAEDE}"/>
    <hyperlink ref="A15" location="'255'!A1" tooltip="Ir para o trecho 255" display="255" xr:uid="{A1B55970-B1DB-4B5B-BE59-C03F2CA43300}"/>
    <hyperlink ref="A16" location="'257'!A1" tooltip="Ir para o trecho 257" display="257" xr:uid="{BDF4289C-8969-445C-86CF-066086561429}"/>
    <hyperlink ref="A17" location="'259'!A1" tooltip="Ir para o trecho 259" display="259" xr:uid="{FDA4F1A6-39B1-4999-9A45-38FB2FDFA90A}"/>
    <hyperlink ref="A18" location="'265'!A1" tooltip="Ir para o trecho 265" display="265" xr:uid="{E8378F5E-73D0-4697-AB0D-3AEC596F6217}"/>
    <hyperlink ref="A19" location="'266'!A1" tooltip="Ir para o trecho 266" display="266" xr:uid="{28AC21EB-27E9-4DBD-9C38-99270753E1E3}"/>
  </hyperlink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3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V1" s="1" t="s">
        <v>1</v>
      </c>
    </row>
    <row r="2" spans="1:37" ht="20.100000000000001" customHeight="1" x14ac:dyDescent="0.25">
      <c r="A2" s="48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V2" s="2">
        <f t="shared" ref="V2:AK2" si="0">IF(D22=0,NA(),D22)</f>
        <v>226.57298832796997</v>
      </c>
      <c r="W2" s="2">
        <f t="shared" si="0"/>
        <v>173.01588871622999</v>
      </c>
      <c r="X2" s="2">
        <f t="shared" si="0"/>
        <v>134.93539499847</v>
      </c>
      <c r="Y2" s="2">
        <f t="shared" si="0"/>
        <v>10</v>
      </c>
      <c r="Z2" s="2">
        <f t="shared" si="0"/>
        <v>4</v>
      </c>
      <c r="AA2" s="2">
        <f t="shared" si="0"/>
        <v>533.52427204266996</v>
      </c>
      <c r="AB2" s="2">
        <f t="shared" si="0"/>
        <v>15</v>
      </c>
      <c r="AC2" s="2">
        <f t="shared" si="0"/>
        <v>127.13179165381999</v>
      </c>
      <c r="AD2" s="2">
        <f t="shared" si="0"/>
        <v>399.97299070962003</v>
      </c>
      <c r="AE2" s="2">
        <f t="shared" si="0"/>
        <v>21.419489679229997</v>
      </c>
      <c r="AF2" s="2">
        <f t="shared" si="0"/>
        <v>186.89557280475998</v>
      </c>
      <c r="AG2" s="2">
        <f t="shared" si="0"/>
        <v>351.36135315369995</v>
      </c>
      <c r="AH2" s="2">
        <f t="shared" si="0"/>
        <v>10.267346084210001</v>
      </c>
      <c r="AI2" s="2">
        <f t="shared" si="0"/>
        <v>20.439553918559998</v>
      </c>
      <c r="AJ2" s="2">
        <f t="shared" si="0"/>
        <v>528.08471812410994</v>
      </c>
      <c r="AK2" s="2" t="e">
        <f t="shared" si="0"/>
        <v>#N/A</v>
      </c>
    </row>
    <row r="4" spans="1:37" ht="26.1" customHeight="1" x14ac:dyDescent="0.25">
      <c r="A4" s="44" t="s">
        <v>3</v>
      </c>
      <c r="B4" s="44" t="s">
        <v>4</v>
      </c>
      <c r="C4" s="44" t="s">
        <v>5</v>
      </c>
      <c r="D4" s="44" t="s">
        <v>6</v>
      </c>
      <c r="E4" s="47"/>
      <c r="F4" s="47"/>
      <c r="G4" s="47"/>
      <c r="H4" s="45"/>
      <c r="I4" s="44" t="s">
        <v>7</v>
      </c>
      <c r="J4" s="45"/>
      <c r="K4" s="44" t="s">
        <v>8</v>
      </c>
      <c r="L4" s="47"/>
      <c r="M4" s="45"/>
      <c r="N4" s="44" t="s">
        <v>9</v>
      </c>
      <c r="O4" s="47"/>
      <c r="P4" s="45"/>
      <c r="Q4" s="44" t="s">
        <v>10</v>
      </c>
      <c r="R4" s="47"/>
      <c r="S4" s="45"/>
      <c r="T4" s="44" t="s">
        <v>11</v>
      </c>
    </row>
    <row r="5" spans="1:37" ht="18" customHeight="1" x14ac:dyDescent="0.25">
      <c r="A5" s="46"/>
      <c r="B5" s="46"/>
      <c r="C5" s="46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223</v>
      </c>
      <c r="L5" s="3" t="s">
        <v>224</v>
      </c>
      <c r="M5" s="3" t="s">
        <v>225</v>
      </c>
      <c r="N5" s="3" t="s">
        <v>12</v>
      </c>
      <c r="O5" s="3" t="s">
        <v>19</v>
      </c>
      <c r="P5" s="3" t="s">
        <v>226</v>
      </c>
      <c r="Q5" s="3" t="s">
        <v>12</v>
      </c>
      <c r="R5" s="3" t="s">
        <v>227</v>
      </c>
      <c r="S5" s="3" t="s">
        <v>226</v>
      </c>
      <c r="T5" s="46"/>
    </row>
    <row r="6" spans="1:37" x14ac:dyDescent="0.25">
      <c r="A6" s="5">
        <v>246</v>
      </c>
      <c r="B6" s="6" t="s">
        <v>20</v>
      </c>
      <c r="C6" s="7">
        <f>'246'!R34</f>
        <v>14.89361216961</v>
      </c>
      <c r="D6" s="7">
        <f>'246'!F31</f>
        <v>4</v>
      </c>
      <c r="E6" s="7">
        <f>'246'!G31</f>
        <v>0</v>
      </c>
      <c r="F6" s="7">
        <f>'246'!H31</f>
        <v>10.89361216961</v>
      </c>
      <c r="G6" s="7">
        <f>'246'!I31</f>
        <v>0</v>
      </c>
      <c r="H6" s="7">
        <f>'246'!J31</f>
        <v>0</v>
      </c>
      <c r="I6" s="7">
        <f>'246'!K31</f>
        <v>14.89361216961</v>
      </c>
      <c r="J6" s="7">
        <f>'246'!L31</f>
        <v>0</v>
      </c>
      <c r="K6" s="7">
        <f>'246'!M31</f>
        <v>4</v>
      </c>
      <c r="L6" s="7">
        <f>'246'!N31</f>
        <v>10.89361216961</v>
      </c>
      <c r="M6" s="7">
        <f>'246'!O31</f>
        <v>0</v>
      </c>
      <c r="N6" s="7">
        <f>'246'!P31</f>
        <v>0</v>
      </c>
      <c r="O6" s="7">
        <f>'246'!Q31</f>
        <v>14.89361216961</v>
      </c>
      <c r="P6" s="7">
        <f>'246'!R31</f>
        <v>0</v>
      </c>
      <c r="Q6" s="7">
        <f>'246'!S31</f>
        <v>0</v>
      </c>
      <c r="R6" s="7">
        <f>'246'!T31</f>
        <v>14.89361216961</v>
      </c>
      <c r="S6" s="7">
        <f>'246'!U31</f>
        <v>0</v>
      </c>
      <c r="T6" s="5" t="str">
        <f t="shared" ref="T6:T21" si="1">IF(SUM(D6:H6)=0,"— não preenchido",IF(ROUND(SUM(D6:H6)-C6,3)=0,"OK","ERRO — dif. de "&amp;ROUND(SUM(D6:H6)-C6,3)&amp;" km"))</f>
        <v>OK</v>
      </c>
    </row>
    <row r="7" spans="1:37" x14ac:dyDescent="0.25">
      <c r="A7" s="5">
        <v>247</v>
      </c>
      <c r="B7" s="6" t="s">
        <v>21</v>
      </c>
      <c r="C7" s="7">
        <f>'247'!R57</f>
        <v>36.04650905103</v>
      </c>
      <c r="D7" s="7">
        <f>'247'!F54</f>
        <v>0</v>
      </c>
      <c r="E7" s="7">
        <f>'247'!G54</f>
        <v>16.481208842299999</v>
      </c>
      <c r="F7" s="7">
        <f>'247'!H54</f>
        <v>19.565300208729997</v>
      </c>
      <c r="G7" s="7">
        <f>'247'!I54</f>
        <v>0</v>
      </c>
      <c r="H7" s="7">
        <f>'247'!J54</f>
        <v>0</v>
      </c>
      <c r="I7" s="7">
        <f>'247'!K54</f>
        <v>36.04650905103</v>
      </c>
      <c r="J7" s="7">
        <f>'247'!L54</f>
        <v>0</v>
      </c>
      <c r="K7" s="7">
        <f>'247'!M54</f>
        <v>6.4812088422999992</v>
      </c>
      <c r="L7" s="7">
        <f>'247'!N54</f>
        <v>29.565300208729997</v>
      </c>
      <c r="M7" s="7">
        <f>'247'!O54</f>
        <v>0</v>
      </c>
      <c r="N7" s="7">
        <f>'247'!P54</f>
        <v>0</v>
      </c>
      <c r="O7" s="7">
        <f>'247'!Q54</f>
        <v>36.04650905103</v>
      </c>
      <c r="P7" s="7">
        <f>'247'!R54</f>
        <v>0</v>
      </c>
      <c r="Q7" s="7">
        <f>'247'!S54</f>
        <v>0</v>
      </c>
      <c r="R7" s="7">
        <f>'247'!T54</f>
        <v>36.04650905103</v>
      </c>
      <c r="S7" s="7">
        <f>'247'!U54</f>
        <v>0</v>
      </c>
      <c r="T7" s="5" t="str">
        <f t="shared" si="1"/>
        <v>OK</v>
      </c>
    </row>
    <row r="8" spans="1:37" x14ac:dyDescent="0.25">
      <c r="A8" s="5">
        <v>248</v>
      </c>
      <c r="B8" s="6" t="s">
        <v>22</v>
      </c>
      <c r="C8" s="7">
        <f>'248'!R62</f>
        <v>43.005991032680001</v>
      </c>
      <c r="D8" s="7">
        <f>'248'!F59</f>
        <v>28.187731417099997</v>
      </c>
      <c r="E8" s="7">
        <f>'248'!G59</f>
        <v>5.8182596155799997</v>
      </c>
      <c r="F8" s="7">
        <f>'248'!H59</f>
        <v>9</v>
      </c>
      <c r="G8" s="7">
        <f>'248'!I59</f>
        <v>0</v>
      </c>
      <c r="H8" s="7">
        <f>'248'!J59</f>
        <v>0</v>
      </c>
      <c r="I8" s="7">
        <f>'248'!K59</f>
        <v>43.005991032680001</v>
      </c>
      <c r="J8" s="7">
        <f>'248'!L59</f>
        <v>0</v>
      </c>
      <c r="K8" s="7">
        <f>'248'!M59</f>
        <v>0</v>
      </c>
      <c r="L8" s="7">
        <f>'248'!N59</f>
        <v>43.005991032680001</v>
      </c>
      <c r="M8" s="7">
        <f>'248'!O59</f>
        <v>0</v>
      </c>
      <c r="N8" s="7">
        <f>'248'!P59</f>
        <v>0</v>
      </c>
      <c r="O8" s="7">
        <f>'248'!Q59</f>
        <v>43.005991032680001</v>
      </c>
      <c r="P8" s="7">
        <f>'248'!R59</f>
        <v>0</v>
      </c>
      <c r="Q8" s="7">
        <f>'248'!S59</f>
        <v>0</v>
      </c>
      <c r="R8" s="7">
        <f>'248'!T59</f>
        <v>43.005991032680001</v>
      </c>
      <c r="S8" s="7">
        <f>'248'!U59</f>
        <v>0</v>
      </c>
      <c r="T8" s="5" t="str">
        <f t="shared" si="1"/>
        <v>OK</v>
      </c>
    </row>
    <row r="9" spans="1:37" x14ac:dyDescent="0.25">
      <c r="A9" s="5">
        <v>249</v>
      </c>
      <c r="B9" s="6" t="s">
        <v>23</v>
      </c>
      <c r="C9" s="7">
        <f>'249'!R56</f>
        <v>34.93526666284</v>
      </c>
      <c r="D9" s="7">
        <f>'249'!F53</f>
        <v>12.68403994444</v>
      </c>
      <c r="E9" s="7">
        <f>'249'!G53</f>
        <v>0</v>
      </c>
      <c r="F9" s="7">
        <f>'249'!H53</f>
        <v>22.251226718399998</v>
      </c>
      <c r="G9" s="7">
        <f>'249'!I53</f>
        <v>0</v>
      </c>
      <c r="H9" s="7">
        <f>'249'!J53</f>
        <v>0</v>
      </c>
      <c r="I9" s="7">
        <f>'249'!K53</f>
        <v>34.93526666284</v>
      </c>
      <c r="J9" s="7">
        <f>'249'!L53</f>
        <v>0</v>
      </c>
      <c r="K9" s="7">
        <f>'249'!M53</f>
        <v>34.93526666284</v>
      </c>
      <c r="L9" s="7">
        <f>'249'!N53</f>
        <v>0</v>
      </c>
      <c r="M9" s="7">
        <f>'249'!O53</f>
        <v>0</v>
      </c>
      <c r="N9" s="7">
        <f>'249'!P53</f>
        <v>0</v>
      </c>
      <c r="O9" s="7">
        <f>'249'!Q53</f>
        <v>34.93526666284</v>
      </c>
      <c r="P9" s="7">
        <f>'249'!R53</f>
        <v>0</v>
      </c>
      <c r="Q9" s="7">
        <f>'249'!S53</f>
        <v>0</v>
      </c>
      <c r="R9" s="7">
        <f>'249'!T53</f>
        <v>34.93526666284</v>
      </c>
      <c r="S9" s="7">
        <f>'249'!U53</f>
        <v>0</v>
      </c>
      <c r="T9" s="5" t="str">
        <f t="shared" si="1"/>
        <v>OK</v>
      </c>
    </row>
    <row r="10" spans="1:37" x14ac:dyDescent="0.25">
      <c r="A10" s="5">
        <v>250</v>
      </c>
      <c r="B10" s="6" t="s">
        <v>24</v>
      </c>
      <c r="C10" s="7">
        <f>'250'!R35</f>
        <v>15.388407505329999</v>
      </c>
      <c r="D10" s="7">
        <f>'250'!F32</f>
        <v>1.8568037714200001</v>
      </c>
      <c r="E10" s="7">
        <f>'250'!G32</f>
        <v>13.53160373391</v>
      </c>
      <c r="F10" s="7">
        <f>'250'!H32</f>
        <v>0</v>
      </c>
      <c r="G10" s="7">
        <f>'250'!I32</f>
        <v>0</v>
      </c>
      <c r="H10" s="7">
        <f>'250'!J32</f>
        <v>0</v>
      </c>
      <c r="I10" s="7">
        <f>'250'!K32</f>
        <v>15.388407505329999</v>
      </c>
      <c r="J10" s="7">
        <f>'250'!L32</f>
        <v>0</v>
      </c>
      <c r="K10" s="7">
        <f>'250'!M32</f>
        <v>0</v>
      </c>
      <c r="L10" s="7">
        <f>'250'!N32</f>
        <v>15.388407505329999</v>
      </c>
      <c r="M10" s="7">
        <f>'250'!O32</f>
        <v>0</v>
      </c>
      <c r="N10" s="7">
        <f>'250'!P32</f>
        <v>0</v>
      </c>
      <c r="O10" s="7">
        <f>'250'!Q32</f>
        <v>15.388407505329999</v>
      </c>
      <c r="P10" s="7">
        <f>'250'!R32</f>
        <v>0</v>
      </c>
      <c r="Q10" s="7">
        <f>'250'!S32</f>
        <v>15.388407505329999</v>
      </c>
      <c r="R10" s="7">
        <f>'250'!T32</f>
        <v>0</v>
      </c>
      <c r="S10" s="7">
        <f>'250'!U32</f>
        <v>0</v>
      </c>
      <c r="T10" s="5" t="str">
        <f t="shared" si="1"/>
        <v>OK</v>
      </c>
    </row>
    <row r="11" spans="1:37" x14ac:dyDescent="0.25">
      <c r="A11" s="5">
        <v>251</v>
      </c>
      <c r="B11" s="6" t="s">
        <v>25</v>
      </c>
      <c r="C11" s="7">
        <f>'251'!R125</f>
        <v>104.51176444001001</v>
      </c>
      <c r="D11" s="7">
        <f>'251'!F122</f>
        <v>59.648838973410001</v>
      </c>
      <c r="E11" s="7">
        <f>'251'!G122</f>
        <v>24.862925466600004</v>
      </c>
      <c r="F11" s="7">
        <f>'251'!H122</f>
        <v>20</v>
      </c>
      <c r="G11" s="7">
        <f>'251'!I122</f>
        <v>0</v>
      </c>
      <c r="H11" s="7">
        <f>'251'!J122</f>
        <v>0</v>
      </c>
      <c r="I11" s="7">
        <f>'251'!K122</f>
        <v>104.51176444001001</v>
      </c>
      <c r="J11" s="7">
        <f>'251'!L122</f>
        <v>0</v>
      </c>
      <c r="K11" s="7">
        <f>'251'!M122</f>
        <v>3.6488389734100002</v>
      </c>
      <c r="L11" s="7">
        <f>'251'!N122</f>
        <v>92.862925466600018</v>
      </c>
      <c r="M11" s="7">
        <f>'251'!O122</f>
        <v>8</v>
      </c>
      <c r="N11" s="7">
        <f>'251'!P122</f>
        <v>0</v>
      </c>
      <c r="O11" s="7">
        <f>'251'!Q122</f>
        <v>104.51176444001001</v>
      </c>
      <c r="P11" s="7">
        <f>'251'!R122</f>
        <v>0</v>
      </c>
      <c r="Q11" s="7">
        <f>'251'!S122</f>
        <v>3.6488389734100002</v>
      </c>
      <c r="R11" s="7">
        <f>'251'!T122</f>
        <v>100.86292546660002</v>
      </c>
      <c r="S11" s="7">
        <f>'251'!U122</f>
        <v>0</v>
      </c>
      <c r="T11" s="5" t="str">
        <f t="shared" si="1"/>
        <v>OK</v>
      </c>
    </row>
    <row r="12" spans="1:37" x14ac:dyDescent="0.25">
      <c r="A12" s="5">
        <v>252</v>
      </c>
      <c r="B12" s="6" t="s">
        <v>26</v>
      </c>
      <c r="C12" s="7">
        <f>'252'!R74</f>
        <v>52.672671397629998</v>
      </c>
      <c r="D12" s="7">
        <f>'252'!F71</f>
        <v>6.9203391951299995</v>
      </c>
      <c r="E12" s="7">
        <f>'252'!G71</f>
        <v>22.7523322025</v>
      </c>
      <c r="F12" s="7">
        <f>'252'!H71</f>
        <v>23</v>
      </c>
      <c r="G12" s="7">
        <f>'252'!I71</f>
        <v>0</v>
      </c>
      <c r="H12" s="7">
        <f>'252'!J71</f>
        <v>0</v>
      </c>
      <c r="I12" s="7">
        <f>'252'!K71</f>
        <v>52.672671397629998</v>
      </c>
      <c r="J12" s="7">
        <f>'252'!L71</f>
        <v>0</v>
      </c>
      <c r="K12" s="7">
        <f>'252'!M71</f>
        <v>27.40230743982</v>
      </c>
      <c r="L12" s="7">
        <f>'252'!N71</f>
        <v>25.270363957809998</v>
      </c>
      <c r="M12" s="7">
        <f>'252'!O71</f>
        <v>0</v>
      </c>
      <c r="N12" s="7">
        <f>'252'!P71</f>
        <v>0</v>
      </c>
      <c r="O12" s="7">
        <f>'252'!Q71</f>
        <v>52.672671397629998</v>
      </c>
      <c r="P12" s="7">
        <f>'252'!R71</f>
        <v>0</v>
      </c>
      <c r="Q12" s="7">
        <f>'252'!S71</f>
        <v>1.4023074398199999</v>
      </c>
      <c r="R12" s="7">
        <f>'252'!T71</f>
        <v>51.270363957809998</v>
      </c>
      <c r="S12" s="7">
        <f>'252'!U71</f>
        <v>0</v>
      </c>
      <c r="T12" s="5" t="str">
        <f t="shared" si="1"/>
        <v>OK</v>
      </c>
    </row>
    <row r="13" spans="1:37" x14ac:dyDescent="0.25">
      <c r="A13" s="5">
        <v>253</v>
      </c>
      <c r="B13" s="6" t="s">
        <v>27</v>
      </c>
      <c r="C13" s="7">
        <f>'253'!R33</f>
        <v>15.560727356799999</v>
      </c>
      <c r="D13" s="7">
        <f>'253'!F30</f>
        <v>15.560727356799999</v>
      </c>
      <c r="E13" s="7">
        <f>'253'!G30</f>
        <v>0</v>
      </c>
      <c r="F13" s="7">
        <f>'253'!H30</f>
        <v>0</v>
      </c>
      <c r="G13" s="7">
        <f>'253'!I30</f>
        <v>0</v>
      </c>
      <c r="H13" s="7">
        <f>'253'!J30</f>
        <v>0</v>
      </c>
      <c r="I13" s="7">
        <f>'253'!K30</f>
        <v>15.560727356799999</v>
      </c>
      <c r="J13" s="7">
        <f>'253'!L30</f>
        <v>0</v>
      </c>
      <c r="K13" s="7">
        <f>'253'!M30</f>
        <v>11</v>
      </c>
      <c r="L13" s="7">
        <f>'253'!N30</f>
        <v>0</v>
      </c>
      <c r="M13" s="7">
        <f>'253'!O30</f>
        <v>4.5607273567999993</v>
      </c>
      <c r="N13" s="7">
        <f>'253'!P30</f>
        <v>11</v>
      </c>
      <c r="O13" s="7">
        <f>'253'!Q30</f>
        <v>2.5607273567999993</v>
      </c>
      <c r="P13" s="7">
        <f>'253'!R30</f>
        <v>2</v>
      </c>
      <c r="Q13" s="7">
        <f>'253'!S30</f>
        <v>0</v>
      </c>
      <c r="R13" s="7">
        <f>'253'!T30</f>
        <v>15.560727356799999</v>
      </c>
      <c r="S13" s="7">
        <f>'253'!U30</f>
        <v>0</v>
      </c>
      <c r="T13" s="5" t="str">
        <f t="shared" si="1"/>
        <v>OK</v>
      </c>
    </row>
    <row r="14" spans="1:37" x14ac:dyDescent="0.25">
      <c r="A14" s="5">
        <v>254</v>
      </c>
      <c r="B14" s="6" t="s">
        <v>28</v>
      </c>
      <c r="C14" s="7">
        <f>'254'!R40</f>
        <v>17.978237764369997</v>
      </c>
      <c r="D14" s="7">
        <f>'254'!F37</f>
        <v>17.978237764369997</v>
      </c>
      <c r="E14" s="7">
        <f>'254'!G37</f>
        <v>0</v>
      </c>
      <c r="F14" s="7">
        <f>'254'!H37</f>
        <v>0</v>
      </c>
      <c r="G14" s="7">
        <f>'254'!I37</f>
        <v>0</v>
      </c>
      <c r="H14" s="7">
        <f>'254'!J37</f>
        <v>0</v>
      </c>
      <c r="I14" s="7">
        <f>'254'!K37</f>
        <v>17.978237764369997</v>
      </c>
      <c r="J14" s="7">
        <f>'254'!L37</f>
        <v>0</v>
      </c>
      <c r="K14" s="7">
        <f>'254'!M37</f>
        <v>2.4557659083699992</v>
      </c>
      <c r="L14" s="7">
        <f>'254'!N37</f>
        <v>15.522471855999999</v>
      </c>
      <c r="M14" s="7">
        <f>'254'!O37</f>
        <v>0</v>
      </c>
      <c r="N14" s="7">
        <f>'254'!P37</f>
        <v>1.2905608613999995</v>
      </c>
      <c r="O14" s="7">
        <f>'254'!Q37</f>
        <v>15.522471855999999</v>
      </c>
      <c r="P14" s="7">
        <f>'254'!R37</f>
        <v>1.1652050469699999</v>
      </c>
      <c r="Q14" s="7">
        <f>'254'!S37</f>
        <v>0</v>
      </c>
      <c r="R14" s="7">
        <f>'254'!T37</f>
        <v>17.978237764369997</v>
      </c>
      <c r="S14" s="7">
        <f>'254'!U37</f>
        <v>0</v>
      </c>
      <c r="T14" s="5" t="str">
        <f t="shared" si="1"/>
        <v>OK</v>
      </c>
    </row>
    <row r="15" spans="1:37" x14ac:dyDescent="0.25">
      <c r="A15" s="5">
        <v>255</v>
      </c>
      <c r="B15" s="6" t="s">
        <v>29</v>
      </c>
      <c r="C15" s="7">
        <f>'255'!R75</f>
        <v>57.452308968700002</v>
      </c>
      <c r="D15" s="7">
        <f>'255'!F72</f>
        <v>10</v>
      </c>
      <c r="E15" s="7">
        <f>'255'!G72</f>
        <v>42.452308968700002</v>
      </c>
      <c r="F15" s="7">
        <f>'255'!H72</f>
        <v>5</v>
      </c>
      <c r="G15" s="7">
        <f>'255'!I72</f>
        <v>0</v>
      </c>
      <c r="H15" s="7">
        <f>'255'!J72</f>
        <v>0</v>
      </c>
      <c r="I15" s="7">
        <f>'255'!K72</f>
        <v>57.452308968700002</v>
      </c>
      <c r="J15" s="7">
        <f>'255'!L72</f>
        <v>0</v>
      </c>
      <c r="K15" s="7">
        <f>'255'!M72</f>
        <v>8</v>
      </c>
      <c r="L15" s="7">
        <f>'255'!N72</f>
        <v>49.452308968700002</v>
      </c>
      <c r="M15" s="7">
        <f>'255'!O72</f>
        <v>0</v>
      </c>
      <c r="N15" s="7">
        <f>'255'!P72</f>
        <v>57.452308968700002</v>
      </c>
      <c r="O15" s="7">
        <f>'255'!Q72</f>
        <v>0</v>
      </c>
      <c r="P15" s="7">
        <f>'255'!R72</f>
        <v>0</v>
      </c>
      <c r="Q15" s="7">
        <f>'255'!S72</f>
        <v>0</v>
      </c>
      <c r="R15" s="7">
        <f>'255'!T72</f>
        <v>57.452308968700002</v>
      </c>
      <c r="S15" s="7">
        <f>'255'!U72</f>
        <v>0</v>
      </c>
      <c r="T15" s="5" t="str">
        <f t="shared" si="1"/>
        <v>OK</v>
      </c>
    </row>
    <row r="16" spans="1:37" x14ac:dyDescent="0.25">
      <c r="A16" s="5">
        <v>256</v>
      </c>
      <c r="B16" s="6" t="s">
        <v>30</v>
      </c>
      <c r="C16" s="7">
        <f>'256'!R61</f>
        <v>38.006084876729993</v>
      </c>
      <c r="D16" s="7">
        <f>'256'!F58</f>
        <v>11</v>
      </c>
      <c r="E16" s="7">
        <f>'256'!G58</f>
        <v>8.2357329937399975</v>
      </c>
      <c r="F16" s="7">
        <f>'256'!H58</f>
        <v>8.7703518829899991</v>
      </c>
      <c r="G16" s="7">
        <f>'256'!I58</f>
        <v>10</v>
      </c>
      <c r="H16" s="7">
        <f>'256'!J58</f>
        <v>0</v>
      </c>
      <c r="I16" s="7">
        <f>'256'!K58</f>
        <v>28.00608487673</v>
      </c>
      <c r="J16" s="7">
        <f>'256'!L58</f>
        <v>10</v>
      </c>
      <c r="K16" s="7">
        <f>'256'!M58</f>
        <v>0</v>
      </c>
      <c r="L16" s="7">
        <f>'256'!N58</f>
        <v>34.085794418709995</v>
      </c>
      <c r="M16" s="7">
        <f>'256'!O58</f>
        <v>3.9202904580200002</v>
      </c>
      <c r="N16" s="7">
        <f>'256'!P58</f>
        <v>38.006084876729993</v>
      </c>
      <c r="O16" s="7">
        <f>'256'!Q58</f>
        <v>0</v>
      </c>
      <c r="P16" s="7">
        <f>'256'!R58</f>
        <v>0</v>
      </c>
      <c r="Q16" s="7">
        <f>'256'!S58</f>
        <v>0</v>
      </c>
      <c r="R16" s="7">
        <f>'256'!T58</f>
        <v>38.006084876729993</v>
      </c>
      <c r="S16" s="7">
        <f>'256'!U58</f>
        <v>0</v>
      </c>
      <c r="T16" s="5" t="str">
        <f t="shared" si="1"/>
        <v>OK</v>
      </c>
    </row>
    <row r="17" spans="1:20" x14ac:dyDescent="0.25">
      <c r="A17" s="5">
        <v>257</v>
      </c>
      <c r="B17" s="6" t="s">
        <v>31</v>
      </c>
      <c r="C17" s="7">
        <f>'257'!R24</f>
        <v>6.3844721453100002</v>
      </c>
      <c r="D17" s="7">
        <f>'257'!F21</f>
        <v>4</v>
      </c>
      <c r="E17" s="7">
        <f>'257'!G21</f>
        <v>2.3844721453100002</v>
      </c>
      <c r="F17" s="7">
        <f>'257'!H21</f>
        <v>0</v>
      </c>
      <c r="G17" s="7">
        <f>'257'!I21</f>
        <v>0</v>
      </c>
      <c r="H17" s="7">
        <f>'257'!J21</f>
        <v>0</v>
      </c>
      <c r="I17" s="7">
        <f>'257'!K21</f>
        <v>6.3844721453100002</v>
      </c>
      <c r="J17" s="7">
        <f>'257'!L21</f>
        <v>0</v>
      </c>
      <c r="K17" s="7">
        <f>'257'!M21</f>
        <v>1.3844721453100002</v>
      </c>
      <c r="L17" s="7">
        <f>'257'!N21</f>
        <v>5</v>
      </c>
      <c r="M17" s="7">
        <f>'257'!O21</f>
        <v>0</v>
      </c>
      <c r="N17" s="7">
        <f>'257'!P21</f>
        <v>0</v>
      </c>
      <c r="O17" s="7">
        <f>'257'!Q21</f>
        <v>4</v>
      </c>
      <c r="P17" s="7">
        <f>'257'!R21</f>
        <v>2.3844721453100002</v>
      </c>
      <c r="Q17" s="7">
        <f>'257'!S21</f>
        <v>0</v>
      </c>
      <c r="R17" s="7">
        <f>'257'!T21</f>
        <v>6.3844721453100002</v>
      </c>
      <c r="S17" s="7">
        <f>'257'!U21</f>
        <v>0</v>
      </c>
      <c r="T17" s="5" t="str">
        <f t="shared" si="1"/>
        <v>OK</v>
      </c>
    </row>
    <row r="18" spans="1:20" x14ac:dyDescent="0.25">
      <c r="A18" s="5">
        <v>258</v>
      </c>
      <c r="B18" s="6" t="s">
        <v>32</v>
      </c>
      <c r="C18" s="7">
        <f>'258'!R57</f>
        <v>35.496799002259998</v>
      </c>
      <c r="D18" s="7">
        <f>'258'!F54</f>
        <v>25</v>
      </c>
      <c r="E18" s="7">
        <f>'258'!G54</f>
        <v>2.0180992545000009</v>
      </c>
      <c r="F18" s="7">
        <f>'258'!H54</f>
        <v>6.4786997477599995</v>
      </c>
      <c r="G18" s="7">
        <f>'258'!I54</f>
        <v>0</v>
      </c>
      <c r="H18" s="7">
        <f>'258'!J54</f>
        <v>2</v>
      </c>
      <c r="I18" s="7">
        <f>'258'!K54</f>
        <v>35.496799002259998</v>
      </c>
      <c r="J18" s="7">
        <f>'258'!L54</f>
        <v>0</v>
      </c>
      <c r="K18" s="7">
        <f>'258'!M54</f>
        <v>0</v>
      </c>
      <c r="L18" s="7">
        <f>'258'!N54</f>
        <v>34.189545220150002</v>
      </c>
      <c r="M18" s="7">
        <f>'258'!O54</f>
        <v>1.3072537821100001</v>
      </c>
      <c r="N18" s="7">
        <f>'258'!P54</f>
        <v>35.496799002259998</v>
      </c>
      <c r="O18" s="7">
        <f>'258'!Q54</f>
        <v>0</v>
      </c>
      <c r="P18" s="7">
        <f>'258'!R54</f>
        <v>0</v>
      </c>
      <c r="Q18" s="7">
        <f>'258'!S54</f>
        <v>0</v>
      </c>
      <c r="R18" s="7">
        <f>'258'!T54</f>
        <v>35.496799002259998</v>
      </c>
      <c r="S18" s="7">
        <f>'258'!U54</f>
        <v>0</v>
      </c>
      <c r="T18" s="5" t="str">
        <f t="shared" si="1"/>
        <v>OK</v>
      </c>
    </row>
    <row r="19" spans="1:20" x14ac:dyDescent="0.25">
      <c r="A19" s="5">
        <v>259</v>
      </c>
      <c r="B19" s="6" t="s">
        <v>33</v>
      </c>
      <c r="C19" s="7">
        <f>'259'!R73</f>
        <v>48.367487987600008</v>
      </c>
      <c r="D19" s="7">
        <f>'259'!F70</f>
        <v>29.736269905300002</v>
      </c>
      <c r="E19" s="7">
        <f>'259'!G70</f>
        <v>9.6312180823000002</v>
      </c>
      <c r="F19" s="7">
        <f>'259'!H70</f>
        <v>7</v>
      </c>
      <c r="G19" s="7">
        <f>'259'!I70</f>
        <v>0</v>
      </c>
      <c r="H19" s="7">
        <f>'259'!J70</f>
        <v>2</v>
      </c>
      <c r="I19" s="7">
        <f>'259'!K70</f>
        <v>48.367487987600008</v>
      </c>
      <c r="J19" s="7">
        <f>'259'!L70</f>
        <v>0</v>
      </c>
      <c r="K19" s="7">
        <f>'259'!M70</f>
        <v>0</v>
      </c>
      <c r="L19" s="7">
        <f>'259'!N70</f>
        <v>44.736269905299999</v>
      </c>
      <c r="M19" s="7">
        <f>'259'!O70</f>
        <v>3.6312180823000002</v>
      </c>
      <c r="N19" s="7">
        <f>'259'!P70</f>
        <v>43.649819095669997</v>
      </c>
      <c r="O19" s="7">
        <f>'259'!Q70</f>
        <v>0</v>
      </c>
      <c r="P19" s="7">
        <f>'259'!R70</f>
        <v>4.7176688919299998</v>
      </c>
      <c r="Q19" s="7">
        <f>'259'!S70</f>
        <v>0</v>
      </c>
      <c r="R19" s="7">
        <f>'259'!T70</f>
        <v>48.367487987600008</v>
      </c>
      <c r="S19" s="7">
        <f>'259'!U70</f>
        <v>0</v>
      </c>
      <c r="T19" s="5" t="str">
        <f t="shared" si="1"/>
        <v>OK</v>
      </c>
    </row>
    <row r="20" spans="1:20" x14ac:dyDescent="0.25">
      <c r="A20" s="5">
        <v>265</v>
      </c>
      <c r="B20" s="6" t="s">
        <v>34</v>
      </c>
      <c r="C20" s="7">
        <f>'265'!R19</f>
        <v>1.08661106769</v>
      </c>
      <c r="D20" s="7">
        <f>'265'!F16</f>
        <v>0</v>
      </c>
      <c r="E20" s="7">
        <f>'265'!G16</f>
        <v>1.08661106769</v>
      </c>
      <c r="F20" s="7">
        <f>'265'!H16</f>
        <v>0</v>
      </c>
      <c r="G20" s="7">
        <f>'265'!I16</f>
        <v>0</v>
      </c>
      <c r="H20" s="7">
        <f>'265'!J16</f>
        <v>0</v>
      </c>
      <c r="I20" s="7">
        <f>'265'!K16</f>
        <v>1.08661106769</v>
      </c>
      <c r="J20" s="7">
        <f>'265'!L16</f>
        <v>0</v>
      </c>
      <c r="K20" s="7">
        <f>'265'!M16</f>
        <v>1.08661106769</v>
      </c>
      <c r="L20" s="7">
        <f>'265'!N16</f>
        <v>0</v>
      </c>
      <c r="M20" s="7">
        <f>'265'!O16</f>
        <v>0</v>
      </c>
      <c r="N20" s="7">
        <f>'265'!P16</f>
        <v>0</v>
      </c>
      <c r="O20" s="7">
        <f>'265'!Q16</f>
        <v>1.08661106769</v>
      </c>
      <c r="P20" s="7">
        <f>'265'!R16</f>
        <v>0</v>
      </c>
      <c r="Q20" s="7">
        <f>'265'!S16</f>
        <v>0</v>
      </c>
      <c r="R20" s="7">
        <f>'265'!T16</f>
        <v>1.08661106769</v>
      </c>
      <c r="S20" s="7">
        <f>'265'!U16</f>
        <v>0</v>
      </c>
      <c r="T20" s="5" t="str">
        <f t="shared" si="1"/>
        <v>OK</v>
      </c>
    </row>
    <row r="21" spans="1:20" x14ac:dyDescent="0.25">
      <c r="A21" s="5">
        <v>266</v>
      </c>
      <c r="B21" s="6" t="s">
        <v>35</v>
      </c>
      <c r="C21" s="7">
        <f>'266'!R45</f>
        <v>26.737320614079998</v>
      </c>
      <c r="D21" s="7">
        <f>'266'!F42</f>
        <v>0</v>
      </c>
      <c r="E21" s="7">
        <f>'266'!G42</f>
        <v>23.761116343099999</v>
      </c>
      <c r="F21" s="7">
        <f>'266'!H42</f>
        <v>2.9762042709800003</v>
      </c>
      <c r="G21" s="7">
        <f>'266'!I42</f>
        <v>0</v>
      </c>
      <c r="H21" s="7">
        <f>'266'!J42</f>
        <v>0</v>
      </c>
      <c r="I21" s="7">
        <f>'266'!K42</f>
        <v>21.737320614079998</v>
      </c>
      <c r="J21" s="7">
        <f>'266'!L42</f>
        <v>5</v>
      </c>
      <c r="K21" s="7">
        <f>'266'!M42</f>
        <v>26.737320614079998</v>
      </c>
      <c r="L21" s="7">
        <f>'266'!N42</f>
        <v>0</v>
      </c>
      <c r="M21" s="7">
        <f>'266'!O42</f>
        <v>0</v>
      </c>
      <c r="N21" s="7">
        <f>'266'!P42</f>
        <v>0</v>
      </c>
      <c r="O21" s="7">
        <f>'266'!Q42</f>
        <v>26.737320614079998</v>
      </c>
      <c r="P21" s="7">
        <f>'266'!R42</f>
        <v>0</v>
      </c>
      <c r="Q21" s="7">
        <f>'266'!S42</f>
        <v>0</v>
      </c>
      <c r="R21" s="7">
        <f>'266'!T42</f>
        <v>26.737320614079998</v>
      </c>
      <c r="S21" s="7">
        <f>'266'!U42</f>
        <v>0</v>
      </c>
      <c r="T21" s="5" t="str">
        <f t="shared" si="1"/>
        <v>OK</v>
      </c>
    </row>
    <row r="22" spans="1:20" x14ac:dyDescent="0.25">
      <c r="B22" s="8" t="s">
        <v>36</v>
      </c>
      <c r="C22" s="9">
        <f t="shared" ref="C22:S22" si="2">SUM(C6:C21)</f>
        <v>548.52427204266996</v>
      </c>
      <c r="D22" s="9">
        <f t="shared" si="2"/>
        <v>226.57298832796997</v>
      </c>
      <c r="E22" s="9">
        <f t="shared" si="2"/>
        <v>173.01588871622999</v>
      </c>
      <c r="F22" s="9">
        <f t="shared" si="2"/>
        <v>134.93539499847</v>
      </c>
      <c r="G22" s="9">
        <f t="shared" si="2"/>
        <v>10</v>
      </c>
      <c r="H22" s="9">
        <f t="shared" si="2"/>
        <v>4</v>
      </c>
      <c r="I22" s="9">
        <f t="shared" si="2"/>
        <v>533.52427204266996</v>
      </c>
      <c r="J22" s="9">
        <f t="shared" si="2"/>
        <v>15</v>
      </c>
      <c r="K22" s="9">
        <f t="shared" si="2"/>
        <v>127.13179165381999</v>
      </c>
      <c r="L22" s="9">
        <f t="shared" si="2"/>
        <v>399.97299070962003</v>
      </c>
      <c r="M22" s="9">
        <f t="shared" si="2"/>
        <v>21.419489679229997</v>
      </c>
      <c r="N22" s="9">
        <f t="shared" si="2"/>
        <v>186.89557280475998</v>
      </c>
      <c r="O22" s="9">
        <f t="shared" si="2"/>
        <v>351.36135315369995</v>
      </c>
      <c r="P22" s="9">
        <f t="shared" si="2"/>
        <v>10.267346084210001</v>
      </c>
      <c r="Q22" s="9">
        <f t="shared" si="2"/>
        <v>20.439553918559998</v>
      </c>
      <c r="R22" s="9">
        <f t="shared" si="2"/>
        <v>528.08471812410994</v>
      </c>
      <c r="S22" s="9">
        <f t="shared" si="2"/>
        <v>0</v>
      </c>
    </row>
    <row r="23" spans="1:20" x14ac:dyDescent="0.25">
      <c r="B23" s="8" t="s">
        <v>37</v>
      </c>
      <c r="D23" s="10">
        <f>SUM(D22:H22)/548.52</f>
        <v>1.0000077883079377</v>
      </c>
      <c r="I23" s="11" t="s">
        <v>38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1">
    <cfRule type="expression" dxfId="145" priority="1">
      <formula>LEFT(T6,4)="ERRO"</formula>
    </cfRule>
    <cfRule type="expression" dxfId="144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  <pageSetUpPr fitToPage="1"/>
  </sheetPr>
  <dimension ref="A1:AN4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T14" sqref="T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IF(F31=0,NA(),F31)</f>
        <v>4</v>
      </c>
      <c r="Z2" s="2" t="e">
        <f t="shared" si="0"/>
        <v>#N/A</v>
      </c>
      <c r="AA2" s="2">
        <f t="shared" si="0"/>
        <v>10.89361216961</v>
      </c>
      <c r="AB2" s="2" t="e">
        <f t="shared" si="0"/>
        <v>#N/A</v>
      </c>
      <c r="AC2" s="2" t="e">
        <f t="shared" si="0"/>
        <v>#N/A</v>
      </c>
      <c r="AD2" s="2">
        <f t="shared" si="0"/>
        <v>14.89361216961</v>
      </c>
      <c r="AE2" s="2" t="e">
        <f t="shared" si="0"/>
        <v>#N/A</v>
      </c>
      <c r="AF2" s="2">
        <f t="shared" si="0"/>
        <v>4</v>
      </c>
      <c r="AG2" s="2">
        <f t="shared" si="0"/>
        <v>10.89361216961</v>
      </c>
      <c r="AH2" s="2" t="e">
        <f t="shared" si="0"/>
        <v>#N/A</v>
      </c>
      <c r="AI2" s="2" t="e">
        <f t="shared" si="0"/>
        <v>#N/A</v>
      </c>
      <c r="AJ2" s="2">
        <f t="shared" si="0"/>
        <v>14.89361216961</v>
      </c>
      <c r="AK2" s="2" t="e">
        <f t="shared" si="0"/>
        <v>#N/A</v>
      </c>
      <c r="AL2" s="2" t="e">
        <f t="shared" si="0"/>
        <v>#N/A</v>
      </c>
      <c r="AM2" s="2">
        <f t="shared" si="0"/>
        <v>14.89361216961</v>
      </c>
      <c r="AN2" s="2" t="e">
        <f t="shared" si="0"/>
        <v>#N/A</v>
      </c>
    </row>
    <row r="3" spans="1:40" ht="15" customHeight="1" x14ac:dyDescent="0.25">
      <c r="A3" s="64" t="s">
        <v>44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45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54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55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55</v>
      </c>
      <c r="B10" s="19" t="s">
        <v>56</v>
      </c>
      <c r="C10" s="20">
        <v>1</v>
      </c>
      <c r="D10" s="20">
        <v>1.57022046791</v>
      </c>
      <c r="E10" s="20">
        <f>D10-C10</f>
        <v>0.57022046791000003</v>
      </c>
      <c r="F10" s="21"/>
      <c r="G10" s="21"/>
      <c r="H10" s="21" t="s">
        <v>57</v>
      </c>
      <c r="I10" s="21"/>
      <c r="J10" s="21"/>
      <c r="K10" s="21" t="s">
        <v>57</v>
      </c>
      <c r="L10" s="21"/>
      <c r="M10" s="21"/>
      <c r="N10" s="21" t="s">
        <v>57</v>
      </c>
      <c r="O10" s="21"/>
      <c r="P10" s="21"/>
      <c r="Q10" s="21" t="s">
        <v>57</v>
      </c>
      <c r="R10" s="21"/>
      <c r="S10" s="21"/>
      <c r="T10" s="21" t="s">
        <v>57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52" t="s">
        <v>58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5"/>
      <c r="W11" s="4"/>
    </row>
    <row r="12" spans="1:40" ht="20.100000000000001" customHeight="1" x14ac:dyDescent="0.25">
      <c r="A12" s="12" t="s">
        <v>59</v>
      </c>
      <c r="B12" s="13" t="s">
        <v>56</v>
      </c>
      <c r="C12" s="14">
        <v>0</v>
      </c>
      <c r="D12" s="14">
        <v>1</v>
      </c>
      <c r="E12" s="14">
        <f t="shared" ref="E12:E25" si="1">D12-C12</f>
        <v>1</v>
      </c>
      <c r="F12" s="15"/>
      <c r="G12" s="15"/>
      <c r="H12" s="15" t="s">
        <v>57</v>
      </c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ref="W12:W25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59</v>
      </c>
      <c r="B13" s="13" t="s">
        <v>56</v>
      </c>
      <c r="C13" s="14">
        <v>1</v>
      </c>
      <c r="D13" s="14">
        <v>2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59</v>
      </c>
      <c r="B14" s="13" t="s">
        <v>56</v>
      </c>
      <c r="C14" s="14">
        <v>2</v>
      </c>
      <c r="D14" s="14">
        <v>3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59</v>
      </c>
      <c r="B15" s="13" t="s">
        <v>56</v>
      </c>
      <c r="C15" s="14">
        <v>3</v>
      </c>
      <c r="D15" s="14">
        <v>4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 t="s">
        <v>57</v>
      </c>
      <c r="N15" s="15"/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59</v>
      </c>
      <c r="B16" s="13" t="s">
        <v>56</v>
      </c>
      <c r="C16" s="14">
        <v>4</v>
      </c>
      <c r="D16" s="14">
        <v>5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 t="s">
        <v>57</v>
      </c>
      <c r="N16" s="15"/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59</v>
      </c>
      <c r="B17" s="13" t="s">
        <v>56</v>
      </c>
      <c r="C17" s="14">
        <v>5</v>
      </c>
      <c r="D17" s="14">
        <v>6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59</v>
      </c>
      <c r="B18" s="13" t="s">
        <v>56</v>
      </c>
      <c r="C18" s="14">
        <v>6</v>
      </c>
      <c r="D18" s="14">
        <v>7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59</v>
      </c>
      <c r="B19" s="13" t="s">
        <v>56</v>
      </c>
      <c r="C19" s="14">
        <v>7</v>
      </c>
      <c r="D19" s="14">
        <v>8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59</v>
      </c>
      <c r="B20" s="13" t="s">
        <v>56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59</v>
      </c>
      <c r="B21" s="13" t="s">
        <v>56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59</v>
      </c>
      <c r="B22" s="13" t="s">
        <v>56</v>
      </c>
      <c r="C22" s="14">
        <v>10</v>
      </c>
      <c r="D22" s="14">
        <v>11</v>
      </c>
      <c r="E22" s="14">
        <f t="shared" si="1"/>
        <v>1</v>
      </c>
      <c r="F22" s="15"/>
      <c r="G22" s="15"/>
      <c r="H22" s="15" t="s">
        <v>57</v>
      </c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59</v>
      </c>
      <c r="B23" s="13" t="s">
        <v>56</v>
      </c>
      <c r="C23" s="14">
        <v>11</v>
      </c>
      <c r="D23" s="14">
        <v>12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59</v>
      </c>
      <c r="B24" s="13" t="s">
        <v>56</v>
      </c>
      <c r="C24" s="14">
        <v>12</v>
      </c>
      <c r="D24" s="14">
        <v>13</v>
      </c>
      <c r="E24" s="14">
        <f t="shared" si="1"/>
        <v>1</v>
      </c>
      <c r="F24" s="15"/>
      <c r="G24" s="15"/>
      <c r="H24" s="15" t="s">
        <v>57</v>
      </c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59</v>
      </c>
      <c r="B25" s="19" t="s">
        <v>56</v>
      </c>
      <c r="C25" s="20">
        <v>13</v>
      </c>
      <c r="D25" s="20">
        <v>13.3233917017</v>
      </c>
      <c r="E25" s="20">
        <f t="shared" si="1"/>
        <v>0.32339170170000031</v>
      </c>
      <c r="F25" s="21"/>
      <c r="G25" s="21"/>
      <c r="H25" s="21" t="s">
        <v>57</v>
      </c>
      <c r="I25" s="21"/>
      <c r="J25" s="21"/>
      <c r="K25" s="21" t="s">
        <v>57</v>
      </c>
      <c r="L25" s="21"/>
      <c r="M25" s="21"/>
      <c r="N25" s="21" t="s">
        <v>57</v>
      </c>
      <c r="O25" s="21"/>
      <c r="P25" s="21"/>
      <c r="Q25" s="21" t="s">
        <v>57</v>
      </c>
      <c r="R25" s="21"/>
      <c r="S25" s="21"/>
      <c r="T25" s="21" t="s">
        <v>57</v>
      </c>
      <c r="U25" s="21"/>
      <c r="V25" s="22"/>
      <c r="W25" s="23" t="str">
        <f t="shared" si="2"/>
        <v>OK</v>
      </c>
    </row>
    <row r="27" spans="1:23" x14ac:dyDescent="0.25">
      <c r="A27" s="54" t="s">
        <v>60</v>
      </c>
      <c r="B27" s="43"/>
      <c r="C27" s="43"/>
      <c r="D27" s="43"/>
      <c r="E27" s="43"/>
      <c r="G27" s="54" t="s">
        <v>60</v>
      </c>
      <c r="H27" s="43"/>
      <c r="I27" s="43"/>
      <c r="J27" s="43"/>
      <c r="K27" s="43"/>
    </row>
    <row r="28" spans="1:23" x14ac:dyDescent="0.25">
      <c r="A28" s="59" t="s">
        <v>61</v>
      </c>
      <c r="B28" s="43"/>
      <c r="C28" s="43"/>
      <c r="D28" s="43"/>
      <c r="E28" s="43"/>
      <c r="G28" s="59" t="s">
        <v>62</v>
      </c>
      <c r="H28" s="43"/>
      <c r="I28" s="43"/>
      <c r="J28" s="43"/>
      <c r="K28" s="43"/>
    </row>
    <row r="30" spans="1:23" x14ac:dyDescent="0.25">
      <c r="A30" s="60" t="s">
        <v>63</v>
      </c>
      <c r="B30" s="43"/>
      <c r="C30" s="43"/>
      <c r="D30" s="43"/>
      <c r="E30" s="4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3" x14ac:dyDescent="0.25">
      <c r="A31" s="53" t="s">
        <v>64</v>
      </c>
      <c r="B31" s="43"/>
      <c r="C31" s="43"/>
      <c r="D31" s="43"/>
      <c r="E31" s="43"/>
      <c r="F31" s="9">
        <f t="shared" ref="F31:U31" si="3">SUMIF(F$9:F$25,"X",$E$9:$E$25)</f>
        <v>4</v>
      </c>
      <c r="G31" s="9">
        <f t="shared" si="3"/>
        <v>0</v>
      </c>
      <c r="H31" s="9">
        <f t="shared" si="3"/>
        <v>10.89361216961</v>
      </c>
      <c r="I31" s="9">
        <f t="shared" si="3"/>
        <v>0</v>
      </c>
      <c r="J31" s="9">
        <f t="shared" si="3"/>
        <v>0</v>
      </c>
      <c r="K31" s="9">
        <f t="shared" si="3"/>
        <v>14.89361216961</v>
      </c>
      <c r="L31" s="9">
        <f t="shared" si="3"/>
        <v>0</v>
      </c>
      <c r="M31" s="9">
        <f t="shared" si="3"/>
        <v>4</v>
      </c>
      <c r="N31" s="9">
        <f t="shared" si="3"/>
        <v>10.89361216961</v>
      </c>
      <c r="O31" s="9">
        <f t="shared" si="3"/>
        <v>0</v>
      </c>
      <c r="P31" s="9">
        <f t="shared" si="3"/>
        <v>0</v>
      </c>
      <c r="Q31" s="9">
        <f t="shared" si="3"/>
        <v>14.89361216961</v>
      </c>
      <c r="R31" s="9">
        <f t="shared" si="3"/>
        <v>0</v>
      </c>
      <c r="S31" s="9">
        <f t="shared" si="3"/>
        <v>0</v>
      </c>
      <c r="T31" s="9">
        <f t="shared" si="3"/>
        <v>14.89361216961</v>
      </c>
      <c r="U31" s="9">
        <f t="shared" si="3"/>
        <v>0</v>
      </c>
    </row>
    <row r="32" spans="1:23" x14ac:dyDescent="0.25">
      <c r="A32" s="53" t="s">
        <v>65</v>
      </c>
      <c r="B32" s="43"/>
      <c r="C32" s="43"/>
      <c r="D32" s="43"/>
      <c r="E32" s="43"/>
      <c r="F32" s="25">
        <f t="shared" ref="F32:U32" si="4">IF($R34=0,0,F31/$R34)</f>
        <v>0.26857151605987756</v>
      </c>
      <c r="G32" s="25">
        <f t="shared" si="4"/>
        <v>0</v>
      </c>
      <c r="H32" s="25">
        <f t="shared" si="4"/>
        <v>0.73142848394012239</v>
      </c>
      <c r="I32" s="25">
        <f t="shared" si="4"/>
        <v>0</v>
      </c>
      <c r="J32" s="25">
        <f t="shared" si="4"/>
        <v>0</v>
      </c>
      <c r="K32" s="25">
        <f t="shared" si="4"/>
        <v>1</v>
      </c>
      <c r="L32" s="25">
        <f t="shared" si="4"/>
        <v>0</v>
      </c>
      <c r="M32" s="25">
        <f t="shared" si="4"/>
        <v>0.26857151605987756</v>
      </c>
      <c r="N32" s="25">
        <f t="shared" si="4"/>
        <v>0.73142848394012239</v>
      </c>
      <c r="O32" s="25">
        <f t="shared" si="4"/>
        <v>0</v>
      </c>
      <c r="P32" s="25">
        <f t="shared" si="4"/>
        <v>0</v>
      </c>
      <c r="Q32" s="25">
        <f t="shared" si="4"/>
        <v>1</v>
      </c>
      <c r="R32" s="25">
        <f t="shared" si="4"/>
        <v>0</v>
      </c>
      <c r="S32" s="25">
        <f t="shared" si="4"/>
        <v>0</v>
      </c>
      <c r="T32" s="25">
        <f t="shared" si="4"/>
        <v>1</v>
      </c>
      <c r="U32" s="25">
        <f t="shared" si="4"/>
        <v>0</v>
      </c>
    </row>
    <row r="33" spans="1:22" x14ac:dyDescent="0.25">
      <c r="A33" s="53" t="s">
        <v>66</v>
      </c>
      <c r="B33" s="43"/>
      <c r="C33" s="43"/>
      <c r="D33" s="43"/>
      <c r="E33" s="43"/>
      <c r="F33" s="51" t="str">
        <f>IF(SUM(F31:J31)=0,"— não preenchido",IF(ROUND(SUM(F31:J31)-$R34,3)=0,"OK — "&amp;ROUND(SUM(F31:J31),3)&amp;" km","ERRO — dif. de "&amp;ROUND(SUM(F31:J31)-$R34,3)&amp;" km"))</f>
        <v>OK — 14,894 km</v>
      </c>
      <c r="G33" s="47"/>
      <c r="H33" s="47"/>
      <c r="I33" s="47"/>
      <c r="J33" s="45"/>
      <c r="K33" s="51" t="str">
        <f>IF(SUM(K31:L31)=0,"— não preenchido",IF(ROUND(SUM(K31:L31)-$R34,3)=0,"OK — "&amp;ROUND(SUM(K31:L31),3)&amp;" km","ERRO — dif. de "&amp;ROUND(SUM(K31:L31)-$R34,3)&amp;" km"))</f>
        <v>OK — 14,894 km</v>
      </c>
      <c r="L33" s="45"/>
      <c r="M33" s="51" t="str">
        <f>IF(SUM(M31:O31)=0,"— não preenchido",IF(ROUND(SUM(M31:O31)-$R34,3)=0,"OK — "&amp;ROUND(SUM(M31:O31),3)&amp;" km","ERRO — dif. de "&amp;ROUND(SUM(M31:O31)-$R34,3)&amp;" km"))</f>
        <v>OK — 14,894 km</v>
      </c>
      <c r="N33" s="47"/>
      <c r="O33" s="45"/>
      <c r="P33" s="51" t="str">
        <f>IF(SUM(P31:R31)=0,"— não preenchido",IF(ROUND(SUM(P31:R31)-$R34,3)=0,"OK — "&amp;ROUND(SUM(P31:R31),3)&amp;" km","ERRO — dif. de "&amp;ROUND(SUM(P31:R31)-$R34,3)&amp;" km"))</f>
        <v>OK — 14,894 km</v>
      </c>
      <c r="Q33" s="47"/>
      <c r="R33" s="45"/>
      <c r="S33" s="51" t="str">
        <f>IF(SUM(S31:U31)=0,"— não preenchido",IF(ROUND(SUM(S31:U31)-$R34,3)=0,"OK — "&amp;ROUND(SUM(S31:U31),3)&amp;" km","ERRO — dif. de "&amp;ROUND(SUM(S31:U31)-$R34,3)&amp;" km"))</f>
        <v>OK — 14,894 km</v>
      </c>
      <c r="T33" s="47"/>
      <c r="U33" s="45"/>
    </row>
    <row r="34" spans="1:22" x14ac:dyDescent="0.25">
      <c r="A34" s="53" t="s">
        <v>67</v>
      </c>
      <c r="B34" s="43"/>
      <c r="C34" s="43"/>
      <c r="D34" s="43"/>
      <c r="E34" s="43"/>
      <c r="R34" s="26">
        <f>SUM(E9:E25)</f>
        <v>14.89361216961</v>
      </c>
      <c r="V34" s="8" t="str">
        <f>COUNTIF(W9:W25,"OK")&amp;" de "&amp;COUNT($E$9:$E$25)&amp;" linhas conferidas"</f>
        <v>16 de 16 linhas conferidas</v>
      </c>
    </row>
    <row r="36" spans="1:22" x14ac:dyDescent="0.25">
      <c r="A36" s="55" t="s">
        <v>68</v>
      </c>
      <c r="B36" s="43"/>
      <c r="C36" s="43"/>
      <c r="D36" s="43"/>
      <c r="E36" s="43"/>
    </row>
    <row r="37" spans="1:22" x14ac:dyDescent="0.25">
      <c r="A37" s="53" t="s">
        <v>69</v>
      </c>
      <c r="B37" s="43"/>
      <c r="C37" s="43"/>
      <c r="D37" s="43"/>
      <c r="E37" s="61" t="s">
        <v>70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spans="1:22" x14ac:dyDescent="0.25">
      <c r="A38" s="53" t="s">
        <v>71</v>
      </c>
      <c r="B38" s="43"/>
      <c r="C38" s="43"/>
      <c r="D38" s="43"/>
      <c r="E38" s="61" t="s">
        <v>72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 x14ac:dyDescent="0.25">
      <c r="A39" s="53" t="s">
        <v>73</v>
      </c>
      <c r="B39" s="43"/>
      <c r="C39" s="43"/>
      <c r="D39" s="43"/>
      <c r="E39" s="61" t="s">
        <v>74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x14ac:dyDescent="0.25">
      <c r="A40" s="53" t="s">
        <v>75</v>
      </c>
      <c r="B40" s="43"/>
      <c r="C40" s="43"/>
      <c r="D40" s="43"/>
      <c r="E40" s="61" t="s">
        <v>76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 x14ac:dyDescent="0.25">
      <c r="A41" s="53" t="s">
        <v>77</v>
      </c>
      <c r="B41" s="43"/>
      <c r="C41" s="43"/>
      <c r="D41" s="43"/>
      <c r="E41" s="61" t="s">
        <v>78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x14ac:dyDescent="0.25">
      <c r="A42" s="53" t="s">
        <v>48</v>
      </c>
      <c r="B42" s="43"/>
      <c r="C42" s="43"/>
      <c r="D42" s="43"/>
      <c r="E42" s="61" t="s">
        <v>79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x14ac:dyDescent="0.25">
      <c r="A43" s="53" t="s">
        <v>80</v>
      </c>
      <c r="B43" s="43"/>
      <c r="C43" s="43"/>
      <c r="D43" s="43"/>
      <c r="E43" s="61" t="s">
        <v>81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x14ac:dyDescent="0.25">
      <c r="A44" s="53" t="s">
        <v>82</v>
      </c>
      <c r="B44" s="43"/>
      <c r="C44" s="43"/>
      <c r="D44" s="43"/>
      <c r="E44" s="61" t="s">
        <v>83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 x14ac:dyDescent="0.25">
      <c r="A45" s="53" t="s">
        <v>11</v>
      </c>
      <c r="B45" s="43"/>
      <c r="C45" s="43"/>
      <c r="D45" s="43"/>
      <c r="E45" s="61" t="s">
        <v>84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</sheetData>
  <sheetProtection formatCells="0"/>
  <mergeCells count="58">
    <mergeCell ref="A1:V1"/>
    <mergeCell ref="E41:V41"/>
    <mergeCell ref="A33:E33"/>
    <mergeCell ref="T3:V3"/>
    <mergeCell ref="A32:E32"/>
    <mergeCell ref="A41:D41"/>
    <mergeCell ref="E37:V37"/>
    <mergeCell ref="A37:D37"/>
    <mergeCell ref="A28:E28"/>
    <mergeCell ref="R2:V2"/>
    <mergeCell ref="A3:S3"/>
    <mergeCell ref="C6:C7"/>
    <mergeCell ref="A31:E31"/>
    <mergeCell ref="K6:L6"/>
    <mergeCell ref="D6:D7"/>
    <mergeCell ref="E39:V39"/>
    <mergeCell ref="W6:W7"/>
    <mergeCell ref="F33:J33"/>
    <mergeCell ref="E6:E7"/>
    <mergeCell ref="E45:V45"/>
    <mergeCell ref="B6:B7"/>
    <mergeCell ref="A27:E27"/>
    <mergeCell ref="A45:D45"/>
    <mergeCell ref="P33:R33"/>
    <mergeCell ref="A11:V11"/>
    <mergeCell ref="E43:V43"/>
    <mergeCell ref="E42:V42"/>
    <mergeCell ref="A42:D42"/>
    <mergeCell ref="P6:R6"/>
    <mergeCell ref="V6:V7"/>
    <mergeCell ref="A43:D43"/>
    <mergeCell ref="E40:V40"/>
    <mergeCell ref="A44:D44"/>
    <mergeCell ref="A2:F2"/>
    <mergeCell ref="S6:U6"/>
    <mergeCell ref="A40:D40"/>
    <mergeCell ref="K2:M2"/>
    <mergeCell ref="M33:O33"/>
    <mergeCell ref="S33:U33"/>
    <mergeCell ref="N2:O2"/>
    <mergeCell ref="A39:D39"/>
    <mergeCell ref="P2:Q2"/>
    <mergeCell ref="G28:K28"/>
    <mergeCell ref="A30:E30"/>
    <mergeCell ref="A34:E34"/>
    <mergeCell ref="E38:V38"/>
    <mergeCell ref="E44:V44"/>
    <mergeCell ref="G2:H2"/>
    <mergeCell ref="I2:J2"/>
    <mergeCell ref="K33:L33"/>
    <mergeCell ref="A8:V8"/>
    <mergeCell ref="A38:D38"/>
    <mergeCell ref="G27:K27"/>
    <mergeCell ref="A36:E36"/>
    <mergeCell ref="A6:A7"/>
    <mergeCell ref="F6:J6"/>
    <mergeCell ref="M6:O6"/>
    <mergeCell ref="A4:V4"/>
  </mergeCells>
  <conditionalFormatting sqref="F9:J25">
    <cfRule type="expression" dxfId="143" priority="1">
      <formula>AND(F9&lt;&gt;"",COUNTIF($F9:$J9,"X")&gt;1)</formula>
    </cfRule>
  </conditionalFormatting>
  <conditionalFormatting sqref="F33:U33">
    <cfRule type="expression" dxfId="142" priority="8">
      <formula>LEFT(F33,4)="ERRO"</formula>
    </cfRule>
    <cfRule type="expression" dxfId="141" priority="9">
      <formula>LEFT(F33,2)="OK"</formula>
    </cfRule>
  </conditionalFormatting>
  <conditionalFormatting sqref="K9:L25">
    <cfRule type="expression" dxfId="140" priority="2">
      <formula>AND(K9&lt;&gt;"",COUNTIF($K9:$L9,"X")&gt;1)</formula>
    </cfRule>
  </conditionalFormatting>
  <conditionalFormatting sqref="M9:O25">
    <cfRule type="expression" dxfId="139" priority="3">
      <formula>AND(M9&lt;&gt;"",COUNTIF($M9:$O9,"X")&gt;1)</formula>
    </cfRule>
  </conditionalFormatting>
  <conditionalFormatting sqref="P9:R25">
    <cfRule type="expression" dxfId="138" priority="4">
      <formula>AND(P9&lt;&gt;"",COUNTIF($P9:$R9,"X")&gt;1)</formula>
    </cfRule>
  </conditionalFormatting>
  <conditionalFormatting sqref="S9:U25">
    <cfRule type="expression" dxfId="137" priority="5">
      <formula>AND(S9&lt;&gt;"",COUNTIF($S9:$U9,"X")&gt;1)</formula>
    </cfRule>
  </conditionalFormatting>
  <conditionalFormatting sqref="W9:W25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246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N11" sqref="N11:N1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 t="e">
        <f t="shared" ref="Y2:AN2" si="0">IF(F54=0,NA(),F54)</f>
        <v>#N/A</v>
      </c>
      <c r="Z2" s="2">
        <f t="shared" si="0"/>
        <v>16.481208842299999</v>
      </c>
      <c r="AA2" s="2">
        <f t="shared" si="0"/>
        <v>19.565300208729997</v>
      </c>
      <c r="AB2" s="2" t="e">
        <f t="shared" si="0"/>
        <v>#N/A</v>
      </c>
      <c r="AC2" s="2" t="e">
        <f t="shared" si="0"/>
        <v>#N/A</v>
      </c>
      <c r="AD2" s="2">
        <f t="shared" si="0"/>
        <v>36.04650905103</v>
      </c>
      <c r="AE2" s="2" t="e">
        <f t="shared" si="0"/>
        <v>#N/A</v>
      </c>
      <c r="AF2" s="2">
        <f t="shared" si="0"/>
        <v>6.4812088422999992</v>
      </c>
      <c r="AG2" s="2">
        <f t="shared" si="0"/>
        <v>29.565300208729997</v>
      </c>
      <c r="AH2" s="2" t="e">
        <f t="shared" si="0"/>
        <v>#N/A</v>
      </c>
      <c r="AI2" s="2" t="e">
        <f t="shared" si="0"/>
        <v>#N/A</v>
      </c>
      <c r="AJ2" s="2">
        <f t="shared" si="0"/>
        <v>36.04650905103</v>
      </c>
      <c r="AK2" s="2" t="e">
        <f t="shared" si="0"/>
        <v>#N/A</v>
      </c>
      <c r="AL2" s="2" t="e">
        <f t="shared" si="0"/>
        <v>#N/A</v>
      </c>
      <c r="AM2" s="2">
        <f t="shared" si="0"/>
        <v>36.04650905103</v>
      </c>
      <c r="AN2" s="2" t="e">
        <f t="shared" si="0"/>
        <v>#N/A</v>
      </c>
    </row>
    <row r="3" spans="1:40" ht="15" customHeight="1" x14ac:dyDescent="0.25">
      <c r="A3" s="64" t="s">
        <v>85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86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87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88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88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88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 t="s">
        <v>57</v>
      </c>
      <c r="N11" s="15"/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88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 t="s">
        <v>57</v>
      </c>
      <c r="N12" s="15"/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88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88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88</v>
      </c>
      <c r="B15" s="19" t="s">
        <v>56</v>
      </c>
      <c r="C15" s="20">
        <v>6</v>
      </c>
      <c r="D15" s="20">
        <v>6.2949204345299998</v>
      </c>
      <c r="E15" s="20">
        <f t="shared" si="1"/>
        <v>0.29492043452999983</v>
      </c>
      <c r="F15" s="21"/>
      <c r="G15" s="21"/>
      <c r="H15" s="21" t="s">
        <v>57</v>
      </c>
      <c r="I15" s="21"/>
      <c r="J15" s="21"/>
      <c r="K15" s="21" t="s">
        <v>57</v>
      </c>
      <c r="L15" s="21"/>
      <c r="M15" s="21"/>
      <c r="N15" s="21" t="s">
        <v>57</v>
      </c>
      <c r="O15" s="21"/>
      <c r="P15" s="21"/>
      <c r="Q15" s="21" t="s">
        <v>57</v>
      </c>
      <c r="R15" s="21"/>
      <c r="S15" s="21"/>
      <c r="T15" s="21" t="s">
        <v>57</v>
      </c>
      <c r="U15" s="21"/>
      <c r="V15" s="22"/>
      <c r="W15" s="23" t="str">
        <f t="shared" si="2"/>
        <v>OK</v>
      </c>
    </row>
    <row r="16" spans="1:40" ht="15.95" customHeight="1" x14ac:dyDescent="0.25">
      <c r="A16" s="52" t="s">
        <v>89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5"/>
      <c r="W16" s="4"/>
    </row>
    <row r="17" spans="1:23" ht="20.100000000000001" customHeight="1" x14ac:dyDescent="0.25">
      <c r="A17" s="12" t="s">
        <v>90</v>
      </c>
      <c r="B17" s="13" t="s">
        <v>56</v>
      </c>
      <c r="C17" s="14">
        <v>0</v>
      </c>
      <c r="D17" s="14">
        <v>1</v>
      </c>
      <c r="E17" s="14">
        <f t="shared" ref="E17:E28" si="3">D17-C17</f>
        <v>1</v>
      </c>
      <c r="F17" s="15"/>
      <c r="G17" s="15" t="s">
        <v>57</v>
      </c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ref="W17:W28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90</v>
      </c>
      <c r="B18" s="13" t="s">
        <v>56</v>
      </c>
      <c r="C18" s="14">
        <v>1</v>
      </c>
      <c r="D18" s="14">
        <v>2</v>
      </c>
      <c r="E18" s="14">
        <f t="shared" si="3"/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90</v>
      </c>
      <c r="B19" s="13" t="s">
        <v>56</v>
      </c>
      <c r="C19" s="14">
        <v>2</v>
      </c>
      <c r="D19" s="14">
        <v>3</v>
      </c>
      <c r="E19" s="14">
        <f t="shared" si="3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90</v>
      </c>
      <c r="B20" s="13" t="s">
        <v>56</v>
      </c>
      <c r="C20" s="14">
        <v>3</v>
      </c>
      <c r="D20" s="14">
        <v>4</v>
      </c>
      <c r="E20" s="14">
        <f t="shared" si="3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90</v>
      </c>
      <c r="B21" s="13" t="s">
        <v>56</v>
      </c>
      <c r="C21" s="14">
        <v>4</v>
      </c>
      <c r="D21" s="14">
        <v>5</v>
      </c>
      <c r="E21" s="14">
        <f t="shared" si="3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90</v>
      </c>
      <c r="B22" s="13" t="s">
        <v>56</v>
      </c>
      <c r="C22" s="14">
        <v>5</v>
      </c>
      <c r="D22" s="14">
        <v>6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90</v>
      </c>
      <c r="B23" s="13" t="s">
        <v>56</v>
      </c>
      <c r="C23" s="14">
        <v>6</v>
      </c>
      <c r="D23" s="14">
        <v>7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90</v>
      </c>
      <c r="B24" s="13" t="s">
        <v>56</v>
      </c>
      <c r="C24" s="14">
        <v>7</v>
      </c>
      <c r="D24" s="14">
        <v>8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 t="s">
        <v>57</v>
      </c>
      <c r="N24" s="15"/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90</v>
      </c>
      <c r="B25" s="13" t="s">
        <v>56</v>
      </c>
      <c r="C25" s="14">
        <v>8</v>
      </c>
      <c r="D25" s="14">
        <v>9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 t="s">
        <v>57</v>
      </c>
      <c r="N25" s="15"/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90</v>
      </c>
      <c r="B26" s="13" t="s">
        <v>56</v>
      </c>
      <c r="C26" s="14">
        <v>9</v>
      </c>
      <c r="D26" s="14">
        <v>10</v>
      </c>
      <c r="E26" s="14">
        <f t="shared" si="3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90</v>
      </c>
      <c r="B27" s="13" t="s">
        <v>56</v>
      </c>
      <c r="C27" s="14">
        <v>10</v>
      </c>
      <c r="D27" s="14">
        <v>11</v>
      </c>
      <c r="E27" s="14">
        <f t="shared" si="3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8" t="s">
        <v>90</v>
      </c>
      <c r="B28" s="19" t="s">
        <v>56</v>
      </c>
      <c r="C28" s="20">
        <v>11</v>
      </c>
      <c r="D28" s="20">
        <v>11.481208842299999</v>
      </c>
      <c r="E28" s="20">
        <f t="shared" si="3"/>
        <v>0.48120884229999916</v>
      </c>
      <c r="F28" s="21"/>
      <c r="G28" s="21" t="s">
        <v>57</v>
      </c>
      <c r="H28" s="21"/>
      <c r="I28" s="21"/>
      <c r="J28" s="21"/>
      <c r="K28" s="21" t="s">
        <v>57</v>
      </c>
      <c r="L28" s="21"/>
      <c r="M28" s="21" t="s">
        <v>57</v>
      </c>
      <c r="N28" s="21"/>
      <c r="O28" s="21"/>
      <c r="P28" s="21"/>
      <c r="Q28" s="21" t="s">
        <v>57</v>
      </c>
      <c r="R28" s="21"/>
      <c r="S28" s="21"/>
      <c r="T28" s="21" t="s">
        <v>57</v>
      </c>
      <c r="U28" s="21"/>
      <c r="V28" s="22"/>
      <c r="W28" s="23" t="str">
        <f t="shared" si="4"/>
        <v>OK</v>
      </c>
    </row>
    <row r="29" spans="1:23" ht="15.95" customHeight="1" x14ac:dyDescent="0.25">
      <c r="A29" s="52" t="s">
        <v>91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5"/>
      <c r="W29" s="4"/>
    </row>
    <row r="30" spans="1:23" ht="20.100000000000001" customHeight="1" x14ac:dyDescent="0.25">
      <c r="A30" s="12" t="s">
        <v>92</v>
      </c>
      <c r="B30" s="13" t="s">
        <v>56</v>
      </c>
      <c r="C30" s="14">
        <v>0</v>
      </c>
      <c r="D30" s="14">
        <v>1</v>
      </c>
      <c r="E30" s="14">
        <f t="shared" ref="E30:E48" si="5">D30-C30</f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ref="W30:W48" si="6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92</v>
      </c>
      <c r="B31" s="13" t="s">
        <v>56</v>
      </c>
      <c r="C31" s="14">
        <v>1</v>
      </c>
      <c r="D31" s="14">
        <v>2</v>
      </c>
      <c r="E31" s="14">
        <f t="shared" si="5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92</v>
      </c>
      <c r="B32" s="13" t="s">
        <v>56</v>
      </c>
      <c r="C32" s="14">
        <v>2</v>
      </c>
      <c r="D32" s="14">
        <v>3</v>
      </c>
      <c r="E32" s="14">
        <f t="shared" si="5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92</v>
      </c>
      <c r="B33" s="13" t="s">
        <v>56</v>
      </c>
      <c r="C33" s="14">
        <v>3</v>
      </c>
      <c r="D33" s="14">
        <v>4</v>
      </c>
      <c r="E33" s="14">
        <f t="shared" si="5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92</v>
      </c>
      <c r="B34" s="13" t="s">
        <v>56</v>
      </c>
      <c r="C34" s="14">
        <v>4</v>
      </c>
      <c r="D34" s="14">
        <v>5</v>
      </c>
      <c r="E34" s="14">
        <f t="shared" si="5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92</v>
      </c>
      <c r="B35" s="13" t="s">
        <v>56</v>
      </c>
      <c r="C35" s="14">
        <v>5</v>
      </c>
      <c r="D35" s="14">
        <v>6</v>
      </c>
      <c r="E35" s="14">
        <f t="shared" si="5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92</v>
      </c>
      <c r="B36" s="13" t="s">
        <v>56</v>
      </c>
      <c r="C36" s="14">
        <v>6</v>
      </c>
      <c r="D36" s="14">
        <v>7</v>
      </c>
      <c r="E36" s="14">
        <f t="shared" si="5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92</v>
      </c>
      <c r="B37" s="13" t="s">
        <v>56</v>
      </c>
      <c r="C37" s="14">
        <v>7</v>
      </c>
      <c r="D37" s="14">
        <v>8</v>
      </c>
      <c r="E37" s="14">
        <f t="shared" si="5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92</v>
      </c>
      <c r="B38" s="13" t="s">
        <v>56</v>
      </c>
      <c r="C38" s="14">
        <v>8</v>
      </c>
      <c r="D38" s="14">
        <v>9</v>
      </c>
      <c r="E38" s="14">
        <f t="shared" si="5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92</v>
      </c>
      <c r="B39" s="13" t="s">
        <v>56</v>
      </c>
      <c r="C39" s="14">
        <v>9</v>
      </c>
      <c r="D39" s="14">
        <v>10</v>
      </c>
      <c r="E39" s="14">
        <f t="shared" si="5"/>
        <v>1</v>
      </c>
      <c r="F39" s="15"/>
      <c r="G39" s="15"/>
      <c r="H39" s="15" t="s">
        <v>57</v>
      </c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92</v>
      </c>
      <c r="B40" s="13" t="s">
        <v>56</v>
      </c>
      <c r="C40" s="14">
        <v>10</v>
      </c>
      <c r="D40" s="14">
        <v>11</v>
      </c>
      <c r="E40" s="14">
        <f t="shared" si="5"/>
        <v>1</v>
      </c>
      <c r="F40" s="15"/>
      <c r="G40" s="15"/>
      <c r="H40" s="15" t="s">
        <v>57</v>
      </c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92</v>
      </c>
      <c r="B41" s="13" t="s">
        <v>56</v>
      </c>
      <c r="C41" s="14">
        <v>11</v>
      </c>
      <c r="D41" s="14">
        <v>12</v>
      </c>
      <c r="E41" s="14">
        <f t="shared" si="5"/>
        <v>1</v>
      </c>
      <c r="F41" s="15"/>
      <c r="G41" s="15"/>
      <c r="H41" s="15" t="s">
        <v>57</v>
      </c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92</v>
      </c>
      <c r="B42" s="13" t="s">
        <v>56</v>
      </c>
      <c r="C42" s="14">
        <v>12</v>
      </c>
      <c r="D42" s="14">
        <v>13</v>
      </c>
      <c r="E42" s="14">
        <f t="shared" si="5"/>
        <v>1</v>
      </c>
      <c r="F42" s="15"/>
      <c r="G42" s="15"/>
      <c r="H42" s="15" t="s">
        <v>57</v>
      </c>
      <c r="I42" s="15"/>
      <c r="J42" s="15"/>
      <c r="K42" s="15" t="s">
        <v>57</v>
      </c>
      <c r="L42" s="15"/>
      <c r="M42" s="15"/>
      <c r="N42" s="15" t="s">
        <v>57</v>
      </c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92</v>
      </c>
      <c r="B43" s="13" t="s">
        <v>56</v>
      </c>
      <c r="C43" s="14">
        <v>13</v>
      </c>
      <c r="D43" s="14">
        <v>14</v>
      </c>
      <c r="E43" s="14">
        <f t="shared" si="5"/>
        <v>1</v>
      </c>
      <c r="F43" s="15"/>
      <c r="G43" s="15"/>
      <c r="H43" s="15" t="s">
        <v>57</v>
      </c>
      <c r="I43" s="15"/>
      <c r="J43" s="15"/>
      <c r="K43" s="15" t="s">
        <v>57</v>
      </c>
      <c r="L43" s="15"/>
      <c r="M43" s="15"/>
      <c r="N43" s="15" t="s">
        <v>57</v>
      </c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92</v>
      </c>
      <c r="B44" s="13" t="s">
        <v>56</v>
      </c>
      <c r="C44" s="14">
        <v>14</v>
      </c>
      <c r="D44" s="14">
        <v>15</v>
      </c>
      <c r="E44" s="14">
        <f t="shared" si="5"/>
        <v>1</v>
      </c>
      <c r="F44" s="15"/>
      <c r="G44" s="15"/>
      <c r="H44" s="15" t="s">
        <v>57</v>
      </c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92</v>
      </c>
      <c r="B45" s="13" t="s">
        <v>56</v>
      </c>
      <c r="C45" s="14">
        <v>15</v>
      </c>
      <c r="D45" s="14">
        <v>16</v>
      </c>
      <c r="E45" s="14">
        <f t="shared" si="5"/>
        <v>1</v>
      </c>
      <c r="F45" s="15"/>
      <c r="G45" s="15"/>
      <c r="H45" s="15" t="s">
        <v>57</v>
      </c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92</v>
      </c>
      <c r="B46" s="13" t="s">
        <v>56</v>
      </c>
      <c r="C46" s="14">
        <v>16</v>
      </c>
      <c r="D46" s="14">
        <v>17</v>
      </c>
      <c r="E46" s="14">
        <f t="shared" si="5"/>
        <v>1</v>
      </c>
      <c r="F46" s="15"/>
      <c r="G46" s="15"/>
      <c r="H46" s="15" t="s">
        <v>57</v>
      </c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92</v>
      </c>
      <c r="B47" s="13" t="s">
        <v>56</v>
      </c>
      <c r="C47" s="14">
        <v>17</v>
      </c>
      <c r="D47" s="14">
        <v>18</v>
      </c>
      <c r="E47" s="14">
        <f t="shared" si="5"/>
        <v>1</v>
      </c>
      <c r="F47" s="15"/>
      <c r="G47" s="15"/>
      <c r="H47" s="15" t="s">
        <v>57</v>
      </c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92</v>
      </c>
      <c r="B48" s="19" t="s">
        <v>56</v>
      </c>
      <c r="C48" s="20">
        <v>18</v>
      </c>
      <c r="D48" s="20">
        <v>18.270379774199998</v>
      </c>
      <c r="E48" s="20">
        <f t="shared" si="5"/>
        <v>0.27037977419999848</v>
      </c>
      <c r="F48" s="21"/>
      <c r="G48" s="21"/>
      <c r="H48" s="21" t="s">
        <v>57</v>
      </c>
      <c r="I48" s="21"/>
      <c r="J48" s="21"/>
      <c r="K48" s="21" t="s">
        <v>57</v>
      </c>
      <c r="L48" s="21"/>
      <c r="M48" s="21"/>
      <c r="N48" s="21" t="s">
        <v>57</v>
      </c>
      <c r="O48" s="21"/>
      <c r="P48" s="21"/>
      <c r="Q48" s="21" t="s">
        <v>57</v>
      </c>
      <c r="R48" s="21"/>
      <c r="S48" s="21"/>
      <c r="T48" s="21" t="s">
        <v>57</v>
      </c>
      <c r="U48" s="21"/>
      <c r="V48" s="22"/>
      <c r="W48" s="23" t="str">
        <f t="shared" si="6"/>
        <v>OK</v>
      </c>
    </row>
    <row r="50" spans="1:22" x14ac:dyDescent="0.25">
      <c r="A50" s="54" t="s">
        <v>60</v>
      </c>
      <c r="B50" s="43"/>
      <c r="C50" s="43"/>
      <c r="D50" s="43"/>
      <c r="E50" s="43"/>
      <c r="G50" s="54" t="s">
        <v>60</v>
      </c>
      <c r="H50" s="43"/>
      <c r="I50" s="43"/>
      <c r="J50" s="43"/>
      <c r="K50" s="43"/>
    </row>
    <row r="51" spans="1:22" x14ac:dyDescent="0.25">
      <c r="A51" s="59" t="s">
        <v>61</v>
      </c>
      <c r="B51" s="43"/>
      <c r="C51" s="43"/>
      <c r="D51" s="43"/>
      <c r="E51" s="43"/>
      <c r="G51" s="59" t="s">
        <v>62</v>
      </c>
      <c r="H51" s="43"/>
      <c r="I51" s="43"/>
      <c r="J51" s="43"/>
      <c r="K51" s="43"/>
    </row>
    <row r="53" spans="1:22" x14ac:dyDescent="0.25">
      <c r="A53" s="60" t="s">
        <v>63</v>
      </c>
      <c r="B53" s="43"/>
      <c r="C53" s="43"/>
      <c r="D53" s="43"/>
      <c r="E53" s="4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53" t="s">
        <v>64</v>
      </c>
      <c r="B54" s="43"/>
      <c r="C54" s="43"/>
      <c r="D54" s="43"/>
      <c r="E54" s="43"/>
      <c r="F54" s="9">
        <f t="shared" ref="F54:U54" si="7">SUMIF(F$9:F$48,"X",$E$9:$E$48)</f>
        <v>0</v>
      </c>
      <c r="G54" s="9">
        <f t="shared" si="7"/>
        <v>16.481208842299999</v>
      </c>
      <c r="H54" s="9">
        <f t="shared" si="7"/>
        <v>19.565300208729997</v>
      </c>
      <c r="I54" s="9">
        <f t="shared" si="7"/>
        <v>0</v>
      </c>
      <c r="J54" s="9">
        <f t="shared" si="7"/>
        <v>0</v>
      </c>
      <c r="K54" s="9">
        <f t="shared" si="7"/>
        <v>36.04650905103</v>
      </c>
      <c r="L54" s="9">
        <f t="shared" si="7"/>
        <v>0</v>
      </c>
      <c r="M54" s="9">
        <f t="shared" si="7"/>
        <v>6.4812088422999992</v>
      </c>
      <c r="N54" s="9">
        <f t="shared" si="7"/>
        <v>29.565300208729997</v>
      </c>
      <c r="O54" s="9">
        <f t="shared" si="7"/>
        <v>0</v>
      </c>
      <c r="P54" s="9">
        <f t="shared" si="7"/>
        <v>0</v>
      </c>
      <c r="Q54" s="9">
        <f t="shared" si="7"/>
        <v>36.04650905103</v>
      </c>
      <c r="R54" s="9">
        <f t="shared" si="7"/>
        <v>0</v>
      </c>
      <c r="S54" s="9">
        <f t="shared" si="7"/>
        <v>0</v>
      </c>
      <c r="T54" s="9">
        <f t="shared" si="7"/>
        <v>36.04650905103</v>
      </c>
      <c r="U54" s="9">
        <f t="shared" si="7"/>
        <v>0</v>
      </c>
    </row>
    <row r="55" spans="1:22" x14ac:dyDescent="0.25">
      <c r="A55" s="53" t="s">
        <v>65</v>
      </c>
      <c r="B55" s="43"/>
      <c r="C55" s="43"/>
      <c r="D55" s="43"/>
      <c r="E55" s="43"/>
      <c r="F55" s="25">
        <f t="shared" ref="F55:U55" si="8">IF($R57=0,0,F54/$R57)</f>
        <v>0</v>
      </c>
      <c r="G55" s="25">
        <f t="shared" si="8"/>
        <v>0.45722066508487769</v>
      </c>
      <c r="H55" s="25">
        <f t="shared" si="8"/>
        <v>0.5427793349151222</v>
      </c>
      <c r="I55" s="25">
        <f t="shared" si="8"/>
        <v>0</v>
      </c>
      <c r="J55" s="25">
        <f t="shared" si="8"/>
        <v>0</v>
      </c>
      <c r="K55" s="25">
        <f t="shared" si="8"/>
        <v>1</v>
      </c>
      <c r="L55" s="25">
        <f t="shared" si="8"/>
        <v>0</v>
      </c>
      <c r="M55" s="25">
        <f t="shared" si="8"/>
        <v>0.17980129041413523</v>
      </c>
      <c r="N55" s="25">
        <f t="shared" si="8"/>
        <v>0.82019870958586472</v>
      </c>
      <c r="O55" s="25">
        <f t="shared" si="8"/>
        <v>0</v>
      </c>
      <c r="P55" s="25">
        <f t="shared" si="8"/>
        <v>0</v>
      </c>
      <c r="Q55" s="25">
        <f t="shared" si="8"/>
        <v>1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53" t="s">
        <v>66</v>
      </c>
      <c r="B56" s="43"/>
      <c r="C56" s="43"/>
      <c r="D56" s="43"/>
      <c r="E56" s="43"/>
      <c r="F56" s="51" t="str">
        <f>IF(SUM(F54:J54)=0,"— não preenchido",IF(ROUND(SUM(F54:J54)-$R57,3)=0,"OK — "&amp;ROUND(SUM(F54:J54),3)&amp;" km","ERRO — dif. de "&amp;ROUND(SUM(F54:J54)-$R57,3)&amp;" km"))</f>
        <v>OK — 36,047 km</v>
      </c>
      <c r="G56" s="47"/>
      <c r="H56" s="47"/>
      <c r="I56" s="47"/>
      <c r="J56" s="45"/>
      <c r="K56" s="51" t="str">
        <f>IF(SUM(K54:L54)=0,"— não preenchido",IF(ROUND(SUM(K54:L54)-$R57,3)=0,"OK — "&amp;ROUND(SUM(K54:L54),3)&amp;" km","ERRO — dif. de "&amp;ROUND(SUM(K54:L54)-$R57,3)&amp;" km"))</f>
        <v>OK — 36,047 km</v>
      </c>
      <c r="L56" s="45"/>
      <c r="M56" s="51" t="str">
        <f>IF(SUM(M54:O54)=0,"— não preenchido",IF(ROUND(SUM(M54:O54)-$R57,3)=0,"OK — "&amp;ROUND(SUM(M54:O54),3)&amp;" km","ERRO — dif. de "&amp;ROUND(SUM(M54:O54)-$R57,3)&amp;" km"))</f>
        <v>OK — 36,047 km</v>
      </c>
      <c r="N56" s="47"/>
      <c r="O56" s="45"/>
      <c r="P56" s="51" t="str">
        <f>IF(SUM(P54:R54)=0,"— não preenchido",IF(ROUND(SUM(P54:R54)-$R57,3)=0,"OK — "&amp;ROUND(SUM(P54:R54),3)&amp;" km","ERRO — dif. de "&amp;ROUND(SUM(P54:R54)-$R57,3)&amp;" km"))</f>
        <v>OK — 36,047 km</v>
      </c>
      <c r="Q56" s="47"/>
      <c r="R56" s="45"/>
      <c r="S56" s="51" t="str">
        <f>IF(SUM(S54:U54)=0,"— não preenchido",IF(ROUND(SUM(S54:U54)-$R57,3)=0,"OK — "&amp;ROUND(SUM(S54:U54),3)&amp;" km","ERRO — dif. de "&amp;ROUND(SUM(S54:U54)-$R57,3)&amp;" km"))</f>
        <v>OK — 36,047 km</v>
      </c>
      <c r="T56" s="47"/>
      <c r="U56" s="45"/>
    </row>
    <row r="57" spans="1:22" x14ac:dyDescent="0.25">
      <c r="A57" s="53" t="s">
        <v>67</v>
      </c>
      <c r="B57" s="43"/>
      <c r="C57" s="43"/>
      <c r="D57" s="43"/>
      <c r="E57" s="43"/>
      <c r="R57" s="26">
        <f>SUM(E9:E48)</f>
        <v>36.04650905103</v>
      </c>
      <c r="V57" s="8" t="str">
        <f>COUNTIF(W9:W48,"OK")&amp;" de "&amp;COUNT($E$9:$E$48)&amp;" linhas conferidas"</f>
        <v>38 de 38 linhas conferidas</v>
      </c>
    </row>
    <row r="59" spans="1:22" x14ac:dyDescent="0.25">
      <c r="A59" s="55" t="s">
        <v>68</v>
      </c>
      <c r="B59" s="43"/>
      <c r="C59" s="43"/>
      <c r="D59" s="43"/>
      <c r="E59" s="43"/>
    </row>
    <row r="60" spans="1:22" x14ac:dyDescent="0.25">
      <c r="A60" s="53" t="s">
        <v>69</v>
      </c>
      <c r="B60" s="43"/>
      <c r="C60" s="43"/>
      <c r="D60" s="43"/>
      <c r="E60" s="61" t="s">
        <v>70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 x14ac:dyDescent="0.25">
      <c r="A61" s="53" t="s">
        <v>71</v>
      </c>
      <c r="B61" s="43"/>
      <c r="C61" s="43"/>
      <c r="D61" s="43"/>
      <c r="E61" s="61" t="s">
        <v>72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 x14ac:dyDescent="0.25">
      <c r="A62" s="53" t="s">
        <v>73</v>
      </c>
      <c r="B62" s="43"/>
      <c r="C62" s="43"/>
      <c r="D62" s="43"/>
      <c r="E62" s="61" t="s">
        <v>74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 x14ac:dyDescent="0.25">
      <c r="A63" s="53" t="s">
        <v>75</v>
      </c>
      <c r="B63" s="43"/>
      <c r="C63" s="43"/>
      <c r="D63" s="43"/>
      <c r="E63" s="61" t="s">
        <v>76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 x14ac:dyDescent="0.25">
      <c r="A64" s="53" t="s">
        <v>77</v>
      </c>
      <c r="B64" s="43"/>
      <c r="C64" s="43"/>
      <c r="D64" s="43"/>
      <c r="E64" s="61" t="s">
        <v>78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x14ac:dyDescent="0.25">
      <c r="A65" s="53" t="s">
        <v>48</v>
      </c>
      <c r="B65" s="43"/>
      <c r="C65" s="43"/>
      <c r="D65" s="43"/>
      <c r="E65" s="61" t="s">
        <v>79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x14ac:dyDescent="0.25">
      <c r="A66" s="53" t="s">
        <v>80</v>
      </c>
      <c r="B66" s="43"/>
      <c r="C66" s="43"/>
      <c r="D66" s="43"/>
      <c r="E66" s="61" t="s">
        <v>81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x14ac:dyDescent="0.25">
      <c r="A67" s="53" t="s">
        <v>82</v>
      </c>
      <c r="B67" s="43"/>
      <c r="C67" s="43"/>
      <c r="D67" s="43"/>
      <c r="E67" s="61" t="s">
        <v>83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x14ac:dyDescent="0.25">
      <c r="A68" s="53" t="s">
        <v>11</v>
      </c>
      <c r="B68" s="43"/>
      <c r="C68" s="43"/>
      <c r="D68" s="43"/>
      <c r="E68" s="61" t="s">
        <v>84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16:V16"/>
    <mergeCell ref="A53:E53"/>
    <mergeCell ref="G51:K51"/>
    <mergeCell ref="E62:V62"/>
    <mergeCell ref="G50:K50"/>
    <mergeCell ref="R2:V2"/>
    <mergeCell ref="A3:S3"/>
    <mergeCell ref="C6:C7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P56:R56"/>
    <mergeCell ref="K6:L6"/>
    <mergeCell ref="D6:D7"/>
    <mergeCell ref="P6:R6"/>
    <mergeCell ref="A59:E59"/>
    <mergeCell ref="E65:V65"/>
    <mergeCell ref="A29:V29"/>
    <mergeCell ref="A68:D68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34" priority="1">
      <formula>AND(F9&lt;&gt;"",COUNTIF($F9:$J9,"X")&gt;1)</formula>
    </cfRule>
  </conditionalFormatting>
  <conditionalFormatting sqref="F56:U56">
    <cfRule type="expression" dxfId="133" priority="8">
      <formula>LEFT(F56,4)="ERRO"</formula>
    </cfRule>
    <cfRule type="expression" dxfId="132" priority="9">
      <formula>LEFT(F56,2)="OK"</formula>
    </cfRule>
  </conditionalFormatting>
  <conditionalFormatting sqref="K9:L48">
    <cfRule type="expression" dxfId="131" priority="2">
      <formula>AND(K9&lt;&gt;"",COUNTIF($K9:$L9,"X")&gt;1)</formula>
    </cfRule>
  </conditionalFormatting>
  <conditionalFormatting sqref="M9:O48">
    <cfRule type="expression" dxfId="130" priority="3">
      <formula>AND(M9&lt;&gt;"",COUNTIF($M9:$O9,"X")&gt;1)</formula>
    </cfRule>
  </conditionalFormatting>
  <conditionalFormatting sqref="P9:R48">
    <cfRule type="expression" dxfId="129" priority="4">
      <formula>AND(P9&lt;&gt;"",COUNTIF($P9:$R9,"X")&gt;1)</formula>
    </cfRule>
  </conditionalFormatting>
  <conditionalFormatting sqref="S9:U48">
    <cfRule type="expression" dxfId="128" priority="5">
      <formula>AND(S9&lt;&gt;"",COUNTIF($S9:$U9,"X")&gt;1)</formula>
    </cfRule>
  </conditionalFormatting>
  <conditionalFormatting sqref="W9:W4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247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3"/>
  <sheetViews>
    <sheetView showGridLines="0" workbookViewId="0">
      <pane xSplit="5" ySplit="7" topLeftCell="F47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IF(F59=0,NA(),F59)</f>
        <v>28.187731417099997</v>
      </c>
      <c r="Z2" s="2">
        <f t="shared" si="0"/>
        <v>5.8182596155799997</v>
      </c>
      <c r="AA2" s="2">
        <f t="shared" si="0"/>
        <v>9</v>
      </c>
      <c r="AB2" s="2" t="e">
        <f t="shared" si="0"/>
        <v>#N/A</v>
      </c>
      <c r="AC2" s="2" t="e">
        <f t="shared" si="0"/>
        <v>#N/A</v>
      </c>
      <c r="AD2" s="2">
        <f t="shared" si="0"/>
        <v>43.005991032680001</v>
      </c>
      <c r="AE2" s="2" t="e">
        <f t="shared" si="0"/>
        <v>#N/A</v>
      </c>
      <c r="AF2" s="2" t="e">
        <f t="shared" si="0"/>
        <v>#N/A</v>
      </c>
      <c r="AG2" s="2">
        <f t="shared" si="0"/>
        <v>43.005991032680001</v>
      </c>
      <c r="AH2" s="2" t="e">
        <f t="shared" si="0"/>
        <v>#N/A</v>
      </c>
      <c r="AI2" s="2" t="e">
        <f t="shared" si="0"/>
        <v>#N/A</v>
      </c>
      <c r="AJ2" s="2">
        <f t="shared" si="0"/>
        <v>43.005991032680001</v>
      </c>
      <c r="AK2" s="2" t="e">
        <f t="shared" si="0"/>
        <v>#N/A</v>
      </c>
      <c r="AL2" s="2" t="e">
        <f t="shared" si="0"/>
        <v>#N/A</v>
      </c>
      <c r="AM2" s="2">
        <f t="shared" si="0"/>
        <v>43.005991032680001</v>
      </c>
      <c r="AN2" s="2" t="e">
        <f t="shared" si="0"/>
        <v>#N/A</v>
      </c>
    </row>
    <row r="3" spans="1:40" ht="15" customHeight="1" x14ac:dyDescent="0.25">
      <c r="A3" s="66" t="s">
        <v>93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7" t="s">
        <v>94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95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96</v>
      </c>
      <c r="B9" s="13" t="s">
        <v>56</v>
      </c>
      <c r="C9" s="14">
        <v>0</v>
      </c>
      <c r="D9" s="14">
        <v>1</v>
      </c>
      <c r="E9" s="14">
        <f t="shared" ref="E9:E14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96</v>
      </c>
      <c r="B14" s="19" t="s">
        <v>56</v>
      </c>
      <c r="C14" s="20">
        <v>5</v>
      </c>
      <c r="D14" s="20">
        <v>5.8182596155799997</v>
      </c>
      <c r="E14" s="20">
        <f t="shared" si="1"/>
        <v>0.81825961557999971</v>
      </c>
      <c r="F14" s="21"/>
      <c r="G14" s="21" t="s">
        <v>57</v>
      </c>
      <c r="H14" s="21"/>
      <c r="I14" s="21"/>
      <c r="J14" s="21"/>
      <c r="K14" s="21" t="s">
        <v>57</v>
      </c>
      <c r="L14" s="21"/>
      <c r="M14" s="21"/>
      <c r="N14" s="21" t="s">
        <v>57</v>
      </c>
      <c r="O14" s="21"/>
      <c r="P14" s="21"/>
      <c r="Q14" s="21" t="s">
        <v>57</v>
      </c>
      <c r="R14" s="21"/>
      <c r="S14" s="21"/>
      <c r="T14" s="21" t="s">
        <v>57</v>
      </c>
      <c r="U14" s="21"/>
      <c r="V14" s="22"/>
      <c r="W14" s="23" t="str">
        <f t="shared" si="2"/>
        <v>OK</v>
      </c>
    </row>
    <row r="15" spans="1:40" ht="15.95" customHeight="1" x14ac:dyDescent="0.25">
      <c r="A15" s="52" t="s">
        <v>97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5"/>
      <c r="W15" s="4"/>
    </row>
    <row r="16" spans="1:40" ht="20.100000000000001" customHeight="1" x14ac:dyDescent="0.25">
      <c r="A16" s="12" t="s">
        <v>98</v>
      </c>
      <c r="B16" s="13" t="s">
        <v>56</v>
      </c>
      <c r="C16" s="14">
        <v>0</v>
      </c>
      <c r="D16" s="14">
        <v>1</v>
      </c>
      <c r="E16" s="14">
        <f t="shared" ref="E16:E53" si="3">D16-C16</f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 t="s">
        <v>99</v>
      </c>
      <c r="W16" s="17" t="str">
        <f t="shared" ref="W16:W53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98</v>
      </c>
      <c r="B17" s="13" t="s">
        <v>56</v>
      </c>
      <c r="C17" s="14">
        <v>1</v>
      </c>
      <c r="D17" s="14">
        <v>2</v>
      </c>
      <c r="E17" s="14">
        <f t="shared" si="3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 t="s">
        <v>99</v>
      </c>
      <c r="W17" s="17" t="str">
        <f t="shared" si="4"/>
        <v>OK</v>
      </c>
    </row>
    <row r="18" spans="1:23" ht="20.100000000000001" customHeight="1" x14ac:dyDescent="0.25">
      <c r="A18" s="12" t="s">
        <v>98</v>
      </c>
      <c r="B18" s="13" t="s">
        <v>56</v>
      </c>
      <c r="C18" s="14">
        <v>2</v>
      </c>
      <c r="D18" s="14">
        <v>3</v>
      </c>
      <c r="E18" s="14">
        <f t="shared" si="3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 t="s">
        <v>99</v>
      </c>
      <c r="W18" s="17" t="str">
        <f t="shared" si="4"/>
        <v>OK</v>
      </c>
    </row>
    <row r="19" spans="1:23" ht="20.100000000000001" customHeight="1" x14ac:dyDescent="0.25">
      <c r="A19" s="12" t="s">
        <v>98</v>
      </c>
      <c r="B19" s="13" t="s">
        <v>56</v>
      </c>
      <c r="C19" s="14">
        <v>3</v>
      </c>
      <c r="D19" s="14">
        <v>4</v>
      </c>
      <c r="E19" s="14">
        <f t="shared" si="3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98</v>
      </c>
      <c r="B20" s="13" t="s">
        <v>56</v>
      </c>
      <c r="C20" s="14">
        <v>4</v>
      </c>
      <c r="D20" s="14">
        <v>5</v>
      </c>
      <c r="E20" s="14">
        <f t="shared" si="3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98</v>
      </c>
      <c r="B21" s="13" t="s">
        <v>56</v>
      </c>
      <c r="C21" s="14">
        <v>5</v>
      </c>
      <c r="D21" s="14">
        <v>6</v>
      </c>
      <c r="E21" s="14">
        <f t="shared" si="3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98</v>
      </c>
      <c r="B22" s="13" t="s">
        <v>56</v>
      </c>
      <c r="C22" s="14">
        <v>6</v>
      </c>
      <c r="D22" s="14">
        <v>7</v>
      </c>
      <c r="E22" s="14">
        <f t="shared" si="3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98</v>
      </c>
      <c r="B23" s="13" t="s">
        <v>56</v>
      </c>
      <c r="C23" s="14">
        <v>7</v>
      </c>
      <c r="D23" s="14">
        <v>8</v>
      </c>
      <c r="E23" s="14">
        <f t="shared" si="3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98</v>
      </c>
      <c r="B24" s="13" t="s">
        <v>56</v>
      </c>
      <c r="C24" s="14">
        <v>8</v>
      </c>
      <c r="D24" s="14">
        <v>9</v>
      </c>
      <c r="E24" s="14">
        <f t="shared" si="3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98</v>
      </c>
      <c r="B25" s="13" t="s">
        <v>56</v>
      </c>
      <c r="C25" s="14">
        <v>9</v>
      </c>
      <c r="D25" s="14">
        <v>10</v>
      </c>
      <c r="E25" s="14">
        <f t="shared" si="3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98</v>
      </c>
      <c r="B26" s="13" t="s">
        <v>56</v>
      </c>
      <c r="C26" s="14">
        <v>10</v>
      </c>
      <c r="D26" s="14">
        <v>11</v>
      </c>
      <c r="E26" s="14">
        <f t="shared" si="3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98</v>
      </c>
      <c r="B27" s="13" t="s">
        <v>56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57</v>
      </c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98</v>
      </c>
      <c r="B28" s="13" t="s">
        <v>56</v>
      </c>
      <c r="C28" s="14">
        <v>12</v>
      </c>
      <c r="D28" s="14">
        <v>13</v>
      </c>
      <c r="E28" s="14">
        <f t="shared" si="3"/>
        <v>1</v>
      </c>
      <c r="F28" s="15" t="s">
        <v>57</v>
      </c>
      <c r="G28" s="15"/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98</v>
      </c>
      <c r="B29" s="13" t="s">
        <v>56</v>
      </c>
      <c r="C29" s="14">
        <v>13</v>
      </c>
      <c r="D29" s="14">
        <v>14</v>
      </c>
      <c r="E29" s="14">
        <f t="shared" si="3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98</v>
      </c>
      <c r="B30" s="13" t="s">
        <v>56</v>
      </c>
      <c r="C30" s="14">
        <v>14</v>
      </c>
      <c r="D30" s="14">
        <v>15</v>
      </c>
      <c r="E30" s="14">
        <f t="shared" si="3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98</v>
      </c>
      <c r="B31" s="13" t="s">
        <v>56</v>
      </c>
      <c r="C31" s="14">
        <v>15</v>
      </c>
      <c r="D31" s="14">
        <v>16</v>
      </c>
      <c r="E31" s="14">
        <f t="shared" si="3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98</v>
      </c>
      <c r="B32" s="13" t="s">
        <v>56</v>
      </c>
      <c r="C32" s="14">
        <v>16</v>
      </c>
      <c r="D32" s="14">
        <v>17</v>
      </c>
      <c r="E32" s="14">
        <f t="shared" si="3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98</v>
      </c>
      <c r="B33" s="13" t="s">
        <v>56</v>
      </c>
      <c r="C33" s="14">
        <v>17</v>
      </c>
      <c r="D33" s="14">
        <v>18</v>
      </c>
      <c r="E33" s="14">
        <f t="shared" si="3"/>
        <v>1</v>
      </c>
      <c r="F33" s="15" t="s">
        <v>57</v>
      </c>
      <c r="G33" s="15"/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98</v>
      </c>
      <c r="B34" s="13" t="s">
        <v>56</v>
      </c>
      <c r="C34" s="14">
        <v>18</v>
      </c>
      <c r="D34" s="14">
        <v>19</v>
      </c>
      <c r="E34" s="14">
        <f t="shared" si="3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98</v>
      </c>
      <c r="B35" s="13" t="s">
        <v>56</v>
      </c>
      <c r="C35" s="14">
        <v>19</v>
      </c>
      <c r="D35" s="14">
        <v>20</v>
      </c>
      <c r="E35" s="14">
        <f t="shared" si="3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98</v>
      </c>
      <c r="B36" s="13" t="s">
        <v>56</v>
      </c>
      <c r="C36" s="14">
        <v>20</v>
      </c>
      <c r="D36" s="14">
        <v>21</v>
      </c>
      <c r="E36" s="14">
        <f t="shared" si="3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98</v>
      </c>
      <c r="B37" s="13" t="s">
        <v>56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98</v>
      </c>
      <c r="B38" s="13" t="s">
        <v>56</v>
      </c>
      <c r="C38" s="14">
        <v>22</v>
      </c>
      <c r="D38" s="14">
        <v>23</v>
      </c>
      <c r="E38" s="14">
        <f t="shared" si="3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98</v>
      </c>
      <c r="B39" s="13" t="s">
        <v>56</v>
      </c>
      <c r="C39" s="14">
        <v>23</v>
      </c>
      <c r="D39" s="14">
        <v>24</v>
      </c>
      <c r="E39" s="14">
        <f t="shared" si="3"/>
        <v>1</v>
      </c>
      <c r="F39" s="15"/>
      <c r="G39" s="15"/>
      <c r="H39" s="15" t="s">
        <v>57</v>
      </c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98</v>
      </c>
      <c r="B40" s="13" t="s">
        <v>56</v>
      </c>
      <c r="C40" s="14">
        <v>24</v>
      </c>
      <c r="D40" s="14">
        <v>25</v>
      </c>
      <c r="E40" s="14">
        <f t="shared" si="3"/>
        <v>1</v>
      </c>
      <c r="F40" s="15"/>
      <c r="G40" s="15"/>
      <c r="H40" s="15" t="s">
        <v>57</v>
      </c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98</v>
      </c>
      <c r="B41" s="13" t="s">
        <v>56</v>
      </c>
      <c r="C41" s="14">
        <v>25</v>
      </c>
      <c r="D41" s="14">
        <v>26</v>
      </c>
      <c r="E41" s="14">
        <f t="shared" si="3"/>
        <v>1</v>
      </c>
      <c r="F41" s="15"/>
      <c r="G41" s="15"/>
      <c r="H41" s="15" t="s">
        <v>57</v>
      </c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98</v>
      </c>
      <c r="B42" s="13" t="s">
        <v>56</v>
      </c>
      <c r="C42" s="14">
        <v>26</v>
      </c>
      <c r="D42" s="14">
        <v>27</v>
      </c>
      <c r="E42" s="14">
        <f t="shared" si="3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98</v>
      </c>
      <c r="B43" s="13" t="s">
        <v>56</v>
      </c>
      <c r="C43" s="14">
        <v>27</v>
      </c>
      <c r="D43" s="14">
        <v>28</v>
      </c>
      <c r="E43" s="14">
        <f t="shared" si="3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98</v>
      </c>
      <c r="B44" s="13" t="s">
        <v>56</v>
      </c>
      <c r="C44" s="14">
        <v>28</v>
      </c>
      <c r="D44" s="14">
        <v>29</v>
      </c>
      <c r="E44" s="14">
        <f t="shared" si="3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98</v>
      </c>
      <c r="B45" s="13" t="s">
        <v>56</v>
      </c>
      <c r="C45" s="14">
        <v>29</v>
      </c>
      <c r="D45" s="14">
        <v>30</v>
      </c>
      <c r="E45" s="14">
        <f t="shared" si="3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98</v>
      </c>
      <c r="B46" s="13" t="s">
        <v>56</v>
      </c>
      <c r="C46" s="14">
        <v>30</v>
      </c>
      <c r="D46" s="14">
        <v>31</v>
      </c>
      <c r="E46" s="14">
        <f t="shared" si="3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98</v>
      </c>
      <c r="B47" s="13" t="s">
        <v>56</v>
      </c>
      <c r="C47" s="14">
        <v>31</v>
      </c>
      <c r="D47" s="14">
        <v>32</v>
      </c>
      <c r="E47" s="14">
        <f t="shared" si="3"/>
        <v>1</v>
      </c>
      <c r="F47" s="15" t="s">
        <v>57</v>
      </c>
      <c r="G47" s="15"/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98</v>
      </c>
      <c r="B48" s="13" t="s">
        <v>56</v>
      </c>
      <c r="C48" s="14">
        <v>32</v>
      </c>
      <c r="D48" s="14">
        <v>33</v>
      </c>
      <c r="E48" s="14">
        <f t="shared" si="3"/>
        <v>1</v>
      </c>
      <c r="F48" s="15" t="s">
        <v>57</v>
      </c>
      <c r="G48" s="15"/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98</v>
      </c>
      <c r="B49" s="13" t="s">
        <v>56</v>
      </c>
      <c r="C49" s="14">
        <v>33</v>
      </c>
      <c r="D49" s="14">
        <v>34</v>
      </c>
      <c r="E49" s="14">
        <f t="shared" si="3"/>
        <v>1</v>
      </c>
      <c r="F49" s="15" t="s">
        <v>57</v>
      </c>
      <c r="G49" s="15"/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98</v>
      </c>
      <c r="B50" s="13" t="s">
        <v>56</v>
      </c>
      <c r="C50" s="14">
        <v>34</v>
      </c>
      <c r="D50" s="14">
        <v>35</v>
      </c>
      <c r="E50" s="14">
        <f t="shared" si="3"/>
        <v>1</v>
      </c>
      <c r="F50" s="15" t="s">
        <v>57</v>
      </c>
      <c r="G50" s="15"/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98</v>
      </c>
      <c r="B51" s="13" t="s">
        <v>56</v>
      </c>
      <c r="C51" s="14">
        <v>35</v>
      </c>
      <c r="D51" s="14">
        <v>36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98</v>
      </c>
      <c r="B52" s="13" t="s">
        <v>56</v>
      </c>
      <c r="C52" s="14">
        <v>36</v>
      </c>
      <c r="D52" s="14">
        <v>37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98</v>
      </c>
      <c r="B53" s="19" t="s">
        <v>56</v>
      </c>
      <c r="C53" s="20">
        <v>37</v>
      </c>
      <c r="D53" s="20">
        <v>37.187731417099997</v>
      </c>
      <c r="E53" s="20">
        <f t="shared" si="3"/>
        <v>0.18773141709999663</v>
      </c>
      <c r="F53" s="21" t="s">
        <v>57</v>
      </c>
      <c r="G53" s="21"/>
      <c r="H53" s="21"/>
      <c r="I53" s="21"/>
      <c r="J53" s="21"/>
      <c r="K53" s="21" t="s">
        <v>57</v>
      </c>
      <c r="L53" s="21"/>
      <c r="M53" s="21"/>
      <c r="N53" s="21" t="s">
        <v>57</v>
      </c>
      <c r="O53" s="21"/>
      <c r="P53" s="21"/>
      <c r="Q53" s="21" t="s">
        <v>57</v>
      </c>
      <c r="R53" s="21"/>
      <c r="S53" s="21"/>
      <c r="T53" s="21" t="s">
        <v>57</v>
      </c>
      <c r="U53" s="21"/>
      <c r="V53" s="22"/>
      <c r="W53" s="23" t="str">
        <f t="shared" si="4"/>
        <v>OK</v>
      </c>
    </row>
    <row r="55" spans="1:23" x14ac:dyDescent="0.25">
      <c r="A55" s="54" t="s">
        <v>60</v>
      </c>
      <c r="B55" s="43"/>
      <c r="C55" s="43"/>
      <c r="D55" s="43"/>
      <c r="E55" s="43"/>
      <c r="G55" s="54" t="s">
        <v>60</v>
      </c>
      <c r="H55" s="43"/>
      <c r="I55" s="43"/>
      <c r="J55" s="43"/>
      <c r="K55" s="43"/>
    </row>
    <row r="56" spans="1:23" x14ac:dyDescent="0.25">
      <c r="A56" s="59" t="s">
        <v>61</v>
      </c>
      <c r="B56" s="43"/>
      <c r="C56" s="43"/>
      <c r="D56" s="43"/>
      <c r="E56" s="43"/>
      <c r="G56" s="59" t="s">
        <v>62</v>
      </c>
      <c r="H56" s="43"/>
      <c r="I56" s="43"/>
      <c r="J56" s="43"/>
      <c r="K56" s="43"/>
    </row>
    <row r="58" spans="1:23" x14ac:dyDescent="0.25">
      <c r="A58" s="60" t="s">
        <v>63</v>
      </c>
      <c r="B58" s="43"/>
      <c r="C58" s="43"/>
      <c r="D58" s="43"/>
      <c r="E58" s="4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53" t="s">
        <v>64</v>
      </c>
      <c r="B59" s="43"/>
      <c r="C59" s="43"/>
      <c r="D59" s="43"/>
      <c r="E59" s="43"/>
      <c r="F59" s="9">
        <f t="shared" ref="F59:U59" si="5">SUMIF(F$9:F$53,"X",$E$9:$E$53)</f>
        <v>28.187731417099997</v>
      </c>
      <c r="G59" s="9">
        <f t="shared" si="5"/>
        <v>5.8182596155799997</v>
      </c>
      <c r="H59" s="9">
        <f t="shared" si="5"/>
        <v>9</v>
      </c>
      <c r="I59" s="9">
        <f t="shared" si="5"/>
        <v>0</v>
      </c>
      <c r="J59" s="9">
        <f t="shared" si="5"/>
        <v>0</v>
      </c>
      <c r="K59" s="9">
        <f t="shared" si="5"/>
        <v>43.005991032680001</v>
      </c>
      <c r="L59" s="9">
        <f t="shared" si="5"/>
        <v>0</v>
      </c>
      <c r="M59" s="9">
        <f t="shared" si="5"/>
        <v>0</v>
      </c>
      <c r="N59" s="9">
        <f t="shared" si="5"/>
        <v>43.005991032680001</v>
      </c>
      <c r="O59" s="9">
        <f t="shared" si="5"/>
        <v>0</v>
      </c>
      <c r="P59" s="9">
        <f t="shared" si="5"/>
        <v>0</v>
      </c>
      <c r="Q59" s="9">
        <f t="shared" si="5"/>
        <v>43.005991032680001</v>
      </c>
      <c r="R59" s="9">
        <f t="shared" si="5"/>
        <v>0</v>
      </c>
      <c r="S59" s="9">
        <f t="shared" si="5"/>
        <v>0</v>
      </c>
      <c r="T59" s="9">
        <f t="shared" si="5"/>
        <v>43.005991032680001</v>
      </c>
      <c r="U59" s="9">
        <f t="shared" si="5"/>
        <v>0</v>
      </c>
    </row>
    <row r="60" spans="1:23" x14ac:dyDescent="0.25">
      <c r="A60" s="53" t="s">
        <v>65</v>
      </c>
      <c r="B60" s="43"/>
      <c r="C60" s="43"/>
      <c r="D60" s="43"/>
      <c r="E60" s="43"/>
      <c r="F60" s="25">
        <f t="shared" ref="F60:U60" si="6">IF($R62=0,0,F59/$R62)</f>
        <v>0.65543731792345639</v>
      </c>
      <c r="G60" s="25">
        <f t="shared" si="6"/>
        <v>0.13528951376004189</v>
      </c>
      <c r="H60" s="25">
        <f t="shared" si="6"/>
        <v>0.20927316831650158</v>
      </c>
      <c r="I60" s="25">
        <f t="shared" si="6"/>
        <v>0</v>
      </c>
      <c r="J60" s="25">
        <f t="shared" si="6"/>
        <v>0</v>
      </c>
      <c r="K60" s="25">
        <f t="shared" si="6"/>
        <v>1</v>
      </c>
      <c r="L60" s="25">
        <f t="shared" si="6"/>
        <v>0</v>
      </c>
      <c r="M60" s="25">
        <f t="shared" si="6"/>
        <v>0</v>
      </c>
      <c r="N60" s="25">
        <f t="shared" si="6"/>
        <v>1</v>
      </c>
      <c r="O60" s="25">
        <f t="shared" si="6"/>
        <v>0</v>
      </c>
      <c r="P60" s="25">
        <f t="shared" si="6"/>
        <v>0</v>
      </c>
      <c r="Q60" s="25">
        <f t="shared" si="6"/>
        <v>1</v>
      </c>
      <c r="R60" s="25">
        <f t="shared" si="6"/>
        <v>0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53" t="s">
        <v>66</v>
      </c>
      <c r="B61" s="43"/>
      <c r="C61" s="43"/>
      <c r="D61" s="43"/>
      <c r="E61" s="43"/>
      <c r="F61" s="51" t="str">
        <f>IF(SUM(F59:J59)=0,"— não preenchido",IF(ROUND(SUM(F59:J59)-$R62,3)=0,"OK — "&amp;ROUND(SUM(F59:J59),3)&amp;" km","ERRO — dif. de "&amp;ROUND(SUM(F59:J59)-$R62,3)&amp;" km"))</f>
        <v>OK — 43,006 km</v>
      </c>
      <c r="G61" s="47"/>
      <c r="H61" s="47"/>
      <c r="I61" s="47"/>
      <c r="J61" s="45"/>
      <c r="K61" s="51" t="str">
        <f>IF(SUM(K59:L59)=0,"— não preenchido",IF(ROUND(SUM(K59:L59)-$R62,3)=0,"OK — "&amp;ROUND(SUM(K59:L59),3)&amp;" km","ERRO — dif. de "&amp;ROUND(SUM(K59:L59)-$R62,3)&amp;" km"))</f>
        <v>OK — 43,006 km</v>
      </c>
      <c r="L61" s="45"/>
      <c r="M61" s="51" t="str">
        <f>IF(SUM(M59:O59)=0,"— não preenchido",IF(ROUND(SUM(M59:O59)-$R62,3)=0,"OK — "&amp;ROUND(SUM(M59:O59),3)&amp;" km","ERRO — dif. de "&amp;ROUND(SUM(M59:O59)-$R62,3)&amp;" km"))</f>
        <v>OK — 43,006 km</v>
      </c>
      <c r="N61" s="47"/>
      <c r="O61" s="45"/>
      <c r="P61" s="51" t="str">
        <f>IF(SUM(P59:R59)=0,"— não preenchido",IF(ROUND(SUM(P59:R59)-$R62,3)=0,"OK — "&amp;ROUND(SUM(P59:R59),3)&amp;" km","ERRO — dif. de "&amp;ROUND(SUM(P59:R59)-$R62,3)&amp;" km"))</f>
        <v>OK — 43,006 km</v>
      </c>
      <c r="Q61" s="47"/>
      <c r="R61" s="45"/>
      <c r="S61" s="51" t="str">
        <f>IF(SUM(S59:U59)=0,"— não preenchido",IF(ROUND(SUM(S59:U59)-$R62,3)=0,"OK — "&amp;ROUND(SUM(S59:U59),3)&amp;" km","ERRO — dif. de "&amp;ROUND(SUM(S59:U59)-$R62,3)&amp;" km"))</f>
        <v>OK — 43,006 km</v>
      </c>
      <c r="T61" s="47"/>
      <c r="U61" s="45"/>
    </row>
    <row r="62" spans="1:23" x14ac:dyDescent="0.25">
      <c r="A62" s="53" t="s">
        <v>67</v>
      </c>
      <c r="B62" s="43"/>
      <c r="C62" s="43"/>
      <c r="D62" s="43"/>
      <c r="E62" s="43"/>
      <c r="R62" s="26">
        <f>SUM(E9:E53)</f>
        <v>43.005991032680001</v>
      </c>
      <c r="V62" s="8" t="str">
        <f>COUNTIF(W9:W53,"OK")&amp;" de "&amp;COUNT($E$9:$E$53)&amp;" linhas conferidas"</f>
        <v>44 de 44 linhas conferidas</v>
      </c>
    </row>
    <row r="64" spans="1:23" x14ac:dyDescent="0.25">
      <c r="A64" s="55" t="s">
        <v>68</v>
      </c>
      <c r="B64" s="43"/>
      <c r="C64" s="43"/>
      <c r="D64" s="43"/>
      <c r="E64" s="43"/>
    </row>
    <row r="65" spans="1:22" x14ac:dyDescent="0.25">
      <c r="A65" s="53" t="s">
        <v>69</v>
      </c>
      <c r="B65" s="43"/>
      <c r="C65" s="43"/>
      <c r="D65" s="43"/>
      <c r="E65" s="61" t="s">
        <v>70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x14ac:dyDescent="0.25">
      <c r="A66" s="53" t="s">
        <v>71</v>
      </c>
      <c r="B66" s="43"/>
      <c r="C66" s="43"/>
      <c r="D66" s="43"/>
      <c r="E66" s="61" t="s">
        <v>72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x14ac:dyDescent="0.25">
      <c r="A67" s="53" t="s">
        <v>73</v>
      </c>
      <c r="B67" s="43"/>
      <c r="C67" s="43"/>
      <c r="D67" s="43"/>
      <c r="E67" s="61" t="s">
        <v>74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x14ac:dyDescent="0.25">
      <c r="A68" s="53" t="s">
        <v>75</v>
      </c>
      <c r="B68" s="43"/>
      <c r="C68" s="43"/>
      <c r="D68" s="43"/>
      <c r="E68" s="61" t="s">
        <v>76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spans="1:22" x14ac:dyDescent="0.25">
      <c r="A69" s="53" t="s">
        <v>77</v>
      </c>
      <c r="B69" s="43"/>
      <c r="C69" s="43"/>
      <c r="D69" s="43"/>
      <c r="E69" s="61" t="s">
        <v>78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 x14ac:dyDescent="0.25">
      <c r="A70" s="53" t="s">
        <v>48</v>
      </c>
      <c r="B70" s="43"/>
      <c r="C70" s="43"/>
      <c r="D70" s="43"/>
      <c r="E70" s="61" t="s">
        <v>79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1:22" x14ac:dyDescent="0.25">
      <c r="A71" s="53" t="s">
        <v>80</v>
      </c>
      <c r="B71" s="43"/>
      <c r="C71" s="43"/>
      <c r="D71" s="43"/>
      <c r="E71" s="61" t="s">
        <v>81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 x14ac:dyDescent="0.25">
      <c r="A72" s="53" t="s">
        <v>82</v>
      </c>
      <c r="B72" s="43"/>
      <c r="C72" s="43"/>
      <c r="D72" s="43"/>
      <c r="E72" s="61" t="s">
        <v>83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22" x14ac:dyDescent="0.25">
      <c r="A73" s="53" t="s">
        <v>11</v>
      </c>
      <c r="B73" s="43"/>
      <c r="C73" s="43"/>
      <c r="D73" s="43"/>
      <c r="E73" s="61" t="s">
        <v>84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</sheetData>
  <sheetProtection formatCells="0"/>
  <mergeCells count="58"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C6:C7"/>
    <mergeCell ref="S61:U61"/>
    <mergeCell ref="K6:L6"/>
    <mergeCell ref="D6:D7"/>
    <mergeCell ref="P6:R6"/>
    <mergeCell ref="W6:W7"/>
    <mergeCell ref="M61:O61"/>
    <mergeCell ref="E6:E7"/>
    <mergeCell ref="A73:D73"/>
    <mergeCell ref="E70:V70"/>
    <mergeCell ref="B6:B7"/>
    <mergeCell ref="A15:V15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V6:V7"/>
    <mergeCell ref="A4:V4"/>
    <mergeCell ref="E65:V65"/>
    <mergeCell ref="A68:D68"/>
    <mergeCell ref="A2:F2"/>
    <mergeCell ref="S6:U6"/>
    <mergeCell ref="K2:M2"/>
    <mergeCell ref="A67:D67"/>
    <mergeCell ref="N2:O2"/>
    <mergeCell ref="P2:Q2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25" priority="1">
      <formula>AND(F9&lt;&gt;"",COUNTIF($F9:$J9,"X")&gt;1)</formula>
    </cfRule>
  </conditionalFormatting>
  <conditionalFormatting sqref="F61:U61">
    <cfRule type="expression" dxfId="124" priority="8">
      <formula>LEFT(F61,4)="ERRO"</formula>
    </cfRule>
    <cfRule type="expression" dxfId="123" priority="9">
      <formula>LEFT(F61,2)="OK"</formula>
    </cfRule>
  </conditionalFormatting>
  <conditionalFormatting sqref="K9:L53">
    <cfRule type="expression" dxfId="122" priority="2">
      <formula>AND(K9&lt;&gt;"",COUNTIF($K9:$L9,"X")&gt;1)</formula>
    </cfRule>
  </conditionalFormatting>
  <conditionalFormatting sqref="M9:O53">
    <cfRule type="expression" dxfId="121" priority="3">
      <formula>AND(M9&lt;&gt;"",COUNTIF($M9:$O9,"X")&gt;1)</formula>
    </cfRule>
  </conditionalFormatting>
  <conditionalFormatting sqref="P9:R53">
    <cfRule type="expression" dxfId="120" priority="4">
      <formula>AND(P9&lt;&gt;"",COUNTIF($P9:$R9,"X")&gt;1)</formula>
    </cfRule>
  </conditionalFormatting>
  <conditionalFormatting sqref="S9:U53">
    <cfRule type="expression" dxfId="119" priority="5">
      <formula>AND(S9&lt;&gt;"",COUNTIF($S9:$U9,"X")&gt;1)</formula>
    </cfRule>
  </conditionalFormatting>
  <conditionalFormatting sqref="W9:W53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248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  <pageSetUpPr fitToPage="1"/>
  </sheetPr>
  <dimension ref="A1:AN67"/>
  <sheetViews>
    <sheetView showGridLines="0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IF(F53=0,NA(),F53)</f>
        <v>12.68403994444</v>
      </c>
      <c r="Z2" s="2" t="e">
        <f t="shared" si="0"/>
        <v>#N/A</v>
      </c>
      <c r="AA2" s="2">
        <f t="shared" si="0"/>
        <v>22.251226718399998</v>
      </c>
      <c r="AB2" s="2" t="e">
        <f t="shared" si="0"/>
        <v>#N/A</v>
      </c>
      <c r="AC2" s="2" t="e">
        <f t="shared" si="0"/>
        <v>#N/A</v>
      </c>
      <c r="AD2" s="2">
        <f t="shared" si="0"/>
        <v>34.93526666284</v>
      </c>
      <c r="AE2" s="2" t="e">
        <f t="shared" si="0"/>
        <v>#N/A</v>
      </c>
      <c r="AF2" s="2">
        <f t="shared" si="0"/>
        <v>34.93526666284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34.93526666284</v>
      </c>
      <c r="AK2" s="2" t="e">
        <f t="shared" si="0"/>
        <v>#N/A</v>
      </c>
      <c r="AL2" s="2" t="e">
        <f t="shared" si="0"/>
        <v>#N/A</v>
      </c>
      <c r="AM2" s="2">
        <f t="shared" si="0"/>
        <v>34.93526666284</v>
      </c>
      <c r="AN2" s="2" t="e">
        <f t="shared" si="0"/>
        <v>#N/A</v>
      </c>
    </row>
    <row r="3" spans="1:40" ht="15" customHeight="1" x14ac:dyDescent="0.25">
      <c r="A3" s="64" t="s">
        <v>100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101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102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103</v>
      </c>
      <c r="B9" s="13" t="s">
        <v>56</v>
      </c>
      <c r="C9" s="14">
        <v>0</v>
      </c>
      <c r="D9" s="14">
        <v>1</v>
      </c>
      <c r="E9" s="14">
        <f t="shared" ref="E9:E24" si="1"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103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57</v>
      </c>
      <c r="I10" s="15"/>
      <c r="J10" s="15"/>
      <c r="K10" s="15" t="s">
        <v>57</v>
      </c>
      <c r="L10" s="15"/>
      <c r="M10" s="15" t="s">
        <v>57</v>
      </c>
      <c r="N10" s="15"/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103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 t="s">
        <v>57</v>
      </c>
      <c r="N11" s="15"/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103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57</v>
      </c>
      <c r="I12" s="15"/>
      <c r="J12" s="15"/>
      <c r="K12" s="15" t="s">
        <v>57</v>
      </c>
      <c r="L12" s="15"/>
      <c r="M12" s="15" t="s">
        <v>57</v>
      </c>
      <c r="N12" s="15"/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103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103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103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 t="s">
        <v>57</v>
      </c>
      <c r="N15" s="15"/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103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 t="s">
        <v>57</v>
      </c>
      <c r="N16" s="15"/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103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103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103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103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103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103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57</v>
      </c>
      <c r="I22" s="15"/>
      <c r="J22" s="15"/>
      <c r="K22" s="15" t="s">
        <v>57</v>
      </c>
      <c r="L22" s="15"/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103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103</v>
      </c>
      <c r="B24" s="19" t="s">
        <v>56</v>
      </c>
      <c r="C24" s="20">
        <v>15</v>
      </c>
      <c r="D24" s="20">
        <v>15.045976034300001</v>
      </c>
      <c r="E24" s="20">
        <f t="shared" si="1"/>
        <v>4.5976034300000634E-2</v>
      </c>
      <c r="F24" s="21"/>
      <c r="G24" s="21"/>
      <c r="H24" s="21" t="s">
        <v>57</v>
      </c>
      <c r="I24" s="21"/>
      <c r="J24" s="21"/>
      <c r="K24" s="21" t="s">
        <v>57</v>
      </c>
      <c r="L24" s="21"/>
      <c r="M24" s="21" t="s">
        <v>57</v>
      </c>
      <c r="N24" s="21"/>
      <c r="O24" s="21"/>
      <c r="P24" s="21"/>
      <c r="Q24" s="21" t="s">
        <v>57</v>
      </c>
      <c r="R24" s="21"/>
      <c r="S24" s="21"/>
      <c r="T24" s="21" t="s">
        <v>57</v>
      </c>
      <c r="U24" s="21"/>
      <c r="V24" s="22"/>
      <c r="W24" s="23" t="str">
        <f t="shared" si="2"/>
        <v>OK</v>
      </c>
    </row>
    <row r="25" spans="1:23" ht="15.95" customHeight="1" x14ac:dyDescent="0.25">
      <c r="A25" s="52" t="s">
        <v>104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5"/>
      <c r="W25" s="4"/>
    </row>
    <row r="26" spans="1:23" ht="20.100000000000001" customHeight="1" x14ac:dyDescent="0.25">
      <c r="A26" s="12" t="s">
        <v>105</v>
      </c>
      <c r="B26" s="13" t="s">
        <v>56</v>
      </c>
      <c r="C26" s="14">
        <v>0</v>
      </c>
      <c r="D26" s="14">
        <v>1</v>
      </c>
      <c r="E26" s="14">
        <f t="shared" ref="E26:E37" si="3">D26-C26</f>
        <v>1</v>
      </c>
      <c r="F26" s="15"/>
      <c r="G26" s="15"/>
      <c r="H26" s="15" t="s">
        <v>57</v>
      </c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ref="W26:W3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105</v>
      </c>
      <c r="B27" s="13" t="s">
        <v>56</v>
      </c>
      <c r="C27" s="14">
        <v>1</v>
      </c>
      <c r="D27" s="14">
        <v>2</v>
      </c>
      <c r="E27" s="14">
        <f t="shared" si="3"/>
        <v>1</v>
      </c>
      <c r="F27" s="15"/>
      <c r="G27" s="15"/>
      <c r="H27" s="15" t="s">
        <v>57</v>
      </c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105</v>
      </c>
      <c r="B28" s="13" t="s">
        <v>56</v>
      </c>
      <c r="C28" s="14">
        <v>2</v>
      </c>
      <c r="D28" s="14">
        <v>3</v>
      </c>
      <c r="E28" s="14">
        <f t="shared" si="3"/>
        <v>1</v>
      </c>
      <c r="F28" s="15"/>
      <c r="G28" s="15"/>
      <c r="H28" s="15" t="s">
        <v>57</v>
      </c>
      <c r="I28" s="15"/>
      <c r="J28" s="15"/>
      <c r="K28" s="15" t="s">
        <v>57</v>
      </c>
      <c r="L28" s="15"/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105</v>
      </c>
      <c r="B29" s="13" t="s">
        <v>56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57</v>
      </c>
      <c r="I29" s="15"/>
      <c r="J29" s="15"/>
      <c r="K29" s="15" t="s">
        <v>57</v>
      </c>
      <c r="L29" s="15"/>
      <c r="M29" s="15" t="s">
        <v>57</v>
      </c>
      <c r="N29" s="15"/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105</v>
      </c>
      <c r="B30" s="13" t="s">
        <v>56</v>
      </c>
      <c r="C30" s="14">
        <v>4</v>
      </c>
      <c r="D30" s="14">
        <v>5</v>
      </c>
      <c r="E30" s="14">
        <f t="shared" si="3"/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 t="s">
        <v>57</v>
      </c>
      <c r="N30" s="15"/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105</v>
      </c>
      <c r="B31" s="13" t="s">
        <v>56</v>
      </c>
      <c r="C31" s="14">
        <v>5</v>
      </c>
      <c r="D31" s="14">
        <v>6</v>
      </c>
      <c r="E31" s="14">
        <f t="shared" si="3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 t="s">
        <v>57</v>
      </c>
      <c r="N31" s="15"/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105</v>
      </c>
      <c r="B32" s="13" t="s">
        <v>56</v>
      </c>
      <c r="C32" s="14">
        <v>6</v>
      </c>
      <c r="D32" s="14">
        <v>7</v>
      </c>
      <c r="E32" s="14">
        <f t="shared" si="3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 t="s">
        <v>57</v>
      </c>
      <c r="N32" s="15"/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105</v>
      </c>
      <c r="B33" s="13" t="s">
        <v>56</v>
      </c>
      <c r="C33" s="14">
        <v>7</v>
      </c>
      <c r="D33" s="14">
        <v>8</v>
      </c>
      <c r="E33" s="14">
        <f t="shared" si="3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 t="s">
        <v>57</v>
      </c>
      <c r="N33" s="15"/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105</v>
      </c>
      <c r="B34" s="13" t="s">
        <v>56</v>
      </c>
      <c r="C34" s="14">
        <v>8</v>
      </c>
      <c r="D34" s="14">
        <v>9</v>
      </c>
      <c r="E34" s="14">
        <f t="shared" si="3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 t="s">
        <v>57</v>
      </c>
      <c r="N34" s="15"/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105</v>
      </c>
      <c r="B35" s="13" t="s">
        <v>56</v>
      </c>
      <c r="C35" s="14">
        <v>9</v>
      </c>
      <c r="D35" s="14">
        <v>10</v>
      </c>
      <c r="E35" s="14">
        <f t="shared" si="3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 t="s">
        <v>57</v>
      </c>
      <c r="N35" s="15"/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105</v>
      </c>
      <c r="B36" s="13" t="s">
        <v>56</v>
      </c>
      <c r="C36" s="14">
        <v>10</v>
      </c>
      <c r="D36" s="14">
        <v>11</v>
      </c>
      <c r="E36" s="14">
        <f t="shared" si="3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 t="s">
        <v>57</v>
      </c>
      <c r="N36" s="15"/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105</v>
      </c>
      <c r="B37" s="19" t="s">
        <v>56</v>
      </c>
      <c r="C37" s="20">
        <v>11</v>
      </c>
      <c r="D37" s="20">
        <v>11.205250684099999</v>
      </c>
      <c r="E37" s="20">
        <f t="shared" si="3"/>
        <v>0.20525068409999925</v>
      </c>
      <c r="F37" s="21"/>
      <c r="G37" s="21"/>
      <c r="H37" s="21" t="s">
        <v>57</v>
      </c>
      <c r="I37" s="21"/>
      <c r="J37" s="21"/>
      <c r="K37" s="21" t="s">
        <v>57</v>
      </c>
      <c r="L37" s="21"/>
      <c r="M37" s="21" t="s">
        <v>57</v>
      </c>
      <c r="N37" s="21"/>
      <c r="O37" s="21"/>
      <c r="P37" s="21"/>
      <c r="Q37" s="21" t="s">
        <v>57</v>
      </c>
      <c r="R37" s="21"/>
      <c r="S37" s="21"/>
      <c r="T37" s="21" t="s">
        <v>57</v>
      </c>
      <c r="U37" s="21"/>
      <c r="V37" s="22"/>
      <c r="W37" s="23" t="str">
        <f t="shared" si="4"/>
        <v>OK</v>
      </c>
    </row>
    <row r="38" spans="1:23" ht="15.95" customHeight="1" x14ac:dyDescent="0.25">
      <c r="A38" s="52" t="s">
        <v>106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5"/>
      <c r="W38" s="4"/>
    </row>
    <row r="39" spans="1:23" ht="20.100000000000001" customHeight="1" x14ac:dyDescent="0.25">
      <c r="A39" s="12" t="s">
        <v>107</v>
      </c>
      <c r="B39" s="13" t="s">
        <v>56</v>
      </c>
      <c r="C39" s="14">
        <v>0</v>
      </c>
      <c r="D39" s="14">
        <v>1</v>
      </c>
      <c r="E39" s="14">
        <f t="shared" ref="E39:E47" si="5">D39-C39</f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 t="s">
        <v>57</v>
      </c>
      <c r="N39" s="15"/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ref="W39:W47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107</v>
      </c>
      <c r="B40" s="13" t="s">
        <v>56</v>
      </c>
      <c r="C40" s="14">
        <v>1</v>
      </c>
      <c r="D40" s="14">
        <v>2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 t="s">
        <v>57</v>
      </c>
      <c r="N40" s="15"/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107</v>
      </c>
      <c r="B41" s="13" t="s">
        <v>56</v>
      </c>
      <c r="C41" s="14">
        <v>2</v>
      </c>
      <c r="D41" s="14">
        <v>3</v>
      </c>
      <c r="E41" s="14">
        <f t="shared" si="5"/>
        <v>1</v>
      </c>
      <c r="F41" s="15" t="s">
        <v>57</v>
      </c>
      <c r="G41" s="15"/>
      <c r="H41" s="15"/>
      <c r="I41" s="15"/>
      <c r="J41" s="15"/>
      <c r="K41" s="15" t="s">
        <v>57</v>
      </c>
      <c r="L41" s="15"/>
      <c r="M41" s="15" t="s">
        <v>57</v>
      </c>
      <c r="N41" s="15"/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107</v>
      </c>
      <c r="B42" s="13" t="s">
        <v>56</v>
      </c>
      <c r="C42" s="14">
        <v>3</v>
      </c>
      <c r="D42" s="14">
        <v>4</v>
      </c>
      <c r="E42" s="14">
        <f t="shared" si="5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 t="s">
        <v>57</v>
      </c>
      <c r="N42" s="15"/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107</v>
      </c>
      <c r="B43" s="13" t="s">
        <v>56</v>
      </c>
      <c r="C43" s="14">
        <v>4</v>
      </c>
      <c r="D43" s="14">
        <v>5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 t="s">
        <v>57</v>
      </c>
      <c r="N43" s="15"/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107</v>
      </c>
      <c r="B44" s="13" t="s">
        <v>56</v>
      </c>
      <c r="C44" s="14">
        <v>5</v>
      </c>
      <c r="D44" s="14">
        <v>6</v>
      </c>
      <c r="E44" s="14">
        <f t="shared" si="5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 t="s">
        <v>57</v>
      </c>
      <c r="N44" s="15"/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107</v>
      </c>
      <c r="B45" s="13" t="s">
        <v>56</v>
      </c>
      <c r="C45" s="14">
        <v>6</v>
      </c>
      <c r="D45" s="14">
        <v>7</v>
      </c>
      <c r="E45" s="14">
        <f t="shared" si="5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 t="s">
        <v>57</v>
      </c>
      <c r="N45" s="15"/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107</v>
      </c>
      <c r="B46" s="13" t="s">
        <v>56</v>
      </c>
      <c r="C46" s="14">
        <v>7</v>
      </c>
      <c r="D46" s="14">
        <v>8</v>
      </c>
      <c r="E46" s="14">
        <f t="shared" si="5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 t="s">
        <v>57</v>
      </c>
      <c r="N46" s="15"/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107</v>
      </c>
      <c r="B47" s="19" t="s">
        <v>56</v>
      </c>
      <c r="C47" s="20">
        <v>8</v>
      </c>
      <c r="D47" s="20">
        <v>8.6840399444400003</v>
      </c>
      <c r="E47" s="20">
        <f t="shared" si="5"/>
        <v>0.68403994444000027</v>
      </c>
      <c r="F47" s="21" t="s">
        <v>57</v>
      </c>
      <c r="G47" s="21"/>
      <c r="H47" s="21"/>
      <c r="I47" s="21"/>
      <c r="J47" s="21"/>
      <c r="K47" s="21" t="s">
        <v>57</v>
      </c>
      <c r="L47" s="21"/>
      <c r="M47" s="21" t="s">
        <v>57</v>
      </c>
      <c r="N47" s="21"/>
      <c r="O47" s="21"/>
      <c r="P47" s="21"/>
      <c r="Q47" s="21" t="s">
        <v>57</v>
      </c>
      <c r="R47" s="21"/>
      <c r="S47" s="21"/>
      <c r="T47" s="21" t="s">
        <v>57</v>
      </c>
      <c r="U47" s="21"/>
      <c r="V47" s="22"/>
      <c r="W47" s="23" t="str">
        <f t="shared" si="6"/>
        <v>OK</v>
      </c>
    </row>
    <row r="49" spans="1:22" x14ac:dyDescent="0.25">
      <c r="A49" s="54" t="s">
        <v>60</v>
      </c>
      <c r="B49" s="43"/>
      <c r="C49" s="43"/>
      <c r="D49" s="43"/>
      <c r="E49" s="43"/>
      <c r="G49" s="54" t="s">
        <v>60</v>
      </c>
      <c r="H49" s="43"/>
      <c r="I49" s="43"/>
      <c r="J49" s="43"/>
      <c r="K49" s="43"/>
    </row>
    <row r="50" spans="1:22" x14ac:dyDescent="0.25">
      <c r="A50" s="59" t="s">
        <v>61</v>
      </c>
      <c r="B50" s="43"/>
      <c r="C50" s="43"/>
      <c r="D50" s="43"/>
      <c r="E50" s="43"/>
      <c r="G50" s="59" t="s">
        <v>62</v>
      </c>
      <c r="H50" s="43"/>
      <c r="I50" s="43"/>
      <c r="J50" s="43"/>
      <c r="K50" s="43"/>
    </row>
    <row r="52" spans="1:22" x14ac:dyDescent="0.25">
      <c r="A52" s="60" t="s">
        <v>63</v>
      </c>
      <c r="B52" s="43"/>
      <c r="C52" s="43"/>
      <c r="D52" s="43"/>
      <c r="E52" s="4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53" t="s">
        <v>64</v>
      </c>
      <c r="B53" s="43"/>
      <c r="C53" s="43"/>
      <c r="D53" s="43"/>
      <c r="E53" s="43"/>
      <c r="F53" s="9">
        <f t="shared" ref="F53:U53" si="7">SUMIF(F$9:F$47,"X",$E$9:$E$47)</f>
        <v>12.68403994444</v>
      </c>
      <c r="G53" s="9">
        <f t="shared" si="7"/>
        <v>0</v>
      </c>
      <c r="H53" s="9">
        <f t="shared" si="7"/>
        <v>22.251226718399998</v>
      </c>
      <c r="I53" s="9">
        <f t="shared" si="7"/>
        <v>0</v>
      </c>
      <c r="J53" s="9">
        <f t="shared" si="7"/>
        <v>0</v>
      </c>
      <c r="K53" s="9">
        <f t="shared" si="7"/>
        <v>34.93526666284</v>
      </c>
      <c r="L53" s="9">
        <f t="shared" si="7"/>
        <v>0</v>
      </c>
      <c r="M53" s="9">
        <f t="shared" si="7"/>
        <v>34.93526666284</v>
      </c>
      <c r="N53" s="9">
        <f t="shared" si="7"/>
        <v>0</v>
      </c>
      <c r="O53" s="9">
        <f t="shared" si="7"/>
        <v>0</v>
      </c>
      <c r="P53" s="9">
        <f t="shared" si="7"/>
        <v>0</v>
      </c>
      <c r="Q53" s="9">
        <f t="shared" si="7"/>
        <v>34.93526666284</v>
      </c>
      <c r="R53" s="9">
        <f t="shared" si="7"/>
        <v>0</v>
      </c>
      <c r="S53" s="9">
        <f t="shared" si="7"/>
        <v>0</v>
      </c>
      <c r="T53" s="9">
        <f t="shared" si="7"/>
        <v>34.93526666284</v>
      </c>
      <c r="U53" s="9">
        <f t="shared" si="7"/>
        <v>0</v>
      </c>
    </row>
    <row r="54" spans="1:22" x14ac:dyDescent="0.25">
      <c r="A54" s="53" t="s">
        <v>65</v>
      </c>
      <c r="B54" s="43"/>
      <c r="C54" s="43"/>
      <c r="D54" s="43"/>
      <c r="E54" s="43"/>
      <c r="F54" s="25">
        <f t="shared" ref="F54:U54" si="8">IF($R56=0,0,F53/$R56)</f>
        <v>0.3630726528253978</v>
      </c>
      <c r="G54" s="25">
        <f t="shared" si="8"/>
        <v>0</v>
      </c>
      <c r="H54" s="25">
        <f t="shared" si="8"/>
        <v>0.6369273471746022</v>
      </c>
      <c r="I54" s="25">
        <f t="shared" si="8"/>
        <v>0</v>
      </c>
      <c r="J54" s="25">
        <f t="shared" si="8"/>
        <v>0</v>
      </c>
      <c r="K54" s="25">
        <f t="shared" si="8"/>
        <v>1</v>
      </c>
      <c r="L54" s="25">
        <f t="shared" si="8"/>
        <v>0</v>
      </c>
      <c r="M54" s="25">
        <f t="shared" si="8"/>
        <v>1</v>
      </c>
      <c r="N54" s="25">
        <f t="shared" si="8"/>
        <v>0</v>
      </c>
      <c r="O54" s="25">
        <f t="shared" si="8"/>
        <v>0</v>
      </c>
      <c r="P54" s="25">
        <f t="shared" si="8"/>
        <v>0</v>
      </c>
      <c r="Q54" s="25">
        <f t="shared" si="8"/>
        <v>1</v>
      </c>
      <c r="R54" s="25">
        <f t="shared" si="8"/>
        <v>0</v>
      </c>
      <c r="S54" s="25">
        <f t="shared" si="8"/>
        <v>0</v>
      </c>
      <c r="T54" s="25">
        <f t="shared" si="8"/>
        <v>1</v>
      </c>
      <c r="U54" s="25">
        <f t="shared" si="8"/>
        <v>0</v>
      </c>
    </row>
    <row r="55" spans="1:22" x14ac:dyDescent="0.25">
      <c r="A55" s="53" t="s">
        <v>66</v>
      </c>
      <c r="B55" s="43"/>
      <c r="C55" s="43"/>
      <c r="D55" s="43"/>
      <c r="E55" s="43"/>
      <c r="F55" s="51" t="str">
        <f>IF(SUM(F53:J53)=0,"— não preenchido",IF(ROUND(SUM(F53:J53)-$R56,3)=0,"OK — "&amp;ROUND(SUM(F53:J53),3)&amp;" km","ERRO — dif. de "&amp;ROUND(SUM(F53:J53)-$R56,3)&amp;" km"))</f>
        <v>OK — 34,935 km</v>
      </c>
      <c r="G55" s="47"/>
      <c r="H55" s="47"/>
      <c r="I55" s="47"/>
      <c r="J55" s="45"/>
      <c r="K55" s="51" t="str">
        <f>IF(SUM(K53:L53)=0,"— não preenchido",IF(ROUND(SUM(K53:L53)-$R56,3)=0,"OK — "&amp;ROUND(SUM(K53:L53),3)&amp;" km","ERRO — dif. de "&amp;ROUND(SUM(K53:L53)-$R56,3)&amp;" km"))</f>
        <v>OK — 34,935 km</v>
      </c>
      <c r="L55" s="45"/>
      <c r="M55" s="51" t="str">
        <f>IF(SUM(M53:O53)=0,"— não preenchido",IF(ROUND(SUM(M53:O53)-$R56,3)=0,"OK — "&amp;ROUND(SUM(M53:O53),3)&amp;" km","ERRO — dif. de "&amp;ROUND(SUM(M53:O53)-$R56,3)&amp;" km"))</f>
        <v>OK — 34,935 km</v>
      </c>
      <c r="N55" s="47"/>
      <c r="O55" s="45"/>
      <c r="P55" s="51" t="str">
        <f>IF(SUM(P53:R53)=0,"— não preenchido",IF(ROUND(SUM(P53:R53)-$R56,3)=0,"OK — "&amp;ROUND(SUM(P53:R53),3)&amp;" km","ERRO — dif. de "&amp;ROUND(SUM(P53:R53)-$R56,3)&amp;" km"))</f>
        <v>OK — 34,935 km</v>
      </c>
      <c r="Q55" s="47"/>
      <c r="R55" s="45"/>
      <c r="S55" s="51" t="str">
        <f>IF(SUM(S53:U53)=0,"— não preenchido",IF(ROUND(SUM(S53:U53)-$R56,3)=0,"OK — "&amp;ROUND(SUM(S53:U53),3)&amp;" km","ERRO — dif. de "&amp;ROUND(SUM(S53:U53)-$R56,3)&amp;" km"))</f>
        <v>OK — 34,935 km</v>
      </c>
      <c r="T55" s="47"/>
      <c r="U55" s="45"/>
    </row>
    <row r="56" spans="1:22" x14ac:dyDescent="0.25">
      <c r="A56" s="53" t="s">
        <v>67</v>
      </c>
      <c r="B56" s="43"/>
      <c r="C56" s="43"/>
      <c r="D56" s="43"/>
      <c r="E56" s="43"/>
      <c r="R56" s="26">
        <f>SUM(E9:E47)</f>
        <v>34.93526666284</v>
      </c>
      <c r="V56" s="8" t="str">
        <f>COUNTIF(W9:W47,"OK")&amp;" de "&amp;COUNT($E$9:$E$47)&amp;" linhas conferidas"</f>
        <v>37 de 37 linhas conferidas</v>
      </c>
    </row>
    <row r="58" spans="1:22" x14ac:dyDescent="0.25">
      <c r="A58" s="55" t="s">
        <v>68</v>
      </c>
      <c r="B58" s="43"/>
      <c r="C58" s="43"/>
      <c r="D58" s="43"/>
      <c r="E58" s="43"/>
    </row>
    <row r="59" spans="1:22" x14ac:dyDescent="0.25">
      <c r="A59" s="53" t="s">
        <v>69</v>
      </c>
      <c r="B59" s="43"/>
      <c r="C59" s="43"/>
      <c r="D59" s="43"/>
      <c r="E59" s="61" t="s">
        <v>70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 x14ac:dyDescent="0.25">
      <c r="A60" s="53" t="s">
        <v>71</v>
      </c>
      <c r="B60" s="43"/>
      <c r="C60" s="43"/>
      <c r="D60" s="43"/>
      <c r="E60" s="61" t="s">
        <v>72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 x14ac:dyDescent="0.25">
      <c r="A61" s="53" t="s">
        <v>73</v>
      </c>
      <c r="B61" s="43"/>
      <c r="C61" s="43"/>
      <c r="D61" s="43"/>
      <c r="E61" s="61" t="s">
        <v>74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 x14ac:dyDescent="0.25">
      <c r="A62" s="53" t="s">
        <v>75</v>
      </c>
      <c r="B62" s="43"/>
      <c r="C62" s="43"/>
      <c r="D62" s="43"/>
      <c r="E62" s="61" t="s">
        <v>76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 x14ac:dyDescent="0.25">
      <c r="A63" s="53" t="s">
        <v>77</v>
      </c>
      <c r="B63" s="43"/>
      <c r="C63" s="43"/>
      <c r="D63" s="43"/>
      <c r="E63" s="61" t="s">
        <v>78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 x14ac:dyDescent="0.25">
      <c r="A64" s="53" t="s">
        <v>48</v>
      </c>
      <c r="B64" s="43"/>
      <c r="C64" s="43"/>
      <c r="D64" s="43"/>
      <c r="E64" s="61" t="s">
        <v>79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x14ac:dyDescent="0.25">
      <c r="A65" s="53" t="s">
        <v>80</v>
      </c>
      <c r="B65" s="43"/>
      <c r="C65" s="43"/>
      <c r="D65" s="43"/>
      <c r="E65" s="61" t="s">
        <v>81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x14ac:dyDescent="0.25">
      <c r="A66" s="53" t="s">
        <v>82</v>
      </c>
      <c r="B66" s="43"/>
      <c r="C66" s="43"/>
      <c r="D66" s="43"/>
      <c r="E66" s="61" t="s">
        <v>83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x14ac:dyDescent="0.25">
      <c r="A67" s="53" t="s">
        <v>11</v>
      </c>
      <c r="B67" s="43"/>
      <c r="C67" s="43"/>
      <c r="D67" s="43"/>
      <c r="E67" s="61" t="s">
        <v>84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</sheetData>
  <sheetProtection formatCells="0"/>
  <mergeCells count="59">
    <mergeCell ref="A1:V1"/>
    <mergeCell ref="T3:V3"/>
    <mergeCell ref="A65:D65"/>
    <mergeCell ref="E66:V66"/>
    <mergeCell ref="P55:R55"/>
    <mergeCell ref="A25:V25"/>
    <mergeCell ref="A66:D66"/>
    <mergeCell ref="A53:E53"/>
    <mergeCell ref="M55:O55"/>
    <mergeCell ref="A52:E52"/>
    <mergeCell ref="E62:V62"/>
    <mergeCell ref="G50:K50"/>
    <mergeCell ref="R2:V2"/>
    <mergeCell ref="A3:S3"/>
    <mergeCell ref="C6:C7"/>
    <mergeCell ref="K6:L6"/>
    <mergeCell ref="W6:W7"/>
    <mergeCell ref="E6:E7"/>
    <mergeCell ref="B6:B7"/>
    <mergeCell ref="S55:U55"/>
    <mergeCell ref="A56:E56"/>
    <mergeCell ref="G49:K49"/>
    <mergeCell ref="A55:E55"/>
    <mergeCell ref="A50:E50"/>
    <mergeCell ref="D6:D7"/>
    <mergeCell ref="P6:R6"/>
    <mergeCell ref="K55:L55"/>
    <mergeCell ref="A67:D67"/>
    <mergeCell ref="F55:J55"/>
    <mergeCell ref="A54:E54"/>
    <mergeCell ref="E59:V59"/>
    <mergeCell ref="N2:O2"/>
    <mergeCell ref="P2:Q2"/>
    <mergeCell ref="A64:D64"/>
    <mergeCell ref="A59:D59"/>
    <mergeCell ref="A60:D60"/>
    <mergeCell ref="E61:V61"/>
    <mergeCell ref="A61:D61"/>
    <mergeCell ref="E67:V67"/>
    <mergeCell ref="E65:V65"/>
    <mergeCell ref="A38:V38"/>
    <mergeCell ref="A2:F2"/>
    <mergeCell ref="S6:U6"/>
    <mergeCell ref="K2:M2"/>
    <mergeCell ref="E64:V64"/>
    <mergeCell ref="A58:E58"/>
    <mergeCell ref="G2:H2"/>
    <mergeCell ref="I2:J2"/>
    <mergeCell ref="E63:V63"/>
    <mergeCell ref="A62:D62"/>
    <mergeCell ref="A8:V8"/>
    <mergeCell ref="A49:E49"/>
    <mergeCell ref="F6:J6"/>
    <mergeCell ref="A6:A7"/>
    <mergeCell ref="A63:D63"/>
    <mergeCell ref="M6:O6"/>
    <mergeCell ref="E60:V60"/>
    <mergeCell ref="V6:V7"/>
    <mergeCell ref="A4:V4"/>
  </mergeCells>
  <conditionalFormatting sqref="F9:J47">
    <cfRule type="expression" dxfId="116" priority="1">
      <formula>AND(F9&lt;&gt;"",COUNTIF($F9:$J9,"X")&gt;1)</formula>
    </cfRule>
  </conditionalFormatting>
  <conditionalFormatting sqref="F55:U55">
    <cfRule type="expression" dxfId="115" priority="8">
      <formula>LEFT(F55,4)="ERRO"</formula>
    </cfRule>
    <cfRule type="expression" dxfId="114" priority="9">
      <formula>LEFT(F55,2)="OK"</formula>
    </cfRule>
  </conditionalFormatting>
  <conditionalFormatting sqref="K9:L47">
    <cfRule type="expression" dxfId="113" priority="2">
      <formula>AND(K9&lt;&gt;"",COUNTIF($K9:$L9,"X")&gt;1)</formula>
    </cfRule>
  </conditionalFormatting>
  <conditionalFormatting sqref="M9:O47">
    <cfRule type="expression" dxfId="112" priority="3">
      <formula>AND(M9&lt;&gt;"",COUNTIF($M9:$O9,"X")&gt;1)</formula>
    </cfRule>
  </conditionalFormatting>
  <conditionalFormatting sqref="P9:R47">
    <cfRule type="expression" dxfId="111" priority="4">
      <formula>AND(P9&lt;&gt;"",COUNTIF($P9:$R9,"X")&gt;1)</formula>
    </cfRule>
  </conditionalFormatting>
  <conditionalFormatting sqref="S9:U47">
    <cfRule type="expression" dxfId="110" priority="5">
      <formula>AND(S9&lt;&gt;"",COUNTIF($S9:$U9,"X")&gt;1)</formula>
    </cfRule>
  </conditionalFormatting>
  <conditionalFormatting sqref="W9:W47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249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46"/>
  <sheetViews>
    <sheetView showGridLines="0" workbookViewId="0">
      <pane xSplit="5" ySplit="7" topLeftCell="F20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IF(F32=0,NA(),F32)</f>
        <v>1.8568037714200001</v>
      </c>
      <c r="Z2" s="2">
        <f t="shared" si="0"/>
        <v>13.53160373391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15.388407505329999</v>
      </c>
      <c r="AE2" s="2" t="e">
        <f t="shared" si="0"/>
        <v>#N/A</v>
      </c>
      <c r="AF2" s="2" t="e">
        <f t="shared" si="0"/>
        <v>#N/A</v>
      </c>
      <c r="AG2" s="2">
        <f t="shared" si="0"/>
        <v>15.388407505329999</v>
      </c>
      <c r="AH2" s="2" t="e">
        <f t="shared" si="0"/>
        <v>#N/A</v>
      </c>
      <c r="AI2" s="2" t="e">
        <f t="shared" si="0"/>
        <v>#N/A</v>
      </c>
      <c r="AJ2" s="2">
        <f t="shared" si="0"/>
        <v>15.388407505329999</v>
      </c>
      <c r="AK2" s="2" t="e">
        <f t="shared" si="0"/>
        <v>#N/A</v>
      </c>
      <c r="AL2" s="2">
        <f t="shared" si="0"/>
        <v>15.388407505329999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66" t="s">
        <v>108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7" t="s">
        <v>109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110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111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 t="s">
        <v>57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111</v>
      </c>
      <c r="B10" s="13" t="s">
        <v>56</v>
      </c>
      <c r="C10" s="14">
        <v>1</v>
      </c>
      <c r="D10" s="14">
        <v>2</v>
      </c>
      <c r="E10" s="14">
        <f>D10-C10</f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 t="s">
        <v>57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111</v>
      </c>
      <c r="B11" s="13" t="s">
        <v>56</v>
      </c>
      <c r="C11" s="14">
        <v>2</v>
      </c>
      <c r="D11" s="14">
        <v>3</v>
      </c>
      <c r="E11" s="14">
        <f>D11-C11</f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 t="s">
        <v>57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111</v>
      </c>
      <c r="B12" s="13" t="s">
        <v>56</v>
      </c>
      <c r="C12" s="14">
        <v>3</v>
      </c>
      <c r="D12" s="14">
        <v>4</v>
      </c>
      <c r="E12" s="14">
        <f>D12-C12</f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 t="s">
        <v>57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111</v>
      </c>
      <c r="B13" s="19" t="s">
        <v>56</v>
      </c>
      <c r="C13" s="20">
        <v>4</v>
      </c>
      <c r="D13" s="20">
        <v>4.9837539104499999</v>
      </c>
      <c r="E13" s="20">
        <f>D13-C13</f>
        <v>0.98375391044999994</v>
      </c>
      <c r="F13" s="21"/>
      <c r="G13" s="21" t="s">
        <v>57</v>
      </c>
      <c r="H13" s="21"/>
      <c r="I13" s="21"/>
      <c r="J13" s="21"/>
      <c r="K13" s="21" t="s">
        <v>57</v>
      </c>
      <c r="L13" s="21"/>
      <c r="M13" s="21"/>
      <c r="N13" s="21" t="s">
        <v>57</v>
      </c>
      <c r="O13" s="21"/>
      <c r="P13" s="21"/>
      <c r="Q13" s="21" t="s">
        <v>57</v>
      </c>
      <c r="R13" s="21"/>
      <c r="S13" s="21" t="s">
        <v>57</v>
      </c>
      <c r="T13" s="21"/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52" t="s">
        <v>112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5"/>
      <c r="W14" s="4"/>
    </row>
    <row r="15" spans="1:40" ht="20.100000000000001" customHeight="1" x14ac:dyDescent="0.25">
      <c r="A15" s="12" t="s">
        <v>113</v>
      </c>
      <c r="B15" s="13" t="s">
        <v>56</v>
      </c>
      <c r="C15" s="14">
        <v>0</v>
      </c>
      <c r="D15" s="14">
        <v>1</v>
      </c>
      <c r="E15" s="14">
        <f>D15-C15</f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 t="s">
        <v>57</v>
      </c>
      <c r="T15" s="15"/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113</v>
      </c>
      <c r="B16" s="19" t="s">
        <v>56</v>
      </c>
      <c r="C16" s="20">
        <v>1</v>
      </c>
      <c r="D16" s="20">
        <v>1.8568037714200001</v>
      </c>
      <c r="E16" s="20">
        <f>D16-C16</f>
        <v>0.85680377142000008</v>
      </c>
      <c r="F16" s="21" t="s">
        <v>57</v>
      </c>
      <c r="G16" s="21"/>
      <c r="H16" s="21"/>
      <c r="I16" s="21"/>
      <c r="J16" s="21"/>
      <c r="K16" s="21" t="s">
        <v>57</v>
      </c>
      <c r="L16" s="21"/>
      <c r="M16" s="21"/>
      <c r="N16" s="21" t="s">
        <v>57</v>
      </c>
      <c r="O16" s="21"/>
      <c r="P16" s="21"/>
      <c r="Q16" s="21" t="s">
        <v>57</v>
      </c>
      <c r="R16" s="21"/>
      <c r="S16" s="21" t="s">
        <v>57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52" t="s">
        <v>114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5"/>
      <c r="W17" s="4"/>
    </row>
    <row r="18" spans="1:23" ht="20.100000000000001" customHeight="1" x14ac:dyDescent="0.25">
      <c r="A18" s="12" t="s">
        <v>115</v>
      </c>
      <c r="B18" s="13" t="s">
        <v>56</v>
      </c>
      <c r="C18" s="14">
        <v>0</v>
      </c>
      <c r="D18" s="14">
        <v>1</v>
      </c>
      <c r="E18" s="14">
        <f t="shared" ref="E18:E26" si="1">D18-C18</f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 t="s">
        <v>57</v>
      </c>
      <c r="T18" s="15"/>
      <c r="U18" s="15"/>
      <c r="V18" s="16"/>
      <c r="W18" s="17" t="str">
        <f t="shared" ref="W18:W26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115</v>
      </c>
      <c r="B19" s="13" t="s">
        <v>56</v>
      </c>
      <c r="C19" s="14">
        <v>1</v>
      </c>
      <c r="D19" s="14">
        <v>2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 t="s">
        <v>57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115</v>
      </c>
      <c r="B20" s="13" t="s">
        <v>56</v>
      </c>
      <c r="C20" s="14">
        <v>2</v>
      </c>
      <c r="D20" s="14">
        <v>3</v>
      </c>
      <c r="E20" s="14">
        <f t="shared" si="1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 t="s">
        <v>57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115</v>
      </c>
      <c r="B21" s="13" t="s">
        <v>56</v>
      </c>
      <c r="C21" s="14">
        <v>3</v>
      </c>
      <c r="D21" s="14">
        <v>4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 t="s">
        <v>57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115</v>
      </c>
      <c r="B22" s="13" t="s">
        <v>56</v>
      </c>
      <c r="C22" s="14">
        <v>4</v>
      </c>
      <c r="D22" s="14">
        <v>5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 t="s">
        <v>57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115</v>
      </c>
      <c r="B23" s="13" t="s">
        <v>56</v>
      </c>
      <c r="C23" s="14">
        <v>5</v>
      </c>
      <c r="D23" s="14">
        <v>6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 t="s">
        <v>57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115</v>
      </c>
      <c r="B24" s="13" t="s">
        <v>56</v>
      </c>
      <c r="C24" s="14">
        <v>6</v>
      </c>
      <c r="D24" s="14">
        <v>7</v>
      </c>
      <c r="E24" s="14">
        <f t="shared" si="1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 t="s">
        <v>57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115</v>
      </c>
      <c r="B25" s="13" t="s">
        <v>56</v>
      </c>
      <c r="C25" s="14">
        <v>7</v>
      </c>
      <c r="D25" s="14">
        <v>8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 t="s">
        <v>57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8" t="s">
        <v>115</v>
      </c>
      <c r="B26" s="19" t="s">
        <v>56</v>
      </c>
      <c r="C26" s="20">
        <v>8</v>
      </c>
      <c r="D26" s="20">
        <v>8.54784982346</v>
      </c>
      <c r="E26" s="20">
        <f t="shared" si="1"/>
        <v>0.54784982346</v>
      </c>
      <c r="F26" s="21"/>
      <c r="G26" s="21" t="s">
        <v>57</v>
      </c>
      <c r="H26" s="21"/>
      <c r="I26" s="21"/>
      <c r="J26" s="21"/>
      <c r="K26" s="21" t="s">
        <v>57</v>
      </c>
      <c r="L26" s="21"/>
      <c r="M26" s="21"/>
      <c r="N26" s="21" t="s">
        <v>57</v>
      </c>
      <c r="O26" s="21"/>
      <c r="P26" s="21"/>
      <c r="Q26" s="21" t="s">
        <v>57</v>
      </c>
      <c r="R26" s="21"/>
      <c r="S26" s="21" t="s">
        <v>57</v>
      </c>
      <c r="T26" s="21"/>
      <c r="U26" s="21"/>
      <c r="V26" s="22"/>
      <c r="W26" s="23" t="str">
        <f t="shared" si="2"/>
        <v>OK</v>
      </c>
    </row>
    <row r="28" spans="1:23" x14ac:dyDescent="0.25">
      <c r="A28" s="54" t="s">
        <v>60</v>
      </c>
      <c r="B28" s="43"/>
      <c r="C28" s="43"/>
      <c r="D28" s="43"/>
      <c r="E28" s="43"/>
      <c r="G28" s="54" t="s">
        <v>60</v>
      </c>
      <c r="H28" s="43"/>
      <c r="I28" s="43"/>
      <c r="J28" s="43"/>
      <c r="K28" s="43"/>
    </row>
    <row r="29" spans="1:23" x14ac:dyDescent="0.25">
      <c r="A29" s="59" t="s">
        <v>61</v>
      </c>
      <c r="B29" s="43"/>
      <c r="C29" s="43"/>
      <c r="D29" s="43"/>
      <c r="E29" s="43"/>
      <c r="G29" s="59" t="s">
        <v>62</v>
      </c>
      <c r="H29" s="43"/>
      <c r="I29" s="43"/>
      <c r="J29" s="43"/>
      <c r="K29" s="43"/>
    </row>
    <row r="31" spans="1:23" x14ac:dyDescent="0.25">
      <c r="A31" s="60" t="s">
        <v>63</v>
      </c>
      <c r="B31" s="43"/>
      <c r="C31" s="43"/>
      <c r="D31" s="43"/>
      <c r="E31" s="4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3" x14ac:dyDescent="0.25">
      <c r="A32" s="53" t="s">
        <v>64</v>
      </c>
      <c r="B32" s="43"/>
      <c r="C32" s="43"/>
      <c r="D32" s="43"/>
      <c r="E32" s="43"/>
      <c r="F32" s="9">
        <f t="shared" ref="F32:U32" si="3">SUMIF(F$9:F$26,"X",$E$9:$E$26)</f>
        <v>1.8568037714200001</v>
      </c>
      <c r="G32" s="9">
        <f t="shared" si="3"/>
        <v>13.53160373391</v>
      </c>
      <c r="H32" s="9">
        <f t="shared" si="3"/>
        <v>0</v>
      </c>
      <c r="I32" s="9">
        <f t="shared" si="3"/>
        <v>0</v>
      </c>
      <c r="J32" s="9">
        <f t="shared" si="3"/>
        <v>0</v>
      </c>
      <c r="K32" s="9">
        <f t="shared" si="3"/>
        <v>15.388407505329999</v>
      </c>
      <c r="L32" s="9">
        <f t="shared" si="3"/>
        <v>0</v>
      </c>
      <c r="M32" s="9">
        <f t="shared" si="3"/>
        <v>0</v>
      </c>
      <c r="N32" s="9">
        <f t="shared" si="3"/>
        <v>15.388407505329999</v>
      </c>
      <c r="O32" s="9">
        <f t="shared" si="3"/>
        <v>0</v>
      </c>
      <c r="P32" s="9">
        <f t="shared" si="3"/>
        <v>0</v>
      </c>
      <c r="Q32" s="9">
        <f t="shared" si="3"/>
        <v>15.388407505329999</v>
      </c>
      <c r="R32" s="9">
        <f t="shared" si="3"/>
        <v>0</v>
      </c>
      <c r="S32" s="9">
        <f t="shared" si="3"/>
        <v>15.388407505329999</v>
      </c>
      <c r="T32" s="9">
        <f t="shared" si="3"/>
        <v>0</v>
      </c>
      <c r="U32" s="9">
        <f t="shared" si="3"/>
        <v>0</v>
      </c>
    </row>
    <row r="33" spans="1:22" x14ac:dyDescent="0.25">
      <c r="A33" s="53" t="s">
        <v>65</v>
      </c>
      <c r="B33" s="43"/>
      <c r="C33" s="43"/>
      <c r="D33" s="43"/>
      <c r="E33" s="43"/>
      <c r="F33" s="25">
        <f t="shared" ref="F33:U33" si="4">IF($R35=0,0,F32/$R35)</f>
        <v>0.12066250330171391</v>
      </c>
      <c r="G33" s="25">
        <f t="shared" si="4"/>
        <v>0.8793374966982862</v>
      </c>
      <c r="H33" s="25">
        <f t="shared" si="4"/>
        <v>0</v>
      </c>
      <c r="I33" s="25">
        <f t="shared" si="4"/>
        <v>0</v>
      </c>
      <c r="J33" s="25">
        <f t="shared" si="4"/>
        <v>0</v>
      </c>
      <c r="K33" s="25">
        <f t="shared" si="4"/>
        <v>1</v>
      </c>
      <c r="L33" s="25">
        <f t="shared" si="4"/>
        <v>0</v>
      </c>
      <c r="M33" s="25">
        <f t="shared" si="4"/>
        <v>0</v>
      </c>
      <c r="N33" s="25">
        <f t="shared" si="4"/>
        <v>1</v>
      </c>
      <c r="O33" s="25">
        <f t="shared" si="4"/>
        <v>0</v>
      </c>
      <c r="P33" s="25">
        <f t="shared" si="4"/>
        <v>0</v>
      </c>
      <c r="Q33" s="25">
        <f t="shared" si="4"/>
        <v>1</v>
      </c>
      <c r="R33" s="25">
        <f t="shared" si="4"/>
        <v>0</v>
      </c>
      <c r="S33" s="25">
        <f t="shared" si="4"/>
        <v>1</v>
      </c>
      <c r="T33" s="25">
        <f t="shared" si="4"/>
        <v>0</v>
      </c>
      <c r="U33" s="25">
        <f t="shared" si="4"/>
        <v>0</v>
      </c>
    </row>
    <row r="34" spans="1:22" x14ac:dyDescent="0.25">
      <c r="A34" s="53" t="s">
        <v>66</v>
      </c>
      <c r="B34" s="43"/>
      <c r="C34" s="43"/>
      <c r="D34" s="43"/>
      <c r="E34" s="43"/>
      <c r="F34" s="51" t="str">
        <f>IF(SUM(F32:J32)=0,"— não preenchido",IF(ROUND(SUM(F32:J32)-$R35,3)=0,"OK — "&amp;ROUND(SUM(F32:J32),3)&amp;" km","ERRO — dif. de "&amp;ROUND(SUM(F32:J32)-$R35,3)&amp;" km"))</f>
        <v>OK — 15,388 km</v>
      </c>
      <c r="G34" s="47"/>
      <c r="H34" s="47"/>
      <c r="I34" s="47"/>
      <c r="J34" s="45"/>
      <c r="K34" s="51" t="str">
        <f>IF(SUM(K32:L32)=0,"— não preenchido",IF(ROUND(SUM(K32:L32)-$R35,3)=0,"OK — "&amp;ROUND(SUM(K32:L32),3)&amp;" km","ERRO — dif. de "&amp;ROUND(SUM(K32:L32)-$R35,3)&amp;" km"))</f>
        <v>OK — 15,388 km</v>
      </c>
      <c r="L34" s="45"/>
      <c r="M34" s="51" t="str">
        <f>IF(SUM(M32:O32)=0,"— não preenchido",IF(ROUND(SUM(M32:O32)-$R35,3)=0,"OK — "&amp;ROUND(SUM(M32:O32),3)&amp;" km","ERRO — dif. de "&amp;ROUND(SUM(M32:O32)-$R35,3)&amp;" km"))</f>
        <v>OK — 15,388 km</v>
      </c>
      <c r="N34" s="47"/>
      <c r="O34" s="45"/>
      <c r="P34" s="51" t="str">
        <f>IF(SUM(P32:R32)=0,"— não preenchido",IF(ROUND(SUM(P32:R32)-$R35,3)=0,"OK — "&amp;ROUND(SUM(P32:R32),3)&amp;" km","ERRO — dif. de "&amp;ROUND(SUM(P32:R32)-$R35,3)&amp;" km"))</f>
        <v>OK — 15,388 km</v>
      </c>
      <c r="Q34" s="47"/>
      <c r="R34" s="45"/>
      <c r="S34" s="51" t="str">
        <f>IF(SUM(S32:U32)=0,"— não preenchido",IF(ROUND(SUM(S32:U32)-$R35,3)=0,"OK — "&amp;ROUND(SUM(S32:U32),3)&amp;" km","ERRO — dif. de "&amp;ROUND(SUM(S32:U32)-$R35,3)&amp;" km"))</f>
        <v>OK — 15,388 km</v>
      </c>
      <c r="T34" s="47"/>
      <c r="U34" s="45"/>
    </row>
    <row r="35" spans="1:22" x14ac:dyDescent="0.25">
      <c r="A35" s="53" t="s">
        <v>67</v>
      </c>
      <c r="B35" s="43"/>
      <c r="C35" s="43"/>
      <c r="D35" s="43"/>
      <c r="E35" s="43"/>
      <c r="R35" s="26">
        <f>SUM(E9:E26)</f>
        <v>15.388407505329999</v>
      </c>
      <c r="V35" s="8" t="str">
        <f>COUNTIF(W9:W26,"OK")&amp;" de "&amp;COUNT($E$9:$E$26)&amp;" linhas conferidas"</f>
        <v>16 de 16 linhas conferidas</v>
      </c>
    </row>
    <row r="37" spans="1:22" x14ac:dyDescent="0.25">
      <c r="A37" s="55" t="s">
        <v>68</v>
      </c>
      <c r="B37" s="43"/>
      <c r="C37" s="43"/>
      <c r="D37" s="43"/>
      <c r="E37" s="43"/>
    </row>
    <row r="38" spans="1:22" x14ac:dyDescent="0.25">
      <c r="A38" s="53" t="s">
        <v>69</v>
      </c>
      <c r="B38" s="43"/>
      <c r="C38" s="43"/>
      <c r="D38" s="43"/>
      <c r="E38" s="61" t="s">
        <v>70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 x14ac:dyDescent="0.25">
      <c r="A39" s="53" t="s">
        <v>71</v>
      </c>
      <c r="B39" s="43"/>
      <c r="C39" s="43"/>
      <c r="D39" s="43"/>
      <c r="E39" s="61" t="s">
        <v>72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x14ac:dyDescent="0.25">
      <c r="A40" s="53" t="s">
        <v>73</v>
      </c>
      <c r="B40" s="43"/>
      <c r="C40" s="43"/>
      <c r="D40" s="43"/>
      <c r="E40" s="61" t="s">
        <v>74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 x14ac:dyDescent="0.25">
      <c r="A41" s="53" t="s">
        <v>75</v>
      </c>
      <c r="B41" s="43"/>
      <c r="C41" s="43"/>
      <c r="D41" s="43"/>
      <c r="E41" s="61" t="s">
        <v>76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x14ac:dyDescent="0.25">
      <c r="A42" s="53" t="s">
        <v>77</v>
      </c>
      <c r="B42" s="43"/>
      <c r="C42" s="43"/>
      <c r="D42" s="43"/>
      <c r="E42" s="61" t="s">
        <v>78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x14ac:dyDescent="0.25">
      <c r="A43" s="53" t="s">
        <v>48</v>
      </c>
      <c r="B43" s="43"/>
      <c r="C43" s="43"/>
      <c r="D43" s="43"/>
      <c r="E43" s="61" t="s">
        <v>79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x14ac:dyDescent="0.25">
      <c r="A44" s="53" t="s">
        <v>80</v>
      </c>
      <c r="B44" s="43"/>
      <c r="C44" s="43"/>
      <c r="D44" s="43"/>
      <c r="E44" s="61" t="s">
        <v>81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 x14ac:dyDescent="0.25">
      <c r="A45" s="53" t="s">
        <v>82</v>
      </c>
      <c r="B45" s="43"/>
      <c r="C45" s="43"/>
      <c r="D45" s="43"/>
      <c r="E45" s="61" t="s">
        <v>83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spans="1:22" x14ac:dyDescent="0.25">
      <c r="A46" s="53" t="s">
        <v>11</v>
      </c>
      <c r="B46" s="43"/>
      <c r="C46" s="43"/>
      <c r="D46" s="43"/>
      <c r="E46" s="61" t="s">
        <v>84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</sheetData>
  <sheetProtection formatCells="0"/>
  <mergeCells count="59">
    <mergeCell ref="A1:V1"/>
    <mergeCell ref="E41:V41"/>
    <mergeCell ref="A33:E33"/>
    <mergeCell ref="T3:V3"/>
    <mergeCell ref="A32:E32"/>
    <mergeCell ref="A41:D41"/>
    <mergeCell ref="M34:O34"/>
    <mergeCell ref="A29:E29"/>
    <mergeCell ref="G29:K29"/>
    <mergeCell ref="A35:E35"/>
    <mergeCell ref="A28:E28"/>
    <mergeCell ref="R2:V2"/>
    <mergeCell ref="A3:S3"/>
    <mergeCell ref="C6:C7"/>
    <mergeCell ref="A31:E31"/>
    <mergeCell ref="K6:L6"/>
    <mergeCell ref="E46:V46"/>
    <mergeCell ref="A39:D39"/>
    <mergeCell ref="P2:Q2"/>
    <mergeCell ref="G28:K28"/>
    <mergeCell ref="W6:W7"/>
    <mergeCell ref="A37:E37"/>
    <mergeCell ref="E6:E7"/>
    <mergeCell ref="E45:V45"/>
    <mergeCell ref="B6:B7"/>
    <mergeCell ref="A45:D45"/>
    <mergeCell ref="A46:D46"/>
    <mergeCell ref="E43:V43"/>
    <mergeCell ref="E42:V42"/>
    <mergeCell ref="D6:D7"/>
    <mergeCell ref="A42:D42"/>
    <mergeCell ref="E39:V39"/>
    <mergeCell ref="A4:V4"/>
    <mergeCell ref="S34:U34"/>
    <mergeCell ref="A44:D44"/>
    <mergeCell ref="A2:F2"/>
    <mergeCell ref="S6:U6"/>
    <mergeCell ref="A40:D40"/>
    <mergeCell ref="K2:M2"/>
    <mergeCell ref="P34:R34"/>
    <mergeCell ref="N2:O2"/>
    <mergeCell ref="P6:R6"/>
    <mergeCell ref="A34:E34"/>
    <mergeCell ref="E38:V38"/>
    <mergeCell ref="E44:V44"/>
    <mergeCell ref="K34:L34"/>
    <mergeCell ref="G2:H2"/>
    <mergeCell ref="I2:J2"/>
    <mergeCell ref="A43:D43"/>
    <mergeCell ref="A6:A7"/>
    <mergeCell ref="F6:J6"/>
    <mergeCell ref="E40:V40"/>
    <mergeCell ref="M6:O6"/>
    <mergeCell ref="F34:J34"/>
    <mergeCell ref="A14:V14"/>
    <mergeCell ref="A17:V17"/>
    <mergeCell ref="V6:V7"/>
    <mergeCell ref="A38:D38"/>
    <mergeCell ref="A8:V8"/>
  </mergeCells>
  <conditionalFormatting sqref="F9:J26">
    <cfRule type="expression" dxfId="107" priority="1">
      <formula>AND(F9&lt;&gt;"",COUNTIF($F9:$J9,"X")&gt;1)</formula>
    </cfRule>
  </conditionalFormatting>
  <conditionalFormatting sqref="F34:U34">
    <cfRule type="expression" dxfId="106" priority="8">
      <formula>LEFT(F34,4)="ERRO"</formula>
    </cfRule>
    <cfRule type="expression" dxfId="105" priority="9">
      <formula>LEFT(F34,2)="OK"</formula>
    </cfRule>
  </conditionalFormatting>
  <conditionalFormatting sqref="K9:L26">
    <cfRule type="expression" dxfId="104" priority="2">
      <formula>AND(K9&lt;&gt;"",COUNTIF($K9:$L9,"X")&gt;1)</formula>
    </cfRule>
  </conditionalFormatting>
  <conditionalFormatting sqref="M9:O26">
    <cfRule type="expression" dxfId="103" priority="3">
      <formula>AND(M9&lt;&gt;"",COUNTIF($M9:$O9,"X")&gt;1)</formula>
    </cfRule>
  </conditionalFormatting>
  <conditionalFormatting sqref="P9:R26">
    <cfRule type="expression" dxfId="102" priority="4">
      <formula>AND(P9&lt;&gt;"",COUNTIF($P9:$R9,"X")&gt;1)</formula>
    </cfRule>
  </conditionalFormatting>
  <conditionalFormatting sqref="S9:U26">
    <cfRule type="expression" dxfId="101" priority="5">
      <formula>AND(S9&lt;&gt;"",COUNTIF($S9:$U9,"X")&gt;1)</formula>
    </cfRule>
  </conditionalFormatting>
  <conditionalFormatting sqref="W9:W2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6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6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6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6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6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26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250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136"/>
  <sheetViews>
    <sheetView showGridLines="0" workbookViewId="0">
      <pane xSplit="5" ySplit="7" topLeftCell="F103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IF(F122=0,NA(),F122)</f>
        <v>59.648838973410001</v>
      </c>
      <c r="Z2" s="2">
        <f t="shared" si="0"/>
        <v>24.862925466600004</v>
      </c>
      <c r="AA2" s="2">
        <f t="shared" si="0"/>
        <v>20</v>
      </c>
      <c r="AB2" s="2" t="e">
        <f t="shared" si="0"/>
        <v>#N/A</v>
      </c>
      <c r="AC2" s="2" t="e">
        <f t="shared" si="0"/>
        <v>#N/A</v>
      </c>
      <c r="AD2" s="2">
        <f t="shared" si="0"/>
        <v>104.51176444001001</v>
      </c>
      <c r="AE2" s="2" t="e">
        <f t="shared" si="0"/>
        <v>#N/A</v>
      </c>
      <c r="AF2" s="2">
        <f t="shared" si="0"/>
        <v>3.6488389734100002</v>
      </c>
      <c r="AG2" s="2">
        <f t="shared" si="0"/>
        <v>92.862925466600018</v>
      </c>
      <c r="AH2" s="2">
        <f t="shared" si="0"/>
        <v>8</v>
      </c>
      <c r="AI2" s="2" t="e">
        <f t="shared" si="0"/>
        <v>#N/A</v>
      </c>
      <c r="AJ2" s="2">
        <f t="shared" si="0"/>
        <v>104.51176444001001</v>
      </c>
      <c r="AK2" s="2" t="e">
        <f t="shared" si="0"/>
        <v>#N/A</v>
      </c>
      <c r="AL2" s="2">
        <f t="shared" si="0"/>
        <v>3.6488389734100002</v>
      </c>
      <c r="AM2" s="2">
        <f t="shared" si="0"/>
        <v>100.86292546660002</v>
      </c>
      <c r="AN2" s="2" t="e">
        <f t="shared" si="0"/>
        <v>#N/A</v>
      </c>
    </row>
    <row r="3" spans="1:40" ht="15" customHeight="1" x14ac:dyDescent="0.25">
      <c r="A3" s="66" t="s">
        <v>116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7" t="s">
        <v>117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118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119</v>
      </c>
      <c r="B9" s="13" t="s">
        <v>56</v>
      </c>
      <c r="C9" s="14">
        <v>0</v>
      </c>
      <c r="D9" s="14">
        <v>1</v>
      </c>
      <c r="E9" s="14">
        <f t="shared" ref="E9:E42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 t="s">
        <v>120</v>
      </c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119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 t="s">
        <v>120</v>
      </c>
      <c r="W10" s="17" t="str">
        <f t="shared" si="2"/>
        <v>OK</v>
      </c>
    </row>
    <row r="11" spans="1:40" ht="20.100000000000001" customHeight="1" x14ac:dyDescent="0.25">
      <c r="A11" s="12" t="s">
        <v>119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 t="s">
        <v>120</v>
      </c>
      <c r="W11" s="17" t="str">
        <f t="shared" si="2"/>
        <v>OK</v>
      </c>
    </row>
    <row r="12" spans="1:40" ht="20.100000000000001" customHeight="1" x14ac:dyDescent="0.25">
      <c r="A12" s="12" t="s">
        <v>119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 t="s">
        <v>120</v>
      </c>
      <c r="W12" s="17" t="str">
        <f t="shared" si="2"/>
        <v>OK</v>
      </c>
    </row>
    <row r="13" spans="1:40" ht="20.100000000000001" customHeight="1" x14ac:dyDescent="0.25">
      <c r="A13" s="12" t="s">
        <v>119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 t="s">
        <v>120</v>
      </c>
      <c r="W13" s="17" t="str">
        <f t="shared" si="2"/>
        <v>OK</v>
      </c>
    </row>
    <row r="14" spans="1:40" ht="20.100000000000001" customHeight="1" x14ac:dyDescent="0.25">
      <c r="A14" s="12" t="s">
        <v>119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 t="s">
        <v>120</v>
      </c>
      <c r="W14" s="17" t="str">
        <f t="shared" si="2"/>
        <v>OK</v>
      </c>
    </row>
    <row r="15" spans="1:40" ht="20.100000000000001" customHeight="1" x14ac:dyDescent="0.25">
      <c r="A15" s="12" t="s">
        <v>119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/>
      <c r="T15" s="15" t="s">
        <v>57</v>
      </c>
      <c r="U15" s="15"/>
      <c r="V15" s="16" t="s">
        <v>120</v>
      </c>
      <c r="W15" s="17" t="str">
        <f t="shared" si="2"/>
        <v>OK</v>
      </c>
    </row>
    <row r="16" spans="1:40" ht="20.100000000000001" customHeight="1" x14ac:dyDescent="0.25">
      <c r="A16" s="12" t="s">
        <v>119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 t="s">
        <v>120</v>
      </c>
      <c r="W16" s="17" t="str">
        <f t="shared" si="2"/>
        <v>OK</v>
      </c>
    </row>
    <row r="17" spans="1:23" ht="20.100000000000001" customHeight="1" x14ac:dyDescent="0.25">
      <c r="A17" s="12" t="s">
        <v>119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 t="s">
        <v>120</v>
      </c>
      <c r="W17" s="17" t="str">
        <f t="shared" si="2"/>
        <v>OK</v>
      </c>
    </row>
    <row r="18" spans="1:23" ht="20.100000000000001" customHeight="1" x14ac:dyDescent="0.25">
      <c r="A18" s="12" t="s">
        <v>119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 t="s">
        <v>120</v>
      </c>
      <c r="W18" s="17" t="str">
        <f t="shared" si="2"/>
        <v>OK</v>
      </c>
    </row>
    <row r="19" spans="1:23" ht="20.100000000000001" customHeight="1" x14ac:dyDescent="0.25">
      <c r="A19" s="12" t="s">
        <v>119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119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119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119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119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119</v>
      </c>
      <c r="B24" s="13" t="s">
        <v>56</v>
      </c>
      <c r="C24" s="14">
        <v>15</v>
      </c>
      <c r="D24" s="14">
        <v>16</v>
      </c>
      <c r="E24" s="14">
        <f t="shared" si="1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119</v>
      </c>
      <c r="B25" s="13" t="s">
        <v>56</v>
      </c>
      <c r="C25" s="14">
        <v>16</v>
      </c>
      <c r="D25" s="14">
        <v>17</v>
      </c>
      <c r="E25" s="14">
        <f t="shared" si="1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119</v>
      </c>
      <c r="B26" s="13" t="s">
        <v>56</v>
      </c>
      <c r="C26" s="14">
        <v>17</v>
      </c>
      <c r="D26" s="14">
        <v>18</v>
      </c>
      <c r="E26" s="14">
        <f t="shared" si="1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119</v>
      </c>
      <c r="B27" s="13" t="s">
        <v>56</v>
      </c>
      <c r="C27" s="14">
        <v>18</v>
      </c>
      <c r="D27" s="14">
        <v>19</v>
      </c>
      <c r="E27" s="14">
        <f t="shared" si="1"/>
        <v>1</v>
      </c>
      <c r="F27" s="15" t="s">
        <v>57</v>
      </c>
      <c r="G27" s="15"/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119</v>
      </c>
      <c r="B28" s="13" t="s">
        <v>56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57</v>
      </c>
      <c r="I28" s="15"/>
      <c r="J28" s="15"/>
      <c r="K28" s="15" t="s">
        <v>57</v>
      </c>
      <c r="L28" s="15"/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119</v>
      </c>
      <c r="B29" s="13" t="s">
        <v>56</v>
      </c>
      <c r="C29" s="14">
        <v>20</v>
      </c>
      <c r="D29" s="14">
        <v>21</v>
      </c>
      <c r="E29" s="14">
        <f t="shared" si="1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119</v>
      </c>
      <c r="B30" s="13" t="s">
        <v>56</v>
      </c>
      <c r="C30" s="14">
        <v>21</v>
      </c>
      <c r="D30" s="14">
        <v>22</v>
      </c>
      <c r="E30" s="14">
        <f t="shared" si="1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119</v>
      </c>
      <c r="B31" s="13" t="s">
        <v>56</v>
      </c>
      <c r="C31" s="14">
        <v>22</v>
      </c>
      <c r="D31" s="14">
        <v>23</v>
      </c>
      <c r="E31" s="14">
        <f t="shared" si="1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119</v>
      </c>
      <c r="B32" s="13" t="s">
        <v>56</v>
      </c>
      <c r="C32" s="14">
        <v>23</v>
      </c>
      <c r="D32" s="14">
        <v>24</v>
      </c>
      <c r="E32" s="14">
        <f t="shared" si="1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119</v>
      </c>
      <c r="B33" s="13" t="s">
        <v>56</v>
      </c>
      <c r="C33" s="14">
        <v>24</v>
      </c>
      <c r="D33" s="14">
        <v>25</v>
      </c>
      <c r="E33" s="14">
        <f t="shared" si="1"/>
        <v>1</v>
      </c>
      <c r="F33" s="15" t="s">
        <v>57</v>
      </c>
      <c r="G33" s="15"/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119</v>
      </c>
      <c r="B34" s="13" t="s">
        <v>56</v>
      </c>
      <c r="C34" s="14">
        <v>25</v>
      </c>
      <c r="D34" s="14">
        <v>26</v>
      </c>
      <c r="E34" s="14">
        <f t="shared" si="1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119</v>
      </c>
      <c r="B35" s="13" t="s">
        <v>56</v>
      </c>
      <c r="C35" s="14">
        <v>26</v>
      </c>
      <c r="D35" s="14">
        <v>27</v>
      </c>
      <c r="E35" s="14">
        <f t="shared" si="1"/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119</v>
      </c>
      <c r="B36" s="13" t="s">
        <v>56</v>
      </c>
      <c r="C36" s="14">
        <v>27</v>
      </c>
      <c r="D36" s="14">
        <v>28</v>
      </c>
      <c r="E36" s="14">
        <f t="shared" si="1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119</v>
      </c>
      <c r="B37" s="13" t="s">
        <v>56</v>
      </c>
      <c r="C37" s="14">
        <v>28</v>
      </c>
      <c r="D37" s="14">
        <v>29</v>
      </c>
      <c r="E37" s="14">
        <f t="shared" si="1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119</v>
      </c>
      <c r="B38" s="13" t="s">
        <v>56</v>
      </c>
      <c r="C38" s="14">
        <v>29</v>
      </c>
      <c r="D38" s="14">
        <v>30</v>
      </c>
      <c r="E38" s="14">
        <f t="shared" si="1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119</v>
      </c>
      <c r="B39" s="13" t="s">
        <v>56</v>
      </c>
      <c r="C39" s="14">
        <v>30</v>
      </c>
      <c r="D39" s="14">
        <v>31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119</v>
      </c>
      <c r="B40" s="13" t="s">
        <v>56</v>
      </c>
      <c r="C40" s="14">
        <v>31</v>
      </c>
      <c r="D40" s="14">
        <v>32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119</v>
      </c>
      <c r="B41" s="13" t="s">
        <v>56</v>
      </c>
      <c r="C41" s="14">
        <v>32</v>
      </c>
      <c r="D41" s="14">
        <v>33</v>
      </c>
      <c r="E41" s="14">
        <f t="shared" si="1"/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119</v>
      </c>
      <c r="B42" s="19" t="s">
        <v>56</v>
      </c>
      <c r="C42" s="20">
        <v>33</v>
      </c>
      <c r="D42" s="20">
        <v>33.953784900000002</v>
      </c>
      <c r="E42" s="20">
        <f t="shared" si="1"/>
        <v>0.95378490000000227</v>
      </c>
      <c r="F42" s="21"/>
      <c r="G42" s="21" t="s">
        <v>57</v>
      </c>
      <c r="H42" s="21"/>
      <c r="I42" s="21"/>
      <c r="J42" s="21"/>
      <c r="K42" s="21" t="s">
        <v>57</v>
      </c>
      <c r="L42" s="21"/>
      <c r="M42" s="21"/>
      <c r="N42" s="21" t="s">
        <v>57</v>
      </c>
      <c r="O42" s="21"/>
      <c r="P42" s="21"/>
      <c r="Q42" s="21" t="s">
        <v>57</v>
      </c>
      <c r="R42" s="21"/>
      <c r="S42" s="21"/>
      <c r="T42" s="21" t="s">
        <v>57</v>
      </c>
      <c r="U42" s="21"/>
      <c r="V42" s="22"/>
      <c r="W42" s="23" t="str">
        <f t="shared" si="2"/>
        <v>OK</v>
      </c>
    </row>
    <row r="43" spans="1:23" ht="15.95" customHeight="1" x14ac:dyDescent="0.25">
      <c r="A43" s="52" t="s">
        <v>121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5"/>
      <c r="W43" s="4"/>
    </row>
    <row r="44" spans="1:23" ht="20.100000000000001" customHeight="1" x14ac:dyDescent="0.25">
      <c r="A44" s="12" t="s">
        <v>122</v>
      </c>
      <c r="B44" s="13" t="s">
        <v>56</v>
      </c>
      <c r="C44" s="14">
        <v>0</v>
      </c>
      <c r="D44" s="14">
        <v>1</v>
      </c>
      <c r="E44" s="14">
        <f t="shared" ref="E44:E91" si="3">D44-C44</f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 t="s">
        <v>123</v>
      </c>
      <c r="W44" s="17" t="str">
        <f t="shared" ref="W44:W91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122</v>
      </c>
      <c r="B45" s="13" t="s">
        <v>56</v>
      </c>
      <c r="C45" s="14">
        <v>1</v>
      </c>
      <c r="D45" s="14">
        <v>2</v>
      </c>
      <c r="E45" s="14">
        <f t="shared" si="3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 t="s">
        <v>123</v>
      </c>
      <c r="W45" s="17" t="str">
        <f t="shared" si="4"/>
        <v>OK</v>
      </c>
    </row>
    <row r="46" spans="1:23" ht="20.100000000000001" customHeight="1" x14ac:dyDescent="0.25">
      <c r="A46" s="12" t="s">
        <v>122</v>
      </c>
      <c r="B46" s="13" t="s">
        <v>56</v>
      </c>
      <c r="C46" s="14">
        <v>2</v>
      </c>
      <c r="D46" s="14">
        <v>3</v>
      </c>
      <c r="E46" s="14">
        <f t="shared" si="3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 t="s">
        <v>123</v>
      </c>
      <c r="W46" s="17" t="str">
        <f t="shared" si="4"/>
        <v>OK</v>
      </c>
    </row>
    <row r="47" spans="1:23" ht="20.100000000000001" customHeight="1" x14ac:dyDescent="0.25">
      <c r="A47" s="12" t="s">
        <v>122</v>
      </c>
      <c r="B47" s="13" t="s">
        <v>56</v>
      </c>
      <c r="C47" s="14">
        <v>3</v>
      </c>
      <c r="D47" s="14">
        <v>4</v>
      </c>
      <c r="E47" s="14">
        <f t="shared" si="3"/>
        <v>1</v>
      </c>
      <c r="F47" s="15" t="s">
        <v>57</v>
      </c>
      <c r="G47" s="15"/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 t="s">
        <v>123</v>
      </c>
      <c r="W47" s="17" t="str">
        <f t="shared" si="4"/>
        <v>OK</v>
      </c>
    </row>
    <row r="48" spans="1:23" ht="20.100000000000001" customHeight="1" x14ac:dyDescent="0.25">
      <c r="A48" s="12" t="s">
        <v>122</v>
      </c>
      <c r="B48" s="13" t="s">
        <v>56</v>
      </c>
      <c r="C48" s="14">
        <v>4</v>
      </c>
      <c r="D48" s="14">
        <v>5</v>
      </c>
      <c r="E48" s="14">
        <f t="shared" si="3"/>
        <v>1</v>
      </c>
      <c r="F48" s="15" t="s">
        <v>57</v>
      </c>
      <c r="G48" s="15"/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 t="s">
        <v>123</v>
      </c>
      <c r="W48" s="17" t="str">
        <f t="shared" si="4"/>
        <v>OK</v>
      </c>
    </row>
    <row r="49" spans="1:23" ht="20.100000000000001" customHeight="1" x14ac:dyDescent="0.25">
      <c r="A49" s="12" t="s">
        <v>122</v>
      </c>
      <c r="B49" s="13" t="s">
        <v>56</v>
      </c>
      <c r="C49" s="14">
        <v>5</v>
      </c>
      <c r="D49" s="14">
        <v>6</v>
      </c>
      <c r="E49" s="14">
        <f t="shared" si="3"/>
        <v>1</v>
      </c>
      <c r="F49" s="15" t="s">
        <v>57</v>
      </c>
      <c r="G49" s="15"/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 t="s">
        <v>123</v>
      </c>
      <c r="W49" s="17" t="str">
        <f t="shared" si="4"/>
        <v>OK</v>
      </c>
    </row>
    <row r="50" spans="1:23" ht="20.100000000000001" customHeight="1" x14ac:dyDescent="0.25">
      <c r="A50" s="12" t="s">
        <v>122</v>
      </c>
      <c r="B50" s="13" t="s">
        <v>56</v>
      </c>
      <c r="C50" s="14">
        <v>6</v>
      </c>
      <c r="D50" s="14">
        <v>7</v>
      </c>
      <c r="E50" s="14">
        <f t="shared" si="3"/>
        <v>1</v>
      </c>
      <c r="F50" s="15" t="s">
        <v>57</v>
      </c>
      <c r="G50" s="15"/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 t="s">
        <v>123</v>
      </c>
      <c r="W50" s="17" t="str">
        <f t="shared" si="4"/>
        <v>OK</v>
      </c>
    </row>
    <row r="51" spans="1:23" ht="20.100000000000001" customHeight="1" x14ac:dyDescent="0.25">
      <c r="A51" s="12" t="s">
        <v>122</v>
      </c>
      <c r="B51" s="13" t="s">
        <v>56</v>
      </c>
      <c r="C51" s="14">
        <v>7</v>
      </c>
      <c r="D51" s="14">
        <v>8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 t="s">
        <v>123</v>
      </c>
      <c r="W51" s="17" t="str">
        <f t="shared" si="4"/>
        <v>OK</v>
      </c>
    </row>
    <row r="52" spans="1:23" ht="20.100000000000001" customHeight="1" x14ac:dyDescent="0.25">
      <c r="A52" s="12" t="s">
        <v>122</v>
      </c>
      <c r="B52" s="13" t="s">
        <v>56</v>
      </c>
      <c r="C52" s="14">
        <v>8</v>
      </c>
      <c r="D52" s="14">
        <v>9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 t="s">
        <v>123</v>
      </c>
      <c r="W52" s="17" t="str">
        <f t="shared" si="4"/>
        <v>OK</v>
      </c>
    </row>
    <row r="53" spans="1:23" ht="20.100000000000001" customHeight="1" x14ac:dyDescent="0.25">
      <c r="A53" s="12" t="s">
        <v>122</v>
      </c>
      <c r="B53" s="13" t="s">
        <v>56</v>
      </c>
      <c r="C53" s="14">
        <v>9</v>
      </c>
      <c r="D53" s="14">
        <v>10</v>
      </c>
      <c r="E53" s="14">
        <f t="shared" si="3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/>
      <c r="Q53" s="15" t="s">
        <v>57</v>
      </c>
      <c r="R53" s="15"/>
      <c r="S53" s="15"/>
      <c r="T53" s="15" t="s">
        <v>57</v>
      </c>
      <c r="U53" s="15"/>
      <c r="V53" s="16" t="s">
        <v>123</v>
      </c>
      <c r="W53" s="17" t="str">
        <f t="shared" si="4"/>
        <v>OK</v>
      </c>
    </row>
    <row r="54" spans="1:23" ht="20.100000000000001" customHeight="1" x14ac:dyDescent="0.25">
      <c r="A54" s="12" t="s">
        <v>122</v>
      </c>
      <c r="B54" s="13" t="s">
        <v>56</v>
      </c>
      <c r="C54" s="14">
        <v>10</v>
      </c>
      <c r="D54" s="14">
        <v>11</v>
      </c>
      <c r="E54" s="14">
        <f t="shared" si="3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/>
      <c r="Q54" s="15" t="s">
        <v>57</v>
      </c>
      <c r="R54" s="15"/>
      <c r="S54" s="15"/>
      <c r="T54" s="15" t="s">
        <v>57</v>
      </c>
      <c r="U54" s="15"/>
      <c r="V54" s="16" t="s">
        <v>123</v>
      </c>
      <c r="W54" s="17" t="str">
        <f t="shared" si="4"/>
        <v>OK</v>
      </c>
    </row>
    <row r="55" spans="1:23" ht="20.100000000000001" customHeight="1" x14ac:dyDescent="0.25">
      <c r="A55" s="12" t="s">
        <v>122</v>
      </c>
      <c r="B55" s="13" t="s">
        <v>56</v>
      </c>
      <c r="C55" s="14">
        <v>11</v>
      </c>
      <c r="D55" s="14">
        <v>12</v>
      </c>
      <c r="E55" s="14">
        <f t="shared" si="3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/>
      <c r="Q55" s="15" t="s">
        <v>57</v>
      </c>
      <c r="R55" s="15"/>
      <c r="S55" s="15"/>
      <c r="T55" s="15" t="s">
        <v>57</v>
      </c>
      <c r="U55" s="15"/>
      <c r="V55" s="16" t="s">
        <v>123</v>
      </c>
      <c r="W55" s="17" t="str">
        <f t="shared" si="4"/>
        <v>OK</v>
      </c>
    </row>
    <row r="56" spans="1:23" ht="20.100000000000001" customHeight="1" x14ac:dyDescent="0.25">
      <c r="A56" s="12" t="s">
        <v>122</v>
      </c>
      <c r="B56" s="13" t="s">
        <v>56</v>
      </c>
      <c r="C56" s="14">
        <v>12</v>
      </c>
      <c r="D56" s="14">
        <v>13</v>
      </c>
      <c r="E56" s="14">
        <f t="shared" si="3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/>
      <c r="Q56" s="15" t="s">
        <v>57</v>
      </c>
      <c r="R56" s="15"/>
      <c r="S56" s="15"/>
      <c r="T56" s="15" t="s">
        <v>57</v>
      </c>
      <c r="U56" s="15"/>
      <c r="V56" s="16" t="s">
        <v>123</v>
      </c>
      <c r="W56" s="17" t="str">
        <f t="shared" si="4"/>
        <v>OK</v>
      </c>
    </row>
    <row r="57" spans="1:23" ht="20.100000000000001" customHeight="1" x14ac:dyDescent="0.25">
      <c r="A57" s="12" t="s">
        <v>122</v>
      </c>
      <c r="B57" s="13" t="s">
        <v>56</v>
      </c>
      <c r="C57" s="14">
        <v>13</v>
      </c>
      <c r="D57" s="14">
        <v>14</v>
      </c>
      <c r="E57" s="14">
        <f t="shared" si="3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/>
      <c r="Q57" s="15" t="s">
        <v>57</v>
      </c>
      <c r="R57" s="15"/>
      <c r="S57" s="15"/>
      <c r="T57" s="15" t="s">
        <v>57</v>
      </c>
      <c r="U57" s="15"/>
      <c r="V57" s="16" t="s">
        <v>123</v>
      </c>
      <c r="W57" s="17" t="str">
        <f t="shared" si="4"/>
        <v>OK</v>
      </c>
    </row>
    <row r="58" spans="1:23" ht="20.100000000000001" customHeight="1" x14ac:dyDescent="0.25">
      <c r="A58" s="12" t="s">
        <v>122</v>
      </c>
      <c r="B58" s="13" t="s">
        <v>56</v>
      </c>
      <c r="C58" s="14">
        <v>14</v>
      </c>
      <c r="D58" s="14">
        <v>15</v>
      </c>
      <c r="E58" s="14">
        <f t="shared" si="3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/>
      <c r="Q58" s="15" t="s">
        <v>57</v>
      </c>
      <c r="R58" s="15"/>
      <c r="S58" s="15"/>
      <c r="T58" s="15" t="s">
        <v>57</v>
      </c>
      <c r="U58" s="15"/>
      <c r="V58" s="16" t="s">
        <v>123</v>
      </c>
      <c r="W58" s="17" t="str">
        <f t="shared" si="4"/>
        <v>OK</v>
      </c>
    </row>
    <row r="59" spans="1:23" ht="20.100000000000001" customHeight="1" x14ac:dyDescent="0.25">
      <c r="A59" s="12" t="s">
        <v>122</v>
      </c>
      <c r="B59" s="13" t="s">
        <v>56</v>
      </c>
      <c r="C59" s="14">
        <v>15</v>
      </c>
      <c r="D59" s="14">
        <v>16</v>
      </c>
      <c r="E59" s="14">
        <f t="shared" si="3"/>
        <v>1</v>
      </c>
      <c r="F59" s="15"/>
      <c r="G59" s="15" t="s">
        <v>57</v>
      </c>
      <c r="H59" s="15"/>
      <c r="I59" s="15"/>
      <c r="J59" s="15"/>
      <c r="K59" s="15" t="s">
        <v>57</v>
      </c>
      <c r="L59" s="15"/>
      <c r="M59" s="15"/>
      <c r="N59" s="15"/>
      <c r="O59" s="15" t="s">
        <v>57</v>
      </c>
      <c r="P59" s="15"/>
      <c r="Q59" s="15" t="s">
        <v>57</v>
      </c>
      <c r="R59" s="15"/>
      <c r="S59" s="15"/>
      <c r="T59" s="15" t="s">
        <v>57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122</v>
      </c>
      <c r="B60" s="13" t="s">
        <v>56</v>
      </c>
      <c r="C60" s="14">
        <v>16</v>
      </c>
      <c r="D60" s="14">
        <v>17</v>
      </c>
      <c r="E60" s="14">
        <f t="shared" si="3"/>
        <v>1</v>
      </c>
      <c r="F60" s="15"/>
      <c r="G60" s="15" t="s">
        <v>57</v>
      </c>
      <c r="H60" s="15"/>
      <c r="I60" s="15"/>
      <c r="J60" s="15"/>
      <c r="K60" s="15" t="s">
        <v>57</v>
      </c>
      <c r="L60" s="15"/>
      <c r="M60" s="15"/>
      <c r="N60" s="15"/>
      <c r="O60" s="15" t="s">
        <v>57</v>
      </c>
      <c r="P60" s="15"/>
      <c r="Q60" s="15" t="s">
        <v>57</v>
      </c>
      <c r="R60" s="15"/>
      <c r="S60" s="15"/>
      <c r="T60" s="15" t="s">
        <v>57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122</v>
      </c>
      <c r="B61" s="13" t="s">
        <v>56</v>
      </c>
      <c r="C61" s="14">
        <v>17</v>
      </c>
      <c r="D61" s="14">
        <v>18</v>
      </c>
      <c r="E61" s="14">
        <f t="shared" si="3"/>
        <v>1</v>
      </c>
      <c r="F61" s="15"/>
      <c r="G61" s="15" t="s">
        <v>57</v>
      </c>
      <c r="H61" s="15"/>
      <c r="I61" s="15"/>
      <c r="J61" s="15"/>
      <c r="K61" s="15" t="s">
        <v>57</v>
      </c>
      <c r="L61" s="15"/>
      <c r="M61" s="15"/>
      <c r="N61" s="15"/>
      <c r="O61" s="15" t="s">
        <v>57</v>
      </c>
      <c r="P61" s="15"/>
      <c r="Q61" s="15" t="s">
        <v>57</v>
      </c>
      <c r="R61" s="15"/>
      <c r="S61" s="15"/>
      <c r="T61" s="15" t="s">
        <v>57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122</v>
      </c>
      <c r="B62" s="13" t="s">
        <v>56</v>
      </c>
      <c r="C62" s="14">
        <v>18</v>
      </c>
      <c r="D62" s="14">
        <v>19</v>
      </c>
      <c r="E62" s="14">
        <f t="shared" si="3"/>
        <v>1</v>
      </c>
      <c r="F62" s="15"/>
      <c r="G62" s="15" t="s">
        <v>57</v>
      </c>
      <c r="H62" s="15"/>
      <c r="I62" s="15"/>
      <c r="J62" s="15"/>
      <c r="K62" s="15" t="s">
        <v>57</v>
      </c>
      <c r="L62" s="15"/>
      <c r="M62" s="15"/>
      <c r="N62" s="15"/>
      <c r="O62" s="15" t="s">
        <v>57</v>
      </c>
      <c r="P62" s="15"/>
      <c r="Q62" s="15" t="s">
        <v>57</v>
      </c>
      <c r="R62" s="15"/>
      <c r="S62" s="15"/>
      <c r="T62" s="15" t="s">
        <v>57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122</v>
      </c>
      <c r="B63" s="13" t="s">
        <v>56</v>
      </c>
      <c r="C63" s="14">
        <v>19</v>
      </c>
      <c r="D63" s="14">
        <v>20</v>
      </c>
      <c r="E63" s="14">
        <f t="shared" si="3"/>
        <v>1</v>
      </c>
      <c r="F63" s="15"/>
      <c r="G63" s="15" t="s">
        <v>57</v>
      </c>
      <c r="H63" s="15"/>
      <c r="I63" s="15"/>
      <c r="J63" s="15"/>
      <c r="K63" s="15" t="s">
        <v>57</v>
      </c>
      <c r="L63" s="15"/>
      <c r="M63" s="15"/>
      <c r="N63" s="15"/>
      <c r="O63" s="15" t="s">
        <v>57</v>
      </c>
      <c r="P63" s="15"/>
      <c r="Q63" s="15" t="s">
        <v>57</v>
      </c>
      <c r="R63" s="15"/>
      <c r="S63" s="15"/>
      <c r="T63" s="15" t="s">
        <v>57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122</v>
      </c>
      <c r="B64" s="13" t="s">
        <v>56</v>
      </c>
      <c r="C64" s="14">
        <v>20</v>
      </c>
      <c r="D64" s="14">
        <v>21</v>
      </c>
      <c r="E64" s="14">
        <f t="shared" si="3"/>
        <v>1</v>
      </c>
      <c r="F64" s="15"/>
      <c r="G64" s="15" t="s">
        <v>57</v>
      </c>
      <c r="H64" s="15"/>
      <c r="I64" s="15"/>
      <c r="J64" s="15"/>
      <c r="K64" s="15" t="s">
        <v>57</v>
      </c>
      <c r="L64" s="15"/>
      <c r="M64" s="15"/>
      <c r="N64" s="15"/>
      <c r="O64" s="15" t="s">
        <v>57</v>
      </c>
      <c r="P64" s="15"/>
      <c r="Q64" s="15" t="s">
        <v>57</v>
      </c>
      <c r="R64" s="15"/>
      <c r="S64" s="15"/>
      <c r="T64" s="15" t="s">
        <v>57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122</v>
      </c>
      <c r="B65" s="13" t="s">
        <v>56</v>
      </c>
      <c r="C65" s="14">
        <v>21</v>
      </c>
      <c r="D65" s="14">
        <v>22</v>
      </c>
      <c r="E65" s="14">
        <f t="shared" si="3"/>
        <v>1</v>
      </c>
      <c r="F65" s="15"/>
      <c r="G65" s="15" t="s">
        <v>57</v>
      </c>
      <c r="H65" s="15"/>
      <c r="I65" s="15"/>
      <c r="J65" s="15"/>
      <c r="K65" s="15" t="s">
        <v>57</v>
      </c>
      <c r="L65" s="15"/>
      <c r="M65" s="15"/>
      <c r="N65" s="15"/>
      <c r="O65" s="15" t="s">
        <v>57</v>
      </c>
      <c r="P65" s="15"/>
      <c r="Q65" s="15" t="s">
        <v>57</v>
      </c>
      <c r="R65" s="15"/>
      <c r="S65" s="15"/>
      <c r="T65" s="15" t="s">
        <v>57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122</v>
      </c>
      <c r="B66" s="13" t="s">
        <v>56</v>
      </c>
      <c r="C66" s="14">
        <v>22</v>
      </c>
      <c r="D66" s="14">
        <v>23</v>
      </c>
      <c r="E66" s="14">
        <f t="shared" si="3"/>
        <v>1</v>
      </c>
      <c r="F66" s="15"/>
      <c r="G66" s="15" t="s">
        <v>57</v>
      </c>
      <c r="H66" s="15"/>
      <c r="I66" s="15"/>
      <c r="J66" s="15"/>
      <c r="K66" s="15" t="s">
        <v>57</v>
      </c>
      <c r="L66" s="15"/>
      <c r="M66" s="15"/>
      <c r="N66" s="15"/>
      <c r="O66" s="15" t="s">
        <v>57</v>
      </c>
      <c r="P66" s="15"/>
      <c r="Q66" s="15" t="s">
        <v>57</v>
      </c>
      <c r="R66" s="15"/>
      <c r="S66" s="15"/>
      <c r="T66" s="15" t="s">
        <v>57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122</v>
      </c>
      <c r="B67" s="13" t="s">
        <v>56</v>
      </c>
      <c r="C67" s="14">
        <v>23</v>
      </c>
      <c r="D67" s="14">
        <v>24</v>
      </c>
      <c r="E67" s="14">
        <f t="shared" si="3"/>
        <v>1</v>
      </c>
      <c r="F67" s="15" t="s">
        <v>57</v>
      </c>
      <c r="G67" s="15"/>
      <c r="H67" s="15"/>
      <c r="I67" s="15"/>
      <c r="J67" s="15"/>
      <c r="K67" s="15" t="s">
        <v>57</v>
      </c>
      <c r="L67" s="15"/>
      <c r="M67" s="15"/>
      <c r="N67" s="15" t="s">
        <v>57</v>
      </c>
      <c r="O67" s="15"/>
      <c r="P67" s="15"/>
      <c r="Q67" s="15" t="s">
        <v>57</v>
      </c>
      <c r="R67" s="15"/>
      <c r="S67" s="15"/>
      <c r="T67" s="15" t="s">
        <v>57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122</v>
      </c>
      <c r="B68" s="13" t="s">
        <v>56</v>
      </c>
      <c r="C68" s="14">
        <v>24</v>
      </c>
      <c r="D68" s="14">
        <v>25</v>
      </c>
      <c r="E68" s="14">
        <f t="shared" si="3"/>
        <v>1</v>
      </c>
      <c r="F68" s="15" t="s">
        <v>57</v>
      </c>
      <c r="G68" s="15"/>
      <c r="H68" s="15"/>
      <c r="I68" s="15"/>
      <c r="J68" s="15"/>
      <c r="K68" s="15" t="s">
        <v>57</v>
      </c>
      <c r="L68" s="15"/>
      <c r="M68" s="15"/>
      <c r="N68" s="15" t="s">
        <v>57</v>
      </c>
      <c r="O68" s="15"/>
      <c r="P68" s="15"/>
      <c r="Q68" s="15" t="s">
        <v>57</v>
      </c>
      <c r="R68" s="15"/>
      <c r="S68" s="15"/>
      <c r="T68" s="15" t="s">
        <v>57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122</v>
      </c>
      <c r="B69" s="13" t="s">
        <v>56</v>
      </c>
      <c r="C69" s="14">
        <v>25</v>
      </c>
      <c r="D69" s="14">
        <v>26</v>
      </c>
      <c r="E69" s="14">
        <f t="shared" si="3"/>
        <v>1</v>
      </c>
      <c r="F69" s="15" t="s">
        <v>57</v>
      </c>
      <c r="G69" s="15"/>
      <c r="H69" s="15"/>
      <c r="I69" s="15"/>
      <c r="J69" s="15"/>
      <c r="K69" s="15" t="s">
        <v>57</v>
      </c>
      <c r="L69" s="15"/>
      <c r="M69" s="15"/>
      <c r="N69" s="15" t="s">
        <v>57</v>
      </c>
      <c r="O69" s="15"/>
      <c r="P69" s="15"/>
      <c r="Q69" s="15" t="s">
        <v>57</v>
      </c>
      <c r="R69" s="15"/>
      <c r="S69" s="15"/>
      <c r="T69" s="15" t="s">
        <v>57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122</v>
      </c>
      <c r="B70" s="13" t="s">
        <v>56</v>
      </c>
      <c r="C70" s="14">
        <v>26</v>
      </c>
      <c r="D70" s="14">
        <v>27</v>
      </c>
      <c r="E70" s="14">
        <f t="shared" si="3"/>
        <v>1</v>
      </c>
      <c r="F70" s="15"/>
      <c r="G70" s="15"/>
      <c r="H70" s="15" t="s">
        <v>57</v>
      </c>
      <c r="I70" s="15"/>
      <c r="J70" s="15"/>
      <c r="K70" s="15" t="s">
        <v>57</v>
      </c>
      <c r="L70" s="15"/>
      <c r="M70" s="15"/>
      <c r="N70" s="15" t="s">
        <v>57</v>
      </c>
      <c r="O70" s="15"/>
      <c r="P70" s="15"/>
      <c r="Q70" s="15" t="s">
        <v>57</v>
      </c>
      <c r="R70" s="15"/>
      <c r="S70" s="15"/>
      <c r="T70" s="15" t="s">
        <v>57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122</v>
      </c>
      <c r="B71" s="13" t="s">
        <v>56</v>
      </c>
      <c r="C71" s="14">
        <v>27</v>
      </c>
      <c r="D71" s="14">
        <v>28</v>
      </c>
      <c r="E71" s="14">
        <f t="shared" si="3"/>
        <v>1</v>
      </c>
      <c r="F71" s="15"/>
      <c r="G71" s="15"/>
      <c r="H71" s="15" t="s">
        <v>57</v>
      </c>
      <c r="I71" s="15"/>
      <c r="J71" s="15"/>
      <c r="K71" s="15" t="s">
        <v>57</v>
      </c>
      <c r="L71" s="15"/>
      <c r="M71" s="15"/>
      <c r="N71" s="15" t="s">
        <v>57</v>
      </c>
      <c r="O71" s="15"/>
      <c r="P71" s="15"/>
      <c r="Q71" s="15" t="s">
        <v>57</v>
      </c>
      <c r="R71" s="15"/>
      <c r="S71" s="15"/>
      <c r="T71" s="15" t="s">
        <v>57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122</v>
      </c>
      <c r="B72" s="13" t="s">
        <v>56</v>
      </c>
      <c r="C72" s="14">
        <v>28</v>
      </c>
      <c r="D72" s="14">
        <v>29</v>
      </c>
      <c r="E72" s="14">
        <f t="shared" si="3"/>
        <v>1</v>
      </c>
      <c r="F72" s="15"/>
      <c r="G72" s="15"/>
      <c r="H72" s="15" t="s">
        <v>57</v>
      </c>
      <c r="I72" s="15"/>
      <c r="J72" s="15"/>
      <c r="K72" s="15" t="s">
        <v>57</v>
      </c>
      <c r="L72" s="15"/>
      <c r="M72" s="15"/>
      <c r="N72" s="15" t="s">
        <v>57</v>
      </c>
      <c r="O72" s="15"/>
      <c r="P72" s="15"/>
      <c r="Q72" s="15" t="s">
        <v>57</v>
      </c>
      <c r="R72" s="15"/>
      <c r="S72" s="15"/>
      <c r="T72" s="15" t="s">
        <v>57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122</v>
      </c>
      <c r="B73" s="13" t="s">
        <v>56</v>
      </c>
      <c r="C73" s="14">
        <v>29</v>
      </c>
      <c r="D73" s="14">
        <v>30</v>
      </c>
      <c r="E73" s="14">
        <f t="shared" si="3"/>
        <v>1</v>
      </c>
      <c r="F73" s="15"/>
      <c r="G73" s="15"/>
      <c r="H73" s="15" t="s">
        <v>57</v>
      </c>
      <c r="I73" s="15"/>
      <c r="J73" s="15"/>
      <c r="K73" s="15" t="s">
        <v>57</v>
      </c>
      <c r="L73" s="15"/>
      <c r="M73" s="15"/>
      <c r="N73" s="15" t="s">
        <v>57</v>
      </c>
      <c r="O73" s="15"/>
      <c r="P73" s="15"/>
      <c r="Q73" s="15" t="s">
        <v>57</v>
      </c>
      <c r="R73" s="15"/>
      <c r="S73" s="15"/>
      <c r="T73" s="15" t="s">
        <v>57</v>
      </c>
      <c r="U73" s="15"/>
      <c r="V73" s="16"/>
      <c r="W73" s="17" t="str">
        <f t="shared" si="4"/>
        <v>OK</v>
      </c>
    </row>
    <row r="74" spans="1:23" ht="20.100000000000001" customHeight="1" x14ac:dyDescent="0.25">
      <c r="A74" s="12" t="s">
        <v>122</v>
      </c>
      <c r="B74" s="13" t="s">
        <v>56</v>
      </c>
      <c r="C74" s="14">
        <v>30</v>
      </c>
      <c r="D74" s="14">
        <v>31</v>
      </c>
      <c r="E74" s="14">
        <f t="shared" si="3"/>
        <v>1</v>
      </c>
      <c r="F74" s="15"/>
      <c r="G74" s="15"/>
      <c r="H74" s="15" t="s">
        <v>57</v>
      </c>
      <c r="I74" s="15"/>
      <c r="J74" s="15"/>
      <c r="K74" s="15" t="s">
        <v>57</v>
      </c>
      <c r="L74" s="15"/>
      <c r="M74" s="15"/>
      <c r="N74" s="15" t="s">
        <v>57</v>
      </c>
      <c r="O74" s="15"/>
      <c r="P74" s="15"/>
      <c r="Q74" s="15" t="s">
        <v>57</v>
      </c>
      <c r="R74" s="15"/>
      <c r="S74" s="15"/>
      <c r="T74" s="15" t="s">
        <v>57</v>
      </c>
      <c r="U74" s="15"/>
      <c r="V74" s="16"/>
      <c r="W74" s="17" t="str">
        <f t="shared" si="4"/>
        <v>OK</v>
      </c>
    </row>
    <row r="75" spans="1:23" ht="20.100000000000001" customHeight="1" x14ac:dyDescent="0.25">
      <c r="A75" s="12" t="s">
        <v>122</v>
      </c>
      <c r="B75" s="13" t="s">
        <v>56</v>
      </c>
      <c r="C75" s="14">
        <v>31</v>
      </c>
      <c r="D75" s="14">
        <v>32</v>
      </c>
      <c r="E75" s="14">
        <f t="shared" si="3"/>
        <v>1</v>
      </c>
      <c r="F75" s="15"/>
      <c r="G75" s="15"/>
      <c r="H75" s="15" t="s">
        <v>57</v>
      </c>
      <c r="I75" s="15"/>
      <c r="J75" s="15"/>
      <c r="K75" s="15" t="s">
        <v>57</v>
      </c>
      <c r="L75" s="15"/>
      <c r="M75" s="15"/>
      <c r="N75" s="15" t="s">
        <v>57</v>
      </c>
      <c r="O75" s="15"/>
      <c r="P75" s="15"/>
      <c r="Q75" s="15" t="s">
        <v>57</v>
      </c>
      <c r="R75" s="15"/>
      <c r="S75" s="15"/>
      <c r="T75" s="15" t="s">
        <v>57</v>
      </c>
      <c r="U75" s="15"/>
      <c r="V75" s="16"/>
      <c r="W75" s="17" t="str">
        <f t="shared" si="4"/>
        <v>OK</v>
      </c>
    </row>
    <row r="76" spans="1:23" ht="20.100000000000001" customHeight="1" x14ac:dyDescent="0.25">
      <c r="A76" s="12" t="s">
        <v>122</v>
      </c>
      <c r="B76" s="13" t="s">
        <v>56</v>
      </c>
      <c r="C76" s="14">
        <v>32</v>
      </c>
      <c r="D76" s="14">
        <v>33</v>
      </c>
      <c r="E76" s="14">
        <f t="shared" si="3"/>
        <v>1</v>
      </c>
      <c r="F76" s="15"/>
      <c r="G76" s="15"/>
      <c r="H76" s="15" t="s">
        <v>57</v>
      </c>
      <c r="I76" s="15"/>
      <c r="J76" s="15"/>
      <c r="K76" s="15" t="s">
        <v>57</v>
      </c>
      <c r="L76" s="15"/>
      <c r="M76" s="15"/>
      <c r="N76" s="15" t="s">
        <v>57</v>
      </c>
      <c r="O76" s="15"/>
      <c r="P76" s="15"/>
      <c r="Q76" s="15" t="s">
        <v>57</v>
      </c>
      <c r="R76" s="15"/>
      <c r="S76" s="15"/>
      <c r="T76" s="15" t="s">
        <v>57</v>
      </c>
      <c r="U76" s="15"/>
      <c r="V76" s="16"/>
      <c r="W76" s="17" t="str">
        <f t="shared" si="4"/>
        <v>OK</v>
      </c>
    </row>
    <row r="77" spans="1:23" ht="20.100000000000001" customHeight="1" x14ac:dyDescent="0.25">
      <c r="A77" s="12" t="s">
        <v>122</v>
      </c>
      <c r="B77" s="13" t="s">
        <v>56</v>
      </c>
      <c r="C77" s="14">
        <v>33</v>
      </c>
      <c r="D77" s="14">
        <v>34</v>
      </c>
      <c r="E77" s="14">
        <f t="shared" si="3"/>
        <v>1</v>
      </c>
      <c r="F77" s="15"/>
      <c r="G77" s="15"/>
      <c r="H77" s="15" t="s">
        <v>57</v>
      </c>
      <c r="I77" s="15"/>
      <c r="J77" s="15"/>
      <c r="K77" s="15" t="s">
        <v>57</v>
      </c>
      <c r="L77" s="15"/>
      <c r="M77" s="15"/>
      <c r="N77" s="15" t="s">
        <v>57</v>
      </c>
      <c r="O77" s="15"/>
      <c r="P77" s="15"/>
      <c r="Q77" s="15" t="s">
        <v>57</v>
      </c>
      <c r="R77" s="15"/>
      <c r="S77" s="15"/>
      <c r="T77" s="15" t="s">
        <v>57</v>
      </c>
      <c r="U77" s="15"/>
      <c r="V77" s="16"/>
      <c r="W77" s="17" t="str">
        <f t="shared" si="4"/>
        <v>OK</v>
      </c>
    </row>
    <row r="78" spans="1:23" ht="20.100000000000001" customHeight="1" x14ac:dyDescent="0.25">
      <c r="A78" s="12" t="s">
        <v>122</v>
      </c>
      <c r="B78" s="13" t="s">
        <v>56</v>
      </c>
      <c r="C78" s="14">
        <v>34</v>
      </c>
      <c r="D78" s="14">
        <v>35</v>
      </c>
      <c r="E78" s="14">
        <f t="shared" si="3"/>
        <v>1</v>
      </c>
      <c r="F78" s="15"/>
      <c r="G78" s="15"/>
      <c r="H78" s="15" t="s">
        <v>57</v>
      </c>
      <c r="I78" s="15"/>
      <c r="J78" s="15"/>
      <c r="K78" s="15" t="s">
        <v>57</v>
      </c>
      <c r="L78" s="15"/>
      <c r="M78" s="15"/>
      <c r="N78" s="15" t="s">
        <v>57</v>
      </c>
      <c r="O78" s="15"/>
      <c r="P78" s="15"/>
      <c r="Q78" s="15" t="s">
        <v>57</v>
      </c>
      <c r="R78" s="15"/>
      <c r="S78" s="15"/>
      <c r="T78" s="15" t="s">
        <v>57</v>
      </c>
      <c r="U78" s="15"/>
      <c r="V78" s="16"/>
      <c r="W78" s="17" t="str">
        <f t="shared" si="4"/>
        <v>OK</v>
      </c>
    </row>
    <row r="79" spans="1:23" ht="20.100000000000001" customHeight="1" x14ac:dyDescent="0.25">
      <c r="A79" s="12" t="s">
        <v>122</v>
      </c>
      <c r="B79" s="13" t="s">
        <v>56</v>
      </c>
      <c r="C79" s="14">
        <v>35</v>
      </c>
      <c r="D79" s="14">
        <v>36</v>
      </c>
      <c r="E79" s="14">
        <f t="shared" si="3"/>
        <v>1</v>
      </c>
      <c r="F79" s="15"/>
      <c r="G79" s="15"/>
      <c r="H79" s="15" t="s">
        <v>57</v>
      </c>
      <c r="I79" s="15"/>
      <c r="J79" s="15"/>
      <c r="K79" s="15" t="s">
        <v>57</v>
      </c>
      <c r="L79" s="15"/>
      <c r="M79" s="15"/>
      <c r="N79" s="15" t="s">
        <v>57</v>
      </c>
      <c r="O79" s="15"/>
      <c r="P79" s="15"/>
      <c r="Q79" s="15" t="s">
        <v>57</v>
      </c>
      <c r="R79" s="15"/>
      <c r="S79" s="15"/>
      <c r="T79" s="15" t="s">
        <v>57</v>
      </c>
      <c r="U79" s="15"/>
      <c r="V79" s="16"/>
      <c r="W79" s="17" t="str">
        <f t="shared" si="4"/>
        <v>OK</v>
      </c>
    </row>
    <row r="80" spans="1:23" ht="20.100000000000001" customHeight="1" x14ac:dyDescent="0.25">
      <c r="A80" s="12" t="s">
        <v>122</v>
      </c>
      <c r="B80" s="13" t="s">
        <v>56</v>
      </c>
      <c r="C80" s="14">
        <v>36</v>
      </c>
      <c r="D80" s="14">
        <v>37</v>
      </c>
      <c r="E80" s="14">
        <f t="shared" si="3"/>
        <v>1</v>
      </c>
      <c r="F80" s="15"/>
      <c r="G80" s="15"/>
      <c r="H80" s="15" t="s">
        <v>57</v>
      </c>
      <c r="I80" s="15"/>
      <c r="J80" s="15"/>
      <c r="K80" s="15" t="s">
        <v>57</v>
      </c>
      <c r="L80" s="15"/>
      <c r="M80" s="15"/>
      <c r="N80" s="15" t="s">
        <v>57</v>
      </c>
      <c r="O80" s="15"/>
      <c r="P80" s="15"/>
      <c r="Q80" s="15" t="s">
        <v>57</v>
      </c>
      <c r="R80" s="15"/>
      <c r="S80" s="15"/>
      <c r="T80" s="15" t="s">
        <v>57</v>
      </c>
      <c r="U80" s="15"/>
      <c r="V80" s="16"/>
      <c r="W80" s="17" t="str">
        <f t="shared" si="4"/>
        <v>OK</v>
      </c>
    </row>
    <row r="81" spans="1:23" ht="20.100000000000001" customHeight="1" x14ac:dyDescent="0.25">
      <c r="A81" s="12" t="s">
        <v>122</v>
      </c>
      <c r="B81" s="13" t="s">
        <v>56</v>
      </c>
      <c r="C81" s="14">
        <v>37</v>
      </c>
      <c r="D81" s="14">
        <v>38</v>
      </c>
      <c r="E81" s="14">
        <f t="shared" si="3"/>
        <v>1</v>
      </c>
      <c r="F81" s="15"/>
      <c r="G81" s="15"/>
      <c r="H81" s="15" t="s">
        <v>57</v>
      </c>
      <c r="I81" s="15"/>
      <c r="J81" s="15"/>
      <c r="K81" s="15" t="s">
        <v>57</v>
      </c>
      <c r="L81" s="15"/>
      <c r="M81" s="15"/>
      <c r="N81" s="15" t="s">
        <v>57</v>
      </c>
      <c r="O81" s="15"/>
      <c r="P81" s="15"/>
      <c r="Q81" s="15" t="s">
        <v>57</v>
      </c>
      <c r="R81" s="15"/>
      <c r="S81" s="15"/>
      <c r="T81" s="15" t="s">
        <v>57</v>
      </c>
      <c r="U81" s="15"/>
      <c r="V81" s="16"/>
      <c r="W81" s="17" t="str">
        <f t="shared" si="4"/>
        <v>OK</v>
      </c>
    </row>
    <row r="82" spans="1:23" ht="20.100000000000001" customHeight="1" x14ac:dyDescent="0.25">
      <c r="A82" s="12" t="s">
        <v>122</v>
      </c>
      <c r="B82" s="13" t="s">
        <v>56</v>
      </c>
      <c r="C82" s="14">
        <v>38</v>
      </c>
      <c r="D82" s="14">
        <v>39</v>
      </c>
      <c r="E82" s="14">
        <f t="shared" si="3"/>
        <v>1</v>
      </c>
      <c r="F82" s="15"/>
      <c r="G82" s="15"/>
      <c r="H82" s="15" t="s">
        <v>57</v>
      </c>
      <c r="I82" s="15"/>
      <c r="J82" s="15"/>
      <c r="K82" s="15" t="s">
        <v>57</v>
      </c>
      <c r="L82" s="15"/>
      <c r="M82" s="15"/>
      <c r="N82" s="15" t="s">
        <v>57</v>
      </c>
      <c r="O82" s="15"/>
      <c r="P82" s="15"/>
      <c r="Q82" s="15" t="s">
        <v>57</v>
      </c>
      <c r="R82" s="15"/>
      <c r="S82" s="15"/>
      <c r="T82" s="15" t="s">
        <v>57</v>
      </c>
      <c r="U82" s="15"/>
      <c r="V82" s="16"/>
      <c r="W82" s="17" t="str">
        <f t="shared" si="4"/>
        <v>OK</v>
      </c>
    </row>
    <row r="83" spans="1:23" ht="20.100000000000001" customHeight="1" x14ac:dyDescent="0.25">
      <c r="A83" s="12" t="s">
        <v>122</v>
      </c>
      <c r="B83" s="13" t="s">
        <v>56</v>
      </c>
      <c r="C83" s="14">
        <v>39</v>
      </c>
      <c r="D83" s="14">
        <v>40</v>
      </c>
      <c r="E83" s="14">
        <f t="shared" si="3"/>
        <v>1</v>
      </c>
      <c r="F83" s="15"/>
      <c r="G83" s="15"/>
      <c r="H83" s="15" t="s">
        <v>57</v>
      </c>
      <c r="I83" s="15"/>
      <c r="J83" s="15"/>
      <c r="K83" s="15" t="s">
        <v>57</v>
      </c>
      <c r="L83" s="15"/>
      <c r="M83" s="15"/>
      <c r="N83" s="15" t="s">
        <v>57</v>
      </c>
      <c r="O83" s="15"/>
      <c r="P83" s="15"/>
      <c r="Q83" s="15" t="s">
        <v>57</v>
      </c>
      <c r="R83" s="15"/>
      <c r="S83" s="15"/>
      <c r="T83" s="15" t="s">
        <v>57</v>
      </c>
      <c r="U83" s="15"/>
      <c r="V83" s="16"/>
      <c r="W83" s="17" t="str">
        <f t="shared" si="4"/>
        <v>OK</v>
      </c>
    </row>
    <row r="84" spans="1:23" ht="20.100000000000001" customHeight="1" x14ac:dyDescent="0.25">
      <c r="A84" s="12" t="s">
        <v>122</v>
      </c>
      <c r="B84" s="13" t="s">
        <v>56</v>
      </c>
      <c r="C84" s="14">
        <v>40</v>
      </c>
      <c r="D84" s="14">
        <v>41</v>
      </c>
      <c r="E84" s="14">
        <f t="shared" si="3"/>
        <v>1</v>
      </c>
      <c r="F84" s="15"/>
      <c r="G84" s="15"/>
      <c r="H84" s="15" t="s">
        <v>57</v>
      </c>
      <c r="I84" s="15"/>
      <c r="J84" s="15"/>
      <c r="K84" s="15" t="s">
        <v>57</v>
      </c>
      <c r="L84" s="15"/>
      <c r="M84" s="15"/>
      <c r="N84" s="15" t="s">
        <v>57</v>
      </c>
      <c r="O84" s="15"/>
      <c r="P84" s="15"/>
      <c r="Q84" s="15" t="s">
        <v>57</v>
      </c>
      <c r="R84" s="15"/>
      <c r="S84" s="15"/>
      <c r="T84" s="15" t="s">
        <v>57</v>
      </c>
      <c r="U84" s="15"/>
      <c r="V84" s="16"/>
      <c r="W84" s="17" t="str">
        <f t="shared" si="4"/>
        <v>OK</v>
      </c>
    </row>
    <row r="85" spans="1:23" ht="20.100000000000001" customHeight="1" x14ac:dyDescent="0.25">
      <c r="A85" s="12" t="s">
        <v>122</v>
      </c>
      <c r="B85" s="13" t="s">
        <v>56</v>
      </c>
      <c r="C85" s="14">
        <v>41</v>
      </c>
      <c r="D85" s="14">
        <v>42</v>
      </c>
      <c r="E85" s="14">
        <f t="shared" si="3"/>
        <v>1</v>
      </c>
      <c r="F85" s="15"/>
      <c r="G85" s="15"/>
      <c r="H85" s="15" t="s">
        <v>57</v>
      </c>
      <c r="I85" s="15"/>
      <c r="J85" s="15"/>
      <c r="K85" s="15" t="s">
        <v>57</v>
      </c>
      <c r="L85" s="15"/>
      <c r="M85" s="15"/>
      <c r="N85" s="15" t="s">
        <v>57</v>
      </c>
      <c r="O85" s="15"/>
      <c r="P85" s="15"/>
      <c r="Q85" s="15" t="s">
        <v>57</v>
      </c>
      <c r="R85" s="15"/>
      <c r="S85" s="15"/>
      <c r="T85" s="15" t="s">
        <v>57</v>
      </c>
      <c r="U85" s="15"/>
      <c r="V85" s="16"/>
      <c r="W85" s="17" t="str">
        <f t="shared" si="4"/>
        <v>OK</v>
      </c>
    </row>
    <row r="86" spans="1:23" ht="20.100000000000001" customHeight="1" x14ac:dyDescent="0.25">
      <c r="A86" s="12" t="s">
        <v>122</v>
      </c>
      <c r="B86" s="13" t="s">
        <v>56</v>
      </c>
      <c r="C86" s="14">
        <v>42</v>
      </c>
      <c r="D86" s="14">
        <v>43</v>
      </c>
      <c r="E86" s="14">
        <f t="shared" si="3"/>
        <v>1</v>
      </c>
      <c r="F86" s="15"/>
      <c r="G86" s="15" t="s">
        <v>57</v>
      </c>
      <c r="H86" s="15"/>
      <c r="I86" s="15"/>
      <c r="J86" s="15"/>
      <c r="K86" s="15" t="s">
        <v>57</v>
      </c>
      <c r="L86" s="15"/>
      <c r="M86" s="15"/>
      <c r="N86" s="15" t="s">
        <v>57</v>
      </c>
      <c r="O86" s="15"/>
      <c r="P86" s="15"/>
      <c r="Q86" s="15" t="s">
        <v>57</v>
      </c>
      <c r="R86" s="15"/>
      <c r="S86" s="15"/>
      <c r="T86" s="15" t="s">
        <v>57</v>
      </c>
      <c r="U86" s="15"/>
      <c r="V86" s="16"/>
      <c r="W86" s="17" t="str">
        <f t="shared" si="4"/>
        <v>OK</v>
      </c>
    </row>
    <row r="87" spans="1:23" ht="20.100000000000001" customHeight="1" x14ac:dyDescent="0.25">
      <c r="A87" s="12" t="s">
        <v>122</v>
      </c>
      <c r="B87" s="13" t="s">
        <v>56</v>
      </c>
      <c r="C87" s="14">
        <v>43</v>
      </c>
      <c r="D87" s="14">
        <v>44</v>
      </c>
      <c r="E87" s="14">
        <f t="shared" si="3"/>
        <v>1</v>
      </c>
      <c r="F87" s="15"/>
      <c r="G87" s="15" t="s">
        <v>57</v>
      </c>
      <c r="H87" s="15"/>
      <c r="I87" s="15"/>
      <c r="J87" s="15"/>
      <c r="K87" s="15" t="s">
        <v>57</v>
      </c>
      <c r="L87" s="15"/>
      <c r="M87" s="15"/>
      <c r="N87" s="15" t="s">
        <v>57</v>
      </c>
      <c r="O87" s="15"/>
      <c r="P87" s="15"/>
      <c r="Q87" s="15" t="s">
        <v>57</v>
      </c>
      <c r="R87" s="15"/>
      <c r="S87" s="15"/>
      <c r="T87" s="15" t="s">
        <v>57</v>
      </c>
      <c r="U87" s="15"/>
      <c r="V87" s="16"/>
      <c r="W87" s="17" t="str">
        <f t="shared" si="4"/>
        <v>OK</v>
      </c>
    </row>
    <row r="88" spans="1:23" ht="20.100000000000001" customHeight="1" x14ac:dyDescent="0.25">
      <c r="A88" s="12" t="s">
        <v>122</v>
      </c>
      <c r="B88" s="13" t="s">
        <v>56</v>
      </c>
      <c r="C88" s="14">
        <v>44</v>
      </c>
      <c r="D88" s="14">
        <v>45</v>
      </c>
      <c r="E88" s="14">
        <f t="shared" si="3"/>
        <v>1</v>
      </c>
      <c r="F88" s="15"/>
      <c r="G88" s="15" t="s">
        <v>57</v>
      </c>
      <c r="H88" s="15"/>
      <c r="I88" s="15"/>
      <c r="J88" s="15"/>
      <c r="K88" s="15" t="s">
        <v>57</v>
      </c>
      <c r="L88" s="15"/>
      <c r="M88" s="15"/>
      <c r="N88" s="15" t="s">
        <v>57</v>
      </c>
      <c r="O88" s="15"/>
      <c r="P88" s="15"/>
      <c r="Q88" s="15" t="s">
        <v>57</v>
      </c>
      <c r="R88" s="15"/>
      <c r="S88" s="15"/>
      <c r="T88" s="15" t="s">
        <v>57</v>
      </c>
      <c r="U88" s="15"/>
      <c r="V88" s="16"/>
      <c r="W88" s="17" t="str">
        <f t="shared" si="4"/>
        <v>OK</v>
      </c>
    </row>
    <row r="89" spans="1:23" ht="20.100000000000001" customHeight="1" x14ac:dyDescent="0.25">
      <c r="A89" s="12" t="s">
        <v>122</v>
      </c>
      <c r="B89" s="13" t="s">
        <v>56</v>
      </c>
      <c r="C89" s="14">
        <v>45</v>
      </c>
      <c r="D89" s="14">
        <v>46</v>
      </c>
      <c r="E89" s="14">
        <f t="shared" si="3"/>
        <v>1</v>
      </c>
      <c r="F89" s="15"/>
      <c r="G89" s="15" t="s">
        <v>57</v>
      </c>
      <c r="H89" s="15"/>
      <c r="I89" s="15"/>
      <c r="J89" s="15"/>
      <c r="K89" s="15" t="s">
        <v>57</v>
      </c>
      <c r="L89" s="15"/>
      <c r="M89" s="15"/>
      <c r="N89" s="15" t="s">
        <v>57</v>
      </c>
      <c r="O89" s="15"/>
      <c r="P89" s="15"/>
      <c r="Q89" s="15" t="s">
        <v>57</v>
      </c>
      <c r="R89" s="15"/>
      <c r="S89" s="15"/>
      <c r="T89" s="15" t="s">
        <v>57</v>
      </c>
      <c r="U89" s="15"/>
      <c r="V89" s="16"/>
      <c r="W89" s="17" t="str">
        <f t="shared" si="4"/>
        <v>OK</v>
      </c>
    </row>
    <row r="90" spans="1:23" ht="20.100000000000001" customHeight="1" x14ac:dyDescent="0.25">
      <c r="A90" s="12" t="s">
        <v>122</v>
      </c>
      <c r="B90" s="13" t="s">
        <v>56</v>
      </c>
      <c r="C90" s="14">
        <v>46</v>
      </c>
      <c r="D90" s="14">
        <v>47</v>
      </c>
      <c r="E90" s="14">
        <f t="shared" si="3"/>
        <v>1</v>
      </c>
      <c r="F90" s="15"/>
      <c r="G90" s="15" t="s">
        <v>57</v>
      </c>
      <c r="H90" s="15"/>
      <c r="I90" s="15"/>
      <c r="J90" s="15"/>
      <c r="K90" s="15" t="s">
        <v>57</v>
      </c>
      <c r="L90" s="15"/>
      <c r="M90" s="15"/>
      <c r="N90" s="15" t="s">
        <v>57</v>
      </c>
      <c r="O90" s="15"/>
      <c r="P90" s="15"/>
      <c r="Q90" s="15" t="s">
        <v>57</v>
      </c>
      <c r="R90" s="15"/>
      <c r="S90" s="15"/>
      <c r="T90" s="15" t="s">
        <v>57</v>
      </c>
      <c r="U90" s="15"/>
      <c r="V90" s="16"/>
      <c r="W90" s="17" t="str">
        <f t="shared" si="4"/>
        <v>OK</v>
      </c>
    </row>
    <row r="91" spans="1:23" ht="20.100000000000001" customHeight="1" x14ac:dyDescent="0.25">
      <c r="A91" s="18" t="s">
        <v>122</v>
      </c>
      <c r="B91" s="19" t="s">
        <v>56</v>
      </c>
      <c r="C91" s="20">
        <v>47</v>
      </c>
      <c r="D91" s="20">
        <v>47.950062449500003</v>
      </c>
      <c r="E91" s="20">
        <f t="shared" si="3"/>
        <v>0.95006244950000251</v>
      </c>
      <c r="F91" s="21"/>
      <c r="G91" s="21" t="s">
        <v>57</v>
      </c>
      <c r="H91" s="21"/>
      <c r="I91" s="21"/>
      <c r="J91" s="21"/>
      <c r="K91" s="21" t="s">
        <v>57</v>
      </c>
      <c r="L91" s="21"/>
      <c r="M91" s="21"/>
      <c r="N91" s="21" t="s">
        <v>57</v>
      </c>
      <c r="O91" s="21"/>
      <c r="P91" s="21"/>
      <c r="Q91" s="21" t="s">
        <v>57</v>
      </c>
      <c r="R91" s="21"/>
      <c r="S91" s="21"/>
      <c r="T91" s="21" t="s">
        <v>57</v>
      </c>
      <c r="U91" s="21"/>
      <c r="V91" s="22"/>
      <c r="W91" s="23" t="str">
        <f t="shared" si="4"/>
        <v>OK</v>
      </c>
    </row>
    <row r="92" spans="1:23" ht="15.95" customHeight="1" x14ac:dyDescent="0.25">
      <c r="A92" s="52" t="s">
        <v>124</v>
      </c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5"/>
      <c r="W92" s="4"/>
    </row>
    <row r="93" spans="1:23" ht="20.100000000000001" customHeight="1" x14ac:dyDescent="0.25">
      <c r="A93" s="12" t="s">
        <v>125</v>
      </c>
      <c r="B93" s="13" t="s">
        <v>56</v>
      </c>
      <c r="C93" s="14">
        <v>0</v>
      </c>
      <c r="D93" s="14">
        <v>1</v>
      </c>
      <c r="E93" s="14">
        <f t="shared" ref="E93:E111" si="5">D93-C93</f>
        <v>1</v>
      </c>
      <c r="F93" s="15" t="s">
        <v>57</v>
      </c>
      <c r="G93" s="15"/>
      <c r="H93" s="15"/>
      <c r="I93" s="15"/>
      <c r="J93" s="15"/>
      <c r="K93" s="15" t="s">
        <v>57</v>
      </c>
      <c r="L93" s="15"/>
      <c r="M93" s="15"/>
      <c r="N93" s="15" t="s">
        <v>57</v>
      </c>
      <c r="O93" s="15"/>
      <c r="P93" s="15"/>
      <c r="Q93" s="15" t="s">
        <v>57</v>
      </c>
      <c r="R93" s="15"/>
      <c r="S93" s="15"/>
      <c r="T93" s="15" t="s">
        <v>57</v>
      </c>
      <c r="U93" s="15"/>
      <c r="V93" s="16"/>
      <c r="W93" s="17" t="str">
        <f t="shared" ref="W93:W111" si="6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125</v>
      </c>
      <c r="B94" s="13" t="s">
        <v>56</v>
      </c>
      <c r="C94" s="14">
        <v>1</v>
      </c>
      <c r="D94" s="14">
        <v>2</v>
      </c>
      <c r="E94" s="14">
        <f t="shared" si="5"/>
        <v>1</v>
      </c>
      <c r="F94" s="15" t="s">
        <v>57</v>
      </c>
      <c r="G94" s="15"/>
      <c r="H94" s="15"/>
      <c r="I94" s="15"/>
      <c r="J94" s="15"/>
      <c r="K94" s="15" t="s">
        <v>57</v>
      </c>
      <c r="L94" s="15"/>
      <c r="M94" s="15"/>
      <c r="N94" s="15" t="s">
        <v>57</v>
      </c>
      <c r="O94" s="15"/>
      <c r="P94" s="15"/>
      <c r="Q94" s="15" t="s">
        <v>57</v>
      </c>
      <c r="R94" s="15"/>
      <c r="S94" s="15"/>
      <c r="T94" s="15" t="s">
        <v>57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125</v>
      </c>
      <c r="B95" s="13" t="s">
        <v>56</v>
      </c>
      <c r="C95" s="14">
        <v>2</v>
      </c>
      <c r="D95" s="14">
        <v>3</v>
      </c>
      <c r="E95" s="14">
        <f t="shared" si="5"/>
        <v>1</v>
      </c>
      <c r="F95" s="15" t="s">
        <v>57</v>
      </c>
      <c r="G95" s="15"/>
      <c r="H95" s="15"/>
      <c r="I95" s="15"/>
      <c r="J95" s="15"/>
      <c r="K95" s="15" t="s">
        <v>57</v>
      </c>
      <c r="L95" s="15"/>
      <c r="M95" s="15"/>
      <c r="N95" s="15" t="s">
        <v>57</v>
      </c>
      <c r="O95" s="15"/>
      <c r="P95" s="15"/>
      <c r="Q95" s="15" t="s">
        <v>57</v>
      </c>
      <c r="R95" s="15"/>
      <c r="S95" s="15"/>
      <c r="T95" s="15" t="s">
        <v>57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125</v>
      </c>
      <c r="B96" s="13" t="s">
        <v>56</v>
      </c>
      <c r="C96" s="14">
        <v>3</v>
      </c>
      <c r="D96" s="14">
        <v>4</v>
      </c>
      <c r="E96" s="14">
        <f t="shared" si="5"/>
        <v>1</v>
      </c>
      <c r="F96" s="15"/>
      <c r="G96" s="15" t="s">
        <v>57</v>
      </c>
      <c r="H96" s="15"/>
      <c r="I96" s="15"/>
      <c r="J96" s="15"/>
      <c r="K96" s="15" t="s">
        <v>57</v>
      </c>
      <c r="L96" s="15"/>
      <c r="M96" s="15"/>
      <c r="N96" s="15" t="s">
        <v>57</v>
      </c>
      <c r="O96" s="15"/>
      <c r="P96" s="15"/>
      <c r="Q96" s="15" t="s">
        <v>57</v>
      </c>
      <c r="R96" s="15"/>
      <c r="S96" s="15"/>
      <c r="T96" s="15" t="s">
        <v>57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125</v>
      </c>
      <c r="B97" s="13" t="s">
        <v>56</v>
      </c>
      <c r="C97" s="14">
        <v>4</v>
      </c>
      <c r="D97" s="14">
        <v>5</v>
      </c>
      <c r="E97" s="14">
        <f t="shared" si="5"/>
        <v>1</v>
      </c>
      <c r="F97" s="15"/>
      <c r="G97" s="15" t="s">
        <v>57</v>
      </c>
      <c r="H97" s="15"/>
      <c r="I97" s="15"/>
      <c r="J97" s="15"/>
      <c r="K97" s="15" t="s">
        <v>57</v>
      </c>
      <c r="L97" s="15"/>
      <c r="M97" s="15"/>
      <c r="N97" s="15" t="s">
        <v>57</v>
      </c>
      <c r="O97" s="15"/>
      <c r="P97" s="15"/>
      <c r="Q97" s="15" t="s">
        <v>57</v>
      </c>
      <c r="R97" s="15"/>
      <c r="S97" s="15"/>
      <c r="T97" s="15" t="s">
        <v>57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125</v>
      </c>
      <c r="B98" s="13" t="s">
        <v>56</v>
      </c>
      <c r="C98" s="14">
        <v>5</v>
      </c>
      <c r="D98" s="14">
        <v>6</v>
      </c>
      <c r="E98" s="14">
        <f t="shared" si="5"/>
        <v>1</v>
      </c>
      <c r="F98" s="15" t="s">
        <v>57</v>
      </c>
      <c r="G98" s="15"/>
      <c r="H98" s="15"/>
      <c r="I98" s="15"/>
      <c r="J98" s="15"/>
      <c r="K98" s="15" t="s">
        <v>57</v>
      </c>
      <c r="L98" s="15"/>
      <c r="M98" s="15"/>
      <c r="N98" s="15" t="s">
        <v>57</v>
      </c>
      <c r="O98" s="15"/>
      <c r="P98" s="15"/>
      <c r="Q98" s="15" t="s">
        <v>57</v>
      </c>
      <c r="R98" s="15"/>
      <c r="S98" s="15"/>
      <c r="T98" s="15" t="s">
        <v>57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125</v>
      </c>
      <c r="B99" s="13" t="s">
        <v>56</v>
      </c>
      <c r="C99" s="14">
        <v>6</v>
      </c>
      <c r="D99" s="14">
        <v>7</v>
      </c>
      <c r="E99" s="14">
        <f t="shared" si="5"/>
        <v>1</v>
      </c>
      <c r="F99" s="15" t="s">
        <v>57</v>
      </c>
      <c r="G99" s="15"/>
      <c r="H99" s="15"/>
      <c r="I99" s="15"/>
      <c r="J99" s="15"/>
      <c r="K99" s="15" t="s">
        <v>57</v>
      </c>
      <c r="L99" s="15"/>
      <c r="M99" s="15"/>
      <c r="N99" s="15" t="s">
        <v>57</v>
      </c>
      <c r="O99" s="15"/>
      <c r="P99" s="15"/>
      <c r="Q99" s="15" t="s">
        <v>57</v>
      </c>
      <c r="R99" s="15"/>
      <c r="S99" s="15"/>
      <c r="T99" s="15" t="s">
        <v>57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125</v>
      </c>
      <c r="B100" s="13" t="s">
        <v>56</v>
      </c>
      <c r="C100" s="14">
        <v>7</v>
      </c>
      <c r="D100" s="14">
        <v>8</v>
      </c>
      <c r="E100" s="14">
        <f t="shared" si="5"/>
        <v>1</v>
      </c>
      <c r="F100" s="15"/>
      <c r="G100" s="15"/>
      <c r="H100" s="15" t="s">
        <v>57</v>
      </c>
      <c r="I100" s="15"/>
      <c r="J100" s="15"/>
      <c r="K100" s="15" t="s">
        <v>57</v>
      </c>
      <c r="L100" s="15"/>
      <c r="M100" s="15"/>
      <c r="N100" s="15" t="s">
        <v>57</v>
      </c>
      <c r="O100" s="15"/>
      <c r="P100" s="15"/>
      <c r="Q100" s="15" t="s">
        <v>57</v>
      </c>
      <c r="R100" s="15"/>
      <c r="S100" s="15"/>
      <c r="T100" s="15" t="s">
        <v>57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125</v>
      </c>
      <c r="B101" s="13" t="s">
        <v>56</v>
      </c>
      <c r="C101" s="14">
        <v>8</v>
      </c>
      <c r="D101" s="14">
        <v>9</v>
      </c>
      <c r="E101" s="14">
        <f t="shared" si="5"/>
        <v>1</v>
      </c>
      <c r="F101" s="15"/>
      <c r="G101" s="15"/>
      <c r="H101" s="15" t="s">
        <v>57</v>
      </c>
      <c r="I101" s="15"/>
      <c r="J101" s="15"/>
      <c r="K101" s="15" t="s">
        <v>57</v>
      </c>
      <c r="L101" s="15"/>
      <c r="M101" s="15"/>
      <c r="N101" s="15" t="s">
        <v>57</v>
      </c>
      <c r="O101" s="15"/>
      <c r="P101" s="15"/>
      <c r="Q101" s="15" t="s">
        <v>57</v>
      </c>
      <c r="R101" s="15"/>
      <c r="S101" s="15"/>
      <c r="T101" s="15" t="s">
        <v>57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125</v>
      </c>
      <c r="B102" s="13" t="s">
        <v>56</v>
      </c>
      <c r="C102" s="14">
        <v>9</v>
      </c>
      <c r="D102" s="14">
        <v>10</v>
      </c>
      <c r="E102" s="14">
        <f t="shared" si="5"/>
        <v>1</v>
      </c>
      <c r="F102" s="15"/>
      <c r="G102" s="15"/>
      <c r="H102" s="15" t="s">
        <v>57</v>
      </c>
      <c r="I102" s="15"/>
      <c r="J102" s="15"/>
      <c r="K102" s="15" t="s">
        <v>57</v>
      </c>
      <c r="L102" s="15"/>
      <c r="M102" s="15"/>
      <c r="N102" s="15" t="s">
        <v>57</v>
      </c>
      <c r="O102" s="15"/>
      <c r="P102" s="15"/>
      <c r="Q102" s="15" t="s">
        <v>57</v>
      </c>
      <c r="R102" s="15"/>
      <c r="S102" s="15"/>
      <c r="T102" s="15" t="s">
        <v>57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125</v>
      </c>
      <c r="B103" s="13" t="s">
        <v>56</v>
      </c>
      <c r="C103" s="14">
        <v>10</v>
      </c>
      <c r="D103" s="14">
        <v>11</v>
      </c>
      <c r="E103" s="14">
        <f t="shared" si="5"/>
        <v>1</v>
      </c>
      <c r="F103" s="15" t="s">
        <v>57</v>
      </c>
      <c r="G103" s="15"/>
      <c r="H103" s="15"/>
      <c r="I103" s="15"/>
      <c r="J103" s="15"/>
      <c r="K103" s="15" t="s">
        <v>57</v>
      </c>
      <c r="L103" s="15"/>
      <c r="M103" s="15"/>
      <c r="N103" s="15" t="s">
        <v>57</v>
      </c>
      <c r="O103" s="15"/>
      <c r="P103" s="15"/>
      <c r="Q103" s="15" t="s">
        <v>57</v>
      </c>
      <c r="R103" s="15"/>
      <c r="S103" s="15"/>
      <c r="T103" s="15" t="s">
        <v>57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2" t="s">
        <v>125</v>
      </c>
      <c r="B104" s="13" t="s">
        <v>56</v>
      </c>
      <c r="C104" s="14">
        <v>11</v>
      </c>
      <c r="D104" s="14">
        <v>12</v>
      </c>
      <c r="E104" s="14">
        <f t="shared" si="5"/>
        <v>1</v>
      </c>
      <c r="F104" s="15" t="s">
        <v>57</v>
      </c>
      <c r="G104" s="15"/>
      <c r="H104" s="15"/>
      <c r="I104" s="15"/>
      <c r="J104" s="15"/>
      <c r="K104" s="15" t="s">
        <v>57</v>
      </c>
      <c r="L104" s="15"/>
      <c r="M104" s="15"/>
      <c r="N104" s="15" t="s">
        <v>57</v>
      </c>
      <c r="O104" s="15"/>
      <c r="P104" s="15"/>
      <c r="Q104" s="15" t="s">
        <v>57</v>
      </c>
      <c r="R104" s="15"/>
      <c r="S104" s="15"/>
      <c r="T104" s="15" t="s">
        <v>57</v>
      </c>
      <c r="U104" s="15"/>
      <c r="V104" s="16"/>
      <c r="W104" s="17" t="str">
        <f t="shared" si="6"/>
        <v>OK</v>
      </c>
    </row>
    <row r="105" spans="1:23" ht="20.100000000000001" customHeight="1" x14ac:dyDescent="0.25">
      <c r="A105" s="12" t="s">
        <v>125</v>
      </c>
      <c r="B105" s="13" t="s">
        <v>56</v>
      </c>
      <c r="C105" s="14">
        <v>12</v>
      </c>
      <c r="D105" s="14">
        <v>13</v>
      </c>
      <c r="E105" s="14">
        <f t="shared" si="5"/>
        <v>1</v>
      </c>
      <c r="F105" s="15" t="s">
        <v>57</v>
      </c>
      <c r="G105" s="15"/>
      <c r="H105" s="15"/>
      <c r="I105" s="15"/>
      <c r="J105" s="15"/>
      <c r="K105" s="15" t="s">
        <v>57</v>
      </c>
      <c r="L105" s="15"/>
      <c r="M105" s="15"/>
      <c r="N105" s="15" t="s">
        <v>57</v>
      </c>
      <c r="O105" s="15"/>
      <c r="P105" s="15"/>
      <c r="Q105" s="15" t="s">
        <v>57</v>
      </c>
      <c r="R105" s="15"/>
      <c r="S105" s="15"/>
      <c r="T105" s="15" t="s">
        <v>57</v>
      </c>
      <c r="U105" s="15"/>
      <c r="V105" s="16"/>
      <c r="W105" s="17" t="str">
        <f t="shared" si="6"/>
        <v>OK</v>
      </c>
    </row>
    <row r="106" spans="1:23" ht="20.100000000000001" customHeight="1" x14ac:dyDescent="0.25">
      <c r="A106" s="12" t="s">
        <v>125</v>
      </c>
      <c r="B106" s="13" t="s">
        <v>56</v>
      </c>
      <c r="C106" s="14">
        <v>13</v>
      </c>
      <c r="D106" s="14">
        <v>14</v>
      </c>
      <c r="E106" s="14">
        <f t="shared" si="5"/>
        <v>1</v>
      </c>
      <c r="F106" s="15" t="s">
        <v>57</v>
      </c>
      <c r="G106" s="15"/>
      <c r="H106" s="15"/>
      <c r="I106" s="15"/>
      <c r="J106" s="15"/>
      <c r="K106" s="15" t="s">
        <v>57</v>
      </c>
      <c r="L106" s="15"/>
      <c r="M106" s="15"/>
      <c r="N106" s="15" t="s">
        <v>57</v>
      </c>
      <c r="O106" s="15"/>
      <c r="P106" s="15"/>
      <c r="Q106" s="15" t="s">
        <v>57</v>
      </c>
      <c r="R106" s="15"/>
      <c r="S106" s="15"/>
      <c r="T106" s="15" t="s">
        <v>57</v>
      </c>
      <c r="U106" s="15"/>
      <c r="V106" s="16"/>
      <c r="W106" s="17" t="str">
        <f t="shared" si="6"/>
        <v>OK</v>
      </c>
    </row>
    <row r="107" spans="1:23" ht="20.100000000000001" customHeight="1" x14ac:dyDescent="0.25">
      <c r="A107" s="12" t="s">
        <v>125</v>
      </c>
      <c r="B107" s="13" t="s">
        <v>56</v>
      </c>
      <c r="C107" s="14">
        <v>14</v>
      </c>
      <c r="D107" s="14">
        <v>15</v>
      </c>
      <c r="E107" s="14">
        <f t="shared" si="5"/>
        <v>1</v>
      </c>
      <c r="F107" s="15" t="s">
        <v>57</v>
      </c>
      <c r="G107" s="15"/>
      <c r="H107" s="15"/>
      <c r="I107" s="15"/>
      <c r="J107" s="15"/>
      <c r="K107" s="15" t="s">
        <v>57</v>
      </c>
      <c r="L107" s="15"/>
      <c r="M107" s="15"/>
      <c r="N107" s="15" t="s">
        <v>57</v>
      </c>
      <c r="O107" s="15"/>
      <c r="P107" s="15"/>
      <c r="Q107" s="15" t="s">
        <v>57</v>
      </c>
      <c r="R107" s="15"/>
      <c r="S107" s="15"/>
      <c r="T107" s="15" t="s">
        <v>57</v>
      </c>
      <c r="U107" s="15"/>
      <c r="V107" s="16"/>
      <c r="W107" s="17" t="str">
        <f t="shared" si="6"/>
        <v>OK</v>
      </c>
    </row>
    <row r="108" spans="1:23" ht="20.100000000000001" customHeight="1" x14ac:dyDescent="0.25">
      <c r="A108" s="12" t="s">
        <v>125</v>
      </c>
      <c r="B108" s="13" t="s">
        <v>56</v>
      </c>
      <c r="C108" s="14">
        <v>15</v>
      </c>
      <c r="D108" s="14">
        <v>16</v>
      </c>
      <c r="E108" s="14">
        <f t="shared" si="5"/>
        <v>1</v>
      </c>
      <c r="F108" s="15"/>
      <c r="G108" s="15" t="s">
        <v>57</v>
      </c>
      <c r="H108" s="15"/>
      <c r="I108" s="15"/>
      <c r="J108" s="15"/>
      <c r="K108" s="15" t="s">
        <v>57</v>
      </c>
      <c r="L108" s="15"/>
      <c r="M108" s="15"/>
      <c r="N108" s="15" t="s">
        <v>57</v>
      </c>
      <c r="O108" s="15"/>
      <c r="P108" s="15"/>
      <c r="Q108" s="15" t="s">
        <v>57</v>
      </c>
      <c r="R108" s="15"/>
      <c r="S108" s="15"/>
      <c r="T108" s="15" t="s">
        <v>57</v>
      </c>
      <c r="U108" s="15"/>
      <c r="V108" s="16"/>
      <c r="W108" s="17" t="str">
        <f t="shared" si="6"/>
        <v>OK</v>
      </c>
    </row>
    <row r="109" spans="1:23" ht="20.100000000000001" customHeight="1" x14ac:dyDescent="0.25">
      <c r="A109" s="12" t="s">
        <v>125</v>
      </c>
      <c r="B109" s="13" t="s">
        <v>56</v>
      </c>
      <c r="C109" s="14">
        <v>16</v>
      </c>
      <c r="D109" s="14">
        <v>17</v>
      </c>
      <c r="E109" s="14">
        <f t="shared" si="5"/>
        <v>1</v>
      </c>
      <c r="F109" s="15"/>
      <c r="G109" s="15" t="s">
        <v>57</v>
      </c>
      <c r="H109" s="15"/>
      <c r="I109" s="15"/>
      <c r="J109" s="15"/>
      <c r="K109" s="15" t="s">
        <v>57</v>
      </c>
      <c r="L109" s="15"/>
      <c r="M109" s="15"/>
      <c r="N109" s="15" t="s">
        <v>57</v>
      </c>
      <c r="O109" s="15"/>
      <c r="P109" s="15"/>
      <c r="Q109" s="15" t="s">
        <v>57</v>
      </c>
      <c r="R109" s="15"/>
      <c r="S109" s="15"/>
      <c r="T109" s="15" t="s">
        <v>57</v>
      </c>
      <c r="U109" s="15"/>
      <c r="V109" s="16"/>
      <c r="W109" s="17" t="str">
        <f t="shared" si="6"/>
        <v>OK</v>
      </c>
    </row>
    <row r="110" spans="1:23" ht="20.100000000000001" customHeight="1" x14ac:dyDescent="0.25">
      <c r="A110" s="12" t="s">
        <v>125</v>
      </c>
      <c r="B110" s="13" t="s">
        <v>56</v>
      </c>
      <c r="C110" s="14">
        <v>17</v>
      </c>
      <c r="D110" s="14">
        <v>18</v>
      </c>
      <c r="E110" s="14">
        <f t="shared" si="5"/>
        <v>1</v>
      </c>
      <c r="F110" s="15"/>
      <c r="G110" s="15" t="s">
        <v>57</v>
      </c>
      <c r="H110" s="15"/>
      <c r="I110" s="15"/>
      <c r="J110" s="15"/>
      <c r="K110" s="15" t="s">
        <v>57</v>
      </c>
      <c r="L110" s="15"/>
      <c r="M110" s="15"/>
      <c r="N110" s="15" t="s">
        <v>57</v>
      </c>
      <c r="O110" s="15"/>
      <c r="P110" s="15"/>
      <c r="Q110" s="15" t="s">
        <v>57</v>
      </c>
      <c r="R110" s="15"/>
      <c r="S110" s="15"/>
      <c r="T110" s="15" t="s">
        <v>57</v>
      </c>
      <c r="U110" s="15"/>
      <c r="V110" s="16"/>
      <c r="W110" s="17" t="str">
        <f t="shared" si="6"/>
        <v>OK</v>
      </c>
    </row>
    <row r="111" spans="1:23" ht="20.100000000000001" customHeight="1" x14ac:dyDescent="0.25">
      <c r="A111" s="18" t="s">
        <v>125</v>
      </c>
      <c r="B111" s="19" t="s">
        <v>56</v>
      </c>
      <c r="C111" s="20">
        <v>18</v>
      </c>
      <c r="D111" s="20">
        <v>18.959078117099999</v>
      </c>
      <c r="E111" s="20">
        <f t="shared" si="5"/>
        <v>0.95907811709999891</v>
      </c>
      <c r="F111" s="21"/>
      <c r="G111" s="21" t="s">
        <v>57</v>
      </c>
      <c r="H111" s="21"/>
      <c r="I111" s="21"/>
      <c r="J111" s="21"/>
      <c r="K111" s="21" t="s">
        <v>57</v>
      </c>
      <c r="L111" s="21"/>
      <c r="M111" s="21"/>
      <c r="N111" s="21" t="s">
        <v>57</v>
      </c>
      <c r="O111" s="21"/>
      <c r="P111" s="21"/>
      <c r="Q111" s="21" t="s">
        <v>57</v>
      </c>
      <c r="R111" s="21"/>
      <c r="S111" s="21"/>
      <c r="T111" s="21" t="s">
        <v>57</v>
      </c>
      <c r="U111" s="21"/>
      <c r="V111" s="22"/>
      <c r="W111" s="23" t="str">
        <f t="shared" si="6"/>
        <v>OK</v>
      </c>
    </row>
    <row r="112" spans="1:23" ht="15.95" customHeight="1" x14ac:dyDescent="0.25">
      <c r="A112" s="52" t="s">
        <v>126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5"/>
      <c r="W112" s="4"/>
    </row>
    <row r="113" spans="1:23" ht="20.100000000000001" customHeight="1" x14ac:dyDescent="0.25">
      <c r="A113" s="12" t="s">
        <v>127</v>
      </c>
      <c r="B113" s="13" t="s">
        <v>56</v>
      </c>
      <c r="C113" s="14">
        <v>0</v>
      </c>
      <c r="D113" s="14">
        <v>1</v>
      </c>
      <c r="E113" s="14">
        <f>D113-C113</f>
        <v>1</v>
      </c>
      <c r="F113" s="15" t="s">
        <v>57</v>
      </c>
      <c r="G113" s="15"/>
      <c r="H113" s="15"/>
      <c r="I113" s="15"/>
      <c r="J113" s="15"/>
      <c r="K113" s="15" t="s">
        <v>57</v>
      </c>
      <c r="L113" s="15"/>
      <c r="M113" s="15" t="s">
        <v>57</v>
      </c>
      <c r="N113" s="15"/>
      <c r="O113" s="15"/>
      <c r="P113" s="15"/>
      <c r="Q113" s="15" t="s">
        <v>57</v>
      </c>
      <c r="R113" s="15"/>
      <c r="S113" s="15" t="s">
        <v>57</v>
      </c>
      <c r="T113" s="15"/>
      <c r="U113" s="15"/>
      <c r="V113" s="16" t="s">
        <v>128</v>
      </c>
      <c r="W113" s="17" t="str">
        <f>IF(COUNTA(F113:U113)=0,"— não preenchido",IF(COUNTIF(F113:J113,"X")&lt;&gt;1,"FALTA/DUPLA: CONDIÇÃO DO PAVIMENTO",IF(COUNTIF(K113:L113,"X")&lt;&gt;1,"FALTA/DUPLA: VEGETAÇÃO",IF(COUNTIF(M113:O113,"X")&lt;&gt;1,"FALTA/DUPLA: ELEM. DE DRENAGEM",IF(COUNTIF(P113:R113,"X")&lt;&gt;1,"FALTA/DUPLA: SIN. HORIZ.",IF(COUNTIF(S113:U113,"X")&lt;&gt;1,"FALTA/DUPLA: SIN. VERTICAL","OK"))))))</f>
        <v>OK</v>
      </c>
    </row>
    <row r="114" spans="1:23" ht="20.100000000000001" customHeight="1" x14ac:dyDescent="0.25">
      <c r="A114" s="12" t="s">
        <v>127</v>
      </c>
      <c r="B114" s="13" t="s">
        <v>56</v>
      </c>
      <c r="C114" s="14">
        <v>1</v>
      </c>
      <c r="D114" s="14">
        <v>2</v>
      </c>
      <c r="E114" s="14">
        <f>D114-C114</f>
        <v>1</v>
      </c>
      <c r="F114" s="15" t="s">
        <v>57</v>
      </c>
      <c r="G114" s="15"/>
      <c r="H114" s="15"/>
      <c r="I114" s="15"/>
      <c r="J114" s="15"/>
      <c r="K114" s="15" t="s">
        <v>57</v>
      </c>
      <c r="L114" s="15"/>
      <c r="M114" s="15" t="s">
        <v>57</v>
      </c>
      <c r="N114" s="15"/>
      <c r="O114" s="15"/>
      <c r="P114" s="15"/>
      <c r="Q114" s="15" t="s">
        <v>57</v>
      </c>
      <c r="R114" s="15"/>
      <c r="S114" s="15" t="s">
        <v>57</v>
      </c>
      <c r="T114" s="15"/>
      <c r="U114" s="15"/>
      <c r="V114" s="16" t="s">
        <v>128</v>
      </c>
      <c r="W114" s="17" t="str">
        <f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127</v>
      </c>
      <c r="B115" s="13" t="s">
        <v>56</v>
      </c>
      <c r="C115" s="14">
        <v>2</v>
      </c>
      <c r="D115" s="14">
        <v>3</v>
      </c>
      <c r="E115" s="14">
        <f>D115-C115</f>
        <v>1</v>
      </c>
      <c r="F115" s="15" t="s">
        <v>57</v>
      </c>
      <c r="G115" s="15"/>
      <c r="H115" s="15"/>
      <c r="I115" s="15"/>
      <c r="J115" s="15"/>
      <c r="K115" s="15" t="s">
        <v>57</v>
      </c>
      <c r="L115" s="15"/>
      <c r="M115" s="15" t="s">
        <v>57</v>
      </c>
      <c r="N115" s="15"/>
      <c r="O115" s="15"/>
      <c r="P115" s="15"/>
      <c r="Q115" s="15" t="s">
        <v>57</v>
      </c>
      <c r="R115" s="15"/>
      <c r="S115" s="15" t="s">
        <v>57</v>
      </c>
      <c r="T115" s="15"/>
      <c r="U115" s="15"/>
      <c r="V115" s="16" t="s">
        <v>128</v>
      </c>
      <c r="W115" s="17" t="str">
        <f>IF(COUNTA(F115:U115)=0,"— não preenchido",IF(COUNTIF(F115:J115,"X")&lt;&gt;1,"FALTA/DUPLA: CONDIÇÃO DO PAVIMENTO",IF(COUNTIF(K115:L115,"X")&lt;&gt;1,"FALTA/DUPLA: VEGETAÇÃO",IF(COUNTIF(M115:O115,"X")&lt;&gt;1,"FALTA/DUPLA: ELEM. DE DRENAGEM",IF(COUNTIF(P115:R115,"X")&lt;&gt;1,"FALTA/DUPLA: SIN. HORIZ.",IF(COUNTIF(S115:U115,"X")&lt;&gt;1,"FALTA/DUPLA: SIN. VERTICAL","OK"))))))</f>
        <v>OK</v>
      </c>
    </row>
    <row r="116" spans="1:23" ht="20.100000000000001" customHeight="1" x14ac:dyDescent="0.25">
      <c r="A116" s="18" t="s">
        <v>127</v>
      </c>
      <c r="B116" s="19" t="s">
        <v>56</v>
      </c>
      <c r="C116" s="20">
        <v>3</v>
      </c>
      <c r="D116" s="20">
        <v>3.6488389734100002</v>
      </c>
      <c r="E116" s="20">
        <f>D116-C116</f>
        <v>0.64883897341000019</v>
      </c>
      <c r="F116" s="21" t="s">
        <v>57</v>
      </c>
      <c r="G116" s="21"/>
      <c r="H116" s="21"/>
      <c r="I116" s="21"/>
      <c r="J116" s="21"/>
      <c r="K116" s="21" t="s">
        <v>57</v>
      </c>
      <c r="L116" s="21"/>
      <c r="M116" s="21" t="s">
        <v>57</v>
      </c>
      <c r="N116" s="21"/>
      <c r="O116" s="21"/>
      <c r="P116" s="21"/>
      <c r="Q116" s="21" t="s">
        <v>57</v>
      </c>
      <c r="R116" s="21"/>
      <c r="S116" s="21" t="s">
        <v>57</v>
      </c>
      <c r="T116" s="21"/>
      <c r="U116" s="21"/>
      <c r="V116" s="22" t="s">
        <v>128</v>
      </c>
      <c r="W116" s="23" t="str">
        <f>IF(COUNTA(F116:U116)=0,"— não preenchido",IF(COUNTIF(F116:J116,"X")&lt;&gt;1,"FALTA/DUPLA: CONDIÇÃO DO PAVIMENTO",IF(COUNTIF(K116:L116,"X")&lt;&gt;1,"FALTA/DUPLA: VEGETAÇÃO",IF(COUNTIF(M116:O116,"X")&lt;&gt;1,"FALTA/DUPLA: ELEM. DE DRENAGEM",IF(COUNTIF(P116:R116,"X")&lt;&gt;1,"FALTA/DUPLA: SIN. HORIZ.",IF(COUNTIF(S116:U116,"X")&lt;&gt;1,"FALTA/DUPLA: SIN. VERTICAL","OK"))))))</f>
        <v>OK</v>
      </c>
    </row>
    <row r="118" spans="1:23" x14ac:dyDescent="0.25">
      <c r="A118" s="54" t="s">
        <v>60</v>
      </c>
      <c r="B118" s="43"/>
      <c r="C118" s="43"/>
      <c r="D118" s="43"/>
      <c r="E118" s="43"/>
      <c r="G118" s="54" t="s">
        <v>60</v>
      </c>
      <c r="H118" s="43"/>
      <c r="I118" s="43"/>
      <c r="J118" s="43"/>
      <c r="K118" s="43"/>
    </row>
    <row r="119" spans="1:23" x14ac:dyDescent="0.25">
      <c r="A119" s="59" t="s">
        <v>61</v>
      </c>
      <c r="B119" s="43"/>
      <c r="C119" s="43"/>
      <c r="D119" s="43"/>
      <c r="E119" s="43"/>
      <c r="G119" s="59" t="s">
        <v>62</v>
      </c>
      <c r="H119" s="43"/>
      <c r="I119" s="43"/>
      <c r="J119" s="43"/>
      <c r="K119" s="43"/>
    </row>
    <row r="121" spans="1:23" x14ac:dyDescent="0.25">
      <c r="A121" s="60" t="s">
        <v>63</v>
      </c>
      <c r="B121" s="43"/>
      <c r="C121" s="43"/>
      <c r="D121" s="43"/>
      <c r="E121" s="43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spans="1:23" x14ac:dyDescent="0.25">
      <c r="A122" s="53" t="s">
        <v>64</v>
      </c>
      <c r="B122" s="43"/>
      <c r="C122" s="43"/>
      <c r="D122" s="43"/>
      <c r="E122" s="43"/>
      <c r="F122" s="9">
        <f t="shared" ref="F122:U122" si="7">SUMIF(F$9:F$116,"X",$E$9:$E$116)</f>
        <v>59.648838973410001</v>
      </c>
      <c r="G122" s="9">
        <f t="shared" si="7"/>
        <v>24.862925466600004</v>
      </c>
      <c r="H122" s="9">
        <f t="shared" si="7"/>
        <v>20</v>
      </c>
      <c r="I122" s="9">
        <f t="shared" si="7"/>
        <v>0</v>
      </c>
      <c r="J122" s="9">
        <f t="shared" si="7"/>
        <v>0</v>
      </c>
      <c r="K122" s="9">
        <f t="shared" si="7"/>
        <v>104.51176444001001</v>
      </c>
      <c r="L122" s="9">
        <f t="shared" si="7"/>
        <v>0</v>
      </c>
      <c r="M122" s="9">
        <f t="shared" si="7"/>
        <v>3.6488389734100002</v>
      </c>
      <c r="N122" s="9">
        <f t="shared" si="7"/>
        <v>92.862925466600018</v>
      </c>
      <c r="O122" s="9">
        <f t="shared" si="7"/>
        <v>8</v>
      </c>
      <c r="P122" s="9">
        <f t="shared" si="7"/>
        <v>0</v>
      </c>
      <c r="Q122" s="9">
        <f t="shared" si="7"/>
        <v>104.51176444001001</v>
      </c>
      <c r="R122" s="9">
        <f t="shared" si="7"/>
        <v>0</v>
      </c>
      <c r="S122" s="9">
        <f t="shared" si="7"/>
        <v>3.6488389734100002</v>
      </c>
      <c r="T122" s="9">
        <f t="shared" si="7"/>
        <v>100.86292546660002</v>
      </c>
      <c r="U122" s="9">
        <f t="shared" si="7"/>
        <v>0</v>
      </c>
    </row>
    <row r="123" spans="1:23" x14ac:dyDescent="0.25">
      <c r="A123" s="53" t="s">
        <v>65</v>
      </c>
      <c r="B123" s="43"/>
      <c r="C123" s="43"/>
      <c r="D123" s="43"/>
      <c r="E123" s="43"/>
      <c r="F123" s="25">
        <f t="shared" ref="F123:U123" si="8">IF($R125=0,0,F122/$R125)</f>
        <v>0.57073803406743329</v>
      </c>
      <c r="G123" s="25">
        <f t="shared" si="8"/>
        <v>0.2378959497987557</v>
      </c>
      <c r="H123" s="25">
        <f t="shared" si="8"/>
        <v>0.19136601613381091</v>
      </c>
      <c r="I123" s="25">
        <f t="shared" si="8"/>
        <v>0</v>
      </c>
      <c r="J123" s="25">
        <f t="shared" si="8"/>
        <v>0</v>
      </c>
      <c r="K123" s="25">
        <f t="shared" si="8"/>
        <v>1</v>
      </c>
      <c r="L123" s="25">
        <f t="shared" si="8"/>
        <v>0</v>
      </c>
      <c r="M123" s="25">
        <f t="shared" si="8"/>
        <v>3.4913188892762806E-2</v>
      </c>
      <c r="N123" s="25">
        <f t="shared" si="8"/>
        <v>0.88854040465371287</v>
      </c>
      <c r="O123" s="25">
        <f t="shared" si="8"/>
        <v>7.6546406453524354E-2</v>
      </c>
      <c r="P123" s="25">
        <f t="shared" si="8"/>
        <v>0</v>
      </c>
      <c r="Q123" s="25">
        <f t="shared" si="8"/>
        <v>1</v>
      </c>
      <c r="R123" s="25">
        <f t="shared" si="8"/>
        <v>0</v>
      </c>
      <c r="S123" s="25">
        <f t="shared" si="8"/>
        <v>3.4913188892762806E-2</v>
      </c>
      <c r="T123" s="25">
        <f t="shared" si="8"/>
        <v>0.96508681110723726</v>
      </c>
      <c r="U123" s="25">
        <f t="shared" si="8"/>
        <v>0</v>
      </c>
    </row>
    <row r="124" spans="1:23" x14ac:dyDescent="0.25">
      <c r="A124" s="53" t="s">
        <v>66</v>
      </c>
      <c r="B124" s="43"/>
      <c r="C124" s="43"/>
      <c r="D124" s="43"/>
      <c r="E124" s="43"/>
      <c r="F124" s="51" t="str">
        <f>IF(SUM(F122:J122)=0,"— não preenchido",IF(ROUND(SUM(F122:J122)-$R125,3)=0,"OK — "&amp;ROUND(SUM(F122:J122),3)&amp;" km","ERRO — dif. de "&amp;ROUND(SUM(F122:J122)-$R125,3)&amp;" km"))</f>
        <v>OK — 104,512 km</v>
      </c>
      <c r="G124" s="47"/>
      <c r="H124" s="47"/>
      <c r="I124" s="47"/>
      <c r="J124" s="45"/>
      <c r="K124" s="51" t="str">
        <f>IF(SUM(K122:L122)=0,"— não preenchido",IF(ROUND(SUM(K122:L122)-$R125,3)=0,"OK — "&amp;ROUND(SUM(K122:L122),3)&amp;" km","ERRO — dif. de "&amp;ROUND(SUM(K122:L122)-$R125,3)&amp;" km"))</f>
        <v>OK — 104,512 km</v>
      </c>
      <c r="L124" s="45"/>
      <c r="M124" s="51" t="str">
        <f>IF(SUM(M122:O122)=0,"— não preenchido",IF(ROUND(SUM(M122:O122)-$R125,3)=0,"OK — "&amp;ROUND(SUM(M122:O122),3)&amp;" km","ERRO — dif. de "&amp;ROUND(SUM(M122:O122)-$R125,3)&amp;" km"))</f>
        <v>OK — 104,512 km</v>
      </c>
      <c r="N124" s="47"/>
      <c r="O124" s="45"/>
      <c r="P124" s="51" t="str">
        <f>IF(SUM(P122:R122)=0,"— não preenchido",IF(ROUND(SUM(P122:R122)-$R125,3)=0,"OK — "&amp;ROUND(SUM(P122:R122),3)&amp;" km","ERRO — dif. de "&amp;ROUND(SUM(P122:R122)-$R125,3)&amp;" km"))</f>
        <v>OK — 104,512 km</v>
      </c>
      <c r="Q124" s="47"/>
      <c r="R124" s="45"/>
      <c r="S124" s="51" t="str">
        <f>IF(SUM(S122:U122)=0,"— não preenchido",IF(ROUND(SUM(S122:U122)-$R125,3)=0,"OK — "&amp;ROUND(SUM(S122:U122),3)&amp;" km","ERRO — dif. de "&amp;ROUND(SUM(S122:U122)-$R125,3)&amp;" km"))</f>
        <v>OK — 104,512 km</v>
      </c>
      <c r="T124" s="47"/>
      <c r="U124" s="45"/>
    </row>
    <row r="125" spans="1:23" x14ac:dyDescent="0.25">
      <c r="A125" s="53" t="s">
        <v>67</v>
      </c>
      <c r="B125" s="43"/>
      <c r="C125" s="43"/>
      <c r="D125" s="43"/>
      <c r="E125" s="43"/>
      <c r="R125" s="26">
        <f>SUM(E9:E116)</f>
        <v>104.51176444001001</v>
      </c>
      <c r="V125" s="8" t="str">
        <f>COUNTIF(W9:W116,"OK")&amp;" de "&amp;COUNT($E$9:$E$116)&amp;" linhas conferidas"</f>
        <v>105 de 105 linhas conferidas</v>
      </c>
    </row>
    <row r="127" spans="1:23" x14ac:dyDescent="0.25">
      <c r="A127" s="55" t="s">
        <v>68</v>
      </c>
      <c r="B127" s="43"/>
      <c r="C127" s="43"/>
      <c r="D127" s="43"/>
      <c r="E127" s="43"/>
    </row>
    <row r="128" spans="1:23" x14ac:dyDescent="0.25">
      <c r="A128" s="53" t="s">
        <v>69</v>
      </c>
      <c r="B128" s="43"/>
      <c r="C128" s="43"/>
      <c r="D128" s="43"/>
      <c r="E128" s="61" t="s">
        <v>70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1:22" x14ac:dyDescent="0.25">
      <c r="A129" s="53" t="s">
        <v>71</v>
      </c>
      <c r="B129" s="43"/>
      <c r="C129" s="43"/>
      <c r="D129" s="43"/>
      <c r="E129" s="61" t="s">
        <v>72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1:22" x14ac:dyDescent="0.25">
      <c r="A130" s="53" t="s">
        <v>73</v>
      </c>
      <c r="B130" s="43"/>
      <c r="C130" s="43"/>
      <c r="D130" s="43"/>
      <c r="E130" s="61" t="s">
        <v>74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1:22" x14ac:dyDescent="0.25">
      <c r="A131" s="53" t="s">
        <v>75</v>
      </c>
      <c r="B131" s="43"/>
      <c r="C131" s="43"/>
      <c r="D131" s="43"/>
      <c r="E131" s="61" t="s">
        <v>76</v>
      </c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1:22" x14ac:dyDescent="0.25">
      <c r="A132" s="53" t="s">
        <v>77</v>
      </c>
      <c r="B132" s="43"/>
      <c r="C132" s="43"/>
      <c r="D132" s="43"/>
      <c r="E132" s="61" t="s">
        <v>78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 x14ac:dyDescent="0.25">
      <c r="A133" s="53" t="s">
        <v>48</v>
      </c>
      <c r="B133" s="43"/>
      <c r="C133" s="43"/>
      <c r="D133" s="43"/>
      <c r="E133" s="61" t="s">
        <v>79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1:22" x14ac:dyDescent="0.25">
      <c r="A134" s="53" t="s">
        <v>80</v>
      </c>
      <c r="B134" s="43"/>
      <c r="C134" s="43"/>
      <c r="D134" s="43"/>
      <c r="E134" s="61" t="s">
        <v>81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1:22" x14ac:dyDescent="0.25">
      <c r="A135" s="53" t="s">
        <v>82</v>
      </c>
      <c r="B135" s="43"/>
      <c r="C135" s="43"/>
      <c r="D135" s="43"/>
      <c r="E135" s="61" t="s">
        <v>83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spans="1:22" x14ac:dyDescent="0.25">
      <c r="A136" s="53" t="s">
        <v>11</v>
      </c>
      <c r="B136" s="43"/>
      <c r="C136" s="43"/>
      <c r="D136" s="43"/>
      <c r="E136" s="61" t="s">
        <v>84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</sheetData>
  <sheetProtection formatCells="0"/>
  <mergeCells count="60">
    <mergeCell ref="A129:D129"/>
    <mergeCell ref="E135:V135"/>
    <mergeCell ref="A1:V1"/>
    <mergeCell ref="E134:V134"/>
    <mergeCell ref="E136:V136"/>
    <mergeCell ref="T3:V3"/>
    <mergeCell ref="A128:D128"/>
    <mergeCell ref="A133:D133"/>
    <mergeCell ref="A122:E122"/>
    <mergeCell ref="E130:V130"/>
    <mergeCell ref="A125:E125"/>
    <mergeCell ref="A136:D136"/>
    <mergeCell ref="E129:V129"/>
    <mergeCell ref="G119:K119"/>
    <mergeCell ref="A121:E121"/>
    <mergeCell ref="R2:V2"/>
    <mergeCell ref="A3:S3"/>
    <mergeCell ref="C6:C7"/>
    <mergeCell ref="A130:D130"/>
    <mergeCell ref="E133:V133"/>
    <mergeCell ref="P2:Q2"/>
    <mergeCell ref="S124:U124"/>
    <mergeCell ref="A132:D132"/>
    <mergeCell ref="K124:L124"/>
    <mergeCell ref="E132:V132"/>
    <mergeCell ref="A127:E127"/>
    <mergeCell ref="A4:V4"/>
    <mergeCell ref="A124:E124"/>
    <mergeCell ref="M124:O124"/>
    <mergeCell ref="A2:F2"/>
    <mergeCell ref="K2:M2"/>
    <mergeCell ref="N2:O2"/>
    <mergeCell ref="W6:W7"/>
    <mergeCell ref="A118:E118"/>
    <mergeCell ref="E6:E7"/>
    <mergeCell ref="A92:V92"/>
    <mergeCell ref="B6:B7"/>
    <mergeCell ref="G118:K118"/>
    <mergeCell ref="K6:L6"/>
    <mergeCell ref="D6:D7"/>
    <mergeCell ref="A43:V43"/>
    <mergeCell ref="S6:U6"/>
    <mergeCell ref="A112:V112"/>
    <mergeCell ref="P6:R6"/>
    <mergeCell ref="E131:V131"/>
    <mergeCell ref="P124:R124"/>
    <mergeCell ref="A135:D135"/>
    <mergeCell ref="G2:H2"/>
    <mergeCell ref="A131:D131"/>
    <mergeCell ref="I2:J2"/>
    <mergeCell ref="E128:V128"/>
    <mergeCell ref="A8:V8"/>
    <mergeCell ref="A134:D134"/>
    <mergeCell ref="A123:E123"/>
    <mergeCell ref="A6:A7"/>
    <mergeCell ref="F6:J6"/>
    <mergeCell ref="F124:J124"/>
    <mergeCell ref="A119:E119"/>
    <mergeCell ref="M6:O6"/>
    <mergeCell ref="V6:V7"/>
  </mergeCells>
  <conditionalFormatting sqref="F9:J116">
    <cfRule type="expression" dxfId="98" priority="1">
      <formula>AND(F9&lt;&gt;"",COUNTIF($F9:$J9,"X")&gt;1)</formula>
    </cfRule>
  </conditionalFormatting>
  <conditionalFormatting sqref="F124:U124">
    <cfRule type="expression" dxfId="97" priority="8">
      <formula>LEFT(F124,4)="ERRO"</formula>
    </cfRule>
    <cfRule type="expression" dxfId="96" priority="9">
      <formula>LEFT(F124,2)="OK"</formula>
    </cfRule>
  </conditionalFormatting>
  <conditionalFormatting sqref="K9:L116">
    <cfRule type="expression" dxfId="95" priority="2">
      <formula>AND(K9&lt;&gt;"",COUNTIF($K9:$L9,"X")&gt;1)</formula>
    </cfRule>
  </conditionalFormatting>
  <conditionalFormatting sqref="M9:O116">
    <cfRule type="expression" dxfId="94" priority="3">
      <formula>AND(M9&lt;&gt;"",COUNTIF($M9:$O9,"X")&gt;1)</formula>
    </cfRule>
  </conditionalFormatting>
  <conditionalFormatting sqref="P9:R116">
    <cfRule type="expression" dxfId="93" priority="4">
      <formula>AND(P9&lt;&gt;"",COUNTIF($P9:$R9,"X")&gt;1)</formula>
    </cfRule>
  </conditionalFormatting>
  <conditionalFormatting sqref="S9:U116">
    <cfRule type="expression" dxfId="92" priority="5">
      <formula>AND(S9&lt;&gt;"",COUNTIF($S9:$U9,"X")&gt;1)</formula>
    </cfRule>
  </conditionalFormatting>
  <conditionalFormatting sqref="W9:W11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251</oddHeader>
    <oddFooter>&amp;L&amp;7 RTA / MSI — Programa de Manutenção Rodoviária&amp;C&amp;7 Página &amp;P de &amp;N&amp;R&amp;7 Impresso em &amp;D</oddFooter>
  </headerFooter>
  <rowBreaks count="1" manualBreakCount="1">
    <brk id="11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AN85"/>
  <sheetViews>
    <sheetView showGridLines="0" workbookViewId="0">
      <pane xSplit="5" ySplit="7" topLeftCell="F52" activePane="bottomRight" state="frozen"/>
      <selection pane="topRight"/>
      <selection pane="bottomLeft"/>
      <selection pane="bottomRight" activeCell="M45" sqref="M4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IF(F71=0,NA(),F71)</f>
        <v>6.9203391951299995</v>
      </c>
      <c r="Z2" s="2">
        <f t="shared" si="0"/>
        <v>22.7523322025</v>
      </c>
      <c r="AA2" s="2">
        <f t="shared" si="0"/>
        <v>23</v>
      </c>
      <c r="AB2" s="2" t="e">
        <f t="shared" si="0"/>
        <v>#N/A</v>
      </c>
      <c r="AC2" s="2" t="e">
        <f t="shared" si="0"/>
        <v>#N/A</v>
      </c>
      <c r="AD2" s="2">
        <f t="shared" si="0"/>
        <v>52.672671397629998</v>
      </c>
      <c r="AE2" s="2" t="e">
        <f t="shared" si="0"/>
        <v>#N/A</v>
      </c>
      <c r="AF2" s="2">
        <f t="shared" si="0"/>
        <v>27.40230743982</v>
      </c>
      <c r="AG2" s="2">
        <f t="shared" si="0"/>
        <v>25.270363957809998</v>
      </c>
      <c r="AH2" s="2" t="e">
        <f t="shared" si="0"/>
        <v>#N/A</v>
      </c>
      <c r="AI2" s="2" t="e">
        <f t="shared" si="0"/>
        <v>#N/A</v>
      </c>
      <c r="AJ2" s="2">
        <f t="shared" si="0"/>
        <v>52.672671397629998</v>
      </c>
      <c r="AK2" s="2" t="e">
        <f t="shared" si="0"/>
        <v>#N/A</v>
      </c>
      <c r="AL2" s="2">
        <f t="shared" si="0"/>
        <v>1.4023074398199999</v>
      </c>
      <c r="AM2" s="2">
        <f t="shared" si="0"/>
        <v>51.270363957809998</v>
      </c>
      <c r="AN2" s="2" t="e">
        <f t="shared" si="0"/>
        <v>#N/A</v>
      </c>
    </row>
    <row r="3" spans="1:40" ht="15" customHeight="1" x14ac:dyDescent="0.25">
      <c r="A3" s="64" t="s">
        <v>129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130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131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132</v>
      </c>
      <c r="B9" s="13" t="s">
        <v>56</v>
      </c>
      <c r="C9" s="14">
        <v>0</v>
      </c>
      <c r="D9" s="14">
        <v>1</v>
      </c>
      <c r="E9" s="14">
        <f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 t="s">
        <v>57</v>
      </c>
      <c r="T9" s="15"/>
      <c r="U9" s="15"/>
      <c r="V9" s="16" t="s">
        <v>133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132</v>
      </c>
      <c r="B10" s="19" t="s">
        <v>56</v>
      </c>
      <c r="C10" s="20">
        <v>1</v>
      </c>
      <c r="D10" s="20">
        <v>1.4023074398199999</v>
      </c>
      <c r="E10" s="20">
        <f>D10-C10</f>
        <v>0.40230743981999995</v>
      </c>
      <c r="F10" s="21" t="s">
        <v>57</v>
      </c>
      <c r="G10" s="21"/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 t="s">
        <v>57</v>
      </c>
      <c r="R10" s="21"/>
      <c r="S10" s="21" t="s">
        <v>57</v>
      </c>
      <c r="T10" s="21"/>
      <c r="U10" s="21"/>
      <c r="V10" s="22" t="s">
        <v>133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67" t="s">
        <v>134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5"/>
      <c r="W11" s="4"/>
    </row>
    <row r="12" spans="1:40" ht="15.95" customHeight="1" x14ac:dyDescent="0.25">
      <c r="A12" s="52" t="s">
        <v>135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5"/>
      <c r="W12" s="4"/>
    </row>
    <row r="13" spans="1:40" ht="20.100000000000001" customHeight="1" x14ac:dyDescent="0.25">
      <c r="A13" s="12" t="s">
        <v>136</v>
      </c>
      <c r="B13" s="13" t="s">
        <v>56</v>
      </c>
      <c r="C13" s="14">
        <v>0</v>
      </c>
      <c r="D13" s="14">
        <v>1</v>
      </c>
      <c r="E13" s="14">
        <f t="shared" ref="E13:E58" si="1">D13-C13</f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ref="W13:W58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136</v>
      </c>
      <c r="B14" s="13" t="s">
        <v>56</v>
      </c>
      <c r="C14" s="14">
        <v>1</v>
      </c>
      <c r="D14" s="14">
        <v>2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136</v>
      </c>
      <c r="B15" s="13" t="s">
        <v>56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 t="s">
        <v>57</v>
      </c>
      <c r="N15" s="15"/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136</v>
      </c>
      <c r="B16" s="13" t="s">
        <v>56</v>
      </c>
      <c r="C16" s="14">
        <v>3</v>
      </c>
      <c r="D16" s="14">
        <v>4</v>
      </c>
      <c r="E16" s="14">
        <f t="shared" si="1"/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 t="s">
        <v>57</v>
      </c>
      <c r="N16" s="15"/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136</v>
      </c>
      <c r="B17" s="13" t="s">
        <v>56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136</v>
      </c>
      <c r="B18" s="13" t="s">
        <v>56</v>
      </c>
      <c r="C18" s="14">
        <v>5</v>
      </c>
      <c r="D18" s="14">
        <v>6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136</v>
      </c>
      <c r="B19" s="13" t="s">
        <v>56</v>
      </c>
      <c r="C19" s="14">
        <v>6</v>
      </c>
      <c r="D19" s="14">
        <v>7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136</v>
      </c>
      <c r="B20" s="13" t="s">
        <v>56</v>
      </c>
      <c r="C20" s="14">
        <v>7</v>
      </c>
      <c r="D20" s="14">
        <v>8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136</v>
      </c>
      <c r="B21" s="13" t="s">
        <v>56</v>
      </c>
      <c r="C21" s="14">
        <v>8</v>
      </c>
      <c r="D21" s="14">
        <v>9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136</v>
      </c>
      <c r="B22" s="13" t="s">
        <v>56</v>
      </c>
      <c r="C22" s="14">
        <v>9</v>
      </c>
      <c r="D22" s="14">
        <v>10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136</v>
      </c>
      <c r="B23" s="13" t="s">
        <v>56</v>
      </c>
      <c r="C23" s="14">
        <v>10</v>
      </c>
      <c r="D23" s="14">
        <v>11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136</v>
      </c>
      <c r="B24" s="13" t="s">
        <v>56</v>
      </c>
      <c r="C24" s="14">
        <v>11</v>
      </c>
      <c r="D24" s="14">
        <v>12</v>
      </c>
      <c r="E24" s="14">
        <f t="shared" si="1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 t="s">
        <v>57</v>
      </c>
      <c r="N24" s="15"/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136</v>
      </c>
      <c r="B25" s="13" t="s">
        <v>56</v>
      </c>
      <c r="C25" s="14">
        <v>12</v>
      </c>
      <c r="D25" s="14">
        <v>13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 t="s">
        <v>57</v>
      </c>
      <c r="N25" s="15"/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136</v>
      </c>
      <c r="B26" s="13" t="s">
        <v>56</v>
      </c>
      <c r="C26" s="14">
        <v>13</v>
      </c>
      <c r="D26" s="14">
        <v>14</v>
      </c>
      <c r="E26" s="14">
        <f t="shared" si="1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136</v>
      </c>
      <c r="B27" s="13" t="s">
        <v>56</v>
      </c>
      <c r="C27" s="14">
        <v>14</v>
      </c>
      <c r="D27" s="14">
        <v>15</v>
      </c>
      <c r="E27" s="14">
        <f t="shared" si="1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136</v>
      </c>
      <c r="B28" s="13" t="s">
        <v>56</v>
      </c>
      <c r="C28" s="14">
        <v>15</v>
      </c>
      <c r="D28" s="14">
        <v>16</v>
      </c>
      <c r="E28" s="14">
        <f t="shared" si="1"/>
        <v>1</v>
      </c>
      <c r="F28" s="15"/>
      <c r="G28" s="15" t="s">
        <v>57</v>
      </c>
      <c r="H28" s="15"/>
      <c r="I28" s="15"/>
      <c r="J28" s="15"/>
      <c r="K28" s="15" t="s">
        <v>57</v>
      </c>
      <c r="L28" s="15"/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136</v>
      </c>
      <c r="B29" s="13" t="s">
        <v>56</v>
      </c>
      <c r="C29" s="14">
        <v>16</v>
      </c>
      <c r="D29" s="14">
        <v>17</v>
      </c>
      <c r="E29" s="14">
        <f t="shared" si="1"/>
        <v>1</v>
      </c>
      <c r="F29" s="15"/>
      <c r="G29" s="15"/>
      <c r="H29" s="15" t="s">
        <v>57</v>
      </c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136</v>
      </c>
      <c r="B30" s="13" t="s">
        <v>56</v>
      </c>
      <c r="C30" s="14">
        <v>17</v>
      </c>
      <c r="D30" s="14">
        <v>18</v>
      </c>
      <c r="E30" s="14">
        <f t="shared" si="1"/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136</v>
      </c>
      <c r="B31" s="13" t="s">
        <v>56</v>
      </c>
      <c r="C31" s="14">
        <v>18</v>
      </c>
      <c r="D31" s="14">
        <v>19</v>
      </c>
      <c r="E31" s="14">
        <f t="shared" si="1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136</v>
      </c>
      <c r="B32" s="13" t="s">
        <v>56</v>
      </c>
      <c r="C32" s="14">
        <v>19</v>
      </c>
      <c r="D32" s="14">
        <v>20</v>
      </c>
      <c r="E32" s="14">
        <f t="shared" si="1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136</v>
      </c>
      <c r="B33" s="13" t="s">
        <v>56</v>
      </c>
      <c r="C33" s="14">
        <v>20</v>
      </c>
      <c r="D33" s="14">
        <v>21</v>
      </c>
      <c r="E33" s="14">
        <f t="shared" si="1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136</v>
      </c>
      <c r="B34" s="13" t="s">
        <v>56</v>
      </c>
      <c r="C34" s="14">
        <v>21</v>
      </c>
      <c r="D34" s="14">
        <v>22</v>
      </c>
      <c r="E34" s="14">
        <f t="shared" si="1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136</v>
      </c>
      <c r="B35" s="13" t="s">
        <v>56</v>
      </c>
      <c r="C35" s="14">
        <v>22</v>
      </c>
      <c r="D35" s="14">
        <v>23</v>
      </c>
      <c r="E35" s="14">
        <f t="shared" si="1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 t="s">
        <v>57</v>
      </c>
      <c r="N35" s="15"/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136</v>
      </c>
      <c r="B36" s="13" t="s">
        <v>56</v>
      </c>
      <c r="C36" s="14">
        <v>23</v>
      </c>
      <c r="D36" s="14">
        <v>24</v>
      </c>
      <c r="E36" s="14">
        <f t="shared" si="1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 t="s">
        <v>57</v>
      </c>
      <c r="N36" s="15"/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136</v>
      </c>
      <c r="B37" s="13" t="s">
        <v>56</v>
      </c>
      <c r="C37" s="14">
        <v>24</v>
      </c>
      <c r="D37" s="14">
        <v>25</v>
      </c>
      <c r="E37" s="14">
        <f t="shared" si="1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 t="s">
        <v>57</v>
      </c>
      <c r="N37" s="15"/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136</v>
      </c>
      <c r="B38" s="13" t="s">
        <v>56</v>
      </c>
      <c r="C38" s="14">
        <v>25</v>
      </c>
      <c r="D38" s="14">
        <v>26</v>
      </c>
      <c r="E38" s="14">
        <f t="shared" si="1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 t="s">
        <v>57</v>
      </c>
      <c r="N38" s="15"/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136</v>
      </c>
      <c r="B39" s="13" t="s">
        <v>56</v>
      </c>
      <c r="C39" s="14">
        <v>26</v>
      </c>
      <c r="D39" s="14">
        <v>27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 t="s">
        <v>57</v>
      </c>
      <c r="N39" s="15"/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136</v>
      </c>
      <c r="B40" s="13" t="s">
        <v>56</v>
      </c>
      <c r="C40" s="14">
        <v>27</v>
      </c>
      <c r="D40" s="14">
        <v>28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 t="s">
        <v>57</v>
      </c>
      <c r="N40" s="15"/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136</v>
      </c>
      <c r="B41" s="13" t="s">
        <v>56</v>
      </c>
      <c r="C41" s="14">
        <v>28</v>
      </c>
      <c r="D41" s="14">
        <v>29</v>
      </c>
      <c r="E41" s="14">
        <f t="shared" si="1"/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 t="s">
        <v>57</v>
      </c>
      <c r="N41" s="15"/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136</v>
      </c>
      <c r="B42" s="13" t="s">
        <v>56</v>
      </c>
      <c r="C42" s="14">
        <v>29</v>
      </c>
      <c r="D42" s="14">
        <v>30</v>
      </c>
      <c r="E42" s="14">
        <f t="shared" si="1"/>
        <v>1</v>
      </c>
      <c r="F42" s="15"/>
      <c r="G42" s="15" t="s">
        <v>57</v>
      </c>
      <c r="H42" s="15"/>
      <c r="I42" s="15"/>
      <c r="J42" s="15"/>
      <c r="K42" s="15" t="s">
        <v>57</v>
      </c>
      <c r="L42" s="15"/>
      <c r="M42" s="15" t="s">
        <v>57</v>
      </c>
      <c r="N42" s="15"/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136</v>
      </c>
      <c r="B43" s="13" t="s">
        <v>56</v>
      </c>
      <c r="C43" s="14">
        <v>30</v>
      </c>
      <c r="D43" s="14">
        <v>31</v>
      </c>
      <c r="E43" s="14">
        <f t="shared" si="1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 t="s">
        <v>57</v>
      </c>
      <c r="N43" s="15"/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136</v>
      </c>
      <c r="B44" s="13" t="s">
        <v>56</v>
      </c>
      <c r="C44" s="14">
        <v>31</v>
      </c>
      <c r="D44" s="14">
        <v>32</v>
      </c>
      <c r="E44" s="14">
        <f t="shared" si="1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 t="s">
        <v>57</v>
      </c>
      <c r="N44" s="15"/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136</v>
      </c>
      <c r="B45" s="13" t="s">
        <v>56</v>
      </c>
      <c r="C45" s="14">
        <v>32</v>
      </c>
      <c r="D45" s="14">
        <v>33</v>
      </c>
      <c r="E45" s="14">
        <f t="shared" si="1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136</v>
      </c>
      <c r="B46" s="13" t="s">
        <v>56</v>
      </c>
      <c r="C46" s="14">
        <v>33</v>
      </c>
      <c r="D46" s="14">
        <v>34</v>
      </c>
      <c r="E46" s="14">
        <f t="shared" si="1"/>
        <v>1</v>
      </c>
      <c r="F46" s="15"/>
      <c r="G46" s="15"/>
      <c r="H46" s="15" t="s">
        <v>57</v>
      </c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136</v>
      </c>
      <c r="B47" s="13" t="s">
        <v>56</v>
      </c>
      <c r="C47" s="14">
        <v>34</v>
      </c>
      <c r="D47" s="14">
        <v>35</v>
      </c>
      <c r="E47" s="14">
        <f t="shared" si="1"/>
        <v>1</v>
      </c>
      <c r="F47" s="15"/>
      <c r="G47" s="15"/>
      <c r="H47" s="15" t="s">
        <v>57</v>
      </c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136</v>
      </c>
      <c r="B48" s="13" t="s">
        <v>56</v>
      </c>
      <c r="C48" s="14">
        <v>35</v>
      </c>
      <c r="D48" s="14">
        <v>36</v>
      </c>
      <c r="E48" s="14">
        <f t="shared" si="1"/>
        <v>1</v>
      </c>
      <c r="F48" s="15"/>
      <c r="G48" s="15"/>
      <c r="H48" s="15" t="s">
        <v>57</v>
      </c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136</v>
      </c>
      <c r="B49" s="13" t="s">
        <v>56</v>
      </c>
      <c r="C49" s="14">
        <v>36</v>
      </c>
      <c r="D49" s="14">
        <v>37</v>
      </c>
      <c r="E49" s="14">
        <f t="shared" si="1"/>
        <v>1</v>
      </c>
      <c r="F49" s="15"/>
      <c r="G49" s="15"/>
      <c r="H49" s="15" t="s">
        <v>57</v>
      </c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136</v>
      </c>
      <c r="B50" s="13" t="s">
        <v>56</v>
      </c>
      <c r="C50" s="14">
        <v>37</v>
      </c>
      <c r="D50" s="14">
        <v>38</v>
      </c>
      <c r="E50" s="14">
        <f t="shared" si="1"/>
        <v>1</v>
      </c>
      <c r="F50" s="15"/>
      <c r="G50" s="15"/>
      <c r="H50" s="15" t="s">
        <v>57</v>
      </c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136</v>
      </c>
      <c r="B51" s="13" t="s">
        <v>56</v>
      </c>
      <c r="C51" s="14">
        <v>38</v>
      </c>
      <c r="D51" s="14">
        <v>39</v>
      </c>
      <c r="E51" s="14">
        <f t="shared" si="1"/>
        <v>1</v>
      </c>
      <c r="F51" s="15"/>
      <c r="G51" s="15" t="s">
        <v>57</v>
      </c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136</v>
      </c>
      <c r="B52" s="13" t="s">
        <v>56</v>
      </c>
      <c r="C52" s="14">
        <v>39</v>
      </c>
      <c r="D52" s="14">
        <v>40</v>
      </c>
      <c r="E52" s="14">
        <f t="shared" si="1"/>
        <v>1</v>
      </c>
      <c r="F52" s="15"/>
      <c r="G52" s="15" t="s">
        <v>57</v>
      </c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136</v>
      </c>
      <c r="B53" s="13" t="s">
        <v>56</v>
      </c>
      <c r="C53" s="14">
        <v>40</v>
      </c>
      <c r="D53" s="14">
        <v>41</v>
      </c>
      <c r="E53" s="14">
        <f t="shared" si="1"/>
        <v>1</v>
      </c>
      <c r="F53" s="15"/>
      <c r="G53" s="15" t="s">
        <v>57</v>
      </c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/>
      <c r="Q53" s="15" t="s">
        <v>57</v>
      </c>
      <c r="R53" s="15"/>
      <c r="S53" s="15"/>
      <c r="T53" s="15" t="s">
        <v>57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136</v>
      </c>
      <c r="B54" s="13" t="s">
        <v>56</v>
      </c>
      <c r="C54" s="14">
        <v>41</v>
      </c>
      <c r="D54" s="14">
        <v>42</v>
      </c>
      <c r="E54" s="14">
        <f t="shared" si="1"/>
        <v>1</v>
      </c>
      <c r="F54" s="15"/>
      <c r="G54" s="15" t="s">
        <v>57</v>
      </c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/>
      <c r="Q54" s="15" t="s">
        <v>57</v>
      </c>
      <c r="R54" s="15"/>
      <c r="S54" s="15"/>
      <c r="T54" s="15" t="s">
        <v>57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136</v>
      </c>
      <c r="B55" s="13" t="s">
        <v>56</v>
      </c>
      <c r="C55" s="14">
        <v>42</v>
      </c>
      <c r="D55" s="14">
        <v>43</v>
      </c>
      <c r="E55" s="14">
        <f t="shared" si="1"/>
        <v>1</v>
      </c>
      <c r="F55" s="15"/>
      <c r="G55" s="15" t="s">
        <v>57</v>
      </c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/>
      <c r="Q55" s="15" t="s">
        <v>57</v>
      </c>
      <c r="R55" s="15"/>
      <c r="S55" s="15"/>
      <c r="T55" s="15" t="s">
        <v>57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136</v>
      </c>
      <c r="B56" s="13" t="s">
        <v>56</v>
      </c>
      <c r="C56" s="14">
        <v>43</v>
      </c>
      <c r="D56" s="14">
        <v>44</v>
      </c>
      <c r="E56" s="14">
        <f t="shared" si="1"/>
        <v>1</v>
      </c>
      <c r="F56" s="15"/>
      <c r="G56" s="15" t="s">
        <v>57</v>
      </c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/>
      <c r="Q56" s="15" t="s">
        <v>57</v>
      </c>
      <c r="R56" s="15"/>
      <c r="S56" s="15"/>
      <c r="T56" s="15" t="s">
        <v>57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136</v>
      </c>
      <c r="B57" s="13" t="s">
        <v>56</v>
      </c>
      <c r="C57" s="14">
        <v>44</v>
      </c>
      <c r="D57" s="14">
        <v>45</v>
      </c>
      <c r="E57" s="14">
        <f t="shared" si="1"/>
        <v>1</v>
      </c>
      <c r="F57" s="15"/>
      <c r="G57" s="15" t="s">
        <v>57</v>
      </c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/>
      <c r="Q57" s="15" t="s">
        <v>57</v>
      </c>
      <c r="R57" s="15"/>
      <c r="S57" s="15"/>
      <c r="T57" s="15" t="s">
        <v>57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8" t="s">
        <v>136</v>
      </c>
      <c r="B58" s="19" t="s">
        <v>56</v>
      </c>
      <c r="C58" s="20">
        <v>45</v>
      </c>
      <c r="D58" s="20">
        <v>45.7523322025</v>
      </c>
      <c r="E58" s="20">
        <f t="shared" si="1"/>
        <v>0.75233220249999988</v>
      </c>
      <c r="F58" s="21"/>
      <c r="G58" s="21" t="s">
        <v>57</v>
      </c>
      <c r="H58" s="21"/>
      <c r="I58" s="21"/>
      <c r="J58" s="21"/>
      <c r="K58" s="21" t="s">
        <v>57</v>
      </c>
      <c r="L58" s="21"/>
      <c r="M58" s="21"/>
      <c r="N58" s="21" t="s">
        <v>57</v>
      </c>
      <c r="O58" s="21"/>
      <c r="P58" s="21"/>
      <c r="Q58" s="21" t="s">
        <v>57</v>
      </c>
      <c r="R58" s="21"/>
      <c r="S58" s="21"/>
      <c r="T58" s="21" t="s">
        <v>57</v>
      </c>
      <c r="U58" s="21"/>
      <c r="V58" s="22"/>
      <c r="W58" s="23" t="str">
        <f t="shared" si="2"/>
        <v>OK</v>
      </c>
    </row>
    <row r="59" spans="1:23" ht="15.95" customHeight="1" x14ac:dyDescent="0.25">
      <c r="A59" s="52" t="s">
        <v>137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5"/>
      <c r="W59" s="4"/>
    </row>
    <row r="60" spans="1:23" ht="20.100000000000001" customHeight="1" x14ac:dyDescent="0.25">
      <c r="A60" s="12" t="s">
        <v>138</v>
      </c>
      <c r="B60" s="13" t="s">
        <v>56</v>
      </c>
      <c r="C60" s="14">
        <v>0</v>
      </c>
      <c r="D60" s="14">
        <v>1</v>
      </c>
      <c r="E60" s="14">
        <f t="shared" ref="E60:E65" si="3">D60-C60</f>
        <v>1</v>
      </c>
      <c r="F60" s="15" t="s">
        <v>57</v>
      </c>
      <c r="G60" s="15"/>
      <c r="H60" s="15"/>
      <c r="I60" s="15"/>
      <c r="J60" s="15"/>
      <c r="K60" s="15" t="s">
        <v>57</v>
      </c>
      <c r="L60" s="15"/>
      <c r="M60" s="15"/>
      <c r="N60" s="15" t="s">
        <v>57</v>
      </c>
      <c r="O60" s="15"/>
      <c r="P60" s="15"/>
      <c r="Q60" s="15" t="s">
        <v>57</v>
      </c>
      <c r="R60" s="15"/>
      <c r="S60" s="15"/>
      <c r="T60" s="15" t="s">
        <v>57</v>
      </c>
      <c r="U60" s="15"/>
      <c r="V60" s="16" t="s">
        <v>139</v>
      </c>
      <c r="W60" s="17" t="str">
        <f t="shared" ref="W60:W65" si="4">IF(COUNTA(F60:U60)=0,"— não preenchido",IF(COUNTIF(F60:J60,"X")&lt;&gt;1,"FALTA/DUPLA: CONDIÇÃO DO PAVIMENTO",IF(COUNTIF(K60:L60,"X")&lt;&gt;1,"FALTA/DUPLA: VEGETAÇÃO",IF(COUNTIF(M60:O60,"X")&lt;&gt;1,"FALTA/DUPLA: ELEM. DE DRENAGEM",IF(COUNTIF(P60:R60,"X")&lt;&gt;1,"FALTA/DUPLA: SIN. HORIZ.",IF(COUNTIF(S60:U60,"X")&lt;&gt;1,"FALTA/DUPLA: SIN. VERTICAL","OK"))))))</f>
        <v>OK</v>
      </c>
    </row>
    <row r="61" spans="1:23" ht="20.100000000000001" customHeight="1" x14ac:dyDescent="0.25">
      <c r="A61" s="12" t="s">
        <v>138</v>
      </c>
      <c r="B61" s="13" t="s">
        <v>56</v>
      </c>
      <c r="C61" s="14">
        <v>1</v>
      </c>
      <c r="D61" s="14">
        <v>2</v>
      </c>
      <c r="E61" s="14">
        <f t="shared" si="3"/>
        <v>1</v>
      </c>
      <c r="F61" s="15" t="s">
        <v>57</v>
      </c>
      <c r="G61" s="15"/>
      <c r="H61" s="15"/>
      <c r="I61" s="15"/>
      <c r="J61" s="15"/>
      <c r="K61" s="15" t="s">
        <v>57</v>
      </c>
      <c r="L61" s="15"/>
      <c r="M61" s="15"/>
      <c r="N61" s="15" t="s">
        <v>57</v>
      </c>
      <c r="O61" s="15"/>
      <c r="P61" s="15"/>
      <c r="Q61" s="15" t="s">
        <v>57</v>
      </c>
      <c r="R61" s="15"/>
      <c r="S61" s="15"/>
      <c r="T61" s="15" t="s">
        <v>57</v>
      </c>
      <c r="U61" s="15"/>
      <c r="V61" s="16" t="s">
        <v>139</v>
      </c>
      <c r="W61" s="17" t="str">
        <f t="shared" si="4"/>
        <v>OK</v>
      </c>
    </row>
    <row r="62" spans="1:23" ht="20.100000000000001" customHeight="1" x14ac:dyDescent="0.25">
      <c r="A62" s="12" t="s">
        <v>138</v>
      </c>
      <c r="B62" s="13" t="s">
        <v>56</v>
      </c>
      <c r="C62" s="14">
        <v>2</v>
      </c>
      <c r="D62" s="14">
        <v>3</v>
      </c>
      <c r="E62" s="14">
        <f t="shared" si="3"/>
        <v>1</v>
      </c>
      <c r="F62" s="15" t="s">
        <v>57</v>
      </c>
      <c r="G62" s="15"/>
      <c r="H62" s="15"/>
      <c r="I62" s="15"/>
      <c r="J62" s="15"/>
      <c r="K62" s="15" t="s">
        <v>57</v>
      </c>
      <c r="L62" s="15"/>
      <c r="M62" s="15"/>
      <c r="N62" s="15" t="s">
        <v>57</v>
      </c>
      <c r="O62" s="15"/>
      <c r="P62" s="15"/>
      <c r="Q62" s="15" t="s">
        <v>57</v>
      </c>
      <c r="R62" s="15"/>
      <c r="S62" s="15"/>
      <c r="T62" s="15" t="s">
        <v>57</v>
      </c>
      <c r="U62" s="15"/>
      <c r="V62" s="16" t="s">
        <v>139</v>
      </c>
      <c r="W62" s="17" t="str">
        <f t="shared" si="4"/>
        <v>OK</v>
      </c>
    </row>
    <row r="63" spans="1:23" ht="20.100000000000001" customHeight="1" x14ac:dyDescent="0.25">
      <c r="A63" s="12" t="s">
        <v>138</v>
      </c>
      <c r="B63" s="13" t="s">
        <v>56</v>
      </c>
      <c r="C63" s="14">
        <v>3</v>
      </c>
      <c r="D63" s="14">
        <v>4</v>
      </c>
      <c r="E63" s="14">
        <f t="shared" si="3"/>
        <v>1</v>
      </c>
      <c r="F63" s="15" t="s">
        <v>57</v>
      </c>
      <c r="G63" s="15"/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/>
      <c r="Q63" s="15" t="s">
        <v>57</v>
      </c>
      <c r="R63" s="15"/>
      <c r="S63" s="15"/>
      <c r="T63" s="15" t="s">
        <v>57</v>
      </c>
      <c r="U63" s="15"/>
      <c r="V63" s="16" t="s">
        <v>139</v>
      </c>
      <c r="W63" s="17" t="str">
        <f t="shared" si="4"/>
        <v>OK</v>
      </c>
    </row>
    <row r="64" spans="1:23" ht="20.100000000000001" customHeight="1" x14ac:dyDescent="0.25">
      <c r="A64" s="12" t="s">
        <v>138</v>
      </c>
      <c r="B64" s="13" t="s">
        <v>56</v>
      </c>
      <c r="C64" s="14">
        <v>4</v>
      </c>
      <c r="D64" s="14">
        <v>5</v>
      </c>
      <c r="E64" s="14">
        <f t="shared" si="3"/>
        <v>1</v>
      </c>
      <c r="F64" s="15" t="s">
        <v>57</v>
      </c>
      <c r="G64" s="15"/>
      <c r="H64" s="15"/>
      <c r="I64" s="15"/>
      <c r="J64" s="15"/>
      <c r="K64" s="15" t="s">
        <v>57</v>
      </c>
      <c r="L64" s="15"/>
      <c r="M64" s="15"/>
      <c r="N64" s="15" t="s">
        <v>57</v>
      </c>
      <c r="O64" s="15"/>
      <c r="P64" s="15"/>
      <c r="Q64" s="15" t="s">
        <v>57</v>
      </c>
      <c r="R64" s="15"/>
      <c r="S64" s="15"/>
      <c r="T64" s="15" t="s">
        <v>57</v>
      </c>
      <c r="U64" s="15"/>
      <c r="V64" s="16" t="s">
        <v>139</v>
      </c>
      <c r="W64" s="17" t="str">
        <f t="shared" si="4"/>
        <v>OK</v>
      </c>
    </row>
    <row r="65" spans="1:23" ht="20.100000000000001" customHeight="1" x14ac:dyDescent="0.25">
      <c r="A65" s="18" t="s">
        <v>138</v>
      </c>
      <c r="B65" s="19" t="s">
        <v>56</v>
      </c>
      <c r="C65" s="20">
        <v>5</v>
      </c>
      <c r="D65" s="20">
        <v>5.51803175531</v>
      </c>
      <c r="E65" s="20">
        <f t="shared" si="3"/>
        <v>0.51803175531000001</v>
      </c>
      <c r="F65" s="21" t="s">
        <v>57</v>
      </c>
      <c r="G65" s="21"/>
      <c r="H65" s="21"/>
      <c r="I65" s="21"/>
      <c r="J65" s="21"/>
      <c r="K65" s="21" t="s">
        <v>57</v>
      </c>
      <c r="L65" s="21"/>
      <c r="M65" s="21"/>
      <c r="N65" s="21" t="s">
        <v>57</v>
      </c>
      <c r="O65" s="21"/>
      <c r="P65" s="21"/>
      <c r="Q65" s="21" t="s">
        <v>57</v>
      </c>
      <c r="R65" s="21"/>
      <c r="S65" s="21"/>
      <c r="T65" s="21" t="s">
        <v>57</v>
      </c>
      <c r="U65" s="21"/>
      <c r="V65" s="22" t="s">
        <v>139</v>
      </c>
      <c r="W65" s="23" t="str">
        <f t="shared" si="4"/>
        <v>OK</v>
      </c>
    </row>
    <row r="67" spans="1:23" x14ac:dyDescent="0.25">
      <c r="A67" s="54" t="s">
        <v>60</v>
      </c>
      <c r="B67" s="43"/>
      <c r="C67" s="43"/>
      <c r="D67" s="43"/>
      <c r="E67" s="43"/>
      <c r="G67" s="54" t="s">
        <v>60</v>
      </c>
      <c r="H67" s="43"/>
      <c r="I67" s="43"/>
      <c r="J67" s="43"/>
      <c r="K67" s="43"/>
    </row>
    <row r="68" spans="1:23" x14ac:dyDescent="0.25">
      <c r="A68" s="59" t="s">
        <v>61</v>
      </c>
      <c r="B68" s="43"/>
      <c r="C68" s="43"/>
      <c r="D68" s="43"/>
      <c r="E68" s="43"/>
      <c r="G68" s="59" t="s">
        <v>62</v>
      </c>
      <c r="H68" s="43"/>
      <c r="I68" s="43"/>
      <c r="J68" s="43"/>
      <c r="K68" s="43"/>
    </row>
    <row r="70" spans="1:23" x14ac:dyDescent="0.25">
      <c r="A70" s="60" t="s">
        <v>63</v>
      </c>
      <c r="B70" s="43"/>
      <c r="C70" s="43"/>
      <c r="D70" s="43"/>
      <c r="E70" s="4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3" x14ac:dyDescent="0.25">
      <c r="A71" s="53" t="s">
        <v>64</v>
      </c>
      <c r="B71" s="43"/>
      <c r="C71" s="43"/>
      <c r="D71" s="43"/>
      <c r="E71" s="43"/>
      <c r="F71" s="9">
        <f t="shared" ref="F71:U71" si="5">SUMIF(F$9:F$65,"X",$E$9:$E$65)</f>
        <v>6.9203391951299995</v>
      </c>
      <c r="G71" s="9">
        <f t="shared" si="5"/>
        <v>22.7523322025</v>
      </c>
      <c r="H71" s="9">
        <f t="shared" si="5"/>
        <v>23</v>
      </c>
      <c r="I71" s="9">
        <f t="shared" si="5"/>
        <v>0</v>
      </c>
      <c r="J71" s="9">
        <f t="shared" si="5"/>
        <v>0</v>
      </c>
      <c r="K71" s="9">
        <f t="shared" si="5"/>
        <v>52.672671397629998</v>
      </c>
      <c r="L71" s="9">
        <f t="shared" si="5"/>
        <v>0</v>
      </c>
      <c r="M71" s="9">
        <f t="shared" si="5"/>
        <v>27.40230743982</v>
      </c>
      <c r="N71" s="9">
        <f t="shared" si="5"/>
        <v>25.270363957809998</v>
      </c>
      <c r="O71" s="9">
        <f t="shared" si="5"/>
        <v>0</v>
      </c>
      <c r="P71" s="9">
        <f t="shared" si="5"/>
        <v>0</v>
      </c>
      <c r="Q71" s="9">
        <f t="shared" si="5"/>
        <v>52.672671397629998</v>
      </c>
      <c r="R71" s="9">
        <f t="shared" si="5"/>
        <v>0</v>
      </c>
      <c r="S71" s="9">
        <f t="shared" si="5"/>
        <v>1.4023074398199999</v>
      </c>
      <c r="T71" s="9">
        <f t="shared" si="5"/>
        <v>51.270363957809998</v>
      </c>
      <c r="U71" s="9">
        <f t="shared" si="5"/>
        <v>0</v>
      </c>
    </row>
    <row r="72" spans="1:23" x14ac:dyDescent="0.25">
      <c r="A72" s="53" t="s">
        <v>65</v>
      </c>
      <c r="B72" s="43"/>
      <c r="C72" s="43"/>
      <c r="D72" s="43"/>
      <c r="E72" s="43"/>
      <c r="F72" s="25">
        <f t="shared" ref="F72:U72" si="6">IF($R74=0,0,F71/$R74)</f>
        <v>0.13138386589295678</v>
      </c>
      <c r="G72" s="25">
        <f t="shared" si="6"/>
        <v>0.43195705854257732</v>
      </c>
      <c r="H72" s="25">
        <f t="shared" si="6"/>
        <v>0.43665907556446593</v>
      </c>
      <c r="I72" s="25">
        <f t="shared" si="6"/>
        <v>0</v>
      </c>
      <c r="J72" s="25">
        <f t="shared" si="6"/>
        <v>0</v>
      </c>
      <c r="K72" s="25">
        <f t="shared" si="6"/>
        <v>1</v>
      </c>
      <c r="L72" s="25">
        <f t="shared" si="6"/>
        <v>0</v>
      </c>
      <c r="M72" s="25">
        <f t="shared" si="6"/>
        <v>0.52023766239152558</v>
      </c>
      <c r="N72" s="25">
        <f t="shared" si="6"/>
        <v>0.47976233760847442</v>
      </c>
      <c r="O72" s="25">
        <f t="shared" si="6"/>
        <v>0</v>
      </c>
      <c r="P72" s="25">
        <f t="shared" si="6"/>
        <v>0</v>
      </c>
      <c r="Q72" s="25">
        <f t="shared" si="6"/>
        <v>1</v>
      </c>
      <c r="R72" s="25">
        <f t="shared" si="6"/>
        <v>0</v>
      </c>
      <c r="S72" s="25">
        <f t="shared" si="6"/>
        <v>2.6623055231694528E-2</v>
      </c>
      <c r="T72" s="25">
        <f t="shared" si="6"/>
        <v>0.9733769447683055</v>
      </c>
      <c r="U72" s="25">
        <f t="shared" si="6"/>
        <v>0</v>
      </c>
    </row>
    <row r="73" spans="1:23" x14ac:dyDescent="0.25">
      <c r="A73" s="53" t="s">
        <v>66</v>
      </c>
      <c r="B73" s="43"/>
      <c r="C73" s="43"/>
      <c r="D73" s="43"/>
      <c r="E73" s="43"/>
      <c r="F73" s="51" t="str">
        <f>IF(SUM(F71:J71)=0,"— não preenchido",IF(ROUND(SUM(F71:J71)-$R74,3)=0,"OK — "&amp;ROUND(SUM(F71:J71),3)&amp;" km","ERRO — dif. de "&amp;ROUND(SUM(F71:J71)-$R74,3)&amp;" km"))</f>
        <v>OK — 52,673 km</v>
      </c>
      <c r="G73" s="47"/>
      <c r="H73" s="47"/>
      <c r="I73" s="47"/>
      <c r="J73" s="45"/>
      <c r="K73" s="51" t="str">
        <f>IF(SUM(K71:L71)=0,"— não preenchido",IF(ROUND(SUM(K71:L71)-$R74,3)=0,"OK — "&amp;ROUND(SUM(K71:L71),3)&amp;" km","ERRO — dif. de "&amp;ROUND(SUM(K71:L71)-$R74,3)&amp;" km"))</f>
        <v>OK — 52,673 km</v>
      </c>
      <c r="L73" s="45"/>
      <c r="M73" s="51" t="str">
        <f>IF(SUM(M71:O71)=0,"— não preenchido",IF(ROUND(SUM(M71:O71)-$R74,3)=0,"OK — "&amp;ROUND(SUM(M71:O71),3)&amp;" km","ERRO — dif. de "&amp;ROUND(SUM(M71:O71)-$R74,3)&amp;" km"))</f>
        <v>OK — 52,673 km</v>
      </c>
      <c r="N73" s="47"/>
      <c r="O73" s="45"/>
      <c r="P73" s="51" t="str">
        <f>IF(SUM(P71:R71)=0,"— não preenchido",IF(ROUND(SUM(P71:R71)-$R74,3)=0,"OK — "&amp;ROUND(SUM(P71:R71),3)&amp;" km","ERRO — dif. de "&amp;ROUND(SUM(P71:R71)-$R74,3)&amp;" km"))</f>
        <v>OK — 52,673 km</v>
      </c>
      <c r="Q73" s="47"/>
      <c r="R73" s="45"/>
      <c r="S73" s="51" t="str">
        <f>IF(SUM(S71:U71)=0,"— não preenchido",IF(ROUND(SUM(S71:U71)-$R74,3)=0,"OK — "&amp;ROUND(SUM(S71:U71),3)&amp;" km","ERRO — dif. de "&amp;ROUND(SUM(S71:U71)-$R74,3)&amp;" km"))</f>
        <v>OK — 52,673 km</v>
      </c>
      <c r="T73" s="47"/>
      <c r="U73" s="45"/>
    </row>
    <row r="74" spans="1:23" x14ac:dyDescent="0.25">
      <c r="A74" s="53" t="s">
        <v>67</v>
      </c>
      <c r="B74" s="43"/>
      <c r="C74" s="43"/>
      <c r="D74" s="43"/>
      <c r="E74" s="43"/>
      <c r="R74" s="26">
        <f>SUM(E9:E65)</f>
        <v>52.672671397629998</v>
      </c>
      <c r="V74" s="8" t="str">
        <f>COUNTIF(W9:W65,"OK")&amp;" de "&amp;COUNT($E$9:$E$65)&amp;" linhas conferidas"</f>
        <v>54 de 54 linhas conferidas</v>
      </c>
    </row>
    <row r="76" spans="1:23" x14ac:dyDescent="0.25">
      <c r="A76" s="55" t="s">
        <v>68</v>
      </c>
      <c r="B76" s="43"/>
      <c r="C76" s="43"/>
      <c r="D76" s="43"/>
      <c r="E76" s="43"/>
    </row>
    <row r="77" spans="1:23" x14ac:dyDescent="0.25">
      <c r="A77" s="53" t="s">
        <v>69</v>
      </c>
      <c r="B77" s="43"/>
      <c r="C77" s="43"/>
      <c r="D77" s="43"/>
      <c r="E77" s="61" t="s">
        <v>70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spans="1:23" x14ac:dyDescent="0.25">
      <c r="A78" s="53" t="s">
        <v>71</v>
      </c>
      <c r="B78" s="43"/>
      <c r="C78" s="43"/>
      <c r="D78" s="43"/>
      <c r="E78" s="61" t="s">
        <v>72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3" x14ac:dyDescent="0.25">
      <c r="A79" s="53" t="s">
        <v>73</v>
      </c>
      <c r="B79" s="43"/>
      <c r="C79" s="43"/>
      <c r="D79" s="43"/>
      <c r="E79" s="61" t="s">
        <v>74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3" x14ac:dyDescent="0.25">
      <c r="A80" s="53" t="s">
        <v>75</v>
      </c>
      <c r="B80" s="43"/>
      <c r="C80" s="43"/>
      <c r="D80" s="43"/>
      <c r="E80" s="61" t="s">
        <v>76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 x14ac:dyDescent="0.25">
      <c r="A81" s="53" t="s">
        <v>77</v>
      </c>
      <c r="B81" s="43"/>
      <c r="C81" s="43"/>
      <c r="D81" s="43"/>
      <c r="E81" s="61" t="s">
        <v>78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 x14ac:dyDescent="0.25">
      <c r="A82" s="53" t="s">
        <v>48</v>
      </c>
      <c r="B82" s="43"/>
      <c r="C82" s="43"/>
      <c r="D82" s="43"/>
      <c r="E82" s="61" t="s">
        <v>79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 x14ac:dyDescent="0.25">
      <c r="A83" s="53" t="s">
        <v>80</v>
      </c>
      <c r="B83" s="43"/>
      <c r="C83" s="43"/>
      <c r="D83" s="43"/>
      <c r="E83" s="61" t="s">
        <v>81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 x14ac:dyDescent="0.25">
      <c r="A84" s="53" t="s">
        <v>82</v>
      </c>
      <c r="B84" s="43"/>
      <c r="C84" s="43"/>
      <c r="D84" s="43"/>
      <c r="E84" s="61" t="s">
        <v>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 x14ac:dyDescent="0.25">
      <c r="A85" s="53" t="s">
        <v>11</v>
      </c>
      <c r="B85" s="43"/>
      <c r="C85" s="43"/>
      <c r="D85" s="43"/>
      <c r="E85" s="61" t="s">
        <v>84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</sheetData>
  <sheetProtection formatCells="0"/>
  <mergeCells count="60">
    <mergeCell ref="E85:V85"/>
    <mergeCell ref="A11:V11"/>
    <mergeCell ref="A1:V1"/>
    <mergeCell ref="A78:D78"/>
    <mergeCell ref="A76:E76"/>
    <mergeCell ref="A71:E71"/>
    <mergeCell ref="E81:V81"/>
    <mergeCell ref="E79:V79"/>
    <mergeCell ref="T3:V3"/>
    <mergeCell ref="P73:R73"/>
    <mergeCell ref="A84:D84"/>
    <mergeCell ref="A80:D80"/>
    <mergeCell ref="K73:L73"/>
    <mergeCell ref="A72:E72"/>
    <mergeCell ref="A68:E68"/>
    <mergeCell ref="A85:D85"/>
    <mergeCell ref="W6:W7"/>
    <mergeCell ref="A82:D82"/>
    <mergeCell ref="E6:E7"/>
    <mergeCell ref="B6:B7"/>
    <mergeCell ref="A74:E74"/>
    <mergeCell ref="A59:V59"/>
    <mergeCell ref="A79:D79"/>
    <mergeCell ref="G68:K68"/>
    <mergeCell ref="C6:C7"/>
    <mergeCell ref="M73:O73"/>
    <mergeCell ref="K6:L6"/>
    <mergeCell ref="D6:D7"/>
    <mergeCell ref="A12:V12"/>
    <mergeCell ref="P6:R6"/>
    <mergeCell ref="A67:E67"/>
    <mergeCell ref="S73:U73"/>
    <mergeCell ref="E84:V84"/>
    <mergeCell ref="G67:K67"/>
    <mergeCell ref="F6:J6"/>
    <mergeCell ref="E78:V78"/>
    <mergeCell ref="A6:A7"/>
    <mergeCell ref="M6:O6"/>
    <mergeCell ref="V6:V7"/>
    <mergeCell ref="A70:E70"/>
    <mergeCell ref="S6:U6"/>
    <mergeCell ref="A77:D77"/>
    <mergeCell ref="A83:D83"/>
    <mergeCell ref="E77:V77"/>
    <mergeCell ref="E80:V80"/>
    <mergeCell ref="E83:V83"/>
    <mergeCell ref="E82:V82"/>
    <mergeCell ref="F73:J73"/>
    <mergeCell ref="A73:E73"/>
    <mergeCell ref="G2:H2"/>
    <mergeCell ref="I2:J2"/>
    <mergeCell ref="A8:V8"/>
    <mergeCell ref="A81:D81"/>
    <mergeCell ref="A4:V4"/>
    <mergeCell ref="A2:F2"/>
    <mergeCell ref="K2:M2"/>
    <mergeCell ref="N2:O2"/>
    <mergeCell ref="P2:Q2"/>
    <mergeCell ref="R2:V2"/>
    <mergeCell ref="A3:S3"/>
  </mergeCells>
  <conditionalFormatting sqref="F9:J65">
    <cfRule type="expression" dxfId="89" priority="1">
      <formula>AND(F9&lt;&gt;"",COUNTIF($F9:$J9,"X")&gt;1)</formula>
    </cfRule>
  </conditionalFormatting>
  <conditionalFormatting sqref="F73:U73">
    <cfRule type="expression" dxfId="88" priority="8">
      <formula>LEFT(F73,4)="ERRO"</formula>
    </cfRule>
    <cfRule type="expression" dxfId="87" priority="9">
      <formula>LEFT(F73,2)="OK"</formula>
    </cfRule>
  </conditionalFormatting>
  <conditionalFormatting sqref="K9:L65">
    <cfRule type="expression" dxfId="86" priority="2">
      <formula>AND(K9&lt;&gt;"",COUNTIF($K9:$L9,"X")&gt;1)</formula>
    </cfRule>
  </conditionalFormatting>
  <conditionalFormatting sqref="M9:O65">
    <cfRule type="expression" dxfId="85" priority="3">
      <formula>AND(M9&lt;&gt;"",COUNTIF($M9:$O9,"X")&gt;1)</formula>
    </cfRule>
  </conditionalFormatting>
  <conditionalFormatting sqref="P9:R65">
    <cfRule type="expression" dxfId="84" priority="4">
      <formula>AND(P9&lt;&gt;"",COUNTIF($P9:$R9,"X")&gt;1)</formula>
    </cfRule>
  </conditionalFormatting>
  <conditionalFormatting sqref="S9:U65">
    <cfRule type="expression" dxfId="83" priority="5">
      <formula>AND(S9&lt;&gt;"",COUNTIF($S9:$U9,"X")&gt;1)</formula>
    </cfRule>
  </conditionalFormatting>
  <conditionalFormatting sqref="W9:W65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6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252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O17" sqref="O17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IF(F30=0,NA(),F30)</f>
        <v>15.560727356799999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15.560727356799999</v>
      </c>
      <c r="AE2" s="2" t="e">
        <f t="shared" si="0"/>
        <v>#N/A</v>
      </c>
      <c r="AF2" s="2">
        <f t="shared" si="0"/>
        <v>11</v>
      </c>
      <c r="AG2" s="2" t="e">
        <f t="shared" si="0"/>
        <v>#N/A</v>
      </c>
      <c r="AH2" s="2">
        <f t="shared" si="0"/>
        <v>4.5607273567999993</v>
      </c>
      <c r="AI2" s="2">
        <f t="shared" si="0"/>
        <v>11</v>
      </c>
      <c r="AJ2" s="2">
        <f t="shared" si="0"/>
        <v>2.5607273567999993</v>
      </c>
      <c r="AK2" s="2">
        <f t="shared" si="0"/>
        <v>2</v>
      </c>
      <c r="AL2" s="2" t="e">
        <f t="shared" si="0"/>
        <v>#N/A</v>
      </c>
      <c r="AM2" s="2">
        <f t="shared" si="0"/>
        <v>15.560727356799999</v>
      </c>
      <c r="AN2" s="2" t="e">
        <f t="shared" si="0"/>
        <v>#N/A</v>
      </c>
    </row>
    <row r="3" spans="1:40" ht="15" customHeight="1" x14ac:dyDescent="0.25">
      <c r="A3" s="64" t="s">
        <v>140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141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142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143</v>
      </c>
      <c r="B9" s="13" t="s">
        <v>56</v>
      </c>
      <c r="C9" s="14">
        <v>0</v>
      </c>
      <c r="D9" s="14">
        <v>1</v>
      </c>
      <c r="E9" s="14">
        <f t="shared" ref="E9:E24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/>
      <c r="O9" s="15" t="s">
        <v>57</v>
      </c>
      <c r="P9" s="15"/>
      <c r="Q9" s="15"/>
      <c r="R9" s="15" t="s">
        <v>57</v>
      </c>
      <c r="S9" s="15"/>
      <c r="T9" s="15" t="s">
        <v>57</v>
      </c>
      <c r="U9" s="15"/>
      <c r="V9" s="16" t="s">
        <v>144</v>
      </c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143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/>
      <c r="O10" s="15" t="s">
        <v>57</v>
      </c>
      <c r="P10" s="15"/>
      <c r="Q10" s="15"/>
      <c r="R10" s="15" t="s">
        <v>57</v>
      </c>
      <c r="S10" s="15"/>
      <c r="T10" s="15" t="s">
        <v>57</v>
      </c>
      <c r="U10" s="15"/>
      <c r="V10" s="16" t="s">
        <v>144</v>
      </c>
      <c r="W10" s="17" t="str">
        <f t="shared" si="2"/>
        <v>OK</v>
      </c>
    </row>
    <row r="11" spans="1:40" ht="20.100000000000001" customHeight="1" x14ac:dyDescent="0.25">
      <c r="A11" s="12" t="s">
        <v>143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 t="s">
        <v>57</v>
      </c>
      <c r="N11" s="15"/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143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 t="s">
        <v>57</v>
      </c>
      <c r="N12" s="15"/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143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 t="s">
        <v>57</v>
      </c>
      <c r="N13" s="15"/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143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143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 t="s">
        <v>57</v>
      </c>
      <c r="N15" s="15"/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143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 t="s">
        <v>57</v>
      </c>
      <c r="N16" s="15"/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143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 t="s">
        <v>57</v>
      </c>
      <c r="N17" s="15"/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143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 t="s">
        <v>57</v>
      </c>
      <c r="N18" s="15"/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143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 t="s">
        <v>57</v>
      </c>
      <c r="N19" s="15"/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143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 t="s">
        <v>57</v>
      </c>
      <c r="N20" s="15"/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143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 t="s">
        <v>57</v>
      </c>
      <c r="N21" s="15"/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143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/>
      <c r="O22" s="15" t="s">
        <v>57</v>
      </c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143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/>
      <c r="O23" s="15" t="s">
        <v>57</v>
      </c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143</v>
      </c>
      <c r="B24" s="19" t="s">
        <v>56</v>
      </c>
      <c r="C24" s="20">
        <v>15</v>
      </c>
      <c r="D24" s="20">
        <v>15.560727356799999</v>
      </c>
      <c r="E24" s="20">
        <f t="shared" si="1"/>
        <v>0.5607273567999993</v>
      </c>
      <c r="F24" s="21" t="s">
        <v>57</v>
      </c>
      <c r="G24" s="21"/>
      <c r="H24" s="21"/>
      <c r="I24" s="21"/>
      <c r="J24" s="21"/>
      <c r="K24" s="21" t="s">
        <v>57</v>
      </c>
      <c r="L24" s="21"/>
      <c r="M24" s="21"/>
      <c r="N24" s="21"/>
      <c r="O24" s="21" t="s">
        <v>57</v>
      </c>
      <c r="P24" s="21"/>
      <c r="Q24" s="21" t="s">
        <v>57</v>
      </c>
      <c r="R24" s="21"/>
      <c r="S24" s="21"/>
      <c r="T24" s="21" t="s">
        <v>57</v>
      </c>
      <c r="U24" s="21"/>
      <c r="V24" s="22"/>
      <c r="W24" s="23" t="str">
        <f t="shared" si="2"/>
        <v>OK</v>
      </c>
    </row>
    <row r="26" spans="1:23" x14ac:dyDescent="0.25">
      <c r="A26" s="54" t="s">
        <v>60</v>
      </c>
      <c r="B26" s="43"/>
      <c r="C26" s="43"/>
      <c r="D26" s="43"/>
      <c r="E26" s="43"/>
      <c r="G26" s="54" t="s">
        <v>60</v>
      </c>
      <c r="H26" s="43"/>
      <c r="I26" s="43"/>
      <c r="J26" s="43"/>
      <c r="K26" s="43"/>
    </row>
    <row r="27" spans="1:23" x14ac:dyDescent="0.25">
      <c r="A27" s="59" t="s">
        <v>61</v>
      </c>
      <c r="B27" s="43"/>
      <c r="C27" s="43"/>
      <c r="D27" s="43"/>
      <c r="E27" s="43"/>
      <c r="G27" s="59" t="s">
        <v>62</v>
      </c>
      <c r="H27" s="43"/>
      <c r="I27" s="43"/>
      <c r="J27" s="43"/>
      <c r="K27" s="43"/>
    </row>
    <row r="29" spans="1:23" x14ac:dyDescent="0.25">
      <c r="A29" s="60" t="s">
        <v>63</v>
      </c>
      <c r="B29" s="43"/>
      <c r="C29" s="43"/>
      <c r="D29" s="43"/>
      <c r="E29" s="4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53" t="s">
        <v>64</v>
      </c>
      <c r="B30" s="43"/>
      <c r="C30" s="43"/>
      <c r="D30" s="43"/>
      <c r="E30" s="43"/>
      <c r="F30" s="9">
        <f t="shared" ref="F30:U30" si="3">SUMIF(F$9:F$24,"X",$E$9:$E$24)</f>
        <v>15.560727356799999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15.560727356799999</v>
      </c>
      <c r="L30" s="9">
        <f t="shared" si="3"/>
        <v>0</v>
      </c>
      <c r="M30" s="9">
        <f t="shared" si="3"/>
        <v>11</v>
      </c>
      <c r="N30" s="9">
        <f t="shared" si="3"/>
        <v>0</v>
      </c>
      <c r="O30" s="9">
        <f t="shared" si="3"/>
        <v>4.5607273567999993</v>
      </c>
      <c r="P30" s="9">
        <f t="shared" si="3"/>
        <v>11</v>
      </c>
      <c r="Q30" s="9">
        <f t="shared" si="3"/>
        <v>2.5607273567999993</v>
      </c>
      <c r="R30" s="9">
        <f t="shared" si="3"/>
        <v>2</v>
      </c>
      <c r="S30" s="9">
        <f t="shared" si="3"/>
        <v>0</v>
      </c>
      <c r="T30" s="9">
        <f t="shared" si="3"/>
        <v>15.560727356799999</v>
      </c>
      <c r="U30" s="9">
        <f t="shared" si="3"/>
        <v>0</v>
      </c>
    </row>
    <row r="31" spans="1:23" x14ac:dyDescent="0.25">
      <c r="A31" s="53" t="s">
        <v>65</v>
      </c>
      <c r="B31" s="43"/>
      <c r="C31" s="43"/>
      <c r="D31" s="43"/>
      <c r="E31" s="43"/>
      <c r="F31" s="25">
        <f t="shared" ref="F31:U31" si="4">IF($R33=0,0,F30/$R33)</f>
        <v>1</v>
      </c>
      <c r="G31" s="25">
        <f t="shared" si="4"/>
        <v>0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0.70690782942052044</v>
      </c>
      <c r="N31" s="25">
        <f t="shared" si="4"/>
        <v>0</v>
      </c>
      <c r="O31" s="25">
        <f t="shared" si="4"/>
        <v>0.29309217057947956</v>
      </c>
      <c r="P31" s="25">
        <f t="shared" si="4"/>
        <v>0.70690782942052044</v>
      </c>
      <c r="Q31" s="25">
        <f t="shared" si="4"/>
        <v>0.16456347432120311</v>
      </c>
      <c r="R31" s="25">
        <f t="shared" si="4"/>
        <v>0.12852869625827645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53" t="s">
        <v>66</v>
      </c>
      <c r="B32" s="43"/>
      <c r="C32" s="43"/>
      <c r="D32" s="43"/>
      <c r="E32" s="43"/>
      <c r="F32" s="51" t="str">
        <f>IF(SUM(F30:J30)=0,"— não preenchido",IF(ROUND(SUM(F30:J30)-$R33,3)=0,"OK — "&amp;ROUND(SUM(F30:J30),3)&amp;" km","ERRO — dif. de "&amp;ROUND(SUM(F30:J30)-$R33,3)&amp;" km"))</f>
        <v>OK — 15,561 km</v>
      </c>
      <c r="G32" s="47"/>
      <c r="H32" s="47"/>
      <c r="I32" s="47"/>
      <c r="J32" s="45"/>
      <c r="K32" s="51" t="str">
        <f>IF(SUM(K30:L30)=0,"— não preenchido",IF(ROUND(SUM(K30:L30)-$R33,3)=0,"OK — "&amp;ROUND(SUM(K30:L30),3)&amp;" km","ERRO — dif. de "&amp;ROUND(SUM(K30:L30)-$R33,3)&amp;" km"))</f>
        <v>OK — 15,561 km</v>
      </c>
      <c r="L32" s="45"/>
      <c r="M32" s="51" t="str">
        <f>IF(SUM(M30:O30)=0,"— não preenchido",IF(ROUND(SUM(M30:O30)-$R33,3)=0,"OK — "&amp;ROUND(SUM(M30:O30),3)&amp;" km","ERRO — dif. de "&amp;ROUND(SUM(M30:O30)-$R33,3)&amp;" km"))</f>
        <v>OK — 15,561 km</v>
      </c>
      <c r="N32" s="47"/>
      <c r="O32" s="45"/>
      <c r="P32" s="51" t="str">
        <f>IF(SUM(P30:R30)=0,"— não preenchido",IF(ROUND(SUM(P30:R30)-$R33,3)=0,"OK — "&amp;ROUND(SUM(P30:R30),3)&amp;" km","ERRO — dif. de "&amp;ROUND(SUM(P30:R30)-$R33,3)&amp;" km"))</f>
        <v>OK — 15,561 km</v>
      </c>
      <c r="Q32" s="47"/>
      <c r="R32" s="45"/>
      <c r="S32" s="51" t="str">
        <f>IF(SUM(S30:U30)=0,"— não preenchido",IF(ROUND(SUM(S30:U30)-$R33,3)=0,"OK — "&amp;ROUND(SUM(S30:U30),3)&amp;" km","ERRO — dif. de "&amp;ROUND(SUM(S30:U30)-$R33,3)&amp;" km"))</f>
        <v>OK — 15,561 km</v>
      </c>
      <c r="T32" s="47"/>
      <c r="U32" s="45"/>
    </row>
    <row r="33" spans="1:22" x14ac:dyDescent="0.25">
      <c r="A33" s="53" t="s">
        <v>67</v>
      </c>
      <c r="B33" s="43"/>
      <c r="C33" s="43"/>
      <c r="D33" s="43"/>
      <c r="E33" s="43"/>
      <c r="R33" s="26">
        <f>SUM(E9:E24)</f>
        <v>15.560727356799999</v>
      </c>
      <c r="V33" s="8" t="str">
        <f>COUNTIF(W9:W24,"OK")&amp;" de "&amp;COUNT($E$9:$E$24)&amp;" linhas conferidas"</f>
        <v>16 de 16 linhas conferidas</v>
      </c>
    </row>
    <row r="35" spans="1:22" x14ac:dyDescent="0.25">
      <c r="A35" s="55" t="s">
        <v>68</v>
      </c>
      <c r="B35" s="43"/>
      <c r="C35" s="43"/>
      <c r="D35" s="43"/>
      <c r="E35" s="43"/>
    </row>
    <row r="36" spans="1:22" x14ac:dyDescent="0.25">
      <c r="A36" s="53" t="s">
        <v>69</v>
      </c>
      <c r="B36" s="43"/>
      <c r="C36" s="43"/>
      <c r="D36" s="43"/>
      <c r="E36" s="61" t="s">
        <v>70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spans="1:22" x14ac:dyDescent="0.25">
      <c r="A37" s="53" t="s">
        <v>71</v>
      </c>
      <c r="B37" s="43"/>
      <c r="C37" s="43"/>
      <c r="D37" s="43"/>
      <c r="E37" s="61" t="s">
        <v>72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spans="1:22" x14ac:dyDescent="0.25">
      <c r="A38" s="53" t="s">
        <v>73</v>
      </c>
      <c r="B38" s="43"/>
      <c r="C38" s="43"/>
      <c r="D38" s="43"/>
      <c r="E38" s="61" t="s">
        <v>74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 x14ac:dyDescent="0.25">
      <c r="A39" s="53" t="s">
        <v>75</v>
      </c>
      <c r="B39" s="43"/>
      <c r="C39" s="43"/>
      <c r="D39" s="43"/>
      <c r="E39" s="61" t="s">
        <v>76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x14ac:dyDescent="0.25">
      <c r="A40" s="53" t="s">
        <v>77</v>
      </c>
      <c r="B40" s="43"/>
      <c r="C40" s="43"/>
      <c r="D40" s="43"/>
      <c r="E40" s="61" t="s">
        <v>78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 x14ac:dyDescent="0.25">
      <c r="A41" s="53" t="s">
        <v>48</v>
      </c>
      <c r="B41" s="43"/>
      <c r="C41" s="43"/>
      <c r="D41" s="43"/>
      <c r="E41" s="61" t="s">
        <v>79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x14ac:dyDescent="0.25">
      <c r="A42" s="53" t="s">
        <v>80</v>
      </c>
      <c r="B42" s="43"/>
      <c r="C42" s="43"/>
      <c r="D42" s="43"/>
      <c r="E42" s="61" t="s">
        <v>81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x14ac:dyDescent="0.25">
      <c r="A43" s="53" t="s">
        <v>82</v>
      </c>
      <c r="B43" s="43"/>
      <c r="C43" s="43"/>
      <c r="D43" s="43"/>
      <c r="E43" s="61" t="s">
        <v>83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x14ac:dyDescent="0.25">
      <c r="A44" s="53" t="s">
        <v>11</v>
      </c>
      <c r="B44" s="43"/>
      <c r="C44" s="43"/>
      <c r="D44" s="43"/>
      <c r="E44" s="61" t="s">
        <v>84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</sheetData>
  <sheetProtection formatCells="0"/>
  <mergeCells count="57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</mergeCells>
  <conditionalFormatting sqref="F9:J24">
    <cfRule type="expression" dxfId="80" priority="1">
      <formula>AND(F9&lt;&gt;"",COUNTIF($F9:$J9,"X")&gt;1)</formula>
    </cfRule>
  </conditionalFormatting>
  <conditionalFormatting sqref="F32:U32">
    <cfRule type="expression" dxfId="79" priority="8">
      <formula>LEFT(F32,4)="ERRO"</formula>
    </cfRule>
    <cfRule type="expression" dxfId="78" priority="9">
      <formula>LEFT(F32,2)="OK"</formula>
    </cfRule>
  </conditionalFormatting>
  <conditionalFormatting sqref="K9:L24">
    <cfRule type="expression" dxfId="77" priority="2">
      <formula>AND(K9&lt;&gt;"",COUNTIF($K9:$L9,"X")&gt;1)</formula>
    </cfRule>
  </conditionalFormatting>
  <conditionalFormatting sqref="M9:O24">
    <cfRule type="expression" dxfId="76" priority="3">
      <formula>AND(M9&lt;&gt;"",COUNTIF($M9:$O9,"X")&gt;1)</formula>
    </cfRule>
  </conditionalFormatting>
  <conditionalFormatting sqref="P9:R24">
    <cfRule type="expression" dxfId="75" priority="4">
      <formula>AND(P9&lt;&gt;"",COUNTIF($P9:$R9,"X")&gt;1)</formula>
    </cfRule>
  </conditionalFormatting>
  <conditionalFormatting sqref="S9:U24">
    <cfRule type="expression" dxfId="74" priority="5">
      <formula>AND(S9&lt;&gt;"",COUNTIF($S9:$U9,"X")&gt;1)</formula>
    </cfRule>
  </conditionalFormatting>
  <conditionalFormatting sqref="W9:W24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253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pageSetUpPr fitToPage="1"/>
  </sheetPr>
  <dimension ref="A1:AN5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L12" sqref="L1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IF(F37=0,NA(),F37)</f>
        <v>17.978237764369997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17.978237764369997</v>
      </c>
      <c r="AE2" s="2" t="e">
        <f t="shared" si="0"/>
        <v>#N/A</v>
      </c>
      <c r="AF2" s="2">
        <f t="shared" si="0"/>
        <v>2.4557659083699992</v>
      </c>
      <c r="AG2" s="2">
        <f t="shared" si="0"/>
        <v>15.522471855999999</v>
      </c>
      <c r="AH2" s="2" t="e">
        <f t="shared" si="0"/>
        <v>#N/A</v>
      </c>
      <c r="AI2" s="2">
        <f t="shared" si="0"/>
        <v>1.2905608613999995</v>
      </c>
      <c r="AJ2" s="2">
        <f t="shared" si="0"/>
        <v>15.522471855999999</v>
      </c>
      <c r="AK2" s="2">
        <f t="shared" si="0"/>
        <v>1.1652050469699999</v>
      </c>
      <c r="AL2" s="2" t="e">
        <f t="shared" si="0"/>
        <v>#N/A</v>
      </c>
      <c r="AM2" s="2">
        <f t="shared" si="0"/>
        <v>17.978237764369997</v>
      </c>
      <c r="AN2" s="2" t="e">
        <f t="shared" si="0"/>
        <v>#N/A</v>
      </c>
    </row>
    <row r="3" spans="1:40" ht="15" customHeight="1" x14ac:dyDescent="0.25">
      <c r="A3" s="64" t="s">
        <v>145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146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147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148</v>
      </c>
      <c r="B9" s="13" t="s">
        <v>56</v>
      </c>
      <c r="C9" s="14">
        <v>0</v>
      </c>
      <c r="D9" s="14">
        <v>1</v>
      </c>
      <c r="E9" s="14">
        <f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/>
      <c r="R9" s="15" t="s">
        <v>57</v>
      </c>
      <c r="S9" s="15"/>
      <c r="T9" s="15" t="s">
        <v>57</v>
      </c>
      <c r="U9" s="15"/>
      <c r="V9" s="16" t="s">
        <v>149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148</v>
      </c>
      <c r="B10" s="19" t="s">
        <v>56</v>
      </c>
      <c r="C10" s="20">
        <v>1</v>
      </c>
      <c r="D10" s="20">
        <v>1.1652050469699999</v>
      </c>
      <c r="E10" s="20">
        <f>D10-C10</f>
        <v>0.16520504696999994</v>
      </c>
      <c r="F10" s="21" t="s">
        <v>57</v>
      </c>
      <c r="G10" s="21"/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/>
      <c r="R10" s="21" t="s">
        <v>57</v>
      </c>
      <c r="S10" s="21"/>
      <c r="T10" s="21" t="s">
        <v>57</v>
      </c>
      <c r="U10" s="21"/>
      <c r="V10" s="22" t="s">
        <v>149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52" t="s">
        <v>150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5"/>
      <c r="W11" s="4"/>
    </row>
    <row r="12" spans="1:40" ht="20.100000000000001" customHeight="1" x14ac:dyDescent="0.25">
      <c r="A12" s="12" t="s">
        <v>151</v>
      </c>
      <c r="B12" s="13" t="s">
        <v>56</v>
      </c>
      <c r="C12" s="14">
        <v>0</v>
      </c>
      <c r="D12" s="14">
        <v>1</v>
      </c>
      <c r="E12" s="14">
        <f t="shared" ref="E12:E22" si="1">D12-C12</f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 t="s">
        <v>152</v>
      </c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151</v>
      </c>
      <c r="B13" s="13" t="s">
        <v>56</v>
      </c>
      <c r="C13" s="14">
        <v>1</v>
      </c>
      <c r="D13" s="14">
        <v>2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151</v>
      </c>
      <c r="B14" s="13" t="s">
        <v>56</v>
      </c>
      <c r="C14" s="14">
        <v>2</v>
      </c>
      <c r="D14" s="14">
        <v>3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151</v>
      </c>
      <c r="B15" s="13" t="s">
        <v>56</v>
      </c>
      <c r="C15" s="14">
        <v>3</v>
      </c>
      <c r="D15" s="14">
        <v>4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151</v>
      </c>
      <c r="B16" s="13" t="s">
        <v>56</v>
      </c>
      <c r="C16" s="14">
        <v>4</v>
      </c>
      <c r="D16" s="14">
        <v>5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151</v>
      </c>
      <c r="B17" s="13" t="s">
        <v>56</v>
      </c>
      <c r="C17" s="14">
        <v>5</v>
      </c>
      <c r="D17" s="14">
        <v>6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151</v>
      </c>
      <c r="B18" s="13" t="s">
        <v>56</v>
      </c>
      <c r="C18" s="14">
        <v>6</v>
      </c>
      <c r="D18" s="14">
        <v>7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151</v>
      </c>
      <c r="B19" s="13" t="s">
        <v>56</v>
      </c>
      <c r="C19" s="14">
        <v>7</v>
      </c>
      <c r="D19" s="14">
        <v>8</v>
      </c>
      <c r="E19" s="14">
        <f t="shared" si="1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151</v>
      </c>
      <c r="B20" s="13" t="s">
        <v>56</v>
      </c>
      <c r="C20" s="14">
        <v>8</v>
      </c>
      <c r="D20" s="14">
        <v>9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151</v>
      </c>
      <c r="B21" s="13" t="s">
        <v>56</v>
      </c>
      <c r="C21" s="14">
        <v>9</v>
      </c>
      <c r="D21" s="14">
        <v>10</v>
      </c>
      <c r="E21" s="14">
        <f t="shared" si="1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 t="s">
        <v>57</v>
      </c>
      <c r="N21" s="15"/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8" t="s">
        <v>151</v>
      </c>
      <c r="B22" s="19" t="s">
        <v>56</v>
      </c>
      <c r="C22" s="20">
        <v>10</v>
      </c>
      <c r="D22" s="20">
        <v>10.290560861399999</v>
      </c>
      <c r="E22" s="20">
        <f t="shared" si="1"/>
        <v>0.29056086139999948</v>
      </c>
      <c r="F22" s="21" t="s">
        <v>57</v>
      </c>
      <c r="G22" s="21"/>
      <c r="H22" s="21"/>
      <c r="I22" s="21"/>
      <c r="J22" s="21"/>
      <c r="K22" s="21" t="s">
        <v>57</v>
      </c>
      <c r="L22" s="21"/>
      <c r="M22" s="21" t="s">
        <v>57</v>
      </c>
      <c r="N22" s="21"/>
      <c r="O22" s="21"/>
      <c r="P22" s="21" t="s">
        <v>57</v>
      </c>
      <c r="Q22" s="21"/>
      <c r="R22" s="21"/>
      <c r="S22" s="21"/>
      <c r="T22" s="21" t="s">
        <v>57</v>
      </c>
      <c r="U22" s="21"/>
      <c r="V22" s="22"/>
      <c r="W22" s="23" t="str">
        <f t="shared" si="2"/>
        <v>OK</v>
      </c>
    </row>
    <row r="23" spans="1:23" ht="15" customHeight="1" x14ac:dyDescent="0.25">
      <c r="A23" s="67" t="s">
        <v>153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5"/>
      <c r="W23" s="4"/>
    </row>
    <row r="24" spans="1:23" ht="15.95" customHeight="1" x14ac:dyDescent="0.25">
      <c r="A24" s="52" t="s">
        <v>154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5"/>
      <c r="W24" s="4"/>
    </row>
    <row r="25" spans="1:23" ht="20.100000000000001" customHeight="1" x14ac:dyDescent="0.25">
      <c r="A25" s="12" t="s">
        <v>155</v>
      </c>
      <c r="B25" s="13" t="s">
        <v>56</v>
      </c>
      <c r="C25" s="14">
        <v>0</v>
      </c>
      <c r="D25" s="14">
        <v>1</v>
      </c>
      <c r="E25" s="14">
        <f t="shared" ref="E25:E31" si="3">D25-C25</f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 t="s">
        <v>156</v>
      </c>
      <c r="W25" s="17" t="str">
        <f t="shared" ref="W25:W31" si="4"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155</v>
      </c>
      <c r="B26" s="13" t="s">
        <v>56</v>
      </c>
      <c r="C26" s="14">
        <v>1</v>
      </c>
      <c r="D26" s="14">
        <v>2</v>
      </c>
      <c r="E26" s="14">
        <f t="shared" si="3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 t="s">
        <v>156</v>
      </c>
      <c r="W26" s="17" t="str">
        <f t="shared" si="4"/>
        <v>OK</v>
      </c>
    </row>
    <row r="27" spans="1:23" ht="20.100000000000001" customHeight="1" x14ac:dyDescent="0.25">
      <c r="A27" s="12" t="s">
        <v>155</v>
      </c>
      <c r="B27" s="13" t="s">
        <v>56</v>
      </c>
      <c r="C27" s="14">
        <v>2</v>
      </c>
      <c r="D27" s="14">
        <v>3</v>
      </c>
      <c r="E27" s="14">
        <f t="shared" si="3"/>
        <v>1</v>
      </c>
      <c r="F27" s="15" t="s">
        <v>57</v>
      </c>
      <c r="G27" s="15"/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 t="s">
        <v>156</v>
      </c>
      <c r="W27" s="17" t="str">
        <f t="shared" si="4"/>
        <v>OK</v>
      </c>
    </row>
    <row r="28" spans="1:23" ht="20.100000000000001" customHeight="1" x14ac:dyDescent="0.25">
      <c r="A28" s="12" t="s">
        <v>155</v>
      </c>
      <c r="B28" s="13" t="s">
        <v>56</v>
      </c>
      <c r="C28" s="14">
        <v>3</v>
      </c>
      <c r="D28" s="14">
        <v>4</v>
      </c>
      <c r="E28" s="14">
        <f t="shared" si="3"/>
        <v>1</v>
      </c>
      <c r="F28" s="15" t="s">
        <v>57</v>
      </c>
      <c r="G28" s="15"/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155</v>
      </c>
      <c r="B29" s="13" t="s">
        <v>56</v>
      </c>
      <c r="C29" s="14">
        <v>4</v>
      </c>
      <c r="D29" s="14">
        <v>5</v>
      </c>
      <c r="E29" s="14">
        <f t="shared" si="3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155</v>
      </c>
      <c r="B30" s="13" t="s">
        <v>56</v>
      </c>
      <c r="C30" s="14">
        <v>5</v>
      </c>
      <c r="D30" s="14">
        <v>6</v>
      </c>
      <c r="E30" s="14">
        <f t="shared" si="3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8" t="s">
        <v>155</v>
      </c>
      <c r="B31" s="19" t="s">
        <v>56</v>
      </c>
      <c r="C31" s="20">
        <v>6</v>
      </c>
      <c r="D31" s="20">
        <v>6.5224718560000001</v>
      </c>
      <c r="E31" s="20">
        <f t="shared" si="3"/>
        <v>0.52247185600000012</v>
      </c>
      <c r="F31" s="21" t="s">
        <v>57</v>
      </c>
      <c r="G31" s="21"/>
      <c r="H31" s="21"/>
      <c r="I31" s="21"/>
      <c r="J31" s="21"/>
      <c r="K31" s="21" t="s">
        <v>57</v>
      </c>
      <c r="L31" s="21"/>
      <c r="M31" s="21"/>
      <c r="N31" s="21" t="s">
        <v>57</v>
      </c>
      <c r="O31" s="21"/>
      <c r="P31" s="21"/>
      <c r="Q31" s="21" t="s">
        <v>57</v>
      </c>
      <c r="R31" s="21"/>
      <c r="S31" s="21"/>
      <c r="T31" s="21" t="s">
        <v>57</v>
      </c>
      <c r="U31" s="21"/>
      <c r="V31" s="22"/>
      <c r="W31" s="23" t="str">
        <f t="shared" si="4"/>
        <v>OK</v>
      </c>
    </row>
    <row r="33" spans="1:22" x14ac:dyDescent="0.25">
      <c r="A33" s="54" t="s">
        <v>60</v>
      </c>
      <c r="B33" s="43"/>
      <c r="C33" s="43"/>
      <c r="D33" s="43"/>
      <c r="E33" s="43"/>
      <c r="G33" s="54" t="s">
        <v>60</v>
      </c>
      <c r="H33" s="43"/>
      <c r="I33" s="43"/>
      <c r="J33" s="43"/>
      <c r="K33" s="43"/>
    </row>
    <row r="34" spans="1:22" x14ac:dyDescent="0.25">
      <c r="A34" s="59" t="s">
        <v>61</v>
      </c>
      <c r="B34" s="43"/>
      <c r="C34" s="43"/>
      <c r="D34" s="43"/>
      <c r="E34" s="43"/>
      <c r="G34" s="59" t="s">
        <v>62</v>
      </c>
      <c r="H34" s="43"/>
      <c r="I34" s="43"/>
      <c r="J34" s="43"/>
      <c r="K34" s="43"/>
    </row>
    <row r="36" spans="1:22" x14ac:dyDescent="0.25">
      <c r="A36" s="60" t="s">
        <v>63</v>
      </c>
      <c r="B36" s="43"/>
      <c r="C36" s="43"/>
      <c r="D36" s="43"/>
      <c r="E36" s="4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53" t="s">
        <v>64</v>
      </c>
      <c r="B37" s="43"/>
      <c r="C37" s="43"/>
      <c r="D37" s="43"/>
      <c r="E37" s="43"/>
      <c r="F37" s="9">
        <f t="shared" ref="F37:U37" si="5">SUMIF(F$9:F$31,"X",$E$9:$E$31)</f>
        <v>17.978237764369997</v>
      </c>
      <c r="G37" s="9">
        <f t="shared" si="5"/>
        <v>0</v>
      </c>
      <c r="H37" s="9">
        <f t="shared" si="5"/>
        <v>0</v>
      </c>
      <c r="I37" s="9">
        <f t="shared" si="5"/>
        <v>0</v>
      </c>
      <c r="J37" s="9">
        <f t="shared" si="5"/>
        <v>0</v>
      </c>
      <c r="K37" s="9">
        <f t="shared" si="5"/>
        <v>17.978237764369997</v>
      </c>
      <c r="L37" s="9">
        <f t="shared" si="5"/>
        <v>0</v>
      </c>
      <c r="M37" s="9">
        <f t="shared" si="5"/>
        <v>2.4557659083699992</v>
      </c>
      <c r="N37" s="9">
        <f t="shared" si="5"/>
        <v>15.522471855999999</v>
      </c>
      <c r="O37" s="9">
        <f t="shared" si="5"/>
        <v>0</v>
      </c>
      <c r="P37" s="9">
        <f t="shared" si="5"/>
        <v>1.2905608613999995</v>
      </c>
      <c r="Q37" s="9">
        <f t="shared" si="5"/>
        <v>15.522471855999999</v>
      </c>
      <c r="R37" s="9">
        <f t="shared" si="5"/>
        <v>1.1652050469699999</v>
      </c>
      <c r="S37" s="9">
        <f t="shared" si="5"/>
        <v>0</v>
      </c>
      <c r="T37" s="9">
        <f t="shared" si="5"/>
        <v>17.978237764369997</v>
      </c>
      <c r="U37" s="9">
        <f t="shared" si="5"/>
        <v>0</v>
      </c>
    </row>
    <row r="38" spans="1:22" x14ac:dyDescent="0.25">
      <c r="A38" s="53" t="s">
        <v>65</v>
      </c>
      <c r="B38" s="43"/>
      <c r="C38" s="43"/>
      <c r="D38" s="43"/>
      <c r="E38" s="43"/>
      <c r="F38" s="25">
        <f t="shared" ref="F38:U38" si="6">IF($R40=0,0,F37/$R40)</f>
        <v>1</v>
      </c>
      <c r="G38" s="25">
        <f t="shared" si="6"/>
        <v>0</v>
      </c>
      <c r="H38" s="25">
        <f t="shared" si="6"/>
        <v>0</v>
      </c>
      <c r="I38" s="25">
        <f t="shared" si="6"/>
        <v>0</v>
      </c>
      <c r="J38" s="25">
        <f t="shared" si="6"/>
        <v>0</v>
      </c>
      <c r="K38" s="25">
        <f t="shared" si="6"/>
        <v>1</v>
      </c>
      <c r="L38" s="25">
        <f t="shared" si="6"/>
        <v>0</v>
      </c>
      <c r="M38" s="25">
        <f t="shared" si="6"/>
        <v>0.13659658641498978</v>
      </c>
      <c r="N38" s="25">
        <f t="shared" si="6"/>
        <v>0.86340341358501027</v>
      </c>
      <c r="O38" s="25">
        <f t="shared" si="6"/>
        <v>0</v>
      </c>
      <c r="P38" s="25">
        <f t="shared" si="6"/>
        <v>7.1784614171567229E-2</v>
      </c>
      <c r="Q38" s="25">
        <f t="shared" si="6"/>
        <v>0.86340341358501027</v>
      </c>
      <c r="R38" s="25">
        <f t="shared" si="6"/>
        <v>6.4811972243422583E-2</v>
      </c>
      <c r="S38" s="25">
        <f t="shared" si="6"/>
        <v>0</v>
      </c>
      <c r="T38" s="25">
        <f t="shared" si="6"/>
        <v>1</v>
      </c>
      <c r="U38" s="25">
        <f t="shared" si="6"/>
        <v>0</v>
      </c>
    </row>
    <row r="39" spans="1:22" x14ac:dyDescent="0.25">
      <c r="A39" s="53" t="s">
        <v>66</v>
      </c>
      <c r="B39" s="43"/>
      <c r="C39" s="43"/>
      <c r="D39" s="43"/>
      <c r="E39" s="43"/>
      <c r="F39" s="51" t="str">
        <f>IF(SUM(F37:J37)=0,"— não preenchido",IF(ROUND(SUM(F37:J37)-$R40,3)=0,"OK — "&amp;ROUND(SUM(F37:J37),3)&amp;" km","ERRO — dif. de "&amp;ROUND(SUM(F37:J37)-$R40,3)&amp;" km"))</f>
        <v>OK — 17,978 km</v>
      </c>
      <c r="G39" s="47"/>
      <c r="H39" s="47"/>
      <c r="I39" s="47"/>
      <c r="J39" s="45"/>
      <c r="K39" s="51" t="str">
        <f>IF(SUM(K37:L37)=0,"— não preenchido",IF(ROUND(SUM(K37:L37)-$R40,3)=0,"OK — "&amp;ROUND(SUM(K37:L37),3)&amp;" km","ERRO — dif. de "&amp;ROUND(SUM(K37:L37)-$R40,3)&amp;" km"))</f>
        <v>OK — 17,978 km</v>
      </c>
      <c r="L39" s="45"/>
      <c r="M39" s="51" t="str">
        <f>IF(SUM(M37:O37)=0,"— não preenchido",IF(ROUND(SUM(M37:O37)-$R40,3)=0,"OK — "&amp;ROUND(SUM(M37:O37),3)&amp;" km","ERRO — dif. de "&amp;ROUND(SUM(M37:O37)-$R40,3)&amp;" km"))</f>
        <v>OK — 17,978 km</v>
      </c>
      <c r="N39" s="47"/>
      <c r="O39" s="45"/>
      <c r="P39" s="51" t="str">
        <f>IF(SUM(P37:R37)=0,"— não preenchido",IF(ROUND(SUM(P37:R37)-$R40,3)=0,"OK — "&amp;ROUND(SUM(P37:R37),3)&amp;" km","ERRO — dif. de "&amp;ROUND(SUM(P37:R37)-$R40,3)&amp;" km"))</f>
        <v>OK — 17,978 km</v>
      </c>
      <c r="Q39" s="47"/>
      <c r="R39" s="45"/>
      <c r="S39" s="51" t="str">
        <f>IF(SUM(S37:U37)=0,"— não preenchido",IF(ROUND(SUM(S37:U37)-$R40,3)=0,"OK — "&amp;ROUND(SUM(S37:U37),3)&amp;" km","ERRO — dif. de "&amp;ROUND(SUM(S37:U37)-$R40,3)&amp;" km"))</f>
        <v>OK — 17,978 km</v>
      </c>
      <c r="T39" s="47"/>
      <c r="U39" s="45"/>
    </row>
    <row r="40" spans="1:22" x14ac:dyDescent="0.25">
      <c r="A40" s="53" t="s">
        <v>67</v>
      </c>
      <c r="B40" s="43"/>
      <c r="C40" s="43"/>
      <c r="D40" s="43"/>
      <c r="E40" s="43"/>
      <c r="R40" s="26">
        <f>SUM(E9:E31)</f>
        <v>17.978237764369997</v>
      </c>
      <c r="V40" s="8" t="str">
        <f>COUNTIF(W9:W31,"OK")&amp;" de "&amp;COUNT($E$9:$E$31)&amp;" linhas conferidas"</f>
        <v>20 de 20 linhas conferidas</v>
      </c>
    </row>
    <row r="42" spans="1:22" x14ac:dyDescent="0.25">
      <c r="A42" s="55" t="s">
        <v>68</v>
      </c>
      <c r="B42" s="43"/>
      <c r="C42" s="43"/>
      <c r="D42" s="43"/>
      <c r="E42" s="43"/>
    </row>
    <row r="43" spans="1:22" x14ac:dyDescent="0.25">
      <c r="A43" s="53" t="s">
        <v>69</v>
      </c>
      <c r="B43" s="43"/>
      <c r="C43" s="43"/>
      <c r="D43" s="43"/>
      <c r="E43" s="61" t="s">
        <v>70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x14ac:dyDescent="0.25">
      <c r="A44" s="53" t="s">
        <v>71</v>
      </c>
      <c r="B44" s="43"/>
      <c r="C44" s="43"/>
      <c r="D44" s="43"/>
      <c r="E44" s="61" t="s">
        <v>72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 x14ac:dyDescent="0.25">
      <c r="A45" s="53" t="s">
        <v>73</v>
      </c>
      <c r="B45" s="43"/>
      <c r="C45" s="43"/>
      <c r="D45" s="43"/>
      <c r="E45" s="61" t="s">
        <v>74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spans="1:22" x14ac:dyDescent="0.25">
      <c r="A46" s="53" t="s">
        <v>75</v>
      </c>
      <c r="B46" s="43"/>
      <c r="C46" s="43"/>
      <c r="D46" s="43"/>
      <c r="E46" s="61" t="s">
        <v>76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spans="1:22" x14ac:dyDescent="0.25">
      <c r="A47" s="53" t="s">
        <v>77</v>
      </c>
      <c r="B47" s="43"/>
      <c r="C47" s="43"/>
      <c r="D47" s="43"/>
      <c r="E47" s="61" t="s">
        <v>78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spans="1:22" x14ac:dyDescent="0.25">
      <c r="A48" s="53" t="s">
        <v>48</v>
      </c>
      <c r="B48" s="43"/>
      <c r="C48" s="43"/>
      <c r="D48" s="43"/>
      <c r="E48" s="61" t="s">
        <v>79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spans="1:22" x14ac:dyDescent="0.25">
      <c r="A49" s="53" t="s">
        <v>80</v>
      </c>
      <c r="B49" s="43"/>
      <c r="C49" s="43"/>
      <c r="D49" s="43"/>
      <c r="E49" s="61" t="s">
        <v>81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 x14ac:dyDescent="0.25">
      <c r="A50" s="53" t="s">
        <v>82</v>
      </c>
      <c r="B50" s="43"/>
      <c r="C50" s="43"/>
      <c r="D50" s="43"/>
      <c r="E50" s="61" t="s">
        <v>83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2" x14ac:dyDescent="0.25">
      <c r="A51" s="53" t="s">
        <v>11</v>
      </c>
      <c r="B51" s="43"/>
      <c r="C51" s="43"/>
      <c r="D51" s="43"/>
      <c r="E51" s="61" t="s">
        <v>84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</sheetData>
  <sheetProtection formatCells="0"/>
  <mergeCells count="60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24:V24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E51:V51"/>
    <mergeCell ref="A49:D49"/>
    <mergeCell ref="A48:D48"/>
    <mergeCell ref="W6:W7"/>
    <mergeCell ref="A37:E37"/>
    <mergeCell ref="E6:E7"/>
    <mergeCell ref="E45:V45"/>
    <mergeCell ref="P39:R39"/>
    <mergeCell ref="M6:O6"/>
    <mergeCell ref="V6:V7"/>
    <mergeCell ref="A43:D43"/>
    <mergeCell ref="A36:E36"/>
    <mergeCell ref="F6:J6"/>
    <mergeCell ref="A6:A7"/>
    <mergeCell ref="A8:V8"/>
    <mergeCell ref="A4:V4"/>
    <mergeCell ref="N2:O2"/>
    <mergeCell ref="E46:V46"/>
    <mergeCell ref="E49:V49"/>
    <mergeCell ref="P2:Q2"/>
    <mergeCell ref="A47:D47"/>
    <mergeCell ref="A44:D44"/>
    <mergeCell ref="A2:F2"/>
    <mergeCell ref="S6:U6"/>
    <mergeCell ref="K2:M2"/>
    <mergeCell ref="A39:E39"/>
    <mergeCell ref="A34:E34"/>
    <mergeCell ref="E44:V44"/>
    <mergeCell ref="G2:H2"/>
    <mergeCell ref="I2:J2"/>
    <mergeCell ref="A23:V23"/>
  </mergeCells>
  <conditionalFormatting sqref="F9:J31">
    <cfRule type="expression" dxfId="71" priority="1">
      <formula>AND(F9&lt;&gt;"",COUNTIF($F9:$J9,"X")&gt;1)</formula>
    </cfRule>
  </conditionalFormatting>
  <conditionalFormatting sqref="F39:U39">
    <cfRule type="expression" dxfId="70" priority="8">
      <formula>LEFT(F39,4)="ERRO"</formula>
    </cfRule>
    <cfRule type="expression" dxfId="69" priority="9">
      <formula>LEFT(F39,2)="OK"</formula>
    </cfRule>
  </conditionalFormatting>
  <conditionalFormatting sqref="K9:L31">
    <cfRule type="expression" dxfId="68" priority="2">
      <formula>AND(K9&lt;&gt;"",COUNTIF($K9:$L9,"X")&gt;1)</formula>
    </cfRule>
  </conditionalFormatting>
  <conditionalFormatting sqref="M9:O31">
    <cfRule type="expression" dxfId="67" priority="3">
      <formula>AND(M9&lt;&gt;"",COUNTIF($M9:$O9,"X")&gt;1)</formula>
    </cfRule>
  </conditionalFormatting>
  <conditionalFormatting sqref="P9:R31">
    <cfRule type="expression" dxfId="66" priority="4">
      <formula>AND(P9&lt;&gt;"",COUNTIF($P9:$R9,"X")&gt;1)</formula>
    </cfRule>
  </conditionalFormatting>
  <conditionalFormatting sqref="S9:U31">
    <cfRule type="expression" dxfId="65" priority="5">
      <formula>AND(S9&lt;&gt;"",COUNTIF($S9:$U9,"X")&gt;1)</formula>
    </cfRule>
  </conditionalFormatting>
  <conditionalFormatting sqref="W9:W31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254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  <pageSetUpPr fitToPage="1"/>
  </sheetPr>
  <dimension ref="A1:AN86"/>
  <sheetViews>
    <sheetView showGridLines="0" workbookViewId="0">
      <pane xSplit="5" ySplit="7" topLeftCell="F52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IF(F72=0,NA(),F72)</f>
        <v>10</v>
      </c>
      <c r="Z2" s="2">
        <f t="shared" si="0"/>
        <v>42.452308968700002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57.452308968700002</v>
      </c>
      <c r="AE2" s="2" t="e">
        <f t="shared" si="0"/>
        <v>#N/A</v>
      </c>
      <c r="AF2" s="2">
        <f t="shared" si="0"/>
        <v>8</v>
      </c>
      <c r="AG2" s="2">
        <f t="shared" si="0"/>
        <v>49.452308968700002</v>
      </c>
      <c r="AH2" s="2" t="e">
        <f t="shared" si="0"/>
        <v>#N/A</v>
      </c>
      <c r="AI2" s="2">
        <f t="shared" si="0"/>
        <v>57.452308968700002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57.452308968700002</v>
      </c>
      <c r="AN2" s="2" t="e">
        <f t="shared" si="0"/>
        <v>#N/A</v>
      </c>
    </row>
    <row r="3" spans="1:40" ht="15" customHeight="1" x14ac:dyDescent="0.25">
      <c r="A3" s="64" t="s">
        <v>157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158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159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160</v>
      </c>
      <c r="B9" s="13" t="s">
        <v>56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 t="s">
        <v>57</v>
      </c>
      <c r="Q9" s="15"/>
      <c r="R9" s="15"/>
      <c r="S9" s="15"/>
      <c r="T9" s="15" t="s">
        <v>57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160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 t="s">
        <v>57</v>
      </c>
      <c r="N10" s="15"/>
      <c r="O10" s="15"/>
      <c r="P10" s="15" t="s">
        <v>57</v>
      </c>
      <c r="Q10" s="15"/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160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 t="s">
        <v>57</v>
      </c>
      <c r="N11" s="15"/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160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 t="s">
        <v>57</v>
      </c>
      <c r="N12" s="15"/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160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160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 t="s">
        <v>57</v>
      </c>
      <c r="N14" s="15"/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160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 t="s">
        <v>57</v>
      </c>
      <c r="N15" s="15"/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160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/>
      <c r="G16" s="15" t="s">
        <v>57</v>
      </c>
      <c r="H16" s="15"/>
      <c r="I16" s="15"/>
      <c r="J16" s="15"/>
      <c r="K16" s="15" t="s">
        <v>57</v>
      </c>
      <c r="L16" s="15"/>
      <c r="M16" s="15" t="s">
        <v>57</v>
      </c>
      <c r="N16" s="15"/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160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/>
      <c r="G17" s="15" t="s">
        <v>57</v>
      </c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160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160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160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160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160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160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160</v>
      </c>
      <c r="B24" s="13" t="s">
        <v>56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57</v>
      </c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160</v>
      </c>
      <c r="B25" s="13" t="s">
        <v>56</v>
      </c>
      <c r="C25" s="14">
        <v>16</v>
      </c>
      <c r="D25" s="14">
        <v>17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160</v>
      </c>
      <c r="B26" s="13" t="s">
        <v>56</v>
      </c>
      <c r="C26" s="14">
        <v>17</v>
      </c>
      <c r="D26" s="14">
        <v>18</v>
      </c>
      <c r="E26" s="14">
        <f t="shared" si="1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160</v>
      </c>
      <c r="B27" s="13" t="s">
        <v>56</v>
      </c>
      <c r="C27" s="14">
        <v>18</v>
      </c>
      <c r="D27" s="14">
        <v>19</v>
      </c>
      <c r="E27" s="14">
        <f t="shared" si="1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 t="s">
        <v>57</v>
      </c>
      <c r="Q27" s="15"/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160</v>
      </c>
      <c r="B28" s="13" t="s">
        <v>56</v>
      </c>
      <c r="C28" s="14">
        <v>19</v>
      </c>
      <c r="D28" s="14">
        <v>20</v>
      </c>
      <c r="E28" s="14">
        <f t="shared" si="1"/>
        <v>1</v>
      </c>
      <c r="F28" s="15"/>
      <c r="G28" s="15" t="s">
        <v>57</v>
      </c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160</v>
      </c>
      <c r="B29" s="13" t="s">
        <v>56</v>
      </c>
      <c r="C29" s="14">
        <v>20</v>
      </c>
      <c r="D29" s="14">
        <v>21</v>
      </c>
      <c r="E29" s="14">
        <f t="shared" si="1"/>
        <v>1</v>
      </c>
      <c r="F29" s="15"/>
      <c r="G29" s="15" t="s">
        <v>57</v>
      </c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160</v>
      </c>
      <c r="B30" s="13" t="s">
        <v>56</v>
      </c>
      <c r="C30" s="14">
        <v>21</v>
      </c>
      <c r="D30" s="14">
        <v>22</v>
      </c>
      <c r="E30" s="14">
        <f t="shared" si="1"/>
        <v>1</v>
      </c>
      <c r="F30" s="15"/>
      <c r="G30" s="15" t="s">
        <v>57</v>
      </c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160</v>
      </c>
      <c r="B31" s="13" t="s">
        <v>56</v>
      </c>
      <c r="C31" s="14">
        <v>22</v>
      </c>
      <c r="D31" s="14">
        <v>23</v>
      </c>
      <c r="E31" s="14">
        <f t="shared" si="1"/>
        <v>1</v>
      </c>
      <c r="F31" s="15"/>
      <c r="G31" s="15" t="s">
        <v>57</v>
      </c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160</v>
      </c>
      <c r="B32" s="13" t="s">
        <v>56</v>
      </c>
      <c r="C32" s="14">
        <v>23</v>
      </c>
      <c r="D32" s="14">
        <v>24</v>
      </c>
      <c r="E32" s="14">
        <f t="shared" si="1"/>
        <v>1</v>
      </c>
      <c r="F32" s="15"/>
      <c r="G32" s="15" t="s">
        <v>57</v>
      </c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160</v>
      </c>
      <c r="B33" s="13" t="s">
        <v>56</v>
      </c>
      <c r="C33" s="14">
        <v>24</v>
      </c>
      <c r="D33" s="14">
        <v>25</v>
      </c>
      <c r="E33" s="14">
        <f t="shared" si="1"/>
        <v>1</v>
      </c>
      <c r="F33" s="15"/>
      <c r="G33" s="15" t="s">
        <v>57</v>
      </c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160</v>
      </c>
      <c r="B34" s="13" t="s">
        <v>56</v>
      </c>
      <c r="C34" s="14">
        <v>25</v>
      </c>
      <c r="D34" s="14">
        <v>26</v>
      </c>
      <c r="E34" s="14">
        <f t="shared" si="1"/>
        <v>1</v>
      </c>
      <c r="F34" s="15"/>
      <c r="G34" s="15" t="s">
        <v>57</v>
      </c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160</v>
      </c>
      <c r="B35" s="13" t="s">
        <v>56</v>
      </c>
      <c r="C35" s="14">
        <v>26</v>
      </c>
      <c r="D35" s="14">
        <v>27</v>
      </c>
      <c r="E35" s="14">
        <f t="shared" si="1"/>
        <v>1</v>
      </c>
      <c r="F35" s="15"/>
      <c r="G35" s="15" t="s">
        <v>57</v>
      </c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160</v>
      </c>
      <c r="B36" s="13" t="s">
        <v>56</v>
      </c>
      <c r="C36" s="14">
        <v>27</v>
      </c>
      <c r="D36" s="14">
        <v>28</v>
      </c>
      <c r="E36" s="14">
        <f t="shared" si="1"/>
        <v>1</v>
      </c>
      <c r="F36" s="15"/>
      <c r="G36" s="15" t="s">
        <v>57</v>
      </c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160</v>
      </c>
      <c r="B37" s="13" t="s">
        <v>56</v>
      </c>
      <c r="C37" s="14">
        <v>28</v>
      </c>
      <c r="D37" s="14">
        <v>29</v>
      </c>
      <c r="E37" s="14">
        <f t="shared" si="1"/>
        <v>1</v>
      </c>
      <c r="F37" s="15"/>
      <c r="G37" s="15" t="s">
        <v>57</v>
      </c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160</v>
      </c>
      <c r="B38" s="13" t="s">
        <v>56</v>
      </c>
      <c r="C38" s="14">
        <v>29</v>
      </c>
      <c r="D38" s="14">
        <v>30</v>
      </c>
      <c r="E38" s="14">
        <f t="shared" si="1"/>
        <v>1</v>
      </c>
      <c r="F38" s="15"/>
      <c r="G38" s="15" t="s">
        <v>57</v>
      </c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160</v>
      </c>
      <c r="B39" s="13" t="s">
        <v>56</v>
      </c>
      <c r="C39" s="14">
        <v>30</v>
      </c>
      <c r="D39" s="14">
        <v>31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160</v>
      </c>
      <c r="B40" s="13" t="s">
        <v>56</v>
      </c>
      <c r="C40" s="14">
        <v>31</v>
      </c>
      <c r="D40" s="14">
        <v>32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160</v>
      </c>
      <c r="B41" s="13" t="s">
        <v>56</v>
      </c>
      <c r="C41" s="14">
        <v>32</v>
      </c>
      <c r="D41" s="14">
        <v>33</v>
      </c>
      <c r="E41" s="14">
        <f t="shared" ref="E41:E66" si="3">D41-C41</f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ref="W41:W66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160</v>
      </c>
      <c r="B42" s="13" t="s">
        <v>56</v>
      </c>
      <c r="C42" s="14">
        <v>33</v>
      </c>
      <c r="D42" s="14">
        <v>34</v>
      </c>
      <c r="E42" s="14">
        <f t="shared" si="3"/>
        <v>1</v>
      </c>
      <c r="F42" s="15"/>
      <c r="G42" s="15" t="s">
        <v>57</v>
      </c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160</v>
      </c>
      <c r="B43" s="13" t="s">
        <v>56</v>
      </c>
      <c r="C43" s="14">
        <v>34</v>
      </c>
      <c r="D43" s="14">
        <v>35</v>
      </c>
      <c r="E43" s="14">
        <f t="shared" si="3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160</v>
      </c>
      <c r="B44" s="13" t="s">
        <v>56</v>
      </c>
      <c r="C44" s="14">
        <v>35</v>
      </c>
      <c r="D44" s="14">
        <v>36</v>
      </c>
      <c r="E44" s="14">
        <f t="shared" si="3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160</v>
      </c>
      <c r="B45" s="13" t="s">
        <v>56</v>
      </c>
      <c r="C45" s="14">
        <v>36</v>
      </c>
      <c r="D45" s="14">
        <v>37</v>
      </c>
      <c r="E45" s="14">
        <f t="shared" si="3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160</v>
      </c>
      <c r="B46" s="13" t="s">
        <v>56</v>
      </c>
      <c r="C46" s="14">
        <v>37</v>
      </c>
      <c r="D46" s="14">
        <v>38</v>
      </c>
      <c r="E46" s="14">
        <f t="shared" si="3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160</v>
      </c>
      <c r="B47" s="13" t="s">
        <v>56</v>
      </c>
      <c r="C47" s="14">
        <v>38</v>
      </c>
      <c r="D47" s="14">
        <v>39</v>
      </c>
      <c r="E47" s="14">
        <f t="shared" si="3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160</v>
      </c>
      <c r="B48" s="13" t="s">
        <v>56</v>
      </c>
      <c r="C48" s="14">
        <v>39</v>
      </c>
      <c r="D48" s="14">
        <v>40</v>
      </c>
      <c r="E48" s="14">
        <f t="shared" si="3"/>
        <v>1</v>
      </c>
      <c r="F48" s="15"/>
      <c r="G48" s="15" t="s">
        <v>57</v>
      </c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 t="s">
        <v>57</v>
      </c>
      <c r="Q48" s="15"/>
      <c r="R48" s="15"/>
      <c r="S48" s="15"/>
      <c r="T48" s="15" t="s">
        <v>57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160</v>
      </c>
      <c r="B49" s="13" t="s">
        <v>56</v>
      </c>
      <c r="C49" s="14">
        <v>40</v>
      </c>
      <c r="D49" s="14">
        <v>41</v>
      </c>
      <c r="E49" s="14">
        <f t="shared" si="3"/>
        <v>1</v>
      </c>
      <c r="F49" s="15"/>
      <c r="G49" s="15" t="s">
        <v>57</v>
      </c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 t="s">
        <v>57</v>
      </c>
      <c r="Q49" s="15"/>
      <c r="R49" s="15"/>
      <c r="S49" s="15"/>
      <c r="T49" s="15" t="s">
        <v>57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160</v>
      </c>
      <c r="B50" s="13" t="s">
        <v>56</v>
      </c>
      <c r="C50" s="14">
        <v>41</v>
      </c>
      <c r="D50" s="14">
        <v>42</v>
      </c>
      <c r="E50" s="14">
        <f t="shared" si="3"/>
        <v>1</v>
      </c>
      <c r="F50" s="15"/>
      <c r="G50" s="15" t="s">
        <v>57</v>
      </c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 t="s">
        <v>57</v>
      </c>
      <c r="Q50" s="15"/>
      <c r="R50" s="15"/>
      <c r="S50" s="15"/>
      <c r="T50" s="15" t="s">
        <v>57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160</v>
      </c>
      <c r="B51" s="13" t="s">
        <v>56</v>
      </c>
      <c r="C51" s="14">
        <v>42</v>
      </c>
      <c r="D51" s="14">
        <v>43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 t="s">
        <v>57</v>
      </c>
      <c r="Q51" s="15"/>
      <c r="R51" s="15"/>
      <c r="S51" s="15"/>
      <c r="T51" s="15" t="s">
        <v>57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160</v>
      </c>
      <c r="B52" s="13" t="s">
        <v>56</v>
      </c>
      <c r="C52" s="14">
        <v>43</v>
      </c>
      <c r="D52" s="14">
        <v>44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 t="s">
        <v>57</v>
      </c>
      <c r="Q52" s="15"/>
      <c r="R52" s="15"/>
      <c r="S52" s="15"/>
      <c r="T52" s="15" t="s">
        <v>57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160</v>
      </c>
      <c r="B53" s="13" t="s">
        <v>56</v>
      </c>
      <c r="C53" s="14">
        <v>44</v>
      </c>
      <c r="D53" s="14">
        <v>45</v>
      </c>
      <c r="E53" s="14">
        <f t="shared" si="3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 t="s">
        <v>57</v>
      </c>
      <c r="Q53" s="15"/>
      <c r="R53" s="15"/>
      <c r="S53" s="15"/>
      <c r="T53" s="15" t="s">
        <v>57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160</v>
      </c>
      <c r="B54" s="13" t="s">
        <v>56</v>
      </c>
      <c r="C54" s="14">
        <v>45</v>
      </c>
      <c r="D54" s="14">
        <v>46</v>
      </c>
      <c r="E54" s="14">
        <f t="shared" si="3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 t="s">
        <v>57</v>
      </c>
      <c r="Q54" s="15"/>
      <c r="R54" s="15"/>
      <c r="S54" s="15"/>
      <c r="T54" s="15" t="s">
        <v>57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160</v>
      </c>
      <c r="B55" s="13" t="s">
        <v>56</v>
      </c>
      <c r="C55" s="14">
        <v>46</v>
      </c>
      <c r="D55" s="14">
        <v>47</v>
      </c>
      <c r="E55" s="14">
        <f t="shared" si="3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 t="s">
        <v>57</v>
      </c>
      <c r="Q55" s="15"/>
      <c r="R55" s="15"/>
      <c r="S55" s="15"/>
      <c r="T55" s="15" t="s">
        <v>57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160</v>
      </c>
      <c r="B56" s="13" t="s">
        <v>56</v>
      </c>
      <c r="C56" s="14">
        <v>47</v>
      </c>
      <c r="D56" s="14">
        <v>48</v>
      </c>
      <c r="E56" s="14">
        <f t="shared" si="3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 t="s">
        <v>57</v>
      </c>
      <c r="Q56" s="15"/>
      <c r="R56" s="15"/>
      <c r="S56" s="15"/>
      <c r="T56" s="15" t="s">
        <v>57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160</v>
      </c>
      <c r="B57" s="13" t="s">
        <v>56</v>
      </c>
      <c r="C57" s="14">
        <v>48</v>
      </c>
      <c r="D57" s="14">
        <v>49</v>
      </c>
      <c r="E57" s="14">
        <f t="shared" si="3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 t="s">
        <v>57</v>
      </c>
      <c r="Q57" s="15"/>
      <c r="R57" s="15"/>
      <c r="S57" s="15"/>
      <c r="T57" s="15" t="s">
        <v>57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160</v>
      </c>
      <c r="B58" s="13" t="s">
        <v>56</v>
      </c>
      <c r="C58" s="14">
        <v>49</v>
      </c>
      <c r="D58" s="14">
        <v>50</v>
      </c>
      <c r="E58" s="14">
        <f t="shared" si="3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 t="s">
        <v>57</v>
      </c>
      <c r="Q58" s="15"/>
      <c r="R58" s="15"/>
      <c r="S58" s="15"/>
      <c r="T58" s="15" t="s">
        <v>57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160</v>
      </c>
      <c r="B59" s="13" t="s">
        <v>56</v>
      </c>
      <c r="C59" s="14">
        <v>50</v>
      </c>
      <c r="D59" s="14">
        <v>51</v>
      </c>
      <c r="E59" s="14">
        <f t="shared" si="3"/>
        <v>1</v>
      </c>
      <c r="F59" s="15" t="s">
        <v>57</v>
      </c>
      <c r="G59" s="15"/>
      <c r="H59" s="15"/>
      <c r="I59" s="15"/>
      <c r="J59" s="15"/>
      <c r="K59" s="15" t="s">
        <v>57</v>
      </c>
      <c r="L59" s="15"/>
      <c r="M59" s="15"/>
      <c r="N59" s="15" t="s">
        <v>57</v>
      </c>
      <c r="O59" s="15"/>
      <c r="P59" s="15" t="s">
        <v>57</v>
      </c>
      <c r="Q59" s="15"/>
      <c r="R59" s="15"/>
      <c r="S59" s="15"/>
      <c r="T59" s="15" t="s">
        <v>57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160</v>
      </c>
      <c r="B60" s="13" t="s">
        <v>56</v>
      </c>
      <c r="C60" s="14">
        <v>51</v>
      </c>
      <c r="D60" s="14">
        <v>52</v>
      </c>
      <c r="E60" s="14">
        <f t="shared" si="3"/>
        <v>1</v>
      </c>
      <c r="F60" s="15" t="s">
        <v>57</v>
      </c>
      <c r="G60" s="15"/>
      <c r="H60" s="15"/>
      <c r="I60" s="15"/>
      <c r="J60" s="15"/>
      <c r="K60" s="15" t="s">
        <v>57</v>
      </c>
      <c r="L60" s="15"/>
      <c r="M60" s="15"/>
      <c r="N60" s="15" t="s">
        <v>57</v>
      </c>
      <c r="O60" s="15"/>
      <c r="P60" s="15" t="s">
        <v>57</v>
      </c>
      <c r="Q60" s="15"/>
      <c r="R60" s="15"/>
      <c r="S60" s="15"/>
      <c r="T60" s="15" t="s">
        <v>57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160</v>
      </c>
      <c r="B61" s="13" t="s">
        <v>56</v>
      </c>
      <c r="C61" s="14">
        <v>52</v>
      </c>
      <c r="D61" s="14">
        <v>53</v>
      </c>
      <c r="E61" s="14">
        <f t="shared" si="3"/>
        <v>1</v>
      </c>
      <c r="F61" s="15"/>
      <c r="G61" s="15" t="s">
        <v>57</v>
      </c>
      <c r="H61" s="15"/>
      <c r="I61" s="15"/>
      <c r="J61" s="15"/>
      <c r="K61" s="15" t="s">
        <v>57</v>
      </c>
      <c r="L61" s="15"/>
      <c r="M61" s="15"/>
      <c r="N61" s="15" t="s">
        <v>57</v>
      </c>
      <c r="O61" s="15"/>
      <c r="P61" s="15" t="s">
        <v>57</v>
      </c>
      <c r="Q61" s="15"/>
      <c r="R61" s="15"/>
      <c r="S61" s="15"/>
      <c r="T61" s="15" t="s">
        <v>57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160</v>
      </c>
      <c r="B62" s="13" t="s">
        <v>56</v>
      </c>
      <c r="C62" s="14">
        <v>53</v>
      </c>
      <c r="D62" s="14">
        <v>54</v>
      </c>
      <c r="E62" s="14">
        <f t="shared" si="3"/>
        <v>1</v>
      </c>
      <c r="F62" s="15"/>
      <c r="G62" s="15" t="s">
        <v>57</v>
      </c>
      <c r="H62" s="15"/>
      <c r="I62" s="15"/>
      <c r="J62" s="15"/>
      <c r="K62" s="15" t="s">
        <v>57</v>
      </c>
      <c r="L62" s="15"/>
      <c r="M62" s="15"/>
      <c r="N62" s="15" t="s">
        <v>57</v>
      </c>
      <c r="O62" s="15"/>
      <c r="P62" s="15" t="s">
        <v>57</v>
      </c>
      <c r="Q62" s="15"/>
      <c r="R62" s="15"/>
      <c r="S62" s="15"/>
      <c r="T62" s="15" t="s">
        <v>57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160</v>
      </c>
      <c r="B63" s="13" t="s">
        <v>56</v>
      </c>
      <c r="C63" s="14">
        <v>54</v>
      </c>
      <c r="D63" s="14">
        <v>55</v>
      </c>
      <c r="E63" s="14">
        <f t="shared" si="3"/>
        <v>1</v>
      </c>
      <c r="F63" s="15"/>
      <c r="G63" s="15" t="s">
        <v>57</v>
      </c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 t="s">
        <v>57</v>
      </c>
      <c r="Q63" s="15"/>
      <c r="R63" s="15"/>
      <c r="S63" s="15"/>
      <c r="T63" s="15" t="s">
        <v>57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160</v>
      </c>
      <c r="B64" s="13" t="s">
        <v>56</v>
      </c>
      <c r="C64" s="14">
        <v>55</v>
      </c>
      <c r="D64" s="14">
        <v>56</v>
      </c>
      <c r="E64" s="14">
        <f t="shared" si="3"/>
        <v>1</v>
      </c>
      <c r="F64" s="15"/>
      <c r="G64" s="15" t="s">
        <v>57</v>
      </c>
      <c r="H64" s="15"/>
      <c r="I64" s="15"/>
      <c r="J64" s="15"/>
      <c r="K64" s="15" t="s">
        <v>57</v>
      </c>
      <c r="L64" s="15"/>
      <c r="M64" s="15"/>
      <c r="N64" s="15" t="s">
        <v>57</v>
      </c>
      <c r="O64" s="15"/>
      <c r="P64" s="15" t="s">
        <v>57</v>
      </c>
      <c r="Q64" s="15"/>
      <c r="R64" s="15"/>
      <c r="S64" s="15"/>
      <c r="T64" s="15" t="s">
        <v>57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160</v>
      </c>
      <c r="B65" s="13" t="s">
        <v>56</v>
      </c>
      <c r="C65" s="14">
        <v>56</v>
      </c>
      <c r="D65" s="14">
        <v>57</v>
      </c>
      <c r="E65" s="14">
        <f t="shared" si="3"/>
        <v>1</v>
      </c>
      <c r="F65" s="15"/>
      <c r="G65" s="15" t="s">
        <v>57</v>
      </c>
      <c r="H65" s="15"/>
      <c r="I65" s="15"/>
      <c r="J65" s="15"/>
      <c r="K65" s="15" t="s">
        <v>57</v>
      </c>
      <c r="L65" s="15"/>
      <c r="M65" s="15"/>
      <c r="N65" s="15" t="s">
        <v>57</v>
      </c>
      <c r="O65" s="15"/>
      <c r="P65" s="15" t="s">
        <v>57</v>
      </c>
      <c r="Q65" s="15"/>
      <c r="R65" s="15"/>
      <c r="S65" s="15"/>
      <c r="T65" s="15" t="s">
        <v>57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160</v>
      </c>
      <c r="B66" s="19" t="s">
        <v>56</v>
      </c>
      <c r="C66" s="20">
        <v>57</v>
      </c>
      <c r="D66" s="20">
        <v>57.452308968700002</v>
      </c>
      <c r="E66" s="20">
        <f t="shared" si="3"/>
        <v>0.45230896870000237</v>
      </c>
      <c r="F66" s="21"/>
      <c r="G66" s="21" t="s">
        <v>57</v>
      </c>
      <c r="H66" s="21"/>
      <c r="I66" s="21"/>
      <c r="J66" s="21"/>
      <c r="K66" s="21" t="s">
        <v>57</v>
      </c>
      <c r="L66" s="21"/>
      <c r="M66" s="21"/>
      <c r="N66" s="21" t="s">
        <v>57</v>
      </c>
      <c r="O66" s="21"/>
      <c r="P66" s="21" t="s">
        <v>57</v>
      </c>
      <c r="Q66" s="21"/>
      <c r="R66" s="21"/>
      <c r="S66" s="21"/>
      <c r="T66" s="21" t="s">
        <v>57</v>
      </c>
      <c r="U66" s="21"/>
      <c r="V66" s="22"/>
      <c r="W66" s="23" t="str">
        <f t="shared" si="4"/>
        <v>OK</v>
      </c>
    </row>
    <row r="68" spans="1:23" x14ac:dyDescent="0.25">
      <c r="A68" s="54" t="s">
        <v>60</v>
      </c>
      <c r="B68" s="43"/>
      <c r="C68" s="43"/>
      <c r="D68" s="43"/>
      <c r="E68" s="43"/>
      <c r="G68" s="54" t="s">
        <v>60</v>
      </c>
      <c r="H68" s="43"/>
      <c r="I68" s="43"/>
      <c r="J68" s="43"/>
      <c r="K68" s="43"/>
    </row>
    <row r="69" spans="1:23" x14ac:dyDescent="0.25">
      <c r="A69" s="59" t="s">
        <v>61</v>
      </c>
      <c r="B69" s="43"/>
      <c r="C69" s="43"/>
      <c r="D69" s="43"/>
      <c r="E69" s="43"/>
      <c r="G69" s="59" t="s">
        <v>62</v>
      </c>
      <c r="H69" s="43"/>
      <c r="I69" s="43"/>
      <c r="J69" s="43"/>
      <c r="K69" s="43"/>
    </row>
    <row r="71" spans="1:23" x14ac:dyDescent="0.25">
      <c r="A71" s="60" t="s">
        <v>63</v>
      </c>
      <c r="B71" s="43"/>
      <c r="C71" s="43"/>
      <c r="D71" s="43"/>
      <c r="E71" s="4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3" x14ac:dyDescent="0.25">
      <c r="A72" s="53" t="s">
        <v>64</v>
      </c>
      <c r="B72" s="43"/>
      <c r="C72" s="43"/>
      <c r="D72" s="43"/>
      <c r="E72" s="43"/>
      <c r="F72" s="9">
        <f t="shared" ref="F72:U72" si="5">SUMIF(F$9:F$66,"X",$E$9:$E$66)</f>
        <v>10</v>
      </c>
      <c r="G72" s="9">
        <f t="shared" si="5"/>
        <v>42.452308968700002</v>
      </c>
      <c r="H72" s="9">
        <f t="shared" si="5"/>
        <v>5</v>
      </c>
      <c r="I72" s="9">
        <f t="shared" si="5"/>
        <v>0</v>
      </c>
      <c r="J72" s="9">
        <f t="shared" si="5"/>
        <v>0</v>
      </c>
      <c r="K72" s="9">
        <f t="shared" si="5"/>
        <v>57.452308968700002</v>
      </c>
      <c r="L72" s="9">
        <f t="shared" si="5"/>
        <v>0</v>
      </c>
      <c r="M72" s="9">
        <f t="shared" si="5"/>
        <v>8</v>
      </c>
      <c r="N72" s="9">
        <f t="shared" si="5"/>
        <v>49.452308968700002</v>
      </c>
      <c r="O72" s="9">
        <f t="shared" si="5"/>
        <v>0</v>
      </c>
      <c r="P72" s="9">
        <f t="shared" si="5"/>
        <v>57.452308968700002</v>
      </c>
      <c r="Q72" s="9">
        <f t="shared" si="5"/>
        <v>0</v>
      </c>
      <c r="R72" s="9">
        <f t="shared" si="5"/>
        <v>0</v>
      </c>
      <c r="S72" s="9">
        <f t="shared" si="5"/>
        <v>0</v>
      </c>
      <c r="T72" s="9">
        <f t="shared" si="5"/>
        <v>57.452308968700002</v>
      </c>
      <c r="U72" s="9">
        <f t="shared" si="5"/>
        <v>0</v>
      </c>
    </row>
    <row r="73" spans="1:23" x14ac:dyDescent="0.25">
      <c r="A73" s="53" t="s">
        <v>65</v>
      </c>
      <c r="B73" s="43"/>
      <c r="C73" s="43"/>
      <c r="D73" s="43"/>
      <c r="E73" s="43"/>
      <c r="F73" s="25">
        <f t="shared" ref="F73:U73" si="6">IF($R75=0,0,F72/$R75)</f>
        <v>0.17405740830099617</v>
      </c>
      <c r="G73" s="25">
        <f t="shared" si="6"/>
        <v>0.73891388754850573</v>
      </c>
      <c r="H73" s="25">
        <f t="shared" si="6"/>
        <v>8.7028704150498085E-2</v>
      </c>
      <c r="I73" s="25">
        <f t="shared" si="6"/>
        <v>0</v>
      </c>
      <c r="J73" s="25">
        <f t="shared" si="6"/>
        <v>0</v>
      </c>
      <c r="K73" s="25">
        <f t="shared" si="6"/>
        <v>1</v>
      </c>
      <c r="L73" s="25">
        <f t="shared" si="6"/>
        <v>0</v>
      </c>
      <c r="M73" s="25">
        <f t="shared" si="6"/>
        <v>0.13924592664079694</v>
      </c>
      <c r="N73" s="25">
        <f t="shared" si="6"/>
        <v>0.86075407335920306</v>
      </c>
      <c r="O73" s="25">
        <f t="shared" si="6"/>
        <v>0</v>
      </c>
      <c r="P73" s="25">
        <f t="shared" si="6"/>
        <v>1</v>
      </c>
      <c r="Q73" s="25">
        <f t="shared" si="6"/>
        <v>0</v>
      </c>
      <c r="R73" s="25">
        <f t="shared" si="6"/>
        <v>0</v>
      </c>
      <c r="S73" s="25">
        <f t="shared" si="6"/>
        <v>0</v>
      </c>
      <c r="T73" s="25">
        <f t="shared" si="6"/>
        <v>1</v>
      </c>
      <c r="U73" s="25">
        <f t="shared" si="6"/>
        <v>0</v>
      </c>
    </row>
    <row r="74" spans="1:23" x14ac:dyDescent="0.25">
      <c r="A74" s="53" t="s">
        <v>66</v>
      </c>
      <c r="B74" s="43"/>
      <c r="C74" s="43"/>
      <c r="D74" s="43"/>
      <c r="E74" s="43"/>
      <c r="F74" s="51" t="str">
        <f>IF(SUM(F72:J72)=0,"— não preenchido",IF(ROUND(SUM(F72:J72)-$R75,3)=0,"OK — "&amp;ROUND(SUM(F72:J72),3)&amp;" km","ERRO — dif. de "&amp;ROUND(SUM(F72:J72)-$R75,3)&amp;" km"))</f>
        <v>OK — 57,452 km</v>
      </c>
      <c r="G74" s="47"/>
      <c r="H74" s="47"/>
      <c r="I74" s="47"/>
      <c r="J74" s="45"/>
      <c r="K74" s="51" t="str">
        <f>IF(SUM(K72:L72)=0,"— não preenchido",IF(ROUND(SUM(K72:L72)-$R75,3)=0,"OK — "&amp;ROUND(SUM(K72:L72),3)&amp;" km","ERRO — dif. de "&amp;ROUND(SUM(K72:L72)-$R75,3)&amp;" km"))</f>
        <v>OK — 57,452 km</v>
      </c>
      <c r="L74" s="45"/>
      <c r="M74" s="51" t="str">
        <f>IF(SUM(M72:O72)=0,"— não preenchido",IF(ROUND(SUM(M72:O72)-$R75,3)=0,"OK — "&amp;ROUND(SUM(M72:O72),3)&amp;" km","ERRO — dif. de "&amp;ROUND(SUM(M72:O72)-$R75,3)&amp;" km"))</f>
        <v>OK — 57,452 km</v>
      </c>
      <c r="N74" s="47"/>
      <c r="O74" s="45"/>
      <c r="P74" s="51" t="str">
        <f>IF(SUM(P72:R72)=0,"— não preenchido",IF(ROUND(SUM(P72:R72)-$R75,3)=0,"OK — "&amp;ROUND(SUM(P72:R72),3)&amp;" km","ERRO — dif. de "&amp;ROUND(SUM(P72:R72)-$R75,3)&amp;" km"))</f>
        <v>OK — 57,452 km</v>
      </c>
      <c r="Q74" s="47"/>
      <c r="R74" s="45"/>
      <c r="S74" s="51" t="str">
        <f>IF(SUM(S72:U72)=0,"— não preenchido",IF(ROUND(SUM(S72:U72)-$R75,3)=0,"OK — "&amp;ROUND(SUM(S72:U72),3)&amp;" km","ERRO — dif. de "&amp;ROUND(SUM(S72:U72)-$R75,3)&amp;" km"))</f>
        <v>OK — 57,452 km</v>
      </c>
      <c r="T74" s="47"/>
      <c r="U74" s="45"/>
    </row>
    <row r="75" spans="1:23" x14ac:dyDescent="0.25">
      <c r="A75" s="53" t="s">
        <v>67</v>
      </c>
      <c r="B75" s="43"/>
      <c r="C75" s="43"/>
      <c r="D75" s="43"/>
      <c r="E75" s="43"/>
      <c r="R75" s="26">
        <f>SUM(E9:E66)</f>
        <v>57.452308968700002</v>
      </c>
      <c r="V75" s="8" t="str">
        <f>COUNTIF(W9:W66,"OK")&amp;" de "&amp;COUNT($E$9:$E$66)&amp;" linhas conferidas"</f>
        <v>58 de 58 linhas conferidas</v>
      </c>
    </row>
    <row r="77" spans="1:23" x14ac:dyDescent="0.25">
      <c r="A77" s="55" t="s">
        <v>68</v>
      </c>
      <c r="B77" s="43"/>
      <c r="C77" s="43"/>
      <c r="D77" s="43"/>
      <c r="E77" s="43"/>
    </row>
    <row r="78" spans="1:23" x14ac:dyDescent="0.25">
      <c r="A78" s="53" t="s">
        <v>69</v>
      </c>
      <c r="B78" s="43"/>
      <c r="C78" s="43"/>
      <c r="D78" s="43"/>
      <c r="E78" s="61" t="s">
        <v>70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3" x14ac:dyDescent="0.25">
      <c r="A79" s="53" t="s">
        <v>71</v>
      </c>
      <c r="B79" s="43"/>
      <c r="C79" s="43"/>
      <c r="D79" s="43"/>
      <c r="E79" s="61" t="s">
        <v>72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3" x14ac:dyDescent="0.25">
      <c r="A80" s="53" t="s">
        <v>73</v>
      </c>
      <c r="B80" s="43"/>
      <c r="C80" s="43"/>
      <c r="D80" s="43"/>
      <c r="E80" s="61" t="s">
        <v>74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 x14ac:dyDescent="0.25">
      <c r="A81" s="53" t="s">
        <v>75</v>
      </c>
      <c r="B81" s="43"/>
      <c r="C81" s="43"/>
      <c r="D81" s="43"/>
      <c r="E81" s="61" t="s">
        <v>76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 x14ac:dyDescent="0.25">
      <c r="A82" s="53" t="s">
        <v>77</v>
      </c>
      <c r="B82" s="43"/>
      <c r="C82" s="43"/>
      <c r="D82" s="43"/>
      <c r="E82" s="61" t="s">
        <v>78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 x14ac:dyDescent="0.25">
      <c r="A83" s="53" t="s">
        <v>48</v>
      </c>
      <c r="B83" s="43"/>
      <c r="C83" s="43"/>
      <c r="D83" s="43"/>
      <c r="E83" s="61" t="s">
        <v>79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 x14ac:dyDescent="0.25">
      <c r="A84" s="53" t="s">
        <v>80</v>
      </c>
      <c r="B84" s="43"/>
      <c r="C84" s="43"/>
      <c r="D84" s="43"/>
      <c r="E84" s="61" t="s">
        <v>81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 x14ac:dyDescent="0.25">
      <c r="A85" s="53" t="s">
        <v>82</v>
      </c>
      <c r="B85" s="43"/>
      <c r="C85" s="43"/>
      <c r="D85" s="43"/>
      <c r="E85" s="61" t="s">
        <v>83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spans="1:22" x14ac:dyDescent="0.25">
      <c r="A86" s="53" t="s">
        <v>11</v>
      </c>
      <c r="B86" s="43"/>
      <c r="C86" s="43"/>
      <c r="D86" s="43"/>
      <c r="E86" s="61" t="s">
        <v>84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</sheetData>
  <sheetProtection formatCells="0"/>
  <mergeCells count="57">
    <mergeCell ref="A85:D85"/>
    <mergeCell ref="R2:V2"/>
    <mergeCell ref="A3:S3"/>
    <mergeCell ref="C6:C7"/>
    <mergeCell ref="K6:L6"/>
    <mergeCell ref="D6:D7"/>
    <mergeCell ref="E83:V83"/>
    <mergeCell ref="P6:R6"/>
    <mergeCell ref="E79:V79"/>
    <mergeCell ref="E84:V84"/>
    <mergeCell ref="S6:U6"/>
    <mergeCell ref="A69:E69"/>
    <mergeCell ref="A83:D83"/>
    <mergeCell ref="A82:D82"/>
    <mergeCell ref="K74:L74"/>
    <mergeCell ref="A77:E77"/>
    <mergeCell ref="A1:V1"/>
    <mergeCell ref="A78:D78"/>
    <mergeCell ref="E81:V81"/>
    <mergeCell ref="A71:E71"/>
    <mergeCell ref="P74:R74"/>
    <mergeCell ref="T3:V3"/>
    <mergeCell ref="A80:D80"/>
    <mergeCell ref="A72:E72"/>
    <mergeCell ref="A68:E68"/>
    <mergeCell ref="A6:A7"/>
    <mergeCell ref="M74:O74"/>
    <mergeCell ref="F6:J6"/>
    <mergeCell ref="E78:V78"/>
    <mergeCell ref="M6:O6"/>
    <mergeCell ref="V6:V7"/>
    <mergeCell ref="F74:J74"/>
    <mergeCell ref="E86:V86"/>
    <mergeCell ref="E80:V80"/>
    <mergeCell ref="N2:O2"/>
    <mergeCell ref="P2:Q2"/>
    <mergeCell ref="W6:W7"/>
    <mergeCell ref="S74:U74"/>
    <mergeCell ref="A75:E75"/>
    <mergeCell ref="E6:E7"/>
    <mergeCell ref="B6:B7"/>
    <mergeCell ref="A74:E74"/>
    <mergeCell ref="G69:K69"/>
    <mergeCell ref="A79:D79"/>
    <mergeCell ref="G68:K68"/>
    <mergeCell ref="E85:V85"/>
    <mergeCell ref="A84:D84"/>
    <mergeCell ref="A86:D86"/>
    <mergeCell ref="E82:V82"/>
    <mergeCell ref="A73:E73"/>
    <mergeCell ref="G2:H2"/>
    <mergeCell ref="I2:J2"/>
    <mergeCell ref="A8:V8"/>
    <mergeCell ref="A81:D81"/>
    <mergeCell ref="A4:V4"/>
    <mergeCell ref="A2:F2"/>
    <mergeCell ref="K2:M2"/>
  </mergeCells>
  <conditionalFormatting sqref="F9:J66">
    <cfRule type="expression" dxfId="62" priority="1">
      <formula>AND(F9&lt;&gt;"",COUNTIF($F9:$J9,"X")&gt;1)</formula>
    </cfRule>
  </conditionalFormatting>
  <conditionalFormatting sqref="F74:U74">
    <cfRule type="expression" dxfId="61" priority="8">
      <formula>LEFT(F74,4)="ERRO"</formula>
    </cfRule>
    <cfRule type="expression" dxfId="60" priority="9">
      <formula>LEFT(F74,2)="OK"</formula>
    </cfRule>
  </conditionalFormatting>
  <conditionalFormatting sqref="K9:L66">
    <cfRule type="expression" dxfId="59" priority="2">
      <formula>AND(K9&lt;&gt;"",COUNTIF($K9:$L9,"X")&gt;1)</formula>
    </cfRule>
  </conditionalFormatting>
  <conditionalFormatting sqref="M9:O66">
    <cfRule type="expression" dxfId="58" priority="3">
      <formula>AND(M9&lt;&gt;"",COUNTIF($M9:$O9,"X")&gt;1)</formula>
    </cfRule>
  </conditionalFormatting>
  <conditionalFormatting sqref="P9:R66">
    <cfRule type="expression" dxfId="57" priority="4">
      <formula>AND(P9&lt;&gt;"",COUNTIF($P9:$R9,"X")&gt;1)</formula>
    </cfRule>
  </conditionalFormatting>
  <conditionalFormatting sqref="S9:U66">
    <cfRule type="expression" dxfId="56" priority="5">
      <formula>AND(S9&lt;&gt;"",COUNTIF($S9:$U9,"X")&gt;1)</formula>
    </cfRule>
  </conditionalFormatting>
  <conditionalFormatting sqref="W9:W66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6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255</oddHeader>
    <oddFooter>&amp;L&amp;7 RTA / MSI — Programa de Manutenção Rodoviária&amp;C&amp;7 Página &amp;P de &amp;N&amp;R&amp;7 Impresso em &amp;D</oddFooter>
  </headerFooter>
  <rowBreaks count="1" manualBreakCount="1">
    <brk id="69" max="16383" man="1"/>
  </rowBreaks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2"/>
  <sheetViews>
    <sheetView showGridLines="0" workbookViewId="0">
      <pane xSplit="5" ySplit="7" topLeftCell="F45" activePane="bottomRight" state="frozen"/>
      <selection pane="topRight"/>
      <selection pane="bottomLeft"/>
      <selection pane="bottomRight" activeCell="T18" sqref="T1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IF(F58=0,NA(),F58)</f>
        <v>11</v>
      </c>
      <c r="Z2" s="2">
        <f t="shared" si="0"/>
        <v>8.2357329937399975</v>
      </c>
      <c r="AA2" s="2">
        <f t="shared" si="0"/>
        <v>8.7703518829899991</v>
      </c>
      <c r="AB2" s="2">
        <f t="shared" si="0"/>
        <v>10</v>
      </c>
      <c r="AC2" s="2" t="e">
        <f t="shared" si="0"/>
        <v>#N/A</v>
      </c>
      <c r="AD2" s="2">
        <f t="shared" si="0"/>
        <v>28.00608487673</v>
      </c>
      <c r="AE2" s="2">
        <f t="shared" si="0"/>
        <v>10</v>
      </c>
      <c r="AF2" s="2" t="e">
        <f t="shared" si="0"/>
        <v>#N/A</v>
      </c>
      <c r="AG2" s="2">
        <f t="shared" si="0"/>
        <v>34.085794418709995</v>
      </c>
      <c r="AH2" s="2">
        <f t="shared" si="0"/>
        <v>3.9202904580200002</v>
      </c>
      <c r="AI2" s="2">
        <f t="shared" si="0"/>
        <v>38.006084876729993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38.006084876729993</v>
      </c>
      <c r="AN2" s="2" t="e">
        <f t="shared" si="0"/>
        <v>#N/A</v>
      </c>
    </row>
    <row r="3" spans="1:40" ht="15" customHeight="1" x14ac:dyDescent="0.25">
      <c r="A3" s="66" t="s">
        <v>161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7" t="s">
        <v>162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163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164</v>
      </c>
      <c r="B9" s="13" t="s">
        <v>56</v>
      </c>
      <c r="C9" s="14">
        <v>0</v>
      </c>
      <c r="D9" s="14">
        <v>1</v>
      </c>
      <c r="E9" s="14">
        <f t="shared" ref="E9:E14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 t="s">
        <v>57</v>
      </c>
      <c r="Q9" s="15"/>
      <c r="R9" s="15"/>
      <c r="S9" s="15"/>
      <c r="T9" s="15" t="s">
        <v>57</v>
      </c>
      <c r="U9" s="15"/>
      <c r="V9" s="16" t="s">
        <v>165</v>
      </c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164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 t="s">
        <v>57</v>
      </c>
      <c r="Q10" s="15"/>
      <c r="R10" s="15"/>
      <c r="S10" s="15"/>
      <c r="T10" s="15" t="s">
        <v>57</v>
      </c>
      <c r="U10" s="15"/>
      <c r="V10" s="16" t="s">
        <v>165</v>
      </c>
      <c r="W10" s="17" t="str">
        <f t="shared" si="2"/>
        <v>OK</v>
      </c>
    </row>
    <row r="11" spans="1:40" ht="20.100000000000001" customHeight="1" x14ac:dyDescent="0.25">
      <c r="A11" s="12" t="s">
        <v>164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 t="s">
        <v>57</v>
      </c>
      <c r="Q11" s="15"/>
      <c r="R11" s="15"/>
      <c r="S11" s="15"/>
      <c r="T11" s="15" t="s">
        <v>57</v>
      </c>
      <c r="U11" s="15"/>
      <c r="V11" s="16" t="s">
        <v>165</v>
      </c>
      <c r="W11" s="17" t="str">
        <f t="shared" si="2"/>
        <v>OK</v>
      </c>
    </row>
    <row r="12" spans="1:40" ht="20.100000000000001" customHeight="1" x14ac:dyDescent="0.25">
      <c r="A12" s="12" t="s">
        <v>164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 t="s">
        <v>57</v>
      </c>
      <c r="Q12" s="15"/>
      <c r="R12" s="15"/>
      <c r="S12" s="15"/>
      <c r="T12" s="15" t="s">
        <v>57</v>
      </c>
      <c r="U12" s="15"/>
      <c r="V12" s="16" t="s">
        <v>165</v>
      </c>
      <c r="W12" s="17" t="str">
        <f t="shared" si="2"/>
        <v>OK</v>
      </c>
    </row>
    <row r="13" spans="1:40" ht="20.100000000000001" customHeight="1" x14ac:dyDescent="0.25">
      <c r="A13" s="12" t="s">
        <v>164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/>
      <c r="N13" s="15" t="s">
        <v>57</v>
      </c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164</v>
      </c>
      <c r="B14" s="19" t="s">
        <v>56</v>
      </c>
      <c r="C14" s="20">
        <v>5</v>
      </c>
      <c r="D14" s="20">
        <v>5.0826416457799999</v>
      </c>
      <c r="E14" s="20">
        <f t="shared" si="1"/>
        <v>8.2641645779999884E-2</v>
      </c>
      <c r="F14" s="21"/>
      <c r="G14" s="21"/>
      <c r="H14" s="21" t="s">
        <v>57</v>
      </c>
      <c r="I14" s="21"/>
      <c r="J14" s="21"/>
      <c r="K14" s="21" t="s">
        <v>57</v>
      </c>
      <c r="L14" s="21"/>
      <c r="M14" s="21"/>
      <c r="N14" s="21" t="s">
        <v>57</v>
      </c>
      <c r="O14" s="21"/>
      <c r="P14" s="21" t="s">
        <v>57</v>
      </c>
      <c r="Q14" s="21"/>
      <c r="R14" s="21"/>
      <c r="S14" s="21"/>
      <c r="T14" s="21" t="s">
        <v>57</v>
      </c>
      <c r="U14" s="21"/>
      <c r="V14" s="22"/>
      <c r="W14" s="23" t="str">
        <f t="shared" si="2"/>
        <v>OK</v>
      </c>
    </row>
    <row r="15" spans="1:40" ht="15.95" customHeight="1" x14ac:dyDescent="0.25">
      <c r="A15" s="52" t="s">
        <v>166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5"/>
      <c r="W15" s="4"/>
    </row>
    <row r="16" spans="1:40" ht="20.100000000000001" customHeight="1" x14ac:dyDescent="0.25">
      <c r="A16" s="12" t="s">
        <v>167</v>
      </c>
      <c r="B16" s="13" t="s">
        <v>56</v>
      </c>
      <c r="C16" s="14">
        <v>0</v>
      </c>
      <c r="D16" s="14">
        <v>1</v>
      </c>
      <c r="E16" s="14">
        <f>D16-C16</f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/>
      <c r="N16" s="15" t="s">
        <v>57</v>
      </c>
      <c r="O16" s="15"/>
      <c r="P16" s="15" t="s">
        <v>57</v>
      </c>
      <c r="Q16" s="15"/>
      <c r="R16" s="15"/>
      <c r="S16" s="15"/>
      <c r="T16" s="15" t="s">
        <v>57</v>
      </c>
      <c r="U16" s="15"/>
      <c r="V16" s="16" t="s">
        <v>168</v>
      </c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167</v>
      </c>
      <c r="B17" s="13" t="s">
        <v>56</v>
      </c>
      <c r="C17" s="14">
        <v>1</v>
      </c>
      <c r="D17" s="14">
        <v>2</v>
      </c>
      <c r="E17" s="14">
        <f>D17-C17</f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167</v>
      </c>
      <c r="B18" s="13" t="s">
        <v>56</v>
      </c>
      <c r="C18" s="14">
        <v>2</v>
      </c>
      <c r="D18" s="14">
        <v>3</v>
      </c>
      <c r="E18" s="14">
        <f>D18-C18</f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167</v>
      </c>
      <c r="B19" s="19" t="s">
        <v>56</v>
      </c>
      <c r="C19" s="20">
        <v>3</v>
      </c>
      <c r="D19" s="20">
        <v>3.7674197791899999</v>
      </c>
      <c r="E19" s="20">
        <f>D19-C19</f>
        <v>0.76741977918999993</v>
      </c>
      <c r="F19" s="21"/>
      <c r="G19" s="21"/>
      <c r="H19" s="21" t="s">
        <v>57</v>
      </c>
      <c r="I19" s="21"/>
      <c r="J19" s="21"/>
      <c r="K19" s="21" t="s">
        <v>57</v>
      </c>
      <c r="L19" s="21"/>
      <c r="M19" s="21"/>
      <c r="N19" s="21" t="s">
        <v>57</v>
      </c>
      <c r="O19" s="21"/>
      <c r="P19" s="21" t="s">
        <v>57</v>
      </c>
      <c r="Q19" s="21"/>
      <c r="R19" s="21"/>
      <c r="S19" s="21"/>
      <c r="T19" s="21" t="s">
        <v>57</v>
      </c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15.95" customHeight="1" x14ac:dyDescent="0.25">
      <c r="A20" s="52" t="s">
        <v>169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5"/>
      <c r="W20" s="4"/>
    </row>
    <row r="21" spans="1:23" ht="20.100000000000001" customHeight="1" x14ac:dyDescent="0.25">
      <c r="A21" s="12" t="s">
        <v>170</v>
      </c>
      <c r="B21" s="13" t="s">
        <v>56</v>
      </c>
      <c r="C21" s="14">
        <v>0</v>
      </c>
      <c r="D21" s="14">
        <v>1</v>
      </c>
      <c r="E21" s="14">
        <f t="shared" ref="E21:E26" si="3">D21-C21</f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 t="s">
        <v>171</v>
      </c>
      <c r="W21" s="17" t="str">
        <f t="shared" ref="W21:W26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170</v>
      </c>
      <c r="B22" s="13" t="s">
        <v>56</v>
      </c>
      <c r="C22" s="14">
        <v>1</v>
      </c>
      <c r="D22" s="14">
        <v>2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170</v>
      </c>
      <c r="B23" s="13" t="s">
        <v>56</v>
      </c>
      <c r="C23" s="14">
        <v>2</v>
      </c>
      <c r="D23" s="14">
        <v>3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170</v>
      </c>
      <c r="B24" s="13" t="s">
        <v>56</v>
      </c>
      <c r="C24" s="14">
        <v>3</v>
      </c>
      <c r="D24" s="14">
        <v>4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170</v>
      </c>
      <c r="B25" s="13" t="s">
        <v>56</v>
      </c>
      <c r="C25" s="14">
        <v>4</v>
      </c>
      <c r="D25" s="14">
        <v>5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8" t="s">
        <v>170</v>
      </c>
      <c r="B26" s="19" t="s">
        <v>56</v>
      </c>
      <c r="C26" s="20">
        <v>5</v>
      </c>
      <c r="D26" s="20">
        <v>5.3611366482399996</v>
      </c>
      <c r="E26" s="20">
        <f t="shared" si="3"/>
        <v>0.36113664823999958</v>
      </c>
      <c r="F26" s="21"/>
      <c r="G26" s="21" t="s">
        <v>57</v>
      </c>
      <c r="H26" s="21"/>
      <c r="I26" s="21"/>
      <c r="J26" s="21"/>
      <c r="K26" s="21" t="s">
        <v>57</v>
      </c>
      <c r="L26" s="21"/>
      <c r="M26" s="21"/>
      <c r="N26" s="21" t="s">
        <v>57</v>
      </c>
      <c r="O26" s="21"/>
      <c r="P26" s="21" t="s">
        <v>57</v>
      </c>
      <c r="Q26" s="21"/>
      <c r="R26" s="21"/>
      <c r="S26" s="21"/>
      <c r="T26" s="21" t="s">
        <v>57</v>
      </c>
      <c r="U26" s="21"/>
      <c r="V26" s="22"/>
      <c r="W26" s="23" t="str">
        <f t="shared" si="4"/>
        <v>OK</v>
      </c>
    </row>
    <row r="27" spans="1:23" ht="15.95" customHeight="1" x14ac:dyDescent="0.25">
      <c r="A27" s="52" t="s">
        <v>172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5"/>
      <c r="W27" s="4"/>
    </row>
    <row r="28" spans="1:23" ht="20.100000000000001" customHeight="1" x14ac:dyDescent="0.25">
      <c r="A28" s="12" t="s">
        <v>173</v>
      </c>
      <c r="B28" s="13" t="s">
        <v>56</v>
      </c>
      <c r="C28" s="14">
        <v>0</v>
      </c>
      <c r="D28" s="14">
        <v>1</v>
      </c>
      <c r="E28" s="14">
        <f t="shared" ref="E28:E47" si="5">D28-C28</f>
        <v>1</v>
      </c>
      <c r="F28" s="15"/>
      <c r="G28" s="15"/>
      <c r="H28" s="15"/>
      <c r="I28" s="15" t="s">
        <v>57</v>
      </c>
      <c r="J28" s="15"/>
      <c r="K28" s="15"/>
      <c r="L28" s="15" t="s">
        <v>57</v>
      </c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 t="s">
        <v>174</v>
      </c>
      <c r="W28" s="17" t="str">
        <f t="shared" ref="W28:W47" si="6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173</v>
      </c>
      <c r="B29" s="13" t="s">
        <v>56</v>
      </c>
      <c r="C29" s="14">
        <v>1</v>
      </c>
      <c r="D29" s="14">
        <v>2</v>
      </c>
      <c r="E29" s="14">
        <f t="shared" si="5"/>
        <v>1</v>
      </c>
      <c r="F29" s="15"/>
      <c r="G29" s="15"/>
      <c r="H29" s="15"/>
      <c r="I29" s="15" t="s">
        <v>57</v>
      </c>
      <c r="J29" s="15"/>
      <c r="K29" s="15"/>
      <c r="L29" s="15" t="s">
        <v>57</v>
      </c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 t="s">
        <v>174</v>
      </c>
      <c r="W29" s="17" t="str">
        <f t="shared" si="6"/>
        <v>OK</v>
      </c>
    </row>
    <row r="30" spans="1:23" ht="20.100000000000001" customHeight="1" x14ac:dyDescent="0.25">
      <c r="A30" s="12" t="s">
        <v>173</v>
      </c>
      <c r="B30" s="13" t="s">
        <v>56</v>
      </c>
      <c r="C30" s="14">
        <v>2</v>
      </c>
      <c r="D30" s="14">
        <v>3</v>
      </c>
      <c r="E30" s="14">
        <f t="shared" si="5"/>
        <v>1</v>
      </c>
      <c r="F30" s="15"/>
      <c r="G30" s="15"/>
      <c r="H30" s="15"/>
      <c r="I30" s="15" t="s">
        <v>57</v>
      </c>
      <c r="J30" s="15"/>
      <c r="K30" s="15"/>
      <c r="L30" s="15" t="s">
        <v>57</v>
      </c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173</v>
      </c>
      <c r="B31" s="13" t="s">
        <v>56</v>
      </c>
      <c r="C31" s="14">
        <v>3</v>
      </c>
      <c r="D31" s="14">
        <v>4</v>
      </c>
      <c r="E31" s="14">
        <f t="shared" si="5"/>
        <v>1</v>
      </c>
      <c r="F31" s="15"/>
      <c r="G31" s="15"/>
      <c r="H31" s="15"/>
      <c r="I31" s="15" t="s">
        <v>57</v>
      </c>
      <c r="J31" s="15"/>
      <c r="K31" s="15"/>
      <c r="L31" s="15" t="s">
        <v>57</v>
      </c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173</v>
      </c>
      <c r="B32" s="13" t="s">
        <v>56</v>
      </c>
      <c r="C32" s="14">
        <v>4</v>
      </c>
      <c r="D32" s="14">
        <v>5</v>
      </c>
      <c r="E32" s="14">
        <f t="shared" si="5"/>
        <v>1</v>
      </c>
      <c r="F32" s="15"/>
      <c r="G32" s="15"/>
      <c r="H32" s="15"/>
      <c r="I32" s="15" t="s">
        <v>57</v>
      </c>
      <c r="J32" s="15"/>
      <c r="K32" s="15"/>
      <c r="L32" s="15" t="s">
        <v>57</v>
      </c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173</v>
      </c>
      <c r="B33" s="13" t="s">
        <v>56</v>
      </c>
      <c r="C33" s="14">
        <v>5</v>
      </c>
      <c r="D33" s="14">
        <v>6</v>
      </c>
      <c r="E33" s="14">
        <f t="shared" si="5"/>
        <v>1</v>
      </c>
      <c r="F33" s="15"/>
      <c r="G33" s="15"/>
      <c r="H33" s="15"/>
      <c r="I33" s="15" t="s">
        <v>57</v>
      </c>
      <c r="J33" s="15"/>
      <c r="K33" s="15"/>
      <c r="L33" s="15" t="s">
        <v>57</v>
      </c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173</v>
      </c>
      <c r="B34" s="13" t="s">
        <v>56</v>
      </c>
      <c r="C34" s="14">
        <v>6</v>
      </c>
      <c r="D34" s="14">
        <v>7</v>
      </c>
      <c r="E34" s="14">
        <f t="shared" si="5"/>
        <v>1</v>
      </c>
      <c r="F34" s="15"/>
      <c r="G34" s="15"/>
      <c r="H34" s="15"/>
      <c r="I34" s="15" t="s">
        <v>57</v>
      </c>
      <c r="J34" s="15"/>
      <c r="K34" s="15"/>
      <c r="L34" s="15" t="s">
        <v>57</v>
      </c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173</v>
      </c>
      <c r="B35" s="13" t="s">
        <v>56</v>
      </c>
      <c r="C35" s="14">
        <v>7</v>
      </c>
      <c r="D35" s="14">
        <v>8</v>
      </c>
      <c r="E35" s="14">
        <f t="shared" si="5"/>
        <v>1</v>
      </c>
      <c r="F35" s="15"/>
      <c r="G35" s="15"/>
      <c r="H35" s="15"/>
      <c r="I35" s="15" t="s">
        <v>57</v>
      </c>
      <c r="J35" s="15"/>
      <c r="K35" s="15"/>
      <c r="L35" s="15" t="s">
        <v>57</v>
      </c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173</v>
      </c>
      <c r="B36" s="13" t="s">
        <v>56</v>
      </c>
      <c r="C36" s="14">
        <v>8</v>
      </c>
      <c r="D36" s="14">
        <v>9</v>
      </c>
      <c r="E36" s="14">
        <f t="shared" si="5"/>
        <v>1</v>
      </c>
      <c r="F36" s="15"/>
      <c r="G36" s="15"/>
      <c r="H36" s="15"/>
      <c r="I36" s="15" t="s">
        <v>57</v>
      </c>
      <c r="J36" s="15"/>
      <c r="K36" s="15"/>
      <c r="L36" s="15" t="s">
        <v>57</v>
      </c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173</v>
      </c>
      <c r="B37" s="13" t="s">
        <v>56</v>
      </c>
      <c r="C37" s="14">
        <v>9</v>
      </c>
      <c r="D37" s="14">
        <v>10</v>
      </c>
      <c r="E37" s="14">
        <f t="shared" si="5"/>
        <v>1</v>
      </c>
      <c r="F37" s="15"/>
      <c r="G37" s="15"/>
      <c r="H37" s="15"/>
      <c r="I37" s="15" t="s">
        <v>57</v>
      </c>
      <c r="J37" s="15"/>
      <c r="K37" s="15"/>
      <c r="L37" s="15" t="s">
        <v>57</v>
      </c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173</v>
      </c>
      <c r="B38" s="13" t="s">
        <v>56</v>
      </c>
      <c r="C38" s="14">
        <v>10</v>
      </c>
      <c r="D38" s="14">
        <v>11</v>
      </c>
      <c r="E38" s="14">
        <f t="shared" si="5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173</v>
      </c>
      <c r="B39" s="13" t="s">
        <v>56</v>
      </c>
      <c r="C39" s="14">
        <v>11</v>
      </c>
      <c r="D39" s="14">
        <v>12</v>
      </c>
      <c r="E39" s="14">
        <f t="shared" si="5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173</v>
      </c>
      <c r="B40" s="13" t="s">
        <v>56</v>
      </c>
      <c r="C40" s="14">
        <v>12</v>
      </c>
      <c r="D40" s="14">
        <v>13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173</v>
      </c>
      <c r="B41" s="13" t="s">
        <v>56</v>
      </c>
      <c r="C41" s="14">
        <v>13</v>
      </c>
      <c r="D41" s="14">
        <v>14</v>
      </c>
      <c r="E41" s="14">
        <f t="shared" si="5"/>
        <v>1</v>
      </c>
      <c r="F41" s="15" t="s">
        <v>57</v>
      </c>
      <c r="G41" s="15"/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173</v>
      </c>
      <c r="B42" s="13" t="s">
        <v>56</v>
      </c>
      <c r="C42" s="14">
        <v>14</v>
      </c>
      <c r="D42" s="14">
        <v>15</v>
      </c>
      <c r="E42" s="14">
        <f t="shared" si="5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173</v>
      </c>
      <c r="B43" s="13" t="s">
        <v>56</v>
      </c>
      <c r="C43" s="14">
        <v>15</v>
      </c>
      <c r="D43" s="14">
        <v>16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173</v>
      </c>
      <c r="B44" s="13" t="s">
        <v>56</v>
      </c>
      <c r="C44" s="14">
        <v>16</v>
      </c>
      <c r="D44" s="14">
        <v>17</v>
      </c>
      <c r="E44" s="14">
        <f t="shared" si="5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173</v>
      </c>
      <c r="B45" s="13" t="s">
        <v>56</v>
      </c>
      <c r="C45" s="14">
        <v>17</v>
      </c>
      <c r="D45" s="14">
        <v>18</v>
      </c>
      <c r="E45" s="14">
        <f t="shared" si="5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173</v>
      </c>
      <c r="B46" s="13" t="s">
        <v>56</v>
      </c>
      <c r="C46" s="14">
        <v>18</v>
      </c>
      <c r="D46" s="14">
        <v>19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173</v>
      </c>
      <c r="B47" s="19" t="s">
        <v>56</v>
      </c>
      <c r="C47" s="20">
        <v>19</v>
      </c>
      <c r="D47" s="20">
        <v>19.874596345499999</v>
      </c>
      <c r="E47" s="20">
        <f t="shared" si="5"/>
        <v>0.87459634549999876</v>
      </c>
      <c r="F47" s="21"/>
      <c r="G47" s="21" t="s">
        <v>57</v>
      </c>
      <c r="H47" s="21"/>
      <c r="I47" s="21"/>
      <c r="J47" s="21"/>
      <c r="K47" s="21" t="s">
        <v>57</v>
      </c>
      <c r="L47" s="21"/>
      <c r="M47" s="21"/>
      <c r="N47" s="21" t="s">
        <v>57</v>
      </c>
      <c r="O47" s="21"/>
      <c r="P47" s="21" t="s">
        <v>57</v>
      </c>
      <c r="Q47" s="21"/>
      <c r="R47" s="21"/>
      <c r="S47" s="21"/>
      <c r="T47" s="21" t="s">
        <v>57</v>
      </c>
      <c r="U47" s="21"/>
      <c r="V47" s="22"/>
      <c r="W47" s="23" t="str">
        <f t="shared" si="6"/>
        <v>OK</v>
      </c>
    </row>
    <row r="48" spans="1:23" ht="15.95" customHeight="1" x14ac:dyDescent="0.25">
      <c r="A48" s="52" t="s">
        <v>175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5"/>
      <c r="W48" s="4"/>
    </row>
    <row r="49" spans="1:23" ht="20.100000000000001" customHeight="1" x14ac:dyDescent="0.25">
      <c r="A49" s="12" t="s">
        <v>176</v>
      </c>
      <c r="B49" s="13" t="s">
        <v>56</v>
      </c>
      <c r="C49" s="14">
        <v>0</v>
      </c>
      <c r="D49" s="14">
        <v>1</v>
      </c>
      <c r="E49" s="14">
        <f>D49-C49</f>
        <v>1</v>
      </c>
      <c r="F49" s="15"/>
      <c r="G49" s="15"/>
      <c r="H49" s="15" t="s">
        <v>57</v>
      </c>
      <c r="I49" s="15"/>
      <c r="J49" s="15"/>
      <c r="K49" s="15" t="s">
        <v>57</v>
      </c>
      <c r="L49" s="15"/>
      <c r="M49" s="15"/>
      <c r="N49" s="15"/>
      <c r="O49" s="15" t="s">
        <v>57</v>
      </c>
      <c r="P49" s="15" t="s">
        <v>57</v>
      </c>
      <c r="Q49" s="15"/>
      <c r="R49" s="15"/>
      <c r="S49" s="15"/>
      <c r="T49" s="15" t="s">
        <v>57</v>
      </c>
      <c r="U49" s="15"/>
      <c r="V49" s="16" t="s">
        <v>177</v>
      </c>
      <c r="W49" s="17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176</v>
      </c>
      <c r="B50" s="13" t="s">
        <v>56</v>
      </c>
      <c r="C50" s="14">
        <v>1</v>
      </c>
      <c r="D50" s="14">
        <v>2</v>
      </c>
      <c r="E50" s="14">
        <f>D50-C50</f>
        <v>1</v>
      </c>
      <c r="F50" s="15"/>
      <c r="G50" s="15"/>
      <c r="H50" s="15" t="s">
        <v>57</v>
      </c>
      <c r="I50" s="15"/>
      <c r="J50" s="15"/>
      <c r="K50" s="15" t="s">
        <v>57</v>
      </c>
      <c r="L50" s="15"/>
      <c r="M50" s="15"/>
      <c r="N50" s="15"/>
      <c r="O50" s="15" t="s">
        <v>57</v>
      </c>
      <c r="P50" s="15" t="s">
        <v>57</v>
      </c>
      <c r="Q50" s="15"/>
      <c r="R50" s="15"/>
      <c r="S50" s="15"/>
      <c r="T50" s="15" t="s">
        <v>57</v>
      </c>
      <c r="U50" s="15"/>
      <c r="V50" s="16" t="s">
        <v>177</v>
      </c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20.100000000000001" customHeight="1" x14ac:dyDescent="0.25">
      <c r="A51" s="12" t="s">
        <v>176</v>
      </c>
      <c r="B51" s="13" t="s">
        <v>56</v>
      </c>
      <c r="C51" s="14">
        <v>2</v>
      </c>
      <c r="D51" s="14">
        <v>3</v>
      </c>
      <c r="E51" s="14">
        <f>D51-C51</f>
        <v>1</v>
      </c>
      <c r="F51" s="15"/>
      <c r="G51" s="15"/>
      <c r="H51" s="15" t="s">
        <v>57</v>
      </c>
      <c r="I51" s="15"/>
      <c r="J51" s="15"/>
      <c r="K51" s="15" t="s">
        <v>57</v>
      </c>
      <c r="L51" s="15"/>
      <c r="M51" s="15"/>
      <c r="N51" s="15"/>
      <c r="O51" s="15" t="s">
        <v>57</v>
      </c>
      <c r="P51" s="15" t="s">
        <v>57</v>
      </c>
      <c r="Q51" s="15"/>
      <c r="R51" s="15"/>
      <c r="S51" s="15"/>
      <c r="T51" s="15" t="s">
        <v>57</v>
      </c>
      <c r="U51" s="15"/>
      <c r="V51" s="16" t="s">
        <v>177</v>
      </c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8" t="s">
        <v>176</v>
      </c>
      <c r="B52" s="19" t="s">
        <v>56</v>
      </c>
      <c r="C52" s="20">
        <v>3</v>
      </c>
      <c r="D52" s="20">
        <v>3.9202904580200002</v>
      </c>
      <c r="E52" s="20">
        <f>D52-C52</f>
        <v>0.9202904580200002</v>
      </c>
      <c r="F52" s="21"/>
      <c r="G52" s="21"/>
      <c r="H52" s="21" t="s">
        <v>57</v>
      </c>
      <c r="I52" s="21"/>
      <c r="J52" s="21"/>
      <c r="K52" s="21" t="s">
        <v>57</v>
      </c>
      <c r="L52" s="21"/>
      <c r="M52" s="21"/>
      <c r="N52" s="21"/>
      <c r="O52" s="21" t="s">
        <v>57</v>
      </c>
      <c r="P52" s="21" t="s">
        <v>57</v>
      </c>
      <c r="Q52" s="21"/>
      <c r="R52" s="21"/>
      <c r="S52" s="21"/>
      <c r="T52" s="21" t="s">
        <v>57</v>
      </c>
      <c r="U52" s="21"/>
      <c r="V52" s="22" t="s">
        <v>177</v>
      </c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4" spans="1:23" x14ac:dyDescent="0.25">
      <c r="A54" s="54" t="s">
        <v>60</v>
      </c>
      <c r="B54" s="43"/>
      <c r="C54" s="43"/>
      <c r="D54" s="43"/>
      <c r="E54" s="43"/>
      <c r="G54" s="54" t="s">
        <v>60</v>
      </c>
      <c r="H54" s="43"/>
      <c r="I54" s="43"/>
      <c r="J54" s="43"/>
      <c r="K54" s="43"/>
    </row>
    <row r="55" spans="1:23" x14ac:dyDescent="0.25">
      <c r="A55" s="59" t="s">
        <v>61</v>
      </c>
      <c r="B55" s="43"/>
      <c r="C55" s="43"/>
      <c r="D55" s="43"/>
      <c r="E55" s="43"/>
      <c r="G55" s="59" t="s">
        <v>62</v>
      </c>
      <c r="H55" s="43"/>
      <c r="I55" s="43"/>
      <c r="J55" s="43"/>
      <c r="K55" s="43"/>
    </row>
    <row r="57" spans="1:23" x14ac:dyDescent="0.25">
      <c r="A57" s="60" t="s">
        <v>63</v>
      </c>
      <c r="B57" s="43"/>
      <c r="C57" s="43"/>
      <c r="D57" s="43"/>
      <c r="E57" s="4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3" x14ac:dyDescent="0.25">
      <c r="A58" s="53" t="s">
        <v>64</v>
      </c>
      <c r="B58" s="43"/>
      <c r="C58" s="43"/>
      <c r="D58" s="43"/>
      <c r="E58" s="43"/>
      <c r="F58" s="9">
        <f t="shared" ref="F58:U58" si="7">SUMIF(F$9:F$52,"X",$E$9:$E$52)</f>
        <v>11</v>
      </c>
      <c r="G58" s="9">
        <f t="shared" si="7"/>
        <v>8.2357329937399975</v>
      </c>
      <c r="H58" s="9">
        <f t="shared" si="7"/>
        <v>8.7703518829899991</v>
      </c>
      <c r="I58" s="9">
        <f t="shared" si="7"/>
        <v>10</v>
      </c>
      <c r="J58" s="9">
        <f t="shared" si="7"/>
        <v>0</v>
      </c>
      <c r="K58" s="9">
        <f t="shared" si="7"/>
        <v>28.00608487673</v>
      </c>
      <c r="L58" s="9">
        <f t="shared" si="7"/>
        <v>10</v>
      </c>
      <c r="M58" s="9">
        <f t="shared" si="7"/>
        <v>0</v>
      </c>
      <c r="N58" s="9">
        <f t="shared" si="7"/>
        <v>34.085794418709995</v>
      </c>
      <c r="O58" s="9">
        <f t="shared" si="7"/>
        <v>3.9202904580200002</v>
      </c>
      <c r="P58" s="9">
        <f t="shared" si="7"/>
        <v>38.006084876729993</v>
      </c>
      <c r="Q58" s="9">
        <f t="shared" si="7"/>
        <v>0</v>
      </c>
      <c r="R58" s="9">
        <f t="shared" si="7"/>
        <v>0</v>
      </c>
      <c r="S58" s="9">
        <f t="shared" si="7"/>
        <v>0</v>
      </c>
      <c r="T58" s="9">
        <f t="shared" si="7"/>
        <v>38.006084876729993</v>
      </c>
      <c r="U58" s="9">
        <f t="shared" si="7"/>
        <v>0</v>
      </c>
    </row>
    <row r="59" spans="1:23" x14ac:dyDescent="0.25">
      <c r="A59" s="53" t="s">
        <v>65</v>
      </c>
      <c r="B59" s="43"/>
      <c r="C59" s="43"/>
      <c r="D59" s="43"/>
      <c r="E59" s="43"/>
      <c r="F59" s="25">
        <f t="shared" ref="F59:U59" si="8">IF($R61=0,0,F58/$R61)</f>
        <v>0.289427338692678</v>
      </c>
      <c r="G59" s="25">
        <f t="shared" si="8"/>
        <v>0.21669511659651358</v>
      </c>
      <c r="H59" s="25">
        <f t="shared" si="8"/>
        <v>0.23076178226291935</v>
      </c>
      <c r="I59" s="25">
        <f t="shared" si="8"/>
        <v>0.26311576244788909</v>
      </c>
      <c r="J59" s="25">
        <f t="shared" si="8"/>
        <v>0</v>
      </c>
      <c r="K59" s="25">
        <f t="shared" si="8"/>
        <v>0.73688423755211108</v>
      </c>
      <c r="L59" s="25">
        <f t="shared" si="8"/>
        <v>0.26311576244788909</v>
      </c>
      <c r="M59" s="25">
        <f t="shared" si="8"/>
        <v>0</v>
      </c>
      <c r="N59" s="25">
        <f t="shared" si="8"/>
        <v>0.89685097871208841</v>
      </c>
      <c r="O59" s="25">
        <f t="shared" si="8"/>
        <v>0.10314902128791167</v>
      </c>
      <c r="P59" s="25">
        <f t="shared" si="8"/>
        <v>1</v>
      </c>
      <c r="Q59" s="25">
        <f t="shared" si="8"/>
        <v>0</v>
      </c>
      <c r="R59" s="25">
        <f t="shared" si="8"/>
        <v>0</v>
      </c>
      <c r="S59" s="25">
        <f t="shared" si="8"/>
        <v>0</v>
      </c>
      <c r="T59" s="25">
        <f t="shared" si="8"/>
        <v>1</v>
      </c>
      <c r="U59" s="25">
        <f t="shared" si="8"/>
        <v>0</v>
      </c>
    </row>
    <row r="60" spans="1:23" x14ac:dyDescent="0.25">
      <c r="A60" s="53" t="s">
        <v>66</v>
      </c>
      <c r="B60" s="43"/>
      <c r="C60" s="43"/>
      <c r="D60" s="43"/>
      <c r="E60" s="43"/>
      <c r="F60" s="51" t="str">
        <f>IF(SUM(F58:J58)=0,"— não preenchido",IF(ROUND(SUM(F58:J58)-$R61,3)=0,"OK — "&amp;ROUND(SUM(F58:J58),3)&amp;" km","ERRO — dif. de "&amp;ROUND(SUM(F58:J58)-$R61,3)&amp;" km"))</f>
        <v>OK — 38,006 km</v>
      </c>
      <c r="G60" s="47"/>
      <c r="H60" s="47"/>
      <c r="I60" s="47"/>
      <c r="J60" s="45"/>
      <c r="K60" s="51" t="str">
        <f>IF(SUM(K58:L58)=0,"— não preenchido",IF(ROUND(SUM(K58:L58)-$R61,3)=0,"OK — "&amp;ROUND(SUM(K58:L58),3)&amp;" km","ERRO — dif. de "&amp;ROUND(SUM(K58:L58)-$R61,3)&amp;" km"))</f>
        <v>OK — 38,006 km</v>
      </c>
      <c r="L60" s="45"/>
      <c r="M60" s="51" t="str">
        <f>IF(SUM(M58:O58)=0,"— não preenchido",IF(ROUND(SUM(M58:O58)-$R61,3)=0,"OK — "&amp;ROUND(SUM(M58:O58),3)&amp;" km","ERRO — dif. de "&amp;ROUND(SUM(M58:O58)-$R61,3)&amp;" km"))</f>
        <v>OK — 38,006 km</v>
      </c>
      <c r="N60" s="47"/>
      <c r="O60" s="45"/>
      <c r="P60" s="51" t="str">
        <f>IF(SUM(P58:R58)=0,"— não preenchido",IF(ROUND(SUM(P58:R58)-$R61,3)=0,"OK — "&amp;ROUND(SUM(P58:R58),3)&amp;" km","ERRO — dif. de "&amp;ROUND(SUM(P58:R58)-$R61,3)&amp;" km"))</f>
        <v>OK — 38,006 km</v>
      </c>
      <c r="Q60" s="47"/>
      <c r="R60" s="45"/>
      <c r="S60" s="51" t="str">
        <f>IF(SUM(S58:U58)=0,"— não preenchido",IF(ROUND(SUM(S58:U58)-$R61,3)=0,"OK — "&amp;ROUND(SUM(S58:U58),3)&amp;" km","ERRO — dif. de "&amp;ROUND(SUM(S58:U58)-$R61,3)&amp;" km"))</f>
        <v>OK — 38,006 km</v>
      </c>
      <c r="T60" s="47"/>
      <c r="U60" s="45"/>
    </row>
    <row r="61" spans="1:23" x14ac:dyDescent="0.25">
      <c r="A61" s="53" t="s">
        <v>67</v>
      </c>
      <c r="B61" s="43"/>
      <c r="C61" s="43"/>
      <c r="D61" s="43"/>
      <c r="E61" s="43"/>
      <c r="R61" s="26">
        <f>SUM(E9:E52)</f>
        <v>38.006084876729993</v>
      </c>
      <c r="V61" s="8" t="str">
        <f>COUNTIF(W9:W52,"OK")&amp;" de "&amp;COUNT($E$9:$E$52)&amp;" linhas conferidas"</f>
        <v>40 de 40 linhas conferidas</v>
      </c>
    </row>
    <row r="63" spans="1:23" x14ac:dyDescent="0.25">
      <c r="A63" s="55" t="s">
        <v>68</v>
      </c>
      <c r="B63" s="43"/>
      <c r="C63" s="43"/>
      <c r="D63" s="43"/>
      <c r="E63" s="43"/>
    </row>
    <row r="64" spans="1:23" x14ac:dyDescent="0.25">
      <c r="A64" s="53" t="s">
        <v>69</v>
      </c>
      <c r="B64" s="43"/>
      <c r="C64" s="43"/>
      <c r="D64" s="43"/>
      <c r="E64" s="61" t="s">
        <v>70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x14ac:dyDescent="0.25">
      <c r="A65" s="53" t="s">
        <v>71</v>
      </c>
      <c r="B65" s="43"/>
      <c r="C65" s="43"/>
      <c r="D65" s="43"/>
      <c r="E65" s="61" t="s">
        <v>72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x14ac:dyDescent="0.25">
      <c r="A66" s="53" t="s">
        <v>73</v>
      </c>
      <c r="B66" s="43"/>
      <c r="C66" s="43"/>
      <c r="D66" s="43"/>
      <c r="E66" s="61" t="s">
        <v>74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x14ac:dyDescent="0.25">
      <c r="A67" s="53" t="s">
        <v>75</v>
      </c>
      <c r="B67" s="43"/>
      <c r="C67" s="43"/>
      <c r="D67" s="43"/>
      <c r="E67" s="61" t="s">
        <v>76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x14ac:dyDescent="0.25">
      <c r="A68" s="53" t="s">
        <v>77</v>
      </c>
      <c r="B68" s="43"/>
      <c r="C68" s="43"/>
      <c r="D68" s="43"/>
      <c r="E68" s="61" t="s">
        <v>78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spans="1:22" x14ac:dyDescent="0.25">
      <c r="A69" s="53" t="s">
        <v>48</v>
      </c>
      <c r="B69" s="43"/>
      <c r="C69" s="43"/>
      <c r="D69" s="43"/>
      <c r="E69" s="61" t="s">
        <v>79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 x14ac:dyDescent="0.25">
      <c r="A70" s="53" t="s">
        <v>80</v>
      </c>
      <c r="B70" s="43"/>
      <c r="C70" s="43"/>
      <c r="D70" s="43"/>
      <c r="E70" s="61" t="s">
        <v>81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1:22" x14ac:dyDescent="0.25">
      <c r="A71" s="53" t="s">
        <v>82</v>
      </c>
      <c r="B71" s="43"/>
      <c r="C71" s="43"/>
      <c r="D71" s="43"/>
      <c r="E71" s="61" t="s">
        <v>83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 x14ac:dyDescent="0.25">
      <c r="A72" s="53" t="s">
        <v>11</v>
      </c>
      <c r="B72" s="43"/>
      <c r="C72" s="43"/>
      <c r="D72" s="43"/>
      <c r="E72" s="61" t="s">
        <v>84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</sheetData>
  <sheetProtection formatCells="0"/>
  <mergeCells count="61">
    <mergeCell ref="E71:V71"/>
    <mergeCell ref="G54:K54"/>
    <mergeCell ref="P60:R60"/>
    <mergeCell ref="A63:E63"/>
    <mergeCell ref="F60:J60"/>
    <mergeCell ref="E67:V67"/>
    <mergeCell ref="A71:D71"/>
    <mergeCell ref="M60:O60"/>
    <mergeCell ref="A1:V1"/>
    <mergeCell ref="S60:U60"/>
    <mergeCell ref="T3:V3"/>
    <mergeCell ref="A65:D65"/>
    <mergeCell ref="E66:V66"/>
    <mergeCell ref="G55:K55"/>
    <mergeCell ref="A66:D66"/>
    <mergeCell ref="R2:V2"/>
    <mergeCell ref="A3:S3"/>
    <mergeCell ref="A27:V27"/>
    <mergeCell ref="C6:C7"/>
    <mergeCell ref="K6:L6"/>
    <mergeCell ref="D6:D7"/>
    <mergeCell ref="P6:R6"/>
    <mergeCell ref="G2:H2"/>
    <mergeCell ref="I2:J2"/>
    <mergeCell ref="W6:W7"/>
    <mergeCell ref="E6:E7"/>
    <mergeCell ref="E70:V70"/>
    <mergeCell ref="B6:B7"/>
    <mergeCell ref="A15:V15"/>
    <mergeCell ref="A48:V48"/>
    <mergeCell ref="A55:E55"/>
    <mergeCell ref="A70:D70"/>
    <mergeCell ref="A57:E57"/>
    <mergeCell ref="A69:D69"/>
    <mergeCell ref="E68:V68"/>
    <mergeCell ref="E64:V64"/>
    <mergeCell ref="A59:E59"/>
    <mergeCell ref="A58:E58"/>
    <mergeCell ref="A60:E60"/>
    <mergeCell ref="A8:V8"/>
    <mergeCell ref="A72:D72"/>
    <mergeCell ref="A6:A7"/>
    <mergeCell ref="F6:J6"/>
    <mergeCell ref="A61:E61"/>
    <mergeCell ref="M6:O6"/>
    <mergeCell ref="E69:V69"/>
    <mergeCell ref="V6:V7"/>
    <mergeCell ref="E65:V65"/>
    <mergeCell ref="A20:V20"/>
    <mergeCell ref="K60:L60"/>
    <mergeCell ref="S6:U6"/>
    <mergeCell ref="A68:D68"/>
    <mergeCell ref="A67:D67"/>
    <mergeCell ref="A54:E54"/>
    <mergeCell ref="A64:D64"/>
    <mergeCell ref="E72:V72"/>
    <mergeCell ref="A4:V4"/>
    <mergeCell ref="A2:F2"/>
    <mergeCell ref="K2:M2"/>
    <mergeCell ref="N2:O2"/>
    <mergeCell ref="P2:Q2"/>
  </mergeCells>
  <conditionalFormatting sqref="F9:J52">
    <cfRule type="expression" dxfId="53" priority="1">
      <formula>AND(F9&lt;&gt;"",COUNTIF($F9:$J9,"X")&gt;1)</formula>
    </cfRule>
  </conditionalFormatting>
  <conditionalFormatting sqref="F60:U60">
    <cfRule type="expression" dxfId="52" priority="8">
      <formula>LEFT(F60,4)="ERRO"</formula>
    </cfRule>
    <cfRule type="expression" dxfId="51" priority="9">
      <formula>LEFT(F60,2)="OK"</formula>
    </cfRule>
  </conditionalFormatting>
  <conditionalFormatting sqref="K9:L52">
    <cfRule type="expression" dxfId="50" priority="2">
      <formula>AND(K9&lt;&gt;"",COUNTIF($K9:$L9,"X")&gt;1)</formula>
    </cfRule>
  </conditionalFormatting>
  <conditionalFormatting sqref="M9:O52">
    <cfRule type="expression" dxfId="49" priority="3">
      <formula>AND(M9&lt;&gt;"",COUNTIF($M9:$O9,"X")&gt;1)</formula>
    </cfRule>
  </conditionalFormatting>
  <conditionalFormatting sqref="P9:R52">
    <cfRule type="expression" dxfId="48" priority="4">
      <formula>AND(P9&lt;&gt;"",COUNTIF($P9:$R9,"X")&gt;1)</formula>
    </cfRule>
  </conditionalFormatting>
  <conditionalFormatting sqref="S9:U52">
    <cfRule type="expression" dxfId="47" priority="5">
      <formula>AND(S9&lt;&gt;"",COUNTIF($S9:$U9,"X")&gt;1)</formula>
    </cfRule>
  </conditionalFormatting>
  <conditionalFormatting sqref="W9:W52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2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2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2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2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2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2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256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IF(F21=0,NA(),F21)</f>
        <v>4</v>
      </c>
      <c r="Z2" s="2">
        <f t="shared" si="0"/>
        <v>2.3844721453100002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6.3844721453100002</v>
      </c>
      <c r="AE2" s="2" t="e">
        <f t="shared" si="0"/>
        <v>#N/A</v>
      </c>
      <c r="AF2" s="2">
        <f t="shared" si="0"/>
        <v>1.3844721453100002</v>
      </c>
      <c r="AG2" s="2">
        <f t="shared" si="0"/>
        <v>5</v>
      </c>
      <c r="AH2" s="2" t="e">
        <f t="shared" si="0"/>
        <v>#N/A</v>
      </c>
      <c r="AI2" s="2" t="e">
        <f t="shared" si="0"/>
        <v>#N/A</v>
      </c>
      <c r="AJ2" s="2">
        <f t="shared" si="0"/>
        <v>4</v>
      </c>
      <c r="AK2" s="2">
        <f t="shared" si="0"/>
        <v>2.3844721453100002</v>
      </c>
      <c r="AL2" s="2" t="e">
        <f t="shared" si="0"/>
        <v>#N/A</v>
      </c>
      <c r="AM2" s="2">
        <f t="shared" si="0"/>
        <v>6.3844721453100002</v>
      </c>
      <c r="AN2" s="2" t="e">
        <f t="shared" si="0"/>
        <v>#N/A</v>
      </c>
    </row>
    <row r="3" spans="1:40" ht="15" customHeight="1" x14ac:dyDescent="0.25">
      <c r="A3" s="64" t="s">
        <v>178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179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180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181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/>
      <c r="R9" s="15" t="s">
        <v>57</v>
      </c>
      <c r="S9" s="15"/>
      <c r="T9" s="15" t="s">
        <v>57</v>
      </c>
      <c r="U9" s="15"/>
      <c r="V9" s="16" t="s">
        <v>182</v>
      </c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181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181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181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181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181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 t="s">
        <v>57</v>
      </c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/>
      <c r="R14" s="15" t="s">
        <v>57</v>
      </c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181</v>
      </c>
      <c r="B15" s="19" t="s">
        <v>56</v>
      </c>
      <c r="C15" s="20">
        <v>6</v>
      </c>
      <c r="D15" s="20">
        <v>6.3844721453100002</v>
      </c>
      <c r="E15" s="20">
        <f t="shared" si="1"/>
        <v>0.38447214531000018</v>
      </c>
      <c r="F15" s="21"/>
      <c r="G15" s="21" t="s">
        <v>57</v>
      </c>
      <c r="H15" s="21"/>
      <c r="I15" s="21"/>
      <c r="J15" s="21"/>
      <c r="K15" s="21" t="s">
        <v>57</v>
      </c>
      <c r="L15" s="21"/>
      <c r="M15" s="21" t="s">
        <v>57</v>
      </c>
      <c r="N15" s="21"/>
      <c r="O15" s="21"/>
      <c r="P15" s="21"/>
      <c r="Q15" s="21"/>
      <c r="R15" s="21" t="s">
        <v>57</v>
      </c>
      <c r="S15" s="21"/>
      <c r="T15" s="21" t="s">
        <v>57</v>
      </c>
      <c r="U15" s="21"/>
      <c r="V15" s="22"/>
      <c r="W15" s="23" t="str">
        <f t="shared" si="2"/>
        <v>OK</v>
      </c>
    </row>
    <row r="17" spans="1:22" x14ac:dyDescent="0.25">
      <c r="A17" s="54" t="s">
        <v>60</v>
      </c>
      <c r="B17" s="43"/>
      <c r="C17" s="43"/>
      <c r="D17" s="43"/>
      <c r="E17" s="43"/>
      <c r="G17" s="54" t="s">
        <v>60</v>
      </c>
      <c r="H17" s="43"/>
      <c r="I17" s="43"/>
      <c r="J17" s="43"/>
      <c r="K17" s="43"/>
    </row>
    <row r="18" spans="1:22" x14ac:dyDescent="0.25">
      <c r="A18" s="59" t="s">
        <v>61</v>
      </c>
      <c r="B18" s="43"/>
      <c r="C18" s="43"/>
      <c r="D18" s="43"/>
      <c r="E18" s="43"/>
      <c r="G18" s="59" t="s">
        <v>62</v>
      </c>
      <c r="H18" s="43"/>
      <c r="I18" s="43"/>
      <c r="J18" s="43"/>
      <c r="K18" s="43"/>
    </row>
    <row r="20" spans="1:22" x14ac:dyDescent="0.25">
      <c r="A20" s="60" t="s">
        <v>63</v>
      </c>
      <c r="B20" s="43"/>
      <c r="C20" s="43"/>
      <c r="D20" s="43"/>
      <c r="E20" s="4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53" t="s">
        <v>64</v>
      </c>
      <c r="B21" s="43"/>
      <c r="C21" s="43"/>
      <c r="D21" s="43"/>
      <c r="E21" s="43"/>
      <c r="F21" s="9">
        <f t="shared" ref="F21:U21" si="3">SUMIF(F$9:F$15,"X",$E$9:$E$15)</f>
        <v>4</v>
      </c>
      <c r="G21" s="9">
        <f t="shared" si="3"/>
        <v>2.3844721453100002</v>
      </c>
      <c r="H21" s="9">
        <f t="shared" si="3"/>
        <v>0</v>
      </c>
      <c r="I21" s="9">
        <f t="shared" si="3"/>
        <v>0</v>
      </c>
      <c r="J21" s="9">
        <f t="shared" si="3"/>
        <v>0</v>
      </c>
      <c r="K21" s="9">
        <f t="shared" si="3"/>
        <v>6.3844721453100002</v>
      </c>
      <c r="L21" s="9">
        <f t="shared" si="3"/>
        <v>0</v>
      </c>
      <c r="M21" s="9">
        <f t="shared" si="3"/>
        <v>1.3844721453100002</v>
      </c>
      <c r="N21" s="9">
        <f t="shared" si="3"/>
        <v>5</v>
      </c>
      <c r="O21" s="9">
        <f t="shared" si="3"/>
        <v>0</v>
      </c>
      <c r="P21" s="9">
        <f t="shared" si="3"/>
        <v>0</v>
      </c>
      <c r="Q21" s="9">
        <f t="shared" si="3"/>
        <v>4</v>
      </c>
      <c r="R21" s="9">
        <f t="shared" si="3"/>
        <v>2.3844721453100002</v>
      </c>
      <c r="S21" s="9">
        <f t="shared" si="3"/>
        <v>0</v>
      </c>
      <c r="T21" s="9">
        <f t="shared" si="3"/>
        <v>6.3844721453100002</v>
      </c>
      <c r="U21" s="9">
        <f t="shared" si="3"/>
        <v>0</v>
      </c>
    </row>
    <row r="22" spans="1:22" x14ac:dyDescent="0.25">
      <c r="A22" s="53" t="s">
        <v>65</v>
      </c>
      <c r="B22" s="43"/>
      <c r="C22" s="43"/>
      <c r="D22" s="43"/>
      <c r="E22" s="43"/>
      <c r="F22" s="25">
        <f t="shared" ref="F22:U22" si="4">IF($R24=0,0,F21/$R24)</f>
        <v>0.62652008011944715</v>
      </c>
      <c r="G22" s="25">
        <f t="shared" si="4"/>
        <v>0.37347991988055285</v>
      </c>
      <c r="H22" s="25">
        <f t="shared" si="4"/>
        <v>0</v>
      </c>
      <c r="I22" s="25">
        <f t="shared" si="4"/>
        <v>0</v>
      </c>
      <c r="J22" s="25">
        <f t="shared" si="4"/>
        <v>0</v>
      </c>
      <c r="K22" s="25">
        <f t="shared" si="4"/>
        <v>1</v>
      </c>
      <c r="L22" s="25">
        <f t="shared" si="4"/>
        <v>0</v>
      </c>
      <c r="M22" s="25">
        <f t="shared" si="4"/>
        <v>0.21684989985069106</v>
      </c>
      <c r="N22" s="25">
        <f t="shared" si="4"/>
        <v>0.78315010014930897</v>
      </c>
      <c r="O22" s="25">
        <f t="shared" si="4"/>
        <v>0</v>
      </c>
      <c r="P22" s="25">
        <f t="shared" si="4"/>
        <v>0</v>
      </c>
      <c r="Q22" s="25">
        <f t="shared" si="4"/>
        <v>0.62652008011944715</v>
      </c>
      <c r="R22" s="25">
        <f t="shared" si="4"/>
        <v>0.37347991988055285</v>
      </c>
      <c r="S22" s="25">
        <f t="shared" si="4"/>
        <v>0</v>
      </c>
      <c r="T22" s="25">
        <f t="shared" si="4"/>
        <v>1</v>
      </c>
      <c r="U22" s="25">
        <f t="shared" si="4"/>
        <v>0</v>
      </c>
    </row>
    <row r="23" spans="1:22" x14ac:dyDescent="0.25">
      <c r="A23" s="53" t="s">
        <v>66</v>
      </c>
      <c r="B23" s="43"/>
      <c r="C23" s="43"/>
      <c r="D23" s="43"/>
      <c r="E23" s="43"/>
      <c r="F23" s="51" t="str">
        <f>IF(SUM(F21:J21)=0,"— não preenchido",IF(ROUND(SUM(F21:J21)-$R24,3)=0,"OK — "&amp;ROUND(SUM(F21:J21),3)&amp;" km","ERRO — dif. de "&amp;ROUND(SUM(F21:J21)-$R24,3)&amp;" km"))</f>
        <v>OK — 6,384 km</v>
      </c>
      <c r="G23" s="47"/>
      <c r="H23" s="47"/>
      <c r="I23" s="47"/>
      <c r="J23" s="45"/>
      <c r="K23" s="51" t="str">
        <f>IF(SUM(K21:L21)=0,"— não preenchido",IF(ROUND(SUM(K21:L21)-$R24,3)=0,"OK — "&amp;ROUND(SUM(K21:L21),3)&amp;" km","ERRO — dif. de "&amp;ROUND(SUM(K21:L21)-$R24,3)&amp;" km"))</f>
        <v>OK — 6,384 km</v>
      </c>
      <c r="L23" s="45"/>
      <c r="M23" s="51" t="str">
        <f>IF(SUM(M21:O21)=0,"— não preenchido",IF(ROUND(SUM(M21:O21)-$R24,3)=0,"OK — "&amp;ROUND(SUM(M21:O21),3)&amp;" km","ERRO — dif. de "&amp;ROUND(SUM(M21:O21)-$R24,3)&amp;" km"))</f>
        <v>OK — 6,384 km</v>
      </c>
      <c r="N23" s="47"/>
      <c r="O23" s="45"/>
      <c r="P23" s="51" t="str">
        <f>IF(SUM(P21:R21)=0,"— não preenchido",IF(ROUND(SUM(P21:R21)-$R24,3)=0,"OK — "&amp;ROUND(SUM(P21:R21),3)&amp;" km","ERRO — dif. de "&amp;ROUND(SUM(P21:R21)-$R24,3)&amp;" km"))</f>
        <v>OK — 6,384 km</v>
      </c>
      <c r="Q23" s="47"/>
      <c r="R23" s="45"/>
      <c r="S23" s="51" t="str">
        <f>IF(SUM(S21:U21)=0,"— não preenchido",IF(ROUND(SUM(S21:U21)-$R24,3)=0,"OK — "&amp;ROUND(SUM(S21:U21),3)&amp;" km","ERRO — dif. de "&amp;ROUND(SUM(S21:U21)-$R24,3)&amp;" km"))</f>
        <v>OK — 6,384 km</v>
      </c>
      <c r="T23" s="47"/>
      <c r="U23" s="45"/>
    </row>
    <row r="24" spans="1:22" x14ac:dyDescent="0.25">
      <c r="A24" s="53" t="s">
        <v>67</v>
      </c>
      <c r="B24" s="43"/>
      <c r="C24" s="43"/>
      <c r="D24" s="43"/>
      <c r="E24" s="43"/>
      <c r="R24" s="26">
        <f>SUM(E9:E15)</f>
        <v>6.3844721453100002</v>
      </c>
      <c r="V24" s="8" t="str">
        <f>COUNTIF(W9:W15,"OK")&amp;" de "&amp;COUNT($E$9:$E$15)&amp;" linhas conferidas"</f>
        <v>7 de 7 linhas conferidas</v>
      </c>
    </row>
    <row r="26" spans="1:22" x14ac:dyDescent="0.25">
      <c r="A26" s="55" t="s">
        <v>68</v>
      </c>
      <c r="B26" s="43"/>
      <c r="C26" s="43"/>
      <c r="D26" s="43"/>
      <c r="E26" s="43"/>
    </row>
    <row r="27" spans="1:22" x14ac:dyDescent="0.25">
      <c r="A27" s="53" t="s">
        <v>69</v>
      </c>
      <c r="B27" s="43"/>
      <c r="C27" s="43"/>
      <c r="D27" s="43"/>
      <c r="E27" s="61" t="s">
        <v>70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1:22" x14ac:dyDescent="0.25">
      <c r="A28" s="53" t="s">
        <v>71</v>
      </c>
      <c r="B28" s="43"/>
      <c r="C28" s="43"/>
      <c r="D28" s="43"/>
      <c r="E28" s="61" t="s">
        <v>72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1:22" x14ac:dyDescent="0.25">
      <c r="A29" s="53" t="s">
        <v>73</v>
      </c>
      <c r="B29" s="43"/>
      <c r="C29" s="43"/>
      <c r="D29" s="43"/>
      <c r="E29" s="61" t="s">
        <v>74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22" x14ac:dyDescent="0.25">
      <c r="A30" s="53" t="s">
        <v>75</v>
      </c>
      <c r="B30" s="43"/>
      <c r="C30" s="43"/>
      <c r="D30" s="43"/>
      <c r="E30" s="61" t="s">
        <v>76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spans="1:22" x14ac:dyDescent="0.25">
      <c r="A31" s="53" t="s">
        <v>77</v>
      </c>
      <c r="B31" s="43"/>
      <c r="C31" s="43"/>
      <c r="D31" s="43"/>
      <c r="E31" s="61" t="s">
        <v>78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spans="1:22" x14ac:dyDescent="0.25">
      <c r="A32" s="53" t="s">
        <v>48</v>
      </c>
      <c r="B32" s="43"/>
      <c r="C32" s="43"/>
      <c r="D32" s="43"/>
      <c r="E32" s="61" t="s">
        <v>79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spans="1:22" x14ac:dyDescent="0.25">
      <c r="A33" s="53" t="s">
        <v>80</v>
      </c>
      <c r="B33" s="43"/>
      <c r="C33" s="43"/>
      <c r="D33" s="43"/>
      <c r="E33" s="61" t="s">
        <v>81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1:22" x14ac:dyDescent="0.25">
      <c r="A34" s="53" t="s">
        <v>82</v>
      </c>
      <c r="B34" s="43"/>
      <c r="C34" s="43"/>
      <c r="D34" s="43"/>
      <c r="E34" s="61" t="s">
        <v>83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spans="1:22" x14ac:dyDescent="0.25">
      <c r="A35" s="53" t="s">
        <v>11</v>
      </c>
      <c r="B35" s="43"/>
      <c r="C35" s="43"/>
      <c r="D35" s="43"/>
      <c r="E35" s="61" t="s">
        <v>84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</sheetData>
  <sheetProtection formatCells="0"/>
  <mergeCells count="57"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A4:V4"/>
    <mergeCell ref="E31:V31"/>
    <mergeCell ref="R2:V2"/>
    <mergeCell ref="A3:S3"/>
    <mergeCell ref="A2:F2"/>
    <mergeCell ref="K2:M2"/>
    <mergeCell ref="W6:W7"/>
    <mergeCell ref="E6:E7"/>
    <mergeCell ref="B6:B7"/>
    <mergeCell ref="M23:O23"/>
    <mergeCell ref="A26:E26"/>
    <mergeCell ref="S6:U6"/>
    <mergeCell ref="E34:V34"/>
    <mergeCell ref="G17:K17"/>
    <mergeCell ref="A32:D32"/>
    <mergeCell ref="A34:D34"/>
    <mergeCell ref="E33:V33"/>
    <mergeCell ref="A33:D33"/>
    <mergeCell ref="E30:V30"/>
    <mergeCell ref="A31:D31"/>
    <mergeCell ref="N2:O2"/>
    <mergeCell ref="A30:D30"/>
    <mergeCell ref="E27:V27"/>
    <mergeCell ref="P2:Q2"/>
    <mergeCell ref="A21:E21"/>
    <mergeCell ref="A18:E18"/>
    <mergeCell ref="G18:K18"/>
    <mergeCell ref="D6:D7"/>
    <mergeCell ref="P6:R6"/>
    <mergeCell ref="C6:C7"/>
    <mergeCell ref="K6:L6"/>
    <mergeCell ref="E35:V35"/>
    <mergeCell ref="A24:E24"/>
    <mergeCell ref="E29:V29"/>
    <mergeCell ref="G2:H2"/>
    <mergeCell ref="S23:U23"/>
    <mergeCell ref="A35:D35"/>
    <mergeCell ref="I2:J2"/>
    <mergeCell ref="A8:V8"/>
    <mergeCell ref="E28:V28"/>
    <mergeCell ref="A29:D29"/>
    <mergeCell ref="P23:R23"/>
    <mergeCell ref="A6:A7"/>
    <mergeCell ref="F6:J6"/>
    <mergeCell ref="M6:O6"/>
    <mergeCell ref="A28:D28"/>
    <mergeCell ref="V6:V7"/>
  </mergeCells>
  <conditionalFormatting sqref="F9:J15">
    <cfRule type="expression" dxfId="44" priority="1">
      <formula>AND(F9&lt;&gt;"",COUNTIF($F9:$J9,"X")&gt;1)</formula>
    </cfRule>
  </conditionalFormatting>
  <conditionalFormatting sqref="F23:U23">
    <cfRule type="expression" dxfId="43" priority="8">
      <formula>LEFT(F23,4)="ERRO"</formula>
    </cfRule>
    <cfRule type="expression" dxfId="42" priority="9">
      <formula>LEFT(F23,2)="OK"</formula>
    </cfRule>
  </conditionalFormatting>
  <conditionalFormatting sqref="K9:L15">
    <cfRule type="expression" dxfId="41" priority="2">
      <formula>AND(K9&lt;&gt;"",COUNTIF($K9:$L9,"X")&gt;1)</formula>
    </cfRule>
  </conditionalFormatting>
  <conditionalFormatting sqref="M9:O15">
    <cfRule type="expression" dxfId="40" priority="3">
      <formula>AND(M9&lt;&gt;"",COUNTIF($M9:$O9,"X")&gt;1)</formula>
    </cfRule>
  </conditionalFormatting>
  <conditionalFormatting sqref="P9:R15">
    <cfRule type="expression" dxfId="39" priority="4">
      <formula>AND(P9&lt;&gt;"",COUNTIF($P9:$R9,"X")&gt;1)</formula>
    </cfRule>
  </conditionalFormatting>
  <conditionalFormatting sqref="S9:U15">
    <cfRule type="expression" dxfId="38" priority="5">
      <formula>AND(S9&lt;&gt;"",COUNTIF($S9:$U9,"X")&gt;1)</formula>
    </cfRule>
  </conditionalFormatting>
  <conditionalFormatting sqref="W9:W15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257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68"/>
  <sheetViews>
    <sheetView showGridLines="0" workbookViewId="0">
      <pane xSplit="5" ySplit="7" topLeftCell="F29" activePane="bottomRight" state="frozen"/>
      <selection pane="topRight"/>
      <selection pane="bottomLeft"/>
      <selection pane="bottomRight" activeCell="M39" sqref="M3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IF(F54=0,NA(),F54)</f>
        <v>25</v>
      </c>
      <c r="Z2" s="2">
        <f t="shared" si="0"/>
        <v>2.0180992545000009</v>
      </c>
      <c r="AA2" s="2">
        <f t="shared" si="0"/>
        <v>6.4786997477599995</v>
      </c>
      <c r="AB2" s="2" t="e">
        <f t="shared" si="0"/>
        <v>#N/A</v>
      </c>
      <c r="AC2" s="2">
        <f t="shared" si="0"/>
        <v>2</v>
      </c>
      <c r="AD2" s="2">
        <f t="shared" si="0"/>
        <v>35.496799002259998</v>
      </c>
      <c r="AE2" s="2" t="e">
        <f t="shared" si="0"/>
        <v>#N/A</v>
      </c>
      <c r="AF2" s="2" t="e">
        <f t="shared" si="0"/>
        <v>#N/A</v>
      </c>
      <c r="AG2" s="2">
        <f t="shared" si="0"/>
        <v>34.189545220150002</v>
      </c>
      <c r="AH2" s="2">
        <f t="shared" si="0"/>
        <v>1.3072537821100001</v>
      </c>
      <c r="AI2" s="2">
        <f t="shared" si="0"/>
        <v>35.496799002259998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35.496799002259998</v>
      </c>
      <c r="AN2" s="2" t="e">
        <f t="shared" si="0"/>
        <v>#N/A</v>
      </c>
    </row>
    <row r="3" spans="1:40" ht="15" customHeight="1" x14ac:dyDescent="0.25">
      <c r="A3" s="66" t="s">
        <v>183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7" t="s">
        <v>184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185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186</v>
      </c>
      <c r="B9" s="13" t="s">
        <v>56</v>
      </c>
      <c r="C9" s="14">
        <v>0</v>
      </c>
      <c r="D9" s="14">
        <v>1</v>
      </c>
      <c r="E9" s="14">
        <f t="shared" ref="E9:E16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 t="s">
        <v>57</v>
      </c>
      <c r="Q9" s="15"/>
      <c r="R9" s="15"/>
      <c r="S9" s="15"/>
      <c r="T9" s="15" t="s">
        <v>57</v>
      </c>
      <c r="U9" s="15"/>
      <c r="V9" s="16" t="s">
        <v>187</v>
      </c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186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 t="s">
        <v>57</v>
      </c>
      <c r="Q10" s="15"/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186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/>
      <c r="N11" s="15" t="s">
        <v>57</v>
      </c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186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186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186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186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/>
      <c r="N15" s="15"/>
      <c r="O15" s="15" t="s">
        <v>57</v>
      </c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186</v>
      </c>
      <c r="B16" s="19" t="s">
        <v>56</v>
      </c>
      <c r="C16" s="20">
        <v>7</v>
      </c>
      <c r="D16" s="20">
        <v>7.3072537821100001</v>
      </c>
      <c r="E16" s="20">
        <f t="shared" si="1"/>
        <v>0.3072537821100001</v>
      </c>
      <c r="F16" s="21"/>
      <c r="G16" s="21"/>
      <c r="H16" s="21" t="s">
        <v>57</v>
      </c>
      <c r="I16" s="21"/>
      <c r="J16" s="21"/>
      <c r="K16" s="21" t="s">
        <v>57</v>
      </c>
      <c r="L16" s="21"/>
      <c r="M16" s="21"/>
      <c r="N16" s="21"/>
      <c r="O16" s="21" t="s">
        <v>57</v>
      </c>
      <c r="P16" s="21" t="s">
        <v>57</v>
      </c>
      <c r="Q16" s="21"/>
      <c r="R16" s="21"/>
      <c r="S16" s="21"/>
      <c r="T16" s="21" t="s">
        <v>57</v>
      </c>
      <c r="U16" s="21"/>
      <c r="V16" s="22"/>
      <c r="W16" s="23" t="str">
        <f t="shared" si="2"/>
        <v>OK</v>
      </c>
    </row>
    <row r="17" spans="1:23" ht="15.95" customHeight="1" x14ac:dyDescent="0.25">
      <c r="A17" s="52" t="s">
        <v>188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5"/>
      <c r="W17" s="4"/>
    </row>
    <row r="18" spans="1:23" ht="20.100000000000001" customHeight="1" x14ac:dyDescent="0.25">
      <c r="A18" s="12" t="s">
        <v>189</v>
      </c>
      <c r="B18" s="13" t="s">
        <v>56</v>
      </c>
      <c r="C18" s="14">
        <v>0</v>
      </c>
      <c r="D18" s="14">
        <v>1</v>
      </c>
      <c r="E18" s="14">
        <f t="shared" ref="E18:E27" si="3">D18-C18</f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ref="W18:W27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189</v>
      </c>
      <c r="B19" s="13" t="s">
        <v>56</v>
      </c>
      <c r="C19" s="14">
        <v>1</v>
      </c>
      <c r="D19" s="14">
        <v>2</v>
      </c>
      <c r="E19" s="14">
        <f t="shared" si="3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189</v>
      </c>
      <c r="B20" s="13" t="s">
        <v>56</v>
      </c>
      <c r="C20" s="14">
        <v>2</v>
      </c>
      <c r="D20" s="14">
        <v>3</v>
      </c>
      <c r="E20" s="14">
        <f t="shared" si="3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189</v>
      </c>
      <c r="B21" s="13" t="s">
        <v>56</v>
      </c>
      <c r="C21" s="14">
        <v>3</v>
      </c>
      <c r="D21" s="14">
        <v>4</v>
      </c>
      <c r="E21" s="14">
        <f t="shared" si="3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189</v>
      </c>
      <c r="B22" s="13" t="s">
        <v>56</v>
      </c>
      <c r="C22" s="14">
        <v>4</v>
      </c>
      <c r="D22" s="14">
        <v>5</v>
      </c>
      <c r="E22" s="14">
        <f t="shared" si="3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189</v>
      </c>
      <c r="B23" s="13" t="s">
        <v>56</v>
      </c>
      <c r="C23" s="14">
        <v>5</v>
      </c>
      <c r="D23" s="14">
        <v>6</v>
      </c>
      <c r="E23" s="14">
        <f t="shared" si="3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189</v>
      </c>
      <c r="B24" s="13" t="s">
        <v>56</v>
      </c>
      <c r="C24" s="14">
        <v>6</v>
      </c>
      <c r="D24" s="14">
        <v>7</v>
      </c>
      <c r="E24" s="14">
        <f t="shared" si="3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189</v>
      </c>
      <c r="B25" s="13" t="s">
        <v>56</v>
      </c>
      <c r="C25" s="14">
        <v>7</v>
      </c>
      <c r="D25" s="14">
        <v>8</v>
      </c>
      <c r="E25" s="14">
        <f t="shared" si="3"/>
        <v>1</v>
      </c>
      <c r="F25" s="15"/>
      <c r="G25" s="15"/>
      <c r="H25" s="15" t="s">
        <v>57</v>
      </c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189</v>
      </c>
      <c r="B26" s="13" t="s">
        <v>56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 t="s">
        <v>57</v>
      </c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8" t="s">
        <v>189</v>
      </c>
      <c r="B27" s="19" t="s">
        <v>56</v>
      </c>
      <c r="C27" s="20">
        <v>9</v>
      </c>
      <c r="D27" s="20">
        <v>9.1714459656499994</v>
      </c>
      <c r="E27" s="20">
        <f t="shared" si="3"/>
        <v>0.17144596564999937</v>
      </c>
      <c r="F27" s="21"/>
      <c r="G27" s="21"/>
      <c r="H27" s="21" t="s">
        <v>57</v>
      </c>
      <c r="I27" s="21"/>
      <c r="J27" s="21"/>
      <c r="K27" s="21" t="s">
        <v>57</v>
      </c>
      <c r="L27" s="21"/>
      <c r="M27" s="21"/>
      <c r="N27" s="21" t="s">
        <v>57</v>
      </c>
      <c r="O27" s="21"/>
      <c r="P27" s="21" t="s">
        <v>57</v>
      </c>
      <c r="Q27" s="21"/>
      <c r="R27" s="21"/>
      <c r="S27" s="21"/>
      <c r="T27" s="21" t="s">
        <v>57</v>
      </c>
      <c r="U27" s="21"/>
      <c r="V27" s="22"/>
      <c r="W27" s="23" t="str">
        <f t="shared" si="4"/>
        <v>OK</v>
      </c>
    </row>
    <row r="28" spans="1:23" ht="15.95" customHeight="1" x14ac:dyDescent="0.25">
      <c r="A28" s="52" t="s">
        <v>190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5"/>
      <c r="W28" s="4"/>
    </row>
    <row r="29" spans="1:23" ht="20.100000000000001" customHeight="1" x14ac:dyDescent="0.25">
      <c r="A29" s="12" t="s">
        <v>191</v>
      </c>
      <c r="B29" s="13" t="s">
        <v>56</v>
      </c>
      <c r="C29" s="14">
        <v>0</v>
      </c>
      <c r="D29" s="14">
        <v>1</v>
      </c>
      <c r="E29" s="14">
        <f t="shared" ref="E29:E48" si="5">D29-C29</f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 t="s">
        <v>192</v>
      </c>
      <c r="W29" s="17" t="str">
        <f t="shared" ref="W29:W48" si="6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191</v>
      </c>
      <c r="B30" s="13" t="s">
        <v>56</v>
      </c>
      <c r="C30" s="14">
        <v>1</v>
      </c>
      <c r="D30" s="14">
        <v>2</v>
      </c>
      <c r="E30" s="14">
        <f t="shared" si="5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191</v>
      </c>
      <c r="B31" s="13" t="s">
        <v>56</v>
      </c>
      <c r="C31" s="14">
        <v>2</v>
      </c>
      <c r="D31" s="14">
        <v>3</v>
      </c>
      <c r="E31" s="14">
        <f t="shared" si="5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191</v>
      </c>
      <c r="B32" s="13" t="s">
        <v>56</v>
      </c>
      <c r="C32" s="14">
        <v>3</v>
      </c>
      <c r="D32" s="14">
        <v>4</v>
      </c>
      <c r="E32" s="14">
        <f t="shared" si="5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191</v>
      </c>
      <c r="B33" s="13" t="s">
        <v>56</v>
      </c>
      <c r="C33" s="14">
        <v>4</v>
      </c>
      <c r="D33" s="14">
        <v>5</v>
      </c>
      <c r="E33" s="14">
        <f t="shared" si="5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191</v>
      </c>
      <c r="B34" s="13" t="s">
        <v>56</v>
      </c>
      <c r="C34" s="14">
        <v>5</v>
      </c>
      <c r="D34" s="14">
        <v>6</v>
      </c>
      <c r="E34" s="14">
        <f t="shared" si="5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191</v>
      </c>
      <c r="B35" s="13" t="s">
        <v>56</v>
      </c>
      <c r="C35" s="14">
        <v>6</v>
      </c>
      <c r="D35" s="14">
        <v>7</v>
      </c>
      <c r="E35" s="14">
        <f t="shared" si="5"/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191</v>
      </c>
      <c r="B36" s="13" t="s">
        <v>56</v>
      </c>
      <c r="C36" s="14">
        <v>7</v>
      </c>
      <c r="D36" s="14">
        <v>8</v>
      </c>
      <c r="E36" s="14">
        <f t="shared" si="5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191</v>
      </c>
      <c r="B37" s="13" t="s">
        <v>56</v>
      </c>
      <c r="C37" s="14">
        <v>8</v>
      </c>
      <c r="D37" s="14">
        <v>9</v>
      </c>
      <c r="E37" s="14">
        <f t="shared" si="5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191</v>
      </c>
      <c r="B38" s="13" t="s">
        <v>56</v>
      </c>
      <c r="C38" s="14">
        <v>9</v>
      </c>
      <c r="D38" s="14">
        <v>10</v>
      </c>
      <c r="E38" s="14">
        <f t="shared" si="5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191</v>
      </c>
      <c r="B39" s="13" t="s">
        <v>56</v>
      </c>
      <c r="C39" s="14">
        <v>10</v>
      </c>
      <c r="D39" s="14">
        <v>11</v>
      </c>
      <c r="E39" s="14">
        <f t="shared" si="5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191</v>
      </c>
      <c r="B40" s="13" t="s">
        <v>56</v>
      </c>
      <c r="C40" s="14">
        <v>11</v>
      </c>
      <c r="D40" s="14">
        <v>12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191</v>
      </c>
      <c r="B41" s="13" t="s">
        <v>56</v>
      </c>
      <c r="C41" s="14">
        <v>12</v>
      </c>
      <c r="D41" s="14">
        <v>13</v>
      </c>
      <c r="E41" s="14">
        <f t="shared" si="5"/>
        <v>1</v>
      </c>
      <c r="F41" s="15"/>
      <c r="G41" s="15"/>
      <c r="H41" s="15"/>
      <c r="I41" s="15"/>
      <c r="J41" s="15" t="s">
        <v>57</v>
      </c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191</v>
      </c>
      <c r="B42" s="13" t="s">
        <v>56</v>
      </c>
      <c r="C42" s="14">
        <v>13</v>
      </c>
      <c r="D42" s="14">
        <v>14</v>
      </c>
      <c r="E42" s="14">
        <f t="shared" si="5"/>
        <v>1</v>
      </c>
      <c r="F42" s="15"/>
      <c r="G42" s="15"/>
      <c r="H42" s="15"/>
      <c r="I42" s="15"/>
      <c r="J42" s="15" t="s">
        <v>57</v>
      </c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191</v>
      </c>
      <c r="B43" s="13" t="s">
        <v>56</v>
      </c>
      <c r="C43" s="14">
        <v>14</v>
      </c>
      <c r="D43" s="14">
        <v>15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191</v>
      </c>
      <c r="B44" s="13" t="s">
        <v>56</v>
      </c>
      <c r="C44" s="14">
        <v>15</v>
      </c>
      <c r="D44" s="14">
        <v>16</v>
      </c>
      <c r="E44" s="14">
        <f t="shared" si="5"/>
        <v>1</v>
      </c>
      <c r="F44" s="15"/>
      <c r="G44" s="15"/>
      <c r="H44" s="15" t="s">
        <v>57</v>
      </c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191</v>
      </c>
      <c r="B45" s="13" t="s">
        <v>56</v>
      </c>
      <c r="C45" s="14">
        <v>16</v>
      </c>
      <c r="D45" s="14">
        <v>17</v>
      </c>
      <c r="E45" s="14">
        <f t="shared" si="5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191</v>
      </c>
      <c r="B46" s="13" t="s">
        <v>56</v>
      </c>
      <c r="C46" s="14">
        <v>17</v>
      </c>
      <c r="D46" s="14">
        <v>18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191</v>
      </c>
      <c r="B47" s="13" t="s">
        <v>56</v>
      </c>
      <c r="C47" s="14">
        <v>18</v>
      </c>
      <c r="D47" s="14">
        <v>19</v>
      </c>
      <c r="E47" s="14">
        <f t="shared" si="5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191</v>
      </c>
      <c r="B48" s="19" t="s">
        <v>56</v>
      </c>
      <c r="C48" s="20">
        <v>19</v>
      </c>
      <c r="D48" s="20">
        <v>19.018099254500001</v>
      </c>
      <c r="E48" s="20">
        <f t="shared" si="5"/>
        <v>1.8099254500000939E-2</v>
      </c>
      <c r="F48" s="21"/>
      <c r="G48" s="21" t="s">
        <v>57</v>
      </c>
      <c r="H48" s="21"/>
      <c r="I48" s="21"/>
      <c r="J48" s="21"/>
      <c r="K48" s="21" t="s">
        <v>57</v>
      </c>
      <c r="L48" s="21"/>
      <c r="M48" s="21"/>
      <c r="N48" s="21" t="s">
        <v>57</v>
      </c>
      <c r="O48" s="21"/>
      <c r="P48" s="21" t="s">
        <v>57</v>
      </c>
      <c r="Q48" s="21"/>
      <c r="R48" s="21"/>
      <c r="S48" s="21"/>
      <c r="T48" s="21" t="s">
        <v>57</v>
      </c>
      <c r="U48" s="21"/>
      <c r="V48" s="22"/>
      <c r="W48" s="23" t="str">
        <f t="shared" si="6"/>
        <v>OK</v>
      </c>
    </row>
    <row r="50" spans="1:22" x14ac:dyDescent="0.25">
      <c r="A50" s="54" t="s">
        <v>60</v>
      </c>
      <c r="B50" s="43"/>
      <c r="C50" s="43"/>
      <c r="D50" s="43"/>
      <c r="E50" s="43"/>
      <c r="G50" s="54" t="s">
        <v>60</v>
      </c>
      <c r="H50" s="43"/>
      <c r="I50" s="43"/>
      <c r="J50" s="43"/>
      <c r="K50" s="43"/>
    </row>
    <row r="51" spans="1:22" x14ac:dyDescent="0.25">
      <c r="A51" s="59" t="s">
        <v>61</v>
      </c>
      <c r="B51" s="43"/>
      <c r="C51" s="43"/>
      <c r="D51" s="43"/>
      <c r="E51" s="43"/>
      <c r="G51" s="59" t="s">
        <v>62</v>
      </c>
      <c r="H51" s="43"/>
      <c r="I51" s="43"/>
      <c r="J51" s="43"/>
      <c r="K51" s="43"/>
    </row>
    <row r="53" spans="1:22" x14ac:dyDescent="0.25">
      <c r="A53" s="60" t="s">
        <v>63</v>
      </c>
      <c r="B53" s="43"/>
      <c r="C53" s="43"/>
      <c r="D53" s="43"/>
      <c r="E53" s="4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53" t="s">
        <v>64</v>
      </c>
      <c r="B54" s="43"/>
      <c r="C54" s="43"/>
      <c r="D54" s="43"/>
      <c r="E54" s="43"/>
      <c r="F54" s="9">
        <f t="shared" ref="F54:U54" si="7">SUMIF(F$9:F$48,"X",$E$9:$E$48)</f>
        <v>25</v>
      </c>
      <c r="G54" s="9">
        <f t="shared" si="7"/>
        <v>2.0180992545000009</v>
      </c>
      <c r="H54" s="9">
        <f t="shared" si="7"/>
        <v>6.4786997477599995</v>
      </c>
      <c r="I54" s="9">
        <f t="shared" si="7"/>
        <v>0</v>
      </c>
      <c r="J54" s="9">
        <f t="shared" si="7"/>
        <v>2</v>
      </c>
      <c r="K54" s="9">
        <f t="shared" si="7"/>
        <v>35.496799002259998</v>
      </c>
      <c r="L54" s="9">
        <f t="shared" si="7"/>
        <v>0</v>
      </c>
      <c r="M54" s="9">
        <f t="shared" si="7"/>
        <v>0</v>
      </c>
      <c r="N54" s="9">
        <f t="shared" si="7"/>
        <v>34.189545220150002</v>
      </c>
      <c r="O54" s="9">
        <f t="shared" si="7"/>
        <v>1.3072537821100001</v>
      </c>
      <c r="P54" s="9">
        <f t="shared" si="7"/>
        <v>35.496799002259998</v>
      </c>
      <c r="Q54" s="9">
        <f t="shared" si="7"/>
        <v>0</v>
      </c>
      <c r="R54" s="9">
        <f t="shared" si="7"/>
        <v>0</v>
      </c>
      <c r="S54" s="9">
        <f t="shared" si="7"/>
        <v>0</v>
      </c>
      <c r="T54" s="9">
        <f t="shared" si="7"/>
        <v>35.496799002259998</v>
      </c>
      <c r="U54" s="9">
        <f t="shared" si="7"/>
        <v>0</v>
      </c>
    </row>
    <row r="55" spans="1:22" x14ac:dyDescent="0.25">
      <c r="A55" s="53" t="s">
        <v>65</v>
      </c>
      <c r="B55" s="43"/>
      <c r="C55" s="43"/>
      <c r="D55" s="43"/>
      <c r="E55" s="43"/>
      <c r="F55" s="25">
        <f t="shared" ref="F55:U55" si="8">IF($R57=0,0,F54/$R57)</f>
        <v>0.70428885709971512</v>
      </c>
      <c r="G55" s="25">
        <f t="shared" si="8"/>
        <v>5.6852992698623706E-2</v>
      </c>
      <c r="H55" s="25">
        <f t="shared" si="8"/>
        <v>0.18251504163368409</v>
      </c>
      <c r="I55" s="25">
        <f t="shared" si="8"/>
        <v>0</v>
      </c>
      <c r="J55" s="25">
        <f t="shared" si="8"/>
        <v>5.6343108567977203E-2</v>
      </c>
      <c r="K55" s="25">
        <f t="shared" si="8"/>
        <v>1</v>
      </c>
      <c r="L55" s="25">
        <f t="shared" si="8"/>
        <v>0</v>
      </c>
      <c r="M55" s="25">
        <f t="shared" si="8"/>
        <v>0</v>
      </c>
      <c r="N55" s="25">
        <f t="shared" si="8"/>
        <v>0.96317262911433887</v>
      </c>
      <c r="O55" s="25">
        <f t="shared" si="8"/>
        <v>3.6827370885661279E-2</v>
      </c>
      <c r="P55" s="25">
        <f t="shared" si="8"/>
        <v>1</v>
      </c>
      <c r="Q55" s="25">
        <f t="shared" si="8"/>
        <v>0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53" t="s">
        <v>66</v>
      </c>
      <c r="B56" s="43"/>
      <c r="C56" s="43"/>
      <c r="D56" s="43"/>
      <c r="E56" s="43"/>
      <c r="F56" s="51" t="str">
        <f>IF(SUM(F54:J54)=0,"— não preenchido",IF(ROUND(SUM(F54:J54)-$R57,3)=0,"OK — "&amp;ROUND(SUM(F54:J54),3)&amp;" km","ERRO — dif. de "&amp;ROUND(SUM(F54:J54)-$R57,3)&amp;" km"))</f>
        <v>OK — 35,497 km</v>
      </c>
      <c r="G56" s="47"/>
      <c r="H56" s="47"/>
      <c r="I56" s="47"/>
      <c r="J56" s="45"/>
      <c r="K56" s="51" t="str">
        <f>IF(SUM(K54:L54)=0,"— não preenchido",IF(ROUND(SUM(K54:L54)-$R57,3)=0,"OK — "&amp;ROUND(SUM(K54:L54),3)&amp;" km","ERRO — dif. de "&amp;ROUND(SUM(K54:L54)-$R57,3)&amp;" km"))</f>
        <v>OK — 35,497 km</v>
      </c>
      <c r="L56" s="45"/>
      <c r="M56" s="51" t="str">
        <f>IF(SUM(M54:O54)=0,"— não preenchido",IF(ROUND(SUM(M54:O54)-$R57,3)=0,"OK — "&amp;ROUND(SUM(M54:O54),3)&amp;" km","ERRO — dif. de "&amp;ROUND(SUM(M54:O54)-$R57,3)&amp;" km"))</f>
        <v>OK — 35,497 km</v>
      </c>
      <c r="N56" s="47"/>
      <c r="O56" s="45"/>
      <c r="P56" s="51" t="str">
        <f>IF(SUM(P54:R54)=0,"— não preenchido",IF(ROUND(SUM(P54:R54)-$R57,3)=0,"OK — "&amp;ROUND(SUM(P54:R54),3)&amp;" km","ERRO — dif. de "&amp;ROUND(SUM(P54:R54)-$R57,3)&amp;" km"))</f>
        <v>OK — 35,497 km</v>
      </c>
      <c r="Q56" s="47"/>
      <c r="R56" s="45"/>
      <c r="S56" s="51" t="str">
        <f>IF(SUM(S54:U54)=0,"— não preenchido",IF(ROUND(SUM(S54:U54)-$R57,3)=0,"OK — "&amp;ROUND(SUM(S54:U54),3)&amp;" km","ERRO — dif. de "&amp;ROUND(SUM(S54:U54)-$R57,3)&amp;" km"))</f>
        <v>OK — 35,497 km</v>
      </c>
      <c r="T56" s="47"/>
      <c r="U56" s="45"/>
    </row>
    <row r="57" spans="1:22" x14ac:dyDescent="0.25">
      <c r="A57" s="53" t="s">
        <v>67</v>
      </c>
      <c r="B57" s="43"/>
      <c r="C57" s="43"/>
      <c r="D57" s="43"/>
      <c r="E57" s="43"/>
      <c r="R57" s="26">
        <f>SUM(E9:E48)</f>
        <v>35.496799002259998</v>
      </c>
      <c r="V57" s="8" t="str">
        <f>COUNTIF(W9:W48,"OK")&amp;" de "&amp;COUNT($E$9:$E$48)&amp;" linhas conferidas"</f>
        <v>38 de 38 linhas conferidas</v>
      </c>
    </row>
    <row r="59" spans="1:22" x14ac:dyDescent="0.25">
      <c r="A59" s="55" t="s">
        <v>68</v>
      </c>
      <c r="B59" s="43"/>
      <c r="C59" s="43"/>
      <c r="D59" s="43"/>
      <c r="E59" s="43"/>
    </row>
    <row r="60" spans="1:22" x14ac:dyDescent="0.25">
      <c r="A60" s="53" t="s">
        <v>69</v>
      </c>
      <c r="B60" s="43"/>
      <c r="C60" s="43"/>
      <c r="D60" s="43"/>
      <c r="E60" s="61" t="s">
        <v>70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 x14ac:dyDescent="0.25">
      <c r="A61" s="53" t="s">
        <v>71</v>
      </c>
      <c r="B61" s="43"/>
      <c r="C61" s="43"/>
      <c r="D61" s="43"/>
      <c r="E61" s="61" t="s">
        <v>72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 x14ac:dyDescent="0.25">
      <c r="A62" s="53" t="s">
        <v>73</v>
      </c>
      <c r="B62" s="43"/>
      <c r="C62" s="43"/>
      <c r="D62" s="43"/>
      <c r="E62" s="61" t="s">
        <v>74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 x14ac:dyDescent="0.25">
      <c r="A63" s="53" t="s">
        <v>75</v>
      </c>
      <c r="B63" s="43"/>
      <c r="C63" s="43"/>
      <c r="D63" s="43"/>
      <c r="E63" s="61" t="s">
        <v>76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 x14ac:dyDescent="0.25">
      <c r="A64" s="53" t="s">
        <v>77</v>
      </c>
      <c r="B64" s="43"/>
      <c r="C64" s="43"/>
      <c r="D64" s="43"/>
      <c r="E64" s="61" t="s">
        <v>78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x14ac:dyDescent="0.25">
      <c r="A65" s="53" t="s">
        <v>48</v>
      </c>
      <c r="B65" s="43"/>
      <c r="C65" s="43"/>
      <c r="D65" s="43"/>
      <c r="E65" s="61" t="s">
        <v>79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x14ac:dyDescent="0.25">
      <c r="A66" s="53" t="s">
        <v>80</v>
      </c>
      <c r="B66" s="43"/>
      <c r="C66" s="43"/>
      <c r="D66" s="43"/>
      <c r="E66" s="61" t="s">
        <v>81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x14ac:dyDescent="0.25">
      <c r="A67" s="53" t="s">
        <v>82</v>
      </c>
      <c r="B67" s="43"/>
      <c r="C67" s="43"/>
      <c r="D67" s="43"/>
      <c r="E67" s="61" t="s">
        <v>83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x14ac:dyDescent="0.25">
      <c r="A68" s="53" t="s">
        <v>11</v>
      </c>
      <c r="B68" s="43"/>
      <c r="C68" s="43"/>
      <c r="D68" s="43"/>
      <c r="E68" s="61" t="s">
        <v>84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A59:E59"/>
    <mergeCell ref="E65:V65"/>
    <mergeCell ref="A68:D68"/>
    <mergeCell ref="A2:F2"/>
    <mergeCell ref="S6:U6"/>
    <mergeCell ref="K2:M2"/>
    <mergeCell ref="A28:V28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A17:V17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35" priority="1">
      <formula>AND(F9&lt;&gt;"",COUNTIF($F9:$J9,"X")&gt;1)</formula>
    </cfRule>
  </conditionalFormatting>
  <conditionalFormatting sqref="F56:U56">
    <cfRule type="expression" dxfId="34" priority="8">
      <formula>LEFT(F56,4)="ERRO"</formula>
    </cfRule>
    <cfRule type="expression" dxfId="33" priority="9">
      <formula>LEFT(F56,2)="OK"</formula>
    </cfRule>
  </conditionalFormatting>
  <conditionalFormatting sqref="K9:L48">
    <cfRule type="expression" dxfId="32" priority="2">
      <formula>AND(K9&lt;&gt;"",COUNTIF($K9:$L9,"X")&gt;1)</formula>
    </cfRule>
  </conditionalFormatting>
  <conditionalFormatting sqref="M9:O48">
    <cfRule type="expression" dxfId="31" priority="3">
      <formula>AND(M9&lt;&gt;"",COUNTIF($M9:$O9,"X")&gt;1)</formula>
    </cfRule>
  </conditionalFormatting>
  <conditionalFormatting sqref="P9:R48">
    <cfRule type="expression" dxfId="30" priority="4">
      <formula>AND(P9&lt;&gt;"",COUNTIF($P9:$R9,"X")&gt;1)</formula>
    </cfRule>
  </conditionalFormatting>
  <conditionalFormatting sqref="S9:U48">
    <cfRule type="expression" dxfId="29" priority="5">
      <formula>AND(S9&lt;&gt;"",COUNTIF($S9:$U9,"X")&gt;1)</formula>
    </cfRule>
  </conditionalFormatting>
  <conditionalFormatting sqref="W9:W48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258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  <pageSetUpPr fitToPage="1"/>
  </sheetPr>
  <dimension ref="A1:AN84"/>
  <sheetViews>
    <sheetView showGridLines="0" workbookViewId="0">
      <pane xSplit="5" ySplit="7" topLeftCell="F50" activePane="bottomRight" state="frozen"/>
      <selection pane="topRight"/>
      <selection pane="bottomLeft"/>
      <selection pane="bottomRight" activeCell="I60" sqref="I6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>
        <f t="shared" ref="Y2:AN2" si="0">IF(F70=0,NA(),F70)</f>
        <v>29.736269905300002</v>
      </c>
      <c r="Z2" s="2">
        <f t="shared" si="0"/>
        <v>9.6312180823000002</v>
      </c>
      <c r="AA2" s="2">
        <f t="shared" si="0"/>
        <v>7</v>
      </c>
      <c r="AB2" s="2" t="e">
        <f t="shared" si="0"/>
        <v>#N/A</v>
      </c>
      <c r="AC2" s="2">
        <f t="shared" si="0"/>
        <v>2</v>
      </c>
      <c r="AD2" s="2">
        <f t="shared" si="0"/>
        <v>48.367487987600008</v>
      </c>
      <c r="AE2" s="2" t="e">
        <f t="shared" si="0"/>
        <v>#N/A</v>
      </c>
      <c r="AF2" s="2" t="e">
        <f t="shared" si="0"/>
        <v>#N/A</v>
      </c>
      <c r="AG2" s="2">
        <f t="shared" si="0"/>
        <v>44.736269905299999</v>
      </c>
      <c r="AH2" s="2">
        <f t="shared" si="0"/>
        <v>3.6312180823000002</v>
      </c>
      <c r="AI2" s="2">
        <f t="shared" si="0"/>
        <v>43.649819095669997</v>
      </c>
      <c r="AJ2" s="2" t="e">
        <f t="shared" si="0"/>
        <v>#N/A</v>
      </c>
      <c r="AK2" s="2">
        <f t="shared" si="0"/>
        <v>4.7176688919299998</v>
      </c>
      <c r="AL2" s="2" t="e">
        <f t="shared" si="0"/>
        <v>#N/A</v>
      </c>
      <c r="AM2" s="2">
        <f t="shared" si="0"/>
        <v>48.367487987600008</v>
      </c>
      <c r="AN2" s="2" t="e">
        <f t="shared" si="0"/>
        <v>#N/A</v>
      </c>
    </row>
    <row r="3" spans="1:40" ht="15" customHeight="1" x14ac:dyDescent="0.25">
      <c r="A3" s="64" t="s">
        <v>193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194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195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196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/>
      <c r="N9" s="15"/>
      <c r="O9" s="15" t="s">
        <v>57</v>
      </c>
      <c r="P9" s="15"/>
      <c r="Q9" s="15"/>
      <c r="R9" s="15" t="s">
        <v>57</v>
      </c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196</v>
      </c>
      <c r="B10" s="13" t="s">
        <v>56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57</v>
      </c>
      <c r="I10" s="15"/>
      <c r="J10" s="15"/>
      <c r="K10" s="15" t="s">
        <v>57</v>
      </c>
      <c r="L10" s="15"/>
      <c r="M10" s="15"/>
      <c r="N10" s="15"/>
      <c r="O10" s="15" t="s">
        <v>57</v>
      </c>
      <c r="P10" s="15"/>
      <c r="Q10" s="15"/>
      <c r="R10" s="15" t="s">
        <v>57</v>
      </c>
      <c r="S10" s="15"/>
      <c r="T10" s="15" t="s">
        <v>57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196</v>
      </c>
      <c r="B11" s="13" t="s">
        <v>56</v>
      </c>
      <c r="C11" s="14">
        <v>2</v>
      </c>
      <c r="D11" s="14">
        <v>3</v>
      </c>
      <c r="E11" s="14">
        <f>D11-C11</f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/>
      <c r="N11" s="15"/>
      <c r="O11" s="15" t="s">
        <v>57</v>
      </c>
      <c r="P11" s="15"/>
      <c r="Q11" s="15"/>
      <c r="R11" s="15" t="s">
        <v>57</v>
      </c>
      <c r="S11" s="15"/>
      <c r="T11" s="15" t="s">
        <v>57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196</v>
      </c>
      <c r="B12" s="19" t="s">
        <v>56</v>
      </c>
      <c r="C12" s="20">
        <v>3</v>
      </c>
      <c r="D12" s="20">
        <v>3.6312180823000002</v>
      </c>
      <c r="E12" s="20">
        <f>D12-C12</f>
        <v>0.63121808230000021</v>
      </c>
      <c r="F12" s="21"/>
      <c r="G12" s="21" t="s">
        <v>57</v>
      </c>
      <c r="H12" s="21"/>
      <c r="I12" s="21"/>
      <c r="J12" s="21"/>
      <c r="K12" s="21" t="s">
        <v>57</v>
      </c>
      <c r="L12" s="21"/>
      <c r="M12" s="21"/>
      <c r="N12" s="21"/>
      <c r="O12" s="21" t="s">
        <v>57</v>
      </c>
      <c r="P12" s="21"/>
      <c r="Q12" s="21"/>
      <c r="R12" s="21" t="s">
        <v>57</v>
      </c>
      <c r="S12" s="21"/>
      <c r="T12" s="21" t="s">
        <v>57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52" t="s">
        <v>197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5"/>
      <c r="W13" s="4"/>
    </row>
    <row r="14" spans="1:40" ht="20.100000000000001" customHeight="1" x14ac:dyDescent="0.25">
      <c r="A14" s="12" t="s">
        <v>198</v>
      </c>
      <c r="B14" s="13" t="s">
        <v>56</v>
      </c>
      <c r="C14" s="14">
        <v>0</v>
      </c>
      <c r="D14" s="14">
        <v>1</v>
      </c>
      <c r="E14" s="14">
        <f t="shared" ref="E14:E33" si="1">D14-C14</f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/>
      <c r="N14" s="15" t="s">
        <v>57</v>
      </c>
      <c r="O14" s="15"/>
      <c r="P14" s="15" t="s">
        <v>57</v>
      </c>
      <c r="Q14" s="15"/>
      <c r="R14" s="15"/>
      <c r="S14" s="15"/>
      <c r="T14" s="15" t="s">
        <v>57</v>
      </c>
      <c r="U14" s="15"/>
      <c r="V14" s="16" t="s">
        <v>199</v>
      </c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198</v>
      </c>
      <c r="B15" s="13" t="s">
        <v>56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57</v>
      </c>
      <c r="K15" s="15" t="s">
        <v>57</v>
      </c>
      <c r="L15" s="15"/>
      <c r="M15" s="15"/>
      <c r="N15" s="15" t="s">
        <v>57</v>
      </c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198</v>
      </c>
      <c r="B16" s="13" t="s">
        <v>56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57</v>
      </c>
      <c r="K16" s="15" t="s">
        <v>57</v>
      </c>
      <c r="L16" s="15"/>
      <c r="M16" s="15"/>
      <c r="N16" s="15" t="s">
        <v>57</v>
      </c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198</v>
      </c>
      <c r="B17" s="13" t="s">
        <v>56</v>
      </c>
      <c r="C17" s="14">
        <v>3</v>
      </c>
      <c r="D17" s="14">
        <v>4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198</v>
      </c>
      <c r="B18" s="13" t="s">
        <v>56</v>
      </c>
      <c r="C18" s="14">
        <v>4</v>
      </c>
      <c r="D18" s="14">
        <v>5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198</v>
      </c>
      <c r="B19" s="13" t="s">
        <v>56</v>
      </c>
      <c r="C19" s="14">
        <v>5</v>
      </c>
      <c r="D19" s="14">
        <v>6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198</v>
      </c>
      <c r="B20" s="13" t="s">
        <v>56</v>
      </c>
      <c r="C20" s="14">
        <v>6</v>
      </c>
      <c r="D20" s="14">
        <v>7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198</v>
      </c>
      <c r="B21" s="13" t="s">
        <v>56</v>
      </c>
      <c r="C21" s="14">
        <v>7</v>
      </c>
      <c r="D21" s="14">
        <v>8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198</v>
      </c>
      <c r="B22" s="13" t="s">
        <v>56</v>
      </c>
      <c r="C22" s="14">
        <v>8</v>
      </c>
      <c r="D22" s="14">
        <v>9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198</v>
      </c>
      <c r="B23" s="13" t="s">
        <v>56</v>
      </c>
      <c r="C23" s="14">
        <v>9</v>
      </c>
      <c r="D23" s="14">
        <v>10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198</v>
      </c>
      <c r="B24" s="13" t="s">
        <v>56</v>
      </c>
      <c r="C24" s="14">
        <v>10</v>
      </c>
      <c r="D24" s="14">
        <v>11</v>
      </c>
      <c r="E24" s="14">
        <f t="shared" si="1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198</v>
      </c>
      <c r="B25" s="13" t="s">
        <v>56</v>
      </c>
      <c r="C25" s="14">
        <v>11</v>
      </c>
      <c r="D25" s="14">
        <v>12</v>
      </c>
      <c r="E25" s="14">
        <f t="shared" si="1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198</v>
      </c>
      <c r="B26" s="13" t="s">
        <v>56</v>
      </c>
      <c r="C26" s="14">
        <v>12</v>
      </c>
      <c r="D26" s="14">
        <v>13</v>
      </c>
      <c r="E26" s="14">
        <f t="shared" si="1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198</v>
      </c>
      <c r="B27" s="13" t="s">
        <v>56</v>
      </c>
      <c r="C27" s="14">
        <v>13</v>
      </c>
      <c r="D27" s="14">
        <v>14</v>
      </c>
      <c r="E27" s="14">
        <f t="shared" si="1"/>
        <v>1</v>
      </c>
      <c r="F27" s="15" t="s">
        <v>57</v>
      </c>
      <c r="G27" s="15"/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 t="s">
        <v>57</v>
      </c>
      <c r="Q27" s="15"/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198</v>
      </c>
      <c r="B28" s="13" t="s">
        <v>56</v>
      </c>
      <c r="C28" s="14">
        <v>14</v>
      </c>
      <c r="D28" s="14">
        <v>15</v>
      </c>
      <c r="E28" s="14">
        <f t="shared" si="1"/>
        <v>1</v>
      </c>
      <c r="F28" s="15" t="s">
        <v>57</v>
      </c>
      <c r="G28" s="15"/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198</v>
      </c>
      <c r="B29" s="13" t="s">
        <v>56</v>
      </c>
      <c r="C29" s="14">
        <v>15</v>
      </c>
      <c r="D29" s="14">
        <v>16</v>
      </c>
      <c r="E29" s="14">
        <f t="shared" si="1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198</v>
      </c>
      <c r="B30" s="13" t="s">
        <v>56</v>
      </c>
      <c r="C30" s="14">
        <v>16</v>
      </c>
      <c r="D30" s="14">
        <v>17</v>
      </c>
      <c r="E30" s="14">
        <f t="shared" si="1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198</v>
      </c>
      <c r="B31" s="13" t="s">
        <v>56</v>
      </c>
      <c r="C31" s="14">
        <v>17</v>
      </c>
      <c r="D31" s="14">
        <v>18</v>
      </c>
      <c r="E31" s="14">
        <f t="shared" si="1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198</v>
      </c>
      <c r="B32" s="13" t="s">
        <v>56</v>
      </c>
      <c r="C32" s="14">
        <v>18</v>
      </c>
      <c r="D32" s="14">
        <v>19</v>
      </c>
      <c r="E32" s="14">
        <f t="shared" si="1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198</v>
      </c>
      <c r="B33" s="19" t="s">
        <v>56</v>
      </c>
      <c r="C33" s="20">
        <v>19</v>
      </c>
      <c r="D33" s="20">
        <v>19.0081215001</v>
      </c>
      <c r="E33" s="20">
        <f t="shared" si="1"/>
        <v>8.1215000999996789E-3</v>
      </c>
      <c r="F33" s="21" t="s">
        <v>57</v>
      </c>
      <c r="G33" s="21"/>
      <c r="H33" s="21"/>
      <c r="I33" s="21"/>
      <c r="J33" s="21"/>
      <c r="K33" s="21" t="s">
        <v>57</v>
      </c>
      <c r="L33" s="21"/>
      <c r="M33" s="21"/>
      <c r="N33" s="21" t="s">
        <v>57</v>
      </c>
      <c r="O33" s="21"/>
      <c r="P33" s="21" t="s">
        <v>57</v>
      </c>
      <c r="Q33" s="21"/>
      <c r="R33" s="21"/>
      <c r="S33" s="21"/>
      <c r="T33" s="21" t="s">
        <v>57</v>
      </c>
      <c r="U33" s="21"/>
      <c r="V33" s="22"/>
      <c r="W33" s="23" t="str">
        <f t="shared" si="2"/>
        <v>OK</v>
      </c>
    </row>
    <row r="34" spans="1:23" ht="15.95" customHeight="1" x14ac:dyDescent="0.25">
      <c r="A34" s="52" t="s">
        <v>200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5"/>
      <c r="W34" s="4"/>
    </row>
    <row r="35" spans="1:23" ht="20.100000000000001" customHeight="1" x14ac:dyDescent="0.25">
      <c r="A35" s="12" t="s">
        <v>201</v>
      </c>
      <c r="B35" s="13" t="s">
        <v>56</v>
      </c>
      <c r="C35" s="14">
        <v>0</v>
      </c>
      <c r="D35" s="14">
        <v>1</v>
      </c>
      <c r="E35" s="14">
        <f t="shared" ref="E35:E40" si="3">D35-C35</f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 t="s">
        <v>202</v>
      </c>
      <c r="W35" s="17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201</v>
      </c>
      <c r="B36" s="13" t="s">
        <v>56</v>
      </c>
      <c r="C36" s="14">
        <v>1</v>
      </c>
      <c r="D36" s="14">
        <v>2</v>
      </c>
      <c r="E36" s="14">
        <f t="shared" si="3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 t="s">
        <v>202</v>
      </c>
      <c r="W36" s="17" t="str">
        <f t="shared" si="4"/>
        <v>OK</v>
      </c>
    </row>
    <row r="37" spans="1:23" ht="20.100000000000001" customHeight="1" x14ac:dyDescent="0.25">
      <c r="A37" s="12" t="s">
        <v>201</v>
      </c>
      <c r="B37" s="13" t="s">
        <v>56</v>
      </c>
      <c r="C37" s="14">
        <v>2</v>
      </c>
      <c r="D37" s="14">
        <v>3</v>
      </c>
      <c r="E37" s="14">
        <f t="shared" si="3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 t="s">
        <v>202</v>
      </c>
      <c r="W37" s="17" t="str">
        <f t="shared" si="4"/>
        <v>OK</v>
      </c>
    </row>
    <row r="38" spans="1:23" ht="20.100000000000001" customHeight="1" x14ac:dyDescent="0.25">
      <c r="A38" s="12" t="s">
        <v>201</v>
      </c>
      <c r="B38" s="13" t="s">
        <v>56</v>
      </c>
      <c r="C38" s="14">
        <v>3</v>
      </c>
      <c r="D38" s="14">
        <v>4</v>
      </c>
      <c r="E38" s="14">
        <f t="shared" si="3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 t="s">
        <v>202</v>
      </c>
      <c r="W38" s="17" t="str">
        <f t="shared" si="4"/>
        <v>OK</v>
      </c>
    </row>
    <row r="39" spans="1:23" ht="20.100000000000001" customHeight="1" x14ac:dyDescent="0.25">
      <c r="A39" s="12" t="s">
        <v>201</v>
      </c>
      <c r="B39" s="13" t="s">
        <v>56</v>
      </c>
      <c r="C39" s="14">
        <v>4</v>
      </c>
      <c r="D39" s="14">
        <v>5</v>
      </c>
      <c r="E39" s="14">
        <f t="shared" si="3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8" t="s">
        <v>201</v>
      </c>
      <c r="B40" s="19" t="s">
        <v>56</v>
      </c>
      <c r="C40" s="20">
        <v>5</v>
      </c>
      <c r="D40" s="20">
        <v>5.4077161822699997</v>
      </c>
      <c r="E40" s="20">
        <f t="shared" si="3"/>
        <v>0.40771618226999973</v>
      </c>
      <c r="F40" s="21" t="s">
        <v>57</v>
      </c>
      <c r="G40" s="21"/>
      <c r="H40" s="21"/>
      <c r="I40" s="21"/>
      <c r="J40" s="21"/>
      <c r="K40" s="21" t="s">
        <v>57</v>
      </c>
      <c r="L40" s="21"/>
      <c r="M40" s="21"/>
      <c r="N40" s="21" t="s">
        <v>57</v>
      </c>
      <c r="O40" s="21"/>
      <c r="P40" s="21" t="s">
        <v>57</v>
      </c>
      <c r="Q40" s="21"/>
      <c r="R40" s="21"/>
      <c r="S40" s="21"/>
      <c r="T40" s="21" t="s">
        <v>57</v>
      </c>
      <c r="U40" s="21"/>
      <c r="V40" s="22"/>
      <c r="W40" s="23" t="str">
        <f t="shared" si="4"/>
        <v>OK</v>
      </c>
    </row>
    <row r="41" spans="1:23" ht="15.95" customHeight="1" x14ac:dyDescent="0.25">
      <c r="A41" s="52" t="s">
        <v>203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5"/>
      <c r="W41" s="4"/>
    </row>
    <row r="42" spans="1:23" ht="20.100000000000001" customHeight="1" x14ac:dyDescent="0.25">
      <c r="A42" s="12" t="s">
        <v>204</v>
      </c>
      <c r="B42" s="13" t="s">
        <v>56</v>
      </c>
      <c r="C42" s="14">
        <v>0</v>
      </c>
      <c r="D42" s="14">
        <v>1</v>
      </c>
      <c r="E42" s="14">
        <f t="shared" ref="E42:E61" si="5">D42-C42</f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 t="s">
        <v>205</v>
      </c>
      <c r="W42" s="17" t="str">
        <f t="shared" ref="W42:W6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204</v>
      </c>
      <c r="B43" s="13" t="s">
        <v>56</v>
      </c>
      <c r="C43" s="14">
        <v>1</v>
      </c>
      <c r="D43" s="14">
        <v>2</v>
      </c>
      <c r="E43" s="14">
        <f t="shared" si="5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204</v>
      </c>
      <c r="B44" s="13" t="s">
        <v>56</v>
      </c>
      <c r="C44" s="14">
        <v>2</v>
      </c>
      <c r="D44" s="14">
        <v>3</v>
      </c>
      <c r="E44" s="14">
        <f t="shared" si="5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204</v>
      </c>
      <c r="B45" s="13" t="s">
        <v>56</v>
      </c>
      <c r="C45" s="14">
        <v>3</v>
      </c>
      <c r="D45" s="14">
        <v>4</v>
      </c>
      <c r="E45" s="14">
        <f t="shared" si="5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204</v>
      </c>
      <c r="B46" s="13" t="s">
        <v>56</v>
      </c>
      <c r="C46" s="14">
        <v>4</v>
      </c>
      <c r="D46" s="14">
        <v>5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204</v>
      </c>
      <c r="B47" s="13" t="s">
        <v>56</v>
      </c>
      <c r="C47" s="14">
        <v>5</v>
      </c>
      <c r="D47" s="14">
        <v>6</v>
      </c>
      <c r="E47" s="14">
        <f t="shared" si="5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204</v>
      </c>
      <c r="B48" s="13" t="s">
        <v>56</v>
      </c>
      <c r="C48" s="14">
        <v>6</v>
      </c>
      <c r="D48" s="14">
        <v>7</v>
      </c>
      <c r="E48" s="14">
        <f t="shared" si="5"/>
        <v>1</v>
      </c>
      <c r="F48" s="15"/>
      <c r="G48" s="15" t="s">
        <v>57</v>
      </c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 t="s">
        <v>57</v>
      </c>
      <c r="Q48" s="15"/>
      <c r="R48" s="15"/>
      <c r="S48" s="15"/>
      <c r="T48" s="15" t="s">
        <v>57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204</v>
      </c>
      <c r="B49" s="13" t="s">
        <v>56</v>
      </c>
      <c r="C49" s="14">
        <v>7</v>
      </c>
      <c r="D49" s="14">
        <v>8</v>
      </c>
      <c r="E49" s="14">
        <f t="shared" si="5"/>
        <v>1</v>
      </c>
      <c r="F49" s="15"/>
      <c r="G49" s="15" t="s">
        <v>57</v>
      </c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 t="s">
        <v>57</v>
      </c>
      <c r="Q49" s="15"/>
      <c r="R49" s="15"/>
      <c r="S49" s="15"/>
      <c r="T49" s="15" t="s">
        <v>57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204</v>
      </c>
      <c r="B50" s="13" t="s">
        <v>56</v>
      </c>
      <c r="C50" s="14">
        <v>8</v>
      </c>
      <c r="D50" s="14">
        <v>9</v>
      </c>
      <c r="E50" s="14">
        <f t="shared" si="5"/>
        <v>1</v>
      </c>
      <c r="F50" s="15" t="s">
        <v>57</v>
      </c>
      <c r="G50" s="15"/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 t="s">
        <v>57</v>
      </c>
      <c r="Q50" s="15"/>
      <c r="R50" s="15"/>
      <c r="S50" s="15"/>
      <c r="T50" s="15" t="s">
        <v>57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204</v>
      </c>
      <c r="B51" s="13" t="s">
        <v>56</v>
      </c>
      <c r="C51" s="14">
        <v>9</v>
      </c>
      <c r="D51" s="14">
        <v>10</v>
      </c>
      <c r="E51" s="14">
        <f t="shared" si="5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 t="s">
        <v>57</v>
      </c>
      <c r="Q51" s="15"/>
      <c r="R51" s="15"/>
      <c r="S51" s="15"/>
      <c r="T51" s="15" t="s">
        <v>57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204</v>
      </c>
      <c r="B52" s="13" t="s">
        <v>56</v>
      </c>
      <c r="C52" s="14">
        <v>10</v>
      </c>
      <c r="D52" s="14">
        <v>11</v>
      </c>
      <c r="E52" s="14">
        <f t="shared" si="5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 t="s">
        <v>57</v>
      </c>
      <c r="Q52" s="15"/>
      <c r="R52" s="15"/>
      <c r="S52" s="15"/>
      <c r="T52" s="15" t="s">
        <v>57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204</v>
      </c>
      <c r="B53" s="13" t="s">
        <v>56</v>
      </c>
      <c r="C53" s="14">
        <v>11</v>
      </c>
      <c r="D53" s="14">
        <v>12</v>
      </c>
      <c r="E53" s="14">
        <f t="shared" si="5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 t="s">
        <v>57</v>
      </c>
      <c r="Q53" s="15"/>
      <c r="R53" s="15"/>
      <c r="S53" s="15"/>
      <c r="T53" s="15" t="s">
        <v>57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204</v>
      </c>
      <c r="B54" s="13" t="s">
        <v>56</v>
      </c>
      <c r="C54" s="14">
        <v>12</v>
      </c>
      <c r="D54" s="14">
        <v>13</v>
      </c>
      <c r="E54" s="14">
        <f t="shared" si="5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 t="s">
        <v>57</v>
      </c>
      <c r="Q54" s="15"/>
      <c r="R54" s="15"/>
      <c r="S54" s="15"/>
      <c r="T54" s="15" t="s">
        <v>57</v>
      </c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204</v>
      </c>
      <c r="B55" s="13" t="s">
        <v>56</v>
      </c>
      <c r="C55" s="14">
        <v>13</v>
      </c>
      <c r="D55" s="14">
        <v>14</v>
      </c>
      <c r="E55" s="14">
        <f t="shared" si="5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 t="s">
        <v>57</v>
      </c>
      <c r="Q55" s="15"/>
      <c r="R55" s="15"/>
      <c r="S55" s="15"/>
      <c r="T55" s="15" t="s">
        <v>57</v>
      </c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204</v>
      </c>
      <c r="B56" s="13" t="s">
        <v>56</v>
      </c>
      <c r="C56" s="14">
        <v>14</v>
      </c>
      <c r="D56" s="14">
        <v>15</v>
      </c>
      <c r="E56" s="14">
        <f t="shared" si="5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 t="s">
        <v>57</v>
      </c>
      <c r="Q56" s="15"/>
      <c r="R56" s="15"/>
      <c r="S56" s="15"/>
      <c r="T56" s="15" t="s">
        <v>57</v>
      </c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204</v>
      </c>
      <c r="B57" s="13" t="s">
        <v>56</v>
      </c>
      <c r="C57" s="14">
        <v>15</v>
      </c>
      <c r="D57" s="14">
        <v>16</v>
      </c>
      <c r="E57" s="14">
        <f t="shared" si="5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 t="s">
        <v>57</v>
      </c>
      <c r="Q57" s="15"/>
      <c r="R57" s="15"/>
      <c r="S57" s="15"/>
      <c r="T57" s="15" t="s">
        <v>57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204</v>
      </c>
      <c r="B58" s="13" t="s">
        <v>56</v>
      </c>
      <c r="C58" s="14">
        <v>16</v>
      </c>
      <c r="D58" s="14">
        <v>17</v>
      </c>
      <c r="E58" s="14">
        <f t="shared" si="5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 t="s">
        <v>57</v>
      </c>
      <c r="Q58" s="15"/>
      <c r="R58" s="15"/>
      <c r="S58" s="15"/>
      <c r="T58" s="15" t="s">
        <v>57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204</v>
      </c>
      <c r="B59" s="13" t="s">
        <v>56</v>
      </c>
      <c r="C59" s="14">
        <v>17</v>
      </c>
      <c r="D59" s="14">
        <v>18</v>
      </c>
      <c r="E59" s="14">
        <f t="shared" si="5"/>
        <v>1</v>
      </c>
      <c r="F59" s="15" t="s">
        <v>57</v>
      </c>
      <c r="G59" s="15"/>
      <c r="H59" s="15"/>
      <c r="I59" s="15"/>
      <c r="J59" s="15"/>
      <c r="K59" s="15" t="s">
        <v>57</v>
      </c>
      <c r="L59" s="15"/>
      <c r="M59" s="15"/>
      <c r="N59" s="15" t="s">
        <v>57</v>
      </c>
      <c r="O59" s="15"/>
      <c r="P59" s="15" t="s">
        <v>57</v>
      </c>
      <c r="Q59" s="15"/>
      <c r="R59" s="15"/>
      <c r="S59" s="15"/>
      <c r="T59" s="15" t="s">
        <v>57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204</v>
      </c>
      <c r="B60" s="13" t="s">
        <v>56</v>
      </c>
      <c r="C60" s="14">
        <v>18</v>
      </c>
      <c r="D60" s="14">
        <v>19</v>
      </c>
      <c r="E60" s="14">
        <f t="shared" si="5"/>
        <v>1</v>
      </c>
      <c r="F60" s="15" t="s">
        <v>57</v>
      </c>
      <c r="G60" s="15"/>
      <c r="H60" s="15"/>
      <c r="I60" s="15"/>
      <c r="J60" s="15"/>
      <c r="K60" s="15" t="s">
        <v>57</v>
      </c>
      <c r="L60" s="15"/>
      <c r="M60" s="15"/>
      <c r="N60" s="15" t="s">
        <v>57</v>
      </c>
      <c r="O60" s="15"/>
      <c r="P60" s="15" t="s">
        <v>57</v>
      </c>
      <c r="Q60" s="15"/>
      <c r="R60" s="15"/>
      <c r="S60" s="15"/>
      <c r="T60" s="15" t="s">
        <v>57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8" t="s">
        <v>204</v>
      </c>
      <c r="B61" s="19" t="s">
        <v>56</v>
      </c>
      <c r="C61" s="20">
        <v>19</v>
      </c>
      <c r="D61" s="20">
        <v>19.2339814133</v>
      </c>
      <c r="E61" s="20">
        <f t="shared" si="5"/>
        <v>0.23398141330000044</v>
      </c>
      <c r="F61" s="21" t="s">
        <v>57</v>
      </c>
      <c r="G61" s="21"/>
      <c r="H61" s="21"/>
      <c r="I61" s="21"/>
      <c r="J61" s="21"/>
      <c r="K61" s="21" t="s">
        <v>57</v>
      </c>
      <c r="L61" s="21"/>
      <c r="M61" s="21"/>
      <c r="N61" s="21" t="s">
        <v>57</v>
      </c>
      <c r="O61" s="21"/>
      <c r="P61" s="21" t="s">
        <v>57</v>
      </c>
      <c r="Q61" s="21"/>
      <c r="R61" s="21"/>
      <c r="S61" s="21"/>
      <c r="T61" s="21" t="s">
        <v>57</v>
      </c>
      <c r="U61" s="21"/>
      <c r="V61" s="22"/>
      <c r="W61" s="23" t="str">
        <f t="shared" si="6"/>
        <v>OK</v>
      </c>
    </row>
    <row r="62" spans="1:23" ht="15.95" customHeight="1" x14ac:dyDescent="0.25">
      <c r="A62" s="52" t="s">
        <v>206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5"/>
      <c r="W62" s="4"/>
    </row>
    <row r="63" spans="1:23" ht="20.100000000000001" customHeight="1" x14ac:dyDescent="0.25">
      <c r="A63" s="12" t="s">
        <v>207</v>
      </c>
      <c r="B63" s="13" t="s">
        <v>56</v>
      </c>
      <c r="C63" s="14">
        <v>0</v>
      </c>
      <c r="D63" s="14">
        <v>1</v>
      </c>
      <c r="E63" s="14">
        <f>D63-C63</f>
        <v>1</v>
      </c>
      <c r="F63" s="15" t="s">
        <v>57</v>
      </c>
      <c r="G63" s="15"/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/>
      <c r="Q63" s="15"/>
      <c r="R63" s="15" t="s">
        <v>57</v>
      </c>
      <c r="S63" s="15"/>
      <c r="T63" s="15" t="s">
        <v>57</v>
      </c>
      <c r="U63" s="15"/>
      <c r="V63" s="16" t="s">
        <v>208</v>
      </c>
      <c r="W63" s="17" t="str">
        <f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OK</v>
      </c>
    </row>
    <row r="64" spans="1:23" ht="20.100000000000001" customHeight="1" x14ac:dyDescent="0.25">
      <c r="A64" s="18" t="s">
        <v>207</v>
      </c>
      <c r="B64" s="19" t="s">
        <v>56</v>
      </c>
      <c r="C64" s="20">
        <v>1</v>
      </c>
      <c r="D64" s="20">
        <v>1.0864508096300001</v>
      </c>
      <c r="E64" s="20">
        <f>D64-C64</f>
        <v>8.6450809630000069E-2</v>
      </c>
      <c r="F64" s="21" t="s">
        <v>57</v>
      </c>
      <c r="G64" s="21"/>
      <c r="H64" s="21"/>
      <c r="I64" s="21"/>
      <c r="J64" s="21"/>
      <c r="K64" s="21" t="s">
        <v>57</v>
      </c>
      <c r="L64" s="21"/>
      <c r="M64" s="21"/>
      <c r="N64" s="21" t="s">
        <v>57</v>
      </c>
      <c r="O64" s="21"/>
      <c r="P64" s="21"/>
      <c r="Q64" s="21"/>
      <c r="R64" s="21" t="s">
        <v>57</v>
      </c>
      <c r="S64" s="21"/>
      <c r="T64" s="21" t="s">
        <v>57</v>
      </c>
      <c r="U64" s="21"/>
      <c r="V64" s="22" t="s">
        <v>208</v>
      </c>
      <c r="W64" s="23" t="str">
        <f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OK</v>
      </c>
    </row>
    <row r="66" spans="1:22" x14ac:dyDescent="0.25">
      <c r="A66" s="54" t="s">
        <v>60</v>
      </c>
      <c r="B66" s="43"/>
      <c r="C66" s="43"/>
      <c r="D66" s="43"/>
      <c r="E66" s="43"/>
      <c r="G66" s="54" t="s">
        <v>60</v>
      </c>
      <c r="H66" s="43"/>
      <c r="I66" s="43"/>
      <c r="J66" s="43"/>
      <c r="K66" s="43"/>
    </row>
    <row r="67" spans="1:22" x14ac:dyDescent="0.25">
      <c r="A67" s="59" t="s">
        <v>61</v>
      </c>
      <c r="B67" s="43"/>
      <c r="C67" s="43"/>
      <c r="D67" s="43"/>
      <c r="E67" s="43"/>
      <c r="G67" s="59" t="s">
        <v>62</v>
      </c>
      <c r="H67" s="43"/>
      <c r="I67" s="43"/>
      <c r="J67" s="43"/>
      <c r="K67" s="43"/>
    </row>
    <row r="69" spans="1:22" x14ac:dyDescent="0.25">
      <c r="A69" s="60" t="s">
        <v>63</v>
      </c>
      <c r="B69" s="43"/>
      <c r="C69" s="43"/>
      <c r="D69" s="43"/>
      <c r="E69" s="4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x14ac:dyDescent="0.25">
      <c r="A70" s="53" t="s">
        <v>64</v>
      </c>
      <c r="B70" s="43"/>
      <c r="C70" s="43"/>
      <c r="D70" s="43"/>
      <c r="E70" s="43"/>
      <c r="F70" s="9">
        <f t="shared" ref="F70:U70" si="7">SUMIF(F$9:F$64,"X",$E$9:$E$64)</f>
        <v>29.736269905300002</v>
      </c>
      <c r="G70" s="9">
        <f t="shared" si="7"/>
        <v>9.6312180823000002</v>
      </c>
      <c r="H70" s="9">
        <f t="shared" si="7"/>
        <v>7</v>
      </c>
      <c r="I70" s="9">
        <f t="shared" si="7"/>
        <v>0</v>
      </c>
      <c r="J70" s="9">
        <f t="shared" si="7"/>
        <v>2</v>
      </c>
      <c r="K70" s="9">
        <f t="shared" si="7"/>
        <v>48.367487987600008</v>
      </c>
      <c r="L70" s="9">
        <f t="shared" si="7"/>
        <v>0</v>
      </c>
      <c r="M70" s="9">
        <f t="shared" si="7"/>
        <v>0</v>
      </c>
      <c r="N70" s="9">
        <f t="shared" si="7"/>
        <v>44.736269905299999</v>
      </c>
      <c r="O70" s="9">
        <f t="shared" si="7"/>
        <v>3.6312180823000002</v>
      </c>
      <c r="P70" s="9">
        <f t="shared" si="7"/>
        <v>43.649819095669997</v>
      </c>
      <c r="Q70" s="9">
        <f t="shared" si="7"/>
        <v>0</v>
      </c>
      <c r="R70" s="9">
        <f t="shared" si="7"/>
        <v>4.7176688919299998</v>
      </c>
      <c r="S70" s="9">
        <f t="shared" si="7"/>
        <v>0</v>
      </c>
      <c r="T70" s="9">
        <f t="shared" si="7"/>
        <v>48.367487987600008</v>
      </c>
      <c r="U70" s="9">
        <f t="shared" si="7"/>
        <v>0</v>
      </c>
    </row>
    <row r="71" spans="1:22" x14ac:dyDescent="0.25">
      <c r="A71" s="53" t="s">
        <v>65</v>
      </c>
      <c r="B71" s="43"/>
      <c r="C71" s="43"/>
      <c r="D71" s="43"/>
      <c r="E71" s="43"/>
      <c r="F71" s="25">
        <f t="shared" ref="F71:U71" si="8">IF($R73=0,0,F70/$R73)</f>
        <v>0.61479872415378489</v>
      </c>
      <c r="G71" s="25">
        <f t="shared" si="8"/>
        <v>0.19912586911210189</v>
      </c>
      <c r="H71" s="25">
        <f t="shared" si="8"/>
        <v>0.14472531634875463</v>
      </c>
      <c r="I71" s="25">
        <f t="shared" si="8"/>
        <v>0</v>
      </c>
      <c r="J71" s="25">
        <f t="shared" si="8"/>
        <v>4.1350090385358459E-2</v>
      </c>
      <c r="K71" s="25">
        <f t="shared" si="8"/>
        <v>1</v>
      </c>
      <c r="L71" s="25">
        <f t="shared" si="8"/>
        <v>0</v>
      </c>
      <c r="M71" s="25">
        <f t="shared" si="8"/>
        <v>0</v>
      </c>
      <c r="N71" s="25">
        <f t="shared" si="8"/>
        <v>0.9249244020439733</v>
      </c>
      <c r="O71" s="25">
        <f t="shared" si="8"/>
        <v>7.5075597956026516E-2</v>
      </c>
      <c r="P71" s="25">
        <f t="shared" si="8"/>
        <v>0.90246198245525011</v>
      </c>
      <c r="Q71" s="25">
        <f t="shared" si="8"/>
        <v>0</v>
      </c>
      <c r="R71" s="25">
        <f t="shared" si="8"/>
        <v>9.7538017544749694E-2</v>
      </c>
      <c r="S71" s="25">
        <f t="shared" si="8"/>
        <v>0</v>
      </c>
      <c r="T71" s="25">
        <f t="shared" si="8"/>
        <v>1</v>
      </c>
      <c r="U71" s="25">
        <f t="shared" si="8"/>
        <v>0</v>
      </c>
    </row>
    <row r="72" spans="1:22" x14ac:dyDescent="0.25">
      <c r="A72" s="53" t="s">
        <v>66</v>
      </c>
      <c r="B72" s="43"/>
      <c r="C72" s="43"/>
      <c r="D72" s="43"/>
      <c r="E72" s="43"/>
      <c r="F72" s="51" t="str">
        <f>IF(SUM(F70:J70)=0,"— não preenchido",IF(ROUND(SUM(F70:J70)-$R73,3)=0,"OK — "&amp;ROUND(SUM(F70:J70),3)&amp;" km","ERRO — dif. de "&amp;ROUND(SUM(F70:J70)-$R73,3)&amp;" km"))</f>
        <v>OK — 48,367 km</v>
      </c>
      <c r="G72" s="47"/>
      <c r="H72" s="47"/>
      <c r="I72" s="47"/>
      <c r="J72" s="45"/>
      <c r="K72" s="51" t="str">
        <f>IF(SUM(K70:L70)=0,"— não preenchido",IF(ROUND(SUM(K70:L70)-$R73,3)=0,"OK — "&amp;ROUND(SUM(K70:L70),3)&amp;" km","ERRO — dif. de "&amp;ROUND(SUM(K70:L70)-$R73,3)&amp;" km"))</f>
        <v>OK — 48,367 km</v>
      </c>
      <c r="L72" s="45"/>
      <c r="M72" s="51" t="str">
        <f>IF(SUM(M70:O70)=0,"— não preenchido",IF(ROUND(SUM(M70:O70)-$R73,3)=0,"OK — "&amp;ROUND(SUM(M70:O70),3)&amp;" km","ERRO — dif. de "&amp;ROUND(SUM(M70:O70)-$R73,3)&amp;" km"))</f>
        <v>OK — 48,367 km</v>
      </c>
      <c r="N72" s="47"/>
      <c r="O72" s="45"/>
      <c r="P72" s="51" t="str">
        <f>IF(SUM(P70:R70)=0,"— não preenchido",IF(ROUND(SUM(P70:R70)-$R73,3)=0,"OK — "&amp;ROUND(SUM(P70:R70),3)&amp;" km","ERRO — dif. de "&amp;ROUND(SUM(P70:R70)-$R73,3)&amp;" km"))</f>
        <v>OK — 48,367 km</v>
      </c>
      <c r="Q72" s="47"/>
      <c r="R72" s="45"/>
      <c r="S72" s="51" t="str">
        <f>IF(SUM(S70:U70)=0,"— não preenchido",IF(ROUND(SUM(S70:U70)-$R73,3)=0,"OK — "&amp;ROUND(SUM(S70:U70),3)&amp;" km","ERRO — dif. de "&amp;ROUND(SUM(S70:U70)-$R73,3)&amp;" km"))</f>
        <v>OK — 48,367 km</v>
      </c>
      <c r="T72" s="47"/>
      <c r="U72" s="45"/>
    </row>
    <row r="73" spans="1:22" x14ac:dyDescent="0.25">
      <c r="A73" s="53" t="s">
        <v>67</v>
      </c>
      <c r="B73" s="43"/>
      <c r="C73" s="43"/>
      <c r="D73" s="43"/>
      <c r="E73" s="43"/>
      <c r="R73" s="26">
        <f>SUM(E9:E64)</f>
        <v>48.367487987600008</v>
      </c>
      <c r="V73" s="8" t="str">
        <f>COUNTIF(W9:W64,"OK")&amp;" de "&amp;COUNT($E$9:$E$64)&amp;" linhas conferidas"</f>
        <v>52 de 52 linhas conferidas</v>
      </c>
    </row>
    <row r="75" spans="1:22" x14ac:dyDescent="0.25">
      <c r="A75" s="55" t="s">
        <v>68</v>
      </c>
      <c r="B75" s="43"/>
      <c r="C75" s="43"/>
      <c r="D75" s="43"/>
      <c r="E75" s="43"/>
    </row>
    <row r="76" spans="1:22" x14ac:dyDescent="0.25">
      <c r="A76" s="53" t="s">
        <v>69</v>
      </c>
      <c r="B76" s="43"/>
      <c r="C76" s="43"/>
      <c r="D76" s="43"/>
      <c r="E76" s="61" t="s">
        <v>70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spans="1:22" x14ac:dyDescent="0.25">
      <c r="A77" s="53" t="s">
        <v>71</v>
      </c>
      <c r="B77" s="43"/>
      <c r="C77" s="43"/>
      <c r="D77" s="43"/>
      <c r="E77" s="61" t="s">
        <v>72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spans="1:22" x14ac:dyDescent="0.25">
      <c r="A78" s="53" t="s">
        <v>73</v>
      </c>
      <c r="B78" s="43"/>
      <c r="C78" s="43"/>
      <c r="D78" s="43"/>
      <c r="E78" s="61" t="s">
        <v>74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 x14ac:dyDescent="0.25">
      <c r="A79" s="53" t="s">
        <v>75</v>
      </c>
      <c r="B79" s="43"/>
      <c r="C79" s="43"/>
      <c r="D79" s="43"/>
      <c r="E79" s="61" t="s">
        <v>76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 x14ac:dyDescent="0.25">
      <c r="A80" s="53" t="s">
        <v>77</v>
      </c>
      <c r="B80" s="43"/>
      <c r="C80" s="43"/>
      <c r="D80" s="43"/>
      <c r="E80" s="61" t="s">
        <v>78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 x14ac:dyDescent="0.25">
      <c r="A81" s="53" t="s">
        <v>48</v>
      </c>
      <c r="B81" s="43"/>
      <c r="C81" s="43"/>
      <c r="D81" s="43"/>
      <c r="E81" s="61" t="s">
        <v>79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 x14ac:dyDescent="0.25">
      <c r="A82" s="53" t="s">
        <v>80</v>
      </c>
      <c r="B82" s="43"/>
      <c r="C82" s="43"/>
      <c r="D82" s="43"/>
      <c r="E82" s="61" t="s">
        <v>81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 x14ac:dyDescent="0.25">
      <c r="A83" s="53" t="s">
        <v>82</v>
      </c>
      <c r="B83" s="43"/>
      <c r="C83" s="43"/>
      <c r="D83" s="43"/>
      <c r="E83" s="61" t="s">
        <v>83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 x14ac:dyDescent="0.25">
      <c r="A84" s="53" t="s">
        <v>11</v>
      </c>
      <c r="B84" s="43"/>
      <c r="C84" s="43"/>
      <c r="D84" s="43"/>
      <c r="E84" s="61" t="s">
        <v>84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</sheetData>
  <sheetProtection formatCells="0"/>
  <mergeCells count="61">
    <mergeCell ref="A84:D84"/>
    <mergeCell ref="S72:U72"/>
    <mergeCell ref="A80:D80"/>
    <mergeCell ref="A41:V41"/>
    <mergeCell ref="A72:E72"/>
    <mergeCell ref="E83:V83"/>
    <mergeCell ref="A76:D76"/>
    <mergeCell ref="A67:E67"/>
    <mergeCell ref="P72:R72"/>
    <mergeCell ref="E84:V84"/>
    <mergeCell ref="A83:D83"/>
    <mergeCell ref="E77:V77"/>
    <mergeCell ref="E80:V80"/>
    <mergeCell ref="E82:V82"/>
    <mergeCell ref="A73:E73"/>
    <mergeCell ref="A82:D82"/>
    <mergeCell ref="A1:V1"/>
    <mergeCell ref="A78:D78"/>
    <mergeCell ref="F72:J72"/>
    <mergeCell ref="A71:E71"/>
    <mergeCell ref="E81:V81"/>
    <mergeCell ref="E79:V79"/>
    <mergeCell ref="T3:V3"/>
    <mergeCell ref="R2:V2"/>
    <mergeCell ref="A3:S3"/>
    <mergeCell ref="C6:C7"/>
    <mergeCell ref="K6:L6"/>
    <mergeCell ref="D6:D7"/>
    <mergeCell ref="P6:R6"/>
    <mergeCell ref="E78:V78"/>
    <mergeCell ref="A13:V13"/>
    <mergeCell ref="A77:D77"/>
    <mergeCell ref="W6:W7"/>
    <mergeCell ref="A75:E75"/>
    <mergeCell ref="E6:E7"/>
    <mergeCell ref="A66:E66"/>
    <mergeCell ref="B6:B7"/>
    <mergeCell ref="A34:V34"/>
    <mergeCell ref="M72:O72"/>
    <mergeCell ref="A62:V62"/>
    <mergeCell ref="F6:J6"/>
    <mergeCell ref="G67:K67"/>
    <mergeCell ref="M6:O6"/>
    <mergeCell ref="A6:A7"/>
    <mergeCell ref="V6:V7"/>
    <mergeCell ref="A70:E70"/>
    <mergeCell ref="S6:U6"/>
    <mergeCell ref="A69:E69"/>
    <mergeCell ref="G2:H2"/>
    <mergeCell ref="I2:J2"/>
    <mergeCell ref="A8:V8"/>
    <mergeCell ref="A81:D81"/>
    <mergeCell ref="A4:V4"/>
    <mergeCell ref="A2:F2"/>
    <mergeCell ref="K2:M2"/>
    <mergeCell ref="N2:O2"/>
    <mergeCell ref="K72:L72"/>
    <mergeCell ref="P2:Q2"/>
    <mergeCell ref="G66:K66"/>
    <mergeCell ref="A79:D79"/>
    <mergeCell ref="E76:V76"/>
  </mergeCells>
  <conditionalFormatting sqref="F9:J64">
    <cfRule type="expression" dxfId="26" priority="1">
      <formula>AND(F9&lt;&gt;"",COUNTIF($F9:$J9,"X")&gt;1)</formula>
    </cfRule>
  </conditionalFormatting>
  <conditionalFormatting sqref="F72:U72">
    <cfRule type="expression" dxfId="25" priority="8">
      <formula>LEFT(F72,4)="ERRO"</formula>
    </cfRule>
    <cfRule type="expression" dxfId="24" priority="9">
      <formula>LEFT(F72,2)="OK"</formula>
    </cfRule>
  </conditionalFormatting>
  <conditionalFormatting sqref="K9:L64">
    <cfRule type="expression" dxfId="23" priority="2">
      <formula>AND(K9&lt;&gt;"",COUNTIF($K9:$L9,"X")&gt;1)</formula>
    </cfRule>
  </conditionalFormatting>
  <conditionalFormatting sqref="M9:O64">
    <cfRule type="expression" dxfId="22" priority="3">
      <formula>AND(M9&lt;&gt;"",COUNTIF($M9:$O9,"X")&gt;1)</formula>
    </cfRule>
  </conditionalFormatting>
  <conditionalFormatting sqref="P9:R64">
    <cfRule type="expression" dxfId="21" priority="4">
      <formula>AND(P9&lt;&gt;"",COUNTIF($P9:$R9,"X")&gt;1)</formula>
    </cfRule>
  </conditionalFormatting>
  <conditionalFormatting sqref="S9:U64">
    <cfRule type="expression" dxfId="20" priority="5">
      <formula>AND(S9&lt;&gt;"",COUNTIF($S9:$U9,"X")&gt;1)</formula>
    </cfRule>
  </conditionalFormatting>
  <conditionalFormatting sqref="W9:W64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4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4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4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4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4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64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259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7D31"/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 t="e">
        <f t="shared" ref="Y2:AN2" si="0">IF(F16=0,NA(),F16)</f>
        <v>#N/A</v>
      </c>
      <c r="Z2" s="2">
        <f t="shared" si="0"/>
        <v>1.08661106769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1.08661106769</v>
      </c>
      <c r="AE2" s="2" t="e">
        <f t="shared" si="0"/>
        <v>#N/A</v>
      </c>
      <c r="AF2" s="2">
        <f t="shared" si="0"/>
        <v>1.08661106769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1.08661106769</v>
      </c>
      <c r="AK2" s="2" t="e">
        <f t="shared" si="0"/>
        <v>#N/A</v>
      </c>
      <c r="AL2" s="2" t="e">
        <f t="shared" si="0"/>
        <v>#N/A</v>
      </c>
      <c r="AM2" s="2">
        <f t="shared" si="0"/>
        <v>1.08661106769</v>
      </c>
      <c r="AN2" s="2" t="e">
        <f t="shared" si="0"/>
        <v>#N/A</v>
      </c>
    </row>
    <row r="3" spans="1:40" ht="15" customHeight="1" x14ac:dyDescent="0.25">
      <c r="A3" s="64" t="s">
        <v>209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210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211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212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212</v>
      </c>
      <c r="B10" s="19" t="s">
        <v>56</v>
      </c>
      <c r="C10" s="20">
        <v>1</v>
      </c>
      <c r="D10" s="20">
        <v>1.08661106769</v>
      </c>
      <c r="E10" s="20">
        <f>D10-C10</f>
        <v>8.6611067690000043E-2</v>
      </c>
      <c r="F10" s="21"/>
      <c r="G10" s="21" t="s">
        <v>57</v>
      </c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 t="s">
        <v>57</v>
      </c>
      <c r="R10" s="21"/>
      <c r="S10" s="21"/>
      <c r="T10" s="21" t="s">
        <v>57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54" t="s">
        <v>60</v>
      </c>
      <c r="B12" s="43"/>
      <c r="C12" s="43"/>
      <c r="D12" s="43"/>
      <c r="E12" s="43"/>
      <c r="G12" s="54" t="s">
        <v>60</v>
      </c>
      <c r="H12" s="43"/>
      <c r="I12" s="43"/>
      <c r="J12" s="43"/>
      <c r="K12" s="43"/>
    </row>
    <row r="13" spans="1:40" x14ac:dyDescent="0.25">
      <c r="A13" s="59" t="s">
        <v>61</v>
      </c>
      <c r="B13" s="43"/>
      <c r="C13" s="43"/>
      <c r="D13" s="43"/>
      <c r="E13" s="43"/>
      <c r="G13" s="59" t="s">
        <v>62</v>
      </c>
      <c r="H13" s="43"/>
      <c r="I13" s="43"/>
      <c r="J13" s="43"/>
      <c r="K13" s="43"/>
    </row>
    <row r="15" spans="1:40" x14ac:dyDescent="0.25">
      <c r="A15" s="60" t="s">
        <v>63</v>
      </c>
      <c r="B15" s="43"/>
      <c r="C15" s="43"/>
      <c r="D15" s="43"/>
      <c r="E15" s="4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53" t="s">
        <v>64</v>
      </c>
      <c r="B16" s="43"/>
      <c r="C16" s="43"/>
      <c r="D16" s="43"/>
      <c r="E16" s="43"/>
      <c r="F16" s="9">
        <f t="shared" ref="F16:U16" si="1">SUMIF(F$9:F$10,"X",$E$9:$E$10)</f>
        <v>0</v>
      </c>
      <c r="G16" s="9">
        <f t="shared" si="1"/>
        <v>1.08661106769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1.08661106769</v>
      </c>
      <c r="L16" s="9">
        <f t="shared" si="1"/>
        <v>0</v>
      </c>
      <c r="M16" s="9">
        <f t="shared" si="1"/>
        <v>1.08661106769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1.08661106769</v>
      </c>
      <c r="R16" s="9">
        <f t="shared" si="1"/>
        <v>0</v>
      </c>
      <c r="S16" s="9">
        <f t="shared" si="1"/>
        <v>0</v>
      </c>
      <c r="T16" s="9">
        <f t="shared" si="1"/>
        <v>1.08661106769</v>
      </c>
      <c r="U16" s="9">
        <f t="shared" si="1"/>
        <v>0</v>
      </c>
    </row>
    <row r="17" spans="1:22" x14ac:dyDescent="0.25">
      <c r="A17" s="53" t="s">
        <v>65</v>
      </c>
      <c r="B17" s="43"/>
      <c r="C17" s="43"/>
      <c r="D17" s="43"/>
      <c r="E17" s="43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53" t="s">
        <v>66</v>
      </c>
      <c r="B18" s="43"/>
      <c r="C18" s="43"/>
      <c r="D18" s="43"/>
      <c r="E18" s="43"/>
      <c r="F18" s="51" t="str">
        <f>IF(SUM(F16:J16)=0,"— não preenchido",IF(ROUND(SUM(F16:J16)-$R19,3)=0,"OK — "&amp;ROUND(SUM(F16:J16),3)&amp;" km","ERRO — dif. de "&amp;ROUND(SUM(F16:J16)-$R19,3)&amp;" km"))</f>
        <v>OK — 1,087 km</v>
      </c>
      <c r="G18" s="47"/>
      <c r="H18" s="47"/>
      <c r="I18" s="47"/>
      <c r="J18" s="45"/>
      <c r="K18" s="51" t="str">
        <f>IF(SUM(K16:L16)=0,"— não preenchido",IF(ROUND(SUM(K16:L16)-$R19,3)=0,"OK — "&amp;ROUND(SUM(K16:L16),3)&amp;" km","ERRO — dif. de "&amp;ROUND(SUM(K16:L16)-$R19,3)&amp;" km"))</f>
        <v>OK — 1,087 km</v>
      </c>
      <c r="L18" s="45"/>
      <c r="M18" s="51" t="str">
        <f>IF(SUM(M16:O16)=0,"— não preenchido",IF(ROUND(SUM(M16:O16)-$R19,3)=0,"OK — "&amp;ROUND(SUM(M16:O16),3)&amp;" km","ERRO — dif. de "&amp;ROUND(SUM(M16:O16)-$R19,3)&amp;" km"))</f>
        <v>OK — 1,087 km</v>
      </c>
      <c r="N18" s="47"/>
      <c r="O18" s="45"/>
      <c r="P18" s="51" t="str">
        <f>IF(SUM(P16:R16)=0,"— não preenchido",IF(ROUND(SUM(P16:R16)-$R19,3)=0,"OK — "&amp;ROUND(SUM(P16:R16),3)&amp;" km","ERRO — dif. de "&amp;ROUND(SUM(P16:R16)-$R19,3)&amp;" km"))</f>
        <v>OK — 1,087 km</v>
      </c>
      <c r="Q18" s="47"/>
      <c r="R18" s="45"/>
      <c r="S18" s="51" t="str">
        <f>IF(SUM(S16:U16)=0,"— não preenchido",IF(ROUND(SUM(S16:U16)-$R19,3)=0,"OK — "&amp;ROUND(SUM(S16:U16),3)&amp;" km","ERRO — dif. de "&amp;ROUND(SUM(S16:U16)-$R19,3)&amp;" km"))</f>
        <v>OK — 1,087 km</v>
      </c>
      <c r="T18" s="47"/>
      <c r="U18" s="45"/>
    </row>
    <row r="19" spans="1:22" x14ac:dyDescent="0.25">
      <c r="A19" s="53" t="s">
        <v>67</v>
      </c>
      <c r="B19" s="43"/>
      <c r="C19" s="43"/>
      <c r="D19" s="43"/>
      <c r="E19" s="43"/>
      <c r="R19" s="26">
        <f>SUM(E9:E10)</f>
        <v>1.08661106769</v>
      </c>
      <c r="V19" s="8" t="str">
        <f>COUNTIF(W9:W10,"OK")&amp;" de "&amp;COUNT($E$9:$E$10)&amp;" linhas conferidas"</f>
        <v>2 de 2 linhas conferidas</v>
      </c>
    </row>
    <row r="21" spans="1:22" x14ac:dyDescent="0.25">
      <c r="A21" s="55" t="s">
        <v>68</v>
      </c>
      <c r="B21" s="43"/>
      <c r="C21" s="43"/>
      <c r="D21" s="43"/>
      <c r="E21" s="43"/>
    </row>
    <row r="22" spans="1:22" x14ac:dyDescent="0.25">
      <c r="A22" s="53" t="s">
        <v>69</v>
      </c>
      <c r="B22" s="43"/>
      <c r="C22" s="43"/>
      <c r="D22" s="43"/>
      <c r="E22" s="61" t="s">
        <v>70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spans="1:22" x14ac:dyDescent="0.25">
      <c r="A23" s="53" t="s">
        <v>71</v>
      </c>
      <c r="B23" s="43"/>
      <c r="C23" s="43"/>
      <c r="D23" s="43"/>
      <c r="E23" s="61" t="s">
        <v>72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spans="1:22" x14ac:dyDescent="0.25">
      <c r="A24" s="53" t="s">
        <v>73</v>
      </c>
      <c r="B24" s="43"/>
      <c r="C24" s="43"/>
      <c r="D24" s="43"/>
      <c r="E24" s="61" t="s">
        <v>74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1:22" x14ac:dyDescent="0.25">
      <c r="A25" s="53" t="s">
        <v>75</v>
      </c>
      <c r="B25" s="43"/>
      <c r="C25" s="43"/>
      <c r="D25" s="43"/>
      <c r="E25" s="61" t="s">
        <v>76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spans="1:22" x14ac:dyDescent="0.25">
      <c r="A26" s="53" t="s">
        <v>77</v>
      </c>
      <c r="B26" s="43"/>
      <c r="C26" s="43"/>
      <c r="D26" s="43"/>
      <c r="E26" s="61" t="s">
        <v>78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spans="1:22" x14ac:dyDescent="0.25">
      <c r="A27" s="53" t="s">
        <v>48</v>
      </c>
      <c r="B27" s="43"/>
      <c r="C27" s="43"/>
      <c r="D27" s="43"/>
      <c r="E27" s="61" t="s">
        <v>79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1:22" x14ac:dyDescent="0.25">
      <c r="A28" s="53" t="s">
        <v>80</v>
      </c>
      <c r="B28" s="43"/>
      <c r="C28" s="43"/>
      <c r="D28" s="43"/>
      <c r="E28" s="61" t="s">
        <v>81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1:22" x14ac:dyDescent="0.25">
      <c r="A29" s="53" t="s">
        <v>82</v>
      </c>
      <c r="B29" s="43"/>
      <c r="C29" s="43"/>
      <c r="D29" s="43"/>
      <c r="E29" s="61" t="s">
        <v>83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22" x14ac:dyDescent="0.25">
      <c r="A30" s="53" t="s">
        <v>11</v>
      </c>
      <c r="B30" s="43"/>
      <c r="C30" s="43"/>
      <c r="D30" s="43"/>
      <c r="E30" s="61" t="s">
        <v>84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</sheetData>
  <sheetProtection formatCells="0"/>
  <mergeCells count="57"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</mergeCells>
  <conditionalFormatting sqref="F9:J10">
    <cfRule type="expression" dxfId="17" priority="1">
      <formula>AND(F9&lt;&gt;"",COUNTIF($F9:$J9,"X")&gt;1)</formula>
    </cfRule>
  </conditionalFormatting>
  <conditionalFormatting sqref="F18:U18">
    <cfRule type="expression" dxfId="16" priority="8">
      <formula>LEFT(F18,4)="ERRO"</formula>
    </cfRule>
    <cfRule type="expression" dxfId="15" priority="9">
      <formula>LEFT(F18,2)="OK"</formula>
    </cfRule>
  </conditionalFormatting>
  <conditionalFormatting sqref="K9:L10">
    <cfRule type="expression" dxfId="14" priority="2">
      <formula>AND(K9&lt;&gt;"",COUNTIF($K9:$L9,"X")&gt;1)</formula>
    </cfRule>
  </conditionalFormatting>
  <conditionalFormatting sqref="M9:O10">
    <cfRule type="expression" dxfId="13" priority="3">
      <formula>AND(M9&lt;&gt;"",COUNTIF($M9:$O9,"X")&gt;1)</formula>
    </cfRule>
  </conditionalFormatting>
  <conditionalFormatting sqref="P9:R10">
    <cfRule type="expression" dxfId="12" priority="4">
      <formula>AND(P9&lt;&gt;"",COUNTIF($P9:$R9,"X")&gt;1)</formula>
    </cfRule>
  </conditionalFormatting>
  <conditionalFormatting sqref="S9:U10">
    <cfRule type="expression" dxfId="11" priority="5">
      <formula>AND(S9&lt;&gt;"",COUNTIF($S9:$U9,"X")&gt;1)</formula>
    </cfRule>
  </conditionalFormatting>
  <conditionalFormatting sqref="W9:W10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D7D31"/>
    <pageSetUpPr fitToPage="1"/>
  </sheetPr>
  <dimension ref="A1:AN56"/>
  <sheetViews>
    <sheetView showGridLines="0" workbookViewId="0">
      <pane xSplit="5" ySplit="7" topLeftCell="F33" activePane="bottomRight" state="frozen"/>
      <selection pane="topRight"/>
      <selection pane="bottomLeft"/>
      <selection pane="bottomRight" activeCell="L25" sqref="L2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Y1" s="1" t="s">
        <v>1</v>
      </c>
    </row>
    <row r="2" spans="1:40" ht="17.100000000000001" customHeight="1" x14ac:dyDescent="0.25">
      <c r="A2" s="56" t="s">
        <v>40</v>
      </c>
      <c r="B2" s="43"/>
      <c r="C2" s="43"/>
      <c r="D2" s="43"/>
      <c r="E2" s="43"/>
      <c r="F2" s="43"/>
      <c r="G2" s="57" t="s">
        <v>41</v>
      </c>
      <c r="H2" s="43"/>
      <c r="I2" s="49">
        <v>46266</v>
      </c>
      <c r="J2" s="50"/>
      <c r="K2" s="57" t="s">
        <v>42</v>
      </c>
      <c r="L2" s="43"/>
      <c r="M2" s="43"/>
      <c r="N2" s="58"/>
      <c r="O2" s="50"/>
      <c r="P2" s="57" t="s">
        <v>43</v>
      </c>
      <c r="Q2" s="43"/>
      <c r="R2" s="62" t="s">
        <v>222</v>
      </c>
      <c r="S2" s="63"/>
      <c r="T2" s="63"/>
      <c r="U2" s="63"/>
      <c r="V2" s="50"/>
      <c r="Y2" s="2" t="e">
        <f t="shared" ref="Y2:AN2" si="0">IF(F42=0,NA(),F42)</f>
        <v>#N/A</v>
      </c>
      <c r="Z2" s="2">
        <f t="shared" si="0"/>
        <v>23.761116343099999</v>
      </c>
      <c r="AA2" s="2">
        <f t="shared" si="0"/>
        <v>2.9762042709800003</v>
      </c>
      <c r="AB2" s="2" t="e">
        <f t="shared" si="0"/>
        <v>#N/A</v>
      </c>
      <c r="AC2" s="2" t="e">
        <f t="shared" si="0"/>
        <v>#N/A</v>
      </c>
      <c r="AD2" s="2">
        <f t="shared" si="0"/>
        <v>21.737320614079998</v>
      </c>
      <c r="AE2" s="2">
        <f t="shared" si="0"/>
        <v>5</v>
      </c>
      <c r="AF2" s="2">
        <f t="shared" si="0"/>
        <v>26.737320614079998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26.737320614079998</v>
      </c>
      <c r="AK2" s="2" t="e">
        <f t="shared" si="0"/>
        <v>#N/A</v>
      </c>
      <c r="AL2" s="2" t="e">
        <f t="shared" si="0"/>
        <v>#N/A</v>
      </c>
      <c r="AM2" s="2">
        <f t="shared" si="0"/>
        <v>26.737320614079998</v>
      </c>
      <c r="AN2" s="2" t="e">
        <f t="shared" si="0"/>
        <v>#N/A</v>
      </c>
    </row>
    <row r="3" spans="1:40" ht="15" customHeight="1" x14ac:dyDescent="0.25">
      <c r="A3" s="64" t="s">
        <v>213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7" t="s">
        <v>214</v>
      </c>
      <c r="U3" s="43"/>
      <c r="V3" s="43"/>
    </row>
    <row r="4" spans="1:40" ht="20.100000000000001" customHeight="1" x14ac:dyDescent="0.25">
      <c r="A4" s="48" t="s">
        <v>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6" spans="1:40" ht="21.95" customHeight="1" x14ac:dyDescent="0.25">
      <c r="A6" s="44" t="s">
        <v>47</v>
      </c>
      <c r="B6" s="44" t="s">
        <v>48</v>
      </c>
      <c r="C6" s="44" t="s">
        <v>49</v>
      </c>
      <c r="D6" s="44" t="s">
        <v>50</v>
      </c>
      <c r="E6" s="44" t="s">
        <v>51</v>
      </c>
      <c r="F6" s="44" t="s">
        <v>6</v>
      </c>
      <c r="G6" s="47"/>
      <c r="H6" s="47"/>
      <c r="I6" s="47"/>
      <c r="J6" s="45"/>
      <c r="K6" s="44" t="s">
        <v>7</v>
      </c>
      <c r="L6" s="45"/>
      <c r="M6" s="44" t="s">
        <v>8</v>
      </c>
      <c r="N6" s="47"/>
      <c r="O6" s="45"/>
      <c r="P6" s="44" t="s">
        <v>9</v>
      </c>
      <c r="Q6" s="47"/>
      <c r="R6" s="45"/>
      <c r="S6" s="44" t="s">
        <v>10</v>
      </c>
      <c r="T6" s="47"/>
      <c r="U6" s="45"/>
      <c r="V6" s="44" t="s">
        <v>52</v>
      </c>
      <c r="W6" s="44" t="s">
        <v>53</v>
      </c>
    </row>
    <row r="7" spans="1:40" ht="20.100000000000001" customHeight="1" x14ac:dyDescent="0.25">
      <c r="A7" s="46"/>
      <c r="B7" s="46"/>
      <c r="C7" s="46"/>
      <c r="D7" s="46"/>
      <c r="E7" s="4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46"/>
      <c r="W7" s="46"/>
    </row>
    <row r="8" spans="1:40" ht="15.95" customHeight="1" x14ac:dyDescent="0.25">
      <c r="A8" s="52" t="s">
        <v>215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5"/>
      <c r="W8" s="4"/>
    </row>
    <row r="9" spans="1:40" ht="20.100000000000001" customHeight="1" x14ac:dyDescent="0.25">
      <c r="A9" s="12" t="s">
        <v>216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216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 t="s">
        <v>57</v>
      </c>
      <c r="N10" s="15"/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216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 t="s">
        <v>57</v>
      </c>
      <c r="N11" s="15"/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216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 t="s">
        <v>57</v>
      </c>
      <c r="N12" s="15"/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216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216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 t="s">
        <v>57</v>
      </c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216</v>
      </c>
      <c r="B15" s="19" t="s">
        <v>56</v>
      </c>
      <c r="C15" s="20">
        <v>6</v>
      </c>
      <c r="D15" s="20">
        <v>6.9762042709800003</v>
      </c>
      <c r="E15" s="20">
        <f t="shared" si="1"/>
        <v>0.97620427098000029</v>
      </c>
      <c r="F15" s="21"/>
      <c r="G15" s="21"/>
      <c r="H15" s="21" t="s">
        <v>57</v>
      </c>
      <c r="I15" s="21"/>
      <c r="J15" s="21"/>
      <c r="K15" s="21" t="s">
        <v>57</v>
      </c>
      <c r="L15" s="21"/>
      <c r="M15" s="21" t="s">
        <v>57</v>
      </c>
      <c r="N15" s="21"/>
      <c r="O15" s="21"/>
      <c r="P15" s="21"/>
      <c r="Q15" s="21" t="s">
        <v>57</v>
      </c>
      <c r="R15" s="21"/>
      <c r="S15" s="21"/>
      <c r="T15" s="21" t="s">
        <v>57</v>
      </c>
      <c r="U15" s="21"/>
      <c r="V15" s="22"/>
      <c r="W15" s="23" t="str">
        <f t="shared" si="2"/>
        <v>OK</v>
      </c>
    </row>
    <row r="16" spans="1:40" ht="15.95" customHeight="1" x14ac:dyDescent="0.25">
      <c r="A16" s="52" t="s">
        <v>217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5"/>
      <c r="W16" s="4"/>
    </row>
    <row r="17" spans="1:23" ht="20.100000000000001" customHeight="1" x14ac:dyDescent="0.25">
      <c r="A17" s="12" t="s">
        <v>218</v>
      </c>
      <c r="B17" s="13" t="s">
        <v>56</v>
      </c>
      <c r="C17" s="14">
        <v>0</v>
      </c>
      <c r="D17" s="14">
        <v>1</v>
      </c>
      <c r="E17" s="14">
        <f t="shared" ref="E17:E36" si="3">D17-C17</f>
        <v>1</v>
      </c>
      <c r="F17" s="15"/>
      <c r="G17" s="15" t="s">
        <v>57</v>
      </c>
      <c r="H17" s="15"/>
      <c r="I17" s="15"/>
      <c r="J17" s="15"/>
      <c r="K17" s="15"/>
      <c r="L17" s="15" t="s">
        <v>57</v>
      </c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ref="W17:W36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218</v>
      </c>
      <c r="B18" s="13" t="s">
        <v>56</v>
      </c>
      <c r="C18" s="14">
        <v>1</v>
      </c>
      <c r="D18" s="14">
        <v>2</v>
      </c>
      <c r="E18" s="14">
        <f t="shared" si="3"/>
        <v>1</v>
      </c>
      <c r="F18" s="15"/>
      <c r="G18" s="15"/>
      <c r="H18" s="15" t="s">
        <v>57</v>
      </c>
      <c r="I18" s="15"/>
      <c r="J18" s="15"/>
      <c r="K18" s="15"/>
      <c r="L18" s="15" t="s">
        <v>57</v>
      </c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218</v>
      </c>
      <c r="B19" s="13" t="s">
        <v>56</v>
      </c>
      <c r="C19" s="14">
        <v>2</v>
      </c>
      <c r="D19" s="14">
        <v>3</v>
      </c>
      <c r="E19" s="14">
        <f t="shared" si="3"/>
        <v>1</v>
      </c>
      <c r="F19" s="15"/>
      <c r="G19" s="15"/>
      <c r="H19" s="15" t="s">
        <v>57</v>
      </c>
      <c r="I19" s="15"/>
      <c r="J19" s="15"/>
      <c r="K19" s="15"/>
      <c r="L19" s="15" t="s">
        <v>57</v>
      </c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218</v>
      </c>
      <c r="B20" s="13" t="s">
        <v>56</v>
      </c>
      <c r="C20" s="14">
        <v>3</v>
      </c>
      <c r="D20" s="14">
        <v>4</v>
      </c>
      <c r="E20" s="14">
        <f t="shared" si="3"/>
        <v>1</v>
      </c>
      <c r="F20" s="15"/>
      <c r="G20" s="15" t="s">
        <v>57</v>
      </c>
      <c r="H20" s="15"/>
      <c r="I20" s="15"/>
      <c r="J20" s="15"/>
      <c r="K20" s="15"/>
      <c r="L20" s="15" t="s">
        <v>57</v>
      </c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218</v>
      </c>
      <c r="B21" s="13" t="s">
        <v>56</v>
      </c>
      <c r="C21" s="14">
        <v>4</v>
      </c>
      <c r="D21" s="14">
        <v>5</v>
      </c>
      <c r="E21" s="14">
        <f t="shared" si="3"/>
        <v>1</v>
      </c>
      <c r="F21" s="15"/>
      <c r="G21" s="15" t="s">
        <v>57</v>
      </c>
      <c r="H21" s="15"/>
      <c r="I21" s="15"/>
      <c r="J21" s="15"/>
      <c r="K21" s="15"/>
      <c r="L21" s="15" t="s">
        <v>57</v>
      </c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218</v>
      </c>
      <c r="B22" s="13" t="s">
        <v>56</v>
      </c>
      <c r="C22" s="14">
        <v>5</v>
      </c>
      <c r="D22" s="14">
        <v>6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218</v>
      </c>
      <c r="B23" s="13" t="s">
        <v>56</v>
      </c>
      <c r="C23" s="14">
        <v>6</v>
      </c>
      <c r="D23" s="14">
        <v>7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218</v>
      </c>
      <c r="B24" s="13" t="s">
        <v>56</v>
      </c>
      <c r="C24" s="14">
        <v>7</v>
      </c>
      <c r="D24" s="14">
        <v>8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 t="s">
        <v>57</v>
      </c>
      <c r="N24" s="15"/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218</v>
      </c>
      <c r="B25" s="13" t="s">
        <v>56</v>
      </c>
      <c r="C25" s="14">
        <v>8</v>
      </c>
      <c r="D25" s="14">
        <v>9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 t="s">
        <v>57</v>
      </c>
      <c r="N25" s="15"/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218</v>
      </c>
      <c r="B26" s="13" t="s">
        <v>56</v>
      </c>
      <c r="C26" s="14">
        <v>9</v>
      </c>
      <c r="D26" s="14">
        <v>10</v>
      </c>
      <c r="E26" s="14">
        <f t="shared" si="3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218</v>
      </c>
      <c r="B27" s="13" t="s">
        <v>56</v>
      </c>
      <c r="C27" s="14">
        <v>10</v>
      </c>
      <c r="D27" s="14">
        <v>11</v>
      </c>
      <c r="E27" s="14">
        <f t="shared" si="3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218</v>
      </c>
      <c r="B28" s="13" t="s">
        <v>56</v>
      </c>
      <c r="C28" s="14">
        <v>11</v>
      </c>
      <c r="D28" s="14">
        <v>12</v>
      </c>
      <c r="E28" s="14">
        <f t="shared" si="3"/>
        <v>1</v>
      </c>
      <c r="F28" s="15"/>
      <c r="G28" s="15" t="s">
        <v>57</v>
      </c>
      <c r="H28" s="15"/>
      <c r="I28" s="15"/>
      <c r="J28" s="15"/>
      <c r="K28" s="15" t="s">
        <v>57</v>
      </c>
      <c r="L28" s="15"/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218</v>
      </c>
      <c r="B29" s="13" t="s">
        <v>56</v>
      </c>
      <c r="C29" s="14">
        <v>12</v>
      </c>
      <c r="D29" s="14">
        <v>13</v>
      </c>
      <c r="E29" s="14">
        <f t="shared" si="3"/>
        <v>1</v>
      </c>
      <c r="F29" s="15"/>
      <c r="G29" s="15" t="s">
        <v>57</v>
      </c>
      <c r="H29" s="15"/>
      <c r="I29" s="15"/>
      <c r="J29" s="15"/>
      <c r="K29" s="15" t="s">
        <v>57</v>
      </c>
      <c r="L29" s="15"/>
      <c r="M29" s="15" t="s">
        <v>57</v>
      </c>
      <c r="N29" s="15"/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218</v>
      </c>
      <c r="B30" s="13" t="s">
        <v>56</v>
      </c>
      <c r="C30" s="14">
        <v>13</v>
      </c>
      <c r="D30" s="14">
        <v>14</v>
      </c>
      <c r="E30" s="14">
        <f t="shared" si="3"/>
        <v>1</v>
      </c>
      <c r="F30" s="15"/>
      <c r="G30" s="15" t="s">
        <v>57</v>
      </c>
      <c r="H30" s="15"/>
      <c r="I30" s="15"/>
      <c r="J30" s="15"/>
      <c r="K30" s="15" t="s">
        <v>57</v>
      </c>
      <c r="L30" s="15"/>
      <c r="M30" s="15" t="s">
        <v>57</v>
      </c>
      <c r="N30" s="15"/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218</v>
      </c>
      <c r="B31" s="13" t="s">
        <v>56</v>
      </c>
      <c r="C31" s="14">
        <v>14</v>
      </c>
      <c r="D31" s="14">
        <v>15</v>
      </c>
      <c r="E31" s="14">
        <f t="shared" si="3"/>
        <v>1</v>
      </c>
      <c r="F31" s="15"/>
      <c r="G31" s="15" t="s">
        <v>57</v>
      </c>
      <c r="H31" s="15"/>
      <c r="I31" s="15"/>
      <c r="J31" s="15"/>
      <c r="K31" s="15" t="s">
        <v>57</v>
      </c>
      <c r="L31" s="15"/>
      <c r="M31" s="15" t="s">
        <v>57</v>
      </c>
      <c r="N31" s="15"/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218</v>
      </c>
      <c r="B32" s="13" t="s">
        <v>56</v>
      </c>
      <c r="C32" s="14">
        <v>15</v>
      </c>
      <c r="D32" s="14">
        <v>16</v>
      </c>
      <c r="E32" s="14">
        <f t="shared" si="3"/>
        <v>1</v>
      </c>
      <c r="F32" s="15"/>
      <c r="G32" s="15" t="s">
        <v>57</v>
      </c>
      <c r="H32" s="15"/>
      <c r="I32" s="15"/>
      <c r="J32" s="15"/>
      <c r="K32" s="15" t="s">
        <v>57</v>
      </c>
      <c r="L32" s="15"/>
      <c r="M32" s="15" t="s">
        <v>57</v>
      </c>
      <c r="N32" s="15"/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218</v>
      </c>
      <c r="B33" s="13" t="s">
        <v>56</v>
      </c>
      <c r="C33" s="14">
        <v>16</v>
      </c>
      <c r="D33" s="14">
        <v>17</v>
      </c>
      <c r="E33" s="14">
        <f t="shared" si="3"/>
        <v>1</v>
      </c>
      <c r="F33" s="15"/>
      <c r="G33" s="15" t="s">
        <v>57</v>
      </c>
      <c r="H33" s="15"/>
      <c r="I33" s="15"/>
      <c r="J33" s="15"/>
      <c r="K33" s="15" t="s">
        <v>57</v>
      </c>
      <c r="L33" s="15"/>
      <c r="M33" s="15" t="s">
        <v>57</v>
      </c>
      <c r="N33" s="15"/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218</v>
      </c>
      <c r="B34" s="13" t="s">
        <v>56</v>
      </c>
      <c r="C34" s="14">
        <v>17</v>
      </c>
      <c r="D34" s="14">
        <v>18</v>
      </c>
      <c r="E34" s="14">
        <f t="shared" si="3"/>
        <v>1</v>
      </c>
      <c r="F34" s="15"/>
      <c r="G34" s="15" t="s">
        <v>57</v>
      </c>
      <c r="H34" s="15"/>
      <c r="I34" s="15"/>
      <c r="J34" s="15"/>
      <c r="K34" s="15" t="s">
        <v>57</v>
      </c>
      <c r="L34" s="15"/>
      <c r="M34" s="15" t="s">
        <v>57</v>
      </c>
      <c r="N34" s="15"/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218</v>
      </c>
      <c r="B35" s="13" t="s">
        <v>56</v>
      </c>
      <c r="C35" s="14">
        <v>18</v>
      </c>
      <c r="D35" s="14">
        <v>19</v>
      </c>
      <c r="E35" s="14">
        <f t="shared" si="3"/>
        <v>1</v>
      </c>
      <c r="F35" s="15"/>
      <c r="G35" s="15" t="s">
        <v>57</v>
      </c>
      <c r="H35" s="15"/>
      <c r="I35" s="15"/>
      <c r="J35" s="15"/>
      <c r="K35" s="15" t="s">
        <v>57</v>
      </c>
      <c r="L35" s="15"/>
      <c r="M35" s="15" t="s">
        <v>57</v>
      </c>
      <c r="N35" s="15"/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8" t="s">
        <v>218</v>
      </c>
      <c r="B36" s="19" t="s">
        <v>56</v>
      </c>
      <c r="C36" s="20">
        <v>19</v>
      </c>
      <c r="D36" s="20">
        <v>19.761116343099999</v>
      </c>
      <c r="E36" s="20">
        <f t="shared" si="3"/>
        <v>0.76111634309999943</v>
      </c>
      <c r="F36" s="21"/>
      <c r="G36" s="21" t="s">
        <v>57</v>
      </c>
      <c r="H36" s="21"/>
      <c r="I36" s="21"/>
      <c r="J36" s="21"/>
      <c r="K36" s="21" t="s">
        <v>57</v>
      </c>
      <c r="L36" s="21"/>
      <c r="M36" s="21" t="s">
        <v>57</v>
      </c>
      <c r="N36" s="21"/>
      <c r="O36" s="21"/>
      <c r="P36" s="21"/>
      <c r="Q36" s="21" t="s">
        <v>57</v>
      </c>
      <c r="R36" s="21"/>
      <c r="S36" s="21"/>
      <c r="T36" s="21" t="s">
        <v>57</v>
      </c>
      <c r="U36" s="21"/>
      <c r="V36" s="22"/>
      <c r="W36" s="23" t="str">
        <f t="shared" si="4"/>
        <v>OK</v>
      </c>
    </row>
    <row r="38" spans="1:23" x14ac:dyDescent="0.25">
      <c r="A38" s="54" t="s">
        <v>60</v>
      </c>
      <c r="B38" s="43"/>
      <c r="C38" s="43"/>
      <c r="D38" s="43"/>
      <c r="E38" s="43"/>
      <c r="G38" s="54" t="s">
        <v>60</v>
      </c>
      <c r="H38" s="43"/>
      <c r="I38" s="43"/>
      <c r="J38" s="43"/>
      <c r="K38" s="43"/>
    </row>
    <row r="39" spans="1:23" x14ac:dyDescent="0.25">
      <c r="A39" s="59" t="s">
        <v>61</v>
      </c>
      <c r="B39" s="43"/>
      <c r="C39" s="43"/>
      <c r="D39" s="43"/>
      <c r="E39" s="43"/>
      <c r="G39" s="59" t="s">
        <v>62</v>
      </c>
      <c r="H39" s="43"/>
      <c r="I39" s="43"/>
      <c r="J39" s="43"/>
      <c r="K39" s="43"/>
    </row>
    <row r="41" spans="1:23" x14ac:dyDescent="0.25">
      <c r="A41" s="60" t="s">
        <v>63</v>
      </c>
      <c r="B41" s="43"/>
      <c r="C41" s="43"/>
      <c r="D41" s="43"/>
      <c r="E41" s="4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53" t="s">
        <v>64</v>
      </c>
      <c r="B42" s="43"/>
      <c r="C42" s="43"/>
      <c r="D42" s="43"/>
      <c r="E42" s="43"/>
      <c r="F42" s="9">
        <f t="shared" ref="F42:U42" si="5">SUMIF(F$9:F$36,"X",$E$9:$E$36)</f>
        <v>0</v>
      </c>
      <c r="G42" s="9">
        <f t="shared" si="5"/>
        <v>23.761116343099999</v>
      </c>
      <c r="H42" s="9">
        <f t="shared" si="5"/>
        <v>2.9762042709800003</v>
      </c>
      <c r="I42" s="9">
        <f t="shared" si="5"/>
        <v>0</v>
      </c>
      <c r="J42" s="9">
        <f t="shared" si="5"/>
        <v>0</v>
      </c>
      <c r="K42" s="9">
        <f t="shared" si="5"/>
        <v>21.737320614079998</v>
      </c>
      <c r="L42" s="9">
        <f t="shared" si="5"/>
        <v>5</v>
      </c>
      <c r="M42" s="9">
        <f t="shared" si="5"/>
        <v>26.737320614079998</v>
      </c>
      <c r="N42" s="9">
        <f t="shared" si="5"/>
        <v>0</v>
      </c>
      <c r="O42" s="9">
        <f t="shared" si="5"/>
        <v>0</v>
      </c>
      <c r="P42" s="9">
        <f t="shared" si="5"/>
        <v>0</v>
      </c>
      <c r="Q42" s="9">
        <f t="shared" si="5"/>
        <v>26.737320614079998</v>
      </c>
      <c r="R42" s="9">
        <f t="shared" si="5"/>
        <v>0</v>
      </c>
      <c r="S42" s="9">
        <f t="shared" si="5"/>
        <v>0</v>
      </c>
      <c r="T42" s="9">
        <f t="shared" si="5"/>
        <v>26.737320614079998</v>
      </c>
      <c r="U42" s="9">
        <f t="shared" si="5"/>
        <v>0</v>
      </c>
    </row>
    <row r="43" spans="1:23" x14ac:dyDescent="0.25">
      <c r="A43" s="53" t="s">
        <v>65</v>
      </c>
      <c r="B43" s="43"/>
      <c r="C43" s="43"/>
      <c r="D43" s="43"/>
      <c r="E43" s="43"/>
      <c r="F43" s="25">
        <f t="shared" ref="F43:U43" si="6">IF($R45=0,0,F42/$R45)</f>
        <v>0</v>
      </c>
      <c r="G43" s="25">
        <f t="shared" si="6"/>
        <v>0.88868726549163957</v>
      </c>
      <c r="H43" s="25">
        <f t="shared" si="6"/>
        <v>0.11131273450836046</v>
      </c>
      <c r="I43" s="25">
        <f t="shared" si="6"/>
        <v>0</v>
      </c>
      <c r="J43" s="25">
        <f t="shared" si="6"/>
        <v>0</v>
      </c>
      <c r="K43" s="25">
        <f t="shared" si="6"/>
        <v>0.81299547280115358</v>
      </c>
      <c r="L43" s="25">
        <f t="shared" si="6"/>
        <v>0.18700452719884642</v>
      </c>
      <c r="M43" s="25">
        <f t="shared" si="6"/>
        <v>1</v>
      </c>
      <c r="N43" s="25">
        <f t="shared" si="6"/>
        <v>0</v>
      </c>
      <c r="O43" s="25">
        <f t="shared" si="6"/>
        <v>0</v>
      </c>
      <c r="P43" s="25">
        <f t="shared" si="6"/>
        <v>0</v>
      </c>
      <c r="Q43" s="25">
        <f t="shared" si="6"/>
        <v>1</v>
      </c>
      <c r="R43" s="25">
        <f t="shared" si="6"/>
        <v>0</v>
      </c>
      <c r="S43" s="25">
        <f t="shared" si="6"/>
        <v>0</v>
      </c>
      <c r="T43" s="25">
        <f t="shared" si="6"/>
        <v>1</v>
      </c>
      <c r="U43" s="25">
        <f t="shared" si="6"/>
        <v>0</v>
      </c>
    </row>
    <row r="44" spans="1:23" x14ac:dyDescent="0.25">
      <c r="A44" s="53" t="s">
        <v>66</v>
      </c>
      <c r="B44" s="43"/>
      <c r="C44" s="43"/>
      <c r="D44" s="43"/>
      <c r="E44" s="43"/>
      <c r="F44" s="51" t="str">
        <f>IF(SUM(F42:J42)=0,"— não preenchido",IF(ROUND(SUM(F42:J42)-$R45,3)=0,"OK — "&amp;ROUND(SUM(F42:J42),3)&amp;" km","ERRO — dif. de "&amp;ROUND(SUM(F42:J42)-$R45,3)&amp;" km"))</f>
        <v>OK — 26,737 km</v>
      </c>
      <c r="G44" s="47"/>
      <c r="H44" s="47"/>
      <c r="I44" s="47"/>
      <c r="J44" s="45"/>
      <c r="K44" s="51" t="str">
        <f>IF(SUM(K42:L42)=0,"— não preenchido",IF(ROUND(SUM(K42:L42)-$R45,3)=0,"OK — "&amp;ROUND(SUM(K42:L42),3)&amp;" km","ERRO — dif. de "&amp;ROUND(SUM(K42:L42)-$R45,3)&amp;" km"))</f>
        <v>OK — 26,737 km</v>
      </c>
      <c r="L44" s="45"/>
      <c r="M44" s="51" t="str">
        <f>IF(SUM(M42:O42)=0,"— não preenchido",IF(ROUND(SUM(M42:O42)-$R45,3)=0,"OK — "&amp;ROUND(SUM(M42:O42),3)&amp;" km","ERRO — dif. de "&amp;ROUND(SUM(M42:O42)-$R45,3)&amp;" km"))</f>
        <v>OK — 26,737 km</v>
      </c>
      <c r="N44" s="47"/>
      <c r="O44" s="45"/>
      <c r="P44" s="51" t="str">
        <f>IF(SUM(P42:R42)=0,"— não preenchido",IF(ROUND(SUM(P42:R42)-$R45,3)=0,"OK — "&amp;ROUND(SUM(P42:R42),3)&amp;" km","ERRO — dif. de "&amp;ROUND(SUM(P42:R42)-$R45,3)&amp;" km"))</f>
        <v>OK — 26,737 km</v>
      </c>
      <c r="Q44" s="47"/>
      <c r="R44" s="45"/>
      <c r="S44" s="51" t="str">
        <f>IF(SUM(S42:U42)=0,"— não preenchido",IF(ROUND(SUM(S42:U42)-$R45,3)=0,"OK — "&amp;ROUND(SUM(S42:U42),3)&amp;" km","ERRO — dif. de "&amp;ROUND(SUM(S42:U42)-$R45,3)&amp;" km"))</f>
        <v>OK — 26,737 km</v>
      </c>
      <c r="T44" s="47"/>
      <c r="U44" s="45"/>
    </row>
    <row r="45" spans="1:23" x14ac:dyDescent="0.25">
      <c r="A45" s="53" t="s">
        <v>67</v>
      </c>
      <c r="B45" s="43"/>
      <c r="C45" s="43"/>
      <c r="D45" s="43"/>
      <c r="E45" s="43"/>
      <c r="R45" s="26">
        <f>SUM(E9:E36)</f>
        <v>26.737320614079998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55" t="s">
        <v>68</v>
      </c>
      <c r="B47" s="43"/>
      <c r="C47" s="43"/>
      <c r="D47" s="43"/>
      <c r="E47" s="43"/>
    </row>
    <row r="48" spans="1:23" x14ac:dyDescent="0.25">
      <c r="A48" s="53" t="s">
        <v>69</v>
      </c>
      <c r="B48" s="43"/>
      <c r="C48" s="43"/>
      <c r="D48" s="43"/>
      <c r="E48" s="61" t="s">
        <v>70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spans="1:22" x14ac:dyDescent="0.25">
      <c r="A49" s="53" t="s">
        <v>71</v>
      </c>
      <c r="B49" s="43"/>
      <c r="C49" s="43"/>
      <c r="D49" s="43"/>
      <c r="E49" s="61" t="s">
        <v>72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 x14ac:dyDescent="0.25">
      <c r="A50" s="53" t="s">
        <v>73</v>
      </c>
      <c r="B50" s="43"/>
      <c r="C50" s="43"/>
      <c r="D50" s="43"/>
      <c r="E50" s="61" t="s">
        <v>74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2" x14ac:dyDescent="0.25">
      <c r="A51" s="53" t="s">
        <v>75</v>
      </c>
      <c r="B51" s="43"/>
      <c r="C51" s="43"/>
      <c r="D51" s="43"/>
      <c r="E51" s="61" t="s">
        <v>76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22" x14ac:dyDescent="0.25">
      <c r="A52" s="53" t="s">
        <v>77</v>
      </c>
      <c r="B52" s="43"/>
      <c r="C52" s="43"/>
      <c r="D52" s="43"/>
      <c r="E52" s="61" t="s">
        <v>78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22" x14ac:dyDescent="0.25">
      <c r="A53" s="53" t="s">
        <v>48</v>
      </c>
      <c r="B53" s="43"/>
      <c r="C53" s="43"/>
      <c r="D53" s="43"/>
      <c r="E53" s="61" t="s">
        <v>79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spans="1:22" x14ac:dyDescent="0.25">
      <c r="A54" s="53" t="s">
        <v>80</v>
      </c>
      <c r="B54" s="43"/>
      <c r="C54" s="43"/>
      <c r="D54" s="43"/>
      <c r="E54" s="61" t="s">
        <v>81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spans="1:22" x14ac:dyDescent="0.25">
      <c r="A55" s="53" t="s">
        <v>82</v>
      </c>
      <c r="B55" s="43"/>
      <c r="C55" s="43"/>
      <c r="D55" s="43"/>
      <c r="E55" s="61" t="s">
        <v>83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spans="1:22" x14ac:dyDescent="0.25">
      <c r="A56" s="53" t="s">
        <v>11</v>
      </c>
      <c r="B56" s="43"/>
      <c r="C56" s="43"/>
      <c r="D56" s="43"/>
      <c r="E56" s="61" t="s">
        <v>84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</sheetData>
  <sheetProtection formatCells="0"/>
  <mergeCells count="58">
    <mergeCell ref="E56:V56"/>
    <mergeCell ref="E53:V53"/>
    <mergeCell ref="A16:V16"/>
    <mergeCell ref="M44:O44"/>
    <mergeCell ref="E50:V50"/>
    <mergeCell ref="A56:D56"/>
    <mergeCell ref="A43:E43"/>
    <mergeCell ref="A38:E38"/>
    <mergeCell ref="A50:D50"/>
    <mergeCell ref="P44:R44"/>
    <mergeCell ref="E55:V55"/>
    <mergeCell ref="A55:D55"/>
    <mergeCell ref="E52:V52"/>
    <mergeCell ref="E48:V48"/>
    <mergeCell ref="A51:D51"/>
    <mergeCell ref="A49:D49"/>
    <mergeCell ref="K2:M2"/>
    <mergeCell ref="G38:K38"/>
    <mergeCell ref="N2:O2"/>
    <mergeCell ref="E54:V54"/>
    <mergeCell ref="A1:V1"/>
    <mergeCell ref="A42:E42"/>
    <mergeCell ref="A54:D54"/>
    <mergeCell ref="S44:U44"/>
    <mergeCell ref="A47:E47"/>
    <mergeCell ref="T3:V3"/>
    <mergeCell ref="A44:E44"/>
    <mergeCell ref="R2:V2"/>
    <mergeCell ref="A3:S3"/>
    <mergeCell ref="C6:C7"/>
    <mergeCell ref="K6:L6"/>
    <mergeCell ref="D6:D7"/>
    <mergeCell ref="A39:E39"/>
    <mergeCell ref="F44:J44"/>
    <mergeCell ref="B6:B7"/>
    <mergeCell ref="E51:V51"/>
    <mergeCell ref="W6:W7"/>
    <mergeCell ref="E6:E7"/>
    <mergeCell ref="S6:U6"/>
    <mergeCell ref="P6:R6"/>
    <mergeCell ref="A48:D48"/>
    <mergeCell ref="E49:V49"/>
    <mergeCell ref="A53:D53"/>
    <mergeCell ref="G2:H2"/>
    <mergeCell ref="I2:J2"/>
    <mergeCell ref="A8:V8"/>
    <mergeCell ref="A52:D52"/>
    <mergeCell ref="A45:E45"/>
    <mergeCell ref="A6:A7"/>
    <mergeCell ref="F6:J6"/>
    <mergeCell ref="M6:O6"/>
    <mergeCell ref="G39:K39"/>
    <mergeCell ref="V6:V7"/>
    <mergeCell ref="A4:V4"/>
    <mergeCell ref="A2:F2"/>
    <mergeCell ref="P2:Q2"/>
    <mergeCell ref="K44:L44"/>
    <mergeCell ref="A41:E41"/>
  </mergeCells>
  <conditionalFormatting sqref="F9:J36">
    <cfRule type="expression" dxfId="8" priority="1">
      <formula>AND(F9&lt;&gt;"",COUNTIF($F9:$J9,"X")&gt;1)</formula>
    </cfRule>
  </conditionalFormatting>
  <conditionalFormatting sqref="F44:U44">
    <cfRule type="expression" dxfId="7" priority="8">
      <formula>LEFT(F44,4)="ERRO"</formula>
    </cfRule>
    <cfRule type="expression" dxfId="6" priority="9">
      <formula>LEFT(F44,2)="OK"</formula>
    </cfRule>
  </conditionalFormatting>
  <conditionalFormatting sqref="K9:L36">
    <cfRule type="expression" dxfId="5" priority="2">
      <formula>AND(K9&lt;&gt;"",COUNTIF($K9:$L9,"X")&gt;1)</formula>
    </cfRule>
  </conditionalFormatting>
  <conditionalFormatting sqref="M9:O36">
    <cfRule type="expression" dxfId="4" priority="3">
      <formula>AND(M9&lt;&gt;"",COUNTIF($M9:$O9,"X")&gt;1)</formula>
    </cfRule>
  </conditionalFormatting>
  <conditionalFormatting sqref="P9:R36">
    <cfRule type="expression" dxfId="3" priority="4">
      <formula>AND(P9&lt;&gt;"",COUNTIF($P9:$R9,"X")&gt;1)</formula>
    </cfRule>
  </conditionalFormatting>
  <conditionalFormatting sqref="S9:U36">
    <cfRule type="expression" dxfId="2" priority="5">
      <formula>AND(S9&lt;&gt;"",COUNTIF($S9:$U9,"X")&gt;1)</formula>
    </cfRule>
  </conditionalFormatting>
  <conditionalFormatting sqref="W9:W36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219</v>
      </c>
    </row>
    <row r="2" spans="1:1" x14ac:dyDescent="0.25">
      <c r="A2" t="s">
        <v>220</v>
      </c>
    </row>
    <row r="3" spans="1:1" x14ac:dyDescent="0.25">
      <c r="A3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33</vt:i4>
      </vt:variant>
    </vt:vector>
  </HeadingPairs>
  <TitlesOfParts>
    <vt:vector size="52" baseType="lpstr">
      <vt:lpstr>OS SETEMBRO</vt:lpstr>
      <vt:lpstr>RESUMO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265</vt:lpstr>
      <vt:lpstr>266</vt:lpstr>
      <vt:lpstr>LISTAS</vt:lpstr>
      <vt:lpstr>'246'!Area_de_impressao</vt:lpstr>
      <vt:lpstr>'247'!Area_de_impressao</vt:lpstr>
      <vt:lpstr>'248'!Area_de_impressao</vt:lpstr>
      <vt:lpstr>'249'!Area_de_impressao</vt:lpstr>
      <vt:lpstr>'250'!Area_de_impressao</vt:lpstr>
      <vt:lpstr>'251'!Area_de_impressao</vt:lpstr>
      <vt:lpstr>'252'!Area_de_impressao</vt:lpstr>
      <vt:lpstr>'253'!Area_de_impressao</vt:lpstr>
      <vt:lpstr>'254'!Area_de_impressao</vt:lpstr>
      <vt:lpstr>'255'!Area_de_impressao</vt:lpstr>
      <vt:lpstr>'256'!Area_de_impressao</vt:lpstr>
      <vt:lpstr>'257'!Area_de_impressao</vt:lpstr>
      <vt:lpstr>'258'!Area_de_impressao</vt:lpstr>
      <vt:lpstr>'259'!Area_de_impressao</vt:lpstr>
      <vt:lpstr>'265'!Area_de_impressao</vt:lpstr>
      <vt:lpstr>'266'!Area_de_impressao</vt:lpstr>
      <vt:lpstr>RESUMO!Area_de_impressao</vt:lpstr>
      <vt:lpstr>'246'!Titulos_de_impressao</vt:lpstr>
      <vt:lpstr>'247'!Titulos_de_impressao</vt:lpstr>
      <vt:lpstr>'248'!Titulos_de_impressao</vt:lpstr>
      <vt:lpstr>'249'!Titulos_de_impressao</vt:lpstr>
      <vt:lpstr>'250'!Titulos_de_impressao</vt:lpstr>
      <vt:lpstr>'251'!Titulos_de_impressao</vt:lpstr>
      <vt:lpstr>'252'!Titulos_de_impressao</vt:lpstr>
      <vt:lpstr>'253'!Titulos_de_impressao</vt:lpstr>
      <vt:lpstr>'254'!Titulos_de_impressao</vt:lpstr>
      <vt:lpstr>'255'!Titulos_de_impressao</vt:lpstr>
      <vt:lpstr>'256'!Titulos_de_impressao</vt:lpstr>
      <vt:lpstr>'257'!Titulos_de_impressao</vt:lpstr>
      <vt:lpstr>'258'!Titulos_de_impressao</vt:lpstr>
      <vt:lpstr>'259'!Titulos_de_impressao</vt:lpstr>
      <vt:lpstr>'265'!Titulos_de_impressao</vt:lpstr>
      <vt:lpstr>'266'!Titulos_de_impressao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2026-08-12T19:05:45Z</dcterms:created>
  <dcterms:modified xsi:type="dcterms:W3CDTF">2026-10-05T13:14:36Z</dcterms:modified>
</cp:coreProperties>
</file>