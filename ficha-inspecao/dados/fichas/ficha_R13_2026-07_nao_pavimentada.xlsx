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42C978EB-9D06-4DDE-A74B-6650C3D8F901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245" sheetId="2" r:id="rId2"/>
    <sheet name="260" sheetId="3" r:id="rId3"/>
    <sheet name="261" sheetId="4" r:id="rId4"/>
    <sheet name="262" sheetId="5" r:id="rId5"/>
    <sheet name="263" sheetId="6" r:id="rId6"/>
    <sheet name="264" sheetId="7" r:id="rId7"/>
    <sheet name="265" sheetId="8" r:id="rId8"/>
    <sheet name="267" sheetId="9" r:id="rId9"/>
    <sheet name="268" sheetId="10" r:id="rId10"/>
    <sheet name="269" sheetId="11" r:id="rId11"/>
    <sheet name="270" sheetId="12" r:id="rId12"/>
    <sheet name="271" sheetId="13" r:id="rId13"/>
    <sheet name="272" sheetId="14" r:id="rId14"/>
    <sheet name="273" sheetId="15" r:id="rId15"/>
    <sheet name="LISTAS" sheetId="16" state="hidden" r:id="rId16"/>
  </sheets>
  <definedNames>
    <definedName name="_xlnm.Print_Area" localSheetId="1">'245'!$A$1:$M$86</definedName>
    <definedName name="_xlnm.Print_Area" localSheetId="2">'260'!$A$1:$M$83</definedName>
    <definedName name="_xlnm.Print_Area" localSheetId="3">'261'!$A$1:$M$80</definedName>
    <definedName name="_xlnm.Print_Area" localSheetId="4">'262'!$A$1:$M$53</definedName>
    <definedName name="_xlnm.Print_Area" localSheetId="5">'263'!$A$1:$M$69</definedName>
    <definedName name="_xlnm.Print_Area" localSheetId="6">'264'!$A$1:$M$72</definedName>
    <definedName name="_xlnm.Print_Area" localSheetId="7">'265'!$A$1:$M$97</definedName>
    <definedName name="_xlnm.Print_Area" localSheetId="8">'267'!$A$1:$M$44</definedName>
    <definedName name="_xlnm.Print_Area" localSheetId="9">'268'!$A$1:$M$64</definedName>
    <definedName name="_xlnm.Print_Area" localSheetId="10">'269'!$A$1:$M$104</definedName>
    <definedName name="_xlnm.Print_Area" localSheetId="11">'270'!$A$1:$M$135</definedName>
    <definedName name="_xlnm.Print_Area" localSheetId="12">'271'!$A$1:$M$51</definedName>
    <definedName name="_xlnm.Print_Area" localSheetId="13">'272'!$A$1:$M$110</definedName>
    <definedName name="_xlnm.Print_Area" localSheetId="14">'273'!$A$1:$M$41</definedName>
    <definedName name="_xlnm.Print_Area" localSheetId="0">RESUMO!$A$1:$K$21</definedName>
    <definedName name="_xlnm.Print_Titles" localSheetId="1">'245'!$6:$7</definedName>
    <definedName name="_xlnm.Print_Titles" localSheetId="2">'260'!$6:$7</definedName>
    <definedName name="_xlnm.Print_Titles" localSheetId="3">'261'!$6:$7</definedName>
    <definedName name="_xlnm.Print_Titles" localSheetId="4">'262'!$6:$7</definedName>
    <definedName name="_xlnm.Print_Titles" localSheetId="5">'263'!$6:$7</definedName>
    <definedName name="_xlnm.Print_Titles" localSheetId="6">'264'!$6:$7</definedName>
    <definedName name="_xlnm.Print_Titles" localSheetId="7">'265'!$6:$7</definedName>
    <definedName name="_xlnm.Print_Titles" localSheetId="8">'267'!$6:$7</definedName>
    <definedName name="_xlnm.Print_Titles" localSheetId="9">'268'!$6:$7</definedName>
    <definedName name="_xlnm.Print_Titles" localSheetId="10">'269'!$6:$7</definedName>
    <definedName name="_xlnm.Print_Titles" localSheetId="11">'270'!$6:$7</definedName>
    <definedName name="_xlnm.Print_Titles" localSheetId="12">'271'!$6:$7</definedName>
    <definedName name="_xlnm.Print_Titles" localSheetId="13">'272'!$6:$7</definedName>
    <definedName name="_xlnm.Print_Titles" localSheetId="14">'273'!$6:$7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5" l="1"/>
  <c r="K26" i="15"/>
  <c r="I26" i="15"/>
  <c r="H26" i="15"/>
  <c r="F26" i="15"/>
  <c r="N20" i="15"/>
  <c r="E20" i="15"/>
  <c r="N19" i="15"/>
  <c r="E19" i="15"/>
  <c r="N18" i="15"/>
  <c r="E18" i="15"/>
  <c r="N17" i="15"/>
  <c r="E17" i="15"/>
  <c r="N16" i="15"/>
  <c r="E16" i="15"/>
  <c r="N15" i="15"/>
  <c r="E15" i="15"/>
  <c r="N14" i="15"/>
  <c r="E14" i="15"/>
  <c r="N13" i="15"/>
  <c r="E13" i="15"/>
  <c r="N12" i="15"/>
  <c r="E12" i="15"/>
  <c r="N11" i="15"/>
  <c r="E11" i="15"/>
  <c r="N10" i="15"/>
  <c r="E10" i="15"/>
  <c r="N9" i="15"/>
  <c r="M29" i="15" s="1"/>
  <c r="E9" i="15"/>
  <c r="G26" i="15" s="1"/>
  <c r="U2" i="15"/>
  <c r="S2" i="15"/>
  <c r="Q2" i="15"/>
  <c r="P2" i="15"/>
  <c r="K95" i="14"/>
  <c r="U2" i="14" s="1"/>
  <c r="I95" i="14"/>
  <c r="H95" i="14"/>
  <c r="F18" i="1" s="1"/>
  <c r="G95" i="14"/>
  <c r="N89" i="14"/>
  <c r="E89" i="14"/>
  <c r="N88" i="14"/>
  <c r="E88" i="14"/>
  <c r="N87" i="14"/>
  <c r="E87" i="14"/>
  <c r="N86" i="14"/>
  <c r="E86" i="14"/>
  <c r="N85" i="14"/>
  <c r="E85" i="14"/>
  <c r="N83" i="14"/>
  <c r="E83" i="14"/>
  <c r="N82" i="14"/>
  <c r="E82" i="14"/>
  <c r="N81" i="14"/>
  <c r="E81" i="14"/>
  <c r="N80" i="14"/>
  <c r="E80" i="14"/>
  <c r="N79" i="14"/>
  <c r="E79" i="14"/>
  <c r="N78" i="14"/>
  <c r="E78" i="14"/>
  <c r="N77" i="14"/>
  <c r="E77" i="14"/>
  <c r="N76" i="14"/>
  <c r="E76" i="14"/>
  <c r="N75" i="14"/>
  <c r="E75" i="14"/>
  <c r="N74" i="14"/>
  <c r="E74" i="14"/>
  <c r="N73" i="14"/>
  <c r="E73" i="14"/>
  <c r="N72" i="14"/>
  <c r="E72" i="14"/>
  <c r="N71" i="14"/>
  <c r="E71" i="14"/>
  <c r="N70" i="14"/>
  <c r="E70" i="14"/>
  <c r="N69" i="14"/>
  <c r="E69" i="14"/>
  <c r="N68" i="14"/>
  <c r="E68" i="14"/>
  <c r="N67" i="14"/>
  <c r="E67" i="14"/>
  <c r="N66" i="14"/>
  <c r="E66" i="14"/>
  <c r="N65" i="14"/>
  <c r="E65" i="14"/>
  <c r="N64" i="14"/>
  <c r="E64" i="14"/>
  <c r="N63" i="14"/>
  <c r="E63" i="14"/>
  <c r="N62" i="14"/>
  <c r="E62" i="14"/>
  <c r="N61" i="14"/>
  <c r="E61" i="14"/>
  <c r="N60" i="14"/>
  <c r="E60" i="14"/>
  <c r="N59" i="14"/>
  <c r="E59" i="14"/>
  <c r="N58" i="14"/>
  <c r="E58" i="14"/>
  <c r="N57" i="14"/>
  <c r="E57" i="14"/>
  <c r="N56" i="14"/>
  <c r="E56" i="14"/>
  <c r="N55" i="14"/>
  <c r="E55" i="14"/>
  <c r="N53" i="14"/>
  <c r="E53" i="14"/>
  <c r="N52" i="14"/>
  <c r="E52" i="14"/>
  <c r="N51" i="14"/>
  <c r="E51" i="14"/>
  <c r="N50" i="14"/>
  <c r="E50" i="14"/>
  <c r="N49" i="14"/>
  <c r="E49" i="14"/>
  <c r="N48" i="14"/>
  <c r="E48" i="14"/>
  <c r="N47" i="14"/>
  <c r="E47" i="14"/>
  <c r="N46" i="14"/>
  <c r="E46" i="14"/>
  <c r="N45" i="14"/>
  <c r="E45" i="14"/>
  <c r="N44" i="14"/>
  <c r="E44" i="14"/>
  <c r="N43" i="14"/>
  <c r="E43" i="14"/>
  <c r="N42" i="14"/>
  <c r="E42" i="14"/>
  <c r="N41" i="14"/>
  <c r="E41" i="14"/>
  <c r="N40" i="14"/>
  <c r="E40" i="14"/>
  <c r="N39" i="14"/>
  <c r="E39" i="14"/>
  <c r="N38" i="14"/>
  <c r="E38" i="14"/>
  <c r="N37" i="14"/>
  <c r="E37" i="14"/>
  <c r="N36" i="14"/>
  <c r="E36" i="14"/>
  <c r="L95" i="14" s="1"/>
  <c r="N35" i="14"/>
  <c r="E35" i="14"/>
  <c r="N34" i="14"/>
  <c r="E34" i="14"/>
  <c r="N33" i="14"/>
  <c r="E33" i="14"/>
  <c r="N32" i="14"/>
  <c r="E32" i="14"/>
  <c r="N31" i="14"/>
  <c r="E31" i="14"/>
  <c r="N30" i="14"/>
  <c r="E30" i="14"/>
  <c r="N29" i="14"/>
  <c r="E29" i="14"/>
  <c r="N28" i="14"/>
  <c r="E28" i="14"/>
  <c r="N27" i="14"/>
  <c r="E27" i="14"/>
  <c r="N26" i="14"/>
  <c r="E26" i="14"/>
  <c r="N24" i="14"/>
  <c r="E24" i="14"/>
  <c r="N23" i="14"/>
  <c r="E23" i="14"/>
  <c r="N22" i="14"/>
  <c r="E22" i="14"/>
  <c r="N21" i="14"/>
  <c r="E21" i="14"/>
  <c r="N20" i="14"/>
  <c r="E20" i="14"/>
  <c r="N19" i="14"/>
  <c r="E19" i="14"/>
  <c r="N18" i="14"/>
  <c r="E18" i="14"/>
  <c r="N17" i="14"/>
  <c r="E17" i="14"/>
  <c r="N16" i="14"/>
  <c r="E16" i="14"/>
  <c r="N15" i="14"/>
  <c r="E15" i="14"/>
  <c r="N14" i="14"/>
  <c r="E14" i="14"/>
  <c r="N13" i="14"/>
  <c r="E13" i="14"/>
  <c r="N12" i="14"/>
  <c r="E12" i="14"/>
  <c r="N11" i="14"/>
  <c r="E11" i="14"/>
  <c r="N10" i="14"/>
  <c r="E10" i="14"/>
  <c r="N9" i="14"/>
  <c r="E9" i="14"/>
  <c r="I98" i="14" s="1"/>
  <c r="V2" i="14"/>
  <c r="R2" i="14"/>
  <c r="Q2" i="14"/>
  <c r="I39" i="13"/>
  <c r="K37" i="13" s="1"/>
  <c r="J36" i="13"/>
  <c r="I36" i="13"/>
  <c r="H36" i="13"/>
  <c r="R2" i="13" s="1"/>
  <c r="G36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N17" i="13"/>
  <c r="E17" i="13"/>
  <c r="N16" i="13"/>
  <c r="E16" i="13"/>
  <c r="N15" i="13"/>
  <c r="E15" i="13"/>
  <c r="N14" i="13"/>
  <c r="E14" i="13"/>
  <c r="N13" i="13"/>
  <c r="E13" i="13"/>
  <c r="N12" i="13"/>
  <c r="E12" i="13"/>
  <c r="N11" i="13"/>
  <c r="E11" i="13"/>
  <c r="N10" i="13"/>
  <c r="E10" i="13"/>
  <c r="N9" i="13"/>
  <c r="E9" i="13"/>
  <c r="K36" i="13" s="1"/>
  <c r="U2" i="13" s="1"/>
  <c r="S2" i="13"/>
  <c r="Q2" i="13"/>
  <c r="K120" i="12"/>
  <c r="U2" i="12" s="1"/>
  <c r="I120" i="12"/>
  <c r="S2" i="12" s="1"/>
  <c r="H120" i="12"/>
  <c r="R2" i="12" s="1"/>
  <c r="N114" i="12"/>
  <c r="E114" i="12"/>
  <c r="N113" i="12"/>
  <c r="E113" i="12"/>
  <c r="N112" i="12"/>
  <c r="E112" i="12"/>
  <c r="N111" i="12"/>
  <c r="E111" i="12"/>
  <c r="N110" i="12"/>
  <c r="E110" i="12"/>
  <c r="N109" i="12"/>
  <c r="E109" i="12"/>
  <c r="N108" i="12"/>
  <c r="E108" i="12"/>
  <c r="N107" i="12"/>
  <c r="E107" i="12"/>
  <c r="N106" i="12"/>
  <c r="E106" i="12"/>
  <c r="N105" i="12"/>
  <c r="E105" i="12"/>
  <c r="N104" i="12"/>
  <c r="E104" i="12"/>
  <c r="N103" i="12"/>
  <c r="E103" i="12"/>
  <c r="N102" i="12"/>
  <c r="E102" i="12"/>
  <c r="N101" i="12"/>
  <c r="E101" i="12"/>
  <c r="N100" i="12"/>
  <c r="E100" i="12"/>
  <c r="N99" i="12"/>
  <c r="E99" i="12"/>
  <c r="N98" i="12"/>
  <c r="E98" i="12"/>
  <c r="N97" i="12"/>
  <c r="E97" i="12"/>
  <c r="N96" i="12"/>
  <c r="E96" i="12"/>
  <c r="N95" i="12"/>
  <c r="E95" i="12"/>
  <c r="N94" i="12"/>
  <c r="E94" i="12"/>
  <c r="N93" i="12"/>
  <c r="E93" i="12"/>
  <c r="N92" i="12"/>
  <c r="E92" i="12"/>
  <c r="N91" i="12"/>
  <c r="E91" i="12"/>
  <c r="N90" i="12"/>
  <c r="E90" i="12"/>
  <c r="N88" i="12"/>
  <c r="E88" i="12"/>
  <c r="N87" i="12"/>
  <c r="E87" i="12"/>
  <c r="N86" i="12"/>
  <c r="E86" i="12"/>
  <c r="N85" i="12"/>
  <c r="E85" i="12"/>
  <c r="N84" i="12"/>
  <c r="E84" i="12"/>
  <c r="N83" i="12"/>
  <c r="E83" i="12"/>
  <c r="N82" i="12"/>
  <c r="E82" i="12"/>
  <c r="N81" i="12"/>
  <c r="E81" i="12"/>
  <c r="N80" i="12"/>
  <c r="E80" i="12"/>
  <c r="N79" i="12"/>
  <c r="E79" i="12"/>
  <c r="N78" i="12"/>
  <c r="E78" i="12"/>
  <c r="N77" i="12"/>
  <c r="E77" i="12"/>
  <c r="N76" i="12"/>
  <c r="E76" i="12"/>
  <c r="N75" i="12"/>
  <c r="E75" i="12"/>
  <c r="N74" i="12"/>
  <c r="E74" i="12"/>
  <c r="N73" i="12"/>
  <c r="E73" i="12"/>
  <c r="N72" i="12"/>
  <c r="E72" i="12"/>
  <c r="N71" i="12"/>
  <c r="E71" i="12"/>
  <c r="N70" i="12"/>
  <c r="E70" i="12"/>
  <c r="N69" i="12"/>
  <c r="E69" i="12"/>
  <c r="N68" i="12"/>
  <c r="E68" i="12"/>
  <c r="N67" i="12"/>
  <c r="E67" i="12"/>
  <c r="N66" i="12"/>
  <c r="E66" i="12"/>
  <c r="N65" i="12"/>
  <c r="E65" i="12"/>
  <c r="N64" i="12"/>
  <c r="E64" i="12"/>
  <c r="N62" i="12"/>
  <c r="E62" i="12"/>
  <c r="N61" i="12"/>
  <c r="E61" i="12"/>
  <c r="N60" i="12"/>
  <c r="E60" i="12"/>
  <c r="N59" i="12"/>
  <c r="E59" i="12"/>
  <c r="N58" i="12"/>
  <c r="E58" i="12"/>
  <c r="N57" i="12"/>
  <c r="E57" i="12"/>
  <c r="N56" i="12"/>
  <c r="E56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F120" i="12" s="1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M123" i="12" s="1"/>
  <c r="E9" i="12"/>
  <c r="P2" i="12"/>
  <c r="L89" i="11"/>
  <c r="V2" i="11" s="1"/>
  <c r="I89" i="11"/>
  <c r="H89" i="11"/>
  <c r="R2" i="11" s="1"/>
  <c r="G89" i="11"/>
  <c r="N83" i="11"/>
  <c r="E83" i="11"/>
  <c r="N82" i="11"/>
  <c r="E82" i="11"/>
  <c r="N81" i="11"/>
  <c r="E81" i="11"/>
  <c r="N80" i="11"/>
  <c r="E80" i="11"/>
  <c r="N79" i="11"/>
  <c r="E79" i="11"/>
  <c r="N78" i="11"/>
  <c r="E78" i="11"/>
  <c r="N77" i="11"/>
  <c r="E77" i="11"/>
  <c r="N76" i="11"/>
  <c r="E76" i="11"/>
  <c r="N75" i="11"/>
  <c r="E75" i="11"/>
  <c r="N74" i="11"/>
  <c r="E74" i="11"/>
  <c r="N72" i="11"/>
  <c r="E72" i="11"/>
  <c r="N71" i="11"/>
  <c r="E71" i="11"/>
  <c r="N70" i="11"/>
  <c r="E70" i="11"/>
  <c r="N69" i="11"/>
  <c r="E69" i="11"/>
  <c r="N68" i="11"/>
  <c r="E68" i="11"/>
  <c r="N67" i="11"/>
  <c r="E67" i="11"/>
  <c r="N66" i="11"/>
  <c r="E66" i="11"/>
  <c r="N65" i="11"/>
  <c r="E65" i="11"/>
  <c r="N64" i="11"/>
  <c r="E64" i="11"/>
  <c r="N63" i="11"/>
  <c r="E63" i="11"/>
  <c r="N62" i="11"/>
  <c r="E62" i="11"/>
  <c r="N61" i="11"/>
  <c r="E61" i="11"/>
  <c r="N60" i="11"/>
  <c r="E60" i="11"/>
  <c r="N59" i="11"/>
  <c r="E59" i="11"/>
  <c r="N58" i="11"/>
  <c r="E58" i="11"/>
  <c r="N57" i="11"/>
  <c r="E57" i="11"/>
  <c r="N56" i="11"/>
  <c r="E56" i="11"/>
  <c r="N55" i="11"/>
  <c r="E55" i="11"/>
  <c r="N54" i="11"/>
  <c r="E54" i="11"/>
  <c r="N53" i="11"/>
  <c r="E53" i="11"/>
  <c r="N52" i="11"/>
  <c r="E52" i="11"/>
  <c r="N51" i="11"/>
  <c r="E51" i="11"/>
  <c r="N50" i="11"/>
  <c r="E50" i="11"/>
  <c r="N49" i="11"/>
  <c r="E49" i="11"/>
  <c r="N48" i="11"/>
  <c r="E48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92" i="11" s="1"/>
  <c r="S2" i="11"/>
  <c r="Q2" i="11"/>
  <c r="L49" i="10"/>
  <c r="J14" i="1" s="1"/>
  <c r="K49" i="10"/>
  <c r="U2" i="10" s="1"/>
  <c r="I49" i="10"/>
  <c r="S2" i="10" s="1"/>
  <c r="H49" i="10"/>
  <c r="G49" i="10"/>
  <c r="Q2" i="10" s="1"/>
  <c r="F49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M52" i="10" s="1"/>
  <c r="E9" i="10"/>
  <c r="V2" i="10"/>
  <c r="R2" i="10"/>
  <c r="P2" i="10"/>
  <c r="L29" i="9"/>
  <c r="V2" i="9" s="1"/>
  <c r="J29" i="9"/>
  <c r="I29" i="9"/>
  <c r="H29" i="9"/>
  <c r="R2" i="9" s="1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G29" i="9" s="1"/>
  <c r="Q2" i="9" s="1"/>
  <c r="N13" i="9"/>
  <c r="E13" i="9"/>
  <c r="N12" i="9"/>
  <c r="E12" i="9"/>
  <c r="N11" i="9"/>
  <c r="E11" i="9"/>
  <c r="N10" i="9"/>
  <c r="E10" i="9"/>
  <c r="N9" i="9"/>
  <c r="E9" i="9"/>
  <c r="S2" i="9"/>
  <c r="L82" i="8"/>
  <c r="K82" i="8"/>
  <c r="U2" i="8" s="1"/>
  <c r="I82" i="8"/>
  <c r="S2" i="8" s="1"/>
  <c r="H82" i="8"/>
  <c r="R2" i="8" s="1"/>
  <c r="G82" i="8"/>
  <c r="Q2" i="8" s="1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50" i="8"/>
  <c r="E50" i="8"/>
  <c r="N49" i="8"/>
  <c r="E49" i="8"/>
  <c r="N48" i="8"/>
  <c r="E48" i="8"/>
  <c r="N47" i="8"/>
  <c r="E47" i="8"/>
  <c r="N46" i="8"/>
  <c r="E46" i="8"/>
  <c r="N45" i="8"/>
  <c r="E45" i="8"/>
  <c r="N44" i="8"/>
  <c r="E44" i="8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M85" i="8" s="1"/>
  <c r="E9" i="8"/>
  <c r="I85" i="8" s="1"/>
  <c r="V2" i="8"/>
  <c r="I60" i="7"/>
  <c r="K58" i="7" s="1"/>
  <c r="L57" i="7"/>
  <c r="V2" i="7" s="1"/>
  <c r="J57" i="7"/>
  <c r="H11" i="1" s="1"/>
  <c r="I57" i="7"/>
  <c r="S2" i="7" s="1"/>
  <c r="H57" i="7"/>
  <c r="R2" i="7" s="1"/>
  <c r="N51" i="7"/>
  <c r="E51" i="7"/>
  <c r="N50" i="7"/>
  <c r="E50" i="7"/>
  <c r="N49" i="7"/>
  <c r="E49" i="7"/>
  <c r="N48" i="7"/>
  <c r="E48" i="7"/>
  <c r="N47" i="7"/>
  <c r="E47" i="7"/>
  <c r="N46" i="7"/>
  <c r="E46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K57" i="7" s="1"/>
  <c r="U2" i="7"/>
  <c r="L54" i="6"/>
  <c r="K54" i="6"/>
  <c r="U2" i="6" s="1"/>
  <c r="I54" i="6"/>
  <c r="S2" i="6" s="1"/>
  <c r="H54" i="6"/>
  <c r="R2" i="6" s="1"/>
  <c r="G54" i="6"/>
  <c r="Q2" i="6" s="1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I57" i="6" s="1"/>
  <c r="V2" i="6"/>
  <c r="L38" i="5"/>
  <c r="V2" i="5" s="1"/>
  <c r="I38" i="5"/>
  <c r="S2" i="5" s="1"/>
  <c r="H38" i="5"/>
  <c r="R2" i="5" s="1"/>
  <c r="F38" i="5"/>
  <c r="P2" i="5" s="1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G38" i="5" s="1"/>
  <c r="E9" i="1" s="1"/>
  <c r="L65" i="4"/>
  <c r="I65" i="4"/>
  <c r="S2" i="4" s="1"/>
  <c r="H65" i="4"/>
  <c r="F65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K65" i="4" s="1"/>
  <c r="U2" i="4" s="1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G65" i="4" s="1"/>
  <c r="V2" i="4"/>
  <c r="R2" i="4"/>
  <c r="J68" i="3"/>
  <c r="H68" i="3"/>
  <c r="R2" i="3" s="1"/>
  <c r="N62" i="3"/>
  <c r="E62" i="3"/>
  <c r="N61" i="3"/>
  <c r="E61" i="3"/>
  <c r="N60" i="3"/>
  <c r="E60" i="3"/>
  <c r="N59" i="3"/>
  <c r="E59" i="3"/>
  <c r="N58" i="3"/>
  <c r="E58" i="3"/>
  <c r="N57" i="3"/>
  <c r="E57" i="3"/>
  <c r="N56" i="3"/>
  <c r="E56" i="3"/>
  <c r="N55" i="3"/>
  <c r="E55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L68" i="3" s="1"/>
  <c r="V2" i="3" s="1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F68" i="3" s="1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L71" i="2"/>
  <c r="V2" i="2" s="1"/>
  <c r="K71" i="2"/>
  <c r="U2" i="2" s="1"/>
  <c r="J71" i="2"/>
  <c r="H6" i="1" s="1"/>
  <c r="I71" i="2"/>
  <c r="S2" i="2" s="1"/>
  <c r="H71" i="2"/>
  <c r="R2" i="2" s="1"/>
  <c r="G71" i="2"/>
  <c r="Q2" i="2" s="1"/>
  <c r="F71" i="2"/>
  <c r="D6" i="1" s="1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T2" i="2"/>
  <c r="I19" i="1"/>
  <c r="G19" i="1"/>
  <c r="E19" i="1"/>
  <c r="D19" i="1"/>
  <c r="J18" i="1"/>
  <c r="I18" i="1"/>
  <c r="E18" i="1"/>
  <c r="I17" i="1"/>
  <c r="G17" i="1"/>
  <c r="F17" i="1"/>
  <c r="E17" i="1"/>
  <c r="C17" i="1"/>
  <c r="G16" i="1"/>
  <c r="F16" i="1"/>
  <c r="D16" i="1"/>
  <c r="G15" i="1"/>
  <c r="F15" i="1"/>
  <c r="E15" i="1"/>
  <c r="C15" i="1"/>
  <c r="I14" i="1"/>
  <c r="F14" i="1"/>
  <c r="D14" i="1"/>
  <c r="J13" i="1"/>
  <c r="H13" i="1"/>
  <c r="G13" i="1"/>
  <c r="E13" i="1"/>
  <c r="J12" i="1"/>
  <c r="G12" i="1"/>
  <c r="E12" i="1"/>
  <c r="C12" i="1"/>
  <c r="J11" i="1"/>
  <c r="I11" i="1"/>
  <c r="G11" i="1"/>
  <c r="J10" i="1"/>
  <c r="G10" i="1"/>
  <c r="F10" i="1"/>
  <c r="E10" i="1"/>
  <c r="C10" i="1"/>
  <c r="G9" i="1"/>
  <c r="J8" i="1"/>
  <c r="G8" i="1"/>
  <c r="F8" i="1"/>
  <c r="D8" i="1"/>
  <c r="H7" i="1"/>
  <c r="J6" i="1"/>
  <c r="F6" i="1"/>
  <c r="Q2" i="4" l="1"/>
  <c r="E8" i="1"/>
  <c r="F67" i="4"/>
  <c r="H83" i="8"/>
  <c r="J9" i="1"/>
  <c r="F12" i="1"/>
  <c r="E14" i="1"/>
  <c r="M41" i="5"/>
  <c r="L36" i="13"/>
  <c r="P2" i="2"/>
  <c r="I41" i="5"/>
  <c r="L39" i="5" s="1"/>
  <c r="H55" i="6"/>
  <c r="D9" i="1"/>
  <c r="J15" i="1"/>
  <c r="I74" i="2"/>
  <c r="I68" i="4"/>
  <c r="Q2" i="5"/>
  <c r="M57" i="6"/>
  <c r="M60" i="7"/>
  <c r="C11" i="1"/>
  <c r="G14" i="1"/>
  <c r="M74" i="2"/>
  <c r="M71" i="3"/>
  <c r="P2" i="4"/>
  <c r="M68" i="4"/>
  <c r="J38" i="5"/>
  <c r="T2" i="5" s="1"/>
  <c r="I52" i="10"/>
  <c r="F51" i="10" s="1"/>
  <c r="K89" i="11"/>
  <c r="U2" i="11" s="1"/>
  <c r="I123" i="12"/>
  <c r="C16" i="1" s="1"/>
  <c r="L120" i="12"/>
  <c r="G120" i="12"/>
  <c r="P2" i="3"/>
  <c r="D7" i="1"/>
  <c r="J73" i="2"/>
  <c r="I66" i="4"/>
  <c r="K66" i="4"/>
  <c r="G66" i="4"/>
  <c r="F66" i="4"/>
  <c r="L58" i="7"/>
  <c r="H58" i="7"/>
  <c r="J58" i="7"/>
  <c r="L90" i="11"/>
  <c r="H90" i="11"/>
  <c r="K90" i="11"/>
  <c r="G90" i="11"/>
  <c r="I90" i="11"/>
  <c r="G18" i="1"/>
  <c r="S2" i="14"/>
  <c r="E6" i="1"/>
  <c r="I6" i="1"/>
  <c r="C8" i="1"/>
  <c r="K8" i="1" s="1"/>
  <c r="F9" i="1"/>
  <c r="I10" i="1"/>
  <c r="F13" i="1"/>
  <c r="F73" i="2"/>
  <c r="K68" i="3"/>
  <c r="G68" i="3"/>
  <c r="T2" i="3"/>
  <c r="H66" i="4"/>
  <c r="I58" i="7"/>
  <c r="K83" i="8"/>
  <c r="G83" i="8"/>
  <c r="I83" i="8"/>
  <c r="M92" i="11"/>
  <c r="K121" i="12"/>
  <c r="G121" i="12"/>
  <c r="H121" i="12"/>
  <c r="J37" i="13"/>
  <c r="I37" i="13"/>
  <c r="L37" i="13"/>
  <c r="H37" i="13"/>
  <c r="J19" i="1"/>
  <c r="V2" i="15"/>
  <c r="V2" i="13"/>
  <c r="J17" i="1"/>
  <c r="F36" i="13"/>
  <c r="J38" i="13"/>
  <c r="H17" i="1"/>
  <c r="T2" i="13"/>
  <c r="I96" i="14"/>
  <c r="C18" i="1"/>
  <c r="L96" i="14"/>
  <c r="H96" i="14"/>
  <c r="K96" i="14"/>
  <c r="G96" i="14"/>
  <c r="F19" i="1"/>
  <c r="R2" i="15"/>
  <c r="I15" i="1"/>
  <c r="J39" i="5"/>
  <c r="J59" i="7"/>
  <c r="T2" i="7"/>
  <c r="K29" i="9"/>
  <c r="J31" i="9" s="1"/>
  <c r="I32" i="9"/>
  <c r="F29" i="9"/>
  <c r="I50" i="10"/>
  <c r="L50" i="10"/>
  <c r="H50" i="10"/>
  <c r="K50" i="10"/>
  <c r="G50" i="10"/>
  <c r="F50" i="10"/>
  <c r="G6" i="1"/>
  <c r="K6" i="1" s="1"/>
  <c r="F7" i="1"/>
  <c r="F20" i="1" s="1"/>
  <c r="O2" i="1" s="1"/>
  <c r="J7" i="1"/>
  <c r="I8" i="1"/>
  <c r="F11" i="1"/>
  <c r="I12" i="1"/>
  <c r="C14" i="1"/>
  <c r="I16" i="1"/>
  <c r="K72" i="2"/>
  <c r="G72" i="2"/>
  <c r="I72" i="2"/>
  <c r="L72" i="2"/>
  <c r="I68" i="3"/>
  <c r="I71" i="3"/>
  <c r="L66" i="4"/>
  <c r="K38" i="5"/>
  <c r="K55" i="6"/>
  <c r="G55" i="6"/>
  <c r="I55" i="6"/>
  <c r="L55" i="6"/>
  <c r="G57" i="7"/>
  <c r="F57" i="7"/>
  <c r="F58" i="7" s="1"/>
  <c r="L83" i="8"/>
  <c r="M32" i="9"/>
  <c r="F122" i="12"/>
  <c r="M39" i="13"/>
  <c r="G37" i="13"/>
  <c r="M98" i="14"/>
  <c r="J65" i="4"/>
  <c r="T2" i="9"/>
  <c r="J49" i="10"/>
  <c r="F95" i="14"/>
  <c r="F96" i="14" s="1"/>
  <c r="J95" i="14"/>
  <c r="F89" i="11"/>
  <c r="F90" i="11" s="1"/>
  <c r="J89" i="11"/>
  <c r="J90" i="11" s="1"/>
  <c r="J26" i="15"/>
  <c r="I29" i="15"/>
  <c r="F28" i="15" s="1"/>
  <c r="F54" i="6"/>
  <c r="J54" i="6"/>
  <c r="F82" i="8"/>
  <c r="J82" i="8"/>
  <c r="J83" i="8" s="1"/>
  <c r="J120" i="12"/>
  <c r="J121" i="12" s="1"/>
  <c r="J40" i="5" l="1"/>
  <c r="H9" i="1"/>
  <c r="L121" i="12"/>
  <c r="I121" i="12"/>
  <c r="F70" i="3"/>
  <c r="V2" i="12"/>
  <c r="J16" i="1"/>
  <c r="J20" i="1" s="1"/>
  <c r="S2" i="1" s="1"/>
  <c r="G39" i="5"/>
  <c r="C9" i="1"/>
  <c r="I39" i="5"/>
  <c r="H39" i="5"/>
  <c r="K14" i="1"/>
  <c r="F39" i="5"/>
  <c r="F121" i="12"/>
  <c r="F40" i="5"/>
  <c r="K9" i="1"/>
  <c r="Q2" i="12"/>
  <c r="E16" i="1"/>
  <c r="K16" i="1" s="1"/>
  <c r="F72" i="2"/>
  <c r="C6" i="1"/>
  <c r="J72" i="2"/>
  <c r="H72" i="2"/>
  <c r="T2" i="14"/>
  <c r="H18" i="1"/>
  <c r="J97" i="14"/>
  <c r="D17" i="1"/>
  <c r="K17" i="1" s="1"/>
  <c r="F38" i="13"/>
  <c r="P2" i="13"/>
  <c r="F84" i="8"/>
  <c r="D12" i="1"/>
  <c r="K12" i="1" s="1"/>
  <c r="P2" i="8"/>
  <c r="T2" i="15"/>
  <c r="J28" i="15"/>
  <c r="H19" i="1"/>
  <c r="J96" i="14"/>
  <c r="J55" i="6"/>
  <c r="T2" i="6"/>
  <c r="J56" i="6"/>
  <c r="H10" i="1"/>
  <c r="T2" i="11"/>
  <c r="J91" i="11"/>
  <c r="H15" i="1"/>
  <c r="J51" i="10"/>
  <c r="T2" i="10"/>
  <c r="H14" i="1"/>
  <c r="J50" i="10"/>
  <c r="Q2" i="7"/>
  <c r="E11" i="1"/>
  <c r="G58" i="7"/>
  <c r="L69" i="3"/>
  <c r="H69" i="3"/>
  <c r="J69" i="3"/>
  <c r="F69" i="3"/>
  <c r="G69" i="3"/>
  <c r="K69" i="3"/>
  <c r="I69" i="3"/>
  <c r="C7" i="1"/>
  <c r="P2" i="9"/>
  <c r="D13" i="1"/>
  <c r="F31" i="9"/>
  <c r="J84" i="8"/>
  <c r="T2" i="8"/>
  <c r="H12" i="1"/>
  <c r="L27" i="15"/>
  <c r="H27" i="15"/>
  <c r="K27" i="15"/>
  <c r="G27" i="15"/>
  <c r="J27" i="15"/>
  <c r="F27" i="15"/>
  <c r="I27" i="15"/>
  <c r="C19" i="1"/>
  <c r="K19" i="1" s="1"/>
  <c r="J66" i="4"/>
  <c r="T2" i="4"/>
  <c r="J67" i="4"/>
  <c r="H8" i="1"/>
  <c r="U2" i="5"/>
  <c r="I9" i="1"/>
  <c r="U2" i="9"/>
  <c r="I13" i="1"/>
  <c r="Q2" i="3"/>
  <c r="E7" i="1"/>
  <c r="K39" i="5"/>
  <c r="F97" i="14"/>
  <c r="P2" i="14"/>
  <c r="D18" i="1"/>
  <c r="K18" i="1" s="1"/>
  <c r="P2" i="7"/>
  <c r="F59" i="7"/>
  <c r="D11" i="1"/>
  <c r="F37" i="13"/>
  <c r="U2" i="3"/>
  <c r="I7" i="1"/>
  <c r="J122" i="12"/>
  <c r="T2" i="12"/>
  <c r="H16" i="1"/>
  <c r="F56" i="6"/>
  <c r="P2" i="6"/>
  <c r="F55" i="6"/>
  <c r="D10" i="1"/>
  <c r="P2" i="11"/>
  <c r="F91" i="11"/>
  <c r="D15" i="1"/>
  <c r="K15" i="1" s="1"/>
  <c r="S2" i="3"/>
  <c r="G7" i="1"/>
  <c r="G20" i="1" s="1"/>
  <c r="P2" i="1" s="1"/>
  <c r="L30" i="9"/>
  <c r="H30" i="9"/>
  <c r="K30" i="9"/>
  <c r="G30" i="9"/>
  <c r="J30" i="9"/>
  <c r="F30" i="9"/>
  <c r="C13" i="1"/>
  <c r="I30" i="9"/>
  <c r="F83" i="8"/>
  <c r="J70" i="3"/>
  <c r="I20" i="1"/>
  <c r="R2" i="1" s="1"/>
  <c r="K7" i="1" l="1"/>
  <c r="E20" i="1"/>
  <c r="N2" i="1" s="1"/>
  <c r="H20" i="1"/>
  <c r="Q2" i="1" s="1"/>
  <c r="K10" i="1"/>
  <c r="D20" i="1"/>
  <c r="K13" i="1"/>
  <c r="K11" i="1"/>
  <c r="C20" i="1"/>
  <c r="D21" i="1" l="1"/>
  <c r="M2" i="1"/>
</calcChain>
</file>

<file path=xl/sharedStrings.xml><?xml version="1.0" encoding="utf-8"?>
<sst xmlns="http://schemas.openxmlformats.org/spreadsheetml/2006/main" count="3486" uniqueCount="179">
  <si>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</si>
  <si>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</si>
  <si>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</si>
  <si>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</si>
  <si>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</si>
  <si>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</si>
  <si>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</si>
  <si>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</si>
  <si>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</si>
  <si>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</si>
  <si>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</si>
  <si>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</si>
  <si>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</si>
  <si>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</si>
  <si>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</si>
  <si>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</si>
  <si>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TO-040 - TRECHO ENTR. TO-369 - ENTR. TO-280 (ALMAS)</t>
  </si>
  <si>
    <t>RODOVIA TO-296 - TRECHO ENTR. TO-050 - ENTR. TO-110 (COMBINADO)</t>
  </si>
  <si>
    <t>RODOVIA TO-296 - TRECHO ENTR. BR-242 (POVOADO SÃO BOM JESUS DAS PALMAS) - ENTR. TO-050</t>
  </si>
  <si>
    <t>RODOVIA TO-369 - TRECHO ENTR. TO-040 - ENTR. TO-476 (FUNIL - RIO SONINHO)</t>
  </si>
  <si>
    <t>RODOVIA TO-387 - TRECHO CONCEIÇÃO DO TOCANTINS - TAIPAS DO TOCANTINS</t>
  </si>
  <si>
    <t>RODOVIA TO-387 - TRECHO ENTR. BR-010 - ENTR. TO-050 (CONCEIÇÃO DO TOCANTINS)</t>
  </si>
  <si>
    <t>RODOVIA TO-387 - TRECHO ENTR. TO-040 - TAIPAS DO TOCANTINS</t>
  </si>
  <si>
    <t>RODOVIA TO-476 - TRECHO RIO DA CONCEIÇÃO - ENTR. TO-477</t>
  </si>
  <si>
    <t>RODOVIA TO-477 - TRECHO ALMAS - ENTR. TO-476</t>
  </si>
  <si>
    <t>RODOVIA TO-477 - TRECHO ENTR. BR-010 (POVOADO BONFIM) - ALMAS</t>
  </si>
  <si>
    <t>RODOVIA TO-485 - TRECHO TAIPAS DO TOCANTINS - ENTR. TO-110</t>
  </si>
  <si>
    <t>RODOVIA TO-487 - TRECHO ENTR. TO-485 (MIMOSA DOS MARINS) - ENTR. BR-242</t>
  </si>
  <si>
    <t>RODOVIA TO-497 - TRECHO ENTR. BR-242 - ENTR. TO-296 (POVOADO JACARÉ)</t>
  </si>
  <si>
    <t>RODOVIA TO-499 - TRECHO ENTR. TO-050 - DIVISA TO-GO</t>
  </si>
  <si>
    <t>TOTAL PERCORRIDO NO MÊS</t>
  </si>
  <si>
    <t>% DA EXTENSÃO DA MALHA (662.87 km)</t>
  </si>
  <si>
    <t>(soma do grupo 'CONDIÇÃO DA PLATAFORMA' dividida pela malha)</t>
  </si>
  <si>
    <t>PROGRAMA DE MANUTENÇÃO RODOVIÁRIA — FICHA DE INSPEÇÃO — RODOVIAS NÃO PAVIMENTADAS</t>
  </si>
  <si>
    <t>REGIÃO:  13 — DIANÓPOLIS</t>
  </si>
  <si>
    <t>MÊS / ANO:</t>
  </si>
  <si>
    <t>DATA:</t>
  </si>
  <si>
    <t>TÉCNICO:</t>
  </si>
  <si>
    <t>TRECHO 245 — RODOVIA TO-040 - TRECHO ENTR. TO-369 - ENTR. TO-280 (ALMAS)</t>
  </si>
  <si>
    <t>EXTENSÃO: 56,716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</si>
  <si>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</si>
  <si>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</si>
  <si>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</si>
  <si>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</si>
  <si>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</si>
  <si>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</si>
  <si>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</si>
  <si>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</si>
  <si>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040ETO0140   |   ENTR. TO-369 - ENTR. TO-280 (ALMAS)   |   EOP · Estadual · 56.716 km  ·  início: -11.163844, -47.299488</t>
  </si>
  <si>
    <t>040ETO0140</t>
  </si>
  <si>
    <t>C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</si>
  <si>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</si>
  <si>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</si>
  <si>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</si>
  <si>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</si>
  <si>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</si>
  <si>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</si>
  <si>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</si>
  <si>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</si>
  <si>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</si>
  <si>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</si>
  <si>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</si>
  <si>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</si>
  <si>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</si>
  <si>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</si>
  <si>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</si>
  <si>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</si>
  <si>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</si>
  <si>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</si>
  <si>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</si>
  <si>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</si>
  <si>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</si>
  <si>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</si>
  <si>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</si>
  <si>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</si>
  <si>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260 — RODOVIA TO-296 - TRECHO ENTR. TO-050 - ENTR. TO-110 (COMBINADO)</t>
  </si>
  <si>
    <t>EXTENSÃO: 52,136 km  ·  2 S.R.E.</t>
  </si>
  <si>
    <t>S.R.E. 296ETO0110   |   COMBINADO *TRECHO URBANO* - ENTR. TO-497   |   LEN · Estadual · 30.280 km  ·  início: -12.81329, -46.554648</t>
  </si>
  <si>
    <t>296ETO0110</t>
  </si>
  <si>
    <t>X</t>
  </si>
  <si>
    <t>S.R.E. 296ETO0120   |   ENTR. TO-497 - ENTR. TO-050   |   LEN · Estadual · 21.856 km  ·  início: -12.847586, -46.789522</t>
  </si>
  <si>
    <t>296ETO0120</t>
  </si>
  <si>
    <t>* (21,86 Km)   TRECHO CRÍTICO COM MUITAS PEDRAS AFLORADAS - 07 FOTOS</t>
  </si>
  <si>
    <t>01 FOTO</t>
  </si>
  <si>
    <t>AMPLIAÇÃO DE UM BUEIRO CELULAR</t>
  </si>
  <si>
    <t>PONTE</t>
  </si>
  <si>
    <t>TRECHO 261 — RODOVIA TO-296 - TRECHO ENTR. BR-242 (POVOADO SÃO BOM JESUS DAS PALMAS) - ENTR. TO-050</t>
  </si>
  <si>
    <t>EXTENSÃO: 50,620 km  ·  1 S.R.E.</t>
  </si>
  <si>
    <t>S.R.E. 296ETO0170   |   ENTR. TO-050 - ENTR. BR-242   |   LEN · Estadual · 50.620 km  ·  início: -12.843804, -47.088265</t>
  </si>
  <si>
    <t>296ETO0170</t>
  </si>
  <si>
    <t>TRECHO 262 — RODOVIA TO-369 - TRECHO ENTR. TO-040 - ENTR. TO-476 (FUNIL - RIO SONINHO)</t>
  </si>
  <si>
    <t>EXTENSÃO: 23,951 km  ·  1 S.R.E.</t>
  </si>
  <si>
    <t>S.R.E. 369ETO0100   |   ENTR. TO-476 - ENTR. TO-040   |   LEN · Estadual · 23.951 km  ·  início: -10.98981, -47.228897</t>
  </si>
  <si>
    <t>369ETO0100</t>
  </si>
  <si>
    <t>TRECHO 263 — RODOVIA TO-387 - TRECHO CONCEIÇÃO DO TOCANTINS - TAIPAS DO TOCANTINS</t>
  </si>
  <si>
    <t>EXTENSÃO: 39,502 km  ·  1 S.R.E.</t>
  </si>
  <si>
    <t>S.R.E. 387ETO0070   |   ENTR. TO-485 (TAIPAS) - CONCEIÇÃO DO TOCANTINS *TRECHO URBANO*   |   LEN · Estadual · 39.502 km  ·  início: -12.205354, -46.990971</t>
  </si>
  <si>
    <t>387ETO0070</t>
  </si>
  <si>
    <t>TRECHO 264 — RODOVIA TO-387 - TRECHO ENTR. BR-010 - ENTR. TO-050 (CONCEIÇÃO DO TOCANTINS)</t>
  </si>
  <si>
    <t>EXTENSÃO: 42,464 km  ·  1 S.R.E.</t>
  </si>
  <si>
    <t>S.R.E. 387ETO0100   |   ENTR. TO-050 - ENTR. TO-130-BR-010   |   LEN · Estadual · 42.464 km  ·  início: -12.230213, -47.348306</t>
  </si>
  <si>
    <t>387ETO0100</t>
  </si>
  <si>
    <t>TRECHO 265 — RODOVIA TO-387 - TRECHO ENTR. TO-040 - TAIPAS DO TOCANTINS</t>
  </si>
  <si>
    <t>EXTENSÃO: 67,818 km  ·  1 S.R.E.</t>
  </si>
  <si>
    <t>S.R.E. 387ETO0040   |   ENTR. TO-040-TO-280 - TAIPAS DO TOCANTINS *TRECHO URBANO*   |   LEN · Estadual · 67.818 km  ·  início: -12.187431, -46.987309</t>
  </si>
  <si>
    <t>387ETO0040</t>
  </si>
  <si>
    <t>TRECHO 267 — RODOVIA TO-476 - TRECHO RIO DA CONCEIÇÃO - ENTR. TO-477</t>
  </si>
  <si>
    <t>EXTENSÃO: 14,476 km  ·  1 S.R.E.</t>
  </si>
  <si>
    <t>S.R.E. 476ETO0030   |   ENTR. TO-477 - RIO DA CONCEIÇÃO *TRECHO URBANO*   |   LEN · Estadual · 14.476 km  ·  início: -11.39431, -46.890366</t>
  </si>
  <si>
    <t>476ETO0030</t>
  </si>
  <si>
    <t>TRECHO 268 — RODOVIA TO-477 - TRECHO ALMAS - ENTR. TO-476</t>
  </si>
  <si>
    <t>EXTENSÃO: 34,769 km  ·  1 S.R.E.</t>
  </si>
  <si>
    <t>S.R.E. 477ETO0020   |   ENTR. TO-476 - ENTR. TO-040-TO-280 (ALMAS)   |   LEN · Estadual · 34.769 km  ·  início: -11.5622, -47.154976</t>
  </si>
  <si>
    <t>477ETO0020</t>
  </si>
  <si>
    <t>TRECHO 269 — RODOVIA TO-477 - TRECHO ENTR. BR-010 (POVOADO BONFIM) - ALMAS</t>
  </si>
  <si>
    <t>EXTENSÃO: 73,040 km  ·  2 S.R.E.</t>
  </si>
  <si>
    <t>S.R.E. 477ETO0060   |   ALMAS *TRECHO URBANO* - BARRA NOVA   |   LEN · Estadual · 63.075 km  ·  início: -11.582789, -47.176357</t>
  </si>
  <si>
    <t>477ETO0060</t>
  </si>
  <si>
    <t>S.R.E. 477ETO0070   |   BARRA NOVA - ENTR. TO-050-BR-010   |   LEN · Estadual · 9.965 km  ·  início: -11.884282, -47.539416</t>
  </si>
  <si>
    <t>477ETO0070</t>
  </si>
  <si>
    <t>TRECHO 270 — RODOVIA TO-485 - TRECHO TAIPAS DO TOCANTINS - ENTR. TO-110</t>
  </si>
  <si>
    <t>EXTENSÃO: 98,763 km  ·  5 S.R.E.</t>
  </si>
  <si>
    <t>S.R.E. 485ETO0010   |   ENTR. TO-110 - CARAIBINHA   |   LEN · Estadual · 21.438 km  ·  início: -12.059836, -46.501594</t>
  </si>
  <si>
    <t>485ETO0010</t>
  </si>
  <si>
    <t>S.R.E. 485ETO0020   |   CARAIBINHA - POV. BURITI   |   LEN · Estadual · 10.495 km  ·  início: -12.056942, -46.658053</t>
  </si>
  <si>
    <t>485ETO0020</t>
  </si>
  <si>
    <t>S.R.E. 485ETO0030   |   BURITI - ENTR. TO-487 (MIMOSA DOS MARINS)   |   LEN · Estadual · 18.120 km  ·  início: -12.124254, -46.616581</t>
  </si>
  <si>
    <t>485ETO0030</t>
  </si>
  <si>
    <t>S.R.E. 485ETO0040   |   ENTR. TO-487 (MIMOSA DOS MARINS) - LIMOEIRO   |   LEN · Estadual · 24.006 km  ·  início: -12.250709, -46.664968</t>
  </si>
  <si>
    <t>485ETO0040</t>
  </si>
  <si>
    <t>S.R.E. 485ETO0050   |   LIMOEIRO - ENTR. TO-387 (TAIPAS DO TOCANTINS)   |   LEN · Estadual · 24.704 km  ·  início: -12.30999, -46.847801</t>
  </si>
  <si>
    <t>485ETO0050</t>
  </si>
  <si>
    <t>TRECHO 271 — RODOVIA TO-487 - TRECHO ENTR. TO-485 (MIMOSA DOS MARINS) - ENTR. BR-242</t>
  </si>
  <si>
    <t>EXTENSÃO: 21,622 km  ·  1 S.R.E.</t>
  </si>
  <si>
    <t>S.R.E. 487ETO0010   |   ENTR. TO 485 (MIMOSA) - ENTR. BR-242   |   LEN · Estadual · 21.622 km  ·  início: -12.376424, -46.543226</t>
  </si>
  <si>
    <t>487ETO0010</t>
  </si>
  <si>
    <t>TRECHO 272 — RODOVIA TO-497 - TRECHO ENTR. BR-242 - ENTR. TO-296 (POVOADO JACARÉ)</t>
  </si>
  <si>
    <t>EXTENSÃO: 75,787 km  ·  4 S.R.E.</t>
  </si>
  <si>
    <t>S.R.E. 497ETO0010   |   ENTR. BR-242 (TAGUATINGA) - MIMOSA   |   LEN · Estadual · 15.939 km  ·  início: -12.425769, -46.471445</t>
  </si>
  <si>
    <t>497ETO0010</t>
  </si>
  <si>
    <t>* (15,94 Km)  03 FOTOS</t>
  </si>
  <si>
    <t>02 FOTOS</t>
  </si>
  <si>
    <t>PONTO BAIXO - POSSÍVEL ATOLEIRO - 02 FOTOS</t>
  </si>
  <si>
    <t>PREFEITURA TRABALHANDO NO LOCAL - 07 FOTOS</t>
  </si>
  <si>
    <t>PREFEITURA TRABALHOU NO LOCAL - 09 FOTOS</t>
  </si>
  <si>
    <t>S.R.E. 497ETO0020   |   MIMOSA - DEPASA   |   LEN · Estadual · 27.240 km  ·  início: -12.469229, -46.569347</t>
  </si>
  <si>
    <t>497ETO0020</t>
  </si>
  <si>
    <t>* (27,24 Km) TRECHO BASTANTE ESTREITO - 04 FOTOS</t>
  </si>
  <si>
    <t>TRECHO CRÍTICO - 01 FOTO</t>
  </si>
  <si>
    <t>TRECHO CRÍTICO, LOCAL COM BASTANTE AREIA NA PISTA - 02 FOTOS</t>
  </si>
  <si>
    <t>TRECHO CRÍTICO, LOCAL COM BASTANTE AREIA NA PISTA - 01 FOTO</t>
  </si>
  <si>
    <t>TRECHO CRÍTICO, LOCAL COM BASTANTE AREIA, SOB INTERVENÇÃO/PREFEITURA  - 04 FOTOS</t>
  </si>
  <si>
    <t>PONTO CRÍTICO SENDO ATACADO - 02 FOTOS</t>
  </si>
  <si>
    <t>PONTO CRÍTICO SENDO ATACADO - 01 FOTO</t>
  </si>
  <si>
    <t>TRECHO CRÍTICO, LOCAL COM BASTANTE AREIA NA PISTA - 04 FOTOS</t>
  </si>
  <si>
    <t>TRECHO CRÍTICO, LOCAL COM BASTANTE AREIA, SOB INTERVENÇÃO/PREFEITURA  - 01 FOTO</t>
  </si>
  <si>
    <t>EXECUÇÃO NECESSÁRIA DE UM BUEIRO DE PASSAGEM DE ÁGUAS PLUVIAIS - 04 FOTOS</t>
  </si>
  <si>
    <t>FINAL DO TRECHO - 03 FOTOS</t>
  </si>
  <si>
    <t>S.R.E. 497ETO0030   |   DEPASA - POV . JACARE   |   LEN · Estadual · 28.421 km  ·  início: -12.599722, -46.746722</t>
  </si>
  <si>
    <t>497ETO0030</t>
  </si>
  <si>
    <t>* (28,42 Km) - 03 FOTOS</t>
  </si>
  <si>
    <t>EXTREITAMENTO DA PISTA  + MUITAS PEDRAS AFLORADAS NA PISTA- 03 FOTO</t>
  </si>
  <si>
    <t>TRECHO CRÍTICO COM MUITAS PEDRAS AFLORADAS NA PISTA - 04 FOTOS</t>
  </si>
  <si>
    <t>TRECHO CRÍTICO COM MUITAS PEDRAS AFLORADAS NA PISTA - 01 FOTO</t>
  </si>
  <si>
    <t>04 FOTOS</t>
  </si>
  <si>
    <t>02 CASCALHEIRAS</t>
  </si>
  <si>
    <t>PONTO CRÍTICO - 02 FOTOS</t>
  </si>
  <si>
    <t>FINAL DO TRECHO - 02 FOTOS</t>
  </si>
  <si>
    <t>S.R.E. 497ETO0050   |   POV JACARÉ - ENTR. TO-296   |   LEN · Estadual · 4.187 km  ·  início: -12.816938, -46.781758</t>
  </si>
  <si>
    <t>497ETO0050</t>
  </si>
  <si>
    <t>* (4,19 Km) EXECUÇÃO DE BUEIRO TUBULAR (04 FOTOS)</t>
  </si>
  <si>
    <t>TRECHO CRÍTICO COM MUITAS PEDRAS AFLORADAS - 07 FOTOS</t>
  </si>
  <si>
    <t>TRECHO 273 — RODOVIA TO-499 - TRECHO ENTR. TO-050 - DIVISA TO-GO</t>
  </si>
  <si>
    <t>EXTENSÃO: 11,208 km  ·  1 S.R.E.</t>
  </si>
  <si>
    <t>S.R.E. 499ETO0010   |   ENTR. TO-050 - DIV TO-GO   |   LEN · Estadual · 11.208 km  ·  início: -13.062404, -46.869862</t>
  </si>
  <si>
    <t>499ETO0010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</si>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</sst>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86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95-45B8-BC2F-98A8FC20985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95-45B8-BC2F-98A8FC20985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95-45B8-BC2F-98A8FC20985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95-45B8-BC2F-98A8FC2098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410.06879676196002</c:v>
                </c:pt>
                <c:pt idx="1">
                  <c:v>191.48836010860001</c:v>
                </c:pt>
                <c:pt idx="2">
                  <c:v>#N/A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95-45B8-BC2F-98A8FC209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67-409A-8920-AE73B5C0C4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67-409A-8920-AE73B5C0C4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67-409A-8920-AE73B5C0C4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282.67375682300002</c:v>
                </c:pt>
                <c:pt idx="1">
                  <c:v>216.32539626088001</c:v>
                </c:pt>
                <c:pt idx="2">
                  <c:v>92.55800378667999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7-409A-8920-AE73B5C0C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38-436F-AFE5-F6F5064E465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38-436F-AFE5-F6F5064E465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D38-436F-AFE5-F6F5064E465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D38-436F-AFE5-F6F5064E46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'245'!$F$7:$I$7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'245'!$P$2:$S$2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38-436F-AFE5-F6F5064E46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5D-4312-8F4B-FC1F7BB3DC7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5D-4312-8F4B-FC1F7BB3DC7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5D-4312-8F4B-FC1F7BB3DC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5D-4312-8F4B-FC1F7BB3DC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9F-476A-9C11-6D49720B289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9F-476A-9C11-6D49720B289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9F-476A-9C11-6D49720B289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9F-476A-9C11-6D49720B28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'260'!$F$7:$I$7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'260'!$P$2:$S$2</c:f>
              <c:numCache>
                <c:formatCode>#,##0.00</c:formatCode>
                <c:ptCount val="4"/>
                <c:pt idx="0">
                  <c:v>15.279582362199999</c:v>
                </c:pt>
                <c:pt idx="1">
                  <c:v>33</c:v>
                </c:pt>
                <c:pt idx="2">
                  <c:v>#N/A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9F-476A-9C11-6D49720B2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11-442A-8510-C25C1FF4C7D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11-442A-8510-C25C1FF4C7D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11-442A-8510-C25C1FF4C7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'260'!$T$2:$V$2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30.279582362199999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11-442A-8510-C25C1FF4C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C7-4898-82DA-F8D79C52C7F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C7-4898-82DA-F8D79C52C7F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C7-4898-82DA-F8D79C52C7F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7C7-4898-82DA-F8D79C52C7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50.619704282800001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C7-4898-82DA-F8D79C52C7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93-4FAD-BF38-42DBF39FE76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93-4FAD-BF38-42DBF39FE76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93-4FAD-BF38-42DBF39FE7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'261'!$T$2:$V$2</c:f>
              <c:numCache>
                <c:formatCode>#,##0.00</c:formatCode>
                <c:ptCount val="3"/>
                <c:pt idx="0">
                  <c:v>22</c:v>
                </c:pt>
                <c:pt idx="1">
                  <c:v>28.619704282800001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3-4FAD-BF38-42DBF39FE7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1A-4A50-A9B2-C7DAC2DE823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1A-4A50-A9B2-C7DAC2DE823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1A-4A50-A9B2-C7DAC2DE823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1A-4A50-A9B2-C7DAC2DE82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23.9510365581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1A-4A50-A9B2-C7DAC2DE8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65-4DE7-9171-E31046B63B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65-4DE7-9171-E31046B63B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65-4DE7-9171-E31046B63B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'262'!$T$2:$V$2</c:f>
              <c:numCache>
                <c:formatCode>#,##0.00</c:formatCode>
                <c:ptCount val="3"/>
                <c:pt idx="0">
                  <c:v>17</c:v>
                </c:pt>
                <c:pt idx="1">
                  <c:v>6.9510365581000002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65-4DE7-9171-E31046B63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F-4CDA-BF44-3A8A3E29656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F-4CDA-BF44-3A8A3E29656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5F-4CDA-BF44-3A8A3E29656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5F-4CDA-BF44-3A8A3E2965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'263'!$F$7:$I$7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'263'!$P$2:$S$2</c:f>
              <c:numCache>
                <c:formatCode>#,##0.00</c:formatCode>
                <c:ptCount val="4"/>
                <c:pt idx="0">
                  <c:v>39.501800082499997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5F-4CDA-BF44-3A8A3E296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CD-4AAD-8E6C-2122803A7C3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CD-4AAD-8E6C-2122803A7C3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CD-4AAD-8E6C-2122803A7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'263'!$T$2:$V$2</c:f>
              <c:numCache>
                <c:formatCode>#,##0.00</c:formatCode>
                <c:ptCount val="3"/>
                <c:pt idx="0">
                  <c:v>32.501800082499997</c:v>
                </c:pt>
                <c:pt idx="1">
                  <c:v>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CD-4AAD-8E6C-2122803A7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E4-4266-9AF8-E36AFE3F5DA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E4-4266-9AF8-E36AFE3F5DA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E4-4266-9AF8-E36AFE3F5DA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FE4-4266-9AF8-E36AFE3F5D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'264'!$F$7:$I$7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'264'!$P$2:$S$2</c:f>
              <c:numCache>
                <c:formatCode>#,##0.00</c:formatCode>
                <c:ptCount val="4"/>
                <c:pt idx="0">
                  <c:v>25</c:v>
                </c:pt>
                <c:pt idx="1">
                  <c:v>17.464392694399997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E4-4266-9AF8-E36AFE3F5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DC-41F8-AADB-DA2575E000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DC-41F8-AADB-DA2575E000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DC-41F8-AADB-DA2575E000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'264'!$T$2:$V$2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42.464392694399997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DC-41F8-AADB-DA2575E000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09-407C-BC40-AE00354E15E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09-407C-BC40-AE00354E15E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09-407C-BC40-AE00354E15E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09-407C-BC40-AE00354E15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'265'!$P$2:$S$2</c:f>
              <c:numCache>
                <c:formatCode>#,##0.00</c:formatCode>
                <c:ptCount val="4"/>
                <c:pt idx="0">
                  <c:v>67.817857462199996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09-407C-BC40-AE00354E15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8F-41F3-8CEA-4A6D683E9E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8F-41F3-8CEA-4A6D683E9E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8F-41F3-8CEA-4A6D683E9E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'265'!$T$2:$V$2</c:f>
              <c:numCache>
                <c:formatCode>#,##0.00</c:formatCode>
                <c:ptCount val="3"/>
                <c:pt idx="0">
                  <c:v>67.817857462199996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8F-41F3-8CEA-4A6D683E9E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DE-4379-9741-60BCE707066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DE-4379-9741-60BCE707066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DE-4379-9741-60BCE707066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DE-4379-9741-60BCE7070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'267'!$P$2:$S$2</c:f>
              <c:numCache>
                <c:formatCode>#,##0.00</c:formatCode>
                <c:ptCount val="4"/>
                <c:pt idx="0">
                  <c:v>5</c:v>
                </c:pt>
                <c:pt idx="1">
                  <c:v>9.4762033838999997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DE-4379-9741-60BCE7070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CF-4628-AB14-23E8BE15D5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CF-4628-AB14-23E8BE15D5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CF-4628-AB14-23E8BE15D5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14.4762033839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F-4628-AB14-23E8BE15D5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58-423B-A9AD-6CCE963B9B9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58-423B-A9AD-6CCE963B9B9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58-423B-A9AD-6CCE963B9B9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58-423B-A9AD-6CCE963B9B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'268'!$F$7:$I$7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34.769106100999998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58-423B-A9AD-6CCE963B9B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D0-496A-8AEF-FAB8123F2F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D0-496A-8AEF-FAB8123F2F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D0-496A-8AEF-FAB8123F2F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'268'!$T$2:$V$2</c:f>
              <c:numCache>
                <c:formatCode>#,##0.00</c:formatCode>
                <c:ptCount val="3"/>
                <c:pt idx="0">
                  <c:v>34.769106100999998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D0-496A-8AEF-FAB8123F2F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5F-41AF-BA26-EF232CD0A52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5F-41AF-BA26-EF232CD0A52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5F-41AF-BA26-EF232CD0A52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5F-41AF-BA26-EF232CD0A5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'269'!$P$2:$S$2</c:f>
              <c:numCache>
                <c:formatCode>#,##0.00</c:formatCode>
                <c:ptCount val="4"/>
                <c:pt idx="0">
                  <c:v>73.03957648558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5F-41AF-BA26-EF232CD0A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D4-475E-8E19-443EFE136E5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D4-475E-8E19-443EFE136E5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D4-475E-8E19-443EFE136E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'269'!$T$2:$V$2</c:f>
              <c:numCache>
                <c:formatCode>#,##0.00</c:formatCode>
                <c:ptCount val="3"/>
                <c:pt idx="0">
                  <c:v>11</c:v>
                </c:pt>
                <c:pt idx="1">
                  <c:v>62.03957648558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4-475E-8E19-443EFE136E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11-4DFD-A866-BC3E1155A8E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11-4DFD-A866-BC3E1155A8E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11-4DFD-A866-BC3E1155A8E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11-4DFD-A866-BC3E1155A8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'270'!$F$7:$I$7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'270'!$P$2:$S$2</c:f>
              <c:numCache>
                <c:formatCode>#,##0.00</c:formatCode>
                <c:ptCount val="4"/>
                <c:pt idx="0">
                  <c:v>87.643029280999997</c:v>
                </c:pt>
                <c:pt idx="1">
                  <c:v>11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11-4DFD-A866-BC3E1155A8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D3-4C35-883F-ADD040E7A3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D3-4C35-883F-ADD040E7A3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D3-4C35-883F-ADD040E7A3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'270'!$T$2:$V$2</c:f>
              <c:numCache>
                <c:formatCode>#,##0.00</c:formatCode>
                <c:ptCount val="3"/>
                <c:pt idx="0">
                  <c:v>60.438443621200001</c:v>
                </c:pt>
                <c:pt idx="1">
                  <c:v>10.494900493899999</c:v>
                </c:pt>
                <c:pt idx="2">
                  <c:v>27.709685165899998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3-4C35-883F-ADD040E7A3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23-4AF6-84EB-19088EEE379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23-4AF6-84EB-19088EEE379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23-4AF6-84EB-19088EEE379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23-4AF6-84EB-19088EEE37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'271'!$P$2:$S$2</c:f>
              <c:numCache>
                <c:formatCode>#,##0.00</c:formatCode>
                <c:ptCount val="4"/>
                <c:pt idx="0">
                  <c:v>21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23-4AF6-84EB-19088EEE3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AD-46D7-9381-AB3A880ADB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AD-46D7-9381-AB3A880ADB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AD-46D7-9381-AB3A880ADB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D-46D7-9381-AB3A880ADB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AC-490A-B560-9E144524C2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AC-490A-B560-9E144524C2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AC-490A-B560-9E144524C28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AC-490A-B560-9E144524C2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'272'!$P$2:$S$2</c:f>
              <c:numCache>
                <c:formatCode>#,##0.00</c:formatCode>
                <c:ptCount val="4"/>
                <c:pt idx="0">
                  <c:v>75.786951088480009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90A-B560-9E144524C2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A0-499C-A8FE-DFB0D15DC7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A0-499C-A8FE-DFB0D15DC7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A0-499C-A8FE-DFB0D15DC7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'272'!$T$2:$V$2</c:f>
              <c:numCache>
                <c:formatCode>#,##0.00</c:formatCode>
                <c:ptCount val="3"/>
                <c:pt idx="0">
                  <c:v>25.9386324677</c:v>
                </c:pt>
                <c:pt idx="1">
                  <c:v>#N/A</c:v>
                </c:pt>
                <c:pt idx="2">
                  <c:v>49.848318620779999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A0-499C-A8FE-DFB0D15DC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70-495E-BE63-DD4C936B716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70-495E-BE63-DD4C936B716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70-495E-BE63-DD4C936B716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70-495E-BE63-DD4C936B71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'273'!$F$7:$I$7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'273'!$P$2:$S$2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11.2079170884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70-495E-BE63-DD4C936B7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59-4D7F-8F92-F73E453414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59-4D7F-8F92-F73E453414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59-4D7F-8F92-F73E453414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'273'!$T$2:$V$2</c:f>
              <c:numCache>
                <c:formatCode>#,##0.00</c:formatCode>
                <c:ptCount val="3"/>
                <c:pt idx="0">
                  <c:v>11.2079170884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59-4D7F-8F92-F73E45341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M1" s="1" t="s">
        <v>1</v>
      </c>
    </row>
    <row r="2" spans="1:19" ht="20.100000000000001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M2" s="2">
        <f t="shared" ref="M2:S2" si="0">IF(D20=0,NA(),D20)</f>
        <v>410.06879676196002</v>
      </c>
      <c r="N2" s="2">
        <f t="shared" si="0"/>
        <v>191.48836010860001</v>
      </c>
      <c r="O2" s="2" t="e">
        <f t="shared" si="0"/>
        <v>#N/A</v>
      </c>
      <c r="P2" s="2">
        <f t="shared" si="0"/>
        <v>3</v>
      </c>
      <c r="Q2" s="2">
        <f t="shared" si="0"/>
        <v>282.67375682300002</v>
      </c>
      <c r="R2" s="2">
        <f t="shared" si="0"/>
        <v>216.32539626088001</v>
      </c>
      <c r="S2" s="2">
        <f t="shared" si="0"/>
        <v>92.55800378667999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2"/>
      <c r="F4" s="32"/>
      <c r="G4" s="33"/>
      <c r="H4" s="30" t="s">
        <v>7</v>
      </c>
      <c r="I4" s="32"/>
      <c r="J4" s="33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245</v>
      </c>
      <c r="B6" s="6" t="s">
        <v>16</v>
      </c>
      <c r="C6" s="7">
        <f>'245'!I74</f>
        <v>56.716371924999997</v>
      </c>
      <c r="D6" s="7">
        <f>'245'!F71</f>
        <v>0</v>
      </c>
      <c r="E6" s="7">
        <f>'245'!G71</f>
        <v>0</v>
      </c>
      <c r="F6" s="7">
        <f>'245'!H71</f>
        <v>0</v>
      </c>
      <c r="G6" s="7">
        <f>'245'!I71</f>
        <v>0</v>
      </c>
      <c r="H6" s="7">
        <f>'245'!J71</f>
        <v>0</v>
      </c>
      <c r="I6" s="7">
        <f>'245'!K71</f>
        <v>0</v>
      </c>
      <c r="J6" s="7">
        <f>'245'!L71</f>
        <v>0</v>
      </c>
      <c r="K6" s="5" t="str">
        <f t="shared" ref="K6:K19" si="1">IF(SUM(D6:G6)=0,"— não preenchido",IF(ROUND(SUM(D6:G6)-C6,3)=0,"OK","ERRO — dif. de "&amp;ROUND(SUM(D6:G6)-C6,3)&amp;" km"))</f>
        <v>— não preenchido</v>
      </c>
    </row>
    <row r="7" spans="1:19" x14ac:dyDescent="0.25">
      <c r="A7" s="5">
        <v>260</v>
      </c>
      <c r="B7" s="6" t="s">
        <v>17</v>
      </c>
      <c r="C7" s="7">
        <f>'260'!I71</f>
        <v>52.135569311400005</v>
      </c>
      <c r="D7" s="7">
        <f>'260'!F68</f>
        <v>15.279582362199999</v>
      </c>
      <c r="E7" s="7">
        <f>'260'!G68</f>
        <v>33</v>
      </c>
      <c r="F7" s="7">
        <f>'260'!H68</f>
        <v>0</v>
      </c>
      <c r="G7" s="7">
        <f>'260'!I68</f>
        <v>3</v>
      </c>
      <c r="H7" s="7">
        <f>'260'!J68</f>
        <v>0</v>
      </c>
      <c r="I7" s="7">
        <f>'260'!K68</f>
        <v>30.279582362199999</v>
      </c>
      <c r="J7" s="7">
        <f>'260'!L68</f>
        <v>8</v>
      </c>
      <c r="K7" s="5" t="str">
        <f t="shared" si="1"/>
        <v>ERRO — dif. de -0,856 km</v>
      </c>
    </row>
    <row r="8" spans="1:19" x14ac:dyDescent="0.25">
      <c r="A8" s="5">
        <v>261</v>
      </c>
      <c r="B8" s="6" t="s">
        <v>18</v>
      </c>
      <c r="C8" s="7">
        <f>'261'!I68</f>
        <v>50.619704282800001</v>
      </c>
      <c r="D8" s="7">
        <f>'261'!F65</f>
        <v>0</v>
      </c>
      <c r="E8" s="7">
        <f>'261'!G65</f>
        <v>50.619704282800001</v>
      </c>
      <c r="F8" s="7">
        <f>'261'!H65</f>
        <v>0</v>
      </c>
      <c r="G8" s="7">
        <f>'261'!I65</f>
        <v>0</v>
      </c>
      <c r="H8" s="7">
        <f>'261'!J65</f>
        <v>22</v>
      </c>
      <c r="I8" s="7">
        <f>'261'!K65</f>
        <v>28.619704282800001</v>
      </c>
      <c r="J8" s="7">
        <f>'261'!L65</f>
        <v>0</v>
      </c>
      <c r="K8" s="5" t="str">
        <f t="shared" si="1"/>
        <v>OK</v>
      </c>
    </row>
    <row r="9" spans="1:19" x14ac:dyDescent="0.25">
      <c r="A9" s="5">
        <v>262</v>
      </c>
      <c r="B9" s="6" t="s">
        <v>19</v>
      </c>
      <c r="C9" s="7">
        <f>'262'!I41</f>
        <v>23.9510365581</v>
      </c>
      <c r="D9" s="7">
        <f>'262'!F38</f>
        <v>0</v>
      </c>
      <c r="E9" s="7">
        <f>'262'!G38</f>
        <v>23.9510365581</v>
      </c>
      <c r="F9" s="7">
        <f>'262'!H38</f>
        <v>0</v>
      </c>
      <c r="G9" s="7">
        <f>'262'!I38</f>
        <v>0</v>
      </c>
      <c r="H9" s="7">
        <f>'262'!J38</f>
        <v>17</v>
      </c>
      <c r="I9" s="7">
        <f>'262'!K38</f>
        <v>6.9510365581000002</v>
      </c>
      <c r="J9" s="7">
        <f>'262'!L38</f>
        <v>0</v>
      </c>
      <c r="K9" s="5" t="str">
        <f t="shared" si="1"/>
        <v>OK</v>
      </c>
    </row>
    <row r="10" spans="1:19" x14ac:dyDescent="0.25">
      <c r="A10" s="5">
        <v>263</v>
      </c>
      <c r="B10" s="6" t="s">
        <v>20</v>
      </c>
      <c r="C10" s="7">
        <f>'263'!I57</f>
        <v>39.501800082499997</v>
      </c>
      <c r="D10" s="7">
        <f>'263'!F54</f>
        <v>39.501800082499997</v>
      </c>
      <c r="E10" s="7">
        <f>'263'!G54</f>
        <v>0</v>
      </c>
      <c r="F10" s="7">
        <f>'263'!H54</f>
        <v>0</v>
      </c>
      <c r="G10" s="7">
        <f>'263'!I54</f>
        <v>0</v>
      </c>
      <c r="H10" s="7">
        <f>'263'!J54</f>
        <v>32.501800082499997</v>
      </c>
      <c r="I10" s="7">
        <f>'263'!K54</f>
        <v>7</v>
      </c>
      <c r="J10" s="7">
        <f>'263'!L54</f>
        <v>0</v>
      </c>
      <c r="K10" s="5" t="str">
        <f t="shared" si="1"/>
        <v>OK</v>
      </c>
    </row>
    <row r="11" spans="1:19" x14ac:dyDescent="0.25">
      <c r="A11" s="5">
        <v>264</v>
      </c>
      <c r="B11" s="6" t="s">
        <v>21</v>
      </c>
      <c r="C11" s="7">
        <f>'264'!I60</f>
        <v>42.464392694399997</v>
      </c>
      <c r="D11" s="7">
        <f>'264'!F57</f>
        <v>25</v>
      </c>
      <c r="E11" s="7">
        <f>'264'!G57</f>
        <v>17.464392694399997</v>
      </c>
      <c r="F11" s="7">
        <f>'264'!H57</f>
        <v>0</v>
      </c>
      <c r="G11" s="7">
        <f>'264'!I57</f>
        <v>0</v>
      </c>
      <c r="H11" s="7">
        <f>'264'!J57</f>
        <v>0</v>
      </c>
      <c r="I11" s="7">
        <f>'264'!K57</f>
        <v>42.464392694399997</v>
      </c>
      <c r="J11" s="7">
        <f>'264'!L57</f>
        <v>0</v>
      </c>
      <c r="K11" s="5" t="str">
        <f t="shared" si="1"/>
        <v>OK</v>
      </c>
    </row>
    <row r="12" spans="1:19" x14ac:dyDescent="0.25">
      <c r="A12" s="5">
        <v>265</v>
      </c>
      <c r="B12" s="6" t="s">
        <v>22</v>
      </c>
      <c r="C12" s="7">
        <f>'265'!I85</f>
        <v>67.817857462199996</v>
      </c>
      <c r="D12" s="7">
        <f>'265'!F82</f>
        <v>67.817857462199996</v>
      </c>
      <c r="E12" s="7">
        <f>'265'!G82</f>
        <v>0</v>
      </c>
      <c r="F12" s="7">
        <f>'265'!H82</f>
        <v>0</v>
      </c>
      <c r="G12" s="7">
        <f>'265'!I82</f>
        <v>0</v>
      </c>
      <c r="H12" s="7">
        <f>'265'!J82</f>
        <v>67.817857462199996</v>
      </c>
      <c r="I12" s="7">
        <f>'265'!K82</f>
        <v>0</v>
      </c>
      <c r="J12" s="7">
        <f>'265'!L82</f>
        <v>0</v>
      </c>
      <c r="K12" s="5" t="str">
        <f t="shared" si="1"/>
        <v>OK</v>
      </c>
    </row>
    <row r="13" spans="1:19" x14ac:dyDescent="0.25">
      <c r="A13" s="5">
        <v>267</v>
      </c>
      <c r="B13" s="6" t="s">
        <v>23</v>
      </c>
      <c r="C13" s="7">
        <f>'267'!I32</f>
        <v>14.4762033839</v>
      </c>
      <c r="D13" s="7">
        <f>'267'!F29</f>
        <v>5</v>
      </c>
      <c r="E13" s="7">
        <f>'267'!G29</f>
        <v>9.4762033838999997</v>
      </c>
      <c r="F13" s="7">
        <f>'267'!H29</f>
        <v>0</v>
      </c>
      <c r="G13" s="7">
        <f>'267'!I29</f>
        <v>0</v>
      </c>
      <c r="H13" s="7">
        <f>'267'!J29</f>
        <v>0</v>
      </c>
      <c r="I13" s="7">
        <f>'267'!K29</f>
        <v>14.4762033839</v>
      </c>
      <c r="J13" s="7">
        <f>'267'!L29</f>
        <v>0</v>
      </c>
      <c r="K13" s="5" t="str">
        <f t="shared" si="1"/>
        <v>OK</v>
      </c>
    </row>
    <row r="14" spans="1:19" x14ac:dyDescent="0.25">
      <c r="A14" s="5">
        <v>268</v>
      </c>
      <c r="B14" s="6" t="s">
        <v>24</v>
      </c>
      <c r="C14" s="7">
        <f>'268'!I52</f>
        <v>34.769106100999998</v>
      </c>
      <c r="D14" s="7">
        <f>'268'!F49</f>
        <v>0</v>
      </c>
      <c r="E14" s="7">
        <f>'268'!G49</f>
        <v>34.769106100999998</v>
      </c>
      <c r="F14" s="7">
        <f>'268'!H49</f>
        <v>0</v>
      </c>
      <c r="G14" s="7">
        <f>'268'!I49</f>
        <v>0</v>
      </c>
      <c r="H14" s="7">
        <f>'268'!J49</f>
        <v>34.769106100999998</v>
      </c>
      <c r="I14" s="7">
        <f>'268'!K49</f>
        <v>0</v>
      </c>
      <c r="J14" s="7">
        <f>'268'!L49</f>
        <v>0</v>
      </c>
      <c r="K14" s="5" t="str">
        <f t="shared" si="1"/>
        <v>OK</v>
      </c>
    </row>
    <row r="15" spans="1:19" x14ac:dyDescent="0.25">
      <c r="A15" s="5">
        <v>269</v>
      </c>
      <c r="B15" s="6" t="s">
        <v>25</v>
      </c>
      <c r="C15" s="7">
        <f>'269'!I92</f>
        <v>73.03957648558</v>
      </c>
      <c r="D15" s="7">
        <f>'269'!F89</f>
        <v>73.03957648558</v>
      </c>
      <c r="E15" s="7">
        <f>'269'!G89</f>
        <v>0</v>
      </c>
      <c r="F15" s="7">
        <f>'269'!H89</f>
        <v>0</v>
      </c>
      <c r="G15" s="7">
        <f>'269'!I89</f>
        <v>0</v>
      </c>
      <c r="H15" s="7">
        <f>'269'!J89</f>
        <v>11</v>
      </c>
      <c r="I15" s="7">
        <f>'269'!K89</f>
        <v>62.03957648558</v>
      </c>
      <c r="J15" s="7">
        <f>'269'!L89</f>
        <v>0</v>
      </c>
      <c r="K15" s="5" t="str">
        <f t="shared" si="1"/>
        <v>OK</v>
      </c>
    </row>
    <row r="16" spans="1:19" x14ac:dyDescent="0.25">
      <c r="A16" s="5">
        <v>270</v>
      </c>
      <c r="B16" s="6" t="s">
        <v>26</v>
      </c>
      <c r="C16" s="7">
        <f>'270'!I123</f>
        <v>98.762685201699995</v>
      </c>
      <c r="D16" s="7">
        <f>'270'!F120</f>
        <v>87.643029280999997</v>
      </c>
      <c r="E16" s="7">
        <f>'270'!G120</f>
        <v>11</v>
      </c>
      <c r="F16" s="7">
        <f>'270'!H120</f>
        <v>0</v>
      </c>
      <c r="G16" s="7">
        <f>'270'!I120</f>
        <v>0</v>
      </c>
      <c r="H16" s="7">
        <f>'270'!J120</f>
        <v>60.438443621200001</v>
      </c>
      <c r="I16" s="7">
        <f>'270'!K120</f>
        <v>10.494900493899999</v>
      </c>
      <c r="J16" s="7">
        <f>'270'!L120</f>
        <v>27.709685165899998</v>
      </c>
      <c r="K16" s="5" t="str">
        <f t="shared" si="1"/>
        <v>ERRO — dif. de -0,12 km</v>
      </c>
    </row>
    <row r="17" spans="1:11" x14ac:dyDescent="0.25">
      <c r="A17" s="5">
        <v>271</v>
      </c>
      <c r="B17" s="6" t="s">
        <v>27</v>
      </c>
      <c r="C17" s="7">
        <f>'271'!I39</f>
        <v>21.621530415900001</v>
      </c>
      <c r="D17" s="7">
        <f>'271'!F36</f>
        <v>21</v>
      </c>
      <c r="E17" s="7">
        <f>'271'!G36</f>
        <v>0</v>
      </c>
      <c r="F17" s="7">
        <f>'271'!H36</f>
        <v>0</v>
      </c>
      <c r="G17" s="7">
        <f>'271'!I36</f>
        <v>0</v>
      </c>
      <c r="H17" s="7">
        <f>'271'!J36</f>
        <v>0</v>
      </c>
      <c r="I17" s="7">
        <f>'271'!K36</f>
        <v>14</v>
      </c>
      <c r="J17" s="7">
        <f>'271'!L36</f>
        <v>7</v>
      </c>
      <c r="K17" s="5" t="str">
        <f t="shared" si="1"/>
        <v>ERRO — dif. de -0,622 km</v>
      </c>
    </row>
    <row r="18" spans="1:11" x14ac:dyDescent="0.25">
      <c r="A18" s="5">
        <v>272</v>
      </c>
      <c r="B18" s="6" t="s">
        <v>28</v>
      </c>
      <c r="C18" s="7">
        <f>'272'!I98</f>
        <v>75.786951088480009</v>
      </c>
      <c r="D18" s="7">
        <f>'272'!F95</f>
        <v>75.786951088480009</v>
      </c>
      <c r="E18" s="7">
        <f>'272'!G95</f>
        <v>0</v>
      </c>
      <c r="F18" s="7">
        <f>'272'!H95</f>
        <v>0</v>
      </c>
      <c r="G18" s="7">
        <f>'272'!I95</f>
        <v>0</v>
      </c>
      <c r="H18" s="7">
        <f>'272'!J95</f>
        <v>25.9386324677</v>
      </c>
      <c r="I18" s="7">
        <f>'272'!K95</f>
        <v>0</v>
      </c>
      <c r="J18" s="7">
        <f>'272'!L95</f>
        <v>49.848318620779999</v>
      </c>
      <c r="K18" s="5" t="str">
        <f t="shared" si="1"/>
        <v>OK</v>
      </c>
    </row>
    <row r="19" spans="1:11" x14ac:dyDescent="0.25">
      <c r="A19" s="5">
        <v>273</v>
      </c>
      <c r="B19" s="6" t="s">
        <v>29</v>
      </c>
      <c r="C19" s="7">
        <f>'273'!I29</f>
        <v>11.2079170884</v>
      </c>
      <c r="D19" s="7">
        <f>'273'!F26</f>
        <v>0</v>
      </c>
      <c r="E19" s="7">
        <f>'273'!G26</f>
        <v>11.2079170884</v>
      </c>
      <c r="F19" s="7">
        <f>'273'!H26</f>
        <v>0</v>
      </c>
      <c r="G19" s="7">
        <f>'273'!I26</f>
        <v>0</v>
      </c>
      <c r="H19" s="7">
        <f>'273'!J26</f>
        <v>11.2079170884</v>
      </c>
      <c r="I19" s="7">
        <f>'273'!K26</f>
        <v>0</v>
      </c>
      <c r="J19" s="7">
        <f>'273'!L26</f>
        <v>0</v>
      </c>
      <c r="K19" s="5" t="str">
        <f t="shared" si="1"/>
        <v>OK</v>
      </c>
    </row>
    <row r="20" spans="1:11" x14ac:dyDescent="0.25">
      <c r="B20" s="8" t="s">
        <v>30</v>
      </c>
      <c r="C20" s="9">
        <f t="shared" ref="C20:J20" si="2">SUM(C6:C19)</f>
        <v>662.87070208135992</v>
      </c>
      <c r="D20" s="9">
        <f t="shared" si="2"/>
        <v>410.06879676196002</v>
      </c>
      <c r="E20" s="9">
        <f t="shared" si="2"/>
        <v>191.48836010860001</v>
      </c>
      <c r="F20" s="9">
        <f t="shared" si="2"/>
        <v>0</v>
      </c>
      <c r="G20" s="9">
        <f t="shared" si="2"/>
        <v>3</v>
      </c>
      <c r="H20" s="9">
        <f t="shared" si="2"/>
        <v>282.67375682300002</v>
      </c>
      <c r="I20" s="9">
        <f t="shared" si="2"/>
        <v>216.32539626088001</v>
      </c>
      <c r="J20" s="9">
        <f t="shared" si="2"/>
        <v>92.55800378667999</v>
      </c>
    </row>
    <row r="21" spans="1:11" x14ac:dyDescent="0.25">
      <c r="B21" s="8" t="s">
        <v>31</v>
      </c>
      <c r="D21" s="10">
        <f>SUM(D20:G20)/662.87</f>
        <v>0.91202974470191744</v>
      </c>
      <c r="H21" s="11" t="s">
        <v>32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9">
    <cfRule type="expression" dxfId="85" priority="1">
      <formula>LEFT(K6,4)="ERRO"</formula>
    </cfRule>
    <cfRule type="expression" dxfId="84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86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 t="e">
        <f t="shared" ref="P2:V2" si="0">IF(F71=0,NA(),F71)</f>
        <v>#N/A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38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39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48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49</v>
      </c>
      <c r="B9" s="16" t="s">
        <v>50</v>
      </c>
      <c r="C9" s="17">
        <v>0</v>
      </c>
      <c r="D9" s="17">
        <v>1</v>
      </c>
      <c r="E9" s="17">
        <f t="shared" ref="E9:E40" si="1">D9-C9</f>
        <v>1</v>
      </c>
      <c r="F9" s="18"/>
      <c r="G9" s="18"/>
      <c r="H9" s="18"/>
      <c r="I9" s="18"/>
      <c r="J9" s="18"/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— não preenchido</v>
      </c>
    </row>
    <row r="10" spans="1:22" ht="20.100000000000001" customHeight="1" x14ac:dyDescent="0.25">
      <c r="A10" s="15" t="s">
        <v>49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/>
      <c r="I10" s="18"/>
      <c r="J10" s="18"/>
      <c r="K10" s="18"/>
      <c r="L10" s="18"/>
      <c r="M10" s="19"/>
      <c r="N10" s="20" t="str">
        <f t="shared" si="2"/>
        <v>— não preenchido</v>
      </c>
    </row>
    <row r="11" spans="1:22" ht="20.100000000000001" customHeight="1" x14ac:dyDescent="0.25">
      <c r="A11" s="15" t="s">
        <v>49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/>
      <c r="I11" s="18"/>
      <c r="J11" s="18"/>
      <c r="K11" s="18"/>
      <c r="L11" s="18"/>
      <c r="M11" s="19"/>
      <c r="N11" s="20" t="str">
        <f t="shared" si="2"/>
        <v>— não preenchido</v>
      </c>
    </row>
    <row r="12" spans="1:22" ht="20.100000000000001" customHeight="1" x14ac:dyDescent="0.25">
      <c r="A12" s="15" t="s">
        <v>49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/>
      <c r="I12" s="18"/>
      <c r="J12" s="18"/>
      <c r="K12" s="18"/>
      <c r="L12" s="18"/>
      <c r="M12" s="19"/>
      <c r="N12" s="20" t="str">
        <f t="shared" si="2"/>
        <v>— não preenchido</v>
      </c>
    </row>
    <row r="13" spans="1:22" ht="20.100000000000001" customHeight="1" x14ac:dyDescent="0.25">
      <c r="A13" s="15" t="s">
        <v>49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/>
      <c r="I13" s="18"/>
      <c r="J13" s="18"/>
      <c r="K13" s="18"/>
      <c r="L13" s="18"/>
      <c r="M13" s="19"/>
      <c r="N13" s="20" t="str">
        <f t="shared" si="2"/>
        <v>— não preenchido</v>
      </c>
    </row>
    <row r="14" spans="1:22" ht="20.100000000000001" customHeight="1" x14ac:dyDescent="0.25">
      <c r="A14" s="15" t="s">
        <v>49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/>
      <c r="I14" s="18"/>
      <c r="J14" s="18"/>
      <c r="K14" s="18"/>
      <c r="L14" s="18"/>
      <c r="M14" s="19"/>
      <c r="N14" s="20" t="str">
        <f t="shared" si="2"/>
        <v>— não preenchido</v>
      </c>
    </row>
    <row r="15" spans="1:22" ht="20.100000000000001" customHeight="1" x14ac:dyDescent="0.25">
      <c r="A15" s="15" t="s">
        <v>49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/>
      <c r="I15" s="18"/>
      <c r="J15" s="18"/>
      <c r="K15" s="18"/>
      <c r="L15" s="18"/>
      <c r="M15" s="19"/>
      <c r="N15" s="20" t="str">
        <f t="shared" si="2"/>
        <v>— não preenchido</v>
      </c>
    </row>
    <row r="16" spans="1:22" ht="20.100000000000001" customHeight="1" x14ac:dyDescent="0.25">
      <c r="A16" s="15" t="s">
        <v>49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/>
      <c r="I16" s="18"/>
      <c r="J16" s="18"/>
      <c r="K16" s="18"/>
      <c r="L16" s="18"/>
      <c r="M16" s="19"/>
      <c r="N16" s="20" t="str">
        <f t="shared" si="2"/>
        <v>— não preenchido</v>
      </c>
    </row>
    <row r="17" spans="1:14" ht="20.100000000000001" customHeight="1" x14ac:dyDescent="0.25">
      <c r="A17" s="15" t="s">
        <v>49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/>
      <c r="I17" s="18"/>
      <c r="J17" s="18"/>
      <c r="K17" s="18"/>
      <c r="L17" s="18"/>
      <c r="M17" s="19"/>
      <c r="N17" s="20" t="str">
        <f t="shared" si="2"/>
        <v>— não preenchido</v>
      </c>
    </row>
    <row r="18" spans="1:14" ht="20.100000000000001" customHeight="1" x14ac:dyDescent="0.25">
      <c r="A18" s="15" t="s">
        <v>49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/>
      <c r="I18" s="18"/>
      <c r="J18" s="18"/>
      <c r="K18" s="18"/>
      <c r="L18" s="18"/>
      <c r="M18" s="19"/>
      <c r="N18" s="20" t="str">
        <f t="shared" si="2"/>
        <v>— não preenchido</v>
      </c>
    </row>
    <row r="19" spans="1:14" ht="20.100000000000001" customHeight="1" x14ac:dyDescent="0.25">
      <c r="A19" s="15" t="s">
        <v>49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/>
      <c r="I19" s="18"/>
      <c r="J19" s="18"/>
      <c r="K19" s="18"/>
      <c r="L19" s="18"/>
      <c r="M19" s="19"/>
      <c r="N19" s="20" t="str">
        <f t="shared" si="2"/>
        <v>— não preenchido</v>
      </c>
    </row>
    <row r="20" spans="1:14" ht="20.100000000000001" customHeight="1" x14ac:dyDescent="0.25">
      <c r="A20" s="15" t="s">
        <v>49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/>
      <c r="I20" s="18"/>
      <c r="J20" s="18"/>
      <c r="K20" s="18"/>
      <c r="L20" s="18"/>
      <c r="M20" s="19"/>
      <c r="N20" s="20" t="str">
        <f t="shared" si="2"/>
        <v>— não preenchido</v>
      </c>
    </row>
    <row r="21" spans="1:14" ht="20.100000000000001" customHeight="1" x14ac:dyDescent="0.25">
      <c r="A21" s="15" t="s">
        <v>49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/>
      <c r="I21" s="18"/>
      <c r="J21" s="18"/>
      <c r="K21" s="18"/>
      <c r="L21" s="18"/>
      <c r="M21" s="19"/>
      <c r="N21" s="20" t="str">
        <f t="shared" si="2"/>
        <v>— não preenchido</v>
      </c>
    </row>
    <row r="22" spans="1:14" ht="20.100000000000001" customHeight="1" x14ac:dyDescent="0.25">
      <c r="A22" s="15" t="s">
        <v>49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/>
      <c r="I22" s="18"/>
      <c r="J22" s="18"/>
      <c r="K22" s="18"/>
      <c r="L22" s="18"/>
      <c r="M22" s="19"/>
      <c r="N22" s="20" t="str">
        <f t="shared" si="2"/>
        <v>— não preenchido</v>
      </c>
    </row>
    <row r="23" spans="1:14" ht="20.100000000000001" customHeight="1" x14ac:dyDescent="0.25">
      <c r="A23" s="15" t="s">
        <v>49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/>
      <c r="I23" s="18"/>
      <c r="J23" s="18"/>
      <c r="K23" s="18"/>
      <c r="L23" s="18"/>
      <c r="M23" s="19"/>
      <c r="N23" s="20" t="str">
        <f t="shared" si="2"/>
        <v>— não preenchido</v>
      </c>
    </row>
    <row r="24" spans="1:14" ht="20.100000000000001" customHeight="1" x14ac:dyDescent="0.25">
      <c r="A24" s="15" t="s">
        <v>49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/>
      <c r="I24" s="18"/>
      <c r="J24" s="18"/>
      <c r="K24" s="18"/>
      <c r="L24" s="18"/>
      <c r="M24" s="19"/>
      <c r="N24" s="20" t="str">
        <f t="shared" si="2"/>
        <v>— não preenchido</v>
      </c>
    </row>
    <row r="25" spans="1:14" ht="20.100000000000001" customHeight="1" x14ac:dyDescent="0.25">
      <c r="A25" s="15" t="s">
        <v>49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/>
      <c r="I25" s="18"/>
      <c r="J25" s="18"/>
      <c r="K25" s="18"/>
      <c r="L25" s="18"/>
      <c r="M25" s="19"/>
      <c r="N25" s="20" t="str">
        <f t="shared" si="2"/>
        <v>— não preenchido</v>
      </c>
    </row>
    <row r="26" spans="1:14" ht="20.100000000000001" customHeight="1" x14ac:dyDescent="0.25">
      <c r="A26" s="15" t="s">
        <v>49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/>
      <c r="I26" s="18"/>
      <c r="J26" s="18"/>
      <c r="K26" s="18"/>
      <c r="L26" s="18"/>
      <c r="M26" s="19"/>
      <c r="N26" s="20" t="str">
        <f t="shared" si="2"/>
        <v>— não preenchido</v>
      </c>
    </row>
    <row r="27" spans="1:14" ht="20.100000000000001" customHeight="1" x14ac:dyDescent="0.25">
      <c r="A27" s="15" t="s">
        <v>49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/>
      <c r="I27" s="18"/>
      <c r="J27" s="18"/>
      <c r="K27" s="18"/>
      <c r="L27" s="18"/>
      <c r="M27" s="19"/>
      <c r="N27" s="20" t="str">
        <f t="shared" si="2"/>
        <v>— não preenchido</v>
      </c>
    </row>
    <row r="28" spans="1:14" ht="20.100000000000001" customHeight="1" x14ac:dyDescent="0.25">
      <c r="A28" s="15" t="s">
        <v>49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/>
      <c r="G28" s="18"/>
      <c r="H28" s="18"/>
      <c r="I28" s="18"/>
      <c r="J28" s="18"/>
      <c r="K28" s="18"/>
      <c r="L28" s="18"/>
      <c r="M28" s="19"/>
      <c r="N28" s="20" t="str">
        <f t="shared" si="2"/>
        <v>— não preenchido</v>
      </c>
    </row>
    <row r="29" spans="1:14" ht="20.100000000000001" customHeight="1" x14ac:dyDescent="0.25">
      <c r="A29" s="15" t="s">
        <v>49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/>
      <c r="G29" s="18"/>
      <c r="H29" s="18"/>
      <c r="I29" s="18"/>
      <c r="J29" s="18"/>
      <c r="K29" s="18"/>
      <c r="L29" s="18"/>
      <c r="M29" s="19"/>
      <c r="N29" s="20" t="str">
        <f t="shared" si="2"/>
        <v>— não preenchido</v>
      </c>
    </row>
    <row r="30" spans="1:14" ht="20.100000000000001" customHeight="1" x14ac:dyDescent="0.25">
      <c r="A30" s="15" t="s">
        <v>49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/>
      <c r="G30" s="18"/>
      <c r="H30" s="18"/>
      <c r="I30" s="18"/>
      <c r="J30" s="18"/>
      <c r="K30" s="18"/>
      <c r="L30" s="18"/>
      <c r="M30" s="19"/>
      <c r="N30" s="20" t="str">
        <f t="shared" si="2"/>
        <v>— não preenchido</v>
      </c>
    </row>
    <row r="31" spans="1:14" ht="20.100000000000001" customHeight="1" x14ac:dyDescent="0.25">
      <c r="A31" s="15" t="s">
        <v>49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/>
      <c r="G31" s="18"/>
      <c r="H31" s="18"/>
      <c r="I31" s="18"/>
      <c r="J31" s="18"/>
      <c r="K31" s="18"/>
      <c r="L31" s="18"/>
      <c r="M31" s="19"/>
      <c r="N31" s="20" t="str">
        <f t="shared" si="2"/>
        <v>— não preenchido</v>
      </c>
    </row>
    <row r="32" spans="1:14" ht="20.100000000000001" customHeight="1" x14ac:dyDescent="0.25">
      <c r="A32" s="15" t="s">
        <v>49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/>
      <c r="I32" s="18"/>
      <c r="J32" s="18"/>
      <c r="K32" s="18"/>
      <c r="L32" s="18"/>
      <c r="M32" s="19"/>
      <c r="N32" s="20" t="str">
        <f t="shared" si="2"/>
        <v>— não preenchido</v>
      </c>
    </row>
    <row r="33" spans="1:14" ht="20.100000000000001" customHeight="1" x14ac:dyDescent="0.25">
      <c r="A33" s="15" t="s">
        <v>49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/>
      <c r="I33" s="18"/>
      <c r="J33" s="18"/>
      <c r="K33" s="18"/>
      <c r="L33" s="18"/>
      <c r="M33" s="19"/>
      <c r="N33" s="20" t="str">
        <f t="shared" si="2"/>
        <v>— não preenchido</v>
      </c>
    </row>
    <row r="34" spans="1:14" ht="20.100000000000001" customHeight="1" x14ac:dyDescent="0.25">
      <c r="A34" s="15" t="s">
        <v>49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/>
      <c r="I34" s="18"/>
      <c r="J34" s="18"/>
      <c r="K34" s="18"/>
      <c r="L34" s="18"/>
      <c r="M34" s="19"/>
      <c r="N34" s="20" t="str">
        <f t="shared" si="2"/>
        <v>— não preenchido</v>
      </c>
    </row>
    <row r="35" spans="1:14" ht="20.100000000000001" customHeight="1" x14ac:dyDescent="0.25">
      <c r="A35" s="15" t="s">
        <v>49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/>
      <c r="I35" s="18"/>
      <c r="J35" s="18"/>
      <c r="K35" s="18"/>
      <c r="L35" s="18"/>
      <c r="M35" s="19"/>
      <c r="N35" s="20" t="str">
        <f t="shared" si="2"/>
        <v>— não preenchido</v>
      </c>
    </row>
    <row r="36" spans="1:14" ht="20.100000000000001" customHeight="1" x14ac:dyDescent="0.25">
      <c r="A36" s="15" t="s">
        <v>49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/>
      <c r="I36" s="18"/>
      <c r="J36" s="18"/>
      <c r="K36" s="18"/>
      <c r="L36" s="18"/>
      <c r="M36" s="19"/>
      <c r="N36" s="20" t="str">
        <f t="shared" si="2"/>
        <v>— não preenchido</v>
      </c>
    </row>
    <row r="37" spans="1:14" ht="20.100000000000001" customHeight="1" x14ac:dyDescent="0.25">
      <c r="A37" s="15" t="s">
        <v>49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/>
      <c r="I37" s="18"/>
      <c r="J37" s="18"/>
      <c r="K37" s="18"/>
      <c r="L37" s="18"/>
      <c r="M37" s="19"/>
      <c r="N37" s="20" t="str">
        <f t="shared" si="2"/>
        <v>— não preenchido</v>
      </c>
    </row>
    <row r="38" spans="1:14" ht="20.100000000000001" customHeight="1" x14ac:dyDescent="0.25">
      <c r="A38" s="15" t="s">
        <v>49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/>
      <c r="I38" s="18"/>
      <c r="J38" s="18"/>
      <c r="K38" s="18"/>
      <c r="L38" s="18"/>
      <c r="M38" s="19"/>
      <c r="N38" s="20" t="str">
        <f t="shared" si="2"/>
        <v>— não preenchido</v>
      </c>
    </row>
    <row r="39" spans="1:14" ht="20.100000000000001" customHeight="1" x14ac:dyDescent="0.25">
      <c r="A39" s="15" t="s">
        <v>49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/>
      <c r="I39" s="18"/>
      <c r="J39" s="18"/>
      <c r="K39" s="18"/>
      <c r="L39" s="18"/>
      <c r="M39" s="19"/>
      <c r="N39" s="20" t="str">
        <f t="shared" si="2"/>
        <v>— não preenchido</v>
      </c>
    </row>
    <row r="40" spans="1:14" ht="20.100000000000001" customHeight="1" x14ac:dyDescent="0.25">
      <c r="A40" s="15" t="s">
        <v>49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/>
      <c r="I40" s="18"/>
      <c r="J40" s="18"/>
      <c r="K40" s="18"/>
      <c r="L40" s="18"/>
      <c r="M40" s="19"/>
      <c r="N40" s="20" t="str">
        <f t="shared" si="2"/>
        <v>— não preenchido</v>
      </c>
    </row>
    <row r="41" spans="1:14" ht="20.100000000000001" customHeight="1" x14ac:dyDescent="0.25">
      <c r="A41" s="15" t="s">
        <v>49</v>
      </c>
      <c r="B41" s="16" t="s">
        <v>50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/>
      <c r="H41" s="18"/>
      <c r="I41" s="18"/>
      <c r="J41" s="18"/>
      <c r="K41" s="18"/>
      <c r="L41" s="18"/>
      <c r="M41" s="19"/>
      <c r="N41" s="20" t="str">
        <f t="shared" ref="N41:N65" si="4">IF(COUNTA(F41:L41)=0,"— não preenchido",IF(COUNTIF(F41:I41,"X")&lt;&gt;1,"FALTA/DUPLA: CONDIÇÃO DA PLATAFORMA",IF(COUNTIF(J41:L41,"X")&lt;&gt;1,"FALTA/DUPLA: DRENAGEM SUPERFICIAL","OK")))</f>
        <v>— não preenchido</v>
      </c>
    </row>
    <row r="42" spans="1:14" ht="20.100000000000001" customHeight="1" x14ac:dyDescent="0.25">
      <c r="A42" s="15" t="s">
        <v>49</v>
      </c>
      <c r="B42" s="16" t="s">
        <v>50</v>
      </c>
      <c r="C42" s="17">
        <v>33</v>
      </c>
      <c r="D42" s="17">
        <v>34</v>
      </c>
      <c r="E42" s="17">
        <f t="shared" si="3"/>
        <v>1</v>
      </c>
      <c r="F42" s="18"/>
      <c r="G42" s="18"/>
      <c r="H42" s="18"/>
      <c r="I42" s="18"/>
      <c r="J42" s="18"/>
      <c r="K42" s="18"/>
      <c r="L42" s="18"/>
      <c r="M42" s="19"/>
      <c r="N42" s="20" t="str">
        <f t="shared" si="4"/>
        <v>— não preenchido</v>
      </c>
    </row>
    <row r="43" spans="1:14" ht="20.100000000000001" customHeight="1" x14ac:dyDescent="0.25">
      <c r="A43" s="15" t="s">
        <v>49</v>
      </c>
      <c r="B43" s="16" t="s">
        <v>50</v>
      </c>
      <c r="C43" s="17">
        <v>34</v>
      </c>
      <c r="D43" s="17">
        <v>35</v>
      </c>
      <c r="E43" s="17">
        <f t="shared" si="3"/>
        <v>1</v>
      </c>
      <c r="F43" s="18"/>
      <c r="G43" s="18"/>
      <c r="H43" s="18"/>
      <c r="I43" s="18"/>
      <c r="J43" s="18"/>
      <c r="K43" s="18"/>
      <c r="L43" s="18"/>
      <c r="M43" s="19"/>
      <c r="N43" s="20" t="str">
        <f t="shared" si="4"/>
        <v>— não preenchido</v>
      </c>
    </row>
    <row r="44" spans="1:14" ht="20.100000000000001" customHeight="1" x14ac:dyDescent="0.25">
      <c r="A44" s="15" t="s">
        <v>49</v>
      </c>
      <c r="B44" s="16" t="s">
        <v>50</v>
      </c>
      <c r="C44" s="17">
        <v>35</v>
      </c>
      <c r="D44" s="17">
        <v>36</v>
      </c>
      <c r="E44" s="17">
        <f t="shared" si="3"/>
        <v>1</v>
      </c>
      <c r="F44" s="18"/>
      <c r="G44" s="18"/>
      <c r="H44" s="18"/>
      <c r="I44" s="18"/>
      <c r="J44" s="18"/>
      <c r="K44" s="18"/>
      <c r="L44" s="18"/>
      <c r="M44" s="19"/>
      <c r="N44" s="20" t="str">
        <f t="shared" si="4"/>
        <v>— não preenchido</v>
      </c>
    </row>
    <row r="45" spans="1:14" ht="20.100000000000001" customHeight="1" x14ac:dyDescent="0.25">
      <c r="A45" s="15" t="s">
        <v>49</v>
      </c>
      <c r="B45" s="16" t="s">
        <v>50</v>
      </c>
      <c r="C45" s="17">
        <v>36</v>
      </c>
      <c r="D45" s="17">
        <v>37</v>
      </c>
      <c r="E45" s="17">
        <f t="shared" si="3"/>
        <v>1</v>
      </c>
      <c r="F45" s="18"/>
      <c r="G45" s="18"/>
      <c r="H45" s="18"/>
      <c r="I45" s="18"/>
      <c r="J45" s="18"/>
      <c r="K45" s="18"/>
      <c r="L45" s="18"/>
      <c r="M45" s="19"/>
      <c r="N45" s="20" t="str">
        <f t="shared" si="4"/>
        <v>— não preenchido</v>
      </c>
    </row>
    <row r="46" spans="1:14" ht="20.100000000000001" customHeight="1" x14ac:dyDescent="0.25">
      <c r="A46" s="15" t="s">
        <v>49</v>
      </c>
      <c r="B46" s="16" t="s">
        <v>50</v>
      </c>
      <c r="C46" s="17">
        <v>37</v>
      </c>
      <c r="D46" s="17">
        <v>38</v>
      </c>
      <c r="E46" s="17">
        <f t="shared" si="3"/>
        <v>1</v>
      </c>
      <c r="F46" s="18"/>
      <c r="G46" s="18"/>
      <c r="H46" s="18"/>
      <c r="I46" s="18"/>
      <c r="J46" s="18"/>
      <c r="K46" s="18"/>
      <c r="L46" s="18"/>
      <c r="M46" s="19"/>
      <c r="N46" s="20" t="str">
        <f t="shared" si="4"/>
        <v>— não preenchido</v>
      </c>
    </row>
    <row r="47" spans="1:14" ht="20.100000000000001" customHeight="1" x14ac:dyDescent="0.25">
      <c r="A47" s="15" t="s">
        <v>49</v>
      </c>
      <c r="B47" s="16" t="s">
        <v>50</v>
      </c>
      <c r="C47" s="17">
        <v>38</v>
      </c>
      <c r="D47" s="17">
        <v>39</v>
      </c>
      <c r="E47" s="17">
        <f t="shared" si="3"/>
        <v>1</v>
      </c>
      <c r="F47" s="18"/>
      <c r="G47" s="18"/>
      <c r="H47" s="18"/>
      <c r="I47" s="18"/>
      <c r="J47" s="18"/>
      <c r="K47" s="18"/>
      <c r="L47" s="18"/>
      <c r="M47" s="19"/>
      <c r="N47" s="20" t="str">
        <f t="shared" si="4"/>
        <v>— não preenchido</v>
      </c>
    </row>
    <row r="48" spans="1:14" ht="20.100000000000001" customHeight="1" x14ac:dyDescent="0.25">
      <c r="A48" s="15" t="s">
        <v>49</v>
      </c>
      <c r="B48" s="16" t="s">
        <v>50</v>
      </c>
      <c r="C48" s="17">
        <v>39</v>
      </c>
      <c r="D48" s="17">
        <v>40</v>
      </c>
      <c r="E48" s="17">
        <f t="shared" si="3"/>
        <v>1</v>
      </c>
      <c r="F48" s="18"/>
      <c r="G48" s="18"/>
      <c r="H48" s="18"/>
      <c r="I48" s="18"/>
      <c r="J48" s="18"/>
      <c r="K48" s="18"/>
      <c r="L48" s="18"/>
      <c r="M48" s="19"/>
      <c r="N48" s="20" t="str">
        <f t="shared" si="4"/>
        <v>— não preenchido</v>
      </c>
    </row>
    <row r="49" spans="1:14" ht="20.100000000000001" customHeight="1" x14ac:dyDescent="0.25">
      <c r="A49" s="15" t="s">
        <v>49</v>
      </c>
      <c r="B49" s="16" t="s">
        <v>50</v>
      </c>
      <c r="C49" s="17">
        <v>40</v>
      </c>
      <c r="D49" s="17">
        <v>41</v>
      </c>
      <c r="E49" s="17">
        <f t="shared" si="3"/>
        <v>1</v>
      </c>
      <c r="F49" s="18"/>
      <c r="G49" s="18"/>
      <c r="H49" s="18"/>
      <c r="I49" s="18"/>
      <c r="J49" s="18"/>
      <c r="K49" s="18"/>
      <c r="L49" s="18"/>
      <c r="M49" s="19"/>
      <c r="N49" s="20" t="str">
        <f t="shared" si="4"/>
        <v>— não preenchido</v>
      </c>
    </row>
    <row r="50" spans="1:14" ht="20.100000000000001" customHeight="1" x14ac:dyDescent="0.25">
      <c r="A50" s="15" t="s">
        <v>49</v>
      </c>
      <c r="B50" s="16" t="s">
        <v>50</v>
      </c>
      <c r="C50" s="17">
        <v>41</v>
      </c>
      <c r="D50" s="17">
        <v>42</v>
      </c>
      <c r="E50" s="17">
        <f t="shared" si="3"/>
        <v>1</v>
      </c>
      <c r="F50" s="18"/>
      <c r="G50" s="18"/>
      <c r="H50" s="18"/>
      <c r="I50" s="18"/>
      <c r="J50" s="18"/>
      <c r="K50" s="18"/>
      <c r="L50" s="18"/>
      <c r="M50" s="19"/>
      <c r="N50" s="20" t="str">
        <f t="shared" si="4"/>
        <v>— não preenchido</v>
      </c>
    </row>
    <row r="51" spans="1:14" ht="20.100000000000001" customHeight="1" x14ac:dyDescent="0.25">
      <c r="A51" s="15" t="s">
        <v>49</v>
      </c>
      <c r="B51" s="16" t="s">
        <v>50</v>
      </c>
      <c r="C51" s="17">
        <v>42</v>
      </c>
      <c r="D51" s="17">
        <v>43</v>
      </c>
      <c r="E51" s="17">
        <f t="shared" si="3"/>
        <v>1</v>
      </c>
      <c r="F51" s="18"/>
      <c r="G51" s="18"/>
      <c r="H51" s="18"/>
      <c r="I51" s="18"/>
      <c r="J51" s="18"/>
      <c r="K51" s="18"/>
      <c r="L51" s="18"/>
      <c r="M51" s="19"/>
      <c r="N51" s="20" t="str">
        <f t="shared" si="4"/>
        <v>— não preenchido</v>
      </c>
    </row>
    <row r="52" spans="1:14" ht="20.100000000000001" customHeight="1" x14ac:dyDescent="0.25">
      <c r="A52" s="15" t="s">
        <v>49</v>
      </c>
      <c r="B52" s="16" t="s">
        <v>50</v>
      </c>
      <c r="C52" s="17">
        <v>43</v>
      </c>
      <c r="D52" s="17">
        <v>44</v>
      </c>
      <c r="E52" s="17">
        <f t="shared" si="3"/>
        <v>1</v>
      </c>
      <c r="F52" s="18"/>
      <c r="G52" s="18"/>
      <c r="H52" s="18"/>
      <c r="I52" s="18"/>
      <c r="J52" s="18"/>
      <c r="K52" s="18"/>
      <c r="L52" s="18"/>
      <c r="M52" s="19"/>
      <c r="N52" s="20" t="str">
        <f t="shared" si="4"/>
        <v>— não preenchido</v>
      </c>
    </row>
    <row r="53" spans="1:14" ht="20.100000000000001" customHeight="1" x14ac:dyDescent="0.25">
      <c r="A53" s="15" t="s">
        <v>49</v>
      </c>
      <c r="B53" s="16" t="s">
        <v>50</v>
      </c>
      <c r="C53" s="17">
        <v>44</v>
      </c>
      <c r="D53" s="17">
        <v>45</v>
      </c>
      <c r="E53" s="17">
        <f t="shared" si="3"/>
        <v>1</v>
      </c>
      <c r="F53" s="18"/>
      <c r="G53" s="18"/>
      <c r="H53" s="18"/>
      <c r="I53" s="18"/>
      <c r="J53" s="18"/>
      <c r="K53" s="18"/>
      <c r="L53" s="18"/>
      <c r="M53" s="19"/>
      <c r="N53" s="20" t="str">
        <f t="shared" si="4"/>
        <v>— não preenchido</v>
      </c>
    </row>
    <row r="54" spans="1:14" ht="20.100000000000001" customHeight="1" x14ac:dyDescent="0.25">
      <c r="A54" s="15" t="s">
        <v>49</v>
      </c>
      <c r="B54" s="16" t="s">
        <v>50</v>
      </c>
      <c r="C54" s="17">
        <v>45</v>
      </c>
      <c r="D54" s="17">
        <v>46</v>
      </c>
      <c r="E54" s="17">
        <f t="shared" si="3"/>
        <v>1</v>
      </c>
      <c r="F54" s="18"/>
      <c r="G54" s="18"/>
      <c r="H54" s="18"/>
      <c r="I54" s="18"/>
      <c r="J54" s="18"/>
      <c r="K54" s="18"/>
      <c r="L54" s="18"/>
      <c r="M54" s="19"/>
      <c r="N54" s="20" t="str">
        <f t="shared" si="4"/>
        <v>— não preenchido</v>
      </c>
    </row>
    <row r="55" spans="1:14" ht="20.100000000000001" customHeight="1" x14ac:dyDescent="0.25">
      <c r="A55" s="15" t="s">
        <v>49</v>
      </c>
      <c r="B55" s="16" t="s">
        <v>50</v>
      </c>
      <c r="C55" s="17">
        <v>46</v>
      </c>
      <c r="D55" s="17">
        <v>47</v>
      </c>
      <c r="E55" s="17">
        <f t="shared" si="3"/>
        <v>1</v>
      </c>
      <c r="F55" s="18"/>
      <c r="G55" s="18"/>
      <c r="H55" s="18"/>
      <c r="I55" s="18"/>
      <c r="J55" s="18"/>
      <c r="K55" s="18"/>
      <c r="L55" s="18"/>
      <c r="M55" s="19"/>
      <c r="N55" s="20" t="str">
        <f t="shared" si="4"/>
        <v>— não preenchido</v>
      </c>
    </row>
    <row r="56" spans="1:14" ht="20.100000000000001" customHeight="1" x14ac:dyDescent="0.25">
      <c r="A56" s="15" t="s">
        <v>49</v>
      </c>
      <c r="B56" s="16" t="s">
        <v>50</v>
      </c>
      <c r="C56" s="17">
        <v>47</v>
      </c>
      <c r="D56" s="17">
        <v>48</v>
      </c>
      <c r="E56" s="17">
        <f t="shared" si="3"/>
        <v>1</v>
      </c>
      <c r="F56" s="18"/>
      <c r="G56" s="18"/>
      <c r="H56" s="18"/>
      <c r="I56" s="18"/>
      <c r="J56" s="18"/>
      <c r="K56" s="18"/>
      <c r="L56" s="18"/>
      <c r="M56" s="19"/>
      <c r="N56" s="20" t="str">
        <f t="shared" si="4"/>
        <v>— não preenchido</v>
      </c>
    </row>
    <row r="57" spans="1:14" ht="20.100000000000001" customHeight="1" x14ac:dyDescent="0.25">
      <c r="A57" s="15" t="s">
        <v>49</v>
      </c>
      <c r="B57" s="16" t="s">
        <v>50</v>
      </c>
      <c r="C57" s="17">
        <v>48</v>
      </c>
      <c r="D57" s="17">
        <v>49</v>
      </c>
      <c r="E57" s="17">
        <f t="shared" si="3"/>
        <v>1</v>
      </c>
      <c r="F57" s="18"/>
      <c r="G57" s="18"/>
      <c r="H57" s="18"/>
      <c r="I57" s="18"/>
      <c r="J57" s="18"/>
      <c r="K57" s="18"/>
      <c r="L57" s="18"/>
      <c r="M57" s="19"/>
      <c r="N57" s="20" t="str">
        <f t="shared" si="4"/>
        <v>— não preenchido</v>
      </c>
    </row>
    <row r="58" spans="1:14" ht="20.100000000000001" customHeight="1" x14ac:dyDescent="0.25">
      <c r="A58" s="15" t="s">
        <v>49</v>
      </c>
      <c r="B58" s="16" t="s">
        <v>50</v>
      </c>
      <c r="C58" s="17">
        <v>49</v>
      </c>
      <c r="D58" s="17">
        <v>50</v>
      </c>
      <c r="E58" s="17">
        <f t="shared" si="3"/>
        <v>1</v>
      </c>
      <c r="F58" s="18"/>
      <c r="G58" s="18"/>
      <c r="H58" s="18"/>
      <c r="I58" s="18"/>
      <c r="J58" s="18"/>
      <c r="K58" s="18"/>
      <c r="L58" s="18"/>
      <c r="M58" s="19"/>
      <c r="N58" s="20" t="str">
        <f t="shared" si="4"/>
        <v>— não preenchido</v>
      </c>
    </row>
    <row r="59" spans="1:14" ht="20.100000000000001" customHeight="1" x14ac:dyDescent="0.25">
      <c r="A59" s="15" t="s">
        <v>49</v>
      </c>
      <c r="B59" s="16" t="s">
        <v>50</v>
      </c>
      <c r="C59" s="17">
        <v>50</v>
      </c>
      <c r="D59" s="17">
        <v>51</v>
      </c>
      <c r="E59" s="17">
        <f t="shared" si="3"/>
        <v>1</v>
      </c>
      <c r="F59" s="18"/>
      <c r="G59" s="18"/>
      <c r="H59" s="18"/>
      <c r="I59" s="18"/>
      <c r="J59" s="18"/>
      <c r="K59" s="18"/>
      <c r="L59" s="18"/>
      <c r="M59" s="19"/>
      <c r="N59" s="20" t="str">
        <f t="shared" si="4"/>
        <v>— não preenchido</v>
      </c>
    </row>
    <row r="60" spans="1:14" ht="20.100000000000001" customHeight="1" x14ac:dyDescent="0.25">
      <c r="A60" s="15" t="s">
        <v>49</v>
      </c>
      <c r="B60" s="16" t="s">
        <v>50</v>
      </c>
      <c r="C60" s="17">
        <v>51</v>
      </c>
      <c r="D60" s="17">
        <v>52</v>
      </c>
      <c r="E60" s="17">
        <f t="shared" si="3"/>
        <v>1</v>
      </c>
      <c r="F60" s="18"/>
      <c r="G60" s="18"/>
      <c r="H60" s="18"/>
      <c r="I60" s="18"/>
      <c r="J60" s="18"/>
      <c r="K60" s="18"/>
      <c r="L60" s="18"/>
      <c r="M60" s="19"/>
      <c r="N60" s="20" t="str">
        <f t="shared" si="4"/>
        <v>— não preenchido</v>
      </c>
    </row>
    <row r="61" spans="1:14" ht="20.100000000000001" customHeight="1" x14ac:dyDescent="0.25">
      <c r="A61" s="15" t="s">
        <v>49</v>
      </c>
      <c r="B61" s="16" t="s">
        <v>50</v>
      </c>
      <c r="C61" s="17">
        <v>52</v>
      </c>
      <c r="D61" s="17">
        <v>53</v>
      </c>
      <c r="E61" s="17">
        <f t="shared" si="3"/>
        <v>1</v>
      </c>
      <c r="F61" s="18"/>
      <c r="G61" s="18"/>
      <c r="H61" s="18"/>
      <c r="I61" s="18"/>
      <c r="J61" s="18"/>
      <c r="K61" s="18"/>
      <c r="L61" s="18"/>
      <c r="M61" s="19"/>
      <c r="N61" s="20" t="str">
        <f t="shared" si="4"/>
        <v>— não preenchido</v>
      </c>
    </row>
    <row r="62" spans="1:14" ht="20.100000000000001" customHeight="1" x14ac:dyDescent="0.25">
      <c r="A62" s="15" t="s">
        <v>49</v>
      </c>
      <c r="B62" s="16" t="s">
        <v>50</v>
      </c>
      <c r="C62" s="17">
        <v>53</v>
      </c>
      <c r="D62" s="17">
        <v>54</v>
      </c>
      <c r="E62" s="17">
        <f t="shared" si="3"/>
        <v>1</v>
      </c>
      <c r="F62" s="18"/>
      <c r="G62" s="18"/>
      <c r="H62" s="18"/>
      <c r="I62" s="18"/>
      <c r="J62" s="18"/>
      <c r="K62" s="18"/>
      <c r="L62" s="18"/>
      <c r="M62" s="19"/>
      <c r="N62" s="20" t="str">
        <f t="shared" si="4"/>
        <v>— não preenchido</v>
      </c>
    </row>
    <row r="63" spans="1:14" ht="20.100000000000001" customHeight="1" x14ac:dyDescent="0.25">
      <c r="A63" s="15" t="s">
        <v>49</v>
      </c>
      <c r="B63" s="16" t="s">
        <v>50</v>
      </c>
      <c r="C63" s="17">
        <v>54</v>
      </c>
      <c r="D63" s="17">
        <v>55</v>
      </c>
      <c r="E63" s="17">
        <f t="shared" si="3"/>
        <v>1</v>
      </c>
      <c r="F63" s="18"/>
      <c r="G63" s="18"/>
      <c r="H63" s="18"/>
      <c r="I63" s="18"/>
      <c r="J63" s="18"/>
      <c r="K63" s="18"/>
      <c r="L63" s="18"/>
      <c r="M63" s="19"/>
      <c r="N63" s="20" t="str">
        <f t="shared" si="4"/>
        <v>— não preenchido</v>
      </c>
    </row>
    <row r="64" spans="1:14" ht="20.100000000000001" customHeight="1" x14ac:dyDescent="0.25">
      <c r="A64" s="15" t="s">
        <v>49</v>
      </c>
      <c r="B64" s="16" t="s">
        <v>50</v>
      </c>
      <c r="C64" s="17">
        <v>55</v>
      </c>
      <c r="D64" s="17">
        <v>56</v>
      </c>
      <c r="E64" s="17">
        <f t="shared" si="3"/>
        <v>1</v>
      </c>
      <c r="F64" s="18"/>
      <c r="G64" s="18"/>
      <c r="H64" s="18"/>
      <c r="I64" s="18"/>
      <c r="J64" s="18"/>
      <c r="K64" s="18"/>
      <c r="L64" s="18"/>
      <c r="M64" s="19"/>
      <c r="N64" s="20" t="str">
        <f t="shared" si="4"/>
        <v>— não preenchido</v>
      </c>
    </row>
    <row r="65" spans="1:14" ht="20.100000000000001" customHeight="1" x14ac:dyDescent="0.25">
      <c r="A65" s="21" t="s">
        <v>49</v>
      </c>
      <c r="B65" s="22" t="s">
        <v>50</v>
      </c>
      <c r="C65" s="23">
        <v>56</v>
      </c>
      <c r="D65" s="23">
        <v>56.716371924999997</v>
      </c>
      <c r="E65" s="23">
        <f t="shared" si="3"/>
        <v>0.71637192499999713</v>
      </c>
      <c r="F65" s="24"/>
      <c r="G65" s="24"/>
      <c r="H65" s="24"/>
      <c r="I65" s="24"/>
      <c r="J65" s="24"/>
      <c r="K65" s="24"/>
      <c r="L65" s="24"/>
      <c r="M65" s="25"/>
      <c r="N65" s="26" t="str">
        <f t="shared" si="4"/>
        <v>— não preenchido</v>
      </c>
    </row>
    <row r="67" spans="1:14" x14ac:dyDescent="0.25">
      <c r="A67" s="41" t="s">
        <v>51</v>
      </c>
      <c r="B67" s="35"/>
      <c r="C67" s="35"/>
      <c r="D67" s="35"/>
      <c r="E67" s="35"/>
      <c r="G67" s="41" t="s">
        <v>51</v>
      </c>
      <c r="H67" s="35"/>
      <c r="I67" s="35"/>
      <c r="J67" s="35"/>
      <c r="K67" s="35"/>
    </row>
    <row r="68" spans="1:14" x14ac:dyDescent="0.25">
      <c r="A68" s="48" t="s">
        <v>52</v>
      </c>
      <c r="B68" s="35"/>
      <c r="C68" s="35"/>
      <c r="D68" s="35"/>
      <c r="E68" s="35"/>
      <c r="G68" s="48" t="s">
        <v>53</v>
      </c>
      <c r="H68" s="35"/>
      <c r="I68" s="35"/>
      <c r="J68" s="35"/>
      <c r="K68" s="35"/>
    </row>
    <row r="70" spans="1:14" x14ac:dyDescent="0.25">
      <c r="A70" s="42" t="s">
        <v>54</v>
      </c>
      <c r="B70" s="35"/>
      <c r="C70" s="35"/>
      <c r="D70" s="35"/>
      <c r="E70" s="35"/>
      <c r="F70" s="27"/>
      <c r="G70" s="27"/>
      <c r="H70" s="27"/>
      <c r="I70" s="27"/>
      <c r="J70" s="27"/>
      <c r="K70" s="27"/>
      <c r="L70" s="27"/>
      <c r="M70" s="27"/>
    </row>
    <row r="71" spans="1:14" x14ac:dyDescent="0.25">
      <c r="A71" s="38" t="s">
        <v>55</v>
      </c>
      <c r="B71" s="35"/>
      <c r="C71" s="35"/>
      <c r="D71" s="35"/>
      <c r="E71" s="35"/>
      <c r="F71" s="9">
        <f t="shared" ref="F71:L71" si="5">SUMIF(F$9:F$65,"X",$E$9:$E$65)</f>
        <v>0</v>
      </c>
      <c r="G71" s="9">
        <f t="shared" si="5"/>
        <v>0</v>
      </c>
      <c r="H71" s="9">
        <f t="shared" si="5"/>
        <v>0</v>
      </c>
      <c r="I71" s="9">
        <f t="shared" si="5"/>
        <v>0</v>
      </c>
      <c r="J71" s="9">
        <f t="shared" si="5"/>
        <v>0</v>
      </c>
      <c r="K71" s="9">
        <f t="shared" si="5"/>
        <v>0</v>
      </c>
      <c r="L71" s="9">
        <f t="shared" si="5"/>
        <v>0</v>
      </c>
    </row>
    <row r="72" spans="1:14" x14ac:dyDescent="0.25">
      <c r="A72" s="38" t="s">
        <v>56</v>
      </c>
      <c r="B72" s="35"/>
      <c r="C72" s="35"/>
      <c r="D72" s="35"/>
      <c r="E72" s="35"/>
      <c r="F72" s="28">
        <f t="shared" ref="F72:L72" si="6">IF($I74=0,0,F71/$I74)</f>
        <v>0</v>
      </c>
      <c r="G72" s="28">
        <f t="shared" si="6"/>
        <v>0</v>
      </c>
      <c r="H72" s="28">
        <f t="shared" si="6"/>
        <v>0</v>
      </c>
      <c r="I72" s="28">
        <f t="shared" si="6"/>
        <v>0</v>
      </c>
      <c r="J72" s="28">
        <f t="shared" si="6"/>
        <v>0</v>
      </c>
      <c r="K72" s="28">
        <f t="shared" si="6"/>
        <v>0</v>
      </c>
      <c r="L72" s="28">
        <f t="shared" si="6"/>
        <v>0</v>
      </c>
    </row>
    <row r="73" spans="1:14" x14ac:dyDescent="0.25">
      <c r="A73" s="38" t="s">
        <v>57</v>
      </c>
      <c r="B73" s="35"/>
      <c r="C73" s="35"/>
      <c r="D73" s="35"/>
      <c r="E73" s="35"/>
      <c r="F73" s="47" t="str">
        <f>IF(SUM(F71:I71)=0,"— não preenchido",IF(ROUND(SUM(F71:I71)-$I74,3)=0,"OK — "&amp;ROUND(SUM(F71:I71),3)&amp;" km","ERRO — dif. de "&amp;ROUND(SUM(F71:I71)-$I74,3)&amp;" km"))</f>
        <v>— não preenchido</v>
      </c>
      <c r="G73" s="32"/>
      <c r="H73" s="32"/>
      <c r="I73" s="33"/>
      <c r="J73" s="47" t="str">
        <f>IF(SUM(J71:L71)=0,"— não preenchido",IF(ROUND(SUM(J71:L71)-$I74,3)=0,"OK — "&amp;ROUND(SUM(J71:L71),3)&amp;" km","ERRO — dif. de "&amp;ROUND(SUM(J71:L71)-$I74,3)&amp;" km"))</f>
        <v>— não preenchido</v>
      </c>
      <c r="K73" s="32"/>
      <c r="L73" s="33"/>
    </row>
    <row r="74" spans="1:14" x14ac:dyDescent="0.25">
      <c r="A74" s="38" t="s">
        <v>58</v>
      </c>
      <c r="B74" s="35"/>
      <c r="C74" s="35"/>
      <c r="D74" s="35"/>
      <c r="E74" s="35"/>
      <c r="I74" s="29">
        <f>SUM(E9:E65)</f>
        <v>56.716371924999997</v>
      </c>
      <c r="M74" s="8" t="str">
        <f>COUNTIF(N9:N65,"OK")&amp;" de "&amp;COUNT($E$9:$E$65)&amp;" linhas conferidas"</f>
        <v>0 de 57 linhas conferidas</v>
      </c>
    </row>
    <row r="76" spans="1:14" x14ac:dyDescent="0.25">
      <c r="A76" s="49" t="s">
        <v>59</v>
      </c>
      <c r="B76" s="35"/>
      <c r="C76" s="35"/>
      <c r="D76" s="35"/>
      <c r="E76" s="35"/>
    </row>
    <row r="77" spans="1:14" x14ac:dyDescent="0.25">
      <c r="A77" s="38" t="s">
        <v>10</v>
      </c>
      <c r="B77" s="35"/>
      <c r="C77" s="35"/>
      <c r="D77" s="35"/>
      <c r="E77" s="37" t="s">
        <v>60</v>
      </c>
      <c r="F77" s="35"/>
      <c r="G77" s="35"/>
      <c r="H77" s="35"/>
      <c r="I77" s="35"/>
      <c r="J77" s="35"/>
      <c r="K77" s="35"/>
      <c r="L77" s="35"/>
      <c r="M77" s="35"/>
    </row>
    <row r="78" spans="1:14" x14ac:dyDescent="0.25">
      <c r="A78" s="38" t="s">
        <v>11</v>
      </c>
      <c r="B78" s="35"/>
      <c r="C78" s="35"/>
      <c r="D78" s="35"/>
      <c r="E78" s="37" t="s">
        <v>61</v>
      </c>
      <c r="F78" s="35"/>
      <c r="G78" s="35"/>
      <c r="H78" s="35"/>
      <c r="I78" s="35"/>
      <c r="J78" s="35"/>
      <c r="K78" s="35"/>
      <c r="L78" s="35"/>
      <c r="M78" s="35"/>
    </row>
    <row r="79" spans="1:14" x14ac:dyDescent="0.25">
      <c r="A79" s="38" t="s">
        <v>12</v>
      </c>
      <c r="B79" s="35"/>
      <c r="C79" s="35"/>
      <c r="D79" s="35"/>
      <c r="E79" s="37" t="s">
        <v>62</v>
      </c>
      <c r="F79" s="35"/>
      <c r="G79" s="35"/>
      <c r="H79" s="35"/>
      <c r="I79" s="35"/>
      <c r="J79" s="35"/>
      <c r="K79" s="35"/>
      <c r="L79" s="35"/>
      <c r="M79" s="35"/>
    </row>
    <row r="80" spans="1:14" x14ac:dyDescent="0.25">
      <c r="A80" s="38" t="s">
        <v>63</v>
      </c>
      <c r="B80" s="35"/>
      <c r="C80" s="35"/>
      <c r="D80" s="35"/>
      <c r="E80" s="37" t="s">
        <v>64</v>
      </c>
      <c r="F80" s="35"/>
      <c r="G80" s="35"/>
      <c r="H80" s="35"/>
      <c r="I80" s="35"/>
      <c r="J80" s="35"/>
      <c r="K80" s="35"/>
      <c r="L80" s="35"/>
      <c r="M80" s="35"/>
    </row>
    <row r="81" spans="1:13" x14ac:dyDescent="0.25">
      <c r="A81" s="38" t="s">
        <v>65</v>
      </c>
      <c r="B81" s="35"/>
      <c r="C81" s="35"/>
      <c r="D81" s="35"/>
      <c r="E81" s="37" t="s">
        <v>66</v>
      </c>
      <c r="F81" s="35"/>
      <c r="G81" s="35"/>
      <c r="H81" s="35"/>
      <c r="I81" s="35"/>
      <c r="J81" s="35"/>
      <c r="K81" s="35"/>
      <c r="L81" s="35"/>
      <c r="M81" s="35"/>
    </row>
    <row r="82" spans="1:13" x14ac:dyDescent="0.25">
      <c r="A82" s="38" t="s">
        <v>67</v>
      </c>
      <c r="B82" s="35"/>
      <c r="C82" s="35"/>
      <c r="D82" s="35"/>
      <c r="E82" s="37" t="s">
        <v>68</v>
      </c>
      <c r="F82" s="35"/>
      <c r="G82" s="35"/>
      <c r="H82" s="35"/>
      <c r="I82" s="35"/>
      <c r="J82" s="35"/>
      <c r="K82" s="35"/>
      <c r="L82" s="35"/>
      <c r="M82" s="35"/>
    </row>
    <row r="83" spans="1:13" x14ac:dyDescent="0.25">
      <c r="A83" s="38" t="s">
        <v>42</v>
      </c>
      <c r="B83" s="35"/>
      <c r="C83" s="35"/>
      <c r="D83" s="35"/>
      <c r="E83" s="37" t="s">
        <v>69</v>
      </c>
      <c r="F83" s="35"/>
      <c r="G83" s="35"/>
      <c r="H83" s="35"/>
      <c r="I83" s="35"/>
      <c r="J83" s="35"/>
      <c r="K83" s="35"/>
      <c r="L83" s="35"/>
      <c r="M83" s="35"/>
    </row>
    <row r="84" spans="1:13" x14ac:dyDescent="0.25">
      <c r="A84" s="38" t="s">
        <v>70</v>
      </c>
      <c r="B84" s="35"/>
      <c r="C84" s="35"/>
      <c r="D84" s="35"/>
      <c r="E84" s="37" t="s">
        <v>71</v>
      </c>
      <c r="F84" s="35"/>
      <c r="G84" s="35"/>
      <c r="H84" s="35"/>
      <c r="I84" s="35"/>
      <c r="J84" s="35"/>
      <c r="K84" s="35"/>
      <c r="L84" s="35"/>
      <c r="M84" s="35"/>
    </row>
    <row r="85" spans="1:13" x14ac:dyDescent="0.25">
      <c r="A85" s="38" t="s">
        <v>72</v>
      </c>
      <c r="B85" s="35"/>
      <c r="C85" s="35"/>
      <c r="D85" s="35"/>
      <c r="E85" s="37" t="s">
        <v>73</v>
      </c>
      <c r="F85" s="35"/>
      <c r="G85" s="35"/>
      <c r="H85" s="35"/>
      <c r="I85" s="35"/>
      <c r="J85" s="35"/>
      <c r="K85" s="35"/>
      <c r="L85" s="35"/>
      <c r="M85" s="35"/>
    </row>
    <row r="86" spans="1:13" x14ac:dyDescent="0.25">
      <c r="A86" s="38" t="s">
        <v>8</v>
      </c>
      <c r="B86" s="35"/>
      <c r="C86" s="35"/>
      <c r="D86" s="35"/>
      <c r="E86" s="37" t="s">
        <v>74</v>
      </c>
      <c r="F86" s="35"/>
      <c r="G86" s="35"/>
      <c r="H86" s="35"/>
      <c r="I86" s="35"/>
      <c r="J86" s="35"/>
      <c r="K86" s="35"/>
      <c r="L86" s="35"/>
      <c r="M86" s="35"/>
    </row>
  </sheetData>
  <sheetProtection sheet="1" formatCells="0"/>
  <mergeCells count="50">
    <mergeCell ref="A85:D85"/>
    <mergeCell ref="C6:C7"/>
    <mergeCell ref="E79:M79"/>
    <mergeCell ref="D6:D7"/>
    <mergeCell ref="A67:E67"/>
    <mergeCell ref="N6:N7"/>
    <mergeCell ref="K3:M3"/>
    <mergeCell ref="J73:L73"/>
    <mergeCell ref="A84:D84"/>
    <mergeCell ref="A80:D80"/>
    <mergeCell ref="A72:E72"/>
    <mergeCell ref="A3:J3"/>
    <mergeCell ref="A68:E68"/>
    <mergeCell ref="E83:M83"/>
    <mergeCell ref="A1:M1"/>
    <mergeCell ref="E81:M81"/>
    <mergeCell ref="A78:D78"/>
    <mergeCell ref="A76:E76"/>
    <mergeCell ref="A71:E71"/>
    <mergeCell ref="E86:M86"/>
    <mergeCell ref="D2:E2"/>
    <mergeCell ref="A77:D77"/>
    <mergeCell ref="E80:M80"/>
    <mergeCell ref="A83:D83"/>
    <mergeCell ref="F73:I73"/>
    <mergeCell ref="M6:M7"/>
    <mergeCell ref="A82:D82"/>
    <mergeCell ref="E6:E7"/>
    <mergeCell ref="B6:B7"/>
    <mergeCell ref="A74:E74"/>
    <mergeCell ref="F6:I6"/>
    <mergeCell ref="E85:M85"/>
    <mergeCell ref="A79:D79"/>
    <mergeCell ref="G68:K68"/>
    <mergeCell ref="A86:D86"/>
    <mergeCell ref="E84:M84"/>
    <mergeCell ref="E78:M78"/>
    <mergeCell ref="A81:D81"/>
    <mergeCell ref="G67:K67"/>
    <mergeCell ref="A6:A7"/>
    <mergeCell ref="A70:E70"/>
    <mergeCell ref="E77:M77"/>
    <mergeCell ref="J6:L6"/>
    <mergeCell ref="E82:M82"/>
    <mergeCell ref="A73:E73"/>
    <mergeCell ref="G2:H2"/>
    <mergeCell ref="A8:M8"/>
    <mergeCell ref="A4:M4"/>
    <mergeCell ref="A2:C2"/>
    <mergeCell ref="K2:M2"/>
  </mergeCells>
  <conditionalFormatting sqref="F9:I65">
    <cfRule type="expression" dxfId="83" priority="1">
      <formula>AND(F9&lt;&gt;"",COUNTIF($F9:$I9,"X")&gt;1)</formula>
    </cfRule>
  </conditionalFormatting>
  <conditionalFormatting sqref="F73:L73">
    <cfRule type="expression" dxfId="82" priority="5">
      <formula>LEFT(F73,4)="ERRO"</formula>
    </cfRule>
    <cfRule type="expression" dxfId="81" priority="6">
      <formula>LEFT(F73,2)="OK"</formula>
    </cfRule>
  </conditionalFormatting>
  <conditionalFormatting sqref="J9:L65">
    <cfRule type="expression" dxfId="80" priority="2">
      <formula>AND(J9&lt;&gt;"",COUNTIF($J9:$L9,"X")&gt;1)</formula>
    </cfRule>
  </conditionalFormatting>
  <conditionalFormatting sqref="N9:N65">
    <cfRule type="expression" dxfId="79" priority="3">
      <formula>AND(N9&lt;&gt;"OK",N9&lt;&gt;"")</formula>
    </cfRule>
    <cfRule type="expression" dxfId="7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5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5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65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245</oddHeader>
    <oddFooter>&amp;L&amp;7 RTA / MSI — Programa de Manutenção Rodoviária&amp;C&amp;7 Página &amp;P de &amp;N&amp;R&amp;7 Impresso em &amp;D</oddFooter>
  </headerFooter>
  <rowBreaks count="1" manualBreakCount="1">
    <brk id="6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8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IF(F68=0,NA(),F68)</f>
        <v>15.279582362199999</v>
      </c>
      <c r="Q2" s="2">
        <f t="shared" si="0"/>
        <v>33</v>
      </c>
      <c r="R2" s="2" t="e">
        <f t="shared" si="0"/>
        <v>#N/A</v>
      </c>
      <c r="S2" s="2">
        <f t="shared" si="0"/>
        <v>3</v>
      </c>
      <c r="T2" s="2" t="e">
        <f t="shared" si="0"/>
        <v>#N/A</v>
      </c>
      <c r="U2" s="2">
        <f t="shared" si="0"/>
        <v>30.279582362199999</v>
      </c>
      <c r="V2" s="2">
        <f t="shared" si="0"/>
        <v>8</v>
      </c>
    </row>
    <row r="3" spans="1:22" ht="15" customHeight="1" x14ac:dyDescent="0.25">
      <c r="A3" s="50" t="s">
        <v>75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76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77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78</v>
      </c>
      <c r="B9" s="16" t="s">
        <v>50</v>
      </c>
      <c r="C9" s="17">
        <v>0</v>
      </c>
      <c r="D9" s="17">
        <v>1</v>
      </c>
      <c r="E9" s="17">
        <f t="shared" ref="E9:E39" si="1">D9-C9</f>
        <v>1</v>
      </c>
      <c r="F9" s="18"/>
      <c r="G9" s="18" t="s">
        <v>79</v>
      </c>
      <c r="H9" s="18"/>
      <c r="I9" s="18"/>
      <c r="J9" s="18"/>
      <c r="K9" s="18" t="s">
        <v>79</v>
      </c>
      <c r="L9" s="18"/>
      <c r="M9" s="19"/>
      <c r="N9" s="20" t="str">
        <f t="shared" ref="N9:N39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78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 t="s">
        <v>79</v>
      </c>
      <c r="H10" s="18"/>
      <c r="I10" s="18"/>
      <c r="J10" s="18"/>
      <c r="K10" s="18" t="s">
        <v>79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78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 t="s">
        <v>79</v>
      </c>
      <c r="H11" s="18"/>
      <c r="I11" s="18"/>
      <c r="J11" s="18"/>
      <c r="K11" s="18" t="s">
        <v>79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78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 t="s">
        <v>79</v>
      </c>
      <c r="H12" s="18"/>
      <c r="I12" s="18"/>
      <c r="J12" s="18"/>
      <c r="K12" s="18" t="s">
        <v>79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78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 t="s">
        <v>79</v>
      </c>
      <c r="H13" s="18"/>
      <c r="I13" s="18"/>
      <c r="J13" s="18"/>
      <c r="K13" s="18" t="s">
        <v>79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78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/>
      <c r="K14" s="18" t="s">
        <v>79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78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/>
      <c r="K15" s="18" t="s">
        <v>79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78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/>
      <c r="K16" s="18" t="s">
        <v>79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78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/>
      <c r="K17" s="18" t="s">
        <v>79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78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/>
      <c r="K18" s="18" t="s">
        <v>79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78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/>
      <c r="K19" s="18" t="s">
        <v>79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78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/>
      <c r="G20" s="18" t="s">
        <v>79</v>
      </c>
      <c r="H20" s="18"/>
      <c r="I20" s="18"/>
      <c r="J20" s="18"/>
      <c r="K20" s="18" t="s">
        <v>79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78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/>
      <c r="G21" s="18" t="s">
        <v>79</v>
      </c>
      <c r="H21" s="18"/>
      <c r="I21" s="18"/>
      <c r="J21" s="18"/>
      <c r="K21" s="18" t="s">
        <v>79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78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/>
      <c r="G22" s="18" t="s">
        <v>79</v>
      </c>
      <c r="H22" s="18"/>
      <c r="I22" s="18"/>
      <c r="J22" s="18"/>
      <c r="K22" s="18" t="s">
        <v>79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78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/>
      <c r="G23" s="18" t="s">
        <v>79</v>
      </c>
      <c r="H23" s="18"/>
      <c r="I23" s="18"/>
      <c r="J23" s="18"/>
      <c r="K23" s="18" t="s">
        <v>79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78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/>
      <c r="K24" s="18" t="s">
        <v>79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78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/>
      <c r="K25" s="18" t="s">
        <v>79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78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/>
      <c r="K26" s="18" t="s">
        <v>79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78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/>
      <c r="K27" s="18" t="s">
        <v>79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78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/>
      <c r="K28" s="18" t="s">
        <v>79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78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/>
      <c r="K29" s="18" t="s">
        <v>79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78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 t="s">
        <v>79</v>
      </c>
      <c r="G30" s="18"/>
      <c r="H30" s="18"/>
      <c r="I30" s="18"/>
      <c r="J30" s="18"/>
      <c r="K30" s="18" t="s">
        <v>79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78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 t="s">
        <v>79</v>
      </c>
      <c r="G31" s="18"/>
      <c r="H31" s="18"/>
      <c r="I31" s="18"/>
      <c r="J31" s="18"/>
      <c r="K31" s="18" t="s">
        <v>79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78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 t="s">
        <v>79</v>
      </c>
      <c r="G32" s="18"/>
      <c r="H32" s="18"/>
      <c r="I32" s="18"/>
      <c r="J32" s="18"/>
      <c r="K32" s="18" t="s">
        <v>79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78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 t="s">
        <v>79</v>
      </c>
      <c r="G33" s="18"/>
      <c r="H33" s="18"/>
      <c r="I33" s="18"/>
      <c r="J33" s="18"/>
      <c r="K33" s="18" t="s">
        <v>79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78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 t="s">
        <v>79</v>
      </c>
      <c r="G34" s="18"/>
      <c r="H34" s="18"/>
      <c r="I34" s="18"/>
      <c r="J34" s="18"/>
      <c r="K34" s="18" t="s">
        <v>79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78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 t="s">
        <v>79</v>
      </c>
      <c r="G35" s="18"/>
      <c r="H35" s="18"/>
      <c r="I35" s="18"/>
      <c r="J35" s="18"/>
      <c r="K35" s="18" t="s">
        <v>79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78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 t="s">
        <v>79</v>
      </c>
      <c r="G36" s="18"/>
      <c r="H36" s="18"/>
      <c r="I36" s="18"/>
      <c r="J36" s="18"/>
      <c r="K36" s="18" t="s">
        <v>79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78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 t="s">
        <v>79</v>
      </c>
      <c r="G37" s="18"/>
      <c r="H37" s="18"/>
      <c r="I37" s="18"/>
      <c r="J37" s="18"/>
      <c r="K37" s="18" t="s">
        <v>79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78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 t="s">
        <v>79</v>
      </c>
      <c r="G38" s="18"/>
      <c r="H38" s="18"/>
      <c r="I38" s="18"/>
      <c r="J38" s="18"/>
      <c r="K38" s="18" t="s">
        <v>79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21" t="s">
        <v>78</v>
      </c>
      <c r="B39" s="22" t="s">
        <v>50</v>
      </c>
      <c r="C39" s="23">
        <v>30</v>
      </c>
      <c r="D39" s="23">
        <v>30.279582362199999</v>
      </c>
      <c r="E39" s="23">
        <f t="shared" si="1"/>
        <v>0.27958236219999932</v>
      </c>
      <c r="F39" s="24" t="s">
        <v>79</v>
      </c>
      <c r="G39" s="24"/>
      <c r="H39" s="24"/>
      <c r="I39" s="24"/>
      <c r="J39" s="24"/>
      <c r="K39" s="24" t="s">
        <v>79</v>
      </c>
      <c r="L39" s="24"/>
      <c r="M39" s="25"/>
      <c r="N39" s="26" t="str">
        <f t="shared" si="2"/>
        <v>OK</v>
      </c>
    </row>
    <row r="40" spans="1:14" ht="15.95" customHeight="1" x14ac:dyDescent="0.25">
      <c r="A40" s="40" t="s">
        <v>80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3"/>
      <c r="N40" s="4"/>
    </row>
    <row r="41" spans="1:14" ht="20.100000000000001" customHeight="1" x14ac:dyDescent="0.25">
      <c r="A41" s="15" t="s">
        <v>81</v>
      </c>
      <c r="B41" s="16" t="s">
        <v>50</v>
      </c>
      <c r="C41" s="17">
        <v>0</v>
      </c>
      <c r="D41" s="17">
        <v>1</v>
      </c>
      <c r="E41" s="17">
        <f t="shared" ref="E41:E62" si="3">D41-C41</f>
        <v>1</v>
      </c>
      <c r="F41" s="18"/>
      <c r="G41" s="18"/>
      <c r="H41" s="18"/>
      <c r="I41" s="18" t="s">
        <v>79</v>
      </c>
      <c r="J41" s="18"/>
      <c r="K41" s="18"/>
      <c r="L41" s="18" t="s">
        <v>79</v>
      </c>
      <c r="M41" s="19" t="s">
        <v>82</v>
      </c>
      <c r="N41" s="20" t="str">
        <f t="shared" ref="N41:N6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81</v>
      </c>
      <c r="B42" s="16" t="s">
        <v>50</v>
      </c>
      <c r="C42" s="17">
        <v>1</v>
      </c>
      <c r="D42" s="17">
        <v>2</v>
      </c>
      <c r="E42" s="17">
        <f t="shared" si="3"/>
        <v>1</v>
      </c>
      <c r="F42" s="18"/>
      <c r="G42" s="18"/>
      <c r="H42" s="18"/>
      <c r="I42" s="18" t="s">
        <v>79</v>
      </c>
      <c r="J42" s="18"/>
      <c r="K42" s="18"/>
      <c r="L42" s="18" t="s">
        <v>79</v>
      </c>
      <c r="M42" s="19" t="s">
        <v>82</v>
      </c>
      <c r="N42" s="20" t="str">
        <f t="shared" si="4"/>
        <v>OK</v>
      </c>
    </row>
    <row r="43" spans="1:14" ht="20.100000000000001" customHeight="1" x14ac:dyDescent="0.25">
      <c r="A43" s="15" t="s">
        <v>81</v>
      </c>
      <c r="B43" s="16" t="s">
        <v>50</v>
      </c>
      <c r="C43" s="17">
        <v>2</v>
      </c>
      <c r="D43" s="17">
        <v>3</v>
      </c>
      <c r="E43" s="17">
        <f t="shared" si="3"/>
        <v>1</v>
      </c>
      <c r="F43" s="18"/>
      <c r="G43" s="18"/>
      <c r="H43" s="18"/>
      <c r="I43" s="18" t="s">
        <v>79</v>
      </c>
      <c r="J43" s="18"/>
      <c r="K43" s="18"/>
      <c r="L43" s="18" t="s">
        <v>79</v>
      </c>
      <c r="M43" s="19" t="s">
        <v>82</v>
      </c>
      <c r="N43" s="20" t="str">
        <f t="shared" si="4"/>
        <v>OK</v>
      </c>
    </row>
    <row r="44" spans="1:14" ht="20.100000000000001" customHeight="1" x14ac:dyDescent="0.25">
      <c r="A44" s="15" t="s">
        <v>81</v>
      </c>
      <c r="B44" s="16" t="s">
        <v>50</v>
      </c>
      <c r="C44" s="17">
        <v>3</v>
      </c>
      <c r="D44" s="17">
        <v>4</v>
      </c>
      <c r="E44" s="17">
        <f t="shared" si="3"/>
        <v>1</v>
      </c>
      <c r="F44" s="18"/>
      <c r="G44" s="18" t="s">
        <v>79</v>
      </c>
      <c r="H44" s="18"/>
      <c r="I44" s="18"/>
      <c r="J44" s="18"/>
      <c r="K44" s="18"/>
      <c r="L44" s="18" t="s">
        <v>79</v>
      </c>
      <c r="M44" s="19" t="s">
        <v>83</v>
      </c>
      <c r="N44" s="20" t="str">
        <f t="shared" si="4"/>
        <v>OK</v>
      </c>
    </row>
    <row r="45" spans="1:14" ht="20.100000000000001" customHeight="1" x14ac:dyDescent="0.25">
      <c r="A45" s="15" t="s">
        <v>81</v>
      </c>
      <c r="B45" s="16" t="s">
        <v>50</v>
      </c>
      <c r="C45" s="17">
        <v>4</v>
      </c>
      <c r="D45" s="17">
        <v>5</v>
      </c>
      <c r="E45" s="17">
        <f t="shared" si="3"/>
        <v>1</v>
      </c>
      <c r="F45" s="18"/>
      <c r="G45" s="18" t="s">
        <v>79</v>
      </c>
      <c r="H45" s="18"/>
      <c r="I45" s="18"/>
      <c r="J45" s="18"/>
      <c r="K45" s="18"/>
      <c r="L45" s="18" t="s">
        <v>79</v>
      </c>
      <c r="M45" s="19" t="s">
        <v>84</v>
      </c>
      <c r="N45" s="20" t="str">
        <f t="shared" si="4"/>
        <v>OK</v>
      </c>
    </row>
    <row r="46" spans="1:14" ht="20.100000000000001" customHeight="1" x14ac:dyDescent="0.25">
      <c r="A46" s="15" t="s">
        <v>81</v>
      </c>
      <c r="B46" s="16" t="s">
        <v>50</v>
      </c>
      <c r="C46" s="17">
        <v>5</v>
      </c>
      <c r="D46" s="17">
        <v>6</v>
      </c>
      <c r="E46" s="17">
        <f t="shared" si="3"/>
        <v>1</v>
      </c>
      <c r="F46" s="18"/>
      <c r="G46" s="18" t="s">
        <v>79</v>
      </c>
      <c r="H46" s="18"/>
      <c r="I46" s="18"/>
      <c r="J46" s="18"/>
      <c r="K46" s="18"/>
      <c r="L46" s="18" t="s">
        <v>79</v>
      </c>
      <c r="M46" s="19" t="s">
        <v>84</v>
      </c>
      <c r="N46" s="20" t="str">
        <f t="shared" si="4"/>
        <v>OK</v>
      </c>
    </row>
    <row r="47" spans="1:14" ht="20.100000000000001" customHeight="1" x14ac:dyDescent="0.25">
      <c r="A47" s="15" t="s">
        <v>81</v>
      </c>
      <c r="B47" s="16" t="s">
        <v>50</v>
      </c>
      <c r="C47" s="17">
        <v>6</v>
      </c>
      <c r="D47" s="17">
        <v>7</v>
      </c>
      <c r="E47" s="17">
        <f t="shared" si="3"/>
        <v>1</v>
      </c>
      <c r="F47" s="18"/>
      <c r="G47" s="18" t="s">
        <v>79</v>
      </c>
      <c r="H47" s="18"/>
      <c r="I47" s="18"/>
      <c r="J47" s="18"/>
      <c r="K47" s="18"/>
      <c r="L47" s="18"/>
      <c r="M47" s="19" t="s">
        <v>85</v>
      </c>
      <c r="N47" s="20" t="str">
        <f t="shared" si="4"/>
        <v>FALTA/DUPLA: DRENAGEM SUPERFICIAL</v>
      </c>
    </row>
    <row r="48" spans="1:14" ht="20.100000000000001" customHeight="1" x14ac:dyDescent="0.25">
      <c r="A48" s="15" t="s">
        <v>81</v>
      </c>
      <c r="B48" s="16" t="s">
        <v>50</v>
      </c>
      <c r="C48" s="17">
        <v>7</v>
      </c>
      <c r="D48" s="17">
        <v>8</v>
      </c>
      <c r="E48" s="17">
        <f t="shared" si="3"/>
        <v>1</v>
      </c>
      <c r="F48" s="18"/>
      <c r="G48" s="18" t="s">
        <v>79</v>
      </c>
      <c r="H48" s="18"/>
      <c r="I48" s="18"/>
      <c r="J48" s="18"/>
      <c r="K48" s="18"/>
      <c r="L48" s="18"/>
      <c r="M48" s="19" t="s">
        <v>85</v>
      </c>
      <c r="N48" s="20" t="str">
        <f t="shared" si="4"/>
        <v>FALTA/DUPLA: DRENAGEM SUPERFICIAL</v>
      </c>
    </row>
    <row r="49" spans="1:14" ht="20.100000000000001" customHeight="1" x14ac:dyDescent="0.25">
      <c r="A49" s="15" t="s">
        <v>81</v>
      </c>
      <c r="B49" s="16" t="s">
        <v>50</v>
      </c>
      <c r="C49" s="17">
        <v>8</v>
      </c>
      <c r="D49" s="17">
        <v>9</v>
      </c>
      <c r="E49" s="17">
        <f t="shared" si="3"/>
        <v>1</v>
      </c>
      <c r="F49" s="18"/>
      <c r="G49" s="18" t="s">
        <v>79</v>
      </c>
      <c r="H49" s="18"/>
      <c r="I49" s="18"/>
      <c r="J49" s="18"/>
      <c r="K49" s="18"/>
      <c r="L49" s="18"/>
      <c r="M49" s="19" t="s">
        <v>85</v>
      </c>
      <c r="N49" s="20" t="str">
        <f t="shared" si="4"/>
        <v>FALTA/DUPLA: DRENAGEM SUPERFICIAL</v>
      </c>
    </row>
    <row r="50" spans="1:14" ht="20.100000000000001" customHeight="1" x14ac:dyDescent="0.25">
      <c r="A50" s="15" t="s">
        <v>81</v>
      </c>
      <c r="B50" s="16" t="s">
        <v>50</v>
      </c>
      <c r="C50" s="17">
        <v>9</v>
      </c>
      <c r="D50" s="17">
        <v>10</v>
      </c>
      <c r="E50" s="17">
        <f t="shared" si="3"/>
        <v>1</v>
      </c>
      <c r="F50" s="18"/>
      <c r="G50" s="18" t="s">
        <v>79</v>
      </c>
      <c r="H50" s="18"/>
      <c r="I50" s="18"/>
      <c r="J50" s="18"/>
      <c r="K50" s="18"/>
      <c r="L50" s="18"/>
      <c r="M50" s="19" t="s">
        <v>85</v>
      </c>
      <c r="N50" s="20" t="str">
        <f t="shared" si="4"/>
        <v>FALTA/DUPLA: DRENAGEM SUPERFICIAL</v>
      </c>
    </row>
    <row r="51" spans="1:14" ht="20.100000000000001" customHeight="1" x14ac:dyDescent="0.25">
      <c r="A51" s="15" t="s">
        <v>81</v>
      </c>
      <c r="B51" s="16" t="s">
        <v>50</v>
      </c>
      <c r="C51" s="17">
        <v>10</v>
      </c>
      <c r="D51" s="17">
        <v>11</v>
      </c>
      <c r="E51" s="17">
        <f t="shared" si="3"/>
        <v>1</v>
      </c>
      <c r="F51" s="18"/>
      <c r="G51" s="18" t="s">
        <v>79</v>
      </c>
      <c r="H51" s="18"/>
      <c r="I51" s="18"/>
      <c r="J51" s="18"/>
      <c r="K51" s="18"/>
      <c r="L51" s="18"/>
      <c r="M51" s="19" t="s">
        <v>85</v>
      </c>
      <c r="N51" s="20" t="str">
        <f t="shared" si="4"/>
        <v>FALTA/DUPLA: DRENAGEM SUPERFICIAL</v>
      </c>
    </row>
    <row r="52" spans="1:14" ht="20.100000000000001" customHeight="1" x14ac:dyDescent="0.25">
      <c r="A52" s="15" t="s">
        <v>81</v>
      </c>
      <c r="B52" s="16" t="s">
        <v>50</v>
      </c>
      <c r="C52" s="17">
        <v>11</v>
      </c>
      <c r="D52" s="17">
        <v>12</v>
      </c>
      <c r="E52" s="17">
        <f t="shared" si="3"/>
        <v>1</v>
      </c>
      <c r="F52" s="18"/>
      <c r="G52" s="18" t="s">
        <v>79</v>
      </c>
      <c r="H52" s="18"/>
      <c r="I52" s="18"/>
      <c r="J52" s="18"/>
      <c r="K52" s="18"/>
      <c r="L52" s="18"/>
      <c r="M52" s="19" t="s">
        <v>85</v>
      </c>
      <c r="N52" s="20" t="str">
        <f t="shared" si="4"/>
        <v>FALTA/DUPLA: DRENAGEM SUPERFICIAL</v>
      </c>
    </row>
    <row r="53" spans="1:14" ht="20.100000000000001" customHeight="1" x14ac:dyDescent="0.25">
      <c r="A53" s="15" t="s">
        <v>81</v>
      </c>
      <c r="B53" s="16" t="s">
        <v>50</v>
      </c>
      <c r="C53" s="17">
        <v>12</v>
      </c>
      <c r="D53" s="17">
        <v>13</v>
      </c>
      <c r="E53" s="17">
        <f t="shared" si="3"/>
        <v>1</v>
      </c>
      <c r="F53" s="18"/>
      <c r="G53" s="18" t="s">
        <v>79</v>
      </c>
      <c r="H53" s="18"/>
      <c r="I53" s="18"/>
      <c r="J53" s="18"/>
      <c r="K53" s="18"/>
      <c r="L53" s="18"/>
      <c r="M53" s="19" t="s">
        <v>85</v>
      </c>
      <c r="N53" s="20" t="str">
        <f t="shared" si="4"/>
        <v>FALTA/DUPLA: DRENAGEM SUPERFICIAL</v>
      </c>
    </row>
    <row r="54" spans="1:14" ht="20.100000000000001" customHeight="1" x14ac:dyDescent="0.25">
      <c r="A54" s="15" t="s">
        <v>81</v>
      </c>
      <c r="B54" s="16" t="s">
        <v>50</v>
      </c>
      <c r="C54" s="17">
        <v>13</v>
      </c>
      <c r="D54" s="17">
        <v>14</v>
      </c>
      <c r="E54" s="17">
        <f t="shared" si="3"/>
        <v>1</v>
      </c>
      <c r="F54" s="18"/>
      <c r="G54" s="18" t="s">
        <v>79</v>
      </c>
      <c r="H54" s="18"/>
      <c r="I54" s="18"/>
      <c r="J54" s="18"/>
      <c r="K54" s="18"/>
      <c r="L54" s="18"/>
      <c r="M54" s="19" t="s">
        <v>85</v>
      </c>
      <c r="N54" s="20" t="str">
        <f t="shared" si="4"/>
        <v>FALTA/DUPLA: DRENAGEM SUPERFICIAL</v>
      </c>
    </row>
    <row r="55" spans="1:14" ht="20.100000000000001" customHeight="1" x14ac:dyDescent="0.25">
      <c r="A55" s="15" t="s">
        <v>81</v>
      </c>
      <c r="B55" s="16" t="s">
        <v>50</v>
      </c>
      <c r="C55" s="17">
        <v>14</v>
      </c>
      <c r="D55" s="17">
        <v>15</v>
      </c>
      <c r="E55" s="17">
        <f t="shared" si="3"/>
        <v>1</v>
      </c>
      <c r="F55" s="18"/>
      <c r="G55" s="18" t="s">
        <v>79</v>
      </c>
      <c r="H55" s="18"/>
      <c r="I55" s="18"/>
      <c r="J55" s="18"/>
      <c r="K55" s="18"/>
      <c r="L55" s="18"/>
      <c r="M55" s="19" t="s">
        <v>85</v>
      </c>
      <c r="N55" s="20" t="str">
        <f t="shared" si="4"/>
        <v>FALTA/DUPLA: DRENAGEM SUPERFICIAL</v>
      </c>
    </row>
    <row r="56" spans="1:14" ht="20.100000000000001" customHeight="1" x14ac:dyDescent="0.25">
      <c r="A56" s="15" t="s">
        <v>81</v>
      </c>
      <c r="B56" s="16" t="s">
        <v>50</v>
      </c>
      <c r="C56" s="17">
        <v>15</v>
      </c>
      <c r="D56" s="17">
        <v>16</v>
      </c>
      <c r="E56" s="17">
        <f t="shared" si="3"/>
        <v>1</v>
      </c>
      <c r="F56" s="18"/>
      <c r="G56" s="18" t="s">
        <v>79</v>
      </c>
      <c r="H56" s="18"/>
      <c r="I56" s="18"/>
      <c r="J56" s="18"/>
      <c r="K56" s="18"/>
      <c r="L56" s="18"/>
      <c r="M56" s="19" t="s">
        <v>85</v>
      </c>
      <c r="N56" s="20" t="str">
        <f t="shared" si="4"/>
        <v>FALTA/DUPLA: DRENAGEM SUPERFICIAL</v>
      </c>
    </row>
    <row r="57" spans="1:14" ht="20.100000000000001" customHeight="1" x14ac:dyDescent="0.25">
      <c r="A57" s="15" t="s">
        <v>81</v>
      </c>
      <c r="B57" s="16" t="s">
        <v>50</v>
      </c>
      <c r="C57" s="17">
        <v>16</v>
      </c>
      <c r="D57" s="17">
        <v>17</v>
      </c>
      <c r="E57" s="17">
        <f t="shared" si="3"/>
        <v>1</v>
      </c>
      <c r="F57" s="18"/>
      <c r="G57" s="18" t="s">
        <v>79</v>
      </c>
      <c r="H57" s="18"/>
      <c r="I57" s="18"/>
      <c r="J57" s="18"/>
      <c r="K57" s="18"/>
      <c r="L57" s="18"/>
      <c r="M57" s="19" t="s">
        <v>85</v>
      </c>
      <c r="N57" s="20" t="str">
        <f t="shared" si="4"/>
        <v>FALTA/DUPLA: DRENAGEM SUPERFICIAL</v>
      </c>
    </row>
    <row r="58" spans="1:14" ht="20.100000000000001" customHeight="1" x14ac:dyDescent="0.25">
      <c r="A58" s="15" t="s">
        <v>81</v>
      </c>
      <c r="B58" s="16" t="s">
        <v>50</v>
      </c>
      <c r="C58" s="17">
        <v>17</v>
      </c>
      <c r="D58" s="17">
        <v>18</v>
      </c>
      <c r="E58" s="17">
        <f t="shared" si="3"/>
        <v>1</v>
      </c>
      <c r="F58" s="18"/>
      <c r="G58" s="18" t="s">
        <v>79</v>
      </c>
      <c r="H58" s="18"/>
      <c r="I58" s="18"/>
      <c r="J58" s="18"/>
      <c r="K58" s="18"/>
      <c r="L58" s="18"/>
      <c r="M58" s="19" t="s">
        <v>85</v>
      </c>
      <c r="N58" s="20" t="str">
        <f t="shared" si="4"/>
        <v>FALTA/DUPLA: DRENAGEM SUPERFICIAL</v>
      </c>
    </row>
    <row r="59" spans="1:14" ht="20.100000000000001" customHeight="1" x14ac:dyDescent="0.25">
      <c r="A59" s="15" t="s">
        <v>81</v>
      </c>
      <c r="B59" s="16" t="s">
        <v>50</v>
      </c>
      <c r="C59" s="17">
        <v>18</v>
      </c>
      <c r="D59" s="17">
        <v>19</v>
      </c>
      <c r="E59" s="17">
        <f t="shared" si="3"/>
        <v>1</v>
      </c>
      <c r="F59" s="18"/>
      <c r="G59" s="18" t="s">
        <v>79</v>
      </c>
      <c r="H59" s="18"/>
      <c r="I59" s="18"/>
      <c r="J59" s="18"/>
      <c r="K59" s="18"/>
      <c r="L59" s="18"/>
      <c r="M59" s="19" t="s">
        <v>85</v>
      </c>
      <c r="N59" s="20" t="str">
        <f t="shared" si="4"/>
        <v>FALTA/DUPLA: DRENAGEM SUPERFICIAL</v>
      </c>
    </row>
    <row r="60" spans="1:14" ht="20.100000000000001" customHeight="1" x14ac:dyDescent="0.25">
      <c r="A60" s="15" t="s">
        <v>81</v>
      </c>
      <c r="B60" s="16" t="s">
        <v>50</v>
      </c>
      <c r="C60" s="17">
        <v>19</v>
      </c>
      <c r="D60" s="17">
        <v>20</v>
      </c>
      <c r="E60" s="17">
        <f t="shared" si="3"/>
        <v>1</v>
      </c>
      <c r="F60" s="18"/>
      <c r="G60" s="18" t="s">
        <v>79</v>
      </c>
      <c r="H60" s="18"/>
      <c r="I60" s="18"/>
      <c r="J60" s="18"/>
      <c r="K60" s="18"/>
      <c r="L60" s="18" t="s">
        <v>79</v>
      </c>
      <c r="M60" s="19"/>
      <c r="N60" s="20" t="str">
        <f t="shared" si="4"/>
        <v>OK</v>
      </c>
    </row>
    <row r="61" spans="1:14" ht="20.100000000000001" customHeight="1" x14ac:dyDescent="0.25">
      <c r="A61" s="15" t="s">
        <v>81</v>
      </c>
      <c r="B61" s="16" t="s">
        <v>50</v>
      </c>
      <c r="C61" s="17">
        <v>20</v>
      </c>
      <c r="D61" s="17">
        <v>21</v>
      </c>
      <c r="E61" s="17">
        <f t="shared" si="3"/>
        <v>1</v>
      </c>
      <c r="F61" s="18"/>
      <c r="G61" s="18" t="s">
        <v>79</v>
      </c>
      <c r="H61" s="18"/>
      <c r="I61" s="18"/>
      <c r="J61" s="18"/>
      <c r="K61" s="18"/>
      <c r="L61" s="18" t="s">
        <v>79</v>
      </c>
      <c r="M61" s="19"/>
      <c r="N61" s="20" t="str">
        <f t="shared" si="4"/>
        <v>OK</v>
      </c>
    </row>
    <row r="62" spans="1:14" ht="20.100000000000001" customHeight="1" x14ac:dyDescent="0.25">
      <c r="A62" s="21" t="s">
        <v>81</v>
      </c>
      <c r="B62" s="22" t="s">
        <v>50</v>
      </c>
      <c r="C62" s="23">
        <v>21</v>
      </c>
      <c r="D62" s="23">
        <v>21.855986949199998</v>
      </c>
      <c r="E62" s="23">
        <f t="shared" si="3"/>
        <v>0.85598694919999829</v>
      </c>
      <c r="F62" s="24"/>
      <c r="G62" s="24"/>
      <c r="H62" s="24"/>
      <c r="I62" s="24"/>
      <c r="J62" s="24"/>
      <c r="K62" s="24"/>
      <c r="L62" s="24"/>
      <c r="M62" s="25"/>
      <c r="N62" s="26" t="str">
        <f t="shared" si="4"/>
        <v>— não preenchido</v>
      </c>
    </row>
    <row r="64" spans="1:14" x14ac:dyDescent="0.25">
      <c r="A64" s="41" t="s">
        <v>51</v>
      </c>
      <c r="B64" s="35"/>
      <c r="C64" s="35"/>
      <c r="D64" s="35"/>
      <c r="E64" s="35"/>
      <c r="G64" s="41" t="s">
        <v>51</v>
      </c>
      <c r="H64" s="35"/>
      <c r="I64" s="35"/>
      <c r="J64" s="35"/>
      <c r="K64" s="35"/>
    </row>
    <row r="65" spans="1:13" x14ac:dyDescent="0.25">
      <c r="A65" s="48" t="s">
        <v>52</v>
      </c>
      <c r="B65" s="35"/>
      <c r="C65" s="35"/>
      <c r="D65" s="35"/>
      <c r="E65" s="35"/>
      <c r="G65" s="48" t="s">
        <v>53</v>
      </c>
      <c r="H65" s="35"/>
      <c r="I65" s="35"/>
      <c r="J65" s="35"/>
      <c r="K65" s="35"/>
    </row>
    <row r="67" spans="1:13" x14ac:dyDescent="0.25">
      <c r="A67" s="42" t="s">
        <v>54</v>
      </c>
      <c r="B67" s="35"/>
      <c r="C67" s="35"/>
      <c r="D67" s="35"/>
      <c r="E67" s="35"/>
      <c r="F67" s="27"/>
      <c r="G67" s="27"/>
      <c r="H67" s="27"/>
      <c r="I67" s="27"/>
      <c r="J67" s="27"/>
      <c r="K67" s="27"/>
      <c r="L67" s="27"/>
      <c r="M67" s="27"/>
    </row>
    <row r="68" spans="1:13" x14ac:dyDescent="0.25">
      <c r="A68" s="38" t="s">
        <v>55</v>
      </c>
      <c r="B68" s="35"/>
      <c r="C68" s="35"/>
      <c r="D68" s="35"/>
      <c r="E68" s="35"/>
      <c r="F68" s="9">
        <f t="shared" ref="F68:L68" si="5">SUMIF(F$9:F$62,"X",$E$9:$E$62)</f>
        <v>15.279582362199999</v>
      </c>
      <c r="G68" s="9">
        <f t="shared" si="5"/>
        <v>33</v>
      </c>
      <c r="H68" s="9">
        <f t="shared" si="5"/>
        <v>0</v>
      </c>
      <c r="I68" s="9">
        <f t="shared" si="5"/>
        <v>3</v>
      </c>
      <c r="J68" s="9">
        <f t="shared" si="5"/>
        <v>0</v>
      </c>
      <c r="K68" s="9">
        <f t="shared" si="5"/>
        <v>30.279582362199999</v>
      </c>
      <c r="L68" s="9">
        <f t="shared" si="5"/>
        <v>8</v>
      </c>
    </row>
    <row r="69" spans="1:13" x14ac:dyDescent="0.25">
      <c r="A69" s="38" t="s">
        <v>56</v>
      </c>
      <c r="B69" s="35"/>
      <c r="C69" s="35"/>
      <c r="D69" s="35"/>
      <c r="E69" s="35"/>
      <c r="F69" s="28">
        <f t="shared" ref="F69:L69" si="6">IF($I71=0,0,F68/$I71)</f>
        <v>0.29307404837063811</v>
      </c>
      <c r="G69" s="28">
        <f t="shared" si="6"/>
        <v>0.63296517973928013</v>
      </c>
      <c r="H69" s="28">
        <f t="shared" si="6"/>
        <v>0</v>
      </c>
      <c r="I69" s="28">
        <f t="shared" si="6"/>
        <v>5.7542289067207285E-2</v>
      </c>
      <c r="J69" s="28">
        <f t="shared" si="6"/>
        <v>0</v>
      </c>
      <c r="K69" s="28">
        <f t="shared" si="6"/>
        <v>0.58078549370667454</v>
      </c>
      <c r="L69" s="28">
        <f t="shared" si="6"/>
        <v>0.15344610417921942</v>
      </c>
    </row>
    <row r="70" spans="1:13" x14ac:dyDescent="0.25">
      <c r="A70" s="38" t="s">
        <v>57</v>
      </c>
      <c r="B70" s="35"/>
      <c r="C70" s="35"/>
      <c r="D70" s="35"/>
      <c r="E70" s="35"/>
      <c r="F70" s="47" t="str">
        <f>IF(SUM(F68:I68)=0,"— não preenchido",IF(ROUND(SUM(F68:I68)-$I71,3)=0,"OK — "&amp;ROUND(SUM(F68:I68),3)&amp;" km","ERRO — dif. de "&amp;ROUND(SUM(F68:I68)-$I71,3)&amp;" km"))</f>
        <v>ERRO — dif. de -0,856 km</v>
      </c>
      <c r="G70" s="32"/>
      <c r="H70" s="32"/>
      <c r="I70" s="33"/>
      <c r="J70" s="47" t="str">
        <f>IF(SUM(J68:L68)=0,"— não preenchido",IF(ROUND(SUM(J68:L68)-$I71,3)=0,"OK — "&amp;ROUND(SUM(J68:L68),3)&amp;" km","ERRO — dif. de "&amp;ROUND(SUM(J68:L68)-$I71,3)&amp;" km"))</f>
        <v>ERRO — dif. de -13,856 km</v>
      </c>
      <c r="K70" s="32"/>
      <c r="L70" s="33"/>
    </row>
    <row r="71" spans="1:13" x14ac:dyDescent="0.25">
      <c r="A71" s="38" t="s">
        <v>58</v>
      </c>
      <c r="B71" s="35"/>
      <c r="C71" s="35"/>
      <c r="D71" s="35"/>
      <c r="E71" s="35"/>
      <c r="I71" s="29">
        <f>SUM(E9:E62)</f>
        <v>52.135569311400005</v>
      </c>
      <c r="M71" s="8" t="str">
        <f>COUNTIF(N9:N62,"OK")&amp;" de "&amp;COUNT($E$9:$E$62)&amp;" linhas conferidas"</f>
        <v>39 de 53 linhas conferidas</v>
      </c>
    </row>
    <row r="73" spans="1:13" x14ac:dyDescent="0.25">
      <c r="A73" s="49" t="s">
        <v>59</v>
      </c>
      <c r="B73" s="35"/>
      <c r="C73" s="35"/>
      <c r="D73" s="35"/>
      <c r="E73" s="35"/>
    </row>
    <row r="74" spans="1:13" x14ac:dyDescent="0.25">
      <c r="A74" s="38" t="s">
        <v>10</v>
      </c>
      <c r="B74" s="35"/>
      <c r="C74" s="35"/>
      <c r="D74" s="35"/>
      <c r="E74" s="37" t="s">
        <v>60</v>
      </c>
      <c r="F74" s="35"/>
      <c r="G74" s="35"/>
      <c r="H74" s="35"/>
      <c r="I74" s="35"/>
      <c r="J74" s="35"/>
      <c r="K74" s="35"/>
      <c r="L74" s="35"/>
      <c r="M74" s="35"/>
    </row>
    <row r="75" spans="1:13" x14ac:dyDescent="0.25">
      <c r="A75" s="38" t="s">
        <v>11</v>
      </c>
      <c r="B75" s="35"/>
      <c r="C75" s="35"/>
      <c r="D75" s="35"/>
      <c r="E75" s="37" t="s">
        <v>61</v>
      </c>
      <c r="F75" s="35"/>
      <c r="G75" s="35"/>
      <c r="H75" s="35"/>
      <c r="I75" s="35"/>
      <c r="J75" s="35"/>
      <c r="K75" s="35"/>
      <c r="L75" s="35"/>
      <c r="M75" s="35"/>
    </row>
    <row r="76" spans="1:13" x14ac:dyDescent="0.25">
      <c r="A76" s="38" t="s">
        <v>12</v>
      </c>
      <c r="B76" s="35"/>
      <c r="C76" s="35"/>
      <c r="D76" s="35"/>
      <c r="E76" s="37" t="s">
        <v>62</v>
      </c>
      <c r="F76" s="35"/>
      <c r="G76" s="35"/>
      <c r="H76" s="35"/>
      <c r="I76" s="35"/>
      <c r="J76" s="35"/>
      <c r="K76" s="35"/>
      <c r="L76" s="35"/>
      <c r="M76" s="35"/>
    </row>
    <row r="77" spans="1:13" x14ac:dyDescent="0.25">
      <c r="A77" s="38" t="s">
        <v>63</v>
      </c>
      <c r="B77" s="35"/>
      <c r="C77" s="35"/>
      <c r="D77" s="35"/>
      <c r="E77" s="37" t="s">
        <v>64</v>
      </c>
      <c r="F77" s="35"/>
      <c r="G77" s="35"/>
      <c r="H77" s="35"/>
      <c r="I77" s="35"/>
      <c r="J77" s="35"/>
      <c r="K77" s="35"/>
      <c r="L77" s="35"/>
      <c r="M77" s="35"/>
    </row>
    <row r="78" spans="1:13" x14ac:dyDescent="0.25">
      <c r="A78" s="38" t="s">
        <v>65</v>
      </c>
      <c r="B78" s="35"/>
      <c r="C78" s="35"/>
      <c r="D78" s="35"/>
      <c r="E78" s="37" t="s">
        <v>66</v>
      </c>
      <c r="F78" s="35"/>
      <c r="G78" s="35"/>
      <c r="H78" s="35"/>
      <c r="I78" s="35"/>
      <c r="J78" s="35"/>
      <c r="K78" s="35"/>
      <c r="L78" s="35"/>
      <c r="M78" s="35"/>
    </row>
    <row r="79" spans="1:13" x14ac:dyDescent="0.25">
      <c r="A79" s="38" t="s">
        <v>67</v>
      </c>
      <c r="B79" s="35"/>
      <c r="C79" s="35"/>
      <c r="D79" s="35"/>
      <c r="E79" s="37" t="s">
        <v>68</v>
      </c>
      <c r="F79" s="35"/>
      <c r="G79" s="35"/>
      <c r="H79" s="35"/>
      <c r="I79" s="35"/>
      <c r="J79" s="35"/>
      <c r="K79" s="35"/>
      <c r="L79" s="35"/>
      <c r="M79" s="35"/>
    </row>
    <row r="80" spans="1:13" x14ac:dyDescent="0.25">
      <c r="A80" s="38" t="s">
        <v>42</v>
      </c>
      <c r="B80" s="35"/>
      <c r="C80" s="35"/>
      <c r="D80" s="35"/>
      <c r="E80" s="37" t="s">
        <v>69</v>
      </c>
      <c r="F80" s="35"/>
      <c r="G80" s="35"/>
      <c r="H80" s="35"/>
      <c r="I80" s="35"/>
      <c r="J80" s="35"/>
      <c r="K80" s="35"/>
      <c r="L80" s="35"/>
      <c r="M80" s="35"/>
    </row>
    <row r="81" spans="1:13" x14ac:dyDescent="0.25">
      <c r="A81" s="38" t="s">
        <v>70</v>
      </c>
      <c r="B81" s="35"/>
      <c r="C81" s="35"/>
      <c r="D81" s="35"/>
      <c r="E81" s="37" t="s">
        <v>71</v>
      </c>
      <c r="F81" s="35"/>
      <c r="G81" s="35"/>
      <c r="H81" s="35"/>
      <c r="I81" s="35"/>
      <c r="J81" s="35"/>
      <c r="K81" s="35"/>
      <c r="L81" s="35"/>
      <c r="M81" s="35"/>
    </row>
    <row r="82" spans="1:13" x14ac:dyDescent="0.25">
      <c r="A82" s="38" t="s">
        <v>72</v>
      </c>
      <c r="B82" s="35"/>
      <c r="C82" s="35"/>
      <c r="D82" s="35"/>
      <c r="E82" s="37" t="s">
        <v>73</v>
      </c>
      <c r="F82" s="35"/>
      <c r="G82" s="35"/>
      <c r="H82" s="35"/>
      <c r="I82" s="35"/>
      <c r="J82" s="35"/>
      <c r="K82" s="35"/>
      <c r="L82" s="35"/>
      <c r="M82" s="35"/>
    </row>
    <row r="83" spans="1:13" x14ac:dyDescent="0.25">
      <c r="A83" s="38" t="s">
        <v>8</v>
      </c>
      <c r="B83" s="35"/>
      <c r="C83" s="35"/>
      <c r="D83" s="35"/>
      <c r="E83" s="37" t="s">
        <v>74</v>
      </c>
      <c r="F83" s="35"/>
      <c r="G83" s="35"/>
      <c r="H83" s="35"/>
      <c r="I83" s="35"/>
      <c r="J83" s="35"/>
      <c r="K83" s="35"/>
      <c r="L83" s="35"/>
      <c r="M83" s="35"/>
    </row>
  </sheetData>
  <sheetProtection sheet="1" formatCells="0"/>
  <mergeCells count="51">
    <mergeCell ref="N6:N7"/>
    <mergeCell ref="K3:M3"/>
    <mergeCell ref="G65:K65"/>
    <mergeCell ref="G64:K64"/>
    <mergeCell ref="A80:D80"/>
    <mergeCell ref="A75:D75"/>
    <mergeCell ref="F70:I70"/>
    <mergeCell ref="A74:D74"/>
    <mergeCell ref="A3:J3"/>
    <mergeCell ref="A68:E68"/>
    <mergeCell ref="C6:C7"/>
    <mergeCell ref="E79:M79"/>
    <mergeCell ref="D6:D7"/>
    <mergeCell ref="A76:D76"/>
    <mergeCell ref="A67:E67"/>
    <mergeCell ref="A1:M1"/>
    <mergeCell ref="E81:M81"/>
    <mergeCell ref="E75:M75"/>
    <mergeCell ref="A78:D78"/>
    <mergeCell ref="A71:E71"/>
    <mergeCell ref="A83:D83"/>
    <mergeCell ref="A40:M40"/>
    <mergeCell ref="M6:M7"/>
    <mergeCell ref="A82:D82"/>
    <mergeCell ref="E6:E7"/>
    <mergeCell ref="B6:B7"/>
    <mergeCell ref="F6:I6"/>
    <mergeCell ref="E76:M76"/>
    <mergeCell ref="A79:D79"/>
    <mergeCell ref="E83:M83"/>
    <mergeCell ref="K2:M2"/>
    <mergeCell ref="A65:E65"/>
    <mergeCell ref="D2:E2"/>
    <mergeCell ref="A77:D77"/>
    <mergeCell ref="E80:M80"/>
    <mergeCell ref="J6:L6"/>
    <mergeCell ref="E82:M82"/>
    <mergeCell ref="A73:E73"/>
    <mergeCell ref="G2:H2"/>
    <mergeCell ref="A8:M8"/>
    <mergeCell ref="A64:E64"/>
    <mergeCell ref="A4:M4"/>
    <mergeCell ref="J70:L70"/>
    <mergeCell ref="E78:M78"/>
    <mergeCell ref="A81:D81"/>
    <mergeCell ref="A6:A7"/>
    <mergeCell ref="A70:E70"/>
    <mergeCell ref="E74:M74"/>
    <mergeCell ref="A2:C2"/>
    <mergeCell ref="E77:M77"/>
    <mergeCell ref="A69:E69"/>
  </mergeCells>
  <conditionalFormatting sqref="F9:I62">
    <cfRule type="expression" dxfId="77" priority="1">
      <formula>AND(F9&lt;&gt;"",COUNTIF($F9:$I9,"X")&gt;1)</formula>
    </cfRule>
  </conditionalFormatting>
  <conditionalFormatting sqref="F70:L70">
    <cfRule type="expression" dxfId="76" priority="5">
      <formula>LEFT(F70,4)="ERRO"</formula>
    </cfRule>
    <cfRule type="expression" dxfId="75" priority="6">
      <formula>LEFT(F70,2)="OK"</formula>
    </cfRule>
  </conditionalFormatting>
  <conditionalFormatting sqref="J9:L62">
    <cfRule type="expression" dxfId="74" priority="2">
      <formula>AND(J9&lt;&gt;"",COUNTIF($J9:$L9,"X")&gt;1)</formula>
    </cfRule>
  </conditionalFormatting>
  <conditionalFormatting sqref="N9:N62">
    <cfRule type="expression" dxfId="73" priority="3">
      <formula>AND(N9&lt;&gt;"OK",N9&lt;&gt;"")</formula>
    </cfRule>
    <cfRule type="expression" dxfId="7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2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2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62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260</oddHeader>
    <oddFooter>&amp;L&amp;7 RTA / MSI — Programa de Manutenção Rodoviária&amp;C&amp;7 Página &amp;P de &amp;N&amp;R&amp;7 Impresso em &amp;D</oddFooter>
  </headerFooter>
  <rowBreaks count="1" manualBreakCount="1">
    <brk id="65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8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 t="e">
        <f t="shared" ref="P2:V2" si="0">IF(F65=0,NA(),F65)</f>
        <v>#N/A</v>
      </c>
      <c r="Q2" s="2">
        <f t="shared" si="0"/>
        <v>50.619704282800001</v>
      </c>
      <c r="R2" s="2" t="e">
        <f t="shared" si="0"/>
        <v>#N/A</v>
      </c>
      <c r="S2" s="2" t="e">
        <f t="shared" si="0"/>
        <v>#N/A</v>
      </c>
      <c r="T2" s="2">
        <f t="shared" si="0"/>
        <v>22</v>
      </c>
      <c r="U2" s="2">
        <f t="shared" si="0"/>
        <v>28.619704282800001</v>
      </c>
      <c r="V2" s="2" t="e">
        <f t="shared" si="0"/>
        <v>#N/A</v>
      </c>
    </row>
    <row r="3" spans="1:22" ht="15" customHeight="1" x14ac:dyDescent="0.25">
      <c r="A3" s="50" t="s">
        <v>86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87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88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89</v>
      </c>
      <c r="B9" s="16" t="s">
        <v>50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79</v>
      </c>
      <c r="H9" s="18"/>
      <c r="I9" s="18"/>
      <c r="J9" s="18" t="s">
        <v>79</v>
      </c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89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 t="s">
        <v>79</v>
      </c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89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 t="s">
        <v>79</v>
      </c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89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 t="s">
        <v>79</v>
      </c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89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 t="s">
        <v>79</v>
      </c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89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89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89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89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89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89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89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/>
      <c r="G20" s="18" t="s">
        <v>79</v>
      </c>
      <c r="H20" s="18"/>
      <c r="I20" s="18"/>
      <c r="J20" s="18" t="s">
        <v>79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89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/>
      <c r="G21" s="18" t="s">
        <v>79</v>
      </c>
      <c r="H21" s="18"/>
      <c r="I21" s="18"/>
      <c r="J21" s="18" t="s">
        <v>79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89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/>
      <c r="G22" s="18" t="s">
        <v>79</v>
      </c>
      <c r="H22" s="18"/>
      <c r="I22" s="18"/>
      <c r="J22" s="18" t="s">
        <v>79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89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/>
      <c r="G23" s="18" t="s">
        <v>79</v>
      </c>
      <c r="H23" s="18"/>
      <c r="I23" s="18"/>
      <c r="J23" s="18" t="s">
        <v>79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89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/>
      <c r="G24" s="18" t="s">
        <v>79</v>
      </c>
      <c r="H24" s="18"/>
      <c r="I24" s="18"/>
      <c r="J24" s="18" t="s">
        <v>79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89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/>
      <c r="G25" s="18" t="s">
        <v>79</v>
      </c>
      <c r="H25" s="18"/>
      <c r="I25" s="18"/>
      <c r="J25" s="18" t="s">
        <v>79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89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/>
      <c r="G26" s="18" t="s">
        <v>79</v>
      </c>
      <c r="H26" s="18"/>
      <c r="I26" s="18"/>
      <c r="J26" s="18" t="s">
        <v>79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89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/>
      <c r="G27" s="18" t="s">
        <v>79</v>
      </c>
      <c r="H27" s="18"/>
      <c r="I27" s="18"/>
      <c r="J27" s="18" t="s">
        <v>79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89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/>
      <c r="G28" s="18" t="s">
        <v>79</v>
      </c>
      <c r="H28" s="18"/>
      <c r="I28" s="18"/>
      <c r="J28" s="18" t="s">
        <v>79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89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/>
      <c r="G29" s="18" t="s">
        <v>79</v>
      </c>
      <c r="H29" s="18"/>
      <c r="I29" s="18"/>
      <c r="J29" s="18" t="s">
        <v>79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89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/>
      <c r="G30" s="18" t="s">
        <v>79</v>
      </c>
      <c r="H30" s="18"/>
      <c r="I30" s="18"/>
      <c r="J30" s="18" t="s">
        <v>79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89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/>
      <c r="G31" s="18" t="s">
        <v>79</v>
      </c>
      <c r="H31" s="18"/>
      <c r="I31" s="18"/>
      <c r="J31" s="18"/>
      <c r="K31" s="18" t="s">
        <v>79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89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/>
      <c r="G32" s="18" t="s">
        <v>79</v>
      </c>
      <c r="H32" s="18"/>
      <c r="I32" s="18"/>
      <c r="J32" s="18"/>
      <c r="K32" s="18" t="s">
        <v>79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89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/>
      <c r="G33" s="18" t="s">
        <v>79</v>
      </c>
      <c r="H33" s="18"/>
      <c r="I33" s="18"/>
      <c r="J33" s="18"/>
      <c r="K33" s="18" t="s">
        <v>79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89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/>
      <c r="G34" s="18" t="s">
        <v>79</v>
      </c>
      <c r="H34" s="18"/>
      <c r="I34" s="18"/>
      <c r="J34" s="18"/>
      <c r="K34" s="18" t="s">
        <v>79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89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/>
      <c r="G35" s="18" t="s">
        <v>79</v>
      </c>
      <c r="H35" s="18"/>
      <c r="I35" s="18"/>
      <c r="J35" s="18"/>
      <c r="K35" s="18" t="s">
        <v>79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89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/>
      <c r="G36" s="18" t="s">
        <v>79</v>
      </c>
      <c r="H36" s="18"/>
      <c r="I36" s="18"/>
      <c r="J36" s="18"/>
      <c r="K36" s="18" t="s">
        <v>79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89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/>
      <c r="G37" s="18" t="s">
        <v>79</v>
      </c>
      <c r="H37" s="18"/>
      <c r="I37" s="18"/>
      <c r="J37" s="18"/>
      <c r="K37" s="18" t="s">
        <v>79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89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/>
      <c r="G38" s="18" t="s">
        <v>79</v>
      </c>
      <c r="H38" s="18"/>
      <c r="I38" s="18"/>
      <c r="J38" s="18"/>
      <c r="K38" s="18" t="s">
        <v>79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89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/>
      <c r="G39" s="18" t="s">
        <v>79</v>
      </c>
      <c r="H39" s="18"/>
      <c r="I39" s="18"/>
      <c r="J39" s="18"/>
      <c r="K39" s="18" t="s">
        <v>79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89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/>
      <c r="G40" s="18" t="s">
        <v>79</v>
      </c>
      <c r="H40" s="18"/>
      <c r="I40" s="18"/>
      <c r="J40" s="18"/>
      <c r="K40" s="18" t="s">
        <v>79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89</v>
      </c>
      <c r="B41" s="16" t="s">
        <v>50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79</v>
      </c>
      <c r="H41" s="18"/>
      <c r="I41" s="18"/>
      <c r="J41" s="18"/>
      <c r="K41" s="18" t="s">
        <v>79</v>
      </c>
      <c r="L41" s="18"/>
      <c r="M41" s="19"/>
      <c r="N41" s="20" t="str">
        <f t="shared" ref="N41:N59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89</v>
      </c>
      <c r="B42" s="16" t="s">
        <v>50</v>
      </c>
      <c r="C42" s="17">
        <v>33</v>
      </c>
      <c r="D42" s="17">
        <v>34</v>
      </c>
      <c r="E42" s="17">
        <f t="shared" si="3"/>
        <v>1</v>
      </c>
      <c r="F42" s="18"/>
      <c r="G42" s="18" t="s">
        <v>79</v>
      </c>
      <c r="H42" s="18"/>
      <c r="I42" s="18"/>
      <c r="J42" s="18"/>
      <c r="K42" s="18" t="s">
        <v>79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89</v>
      </c>
      <c r="B43" s="16" t="s">
        <v>50</v>
      </c>
      <c r="C43" s="17">
        <v>34</v>
      </c>
      <c r="D43" s="17">
        <v>35</v>
      </c>
      <c r="E43" s="17">
        <f t="shared" si="3"/>
        <v>1</v>
      </c>
      <c r="F43" s="18"/>
      <c r="G43" s="18" t="s">
        <v>79</v>
      </c>
      <c r="H43" s="18"/>
      <c r="I43" s="18"/>
      <c r="J43" s="18"/>
      <c r="K43" s="18" t="s">
        <v>79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89</v>
      </c>
      <c r="B44" s="16" t="s">
        <v>50</v>
      </c>
      <c r="C44" s="17">
        <v>35</v>
      </c>
      <c r="D44" s="17">
        <v>36</v>
      </c>
      <c r="E44" s="17">
        <f t="shared" si="3"/>
        <v>1</v>
      </c>
      <c r="F44" s="18"/>
      <c r="G44" s="18" t="s">
        <v>79</v>
      </c>
      <c r="H44" s="18"/>
      <c r="I44" s="18"/>
      <c r="J44" s="18"/>
      <c r="K44" s="18" t="s">
        <v>79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89</v>
      </c>
      <c r="B45" s="16" t="s">
        <v>50</v>
      </c>
      <c r="C45" s="17">
        <v>36</v>
      </c>
      <c r="D45" s="17">
        <v>37</v>
      </c>
      <c r="E45" s="17">
        <f t="shared" si="3"/>
        <v>1</v>
      </c>
      <c r="F45" s="18"/>
      <c r="G45" s="18" t="s">
        <v>79</v>
      </c>
      <c r="H45" s="18"/>
      <c r="I45" s="18"/>
      <c r="J45" s="18"/>
      <c r="K45" s="18" t="s">
        <v>79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89</v>
      </c>
      <c r="B46" s="16" t="s">
        <v>50</v>
      </c>
      <c r="C46" s="17">
        <v>37</v>
      </c>
      <c r="D46" s="17">
        <v>38</v>
      </c>
      <c r="E46" s="17">
        <f t="shared" si="3"/>
        <v>1</v>
      </c>
      <c r="F46" s="18"/>
      <c r="G46" s="18" t="s">
        <v>79</v>
      </c>
      <c r="H46" s="18"/>
      <c r="I46" s="18"/>
      <c r="J46" s="18"/>
      <c r="K46" s="18" t="s">
        <v>79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89</v>
      </c>
      <c r="B47" s="16" t="s">
        <v>50</v>
      </c>
      <c r="C47" s="17">
        <v>38</v>
      </c>
      <c r="D47" s="17">
        <v>39</v>
      </c>
      <c r="E47" s="17">
        <f t="shared" si="3"/>
        <v>1</v>
      </c>
      <c r="F47" s="18"/>
      <c r="G47" s="18" t="s">
        <v>79</v>
      </c>
      <c r="H47" s="18"/>
      <c r="I47" s="18"/>
      <c r="J47" s="18"/>
      <c r="K47" s="18" t="s">
        <v>79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89</v>
      </c>
      <c r="B48" s="16" t="s">
        <v>50</v>
      </c>
      <c r="C48" s="17">
        <v>39</v>
      </c>
      <c r="D48" s="17">
        <v>40</v>
      </c>
      <c r="E48" s="17">
        <f t="shared" si="3"/>
        <v>1</v>
      </c>
      <c r="F48" s="18"/>
      <c r="G48" s="18" t="s">
        <v>79</v>
      </c>
      <c r="H48" s="18"/>
      <c r="I48" s="18"/>
      <c r="J48" s="18"/>
      <c r="K48" s="18" t="s">
        <v>79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89</v>
      </c>
      <c r="B49" s="16" t="s">
        <v>50</v>
      </c>
      <c r="C49" s="17">
        <v>40</v>
      </c>
      <c r="D49" s="17">
        <v>41</v>
      </c>
      <c r="E49" s="17">
        <f t="shared" si="3"/>
        <v>1</v>
      </c>
      <c r="F49" s="18"/>
      <c r="G49" s="18" t="s">
        <v>79</v>
      </c>
      <c r="H49" s="18"/>
      <c r="I49" s="18"/>
      <c r="J49" s="18"/>
      <c r="K49" s="18" t="s">
        <v>79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89</v>
      </c>
      <c r="B50" s="16" t="s">
        <v>50</v>
      </c>
      <c r="C50" s="17">
        <v>41</v>
      </c>
      <c r="D50" s="17">
        <v>42</v>
      </c>
      <c r="E50" s="17">
        <f t="shared" si="3"/>
        <v>1</v>
      </c>
      <c r="F50" s="18"/>
      <c r="G50" s="18" t="s">
        <v>79</v>
      </c>
      <c r="H50" s="18"/>
      <c r="I50" s="18"/>
      <c r="J50" s="18"/>
      <c r="K50" s="18" t="s">
        <v>79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89</v>
      </c>
      <c r="B51" s="16" t="s">
        <v>50</v>
      </c>
      <c r="C51" s="17">
        <v>42</v>
      </c>
      <c r="D51" s="17">
        <v>43</v>
      </c>
      <c r="E51" s="17">
        <f t="shared" si="3"/>
        <v>1</v>
      </c>
      <c r="F51" s="18"/>
      <c r="G51" s="18" t="s">
        <v>79</v>
      </c>
      <c r="H51" s="18"/>
      <c r="I51" s="18"/>
      <c r="J51" s="18"/>
      <c r="K51" s="18" t="s">
        <v>79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89</v>
      </c>
      <c r="B52" s="16" t="s">
        <v>50</v>
      </c>
      <c r="C52" s="17">
        <v>43</v>
      </c>
      <c r="D52" s="17">
        <v>44</v>
      </c>
      <c r="E52" s="17">
        <f t="shared" si="3"/>
        <v>1</v>
      </c>
      <c r="F52" s="18"/>
      <c r="G52" s="18" t="s">
        <v>79</v>
      </c>
      <c r="H52" s="18"/>
      <c r="I52" s="18"/>
      <c r="J52" s="18"/>
      <c r="K52" s="18" t="s">
        <v>79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89</v>
      </c>
      <c r="B53" s="16" t="s">
        <v>50</v>
      </c>
      <c r="C53" s="17">
        <v>44</v>
      </c>
      <c r="D53" s="17">
        <v>45</v>
      </c>
      <c r="E53" s="17">
        <f t="shared" si="3"/>
        <v>1</v>
      </c>
      <c r="F53" s="18"/>
      <c r="G53" s="18" t="s">
        <v>79</v>
      </c>
      <c r="H53" s="18"/>
      <c r="I53" s="18"/>
      <c r="J53" s="18"/>
      <c r="K53" s="18" t="s">
        <v>79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89</v>
      </c>
      <c r="B54" s="16" t="s">
        <v>50</v>
      </c>
      <c r="C54" s="17">
        <v>45</v>
      </c>
      <c r="D54" s="17">
        <v>46</v>
      </c>
      <c r="E54" s="17">
        <f t="shared" si="3"/>
        <v>1</v>
      </c>
      <c r="F54" s="18"/>
      <c r="G54" s="18" t="s">
        <v>79</v>
      </c>
      <c r="H54" s="18"/>
      <c r="I54" s="18"/>
      <c r="J54" s="18"/>
      <c r="K54" s="18" t="s">
        <v>79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89</v>
      </c>
      <c r="B55" s="16" t="s">
        <v>50</v>
      </c>
      <c r="C55" s="17">
        <v>46</v>
      </c>
      <c r="D55" s="17">
        <v>47</v>
      </c>
      <c r="E55" s="17">
        <f t="shared" si="3"/>
        <v>1</v>
      </c>
      <c r="F55" s="18"/>
      <c r="G55" s="18" t="s">
        <v>79</v>
      </c>
      <c r="H55" s="18"/>
      <c r="I55" s="18"/>
      <c r="J55" s="18"/>
      <c r="K55" s="18" t="s">
        <v>79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89</v>
      </c>
      <c r="B56" s="16" t="s">
        <v>50</v>
      </c>
      <c r="C56" s="17">
        <v>47</v>
      </c>
      <c r="D56" s="17">
        <v>48</v>
      </c>
      <c r="E56" s="17">
        <f t="shared" si="3"/>
        <v>1</v>
      </c>
      <c r="F56" s="18"/>
      <c r="G56" s="18" t="s">
        <v>79</v>
      </c>
      <c r="H56" s="18"/>
      <c r="I56" s="18"/>
      <c r="J56" s="18"/>
      <c r="K56" s="18" t="s">
        <v>79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89</v>
      </c>
      <c r="B57" s="16" t="s">
        <v>50</v>
      </c>
      <c r="C57" s="17">
        <v>48</v>
      </c>
      <c r="D57" s="17">
        <v>49</v>
      </c>
      <c r="E57" s="17">
        <f t="shared" si="3"/>
        <v>1</v>
      </c>
      <c r="F57" s="18"/>
      <c r="G57" s="18" t="s">
        <v>79</v>
      </c>
      <c r="H57" s="18"/>
      <c r="I57" s="18"/>
      <c r="J57" s="18"/>
      <c r="K57" s="18" t="s">
        <v>79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89</v>
      </c>
      <c r="B58" s="16" t="s">
        <v>50</v>
      </c>
      <c r="C58" s="17">
        <v>49</v>
      </c>
      <c r="D58" s="17">
        <v>50</v>
      </c>
      <c r="E58" s="17">
        <f t="shared" si="3"/>
        <v>1</v>
      </c>
      <c r="F58" s="18"/>
      <c r="G58" s="18" t="s">
        <v>79</v>
      </c>
      <c r="H58" s="18"/>
      <c r="I58" s="18"/>
      <c r="J58" s="18"/>
      <c r="K58" s="18" t="s">
        <v>79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21" t="s">
        <v>89</v>
      </c>
      <c r="B59" s="22" t="s">
        <v>50</v>
      </c>
      <c r="C59" s="23">
        <v>50</v>
      </c>
      <c r="D59" s="23">
        <v>50.619704282800001</v>
      </c>
      <c r="E59" s="23">
        <f t="shared" si="3"/>
        <v>0.61970428280000078</v>
      </c>
      <c r="F59" s="24"/>
      <c r="G59" s="24" t="s">
        <v>79</v>
      </c>
      <c r="H59" s="24"/>
      <c r="I59" s="24"/>
      <c r="J59" s="24"/>
      <c r="K59" s="24" t="s">
        <v>79</v>
      </c>
      <c r="L59" s="24"/>
      <c r="M59" s="25"/>
      <c r="N59" s="26" t="str">
        <f t="shared" si="4"/>
        <v>OK</v>
      </c>
    </row>
    <row r="61" spans="1:14" x14ac:dyDescent="0.25">
      <c r="A61" s="41" t="s">
        <v>51</v>
      </c>
      <c r="B61" s="35"/>
      <c r="C61" s="35"/>
      <c r="D61" s="35"/>
      <c r="E61" s="35"/>
      <c r="G61" s="41" t="s">
        <v>51</v>
      </c>
      <c r="H61" s="35"/>
      <c r="I61" s="35"/>
      <c r="J61" s="35"/>
      <c r="K61" s="35"/>
    </row>
    <row r="62" spans="1:14" x14ac:dyDescent="0.25">
      <c r="A62" s="48" t="s">
        <v>52</v>
      </c>
      <c r="B62" s="35"/>
      <c r="C62" s="35"/>
      <c r="D62" s="35"/>
      <c r="E62" s="35"/>
      <c r="G62" s="48" t="s">
        <v>53</v>
      </c>
      <c r="H62" s="35"/>
      <c r="I62" s="35"/>
      <c r="J62" s="35"/>
      <c r="K62" s="35"/>
    </row>
    <row r="64" spans="1:14" x14ac:dyDescent="0.25">
      <c r="A64" s="42" t="s">
        <v>54</v>
      </c>
      <c r="B64" s="35"/>
      <c r="C64" s="35"/>
      <c r="D64" s="35"/>
      <c r="E64" s="35"/>
      <c r="F64" s="27"/>
      <c r="G64" s="27"/>
      <c r="H64" s="27"/>
      <c r="I64" s="27"/>
      <c r="J64" s="27"/>
      <c r="K64" s="27"/>
      <c r="L64" s="27"/>
      <c r="M64" s="27"/>
    </row>
    <row r="65" spans="1:13" x14ac:dyDescent="0.25">
      <c r="A65" s="38" t="s">
        <v>55</v>
      </c>
      <c r="B65" s="35"/>
      <c r="C65" s="35"/>
      <c r="D65" s="35"/>
      <c r="E65" s="35"/>
      <c r="F65" s="9">
        <f t="shared" ref="F65:L65" si="5">SUMIF(F$9:F$59,"X",$E$9:$E$59)</f>
        <v>0</v>
      </c>
      <c r="G65" s="9">
        <f t="shared" si="5"/>
        <v>50.619704282800001</v>
      </c>
      <c r="H65" s="9">
        <f t="shared" si="5"/>
        <v>0</v>
      </c>
      <c r="I65" s="9">
        <f t="shared" si="5"/>
        <v>0</v>
      </c>
      <c r="J65" s="9">
        <f t="shared" si="5"/>
        <v>22</v>
      </c>
      <c r="K65" s="9">
        <f t="shared" si="5"/>
        <v>28.619704282800001</v>
      </c>
      <c r="L65" s="9">
        <f t="shared" si="5"/>
        <v>0</v>
      </c>
    </row>
    <row r="66" spans="1:13" x14ac:dyDescent="0.25">
      <c r="A66" s="38" t="s">
        <v>56</v>
      </c>
      <c r="B66" s="35"/>
      <c r="C66" s="35"/>
      <c r="D66" s="35"/>
      <c r="E66" s="35"/>
      <c r="F66" s="28">
        <f t="shared" ref="F66:L66" si="6">IF($I68=0,0,F65/$I68)</f>
        <v>0</v>
      </c>
      <c r="G66" s="28">
        <f t="shared" si="6"/>
        <v>1</v>
      </c>
      <c r="H66" s="28">
        <f t="shared" si="6"/>
        <v>0</v>
      </c>
      <c r="I66" s="28">
        <f t="shared" si="6"/>
        <v>0</v>
      </c>
      <c r="J66" s="28">
        <f t="shared" si="6"/>
        <v>0.43461336473029039</v>
      </c>
      <c r="K66" s="28">
        <f t="shared" si="6"/>
        <v>0.56538663526970956</v>
      </c>
      <c r="L66" s="28">
        <f t="shared" si="6"/>
        <v>0</v>
      </c>
    </row>
    <row r="67" spans="1:13" x14ac:dyDescent="0.25">
      <c r="A67" s="38" t="s">
        <v>57</v>
      </c>
      <c r="B67" s="35"/>
      <c r="C67" s="35"/>
      <c r="D67" s="35"/>
      <c r="E67" s="35"/>
      <c r="F67" s="47" t="str">
        <f>IF(SUM(F65:I65)=0,"— não preenchido",IF(ROUND(SUM(F65:I65)-$I68,3)=0,"OK — "&amp;ROUND(SUM(F65:I65),3)&amp;" km","ERRO — dif. de "&amp;ROUND(SUM(F65:I65)-$I68,3)&amp;" km"))</f>
        <v>OK — 50,62 km</v>
      </c>
      <c r="G67" s="32"/>
      <c r="H67" s="32"/>
      <c r="I67" s="33"/>
      <c r="J67" s="47" t="str">
        <f>IF(SUM(J65:L65)=0,"— não preenchido",IF(ROUND(SUM(J65:L65)-$I68,3)=0,"OK — "&amp;ROUND(SUM(J65:L65),3)&amp;" km","ERRO — dif. de "&amp;ROUND(SUM(J65:L65)-$I68,3)&amp;" km"))</f>
        <v>OK — 50,62 km</v>
      </c>
      <c r="K67" s="32"/>
      <c r="L67" s="33"/>
    </row>
    <row r="68" spans="1:13" x14ac:dyDescent="0.25">
      <c r="A68" s="38" t="s">
        <v>58</v>
      </c>
      <c r="B68" s="35"/>
      <c r="C68" s="35"/>
      <c r="D68" s="35"/>
      <c r="E68" s="35"/>
      <c r="I68" s="29">
        <f>SUM(E9:E59)</f>
        <v>50.619704282800001</v>
      </c>
      <c r="M68" s="8" t="str">
        <f>COUNTIF(N9:N59,"OK")&amp;" de "&amp;COUNT($E$9:$E$59)&amp;" linhas conferidas"</f>
        <v>51 de 51 linhas conferidas</v>
      </c>
    </row>
    <row r="70" spans="1:13" x14ac:dyDescent="0.25">
      <c r="A70" s="49" t="s">
        <v>59</v>
      </c>
      <c r="B70" s="35"/>
      <c r="C70" s="35"/>
      <c r="D70" s="35"/>
      <c r="E70" s="35"/>
    </row>
    <row r="71" spans="1:13" x14ac:dyDescent="0.25">
      <c r="A71" s="38" t="s">
        <v>10</v>
      </c>
      <c r="B71" s="35"/>
      <c r="C71" s="35"/>
      <c r="D71" s="35"/>
      <c r="E71" s="37" t="s">
        <v>60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11</v>
      </c>
      <c r="B72" s="35"/>
      <c r="C72" s="35"/>
      <c r="D72" s="35"/>
      <c r="E72" s="37" t="s">
        <v>61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8" t="s">
        <v>12</v>
      </c>
      <c r="B73" s="35"/>
      <c r="C73" s="35"/>
      <c r="D73" s="35"/>
      <c r="E73" s="37" t="s">
        <v>62</v>
      </c>
      <c r="F73" s="35"/>
      <c r="G73" s="35"/>
      <c r="H73" s="35"/>
      <c r="I73" s="35"/>
      <c r="J73" s="35"/>
      <c r="K73" s="35"/>
      <c r="L73" s="35"/>
      <c r="M73" s="35"/>
    </row>
    <row r="74" spans="1:13" x14ac:dyDescent="0.25">
      <c r="A74" s="38" t="s">
        <v>63</v>
      </c>
      <c r="B74" s="35"/>
      <c r="C74" s="35"/>
      <c r="D74" s="35"/>
      <c r="E74" s="37" t="s">
        <v>64</v>
      </c>
      <c r="F74" s="35"/>
      <c r="G74" s="35"/>
      <c r="H74" s="35"/>
      <c r="I74" s="35"/>
      <c r="J74" s="35"/>
      <c r="K74" s="35"/>
      <c r="L74" s="35"/>
      <c r="M74" s="35"/>
    </row>
    <row r="75" spans="1:13" x14ac:dyDescent="0.25">
      <c r="A75" s="38" t="s">
        <v>65</v>
      </c>
      <c r="B75" s="35"/>
      <c r="C75" s="35"/>
      <c r="D75" s="35"/>
      <c r="E75" s="37" t="s">
        <v>66</v>
      </c>
      <c r="F75" s="35"/>
      <c r="G75" s="35"/>
      <c r="H75" s="35"/>
      <c r="I75" s="35"/>
      <c r="J75" s="35"/>
      <c r="K75" s="35"/>
      <c r="L75" s="35"/>
      <c r="M75" s="35"/>
    </row>
    <row r="76" spans="1:13" x14ac:dyDescent="0.25">
      <c r="A76" s="38" t="s">
        <v>67</v>
      </c>
      <c r="B76" s="35"/>
      <c r="C76" s="35"/>
      <c r="D76" s="35"/>
      <c r="E76" s="37" t="s">
        <v>68</v>
      </c>
      <c r="F76" s="35"/>
      <c r="G76" s="35"/>
      <c r="H76" s="35"/>
      <c r="I76" s="35"/>
      <c r="J76" s="35"/>
      <c r="K76" s="35"/>
      <c r="L76" s="35"/>
      <c r="M76" s="35"/>
    </row>
    <row r="77" spans="1:13" x14ac:dyDescent="0.25">
      <c r="A77" s="38" t="s">
        <v>42</v>
      </c>
      <c r="B77" s="35"/>
      <c r="C77" s="35"/>
      <c r="D77" s="35"/>
      <c r="E77" s="37" t="s">
        <v>69</v>
      </c>
      <c r="F77" s="35"/>
      <c r="G77" s="35"/>
      <c r="H77" s="35"/>
      <c r="I77" s="35"/>
      <c r="J77" s="35"/>
      <c r="K77" s="35"/>
      <c r="L77" s="35"/>
      <c r="M77" s="35"/>
    </row>
    <row r="78" spans="1:13" x14ac:dyDescent="0.25">
      <c r="A78" s="38" t="s">
        <v>70</v>
      </c>
      <c r="B78" s="35"/>
      <c r="C78" s="35"/>
      <c r="D78" s="35"/>
      <c r="E78" s="37" t="s">
        <v>71</v>
      </c>
      <c r="F78" s="35"/>
      <c r="G78" s="35"/>
      <c r="H78" s="35"/>
      <c r="I78" s="35"/>
      <c r="J78" s="35"/>
      <c r="K78" s="35"/>
      <c r="L78" s="35"/>
      <c r="M78" s="35"/>
    </row>
    <row r="79" spans="1:13" x14ac:dyDescent="0.25">
      <c r="A79" s="38" t="s">
        <v>72</v>
      </c>
      <c r="B79" s="35"/>
      <c r="C79" s="35"/>
      <c r="D79" s="35"/>
      <c r="E79" s="37" t="s">
        <v>73</v>
      </c>
      <c r="F79" s="35"/>
      <c r="G79" s="35"/>
      <c r="H79" s="35"/>
      <c r="I79" s="35"/>
      <c r="J79" s="35"/>
      <c r="K79" s="35"/>
      <c r="L79" s="35"/>
      <c r="M79" s="35"/>
    </row>
    <row r="80" spans="1:13" x14ac:dyDescent="0.25">
      <c r="A80" s="38" t="s">
        <v>8</v>
      </c>
      <c r="B80" s="35"/>
      <c r="C80" s="35"/>
      <c r="D80" s="35"/>
      <c r="E80" s="37" t="s">
        <v>74</v>
      </c>
      <c r="F80" s="35"/>
      <c r="G80" s="35"/>
      <c r="H80" s="35"/>
      <c r="I80" s="35"/>
      <c r="J80" s="35"/>
      <c r="K80" s="35"/>
      <c r="L80" s="35"/>
      <c r="M80" s="35"/>
    </row>
  </sheetData>
  <sheetProtection sheet="1" formatCells="0"/>
  <mergeCells count="50">
    <mergeCell ref="A1:M1"/>
    <mergeCell ref="E75:M75"/>
    <mergeCell ref="A78:D78"/>
    <mergeCell ref="N6:N7"/>
    <mergeCell ref="K3:M3"/>
    <mergeCell ref="J67:L67"/>
    <mergeCell ref="A75:D75"/>
    <mergeCell ref="A62:E62"/>
    <mergeCell ref="E71:M71"/>
    <mergeCell ref="A74:D74"/>
    <mergeCell ref="A3:J3"/>
    <mergeCell ref="A68:E68"/>
    <mergeCell ref="C6:C7"/>
    <mergeCell ref="A71:D71"/>
    <mergeCell ref="D6:D7"/>
    <mergeCell ref="E73:M73"/>
    <mergeCell ref="E80:M80"/>
    <mergeCell ref="M6:M7"/>
    <mergeCell ref="E6:E7"/>
    <mergeCell ref="A73:D73"/>
    <mergeCell ref="A66:E66"/>
    <mergeCell ref="B6:B7"/>
    <mergeCell ref="G62:K62"/>
    <mergeCell ref="F6:I6"/>
    <mergeCell ref="E76:M76"/>
    <mergeCell ref="E72:M72"/>
    <mergeCell ref="A79:D79"/>
    <mergeCell ref="A80:D80"/>
    <mergeCell ref="E79:M79"/>
    <mergeCell ref="A76:D76"/>
    <mergeCell ref="A67:E67"/>
    <mergeCell ref="A72:D72"/>
    <mergeCell ref="E78:M78"/>
    <mergeCell ref="A6:A7"/>
    <mergeCell ref="A61:E61"/>
    <mergeCell ref="G61:K61"/>
    <mergeCell ref="A70:E70"/>
    <mergeCell ref="E74:M74"/>
    <mergeCell ref="E77:M77"/>
    <mergeCell ref="A65:E65"/>
    <mergeCell ref="A77:D77"/>
    <mergeCell ref="J6:L6"/>
    <mergeCell ref="G2:H2"/>
    <mergeCell ref="A8:M8"/>
    <mergeCell ref="F67:I67"/>
    <mergeCell ref="A64:E64"/>
    <mergeCell ref="A4:M4"/>
    <mergeCell ref="A2:C2"/>
    <mergeCell ref="K2:M2"/>
    <mergeCell ref="D2:E2"/>
  </mergeCells>
  <conditionalFormatting sqref="F9:I59">
    <cfRule type="expression" dxfId="71" priority="1">
      <formula>AND(F9&lt;&gt;"",COUNTIF($F9:$I9,"X")&gt;1)</formula>
    </cfRule>
  </conditionalFormatting>
  <conditionalFormatting sqref="F67:L67">
    <cfRule type="expression" dxfId="70" priority="5">
      <formula>LEFT(F67,4)="ERRO"</formula>
    </cfRule>
    <cfRule type="expression" dxfId="69" priority="6">
      <formula>LEFT(F67,2)="OK"</formula>
    </cfRule>
  </conditionalFormatting>
  <conditionalFormatting sqref="J9:L59">
    <cfRule type="expression" dxfId="68" priority="2">
      <formula>AND(J9&lt;&gt;"",COUNTIF($J9:$L9,"X")&gt;1)</formula>
    </cfRule>
  </conditionalFormatting>
  <conditionalFormatting sqref="N9:N59">
    <cfRule type="expression" dxfId="67" priority="3">
      <formula>AND(N9&lt;&gt;"OK",N9&lt;&gt;"")</formula>
    </cfRule>
    <cfRule type="expression" dxfId="6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9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9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59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261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 t="e">
        <f t="shared" ref="P2:V2" si="0">IF(F38=0,NA(),F38)</f>
        <v>#N/A</v>
      </c>
      <c r="Q2" s="2">
        <f t="shared" si="0"/>
        <v>23.9510365581</v>
      </c>
      <c r="R2" s="2" t="e">
        <f t="shared" si="0"/>
        <v>#N/A</v>
      </c>
      <c r="S2" s="2" t="e">
        <f t="shared" si="0"/>
        <v>#N/A</v>
      </c>
      <c r="T2" s="2">
        <f t="shared" si="0"/>
        <v>17</v>
      </c>
      <c r="U2" s="2">
        <f t="shared" si="0"/>
        <v>6.9510365581000002</v>
      </c>
      <c r="V2" s="2" t="e">
        <f t="shared" si="0"/>
        <v>#N/A</v>
      </c>
    </row>
    <row r="3" spans="1:22" ht="15" customHeight="1" x14ac:dyDescent="0.25">
      <c r="A3" s="50" t="s">
        <v>90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91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92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93</v>
      </c>
      <c r="B9" s="16" t="s">
        <v>50</v>
      </c>
      <c r="C9" s="17">
        <v>0</v>
      </c>
      <c r="D9" s="17">
        <v>1</v>
      </c>
      <c r="E9" s="17">
        <f t="shared" ref="E9:E32" si="1">D9-C9</f>
        <v>1</v>
      </c>
      <c r="F9" s="18"/>
      <c r="G9" s="18" t="s">
        <v>79</v>
      </c>
      <c r="H9" s="18"/>
      <c r="I9" s="18"/>
      <c r="J9" s="18" t="s">
        <v>79</v>
      </c>
      <c r="K9" s="18"/>
      <c r="L9" s="18"/>
      <c r="M9" s="19"/>
      <c r="N9" s="20" t="str">
        <f t="shared" ref="N9:N3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93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 t="s">
        <v>79</v>
      </c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93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 t="s">
        <v>79</v>
      </c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93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 t="s">
        <v>79</v>
      </c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93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 t="s">
        <v>79</v>
      </c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93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93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93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93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93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93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93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/>
      <c r="G20" s="18" t="s">
        <v>79</v>
      </c>
      <c r="H20" s="18"/>
      <c r="I20" s="18"/>
      <c r="J20" s="18" t="s">
        <v>79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93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/>
      <c r="G21" s="18" t="s">
        <v>79</v>
      </c>
      <c r="H21" s="18"/>
      <c r="I21" s="18"/>
      <c r="J21" s="18" t="s">
        <v>79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93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/>
      <c r="G22" s="18" t="s">
        <v>79</v>
      </c>
      <c r="H22" s="18"/>
      <c r="I22" s="18"/>
      <c r="J22" s="18" t="s">
        <v>79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93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/>
      <c r="G23" s="18" t="s">
        <v>79</v>
      </c>
      <c r="H23" s="18"/>
      <c r="I23" s="18"/>
      <c r="J23" s="18" t="s">
        <v>79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93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/>
      <c r="G24" s="18" t="s">
        <v>79</v>
      </c>
      <c r="H24" s="18"/>
      <c r="I24" s="18"/>
      <c r="J24" s="18" t="s">
        <v>79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93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/>
      <c r="G25" s="18" t="s">
        <v>79</v>
      </c>
      <c r="H25" s="18"/>
      <c r="I25" s="18"/>
      <c r="J25" s="18" t="s">
        <v>79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93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/>
      <c r="G26" s="18" t="s">
        <v>79</v>
      </c>
      <c r="H26" s="18"/>
      <c r="I26" s="18"/>
      <c r="J26" s="18"/>
      <c r="K26" s="18" t="s">
        <v>79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93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/>
      <c r="G27" s="18" t="s">
        <v>79</v>
      </c>
      <c r="H27" s="18"/>
      <c r="I27" s="18"/>
      <c r="J27" s="18"/>
      <c r="K27" s="18" t="s">
        <v>79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93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/>
      <c r="G28" s="18" t="s">
        <v>79</v>
      </c>
      <c r="H28" s="18"/>
      <c r="I28" s="18"/>
      <c r="J28" s="18"/>
      <c r="K28" s="18" t="s">
        <v>79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93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/>
      <c r="G29" s="18" t="s">
        <v>79</v>
      </c>
      <c r="H29" s="18"/>
      <c r="I29" s="18"/>
      <c r="J29" s="18"/>
      <c r="K29" s="18" t="s">
        <v>79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93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/>
      <c r="G30" s="18" t="s">
        <v>79</v>
      </c>
      <c r="H30" s="18"/>
      <c r="I30" s="18"/>
      <c r="J30" s="18"/>
      <c r="K30" s="18" t="s">
        <v>79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93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/>
      <c r="G31" s="18" t="s">
        <v>79</v>
      </c>
      <c r="H31" s="18"/>
      <c r="I31" s="18"/>
      <c r="J31" s="18"/>
      <c r="K31" s="18" t="s">
        <v>79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21" t="s">
        <v>93</v>
      </c>
      <c r="B32" s="22" t="s">
        <v>50</v>
      </c>
      <c r="C32" s="23">
        <v>23</v>
      </c>
      <c r="D32" s="23">
        <v>23.9510365581</v>
      </c>
      <c r="E32" s="23">
        <f t="shared" si="1"/>
        <v>0.95103655810000021</v>
      </c>
      <c r="F32" s="24"/>
      <c r="G32" s="24" t="s">
        <v>79</v>
      </c>
      <c r="H32" s="24"/>
      <c r="I32" s="24"/>
      <c r="J32" s="24"/>
      <c r="K32" s="24" t="s">
        <v>79</v>
      </c>
      <c r="L32" s="24"/>
      <c r="M32" s="25"/>
      <c r="N32" s="26" t="str">
        <f t="shared" si="2"/>
        <v>OK</v>
      </c>
    </row>
    <row r="34" spans="1:13" x14ac:dyDescent="0.25">
      <c r="A34" s="41" t="s">
        <v>51</v>
      </c>
      <c r="B34" s="35"/>
      <c r="C34" s="35"/>
      <c r="D34" s="35"/>
      <c r="E34" s="35"/>
      <c r="G34" s="41" t="s">
        <v>51</v>
      </c>
      <c r="H34" s="35"/>
      <c r="I34" s="35"/>
      <c r="J34" s="35"/>
      <c r="K34" s="35"/>
    </row>
    <row r="35" spans="1:13" x14ac:dyDescent="0.25">
      <c r="A35" s="48" t="s">
        <v>52</v>
      </c>
      <c r="B35" s="35"/>
      <c r="C35" s="35"/>
      <c r="D35" s="35"/>
      <c r="E35" s="35"/>
      <c r="G35" s="48" t="s">
        <v>53</v>
      </c>
      <c r="H35" s="35"/>
      <c r="I35" s="35"/>
      <c r="J35" s="35"/>
      <c r="K35" s="35"/>
    </row>
    <row r="37" spans="1:13" x14ac:dyDescent="0.25">
      <c r="A37" s="42" t="s">
        <v>54</v>
      </c>
      <c r="B37" s="35"/>
      <c r="C37" s="35"/>
      <c r="D37" s="35"/>
      <c r="E37" s="35"/>
      <c r="F37" s="27"/>
      <c r="G37" s="27"/>
      <c r="H37" s="27"/>
      <c r="I37" s="27"/>
      <c r="J37" s="27"/>
      <c r="K37" s="27"/>
      <c r="L37" s="27"/>
      <c r="M37" s="27"/>
    </row>
    <row r="38" spans="1:13" x14ac:dyDescent="0.25">
      <c r="A38" s="38" t="s">
        <v>55</v>
      </c>
      <c r="B38" s="35"/>
      <c r="C38" s="35"/>
      <c r="D38" s="35"/>
      <c r="E38" s="35"/>
      <c r="F38" s="9">
        <f t="shared" ref="F38:L38" si="3">SUMIF(F$9:F$32,"X",$E$9:$E$32)</f>
        <v>0</v>
      </c>
      <c r="G38" s="9">
        <f t="shared" si="3"/>
        <v>23.9510365581</v>
      </c>
      <c r="H38" s="9">
        <f t="shared" si="3"/>
        <v>0</v>
      </c>
      <c r="I38" s="9">
        <f t="shared" si="3"/>
        <v>0</v>
      </c>
      <c r="J38" s="9">
        <f t="shared" si="3"/>
        <v>17</v>
      </c>
      <c r="K38" s="9">
        <f t="shared" si="3"/>
        <v>6.9510365581000002</v>
      </c>
      <c r="L38" s="9">
        <f t="shared" si="3"/>
        <v>0</v>
      </c>
    </row>
    <row r="39" spans="1:13" x14ac:dyDescent="0.25">
      <c r="A39" s="38" t="s">
        <v>56</v>
      </c>
      <c r="B39" s="35"/>
      <c r="C39" s="35"/>
      <c r="D39" s="35"/>
      <c r="E39" s="35"/>
      <c r="F39" s="28">
        <f t="shared" ref="F39:L39" si="4">IF($I41=0,0,F38/$I41)</f>
        <v>0</v>
      </c>
      <c r="G39" s="28">
        <f t="shared" si="4"/>
        <v>1</v>
      </c>
      <c r="H39" s="28">
        <f t="shared" si="4"/>
        <v>0</v>
      </c>
      <c r="I39" s="28">
        <f t="shared" si="4"/>
        <v>0</v>
      </c>
      <c r="J39" s="28">
        <f t="shared" si="4"/>
        <v>0.70978138915874067</v>
      </c>
      <c r="K39" s="28">
        <f t="shared" si="4"/>
        <v>0.29021861084125938</v>
      </c>
      <c r="L39" s="28">
        <f t="shared" si="4"/>
        <v>0</v>
      </c>
    </row>
    <row r="40" spans="1:13" x14ac:dyDescent="0.25">
      <c r="A40" s="38" t="s">
        <v>57</v>
      </c>
      <c r="B40" s="35"/>
      <c r="C40" s="35"/>
      <c r="D40" s="35"/>
      <c r="E40" s="35"/>
      <c r="F40" s="47" t="str">
        <f>IF(SUM(F38:I38)=0,"— não preenchido",IF(ROUND(SUM(F38:I38)-$I41,3)=0,"OK — "&amp;ROUND(SUM(F38:I38),3)&amp;" km","ERRO — dif. de "&amp;ROUND(SUM(F38:I38)-$I41,3)&amp;" km"))</f>
        <v>OK — 23,951 km</v>
      </c>
      <c r="G40" s="32"/>
      <c r="H40" s="32"/>
      <c r="I40" s="33"/>
      <c r="J40" s="47" t="str">
        <f>IF(SUM(J38:L38)=0,"— não preenchido",IF(ROUND(SUM(J38:L38)-$I41,3)=0,"OK — "&amp;ROUND(SUM(J38:L38),3)&amp;" km","ERRO — dif. de "&amp;ROUND(SUM(J38:L38)-$I41,3)&amp;" km"))</f>
        <v>OK — 23,951 km</v>
      </c>
      <c r="K40" s="32"/>
      <c r="L40" s="33"/>
    </row>
    <row r="41" spans="1:13" x14ac:dyDescent="0.25">
      <c r="A41" s="38" t="s">
        <v>58</v>
      </c>
      <c r="B41" s="35"/>
      <c r="C41" s="35"/>
      <c r="D41" s="35"/>
      <c r="E41" s="35"/>
      <c r="I41" s="29">
        <f>SUM(E9:E32)</f>
        <v>23.9510365581</v>
      </c>
      <c r="M41" s="8" t="str">
        <f>COUNTIF(N9:N32,"OK")&amp;" de "&amp;COUNT($E$9:$E$32)&amp;" linhas conferidas"</f>
        <v>24 de 24 linhas conferidas</v>
      </c>
    </row>
    <row r="43" spans="1:13" x14ac:dyDescent="0.25">
      <c r="A43" s="49" t="s">
        <v>59</v>
      </c>
      <c r="B43" s="35"/>
      <c r="C43" s="35"/>
      <c r="D43" s="35"/>
      <c r="E43" s="35"/>
    </row>
    <row r="44" spans="1:13" x14ac:dyDescent="0.25">
      <c r="A44" s="38" t="s">
        <v>10</v>
      </c>
      <c r="B44" s="35"/>
      <c r="C44" s="35"/>
      <c r="D44" s="35"/>
      <c r="E44" s="37" t="s">
        <v>60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8" t="s">
        <v>11</v>
      </c>
      <c r="B45" s="35"/>
      <c r="C45" s="35"/>
      <c r="D45" s="35"/>
      <c r="E45" s="37" t="s">
        <v>61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8" t="s">
        <v>12</v>
      </c>
      <c r="B46" s="35"/>
      <c r="C46" s="35"/>
      <c r="D46" s="35"/>
      <c r="E46" s="37" t="s">
        <v>62</v>
      </c>
      <c r="F46" s="35"/>
      <c r="G46" s="35"/>
      <c r="H46" s="35"/>
      <c r="I46" s="35"/>
      <c r="J46" s="35"/>
      <c r="K46" s="35"/>
      <c r="L46" s="35"/>
      <c r="M46" s="35"/>
    </row>
    <row r="47" spans="1:13" x14ac:dyDescent="0.25">
      <c r="A47" s="38" t="s">
        <v>63</v>
      </c>
      <c r="B47" s="35"/>
      <c r="C47" s="35"/>
      <c r="D47" s="35"/>
      <c r="E47" s="37" t="s">
        <v>64</v>
      </c>
      <c r="F47" s="35"/>
      <c r="G47" s="35"/>
      <c r="H47" s="35"/>
      <c r="I47" s="35"/>
      <c r="J47" s="35"/>
      <c r="K47" s="35"/>
      <c r="L47" s="35"/>
      <c r="M47" s="35"/>
    </row>
    <row r="48" spans="1:13" x14ac:dyDescent="0.25">
      <c r="A48" s="38" t="s">
        <v>65</v>
      </c>
      <c r="B48" s="35"/>
      <c r="C48" s="35"/>
      <c r="D48" s="35"/>
      <c r="E48" s="37" t="s">
        <v>66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8" t="s">
        <v>67</v>
      </c>
      <c r="B49" s="35"/>
      <c r="C49" s="35"/>
      <c r="D49" s="35"/>
      <c r="E49" s="37" t="s">
        <v>68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8" t="s">
        <v>42</v>
      </c>
      <c r="B50" s="35"/>
      <c r="C50" s="35"/>
      <c r="D50" s="35"/>
      <c r="E50" s="37" t="s">
        <v>69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8" t="s">
        <v>70</v>
      </c>
      <c r="B51" s="35"/>
      <c r="C51" s="35"/>
      <c r="D51" s="35"/>
      <c r="E51" s="37" t="s">
        <v>71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8" t="s">
        <v>72</v>
      </c>
      <c r="B52" s="35"/>
      <c r="C52" s="35"/>
      <c r="D52" s="35"/>
      <c r="E52" s="37" t="s">
        <v>73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8" t="s">
        <v>8</v>
      </c>
      <c r="B53" s="35"/>
      <c r="C53" s="35"/>
      <c r="D53" s="35"/>
      <c r="E53" s="37" t="s">
        <v>74</v>
      </c>
      <c r="F53" s="35"/>
      <c r="G53" s="35"/>
      <c r="H53" s="35"/>
      <c r="I53" s="35"/>
      <c r="J53" s="35"/>
      <c r="K53" s="35"/>
      <c r="L53" s="35"/>
      <c r="M53" s="35"/>
    </row>
  </sheetData>
  <sheetProtection sheet="1" formatCells="0"/>
  <mergeCells count="50">
    <mergeCell ref="A1:M1"/>
    <mergeCell ref="G34:K34"/>
    <mergeCell ref="N6:N7"/>
    <mergeCell ref="E53:M53"/>
    <mergeCell ref="K3:M3"/>
    <mergeCell ref="E47:M47"/>
    <mergeCell ref="A46:D46"/>
    <mergeCell ref="E50:M50"/>
    <mergeCell ref="A35:E35"/>
    <mergeCell ref="G35:K35"/>
    <mergeCell ref="A43:E43"/>
    <mergeCell ref="A38:E38"/>
    <mergeCell ref="A50:D50"/>
    <mergeCell ref="A3:J3"/>
    <mergeCell ref="E52:M52"/>
    <mergeCell ref="E48:M48"/>
    <mergeCell ref="A49:D49"/>
    <mergeCell ref="A51:D51"/>
    <mergeCell ref="B6:B7"/>
    <mergeCell ref="F6:I6"/>
    <mergeCell ref="A45:D45"/>
    <mergeCell ref="F40:I40"/>
    <mergeCell ref="C6:C7"/>
    <mergeCell ref="D6:D7"/>
    <mergeCell ref="A40:E40"/>
    <mergeCell ref="E51:M51"/>
    <mergeCell ref="E44:M44"/>
    <mergeCell ref="E45:M45"/>
    <mergeCell ref="A48:D48"/>
    <mergeCell ref="A41:E41"/>
    <mergeCell ref="M6:M7"/>
    <mergeCell ref="A37:E37"/>
    <mergeCell ref="E6:E7"/>
    <mergeCell ref="J40:L40"/>
    <mergeCell ref="A39:E39"/>
    <mergeCell ref="J6:L6"/>
    <mergeCell ref="A34:E34"/>
    <mergeCell ref="A53:D53"/>
    <mergeCell ref="G2:H2"/>
    <mergeCell ref="A8:M8"/>
    <mergeCell ref="A4:M4"/>
    <mergeCell ref="A52:D52"/>
    <mergeCell ref="A6:A7"/>
    <mergeCell ref="A2:C2"/>
    <mergeCell ref="A47:D47"/>
    <mergeCell ref="A44:D44"/>
    <mergeCell ref="E46:M46"/>
    <mergeCell ref="K2:M2"/>
    <mergeCell ref="D2:E2"/>
    <mergeCell ref="E49:M49"/>
  </mergeCells>
  <conditionalFormatting sqref="F9:I32">
    <cfRule type="expression" dxfId="65" priority="1">
      <formula>AND(F9&lt;&gt;"",COUNTIF($F9:$I9,"X")&gt;1)</formula>
    </cfRule>
  </conditionalFormatting>
  <conditionalFormatting sqref="F40:L40">
    <cfRule type="expression" dxfId="64" priority="5">
      <formula>LEFT(F40,4)="ERRO"</formula>
    </cfRule>
    <cfRule type="expression" dxfId="63" priority="6">
      <formula>LEFT(F40,2)="OK"</formula>
    </cfRule>
  </conditionalFormatting>
  <conditionalFormatting sqref="J9:L32">
    <cfRule type="expression" dxfId="62" priority="2">
      <formula>AND(J9&lt;&gt;"",COUNTIF($J9:$L9,"X")&gt;1)</formula>
    </cfRule>
  </conditionalFormatting>
  <conditionalFormatting sqref="N9:N32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2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2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32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262</oddHeader>
    <oddFooter>&amp;L&amp;7 RTA / MSI — Programa de Manutenção Rodoviária&amp;C&amp;7 Página &amp;P de &amp;N&amp;R&amp;7 Impresso em &amp;D</oddFooter>
  </headerFooter>
  <rowBreaks count="1" manualBreakCount="1">
    <brk id="35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IF(F54=0,NA(),F54)</f>
        <v>39.501800082499997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32.501800082499997</v>
      </c>
      <c r="U2" s="2">
        <f t="shared" si="0"/>
        <v>7</v>
      </c>
      <c r="V2" s="2" t="e">
        <f t="shared" si="0"/>
        <v>#N/A</v>
      </c>
    </row>
    <row r="3" spans="1:22" ht="15" customHeight="1" x14ac:dyDescent="0.25">
      <c r="A3" s="50" t="s">
        <v>94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95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96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97</v>
      </c>
      <c r="B9" s="16" t="s">
        <v>50</v>
      </c>
      <c r="C9" s="17">
        <v>0</v>
      </c>
      <c r="D9" s="17">
        <v>1</v>
      </c>
      <c r="E9" s="17">
        <f t="shared" ref="E9:E48" si="1">D9-C9</f>
        <v>1</v>
      </c>
      <c r="F9" s="18" t="s">
        <v>79</v>
      </c>
      <c r="G9" s="18"/>
      <c r="H9" s="18"/>
      <c r="I9" s="18"/>
      <c r="J9" s="18" t="s">
        <v>79</v>
      </c>
      <c r="K9" s="18"/>
      <c r="L9" s="18"/>
      <c r="M9" s="19"/>
      <c r="N9" s="20" t="str">
        <f t="shared" ref="N9:N4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97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97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97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97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97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 t="s">
        <v>79</v>
      </c>
      <c r="G14" s="18"/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97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 t="s">
        <v>79</v>
      </c>
      <c r="G15" s="18"/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97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 t="s">
        <v>79</v>
      </c>
      <c r="G16" s="18"/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97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 t="s">
        <v>79</v>
      </c>
      <c r="G17" s="18"/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97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 t="s">
        <v>79</v>
      </c>
      <c r="G18" s="18"/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97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 t="s">
        <v>79</v>
      </c>
      <c r="G19" s="18"/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97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 t="s">
        <v>79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97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 t="s">
        <v>79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97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 t="s">
        <v>79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97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 t="s">
        <v>79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97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/>
      <c r="K24" s="18" t="s">
        <v>79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97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/>
      <c r="K25" s="18" t="s">
        <v>79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97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/>
      <c r="K26" s="18" t="s">
        <v>79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97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/>
      <c r="K27" s="18" t="s">
        <v>79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97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/>
      <c r="K28" s="18" t="s">
        <v>79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97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/>
      <c r="K29" s="18" t="s">
        <v>79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97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 t="s">
        <v>79</v>
      </c>
      <c r="G30" s="18"/>
      <c r="H30" s="18"/>
      <c r="I30" s="18"/>
      <c r="J30" s="18"/>
      <c r="K30" s="18" t="s">
        <v>79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97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 t="s">
        <v>79</v>
      </c>
      <c r="G31" s="18"/>
      <c r="H31" s="18"/>
      <c r="I31" s="18"/>
      <c r="J31" s="18" t="s">
        <v>79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97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 t="s">
        <v>79</v>
      </c>
      <c r="G32" s="18"/>
      <c r="H32" s="18"/>
      <c r="I32" s="18"/>
      <c r="J32" s="18" t="s">
        <v>79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97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 t="s">
        <v>79</v>
      </c>
      <c r="G33" s="18"/>
      <c r="H33" s="18"/>
      <c r="I33" s="18"/>
      <c r="J33" s="18" t="s">
        <v>79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97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 t="s">
        <v>79</v>
      </c>
      <c r="G34" s="18"/>
      <c r="H34" s="18"/>
      <c r="I34" s="18"/>
      <c r="J34" s="18" t="s">
        <v>79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97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 t="s">
        <v>79</v>
      </c>
      <c r="G35" s="18"/>
      <c r="H35" s="18"/>
      <c r="I35" s="18"/>
      <c r="J35" s="18" t="s">
        <v>79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97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 t="s">
        <v>79</v>
      </c>
      <c r="G36" s="18"/>
      <c r="H36" s="18"/>
      <c r="I36" s="18"/>
      <c r="J36" s="18" t="s">
        <v>79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97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 t="s">
        <v>79</v>
      </c>
      <c r="G37" s="18"/>
      <c r="H37" s="18"/>
      <c r="I37" s="18"/>
      <c r="J37" s="18" t="s">
        <v>79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97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 t="s">
        <v>79</v>
      </c>
      <c r="G38" s="18"/>
      <c r="H38" s="18"/>
      <c r="I38" s="18"/>
      <c r="J38" s="18" t="s">
        <v>79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97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 t="s">
        <v>79</v>
      </c>
      <c r="G39" s="18"/>
      <c r="H39" s="18"/>
      <c r="I39" s="18"/>
      <c r="J39" s="18" t="s">
        <v>79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97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 t="s">
        <v>79</v>
      </c>
      <c r="G40" s="18"/>
      <c r="H40" s="18"/>
      <c r="I40" s="18"/>
      <c r="J40" s="18" t="s">
        <v>79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97</v>
      </c>
      <c r="B41" s="16" t="s">
        <v>50</v>
      </c>
      <c r="C41" s="17">
        <v>32</v>
      </c>
      <c r="D41" s="17">
        <v>33</v>
      </c>
      <c r="E41" s="17">
        <f t="shared" si="1"/>
        <v>1</v>
      </c>
      <c r="F41" s="18" t="s">
        <v>79</v>
      </c>
      <c r="G41" s="18"/>
      <c r="H41" s="18"/>
      <c r="I41" s="18"/>
      <c r="J41" s="18" t="s">
        <v>79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97</v>
      </c>
      <c r="B42" s="16" t="s">
        <v>50</v>
      </c>
      <c r="C42" s="17">
        <v>33</v>
      </c>
      <c r="D42" s="17">
        <v>34</v>
      </c>
      <c r="E42" s="17">
        <f t="shared" si="1"/>
        <v>1</v>
      </c>
      <c r="F42" s="18" t="s">
        <v>79</v>
      </c>
      <c r="G42" s="18"/>
      <c r="H42" s="18"/>
      <c r="I42" s="18"/>
      <c r="J42" s="18" t="s">
        <v>79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97</v>
      </c>
      <c r="B43" s="16" t="s">
        <v>50</v>
      </c>
      <c r="C43" s="17">
        <v>34</v>
      </c>
      <c r="D43" s="17">
        <v>35</v>
      </c>
      <c r="E43" s="17">
        <f t="shared" si="1"/>
        <v>1</v>
      </c>
      <c r="F43" s="18" t="s">
        <v>79</v>
      </c>
      <c r="G43" s="18"/>
      <c r="H43" s="18"/>
      <c r="I43" s="18"/>
      <c r="J43" s="18" t="s">
        <v>79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97</v>
      </c>
      <c r="B44" s="16" t="s">
        <v>50</v>
      </c>
      <c r="C44" s="17">
        <v>35</v>
      </c>
      <c r="D44" s="17">
        <v>36</v>
      </c>
      <c r="E44" s="17">
        <f t="shared" si="1"/>
        <v>1</v>
      </c>
      <c r="F44" s="18" t="s">
        <v>79</v>
      </c>
      <c r="G44" s="18"/>
      <c r="H44" s="18"/>
      <c r="I44" s="18"/>
      <c r="J44" s="18" t="s">
        <v>79</v>
      </c>
      <c r="K44" s="18"/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97</v>
      </c>
      <c r="B45" s="16" t="s">
        <v>50</v>
      </c>
      <c r="C45" s="17">
        <v>36</v>
      </c>
      <c r="D45" s="17">
        <v>37</v>
      </c>
      <c r="E45" s="17">
        <f t="shared" si="1"/>
        <v>1</v>
      </c>
      <c r="F45" s="18" t="s">
        <v>79</v>
      </c>
      <c r="G45" s="18"/>
      <c r="H45" s="18"/>
      <c r="I45" s="18"/>
      <c r="J45" s="18" t="s">
        <v>79</v>
      </c>
      <c r="K45" s="18"/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97</v>
      </c>
      <c r="B46" s="16" t="s">
        <v>50</v>
      </c>
      <c r="C46" s="17">
        <v>37</v>
      </c>
      <c r="D46" s="17">
        <v>38</v>
      </c>
      <c r="E46" s="17">
        <f t="shared" si="1"/>
        <v>1</v>
      </c>
      <c r="F46" s="18" t="s">
        <v>79</v>
      </c>
      <c r="G46" s="18"/>
      <c r="H46" s="18"/>
      <c r="I46" s="18"/>
      <c r="J46" s="18" t="s">
        <v>79</v>
      </c>
      <c r="K46" s="18"/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97</v>
      </c>
      <c r="B47" s="16" t="s">
        <v>50</v>
      </c>
      <c r="C47" s="17">
        <v>38</v>
      </c>
      <c r="D47" s="17">
        <v>39</v>
      </c>
      <c r="E47" s="17">
        <f t="shared" si="1"/>
        <v>1</v>
      </c>
      <c r="F47" s="18" t="s">
        <v>79</v>
      </c>
      <c r="G47" s="18"/>
      <c r="H47" s="18"/>
      <c r="I47" s="18"/>
      <c r="J47" s="18" t="s">
        <v>79</v>
      </c>
      <c r="K47" s="18"/>
      <c r="L47" s="18"/>
      <c r="M47" s="19"/>
      <c r="N47" s="20" t="str">
        <f t="shared" si="2"/>
        <v>OK</v>
      </c>
    </row>
    <row r="48" spans="1:14" ht="20.100000000000001" customHeight="1" x14ac:dyDescent="0.25">
      <c r="A48" s="21" t="s">
        <v>97</v>
      </c>
      <c r="B48" s="22" t="s">
        <v>50</v>
      </c>
      <c r="C48" s="23">
        <v>39</v>
      </c>
      <c r="D48" s="23">
        <v>39.501800082499997</v>
      </c>
      <c r="E48" s="23">
        <f t="shared" si="1"/>
        <v>0.5018000824999973</v>
      </c>
      <c r="F48" s="24" t="s">
        <v>79</v>
      </c>
      <c r="G48" s="24"/>
      <c r="H48" s="24"/>
      <c r="I48" s="24"/>
      <c r="J48" s="24" t="s">
        <v>79</v>
      </c>
      <c r="K48" s="24"/>
      <c r="L48" s="24"/>
      <c r="M48" s="25"/>
      <c r="N48" s="26" t="str">
        <f t="shared" si="2"/>
        <v>OK</v>
      </c>
    </row>
    <row r="50" spans="1:13" x14ac:dyDescent="0.25">
      <c r="A50" s="41" t="s">
        <v>51</v>
      </c>
      <c r="B50" s="35"/>
      <c r="C50" s="35"/>
      <c r="D50" s="35"/>
      <c r="E50" s="35"/>
      <c r="G50" s="41" t="s">
        <v>51</v>
      </c>
      <c r="H50" s="35"/>
      <c r="I50" s="35"/>
      <c r="J50" s="35"/>
      <c r="K50" s="35"/>
    </row>
    <row r="51" spans="1:13" x14ac:dyDescent="0.25">
      <c r="A51" s="48" t="s">
        <v>52</v>
      </c>
      <c r="B51" s="35"/>
      <c r="C51" s="35"/>
      <c r="D51" s="35"/>
      <c r="E51" s="35"/>
      <c r="G51" s="48" t="s">
        <v>53</v>
      </c>
      <c r="H51" s="35"/>
      <c r="I51" s="35"/>
      <c r="J51" s="35"/>
      <c r="K51" s="35"/>
    </row>
    <row r="53" spans="1:13" x14ac:dyDescent="0.25">
      <c r="A53" s="42" t="s">
        <v>54</v>
      </c>
      <c r="B53" s="35"/>
      <c r="C53" s="35"/>
      <c r="D53" s="35"/>
      <c r="E53" s="35"/>
      <c r="F53" s="27"/>
      <c r="G53" s="27"/>
      <c r="H53" s="27"/>
      <c r="I53" s="27"/>
      <c r="J53" s="27"/>
      <c r="K53" s="27"/>
      <c r="L53" s="27"/>
      <c r="M53" s="27"/>
    </row>
    <row r="54" spans="1:13" x14ac:dyDescent="0.25">
      <c r="A54" s="38" t="s">
        <v>55</v>
      </c>
      <c r="B54" s="35"/>
      <c r="C54" s="35"/>
      <c r="D54" s="35"/>
      <c r="E54" s="35"/>
      <c r="F54" s="9">
        <f t="shared" ref="F54:L54" si="3">SUMIF(F$9:F$48,"X",$E$9:$E$48)</f>
        <v>39.501800082499997</v>
      </c>
      <c r="G54" s="9">
        <f t="shared" si="3"/>
        <v>0</v>
      </c>
      <c r="H54" s="9">
        <f t="shared" si="3"/>
        <v>0</v>
      </c>
      <c r="I54" s="9">
        <f t="shared" si="3"/>
        <v>0</v>
      </c>
      <c r="J54" s="9">
        <f t="shared" si="3"/>
        <v>32.501800082499997</v>
      </c>
      <c r="K54" s="9">
        <f t="shared" si="3"/>
        <v>7</v>
      </c>
      <c r="L54" s="9">
        <f t="shared" si="3"/>
        <v>0</v>
      </c>
    </row>
    <row r="55" spans="1:13" x14ac:dyDescent="0.25">
      <c r="A55" s="38" t="s">
        <v>56</v>
      </c>
      <c r="B55" s="35"/>
      <c r="C55" s="35"/>
      <c r="D55" s="35"/>
      <c r="E55" s="35"/>
      <c r="F55" s="28">
        <f t="shared" ref="F55:L55" si="4">IF($I57=0,0,F54/$I57)</f>
        <v>1</v>
      </c>
      <c r="G55" s="28">
        <f t="shared" si="4"/>
        <v>0</v>
      </c>
      <c r="H55" s="28">
        <f t="shared" si="4"/>
        <v>0</v>
      </c>
      <c r="I55" s="28">
        <f t="shared" si="4"/>
        <v>0</v>
      </c>
      <c r="J55" s="28">
        <f t="shared" si="4"/>
        <v>0.82279288575760057</v>
      </c>
      <c r="K55" s="28">
        <f t="shared" si="4"/>
        <v>0.17720711424239943</v>
      </c>
      <c r="L55" s="28">
        <f t="shared" si="4"/>
        <v>0</v>
      </c>
    </row>
    <row r="56" spans="1:13" x14ac:dyDescent="0.25">
      <c r="A56" s="38" t="s">
        <v>57</v>
      </c>
      <c r="B56" s="35"/>
      <c r="C56" s="35"/>
      <c r="D56" s="35"/>
      <c r="E56" s="35"/>
      <c r="F56" s="47" t="str">
        <f>IF(SUM(F54:I54)=0,"— não preenchido",IF(ROUND(SUM(F54:I54)-$I57,3)=0,"OK — "&amp;ROUND(SUM(F54:I54),3)&amp;" km","ERRO — dif. de "&amp;ROUND(SUM(F54:I54)-$I57,3)&amp;" km"))</f>
        <v>OK — 39,502 km</v>
      </c>
      <c r="G56" s="32"/>
      <c r="H56" s="32"/>
      <c r="I56" s="33"/>
      <c r="J56" s="47" t="str">
        <f>IF(SUM(J54:L54)=0,"— não preenchido",IF(ROUND(SUM(J54:L54)-$I57,3)=0,"OK — "&amp;ROUND(SUM(J54:L54),3)&amp;" km","ERRO — dif. de "&amp;ROUND(SUM(J54:L54)-$I57,3)&amp;" km"))</f>
        <v>OK — 39,502 km</v>
      </c>
      <c r="K56" s="32"/>
      <c r="L56" s="33"/>
    </row>
    <row r="57" spans="1:13" x14ac:dyDescent="0.25">
      <c r="A57" s="38" t="s">
        <v>58</v>
      </c>
      <c r="B57" s="35"/>
      <c r="C57" s="35"/>
      <c r="D57" s="35"/>
      <c r="E57" s="35"/>
      <c r="I57" s="29">
        <f>SUM(E9:E48)</f>
        <v>39.501800082499997</v>
      </c>
      <c r="M57" s="8" t="str">
        <f>COUNTIF(N9:N48,"OK")&amp;" de "&amp;COUNT($E$9:$E$48)&amp;" linhas conferidas"</f>
        <v>40 de 40 linhas conferidas</v>
      </c>
    </row>
    <row r="59" spans="1:13" x14ac:dyDescent="0.25">
      <c r="A59" s="49" t="s">
        <v>59</v>
      </c>
      <c r="B59" s="35"/>
      <c r="C59" s="35"/>
      <c r="D59" s="35"/>
      <c r="E59" s="35"/>
    </row>
    <row r="60" spans="1:13" x14ac:dyDescent="0.25">
      <c r="A60" s="38" t="s">
        <v>10</v>
      </c>
      <c r="B60" s="35"/>
      <c r="C60" s="35"/>
      <c r="D60" s="35"/>
      <c r="E60" s="37" t="s">
        <v>60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11</v>
      </c>
      <c r="B61" s="35"/>
      <c r="C61" s="35"/>
      <c r="D61" s="35"/>
      <c r="E61" s="37" t="s">
        <v>61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12</v>
      </c>
      <c r="B62" s="35"/>
      <c r="C62" s="35"/>
      <c r="D62" s="35"/>
      <c r="E62" s="37" t="s">
        <v>62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8" t="s">
        <v>63</v>
      </c>
      <c r="B63" s="35"/>
      <c r="C63" s="35"/>
      <c r="D63" s="35"/>
      <c r="E63" s="37" t="s">
        <v>64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8" t="s">
        <v>65</v>
      </c>
      <c r="B64" s="35"/>
      <c r="C64" s="35"/>
      <c r="D64" s="35"/>
      <c r="E64" s="37" t="s">
        <v>66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67</v>
      </c>
      <c r="B65" s="35"/>
      <c r="C65" s="35"/>
      <c r="D65" s="35"/>
      <c r="E65" s="37" t="s">
        <v>68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42</v>
      </c>
      <c r="B66" s="35"/>
      <c r="C66" s="35"/>
      <c r="D66" s="35"/>
      <c r="E66" s="37" t="s">
        <v>69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70</v>
      </c>
      <c r="B67" s="35"/>
      <c r="C67" s="35"/>
      <c r="D67" s="35"/>
      <c r="E67" s="37" t="s">
        <v>71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72</v>
      </c>
      <c r="B68" s="35"/>
      <c r="C68" s="35"/>
      <c r="D68" s="35"/>
      <c r="E68" s="37" t="s">
        <v>73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8</v>
      </c>
      <c r="B69" s="35"/>
      <c r="C69" s="35"/>
      <c r="D69" s="35"/>
      <c r="E69" s="37" t="s">
        <v>74</v>
      </c>
      <c r="F69" s="35"/>
      <c r="G69" s="35"/>
      <c r="H69" s="35"/>
      <c r="I69" s="35"/>
      <c r="J69" s="35"/>
      <c r="K69" s="35"/>
      <c r="L69" s="35"/>
      <c r="M69" s="35"/>
    </row>
  </sheetData>
  <sheetProtection sheet="1" formatCells="0"/>
  <mergeCells count="50">
    <mergeCell ref="N6:N7"/>
    <mergeCell ref="K3:M3"/>
    <mergeCell ref="A66:D66"/>
    <mergeCell ref="A53:E53"/>
    <mergeCell ref="E62:M62"/>
    <mergeCell ref="G51:K51"/>
    <mergeCell ref="A3:J3"/>
    <mergeCell ref="G50:K50"/>
    <mergeCell ref="C6:C7"/>
    <mergeCell ref="E64:M64"/>
    <mergeCell ref="D6:D7"/>
    <mergeCell ref="A1:M1"/>
    <mergeCell ref="A57:E57"/>
    <mergeCell ref="A61:D61"/>
    <mergeCell ref="A69:D69"/>
    <mergeCell ref="E66:M66"/>
    <mergeCell ref="A65:D65"/>
    <mergeCell ref="E68:M68"/>
    <mergeCell ref="E67:M67"/>
    <mergeCell ref="E69:M69"/>
    <mergeCell ref="A6:A7"/>
    <mergeCell ref="E65:M65"/>
    <mergeCell ref="A63:D63"/>
    <mergeCell ref="A2:C2"/>
    <mergeCell ref="A68:D68"/>
    <mergeCell ref="K2:M2"/>
    <mergeCell ref="A67:D67"/>
    <mergeCell ref="D2:E2"/>
    <mergeCell ref="A54:E54"/>
    <mergeCell ref="E61:M61"/>
    <mergeCell ref="A64:D64"/>
    <mergeCell ref="M6:M7"/>
    <mergeCell ref="E6:E7"/>
    <mergeCell ref="J56:L56"/>
    <mergeCell ref="B6:B7"/>
    <mergeCell ref="J6:L6"/>
    <mergeCell ref="A59:E59"/>
    <mergeCell ref="F56:I56"/>
    <mergeCell ref="E63:M63"/>
    <mergeCell ref="G2:H2"/>
    <mergeCell ref="A8:M8"/>
    <mergeCell ref="A62:D62"/>
    <mergeCell ref="A4:M4"/>
    <mergeCell ref="A51:E51"/>
    <mergeCell ref="E60:M60"/>
    <mergeCell ref="A60:D60"/>
    <mergeCell ref="A56:E56"/>
    <mergeCell ref="F6:I6"/>
    <mergeCell ref="A55:E55"/>
    <mergeCell ref="A50:E50"/>
  </mergeCells>
  <conditionalFormatting sqref="F9:I48">
    <cfRule type="expression" dxfId="59" priority="1">
      <formula>AND(F9&lt;&gt;"",COUNTIF($F9:$I9,"X")&gt;1)</formula>
    </cfRule>
  </conditionalFormatting>
  <conditionalFormatting sqref="F56:L56">
    <cfRule type="expression" dxfId="58" priority="5">
      <formula>LEFT(F56,4)="ERRO"</formula>
    </cfRule>
    <cfRule type="expression" dxfId="57" priority="6">
      <formula>LEFT(F56,2)="OK"</formula>
    </cfRule>
  </conditionalFormatting>
  <conditionalFormatting sqref="J9:L48">
    <cfRule type="expression" dxfId="56" priority="2">
      <formula>AND(J9&lt;&gt;"",COUNTIF($J9:$L9,"X")&gt;1)</formula>
    </cfRule>
  </conditionalFormatting>
  <conditionalFormatting sqref="N9:N48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8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8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48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263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7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IF(F57=0,NA(),F57)</f>
        <v>25</v>
      </c>
      <c r="Q2" s="2">
        <f t="shared" si="0"/>
        <v>17.464392694399997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42.464392694399997</v>
      </c>
      <c r="V2" s="2" t="e">
        <f t="shared" si="0"/>
        <v>#N/A</v>
      </c>
    </row>
    <row r="3" spans="1:22" ht="15" customHeight="1" x14ac:dyDescent="0.25">
      <c r="A3" s="50" t="s">
        <v>98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99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100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101</v>
      </c>
      <c r="B9" s="16" t="s">
        <v>50</v>
      </c>
      <c r="C9" s="17">
        <v>0</v>
      </c>
      <c r="D9" s="17">
        <v>1</v>
      </c>
      <c r="E9" s="17">
        <f t="shared" ref="E9:E51" si="1">D9-C9</f>
        <v>1</v>
      </c>
      <c r="F9" s="18" t="s">
        <v>79</v>
      </c>
      <c r="G9" s="18"/>
      <c r="H9" s="18"/>
      <c r="I9" s="18"/>
      <c r="J9" s="18"/>
      <c r="K9" s="18" t="s">
        <v>79</v>
      </c>
      <c r="L9" s="18"/>
      <c r="M9" s="19"/>
      <c r="N9" s="20" t="str">
        <f t="shared" ref="N9:N5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101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/>
      <c r="K10" s="18" t="s">
        <v>79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101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/>
      <c r="K11" s="18" t="s">
        <v>79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101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/>
      <c r="K12" s="18" t="s">
        <v>79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101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/>
      <c r="K13" s="18" t="s">
        <v>79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101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 t="s">
        <v>79</v>
      </c>
      <c r="G14" s="18"/>
      <c r="H14" s="18"/>
      <c r="I14" s="18"/>
      <c r="J14" s="18"/>
      <c r="K14" s="18" t="s">
        <v>79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101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 t="s">
        <v>79</v>
      </c>
      <c r="G15" s="18"/>
      <c r="H15" s="18"/>
      <c r="I15" s="18"/>
      <c r="J15" s="18"/>
      <c r="K15" s="18" t="s">
        <v>79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101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 t="s">
        <v>79</v>
      </c>
      <c r="G16" s="18"/>
      <c r="H16" s="18"/>
      <c r="I16" s="18"/>
      <c r="J16" s="18"/>
      <c r="K16" s="18" t="s">
        <v>79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101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 t="s">
        <v>79</v>
      </c>
      <c r="G17" s="18"/>
      <c r="H17" s="18"/>
      <c r="I17" s="18"/>
      <c r="J17" s="18"/>
      <c r="K17" s="18" t="s">
        <v>79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101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 t="s">
        <v>79</v>
      </c>
      <c r="G18" s="18"/>
      <c r="H18" s="18"/>
      <c r="I18" s="18"/>
      <c r="J18" s="18"/>
      <c r="K18" s="18" t="s">
        <v>79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101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 t="s">
        <v>79</v>
      </c>
      <c r="G19" s="18"/>
      <c r="H19" s="18"/>
      <c r="I19" s="18"/>
      <c r="J19" s="18"/>
      <c r="K19" s="18" t="s">
        <v>79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101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/>
      <c r="K20" s="18" t="s">
        <v>79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101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/>
      <c r="K21" s="18" t="s">
        <v>79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101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/>
      <c r="K22" s="18" t="s">
        <v>79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101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/>
      <c r="K23" s="18" t="s">
        <v>79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101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/>
      <c r="K24" s="18" t="s">
        <v>79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101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/>
      <c r="K25" s="18" t="s">
        <v>79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101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/>
      <c r="K26" s="18" t="s">
        <v>79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101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/>
      <c r="K27" s="18" t="s">
        <v>79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101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/>
      <c r="K28" s="18" t="s">
        <v>79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101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/>
      <c r="K29" s="18" t="s">
        <v>79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101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 t="s">
        <v>79</v>
      </c>
      <c r="G30" s="18"/>
      <c r="H30" s="18"/>
      <c r="I30" s="18"/>
      <c r="J30" s="18"/>
      <c r="K30" s="18" t="s">
        <v>79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101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 t="s">
        <v>79</v>
      </c>
      <c r="G31" s="18"/>
      <c r="H31" s="18"/>
      <c r="I31" s="18"/>
      <c r="J31" s="18"/>
      <c r="K31" s="18" t="s">
        <v>79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101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 t="s">
        <v>79</v>
      </c>
      <c r="G32" s="18"/>
      <c r="H32" s="18"/>
      <c r="I32" s="18"/>
      <c r="J32" s="18"/>
      <c r="K32" s="18" t="s">
        <v>79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101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 t="s">
        <v>79</v>
      </c>
      <c r="G33" s="18"/>
      <c r="H33" s="18"/>
      <c r="I33" s="18"/>
      <c r="J33" s="18"/>
      <c r="K33" s="18" t="s">
        <v>79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101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/>
      <c r="G34" s="18" t="s">
        <v>79</v>
      </c>
      <c r="H34" s="18"/>
      <c r="I34" s="18"/>
      <c r="J34" s="18"/>
      <c r="K34" s="18" t="s">
        <v>79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101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/>
      <c r="G35" s="18" t="s">
        <v>79</v>
      </c>
      <c r="H35" s="18"/>
      <c r="I35" s="18"/>
      <c r="J35" s="18"/>
      <c r="K35" s="18" t="s">
        <v>79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101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/>
      <c r="G36" s="18" t="s">
        <v>79</v>
      </c>
      <c r="H36" s="18"/>
      <c r="I36" s="18"/>
      <c r="J36" s="18"/>
      <c r="K36" s="18" t="s">
        <v>79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101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/>
      <c r="G37" s="18" t="s">
        <v>79</v>
      </c>
      <c r="H37" s="18"/>
      <c r="I37" s="18"/>
      <c r="J37" s="18"/>
      <c r="K37" s="18" t="s">
        <v>79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101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/>
      <c r="G38" s="18" t="s">
        <v>79</v>
      </c>
      <c r="H38" s="18"/>
      <c r="I38" s="18"/>
      <c r="J38" s="18"/>
      <c r="K38" s="18" t="s">
        <v>79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101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/>
      <c r="G39" s="18" t="s">
        <v>79</v>
      </c>
      <c r="H39" s="18"/>
      <c r="I39" s="18"/>
      <c r="J39" s="18"/>
      <c r="K39" s="18" t="s">
        <v>79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101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/>
      <c r="G40" s="18" t="s">
        <v>79</v>
      </c>
      <c r="H40" s="18"/>
      <c r="I40" s="18"/>
      <c r="J40" s="18"/>
      <c r="K40" s="18" t="s">
        <v>79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101</v>
      </c>
      <c r="B41" s="16" t="s">
        <v>50</v>
      </c>
      <c r="C41" s="17">
        <v>32</v>
      </c>
      <c r="D41" s="17">
        <v>33</v>
      </c>
      <c r="E41" s="17">
        <f t="shared" si="1"/>
        <v>1</v>
      </c>
      <c r="F41" s="18"/>
      <c r="G41" s="18" t="s">
        <v>79</v>
      </c>
      <c r="H41" s="18"/>
      <c r="I41" s="18"/>
      <c r="J41" s="18"/>
      <c r="K41" s="18" t="s">
        <v>79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101</v>
      </c>
      <c r="B42" s="16" t="s">
        <v>50</v>
      </c>
      <c r="C42" s="17">
        <v>33</v>
      </c>
      <c r="D42" s="17">
        <v>34</v>
      </c>
      <c r="E42" s="17">
        <f t="shared" si="1"/>
        <v>1</v>
      </c>
      <c r="F42" s="18"/>
      <c r="G42" s="18" t="s">
        <v>79</v>
      </c>
      <c r="H42" s="18"/>
      <c r="I42" s="18"/>
      <c r="J42" s="18"/>
      <c r="K42" s="18" t="s">
        <v>79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101</v>
      </c>
      <c r="B43" s="16" t="s">
        <v>50</v>
      </c>
      <c r="C43" s="17">
        <v>34</v>
      </c>
      <c r="D43" s="17">
        <v>35</v>
      </c>
      <c r="E43" s="17">
        <f t="shared" si="1"/>
        <v>1</v>
      </c>
      <c r="F43" s="18"/>
      <c r="G43" s="18" t="s">
        <v>79</v>
      </c>
      <c r="H43" s="18"/>
      <c r="I43" s="18"/>
      <c r="J43" s="18"/>
      <c r="K43" s="18" t="s">
        <v>79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101</v>
      </c>
      <c r="B44" s="16" t="s">
        <v>50</v>
      </c>
      <c r="C44" s="17">
        <v>35</v>
      </c>
      <c r="D44" s="17">
        <v>36</v>
      </c>
      <c r="E44" s="17">
        <f t="shared" si="1"/>
        <v>1</v>
      </c>
      <c r="F44" s="18"/>
      <c r="G44" s="18" t="s">
        <v>79</v>
      </c>
      <c r="H44" s="18"/>
      <c r="I44" s="18"/>
      <c r="J44" s="18"/>
      <c r="K44" s="18" t="s">
        <v>79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101</v>
      </c>
      <c r="B45" s="16" t="s">
        <v>50</v>
      </c>
      <c r="C45" s="17">
        <v>36</v>
      </c>
      <c r="D45" s="17">
        <v>37</v>
      </c>
      <c r="E45" s="17">
        <f t="shared" si="1"/>
        <v>1</v>
      </c>
      <c r="F45" s="18"/>
      <c r="G45" s="18" t="s">
        <v>79</v>
      </c>
      <c r="H45" s="18"/>
      <c r="I45" s="18"/>
      <c r="J45" s="18"/>
      <c r="K45" s="18" t="s">
        <v>79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101</v>
      </c>
      <c r="B46" s="16" t="s">
        <v>50</v>
      </c>
      <c r="C46" s="17">
        <v>37</v>
      </c>
      <c r="D46" s="17">
        <v>38</v>
      </c>
      <c r="E46" s="17">
        <f t="shared" si="1"/>
        <v>1</v>
      </c>
      <c r="F46" s="18"/>
      <c r="G46" s="18" t="s">
        <v>79</v>
      </c>
      <c r="H46" s="18"/>
      <c r="I46" s="18"/>
      <c r="J46" s="18"/>
      <c r="K46" s="18" t="s">
        <v>79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101</v>
      </c>
      <c r="B47" s="16" t="s">
        <v>50</v>
      </c>
      <c r="C47" s="17">
        <v>38</v>
      </c>
      <c r="D47" s="17">
        <v>39</v>
      </c>
      <c r="E47" s="17">
        <f t="shared" si="1"/>
        <v>1</v>
      </c>
      <c r="F47" s="18"/>
      <c r="G47" s="18" t="s">
        <v>79</v>
      </c>
      <c r="H47" s="18"/>
      <c r="I47" s="18"/>
      <c r="J47" s="18"/>
      <c r="K47" s="18" t="s">
        <v>79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101</v>
      </c>
      <c r="B48" s="16" t="s">
        <v>50</v>
      </c>
      <c r="C48" s="17">
        <v>39</v>
      </c>
      <c r="D48" s="17">
        <v>40</v>
      </c>
      <c r="E48" s="17">
        <f t="shared" si="1"/>
        <v>1</v>
      </c>
      <c r="F48" s="18"/>
      <c r="G48" s="18" t="s">
        <v>79</v>
      </c>
      <c r="H48" s="18"/>
      <c r="I48" s="18"/>
      <c r="J48" s="18"/>
      <c r="K48" s="18" t="s">
        <v>79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101</v>
      </c>
      <c r="B49" s="16" t="s">
        <v>50</v>
      </c>
      <c r="C49" s="17">
        <v>40</v>
      </c>
      <c r="D49" s="17">
        <v>41</v>
      </c>
      <c r="E49" s="17">
        <f t="shared" si="1"/>
        <v>1</v>
      </c>
      <c r="F49" s="18"/>
      <c r="G49" s="18" t="s">
        <v>79</v>
      </c>
      <c r="H49" s="18"/>
      <c r="I49" s="18"/>
      <c r="J49" s="18"/>
      <c r="K49" s="18" t="s">
        <v>79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101</v>
      </c>
      <c r="B50" s="16" t="s">
        <v>50</v>
      </c>
      <c r="C50" s="17">
        <v>41</v>
      </c>
      <c r="D50" s="17">
        <v>42</v>
      </c>
      <c r="E50" s="17">
        <f t="shared" si="1"/>
        <v>1</v>
      </c>
      <c r="F50" s="18"/>
      <c r="G50" s="18" t="s">
        <v>79</v>
      </c>
      <c r="H50" s="18"/>
      <c r="I50" s="18"/>
      <c r="J50" s="18"/>
      <c r="K50" s="18" t="s">
        <v>79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21" t="s">
        <v>101</v>
      </c>
      <c r="B51" s="22" t="s">
        <v>50</v>
      </c>
      <c r="C51" s="23">
        <v>42</v>
      </c>
      <c r="D51" s="23">
        <v>42.464392694399997</v>
      </c>
      <c r="E51" s="23">
        <f t="shared" si="1"/>
        <v>0.4643926943999972</v>
      </c>
      <c r="F51" s="24"/>
      <c r="G51" s="24" t="s">
        <v>79</v>
      </c>
      <c r="H51" s="24"/>
      <c r="I51" s="24"/>
      <c r="J51" s="24"/>
      <c r="K51" s="24" t="s">
        <v>79</v>
      </c>
      <c r="L51" s="24"/>
      <c r="M51" s="25"/>
      <c r="N51" s="26" t="str">
        <f t="shared" si="2"/>
        <v>OK</v>
      </c>
    </row>
    <row r="53" spans="1:14" x14ac:dyDescent="0.25">
      <c r="A53" s="41" t="s">
        <v>51</v>
      </c>
      <c r="B53" s="35"/>
      <c r="C53" s="35"/>
      <c r="D53" s="35"/>
      <c r="E53" s="35"/>
      <c r="G53" s="41" t="s">
        <v>51</v>
      </c>
      <c r="H53" s="35"/>
      <c r="I53" s="35"/>
      <c r="J53" s="35"/>
      <c r="K53" s="35"/>
    </row>
    <row r="54" spans="1:14" x14ac:dyDescent="0.25">
      <c r="A54" s="48" t="s">
        <v>52</v>
      </c>
      <c r="B54" s="35"/>
      <c r="C54" s="35"/>
      <c r="D54" s="35"/>
      <c r="E54" s="35"/>
      <c r="G54" s="48" t="s">
        <v>53</v>
      </c>
      <c r="H54" s="35"/>
      <c r="I54" s="35"/>
      <c r="J54" s="35"/>
      <c r="K54" s="35"/>
    </row>
    <row r="56" spans="1:14" x14ac:dyDescent="0.25">
      <c r="A56" s="42" t="s">
        <v>54</v>
      </c>
      <c r="B56" s="35"/>
      <c r="C56" s="35"/>
      <c r="D56" s="35"/>
      <c r="E56" s="35"/>
      <c r="F56" s="27"/>
      <c r="G56" s="27"/>
      <c r="H56" s="27"/>
      <c r="I56" s="27"/>
      <c r="J56" s="27"/>
      <c r="K56" s="27"/>
      <c r="L56" s="27"/>
      <c r="M56" s="27"/>
    </row>
    <row r="57" spans="1:14" x14ac:dyDescent="0.25">
      <c r="A57" s="38" t="s">
        <v>55</v>
      </c>
      <c r="B57" s="35"/>
      <c r="C57" s="35"/>
      <c r="D57" s="35"/>
      <c r="E57" s="35"/>
      <c r="F57" s="9">
        <f t="shared" ref="F57:L57" si="3">SUMIF(F$9:F$51,"X",$E$9:$E$51)</f>
        <v>25</v>
      </c>
      <c r="G57" s="9">
        <f t="shared" si="3"/>
        <v>17.464392694399997</v>
      </c>
      <c r="H57" s="9">
        <f t="shared" si="3"/>
        <v>0</v>
      </c>
      <c r="I57" s="9">
        <f t="shared" si="3"/>
        <v>0</v>
      </c>
      <c r="J57" s="9">
        <f t="shared" si="3"/>
        <v>0</v>
      </c>
      <c r="K57" s="9">
        <f t="shared" si="3"/>
        <v>42.464392694399997</v>
      </c>
      <c r="L57" s="9">
        <f t="shared" si="3"/>
        <v>0</v>
      </c>
    </row>
    <row r="58" spans="1:14" x14ac:dyDescent="0.25">
      <c r="A58" s="38" t="s">
        <v>56</v>
      </c>
      <c r="B58" s="35"/>
      <c r="C58" s="35"/>
      <c r="D58" s="35"/>
      <c r="E58" s="35"/>
      <c r="F58" s="28">
        <f t="shared" ref="F58:L58" si="4">IF($I60=0,0,F57/$I60)</f>
        <v>0.58872854204969904</v>
      </c>
      <c r="G58" s="28">
        <f t="shared" si="4"/>
        <v>0.41127145795030101</v>
      </c>
      <c r="H58" s="28">
        <f t="shared" si="4"/>
        <v>0</v>
      </c>
      <c r="I58" s="28">
        <f t="shared" si="4"/>
        <v>0</v>
      </c>
      <c r="J58" s="28">
        <f t="shared" si="4"/>
        <v>0</v>
      </c>
      <c r="K58" s="28">
        <f t="shared" si="4"/>
        <v>1</v>
      </c>
      <c r="L58" s="28">
        <f t="shared" si="4"/>
        <v>0</v>
      </c>
    </row>
    <row r="59" spans="1:14" x14ac:dyDescent="0.25">
      <c r="A59" s="38" t="s">
        <v>57</v>
      </c>
      <c r="B59" s="35"/>
      <c r="C59" s="35"/>
      <c r="D59" s="35"/>
      <c r="E59" s="35"/>
      <c r="F59" s="47" t="str">
        <f>IF(SUM(F57:I57)=0,"— não preenchido",IF(ROUND(SUM(F57:I57)-$I60,3)=0,"OK — "&amp;ROUND(SUM(F57:I57),3)&amp;" km","ERRO — dif. de "&amp;ROUND(SUM(F57:I57)-$I60,3)&amp;" km"))</f>
        <v>OK — 42,464 km</v>
      </c>
      <c r="G59" s="32"/>
      <c r="H59" s="32"/>
      <c r="I59" s="33"/>
      <c r="J59" s="47" t="str">
        <f>IF(SUM(J57:L57)=0,"— não preenchido",IF(ROUND(SUM(J57:L57)-$I60,3)=0,"OK — "&amp;ROUND(SUM(J57:L57),3)&amp;" km","ERRO — dif. de "&amp;ROUND(SUM(J57:L57)-$I60,3)&amp;" km"))</f>
        <v>OK — 42,464 km</v>
      </c>
      <c r="K59" s="32"/>
      <c r="L59" s="33"/>
    </row>
    <row r="60" spans="1:14" x14ac:dyDescent="0.25">
      <c r="A60" s="38" t="s">
        <v>58</v>
      </c>
      <c r="B60" s="35"/>
      <c r="C60" s="35"/>
      <c r="D60" s="35"/>
      <c r="E60" s="35"/>
      <c r="I60" s="29">
        <f>SUM(E9:E51)</f>
        <v>42.464392694399997</v>
      </c>
      <c r="M60" s="8" t="str">
        <f>COUNTIF(N9:N51,"OK")&amp;" de "&amp;COUNT($E$9:$E$51)&amp;" linhas conferidas"</f>
        <v>43 de 43 linhas conferidas</v>
      </c>
    </row>
    <row r="62" spans="1:14" x14ac:dyDescent="0.25">
      <c r="A62" s="49" t="s">
        <v>59</v>
      </c>
      <c r="B62" s="35"/>
      <c r="C62" s="35"/>
      <c r="D62" s="35"/>
      <c r="E62" s="35"/>
    </row>
    <row r="63" spans="1:14" x14ac:dyDescent="0.25">
      <c r="A63" s="38" t="s">
        <v>10</v>
      </c>
      <c r="B63" s="35"/>
      <c r="C63" s="35"/>
      <c r="D63" s="35"/>
      <c r="E63" s="37" t="s">
        <v>60</v>
      </c>
      <c r="F63" s="35"/>
      <c r="G63" s="35"/>
      <c r="H63" s="35"/>
      <c r="I63" s="35"/>
      <c r="J63" s="35"/>
      <c r="K63" s="35"/>
      <c r="L63" s="35"/>
      <c r="M63" s="35"/>
    </row>
    <row r="64" spans="1:14" x14ac:dyDescent="0.25">
      <c r="A64" s="38" t="s">
        <v>11</v>
      </c>
      <c r="B64" s="35"/>
      <c r="C64" s="35"/>
      <c r="D64" s="35"/>
      <c r="E64" s="37" t="s">
        <v>61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12</v>
      </c>
      <c r="B65" s="35"/>
      <c r="C65" s="35"/>
      <c r="D65" s="35"/>
      <c r="E65" s="37" t="s">
        <v>62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63</v>
      </c>
      <c r="B66" s="35"/>
      <c r="C66" s="35"/>
      <c r="D66" s="35"/>
      <c r="E66" s="37" t="s">
        <v>64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65</v>
      </c>
      <c r="B67" s="35"/>
      <c r="C67" s="35"/>
      <c r="D67" s="35"/>
      <c r="E67" s="37" t="s">
        <v>66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67</v>
      </c>
      <c r="B68" s="35"/>
      <c r="C68" s="35"/>
      <c r="D68" s="35"/>
      <c r="E68" s="37" t="s">
        <v>68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42</v>
      </c>
      <c r="B69" s="35"/>
      <c r="C69" s="35"/>
      <c r="D69" s="35"/>
      <c r="E69" s="37" t="s">
        <v>69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70</v>
      </c>
      <c r="B70" s="35"/>
      <c r="C70" s="35"/>
      <c r="D70" s="35"/>
      <c r="E70" s="37" t="s">
        <v>71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72</v>
      </c>
      <c r="B71" s="35"/>
      <c r="C71" s="35"/>
      <c r="D71" s="35"/>
      <c r="E71" s="37" t="s">
        <v>73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8</v>
      </c>
      <c r="B72" s="35"/>
      <c r="C72" s="35"/>
      <c r="D72" s="35"/>
      <c r="E72" s="37" t="s">
        <v>74</v>
      </c>
      <c r="F72" s="35"/>
      <c r="G72" s="35"/>
      <c r="H72" s="35"/>
      <c r="I72" s="35"/>
      <c r="J72" s="35"/>
      <c r="K72" s="35"/>
      <c r="L72" s="35"/>
      <c r="M72" s="35"/>
    </row>
  </sheetData>
  <sheetProtection sheet="1" formatCells="0"/>
  <mergeCells count="50">
    <mergeCell ref="N6:N7"/>
    <mergeCell ref="K3:M3"/>
    <mergeCell ref="A66:D66"/>
    <mergeCell ref="A53:E53"/>
    <mergeCell ref="E68:M68"/>
    <mergeCell ref="A62:E62"/>
    <mergeCell ref="E67:M67"/>
    <mergeCell ref="G54:K54"/>
    <mergeCell ref="A3:J3"/>
    <mergeCell ref="J59:L59"/>
    <mergeCell ref="C6:C7"/>
    <mergeCell ref="E64:M64"/>
    <mergeCell ref="D6:D7"/>
    <mergeCell ref="A70:D70"/>
    <mergeCell ref="E72:M72"/>
    <mergeCell ref="A1:M1"/>
    <mergeCell ref="A57:E57"/>
    <mergeCell ref="A69:D69"/>
    <mergeCell ref="E66:M66"/>
    <mergeCell ref="F59:I59"/>
    <mergeCell ref="A65:D65"/>
    <mergeCell ref="E71:M71"/>
    <mergeCell ref="A71:D71"/>
    <mergeCell ref="A72:D72"/>
    <mergeCell ref="E69:M69"/>
    <mergeCell ref="A6:A7"/>
    <mergeCell ref="E65:M65"/>
    <mergeCell ref="A63:D63"/>
    <mergeCell ref="A68:D68"/>
    <mergeCell ref="A67:D67"/>
    <mergeCell ref="A54:E54"/>
    <mergeCell ref="A64:D64"/>
    <mergeCell ref="M6:M7"/>
    <mergeCell ref="E70:M70"/>
    <mergeCell ref="E6:E7"/>
    <mergeCell ref="G53:K53"/>
    <mergeCell ref="B6:B7"/>
    <mergeCell ref="A56:E56"/>
    <mergeCell ref="F6:I6"/>
    <mergeCell ref="J6:L6"/>
    <mergeCell ref="A59:E59"/>
    <mergeCell ref="A58:E58"/>
    <mergeCell ref="E63:M63"/>
    <mergeCell ref="G2:H2"/>
    <mergeCell ref="A8:M8"/>
    <mergeCell ref="A60:E60"/>
    <mergeCell ref="A4:M4"/>
    <mergeCell ref="A2:C2"/>
    <mergeCell ref="K2:M2"/>
    <mergeCell ref="D2:E2"/>
  </mergeCells>
  <conditionalFormatting sqref="F9:I51">
    <cfRule type="expression" dxfId="53" priority="1">
      <formula>AND(F9&lt;&gt;"",COUNTIF($F9:$I9,"X")&gt;1)</formula>
    </cfRule>
  </conditionalFormatting>
  <conditionalFormatting sqref="F59:L59">
    <cfRule type="expression" dxfId="52" priority="5">
      <formula>LEFT(F59,4)="ERRO"</formula>
    </cfRule>
    <cfRule type="expression" dxfId="51" priority="6">
      <formula>LEFT(F59,2)="OK"</formula>
    </cfRule>
  </conditionalFormatting>
  <conditionalFormatting sqref="J9:L51">
    <cfRule type="expression" dxfId="50" priority="2">
      <formula>AND(J9&lt;&gt;"",COUNTIF($J9:$L9,"X")&gt;1)</formula>
    </cfRule>
  </conditionalFormatting>
  <conditionalFormatting sqref="N9:N51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1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1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51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264</oddHeader>
    <oddFooter>&amp;L&amp;7 RTA / MSI — Programa de Manutenção Rodoviária&amp;C&amp;7 Página &amp;P de &amp;N&amp;R&amp;7 Impresso em &amp;D</oddFooter>
  </headerFooter>
  <rowBreaks count="1" manualBreakCount="1">
    <brk id="54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9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IF(F82=0,NA(),F82)</f>
        <v>67.817857462199996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67.817857462199996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102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103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104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105</v>
      </c>
      <c r="B9" s="16" t="s">
        <v>50</v>
      </c>
      <c r="C9" s="17">
        <v>0</v>
      </c>
      <c r="D9" s="17">
        <v>1</v>
      </c>
      <c r="E9" s="17">
        <f t="shared" ref="E9:E40" si="1">D9-C9</f>
        <v>1</v>
      </c>
      <c r="F9" s="18" t="s">
        <v>79</v>
      </c>
      <c r="G9" s="18"/>
      <c r="H9" s="18"/>
      <c r="I9" s="18"/>
      <c r="J9" s="18" t="s">
        <v>79</v>
      </c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105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105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105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105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105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 t="s">
        <v>79</v>
      </c>
      <c r="G14" s="18"/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105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 t="s">
        <v>79</v>
      </c>
      <c r="G15" s="18"/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105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 t="s">
        <v>79</v>
      </c>
      <c r="G16" s="18"/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105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 t="s">
        <v>79</v>
      </c>
      <c r="G17" s="18"/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105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 t="s">
        <v>79</v>
      </c>
      <c r="G18" s="18"/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105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 t="s">
        <v>79</v>
      </c>
      <c r="G19" s="18"/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105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 t="s">
        <v>79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105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 t="s">
        <v>79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105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 t="s">
        <v>79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105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 t="s">
        <v>79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105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 t="s">
        <v>79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105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 t="s">
        <v>79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105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 t="s">
        <v>79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105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 t="s">
        <v>79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105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 t="s">
        <v>79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105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 t="s">
        <v>79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105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 t="s">
        <v>79</v>
      </c>
      <c r="G30" s="18"/>
      <c r="H30" s="18"/>
      <c r="I30" s="18"/>
      <c r="J30" s="18" t="s">
        <v>79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105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 t="s">
        <v>79</v>
      </c>
      <c r="G31" s="18"/>
      <c r="H31" s="18"/>
      <c r="I31" s="18"/>
      <c r="J31" s="18" t="s">
        <v>79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105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 t="s">
        <v>79</v>
      </c>
      <c r="G32" s="18"/>
      <c r="H32" s="18"/>
      <c r="I32" s="18"/>
      <c r="J32" s="18" t="s">
        <v>79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105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 t="s">
        <v>79</v>
      </c>
      <c r="G33" s="18"/>
      <c r="H33" s="18"/>
      <c r="I33" s="18"/>
      <c r="J33" s="18" t="s">
        <v>79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105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 t="s">
        <v>79</v>
      </c>
      <c r="G34" s="18"/>
      <c r="H34" s="18"/>
      <c r="I34" s="18"/>
      <c r="J34" s="18" t="s">
        <v>79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105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 t="s">
        <v>79</v>
      </c>
      <c r="G35" s="18"/>
      <c r="H35" s="18"/>
      <c r="I35" s="18"/>
      <c r="J35" s="18" t="s">
        <v>79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105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 t="s">
        <v>79</v>
      </c>
      <c r="G36" s="18"/>
      <c r="H36" s="18"/>
      <c r="I36" s="18"/>
      <c r="J36" s="18" t="s">
        <v>79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105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 t="s">
        <v>79</v>
      </c>
      <c r="G37" s="18"/>
      <c r="H37" s="18"/>
      <c r="I37" s="18"/>
      <c r="J37" s="18" t="s">
        <v>79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105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 t="s">
        <v>79</v>
      </c>
      <c r="G38" s="18"/>
      <c r="H38" s="18"/>
      <c r="I38" s="18"/>
      <c r="J38" s="18" t="s">
        <v>79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105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 t="s">
        <v>79</v>
      </c>
      <c r="G39" s="18"/>
      <c r="H39" s="18"/>
      <c r="I39" s="18"/>
      <c r="J39" s="18" t="s">
        <v>79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105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 t="s">
        <v>79</v>
      </c>
      <c r="G40" s="18"/>
      <c r="H40" s="18"/>
      <c r="I40" s="18"/>
      <c r="J40" s="18" t="s">
        <v>79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105</v>
      </c>
      <c r="B41" s="16" t="s">
        <v>50</v>
      </c>
      <c r="C41" s="17">
        <v>32</v>
      </c>
      <c r="D41" s="17">
        <v>33</v>
      </c>
      <c r="E41" s="17">
        <f t="shared" ref="E41:E72" si="3">D41-C41</f>
        <v>1</v>
      </c>
      <c r="F41" s="18" t="s">
        <v>79</v>
      </c>
      <c r="G41" s="18"/>
      <c r="H41" s="18"/>
      <c r="I41" s="18"/>
      <c r="J41" s="18" t="s">
        <v>79</v>
      </c>
      <c r="K41" s="18"/>
      <c r="L41" s="18"/>
      <c r="M41" s="19"/>
      <c r="N41" s="20" t="str">
        <f t="shared" ref="N41:N76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105</v>
      </c>
      <c r="B42" s="16" t="s">
        <v>50</v>
      </c>
      <c r="C42" s="17">
        <v>33</v>
      </c>
      <c r="D42" s="17">
        <v>34</v>
      </c>
      <c r="E42" s="17">
        <f t="shared" si="3"/>
        <v>1</v>
      </c>
      <c r="F42" s="18" t="s">
        <v>79</v>
      </c>
      <c r="G42" s="18"/>
      <c r="H42" s="18"/>
      <c r="I42" s="18"/>
      <c r="J42" s="18" t="s">
        <v>79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105</v>
      </c>
      <c r="B43" s="16" t="s">
        <v>50</v>
      </c>
      <c r="C43" s="17">
        <v>34</v>
      </c>
      <c r="D43" s="17">
        <v>35</v>
      </c>
      <c r="E43" s="17">
        <f t="shared" si="3"/>
        <v>1</v>
      </c>
      <c r="F43" s="18" t="s">
        <v>79</v>
      </c>
      <c r="G43" s="18"/>
      <c r="H43" s="18"/>
      <c r="I43" s="18"/>
      <c r="J43" s="18" t="s">
        <v>79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105</v>
      </c>
      <c r="B44" s="16" t="s">
        <v>50</v>
      </c>
      <c r="C44" s="17">
        <v>35</v>
      </c>
      <c r="D44" s="17">
        <v>36</v>
      </c>
      <c r="E44" s="17">
        <f t="shared" si="3"/>
        <v>1</v>
      </c>
      <c r="F44" s="18" t="s">
        <v>79</v>
      </c>
      <c r="G44" s="18"/>
      <c r="H44" s="18"/>
      <c r="I44" s="18"/>
      <c r="J44" s="18" t="s">
        <v>79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105</v>
      </c>
      <c r="B45" s="16" t="s">
        <v>50</v>
      </c>
      <c r="C45" s="17">
        <v>36</v>
      </c>
      <c r="D45" s="17">
        <v>37</v>
      </c>
      <c r="E45" s="17">
        <f t="shared" si="3"/>
        <v>1</v>
      </c>
      <c r="F45" s="18" t="s">
        <v>79</v>
      </c>
      <c r="G45" s="18"/>
      <c r="H45" s="18"/>
      <c r="I45" s="18"/>
      <c r="J45" s="18" t="s">
        <v>79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105</v>
      </c>
      <c r="B46" s="16" t="s">
        <v>50</v>
      </c>
      <c r="C46" s="17">
        <v>37</v>
      </c>
      <c r="D46" s="17">
        <v>38</v>
      </c>
      <c r="E46" s="17">
        <f t="shared" si="3"/>
        <v>1</v>
      </c>
      <c r="F46" s="18" t="s">
        <v>79</v>
      </c>
      <c r="G46" s="18"/>
      <c r="H46" s="18"/>
      <c r="I46" s="18"/>
      <c r="J46" s="18" t="s">
        <v>79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105</v>
      </c>
      <c r="B47" s="16" t="s">
        <v>50</v>
      </c>
      <c r="C47" s="17">
        <v>38</v>
      </c>
      <c r="D47" s="17">
        <v>39</v>
      </c>
      <c r="E47" s="17">
        <f t="shared" si="3"/>
        <v>1</v>
      </c>
      <c r="F47" s="18" t="s">
        <v>79</v>
      </c>
      <c r="G47" s="18"/>
      <c r="H47" s="18"/>
      <c r="I47" s="18"/>
      <c r="J47" s="18" t="s">
        <v>79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105</v>
      </c>
      <c r="B48" s="16" t="s">
        <v>50</v>
      </c>
      <c r="C48" s="17">
        <v>39</v>
      </c>
      <c r="D48" s="17">
        <v>40</v>
      </c>
      <c r="E48" s="17">
        <f t="shared" si="3"/>
        <v>1</v>
      </c>
      <c r="F48" s="18" t="s">
        <v>79</v>
      </c>
      <c r="G48" s="18"/>
      <c r="H48" s="18"/>
      <c r="I48" s="18"/>
      <c r="J48" s="18" t="s">
        <v>79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105</v>
      </c>
      <c r="B49" s="16" t="s">
        <v>50</v>
      </c>
      <c r="C49" s="17">
        <v>40</v>
      </c>
      <c r="D49" s="17">
        <v>41</v>
      </c>
      <c r="E49" s="17">
        <f t="shared" si="3"/>
        <v>1</v>
      </c>
      <c r="F49" s="18" t="s">
        <v>79</v>
      </c>
      <c r="G49" s="18"/>
      <c r="H49" s="18"/>
      <c r="I49" s="18"/>
      <c r="J49" s="18" t="s">
        <v>79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105</v>
      </c>
      <c r="B50" s="16" t="s">
        <v>50</v>
      </c>
      <c r="C50" s="17">
        <v>41</v>
      </c>
      <c r="D50" s="17">
        <v>42</v>
      </c>
      <c r="E50" s="17">
        <f t="shared" si="3"/>
        <v>1</v>
      </c>
      <c r="F50" s="18" t="s">
        <v>79</v>
      </c>
      <c r="G50" s="18"/>
      <c r="H50" s="18"/>
      <c r="I50" s="18"/>
      <c r="J50" s="18" t="s">
        <v>79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105</v>
      </c>
      <c r="B51" s="16" t="s">
        <v>50</v>
      </c>
      <c r="C51" s="17">
        <v>42</v>
      </c>
      <c r="D51" s="17">
        <v>43</v>
      </c>
      <c r="E51" s="17">
        <f t="shared" si="3"/>
        <v>1</v>
      </c>
      <c r="F51" s="18" t="s">
        <v>79</v>
      </c>
      <c r="G51" s="18"/>
      <c r="H51" s="18"/>
      <c r="I51" s="18"/>
      <c r="J51" s="18" t="s">
        <v>79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105</v>
      </c>
      <c r="B52" s="16" t="s">
        <v>50</v>
      </c>
      <c r="C52" s="17">
        <v>43</v>
      </c>
      <c r="D52" s="17">
        <v>44</v>
      </c>
      <c r="E52" s="17">
        <f t="shared" si="3"/>
        <v>1</v>
      </c>
      <c r="F52" s="18" t="s">
        <v>79</v>
      </c>
      <c r="G52" s="18"/>
      <c r="H52" s="18"/>
      <c r="I52" s="18"/>
      <c r="J52" s="18" t="s">
        <v>79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105</v>
      </c>
      <c r="B53" s="16" t="s">
        <v>50</v>
      </c>
      <c r="C53" s="17">
        <v>44</v>
      </c>
      <c r="D53" s="17">
        <v>45</v>
      </c>
      <c r="E53" s="17">
        <f t="shared" si="3"/>
        <v>1</v>
      </c>
      <c r="F53" s="18" t="s">
        <v>79</v>
      </c>
      <c r="G53" s="18"/>
      <c r="H53" s="18"/>
      <c r="I53" s="18"/>
      <c r="J53" s="18" t="s">
        <v>79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105</v>
      </c>
      <c r="B54" s="16" t="s">
        <v>50</v>
      </c>
      <c r="C54" s="17">
        <v>45</v>
      </c>
      <c r="D54" s="17">
        <v>46</v>
      </c>
      <c r="E54" s="17">
        <f t="shared" si="3"/>
        <v>1</v>
      </c>
      <c r="F54" s="18" t="s">
        <v>79</v>
      </c>
      <c r="G54" s="18"/>
      <c r="H54" s="18"/>
      <c r="I54" s="18"/>
      <c r="J54" s="18" t="s">
        <v>79</v>
      </c>
      <c r="K54" s="18"/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105</v>
      </c>
      <c r="B55" s="16" t="s">
        <v>50</v>
      </c>
      <c r="C55" s="17">
        <v>46</v>
      </c>
      <c r="D55" s="17">
        <v>47</v>
      </c>
      <c r="E55" s="17">
        <f t="shared" si="3"/>
        <v>1</v>
      </c>
      <c r="F55" s="18" t="s">
        <v>79</v>
      </c>
      <c r="G55" s="18"/>
      <c r="H55" s="18"/>
      <c r="I55" s="18"/>
      <c r="J55" s="18" t="s">
        <v>79</v>
      </c>
      <c r="K55" s="18"/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105</v>
      </c>
      <c r="B56" s="16" t="s">
        <v>50</v>
      </c>
      <c r="C56" s="17">
        <v>47</v>
      </c>
      <c r="D56" s="17">
        <v>48</v>
      </c>
      <c r="E56" s="17">
        <f t="shared" si="3"/>
        <v>1</v>
      </c>
      <c r="F56" s="18" t="s">
        <v>79</v>
      </c>
      <c r="G56" s="18"/>
      <c r="H56" s="18"/>
      <c r="I56" s="18"/>
      <c r="J56" s="18" t="s">
        <v>79</v>
      </c>
      <c r="K56" s="18"/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105</v>
      </c>
      <c r="B57" s="16" t="s">
        <v>50</v>
      </c>
      <c r="C57" s="17">
        <v>48</v>
      </c>
      <c r="D57" s="17">
        <v>49</v>
      </c>
      <c r="E57" s="17">
        <f t="shared" si="3"/>
        <v>1</v>
      </c>
      <c r="F57" s="18" t="s">
        <v>79</v>
      </c>
      <c r="G57" s="18"/>
      <c r="H57" s="18"/>
      <c r="I57" s="18"/>
      <c r="J57" s="18" t="s">
        <v>79</v>
      </c>
      <c r="K57" s="18"/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105</v>
      </c>
      <c r="B58" s="16" t="s">
        <v>50</v>
      </c>
      <c r="C58" s="17">
        <v>49</v>
      </c>
      <c r="D58" s="17">
        <v>50</v>
      </c>
      <c r="E58" s="17">
        <f t="shared" si="3"/>
        <v>1</v>
      </c>
      <c r="F58" s="18" t="s">
        <v>79</v>
      </c>
      <c r="G58" s="18"/>
      <c r="H58" s="18"/>
      <c r="I58" s="18"/>
      <c r="J58" s="18" t="s">
        <v>79</v>
      </c>
      <c r="K58" s="18"/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105</v>
      </c>
      <c r="B59" s="16" t="s">
        <v>50</v>
      </c>
      <c r="C59" s="17">
        <v>50</v>
      </c>
      <c r="D59" s="17">
        <v>51</v>
      </c>
      <c r="E59" s="17">
        <f t="shared" si="3"/>
        <v>1</v>
      </c>
      <c r="F59" s="18" t="s">
        <v>79</v>
      </c>
      <c r="G59" s="18"/>
      <c r="H59" s="18"/>
      <c r="I59" s="18"/>
      <c r="J59" s="18" t="s">
        <v>79</v>
      </c>
      <c r="K59" s="18"/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105</v>
      </c>
      <c r="B60" s="16" t="s">
        <v>50</v>
      </c>
      <c r="C60" s="17">
        <v>51</v>
      </c>
      <c r="D60" s="17">
        <v>52</v>
      </c>
      <c r="E60" s="17">
        <f t="shared" si="3"/>
        <v>1</v>
      </c>
      <c r="F60" s="18" t="s">
        <v>79</v>
      </c>
      <c r="G60" s="18"/>
      <c r="H60" s="18"/>
      <c r="I60" s="18"/>
      <c r="J60" s="18" t="s">
        <v>79</v>
      </c>
      <c r="K60" s="18"/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105</v>
      </c>
      <c r="B61" s="16" t="s">
        <v>50</v>
      </c>
      <c r="C61" s="17">
        <v>52</v>
      </c>
      <c r="D61" s="17">
        <v>53</v>
      </c>
      <c r="E61" s="17">
        <f t="shared" si="3"/>
        <v>1</v>
      </c>
      <c r="F61" s="18" t="s">
        <v>79</v>
      </c>
      <c r="G61" s="18"/>
      <c r="H61" s="18"/>
      <c r="I61" s="18"/>
      <c r="J61" s="18" t="s">
        <v>79</v>
      </c>
      <c r="K61" s="18"/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105</v>
      </c>
      <c r="B62" s="16" t="s">
        <v>50</v>
      </c>
      <c r="C62" s="17">
        <v>53</v>
      </c>
      <c r="D62" s="17">
        <v>54</v>
      </c>
      <c r="E62" s="17">
        <f t="shared" si="3"/>
        <v>1</v>
      </c>
      <c r="F62" s="18" t="s">
        <v>79</v>
      </c>
      <c r="G62" s="18"/>
      <c r="H62" s="18"/>
      <c r="I62" s="18"/>
      <c r="J62" s="18" t="s">
        <v>79</v>
      </c>
      <c r="K62" s="18"/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105</v>
      </c>
      <c r="B63" s="16" t="s">
        <v>50</v>
      </c>
      <c r="C63" s="17">
        <v>54</v>
      </c>
      <c r="D63" s="17">
        <v>55</v>
      </c>
      <c r="E63" s="17">
        <f t="shared" si="3"/>
        <v>1</v>
      </c>
      <c r="F63" s="18" t="s">
        <v>79</v>
      </c>
      <c r="G63" s="18"/>
      <c r="H63" s="18"/>
      <c r="I63" s="18"/>
      <c r="J63" s="18" t="s">
        <v>79</v>
      </c>
      <c r="K63" s="18"/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105</v>
      </c>
      <c r="B64" s="16" t="s">
        <v>50</v>
      </c>
      <c r="C64" s="17">
        <v>55</v>
      </c>
      <c r="D64" s="17">
        <v>56</v>
      </c>
      <c r="E64" s="17">
        <f t="shared" si="3"/>
        <v>1</v>
      </c>
      <c r="F64" s="18" t="s">
        <v>79</v>
      </c>
      <c r="G64" s="18"/>
      <c r="H64" s="18"/>
      <c r="I64" s="18"/>
      <c r="J64" s="18" t="s">
        <v>79</v>
      </c>
      <c r="K64" s="18"/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105</v>
      </c>
      <c r="B65" s="16" t="s">
        <v>50</v>
      </c>
      <c r="C65" s="17">
        <v>56</v>
      </c>
      <c r="D65" s="17">
        <v>57</v>
      </c>
      <c r="E65" s="17">
        <f t="shared" si="3"/>
        <v>1</v>
      </c>
      <c r="F65" s="18" t="s">
        <v>79</v>
      </c>
      <c r="G65" s="18"/>
      <c r="H65" s="18"/>
      <c r="I65" s="18"/>
      <c r="J65" s="18" t="s">
        <v>79</v>
      </c>
      <c r="K65" s="18"/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105</v>
      </c>
      <c r="B66" s="16" t="s">
        <v>50</v>
      </c>
      <c r="C66" s="17">
        <v>57</v>
      </c>
      <c r="D66" s="17">
        <v>58</v>
      </c>
      <c r="E66" s="17">
        <f t="shared" si="3"/>
        <v>1</v>
      </c>
      <c r="F66" s="18" t="s">
        <v>79</v>
      </c>
      <c r="G66" s="18"/>
      <c r="H66" s="18"/>
      <c r="I66" s="18"/>
      <c r="J66" s="18" t="s">
        <v>79</v>
      </c>
      <c r="K66" s="18"/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105</v>
      </c>
      <c r="B67" s="16" t="s">
        <v>50</v>
      </c>
      <c r="C67" s="17">
        <v>58</v>
      </c>
      <c r="D67" s="17">
        <v>59</v>
      </c>
      <c r="E67" s="17">
        <f t="shared" si="3"/>
        <v>1</v>
      </c>
      <c r="F67" s="18" t="s">
        <v>79</v>
      </c>
      <c r="G67" s="18"/>
      <c r="H67" s="18"/>
      <c r="I67" s="18"/>
      <c r="J67" s="18" t="s">
        <v>79</v>
      </c>
      <c r="K67" s="18"/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105</v>
      </c>
      <c r="B68" s="16" t="s">
        <v>50</v>
      </c>
      <c r="C68" s="17">
        <v>59</v>
      </c>
      <c r="D68" s="17">
        <v>60</v>
      </c>
      <c r="E68" s="17">
        <f t="shared" si="3"/>
        <v>1</v>
      </c>
      <c r="F68" s="18" t="s">
        <v>79</v>
      </c>
      <c r="G68" s="18"/>
      <c r="H68" s="18"/>
      <c r="I68" s="18"/>
      <c r="J68" s="18" t="s">
        <v>79</v>
      </c>
      <c r="K68" s="18"/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105</v>
      </c>
      <c r="B69" s="16" t="s">
        <v>50</v>
      </c>
      <c r="C69" s="17">
        <v>60</v>
      </c>
      <c r="D69" s="17">
        <v>61</v>
      </c>
      <c r="E69" s="17">
        <f t="shared" si="3"/>
        <v>1</v>
      </c>
      <c r="F69" s="18" t="s">
        <v>79</v>
      </c>
      <c r="G69" s="18"/>
      <c r="H69" s="18"/>
      <c r="I69" s="18"/>
      <c r="J69" s="18" t="s">
        <v>79</v>
      </c>
      <c r="K69" s="18"/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105</v>
      </c>
      <c r="B70" s="16" t="s">
        <v>50</v>
      </c>
      <c r="C70" s="17">
        <v>61</v>
      </c>
      <c r="D70" s="17">
        <v>62</v>
      </c>
      <c r="E70" s="17">
        <f t="shared" si="3"/>
        <v>1</v>
      </c>
      <c r="F70" s="18" t="s">
        <v>79</v>
      </c>
      <c r="G70" s="18"/>
      <c r="H70" s="18"/>
      <c r="I70" s="18"/>
      <c r="J70" s="18" t="s">
        <v>79</v>
      </c>
      <c r="K70" s="18"/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105</v>
      </c>
      <c r="B71" s="16" t="s">
        <v>50</v>
      </c>
      <c r="C71" s="17">
        <v>62</v>
      </c>
      <c r="D71" s="17">
        <v>63</v>
      </c>
      <c r="E71" s="17">
        <f t="shared" si="3"/>
        <v>1</v>
      </c>
      <c r="F71" s="18" t="s">
        <v>79</v>
      </c>
      <c r="G71" s="18"/>
      <c r="H71" s="18"/>
      <c r="I71" s="18"/>
      <c r="J71" s="18" t="s">
        <v>79</v>
      </c>
      <c r="K71" s="18"/>
      <c r="L71" s="18"/>
      <c r="M71" s="19"/>
      <c r="N71" s="20" t="str">
        <f t="shared" si="4"/>
        <v>OK</v>
      </c>
    </row>
    <row r="72" spans="1:14" ht="20.100000000000001" customHeight="1" x14ac:dyDescent="0.25">
      <c r="A72" s="15" t="s">
        <v>105</v>
      </c>
      <c r="B72" s="16" t="s">
        <v>50</v>
      </c>
      <c r="C72" s="17">
        <v>63</v>
      </c>
      <c r="D72" s="17">
        <v>64</v>
      </c>
      <c r="E72" s="17">
        <f t="shared" si="3"/>
        <v>1</v>
      </c>
      <c r="F72" s="18" t="s">
        <v>79</v>
      </c>
      <c r="G72" s="18"/>
      <c r="H72" s="18"/>
      <c r="I72" s="18"/>
      <c r="J72" s="18" t="s">
        <v>79</v>
      </c>
      <c r="K72" s="18"/>
      <c r="L72" s="18"/>
      <c r="M72" s="19"/>
      <c r="N72" s="20" t="str">
        <f t="shared" si="4"/>
        <v>OK</v>
      </c>
    </row>
    <row r="73" spans="1:14" ht="20.100000000000001" customHeight="1" x14ac:dyDescent="0.25">
      <c r="A73" s="15" t="s">
        <v>105</v>
      </c>
      <c r="B73" s="16" t="s">
        <v>50</v>
      </c>
      <c r="C73" s="17">
        <v>64</v>
      </c>
      <c r="D73" s="17">
        <v>65</v>
      </c>
      <c r="E73" s="17">
        <f t="shared" ref="E73:E104" si="5">D73-C73</f>
        <v>1</v>
      </c>
      <c r="F73" s="18" t="s">
        <v>79</v>
      </c>
      <c r="G73" s="18"/>
      <c r="H73" s="18"/>
      <c r="I73" s="18"/>
      <c r="J73" s="18" t="s">
        <v>79</v>
      </c>
      <c r="K73" s="18"/>
      <c r="L73" s="18"/>
      <c r="M73" s="19"/>
      <c r="N73" s="20" t="str">
        <f t="shared" si="4"/>
        <v>OK</v>
      </c>
    </row>
    <row r="74" spans="1:14" ht="20.100000000000001" customHeight="1" x14ac:dyDescent="0.25">
      <c r="A74" s="15" t="s">
        <v>105</v>
      </c>
      <c r="B74" s="16" t="s">
        <v>50</v>
      </c>
      <c r="C74" s="17">
        <v>65</v>
      </c>
      <c r="D74" s="17">
        <v>66</v>
      </c>
      <c r="E74" s="17">
        <f t="shared" si="5"/>
        <v>1</v>
      </c>
      <c r="F74" s="18" t="s">
        <v>79</v>
      </c>
      <c r="G74" s="18"/>
      <c r="H74" s="18"/>
      <c r="I74" s="18"/>
      <c r="J74" s="18" t="s">
        <v>79</v>
      </c>
      <c r="K74" s="18"/>
      <c r="L74" s="18"/>
      <c r="M74" s="19"/>
      <c r="N74" s="20" t="str">
        <f t="shared" si="4"/>
        <v>OK</v>
      </c>
    </row>
    <row r="75" spans="1:14" ht="20.100000000000001" customHeight="1" x14ac:dyDescent="0.25">
      <c r="A75" s="15" t="s">
        <v>105</v>
      </c>
      <c r="B75" s="16" t="s">
        <v>50</v>
      </c>
      <c r="C75" s="17">
        <v>66</v>
      </c>
      <c r="D75" s="17">
        <v>67</v>
      </c>
      <c r="E75" s="17">
        <f t="shared" si="5"/>
        <v>1</v>
      </c>
      <c r="F75" s="18" t="s">
        <v>79</v>
      </c>
      <c r="G75" s="18"/>
      <c r="H75" s="18"/>
      <c r="I75" s="18"/>
      <c r="J75" s="18" t="s">
        <v>79</v>
      </c>
      <c r="K75" s="18"/>
      <c r="L75" s="18"/>
      <c r="M75" s="19"/>
      <c r="N75" s="20" t="str">
        <f t="shared" si="4"/>
        <v>OK</v>
      </c>
    </row>
    <row r="76" spans="1:14" ht="20.100000000000001" customHeight="1" x14ac:dyDescent="0.25">
      <c r="A76" s="21" t="s">
        <v>105</v>
      </c>
      <c r="B76" s="22" t="s">
        <v>50</v>
      </c>
      <c r="C76" s="23">
        <v>67</v>
      </c>
      <c r="D76" s="23">
        <v>67.817857462199996</v>
      </c>
      <c r="E76" s="23">
        <f t="shared" si="5"/>
        <v>0.81785746219999567</v>
      </c>
      <c r="F76" s="24" t="s">
        <v>79</v>
      </c>
      <c r="G76" s="24"/>
      <c r="H76" s="24"/>
      <c r="I76" s="24"/>
      <c r="J76" s="24" t="s">
        <v>79</v>
      </c>
      <c r="K76" s="24"/>
      <c r="L76" s="24"/>
      <c r="M76" s="25"/>
      <c r="N76" s="26" t="str">
        <f t="shared" si="4"/>
        <v>OK</v>
      </c>
    </row>
    <row r="78" spans="1:14" x14ac:dyDescent="0.25">
      <c r="A78" s="41" t="s">
        <v>51</v>
      </c>
      <c r="B78" s="35"/>
      <c r="C78" s="35"/>
      <c r="D78" s="35"/>
      <c r="E78" s="35"/>
      <c r="G78" s="41" t="s">
        <v>51</v>
      </c>
      <c r="H78" s="35"/>
      <c r="I78" s="35"/>
      <c r="J78" s="35"/>
      <c r="K78" s="35"/>
    </row>
    <row r="79" spans="1:14" x14ac:dyDescent="0.25">
      <c r="A79" s="48" t="s">
        <v>52</v>
      </c>
      <c r="B79" s="35"/>
      <c r="C79" s="35"/>
      <c r="D79" s="35"/>
      <c r="E79" s="35"/>
      <c r="G79" s="48" t="s">
        <v>53</v>
      </c>
      <c r="H79" s="35"/>
      <c r="I79" s="35"/>
      <c r="J79" s="35"/>
      <c r="K79" s="35"/>
    </row>
    <row r="81" spans="1:13" x14ac:dyDescent="0.25">
      <c r="A81" s="42" t="s">
        <v>54</v>
      </c>
      <c r="B81" s="35"/>
      <c r="C81" s="35"/>
      <c r="D81" s="35"/>
      <c r="E81" s="35"/>
      <c r="F81" s="27"/>
      <c r="G81" s="27"/>
      <c r="H81" s="27"/>
      <c r="I81" s="27"/>
      <c r="J81" s="27"/>
      <c r="K81" s="27"/>
      <c r="L81" s="27"/>
      <c r="M81" s="27"/>
    </row>
    <row r="82" spans="1:13" x14ac:dyDescent="0.25">
      <c r="A82" s="38" t="s">
        <v>55</v>
      </c>
      <c r="B82" s="35"/>
      <c r="C82" s="35"/>
      <c r="D82" s="35"/>
      <c r="E82" s="35"/>
      <c r="F82" s="9">
        <f t="shared" ref="F82:L82" si="6">SUMIF(F$9:F$76,"X",$E$9:$E$76)</f>
        <v>67.817857462199996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67.817857462199996</v>
      </c>
      <c r="K82" s="9">
        <f t="shared" si="6"/>
        <v>0</v>
      </c>
      <c r="L82" s="9">
        <f t="shared" si="6"/>
        <v>0</v>
      </c>
    </row>
    <row r="83" spans="1:13" x14ac:dyDescent="0.25">
      <c r="A83" s="38" t="s">
        <v>56</v>
      </c>
      <c r="B83" s="35"/>
      <c r="C83" s="35"/>
      <c r="D83" s="35"/>
      <c r="E83" s="35"/>
      <c r="F83" s="28">
        <f t="shared" ref="F83:L83" si="7">IF($I85=0,0,F82/$I85)</f>
        <v>1</v>
      </c>
      <c r="G83" s="28">
        <f t="shared" si="7"/>
        <v>0</v>
      </c>
      <c r="H83" s="28">
        <f t="shared" si="7"/>
        <v>0</v>
      </c>
      <c r="I83" s="28">
        <f t="shared" si="7"/>
        <v>0</v>
      </c>
      <c r="J83" s="28">
        <f t="shared" si="7"/>
        <v>1</v>
      </c>
      <c r="K83" s="28">
        <f t="shared" si="7"/>
        <v>0</v>
      </c>
      <c r="L83" s="28">
        <f t="shared" si="7"/>
        <v>0</v>
      </c>
    </row>
    <row r="84" spans="1:13" x14ac:dyDescent="0.25">
      <c r="A84" s="38" t="s">
        <v>57</v>
      </c>
      <c r="B84" s="35"/>
      <c r="C84" s="35"/>
      <c r="D84" s="35"/>
      <c r="E84" s="35"/>
      <c r="F84" s="47" t="str">
        <f>IF(SUM(F82:I82)=0,"— não preenchido",IF(ROUND(SUM(F82:I82)-$I85,3)=0,"OK — "&amp;ROUND(SUM(F82:I82),3)&amp;" km","ERRO — dif. de "&amp;ROUND(SUM(F82:I82)-$I85,3)&amp;" km"))</f>
        <v>OK — 67,818 km</v>
      </c>
      <c r="G84" s="32"/>
      <c r="H84" s="32"/>
      <c r="I84" s="33"/>
      <c r="J84" s="47" t="str">
        <f>IF(SUM(J82:L82)=0,"— não preenchido",IF(ROUND(SUM(J82:L82)-$I85,3)=0,"OK — "&amp;ROUND(SUM(J82:L82),3)&amp;" km","ERRO — dif. de "&amp;ROUND(SUM(J82:L82)-$I85,3)&amp;" km"))</f>
        <v>OK — 67,818 km</v>
      </c>
      <c r="K84" s="32"/>
      <c r="L84" s="33"/>
    </row>
    <row r="85" spans="1:13" x14ac:dyDescent="0.25">
      <c r="A85" s="38" t="s">
        <v>58</v>
      </c>
      <c r="B85" s="35"/>
      <c r="C85" s="35"/>
      <c r="D85" s="35"/>
      <c r="E85" s="35"/>
      <c r="I85" s="29">
        <f>SUM(E9:E76)</f>
        <v>67.817857462199996</v>
      </c>
      <c r="M85" s="8" t="str">
        <f>COUNTIF(N9:N76,"OK")&amp;" de "&amp;COUNT($E$9:$E$76)&amp;" linhas conferidas"</f>
        <v>68 de 68 linhas conferidas</v>
      </c>
    </row>
    <row r="87" spans="1:13" x14ac:dyDescent="0.25">
      <c r="A87" s="49" t="s">
        <v>59</v>
      </c>
      <c r="B87" s="35"/>
      <c r="C87" s="35"/>
      <c r="D87" s="35"/>
      <c r="E87" s="35"/>
    </row>
    <row r="88" spans="1:13" x14ac:dyDescent="0.25">
      <c r="A88" s="38" t="s">
        <v>10</v>
      </c>
      <c r="B88" s="35"/>
      <c r="C88" s="35"/>
      <c r="D88" s="35"/>
      <c r="E88" s="37" t="s">
        <v>60</v>
      </c>
      <c r="F88" s="35"/>
      <c r="G88" s="35"/>
      <c r="H88" s="35"/>
      <c r="I88" s="35"/>
      <c r="J88" s="35"/>
      <c r="K88" s="35"/>
      <c r="L88" s="35"/>
      <c r="M88" s="35"/>
    </row>
    <row r="89" spans="1:13" x14ac:dyDescent="0.25">
      <c r="A89" s="38" t="s">
        <v>11</v>
      </c>
      <c r="B89" s="35"/>
      <c r="C89" s="35"/>
      <c r="D89" s="35"/>
      <c r="E89" s="37" t="s">
        <v>61</v>
      </c>
      <c r="F89" s="35"/>
      <c r="G89" s="35"/>
      <c r="H89" s="35"/>
      <c r="I89" s="35"/>
      <c r="J89" s="35"/>
      <c r="K89" s="35"/>
      <c r="L89" s="35"/>
      <c r="M89" s="35"/>
    </row>
    <row r="90" spans="1:13" x14ac:dyDescent="0.25">
      <c r="A90" s="38" t="s">
        <v>12</v>
      </c>
      <c r="B90" s="35"/>
      <c r="C90" s="35"/>
      <c r="D90" s="35"/>
      <c r="E90" s="37" t="s">
        <v>62</v>
      </c>
      <c r="F90" s="35"/>
      <c r="G90" s="35"/>
      <c r="H90" s="35"/>
      <c r="I90" s="35"/>
      <c r="J90" s="35"/>
      <c r="K90" s="35"/>
      <c r="L90" s="35"/>
      <c r="M90" s="35"/>
    </row>
    <row r="91" spans="1:13" x14ac:dyDescent="0.25">
      <c r="A91" s="38" t="s">
        <v>63</v>
      </c>
      <c r="B91" s="35"/>
      <c r="C91" s="35"/>
      <c r="D91" s="35"/>
      <c r="E91" s="37" t="s">
        <v>64</v>
      </c>
      <c r="F91" s="35"/>
      <c r="G91" s="35"/>
      <c r="H91" s="35"/>
      <c r="I91" s="35"/>
      <c r="J91" s="35"/>
      <c r="K91" s="35"/>
      <c r="L91" s="35"/>
      <c r="M91" s="35"/>
    </row>
    <row r="92" spans="1:13" x14ac:dyDescent="0.25">
      <c r="A92" s="38" t="s">
        <v>65</v>
      </c>
      <c r="B92" s="35"/>
      <c r="C92" s="35"/>
      <c r="D92" s="35"/>
      <c r="E92" s="37" t="s">
        <v>66</v>
      </c>
      <c r="F92" s="35"/>
      <c r="G92" s="35"/>
      <c r="H92" s="35"/>
      <c r="I92" s="35"/>
      <c r="J92" s="35"/>
      <c r="K92" s="35"/>
      <c r="L92" s="35"/>
      <c r="M92" s="35"/>
    </row>
    <row r="93" spans="1:13" x14ac:dyDescent="0.25">
      <c r="A93" s="38" t="s">
        <v>67</v>
      </c>
      <c r="B93" s="35"/>
      <c r="C93" s="35"/>
      <c r="D93" s="35"/>
      <c r="E93" s="37" t="s">
        <v>68</v>
      </c>
      <c r="F93" s="35"/>
      <c r="G93" s="35"/>
      <c r="H93" s="35"/>
      <c r="I93" s="35"/>
      <c r="J93" s="35"/>
      <c r="K93" s="35"/>
      <c r="L93" s="35"/>
      <c r="M93" s="35"/>
    </row>
    <row r="94" spans="1:13" x14ac:dyDescent="0.25">
      <c r="A94" s="38" t="s">
        <v>42</v>
      </c>
      <c r="B94" s="35"/>
      <c r="C94" s="35"/>
      <c r="D94" s="35"/>
      <c r="E94" s="37" t="s">
        <v>69</v>
      </c>
      <c r="F94" s="35"/>
      <c r="G94" s="35"/>
      <c r="H94" s="35"/>
      <c r="I94" s="35"/>
      <c r="J94" s="35"/>
      <c r="K94" s="35"/>
      <c r="L94" s="35"/>
      <c r="M94" s="35"/>
    </row>
    <row r="95" spans="1:13" x14ac:dyDescent="0.25">
      <c r="A95" s="38" t="s">
        <v>70</v>
      </c>
      <c r="B95" s="35"/>
      <c r="C95" s="35"/>
      <c r="D95" s="35"/>
      <c r="E95" s="37" t="s">
        <v>71</v>
      </c>
      <c r="F95" s="35"/>
      <c r="G95" s="35"/>
      <c r="H95" s="35"/>
      <c r="I95" s="35"/>
      <c r="J95" s="35"/>
      <c r="K95" s="35"/>
      <c r="L95" s="35"/>
      <c r="M95" s="35"/>
    </row>
    <row r="96" spans="1:13" x14ac:dyDescent="0.25">
      <c r="A96" s="38" t="s">
        <v>72</v>
      </c>
      <c r="B96" s="35"/>
      <c r="C96" s="35"/>
      <c r="D96" s="35"/>
      <c r="E96" s="37" t="s">
        <v>73</v>
      </c>
      <c r="F96" s="35"/>
      <c r="G96" s="35"/>
      <c r="H96" s="35"/>
      <c r="I96" s="35"/>
      <c r="J96" s="35"/>
      <c r="K96" s="35"/>
      <c r="L96" s="35"/>
      <c r="M96" s="35"/>
    </row>
    <row r="97" spans="1:13" x14ac:dyDescent="0.25">
      <c r="A97" s="38" t="s">
        <v>8</v>
      </c>
      <c r="B97" s="35"/>
      <c r="C97" s="35"/>
      <c r="D97" s="35"/>
      <c r="E97" s="37" t="s">
        <v>74</v>
      </c>
      <c r="F97" s="35"/>
      <c r="G97" s="35"/>
      <c r="H97" s="35"/>
      <c r="I97" s="35"/>
      <c r="J97" s="35"/>
      <c r="K97" s="35"/>
      <c r="L97" s="35"/>
      <c r="M97" s="35"/>
    </row>
  </sheetData>
  <sheetProtection sheet="1" formatCells="0"/>
  <mergeCells count="50">
    <mergeCell ref="N6:N7"/>
    <mergeCell ref="K3:M3"/>
    <mergeCell ref="G79:K79"/>
    <mergeCell ref="A90:D90"/>
    <mergeCell ref="A89:D89"/>
    <mergeCell ref="A81:E81"/>
    <mergeCell ref="J84:L84"/>
    <mergeCell ref="A3:J3"/>
    <mergeCell ref="E88:M88"/>
    <mergeCell ref="C6:C7"/>
    <mergeCell ref="D6:D7"/>
    <mergeCell ref="A1:M1"/>
    <mergeCell ref="A88:D88"/>
    <mergeCell ref="E97:M97"/>
    <mergeCell ref="E93:M93"/>
    <mergeCell ref="A85:E85"/>
    <mergeCell ref="E96:M96"/>
    <mergeCell ref="E92:M92"/>
    <mergeCell ref="A95:D95"/>
    <mergeCell ref="A97:D97"/>
    <mergeCell ref="A96:D96"/>
    <mergeCell ref="A4:M4"/>
    <mergeCell ref="A6:A7"/>
    <mergeCell ref="A93:D93"/>
    <mergeCell ref="A79:E79"/>
    <mergeCell ref="E90:M90"/>
    <mergeCell ref="A87:E87"/>
    <mergeCell ref="A78:E78"/>
    <mergeCell ref="E95:M95"/>
    <mergeCell ref="E89:M89"/>
    <mergeCell ref="A92:D92"/>
    <mergeCell ref="M6:M7"/>
    <mergeCell ref="E6:E7"/>
    <mergeCell ref="A84:E84"/>
    <mergeCell ref="B6:B7"/>
    <mergeCell ref="J6:L6"/>
    <mergeCell ref="A83:E83"/>
    <mergeCell ref="E94:M94"/>
    <mergeCell ref="A91:D91"/>
    <mergeCell ref="G2:H2"/>
    <mergeCell ref="A8:M8"/>
    <mergeCell ref="A82:E82"/>
    <mergeCell ref="A2:C2"/>
    <mergeCell ref="K2:M2"/>
    <mergeCell ref="D2:E2"/>
    <mergeCell ref="E91:M91"/>
    <mergeCell ref="F6:I6"/>
    <mergeCell ref="G78:K78"/>
    <mergeCell ref="F84:I84"/>
    <mergeCell ref="A94:D94"/>
  </mergeCells>
  <conditionalFormatting sqref="F9:I76">
    <cfRule type="expression" dxfId="47" priority="1">
      <formula>AND(F9&lt;&gt;"",COUNTIF($F9:$I9,"X")&gt;1)</formula>
    </cfRule>
  </conditionalFormatting>
  <conditionalFormatting sqref="F84:L84">
    <cfRule type="expression" dxfId="46" priority="5">
      <formula>LEFT(F84,4)="ERRO"</formula>
    </cfRule>
    <cfRule type="expression" dxfId="45" priority="6">
      <formula>LEFT(F84,2)="OK"</formula>
    </cfRule>
  </conditionalFormatting>
  <conditionalFormatting sqref="J9:L76">
    <cfRule type="expression" dxfId="44" priority="2">
      <formula>AND(J9&lt;&gt;"",COUNTIF($J9:$L9,"X")&gt;1)</formula>
    </cfRule>
  </conditionalFormatting>
  <conditionalFormatting sqref="N9:N76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6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6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76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265</oddHeader>
    <oddFooter>&amp;L&amp;7 RTA / MSI — Programa de Manutenção Rodoviária&amp;C&amp;7 Página &amp;P de &amp;N&amp;R&amp;7 Impresso em &amp;D</oddFooter>
  </headerFooter>
  <rowBreaks count="1" manualBreakCount="1">
    <brk id="7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IF(F29=0,NA(),F29)</f>
        <v>5</v>
      </c>
      <c r="Q2" s="2">
        <f t="shared" si="0"/>
        <v>9.4762033838999997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14.4762033839</v>
      </c>
      <c r="V2" s="2" t="e">
        <f t="shared" si="0"/>
        <v>#N/A</v>
      </c>
    </row>
    <row r="3" spans="1:22" ht="15" customHeight="1" x14ac:dyDescent="0.25">
      <c r="A3" s="50" t="s">
        <v>106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107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108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109</v>
      </c>
      <c r="B9" s="16" t="s">
        <v>50</v>
      </c>
      <c r="C9" s="17">
        <v>0</v>
      </c>
      <c r="D9" s="17">
        <v>1</v>
      </c>
      <c r="E9" s="17">
        <f t="shared" ref="E9:E23" si="1">D9-C9</f>
        <v>1</v>
      </c>
      <c r="F9" s="18" t="s">
        <v>79</v>
      </c>
      <c r="G9" s="18"/>
      <c r="H9" s="18"/>
      <c r="I9" s="18"/>
      <c r="J9" s="18"/>
      <c r="K9" s="18" t="s">
        <v>79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109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/>
      <c r="K10" s="18" t="s">
        <v>79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109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/>
      <c r="K11" s="18" t="s">
        <v>79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109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/>
      <c r="K12" s="18" t="s">
        <v>79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109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/>
      <c r="K13" s="18" t="s">
        <v>79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109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/>
      <c r="K14" s="18" t="s">
        <v>79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109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/>
      <c r="K15" s="18" t="s">
        <v>79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109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/>
      <c r="K16" s="18" t="s">
        <v>79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109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/>
      <c r="K17" s="18" t="s">
        <v>79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109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/>
      <c r="K18" s="18" t="s">
        <v>79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109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/>
      <c r="K19" s="18" t="s">
        <v>79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109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/>
      <c r="G20" s="18" t="s">
        <v>79</v>
      </c>
      <c r="H20" s="18"/>
      <c r="I20" s="18"/>
      <c r="J20" s="18"/>
      <c r="K20" s="18" t="s">
        <v>79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109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/>
      <c r="G21" s="18" t="s">
        <v>79</v>
      </c>
      <c r="H21" s="18"/>
      <c r="I21" s="18"/>
      <c r="J21" s="18"/>
      <c r="K21" s="18" t="s">
        <v>79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109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/>
      <c r="G22" s="18" t="s">
        <v>79</v>
      </c>
      <c r="H22" s="18"/>
      <c r="I22" s="18"/>
      <c r="J22" s="18"/>
      <c r="K22" s="18" t="s">
        <v>79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109</v>
      </c>
      <c r="B23" s="22" t="s">
        <v>50</v>
      </c>
      <c r="C23" s="23">
        <v>14</v>
      </c>
      <c r="D23" s="23">
        <v>14.4762033839</v>
      </c>
      <c r="E23" s="23">
        <f t="shared" si="1"/>
        <v>0.47620338389999972</v>
      </c>
      <c r="F23" s="24"/>
      <c r="G23" s="24" t="s">
        <v>79</v>
      </c>
      <c r="H23" s="24"/>
      <c r="I23" s="24"/>
      <c r="J23" s="24"/>
      <c r="K23" s="24" t="s">
        <v>79</v>
      </c>
      <c r="L23" s="24"/>
      <c r="M23" s="25"/>
      <c r="N23" s="26" t="str">
        <f t="shared" si="2"/>
        <v>OK</v>
      </c>
    </row>
    <row r="25" spans="1:14" x14ac:dyDescent="0.25">
      <c r="A25" s="41" t="s">
        <v>51</v>
      </c>
      <c r="B25" s="35"/>
      <c r="C25" s="35"/>
      <c r="D25" s="35"/>
      <c r="E25" s="35"/>
      <c r="G25" s="41" t="s">
        <v>51</v>
      </c>
      <c r="H25" s="35"/>
      <c r="I25" s="35"/>
      <c r="J25" s="35"/>
      <c r="K25" s="35"/>
    </row>
    <row r="26" spans="1:14" x14ac:dyDescent="0.25">
      <c r="A26" s="48" t="s">
        <v>52</v>
      </c>
      <c r="B26" s="35"/>
      <c r="C26" s="35"/>
      <c r="D26" s="35"/>
      <c r="E26" s="35"/>
      <c r="G26" s="48" t="s">
        <v>53</v>
      </c>
      <c r="H26" s="35"/>
      <c r="I26" s="35"/>
      <c r="J26" s="35"/>
      <c r="K26" s="35"/>
    </row>
    <row r="28" spans="1:14" x14ac:dyDescent="0.25">
      <c r="A28" s="42" t="s">
        <v>54</v>
      </c>
      <c r="B28" s="35"/>
      <c r="C28" s="35"/>
      <c r="D28" s="35"/>
      <c r="E28" s="35"/>
      <c r="F28" s="27"/>
      <c r="G28" s="27"/>
      <c r="H28" s="27"/>
      <c r="I28" s="27"/>
      <c r="J28" s="27"/>
      <c r="K28" s="27"/>
      <c r="L28" s="27"/>
      <c r="M28" s="27"/>
    </row>
    <row r="29" spans="1:14" x14ac:dyDescent="0.25">
      <c r="A29" s="38" t="s">
        <v>55</v>
      </c>
      <c r="B29" s="35"/>
      <c r="C29" s="35"/>
      <c r="D29" s="35"/>
      <c r="E29" s="35"/>
      <c r="F29" s="9">
        <f t="shared" ref="F29:L29" si="3">SUMIF(F$9:F$23,"X",$E$9:$E$23)</f>
        <v>5</v>
      </c>
      <c r="G29" s="9">
        <f t="shared" si="3"/>
        <v>9.4762033838999997</v>
      </c>
      <c r="H29" s="9">
        <f t="shared" si="3"/>
        <v>0</v>
      </c>
      <c r="I29" s="9">
        <f t="shared" si="3"/>
        <v>0</v>
      </c>
      <c r="J29" s="9">
        <f t="shared" si="3"/>
        <v>0</v>
      </c>
      <c r="K29" s="9">
        <f t="shared" si="3"/>
        <v>14.4762033839</v>
      </c>
      <c r="L29" s="9">
        <f t="shared" si="3"/>
        <v>0</v>
      </c>
    </row>
    <row r="30" spans="1:14" x14ac:dyDescent="0.25">
      <c r="A30" s="38" t="s">
        <v>56</v>
      </c>
      <c r="B30" s="35"/>
      <c r="C30" s="35"/>
      <c r="D30" s="35"/>
      <c r="E30" s="35"/>
      <c r="F30" s="28">
        <f t="shared" ref="F30:L30" si="4">IF($I32=0,0,F29/$I32)</f>
        <v>0.34539442887082189</v>
      </c>
      <c r="G30" s="28">
        <f t="shared" si="4"/>
        <v>0.65460557112917805</v>
      </c>
      <c r="H30" s="28">
        <f t="shared" si="4"/>
        <v>0</v>
      </c>
      <c r="I30" s="28">
        <f t="shared" si="4"/>
        <v>0</v>
      </c>
      <c r="J30" s="28">
        <f t="shared" si="4"/>
        <v>0</v>
      </c>
      <c r="K30" s="28">
        <f t="shared" si="4"/>
        <v>1</v>
      </c>
      <c r="L30" s="28">
        <f t="shared" si="4"/>
        <v>0</v>
      </c>
    </row>
    <row r="31" spans="1:14" x14ac:dyDescent="0.25">
      <c r="A31" s="38" t="s">
        <v>57</v>
      </c>
      <c r="B31" s="35"/>
      <c r="C31" s="35"/>
      <c r="D31" s="35"/>
      <c r="E31" s="35"/>
      <c r="F31" s="47" t="str">
        <f>IF(SUM(F29:I29)=0,"— não preenchido",IF(ROUND(SUM(F29:I29)-$I32,3)=0,"OK — "&amp;ROUND(SUM(F29:I29),3)&amp;" km","ERRO — dif. de "&amp;ROUND(SUM(F29:I29)-$I32,3)&amp;" km"))</f>
        <v>OK — 14,476 km</v>
      </c>
      <c r="G31" s="32"/>
      <c r="H31" s="32"/>
      <c r="I31" s="33"/>
      <c r="J31" s="47" t="str">
        <f>IF(SUM(J29:L29)=0,"— não preenchido",IF(ROUND(SUM(J29:L29)-$I32,3)=0,"OK — "&amp;ROUND(SUM(J29:L29),3)&amp;" km","ERRO — dif. de "&amp;ROUND(SUM(J29:L29)-$I32,3)&amp;" km"))</f>
        <v>OK — 14,476 km</v>
      </c>
      <c r="K31" s="32"/>
      <c r="L31" s="33"/>
    </row>
    <row r="32" spans="1:14" x14ac:dyDescent="0.25">
      <c r="A32" s="38" t="s">
        <v>58</v>
      </c>
      <c r="B32" s="35"/>
      <c r="C32" s="35"/>
      <c r="D32" s="35"/>
      <c r="E32" s="35"/>
      <c r="I32" s="29">
        <f>SUM(E9:E23)</f>
        <v>14.4762033839</v>
      </c>
      <c r="M32" s="8" t="str">
        <f>COUNTIF(N9:N23,"OK")&amp;" de "&amp;COUNT($E$9:$E$23)&amp;" linhas conferidas"</f>
        <v>15 de 15 linhas conferidas</v>
      </c>
    </row>
    <row r="34" spans="1:13" x14ac:dyDescent="0.25">
      <c r="A34" s="49" t="s">
        <v>59</v>
      </c>
      <c r="B34" s="35"/>
      <c r="C34" s="35"/>
      <c r="D34" s="35"/>
      <c r="E34" s="35"/>
    </row>
    <row r="35" spans="1:13" x14ac:dyDescent="0.25">
      <c r="A35" s="38" t="s">
        <v>10</v>
      </c>
      <c r="B35" s="35"/>
      <c r="C35" s="35"/>
      <c r="D35" s="35"/>
      <c r="E35" s="37" t="s">
        <v>60</v>
      </c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38" t="s">
        <v>11</v>
      </c>
      <c r="B36" s="35"/>
      <c r="C36" s="35"/>
      <c r="D36" s="35"/>
      <c r="E36" s="37" t="s">
        <v>61</v>
      </c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38" t="s">
        <v>12</v>
      </c>
      <c r="B37" s="35"/>
      <c r="C37" s="35"/>
      <c r="D37" s="35"/>
      <c r="E37" s="37" t="s">
        <v>62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8" t="s">
        <v>63</v>
      </c>
      <c r="B38" s="35"/>
      <c r="C38" s="35"/>
      <c r="D38" s="35"/>
      <c r="E38" s="37" t="s">
        <v>64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8" t="s">
        <v>65</v>
      </c>
      <c r="B39" s="35"/>
      <c r="C39" s="35"/>
      <c r="D39" s="35"/>
      <c r="E39" s="37" t="s">
        <v>66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8" t="s">
        <v>67</v>
      </c>
      <c r="B40" s="35"/>
      <c r="C40" s="35"/>
      <c r="D40" s="35"/>
      <c r="E40" s="37" t="s">
        <v>68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8" t="s">
        <v>42</v>
      </c>
      <c r="B41" s="35"/>
      <c r="C41" s="35"/>
      <c r="D41" s="35"/>
      <c r="E41" s="37" t="s">
        <v>69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8" t="s">
        <v>70</v>
      </c>
      <c r="B42" s="35"/>
      <c r="C42" s="35"/>
      <c r="D42" s="35"/>
      <c r="E42" s="37" t="s">
        <v>71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8" t="s">
        <v>72</v>
      </c>
      <c r="B43" s="35"/>
      <c r="C43" s="35"/>
      <c r="D43" s="35"/>
      <c r="E43" s="37" t="s">
        <v>73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8" t="s">
        <v>8</v>
      </c>
      <c r="B44" s="35"/>
      <c r="C44" s="35"/>
      <c r="D44" s="35"/>
      <c r="E44" s="37" t="s">
        <v>74</v>
      </c>
      <c r="F44" s="35"/>
      <c r="G44" s="35"/>
      <c r="H44" s="35"/>
      <c r="I44" s="35"/>
      <c r="J44" s="35"/>
      <c r="K44" s="35"/>
      <c r="L44" s="35"/>
      <c r="M44" s="35"/>
    </row>
  </sheetData>
  <sheetProtection sheet="1" formatCells="0"/>
  <mergeCells count="50">
    <mergeCell ref="A1:M1"/>
    <mergeCell ref="A26:E26"/>
    <mergeCell ref="E41:M41"/>
    <mergeCell ref="E37:M37"/>
    <mergeCell ref="N6:N7"/>
    <mergeCell ref="A32:E32"/>
    <mergeCell ref="K3:M3"/>
    <mergeCell ref="A41:D41"/>
    <mergeCell ref="G26:K26"/>
    <mergeCell ref="A37:D37"/>
    <mergeCell ref="A29:E29"/>
    <mergeCell ref="A28:E28"/>
    <mergeCell ref="A3:J3"/>
    <mergeCell ref="G25:K25"/>
    <mergeCell ref="E39:M39"/>
    <mergeCell ref="C6:C7"/>
    <mergeCell ref="A44:D44"/>
    <mergeCell ref="A40:D40"/>
    <mergeCell ref="K2:M2"/>
    <mergeCell ref="D2:E2"/>
    <mergeCell ref="E44:M44"/>
    <mergeCell ref="A25:E25"/>
    <mergeCell ref="E36:M36"/>
    <mergeCell ref="J31:L31"/>
    <mergeCell ref="A39:D39"/>
    <mergeCell ref="M6:M7"/>
    <mergeCell ref="E6:E7"/>
    <mergeCell ref="B6:B7"/>
    <mergeCell ref="A36:D36"/>
    <mergeCell ref="F6:I6"/>
    <mergeCell ref="E43:M43"/>
    <mergeCell ref="E42:M42"/>
    <mergeCell ref="A35:D35"/>
    <mergeCell ref="A38:D38"/>
    <mergeCell ref="A4:M4"/>
    <mergeCell ref="E40:M40"/>
    <mergeCell ref="A43:D43"/>
    <mergeCell ref="A6:A7"/>
    <mergeCell ref="A31:E31"/>
    <mergeCell ref="D6:D7"/>
    <mergeCell ref="A42:D42"/>
    <mergeCell ref="E35:M35"/>
    <mergeCell ref="E38:M38"/>
    <mergeCell ref="A30:E30"/>
    <mergeCell ref="J6:L6"/>
    <mergeCell ref="F31:I31"/>
    <mergeCell ref="A34:E34"/>
    <mergeCell ref="G2:H2"/>
    <mergeCell ref="A8:M8"/>
    <mergeCell ref="A2:C2"/>
  </mergeCells>
  <conditionalFormatting sqref="F9:I23">
    <cfRule type="expression" dxfId="41" priority="1">
      <formula>AND(F9&lt;&gt;"",COUNTIF($F9:$I9,"X")&gt;1)</formula>
    </cfRule>
  </conditionalFormatting>
  <conditionalFormatting sqref="F31:L31">
    <cfRule type="expression" dxfId="40" priority="5">
      <formula>LEFT(F31,4)="ERRO"</formula>
    </cfRule>
    <cfRule type="expression" dxfId="39" priority="6">
      <formula>LEFT(F31,2)="OK"</formula>
    </cfRule>
  </conditionalFormatting>
  <conditionalFormatting sqref="J9:L23">
    <cfRule type="expression" dxfId="38" priority="2">
      <formula>AND(J9&lt;&gt;"",COUNTIF($J9:$L9,"X")&gt;1)</formula>
    </cfRule>
  </conditionalFormatting>
  <conditionalFormatting sqref="N9:N23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267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6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 t="e">
        <f t="shared" ref="P2:V2" si="0">IF(F49=0,NA(),F49)</f>
        <v>#N/A</v>
      </c>
      <c r="Q2" s="2">
        <f t="shared" si="0"/>
        <v>34.769106100999998</v>
      </c>
      <c r="R2" s="2" t="e">
        <f t="shared" si="0"/>
        <v>#N/A</v>
      </c>
      <c r="S2" s="2" t="e">
        <f t="shared" si="0"/>
        <v>#N/A</v>
      </c>
      <c r="T2" s="2">
        <f t="shared" si="0"/>
        <v>34.769106100999998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110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111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113</v>
      </c>
      <c r="B9" s="16" t="s">
        <v>50</v>
      </c>
      <c r="C9" s="17">
        <v>0</v>
      </c>
      <c r="D9" s="17">
        <v>1</v>
      </c>
      <c r="E9" s="17">
        <f t="shared" ref="E9:E43" si="1">D9-C9</f>
        <v>1</v>
      </c>
      <c r="F9" s="18"/>
      <c r="G9" s="18" t="s">
        <v>79</v>
      </c>
      <c r="H9" s="18"/>
      <c r="I9" s="18"/>
      <c r="J9" s="18" t="s">
        <v>79</v>
      </c>
      <c r="K9" s="18"/>
      <c r="L9" s="18"/>
      <c r="M9" s="19"/>
      <c r="N9" s="20" t="str">
        <f t="shared" ref="N9:N4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113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 t="s">
        <v>79</v>
      </c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113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 t="s">
        <v>79</v>
      </c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113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 t="s">
        <v>79</v>
      </c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113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 t="s">
        <v>79</v>
      </c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113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113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113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113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113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113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113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/>
      <c r="G20" s="18" t="s">
        <v>79</v>
      </c>
      <c r="H20" s="18"/>
      <c r="I20" s="18"/>
      <c r="J20" s="18" t="s">
        <v>79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113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/>
      <c r="G21" s="18" t="s">
        <v>79</v>
      </c>
      <c r="H21" s="18"/>
      <c r="I21" s="18"/>
      <c r="J21" s="18" t="s">
        <v>79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113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/>
      <c r="G22" s="18" t="s">
        <v>79</v>
      </c>
      <c r="H22" s="18"/>
      <c r="I22" s="18"/>
      <c r="J22" s="18" t="s">
        <v>79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113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/>
      <c r="G23" s="18" t="s">
        <v>79</v>
      </c>
      <c r="H23" s="18"/>
      <c r="I23" s="18"/>
      <c r="J23" s="18" t="s">
        <v>79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113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/>
      <c r="G24" s="18" t="s">
        <v>79</v>
      </c>
      <c r="H24" s="18"/>
      <c r="I24" s="18"/>
      <c r="J24" s="18" t="s">
        <v>79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113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/>
      <c r="G25" s="18" t="s">
        <v>79</v>
      </c>
      <c r="H25" s="18"/>
      <c r="I25" s="18"/>
      <c r="J25" s="18" t="s">
        <v>79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113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/>
      <c r="G26" s="18" t="s">
        <v>79</v>
      </c>
      <c r="H26" s="18"/>
      <c r="I26" s="18"/>
      <c r="J26" s="18" t="s">
        <v>79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113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/>
      <c r="G27" s="18" t="s">
        <v>79</v>
      </c>
      <c r="H27" s="18"/>
      <c r="I27" s="18"/>
      <c r="J27" s="18" t="s">
        <v>79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113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/>
      <c r="G28" s="18" t="s">
        <v>79</v>
      </c>
      <c r="H28" s="18"/>
      <c r="I28" s="18"/>
      <c r="J28" s="18" t="s">
        <v>79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113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/>
      <c r="G29" s="18" t="s">
        <v>79</v>
      </c>
      <c r="H29" s="18"/>
      <c r="I29" s="18"/>
      <c r="J29" s="18" t="s">
        <v>79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113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/>
      <c r="G30" s="18" t="s">
        <v>79</v>
      </c>
      <c r="H30" s="18"/>
      <c r="I30" s="18"/>
      <c r="J30" s="18" t="s">
        <v>79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113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/>
      <c r="G31" s="18" t="s">
        <v>79</v>
      </c>
      <c r="H31" s="18"/>
      <c r="I31" s="18"/>
      <c r="J31" s="18" t="s">
        <v>79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113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/>
      <c r="G32" s="18" t="s">
        <v>79</v>
      </c>
      <c r="H32" s="18"/>
      <c r="I32" s="18"/>
      <c r="J32" s="18" t="s">
        <v>79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113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/>
      <c r="G33" s="18" t="s">
        <v>79</v>
      </c>
      <c r="H33" s="18"/>
      <c r="I33" s="18"/>
      <c r="J33" s="18" t="s">
        <v>79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113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/>
      <c r="G34" s="18" t="s">
        <v>79</v>
      </c>
      <c r="H34" s="18"/>
      <c r="I34" s="18"/>
      <c r="J34" s="18" t="s">
        <v>79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113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/>
      <c r="G35" s="18" t="s">
        <v>79</v>
      </c>
      <c r="H35" s="18"/>
      <c r="I35" s="18"/>
      <c r="J35" s="18" t="s">
        <v>79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113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/>
      <c r="G36" s="18" t="s">
        <v>79</v>
      </c>
      <c r="H36" s="18"/>
      <c r="I36" s="18"/>
      <c r="J36" s="18" t="s">
        <v>79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113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/>
      <c r="G37" s="18" t="s">
        <v>79</v>
      </c>
      <c r="H37" s="18"/>
      <c r="I37" s="18"/>
      <c r="J37" s="18" t="s">
        <v>79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113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/>
      <c r="G38" s="18" t="s">
        <v>79</v>
      </c>
      <c r="H38" s="18"/>
      <c r="I38" s="18"/>
      <c r="J38" s="18" t="s">
        <v>79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113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/>
      <c r="G39" s="18" t="s">
        <v>79</v>
      </c>
      <c r="H39" s="18"/>
      <c r="I39" s="18"/>
      <c r="J39" s="18" t="s">
        <v>79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113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/>
      <c r="G40" s="18" t="s">
        <v>79</v>
      </c>
      <c r="H40" s="18"/>
      <c r="I40" s="18"/>
      <c r="J40" s="18" t="s">
        <v>79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113</v>
      </c>
      <c r="B41" s="16" t="s">
        <v>50</v>
      </c>
      <c r="C41" s="17">
        <v>32</v>
      </c>
      <c r="D41" s="17">
        <v>33</v>
      </c>
      <c r="E41" s="17">
        <f t="shared" si="1"/>
        <v>1</v>
      </c>
      <c r="F41" s="18"/>
      <c r="G41" s="18" t="s">
        <v>79</v>
      </c>
      <c r="H41" s="18"/>
      <c r="I41" s="18"/>
      <c r="J41" s="18" t="s">
        <v>79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113</v>
      </c>
      <c r="B42" s="16" t="s">
        <v>50</v>
      </c>
      <c r="C42" s="17">
        <v>33</v>
      </c>
      <c r="D42" s="17">
        <v>34</v>
      </c>
      <c r="E42" s="17">
        <f t="shared" si="1"/>
        <v>1</v>
      </c>
      <c r="F42" s="18"/>
      <c r="G42" s="18" t="s">
        <v>79</v>
      </c>
      <c r="H42" s="18"/>
      <c r="I42" s="18"/>
      <c r="J42" s="18" t="s">
        <v>79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21" t="s">
        <v>113</v>
      </c>
      <c r="B43" s="22" t="s">
        <v>50</v>
      </c>
      <c r="C43" s="23">
        <v>34</v>
      </c>
      <c r="D43" s="23">
        <v>34.769106100999998</v>
      </c>
      <c r="E43" s="23">
        <f t="shared" si="1"/>
        <v>0.76910610099999843</v>
      </c>
      <c r="F43" s="24"/>
      <c r="G43" s="24" t="s">
        <v>79</v>
      </c>
      <c r="H43" s="24"/>
      <c r="I43" s="24"/>
      <c r="J43" s="24" t="s">
        <v>79</v>
      </c>
      <c r="K43" s="24"/>
      <c r="L43" s="24"/>
      <c r="M43" s="25"/>
      <c r="N43" s="26" t="str">
        <f t="shared" si="2"/>
        <v>OK</v>
      </c>
    </row>
    <row r="45" spans="1:14" x14ac:dyDescent="0.25">
      <c r="A45" s="41" t="s">
        <v>51</v>
      </c>
      <c r="B45" s="35"/>
      <c r="C45" s="35"/>
      <c r="D45" s="35"/>
      <c r="E45" s="35"/>
      <c r="G45" s="41" t="s">
        <v>51</v>
      </c>
      <c r="H45" s="35"/>
      <c r="I45" s="35"/>
      <c r="J45" s="35"/>
      <c r="K45" s="35"/>
    </row>
    <row r="46" spans="1:14" x14ac:dyDescent="0.25">
      <c r="A46" s="48" t="s">
        <v>52</v>
      </c>
      <c r="B46" s="35"/>
      <c r="C46" s="35"/>
      <c r="D46" s="35"/>
      <c r="E46" s="35"/>
      <c r="G46" s="48" t="s">
        <v>53</v>
      </c>
      <c r="H46" s="35"/>
      <c r="I46" s="35"/>
      <c r="J46" s="35"/>
      <c r="K46" s="35"/>
    </row>
    <row r="48" spans="1:14" x14ac:dyDescent="0.25">
      <c r="A48" s="42" t="s">
        <v>54</v>
      </c>
      <c r="B48" s="35"/>
      <c r="C48" s="35"/>
      <c r="D48" s="35"/>
      <c r="E48" s="35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8" t="s">
        <v>55</v>
      </c>
      <c r="B49" s="35"/>
      <c r="C49" s="35"/>
      <c r="D49" s="35"/>
      <c r="E49" s="35"/>
      <c r="F49" s="9">
        <f t="shared" ref="F49:L49" si="3">SUMIF(F$9:F$43,"X",$E$9:$E$43)</f>
        <v>0</v>
      </c>
      <c r="G49" s="9">
        <f t="shared" si="3"/>
        <v>34.769106100999998</v>
      </c>
      <c r="H49" s="9">
        <f t="shared" si="3"/>
        <v>0</v>
      </c>
      <c r="I49" s="9">
        <f t="shared" si="3"/>
        <v>0</v>
      </c>
      <c r="J49" s="9">
        <f t="shared" si="3"/>
        <v>34.769106100999998</v>
      </c>
      <c r="K49" s="9">
        <f t="shared" si="3"/>
        <v>0</v>
      </c>
      <c r="L49" s="9">
        <f t="shared" si="3"/>
        <v>0</v>
      </c>
    </row>
    <row r="50" spans="1:13" x14ac:dyDescent="0.25">
      <c r="A50" s="38" t="s">
        <v>56</v>
      </c>
      <c r="B50" s="35"/>
      <c r="C50" s="35"/>
      <c r="D50" s="35"/>
      <c r="E50" s="35"/>
      <c r="F50" s="28">
        <f t="shared" ref="F50:L50" si="4">IF($I52=0,0,F49/$I52)</f>
        <v>0</v>
      </c>
      <c r="G50" s="28">
        <f t="shared" si="4"/>
        <v>1</v>
      </c>
      <c r="H50" s="28">
        <f t="shared" si="4"/>
        <v>0</v>
      </c>
      <c r="I50" s="28">
        <f t="shared" si="4"/>
        <v>0</v>
      </c>
      <c r="J50" s="28">
        <f t="shared" si="4"/>
        <v>1</v>
      </c>
      <c r="K50" s="28">
        <f t="shared" si="4"/>
        <v>0</v>
      </c>
      <c r="L50" s="28">
        <f t="shared" si="4"/>
        <v>0</v>
      </c>
    </row>
    <row r="51" spans="1:13" x14ac:dyDescent="0.25">
      <c r="A51" s="38" t="s">
        <v>57</v>
      </c>
      <c r="B51" s="35"/>
      <c r="C51" s="35"/>
      <c r="D51" s="35"/>
      <c r="E51" s="35"/>
      <c r="F51" s="47" t="str">
        <f>IF(SUM(F49:I49)=0,"— não preenchido",IF(ROUND(SUM(F49:I49)-$I52,3)=0,"OK — "&amp;ROUND(SUM(F49:I49),3)&amp;" km","ERRO — dif. de "&amp;ROUND(SUM(F49:I49)-$I52,3)&amp;" km"))</f>
        <v>OK — 34,769 km</v>
      </c>
      <c r="G51" s="32"/>
      <c r="H51" s="32"/>
      <c r="I51" s="33"/>
      <c r="J51" s="47" t="str">
        <f>IF(SUM(J49:L49)=0,"— não preenchido",IF(ROUND(SUM(J49:L49)-$I52,3)=0,"OK — "&amp;ROUND(SUM(J49:L49),3)&amp;" km","ERRO — dif. de "&amp;ROUND(SUM(J49:L49)-$I52,3)&amp;" km"))</f>
        <v>OK — 34,769 km</v>
      </c>
      <c r="K51" s="32"/>
      <c r="L51" s="33"/>
    </row>
    <row r="52" spans="1:13" x14ac:dyDescent="0.25">
      <c r="A52" s="38" t="s">
        <v>58</v>
      </c>
      <c r="B52" s="35"/>
      <c r="C52" s="35"/>
      <c r="D52" s="35"/>
      <c r="E52" s="35"/>
      <c r="I52" s="29">
        <f>SUM(E9:E43)</f>
        <v>34.769106100999998</v>
      </c>
      <c r="M52" s="8" t="str">
        <f>COUNTIF(N9:N43,"OK")&amp;" de "&amp;COUNT($E$9:$E$43)&amp;" linhas conferidas"</f>
        <v>35 de 35 linhas conferidas</v>
      </c>
    </row>
    <row r="54" spans="1:13" x14ac:dyDescent="0.25">
      <c r="A54" s="49" t="s">
        <v>59</v>
      </c>
      <c r="B54" s="35"/>
      <c r="C54" s="35"/>
      <c r="D54" s="35"/>
      <c r="E54" s="35"/>
    </row>
    <row r="55" spans="1:13" x14ac:dyDescent="0.25">
      <c r="A55" s="38" t="s">
        <v>10</v>
      </c>
      <c r="B55" s="35"/>
      <c r="C55" s="35"/>
      <c r="D55" s="35"/>
      <c r="E55" s="37" t="s">
        <v>60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11</v>
      </c>
      <c r="B56" s="35"/>
      <c r="C56" s="35"/>
      <c r="D56" s="35"/>
      <c r="E56" s="37" t="s">
        <v>61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12</v>
      </c>
      <c r="B57" s="35"/>
      <c r="C57" s="35"/>
      <c r="D57" s="35"/>
      <c r="E57" s="37" t="s">
        <v>62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63</v>
      </c>
      <c r="B58" s="35"/>
      <c r="C58" s="35"/>
      <c r="D58" s="35"/>
      <c r="E58" s="37" t="s">
        <v>64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65</v>
      </c>
      <c r="B59" s="35"/>
      <c r="C59" s="35"/>
      <c r="D59" s="35"/>
      <c r="E59" s="37" t="s">
        <v>66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8" t="s">
        <v>67</v>
      </c>
      <c r="B60" s="35"/>
      <c r="C60" s="35"/>
      <c r="D60" s="35"/>
      <c r="E60" s="37" t="s">
        <v>68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42</v>
      </c>
      <c r="B61" s="35"/>
      <c r="C61" s="35"/>
      <c r="D61" s="35"/>
      <c r="E61" s="37" t="s">
        <v>69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70</v>
      </c>
      <c r="B62" s="35"/>
      <c r="C62" s="35"/>
      <c r="D62" s="35"/>
      <c r="E62" s="37" t="s">
        <v>71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8" t="s">
        <v>72</v>
      </c>
      <c r="B63" s="35"/>
      <c r="C63" s="35"/>
      <c r="D63" s="35"/>
      <c r="E63" s="37" t="s">
        <v>73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8" t="s">
        <v>8</v>
      </c>
      <c r="B64" s="35"/>
      <c r="C64" s="35"/>
      <c r="D64" s="35"/>
      <c r="E64" s="37" t="s">
        <v>74</v>
      </c>
      <c r="F64" s="35"/>
      <c r="G64" s="35"/>
      <c r="H64" s="35"/>
      <c r="I64" s="35"/>
      <c r="J64" s="35"/>
      <c r="K64" s="35"/>
      <c r="L64" s="35"/>
      <c r="M64" s="35"/>
    </row>
  </sheetData>
  <sheetProtection sheet="1" formatCells="0"/>
  <mergeCells count="50">
    <mergeCell ref="E64:M64"/>
    <mergeCell ref="D6:D7"/>
    <mergeCell ref="A1:M1"/>
    <mergeCell ref="A61:D61"/>
    <mergeCell ref="E56:M56"/>
    <mergeCell ref="N6:N7"/>
    <mergeCell ref="K3:M3"/>
    <mergeCell ref="G45:K45"/>
    <mergeCell ref="F51:I51"/>
    <mergeCell ref="E58:M58"/>
    <mergeCell ref="E55:M55"/>
    <mergeCell ref="A56:D56"/>
    <mergeCell ref="A52:E52"/>
    <mergeCell ref="A3:J3"/>
    <mergeCell ref="G46:K46"/>
    <mergeCell ref="A55:D55"/>
    <mergeCell ref="A57:D57"/>
    <mergeCell ref="C6:C7"/>
    <mergeCell ref="D2:E2"/>
    <mergeCell ref="A54:E54"/>
    <mergeCell ref="A58:D58"/>
    <mergeCell ref="E61:M61"/>
    <mergeCell ref="A64:D64"/>
    <mergeCell ref="M6:M7"/>
    <mergeCell ref="A59:D59"/>
    <mergeCell ref="A46:E46"/>
    <mergeCell ref="E6:E7"/>
    <mergeCell ref="B6:B7"/>
    <mergeCell ref="E57:M57"/>
    <mergeCell ref="A60:D60"/>
    <mergeCell ref="F6:I6"/>
    <mergeCell ref="J51:L51"/>
    <mergeCell ref="A50:E50"/>
    <mergeCell ref="E62:M62"/>
    <mergeCell ref="J6:L6"/>
    <mergeCell ref="A48:E48"/>
    <mergeCell ref="E63:M63"/>
    <mergeCell ref="G2:H2"/>
    <mergeCell ref="A8:M8"/>
    <mergeCell ref="A62:D62"/>
    <mergeCell ref="A4:M4"/>
    <mergeCell ref="A49:E49"/>
    <mergeCell ref="A51:E51"/>
    <mergeCell ref="A45:E45"/>
    <mergeCell ref="E60:M60"/>
    <mergeCell ref="A6:A7"/>
    <mergeCell ref="A63:D63"/>
    <mergeCell ref="A2:C2"/>
    <mergeCell ref="E59:M59"/>
    <mergeCell ref="K2:M2"/>
  </mergeCells>
  <conditionalFormatting sqref="F9:I43">
    <cfRule type="expression" dxfId="35" priority="1">
      <formula>AND(F9&lt;&gt;"",COUNTIF($F9:$I9,"X")&gt;1)</formula>
    </cfRule>
  </conditionalFormatting>
  <conditionalFormatting sqref="F51:L51">
    <cfRule type="expression" dxfId="34" priority="5">
      <formula>LEFT(F51,4)="ERRO"</formula>
    </cfRule>
    <cfRule type="expression" dxfId="33" priority="6">
      <formula>LEFT(F51,2)="OK"</formula>
    </cfRule>
  </conditionalFormatting>
  <conditionalFormatting sqref="J9:L43">
    <cfRule type="expression" dxfId="32" priority="2">
      <formula>AND(J9&lt;&gt;"",COUNTIF($J9:$L9,"X")&gt;1)</formula>
    </cfRule>
  </conditionalFormatting>
  <conditionalFormatting sqref="N9:N43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268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10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IF(F89=0,NA(),F89)</f>
        <v>73.03957648558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11</v>
      </c>
      <c r="U2" s="2">
        <f t="shared" si="0"/>
        <v>62.03957648558</v>
      </c>
      <c r="V2" s="2" t="e">
        <f t="shared" si="0"/>
        <v>#N/A</v>
      </c>
    </row>
    <row r="3" spans="1:22" ht="15" customHeight="1" x14ac:dyDescent="0.25">
      <c r="A3" s="50" t="s">
        <v>114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115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116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117</v>
      </c>
      <c r="B9" s="16" t="s">
        <v>50</v>
      </c>
      <c r="C9" s="17">
        <v>0</v>
      </c>
      <c r="D9" s="17">
        <v>1</v>
      </c>
      <c r="E9" s="17">
        <f t="shared" ref="E9:E40" si="1">D9-C9</f>
        <v>1</v>
      </c>
      <c r="F9" s="18" t="s">
        <v>79</v>
      </c>
      <c r="G9" s="18"/>
      <c r="H9" s="18"/>
      <c r="I9" s="18"/>
      <c r="J9" s="18" t="s">
        <v>79</v>
      </c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117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117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117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117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117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 t="s">
        <v>79</v>
      </c>
      <c r="G14" s="18"/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117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 t="s">
        <v>79</v>
      </c>
      <c r="G15" s="18"/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117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 t="s">
        <v>79</v>
      </c>
      <c r="G16" s="18"/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117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 t="s">
        <v>79</v>
      </c>
      <c r="G17" s="18"/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117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 t="s">
        <v>79</v>
      </c>
      <c r="G18" s="18"/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117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 t="s">
        <v>79</v>
      </c>
      <c r="G19" s="18"/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117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/>
      <c r="K20" s="18" t="s">
        <v>79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117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/>
      <c r="K21" s="18" t="s">
        <v>79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117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/>
      <c r="K22" s="18" t="s">
        <v>79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117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/>
      <c r="K23" s="18" t="s">
        <v>79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117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/>
      <c r="K24" s="18" t="s">
        <v>79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117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/>
      <c r="K25" s="18" t="s">
        <v>79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117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/>
      <c r="K26" s="18" t="s">
        <v>79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117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/>
      <c r="K27" s="18" t="s">
        <v>79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117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/>
      <c r="K28" s="18" t="s">
        <v>79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117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/>
      <c r="K29" s="18" t="s">
        <v>79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117</v>
      </c>
      <c r="B30" s="16" t="s">
        <v>50</v>
      </c>
      <c r="C30" s="17">
        <v>21</v>
      </c>
      <c r="D30" s="17">
        <v>22</v>
      </c>
      <c r="E30" s="17">
        <f t="shared" si="1"/>
        <v>1</v>
      </c>
      <c r="F30" s="18" t="s">
        <v>79</v>
      </c>
      <c r="G30" s="18"/>
      <c r="H30" s="18"/>
      <c r="I30" s="18"/>
      <c r="J30" s="18"/>
      <c r="K30" s="18" t="s">
        <v>79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117</v>
      </c>
      <c r="B31" s="16" t="s">
        <v>50</v>
      </c>
      <c r="C31" s="17">
        <v>22</v>
      </c>
      <c r="D31" s="17">
        <v>23</v>
      </c>
      <c r="E31" s="17">
        <f t="shared" si="1"/>
        <v>1</v>
      </c>
      <c r="F31" s="18" t="s">
        <v>79</v>
      </c>
      <c r="G31" s="18"/>
      <c r="H31" s="18"/>
      <c r="I31" s="18"/>
      <c r="J31" s="18"/>
      <c r="K31" s="18" t="s">
        <v>79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117</v>
      </c>
      <c r="B32" s="16" t="s">
        <v>50</v>
      </c>
      <c r="C32" s="17">
        <v>23</v>
      </c>
      <c r="D32" s="17">
        <v>24</v>
      </c>
      <c r="E32" s="17">
        <f t="shared" si="1"/>
        <v>1</v>
      </c>
      <c r="F32" s="18" t="s">
        <v>79</v>
      </c>
      <c r="G32" s="18"/>
      <c r="H32" s="18"/>
      <c r="I32" s="18"/>
      <c r="J32" s="18"/>
      <c r="K32" s="18" t="s">
        <v>79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117</v>
      </c>
      <c r="B33" s="16" t="s">
        <v>50</v>
      </c>
      <c r="C33" s="17">
        <v>24</v>
      </c>
      <c r="D33" s="17">
        <v>25</v>
      </c>
      <c r="E33" s="17">
        <f t="shared" si="1"/>
        <v>1</v>
      </c>
      <c r="F33" s="18" t="s">
        <v>79</v>
      </c>
      <c r="G33" s="18"/>
      <c r="H33" s="18"/>
      <c r="I33" s="18"/>
      <c r="J33" s="18"/>
      <c r="K33" s="18" t="s">
        <v>79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117</v>
      </c>
      <c r="B34" s="16" t="s">
        <v>50</v>
      </c>
      <c r="C34" s="17">
        <v>25</v>
      </c>
      <c r="D34" s="17">
        <v>26</v>
      </c>
      <c r="E34" s="17">
        <f t="shared" si="1"/>
        <v>1</v>
      </c>
      <c r="F34" s="18" t="s">
        <v>79</v>
      </c>
      <c r="G34" s="18"/>
      <c r="H34" s="18"/>
      <c r="I34" s="18"/>
      <c r="J34" s="18"/>
      <c r="K34" s="18" t="s">
        <v>79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117</v>
      </c>
      <c r="B35" s="16" t="s">
        <v>50</v>
      </c>
      <c r="C35" s="17">
        <v>26</v>
      </c>
      <c r="D35" s="17">
        <v>27</v>
      </c>
      <c r="E35" s="17">
        <f t="shared" si="1"/>
        <v>1</v>
      </c>
      <c r="F35" s="18" t="s">
        <v>79</v>
      </c>
      <c r="G35" s="18"/>
      <c r="H35" s="18"/>
      <c r="I35" s="18"/>
      <c r="J35" s="18"/>
      <c r="K35" s="18" t="s">
        <v>79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117</v>
      </c>
      <c r="B36" s="16" t="s">
        <v>50</v>
      </c>
      <c r="C36" s="17">
        <v>27</v>
      </c>
      <c r="D36" s="17">
        <v>28</v>
      </c>
      <c r="E36" s="17">
        <f t="shared" si="1"/>
        <v>1</v>
      </c>
      <c r="F36" s="18" t="s">
        <v>79</v>
      </c>
      <c r="G36" s="18"/>
      <c r="H36" s="18"/>
      <c r="I36" s="18"/>
      <c r="J36" s="18"/>
      <c r="K36" s="18" t="s">
        <v>79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117</v>
      </c>
      <c r="B37" s="16" t="s">
        <v>50</v>
      </c>
      <c r="C37" s="17">
        <v>28</v>
      </c>
      <c r="D37" s="17">
        <v>29</v>
      </c>
      <c r="E37" s="17">
        <f t="shared" si="1"/>
        <v>1</v>
      </c>
      <c r="F37" s="18" t="s">
        <v>79</v>
      </c>
      <c r="G37" s="18"/>
      <c r="H37" s="18"/>
      <c r="I37" s="18"/>
      <c r="J37" s="18"/>
      <c r="K37" s="18" t="s">
        <v>79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117</v>
      </c>
      <c r="B38" s="16" t="s">
        <v>50</v>
      </c>
      <c r="C38" s="17">
        <v>29</v>
      </c>
      <c r="D38" s="17">
        <v>30</v>
      </c>
      <c r="E38" s="17">
        <f t="shared" si="1"/>
        <v>1</v>
      </c>
      <c r="F38" s="18" t="s">
        <v>79</v>
      </c>
      <c r="G38" s="18"/>
      <c r="H38" s="18"/>
      <c r="I38" s="18"/>
      <c r="J38" s="18"/>
      <c r="K38" s="18" t="s">
        <v>79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117</v>
      </c>
      <c r="B39" s="16" t="s">
        <v>50</v>
      </c>
      <c r="C39" s="17">
        <v>30</v>
      </c>
      <c r="D39" s="17">
        <v>31</v>
      </c>
      <c r="E39" s="17">
        <f t="shared" si="1"/>
        <v>1</v>
      </c>
      <c r="F39" s="18" t="s">
        <v>79</v>
      </c>
      <c r="G39" s="18"/>
      <c r="H39" s="18"/>
      <c r="I39" s="18"/>
      <c r="J39" s="18"/>
      <c r="K39" s="18" t="s">
        <v>79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117</v>
      </c>
      <c r="B40" s="16" t="s">
        <v>50</v>
      </c>
      <c r="C40" s="17">
        <v>31</v>
      </c>
      <c r="D40" s="17">
        <v>32</v>
      </c>
      <c r="E40" s="17">
        <f t="shared" si="1"/>
        <v>1</v>
      </c>
      <c r="F40" s="18" t="s">
        <v>79</v>
      </c>
      <c r="G40" s="18"/>
      <c r="H40" s="18"/>
      <c r="I40" s="18"/>
      <c r="J40" s="18"/>
      <c r="K40" s="18" t="s">
        <v>79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117</v>
      </c>
      <c r="B41" s="16" t="s">
        <v>50</v>
      </c>
      <c r="C41" s="17">
        <v>32</v>
      </c>
      <c r="D41" s="17">
        <v>33</v>
      </c>
      <c r="E41" s="17">
        <f t="shared" ref="E41:E72" si="3">D41-C41</f>
        <v>1</v>
      </c>
      <c r="F41" s="18" t="s">
        <v>79</v>
      </c>
      <c r="G41" s="18"/>
      <c r="H41" s="18"/>
      <c r="I41" s="18"/>
      <c r="J41" s="18"/>
      <c r="K41" s="18" t="s">
        <v>79</v>
      </c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117</v>
      </c>
      <c r="B42" s="16" t="s">
        <v>50</v>
      </c>
      <c r="C42" s="17">
        <v>33</v>
      </c>
      <c r="D42" s="17">
        <v>34</v>
      </c>
      <c r="E42" s="17">
        <f t="shared" si="3"/>
        <v>1</v>
      </c>
      <c r="F42" s="18" t="s">
        <v>79</v>
      </c>
      <c r="G42" s="18"/>
      <c r="H42" s="18"/>
      <c r="I42" s="18"/>
      <c r="J42" s="18"/>
      <c r="K42" s="18" t="s">
        <v>79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117</v>
      </c>
      <c r="B43" s="16" t="s">
        <v>50</v>
      </c>
      <c r="C43" s="17">
        <v>34</v>
      </c>
      <c r="D43" s="17">
        <v>35</v>
      </c>
      <c r="E43" s="17">
        <f t="shared" si="3"/>
        <v>1</v>
      </c>
      <c r="F43" s="18" t="s">
        <v>79</v>
      </c>
      <c r="G43" s="18"/>
      <c r="H43" s="18"/>
      <c r="I43" s="18"/>
      <c r="J43" s="18"/>
      <c r="K43" s="18" t="s">
        <v>79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117</v>
      </c>
      <c r="B44" s="16" t="s">
        <v>50</v>
      </c>
      <c r="C44" s="17">
        <v>35</v>
      </c>
      <c r="D44" s="17">
        <v>36</v>
      </c>
      <c r="E44" s="17">
        <f t="shared" si="3"/>
        <v>1</v>
      </c>
      <c r="F44" s="18" t="s">
        <v>79</v>
      </c>
      <c r="G44" s="18"/>
      <c r="H44" s="18"/>
      <c r="I44" s="18"/>
      <c r="J44" s="18"/>
      <c r="K44" s="18" t="s">
        <v>79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117</v>
      </c>
      <c r="B45" s="16" t="s">
        <v>50</v>
      </c>
      <c r="C45" s="17">
        <v>36</v>
      </c>
      <c r="D45" s="17">
        <v>37</v>
      </c>
      <c r="E45" s="17">
        <f t="shared" si="3"/>
        <v>1</v>
      </c>
      <c r="F45" s="18" t="s">
        <v>79</v>
      </c>
      <c r="G45" s="18"/>
      <c r="H45" s="18"/>
      <c r="I45" s="18"/>
      <c r="J45" s="18"/>
      <c r="K45" s="18" t="s">
        <v>79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117</v>
      </c>
      <c r="B46" s="16" t="s">
        <v>50</v>
      </c>
      <c r="C46" s="17">
        <v>37</v>
      </c>
      <c r="D46" s="17">
        <v>38</v>
      </c>
      <c r="E46" s="17">
        <f t="shared" si="3"/>
        <v>1</v>
      </c>
      <c r="F46" s="18" t="s">
        <v>79</v>
      </c>
      <c r="G46" s="18"/>
      <c r="H46" s="18"/>
      <c r="I46" s="18"/>
      <c r="J46" s="18"/>
      <c r="K46" s="18" t="s">
        <v>79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117</v>
      </c>
      <c r="B47" s="16" t="s">
        <v>50</v>
      </c>
      <c r="C47" s="17">
        <v>38</v>
      </c>
      <c r="D47" s="17">
        <v>39</v>
      </c>
      <c r="E47" s="17">
        <f t="shared" si="3"/>
        <v>1</v>
      </c>
      <c r="F47" s="18" t="s">
        <v>79</v>
      </c>
      <c r="G47" s="18"/>
      <c r="H47" s="18"/>
      <c r="I47" s="18"/>
      <c r="J47" s="18"/>
      <c r="K47" s="18" t="s">
        <v>79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117</v>
      </c>
      <c r="B48" s="16" t="s">
        <v>50</v>
      </c>
      <c r="C48" s="17">
        <v>39</v>
      </c>
      <c r="D48" s="17">
        <v>40</v>
      </c>
      <c r="E48" s="17">
        <f t="shared" si="3"/>
        <v>1</v>
      </c>
      <c r="F48" s="18" t="s">
        <v>79</v>
      </c>
      <c r="G48" s="18"/>
      <c r="H48" s="18"/>
      <c r="I48" s="18"/>
      <c r="J48" s="18"/>
      <c r="K48" s="18" t="s">
        <v>79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117</v>
      </c>
      <c r="B49" s="16" t="s">
        <v>50</v>
      </c>
      <c r="C49" s="17">
        <v>40</v>
      </c>
      <c r="D49" s="17">
        <v>41</v>
      </c>
      <c r="E49" s="17">
        <f t="shared" si="3"/>
        <v>1</v>
      </c>
      <c r="F49" s="18" t="s">
        <v>79</v>
      </c>
      <c r="G49" s="18"/>
      <c r="H49" s="18"/>
      <c r="I49" s="18"/>
      <c r="J49" s="18"/>
      <c r="K49" s="18" t="s">
        <v>79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117</v>
      </c>
      <c r="B50" s="16" t="s">
        <v>50</v>
      </c>
      <c r="C50" s="17">
        <v>41</v>
      </c>
      <c r="D50" s="17">
        <v>42</v>
      </c>
      <c r="E50" s="17">
        <f t="shared" si="3"/>
        <v>1</v>
      </c>
      <c r="F50" s="18" t="s">
        <v>79</v>
      </c>
      <c r="G50" s="18"/>
      <c r="H50" s="18"/>
      <c r="I50" s="18"/>
      <c r="J50" s="18"/>
      <c r="K50" s="18" t="s">
        <v>79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117</v>
      </c>
      <c r="B51" s="16" t="s">
        <v>50</v>
      </c>
      <c r="C51" s="17">
        <v>42</v>
      </c>
      <c r="D51" s="17">
        <v>43</v>
      </c>
      <c r="E51" s="17">
        <f t="shared" si="3"/>
        <v>1</v>
      </c>
      <c r="F51" s="18" t="s">
        <v>79</v>
      </c>
      <c r="G51" s="18"/>
      <c r="H51" s="18"/>
      <c r="I51" s="18"/>
      <c r="J51" s="18"/>
      <c r="K51" s="18" t="s">
        <v>79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117</v>
      </c>
      <c r="B52" s="16" t="s">
        <v>50</v>
      </c>
      <c r="C52" s="17">
        <v>43</v>
      </c>
      <c r="D52" s="17">
        <v>44</v>
      </c>
      <c r="E52" s="17">
        <f t="shared" si="3"/>
        <v>1</v>
      </c>
      <c r="F52" s="18" t="s">
        <v>79</v>
      </c>
      <c r="G52" s="18"/>
      <c r="H52" s="18"/>
      <c r="I52" s="18"/>
      <c r="J52" s="18"/>
      <c r="K52" s="18" t="s">
        <v>79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117</v>
      </c>
      <c r="B53" s="16" t="s">
        <v>50</v>
      </c>
      <c r="C53" s="17">
        <v>44</v>
      </c>
      <c r="D53" s="17">
        <v>45</v>
      </c>
      <c r="E53" s="17">
        <f t="shared" si="3"/>
        <v>1</v>
      </c>
      <c r="F53" s="18" t="s">
        <v>79</v>
      </c>
      <c r="G53" s="18"/>
      <c r="H53" s="18"/>
      <c r="I53" s="18"/>
      <c r="J53" s="18"/>
      <c r="K53" s="18" t="s">
        <v>79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117</v>
      </c>
      <c r="B54" s="16" t="s">
        <v>50</v>
      </c>
      <c r="C54" s="17">
        <v>45</v>
      </c>
      <c r="D54" s="17">
        <v>46</v>
      </c>
      <c r="E54" s="17">
        <f t="shared" si="3"/>
        <v>1</v>
      </c>
      <c r="F54" s="18" t="s">
        <v>79</v>
      </c>
      <c r="G54" s="18"/>
      <c r="H54" s="18"/>
      <c r="I54" s="18"/>
      <c r="J54" s="18"/>
      <c r="K54" s="18" t="s">
        <v>79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117</v>
      </c>
      <c r="B55" s="16" t="s">
        <v>50</v>
      </c>
      <c r="C55" s="17">
        <v>46</v>
      </c>
      <c r="D55" s="17">
        <v>47</v>
      </c>
      <c r="E55" s="17">
        <f t="shared" si="3"/>
        <v>1</v>
      </c>
      <c r="F55" s="18" t="s">
        <v>79</v>
      </c>
      <c r="G55" s="18"/>
      <c r="H55" s="18"/>
      <c r="I55" s="18"/>
      <c r="J55" s="18"/>
      <c r="K55" s="18" t="s">
        <v>79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117</v>
      </c>
      <c r="B56" s="16" t="s">
        <v>50</v>
      </c>
      <c r="C56" s="17">
        <v>47</v>
      </c>
      <c r="D56" s="17">
        <v>48</v>
      </c>
      <c r="E56" s="17">
        <f t="shared" si="3"/>
        <v>1</v>
      </c>
      <c r="F56" s="18" t="s">
        <v>79</v>
      </c>
      <c r="G56" s="18"/>
      <c r="H56" s="18"/>
      <c r="I56" s="18"/>
      <c r="J56" s="18"/>
      <c r="K56" s="18" t="s">
        <v>79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117</v>
      </c>
      <c r="B57" s="16" t="s">
        <v>50</v>
      </c>
      <c r="C57" s="17">
        <v>48</v>
      </c>
      <c r="D57" s="17">
        <v>49</v>
      </c>
      <c r="E57" s="17">
        <f t="shared" si="3"/>
        <v>1</v>
      </c>
      <c r="F57" s="18" t="s">
        <v>79</v>
      </c>
      <c r="G57" s="18"/>
      <c r="H57" s="18"/>
      <c r="I57" s="18"/>
      <c r="J57" s="18"/>
      <c r="K57" s="18" t="s">
        <v>79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117</v>
      </c>
      <c r="B58" s="16" t="s">
        <v>50</v>
      </c>
      <c r="C58" s="17">
        <v>49</v>
      </c>
      <c r="D58" s="17">
        <v>50</v>
      </c>
      <c r="E58" s="17">
        <f t="shared" si="3"/>
        <v>1</v>
      </c>
      <c r="F58" s="18" t="s">
        <v>79</v>
      </c>
      <c r="G58" s="18"/>
      <c r="H58" s="18"/>
      <c r="I58" s="18"/>
      <c r="J58" s="18"/>
      <c r="K58" s="18" t="s">
        <v>79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117</v>
      </c>
      <c r="B59" s="16" t="s">
        <v>50</v>
      </c>
      <c r="C59" s="17">
        <v>50</v>
      </c>
      <c r="D59" s="17">
        <v>51</v>
      </c>
      <c r="E59" s="17">
        <f t="shared" si="3"/>
        <v>1</v>
      </c>
      <c r="F59" s="18" t="s">
        <v>79</v>
      </c>
      <c r="G59" s="18"/>
      <c r="H59" s="18"/>
      <c r="I59" s="18"/>
      <c r="J59" s="18"/>
      <c r="K59" s="18" t="s">
        <v>79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117</v>
      </c>
      <c r="B60" s="16" t="s">
        <v>50</v>
      </c>
      <c r="C60" s="17">
        <v>51</v>
      </c>
      <c r="D60" s="17">
        <v>52</v>
      </c>
      <c r="E60" s="17">
        <f t="shared" si="3"/>
        <v>1</v>
      </c>
      <c r="F60" s="18" t="s">
        <v>79</v>
      </c>
      <c r="G60" s="18"/>
      <c r="H60" s="18"/>
      <c r="I60" s="18"/>
      <c r="J60" s="18"/>
      <c r="K60" s="18" t="s">
        <v>79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117</v>
      </c>
      <c r="B61" s="16" t="s">
        <v>50</v>
      </c>
      <c r="C61" s="17">
        <v>52</v>
      </c>
      <c r="D61" s="17">
        <v>53</v>
      </c>
      <c r="E61" s="17">
        <f t="shared" si="3"/>
        <v>1</v>
      </c>
      <c r="F61" s="18" t="s">
        <v>79</v>
      </c>
      <c r="G61" s="18"/>
      <c r="H61" s="18"/>
      <c r="I61" s="18"/>
      <c r="J61" s="18"/>
      <c r="K61" s="18" t="s">
        <v>79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117</v>
      </c>
      <c r="B62" s="16" t="s">
        <v>50</v>
      </c>
      <c r="C62" s="17">
        <v>53</v>
      </c>
      <c r="D62" s="17">
        <v>54</v>
      </c>
      <c r="E62" s="17">
        <f t="shared" si="3"/>
        <v>1</v>
      </c>
      <c r="F62" s="18" t="s">
        <v>79</v>
      </c>
      <c r="G62" s="18"/>
      <c r="H62" s="18"/>
      <c r="I62" s="18"/>
      <c r="J62" s="18"/>
      <c r="K62" s="18" t="s">
        <v>79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117</v>
      </c>
      <c r="B63" s="16" t="s">
        <v>50</v>
      </c>
      <c r="C63" s="17">
        <v>54</v>
      </c>
      <c r="D63" s="17">
        <v>55</v>
      </c>
      <c r="E63" s="17">
        <f t="shared" si="3"/>
        <v>1</v>
      </c>
      <c r="F63" s="18" t="s">
        <v>79</v>
      </c>
      <c r="G63" s="18"/>
      <c r="H63" s="18"/>
      <c r="I63" s="18"/>
      <c r="J63" s="18"/>
      <c r="K63" s="18" t="s">
        <v>79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117</v>
      </c>
      <c r="B64" s="16" t="s">
        <v>50</v>
      </c>
      <c r="C64" s="17">
        <v>55</v>
      </c>
      <c r="D64" s="17">
        <v>56</v>
      </c>
      <c r="E64" s="17">
        <f t="shared" si="3"/>
        <v>1</v>
      </c>
      <c r="F64" s="18" t="s">
        <v>79</v>
      </c>
      <c r="G64" s="18"/>
      <c r="H64" s="18"/>
      <c r="I64" s="18"/>
      <c r="J64" s="18"/>
      <c r="K64" s="18" t="s">
        <v>79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117</v>
      </c>
      <c r="B65" s="16" t="s">
        <v>50</v>
      </c>
      <c r="C65" s="17">
        <v>56</v>
      </c>
      <c r="D65" s="17">
        <v>57</v>
      </c>
      <c r="E65" s="17">
        <f t="shared" si="3"/>
        <v>1</v>
      </c>
      <c r="F65" s="18" t="s">
        <v>79</v>
      </c>
      <c r="G65" s="18"/>
      <c r="H65" s="18"/>
      <c r="I65" s="18"/>
      <c r="J65" s="18"/>
      <c r="K65" s="18" t="s">
        <v>79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117</v>
      </c>
      <c r="B66" s="16" t="s">
        <v>50</v>
      </c>
      <c r="C66" s="17">
        <v>57</v>
      </c>
      <c r="D66" s="17">
        <v>58</v>
      </c>
      <c r="E66" s="17">
        <f t="shared" si="3"/>
        <v>1</v>
      </c>
      <c r="F66" s="18" t="s">
        <v>79</v>
      </c>
      <c r="G66" s="18"/>
      <c r="H66" s="18"/>
      <c r="I66" s="18"/>
      <c r="J66" s="18"/>
      <c r="K66" s="18" t="s">
        <v>79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117</v>
      </c>
      <c r="B67" s="16" t="s">
        <v>50</v>
      </c>
      <c r="C67" s="17">
        <v>58</v>
      </c>
      <c r="D67" s="17">
        <v>59</v>
      </c>
      <c r="E67" s="17">
        <f t="shared" si="3"/>
        <v>1</v>
      </c>
      <c r="F67" s="18" t="s">
        <v>79</v>
      </c>
      <c r="G67" s="18"/>
      <c r="H67" s="18"/>
      <c r="I67" s="18"/>
      <c r="J67" s="18"/>
      <c r="K67" s="18" t="s">
        <v>79</v>
      </c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117</v>
      </c>
      <c r="B68" s="16" t="s">
        <v>50</v>
      </c>
      <c r="C68" s="17">
        <v>59</v>
      </c>
      <c r="D68" s="17">
        <v>60</v>
      </c>
      <c r="E68" s="17">
        <f t="shared" si="3"/>
        <v>1</v>
      </c>
      <c r="F68" s="18" t="s">
        <v>79</v>
      </c>
      <c r="G68" s="18"/>
      <c r="H68" s="18"/>
      <c r="I68" s="18"/>
      <c r="J68" s="18"/>
      <c r="K68" s="18" t="s">
        <v>79</v>
      </c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117</v>
      </c>
      <c r="B69" s="16" t="s">
        <v>50</v>
      </c>
      <c r="C69" s="17">
        <v>60</v>
      </c>
      <c r="D69" s="17">
        <v>61</v>
      </c>
      <c r="E69" s="17">
        <f t="shared" si="3"/>
        <v>1</v>
      </c>
      <c r="F69" s="18" t="s">
        <v>79</v>
      </c>
      <c r="G69" s="18"/>
      <c r="H69" s="18"/>
      <c r="I69" s="18"/>
      <c r="J69" s="18"/>
      <c r="K69" s="18" t="s">
        <v>79</v>
      </c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117</v>
      </c>
      <c r="B70" s="16" t="s">
        <v>50</v>
      </c>
      <c r="C70" s="17">
        <v>61</v>
      </c>
      <c r="D70" s="17">
        <v>62</v>
      </c>
      <c r="E70" s="17">
        <f t="shared" si="3"/>
        <v>1</v>
      </c>
      <c r="F70" s="18" t="s">
        <v>79</v>
      </c>
      <c r="G70" s="18"/>
      <c r="H70" s="18"/>
      <c r="I70" s="18"/>
      <c r="J70" s="18"/>
      <c r="K70" s="18" t="s">
        <v>79</v>
      </c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117</v>
      </c>
      <c r="B71" s="16" t="s">
        <v>50</v>
      </c>
      <c r="C71" s="17">
        <v>62</v>
      </c>
      <c r="D71" s="17">
        <v>63</v>
      </c>
      <c r="E71" s="17">
        <f t="shared" si="3"/>
        <v>1</v>
      </c>
      <c r="F71" s="18" t="s">
        <v>79</v>
      </c>
      <c r="G71" s="18"/>
      <c r="H71" s="18"/>
      <c r="I71" s="18"/>
      <c r="J71" s="18"/>
      <c r="K71" s="18" t="s">
        <v>79</v>
      </c>
      <c r="L71" s="18"/>
      <c r="M71" s="19"/>
      <c r="N71" s="20" t="str">
        <f t="shared" si="4"/>
        <v>OK</v>
      </c>
    </row>
    <row r="72" spans="1:14" ht="20.100000000000001" customHeight="1" x14ac:dyDescent="0.25">
      <c r="A72" s="21" t="s">
        <v>117</v>
      </c>
      <c r="B72" s="22" t="s">
        <v>50</v>
      </c>
      <c r="C72" s="23">
        <v>63</v>
      </c>
      <c r="D72" s="23">
        <v>63.074548194599998</v>
      </c>
      <c r="E72" s="23">
        <f t="shared" si="3"/>
        <v>7.4548194599998396E-2</v>
      </c>
      <c r="F72" s="24" t="s">
        <v>79</v>
      </c>
      <c r="G72" s="24"/>
      <c r="H72" s="24"/>
      <c r="I72" s="24"/>
      <c r="J72" s="24"/>
      <c r="K72" s="24" t="s">
        <v>79</v>
      </c>
      <c r="L72" s="24"/>
      <c r="M72" s="25"/>
      <c r="N72" s="26" t="str">
        <f t="shared" si="4"/>
        <v>OK</v>
      </c>
    </row>
    <row r="73" spans="1:14" ht="15.95" customHeight="1" x14ac:dyDescent="0.25">
      <c r="A73" s="40" t="s">
        <v>118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3"/>
      <c r="N73" s="4"/>
    </row>
    <row r="74" spans="1:14" ht="20.100000000000001" customHeight="1" x14ac:dyDescent="0.25">
      <c r="A74" s="15" t="s">
        <v>119</v>
      </c>
      <c r="B74" s="16" t="s">
        <v>50</v>
      </c>
      <c r="C74" s="17">
        <v>0</v>
      </c>
      <c r="D74" s="17">
        <v>1</v>
      </c>
      <c r="E74" s="17">
        <f t="shared" ref="E74:E83" si="5">D74-C74</f>
        <v>1</v>
      </c>
      <c r="F74" s="18" t="s">
        <v>79</v>
      </c>
      <c r="G74" s="18"/>
      <c r="H74" s="18"/>
      <c r="I74" s="18"/>
      <c r="J74" s="18"/>
      <c r="K74" s="18" t="s">
        <v>79</v>
      </c>
      <c r="L74" s="18"/>
      <c r="M74" s="19"/>
      <c r="N74" s="20" t="str">
        <f t="shared" ref="N74:N83" si="6">IF(COUNTA(F74:L74)=0,"— não preenchido",IF(COUNTIF(F74:I74,"X")&lt;&gt;1,"FALTA/DUPLA: CONDIÇÃO DA PLATAFORMA",IF(COUNTIF(J74:L74,"X")&lt;&gt;1,"FALTA/DUPLA: DRENAGEM SUPERFICIAL","OK")))</f>
        <v>OK</v>
      </c>
    </row>
    <row r="75" spans="1:14" ht="20.100000000000001" customHeight="1" x14ac:dyDescent="0.25">
      <c r="A75" s="15" t="s">
        <v>119</v>
      </c>
      <c r="B75" s="16" t="s">
        <v>50</v>
      </c>
      <c r="C75" s="17">
        <v>1</v>
      </c>
      <c r="D75" s="17">
        <v>2</v>
      </c>
      <c r="E75" s="17">
        <f t="shared" si="5"/>
        <v>1</v>
      </c>
      <c r="F75" s="18" t="s">
        <v>79</v>
      </c>
      <c r="G75" s="18"/>
      <c r="H75" s="18"/>
      <c r="I75" s="18"/>
      <c r="J75" s="18"/>
      <c r="K75" s="18" t="s">
        <v>79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119</v>
      </c>
      <c r="B76" s="16" t="s">
        <v>50</v>
      </c>
      <c r="C76" s="17">
        <v>2</v>
      </c>
      <c r="D76" s="17">
        <v>3</v>
      </c>
      <c r="E76" s="17">
        <f t="shared" si="5"/>
        <v>1</v>
      </c>
      <c r="F76" s="18" t="s">
        <v>79</v>
      </c>
      <c r="G76" s="18"/>
      <c r="H76" s="18"/>
      <c r="I76" s="18"/>
      <c r="J76" s="18"/>
      <c r="K76" s="18" t="s">
        <v>79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119</v>
      </c>
      <c r="B77" s="16" t="s">
        <v>50</v>
      </c>
      <c r="C77" s="17">
        <v>3</v>
      </c>
      <c r="D77" s="17">
        <v>4</v>
      </c>
      <c r="E77" s="17">
        <f t="shared" si="5"/>
        <v>1</v>
      </c>
      <c r="F77" s="18" t="s">
        <v>79</v>
      </c>
      <c r="G77" s="18"/>
      <c r="H77" s="18"/>
      <c r="I77" s="18"/>
      <c r="J77" s="18"/>
      <c r="K77" s="18" t="s">
        <v>79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119</v>
      </c>
      <c r="B78" s="16" t="s">
        <v>50</v>
      </c>
      <c r="C78" s="17">
        <v>4</v>
      </c>
      <c r="D78" s="17">
        <v>5</v>
      </c>
      <c r="E78" s="17">
        <f t="shared" si="5"/>
        <v>1</v>
      </c>
      <c r="F78" s="18" t="s">
        <v>79</v>
      </c>
      <c r="G78" s="18"/>
      <c r="H78" s="18"/>
      <c r="I78" s="18"/>
      <c r="J78" s="18"/>
      <c r="K78" s="18" t="s">
        <v>79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119</v>
      </c>
      <c r="B79" s="16" t="s">
        <v>50</v>
      </c>
      <c r="C79" s="17">
        <v>5</v>
      </c>
      <c r="D79" s="17">
        <v>6</v>
      </c>
      <c r="E79" s="17">
        <f t="shared" si="5"/>
        <v>1</v>
      </c>
      <c r="F79" s="18" t="s">
        <v>79</v>
      </c>
      <c r="G79" s="18"/>
      <c r="H79" s="18"/>
      <c r="I79" s="18"/>
      <c r="J79" s="18"/>
      <c r="K79" s="18" t="s">
        <v>79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119</v>
      </c>
      <c r="B80" s="16" t="s">
        <v>50</v>
      </c>
      <c r="C80" s="17">
        <v>6</v>
      </c>
      <c r="D80" s="17">
        <v>7</v>
      </c>
      <c r="E80" s="17">
        <f t="shared" si="5"/>
        <v>1</v>
      </c>
      <c r="F80" s="18" t="s">
        <v>79</v>
      </c>
      <c r="G80" s="18"/>
      <c r="H80" s="18"/>
      <c r="I80" s="18"/>
      <c r="J80" s="18"/>
      <c r="K80" s="18" t="s">
        <v>79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119</v>
      </c>
      <c r="B81" s="16" t="s">
        <v>50</v>
      </c>
      <c r="C81" s="17">
        <v>7</v>
      </c>
      <c r="D81" s="17">
        <v>8</v>
      </c>
      <c r="E81" s="17">
        <f t="shared" si="5"/>
        <v>1</v>
      </c>
      <c r="F81" s="18" t="s">
        <v>79</v>
      </c>
      <c r="G81" s="18"/>
      <c r="H81" s="18"/>
      <c r="I81" s="18"/>
      <c r="J81" s="18"/>
      <c r="K81" s="18" t="s">
        <v>79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119</v>
      </c>
      <c r="B82" s="16" t="s">
        <v>50</v>
      </c>
      <c r="C82" s="17">
        <v>8</v>
      </c>
      <c r="D82" s="17">
        <v>9</v>
      </c>
      <c r="E82" s="17">
        <f t="shared" si="5"/>
        <v>1</v>
      </c>
      <c r="F82" s="18" t="s">
        <v>79</v>
      </c>
      <c r="G82" s="18"/>
      <c r="H82" s="18"/>
      <c r="I82" s="18"/>
      <c r="J82" s="18"/>
      <c r="K82" s="18" t="s">
        <v>79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21" t="s">
        <v>119</v>
      </c>
      <c r="B83" s="22" t="s">
        <v>50</v>
      </c>
      <c r="C83" s="23">
        <v>9</v>
      </c>
      <c r="D83" s="23">
        <v>9.9650282909799994</v>
      </c>
      <c r="E83" s="23">
        <f t="shared" si="5"/>
        <v>0.96502829097999943</v>
      </c>
      <c r="F83" s="24" t="s">
        <v>79</v>
      </c>
      <c r="G83" s="24"/>
      <c r="H83" s="24"/>
      <c r="I83" s="24"/>
      <c r="J83" s="24"/>
      <c r="K83" s="24" t="s">
        <v>79</v>
      </c>
      <c r="L83" s="24"/>
      <c r="M83" s="25"/>
      <c r="N83" s="26" t="str">
        <f t="shared" si="6"/>
        <v>OK</v>
      </c>
    </row>
    <row r="85" spans="1:14" x14ac:dyDescent="0.25">
      <c r="A85" s="41" t="s">
        <v>51</v>
      </c>
      <c r="B85" s="35"/>
      <c r="C85" s="35"/>
      <c r="D85" s="35"/>
      <c r="E85" s="35"/>
      <c r="G85" s="41" t="s">
        <v>51</v>
      </c>
      <c r="H85" s="35"/>
      <c r="I85" s="35"/>
      <c r="J85" s="35"/>
      <c r="K85" s="35"/>
    </row>
    <row r="86" spans="1:14" x14ac:dyDescent="0.25">
      <c r="A86" s="48" t="s">
        <v>52</v>
      </c>
      <c r="B86" s="35"/>
      <c r="C86" s="35"/>
      <c r="D86" s="35"/>
      <c r="E86" s="35"/>
      <c r="G86" s="48" t="s">
        <v>53</v>
      </c>
      <c r="H86" s="35"/>
      <c r="I86" s="35"/>
      <c r="J86" s="35"/>
      <c r="K86" s="35"/>
    </row>
    <row r="88" spans="1:14" x14ac:dyDescent="0.25">
      <c r="A88" s="42" t="s">
        <v>54</v>
      </c>
      <c r="B88" s="35"/>
      <c r="C88" s="35"/>
      <c r="D88" s="35"/>
      <c r="E88" s="35"/>
      <c r="F88" s="27"/>
      <c r="G88" s="27"/>
      <c r="H88" s="27"/>
      <c r="I88" s="27"/>
      <c r="J88" s="27"/>
      <c r="K88" s="27"/>
      <c r="L88" s="27"/>
      <c r="M88" s="27"/>
    </row>
    <row r="89" spans="1:14" x14ac:dyDescent="0.25">
      <c r="A89" s="38" t="s">
        <v>55</v>
      </c>
      <c r="B89" s="35"/>
      <c r="C89" s="35"/>
      <c r="D89" s="35"/>
      <c r="E89" s="35"/>
      <c r="F89" s="9">
        <f t="shared" ref="F89:L89" si="7">SUMIF(F$9:F$83,"X",$E$9:$E$83)</f>
        <v>73.03957648558</v>
      </c>
      <c r="G89" s="9">
        <f t="shared" si="7"/>
        <v>0</v>
      </c>
      <c r="H89" s="9">
        <f t="shared" si="7"/>
        <v>0</v>
      </c>
      <c r="I89" s="9">
        <f t="shared" si="7"/>
        <v>0</v>
      </c>
      <c r="J89" s="9">
        <f t="shared" si="7"/>
        <v>11</v>
      </c>
      <c r="K89" s="9">
        <f t="shared" si="7"/>
        <v>62.03957648558</v>
      </c>
      <c r="L89" s="9">
        <f t="shared" si="7"/>
        <v>0</v>
      </c>
    </row>
    <row r="90" spans="1:14" x14ac:dyDescent="0.25">
      <c r="A90" s="38" t="s">
        <v>56</v>
      </c>
      <c r="B90" s="35"/>
      <c r="C90" s="35"/>
      <c r="D90" s="35"/>
      <c r="E90" s="35"/>
      <c r="F90" s="28">
        <f t="shared" ref="F90:L90" si="8">IF($I92=0,0,F89/$I92)</f>
        <v>1</v>
      </c>
      <c r="G90" s="28">
        <f t="shared" si="8"/>
        <v>0</v>
      </c>
      <c r="H90" s="28">
        <f t="shared" si="8"/>
        <v>0</v>
      </c>
      <c r="I90" s="28">
        <f t="shared" si="8"/>
        <v>0</v>
      </c>
      <c r="J90" s="28">
        <f t="shared" si="8"/>
        <v>0.15060328289515343</v>
      </c>
      <c r="K90" s="28">
        <f t="shared" si="8"/>
        <v>0.84939671710484654</v>
      </c>
      <c r="L90" s="28">
        <f t="shared" si="8"/>
        <v>0</v>
      </c>
    </row>
    <row r="91" spans="1:14" x14ac:dyDescent="0.25">
      <c r="A91" s="38" t="s">
        <v>57</v>
      </c>
      <c r="B91" s="35"/>
      <c r="C91" s="35"/>
      <c r="D91" s="35"/>
      <c r="E91" s="35"/>
      <c r="F91" s="47" t="str">
        <f>IF(SUM(F89:I89)=0,"— não preenchido",IF(ROUND(SUM(F89:I89)-$I92,3)=0,"OK — "&amp;ROUND(SUM(F89:I89),3)&amp;" km","ERRO — dif. de "&amp;ROUND(SUM(F89:I89)-$I92,3)&amp;" km"))</f>
        <v>OK — 73,04 km</v>
      </c>
      <c r="G91" s="32"/>
      <c r="H91" s="32"/>
      <c r="I91" s="33"/>
      <c r="J91" s="47" t="str">
        <f>IF(SUM(J89:L89)=0,"— não preenchido",IF(ROUND(SUM(J89:L89)-$I92,3)=0,"OK — "&amp;ROUND(SUM(J89:L89),3)&amp;" km","ERRO — dif. de "&amp;ROUND(SUM(J89:L89)-$I92,3)&amp;" km"))</f>
        <v>OK — 73,04 km</v>
      </c>
      <c r="K91" s="32"/>
      <c r="L91" s="33"/>
    </row>
    <row r="92" spans="1:14" x14ac:dyDescent="0.25">
      <c r="A92" s="38" t="s">
        <v>58</v>
      </c>
      <c r="B92" s="35"/>
      <c r="C92" s="35"/>
      <c r="D92" s="35"/>
      <c r="E92" s="35"/>
      <c r="I92" s="29">
        <f>SUM(E9:E83)</f>
        <v>73.03957648558</v>
      </c>
      <c r="M92" s="8" t="str">
        <f>COUNTIF(N9:N83,"OK")&amp;" de "&amp;COUNT($E$9:$E$83)&amp;" linhas conferidas"</f>
        <v>74 de 74 linhas conferidas</v>
      </c>
    </row>
    <row r="94" spans="1:14" x14ac:dyDescent="0.25">
      <c r="A94" s="49" t="s">
        <v>59</v>
      </c>
      <c r="B94" s="35"/>
      <c r="C94" s="35"/>
      <c r="D94" s="35"/>
      <c r="E94" s="35"/>
    </row>
    <row r="95" spans="1:14" x14ac:dyDescent="0.25">
      <c r="A95" s="38" t="s">
        <v>10</v>
      </c>
      <c r="B95" s="35"/>
      <c r="C95" s="35"/>
      <c r="D95" s="35"/>
      <c r="E95" s="37" t="s">
        <v>60</v>
      </c>
      <c r="F95" s="35"/>
      <c r="G95" s="35"/>
      <c r="H95" s="35"/>
      <c r="I95" s="35"/>
      <c r="J95" s="35"/>
      <c r="K95" s="35"/>
      <c r="L95" s="35"/>
      <c r="M95" s="35"/>
    </row>
    <row r="96" spans="1:14" x14ac:dyDescent="0.25">
      <c r="A96" s="38" t="s">
        <v>11</v>
      </c>
      <c r="B96" s="35"/>
      <c r="C96" s="35"/>
      <c r="D96" s="35"/>
      <c r="E96" s="37" t="s">
        <v>61</v>
      </c>
      <c r="F96" s="35"/>
      <c r="G96" s="35"/>
      <c r="H96" s="35"/>
      <c r="I96" s="35"/>
      <c r="J96" s="35"/>
      <c r="K96" s="35"/>
      <c r="L96" s="35"/>
      <c r="M96" s="35"/>
    </row>
    <row r="97" spans="1:13" x14ac:dyDescent="0.25">
      <c r="A97" s="38" t="s">
        <v>12</v>
      </c>
      <c r="B97" s="35"/>
      <c r="C97" s="35"/>
      <c r="D97" s="35"/>
      <c r="E97" s="37" t="s">
        <v>62</v>
      </c>
      <c r="F97" s="35"/>
      <c r="G97" s="35"/>
      <c r="H97" s="35"/>
      <c r="I97" s="35"/>
      <c r="J97" s="35"/>
      <c r="K97" s="35"/>
      <c r="L97" s="35"/>
      <c r="M97" s="35"/>
    </row>
    <row r="98" spans="1:13" x14ac:dyDescent="0.25">
      <c r="A98" s="38" t="s">
        <v>63</v>
      </c>
      <c r="B98" s="35"/>
      <c r="C98" s="35"/>
      <c r="D98" s="35"/>
      <c r="E98" s="37" t="s">
        <v>64</v>
      </c>
      <c r="F98" s="35"/>
      <c r="G98" s="35"/>
      <c r="H98" s="35"/>
      <c r="I98" s="35"/>
      <c r="J98" s="35"/>
      <c r="K98" s="35"/>
      <c r="L98" s="35"/>
      <c r="M98" s="35"/>
    </row>
    <row r="99" spans="1:13" x14ac:dyDescent="0.25">
      <c r="A99" s="38" t="s">
        <v>65</v>
      </c>
      <c r="B99" s="35"/>
      <c r="C99" s="35"/>
      <c r="D99" s="35"/>
      <c r="E99" s="37" t="s">
        <v>66</v>
      </c>
      <c r="F99" s="35"/>
      <c r="G99" s="35"/>
      <c r="H99" s="35"/>
      <c r="I99" s="35"/>
      <c r="J99" s="35"/>
      <c r="K99" s="35"/>
      <c r="L99" s="35"/>
      <c r="M99" s="35"/>
    </row>
    <row r="100" spans="1:13" x14ac:dyDescent="0.25">
      <c r="A100" s="38" t="s">
        <v>67</v>
      </c>
      <c r="B100" s="35"/>
      <c r="C100" s="35"/>
      <c r="D100" s="35"/>
      <c r="E100" s="37" t="s">
        <v>68</v>
      </c>
      <c r="F100" s="35"/>
      <c r="G100" s="35"/>
      <c r="H100" s="35"/>
      <c r="I100" s="35"/>
      <c r="J100" s="35"/>
      <c r="K100" s="35"/>
      <c r="L100" s="35"/>
      <c r="M100" s="35"/>
    </row>
    <row r="101" spans="1:13" x14ac:dyDescent="0.25">
      <c r="A101" s="38" t="s">
        <v>42</v>
      </c>
      <c r="B101" s="35"/>
      <c r="C101" s="35"/>
      <c r="D101" s="35"/>
      <c r="E101" s="37" t="s">
        <v>69</v>
      </c>
      <c r="F101" s="35"/>
      <c r="G101" s="35"/>
      <c r="H101" s="35"/>
      <c r="I101" s="35"/>
      <c r="J101" s="35"/>
      <c r="K101" s="35"/>
      <c r="L101" s="35"/>
      <c r="M101" s="35"/>
    </row>
    <row r="102" spans="1:13" x14ac:dyDescent="0.25">
      <c r="A102" s="38" t="s">
        <v>70</v>
      </c>
      <c r="B102" s="35"/>
      <c r="C102" s="35"/>
      <c r="D102" s="35"/>
      <c r="E102" s="37" t="s">
        <v>71</v>
      </c>
      <c r="F102" s="35"/>
      <c r="G102" s="35"/>
      <c r="H102" s="35"/>
      <c r="I102" s="35"/>
      <c r="J102" s="35"/>
      <c r="K102" s="35"/>
      <c r="L102" s="35"/>
      <c r="M102" s="35"/>
    </row>
    <row r="103" spans="1:13" x14ac:dyDescent="0.25">
      <c r="A103" s="38" t="s">
        <v>72</v>
      </c>
      <c r="B103" s="35"/>
      <c r="C103" s="35"/>
      <c r="D103" s="35"/>
      <c r="E103" s="37" t="s">
        <v>73</v>
      </c>
      <c r="F103" s="35"/>
      <c r="G103" s="35"/>
      <c r="H103" s="35"/>
      <c r="I103" s="35"/>
      <c r="J103" s="35"/>
      <c r="K103" s="35"/>
      <c r="L103" s="35"/>
      <c r="M103" s="35"/>
    </row>
    <row r="104" spans="1:13" x14ac:dyDescent="0.25">
      <c r="A104" s="38" t="s">
        <v>8</v>
      </c>
      <c r="B104" s="35"/>
      <c r="C104" s="35"/>
      <c r="D104" s="35"/>
      <c r="E104" s="37" t="s">
        <v>74</v>
      </c>
      <c r="F104" s="35"/>
      <c r="G104" s="35"/>
      <c r="H104" s="35"/>
      <c r="I104" s="35"/>
      <c r="J104" s="35"/>
      <c r="K104" s="35"/>
      <c r="L104" s="35"/>
      <c r="M104" s="35"/>
    </row>
  </sheetData>
  <sheetProtection sheet="1" formatCells="0"/>
  <mergeCells count="51">
    <mergeCell ref="N6:N7"/>
    <mergeCell ref="E102:M102"/>
    <mergeCell ref="K3:M3"/>
    <mergeCell ref="A99:D99"/>
    <mergeCell ref="A91:E91"/>
    <mergeCell ref="E98:M98"/>
    <mergeCell ref="G85:K85"/>
    <mergeCell ref="F91:I91"/>
    <mergeCell ref="A3:J3"/>
    <mergeCell ref="A101:D101"/>
    <mergeCell ref="A95:D95"/>
    <mergeCell ref="C6:C7"/>
    <mergeCell ref="D6:D7"/>
    <mergeCell ref="A92:E92"/>
    <mergeCell ref="A1:M1"/>
    <mergeCell ref="A86:E86"/>
    <mergeCell ref="E97:M97"/>
    <mergeCell ref="A85:E85"/>
    <mergeCell ref="E96:M96"/>
    <mergeCell ref="E104:M104"/>
    <mergeCell ref="D2:E2"/>
    <mergeCell ref="E95:M95"/>
    <mergeCell ref="A90:E90"/>
    <mergeCell ref="M6:M7"/>
    <mergeCell ref="J91:L91"/>
    <mergeCell ref="E101:M101"/>
    <mergeCell ref="E6:E7"/>
    <mergeCell ref="A89:E89"/>
    <mergeCell ref="A73:M73"/>
    <mergeCell ref="B6:B7"/>
    <mergeCell ref="A98:D98"/>
    <mergeCell ref="F6:I6"/>
    <mergeCell ref="E100:M100"/>
    <mergeCell ref="A103:D103"/>
    <mergeCell ref="A104:D104"/>
    <mergeCell ref="J6:L6"/>
    <mergeCell ref="E103:M103"/>
    <mergeCell ref="A97:D97"/>
    <mergeCell ref="G2:H2"/>
    <mergeCell ref="A8:M8"/>
    <mergeCell ref="A100:D100"/>
    <mergeCell ref="G86:K86"/>
    <mergeCell ref="A96:D96"/>
    <mergeCell ref="A4:M4"/>
    <mergeCell ref="A94:E94"/>
    <mergeCell ref="A6:A7"/>
    <mergeCell ref="A88:E88"/>
    <mergeCell ref="A2:C2"/>
    <mergeCell ref="E99:M99"/>
    <mergeCell ref="A102:D102"/>
    <mergeCell ref="K2:M2"/>
  </mergeCells>
  <conditionalFormatting sqref="F9:I83">
    <cfRule type="expression" dxfId="29" priority="1">
      <formula>AND(F9&lt;&gt;"",COUNTIF($F9:$I9,"X")&gt;1)</formula>
    </cfRule>
  </conditionalFormatting>
  <conditionalFormatting sqref="F91:L91">
    <cfRule type="expression" dxfId="28" priority="5">
      <formula>LEFT(F91,4)="ERRO"</formula>
    </cfRule>
    <cfRule type="expression" dxfId="27" priority="6">
      <formula>LEFT(F91,2)="OK"</formula>
    </cfRule>
  </conditionalFormatting>
  <conditionalFormatting sqref="J9:L83">
    <cfRule type="expression" dxfId="26" priority="2">
      <formula>AND(J9&lt;&gt;"",COUNTIF($J9:$L9,"X")&gt;1)</formula>
    </cfRule>
  </conditionalFormatting>
  <conditionalFormatting sqref="N9:N83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3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3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83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269</oddHeader>
    <oddFooter>&amp;L&amp;7 RTA / MSI — Programa de Manutenção Rodoviária&amp;C&amp;7 Página &amp;P de &amp;N&amp;R&amp;7 Impresso em &amp;D</oddFooter>
  </headerFooter>
  <rowBreaks count="1" manualBreakCount="1">
    <brk id="8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3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IF(F120=0,NA(),F120)</f>
        <v>87.643029280999997</v>
      </c>
      <c r="Q2" s="2">
        <f t="shared" si="0"/>
        <v>11</v>
      </c>
      <c r="R2" s="2" t="e">
        <f t="shared" si="0"/>
        <v>#N/A</v>
      </c>
      <c r="S2" s="2" t="e">
        <f t="shared" si="0"/>
        <v>#N/A</v>
      </c>
      <c r="T2" s="2">
        <f t="shared" si="0"/>
        <v>60.438443621200001</v>
      </c>
      <c r="U2" s="2">
        <f t="shared" si="0"/>
        <v>10.494900493899999</v>
      </c>
      <c r="V2" s="2">
        <f t="shared" si="0"/>
        <v>27.709685165899998</v>
      </c>
    </row>
    <row r="3" spans="1:22" ht="15" customHeight="1" x14ac:dyDescent="0.25">
      <c r="A3" s="50" t="s">
        <v>120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121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122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123</v>
      </c>
      <c r="B9" s="16" t="s">
        <v>50</v>
      </c>
      <c r="C9" s="17">
        <v>0</v>
      </c>
      <c r="D9" s="17">
        <v>1</v>
      </c>
      <c r="E9" s="17">
        <f t="shared" ref="E9:E30" si="1">D9-C9</f>
        <v>1</v>
      </c>
      <c r="F9" s="18"/>
      <c r="G9" s="18" t="s">
        <v>79</v>
      </c>
      <c r="H9" s="18"/>
      <c r="I9" s="18"/>
      <c r="J9" s="18" t="s">
        <v>79</v>
      </c>
      <c r="K9" s="18"/>
      <c r="L9" s="18"/>
      <c r="M9" s="19"/>
      <c r="N9" s="20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123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 t="s">
        <v>79</v>
      </c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123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 t="s">
        <v>79</v>
      </c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123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 t="s">
        <v>79</v>
      </c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123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 t="s">
        <v>79</v>
      </c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123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123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123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123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123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123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123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 t="s">
        <v>79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123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 t="s">
        <v>79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123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 t="s">
        <v>79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123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 t="s">
        <v>79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123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 t="s">
        <v>79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123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 t="s">
        <v>79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123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 t="s">
        <v>79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123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 t="s">
        <v>79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123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 t="s">
        <v>79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123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 t="s">
        <v>79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21" t="s">
        <v>123</v>
      </c>
      <c r="B30" s="22" t="s">
        <v>50</v>
      </c>
      <c r="C30" s="23">
        <v>21</v>
      </c>
      <c r="D30" s="23">
        <v>21.438443621200001</v>
      </c>
      <c r="E30" s="23">
        <f t="shared" si="1"/>
        <v>0.43844362120000113</v>
      </c>
      <c r="F30" s="24" t="s">
        <v>79</v>
      </c>
      <c r="G30" s="24"/>
      <c r="H30" s="24"/>
      <c r="I30" s="24"/>
      <c r="J30" s="24" t="s">
        <v>79</v>
      </c>
      <c r="K30" s="24"/>
      <c r="L30" s="24"/>
      <c r="M30" s="25"/>
      <c r="N30" s="26" t="str">
        <f t="shared" si="2"/>
        <v>OK</v>
      </c>
    </row>
    <row r="31" spans="1:14" ht="15.95" customHeight="1" x14ac:dyDescent="0.25">
      <c r="A31" s="40" t="s">
        <v>124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4"/>
    </row>
    <row r="32" spans="1:14" ht="20.100000000000001" customHeight="1" x14ac:dyDescent="0.25">
      <c r="A32" s="15" t="s">
        <v>125</v>
      </c>
      <c r="B32" s="16" t="s">
        <v>50</v>
      </c>
      <c r="C32" s="17">
        <v>0</v>
      </c>
      <c r="D32" s="17">
        <v>1</v>
      </c>
      <c r="E32" s="17">
        <f t="shared" ref="E32:E42" si="3">D32-C32</f>
        <v>1</v>
      </c>
      <c r="F32" s="18" t="s">
        <v>79</v>
      </c>
      <c r="G32" s="18"/>
      <c r="H32" s="18"/>
      <c r="I32" s="18"/>
      <c r="J32" s="18"/>
      <c r="K32" s="18" t="s">
        <v>79</v>
      </c>
      <c r="L32" s="18"/>
      <c r="M32" s="19"/>
      <c r="N32" s="20" t="str">
        <f t="shared" ref="N32:N42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5" t="s">
        <v>125</v>
      </c>
      <c r="B33" s="16" t="s">
        <v>50</v>
      </c>
      <c r="C33" s="17">
        <v>1</v>
      </c>
      <c r="D33" s="17">
        <v>2</v>
      </c>
      <c r="E33" s="17">
        <f t="shared" si="3"/>
        <v>1</v>
      </c>
      <c r="F33" s="18" t="s">
        <v>79</v>
      </c>
      <c r="G33" s="18"/>
      <c r="H33" s="18"/>
      <c r="I33" s="18"/>
      <c r="J33" s="18"/>
      <c r="K33" s="18" t="s">
        <v>79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125</v>
      </c>
      <c r="B34" s="16" t="s">
        <v>50</v>
      </c>
      <c r="C34" s="17">
        <v>2</v>
      </c>
      <c r="D34" s="17">
        <v>3</v>
      </c>
      <c r="E34" s="17">
        <f t="shared" si="3"/>
        <v>1</v>
      </c>
      <c r="F34" s="18" t="s">
        <v>79</v>
      </c>
      <c r="G34" s="18"/>
      <c r="H34" s="18"/>
      <c r="I34" s="18"/>
      <c r="J34" s="18"/>
      <c r="K34" s="18" t="s">
        <v>79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125</v>
      </c>
      <c r="B35" s="16" t="s">
        <v>50</v>
      </c>
      <c r="C35" s="17">
        <v>3</v>
      </c>
      <c r="D35" s="17">
        <v>4</v>
      </c>
      <c r="E35" s="17">
        <f t="shared" si="3"/>
        <v>1</v>
      </c>
      <c r="F35" s="18" t="s">
        <v>79</v>
      </c>
      <c r="G35" s="18"/>
      <c r="H35" s="18"/>
      <c r="I35" s="18"/>
      <c r="J35" s="18"/>
      <c r="K35" s="18" t="s">
        <v>79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125</v>
      </c>
      <c r="B36" s="16" t="s">
        <v>50</v>
      </c>
      <c r="C36" s="17">
        <v>4</v>
      </c>
      <c r="D36" s="17">
        <v>5</v>
      </c>
      <c r="E36" s="17">
        <f t="shared" si="3"/>
        <v>1</v>
      </c>
      <c r="F36" s="18" t="s">
        <v>79</v>
      </c>
      <c r="G36" s="18"/>
      <c r="H36" s="18"/>
      <c r="I36" s="18"/>
      <c r="J36" s="18"/>
      <c r="K36" s="18" t="s">
        <v>79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125</v>
      </c>
      <c r="B37" s="16" t="s">
        <v>50</v>
      </c>
      <c r="C37" s="17">
        <v>5</v>
      </c>
      <c r="D37" s="17">
        <v>6</v>
      </c>
      <c r="E37" s="17">
        <f t="shared" si="3"/>
        <v>1</v>
      </c>
      <c r="F37" s="18" t="s">
        <v>79</v>
      </c>
      <c r="G37" s="18"/>
      <c r="H37" s="18"/>
      <c r="I37" s="18"/>
      <c r="J37" s="18"/>
      <c r="K37" s="18" t="s">
        <v>79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125</v>
      </c>
      <c r="B38" s="16" t="s">
        <v>50</v>
      </c>
      <c r="C38" s="17">
        <v>6</v>
      </c>
      <c r="D38" s="17">
        <v>7</v>
      </c>
      <c r="E38" s="17">
        <f t="shared" si="3"/>
        <v>1</v>
      </c>
      <c r="F38" s="18" t="s">
        <v>79</v>
      </c>
      <c r="G38" s="18"/>
      <c r="H38" s="18"/>
      <c r="I38" s="18"/>
      <c r="J38" s="18"/>
      <c r="K38" s="18" t="s">
        <v>79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125</v>
      </c>
      <c r="B39" s="16" t="s">
        <v>50</v>
      </c>
      <c r="C39" s="17">
        <v>7</v>
      </c>
      <c r="D39" s="17">
        <v>8</v>
      </c>
      <c r="E39" s="17">
        <f t="shared" si="3"/>
        <v>1</v>
      </c>
      <c r="F39" s="18" t="s">
        <v>79</v>
      </c>
      <c r="G39" s="18"/>
      <c r="H39" s="18"/>
      <c r="I39" s="18"/>
      <c r="J39" s="18"/>
      <c r="K39" s="18" t="s">
        <v>79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125</v>
      </c>
      <c r="B40" s="16" t="s">
        <v>50</v>
      </c>
      <c r="C40" s="17">
        <v>8</v>
      </c>
      <c r="D40" s="17">
        <v>9</v>
      </c>
      <c r="E40" s="17">
        <f t="shared" si="3"/>
        <v>1</v>
      </c>
      <c r="F40" s="18" t="s">
        <v>79</v>
      </c>
      <c r="G40" s="18"/>
      <c r="H40" s="18"/>
      <c r="I40" s="18"/>
      <c r="J40" s="18"/>
      <c r="K40" s="18" t="s">
        <v>79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125</v>
      </c>
      <c r="B41" s="16" t="s">
        <v>50</v>
      </c>
      <c r="C41" s="17">
        <v>9</v>
      </c>
      <c r="D41" s="17">
        <v>10</v>
      </c>
      <c r="E41" s="17">
        <f t="shared" si="3"/>
        <v>1</v>
      </c>
      <c r="F41" s="18" t="s">
        <v>79</v>
      </c>
      <c r="G41" s="18"/>
      <c r="H41" s="18"/>
      <c r="I41" s="18"/>
      <c r="J41" s="18"/>
      <c r="K41" s="18" t="s">
        <v>79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21" t="s">
        <v>125</v>
      </c>
      <c r="B42" s="22" t="s">
        <v>50</v>
      </c>
      <c r="C42" s="23">
        <v>10</v>
      </c>
      <c r="D42" s="23">
        <v>10.494900493899999</v>
      </c>
      <c r="E42" s="23">
        <f t="shared" si="3"/>
        <v>0.49490049389999946</v>
      </c>
      <c r="F42" s="24" t="s">
        <v>79</v>
      </c>
      <c r="G42" s="24"/>
      <c r="H42" s="24"/>
      <c r="I42" s="24"/>
      <c r="J42" s="24"/>
      <c r="K42" s="24" t="s">
        <v>79</v>
      </c>
      <c r="L42" s="24"/>
      <c r="M42" s="25"/>
      <c r="N42" s="26" t="str">
        <f t="shared" si="4"/>
        <v>OK</v>
      </c>
    </row>
    <row r="43" spans="1:14" ht="15.95" customHeight="1" x14ac:dyDescent="0.25">
      <c r="A43" s="40" t="s">
        <v>126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3"/>
      <c r="N43" s="4"/>
    </row>
    <row r="44" spans="1:14" ht="20.100000000000001" customHeight="1" x14ac:dyDescent="0.25">
      <c r="A44" s="15" t="s">
        <v>127</v>
      </c>
      <c r="B44" s="16" t="s">
        <v>50</v>
      </c>
      <c r="C44" s="17">
        <v>0</v>
      </c>
      <c r="D44" s="17">
        <v>1</v>
      </c>
      <c r="E44" s="17">
        <f t="shared" ref="E44:E62" si="5">D44-C44</f>
        <v>1</v>
      </c>
      <c r="F44" s="18" t="s">
        <v>79</v>
      </c>
      <c r="G44" s="18"/>
      <c r="H44" s="18"/>
      <c r="I44" s="18"/>
      <c r="J44" s="18" t="s">
        <v>79</v>
      </c>
      <c r="K44" s="18"/>
      <c r="L44" s="18"/>
      <c r="M44" s="19"/>
      <c r="N44" s="20" t="str">
        <f t="shared" ref="N44:N62" si="6"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5" t="s">
        <v>127</v>
      </c>
      <c r="B45" s="16" t="s">
        <v>50</v>
      </c>
      <c r="C45" s="17">
        <v>1</v>
      </c>
      <c r="D45" s="17">
        <v>2</v>
      </c>
      <c r="E45" s="17">
        <f t="shared" si="5"/>
        <v>1</v>
      </c>
      <c r="F45" s="18" t="s">
        <v>79</v>
      </c>
      <c r="G45" s="18"/>
      <c r="H45" s="18"/>
      <c r="I45" s="18"/>
      <c r="J45" s="18" t="s">
        <v>79</v>
      </c>
      <c r="K45" s="18"/>
      <c r="L45" s="18"/>
      <c r="M45" s="19"/>
      <c r="N45" s="20" t="str">
        <f t="shared" si="6"/>
        <v>OK</v>
      </c>
    </row>
    <row r="46" spans="1:14" ht="20.100000000000001" customHeight="1" x14ac:dyDescent="0.25">
      <c r="A46" s="15" t="s">
        <v>127</v>
      </c>
      <c r="B46" s="16" t="s">
        <v>50</v>
      </c>
      <c r="C46" s="17">
        <v>2</v>
      </c>
      <c r="D46" s="17">
        <v>3</v>
      </c>
      <c r="E46" s="17">
        <f t="shared" si="5"/>
        <v>1</v>
      </c>
      <c r="F46" s="18" t="s">
        <v>79</v>
      </c>
      <c r="G46" s="18"/>
      <c r="H46" s="18"/>
      <c r="I46" s="18"/>
      <c r="J46" s="18" t="s">
        <v>79</v>
      </c>
      <c r="K46" s="18"/>
      <c r="L46" s="18"/>
      <c r="M46" s="19"/>
      <c r="N46" s="20" t="str">
        <f t="shared" si="6"/>
        <v>OK</v>
      </c>
    </row>
    <row r="47" spans="1:14" ht="20.100000000000001" customHeight="1" x14ac:dyDescent="0.25">
      <c r="A47" s="15" t="s">
        <v>127</v>
      </c>
      <c r="B47" s="16" t="s">
        <v>50</v>
      </c>
      <c r="C47" s="17">
        <v>3</v>
      </c>
      <c r="D47" s="17">
        <v>4</v>
      </c>
      <c r="E47" s="17">
        <f t="shared" si="5"/>
        <v>1</v>
      </c>
      <c r="F47" s="18" t="s">
        <v>79</v>
      </c>
      <c r="G47" s="18"/>
      <c r="H47" s="18"/>
      <c r="I47" s="18"/>
      <c r="J47" s="18" t="s">
        <v>79</v>
      </c>
      <c r="K47" s="18"/>
      <c r="L47" s="18"/>
      <c r="M47" s="19"/>
      <c r="N47" s="20" t="str">
        <f t="shared" si="6"/>
        <v>OK</v>
      </c>
    </row>
    <row r="48" spans="1:14" ht="20.100000000000001" customHeight="1" x14ac:dyDescent="0.25">
      <c r="A48" s="15" t="s">
        <v>127</v>
      </c>
      <c r="B48" s="16" t="s">
        <v>50</v>
      </c>
      <c r="C48" s="17">
        <v>4</v>
      </c>
      <c r="D48" s="17">
        <v>5</v>
      </c>
      <c r="E48" s="17">
        <f t="shared" si="5"/>
        <v>1</v>
      </c>
      <c r="F48" s="18" t="s">
        <v>79</v>
      </c>
      <c r="G48" s="18"/>
      <c r="H48" s="18"/>
      <c r="I48" s="18"/>
      <c r="J48" s="18" t="s">
        <v>79</v>
      </c>
      <c r="K48" s="18"/>
      <c r="L48" s="18"/>
      <c r="M48" s="19"/>
      <c r="N48" s="20" t="str">
        <f t="shared" si="6"/>
        <v>OK</v>
      </c>
    </row>
    <row r="49" spans="1:14" ht="20.100000000000001" customHeight="1" x14ac:dyDescent="0.25">
      <c r="A49" s="15" t="s">
        <v>127</v>
      </c>
      <c r="B49" s="16" t="s">
        <v>50</v>
      </c>
      <c r="C49" s="17">
        <v>5</v>
      </c>
      <c r="D49" s="17">
        <v>6</v>
      </c>
      <c r="E49" s="17">
        <f t="shared" si="5"/>
        <v>1</v>
      </c>
      <c r="F49" s="18" t="s">
        <v>79</v>
      </c>
      <c r="G49" s="18"/>
      <c r="H49" s="18"/>
      <c r="I49" s="18"/>
      <c r="J49" s="18" t="s">
        <v>79</v>
      </c>
      <c r="K49" s="18"/>
      <c r="L49" s="18"/>
      <c r="M49" s="19"/>
      <c r="N49" s="20" t="str">
        <f t="shared" si="6"/>
        <v>OK</v>
      </c>
    </row>
    <row r="50" spans="1:14" ht="20.100000000000001" customHeight="1" x14ac:dyDescent="0.25">
      <c r="A50" s="15" t="s">
        <v>127</v>
      </c>
      <c r="B50" s="16" t="s">
        <v>50</v>
      </c>
      <c r="C50" s="17">
        <v>6</v>
      </c>
      <c r="D50" s="17">
        <v>7</v>
      </c>
      <c r="E50" s="17">
        <f t="shared" si="5"/>
        <v>1</v>
      </c>
      <c r="F50" s="18" t="s">
        <v>79</v>
      </c>
      <c r="G50" s="18"/>
      <c r="H50" s="18"/>
      <c r="I50" s="18"/>
      <c r="J50" s="18" t="s">
        <v>79</v>
      </c>
      <c r="K50" s="18"/>
      <c r="L50" s="18"/>
      <c r="M50" s="19"/>
      <c r="N50" s="20" t="str">
        <f t="shared" si="6"/>
        <v>OK</v>
      </c>
    </row>
    <row r="51" spans="1:14" ht="20.100000000000001" customHeight="1" x14ac:dyDescent="0.25">
      <c r="A51" s="15" t="s">
        <v>127</v>
      </c>
      <c r="B51" s="16" t="s">
        <v>50</v>
      </c>
      <c r="C51" s="17">
        <v>7</v>
      </c>
      <c r="D51" s="17">
        <v>8</v>
      </c>
      <c r="E51" s="17">
        <f t="shared" si="5"/>
        <v>1</v>
      </c>
      <c r="F51" s="18" t="s">
        <v>79</v>
      </c>
      <c r="G51" s="18"/>
      <c r="H51" s="18"/>
      <c r="I51" s="18"/>
      <c r="J51" s="18" t="s">
        <v>79</v>
      </c>
      <c r="K51" s="18"/>
      <c r="L51" s="18"/>
      <c r="M51" s="19"/>
      <c r="N51" s="20" t="str">
        <f t="shared" si="6"/>
        <v>OK</v>
      </c>
    </row>
    <row r="52" spans="1:14" ht="20.100000000000001" customHeight="1" x14ac:dyDescent="0.25">
      <c r="A52" s="15" t="s">
        <v>127</v>
      </c>
      <c r="B52" s="16" t="s">
        <v>50</v>
      </c>
      <c r="C52" s="17">
        <v>8</v>
      </c>
      <c r="D52" s="17">
        <v>9</v>
      </c>
      <c r="E52" s="17">
        <f t="shared" si="5"/>
        <v>1</v>
      </c>
      <c r="F52" s="18" t="s">
        <v>79</v>
      </c>
      <c r="G52" s="18"/>
      <c r="H52" s="18"/>
      <c r="I52" s="18"/>
      <c r="J52" s="18" t="s">
        <v>79</v>
      </c>
      <c r="K52" s="18"/>
      <c r="L52" s="18"/>
      <c r="M52" s="19"/>
      <c r="N52" s="20" t="str">
        <f t="shared" si="6"/>
        <v>OK</v>
      </c>
    </row>
    <row r="53" spans="1:14" ht="20.100000000000001" customHeight="1" x14ac:dyDescent="0.25">
      <c r="A53" s="15" t="s">
        <v>127</v>
      </c>
      <c r="B53" s="16" t="s">
        <v>50</v>
      </c>
      <c r="C53" s="17">
        <v>9</v>
      </c>
      <c r="D53" s="17">
        <v>10</v>
      </c>
      <c r="E53" s="17">
        <f t="shared" si="5"/>
        <v>1</v>
      </c>
      <c r="F53" s="18" t="s">
        <v>79</v>
      </c>
      <c r="G53" s="18"/>
      <c r="H53" s="18"/>
      <c r="I53" s="18"/>
      <c r="J53" s="18" t="s">
        <v>79</v>
      </c>
      <c r="K53" s="18"/>
      <c r="L53" s="18"/>
      <c r="M53" s="19"/>
      <c r="N53" s="20" t="str">
        <f t="shared" si="6"/>
        <v>OK</v>
      </c>
    </row>
    <row r="54" spans="1:14" ht="20.100000000000001" customHeight="1" x14ac:dyDescent="0.25">
      <c r="A54" s="15" t="s">
        <v>127</v>
      </c>
      <c r="B54" s="16" t="s">
        <v>50</v>
      </c>
      <c r="C54" s="17">
        <v>10</v>
      </c>
      <c r="D54" s="17">
        <v>11</v>
      </c>
      <c r="E54" s="17">
        <f t="shared" si="5"/>
        <v>1</v>
      </c>
      <c r="F54" s="18" t="s">
        <v>79</v>
      </c>
      <c r="G54" s="18"/>
      <c r="H54" s="18"/>
      <c r="I54" s="18"/>
      <c r="J54" s="18" t="s">
        <v>79</v>
      </c>
      <c r="K54" s="18"/>
      <c r="L54" s="18"/>
      <c r="M54" s="19"/>
      <c r="N54" s="20" t="str">
        <f t="shared" si="6"/>
        <v>OK</v>
      </c>
    </row>
    <row r="55" spans="1:14" ht="20.100000000000001" customHeight="1" x14ac:dyDescent="0.25">
      <c r="A55" s="15" t="s">
        <v>127</v>
      </c>
      <c r="B55" s="16" t="s">
        <v>50</v>
      </c>
      <c r="C55" s="17">
        <v>11</v>
      </c>
      <c r="D55" s="17">
        <v>12</v>
      </c>
      <c r="E55" s="17">
        <f t="shared" si="5"/>
        <v>1</v>
      </c>
      <c r="F55" s="18" t="s">
        <v>79</v>
      </c>
      <c r="G55" s="18"/>
      <c r="H55" s="18"/>
      <c r="I55" s="18"/>
      <c r="J55" s="18" t="s">
        <v>79</v>
      </c>
      <c r="K55" s="18"/>
      <c r="L55" s="18"/>
      <c r="M55" s="19"/>
      <c r="N55" s="20" t="str">
        <f t="shared" si="6"/>
        <v>OK</v>
      </c>
    </row>
    <row r="56" spans="1:14" ht="20.100000000000001" customHeight="1" x14ac:dyDescent="0.25">
      <c r="A56" s="15" t="s">
        <v>127</v>
      </c>
      <c r="B56" s="16" t="s">
        <v>50</v>
      </c>
      <c r="C56" s="17">
        <v>12</v>
      </c>
      <c r="D56" s="17">
        <v>13</v>
      </c>
      <c r="E56" s="17">
        <f t="shared" si="5"/>
        <v>1</v>
      </c>
      <c r="F56" s="18" t="s">
        <v>79</v>
      </c>
      <c r="G56" s="18"/>
      <c r="H56" s="18"/>
      <c r="I56" s="18"/>
      <c r="J56" s="18" t="s">
        <v>79</v>
      </c>
      <c r="K56" s="18"/>
      <c r="L56" s="18"/>
      <c r="M56" s="19"/>
      <c r="N56" s="20" t="str">
        <f t="shared" si="6"/>
        <v>OK</v>
      </c>
    </row>
    <row r="57" spans="1:14" ht="20.100000000000001" customHeight="1" x14ac:dyDescent="0.25">
      <c r="A57" s="15" t="s">
        <v>127</v>
      </c>
      <c r="B57" s="16" t="s">
        <v>50</v>
      </c>
      <c r="C57" s="17">
        <v>13</v>
      </c>
      <c r="D57" s="17">
        <v>14</v>
      </c>
      <c r="E57" s="17">
        <f t="shared" si="5"/>
        <v>1</v>
      </c>
      <c r="F57" s="18" t="s">
        <v>79</v>
      </c>
      <c r="G57" s="18"/>
      <c r="H57" s="18"/>
      <c r="I57" s="18"/>
      <c r="J57" s="18" t="s">
        <v>79</v>
      </c>
      <c r="K57" s="18"/>
      <c r="L57" s="18"/>
      <c r="M57" s="19"/>
      <c r="N57" s="20" t="str">
        <f t="shared" si="6"/>
        <v>OK</v>
      </c>
    </row>
    <row r="58" spans="1:14" ht="20.100000000000001" customHeight="1" x14ac:dyDescent="0.25">
      <c r="A58" s="15" t="s">
        <v>127</v>
      </c>
      <c r="B58" s="16" t="s">
        <v>50</v>
      </c>
      <c r="C58" s="17">
        <v>14</v>
      </c>
      <c r="D58" s="17">
        <v>15</v>
      </c>
      <c r="E58" s="17">
        <f t="shared" si="5"/>
        <v>1</v>
      </c>
      <c r="F58" s="18" t="s">
        <v>79</v>
      </c>
      <c r="G58" s="18"/>
      <c r="H58" s="18"/>
      <c r="I58" s="18"/>
      <c r="J58" s="18" t="s">
        <v>79</v>
      </c>
      <c r="K58" s="18"/>
      <c r="L58" s="18"/>
      <c r="M58" s="19"/>
      <c r="N58" s="20" t="str">
        <f t="shared" si="6"/>
        <v>OK</v>
      </c>
    </row>
    <row r="59" spans="1:14" ht="20.100000000000001" customHeight="1" x14ac:dyDescent="0.25">
      <c r="A59" s="15" t="s">
        <v>127</v>
      </c>
      <c r="B59" s="16" t="s">
        <v>50</v>
      </c>
      <c r="C59" s="17">
        <v>15</v>
      </c>
      <c r="D59" s="17">
        <v>16</v>
      </c>
      <c r="E59" s="17">
        <f t="shared" si="5"/>
        <v>1</v>
      </c>
      <c r="F59" s="18" t="s">
        <v>79</v>
      </c>
      <c r="G59" s="18"/>
      <c r="H59" s="18"/>
      <c r="I59" s="18"/>
      <c r="J59" s="18" t="s">
        <v>79</v>
      </c>
      <c r="K59" s="18"/>
      <c r="L59" s="18"/>
      <c r="M59" s="19"/>
      <c r="N59" s="20" t="str">
        <f t="shared" si="6"/>
        <v>OK</v>
      </c>
    </row>
    <row r="60" spans="1:14" ht="20.100000000000001" customHeight="1" x14ac:dyDescent="0.25">
      <c r="A60" s="15" t="s">
        <v>127</v>
      </c>
      <c r="B60" s="16" t="s">
        <v>50</v>
      </c>
      <c r="C60" s="17">
        <v>16</v>
      </c>
      <c r="D60" s="17">
        <v>17</v>
      </c>
      <c r="E60" s="17">
        <f t="shared" si="5"/>
        <v>1</v>
      </c>
      <c r="F60" s="18" t="s">
        <v>79</v>
      </c>
      <c r="G60" s="18"/>
      <c r="H60" s="18"/>
      <c r="I60" s="18"/>
      <c r="J60" s="18" t="s">
        <v>79</v>
      </c>
      <c r="K60" s="18"/>
      <c r="L60" s="18"/>
      <c r="M60" s="19"/>
      <c r="N60" s="20" t="str">
        <f t="shared" si="6"/>
        <v>OK</v>
      </c>
    </row>
    <row r="61" spans="1:14" ht="20.100000000000001" customHeight="1" x14ac:dyDescent="0.25">
      <c r="A61" s="15" t="s">
        <v>127</v>
      </c>
      <c r="B61" s="16" t="s">
        <v>50</v>
      </c>
      <c r="C61" s="17">
        <v>17</v>
      </c>
      <c r="D61" s="17">
        <v>18</v>
      </c>
      <c r="E61" s="17">
        <f t="shared" si="5"/>
        <v>1</v>
      </c>
      <c r="F61" s="18" t="s">
        <v>79</v>
      </c>
      <c r="G61" s="18"/>
      <c r="H61" s="18"/>
      <c r="I61" s="18"/>
      <c r="J61" s="18" t="s">
        <v>79</v>
      </c>
      <c r="K61" s="18"/>
      <c r="L61" s="18"/>
      <c r="M61" s="19"/>
      <c r="N61" s="20" t="str">
        <f t="shared" si="6"/>
        <v>OK</v>
      </c>
    </row>
    <row r="62" spans="1:14" ht="20.100000000000001" customHeight="1" x14ac:dyDescent="0.25">
      <c r="A62" s="21" t="s">
        <v>127</v>
      </c>
      <c r="B62" s="22" t="s">
        <v>50</v>
      </c>
      <c r="C62" s="23">
        <v>18</v>
      </c>
      <c r="D62" s="23">
        <v>18.119655920700001</v>
      </c>
      <c r="E62" s="23">
        <f t="shared" si="5"/>
        <v>0.11965592070000142</v>
      </c>
      <c r="F62" s="24"/>
      <c r="G62" s="24"/>
      <c r="H62" s="24"/>
      <c r="I62" s="24"/>
      <c r="J62" s="24"/>
      <c r="K62" s="24"/>
      <c r="L62" s="24"/>
      <c r="M62" s="25"/>
      <c r="N62" s="26" t="str">
        <f t="shared" si="6"/>
        <v>— não preenchido</v>
      </c>
    </row>
    <row r="63" spans="1:14" ht="15.95" customHeight="1" x14ac:dyDescent="0.25">
      <c r="A63" s="40" t="s">
        <v>128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3"/>
      <c r="N63" s="4"/>
    </row>
    <row r="64" spans="1:14" ht="20.100000000000001" customHeight="1" x14ac:dyDescent="0.25">
      <c r="A64" s="15" t="s">
        <v>129</v>
      </c>
      <c r="B64" s="16" t="s">
        <v>50</v>
      </c>
      <c r="C64" s="17">
        <v>0</v>
      </c>
      <c r="D64" s="17">
        <v>1</v>
      </c>
      <c r="E64" s="17">
        <f t="shared" ref="E64:E88" si="7">D64-C64</f>
        <v>1</v>
      </c>
      <c r="F64" s="18" t="s">
        <v>79</v>
      </c>
      <c r="G64" s="18"/>
      <c r="H64" s="18"/>
      <c r="I64" s="18"/>
      <c r="J64" s="18"/>
      <c r="K64" s="18"/>
      <c r="L64" s="18" t="s">
        <v>79</v>
      </c>
      <c r="M64" s="19"/>
      <c r="N64" s="20" t="str">
        <f t="shared" ref="N64:N88" si="8">IF(COUNTA(F64:L64)=0,"— não preenchido",IF(COUNTIF(F64:I64,"X")&lt;&gt;1,"FALTA/DUPLA: CONDIÇÃO DA PLATAFORMA",IF(COUNTIF(J64:L64,"X")&lt;&gt;1,"FALTA/DUPLA: DRENAGEM SUPERFICIAL","OK")))</f>
        <v>OK</v>
      </c>
    </row>
    <row r="65" spans="1:14" ht="20.100000000000001" customHeight="1" x14ac:dyDescent="0.25">
      <c r="A65" s="15" t="s">
        <v>129</v>
      </c>
      <c r="B65" s="16" t="s">
        <v>50</v>
      </c>
      <c r="C65" s="17">
        <v>1</v>
      </c>
      <c r="D65" s="17">
        <v>2</v>
      </c>
      <c r="E65" s="17">
        <f t="shared" si="7"/>
        <v>1</v>
      </c>
      <c r="F65" s="18" t="s">
        <v>79</v>
      </c>
      <c r="G65" s="18"/>
      <c r="H65" s="18"/>
      <c r="I65" s="18"/>
      <c r="J65" s="18"/>
      <c r="K65" s="18"/>
      <c r="L65" s="18" t="s">
        <v>79</v>
      </c>
      <c r="M65" s="19"/>
      <c r="N65" s="20" t="str">
        <f t="shared" si="8"/>
        <v>OK</v>
      </c>
    </row>
    <row r="66" spans="1:14" ht="20.100000000000001" customHeight="1" x14ac:dyDescent="0.25">
      <c r="A66" s="15" t="s">
        <v>129</v>
      </c>
      <c r="B66" s="16" t="s">
        <v>50</v>
      </c>
      <c r="C66" s="17">
        <v>2</v>
      </c>
      <c r="D66" s="17">
        <v>3</v>
      </c>
      <c r="E66" s="17">
        <f t="shared" si="7"/>
        <v>1</v>
      </c>
      <c r="F66" s="18" t="s">
        <v>79</v>
      </c>
      <c r="G66" s="18"/>
      <c r="H66" s="18"/>
      <c r="I66" s="18"/>
      <c r="J66" s="18"/>
      <c r="K66" s="18"/>
      <c r="L66" s="18" t="s">
        <v>79</v>
      </c>
      <c r="M66" s="19"/>
      <c r="N66" s="20" t="str">
        <f t="shared" si="8"/>
        <v>OK</v>
      </c>
    </row>
    <row r="67" spans="1:14" ht="20.100000000000001" customHeight="1" x14ac:dyDescent="0.25">
      <c r="A67" s="15" t="s">
        <v>129</v>
      </c>
      <c r="B67" s="16" t="s">
        <v>50</v>
      </c>
      <c r="C67" s="17">
        <v>3</v>
      </c>
      <c r="D67" s="17">
        <v>4</v>
      </c>
      <c r="E67" s="17">
        <f t="shared" si="7"/>
        <v>1</v>
      </c>
      <c r="F67" s="18" t="s">
        <v>79</v>
      </c>
      <c r="G67" s="18"/>
      <c r="H67" s="18"/>
      <c r="I67" s="18"/>
      <c r="J67" s="18"/>
      <c r="K67" s="18"/>
      <c r="L67" s="18" t="s">
        <v>79</v>
      </c>
      <c r="M67" s="19"/>
      <c r="N67" s="20" t="str">
        <f t="shared" si="8"/>
        <v>OK</v>
      </c>
    </row>
    <row r="68" spans="1:14" ht="20.100000000000001" customHeight="1" x14ac:dyDescent="0.25">
      <c r="A68" s="15" t="s">
        <v>129</v>
      </c>
      <c r="B68" s="16" t="s">
        <v>50</v>
      </c>
      <c r="C68" s="17">
        <v>4</v>
      </c>
      <c r="D68" s="17">
        <v>5</v>
      </c>
      <c r="E68" s="17">
        <f t="shared" si="7"/>
        <v>1</v>
      </c>
      <c r="F68" s="18" t="s">
        <v>79</v>
      </c>
      <c r="G68" s="18"/>
      <c r="H68" s="18"/>
      <c r="I68" s="18"/>
      <c r="J68" s="18"/>
      <c r="K68" s="18"/>
      <c r="L68" s="18" t="s">
        <v>79</v>
      </c>
      <c r="M68" s="19"/>
      <c r="N68" s="20" t="str">
        <f t="shared" si="8"/>
        <v>OK</v>
      </c>
    </row>
    <row r="69" spans="1:14" ht="20.100000000000001" customHeight="1" x14ac:dyDescent="0.25">
      <c r="A69" s="15" t="s">
        <v>129</v>
      </c>
      <c r="B69" s="16" t="s">
        <v>50</v>
      </c>
      <c r="C69" s="17">
        <v>5</v>
      </c>
      <c r="D69" s="17">
        <v>6</v>
      </c>
      <c r="E69" s="17">
        <f t="shared" si="7"/>
        <v>1</v>
      </c>
      <c r="F69" s="18" t="s">
        <v>79</v>
      </c>
      <c r="G69" s="18"/>
      <c r="H69" s="18"/>
      <c r="I69" s="18"/>
      <c r="J69" s="18"/>
      <c r="K69" s="18"/>
      <c r="L69" s="18" t="s">
        <v>79</v>
      </c>
      <c r="M69" s="19"/>
      <c r="N69" s="20" t="str">
        <f t="shared" si="8"/>
        <v>OK</v>
      </c>
    </row>
    <row r="70" spans="1:14" ht="20.100000000000001" customHeight="1" x14ac:dyDescent="0.25">
      <c r="A70" s="15" t="s">
        <v>129</v>
      </c>
      <c r="B70" s="16" t="s">
        <v>50</v>
      </c>
      <c r="C70" s="17">
        <v>6</v>
      </c>
      <c r="D70" s="17">
        <v>7</v>
      </c>
      <c r="E70" s="17">
        <f t="shared" si="7"/>
        <v>1</v>
      </c>
      <c r="F70" s="18" t="s">
        <v>79</v>
      </c>
      <c r="G70" s="18"/>
      <c r="H70" s="18"/>
      <c r="I70" s="18"/>
      <c r="J70" s="18"/>
      <c r="K70" s="18"/>
      <c r="L70" s="18" t="s">
        <v>79</v>
      </c>
      <c r="M70" s="19"/>
      <c r="N70" s="20" t="str">
        <f t="shared" si="8"/>
        <v>OK</v>
      </c>
    </row>
    <row r="71" spans="1:14" ht="20.100000000000001" customHeight="1" x14ac:dyDescent="0.25">
      <c r="A71" s="15" t="s">
        <v>129</v>
      </c>
      <c r="B71" s="16" t="s">
        <v>50</v>
      </c>
      <c r="C71" s="17">
        <v>7</v>
      </c>
      <c r="D71" s="17">
        <v>8</v>
      </c>
      <c r="E71" s="17">
        <f t="shared" si="7"/>
        <v>1</v>
      </c>
      <c r="F71" s="18" t="s">
        <v>79</v>
      </c>
      <c r="G71" s="18"/>
      <c r="H71" s="18"/>
      <c r="I71" s="18"/>
      <c r="J71" s="18"/>
      <c r="K71" s="18"/>
      <c r="L71" s="18" t="s">
        <v>79</v>
      </c>
      <c r="M71" s="19"/>
      <c r="N71" s="20" t="str">
        <f t="shared" si="8"/>
        <v>OK</v>
      </c>
    </row>
    <row r="72" spans="1:14" ht="20.100000000000001" customHeight="1" x14ac:dyDescent="0.25">
      <c r="A72" s="15" t="s">
        <v>129</v>
      </c>
      <c r="B72" s="16" t="s">
        <v>50</v>
      </c>
      <c r="C72" s="17">
        <v>8</v>
      </c>
      <c r="D72" s="17">
        <v>9</v>
      </c>
      <c r="E72" s="17">
        <f t="shared" si="7"/>
        <v>1</v>
      </c>
      <c r="F72" s="18" t="s">
        <v>79</v>
      </c>
      <c r="G72" s="18"/>
      <c r="H72" s="18"/>
      <c r="I72" s="18"/>
      <c r="J72" s="18" t="s">
        <v>79</v>
      </c>
      <c r="K72" s="18"/>
      <c r="L72" s="18"/>
      <c r="M72" s="19"/>
      <c r="N72" s="20" t="str">
        <f t="shared" si="8"/>
        <v>OK</v>
      </c>
    </row>
    <row r="73" spans="1:14" ht="20.100000000000001" customHeight="1" x14ac:dyDescent="0.25">
      <c r="A73" s="15" t="s">
        <v>129</v>
      </c>
      <c r="B73" s="16" t="s">
        <v>50</v>
      </c>
      <c r="C73" s="17">
        <v>9</v>
      </c>
      <c r="D73" s="17">
        <v>10</v>
      </c>
      <c r="E73" s="17">
        <f t="shared" si="7"/>
        <v>1</v>
      </c>
      <c r="F73" s="18" t="s">
        <v>79</v>
      </c>
      <c r="G73" s="18"/>
      <c r="H73" s="18"/>
      <c r="I73" s="18"/>
      <c r="J73" s="18" t="s">
        <v>79</v>
      </c>
      <c r="K73" s="18"/>
      <c r="L73" s="18"/>
      <c r="M73" s="19"/>
      <c r="N73" s="20" t="str">
        <f t="shared" si="8"/>
        <v>OK</v>
      </c>
    </row>
    <row r="74" spans="1:14" ht="20.100000000000001" customHeight="1" x14ac:dyDescent="0.25">
      <c r="A74" s="15" t="s">
        <v>129</v>
      </c>
      <c r="B74" s="16" t="s">
        <v>50</v>
      </c>
      <c r="C74" s="17">
        <v>10</v>
      </c>
      <c r="D74" s="17">
        <v>11</v>
      </c>
      <c r="E74" s="17">
        <f t="shared" si="7"/>
        <v>1</v>
      </c>
      <c r="F74" s="18" t="s">
        <v>79</v>
      </c>
      <c r="G74" s="18"/>
      <c r="H74" s="18"/>
      <c r="I74" s="18"/>
      <c r="J74" s="18" t="s">
        <v>79</v>
      </c>
      <c r="K74" s="18"/>
      <c r="L74" s="18"/>
      <c r="M74" s="19"/>
      <c r="N74" s="20" t="str">
        <f t="shared" si="8"/>
        <v>OK</v>
      </c>
    </row>
    <row r="75" spans="1:14" ht="20.100000000000001" customHeight="1" x14ac:dyDescent="0.25">
      <c r="A75" s="15" t="s">
        <v>129</v>
      </c>
      <c r="B75" s="16" t="s">
        <v>50</v>
      </c>
      <c r="C75" s="17">
        <v>11</v>
      </c>
      <c r="D75" s="17">
        <v>12</v>
      </c>
      <c r="E75" s="17">
        <f t="shared" si="7"/>
        <v>1</v>
      </c>
      <c r="F75" s="18" t="s">
        <v>79</v>
      </c>
      <c r="G75" s="18"/>
      <c r="H75" s="18"/>
      <c r="I75" s="18"/>
      <c r="J75" s="18" t="s">
        <v>79</v>
      </c>
      <c r="K75" s="18"/>
      <c r="L75" s="18"/>
      <c r="M75" s="19"/>
      <c r="N75" s="20" t="str">
        <f t="shared" si="8"/>
        <v>OK</v>
      </c>
    </row>
    <row r="76" spans="1:14" ht="20.100000000000001" customHeight="1" x14ac:dyDescent="0.25">
      <c r="A76" s="15" t="s">
        <v>129</v>
      </c>
      <c r="B76" s="16" t="s">
        <v>50</v>
      </c>
      <c r="C76" s="17">
        <v>12</v>
      </c>
      <c r="D76" s="17">
        <v>13</v>
      </c>
      <c r="E76" s="17">
        <f t="shared" si="7"/>
        <v>1</v>
      </c>
      <c r="F76" s="18" t="s">
        <v>79</v>
      </c>
      <c r="G76" s="18"/>
      <c r="H76" s="18"/>
      <c r="I76" s="18"/>
      <c r="J76" s="18" t="s">
        <v>79</v>
      </c>
      <c r="K76" s="18"/>
      <c r="L76" s="18"/>
      <c r="M76" s="19"/>
      <c r="N76" s="20" t="str">
        <f t="shared" si="8"/>
        <v>OK</v>
      </c>
    </row>
    <row r="77" spans="1:14" ht="20.100000000000001" customHeight="1" x14ac:dyDescent="0.25">
      <c r="A77" s="15" t="s">
        <v>129</v>
      </c>
      <c r="B77" s="16" t="s">
        <v>50</v>
      </c>
      <c r="C77" s="17">
        <v>13</v>
      </c>
      <c r="D77" s="17">
        <v>14</v>
      </c>
      <c r="E77" s="17">
        <f t="shared" si="7"/>
        <v>1</v>
      </c>
      <c r="F77" s="18" t="s">
        <v>79</v>
      </c>
      <c r="G77" s="18"/>
      <c r="H77" s="18"/>
      <c r="I77" s="18"/>
      <c r="J77" s="18" t="s">
        <v>79</v>
      </c>
      <c r="K77" s="18"/>
      <c r="L77" s="18"/>
      <c r="M77" s="19"/>
      <c r="N77" s="20" t="str">
        <f t="shared" si="8"/>
        <v>OK</v>
      </c>
    </row>
    <row r="78" spans="1:14" ht="20.100000000000001" customHeight="1" x14ac:dyDescent="0.25">
      <c r="A78" s="15" t="s">
        <v>129</v>
      </c>
      <c r="B78" s="16" t="s">
        <v>50</v>
      </c>
      <c r="C78" s="17">
        <v>14</v>
      </c>
      <c r="D78" s="17">
        <v>15</v>
      </c>
      <c r="E78" s="17">
        <f t="shared" si="7"/>
        <v>1</v>
      </c>
      <c r="F78" s="18" t="s">
        <v>79</v>
      </c>
      <c r="G78" s="18"/>
      <c r="H78" s="18"/>
      <c r="I78" s="18"/>
      <c r="J78" s="18"/>
      <c r="K78" s="18"/>
      <c r="L78" s="18" t="s">
        <v>79</v>
      </c>
      <c r="M78" s="19"/>
      <c r="N78" s="20" t="str">
        <f t="shared" si="8"/>
        <v>OK</v>
      </c>
    </row>
    <row r="79" spans="1:14" ht="20.100000000000001" customHeight="1" x14ac:dyDescent="0.25">
      <c r="A79" s="15" t="s">
        <v>129</v>
      </c>
      <c r="B79" s="16" t="s">
        <v>50</v>
      </c>
      <c r="C79" s="17">
        <v>15</v>
      </c>
      <c r="D79" s="17">
        <v>16</v>
      </c>
      <c r="E79" s="17">
        <f t="shared" si="7"/>
        <v>1</v>
      </c>
      <c r="F79" s="18" t="s">
        <v>79</v>
      </c>
      <c r="G79" s="18"/>
      <c r="H79" s="18"/>
      <c r="I79" s="18"/>
      <c r="J79" s="18"/>
      <c r="K79" s="18"/>
      <c r="L79" s="18" t="s">
        <v>79</v>
      </c>
      <c r="M79" s="19"/>
      <c r="N79" s="20" t="str">
        <f t="shared" si="8"/>
        <v>OK</v>
      </c>
    </row>
    <row r="80" spans="1:14" ht="20.100000000000001" customHeight="1" x14ac:dyDescent="0.25">
      <c r="A80" s="15" t="s">
        <v>129</v>
      </c>
      <c r="B80" s="16" t="s">
        <v>50</v>
      </c>
      <c r="C80" s="17">
        <v>16</v>
      </c>
      <c r="D80" s="17">
        <v>17</v>
      </c>
      <c r="E80" s="17">
        <f t="shared" si="7"/>
        <v>1</v>
      </c>
      <c r="F80" s="18" t="s">
        <v>79</v>
      </c>
      <c r="G80" s="18"/>
      <c r="H80" s="18"/>
      <c r="I80" s="18"/>
      <c r="J80" s="18"/>
      <c r="K80" s="18"/>
      <c r="L80" s="18" t="s">
        <v>79</v>
      </c>
      <c r="M80" s="19"/>
      <c r="N80" s="20" t="str">
        <f t="shared" si="8"/>
        <v>OK</v>
      </c>
    </row>
    <row r="81" spans="1:14" ht="20.100000000000001" customHeight="1" x14ac:dyDescent="0.25">
      <c r="A81" s="15" t="s">
        <v>129</v>
      </c>
      <c r="B81" s="16" t="s">
        <v>50</v>
      </c>
      <c r="C81" s="17">
        <v>17</v>
      </c>
      <c r="D81" s="17">
        <v>18</v>
      </c>
      <c r="E81" s="17">
        <f t="shared" si="7"/>
        <v>1</v>
      </c>
      <c r="F81" s="18" t="s">
        <v>79</v>
      </c>
      <c r="G81" s="18"/>
      <c r="H81" s="18"/>
      <c r="I81" s="18"/>
      <c r="J81" s="18"/>
      <c r="K81" s="18"/>
      <c r="L81" s="18" t="s">
        <v>79</v>
      </c>
      <c r="M81" s="19"/>
      <c r="N81" s="20" t="str">
        <f t="shared" si="8"/>
        <v>OK</v>
      </c>
    </row>
    <row r="82" spans="1:14" ht="20.100000000000001" customHeight="1" x14ac:dyDescent="0.25">
      <c r="A82" s="15" t="s">
        <v>129</v>
      </c>
      <c r="B82" s="16" t="s">
        <v>50</v>
      </c>
      <c r="C82" s="17">
        <v>18</v>
      </c>
      <c r="D82" s="17">
        <v>19</v>
      </c>
      <c r="E82" s="17">
        <f t="shared" si="7"/>
        <v>1</v>
      </c>
      <c r="F82" s="18" t="s">
        <v>79</v>
      </c>
      <c r="G82" s="18"/>
      <c r="H82" s="18"/>
      <c r="I82" s="18"/>
      <c r="J82" s="18"/>
      <c r="K82" s="18"/>
      <c r="L82" s="18" t="s">
        <v>79</v>
      </c>
      <c r="M82" s="19"/>
      <c r="N82" s="20" t="str">
        <f t="shared" si="8"/>
        <v>OK</v>
      </c>
    </row>
    <row r="83" spans="1:14" ht="20.100000000000001" customHeight="1" x14ac:dyDescent="0.25">
      <c r="A83" s="15" t="s">
        <v>129</v>
      </c>
      <c r="B83" s="16" t="s">
        <v>50</v>
      </c>
      <c r="C83" s="17">
        <v>19</v>
      </c>
      <c r="D83" s="17">
        <v>20</v>
      </c>
      <c r="E83" s="17">
        <f t="shared" si="7"/>
        <v>1</v>
      </c>
      <c r="F83" s="18" t="s">
        <v>79</v>
      </c>
      <c r="G83" s="18"/>
      <c r="H83" s="18"/>
      <c r="I83" s="18"/>
      <c r="J83" s="18"/>
      <c r="K83" s="18"/>
      <c r="L83" s="18" t="s">
        <v>79</v>
      </c>
      <c r="M83" s="19"/>
      <c r="N83" s="20" t="str">
        <f t="shared" si="8"/>
        <v>OK</v>
      </c>
    </row>
    <row r="84" spans="1:14" ht="20.100000000000001" customHeight="1" x14ac:dyDescent="0.25">
      <c r="A84" s="15" t="s">
        <v>129</v>
      </c>
      <c r="B84" s="16" t="s">
        <v>50</v>
      </c>
      <c r="C84" s="17">
        <v>20</v>
      </c>
      <c r="D84" s="17">
        <v>21</v>
      </c>
      <c r="E84" s="17">
        <f t="shared" si="7"/>
        <v>1</v>
      </c>
      <c r="F84" s="18" t="s">
        <v>79</v>
      </c>
      <c r="G84" s="18"/>
      <c r="H84" s="18"/>
      <c r="I84" s="18"/>
      <c r="J84" s="18"/>
      <c r="K84" s="18"/>
      <c r="L84" s="18" t="s">
        <v>79</v>
      </c>
      <c r="M84" s="19"/>
      <c r="N84" s="20" t="str">
        <f t="shared" si="8"/>
        <v>OK</v>
      </c>
    </row>
    <row r="85" spans="1:14" ht="20.100000000000001" customHeight="1" x14ac:dyDescent="0.25">
      <c r="A85" s="15" t="s">
        <v>129</v>
      </c>
      <c r="B85" s="16" t="s">
        <v>50</v>
      </c>
      <c r="C85" s="17">
        <v>21</v>
      </c>
      <c r="D85" s="17">
        <v>22</v>
      </c>
      <c r="E85" s="17">
        <f t="shared" si="7"/>
        <v>1</v>
      </c>
      <c r="F85" s="18" t="s">
        <v>79</v>
      </c>
      <c r="G85" s="18"/>
      <c r="H85" s="18"/>
      <c r="I85" s="18"/>
      <c r="J85" s="18"/>
      <c r="K85" s="18"/>
      <c r="L85" s="18" t="s">
        <v>79</v>
      </c>
      <c r="M85" s="19"/>
      <c r="N85" s="20" t="str">
        <f t="shared" si="8"/>
        <v>OK</v>
      </c>
    </row>
    <row r="86" spans="1:14" ht="20.100000000000001" customHeight="1" x14ac:dyDescent="0.25">
      <c r="A86" s="15" t="s">
        <v>129</v>
      </c>
      <c r="B86" s="16" t="s">
        <v>50</v>
      </c>
      <c r="C86" s="17">
        <v>22</v>
      </c>
      <c r="D86" s="17">
        <v>23</v>
      </c>
      <c r="E86" s="17">
        <f t="shared" si="7"/>
        <v>1</v>
      </c>
      <c r="F86" s="18" t="s">
        <v>79</v>
      </c>
      <c r="G86" s="18"/>
      <c r="H86" s="18"/>
      <c r="I86" s="18"/>
      <c r="J86" s="18"/>
      <c r="K86" s="18"/>
      <c r="L86" s="18" t="s">
        <v>79</v>
      </c>
      <c r="M86" s="19"/>
      <c r="N86" s="20" t="str">
        <f t="shared" si="8"/>
        <v>OK</v>
      </c>
    </row>
    <row r="87" spans="1:14" ht="20.100000000000001" customHeight="1" x14ac:dyDescent="0.25">
      <c r="A87" s="15" t="s">
        <v>129</v>
      </c>
      <c r="B87" s="16" t="s">
        <v>50</v>
      </c>
      <c r="C87" s="17">
        <v>23</v>
      </c>
      <c r="D87" s="17">
        <v>24</v>
      </c>
      <c r="E87" s="17">
        <f t="shared" si="7"/>
        <v>1</v>
      </c>
      <c r="F87" s="18" t="s">
        <v>79</v>
      </c>
      <c r="G87" s="18"/>
      <c r="H87" s="18"/>
      <c r="I87" s="18"/>
      <c r="J87" s="18"/>
      <c r="K87" s="18"/>
      <c r="L87" s="18" t="s">
        <v>79</v>
      </c>
      <c r="M87" s="19"/>
      <c r="N87" s="20" t="str">
        <f t="shared" si="8"/>
        <v>OK</v>
      </c>
    </row>
    <row r="88" spans="1:14" ht="20.100000000000001" customHeight="1" x14ac:dyDescent="0.25">
      <c r="A88" s="21" t="s">
        <v>129</v>
      </c>
      <c r="B88" s="22" t="s">
        <v>50</v>
      </c>
      <c r="C88" s="23">
        <v>24</v>
      </c>
      <c r="D88" s="23">
        <v>24.005730035599999</v>
      </c>
      <c r="E88" s="23">
        <f t="shared" si="7"/>
        <v>5.7300355999991837E-3</v>
      </c>
      <c r="F88" s="24" t="s">
        <v>79</v>
      </c>
      <c r="G88" s="24"/>
      <c r="H88" s="24"/>
      <c r="I88" s="24"/>
      <c r="J88" s="24"/>
      <c r="K88" s="24"/>
      <c r="L88" s="24" t="s">
        <v>79</v>
      </c>
      <c r="M88" s="25"/>
      <c r="N88" s="26" t="str">
        <f t="shared" si="8"/>
        <v>OK</v>
      </c>
    </row>
    <row r="89" spans="1:14" ht="15.95" customHeight="1" x14ac:dyDescent="0.25">
      <c r="A89" s="40" t="s">
        <v>130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3"/>
      <c r="N89" s="4"/>
    </row>
    <row r="90" spans="1:14" ht="20.100000000000001" customHeight="1" x14ac:dyDescent="0.25">
      <c r="A90" s="15" t="s">
        <v>131</v>
      </c>
      <c r="B90" s="16" t="s">
        <v>50</v>
      </c>
      <c r="C90" s="17">
        <v>0</v>
      </c>
      <c r="D90" s="17">
        <v>1</v>
      </c>
      <c r="E90" s="17">
        <f t="shared" ref="E90:E114" si="9">D90-C90</f>
        <v>1</v>
      </c>
      <c r="F90" s="18" t="s">
        <v>79</v>
      </c>
      <c r="G90" s="18"/>
      <c r="H90" s="18"/>
      <c r="I90" s="18"/>
      <c r="J90" s="18" t="s">
        <v>79</v>
      </c>
      <c r="K90" s="18"/>
      <c r="L90" s="18"/>
      <c r="M90" s="19"/>
      <c r="N90" s="20" t="str">
        <f t="shared" ref="N90:N114" si="10">IF(COUNTA(F90:L90)=0,"— não preenchido",IF(COUNTIF(F90:I90,"X")&lt;&gt;1,"FALTA/DUPLA: CONDIÇÃO DA PLATAFORMA",IF(COUNTIF(J90:L90,"X")&lt;&gt;1,"FALTA/DUPLA: DRENAGEM SUPERFICIAL","OK")))</f>
        <v>OK</v>
      </c>
    </row>
    <row r="91" spans="1:14" ht="20.100000000000001" customHeight="1" x14ac:dyDescent="0.25">
      <c r="A91" s="15" t="s">
        <v>131</v>
      </c>
      <c r="B91" s="16" t="s">
        <v>50</v>
      </c>
      <c r="C91" s="17">
        <v>1</v>
      </c>
      <c r="D91" s="17">
        <v>2</v>
      </c>
      <c r="E91" s="17">
        <f t="shared" si="9"/>
        <v>1</v>
      </c>
      <c r="F91" s="18" t="s">
        <v>79</v>
      </c>
      <c r="G91" s="18"/>
      <c r="H91" s="18"/>
      <c r="I91" s="18"/>
      <c r="J91" s="18" t="s">
        <v>79</v>
      </c>
      <c r="K91" s="18"/>
      <c r="L91" s="18"/>
      <c r="M91" s="19"/>
      <c r="N91" s="20" t="str">
        <f t="shared" si="10"/>
        <v>OK</v>
      </c>
    </row>
    <row r="92" spans="1:14" ht="20.100000000000001" customHeight="1" x14ac:dyDescent="0.25">
      <c r="A92" s="15" t="s">
        <v>131</v>
      </c>
      <c r="B92" s="16" t="s">
        <v>50</v>
      </c>
      <c r="C92" s="17">
        <v>2</v>
      </c>
      <c r="D92" s="17">
        <v>3</v>
      </c>
      <c r="E92" s="17">
        <f t="shared" si="9"/>
        <v>1</v>
      </c>
      <c r="F92" s="18" t="s">
        <v>79</v>
      </c>
      <c r="G92" s="18"/>
      <c r="H92" s="18"/>
      <c r="I92" s="18"/>
      <c r="J92" s="18" t="s">
        <v>79</v>
      </c>
      <c r="K92" s="18"/>
      <c r="L92" s="18"/>
      <c r="M92" s="19"/>
      <c r="N92" s="20" t="str">
        <f t="shared" si="10"/>
        <v>OK</v>
      </c>
    </row>
    <row r="93" spans="1:14" ht="20.100000000000001" customHeight="1" x14ac:dyDescent="0.25">
      <c r="A93" s="15" t="s">
        <v>131</v>
      </c>
      <c r="B93" s="16" t="s">
        <v>50</v>
      </c>
      <c r="C93" s="17">
        <v>3</v>
      </c>
      <c r="D93" s="17">
        <v>4</v>
      </c>
      <c r="E93" s="17">
        <f t="shared" si="9"/>
        <v>1</v>
      </c>
      <c r="F93" s="18" t="s">
        <v>79</v>
      </c>
      <c r="G93" s="18"/>
      <c r="H93" s="18"/>
      <c r="I93" s="18"/>
      <c r="J93" s="18" t="s">
        <v>79</v>
      </c>
      <c r="K93" s="18"/>
      <c r="L93" s="18"/>
      <c r="M93" s="19"/>
      <c r="N93" s="20" t="str">
        <f t="shared" si="10"/>
        <v>OK</v>
      </c>
    </row>
    <row r="94" spans="1:14" ht="20.100000000000001" customHeight="1" x14ac:dyDescent="0.25">
      <c r="A94" s="15" t="s">
        <v>131</v>
      </c>
      <c r="B94" s="16" t="s">
        <v>50</v>
      </c>
      <c r="C94" s="17">
        <v>4</v>
      </c>
      <c r="D94" s="17">
        <v>5</v>
      </c>
      <c r="E94" s="17">
        <f t="shared" si="9"/>
        <v>1</v>
      </c>
      <c r="F94" s="18" t="s">
        <v>79</v>
      </c>
      <c r="G94" s="18"/>
      <c r="H94" s="18"/>
      <c r="I94" s="18"/>
      <c r="J94" s="18" t="s">
        <v>79</v>
      </c>
      <c r="K94" s="18"/>
      <c r="L94" s="18"/>
      <c r="M94" s="19"/>
      <c r="N94" s="20" t="str">
        <f t="shared" si="10"/>
        <v>OK</v>
      </c>
    </row>
    <row r="95" spans="1:14" ht="20.100000000000001" customHeight="1" x14ac:dyDescent="0.25">
      <c r="A95" s="15" t="s">
        <v>131</v>
      </c>
      <c r="B95" s="16" t="s">
        <v>50</v>
      </c>
      <c r="C95" s="17">
        <v>5</v>
      </c>
      <c r="D95" s="17">
        <v>6</v>
      </c>
      <c r="E95" s="17">
        <f t="shared" si="9"/>
        <v>1</v>
      </c>
      <c r="F95" s="18" t="s">
        <v>79</v>
      </c>
      <c r="G95" s="18"/>
      <c r="H95" s="18"/>
      <c r="I95" s="18"/>
      <c r="J95" s="18" t="s">
        <v>79</v>
      </c>
      <c r="K95" s="18"/>
      <c r="L95" s="18"/>
      <c r="M95" s="19"/>
      <c r="N95" s="20" t="str">
        <f t="shared" si="10"/>
        <v>OK</v>
      </c>
    </row>
    <row r="96" spans="1:14" ht="20.100000000000001" customHeight="1" x14ac:dyDescent="0.25">
      <c r="A96" s="15" t="s">
        <v>131</v>
      </c>
      <c r="B96" s="16" t="s">
        <v>50</v>
      </c>
      <c r="C96" s="17">
        <v>6</v>
      </c>
      <c r="D96" s="17">
        <v>7</v>
      </c>
      <c r="E96" s="17">
        <f t="shared" si="9"/>
        <v>1</v>
      </c>
      <c r="F96" s="18" t="s">
        <v>79</v>
      </c>
      <c r="G96" s="18"/>
      <c r="H96" s="18"/>
      <c r="I96" s="18"/>
      <c r="J96" s="18" t="s">
        <v>79</v>
      </c>
      <c r="K96" s="18"/>
      <c r="L96" s="18"/>
      <c r="M96" s="19"/>
      <c r="N96" s="20" t="str">
        <f t="shared" si="10"/>
        <v>OK</v>
      </c>
    </row>
    <row r="97" spans="1:14" ht="20.100000000000001" customHeight="1" x14ac:dyDescent="0.25">
      <c r="A97" s="15" t="s">
        <v>131</v>
      </c>
      <c r="B97" s="16" t="s">
        <v>50</v>
      </c>
      <c r="C97" s="17">
        <v>7</v>
      </c>
      <c r="D97" s="17">
        <v>8</v>
      </c>
      <c r="E97" s="17">
        <f t="shared" si="9"/>
        <v>1</v>
      </c>
      <c r="F97" s="18" t="s">
        <v>79</v>
      </c>
      <c r="G97" s="18"/>
      <c r="H97" s="18"/>
      <c r="I97" s="18"/>
      <c r="J97" s="18" t="s">
        <v>79</v>
      </c>
      <c r="K97" s="18"/>
      <c r="L97" s="18"/>
      <c r="M97" s="19"/>
      <c r="N97" s="20" t="str">
        <f t="shared" si="10"/>
        <v>OK</v>
      </c>
    </row>
    <row r="98" spans="1:14" ht="20.100000000000001" customHeight="1" x14ac:dyDescent="0.25">
      <c r="A98" s="15" t="s">
        <v>131</v>
      </c>
      <c r="B98" s="16" t="s">
        <v>50</v>
      </c>
      <c r="C98" s="17">
        <v>8</v>
      </c>
      <c r="D98" s="17">
        <v>9</v>
      </c>
      <c r="E98" s="17">
        <f t="shared" si="9"/>
        <v>1</v>
      </c>
      <c r="F98" s="18" t="s">
        <v>79</v>
      </c>
      <c r="G98" s="18"/>
      <c r="H98" s="18"/>
      <c r="I98" s="18"/>
      <c r="J98" s="18" t="s">
        <v>79</v>
      </c>
      <c r="K98" s="18"/>
      <c r="L98" s="18"/>
      <c r="M98" s="19"/>
      <c r="N98" s="20" t="str">
        <f t="shared" si="10"/>
        <v>OK</v>
      </c>
    </row>
    <row r="99" spans="1:14" ht="20.100000000000001" customHeight="1" x14ac:dyDescent="0.25">
      <c r="A99" s="15" t="s">
        <v>131</v>
      </c>
      <c r="B99" s="16" t="s">
        <v>50</v>
      </c>
      <c r="C99" s="17">
        <v>9</v>
      </c>
      <c r="D99" s="17">
        <v>10</v>
      </c>
      <c r="E99" s="17">
        <f t="shared" si="9"/>
        <v>1</v>
      </c>
      <c r="F99" s="18" t="s">
        <v>79</v>
      </c>
      <c r="G99" s="18"/>
      <c r="H99" s="18"/>
      <c r="I99" s="18"/>
      <c r="J99" s="18" t="s">
        <v>79</v>
      </c>
      <c r="K99" s="18"/>
      <c r="L99" s="18"/>
      <c r="M99" s="19"/>
      <c r="N99" s="20" t="str">
        <f t="shared" si="10"/>
        <v>OK</v>
      </c>
    </row>
    <row r="100" spans="1:14" ht="20.100000000000001" customHeight="1" x14ac:dyDescent="0.25">
      <c r="A100" s="15" t="s">
        <v>131</v>
      </c>
      <c r="B100" s="16" t="s">
        <v>50</v>
      </c>
      <c r="C100" s="17">
        <v>10</v>
      </c>
      <c r="D100" s="17">
        <v>11</v>
      </c>
      <c r="E100" s="17">
        <f t="shared" si="9"/>
        <v>1</v>
      </c>
      <c r="F100" s="18" t="s">
        <v>79</v>
      </c>
      <c r="G100" s="18"/>
      <c r="H100" s="18"/>
      <c r="I100" s="18"/>
      <c r="J100" s="18" t="s">
        <v>79</v>
      </c>
      <c r="K100" s="18"/>
      <c r="L100" s="18"/>
      <c r="M100" s="19"/>
      <c r="N100" s="20" t="str">
        <f t="shared" si="10"/>
        <v>OK</v>
      </c>
    </row>
    <row r="101" spans="1:14" ht="20.100000000000001" customHeight="1" x14ac:dyDescent="0.25">
      <c r="A101" s="15" t="s">
        <v>131</v>
      </c>
      <c r="B101" s="16" t="s">
        <v>50</v>
      </c>
      <c r="C101" s="17">
        <v>11</v>
      </c>
      <c r="D101" s="17">
        <v>12</v>
      </c>
      <c r="E101" s="17">
        <f t="shared" si="9"/>
        <v>1</v>
      </c>
      <c r="F101" s="18" t="s">
        <v>79</v>
      </c>
      <c r="G101" s="18"/>
      <c r="H101" s="18"/>
      <c r="I101" s="18"/>
      <c r="J101" s="18" t="s">
        <v>79</v>
      </c>
      <c r="K101" s="18"/>
      <c r="L101" s="18"/>
      <c r="M101" s="19"/>
      <c r="N101" s="20" t="str">
        <f t="shared" si="10"/>
        <v>OK</v>
      </c>
    </row>
    <row r="102" spans="1:14" ht="20.100000000000001" customHeight="1" x14ac:dyDescent="0.25">
      <c r="A102" s="15" t="s">
        <v>131</v>
      </c>
      <c r="B102" s="16" t="s">
        <v>50</v>
      </c>
      <c r="C102" s="17">
        <v>12</v>
      </c>
      <c r="D102" s="17">
        <v>13</v>
      </c>
      <c r="E102" s="17">
        <f t="shared" si="9"/>
        <v>1</v>
      </c>
      <c r="F102" s="18" t="s">
        <v>79</v>
      </c>
      <c r="G102" s="18"/>
      <c r="H102" s="18"/>
      <c r="I102" s="18"/>
      <c r="J102" s="18" t="s">
        <v>79</v>
      </c>
      <c r="K102" s="18"/>
      <c r="L102" s="18"/>
      <c r="M102" s="19"/>
      <c r="N102" s="20" t="str">
        <f t="shared" si="10"/>
        <v>OK</v>
      </c>
    </row>
    <row r="103" spans="1:14" ht="20.100000000000001" customHeight="1" x14ac:dyDescent="0.25">
      <c r="A103" s="15" t="s">
        <v>131</v>
      </c>
      <c r="B103" s="16" t="s">
        <v>50</v>
      </c>
      <c r="C103" s="17">
        <v>13</v>
      </c>
      <c r="D103" s="17">
        <v>14</v>
      </c>
      <c r="E103" s="17">
        <f t="shared" si="9"/>
        <v>1</v>
      </c>
      <c r="F103" s="18" t="s">
        <v>79</v>
      </c>
      <c r="G103" s="18"/>
      <c r="H103" s="18"/>
      <c r="I103" s="18"/>
      <c r="J103" s="18" t="s">
        <v>79</v>
      </c>
      <c r="K103" s="18"/>
      <c r="L103" s="18"/>
      <c r="M103" s="19"/>
      <c r="N103" s="20" t="str">
        <f t="shared" si="10"/>
        <v>OK</v>
      </c>
    </row>
    <row r="104" spans="1:14" ht="20.100000000000001" customHeight="1" x14ac:dyDescent="0.25">
      <c r="A104" s="15" t="s">
        <v>131</v>
      </c>
      <c r="B104" s="16" t="s">
        <v>50</v>
      </c>
      <c r="C104" s="17">
        <v>14</v>
      </c>
      <c r="D104" s="17">
        <v>15</v>
      </c>
      <c r="E104" s="17">
        <f t="shared" si="9"/>
        <v>1</v>
      </c>
      <c r="F104" s="18" t="s">
        <v>79</v>
      </c>
      <c r="G104" s="18"/>
      <c r="H104" s="18"/>
      <c r="I104" s="18"/>
      <c r="J104" s="18" t="s">
        <v>79</v>
      </c>
      <c r="K104" s="18"/>
      <c r="L104" s="18"/>
      <c r="M104" s="19"/>
      <c r="N104" s="20" t="str">
        <f t="shared" si="10"/>
        <v>OK</v>
      </c>
    </row>
    <row r="105" spans="1:14" ht="20.100000000000001" customHeight="1" x14ac:dyDescent="0.25">
      <c r="A105" s="15" t="s">
        <v>131</v>
      </c>
      <c r="B105" s="16" t="s">
        <v>50</v>
      </c>
      <c r="C105" s="17">
        <v>15</v>
      </c>
      <c r="D105" s="17">
        <v>16</v>
      </c>
      <c r="E105" s="17">
        <f t="shared" si="9"/>
        <v>1</v>
      </c>
      <c r="F105" s="18" t="s">
        <v>79</v>
      </c>
      <c r="G105" s="18"/>
      <c r="H105" s="18"/>
      <c r="I105" s="18"/>
      <c r="J105" s="18"/>
      <c r="K105" s="18"/>
      <c r="L105" s="18" t="s">
        <v>79</v>
      </c>
      <c r="M105" s="19"/>
      <c r="N105" s="20" t="str">
        <f t="shared" si="10"/>
        <v>OK</v>
      </c>
    </row>
    <row r="106" spans="1:14" ht="20.100000000000001" customHeight="1" x14ac:dyDescent="0.25">
      <c r="A106" s="15" t="s">
        <v>131</v>
      </c>
      <c r="B106" s="16" t="s">
        <v>50</v>
      </c>
      <c r="C106" s="17">
        <v>16</v>
      </c>
      <c r="D106" s="17">
        <v>17</v>
      </c>
      <c r="E106" s="17">
        <f t="shared" si="9"/>
        <v>1</v>
      </c>
      <c r="F106" s="18" t="s">
        <v>79</v>
      </c>
      <c r="G106" s="18"/>
      <c r="H106" s="18"/>
      <c r="I106" s="18"/>
      <c r="J106" s="18"/>
      <c r="K106" s="18"/>
      <c r="L106" s="18" t="s">
        <v>79</v>
      </c>
      <c r="M106" s="19"/>
      <c r="N106" s="20" t="str">
        <f t="shared" si="10"/>
        <v>OK</v>
      </c>
    </row>
    <row r="107" spans="1:14" ht="20.100000000000001" customHeight="1" x14ac:dyDescent="0.25">
      <c r="A107" s="15" t="s">
        <v>131</v>
      </c>
      <c r="B107" s="16" t="s">
        <v>50</v>
      </c>
      <c r="C107" s="17">
        <v>17</v>
      </c>
      <c r="D107" s="17">
        <v>18</v>
      </c>
      <c r="E107" s="17">
        <f t="shared" si="9"/>
        <v>1</v>
      </c>
      <c r="F107" s="18" t="s">
        <v>79</v>
      </c>
      <c r="G107" s="18"/>
      <c r="H107" s="18"/>
      <c r="I107" s="18"/>
      <c r="J107" s="18"/>
      <c r="K107" s="18"/>
      <c r="L107" s="18" t="s">
        <v>79</v>
      </c>
      <c r="M107" s="19"/>
      <c r="N107" s="20" t="str">
        <f t="shared" si="10"/>
        <v>OK</v>
      </c>
    </row>
    <row r="108" spans="1:14" ht="20.100000000000001" customHeight="1" x14ac:dyDescent="0.25">
      <c r="A108" s="15" t="s">
        <v>131</v>
      </c>
      <c r="B108" s="16" t="s">
        <v>50</v>
      </c>
      <c r="C108" s="17">
        <v>18</v>
      </c>
      <c r="D108" s="17">
        <v>19</v>
      </c>
      <c r="E108" s="17">
        <f t="shared" si="9"/>
        <v>1</v>
      </c>
      <c r="F108" s="18" t="s">
        <v>79</v>
      </c>
      <c r="G108" s="18"/>
      <c r="H108" s="18"/>
      <c r="I108" s="18"/>
      <c r="J108" s="18"/>
      <c r="K108" s="18"/>
      <c r="L108" s="18" t="s">
        <v>79</v>
      </c>
      <c r="M108" s="19"/>
      <c r="N108" s="20" t="str">
        <f t="shared" si="10"/>
        <v>OK</v>
      </c>
    </row>
    <row r="109" spans="1:14" ht="20.100000000000001" customHeight="1" x14ac:dyDescent="0.25">
      <c r="A109" s="15" t="s">
        <v>131</v>
      </c>
      <c r="B109" s="16" t="s">
        <v>50</v>
      </c>
      <c r="C109" s="17">
        <v>19</v>
      </c>
      <c r="D109" s="17">
        <v>20</v>
      </c>
      <c r="E109" s="17">
        <f t="shared" si="9"/>
        <v>1</v>
      </c>
      <c r="F109" s="18" t="s">
        <v>79</v>
      </c>
      <c r="G109" s="18"/>
      <c r="H109" s="18"/>
      <c r="I109" s="18"/>
      <c r="J109" s="18"/>
      <c r="K109" s="18"/>
      <c r="L109" s="18" t="s">
        <v>79</v>
      </c>
      <c r="M109" s="19"/>
      <c r="N109" s="20" t="str">
        <f t="shared" si="10"/>
        <v>OK</v>
      </c>
    </row>
    <row r="110" spans="1:14" ht="20.100000000000001" customHeight="1" x14ac:dyDescent="0.25">
      <c r="A110" s="15" t="s">
        <v>131</v>
      </c>
      <c r="B110" s="16" t="s">
        <v>50</v>
      </c>
      <c r="C110" s="17">
        <v>20</v>
      </c>
      <c r="D110" s="17">
        <v>21</v>
      </c>
      <c r="E110" s="17">
        <f t="shared" si="9"/>
        <v>1</v>
      </c>
      <c r="F110" s="18" t="s">
        <v>79</v>
      </c>
      <c r="G110" s="18"/>
      <c r="H110" s="18"/>
      <c r="I110" s="18"/>
      <c r="J110" s="18"/>
      <c r="K110" s="18"/>
      <c r="L110" s="18" t="s">
        <v>79</v>
      </c>
      <c r="M110" s="19"/>
      <c r="N110" s="20" t="str">
        <f t="shared" si="10"/>
        <v>OK</v>
      </c>
    </row>
    <row r="111" spans="1:14" ht="20.100000000000001" customHeight="1" x14ac:dyDescent="0.25">
      <c r="A111" s="15" t="s">
        <v>131</v>
      </c>
      <c r="B111" s="16" t="s">
        <v>50</v>
      </c>
      <c r="C111" s="17">
        <v>21</v>
      </c>
      <c r="D111" s="17">
        <v>22</v>
      </c>
      <c r="E111" s="17">
        <f t="shared" si="9"/>
        <v>1</v>
      </c>
      <c r="F111" s="18" t="s">
        <v>79</v>
      </c>
      <c r="G111" s="18"/>
      <c r="H111" s="18"/>
      <c r="I111" s="18"/>
      <c r="J111" s="18"/>
      <c r="K111" s="18"/>
      <c r="L111" s="18" t="s">
        <v>79</v>
      </c>
      <c r="M111" s="19"/>
      <c r="N111" s="20" t="str">
        <f t="shared" si="10"/>
        <v>OK</v>
      </c>
    </row>
    <row r="112" spans="1:14" ht="20.100000000000001" customHeight="1" x14ac:dyDescent="0.25">
      <c r="A112" s="15" t="s">
        <v>131</v>
      </c>
      <c r="B112" s="16" t="s">
        <v>50</v>
      </c>
      <c r="C112" s="17">
        <v>22</v>
      </c>
      <c r="D112" s="17">
        <v>23</v>
      </c>
      <c r="E112" s="17">
        <f t="shared" si="9"/>
        <v>1</v>
      </c>
      <c r="F112" s="18" t="s">
        <v>79</v>
      </c>
      <c r="G112" s="18"/>
      <c r="H112" s="18"/>
      <c r="I112" s="18"/>
      <c r="J112" s="18"/>
      <c r="K112" s="18"/>
      <c r="L112" s="18" t="s">
        <v>79</v>
      </c>
      <c r="M112" s="19"/>
      <c r="N112" s="20" t="str">
        <f t="shared" si="10"/>
        <v>OK</v>
      </c>
    </row>
    <row r="113" spans="1:14" ht="20.100000000000001" customHeight="1" x14ac:dyDescent="0.25">
      <c r="A113" s="15" t="s">
        <v>131</v>
      </c>
      <c r="B113" s="16" t="s">
        <v>50</v>
      </c>
      <c r="C113" s="17">
        <v>23</v>
      </c>
      <c r="D113" s="17">
        <v>24</v>
      </c>
      <c r="E113" s="17">
        <f t="shared" si="9"/>
        <v>1</v>
      </c>
      <c r="F113" s="18" t="s">
        <v>79</v>
      </c>
      <c r="G113" s="18"/>
      <c r="H113" s="18"/>
      <c r="I113" s="18"/>
      <c r="J113" s="18"/>
      <c r="K113" s="18"/>
      <c r="L113" s="18" t="s">
        <v>79</v>
      </c>
      <c r="M113" s="19"/>
      <c r="N113" s="20" t="str">
        <f t="shared" si="10"/>
        <v>OK</v>
      </c>
    </row>
    <row r="114" spans="1:14" ht="20.100000000000001" customHeight="1" x14ac:dyDescent="0.25">
      <c r="A114" s="21" t="s">
        <v>131</v>
      </c>
      <c r="B114" s="22" t="s">
        <v>50</v>
      </c>
      <c r="C114" s="23">
        <v>24</v>
      </c>
      <c r="D114" s="23">
        <v>24.703955130299999</v>
      </c>
      <c r="E114" s="23">
        <f t="shared" si="9"/>
        <v>0.7039551302999989</v>
      </c>
      <c r="F114" s="24" t="s">
        <v>79</v>
      </c>
      <c r="G114" s="24"/>
      <c r="H114" s="24"/>
      <c r="I114" s="24"/>
      <c r="J114" s="24"/>
      <c r="K114" s="24"/>
      <c r="L114" s="24" t="s">
        <v>79</v>
      </c>
      <c r="M114" s="25"/>
      <c r="N114" s="26" t="str">
        <f t="shared" si="10"/>
        <v>OK</v>
      </c>
    </row>
    <row r="116" spans="1:14" x14ac:dyDescent="0.25">
      <c r="A116" s="41" t="s">
        <v>51</v>
      </c>
      <c r="B116" s="35"/>
      <c r="C116" s="35"/>
      <c r="D116" s="35"/>
      <c r="E116" s="35"/>
      <c r="G116" s="41" t="s">
        <v>51</v>
      </c>
      <c r="H116" s="35"/>
      <c r="I116" s="35"/>
      <c r="J116" s="35"/>
      <c r="K116" s="35"/>
    </row>
    <row r="117" spans="1:14" x14ac:dyDescent="0.25">
      <c r="A117" s="48" t="s">
        <v>52</v>
      </c>
      <c r="B117" s="35"/>
      <c r="C117" s="35"/>
      <c r="D117" s="35"/>
      <c r="E117" s="35"/>
      <c r="G117" s="48" t="s">
        <v>53</v>
      </c>
      <c r="H117" s="35"/>
      <c r="I117" s="35"/>
      <c r="J117" s="35"/>
      <c r="K117" s="35"/>
    </row>
    <row r="119" spans="1:14" x14ac:dyDescent="0.25">
      <c r="A119" s="42" t="s">
        <v>54</v>
      </c>
      <c r="B119" s="35"/>
      <c r="C119" s="35"/>
      <c r="D119" s="35"/>
      <c r="E119" s="35"/>
      <c r="F119" s="27"/>
      <c r="G119" s="27"/>
      <c r="H119" s="27"/>
      <c r="I119" s="27"/>
      <c r="J119" s="27"/>
      <c r="K119" s="27"/>
      <c r="L119" s="27"/>
      <c r="M119" s="27"/>
    </row>
    <row r="120" spans="1:14" x14ac:dyDescent="0.25">
      <c r="A120" s="38" t="s">
        <v>55</v>
      </c>
      <c r="B120" s="35"/>
      <c r="C120" s="35"/>
      <c r="D120" s="35"/>
      <c r="E120" s="35"/>
      <c r="F120" s="9">
        <f t="shared" ref="F120:L120" si="11">SUMIF(F$9:F$114,"X",$E$9:$E$114)</f>
        <v>87.643029280999997</v>
      </c>
      <c r="G120" s="9">
        <f t="shared" si="11"/>
        <v>11</v>
      </c>
      <c r="H120" s="9">
        <f t="shared" si="11"/>
        <v>0</v>
      </c>
      <c r="I120" s="9">
        <f t="shared" si="11"/>
        <v>0</v>
      </c>
      <c r="J120" s="9">
        <f t="shared" si="11"/>
        <v>60.438443621200001</v>
      </c>
      <c r="K120" s="9">
        <f t="shared" si="11"/>
        <v>10.494900493899999</v>
      </c>
      <c r="L120" s="9">
        <f t="shared" si="11"/>
        <v>27.709685165899998</v>
      </c>
    </row>
    <row r="121" spans="1:14" x14ac:dyDescent="0.25">
      <c r="A121" s="38" t="s">
        <v>56</v>
      </c>
      <c r="B121" s="35"/>
      <c r="C121" s="35"/>
      <c r="D121" s="35"/>
      <c r="E121" s="35"/>
      <c r="F121" s="28">
        <f t="shared" ref="F121:L121" si="12">IF($I123=0,0,F120/$I123)</f>
        <v>0.8874103524221657</v>
      </c>
      <c r="G121" s="28">
        <f t="shared" si="12"/>
        <v>0.11137809768471806</v>
      </c>
      <c r="H121" s="28">
        <f t="shared" si="12"/>
        <v>0</v>
      </c>
      <c r="I121" s="28">
        <f t="shared" si="12"/>
        <v>0</v>
      </c>
      <c r="J121" s="28">
        <f t="shared" si="12"/>
        <v>0.61195626159584893</v>
      </c>
      <c r="K121" s="28">
        <f t="shared" si="12"/>
        <v>0.10626382294554454</v>
      </c>
      <c r="L121" s="28">
        <f t="shared" si="12"/>
        <v>0.28056836556549025</v>
      </c>
    </row>
    <row r="122" spans="1:14" x14ac:dyDescent="0.25">
      <c r="A122" s="38" t="s">
        <v>57</v>
      </c>
      <c r="B122" s="35"/>
      <c r="C122" s="35"/>
      <c r="D122" s="35"/>
      <c r="E122" s="35"/>
      <c r="F122" s="47" t="str">
        <f>IF(SUM(F120:I120)=0,"— não preenchido",IF(ROUND(SUM(F120:I120)-$I123,3)=0,"OK — "&amp;ROUND(SUM(F120:I120),3)&amp;" km","ERRO — dif. de "&amp;ROUND(SUM(F120:I120)-$I123,3)&amp;" km"))</f>
        <v>ERRO — dif. de -0,12 km</v>
      </c>
      <c r="G122" s="32"/>
      <c r="H122" s="32"/>
      <c r="I122" s="33"/>
      <c r="J122" s="47" t="str">
        <f>IF(SUM(J120:L120)=0,"— não preenchido",IF(ROUND(SUM(J120:L120)-$I123,3)=0,"OK — "&amp;ROUND(SUM(J120:L120),3)&amp;" km","ERRO — dif. de "&amp;ROUND(SUM(J120:L120)-$I123,3)&amp;" km"))</f>
        <v>ERRO — dif. de -0,12 km</v>
      </c>
      <c r="K122" s="32"/>
      <c r="L122" s="33"/>
    </row>
    <row r="123" spans="1:14" x14ac:dyDescent="0.25">
      <c r="A123" s="38" t="s">
        <v>58</v>
      </c>
      <c r="B123" s="35"/>
      <c r="C123" s="35"/>
      <c r="D123" s="35"/>
      <c r="E123" s="35"/>
      <c r="I123" s="29">
        <f>SUM(E9:E114)</f>
        <v>98.762685201699995</v>
      </c>
      <c r="M123" s="8" t="str">
        <f>COUNTIF(N9:N114,"OK")&amp;" de "&amp;COUNT($E$9:$E$114)&amp;" linhas conferidas"</f>
        <v>101 de 102 linhas conferidas</v>
      </c>
    </row>
    <row r="125" spans="1:14" x14ac:dyDescent="0.25">
      <c r="A125" s="49" t="s">
        <v>59</v>
      </c>
      <c r="B125" s="35"/>
      <c r="C125" s="35"/>
      <c r="D125" s="35"/>
      <c r="E125" s="35"/>
    </row>
    <row r="126" spans="1:14" x14ac:dyDescent="0.25">
      <c r="A126" s="38" t="s">
        <v>10</v>
      </c>
      <c r="B126" s="35"/>
      <c r="C126" s="35"/>
      <c r="D126" s="35"/>
      <c r="E126" s="37" t="s">
        <v>60</v>
      </c>
      <c r="F126" s="35"/>
      <c r="G126" s="35"/>
      <c r="H126" s="35"/>
      <c r="I126" s="35"/>
      <c r="J126" s="35"/>
      <c r="K126" s="35"/>
      <c r="L126" s="35"/>
      <c r="M126" s="35"/>
    </row>
    <row r="127" spans="1:14" x14ac:dyDescent="0.25">
      <c r="A127" s="38" t="s">
        <v>11</v>
      </c>
      <c r="B127" s="35"/>
      <c r="C127" s="35"/>
      <c r="D127" s="35"/>
      <c r="E127" s="37" t="s">
        <v>61</v>
      </c>
      <c r="F127" s="35"/>
      <c r="G127" s="35"/>
      <c r="H127" s="35"/>
      <c r="I127" s="35"/>
      <c r="J127" s="35"/>
      <c r="K127" s="35"/>
      <c r="L127" s="35"/>
      <c r="M127" s="35"/>
    </row>
    <row r="128" spans="1:14" x14ac:dyDescent="0.25">
      <c r="A128" s="38" t="s">
        <v>12</v>
      </c>
      <c r="B128" s="35"/>
      <c r="C128" s="35"/>
      <c r="D128" s="35"/>
      <c r="E128" s="37" t="s">
        <v>62</v>
      </c>
      <c r="F128" s="35"/>
      <c r="G128" s="35"/>
      <c r="H128" s="35"/>
      <c r="I128" s="35"/>
      <c r="J128" s="35"/>
      <c r="K128" s="35"/>
      <c r="L128" s="35"/>
      <c r="M128" s="35"/>
    </row>
    <row r="129" spans="1:13" x14ac:dyDescent="0.25">
      <c r="A129" s="38" t="s">
        <v>63</v>
      </c>
      <c r="B129" s="35"/>
      <c r="C129" s="35"/>
      <c r="D129" s="35"/>
      <c r="E129" s="37" t="s">
        <v>64</v>
      </c>
      <c r="F129" s="35"/>
      <c r="G129" s="35"/>
      <c r="H129" s="35"/>
      <c r="I129" s="35"/>
      <c r="J129" s="35"/>
      <c r="K129" s="35"/>
      <c r="L129" s="35"/>
      <c r="M129" s="35"/>
    </row>
    <row r="130" spans="1:13" x14ac:dyDescent="0.25">
      <c r="A130" s="38" t="s">
        <v>65</v>
      </c>
      <c r="B130" s="35"/>
      <c r="C130" s="35"/>
      <c r="D130" s="35"/>
      <c r="E130" s="37" t="s">
        <v>66</v>
      </c>
      <c r="F130" s="35"/>
      <c r="G130" s="35"/>
      <c r="H130" s="35"/>
      <c r="I130" s="35"/>
      <c r="J130" s="35"/>
      <c r="K130" s="35"/>
      <c r="L130" s="35"/>
      <c r="M130" s="35"/>
    </row>
    <row r="131" spans="1:13" x14ac:dyDescent="0.25">
      <c r="A131" s="38" t="s">
        <v>67</v>
      </c>
      <c r="B131" s="35"/>
      <c r="C131" s="35"/>
      <c r="D131" s="35"/>
      <c r="E131" s="37" t="s">
        <v>68</v>
      </c>
      <c r="F131" s="35"/>
      <c r="G131" s="35"/>
      <c r="H131" s="35"/>
      <c r="I131" s="35"/>
      <c r="J131" s="35"/>
      <c r="K131" s="35"/>
      <c r="L131" s="35"/>
      <c r="M131" s="35"/>
    </row>
    <row r="132" spans="1:13" x14ac:dyDescent="0.25">
      <c r="A132" s="38" t="s">
        <v>42</v>
      </c>
      <c r="B132" s="35"/>
      <c r="C132" s="35"/>
      <c r="D132" s="35"/>
      <c r="E132" s="37" t="s">
        <v>69</v>
      </c>
      <c r="F132" s="35"/>
      <c r="G132" s="35"/>
      <c r="H132" s="35"/>
      <c r="I132" s="35"/>
      <c r="J132" s="35"/>
      <c r="K132" s="35"/>
      <c r="L132" s="35"/>
      <c r="M132" s="35"/>
    </row>
    <row r="133" spans="1:13" x14ac:dyDescent="0.25">
      <c r="A133" s="38" t="s">
        <v>70</v>
      </c>
      <c r="B133" s="35"/>
      <c r="C133" s="35"/>
      <c r="D133" s="35"/>
      <c r="E133" s="37" t="s">
        <v>71</v>
      </c>
      <c r="F133" s="35"/>
      <c r="G133" s="35"/>
      <c r="H133" s="35"/>
      <c r="I133" s="35"/>
      <c r="J133" s="35"/>
      <c r="K133" s="35"/>
      <c r="L133" s="35"/>
      <c r="M133" s="35"/>
    </row>
    <row r="134" spans="1:13" x14ac:dyDescent="0.25">
      <c r="A134" s="38" t="s">
        <v>72</v>
      </c>
      <c r="B134" s="35"/>
      <c r="C134" s="35"/>
      <c r="D134" s="35"/>
      <c r="E134" s="37" t="s">
        <v>73</v>
      </c>
      <c r="F134" s="35"/>
      <c r="G134" s="35"/>
      <c r="H134" s="35"/>
      <c r="I134" s="35"/>
      <c r="J134" s="35"/>
      <c r="K134" s="35"/>
      <c r="L134" s="35"/>
      <c r="M134" s="35"/>
    </row>
    <row r="135" spans="1:13" x14ac:dyDescent="0.25">
      <c r="A135" s="38" t="s">
        <v>8</v>
      </c>
      <c r="B135" s="35"/>
      <c r="C135" s="35"/>
      <c r="D135" s="35"/>
      <c r="E135" s="37" t="s">
        <v>74</v>
      </c>
      <c r="F135" s="35"/>
      <c r="G135" s="35"/>
      <c r="H135" s="35"/>
      <c r="I135" s="35"/>
      <c r="J135" s="35"/>
      <c r="K135" s="35"/>
      <c r="L135" s="35"/>
      <c r="M135" s="35"/>
    </row>
  </sheetData>
  <sheetProtection sheet="1" formatCells="0"/>
  <mergeCells count="54">
    <mergeCell ref="E135:M135"/>
    <mergeCell ref="A117:E117"/>
    <mergeCell ref="E126:M126"/>
    <mergeCell ref="C6:C7"/>
    <mergeCell ref="A129:D129"/>
    <mergeCell ref="E132:M132"/>
    <mergeCell ref="D6:D7"/>
    <mergeCell ref="E131:M131"/>
    <mergeCell ref="A1:M1"/>
    <mergeCell ref="E134:M134"/>
    <mergeCell ref="A116:E116"/>
    <mergeCell ref="N6:N7"/>
    <mergeCell ref="A128:D128"/>
    <mergeCell ref="K3:M3"/>
    <mergeCell ref="A133:D133"/>
    <mergeCell ref="J122:L122"/>
    <mergeCell ref="A122:E122"/>
    <mergeCell ref="E130:M130"/>
    <mergeCell ref="A125:E125"/>
    <mergeCell ref="E129:M129"/>
    <mergeCell ref="A89:M89"/>
    <mergeCell ref="F122:I122"/>
    <mergeCell ref="A3:J3"/>
    <mergeCell ref="E127:M127"/>
    <mergeCell ref="E133:M133"/>
    <mergeCell ref="A130:D130"/>
    <mergeCell ref="M6:M7"/>
    <mergeCell ref="E6:E7"/>
    <mergeCell ref="B6:B7"/>
    <mergeCell ref="F6:I6"/>
    <mergeCell ref="A120:E120"/>
    <mergeCell ref="A132:D132"/>
    <mergeCell ref="A121:E121"/>
    <mergeCell ref="K2:M2"/>
    <mergeCell ref="D2:E2"/>
    <mergeCell ref="G116:K116"/>
    <mergeCell ref="A127:D127"/>
    <mergeCell ref="A31:M31"/>
    <mergeCell ref="J6:L6"/>
    <mergeCell ref="A126:D126"/>
    <mergeCell ref="A135:D135"/>
    <mergeCell ref="G2:H2"/>
    <mergeCell ref="A8:M8"/>
    <mergeCell ref="E128:M128"/>
    <mergeCell ref="A131:D131"/>
    <mergeCell ref="G117:K117"/>
    <mergeCell ref="A4:M4"/>
    <mergeCell ref="A134:D134"/>
    <mergeCell ref="A123:E123"/>
    <mergeCell ref="A6:A7"/>
    <mergeCell ref="A119:E119"/>
    <mergeCell ref="A43:M43"/>
    <mergeCell ref="A63:M63"/>
    <mergeCell ref="A2:C2"/>
  </mergeCells>
  <conditionalFormatting sqref="F9:I114">
    <cfRule type="expression" dxfId="23" priority="1">
      <formula>AND(F9&lt;&gt;"",COUNTIF($F9:$I9,"X")&gt;1)</formula>
    </cfRule>
  </conditionalFormatting>
  <conditionalFormatting sqref="F122:L122">
    <cfRule type="expression" dxfId="22" priority="5">
      <formula>LEFT(F122,4)="ERRO"</formula>
    </cfRule>
    <cfRule type="expression" dxfId="21" priority="6">
      <formula>LEFT(F122,2)="OK"</formula>
    </cfRule>
  </conditionalFormatting>
  <conditionalFormatting sqref="J9:L114">
    <cfRule type="expression" dxfId="20" priority="2">
      <formula>AND(J9&lt;&gt;"",COUNTIF($J9:$L9,"X")&gt;1)</formula>
    </cfRule>
  </conditionalFormatting>
  <conditionalFormatting sqref="N9:N114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14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14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114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270</oddHeader>
    <oddFooter>&amp;L&amp;7 RTA / MSI — Programa de Manutenção Rodoviária&amp;C&amp;7 Página &amp;P de &amp;N&amp;R&amp;7 Impresso em &amp;D</oddFooter>
  </headerFooter>
  <rowBreaks count="1" manualBreakCount="1">
    <brk id="117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5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IF(F36=0,NA(),F36)</f>
        <v>21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14</v>
      </c>
      <c r="V2" s="2">
        <f t="shared" si="0"/>
        <v>7</v>
      </c>
    </row>
    <row r="3" spans="1:22" ht="15" customHeight="1" x14ac:dyDescent="0.25">
      <c r="A3" s="50" t="s">
        <v>132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133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134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135</v>
      </c>
      <c r="B9" s="16" t="s">
        <v>50</v>
      </c>
      <c r="C9" s="17">
        <v>0</v>
      </c>
      <c r="D9" s="17">
        <v>1</v>
      </c>
      <c r="E9" s="17">
        <f t="shared" ref="E9:E30" si="1">D9-C9</f>
        <v>1</v>
      </c>
      <c r="F9" s="18" t="s">
        <v>79</v>
      </c>
      <c r="G9" s="18"/>
      <c r="H9" s="18"/>
      <c r="I9" s="18"/>
      <c r="J9" s="18"/>
      <c r="K9" s="18" t="s">
        <v>79</v>
      </c>
      <c r="L9" s="18"/>
      <c r="M9" s="19"/>
      <c r="N9" s="20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135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/>
      <c r="K10" s="18" t="s">
        <v>79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135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/>
      <c r="K11" s="18" t="s">
        <v>79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135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/>
      <c r="K12" s="18" t="s">
        <v>79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135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/>
      <c r="K13" s="18" t="s">
        <v>79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135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 t="s">
        <v>79</v>
      </c>
      <c r="G14" s="18"/>
      <c r="H14" s="18"/>
      <c r="I14" s="18"/>
      <c r="J14" s="18"/>
      <c r="K14" s="18" t="s">
        <v>79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135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 t="s">
        <v>79</v>
      </c>
      <c r="G15" s="18"/>
      <c r="H15" s="18"/>
      <c r="I15" s="18"/>
      <c r="J15" s="18"/>
      <c r="K15" s="18" t="s">
        <v>79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135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 t="s">
        <v>79</v>
      </c>
      <c r="G16" s="18"/>
      <c r="H16" s="18"/>
      <c r="I16" s="18"/>
      <c r="J16" s="18"/>
      <c r="K16" s="18" t="s">
        <v>79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135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 t="s">
        <v>79</v>
      </c>
      <c r="G17" s="18"/>
      <c r="H17" s="18"/>
      <c r="I17" s="18"/>
      <c r="J17" s="18"/>
      <c r="K17" s="18" t="s">
        <v>79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135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 t="s">
        <v>79</v>
      </c>
      <c r="G18" s="18"/>
      <c r="H18" s="18"/>
      <c r="I18" s="18"/>
      <c r="J18" s="18"/>
      <c r="K18" s="18" t="s">
        <v>79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135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 t="s">
        <v>79</v>
      </c>
      <c r="G19" s="18"/>
      <c r="H19" s="18"/>
      <c r="I19" s="18"/>
      <c r="J19" s="18"/>
      <c r="K19" s="18" t="s">
        <v>79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135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/>
      <c r="K20" s="18" t="s">
        <v>79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135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/>
      <c r="K21" s="18"/>
      <c r="L21" s="18" t="s">
        <v>79</v>
      </c>
      <c r="M21" s="19"/>
      <c r="N21" s="20" t="str">
        <f t="shared" si="2"/>
        <v>OK</v>
      </c>
    </row>
    <row r="22" spans="1:14" ht="20.100000000000001" customHeight="1" x14ac:dyDescent="0.25">
      <c r="A22" s="15" t="s">
        <v>135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/>
      <c r="K22" s="18"/>
      <c r="L22" s="18" t="s">
        <v>79</v>
      </c>
      <c r="M22" s="19"/>
      <c r="N22" s="20" t="str">
        <f t="shared" si="2"/>
        <v>OK</v>
      </c>
    </row>
    <row r="23" spans="1:14" ht="20.100000000000001" customHeight="1" x14ac:dyDescent="0.25">
      <c r="A23" s="15" t="s">
        <v>135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/>
      <c r="K23" s="18"/>
      <c r="L23" s="18" t="s">
        <v>79</v>
      </c>
      <c r="M23" s="19"/>
      <c r="N23" s="20" t="str">
        <f t="shared" si="2"/>
        <v>OK</v>
      </c>
    </row>
    <row r="24" spans="1:14" ht="20.100000000000001" customHeight="1" x14ac:dyDescent="0.25">
      <c r="A24" s="15" t="s">
        <v>135</v>
      </c>
      <c r="B24" s="16" t="s">
        <v>50</v>
      </c>
      <c r="C24" s="17">
        <v>15</v>
      </c>
      <c r="D24" s="17">
        <v>16</v>
      </c>
      <c r="E24" s="17">
        <f t="shared" si="1"/>
        <v>1</v>
      </c>
      <c r="F24" s="18" t="s">
        <v>79</v>
      </c>
      <c r="G24" s="18"/>
      <c r="H24" s="18"/>
      <c r="I24" s="18"/>
      <c r="J24" s="18"/>
      <c r="K24" s="18"/>
      <c r="L24" s="18" t="s">
        <v>79</v>
      </c>
      <c r="M24" s="19"/>
      <c r="N24" s="20" t="str">
        <f t="shared" si="2"/>
        <v>OK</v>
      </c>
    </row>
    <row r="25" spans="1:14" ht="20.100000000000001" customHeight="1" x14ac:dyDescent="0.25">
      <c r="A25" s="15" t="s">
        <v>135</v>
      </c>
      <c r="B25" s="16" t="s">
        <v>50</v>
      </c>
      <c r="C25" s="17">
        <v>16</v>
      </c>
      <c r="D25" s="17">
        <v>17</v>
      </c>
      <c r="E25" s="17">
        <f t="shared" si="1"/>
        <v>1</v>
      </c>
      <c r="F25" s="18" t="s">
        <v>79</v>
      </c>
      <c r="G25" s="18"/>
      <c r="H25" s="18"/>
      <c r="I25" s="18"/>
      <c r="J25" s="18"/>
      <c r="K25" s="18"/>
      <c r="L25" s="18" t="s">
        <v>79</v>
      </c>
      <c r="M25" s="19"/>
      <c r="N25" s="20" t="str">
        <f t="shared" si="2"/>
        <v>OK</v>
      </c>
    </row>
    <row r="26" spans="1:14" ht="20.100000000000001" customHeight="1" x14ac:dyDescent="0.25">
      <c r="A26" s="15" t="s">
        <v>135</v>
      </c>
      <c r="B26" s="16" t="s">
        <v>50</v>
      </c>
      <c r="C26" s="17">
        <v>17</v>
      </c>
      <c r="D26" s="17">
        <v>18</v>
      </c>
      <c r="E26" s="17">
        <f t="shared" si="1"/>
        <v>1</v>
      </c>
      <c r="F26" s="18" t="s">
        <v>79</v>
      </c>
      <c r="G26" s="18"/>
      <c r="H26" s="18"/>
      <c r="I26" s="18"/>
      <c r="J26" s="18"/>
      <c r="K26" s="18"/>
      <c r="L26" s="18" t="s">
        <v>79</v>
      </c>
      <c r="M26" s="19"/>
      <c r="N26" s="20" t="str">
        <f t="shared" si="2"/>
        <v>OK</v>
      </c>
    </row>
    <row r="27" spans="1:14" ht="20.100000000000001" customHeight="1" x14ac:dyDescent="0.25">
      <c r="A27" s="15" t="s">
        <v>135</v>
      </c>
      <c r="B27" s="16" t="s">
        <v>50</v>
      </c>
      <c r="C27" s="17">
        <v>18</v>
      </c>
      <c r="D27" s="17">
        <v>19</v>
      </c>
      <c r="E27" s="17">
        <f t="shared" si="1"/>
        <v>1</v>
      </c>
      <c r="F27" s="18" t="s">
        <v>79</v>
      </c>
      <c r="G27" s="18"/>
      <c r="H27" s="18"/>
      <c r="I27" s="18"/>
      <c r="J27" s="18"/>
      <c r="K27" s="18"/>
      <c r="L27" s="18" t="s">
        <v>79</v>
      </c>
      <c r="M27" s="19"/>
      <c r="N27" s="20" t="str">
        <f t="shared" si="2"/>
        <v>OK</v>
      </c>
    </row>
    <row r="28" spans="1:14" ht="20.100000000000001" customHeight="1" x14ac:dyDescent="0.25">
      <c r="A28" s="15" t="s">
        <v>135</v>
      </c>
      <c r="B28" s="16" t="s">
        <v>50</v>
      </c>
      <c r="C28" s="17">
        <v>19</v>
      </c>
      <c r="D28" s="17">
        <v>20</v>
      </c>
      <c r="E28" s="17">
        <f t="shared" si="1"/>
        <v>1</v>
      </c>
      <c r="F28" s="18" t="s">
        <v>79</v>
      </c>
      <c r="G28" s="18"/>
      <c r="H28" s="18"/>
      <c r="I28" s="18"/>
      <c r="J28" s="18"/>
      <c r="K28" s="18" t="s">
        <v>79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135</v>
      </c>
      <c r="B29" s="16" t="s">
        <v>50</v>
      </c>
      <c r="C29" s="17">
        <v>20</v>
      </c>
      <c r="D29" s="17">
        <v>21</v>
      </c>
      <c r="E29" s="17">
        <f t="shared" si="1"/>
        <v>1</v>
      </c>
      <c r="F29" s="18" t="s">
        <v>79</v>
      </c>
      <c r="G29" s="18"/>
      <c r="H29" s="18"/>
      <c r="I29" s="18"/>
      <c r="J29" s="18"/>
      <c r="K29" s="18" t="s">
        <v>79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21" t="s">
        <v>135</v>
      </c>
      <c r="B30" s="22" t="s">
        <v>50</v>
      </c>
      <c r="C30" s="23">
        <v>21</v>
      </c>
      <c r="D30" s="23">
        <v>21.621530415900001</v>
      </c>
      <c r="E30" s="23">
        <f t="shared" si="1"/>
        <v>0.62153041590000058</v>
      </c>
      <c r="F30" s="24"/>
      <c r="G30" s="24"/>
      <c r="H30" s="24"/>
      <c r="I30" s="24"/>
      <c r="J30" s="24"/>
      <c r="K30" s="24"/>
      <c r="L30" s="24"/>
      <c r="M30" s="25"/>
      <c r="N30" s="26" t="str">
        <f t="shared" si="2"/>
        <v>— não preenchido</v>
      </c>
    </row>
    <row r="32" spans="1:14" x14ac:dyDescent="0.25">
      <c r="A32" s="41" t="s">
        <v>51</v>
      </c>
      <c r="B32" s="35"/>
      <c r="C32" s="35"/>
      <c r="D32" s="35"/>
      <c r="E32" s="35"/>
      <c r="G32" s="41" t="s">
        <v>51</v>
      </c>
      <c r="H32" s="35"/>
      <c r="I32" s="35"/>
      <c r="J32" s="35"/>
      <c r="K32" s="35"/>
    </row>
    <row r="33" spans="1:13" x14ac:dyDescent="0.25">
      <c r="A33" s="48" t="s">
        <v>52</v>
      </c>
      <c r="B33" s="35"/>
      <c r="C33" s="35"/>
      <c r="D33" s="35"/>
      <c r="E33" s="35"/>
      <c r="G33" s="48" t="s">
        <v>53</v>
      </c>
      <c r="H33" s="35"/>
      <c r="I33" s="35"/>
      <c r="J33" s="35"/>
      <c r="K33" s="35"/>
    </row>
    <row r="35" spans="1:13" x14ac:dyDescent="0.25">
      <c r="A35" s="42" t="s">
        <v>54</v>
      </c>
      <c r="B35" s="35"/>
      <c r="C35" s="35"/>
      <c r="D35" s="35"/>
      <c r="E35" s="35"/>
      <c r="F35" s="27"/>
      <c r="G35" s="27"/>
      <c r="H35" s="27"/>
      <c r="I35" s="27"/>
      <c r="J35" s="27"/>
      <c r="K35" s="27"/>
      <c r="L35" s="27"/>
      <c r="M35" s="27"/>
    </row>
    <row r="36" spans="1:13" x14ac:dyDescent="0.25">
      <c r="A36" s="38" t="s">
        <v>55</v>
      </c>
      <c r="B36" s="35"/>
      <c r="C36" s="35"/>
      <c r="D36" s="35"/>
      <c r="E36" s="35"/>
      <c r="F36" s="9">
        <f t="shared" ref="F36:L36" si="3">SUMIF(F$9:F$30,"X",$E$9:$E$30)</f>
        <v>21</v>
      </c>
      <c r="G36" s="9">
        <f t="shared" si="3"/>
        <v>0</v>
      </c>
      <c r="H36" s="9">
        <f t="shared" si="3"/>
        <v>0</v>
      </c>
      <c r="I36" s="9">
        <f t="shared" si="3"/>
        <v>0</v>
      </c>
      <c r="J36" s="9">
        <f t="shared" si="3"/>
        <v>0</v>
      </c>
      <c r="K36" s="9">
        <f t="shared" si="3"/>
        <v>14</v>
      </c>
      <c r="L36" s="9">
        <f t="shared" si="3"/>
        <v>7</v>
      </c>
    </row>
    <row r="37" spans="1:13" x14ac:dyDescent="0.25">
      <c r="A37" s="38" t="s">
        <v>56</v>
      </c>
      <c r="B37" s="35"/>
      <c r="C37" s="35"/>
      <c r="D37" s="35"/>
      <c r="E37" s="35"/>
      <c r="F37" s="28">
        <f t="shared" ref="F37:L37" si="4">IF($I39=0,0,F36/$I39)</f>
        <v>0.97125409700679921</v>
      </c>
      <c r="G37" s="28">
        <f t="shared" si="4"/>
        <v>0</v>
      </c>
      <c r="H37" s="28">
        <f t="shared" si="4"/>
        <v>0</v>
      </c>
      <c r="I37" s="28">
        <f t="shared" si="4"/>
        <v>0</v>
      </c>
      <c r="J37" s="28">
        <f t="shared" si="4"/>
        <v>0</v>
      </c>
      <c r="K37" s="28">
        <f t="shared" si="4"/>
        <v>0.64750273133786618</v>
      </c>
      <c r="L37" s="28">
        <f t="shared" si="4"/>
        <v>0.32375136566893309</v>
      </c>
    </row>
    <row r="38" spans="1:13" x14ac:dyDescent="0.25">
      <c r="A38" s="38" t="s">
        <v>57</v>
      </c>
      <c r="B38" s="35"/>
      <c r="C38" s="35"/>
      <c r="D38" s="35"/>
      <c r="E38" s="35"/>
      <c r="F38" s="47" t="str">
        <f>IF(SUM(F36:I36)=0,"— não preenchido",IF(ROUND(SUM(F36:I36)-$I39,3)=0,"OK — "&amp;ROUND(SUM(F36:I36),3)&amp;" km","ERRO — dif. de "&amp;ROUND(SUM(F36:I36)-$I39,3)&amp;" km"))</f>
        <v>ERRO — dif. de -0,622 km</v>
      </c>
      <c r="G38" s="32"/>
      <c r="H38" s="32"/>
      <c r="I38" s="33"/>
      <c r="J38" s="47" t="str">
        <f>IF(SUM(J36:L36)=0,"— não preenchido",IF(ROUND(SUM(J36:L36)-$I39,3)=0,"OK — "&amp;ROUND(SUM(J36:L36),3)&amp;" km","ERRO — dif. de "&amp;ROUND(SUM(J36:L36)-$I39,3)&amp;" km"))</f>
        <v>ERRO — dif. de -0,622 km</v>
      </c>
      <c r="K38" s="32"/>
      <c r="L38" s="33"/>
    </row>
    <row r="39" spans="1:13" x14ac:dyDescent="0.25">
      <c r="A39" s="38" t="s">
        <v>58</v>
      </c>
      <c r="B39" s="35"/>
      <c r="C39" s="35"/>
      <c r="D39" s="35"/>
      <c r="E39" s="35"/>
      <c r="I39" s="29">
        <f>SUM(E9:E30)</f>
        <v>21.621530415900001</v>
      </c>
      <c r="M39" s="8" t="str">
        <f>COUNTIF(N9:N30,"OK")&amp;" de "&amp;COUNT($E$9:$E$30)&amp;" linhas conferidas"</f>
        <v>21 de 22 linhas conferidas</v>
      </c>
    </row>
    <row r="41" spans="1:13" x14ac:dyDescent="0.25">
      <c r="A41" s="49" t="s">
        <v>59</v>
      </c>
      <c r="B41" s="35"/>
      <c r="C41" s="35"/>
      <c r="D41" s="35"/>
      <c r="E41" s="35"/>
    </row>
    <row r="42" spans="1:13" x14ac:dyDescent="0.25">
      <c r="A42" s="38" t="s">
        <v>10</v>
      </c>
      <c r="B42" s="35"/>
      <c r="C42" s="35"/>
      <c r="D42" s="35"/>
      <c r="E42" s="37" t="s">
        <v>60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8" t="s">
        <v>11</v>
      </c>
      <c r="B43" s="35"/>
      <c r="C43" s="35"/>
      <c r="D43" s="35"/>
      <c r="E43" s="37" t="s">
        <v>61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8" t="s">
        <v>12</v>
      </c>
      <c r="B44" s="35"/>
      <c r="C44" s="35"/>
      <c r="D44" s="35"/>
      <c r="E44" s="37" t="s">
        <v>62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8" t="s">
        <v>63</v>
      </c>
      <c r="B45" s="35"/>
      <c r="C45" s="35"/>
      <c r="D45" s="35"/>
      <c r="E45" s="37" t="s">
        <v>64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8" t="s">
        <v>65</v>
      </c>
      <c r="B46" s="35"/>
      <c r="C46" s="35"/>
      <c r="D46" s="35"/>
      <c r="E46" s="37" t="s">
        <v>66</v>
      </c>
      <c r="F46" s="35"/>
      <c r="G46" s="35"/>
      <c r="H46" s="35"/>
      <c r="I46" s="35"/>
      <c r="J46" s="35"/>
      <c r="K46" s="35"/>
      <c r="L46" s="35"/>
      <c r="M46" s="35"/>
    </row>
    <row r="47" spans="1:13" x14ac:dyDescent="0.25">
      <c r="A47" s="38" t="s">
        <v>67</v>
      </c>
      <c r="B47" s="35"/>
      <c r="C47" s="35"/>
      <c r="D47" s="35"/>
      <c r="E47" s="37" t="s">
        <v>68</v>
      </c>
      <c r="F47" s="35"/>
      <c r="G47" s="35"/>
      <c r="H47" s="35"/>
      <c r="I47" s="35"/>
      <c r="J47" s="35"/>
      <c r="K47" s="35"/>
      <c r="L47" s="35"/>
      <c r="M47" s="35"/>
    </row>
    <row r="48" spans="1:13" x14ac:dyDescent="0.25">
      <c r="A48" s="38" t="s">
        <v>42</v>
      </c>
      <c r="B48" s="35"/>
      <c r="C48" s="35"/>
      <c r="D48" s="35"/>
      <c r="E48" s="37" t="s">
        <v>69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8" t="s">
        <v>70</v>
      </c>
      <c r="B49" s="35"/>
      <c r="C49" s="35"/>
      <c r="D49" s="35"/>
      <c r="E49" s="37" t="s">
        <v>71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8" t="s">
        <v>72</v>
      </c>
      <c r="B50" s="35"/>
      <c r="C50" s="35"/>
      <c r="D50" s="35"/>
      <c r="E50" s="37" t="s">
        <v>73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8" t="s">
        <v>8</v>
      </c>
      <c r="B51" s="35"/>
      <c r="C51" s="35"/>
      <c r="D51" s="35"/>
      <c r="E51" s="37" t="s">
        <v>74</v>
      </c>
      <c r="F51" s="35"/>
      <c r="G51" s="35"/>
      <c r="H51" s="35"/>
      <c r="I51" s="35"/>
      <c r="J51" s="35"/>
      <c r="K51" s="35"/>
      <c r="L51" s="35"/>
      <c r="M51" s="35"/>
    </row>
  </sheetData>
  <sheetProtection sheet="1" formatCells="0"/>
  <mergeCells count="50">
    <mergeCell ref="N6:N7"/>
    <mergeCell ref="A32:E32"/>
    <mergeCell ref="K3:M3"/>
    <mergeCell ref="E47:M47"/>
    <mergeCell ref="E43:M43"/>
    <mergeCell ref="A46:D46"/>
    <mergeCell ref="A35:E35"/>
    <mergeCell ref="J38:L38"/>
    <mergeCell ref="A38:E38"/>
    <mergeCell ref="E42:M42"/>
    <mergeCell ref="A3:J3"/>
    <mergeCell ref="G32:K32"/>
    <mergeCell ref="F38:I38"/>
    <mergeCell ref="C6:C7"/>
    <mergeCell ref="D6:D7"/>
    <mergeCell ref="A42:D42"/>
    <mergeCell ref="A51:D51"/>
    <mergeCell ref="B6:B7"/>
    <mergeCell ref="F6:I6"/>
    <mergeCell ref="A45:D45"/>
    <mergeCell ref="A1:M1"/>
    <mergeCell ref="A33:E33"/>
    <mergeCell ref="G33:K33"/>
    <mergeCell ref="E50:M50"/>
    <mergeCell ref="A50:D50"/>
    <mergeCell ref="E48:M48"/>
    <mergeCell ref="E51:M51"/>
    <mergeCell ref="E44:M44"/>
    <mergeCell ref="E49:M49"/>
    <mergeCell ref="E45:M45"/>
    <mergeCell ref="A48:D48"/>
    <mergeCell ref="A41:E41"/>
    <mergeCell ref="M6:M7"/>
    <mergeCell ref="A37:E37"/>
    <mergeCell ref="E6:E7"/>
    <mergeCell ref="A49:D49"/>
    <mergeCell ref="A43:D43"/>
    <mergeCell ref="A36:E36"/>
    <mergeCell ref="A6:A7"/>
    <mergeCell ref="A2:C2"/>
    <mergeCell ref="A47:D47"/>
    <mergeCell ref="A44:D44"/>
    <mergeCell ref="E46:M46"/>
    <mergeCell ref="K2:M2"/>
    <mergeCell ref="D2:E2"/>
    <mergeCell ref="A39:E39"/>
    <mergeCell ref="J6:L6"/>
    <mergeCell ref="G2:H2"/>
    <mergeCell ref="A8:M8"/>
    <mergeCell ref="A4:M4"/>
  </mergeCells>
  <conditionalFormatting sqref="F9:I30">
    <cfRule type="expression" dxfId="17" priority="1">
      <formula>AND(F9&lt;&gt;"",COUNTIF($F9:$I9,"X")&gt;1)</formula>
    </cfRule>
  </conditionalFormatting>
  <conditionalFormatting sqref="F38:L38">
    <cfRule type="expression" dxfId="16" priority="5">
      <formula>LEFT(F38,4)="ERRO"</formula>
    </cfRule>
    <cfRule type="expression" dxfId="15" priority="6">
      <formula>LEFT(F38,2)="OK"</formula>
    </cfRule>
  </conditionalFormatting>
  <conditionalFormatting sqref="J9:L30">
    <cfRule type="expression" dxfId="14" priority="2">
      <formula>AND(J9&lt;&gt;"",COUNTIF($J9:$L9,"X")&gt;1)</formula>
    </cfRule>
  </conditionalFormatting>
  <conditionalFormatting sqref="N9:N30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0" xr:uid="{00000000-0002-0000-0C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0" xr:uid="{00000000-0002-0000-0C00-000001000000}">
      <formula1>AND(UPPER(J9)="X",COUNTIF($J9:$L9,"X")&lt;=1)</formula1>
    </dataValidation>
    <dataValidation type="list" showErrorMessage="1" errorTitle="Sentido inválido" error="Use C (crescente) ou D (decrescente)." sqref="B9:B30" xr:uid="{00000000-0002-0000-0C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271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11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>
        <f t="shared" ref="P2:V2" si="0">IF(F95=0,NA(),F95)</f>
        <v>75.786951088480009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25.9386324677</v>
      </c>
      <c r="U2" s="2" t="e">
        <f t="shared" si="0"/>
        <v>#N/A</v>
      </c>
      <c r="V2" s="2">
        <f t="shared" si="0"/>
        <v>49.848318620779999</v>
      </c>
    </row>
    <row r="3" spans="1:22" ht="15" customHeight="1" x14ac:dyDescent="0.25">
      <c r="A3" s="50" t="s">
        <v>136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137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138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139</v>
      </c>
      <c r="B9" s="16" t="s">
        <v>50</v>
      </c>
      <c r="C9" s="17">
        <v>0</v>
      </c>
      <c r="D9" s="17">
        <v>1</v>
      </c>
      <c r="E9" s="17">
        <f t="shared" ref="E9:E24" si="1">D9-C9</f>
        <v>1</v>
      </c>
      <c r="F9" s="18" t="s">
        <v>79</v>
      </c>
      <c r="G9" s="18"/>
      <c r="H9" s="18"/>
      <c r="I9" s="18"/>
      <c r="J9" s="18" t="s">
        <v>79</v>
      </c>
      <c r="K9" s="18"/>
      <c r="L9" s="18"/>
      <c r="M9" s="19" t="s">
        <v>140</v>
      </c>
      <c r="N9" s="20" t="str">
        <f t="shared" ref="N9:N2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139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 t="s">
        <v>79</v>
      </c>
      <c r="G10" s="18"/>
      <c r="H10" s="18"/>
      <c r="I10" s="18"/>
      <c r="J10" s="18" t="s">
        <v>79</v>
      </c>
      <c r="K10" s="18"/>
      <c r="L10" s="18"/>
      <c r="M10" s="19" t="s">
        <v>141</v>
      </c>
      <c r="N10" s="20" t="str">
        <f t="shared" si="2"/>
        <v>OK</v>
      </c>
    </row>
    <row r="11" spans="1:22" ht="20.100000000000001" customHeight="1" x14ac:dyDescent="0.25">
      <c r="A11" s="15" t="s">
        <v>139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 t="s">
        <v>79</v>
      </c>
      <c r="G11" s="18"/>
      <c r="H11" s="18"/>
      <c r="I11" s="18"/>
      <c r="J11" s="18" t="s">
        <v>79</v>
      </c>
      <c r="K11" s="18"/>
      <c r="L11" s="18"/>
      <c r="M11" s="19" t="s">
        <v>142</v>
      </c>
      <c r="N11" s="20" t="str">
        <f t="shared" si="2"/>
        <v>OK</v>
      </c>
    </row>
    <row r="12" spans="1:22" ht="20.100000000000001" customHeight="1" x14ac:dyDescent="0.25">
      <c r="A12" s="15" t="s">
        <v>139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 t="s">
        <v>79</v>
      </c>
      <c r="G12" s="18"/>
      <c r="H12" s="18"/>
      <c r="I12" s="18"/>
      <c r="J12" s="18" t="s">
        <v>79</v>
      </c>
      <c r="K12" s="18"/>
      <c r="L12" s="18"/>
      <c r="M12" s="19" t="s">
        <v>143</v>
      </c>
      <c r="N12" s="20" t="str">
        <f t="shared" si="2"/>
        <v>OK</v>
      </c>
    </row>
    <row r="13" spans="1:22" ht="20.100000000000001" customHeight="1" x14ac:dyDescent="0.25">
      <c r="A13" s="15" t="s">
        <v>139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 t="s">
        <v>79</v>
      </c>
      <c r="G13" s="18"/>
      <c r="H13" s="18"/>
      <c r="I13" s="18"/>
      <c r="J13" s="18" t="s">
        <v>79</v>
      </c>
      <c r="K13" s="18"/>
      <c r="L13" s="18"/>
      <c r="M13" s="19" t="s">
        <v>143</v>
      </c>
      <c r="N13" s="20" t="str">
        <f t="shared" si="2"/>
        <v>OK</v>
      </c>
    </row>
    <row r="14" spans="1:22" ht="20.100000000000001" customHeight="1" x14ac:dyDescent="0.25">
      <c r="A14" s="15" t="s">
        <v>139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 t="s">
        <v>79</v>
      </c>
      <c r="G14" s="18"/>
      <c r="H14" s="18"/>
      <c r="I14" s="18"/>
      <c r="J14" s="18" t="s">
        <v>79</v>
      </c>
      <c r="K14" s="18"/>
      <c r="L14" s="18"/>
      <c r="M14" s="19" t="s">
        <v>143</v>
      </c>
      <c r="N14" s="20" t="str">
        <f t="shared" si="2"/>
        <v>OK</v>
      </c>
    </row>
    <row r="15" spans="1:22" ht="20.100000000000001" customHeight="1" x14ac:dyDescent="0.25">
      <c r="A15" s="15" t="s">
        <v>139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 t="s">
        <v>79</v>
      </c>
      <c r="G15" s="18"/>
      <c r="H15" s="18"/>
      <c r="I15" s="18"/>
      <c r="J15" s="18" t="s">
        <v>79</v>
      </c>
      <c r="K15" s="18"/>
      <c r="L15" s="18"/>
      <c r="M15" s="19" t="s">
        <v>144</v>
      </c>
      <c r="N15" s="20" t="str">
        <f t="shared" si="2"/>
        <v>OK</v>
      </c>
    </row>
    <row r="16" spans="1:22" ht="20.100000000000001" customHeight="1" x14ac:dyDescent="0.25">
      <c r="A16" s="15" t="s">
        <v>139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 t="s">
        <v>79</v>
      </c>
      <c r="G16" s="18"/>
      <c r="H16" s="18"/>
      <c r="I16" s="18"/>
      <c r="J16" s="18" t="s">
        <v>79</v>
      </c>
      <c r="K16" s="18"/>
      <c r="L16" s="18"/>
      <c r="M16" s="19" t="s">
        <v>144</v>
      </c>
      <c r="N16" s="20" t="str">
        <f t="shared" si="2"/>
        <v>OK</v>
      </c>
    </row>
    <row r="17" spans="1:14" ht="20.100000000000001" customHeight="1" x14ac:dyDescent="0.25">
      <c r="A17" s="15" t="s">
        <v>139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 t="s">
        <v>79</v>
      </c>
      <c r="G17" s="18"/>
      <c r="H17" s="18"/>
      <c r="I17" s="18"/>
      <c r="J17" s="18" t="s">
        <v>79</v>
      </c>
      <c r="K17" s="18"/>
      <c r="L17" s="18"/>
      <c r="M17" s="19" t="s">
        <v>144</v>
      </c>
      <c r="N17" s="20" t="str">
        <f t="shared" si="2"/>
        <v>OK</v>
      </c>
    </row>
    <row r="18" spans="1:14" ht="20.100000000000001" customHeight="1" x14ac:dyDescent="0.25">
      <c r="A18" s="15" t="s">
        <v>139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 t="s">
        <v>79</v>
      </c>
      <c r="G18" s="18"/>
      <c r="H18" s="18"/>
      <c r="I18" s="18"/>
      <c r="J18" s="18" t="s">
        <v>79</v>
      </c>
      <c r="K18" s="18"/>
      <c r="L18" s="18"/>
      <c r="M18" s="19" t="s">
        <v>144</v>
      </c>
      <c r="N18" s="20" t="str">
        <f t="shared" si="2"/>
        <v>OK</v>
      </c>
    </row>
    <row r="19" spans="1:14" ht="20.100000000000001" customHeight="1" x14ac:dyDescent="0.25">
      <c r="A19" s="15" t="s">
        <v>139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 t="s">
        <v>79</v>
      </c>
      <c r="G19" s="18"/>
      <c r="H19" s="18"/>
      <c r="I19" s="18"/>
      <c r="J19" s="18" t="s">
        <v>79</v>
      </c>
      <c r="K19" s="18"/>
      <c r="L19" s="18"/>
      <c r="M19" s="19" t="s">
        <v>144</v>
      </c>
      <c r="N19" s="20" t="str">
        <f t="shared" si="2"/>
        <v>OK</v>
      </c>
    </row>
    <row r="20" spans="1:14" ht="20.100000000000001" customHeight="1" x14ac:dyDescent="0.25">
      <c r="A20" s="15" t="s">
        <v>139</v>
      </c>
      <c r="B20" s="16" t="s">
        <v>50</v>
      </c>
      <c r="C20" s="17">
        <v>11</v>
      </c>
      <c r="D20" s="17">
        <v>12</v>
      </c>
      <c r="E20" s="17">
        <f t="shared" si="1"/>
        <v>1</v>
      </c>
      <c r="F20" s="18" t="s">
        <v>79</v>
      </c>
      <c r="G20" s="18"/>
      <c r="H20" s="18"/>
      <c r="I20" s="18"/>
      <c r="J20" s="18" t="s">
        <v>79</v>
      </c>
      <c r="K20" s="18"/>
      <c r="L20" s="18"/>
      <c r="M20" s="19" t="s">
        <v>144</v>
      </c>
      <c r="N20" s="20" t="str">
        <f t="shared" si="2"/>
        <v>OK</v>
      </c>
    </row>
    <row r="21" spans="1:14" ht="20.100000000000001" customHeight="1" x14ac:dyDescent="0.25">
      <c r="A21" s="15" t="s">
        <v>139</v>
      </c>
      <c r="B21" s="16" t="s">
        <v>50</v>
      </c>
      <c r="C21" s="17">
        <v>12</v>
      </c>
      <c r="D21" s="17">
        <v>13</v>
      </c>
      <c r="E21" s="17">
        <f t="shared" si="1"/>
        <v>1</v>
      </c>
      <c r="F21" s="18" t="s">
        <v>79</v>
      </c>
      <c r="G21" s="18"/>
      <c r="H21" s="18"/>
      <c r="I21" s="18"/>
      <c r="J21" s="18" t="s">
        <v>79</v>
      </c>
      <c r="K21" s="18"/>
      <c r="L21" s="18"/>
      <c r="M21" s="19" t="s">
        <v>144</v>
      </c>
      <c r="N21" s="20" t="str">
        <f t="shared" si="2"/>
        <v>OK</v>
      </c>
    </row>
    <row r="22" spans="1:14" ht="20.100000000000001" customHeight="1" x14ac:dyDescent="0.25">
      <c r="A22" s="15" t="s">
        <v>139</v>
      </c>
      <c r="B22" s="16" t="s">
        <v>50</v>
      </c>
      <c r="C22" s="17">
        <v>13</v>
      </c>
      <c r="D22" s="17">
        <v>14</v>
      </c>
      <c r="E22" s="17">
        <f t="shared" si="1"/>
        <v>1</v>
      </c>
      <c r="F22" s="18" t="s">
        <v>79</v>
      </c>
      <c r="G22" s="18"/>
      <c r="H22" s="18"/>
      <c r="I22" s="18"/>
      <c r="J22" s="18" t="s">
        <v>79</v>
      </c>
      <c r="K22" s="18"/>
      <c r="L22" s="18"/>
      <c r="M22" s="19" t="s">
        <v>144</v>
      </c>
      <c r="N22" s="20" t="str">
        <f t="shared" si="2"/>
        <v>OK</v>
      </c>
    </row>
    <row r="23" spans="1:14" ht="20.100000000000001" customHeight="1" x14ac:dyDescent="0.25">
      <c r="A23" s="15" t="s">
        <v>139</v>
      </c>
      <c r="B23" s="16" t="s">
        <v>50</v>
      </c>
      <c r="C23" s="17">
        <v>14</v>
      </c>
      <c r="D23" s="17">
        <v>15</v>
      </c>
      <c r="E23" s="17">
        <f t="shared" si="1"/>
        <v>1</v>
      </c>
      <c r="F23" s="18" t="s">
        <v>79</v>
      </c>
      <c r="G23" s="18"/>
      <c r="H23" s="18"/>
      <c r="I23" s="18"/>
      <c r="J23" s="18" t="s">
        <v>79</v>
      </c>
      <c r="K23" s="18"/>
      <c r="L23" s="18"/>
      <c r="M23" s="19" t="s">
        <v>144</v>
      </c>
      <c r="N23" s="20" t="str">
        <f t="shared" si="2"/>
        <v>OK</v>
      </c>
    </row>
    <row r="24" spans="1:14" ht="20.100000000000001" customHeight="1" x14ac:dyDescent="0.25">
      <c r="A24" s="21" t="s">
        <v>139</v>
      </c>
      <c r="B24" s="22" t="s">
        <v>50</v>
      </c>
      <c r="C24" s="23">
        <v>15</v>
      </c>
      <c r="D24" s="23">
        <v>15.9386324677</v>
      </c>
      <c r="E24" s="23">
        <f t="shared" si="1"/>
        <v>0.93863246769999975</v>
      </c>
      <c r="F24" s="24" t="s">
        <v>79</v>
      </c>
      <c r="G24" s="24"/>
      <c r="H24" s="24"/>
      <c r="I24" s="24"/>
      <c r="J24" s="24" t="s">
        <v>79</v>
      </c>
      <c r="K24" s="24"/>
      <c r="L24" s="24"/>
      <c r="M24" s="25" t="s">
        <v>144</v>
      </c>
      <c r="N24" s="26" t="str">
        <f t="shared" si="2"/>
        <v>OK</v>
      </c>
    </row>
    <row r="25" spans="1:14" ht="15.95" customHeight="1" x14ac:dyDescent="0.25">
      <c r="A25" s="40" t="s">
        <v>145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4"/>
    </row>
    <row r="26" spans="1:14" ht="20.100000000000001" customHeight="1" x14ac:dyDescent="0.25">
      <c r="A26" s="15" t="s">
        <v>146</v>
      </c>
      <c r="B26" s="16" t="s">
        <v>50</v>
      </c>
      <c r="C26" s="17">
        <v>0</v>
      </c>
      <c r="D26" s="17">
        <v>1</v>
      </c>
      <c r="E26" s="17">
        <f t="shared" ref="E26:E53" si="3">D26-C26</f>
        <v>1</v>
      </c>
      <c r="F26" s="18" t="s">
        <v>79</v>
      </c>
      <c r="G26" s="18"/>
      <c r="H26" s="18"/>
      <c r="I26" s="18"/>
      <c r="J26" s="18" t="s">
        <v>79</v>
      </c>
      <c r="K26" s="18"/>
      <c r="L26" s="18"/>
      <c r="M26" s="19" t="s">
        <v>147</v>
      </c>
      <c r="N26" s="20" t="str">
        <f t="shared" ref="N26:N53" si="4"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15" t="s">
        <v>146</v>
      </c>
      <c r="B27" s="16" t="s">
        <v>50</v>
      </c>
      <c r="C27" s="17">
        <v>1</v>
      </c>
      <c r="D27" s="17">
        <v>2</v>
      </c>
      <c r="E27" s="17">
        <f t="shared" si="3"/>
        <v>1</v>
      </c>
      <c r="F27" s="18" t="s">
        <v>79</v>
      </c>
      <c r="G27" s="18"/>
      <c r="H27" s="18"/>
      <c r="I27" s="18"/>
      <c r="J27" s="18" t="s">
        <v>79</v>
      </c>
      <c r="K27" s="18"/>
      <c r="L27" s="18"/>
      <c r="M27" s="19" t="s">
        <v>147</v>
      </c>
      <c r="N27" s="20" t="str">
        <f t="shared" si="4"/>
        <v>OK</v>
      </c>
    </row>
    <row r="28" spans="1:14" ht="20.100000000000001" customHeight="1" x14ac:dyDescent="0.25">
      <c r="A28" s="15" t="s">
        <v>146</v>
      </c>
      <c r="B28" s="16" t="s">
        <v>50</v>
      </c>
      <c r="C28" s="17">
        <v>2</v>
      </c>
      <c r="D28" s="17">
        <v>3</v>
      </c>
      <c r="E28" s="17">
        <f t="shared" si="3"/>
        <v>1</v>
      </c>
      <c r="F28" s="18" t="s">
        <v>79</v>
      </c>
      <c r="G28" s="18"/>
      <c r="H28" s="18"/>
      <c r="I28" s="18"/>
      <c r="J28" s="18" t="s">
        <v>79</v>
      </c>
      <c r="K28" s="18"/>
      <c r="L28" s="18"/>
      <c r="M28" s="19" t="s">
        <v>147</v>
      </c>
      <c r="N28" s="20" t="str">
        <f t="shared" si="4"/>
        <v>OK</v>
      </c>
    </row>
    <row r="29" spans="1:14" ht="20.100000000000001" customHeight="1" x14ac:dyDescent="0.25">
      <c r="A29" s="15" t="s">
        <v>146</v>
      </c>
      <c r="B29" s="16" t="s">
        <v>50</v>
      </c>
      <c r="C29" s="17">
        <v>3</v>
      </c>
      <c r="D29" s="17">
        <v>4</v>
      </c>
      <c r="E29" s="17">
        <f t="shared" si="3"/>
        <v>1</v>
      </c>
      <c r="F29" s="18" t="s">
        <v>79</v>
      </c>
      <c r="G29" s="18"/>
      <c r="H29" s="18"/>
      <c r="I29" s="18"/>
      <c r="J29" s="18" t="s">
        <v>79</v>
      </c>
      <c r="K29" s="18"/>
      <c r="L29" s="18"/>
      <c r="M29" s="19" t="s">
        <v>147</v>
      </c>
      <c r="N29" s="20" t="str">
        <f t="shared" si="4"/>
        <v>OK</v>
      </c>
    </row>
    <row r="30" spans="1:14" ht="20.100000000000001" customHeight="1" x14ac:dyDescent="0.25">
      <c r="A30" s="15" t="s">
        <v>146</v>
      </c>
      <c r="B30" s="16" t="s">
        <v>50</v>
      </c>
      <c r="C30" s="17">
        <v>4</v>
      </c>
      <c r="D30" s="17">
        <v>5</v>
      </c>
      <c r="E30" s="17">
        <f t="shared" si="3"/>
        <v>1</v>
      </c>
      <c r="F30" s="18" t="s">
        <v>79</v>
      </c>
      <c r="G30" s="18"/>
      <c r="H30" s="18"/>
      <c r="I30" s="18"/>
      <c r="J30" s="18" t="s">
        <v>79</v>
      </c>
      <c r="K30" s="18"/>
      <c r="L30" s="18"/>
      <c r="M30" s="19" t="s">
        <v>148</v>
      </c>
      <c r="N30" s="20" t="str">
        <f t="shared" si="4"/>
        <v>OK</v>
      </c>
    </row>
    <row r="31" spans="1:14" ht="20.100000000000001" customHeight="1" x14ac:dyDescent="0.25">
      <c r="A31" s="15" t="s">
        <v>146</v>
      </c>
      <c r="B31" s="16" t="s">
        <v>50</v>
      </c>
      <c r="C31" s="17">
        <v>5</v>
      </c>
      <c r="D31" s="17">
        <v>6</v>
      </c>
      <c r="E31" s="17">
        <f t="shared" si="3"/>
        <v>1</v>
      </c>
      <c r="F31" s="18" t="s">
        <v>79</v>
      </c>
      <c r="G31" s="18"/>
      <c r="H31" s="18"/>
      <c r="I31" s="18"/>
      <c r="J31" s="18" t="s">
        <v>79</v>
      </c>
      <c r="K31" s="18"/>
      <c r="L31" s="18"/>
      <c r="M31" s="19" t="s">
        <v>149</v>
      </c>
      <c r="N31" s="20" t="str">
        <f t="shared" si="4"/>
        <v>OK</v>
      </c>
    </row>
    <row r="32" spans="1:14" ht="20.100000000000001" customHeight="1" x14ac:dyDescent="0.25">
      <c r="A32" s="15" t="s">
        <v>146</v>
      </c>
      <c r="B32" s="16" t="s">
        <v>50</v>
      </c>
      <c r="C32" s="17">
        <v>6</v>
      </c>
      <c r="D32" s="17">
        <v>7</v>
      </c>
      <c r="E32" s="17">
        <f t="shared" si="3"/>
        <v>1</v>
      </c>
      <c r="F32" s="18" t="s">
        <v>79</v>
      </c>
      <c r="G32" s="18"/>
      <c r="H32" s="18"/>
      <c r="I32" s="18"/>
      <c r="J32" s="18" t="s">
        <v>79</v>
      </c>
      <c r="K32" s="18"/>
      <c r="L32" s="18"/>
      <c r="M32" s="19" t="s">
        <v>150</v>
      </c>
      <c r="N32" s="20" t="str">
        <f t="shared" si="4"/>
        <v>OK</v>
      </c>
    </row>
    <row r="33" spans="1:14" ht="20.100000000000001" customHeight="1" x14ac:dyDescent="0.25">
      <c r="A33" s="15" t="s">
        <v>146</v>
      </c>
      <c r="B33" s="16" t="s">
        <v>50</v>
      </c>
      <c r="C33" s="17">
        <v>7</v>
      </c>
      <c r="D33" s="17">
        <v>8</v>
      </c>
      <c r="E33" s="17">
        <f t="shared" si="3"/>
        <v>1</v>
      </c>
      <c r="F33" s="18" t="s">
        <v>79</v>
      </c>
      <c r="G33" s="18"/>
      <c r="H33" s="18"/>
      <c r="I33" s="18"/>
      <c r="J33" s="18" t="s">
        <v>79</v>
      </c>
      <c r="K33" s="18"/>
      <c r="L33" s="18"/>
      <c r="M33" s="19" t="s">
        <v>150</v>
      </c>
      <c r="N33" s="20" t="str">
        <f t="shared" si="4"/>
        <v>OK</v>
      </c>
    </row>
    <row r="34" spans="1:14" ht="20.100000000000001" customHeight="1" x14ac:dyDescent="0.25">
      <c r="A34" s="15" t="s">
        <v>146</v>
      </c>
      <c r="B34" s="16" t="s">
        <v>50</v>
      </c>
      <c r="C34" s="17">
        <v>8</v>
      </c>
      <c r="D34" s="17">
        <v>9</v>
      </c>
      <c r="E34" s="17">
        <f t="shared" si="3"/>
        <v>1</v>
      </c>
      <c r="F34" s="18" t="s">
        <v>79</v>
      </c>
      <c r="G34" s="18"/>
      <c r="H34" s="18"/>
      <c r="I34" s="18"/>
      <c r="J34" s="18" t="s">
        <v>79</v>
      </c>
      <c r="K34" s="18"/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146</v>
      </c>
      <c r="B35" s="16" t="s">
        <v>50</v>
      </c>
      <c r="C35" s="17">
        <v>9</v>
      </c>
      <c r="D35" s="17">
        <v>10</v>
      </c>
      <c r="E35" s="17">
        <f t="shared" si="3"/>
        <v>1</v>
      </c>
      <c r="F35" s="18" t="s">
        <v>79</v>
      </c>
      <c r="G35" s="18"/>
      <c r="H35" s="18"/>
      <c r="I35" s="18"/>
      <c r="J35" s="18" t="s">
        <v>79</v>
      </c>
      <c r="K35" s="18"/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146</v>
      </c>
      <c r="B36" s="16" t="s">
        <v>50</v>
      </c>
      <c r="C36" s="17">
        <v>10</v>
      </c>
      <c r="D36" s="17">
        <v>11</v>
      </c>
      <c r="E36" s="17">
        <f t="shared" si="3"/>
        <v>1</v>
      </c>
      <c r="F36" s="18" t="s">
        <v>79</v>
      </c>
      <c r="G36" s="18"/>
      <c r="H36" s="18"/>
      <c r="I36" s="18"/>
      <c r="J36" s="18"/>
      <c r="K36" s="18"/>
      <c r="L36" s="18" t="s">
        <v>79</v>
      </c>
      <c r="M36" s="19" t="s">
        <v>151</v>
      </c>
      <c r="N36" s="20" t="str">
        <f t="shared" si="4"/>
        <v>OK</v>
      </c>
    </row>
    <row r="37" spans="1:14" ht="20.100000000000001" customHeight="1" x14ac:dyDescent="0.25">
      <c r="A37" s="15" t="s">
        <v>146</v>
      </c>
      <c r="B37" s="16" t="s">
        <v>50</v>
      </c>
      <c r="C37" s="17">
        <v>11</v>
      </c>
      <c r="D37" s="17">
        <v>12</v>
      </c>
      <c r="E37" s="17">
        <f t="shared" si="3"/>
        <v>1</v>
      </c>
      <c r="F37" s="18" t="s">
        <v>79</v>
      </c>
      <c r="G37" s="18"/>
      <c r="H37" s="18"/>
      <c r="I37" s="18"/>
      <c r="J37" s="18"/>
      <c r="K37" s="18"/>
      <c r="L37" s="18" t="s">
        <v>79</v>
      </c>
      <c r="M37" s="19" t="s">
        <v>151</v>
      </c>
      <c r="N37" s="20" t="str">
        <f t="shared" si="4"/>
        <v>OK</v>
      </c>
    </row>
    <row r="38" spans="1:14" ht="20.100000000000001" customHeight="1" x14ac:dyDescent="0.25">
      <c r="A38" s="15" t="s">
        <v>146</v>
      </c>
      <c r="B38" s="16" t="s">
        <v>50</v>
      </c>
      <c r="C38" s="17">
        <v>12</v>
      </c>
      <c r="D38" s="17">
        <v>13</v>
      </c>
      <c r="E38" s="17">
        <f t="shared" si="3"/>
        <v>1</v>
      </c>
      <c r="F38" s="18" t="s">
        <v>79</v>
      </c>
      <c r="G38" s="18"/>
      <c r="H38" s="18"/>
      <c r="I38" s="18"/>
      <c r="J38" s="18"/>
      <c r="K38" s="18"/>
      <c r="L38" s="18" t="s">
        <v>79</v>
      </c>
      <c r="M38" s="19" t="s">
        <v>151</v>
      </c>
      <c r="N38" s="20" t="str">
        <f t="shared" si="4"/>
        <v>OK</v>
      </c>
    </row>
    <row r="39" spans="1:14" ht="20.100000000000001" customHeight="1" x14ac:dyDescent="0.25">
      <c r="A39" s="15" t="s">
        <v>146</v>
      </c>
      <c r="B39" s="16" t="s">
        <v>50</v>
      </c>
      <c r="C39" s="17">
        <v>13</v>
      </c>
      <c r="D39" s="17">
        <v>14</v>
      </c>
      <c r="E39" s="17">
        <f t="shared" si="3"/>
        <v>1</v>
      </c>
      <c r="F39" s="18" t="s">
        <v>79</v>
      </c>
      <c r="G39" s="18"/>
      <c r="H39" s="18"/>
      <c r="I39" s="18"/>
      <c r="J39" s="18"/>
      <c r="K39" s="18"/>
      <c r="L39" s="18" t="s">
        <v>79</v>
      </c>
      <c r="M39" s="19" t="s">
        <v>151</v>
      </c>
      <c r="N39" s="20" t="str">
        <f t="shared" si="4"/>
        <v>OK</v>
      </c>
    </row>
    <row r="40" spans="1:14" ht="20.100000000000001" customHeight="1" x14ac:dyDescent="0.25">
      <c r="A40" s="15" t="s">
        <v>146</v>
      </c>
      <c r="B40" s="16" t="s">
        <v>50</v>
      </c>
      <c r="C40" s="17">
        <v>14</v>
      </c>
      <c r="D40" s="17">
        <v>15</v>
      </c>
      <c r="E40" s="17">
        <f t="shared" si="3"/>
        <v>1</v>
      </c>
      <c r="F40" s="18" t="s">
        <v>79</v>
      </c>
      <c r="G40" s="18"/>
      <c r="H40" s="18"/>
      <c r="I40" s="18"/>
      <c r="J40" s="18"/>
      <c r="K40" s="18"/>
      <c r="L40" s="18" t="s">
        <v>79</v>
      </c>
      <c r="M40" s="19" t="s">
        <v>151</v>
      </c>
      <c r="N40" s="20" t="str">
        <f t="shared" si="4"/>
        <v>OK</v>
      </c>
    </row>
    <row r="41" spans="1:14" ht="20.100000000000001" customHeight="1" x14ac:dyDescent="0.25">
      <c r="A41" s="15" t="s">
        <v>146</v>
      </c>
      <c r="B41" s="16" t="s">
        <v>50</v>
      </c>
      <c r="C41" s="17">
        <v>15</v>
      </c>
      <c r="D41" s="17">
        <v>16</v>
      </c>
      <c r="E41" s="17">
        <f t="shared" si="3"/>
        <v>1</v>
      </c>
      <c r="F41" s="18" t="s">
        <v>79</v>
      </c>
      <c r="G41" s="18"/>
      <c r="H41" s="18"/>
      <c r="I41" s="18"/>
      <c r="J41" s="18"/>
      <c r="K41" s="18"/>
      <c r="L41" s="18" t="s">
        <v>79</v>
      </c>
      <c r="M41" s="19" t="s">
        <v>151</v>
      </c>
      <c r="N41" s="20" t="str">
        <f t="shared" si="4"/>
        <v>OK</v>
      </c>
    </row>
    <row r="42" spans="1:14" ht="20.100000000000001" customHeight="1" x14ac:dyDescent="0.25">
      <c r="A42" s="15" t="s">
        <v>146</v>
      </c>
      <c r="B42" s="16" t="s">
        <v>50</v>
      </c>
      <c r="C42" s="17">
        <v>16</v>
      </c>
      <c r="D42" s="17">
        <v>17</v>
      </c>
      <c r="E42" s="17">
        <f t="shared" si="3"/>
        <v>1</v>
      </c>
      <c r="F42" s="18" t="s">
        <v>79</v>
      </c>
      <c r="G42" s="18"/>
      <c r="H42" s="18"/>
      <c r="I42" s="18"/>
      <c r="J42" s="18"/>
      <c r="K42" s="18"/>
      <c r="L42" s="18" t="s">
        <v>79</v>
      </c>
      <c r="M42" s="19" t="s">
        <v>151</v>
      </c>
      <c r="N42" s="20" t="str">
        <f t="shared" si="4"/>
        <v>OK</v>
      </c>
    </row>
    <row r="43" spans="1:14" ht="20.100000000000001" customHeight="1" x14ac:dyDescent="0.25">
      <c r="A43" s="15" t="s">
        <v>146</v>
      </c>
      <c r="B43" s="16" t="s">
        <v>50</v>
      </c>
      <c r="C43" s="17">
        <v>17</v>
      </c>
      <c r="D43" s="17">
        <v>18</v>
      </c>
      <c r="E43" s="17">
        <f t="shared" si="3"/>
        <v>1</v>
      </c>
      <c r="F43" s="18" t="s">
        <v>79</v>
      </c>
      <c r="G43" s="18"/>
      <c r="H43" s="18"/>
      <c r="I43" s="18"/>
      <c r="J43" s="18"/>
      <c r="K43" s="18"/>
      <c r="L43" s="18" t="s">
        <v>79</v>
      </c>
      <c r="M43" s="19" t="s">
        <v>152</v>
      </c>
      <c r="N43" s="20" t="str">
        <f t="shared" si="4"/>
        <v>OK</v>
      </c>
    </row>
    <row r="44" spans="1:14" ht="20.100000000000001" customHeight="1" x14ac:dyDescent="0.25">
      <c r="A44" s="15" t="s">
        <v>146</v>
      </c>
      <c r="B44" s="16" t="s">
        <v>50</v>
      </c>
      <c r="C44" s="17">
        <v>18</v>
      </c>
      <c r="D44" s="17">
        <v>19</v>
      </c>
      <c r="E44" s="17">
        <f t="shared" si="3"/>
        <v>1</v>
      </c>
      <c r="F44" s="18" t="s">
        <v>79</v>
      </c>
      <c r="G44" s="18"/>
      <c r="H44" s="18"/>
      <c r="I44" s="18"/>
      <c r="J44" s="18"/>
      <c r="K44" s="18"/>
      <c r="L44" s="18" t="s">
        <v>79</v>
      </c>
      <c r="M44" s="19" t="s">
        <v>152</v>
      </c>
      <c r="N44" s="20" t="str">
        <f t="shared" si="4"/>
        <v>OK</v>
      </c>
    </row>
    <row r="45" spans="1:14" ht="20.100000000000001" customHeight="1" x14ac:dyDescent="0.25">
      <c r="A45" s="15" t="s">
        <v>146</v>
      </c>
      <c r="B45" s="16" t="s">
        <v>50</v>
      </c>
      <c r="C45" s="17">
        <v>19</v>
      </c>
      <c r="D45" s="17">
        <v>20</v>
      </c>
      <c r="E45" s="17">
        <f t="shared" si="3"/>
        <v>1</v>
      </c>
      <c r="F45" s="18" t="s">
        <v>79</v>
      </c>
      <c r="G45" s="18"/>
      <c r="H45" s="18"/>
      <c r="I45" s="18"/>
      <c r="J45" s="18"/>
      <c r="K45" s="18"/>
      <c r="L45" s="18" t="s">
        <v>79</v>
      </c>
      <c r="M45" s="19" t="s">
        <v>153</v>
      </c>
      <c r="N45" s="20" t="str">
        <f t="shared" si="4"/>
        <v>OK</v>
      </c>
    </row>
    <row r="46" spans="1:14" ht="20.100000000000001" customHeight="1" x14ac:dyDescent="0.25">
      <c r="A46" s="15" t="s">
        <v>146</v>
      </c>
      <c r="B46" s="16" t="s">
        <v>50</v>
      </c>
      <c r="C46" s="17">
        <v>20</v>
      </c>
      <c r="D46" s="17">
        <v>21</v>
      </c>
      <c r="E46" s="17">
        <f t="shared" si="3"/>
        <v>1</v>
      </c>
      <c r="F46" s="18" t="s">
        <v>79</v>
      </c>
      <c r="G46" s="18"/>
      <c r="H46" s="18"/>
      <c r="I46" s="18"/>
      <c r="J46" s="18"/>
      <c r="K46" s="18"/>
      <c r="L46" s="18" t="s">
        <v>79</v>
      </c>
      <c r="M46" s="19" t="s">
        <v>154</v>
      </c>
      <c r="N46" s="20" t="str">
        <f t="shared" si="4"/>
        <v>OK</v>
      </c>
    </row>
    <row r="47" spans="1:14" ht="20.100000000000001" customHeight="1" x14ac:dyDescent="0.25">
      <c r="A47" s="15" t="s">
        <v>146</v>
      </c>
      <c r="B47" s="16" t="s">
        <v>50</v>
      </c>
      <c r="C47" s="17">
        <v>21</v>
      </c>
      <c r="D47" s="17">
        <v>22</v>
      </c>
      <c r="E47" s="17">
        <f t="shared" si="3"/>
        <v>1</v>
      </c>
      <c r="F47" s="18" t="s">
        <v>79</v>
      </c>
      <c r="G47" s="18"/>
      <c r="H47" s="18"/>
      <c r="I47" s="18"/>
      <c r="J47" s="18"/>
      <c r="K47" s="18"/>
      <c r="L47" s="18" t="s">
        <v>79</v>
      </c>
      <c r="M47" s="19" t="s">
        <v>154</v>
      </c>
      <c r="N47" s="20" t="str">
        <f t="shared" si="4"/>
        <v>OK</v>
      </c>
    </row>
    <row r="48" spans="1:14" ht="20.100000000000001" customHeight="1" x14ac:dyDescent="0.25">
      <c r="A48" s="15" t="s">
        <v>146</v>
      </c>
      <c r="B48" s="16" t="s">
        <v>50</v>
      </c>
      <c r="C48" s="17">
        <v>22</v>
      </c>
      <c r="D48" s="17">
        <v>23</v>
      </c>
      <c r="E48" s="17">
        <f t="shared" si="3"/>
        <v>1</v>
      </c>
      <c r="F48" s="18" t="s">
        <v>79</v>
      </c>
      <c r="G48" s="18"/>
      <c r="H48" s="18"/>
      <c r="I48" s="18"/>
      <c r="J48" s="18"/>
      <c r="K48" s="18"/>
      <c r="L48" s="18" t="s">
        <v>79</v>
      </c>
      <c r="M48" s="19"/>
      <c r="N48" s="20" t="str">
        <f t="shared" si="4"/>
        <v>OK</v>
      </c>
    </row>
    <row r="49" spans="1:14" ht="20.100000000000001" customHeight="1" x14ac:dyDescent="0.25">
      <c r="A49" s="15" t="s">
        <v>146</v>
      </c>
      <c r="B49" s="16" t="s">
        <v>50</v>
      </c>
      <c r="C49" s="17">
        <v>23</v>
      </c>
      <c r="D49" s="17">
        <v>24</v>
      </c>
      <c r="E49" s="17">
        <f t="shared" si="3"/>
        <v>1</v>
      </c>
      <c r="F49" s="18" t="s">
        <v>79</v>
      </c>
      <c r="G49" s="18"/>
      <c r="H49" s="18"/>
      <c r="I49" s="18"/>
      <c r="J49" s="18"/>
      <c r="K49" s="18"/>
      <c r="L49" s="18" t="s">
        <v>79</v>
      </c>
      <c r="M49" s="19" t="s">
        <v>155</v>
      </c>
      <c r="N49" s="20" t="str">
        <f t="shared" si="4"/>
        <v>OK</v>
      </c>
    </row>
    <row r="50" spans="1:14" ht="20.100000000000001" customHeight="1" x14ac:dyDescent="0.25">
      <c r="A50" s="15" t="s">
        <v>146</v>
      </c>
      <c r="B50" s="16" t="s">
        <v>50</v>
      </c>
      <c r="C50" s="17">
        <v>24</v>
      </c>
      <c r="D50" s="17">
        <v>25</v>
      </c>
      <c r="E50" s="17">
        <f t="shared" si="3"/>
        <v>1</v>
      </c>
      <c r="F50" s="18" t="s">
        <v>79</v>
      </c>
      <c r="G50" s="18"/>
      <c r="H50" s="18"/>
      <c r="I50" s="18"/>
      <c r="J50" s="18"/>
      <c r="K50" s="18"/>
      <c r="L50" s="18" t="s">
        <v>79</v>
      </c>
      <c r="M50" s="19" t="s">
        <v>156</v>
      </c>
      <c r="N50" s="20" t="str">
        <f t="shared" si="4"/>
        <v>OK</v>
      </c>
    </row>
    <row r="51" spans="1:14" ht="20.100000000000001" customHeight="1" x14ac:dyDescent="0.25">
      <c r="A51" s="15" t="s">
        <v>146</v>
      </c>
      <c r="B51" s="16" t="s">
        <v>50</v>
      </c>
      <c r="C51" s="17">
        <v>25</v>
      </c>
      <c r="D51" s="17">
        <v>26</v>
      </c>
      <c r="E51" s="17">
        <f t="shared" si="3"/>
        <v>1</v>
      </c>
      <c r="F51" s="18" t="s">
        <v>79</v>
      </c>
      <c r="G51" s="18"/>
      <c r="H51" s="18"/>
      <c r="I51" s="18"/>
      <c r="J51" s="18"/>
      <c r="K51" s="18"/>
      <c r="L51" s="18" t="s">
        <v>79</v>
      </c>
      <c r="M51" s="19" t="s">
        <v>157</v>
      </c>
      <c r="N51" s="20" t="str">
        <f t="shared" si="4"/>
        <v>OK</v>
      </c>
    </row>
    <row r="52" spans="1:14" ht="20.100000000000001" customHeight="1" x14ac:dyDescent="0.25">
      <c r="A52" s="15" t="s">
        <v>146</v>
      </c>
      <c r="B52" s="16" t="s">
        <v>50</v>
      </c>
      <c r="C52" s="17">
        <v>26</v>
      </c>
      <c r="D52" s="17">
        <v>27</v>
      </c>
      <c r="E52" s="17">
        <f t="shared" si="3"/>
        <v>1</v>
      </c>
      <c r="F52" s="18" t="s">
        <v>79</v>
      </c>
      <c r="G52" s="18"/>
      <c r="H52" s="18"/>
      <c r="I52" s="18"/>
      <c r="J52" s="18"/>
      <c r="K52" s="18"/>
      <c r="L52" s="18" t="s">
        <v>79</v>
      </c>
      <c r="M52" s="19" t="s">
        <v>157</v>
      </c>
      <c r="N52" s="20" t="str">
        <f t="shared" si="4"/>
        <v>OK</v>
      </c>
    </row>
    <row r="53" spans="1:14" ht="20.100000000000001" customHeight="1" x14ac:dyDescent="0.25">
      <c r="A53" s="21" t="s">
        <v>146</v>
      </c>
      <c r="B53" s="22" t="s">
        <v>50</v>
      </c>
      <c r="C53" s="23">
        <v>27</v>
      </c>
      <c r="D53" s="23">
        <v>27.240275671399999</v>
      </c>
      <c r="E53" s="23">
        <f t="shared" si="3"/>
        <v>0.24027567139999917</v>
      </c>
      <c r="F53" s="24" t="s">
        <v>79</v>
      </c>
      <c r="G53" s="24"/>
      <c r="H53" s="24"/>
      <c r="I53" s="24"/>
      <c r="J53" s="24"/>
      <c r="K53" s="24"/>
      <c r="L53" s="24" t="s">
        <v>79</v>
      </c>
      <c r="M53" s="25" t="s">
        <v>157</v>
      </c>
      <c r="N53" s="26" t="str">
        <f t="shared" si="4"/>
        <v>OK</v>
      </c>
    </row>
    <row r="54" spans="1:14" ht="15.95" customHeight="1" x14ac:dyDescent="0.25">
      <c r="A54" s="40" t="s">
        <v>158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3"/>
      <c r="N54" s="4"/>
    </row>
    <row r="55" spans="1:14" ht="20.100000000000001" customHeight="1" x14ac:dyDescent="0.25">
      <c r="A55" s="15" t="s">
        <v>159</v>
      </c>
      <c r="B55" s="16" t="s">
        <v>50</v>
      </c>
      <c r="C55" s="17">
        <v>0</v>
      </c>
      <c r="D55" s="17">
        <v>1</v>
      </c>
      <c r="E55" s="17">
        <f t="shared" ref="E55:E83" si="5">D55-C55</f>
        <v>1</v>
      </c>
      <c r="F55" s="18" t="s">
        <v>79</v>
      </c>
      <c r="G55" s="18"/>
      <c r="H55" s="18"/>
      <c r="I55" s="18"/>
      <c r="J55" s="18"/>
      <c r="K55" s="18"/>
      <c r="L55" s="18" t="s">
        <v>79</v>
      </c>
      <c r="M55" s="19" t="s">
        <v>160</v>
      </c>
      <c r="N55" s="20" t="str">
        <f t="shared" ref="N55:N83" si="6">IF(COUNTA(F55:L55)=0,"— não preenchido",IF(COUNTIF(F55:I55,"X")&lt;&gt;1,"FALTA/DUPLA: CONDIÇÃO DA PLATAFORMA",IF(COUNTIF(J55:L55,"X")&lt;&gt;1,"FALTA/DUPLA: DRENAGEM SUPERFICIAL","OK")))</f>
        <v>OK</v>
      </c>
    </row>
    <row r="56" spans="1:14" ht="20.100000000000001" customHeight="1" x14ac:dyDescent="0.25">
      <c r="A56" s="15" t="s">
        <v>159</v>
      </c>
      <c r="B56" s="16" t="s">
        <v>50</v>
      </c>
      <c r="C56" s="17">
        <v>1</v>
      </c>
      <c r="D56" s="17">
        <v>2</v>
      </c>
      <c r="E56" s="17">
        <f t="shared" si="5"/>
        <v>1</v>
      </c>
      <c r="F56" s="18" t="s">
        <v>79</v>
      </c>
      <c r="G56" s="18"/>
      <c r="H56" s="18"/>
      <c r="I56" s="18"/>
      <c r="J56" s="18"/>
      <c r="K56" s="18"/>
      <c r="L56" s="18" t="s">
        <v>79</v>
      </c>
      <c r="M56" s="19" t="s">
        <v>160</v>
      </c>
      <c r="N56" s="20" t="str">
        <f t="shared" si="6"/>
        <v>OK</v>
      </c>
    </row>
    <row r="57" spans="1:14" ht="20.100000000000001" customHeight="1" x14ac:dyDescent="0.25">
      <c r="A57" s="15" t="s">
        <v>159</v>
      </c>
      <c r="B57" s="16" t="s">
        <v>50</v>
      </c>
      <c r="C57" s="17">
        <v>2</v>
      </c>
      <c r="D57" s="17">
        <v>3</v>
      </c>
      <c r="E57" s="17">
        <f t="shared" si="5"/>
        <v>1</v>
      </c>
      <c r="F57" s="18" t="s">
        <v>79</v>
      </c>
      <c r="G57" s="18"/>
      <c r="H57" s="18"/>
      <c r="I57" s="18"/>
      <c r="J57" s="18"/>
      <c r="K57" s="18"/>
      <c r="L57" s="18" t="s">
        <v>79</v>
      </c>
      <c r="M57" s="19" t="s">
        <v>160</v>
      </c>
      <c r="N57" s="20" t="str">
        <f t="shared" si="6"/>
        <v>OK</v>
      </c>
    </row>
    <row r="58" spans="1:14" ht="20.100000000000001" customHeight="1" x14ac:dyDescent="0.25">
      <c r="A58" s="15" t="s">
        <v>159</v>
      </c>
      <c r="B58" s="16" t="s">
        <v>50</v>
      </c>
      <c r="C58" s="17">
        <v>3</v>
      </c>
      <c r="D58" s="17">
        <v>4</v>
      </c>
      <c r="E58" s="17">
        <f t="shared" si="5"/>
        <v>1</v>
      </c>
      <c r="F58" s="18" t="s">
        <v>79</v>
      </c>
      <c r="G58" s="18"/>
      <c r="H58" s="18"/>
      <c r="I58" s="18"/>
      <c r="J58" s="18"/>
      <c r="K58" s="18"/>
      <c r="L58" s="18" t="s">
        <v>79</v>
      </c>
      <c r="M58" s="19" t="s">
        <v>160</v>
      </c>
      <c r="N58" s="20" t="str">
        <f t="shared" si="6"/>
        <v>OK</v>
      </c>
    </row>
    <row r="59" spans="1:14" ht="20.100000000000001" customHeight="1" x14ac:dyDescent="0.25">
      <c r="A59" s="15" t="s">
        <v>159</v>
      </c>
      <c r="B59" s="16" t="s">
        <v>50</v>
      </c>
      <c r="C59" s="17">
        <v>4</v>
      </c>
      <c r="D59" s="17">
        <v>5</v>
      </c>
      <c r="E59" s="17">
        <f t="shared" si="5"/>
        <v>1</v>
      </c>
      <c r="F59" s="18" t="s">
        <v>79</v>
      </c>
      <c r="G59" s="18"/>
      <c r="H59" s="18"/>
      <c r="I59" s="18"/>
      <c r="J59" s="18"/>
      <c r="K59" s="18"/>
      <c r="L59" s="18" t="s">
        <v>79</v>
      </c>
      <c r="M59" s="19" t="s">
        <v>83</v>
      </c>
      <c r="N59" s="20" t="str">
        <f t="shared" si="6"/>
        <v>OK</v>
      </c>
    </row>
    <row r="60" spans="1:14" ht="20.100000000000001" customHeight="1" x14ac:dyDescent="0.25">
      <c r="A60" s="15" t="s">
        <v>159</v>
      </c>
      <c r="B60" s="16" t="s">
        <v>50</v>
      </c>
      <c r="C60" s="17">
        <v>5</v>
      </c>
      <c r="D60" s="17">
        <v>6</v>
      </c>
      <c r="E60" s="17">
        <f t="shared" si="5"/>
        <v>1</v>
      </c>
      <c r="F60" s="18" t="s">
        <v>79</v>
      </c>
      <c r="G60" s="18"/>
      <c r="H60" s="18"/>
      <c r="I60" s="18"/>
      <c r="J60" s="18"/>
      <c r="K60" s="18"/>
      <c r="L60" s="18" t="s">
        <v>79</v>
      </c>
      <c r="M60" s="19" t="s">
        <v>83</v>
      </c>
      <c r="N60" s="20" t="str">
        <f t="shared" si="6"/>
        <v>OK</v>
      </c>
    </row>
    <row r="61" spans="1:14" ht="20.100000000000001" customHeight="1" x14ac:dyDescent="0.25">
      <c r="A61" s="15" t="s">
        <v>159</v>
      </c>
      <c r="B61" s="16" t="s">
        <v>50</v>
      </c>
      <c r="C61" s="17">
        <v>6</v>
      </c>
      <c r="D61" s="17">
        <v>7</v>
      </c>
      <c r="E61" s="17">
        <f t="shared" si="5"/>
        <v>1</v>
      </c>
      <c r="F61" s="18" t="s">
        <v>79</v>
      </c>
      <c r="G61" s="18"/>
      <c r="H61" s="18"/>
      <c r="I61" s="18"/>
      <c r="J61" s="18"/>
      <c r="K61" s="18"/>
      <c r="L61" s="18" t="s">
        <v>79</v>
      </c>
      <c r="M61" s="19" t="s">
        <v>83</v>
      </c>
      <c r="N61" s="20" t="str">
        <f t="shared" si="6"/>
        <v>OK</v>
      </c>
    </row>
    <row r="62" spans="1:14" ht="20.100000000000001" customHeight="1" x14ac:dyDescent="0.25">
      <c r="A62" s="15" t="s">
        <v>159</v>
      </c>
      <c r="B62" s="16" t="s">
        <v>50</v>
      </c>
      <c r="C62" s="17">
        <v>7</v>
      </c>
      <c r="D62" s="17">
        <v>8</v>
      </c>
      <c r="E62" s="17">
        <f t="shared" si="5"/>
        <v>1</v>
      </c>
      <c r="F62" s="18" t="s">
        <v>79</v>
      </c>
      <c r="G62" s="18"/>
      <c r="H62" s="18"/>
      <c r="I62" s="18"/>
      <c r="J62" s="18"/>
      <c r="K62" s="18"/>
      <c r="L62" s="18" t="s">
        <v>79</v>
      </c>
      <c r="M62" s="19" t="s">
        <v>83</v>
      </c>
      <c r="N62" s="20" t="str">
        <f t="shared" si="6"/>
        <v>OK</v>
      </c>
    </row>
    <row r="63" spans="1:14" ht="20.100000000000001" customHeight="1" x14ac:dyDescent="0.25">
      <c r="A63" s="15" t="s">
        <v>159</v>
      </c>
      <c r="B63" s="16" t="s">
        <v>50</v>
      </c>
      <c r="C63" s="17">
        <v>8</v>
      </c>
      <c r="D63" s="17">
        <v>9</v>
      </c>
      <c r="E63" s="17">
        <f t="shared" si="5"/>
        <v>1</v>
      </c>
      <c r="F63" s="18" t="s">
        <v>79</v>
      </c>
      <c r="G63" s="18"/>
      <c r="H63" s="18"/>
      <c r="I63" s="18"/>
      <c r="J63" s="18"/>
      <c r="K63" s="18"/>
      <c r="L63" s="18" t="s">
        <v>79</v>
      </c>
      <c r="M63" s="19" t="s">
        <v>161</v>
      </c>
      <c r="N63" s="20" t="str">
        <f t="shared" si="6"/>
        <v>OK</v>
      </c>
    </row>
    <row r="64" spans="1:14" ht="20.100000000000001" customHeight="1" x14ac:dyDescent="0.25">
      <c r="A64" s="15" t="s">
        <v>159</v>
      </c>
      <c r="B64" s="16" t="s">
        <v>50</v>
      </c>
      <c r="C64" s="17">
        <v>9</v>
      </c>
      <c r="D64" s="17">
        <v>10</v>
      </c>
      <c r="E64" s="17">
        <f t="shared" si="5"/>
        <v>1</v>
      </c>
      <c r="F64" s="18" t="s">
        <v>79</v>
      </c>
      <c r="G64" s="18"/>
      <c r="H64" s="18"/>
      <c r="I64" s="18"/>
      <c r="J64" s="18"/>
      <c r="K64" s="18"/>
      <c r="L64" s="18" t="s">
        <v>79</v>
      </c>
      <c r="M64" s="19" t="s">
        <v>161</v>
      </c>
      <c r="N64" s="20" t="str">
        <f t="shared" si="6"/>
        <v>OK</v>
      </c>
    </row>
    <row r="65" spans="1:14" ht="20.100000000000001" customHeight="1" x14ac:dyDescent="0.25">
      <c r="A65" s="15" t="s">
        <v>159</v>
      </c>
      <c r="B65" s="16" t="s">
        <v>50</v>
      </c>
      <c r="C65" s="17">
        <v>10</v>
      </c>
      <c r="D65" s="17">
        <v>11</v>
      </c>
      <c r="E65" s="17">
        <f t="shared" si="5"/>
        <v>1</v>
      </c>
      <c r="F65" s="18" t="s">
        <v>79</v>
      </c>
      <c r="G65" s="18"/>
      <c r="H65" s="18"/>
      <c r="I65" s="18"/>
      <c r="J65" s="18"/>
      <c r="K65" s="18"/>
      <c r="L65" s="18" t="s">
        <v>79</v>
      </c>
      <c r="M65" s="19" t="s">
        <v>161</v>
      </c>
      <c r="N65" s="20" t="str">
        <f t="shared" si="6"/>
        <v>OK</v>
      </c>
    </row>
    <row r="66" spans="1:14" ht="20.100000000000001" customHeight="1" x14ac:dyDescent="0.25">
      <c r="A66" s="15" t="s">
        <v>159</v>
      </c>
      <c r="B66" s="16" t="s">
        <v>50</v>
      </c>
      <c r="C66" s="17">
        <v>11</v>
      </c>
      <c r="D66" s="17">
        <v>12</v>
      </c>
      <c r="E66" s="17">
        <f t="shared" si="5"/>
        <v>1</v>
      </c>
      <c r="F66" s="18" t="s">
        <v>79</v>
      </c>
      <c r="G66" s="18"/>
      <c r="H66" s="18"/>
      <c r="I66" s="18"/>
      <c r="J66" s="18"/>
      <c r="K66" s="18"/>
      <c r="L66" s="18" t="s">
        <v>79</v>
      </c>
      <c r="M66" s="19" t="s">
        <v>161</v>
      </c>
      <c r="N66" s="20" t="str">
        <f t="shared" si="6"/>
        <v>OK</v>
      </c>
    </row>
    <row r="67" spans="1:14" ht="20.100000000000001" customHeight="1" x14ac:dyDescent="0.25">
      <c r="A67" s="15" t="s">
        <v>159</v>
      </c>
      <c r="B67" s="16" t="s">
        <v>50</v>
      </c>
      <c r="C67" s="17">
        <v>12</v>
      </c>
      <c r="D67" s="17">
        <v>13</v>
      </c>
      <c r="E67" s="17">
        <f t="shared" si="5"/>
        <v>1</v>
      </c>
      <c r="F67" s="18" t="s">
        <v>79</v>
      </c>
      <c r="G67" s="18"/>
      <c r="H67" s="18"/>
      <c r="I67" s="18"/>
      <c r="J67" s="18"/>
      <c r="K67" s="18"/>
      <c r="L67" s="18" t="s">
        <v>79</v>
      </c>
      <c r="M67" s="19" t="s">
        <v>162</v>
      </c>
      <c r="N67" s="20" t="str">
        <f t="shared" si="6"/>
        <v>OK</v>
      </c>
    </row>
    <row r="68" spans="1:14" ht="20.100000000000001" customHeight="1" x14ac:dyDescent="0.25">
      <c r="A68" s="15" t="s">
        <v>159</v>
      </c>
      <c r="B68" s="16" t="s">
        <v>50</v>
      </c>
      <c r="C68" s="17">
        <v>13</v>
      </c>
      <c r="D68" s="17">
        <v>14</v>
      </c>
      <c r="E68" s="17">
        <f t="shared" si="5"/>
        <v>1</v>
      </c>
      <c r="F68" s="18" t="s">
        <v>79</v>
      </c>
      <c r="G68" s="18"/>
      <c r="H68" s="18"/>
      <c r="I68" s="18"/>
      <c r="J68" s="18"/>
      <c r="K68" s="18"/>
      <c r="L68" s="18" t="s">
        <v>79</v>
      </c>
      <c r="M68" s="19" t="s">
        <v>162</v>
      </c>
      <c r="N68" s="20" t="str">
        <f t="shared" si="6"/>
        <v>OK</v>
      </c>
    </row>
    <row r="69" spans="1:14" ht="20.100000000000001" customHeight="1" x14ac:dyDescent="0.25">
      <c r="A69" s="15" t="s">
        <v>159</v>
      </c>
      <c r="B69" s="16" t="s">
        <v>50</v>
      </c>
      <c r="C69" s="17">
        <v>14</v>
      </c>
      <c r="D69" s="17">
        <v>15</v>
      </c>
      <c r="E69" s="17">
        <f t="shared" si="5"/>
        <v>1</v>
      </c>
      <c r="F69" s="18" t="s">
        <v>79</v>
      </c>
      <c r="G69" s="18"/>
      <c r="H69" s="18"/>
      <c r="I69" s="18"/>
      <c r="J69" s="18"/>
      <c r="K69" s="18"/>
      <c r="L69" s="18" t="s">
        <v>79</v>
      </c>
      <c r="M69" s="19" t="s">
        <v>163</v>
      </c>
      <c r="N69" s="20" t="str">
        <f t="shared" si="6"/>
        <v>OK</v>
      </c>
    </row>
    <row r="70" spans="1:14" ht="20.100000000000001" customHeight="1" x14ac:dyDescent="0.25">
      <c r="A70" s="15" t="s">
        <v>159</v>
      </c>
      <c r="B70" s="16" t="s">
        <v>50</v>
      </c>
      <c r="C70" s="17">
        <v>15</v>
      </c>
      <c r="D70" s="17">
        <v>16</v>
      </c>
      <c r="E70" s="17">
        <f t="shared" si="5"/>
        <v>1</v>
      </c>
      <c r="F70" s="18" t="s">
        <v>79</v>
      </c>
      <c r="G70" s="18"/>
      <c r="H70" s="18"/>
      <c r="I70" s="18"/>
      <c r="J70" s="18"/>
      <c r="K70" s="18"/>
      <c r="L70" s="18" t="s">
        <v>79</v>
      </c>
      <c r="M70" s="19" t="s">
        <v>164</v>
      </c>
      <c r="N70" s="20" t="str">
        <f t="shared" si="6"/>
        <v>OK</v>
      </c>
    </row>
    <row r="71" spans="1:14" ht="20.100000000000001" customHeight="1" x14ac:dyDescent="0.25">
      <c r="A71" s="15" t="s">
        <v>159</v>
      </c>
      <c r="B71" s="16" t="s">
        <v>50</v>
      </c>
      <c r="C71" s="17">
        <v>16</v>
      </c>
      <c r="D71" s="17">
        <v>17</v>
      </c>
      <c r="E71" s="17">
        <f t="shared" si="5"/>
        <v>1</v>
      </c>
      <c r="F71" s="18" t="s">
        <v>79</v>
      </c>
      <c r="G71" s="18"/>
      <c r="H71" s="18"/>
      <c r="I71" s="18"/>
      <c r="J71" s="18"/>
      <c r="K71" s="18"/>
      <c r="L71" s="18" t="s">
        <v>79</v>
      </c>
      <c r="M71" s="19" t="s">
        <v>164</v>
      </c>
      <c r="N71" s="20" t="str">
        <f t="shared" si="6"/>
        <v>OK</v>
      </c>
    </row>
    <row r="72" spans="1:14" ht="20.100000000000001" customHeight="1" x14ac:dyDescent="0.25">
      <c r="A72" s="15" t="s">
        <v>159</v>
      </c>
      <c r="B72" s="16" t="s">
        <v>50</v>
      </c>
      <c r="C72" s="17">
        <v>17</v>
      </c>
      <c r="D72" s="17">
        <v>18</v>
      </c>
      <c r="E72" s="17">
        <f t="shared" si="5"/>
        <v>1</v>
      </c>
      <c r="F72" s="18" t="s">
        <v>79</v>
      </c>
      <c r="G72" s="18"/>
      <c r="H72" s="18"/>
      <c r="I72" s="18"/>
      <c r="J72" s="18"/>
      <c r="K72" s="18"/>
      <c r="L72" s="18" t="s">
        <v>79</v>
      </c>
      <c r="M72" s="19" t="s">
        <v>164</v>
      </c>
      <c r="N72" s="20" t="str">
        <f t="shared" si="6"/>
        <v>OK</v>
      </c>
    </row>
    <row r="73" spans="1:14" ht="20.100000000000001" customHeight="1" x14ac:dyDescent="0.25">
      <c r="A73" s="15" t="s">
        <v>159</v>
      </c>
      <c r="B73" s="16" t="s">
        <v>50</v>
      </c>
      <c r="C73" s="17">
        <v>18</v>
      </c>
      <c r="D73" s="17">
        <v>19</v>
      </c>
      <c r="E73" s="17">
        <f t="shared" si="5"/>
        <v>1</v>
      </c>
      <c r="F73" s="18" t="s">
        <v>79</v>
      </c>
      <c r="G73" s="18"/>
      <c r="H73" s="18"/>
      <c r="I73" s="18"/>
      <c r="J73" s="18"/>
      <c r="K73" s="18"/>
      <c r="L73" s="18" t="s">
        <v>79</v>
      </c>
      <c r="M73" s="19" t="s">
        <v>164</v>
      </c>
      <c r="N73" s="20" t="str">
        <f t="shared" si="6"/>
        <v>OK</v>
      </c>
    </row>
    <row r="74" spans="1:14" ht="20.100000000000001" customHeight="1" x14ac:dyDescent="0.25">
      <c r="A74" s="15" t="s">
        <v>159</v>
      </c>
      <c r="B74" s="16" t="s">
        <v>50</v>
      </c>
      <c r="C74" s="17">
        <v>19</v>
      </c>
      <c r="D74" s="17">
        <v>20</v>
      </c>
      <c r="E74" s="17">
        <f t="shared" si="5"/>
        <v>1</v>
      </c>
      <c r="F74" s="18" t="s">
        <v>79</v>
      </c>
      <c r="G74" s="18"/>
      <c r="H74" s="18"/>
      <c r="I74" s="18"/>
      <c r="J74" s="18"/>
      <c r="K74" s="18"/>
      <c r="L74" s="18" t="s">
        <v>79</v>
      </c>
      <c r="M74" s="19" t="s">
        <v>164</v>
      </c>
      <c r="N74" s="20" t="str">
        <f t="shared" si="6"/>
        <v>OK</v>
      </c>
    </row>
    <row r="75" spans="1:14" ht="20.100000000000001" customHeight="1" x14ac:dyDescent="0.25">
      <c r="A75" s="15" t="s">
        <v>159</v>
      </c>
      <c r="B75" s="16" t="s">
        <v>50</v>
      </c>
      <c r="C75" s="17">
        <v>20</v>
      </c>
      <c r="D75" s="17">
        <v>21</v>
      </c>
      <c r="E75" s="17">
        <f t="shared" si="5"/>
        <v>1</v>
      </c>
      <c r="F75" s="18" t="s">
        <v>79</v>
      </c>
      <c r="G75" s="18"/>
      <c r="H75" s="18"/>
      <c r="I75" s="18"/>
      <c r="J75" s="18"/>
      <c r="K75" s="18"/>
      <c r="L75" s="18" t="s">
        <v>79</v>
      </c>
      <c r="M75" s="19" t="s">
        <v>164</v>
      </c>
      <c r="N75" s="20" t="str">
        <f t="shared" si="6"/>
        <v>OK</v>
      </c>
    </row>
    <row r="76" spans="1:14" ht="20.100000000000001" customHeight="1" x14ac:dyDescent="0.25">
      <c r="A76" s="15" t="s">
        <v>159</v>
      </c>
      <c r="B76" s="16" t="s">
        <v>50</v>
      </c>
      <c r="C76" s="17">
        <v>21</v>
      </c>
      <c r="D76" s="17">
        <v>22</v>
      </c>
      <c r="E76" s="17">
        <f t="shared" si="5"/>
        <v>1</v>
      </c>
      <c r="F76" s="18" t="s">
        <v>79</v>
      </c>
      <c r="G76" s="18"/>
      <c r="H76" s="18"/>
      <c r="I76" s="18"/>
      <c r="J76" s="18"/>
      <c r="K76" s="18"/>
      <c r="L76" s="18" t="s">
        <v>79</v>
      </c>
      <c r="M76" s="19" t="s">
        <v>164</v>
      </c>
      <c r="N76" s="20" t="str">
        <f t="shared" si="6"/>
        <v>OK</v>
      </c>
    </row>
    <row r="77" spans="1:14" ht="20.100000000000001" customHeight="1" x14ac:dyDescent="0.25">
      <c r="A77" s="15" t="s">
        <v>159</v>
      </c>
      <c r="B77" s="16" t="s">
        <v>50</v>
      </c>
      <c r="C77" s="17">
        <v>22</v>
      </c>
      <c r="D77" s="17">
        <v>23</v>
      </c>
      <c r="E77" s="17">
        <f t="shared" si="5"/>
        <v>1</v>
      </c>
      <c r="F77" s="18" t="s">
        <v>79</v>
      </c>
      <c r="G77" s="18"/>
      <c r="H77" s="18"/>
      <c r="I77" s="18"/>
      <c r="J77" s="18"/>
      <c r="K77" s="18"/>
      <c r="L77" s="18" t="s">
        <v>79</v>
      </c>
      <c r="M77" s="19" t="s">
        <v>165</v>
      </c>
      <c r="N77" s="20" t="str">
        <f t="shared" si="6"/>
        <v>OK</v>
      </c>
    </row>
    <row r="78" spans="1:14" ht="20.100000000000001" customHeight="1" x14ac:dyDescent="0.25">
      <c r="A78" s="15" t="s">
        <v>159</v>
      </c>
      <c r="B78" s="16" t="s">
        <v>50</v>
      </c>
      <c r="C78" s="17">
        <v>23</v>
      </c>
      <c r="D78" s="17">
        <v>24</v>
      </c>
      <c r="E78" s="17">
        <f t="shared" si="5"/>
        <v>1</v>
      </c>
      <c r="F78" s="18" t="s">
        <v>79</v>
      </c>
      <c r="G78" s="18"/>
      <c r="H78" s="18"/>
      <c r="I78" s="18"/>
      <c r="J78" s="18"/>
      <c r="K78" s="18"/>
      <c r="L78" s="18" t="s">
        <v>79</v>
      </c>
      <c r="M78" s="19" t="s">
        <v>165</v>
      </c>
      <c r="N78" s="20" t="str">
        <f t="shared" si="6"/>
        <v>OK</v>
      </c>
    </row>
    <row r="79" spans="1:14" ht="20.100000000000001" customHeight="1" x14ac:dyDescent="0.25">
      <c r="A79" s="15" t="s">
        <v>159</v>
      </c>
      <c r="B79" s="16" t="s">
        <v>50</v>
      </c>
      <c r="C79" s="17">
        <v>24</v>
      </c>
      <c r="D79" s="17">
        <v>25</v>
      </c>
      <c r="E79" s="17">
        <f t="shared" si="5"/>
        <v>1</v>
      </c>
      <c r="F79" s="18" t="s">
        <v>79</v>
      </c>
      <c r="G79" s="18"/>
      <c r="H79" s="18"/>
      <c r="I79" s="18"/>
      <c r="J79" s="18"/>
      <c r="K79" s="18"/>
      <c r="L79" s="18" t="s">
        <v>79</v>
      </c>
      <c r="M79" s="19" t="s">
        <v>166</v>
      </c>
      <c r="N79" s="20" t="str">
        <f t="shared" si="6"/>
        <v>OK</v>
      </c>
    </row>
    <row r="80" spans="1:14" ht="20.100000000000001" customHeight="1" x14ac:dyDescent="0.25">
      <c r="A80" s="15" t="s">
        <v>159</v>
      </c>
      <c r="B80" s="16" t="s">
        <v>50</v>
      </c>
      <c r="C80" s="17">
        <v>25</v>
      </c>
      <c r="D80" s="17">
        <v>26</v>
      </c>
      <c r="E80" s="17">
        <f t="shared" si="5"/>
        <v>1</v>
      </c>
      <c r="F80" s="18" t="s">
        <v>79</v>
      </c>
      <c r="G80" s="18"/>
      <c r="H80" s="18"/>
      <c r="I80" s="18"/>
      <c r="J80" s="18"/>
      <c r="K80" s="18"/>
      <c r="L80" s="18" t="s">
        <v>79</v>
      </c>
      <c r="M80" s="19" t="s">
        <v>166</v>
      </c>
      <c r="N80" s="20" t="str">
        <f t="shared" si="6"/>
        <v>OK</v>
      </c>
    </row>
    <row r="81" spans="1:14" ht="20.100000000000001" customHeight="1" x14ac:dyDescent="0.25">
      <c r="A81" s="15" t="s">
        <v>159</v>
      </c>
      <c r="B81" s="16" t="s">
        <v>50</v>
      </c>
      <c r="C81" s="17">
        <v>26</v>
      </c>
      <c r="D81" s="17">
        <v>27</v>
      </c>
      <c r="E81" s="17">
        <f t="shared" si="5"/>
        <v>1</v>
      </c>
      <c r="F81" s="18" t="s">
        <v>79</v>
      </c>
      <c r="G81" s="18"/>
      <c r="H81" s="18"/>
      <c r="I81" s="18"/>
      <c r="J81" s="18"/>
      <c r="K81" s="18"/>
      <c r="L81" s="18" t="s">
        <v>79</v>
      </c>
      <c r="M81" s="19" t="s">
        <v>166</v>
      </c>
      <c r="N81" s="20" t="str">
        <f t="shared" si="6"/>
        <v>OK</v>
      </c>
    </row>
    <row r="82" spans="1:14" ht="20.100000000000001" customHeight="1" x14ac:dyDescent="0.25">
      <c r="A82" s="15" t="s">
        <v>159</v>
      </c>
      <c r="B82" s="16" t="s">
        <v>50</v>
      </c>
      <c r="C82" s="17">
        <v>27</v>
      </c>
      <c r="D82" s="17">
        <v>28</v>
      </c>
      <c r="E82" s="17">
        <f t="shared" si="5"/>
        <v>1</v>
      </c>
      <c r="F82" s="18" t="s">
        <v>79</v>
      </c>
      <c r="G82" s="18"/>
      <c r="H82" s="18"/>
      <c r="I82" s="18"/>
      <c r="J82" s="18"/>
      <c r="K82" s="18"/>
      <c r="L82" s="18" t="s">
        <v>79</v>
      </c>
      <c r="M82" s="19" t="s">
        <v>167</v>
      </c>
      <c r="N82" s="20" t="str">
        <f t="shared" si="6"/>
        <v>OK</v>
      </c>
    </row>
    <row r="83" spans="1:14" ht="20.100000000000001" customHeight="1" x14ac:dyDescent="0.25">
      <c r="A83" s="21" t="s">
        <v>159</v>
      </c>
      <c r="B83" s="22" t="s">
        <v>50</v>
      </c>
      <c r="C83" s="23">
        <v>28</v>
      </c>
      <c r="D83" s="23">
        <v>28.420723737599999</v>
      </c>
      <c r="E83" s="23">
        <f t="shared" si="5"/>
        <v>0.42072373759999948</v>
      </c>
      <c r="F83" s="24" t="s">
        <v>79</v>
      </c>
      <c r="G83" s="24"/>
      <c r="H83" s="24"/>
      <c r="I83" s="24"/>
      <c r="J83" s="24"/>
      <c r="K83" s="24"/>
      <c r="L83" s="24" t="s">
        <v>79</v>
      </c>
      <c r="M83" s="25" t="s">
        <v>167</v>
      </c>
      <c r="N83" s="26" t="str">
        <f t="shared" si="6"/>
        <v>OK</v>
      </c>
    </row>
    <row r="84" spans="1:14" ht="15.95" customHeight="1" x14ac:dyDescent="0.25">
      <c r="A84" s="40" t="s">
        <v>168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3"/>
      <c r="N84" s="4"/>
    </row>
    <row r="85" spans="1:14" ht="20.100000000000001" customHeight="1" x14ac:dyDescent="0.25">
      <c r="A85" s="15" t="s">
        <v>169</v>
      </c>
      <c r="B85" s="16" t="s">
        <v>50</v>
      </c>
      <c r="C85" s="17">
        <v>0</v>
      </c>
      <c r="D85" s="17">
        <v>1</v>
      </c>
      <c r="E85" s="17">
        <f>D85-C85</f>
        <v>1</v>
      </c>
      <c r="F85" s="18" t="s">
        <v>79</v>
      </c>
      <c r="G85" s="18"/>
      <c r="H85" s="18"/>
      <c r="I85" s="18"/>
      <c r="J85" s="18"/>
      <c r="K85" s="18"/>
      <c r="L85" s="18" t="s">
        <v>79</v>
      </c>
      <c r="M85" s="19" t="s">
        <v>170</v>
      </c>
      <c r="N85" s="20" t="str">
        <f>IF(COUNTA(F85:L85)=0,"— não preenchido",IF(COUNTIF(F85:I85,"X")&lt;&gt;1,"FALTA/DUPLA: CONDIÇÃO DA PLATAFORMA",IF(COUNTIF(J85:L85,"X")&lt;&gt;1,"FALTA/DUPLA: DRENAGEM SUPERFICIAL","OK")))</f>
        <v>OK</v>
      </c>
    </row>
    <row r="86" spans="1:14" ht="20.100000000000001" customHeight="1" x14ac:dyDescent="0.25">
      <c r="A86" s="15" t="s">
        <v>169</v>
      </c>
      <c r="B86" s="16" t="s">
        <v>50</v>
      </c>
      <c r="C86" s="17">
        <v>1</v>
      </c>
      <c r="D86" s="17">
        <v>2</v>
      </c>
      <c r="E86" s="17">
        <f>D86-C86</f>
        <v>1</v>
      </c>
      <c r="F86" s="18" t="s">
        <v>79</v>
      </c>
      <c r="G86" s="18"/>
      <c r="H86" s="18"/>
      <c r="I86" s="18"/>
      <c r="J86" s="18"/>
      <c r="K86" s="18"/>
      <c r="L86" s="18" t="s">
        <v>79</v>
      </c>
      <c r="M86" s="19" t="s">
        <v>171</v>
      </c>
      <c r="N86" s="20" t="str">
        <f>IF(COUNTA(F86:L86)=0,"— não preenchido",IF(COUNTIF(F86:I86,"X")&lt;&gt;1,"FALTA/DUPLA: CONDIÇÃO DA PLATAFORMA",IF(COUNTIF(J86:L86,"X")&lt;&gt;1,"FALTA/DUPLA: DRENAGEM SUPERFICIAL","OK")))</f>
        <v>OK</v>
      </c>
    </row>
    <row r="87" spans="1:14" ht="20.100000000000001" customHeight="1" x14ac:dyDescent="0.25">
      <c r="A87" s="15" t="s">
        <v>169</v>
      </c>
      <c r="B87" s="16" t="s">
        <v>50</v>
      </c>
      <c r="C87" s="17">
        <v>2</v>
      </c>
      <c r="D87" s="17">
        <v>3</v>
      </c>
      <c r="E87" s="17">
        <f>D87-C87</f>
        <v>1</v>
      </c>
      <c r="F87" s="18" t="s">
        <v>79</v>
      </c>
      <c r="G87" s="18"/>
      <c r="H87" s="18"/>
      <c r="I87" s="18"/>
      <c r="J87" s="18"/>
      <c r="K87" s="18"/>
      <c r="L87" s="18" t="s">
        <v>79</v>
      </c>
      <c r="M87" s="19" t="s">
        <v>171</v>
      </c>
      <c r="N87" s="20" t="str">
        <f>IF(COUNTA(F87:L87)=0,"— não preenchido",IF(COUNTIF(F87:I87,"X")&lt;&gt;1,"FALTA/DUPLA: CONDIÇÃO DA PLATAFORMA",IF(COUNTIF(J87:L87,"X")&lt;&gt;1,"FALTA/DUPLA: DRENAGEM SUPERFICIAL","OK")))</f>
        <v>OK</v>
      </c>
    </row>
    <row r="88" spans="1:14" ht="20.100000000000001" customHeight="1" x14ac:dyDescent="0.25">
      <c r="A88" s="15" t="s">
        <v>169</v>
      </c>
      <c r="B88" s="16" t="s">
        <v>50</v>
      </c>
      <c r="C88" s="17">
        <v>3</v>
      </c>
      <c r="D88" s="17">
        <v>4</v>
      </c>
      <c r="E88" s="17">
        <f>D88-C88</f>
        <v>1</v>
      </c>
      <c r="F88" s="18" t="s">
        <v>79</v>
      </c>
      <c r="G88" s="18"/>
      <c r="H88" s="18"/>
      <c r="I88" s="18"/>
      <c r="J88" s="18"/>
      <c r="K88" s="18"/>
      <c r="L88" s="18" t="s">
        <v>79</v>
      </c>
      <c r="M88" s="19" t="s">
        <v>167</v>
      </c>
      <c r="N88" s="20" t="str">
        <f>IF(COUNTA(F88:L88)=0,"— não preenchido",IF(COUNTIF(F88:I88,"X")&lt;&gt;1,"FALTA/DUPLA: CONDIÇÃO DA PLATAFORMA",IF(COUNTIF(J88:L88,"X")&lt;&gt;1,"FALTA/DUPLA: DRENAGEM SUPERFICIAL","OK")))</f>
        <v>OK</v>
      </c>
    </row>
    <row r="89" spans="1:14" ht="20.100000000000001" customHeight="1" x14ac:dyDescent="0.25">
      <c r="A89" s="21" t="s">
        <v>169</v>
      </c>
      <c r="B89" s="22" t="s">
        <v>50</v>
      </c>
      <c r="C89" s="23">
        <v>4</v>
      </c>
      <c r="D89" s="23">
        <v>4.1873192117800002</v>
      </c>
      <c r="E89" s="23">
        <f>D89-C89</f>
        <v>0.18731921178000022</v>
      </c>
      <c r="F89" s="24" t="s">
        <v>79</v>
      </c>
      <c r="G89" s="24"/>
      <c r="H89" s="24"/>
      <c r="I89" s="24"/>
      <c r="J89" s="24"/>
      <c r="K89" s="24"/>
      <c r="L89" s="24" t="s">
        <v>79</v>
      </c>
      <c r="M89" s="25" t="s">
        <v>167</v>
      </c>
      <c r="N89" s="26" t="str">
        <f>IF(COUNTA(F89:L89)=0,"— não preenchido",IF(COUNTIF(F89:I89,"X")&lt;&gt;1,"FALTA/DUPLA: CONDIÇÃO DA PLATAFORMA",IF(COUNTIF(J89:L89,"X")&lt;&gt;1,"FALTA/DUPLA: DRENAGEM SUPERFICIAL","OK")))</f>
        <v>OK</v>
      </c>
    </row>
    <row r="91" spans="1:14" x14ac:dyDescent="0.25">
      <c r="A91" s="41" t="s">
        <v>51</v>
      </c>
      <c r="B91" s="35"/>
      <c r="C91" s="35"/>
      <c r="D91" s="35"/>
      <c r="E91" s="35"/>
      <c r="G91" s="41" t="s">
        <v>51</v>
      </c>
      <c r="H91" s="35"/>
      <c r="I91" s="35"/>
      <c r="J91" s="35"/>
      <c r="K91" s="35"/>
    </row>
    <row r="92" spans="1:14" x14ac:dyDescent="0.25">
      <c r="A92" s="48" t="s">
        <v>52</v>
      </c>
      <c r="B92" s="35"/>
      <c r="C92" s="35"/>
      <c r="D92" s="35"/>
      <c r="E92" s="35"/>
      <c r="G92" s="48" t="s">
        <v>53</v>
      </c>
      <c r="H92" s="35"/>
      <c r="I92" s="35"/>
      <c r="J92" s="35"/>
      <c r="K92" s="35"/>
    </row>
    <row r="94" spans="1:14" x14ac:dyDescent="0.25">
      <c r="A94" s="42" t="s">
        <v>54</v>
      </c>
      <c r="B94" s="35"/>
      <c r="C94" s="35"/>
      <c r="D94" s="35"/>
      <c r="E94" s="35"/>
      <c r="F94" s="27"/>
      <c r="G94" s="27"/>
      <c r="H94" s="27"/>
      <c r="I94" s="27"/>
      <c r="J94" s="27"/>
      <c r="K94" s="27"/>
      <c r="L94" s="27"/>
      <c r="M94" s="27"/>
    </row>
    <row r="95" spans="1:14" x14ac:dyDescent="0.25">
      <c r="A95" s="38" t="s">
        <v>55</v>
      </c>
      <c r="B95" s="35"/>
      <c r="C95" s="35"/>
      <c r="D95" s="35"/>
      <c r="E95" s="35"/>
      <c r="F95" s="9">
        <f t="shared" ref="F95:L95" si="7">SUMIF(F$9:F$89,"X",$E$9:$E$89)</f>
        <v>75.786951088480009</v>
      </c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25.9386324677</v>
      </c>
      <c r="K95" s="9">
        <f t="shared" si="7"/>
        <v>0</v>
      </c>
      <c r="L95" s="9">
        <f t="shared" si="7"/>
        <v>49.848318620779999</v>
      </c>
    </row>
    <row r="96" spans="1:14" x14ac:dyDescent="0.25">
      <c r="A96" s="38" t="s">
        <v>56</v>
      </c>
      <c r="B96" s="35"/>
      <c r="C96" s="35"/>
      <c r="D96" s="35"/>
      <c r="E96" s="35"/>
      <c r="F96" s="28">
        <f t="shared" ref="F96:L96" si="8">IF($I98=0,0,F95/$I98)</f>
        <v>1</v>
      </c>
      <c r="G96" s="28">
        <f t="shared" si="8"/>
        <v>0</v>
      </c>
      <c r="H96" s="28">
        <f t="shared" si="8"/>
        <v>0</v>
      </c>
      <c r="I96" s="28">
        <f t="shared" si="8"/>
        <v>0</v>
      </c>
      <c r="J96" s="28">
        <f t="shared" si="8"/>
        <v>0.34225723683509945</v>
      </c>
      <c r="K96" s="28">
        <f t="shared" si="8"/>
        <v>0</v>
      </c>
      <c r="L96" s="28">
        <f t="shared" si="8"/>
        <v>0.65774276316490043</v>
      </c>
    </row>
    <row r="97" spans="1:13" x14ac:dyDescent="0.25">
      <c r="A97" s="38" t="s">
        <v>57</v>
      </c>
      <c r="B97" s="35"/>
      <c r="C97" s="35"/>
      <c r="D97" s="35"/>
      <c r="E97" s="35"/>
      <c r="F97" s="47" t="str">
        <f>IF(SUM(F95:I95)=0,"— não preenchido",IF(ROUND(SUM(F95:I95)-$I98,3)=0,"OK — "&amp;ROUND(SUM(F95:I95),3)&amp;" km","ERRO — dif. de "&amp;ROUND(SUM(F95:I95)-$I98,3)&amp;" km"))</f>
        <v>OK — 75,787 km</v>
      </c>
      <c r="G97" s="32"/>
      <c r="H97" s="32"/>
      <c r="I97" s="33"/>
      <c r="J97" s="47" t="str">
        <f>IF(SUM(J95:L95)=0,"— não preenchido",IF(ROUND(SUM(J95:L95)-$I98,3)=0,"OK — "&amp;ROUND(SUM(J95:L95),3)&amp;" km","ERRO — dif. de "&amp;ROUND(SUM(J95:L95)-$I98,3)&amp;" km"))</f>
        <v>OK — 75,787 km</v>
      </c>
      <c r="K97" s="32"/>
      <c r="L97" s="33"/>
    </row>
    <row r="98" spans="1:13" x14ac:dyDescent="0.25">
      <c r="A98" s="38" t="s">
        <v>58</v>
      </c>
      <c r="B98" s="35"/>
      <c r="C98" s="35"/>
      <c r="D98" s="35"/>
      <c r="E98" s="35"/>
      <c r="I98" s="29">
        <f>SUM(E9:E89)</f>
        <v>75.786951088480009</v>
      </c>
      <c r="M98" s="8" t="str">
        <f>COUNTIF(N9:N89,"OK")&amp;" de "&amp;COUNT($E$9:$E$89)&amp;" linhas conferidas"</f>
        <v>78 de 78 linhas conferidas</v>
      </c>
    </row>
    <row r="100" spans="1:13" x14ac:dyDescent="0.25">
      <c r="A100" s="49" t="s">
        <v>59</v>
      </c>
      <c r="B100" s="35"/>
      <c r="C100" s="35"/>
      <c r="D100" s="35"/>
      <c r="E100" s="35"/>
    </row>
    <row r="101" spans="1:13" x14ac:dyDescent="0.25">
      <c r="A101" s="38" t="s">
        <v>10</v>
      </c>
      <c r="B101" s="35"/>
      <c r="C101" s="35"/>
      <c r="D101" s="35"/>
      <c r="E101" s="37" t="s">
        <v>60</v>
      </c>
      <c r="F101" s="35"/>
      <c r="G101" s="35"/>
      <c r="H101" s="35"/>
      <c r="I101" s="35"/>
      <c r="J101" s="35"/>
      <c r="K101" s="35"/>
      <c r="L101" s="35"/>
      <c r="M101" s="35"/>
    </row>
    <row r="102" spans="1:13" x14ac:dyDescent="0.25">
      <c r="A102" s="38" t="s">
        <v>11</v>
      </c>
      <c r="B102" s="35"/>
      <c r="C102" s="35"/>
      <c r="D102" s="35"/>
      <c r="E102" s="37" t="s">
        <v>61</v>
      </c>
      <c r="F102" s="35"/>
      <c r="G102" s="35"/>
      <c r="H102" s="35"/>
      <c r="I102" s="35"/>
      <c r="J102" s="35"/>
      <c r="K102" s="35"/>
      <c r="L102" s="35"/>
      <c r="M102" s="35"/>
    </row>
    <row r="103" spans="1:13" x14ac:dyDescent="0.25">
      <c r="A103" s="38" t="s">
        <v>12</v>
      </c>
      <c r="B103" s="35"/>
      <c r="C103" s="35"/>
      <c r="D103" s="35"/>
      <c r="E103" s="37" t="s">
        <v>62</v>
      </c>
      <c r="F103" s="35"/>
      <c r="G103" s="35"/>
      <c r="H103" s="35"/>
      <c r="I103" s="35"/>
      <c r="J103" s="35"/>
      <c r="K103" s="35"/>
      <c r="L103" s="35"/>
      <c r="M103" s="35"/>
    </row>
    <row r="104" spans="1:13" x14ac:dyDescent="0.25">
      <c r="A104" s="38" t="s">
        <v>63</v>
      </c>
      <c r="B104" s="35"/>
      <c r="C104" s="35"/>
      <c r="D104" s="35"/>
      <c r="E104" s="37" t="s">
        <v>64</v>
      </c>
      <c r="F104" s="35"/>
      <c r="G104" s="35"/>
      <c r="H104" s="35"/>
      <c r="I104" s="35"/>
      <c r="J104" s="35"/>
      <c r="K104" s="35"/>
      <c r="L104" s="35"/>
      <c r="M104" s="35"/>
    </row>
    <row r="105" spans="1:13" x14ac:dyDescent="0.25">
      <c r="A105" s="38" t="s">
        <v>65</v>
      </c>
      <c r="B105" s="35"/>
      <c r="C105" s="35"/>
      <c r="D105" s="35"/>
      <c r="E105" s="37" t="s">
        <v>66</v>
      </c>
      <c r="F105" s="35"/>
      <c r="G105" s="35"/>
      <c r="H105" s="35"/>
      <c r="I105" s="35"/>
      <c r="J105" s="35"/>
      <c r="K105" s="35"/>
      <c r="L105" s="35"/>
      <c r="M105" s="35"/>
    </row>
    <row r="106" spans="1:13" x14ac:dyDescent="0.25">
      <c r="A106" s="38" t="s">
        <v>67</v>
      </c>
      <c r="B106" s="35"/>
      <c r="C106" s="35"/>
      <c r="D106" s="35"/>
      <c r="E106" s="37" t="s">
        <v>68</v>
      </c>
      <c r="F106" s="35"/>
      <c r="G106" s="35"/>
      <c r="H106" s="35"/>
      <c r="I106" s="35"/>
      <c r="J106" s="35"/>
      <c r="K106" s="35"/>
      <c r="L106" s="35"/>
      <c r="M106" s="35"/>
    </row>
    <row r="107" spans="1:13" x14ac:dyDescent="0.25">
      <c r="A107" s="38" t="s">
        <v>42</v>
      </c>
      <c r="B107" s="35"/>
      <c r="C107" s="35"/>
      <c r="D107" s="35"/>
      <c r="E107" s="37" t="s">
        <v>69</v>
      </c>
      <c r="F107" s="35"/>
      <c r="G107" s="35"/>
      <c r="H107" s="35"/>
      <c r="I107" s="35"/>
      <c r="J107" s="35"/>
      <c r="K107" s="35"/>
      <c r="L107" s="35"/>
      <c r="M107" s="35"/>
    </row>
    <row r="108" spans="1:13" x14ac:dyDescent="0.25">
      <c r="A108" s="38" t="s">
        <v>70</v>
      </c>
      <c r="B108" s="35"/>
      <c r="C108" s="35"/>
      <c r="D108" s="35"/>
      <c r="E108" s="37" t="s">
        <v>71</v>
      </c>
      <c r="F108" s="35"/>
      <c r="G108" s="35"/>
      <c r="H108" s="35"/>
      <c r="I108" s="35"/>
      <c r="J108" s="35"/>
      <c r="K108" s="35"/>
      <c r="L108" s="35"/>
      <c r="M108" s="35"/>
    </row>
    <row r="109" spans="1:13" x14ac:dyDescent="0.25">
      <c r="A109" s="38" t="s">
        <v>72</v>
      </c>
      <c r="B109" s="35"/>
      <c r="C109" s="35"/>
      <c r="D109" s="35"/>
      <c r="E109" s="37" t="s">
        <v>73</v>
      </c>
      <c r="F109" s="35"/>
      <c r="G109" s="35"/>
      <c r="H109" s="35"/>
      <c r="I109" s="35"/>
      <c r="J109" s="35"/>
      <c r="K109" s="35"/>
      <c r="L109" s="35"/>
      <c r="M109" s="35"/>
    </row>
    <row r="110" spans="1:13" x14ac:dyDescent="0.25">
      <c r="A110" s="38" t="s">
        <v>8</v>
      </c>
      <c r="B110" s="35"/>
      <c r="C110" s="35"/>
      <c r="D110" s="35"/>
      <c r="E110" s="37" t="s">
        <v>74</v>
      </c>
      <c r="F110" s="35"/>
      <c r="G110" s="35"/>
      <c r="H110" s="35"/>
      <c r="I110" s="35"/>
      <c r="J110" s="35"/>
      <c r="K110" s="35"/>
      <c r="L110" s="35"/>
      <c r="M110" s="35"/>
    </row>
  </sheetData>
  <sheetProtection sheet="1" formatCells="0"/>
  <mergeCells count="53">
    <mergeCell ref="A1:M1"/>
    <mergeCell ref="A95:E95"/>
    <mergeCell ref="E102:M102"/>
    <mergeCell ref="N6:N7"/>
    <mergeCell ref="J97:L97"/>
    <mergeCell ref="K3:M3"/>
    <mergeCell ref="A25:M25"/>
    <mergeCell ref="A97:E97"/>
    <mergeCell ref="A54:M54"/>
    <mergeCell ref="A84:M84"/>
    <mergeCell ref="A91:E91"/>
    <mergeCell ref="A100:E100"/>
    <mergeCell ref="A96:E96"/>
    <mergeCell ref="G91:K91"/>
    <mergeCell ref="F97:I97"/>
    <mergeCell ref="A3:J3"/>
    <mergeCell ref="E110:M110"/>
    <mergeCell ref="E6:E7"/>
    <mergeCell ref="A107:D107"/>
    <mergeCell ref="B6:B7"/>
    <mergeCell ref="F6:I6"/>
    <mergeCell ref="A103:D103"/>
    <mergeCell ref="G92:K92"/>
    <mergeCell ref="A110:D110"/>
    <mergeCell ref="E109:M109"/>
    <mergeCell ref="A108:D108"/>
    <mergeCell ref="E106:M106"/>
    <mergeCell ref="A105:D105"/>
    <mergeCell ref="A101:D101"/>
    <mergeCell ref="A104:D104"/>
    <mergeCell ref="C6:C7"/>
    <mergeCell ref="D6:D7"/>
    <mergeCell ref="A109:D109"/>
    <mergeCell ref="A94:E94"/>
    <mergeCell ref="A6:A7"/>
    <mergeCell ref="E105:M105"/>
    <mergeCell ref="A2:C2"/>
    <mergeCell ref="A102:D102"/>
    <mergeCell ref="E108:M108"/>
    <mergeCell ref="K2:M2"/>
    <mergeCell ref="E104:M104"/>
    <mergeCell ref="D2:E2"/>
    <mergeCell ref="M6:M7"/>
    <mergeCell ref="E101:M101"/>
    <mergeCell ref="E107:M107"/>
    <mergeCell ref="A92:E92"/>
    <mergeCell ref="J6:L6"/>
    <mergeCell ref="A106:D106"/>
    <mergeCell ref="E103:M103"/>
    <mergeCell ref="G2:H2"/>
    <mergeCell ref="A8:M8"/>
    <mergeCell ref="A98:E98"/>
    <mergeCell ref="A4:M4"/>
  </mergeCells>
  <conditionalFormatting sqref="F9:I89">
    <cfRule type="expression" dxfId="11" priority="1">
      <formula>AND(F9&lt;&gt;"",COUNTIF($F9:$I9,"X")&gt;1)</formula>
    </cfRule>
  </conditionalFormatting>
  <conditionalFormatting sqref="F97:L97">
    <cfRule type="expression" dxfId="10" priority="5">
      <formula>LEFT(F97,4)="ERRO"</formula>
    </cfRule>
    <cfRule type="expression" dxfId="9" priority="6">
      <formula>LEFT(F97,2)="OK"</formula>
    </cfRule>
  </conditionalFormatting>
  <conditionalFormatting sqref="J9:L89">
    <cfRule type="expression" dxfId="8" priority="2">
      <formula>AND(J9&lt;&gt;"",COUNTIF($J9:$L9,"X")&gt;1)</formula>
    </cfRule>
  </conditionalFormatting>
  <conditionalFormatting sqref="N9:N89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9" xr:uid="{00000000-0002-0000-0D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9" xr:uid="{00000000-0002-0000-0D00-000001000000}">
      <formula1>AND(UPPER(J9)="X",COUNTIF($J9:$L9,"X")&lt;=1)</formula1>
    </dataValidation>
    <dataValidation type="list" showErrorMessage="1" errorTitle="Sentido inválido" error="Use C (crescente) ou D (decrescente)." sqref="B9:B89" xr:uid="{00000000-0002-0000-0D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272</oddHeader>
    <oddFooter>&amp;L&amp;7 RTA / MSI — Programa de Manutenção Rodoviária&amp;C&amp;7 Página &amp;P de &amp;N&amp;R&amp;7 Impresso em &amp;D</oddFooter>
  </headerFooter>
  <rowBreaks count="1" manualBreakCount="1">
    <brk id="92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4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34</v>
      </c>
      <c r="B2" s="35"/>
      <c r="C2" s="35"/>
      <c r="D2" s="39" t="s">
        <v>35</v>
      </c>
      <c r="E2" s="35"/>
      <c r="F2" s="13"/>
      <c r="G2" s="39" t="s">
        <v>36</v>
      </c>
      <c r="H2" s="35"/>
      <c r="I2" s="14"/>
      <c r="J2" s="12" t="s">
        <v>37</v>
      </c>
      <c r="K2" s="44"/>
      <c r="L2" s="45"/>
      <c r="M2" s="46"/>
      <c r="P2" s="2" t="e">
        <f t="shared" ref="P2:V2" si="0">IF(F26=0,NA(),F26)</f>
        <v>#N/A</v>
      </c>
      <c r="Q2" s="2">
        <f t="shared" si="0"/>
        <v>11.2079170884</v>
      </c>
      <c r="R2" s="2" t="e">
        <f t="shared" si="0"/>
        <v>#N/A</v>
      </c>
      <c r="S2" s="2" t="e">
        <f t="shared" si="0"/>
        <v>#N/A</v>
      </c>
      <c r="T2" s="2">
        <f t="shared" si="0"/>
        <v>11.2079170884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172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173</v>
      </c>
      <c r="L3" s="35"/>
      <c r="M3" s="35"/>
    </row>
    <row r="4" spans="1:22" ht="20.100000000000001" customHeight="1" x14ac:dyDescent="0.25">
      <c r="A4" s="34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41</v>
      </c>
      <c r="B6" s="30" t="s">
        <v>42</v>
      </c>
      <c r="C6" s="30" t="s">
        <v>43</v>
      </c>
      <c r="D6" s="30" t="s">
        <v>44</v>
      </c>
      <c r="E6" s="30" t="s">
        <v>45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46</v>
      </c>
      <c r="N6" s="30" t="s">
        <v>47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174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175</v>
      </c>
      <c r="B9" s="16" t="s">
        <v>50</v>
      </c>
      <c r="C9" s="17">
        <v>0</v>
      </c>
      <c r="D9" s="17">
        <v>1</v>
      </c>
      <c r="E9" s="17">
        <f t="shared" ref="E9:E20" si="1">D9-C9</f>
        <v>1</v>
      </c>
      <c r="F9" s="18"/>
      <c r="G9" s="18" t="s">
        <v>79</v>
      </c>
      <c r="H9" s="18"/>
      <c r="I9" s="18"/>
      <c r="J9" s="18" t="s">
        <v>79</v>
      </c>
      <c r="K9" s="18"/>
      <c r="L9" s="18"/>
      <c r="M9" s="19"/>
      <c r="N9" s="20" t="str">
        <f t="shared" ref="N9:N2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175</v>
      </c>
      <c r="B10" s="16" t="s">
        <v>50</v>
      </c>
      <c r="C10" s="17">
        <v>1</v>
      </c>
      <c r="D10" s="17">
        <v>2</v>
      </c>
      <c r="E10" s="17">
        <f t="shared" si="1"/>
        <v>1</v>
      </c>
      <c r="F10" s="18"/>
      <c r="G10" s="18" t="s">
        <v>79</v>
      </c>
      <c r="H10" s="18"/>
      <c r="I10" s="18"/>
      <c r="J10" s="18" t="s">
        <v>79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175</v>
      </c>
      <c r="B11" s="16" t="s">
        <v>50</v>
      </c>
      <c r="C11" s="17">
        <v>2</v>
      </c>
      <c r="D11" s="17">
        <v>3</v>
      </c>
      <c r="E11" s="17">
        <f t="shared" si="1"/>
        <v>1</v>
      </c>
      <c r="F11" s="18"/>
      <c r="G11" s="18" t="s">
        <v>79</v>
      </c>
      <c r="H11" s="18"/>
      <c r="I11" s="18"/>
      <c r="J11" s="18" t="s">
        <v>79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175</v>
      </c>
      <c r="B12" s="16" t="s">
        <v>50</v>
      </c>
      <c r="C12" s="17">
        <v>3</v>
      </c>
      <c r="D12" s="17">
        <v>4</v>
      </c>
      <c r="E12" s="17">
        <f t="shared" si="1"/>
        <v>1</v>
      </c>
      <c r="F12" s="18"/>
      <c r="G12" s="18" t="s">
        <v>79</v>
      </c>
      <c r="H12" s="18"/>
      <c r="I12" s="18"/>
      <c r="J12" s="18" t="s">
        <v>79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175</v>
      </c>
      <c r="B13" s="16" t="s">
        <v>50</v>
      </c>
      <c r="C13" s="17">
        <v>4</v>
      </c>
      <c r="D13" s="17">
        <v>5</v>
      </c>
      <c r="E13" s="17">
        <f t="shared" si="1"/>
        <v>1</v>
      </c>
      <c r="F13" s="18"/>
      <c r="G13" s="18" t="s">
        <v>79</v>
      </c>
      <c r="H13" s="18"/>
      <c r="I13" s="18"/>
      <c r="J13" s="18" t="s">
        <v>79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175</v>
      </c>
      <c r="B14" s="16" t="s">
        <v>50</v>
      </c>
      <c r="C14" s="17">
        <v>5</v>
      </c>
      <c r="D14" s="17">
        <v>6</v>
      </c>
      <c r="E14" s="17">
        <f t="shared" si="1"/>
        <v>1</v>
      </c>
      <c r="F14" s="18"/>
      <c r="G14" s="18" t="s">
        <v>79</v>
      </c>
      <c r="H14" s="18"/>
      <c r="I14" s="18"/>
      <c r="J14" s="18" t="s">
        <v>79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175</v>
      </c>
      <c r="B15" s="16" t="s">
        <v>50</v>
      </c>
      <c r="C15" s="17">
        <v>6</v>
      </c>
      <c r="D15" s="17">
        <v>7</v>
      </c>
      <c r="E15" s="17">
        <f t="shared" si="1"/>
        <v>1</v>
      </c>
      <c r="F15" s="18"/>
      <c r="G15" s="18" t="s">
        <v>79</v>
      </c>
      <c r="H15" s="18"/>
      <c r="I15" s="18"/>
      <c r="J15" s="18" t="s">
        <v>79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175</v>
      </c>
      <c r="B16" s="16" t="s">
        <v>50</v>
      </c>
      <c r="C16" s="17">
        <v>7</v>
      </c>
      <c r="D16" s="17">
        <v>8</v>
      </c>
      <c r="E16" s="17">
        <f t="shared" si="1"/>
        <v>1</v>
      </c>
      <c r="F16" s="18"/>
      <c r="G16" s="18" t="s">
        <v>79</v>
      </c>
      <c r="H16" s="18"/>
      <c r="I16" s="18"/>
      <c r="J16" s="18" t="s">
        <v>79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175</v>
      </c>
      <c r="B17" s="16" t="s">
        <v>50</v>
      </c>
      <c r="C17" s="17">
        <v>8</v>
      </c>
      <c r="D17" s="17">
        <v>9</v>
      </c>
      <c r="E17" s="17">
        <f t="shared" si="1"/>
        <v>1</v>
      </c>
      <c r="F17" s="18"/>
      <c r="G17" s="18" t="s">
        <v>79</v>
      </c>
      <c r="H17" s="18"/>
      <c r="I17" s="18"/>
      <c r="J17" s="18" t="s">
        <v>79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175</v>
      </c>
      <c r="B18" s="16" t="s">
        <v>50</v>
      </c>
      <c r="C18" s="17">
        <v>9</v>
      </c>
      <c r="D18" s="17">
        <v>10</v>
      </c>
      <c r="E18" s="17">
        <f t="shared" si="1"/>
        <v>1</v>
      </c>
      <c r="F18" s="18"/>
      <c r="G18" s="18" t="s">
        <v>79</v>
      </c>
      <c r="H18" s="18"/>
      <c r="I18" s="18"/>
      <c r="J18" s="18" t="s">
        <v>79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175</v>
      </c>
      <c r="B19" s="16" t="s">
        <v>50</v>
      </c>
      <c r="C19" s="17">
        <v>10</v>
      </c>
      <c r="D19" s="17">
        <v>11</v>
      </c>
      <c r="E19" s="17">
        <f t="shared" si="1"/>
        <v>1</v>
      </c>
      <c r="F19" s="18"/>
      <c r="G19" s="18" t="s">
        <v>79</v>
      </c>
      <c r="H19" s="18"/>
      <c r="I19" s="18"/>
      <c r="J19" s="18" t="s">
        <v>79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175</v>
      </c>
      <c r="B20" s="22" t="s">
        <v>50</v>
      </c>
      <c r="C20" s="23">
        <v>11</v>
      </c>
      <c r="D20" s="23">
        <v>11.2079170884</v>
      </c>
      <c r="E20" s="23">
        <f t="shared" si="1"/>
        <v>0.20791708840000034</v>
      </c>
      <c r="F20" s="24"/>
      <c r="G20" s="24" t="s">
        <v>79</v>
      </c>
      <c r="H20" s="24"/>
      <c r="I20" s="24"/>
      <c r="J20" s="24" t="s">
        <v>79</v>
      </c>
      <c r="K20" s="24"/>
      <c r="L20" s="24"/>
      <c r="M20" s="25"/>
      <c r="N20" s="26" t="str">
        <f t="shared" si="2"/>
        <v>OK</v>
      </c>
    </row>
    <row r="22" spans="1:14" x14ac:dyDescent="0.25">
      <c r="A22" s="41" t="s">
        <v>51</v>
      </c>
      <c r="B22" s="35"/>
      <c r="C22" s="35"/>
      <c r="D22" s="35"/>
      <c r="E22" s="35"/>
      <c r="G22" s="41" t="s">
        <v>51</v>
      </c>
      <c r="H22" s="35"/>
      <c r="I22" s="35"/>
      <c r="J22" s="35"/>
      <c r="K22" s="35"/>
    </row>
    <row r="23" spans="1:14" x14ac:dyDescent="0.25">
      <c r="A23" s="48" t="s">
        <v>52</v>
      </c>
      <c r="B23" s="35"/>
      <c r="C23" s="35"/>
      <c r="D23" s="35"/>
      <c r="E23" s="35"/>
      <c r="G23" s="48" t="s">
        <v>53</v>
      </c>
      <c r="H23" s="35"/>
      <c r="I23" s="35"/>
      <c r="J23" s="35"/>
      <c r="K23" s="35"/>
    </row>
    <row r="25" spans="1:14" x14ac:dyDescent="0.25">
      <c r="A25" s="42" t="s">
        <v>54</v>
      </c>
      <c r="B25" s="35"/>
      <c r="C25" s="35"/>
      <c r="D25" s="35"/>
      <c r="E25" s="35"/>
      <c r="F25" s="27"/>
      <c r="G25" s="27"/>
      <c r="H25" s="27"/>
      <c r="I25" s="27"/>
      <c r="J25" s="27"/>
      <c r="K25" s="27"/>
      <c r="L25" s="27"/>
      <c r="M25" s="27"/>
    </row>
    <row r="26" spans="1:14" x14ac:dyDescent="0.25">
      <c r="A26" s="38" t="s">
        <v>55</v>
      </c>
      <c r="B26" s="35"/>
      <c r="C26" s="35"/>
      <c r="D26" s="35"/>
      <c r="E26" s="35"/>
      <c r="F26" s="9">
        <f t="shared" ref="F26:L26" si="3">SUMIF(F$9:F$20,"X",$E$9:$E$20)</f>
        <v>0</v>
      </c>
      <c r="G26" s="9">
        <f t="shared" si="3"/>
        <v>11.2079170884</v>
      </c>
      <c r="H26" s="9">
        <f t="shared" si="3"/>
        <v>0</v>
      </c>
      <c r="I26" s="9">
        <f t="shared" si="3"/>
        <v>0</v>
      </c>
      <c r="J26" s="9">
        <f t="shared" si="3"/>
        <v>11.2079170884</v>
      </c>
      <c r="K26" s="9">
        <f t="shared" si="3"/>
        <v>0</v>
      </c>
      <c r="L26" s="9">
        <f t="shared" si="3"/>
        <v>0</v>
      </c>
    </row>
    <row r="27" spans="1:14" x14ac:dyDescent="0.25">
      <c r="A27" s="38" t="s">
        <v>56</v>
      </c>
      <c r="B27" s="35"/>
      <c r="C27" s="35"/>
      <c r="D27" s="35"/>
      <c r="E27" s="35"/>
      <c r="F27" s="28">
        <f t="shared" ref="F27:L27" si="4">IF($I29=0,0,F26/$I29)</f>
        <v>0</v>
      </c>
      <c r="G27" s="28">
        <f t="shared" si="4"/>
        <v>1</v>
      </c>
      <c r="H27" s="28">
        <f t="shared" si="4"/>
        <v>0</v>
      </c>
      <c r="I27" s="28">
        <f t="shared" si="4"/>
        <v>0</v>
      </c>
      <c r="J27" s="28">
        <f t="shared" si="4"/>
        <v>1</v>
      </c>
      <c r="K27" s="28">
        <f t="shared" si="4"/>
        <v>0</v>
      </c>
      <c r="L27" s="28">
        <f t="shared" si="4"/>
        <v>0</v>
      </c>
    </row>
    <row r="28" spans="1:14" x14ac:dyDescent="0.25">
      <c r="A28" s="38" t="s">
        <v>57</v>
      </c>
      <c r="B28" s="35"/>
      <c r="C28" s="35"/>
      <c r="D28" s="35"/>
      <c r="E28" s="35"/>
      <c r="F28" s="47" t="str">
        <f>IF(SUM(F26:I26)=0,"— não preenchido",IF(ROUND(SUM(F26:I26)-$I29,3)=0,"OK — "&amp;ROUND(SUM(F26:I26),3)&amp;" km","ERRO — dif. de "&amp;ROUND(SUM(F26:I26)-$I29,3)&amp;" km"))</f>
        <v>OK — 11,208 km</v>
      </c>
      <c r="G28" s="32"/>
      <c r="H28" s="32"/>
      <c r="I28" s="33"/>
      <c r="J28" s="47" t="str">
        <f>IF(SUM(J26:L26)=0,"— não preenchido",IF(ROUND(SUM(J26:L26)-$I29,3)=0,"OK — "&amp;ROUND(SUM(J26:L26),3)&amp;" km","ERRO — dif. de "&amp;ROUND(SUM(J26:L26)-$I29,3)&amp;" km"))</f>
        <v>OK — 11,208 km</v>
      </c>
      <c r="K28" s="32"/>
      <c r="L28" s="33"/>
    </row>
    <row r="29" spans="1:14" x14ac:dyDescent="0.25">
      <c r="A29" s="38" t="s">
        <v>58</v>
      </c>
      <c r="B29" s="35"/>
      <c r="C29" s="35"/>
      <c r="D29" s="35"/>
      <c r="E29" s="35"/>
      <c r="I29" s="29">
        <f>SUM(E9:E20)</f>
        <v>11.2079170884</v>
      </c>
      <c r="M29" s="8" t="str">
        <f>COUNTIF(N9:N20,"OK")&amp;" de "&amp;COUNT($E$9:$E$20)&amp;" linhas conferidas"</f>
        <v>12 de 12 linhas conferidas</v>
      </c>
    </row>
    <row r="31" spans="1:14" x14ac:dyDescent="0.25">
      <c r="A31" s="49" t="s">
        <v>59</v>
      </c>
      <c r="B31" s="35"/>
      <c r="C31" s="35"/>
      <c r="D31" s="35"/>
      <c r="E31" s="35"/>
    </row>
    <row r="32" spans="1:14" x14ac:dyDescent="0.25">
      <c r="A32" s="38" t="s">
        <v>10</v>
      </c>
      <c r="B32" s="35"/>
      <c r="C32" s="35"/>
      <c r="D32" s="35"/>
      <c r="E32" s="37" t="s">
        <v>60</v>
      </c>
      <c r="F32" s="35"/>
      <c r="G32" s="35"/>
      <c r="H32" s="35"/>
      <c r="I32" s="35"/>
      <c r="J32" s="35"/>
      <c r="K32" s="35"/>
      <c r="L32" s="35"/>
      <c r="M32" s="35"/>
    </row>
    <row r="33" spans="1:13" x14ac:dyDescent="0.25">
      <c r="A33" s="38" t="s">
        <v>11</v>
      </c>
      <c r="B33" s="35"/>
      <c r="C33" s="35"/>
      <c r="D33" s="35"/>
      <c r="E33" s="37" t="s">
        <v>61</v>
      </c>
      <c r="F33" s="35"/>
      <c r="G33" s="35"/>
      <c r="H33" s="35"/>
      <c r="I33" s="35"/>
      <c r="J33" s="35"/>
      <c r="K33" s="35"/>
      <c r="L33" s="35"/>
      <c r="M33" s="35"/>
    </row>
    <row r="34" spans="1:13" x14ac:dyDescent="0.25">
      <c r="A34" s="38" t="s">
        <v>12</v>
      </c>
      <c r="B34" s="35"/>
      <c r="C34" s="35"/>
      <c r="D34" s="35"/>
      <c r="E34" s="37" t="s">
        <v>62</v>
      </c>
      <c r="F34" s="35"/>
      <c r="G34" s="35"/>
      <c r="H34" s="35"/>
      <c r="I34" s="35"/>
      <c r="J34" s="35"/>
      <c r="K34" s="35"/>
      <c r="L34" s="35"/>
      <c r="M34" s="35"/>
    </row>
    <row r="35" spans="1:13" x14ac:dyDescent="0.25">
      <c r="A35" s="38" t="s">
        <v>63</v>
      </c>
      <c r="B35" s="35"/>
      <c r="C35" s="35"/>
      <c r="D35" s="35"/>
      <c r="E35" s="37" t="s">
        <v>64</v>
      </c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38" t="s">
        <v>65</v>
      </c>
      <c r="B36" s="35"/>
      <c r="C36" s="35"/>
      <c r="D36" s="35"/>
      <c r="E36" s="37" t="s">
        <v>66</v>
      </c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38" t="s">
        <v>67</v>
      </c>
      <c r="B37" s="35"/>
      <c r="C37" s="35"/>
      <c r="D37" s="35"/>
      <c r="E37" s="37" t="s">
        <v>68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8" t="s">
        <v>42</v>
      </c>
      <c r="B38" s="35"/>
      <c r="C38" s="35"/>
      <c r="D38" s="35"/>
      <c r="E38" s="37" t="s">
        <v>69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8" t="s">
        <v>70</v>
      </c>
      <c r="B39" s="35"/>
      <c r="C39" s="35"/>
      <c r="D39" s="35"/>
      <c r="E39" s="37" t="s">
        <v>71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8" t="s">
        <v>72</v>
      </c>
      <c r="B40" s="35"/>
      <c r="C40" s="35"/>
      <c r="D40" s="35"/>
      <c r="E40" s="37" t="s">
        <v>73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8" t="s">
        <v>8</v>
      </c>
      <c r="B41" s="35"/>
      <c r="C41" s="35"/>
      <c r="D41" s="35"/>
      <c r="E41" s="37" t="s">
        <v>74</v>
      </c>
      <c r="F41" s="35"/>
      <c r="G41" s="35"/>
      <c r="H41" s="35"/>
      <c r="I41" s="35"/>
      <c r="J41" s="35"/>
      <c r="K41" s="35"/>
      <c r="L41" s="35"/>
      <c r="M41" s="35"/>
    </row>
  </sheetData>
  <sheetProtection sheet="1" formatCells="0"/>
  <mergeCells count="50">
    <mergeCell ref="N6:N7"/>
    <mergeCell ref="A41:D41"/>
    <mergeCell ref="K3:M3"/>
    <mergeCell ref="A22:E22"/>
    <mergeCell ref="A37:D37"/>
    <mergeCell ref="A29:E29"/>
    <mergeCell ref="E33:M33"/>
    <mergeCell ref="J28:L28"/>
    <mergeCell ref="A28:E28"/>
    <mergeCell ref="A3:J3"/>
    <mergeCell ref="E39:M39"/>
    <mergeCell ref="C6:C7"/>
    <mergeCell ref="A31:E31"/>
    <mergeCell ref="A33:D33"/>
    <mergeCell ref="D6:D7"/>
    <mergeCell ref="G22:K22"/>
    <mergeCell ref="A1:M1"/>
    <mergeCell ref="A26:E26"/>
    <mergeCell ref="E41:M41"/>
    <mergeCell ref="E37:M37"/>
    <mergeCell ref="A23:E23"/>
    <mergeCell ref="A32:D32"/>
    <mergeCell ref="F28:I28"/>
    <mergeCell ref="E40:M40"/>
    <mergeCell ref="A6:A7"/>
    <mergeCell ref="G23:K23"/>
    <mergeCell ref="E34:M34"/>
    <mergeCell ref="A2:C2"/>
    <mergeCell ref="A40:D40"/>
    <mergeCell ref="K2:M2"/>
    <mergeCell ref="D2:E2"/>
    <mergeCell ref="A34:D34"/>
    <mergeCell ref="A25:E25"/>
    <mergeCell ref="E36:M36"/>
    <mergeCell ref="A39:D39"/>
    <mergeCell ref="E38:M38"/>
    <mergeCell ref="M6:M7"/>
    <mergeCell ref="E35:M35"/>
    <mergeCell ref="E6:E7"/>
    <mergeCell ref="J6:L6"/>
    <mergeCell ref="G2:H2"/>
    <mergeCell ref="A8:M8"/>
    <mergeCell ref="A35:D35"/>
    <mergeCell ref="A38:D38"/>
    <mergeCell ref="A4:M4"/>
    <mergeCell ref="B6:B7"/>
    <mergeCell ref="A27:E27"/>
    <mergeCell ref="F6:I6"/>
    <mergeCell ref="A36:D36"/>
    <mergeCell ref="E32:M32"/>
  </mergeCells>
  <conditionalFormatting sqref="F9:I20">
    <cfRule type="expression" dxfId="5" priority="1">
      <formula>AND(F9&lt;&gt;"",COUNTIF($F9:$I9,"X")&gt;1)</formula>
    </cfRule>
  </conditionalFormatting>
  <conditionalFormatting sqref="F28:L28">
    <cfRule type="expression" dxfId="4" priority="5">
      <formula>LEFT(F28,4)="ERRO"</formula>
    </cfRule>
    <cfRule type="expression" dxfId="3" priority="6">
      <formula>LEFT(F28,2)="OK"</formula>
    </cfRule>
  </conditionalFormatting>
  <conditionalFormatting sqref="J9:L20">
    <cfRule type="expression" dxfId="2" priority="2">
      <formula>AND(J9&lt;&gt;"",COUNTIF($J9:$L9,"X")&gt;1)</formula>
    </cfRule>
  </conditionalFormatting>
  <conditionalFormatting sqref="N9:N20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0" xr:uid="{00000000-0002-0000-0E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0" xr:uid="{00000000-0002-0000-0E00-000001000000}">
      <formula1>AND(UPPER(J9)="X",COUNTIF($J9:$L9,"X")&lt;=1)</formula1>
    </dataValidation>
    <dataValidation type="list" showErrorMessage="1" errorTitle="Sentido inválido" error="Use C (crescente) ou D (decrescente)." sqref="B9:B20" xr:uid="{00000000-0002-0000-0E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273</oddHeader>
    <oddFooter>&amp;L&amp;7 RTA / MSI — Programa de Manutenção Rodoviária&amp;C&amp;7 Página &amp;P de &amp;N&amp;R&amp;7 Impresso em &amp;D</oddFooter>
  </headerFooter>
  <rowBreaks count="1" manualBreakCount="1">
    <brk id="23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176</v>
      </c>
    </row>
    <row r="2" spans="1:1" x14ac:dyDescent="0.25">
      <c r="A2" t="s">
        <v>177</v>
      </c>
    </row>
    <row r="3" spans="1:1" x14ac:dyDescent="0.25">
      <c r="A3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29</vt:i4>
      </vt:variant>
    </vt:vector>
  </HeadingPairs>
  <TitlesOfParts>
    <vt:vector size="45" baseType="lpstr">
      <vt:lpstr>RESUMO</vt:lpstr>
      <vt:lpstr>245</vt:lpstr>
      <vt:lpstr>260</vt:lpstr>
      <vt:lpstr>261</vt:lpstr>
      <vt:lpstr>262</vt:lpstr>
      <vt:lpstr>263</vt:lpstr>
      <vt:lpstr>264</vt:lpstr>
      <vt:lpstr>265</vt:lpstr>
      <vt:lpstr>267</vt:lpstr>
      <vt:lpstr>268</vt:lpstr>
      <vt:lpstr>269</vt:lpstr>
      <vt:lpstr>270</vt:lpstr>
      <vt:lpstr>271</vt:lpstr>
      <vt:lpstr>272</vt:lpstr>
      <vt:lpstr>273</vt:lpstr>
      <vt:lpstr>LISTAS</vt:lpstr>
      <vt:lpstr>'245'!Area_de_impressao</vt:lpstr>
      <vt:lpstr>'260'!Area_de_impressao</vt:lpstr>
      <vt:lpstr>'261'!Area_de_impressao</vt:lpstr>
      <vt:lpstr>'262'!Area_de_impressao</vt:lpstr>
      <vt:lpstr>'263'!Area_de_impressao</vt:lpstr>
      <vt:lpstr>'264'!Area_de_impressao</vt:lpstr>
      <vt:lpstr>'265'!Area_de_impressao</vt:lpstr>
      <vt:lpstr>'267'!Area_de_impressao</vt:lpstr>
      <vt:lpstr>'268'!Area_de_impressao</vt:lpstr>
      <vt:lpstr>'269'!Area_de_impressao</vt:lpstr>
      <vt:lpstr>'270'!Area_de_impressao</vt:lpstr>
      <vt:lpstr>'271'!Area_de_impressao</vt:lpstr>
      <vt:lpstr>'272'!Area_de_impressao</vt:lpstr>
      <vt:lpstr>'273'!Area_de_impressao</vt:lpstr>
      <vt:lpstr>RESUMO!Area_de_impressao</vt:lpstr>
      <vt:lpstr>'245'!Titulos_de_impressao</vt:lpstr>
      <vt:lpstr>'260'!Titulos_de_impressao</vt:lpstr>
      <vt:lpstr>'261'!Titulos_de_impressao</vt:lpstr>
      <vt:lpstr>'262'!Titulos_de_impressao</vt:lpstr>
      <vt:lpstr>'263'!Titulos_de_impressao</vt:lpstr>
      <vt:lpstr>'264'!Titulos_de_impressao</vt:lpstr>
      <vt:lpstr>'265'!Titulos_de_impressao</vt:lpstr>
      <vt:lpstr>'267'!Titulos_de_impressao</vt:lpstr>
      <vt:lpstr>'268'!Titulos_de_impressao</vt:lpstr>
      <vt:lpstr>'269'!Titulos_de_impressao</vt:lpstr>
      <vt:lpstr>'270'!Titulos_de_impressao</vt:lpstr>
      <vt:lpstr>'271'!Titulos_de_impressao</vt:lpstr>
      <vt:lpstr>'272'!Titulos_de_impressao</vt:lpstr>
      <vt:lpstr>'273'!Titulos_de_impressao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2026-08-12T19:05:49Z</dcterms:created>
  <dcterms:modified xsi:type="dcterms:W3CDTF">2026-08-12T19:07:22Z</dcterms:modified>
</cp:coreProperties>
</file>