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15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16.xml" ContentType="application/vnd.openxmlformats-officedocument.drawing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drawings/drawing17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drawings/drawing18.xml" ContentType="application/vnd.openxmlformats-officedocument.drawing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drawings/drawing19.xml" ContentType="application/vnd.openxmlformats-officedocument.drawing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drawings/drawing20.xml" ContentType="application/vnd.openxmlformats-officedocument.drawing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drawings/drawing21.xml" ContentType="application/vnd.openxmlformats-officedocument.drawing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drawings/drawing22.xml" ContentType="application/vnd.openxmlformats-officedocument.drawing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drawings/drawing23.xml" ContentType="application/vnd.openxmlformats-officedocument.drawing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drawings/drawing24.xml" ContentType="application/vnd.openxmlformats-officedocument.drawing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drawings/drawing25.xml" ContentType="application/vnd.openxmlformats-officedocument.drawing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drawings/drawing26.xml" ContentType="application/vnd.openxmlformats-officedocument.drawing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drawings/drawing27.xml" ContentType="application/vnd.openxmlformats-officedocument.drawing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drawings/drawing28.xml" ContentType="application/vnd.openxmlformats-officedocument.drawing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drawings/drawing29.xml" ContentType="application/vnd.openxmlformats-officedocument.drawing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itor\Desktop\RTA\PRODUTO 02 - SETEMBRO\"/>
    </mc:Choice>
  </mc:AlternateContent>
  <xr:revisionPtr revIDLastSave="0" documentId="13_ncr:1_{5B7A4D30-F606-4BA0-8EF2-2EB061FF9DAE}" xr6:coauthVersionLast="47" xr6:coauthVersionMax="47" xr10:uidLastSave="{00000000-0000-0000-0000-000000000000}"/>
  <bookViews>
    <workbookView xWindow="-28920" yWindow="-4680" windowWidth="29040" windowHeight="15840" firstSheet="5" activeTab="22" xr2:uid="{00000000-000D-0000-FFFF-FFFF00000000}"/>
  </bookViews>
  <sheets>
    <sheet name="RESUMO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3" sheetId="20" r:id="rId20"/>
    <sheet name="24" sheetId="21" r:id="rId21"/>
    <sheet name="25" sheetId="22" r:id="rId22"/>
    <sheet name="28" sheetId="23" r:id="rId23"/>
    <sheet name="29" sheetId="24" r:id="rId24"/>
    <sheet name="30" sheetId="25" r:id="rId25"/>
    <sheet name="32" sheetId="26" r:id="rId26"/>
    <sheet name="35" sheetId="27" r:id="rId27"/>
    <sheet name="36" sheetId="28" r:id="rId28"/>
    <sheet name="38" sheetId="29" r:id="rId29"/>
    <sheet name="LISTAS" sheetId="30" state="hidden" r:id="rId30"/>
  </sheets>
  <definedNames>
    <definedName name="_xlnm.Print_Area" localSheetId="1">'1'!$A$1:$V$43</definedName>
    <definedName name="_xlnm.Print_Area" localSheetId="10">'10'!$A$1:$V$75</definedName>
    <definedName name="_xlnm.Print_Area" localSheetId="11">'11'!$A$1:$V$57</definedName>
    <definedName name="_xlnm.Print_Area" localSheetId="12">'13'!$A$1:$V$79</definedName>
    <definedName name="_xlnm.Print_Area" localSheetId="13">'14'!$A$1:$V$47</definedName>
    <definedName name="_xlnm.Print_Area" localSheetId="14">'15'!$A$1:$V$38</definedName>
    <definedName name="_xlnm.Print_Area" localSheetId="15">'16'!$A$1:$V$44</definedName>
    <definedName name="_xlnm.Print_Area" localSheetId="16">'17'!$A$1:$V$50</definedName>
    <definedName name="_xlnm.Print_Area" localSheetId="17">'18'!$A$1:$V$76</definedName>
    <definedName name="_xlnm.Print_Area" localSheetId="18">'19'!$A$1:$V$78</definedName>
    <definedName name="_xlnm.Print_Area" localSheetId="2">'2'!$A$1:$V$37</definedName>
    <definedName name="_xlnm.Print_Area" localSheetId="19">'23'!$A$1:$V$57</definedName>
    <definedName name="_xlnm.Print_Area" localSheetId="20">'24'!$A$1:$V$63</definedName>
    <definedName name="_xlnm.Print_Area" localSheetId="21">'25'!$A$1:$V$50</definedName>
    <definedName name="_xlnm.Print_Area" localSheetId="22">'28'!$A$1:$V$39</definedName>
    <definedName name="_xlnm.Print_Area" localSheetId="23">'29'!$A$1:$V$58</definedName>
    <definedName name="_xlnm.Print_Area" localSheetId="3">'3'!$A$1:$V$74</definedName>
    <definedName name="_xlnm.Print_Area" localSheetId="24">'30'!$A$1:$V$43</definedName>
    <definedName name="_xlnm.Print_Area" localSheetId="25">'32'!$A$1:$V$36</definedName>
    <definedName name="_xlnm.Print_Area" localSheetId="26">'35'!$A$1:$V$55</definedName>
    <definedName name="_xlnm.Print_Area" localSheetId="27">'36'!$A$1:$V$36</definedName>
    <definedName name="_xlnm.Print_Area" localSheetId="28">'38'!$A$1:$V$38</definedName>
    <definedName name="_xlnm.Print_Area" localSheetId="4">'4'!$A$1:$V$40</definedName>
    <definedName name="_xlnm.Print_Area" localSheetId="5">'5'!$A$1:$V$63</definedName>
    <definedName name="_xlnm.Print_Area" localSheetId="6">'6'!$A$1:$V$38</definedName>
    <definedName name="_xlnm.Print_Area" localSheetId="7">'7'!$A$1:$V$51</definedName>
    <definedName name="_xlnm.Print_Area" localSheetId="8">'8'!$A$1:$V$56</definedName>
    <definedName name="_xlnm.Print_Area" localSheetId="9">'9'!$A$1:$V$48</definedName>
    <definedName name="_xlnm.Print_Area" localSheetId="0">RESUMO!$A$1:$T$35</definedName>
    <definedName name="_xlnm.Print_Titles" localSheetId="1">'1'!$6:$7</definedName>
    <definedName name="_xlnm.Print_Titles" localSheetId="10">'10'!$6:$7</definedName>
    <definedName name="_xlnm.Print_Titles" localSheetId="11">'11'!$6:$7</definedName>
    <definedName name="_xlnm.Print_Titles" localSheetId="12">'13'!$6:$7</definedName>
    <definedName name="_xlnm.Print_Titles" localSheetId="13">'14'!$6:$7</definedName>
    <definedName name="_xlnm.Print_Titles" localSheetId="14">'15'!$6:$7</definedName>
    <definedName name="_xlnm.Print_Titles" localSheetId="15">'16'!$6:$7</definedName>
    <definedName name="_xlnm.Print_Titles" localSheetId="16">'17'!$6:$7</definedName>
    <definedName name="_xlnm.Print_Titles" localSheetId="17">'18'!$6:$7</definedName>
    <definedName name="_xlnm.Print_Titles" localSheetId="18">'19'!$6:$7</definedName>
    <definedName name="_xlnm.Print_Titles" localSheetId="2">'2'!$6:$7</definedName>
    <definedName name="_xlnm.Print_Titles" localSheetId="19">'23'!$6:$7</definedName>
    <definedName name="_xlnm.Print_Titles" localSheetId="20">'24'!$6:$7</definedName>
    <definedName name="_xlnm.Print_Titles" localSheetId="21">'25'!$6:$7</definedName>
    <definedName name="_xlnm.Print_Titles" localSheetId="22">'28'!$6:$7</definedName>
    <definedName name="_xlnm.Print_Titles" localSheetId="23">'29'!$6:$7</definedName>
    <definedName name="_xlnm.Print_Titles" localSheetId="3">'3'!$6:$7</definedName>
    <definedName name="_xlnm.Print_Titles" localSheetId="24">'30'!$6:$7</definedName>
    <definedName name="_xlnm.Print_Titles" localSheetId="25">'32'!$6:$7</definedName>
    <definedName name="_xlnm.Print_Titles" localSheetId="26">'35'!$6:$7</definedName>
    <definedName name="_xlnm.Print_Titles" localSheetId="27">'36'!$6:$7</definedName>
    <definedName name="_xlnm.Print_Titles" localSheetId="28">'38'!$6:$7</definedName>
    <definedName name="_xlnm.Print_Titles" localSheetId="4">'4'!$6:$7</definedName>
    <definedName name="_xlnm.Print_Titles" localSheetId="5">'5'!$6:$7</definedName>
    <definedName name="_xlnm.Print_Titles" localSheetId="6">'6'!$6:$7</definedName>
    <definedName name="_xlnm.Print_Titles" localSheetId="7">'7'!$6:$7</definedName>
    <definedName name="_xlnm.Print_Titles" localSheetId="8">'8'!$6:$7</definedName>
    <definedName name="_xlnm.Print_Titles" localSheetId="9">'9'!$6:$7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29" l="1"/>
  <c r="S24" i="29"/>
  <c r="Q24" i="29"/>
  <c r="P24" i="29"/>
  <c r="O24" i="29"/>
  <c r="M24" i="29"/>
  <c r="K24" i="29"/>
  <c r="J24" i="29"/>
  <c r="AC2" i="29" s="1"/>
  <c r="I24" i="29"/>
  <c r="AB2" i="29" s="1"/>
  <c r="H24" i="29"/>
  <c r="W18" i="29"/>
  <c r="E18" i="29"/>
  <c r="W17" i="29"/>
  <c r="E17" i="29"/>
  <c r="W16" i="29"/>
  <c r="E16" i="29"/>
  <c r="W15" i="29"/>
  <c r="E15" i="29"/>
  <c r="W14" i="29"/>
  <c r="E14" i="29"/>
  <c r="W12" i="29"/>
  <c r="E12" i="29"/>
  <c r="W11" i="29"/>
  <c r="E11" i="29"/>
  <c r="W10" i="29"/>
  <c r="E10" i="29"/>
  <c r="W9" i="29"/>
  <c r="E9" i="29"/>
  <c r="L24" i="29" s="1"/>
  <c r="AM2" i="29"/>
  <c r="AL2" i="29"/>
  <c r="AJ2" i="29"/>
  <c r="AI2" i="29"/>
  <c r="AH2" i="29"/>
  <c r="AE2" i="29"/>
  <c r="AD2" i="29"/>
  <c r="AA2" i="29"/>
  <c r="N2" i="29"/>
  <c r="I2" i="29"/>
  <c r="U22" i="28"/>
  <c r="AN2" i="28" s="1"/>
  <c r="S22" i="28"/>
  <c r="R22" i="28"/>
  <c r="AK2" i="28" s="1"/>
  <c r="Q22" i="28"/>
  <c r="AJ2" i="28" s="1"/>
  <c r="O22" i="28"/>
  <c r="M22" i="28"/>
  <c r="K22" i="28"/>
  <c r="J22" i="28"/>
  <c r="AC2" i="28" s="1"/>
  <c r="I22" i="28"/>
  <c r="H22" i="28"/>
  <c r="G22" i="28"/>
  <c r="Z2" i="28" s="1"/>
  <c r="W16" i="28"/>
  <c r="E16" i="28"/>
  <c r="W15" i="28"/>
  <c r="E15" i="28"/>
  <c r="W14" i="28"/>
  <c r="E14" i="28"/>
  <c r="W13" i="28"/>
  <c r="E13" i="28"/>
  <c r="W11" i="28"/>
  <c r="E11" i="28"/>
  <c r="W10" i="28"/>
  <c r="E10" i="28"/>
  <c r="W9" i="28"/>
  <c r="E9" i="28"/>
  <c r="AL2" i="28"/>
  <c r="AH2" i="28"/>
  <c r="AD2" i="28"/>
  <c r="AB2" i="28"/>
  <c r="AA2" i="28"/>
  <c r="N2" i="28"/>
  <c r="I2" i="28"/>
  <c r="S41" i="27"/>
  <c r="R41" i="27"/>
  <c r="Q41" i="27"/>
  <c r="O41" i="27"/>
  <c r="M41" i="27"/>
  <c r="K41" i="27"/>
  <c r="AD2" i="27" s="1"/>
  <c r="J41" i="27"/>
  <c r="H41" i="27"/>
  <c r="G41" i="27"/>
  <c r="W35" i="27"/>
  <c r="E35" i="27"/>
  <c r="W34" i="27"/>
  <c r="E34" i="27"/>
  <c r="U41" i="27" s="1"/>
  <c r="W33" i="27"/>
  <c r="E33" i="27"/>
  <c r="W32" i="27"/>
  <c r="E32" i="27"/>
  <c r="W31" i="27"/>
  <c r="E31" i="27"/>
  <c r="W30" i="27"/>
  <c r="E30" i="27"/>
  <c r="I41" i="27" s="1"/>
  <c r="AB2" i="27" s="1"/>
  <c r="W29" i="27"/>
  <c r="E29" i="27"/>
  <c r="W28" i="27"/>
  <c r="E28" i="27"/>
  <c r="W27" i="27"/>
  <c r="E27" i="27"/>
  <c r="W26" i="27"/>
  <c r="E26" i="27"/>
  <c r="W25" i="27"/>
  <c r="E25" i="27"/>
  <c r="W24" i="27"/>
  <c r="E24" i="27"/>
  <c r="W22" i="27"/>
  <c r="E22" i="27"/>
  <c r="W21" i="27"/>
  <c r="E21" i="27"/>
  <c r="W20" i="27"/>
  <c r="E20" i="27"/>
  <c r="W19" i="27"/>
  <c r="E19" i="27"/>
  <c r="W18" i="27"/>
  <c r="E18" i="27"/>
  <c r="W17" i="27"/>
  <c r="E17" i="27"/>
  <c r="W16" i="27"/>
  <c r="E16" i="27"/>
  <c r="W15" i="27"/>
  <c r="E15" i="27"/>
  <c r="W14" i="27"/>
  <c r="E14" i="27"/>
  <c r="W13" i="27"/>
  <c r="E13" i="27"/>
  <c r="W12" i="27"/>
  <c r="E12" i="27"/>
  <c r="W11" i="27"/>
  <c r="E11" i="27"/>
  <c r="W10" i="27"/>
  <c r="E10" i="27"/>
  <c r="W9" i="27"/>
  <c r="E9" i="27"/>
  <c r="N41" i="27" s="1"/>
  <c r="AG2" i="27" s="1"/>
  <c r="AN2" i="27"/>
  <c r="AK2" i="27"/>
  <c r="AJ2" i="27"/>
  <c r="AH2" i="27"/>
  <c r="AF2" i="27"/>
  <c r="AC2" i="27"/>
  <c r="AA2" i="27"/>
  <c r="Z2" i="27"/>
  <c r="N2" i="27"/>
  <c r="I2" i="27"/>
  <c r="U22" i="26"/>
  <c r="S22" i="26"/>
  <c r="AL2" i="26" s="1"/>
  <c r="P22" i="26"/>
  <c r="AI2" i="26" s="1"/>
  <c r="M22" i="26"/>
  <c r="J22" i="26"/>
  <c r="I22" i="26"/>
  <c r="G22" i="26"/>
  <c r="Z2" i="26" s="1"/>
  <c r="W16" i="26"/>
  <c r="E16" i="26"/>
  <c r="W15" i="26"/>
  <c r="E15" i="26"/>
  <c r="H22" i="26" s="1"/>
  <c r="AA2" i="26" s="1"/>
  <c r="W14" i="26"/>
  <c r="E14" i="26"/>
  <c r="W13" i="26"/>
  <c r="E13" i="26"/>
  <c r="W12" i="26"/>
  <c r="E12" i="26"/>
  <c r="W11" i="26"/>
  <c r="E11" i="26"/>
  <c r="Q22" i="26" s="1"/>
  <c r="W10" i="26"/>
  <c r="E10" i="26"/>
  <c r="W9" i="26"/>
  <c r="E9" i="26"/>
  <c r="L22" i="26" s="1"/>
  <c r="AN2" i="26"/>
  <c r="AF2" i="26"/>
  <c r="AC2" i="26"/>
  <c r="AB2" i="26"/>
  <c r="N2" i="26"/>
  <c r="I2" i="26"/>
  <c r="U29" i="25"/>
  <c r="AN2" i="25" s="1"/>
  <c r="S29" i="25"/>
  <c r="R29" i="25"/>
  <c r="P29" i="25"/>
  <c r="AI2" i="25" s="1"/>
  <c r="O29" i="25"/>
  <c r="AH2" i="25" s="1"/>
  <c r="M29" i="25"/>
  <c r="AF2" i="25" s="1"/>
  <c r="G29" i="25"/>
  <c r="Z2" i="25" s="1"/>
  <c r="W23" i="25"/>
  <c r="E23" i="25"/>
  <c r="W22" i="25"/>
  <c r="E22" i="25"/>
  <c r="W21" i="25"/>
  <c r="E21" i="25"/>
  <c r="W20" i="25"/>
  <c r="E20" i="25"/>
  <c r="W19" i="25"/>
  <c r="E19" i="25"/>
  <c r="W18" i="25"/>
  <c r="E18" i="25"/>
  <c r="W17" i="25"/>
  <c r="E17" i="25"/>
  <c r="L29" i="25" s="1"/>
  <c r="W15" i="25"/>
  <c r="E15" i="25"/>
  <c r="W14" i="25"/>
  <c r="E14" i="25"/>
  <c r="W13" i="25"/>
  <c r="E13" i="25"/>
  <c r="W12" i="25"/>
  <c r="E12" i="25"/>
  <c r="W11" i="25"/>
  <c r="E11" i="25"/>
  <c r="W10" i="25"/>
  <c r="E10" i="25"/>
  <c r="W9" i="25"/>
  <c r="E9" i="25"/>
  <c r="K29" i="25" s="1"/>
  <c r="AK2" i="25"/>
  <c r="N2" i="25"/>
  <c r="I2" i="25"/>
  <c r="U44" i="24"/>
  <c r="S44" i="24"/>
  <c r="P44" i="24"/>
  <c r="O44" i="24"/>
  <c r="AH2" i="24" s="1"/>
  <c r="M44" i="24"/>
  <c r="L44" i="24"/>
  <c r="AE2" i="24" s="1"/>
  <c r="J44" i="24"/>
  <c r="AC2" i="24" s="1"/>
  <c r="I44" i="24"/>
  <c r="G44" i="24"/>
  <c r="W38" i="24"/>
  <c r="E38" i="24"/>
  <c r="W37" i="24"/>
  <c r="E37" i="24"/>
  <c r="W36" i="24"/>
  <c r="E36" i="24"/>
  <c r="W34" i="24"/>
  <c r="E34" i="24"/>
  <c r="W33" i="24"/>
  <c r="E33" i="24"/>
  <c r="W32" i="24"/>
  <c r="E32" i="24"/>
  <c r="W31" i="24"/>
  <c r="E31" i="24"/>
  <c r="W30" i="24"/>
  <c r="E30" i="24"/>
  <c r="W29" i="24"/>
  <c r="E29" i="24"/>
  <c r="W28" i="24"/>
  <c r="E28" i="24"/>
  <c r="W27" i="24"/>
  <c r="E27" i="24"/>
  <c r="W26" i="24"/>
  <c r="E26" i="24"/>
  <c r="W25" i="24"/>
  <c r="E25" i="24"/>
  <c r="W24" i="24"/>
  <c r="E24" i="24"/>
  <c r="W23" i="24"/>
  <c r="E23" i="24"/>
  <c r="W22" i="24"/>
  <c r="E22" i="24"/>
  <c r="W21" i="24"/>
  <c r="E21" i="24"/>
  <c r="W20" i="24"/>
  <c r="E20" i="24"/>
  <c r="W19" i="24"/>
  <c r="E19" i="24"/>
  <c r="W18" i="24"/>
  <c r="E18" i="24"/>
  <c r="W17" i="24"/>
  <c r="E17" i="24"/>
  <c r="W15" i="24"/>
  <c r="E15" i="24"/>
  <c r="W14" i="24"/>
  <c r="E14" i="24"/>
  <c r="W13" i="24"/>
  <c r="E13" i="24"/>
  <c r="W12" i="24"/>
  <c r="E12" i="24"/>
  <c r="W11" i="24"/>
  <c r="E11" i="24"/>
  <c r="H44" i="24" s="1"/>
  <c r="W10" i="24"/>
  <c r="E10" i="24"/>
  <c r="W9" i="24"/>
  <c r="E9" i="24"/>
  <c r="AN2" i="24"/>
  <c r="AL2" i="24"/>
  <c r="AI2" i="24"/>
  <c r="AF2" i="24"/>
  <c r="AB2" i="24"/>
  <c r="Z2" i="24"/>
  <c r="N2" i="24"/>
  <c r="I2" i="24"/>
  <c r="U25" i="23"/>
  <c r="S25" i="23"/>
  <c r="P25" i="23"/>
  <c r="O25" i="23"/>
  <c r="AH2" i="23" s="1"/>
  <c r="M25" i="23"/>
  <c r="H25" i="23"/>
  <c r="G25" i="23"/>
  <c r="Z2" i="23" s="1"/>
  <c r="W19" i="23"/>
  <c r="E19" i="23"/>
  <c r="W18" i="23"/>
  <c r="E18" i="23"/>
  <c r="W17" i="23"/>
  <c r="E17" i="23"/>
  <c r="W16" i="23"/>
  <c r="E16" i="23"/>
  <c r="W15" i="23"/>
  <c r="E15" i="23"/>
  <c r="W14" i="23"/>
  <c r="E14" i="23"/>
  <c r="I25" i="23" s="1"/>
  <c r="W13" i="23"/>
  <c r="E13" i="23"/>
  <c r="W12" i="23"/>
  <c r="E12" i="23"/>
  <c r="R25" i="23" s="1"/>
  <c r="AK2" i="23" s="1"/>
  <c r="W11" i="23"/>
  <c r="E11" i="23"/>
  <c r="W9" i="23"/>
  <c r="E9" i="23"/>
  <c r="AN2" i="23"/>
  <c r="AI2" i="23"/>
  <c r="AA2" i="23"/>
  <c r="N2" i="23"/>
  <c r="I2" i="23"/>
  <c r="U36" i="22"/>
  <c r="AN2" i="22" s="1"/>
  <c r="R36" i="22"/>
  <c r="Q36" i="22"/>
  <c r="O36" i="22"/>
  <c r="K36" i="22"/>
  <c r="J36" i="22"/>
  <c r="AC2" i="22" s="1"/>
  <c r="H36" i="22"/>
  <c r="AA2" i="22" s="1"/>
  <c r="W30" i="22"/>
  <c r="E30" i="22"/>
  <c r="W29" i="22"/>
  <c r="E29" i="22"/>
  <c r="M36" i="22" s="1"/>
  <c r="W28" i="22"/>
  <c r="E28" i="22"/>
  <c r="W27" i="22"/>
  <c r="E27" i="22"/>
  <c r="W26" i="22"/>
  <c r="E26" i="22"/>
  <c r="W24" i="22"/>
  <c r="E24" i="22"/>
  <c r="W23" i="22"/>
  <c r="E23" i="22"/>
  <c r="W22" i="22"/>
  <c r="E22" i="22"/>
  <c r="W21" i="22"/>
  <c r="E21" i="22"/>
  <c r="W20" i="22"/>
  <c r="E20" i="22"/>
  <c r="G36" i="22" s="1"/>
  <c r="Z2" i="22" s="1"/>
  <c r="W19" i="22"/>
  <c r="E19" i="22"/>
  <c r="W18" i="22"/>
  <c r="E18" i="22"/>
  <c r="W16" i="22"/>
  <c r="E16" i="22"/>
  <c r="W15" i="22"/>
  <c r="E15" i="22"/>
  <c r="W14" i="22"/>
  <c r="E14" i="22"/>
  <c r="W12" i="22"/>
  <c r="E12" i="22"/>
  <c r="W11" i="22"/>
  <c r="E11" i="22"/>
  <c r="W10" i="22"/>
  <c r="E10" i="22"/>
  <c r="W9" i="22"/>
  <c r="E9" i="22"/>
  <c r="AK2" i="22"/>
  <c r="AJ2" i="22"/>
  <c r="AH2" i="22"/>
  <c r="AD2" i="22"/>
  <c r="N2" i="22"/>
  <c r="I2" i="22"/>
  <c r="U49" i="21"/>
  <c r="S49" i="21"/>
  <c r="R49" i="21"/>
  <c r="P49" i="21"/>
  <c r="AI2" i="21" s="1"/>
  <c r="O49" i="21"/>
  <c r="AH2" i="21" s="1"/>
  <c r="M49" i="21"/>
  <c r="K49" i="21"/>
  <c r="W43" i="21"/>
  <c r="E43" i="21"/>
  <c r="W42" i="21"/>
  <c r="E42" i="21"/>
  <c r="F49" i="21" s="1"/>
  <c r="D25" i="1" s="1"/>
  <c r="W41" i="21"/>
  <c r="E41" i="21"/>
  <c r="W39" i="21"/>
  <c r="E39" i="21"/>
  <c r="W38" i="21"/>
  <c r="E38" i="21"/>
  <c r="W37" i="21"/>
  <c r="E37" i="21"/>
  <c r="W35" i="21"/>
  <c r="E35" i="21"/>
  <c r="W34" i="21"/>
  <c r="E34" i="21"/>
  <c r="W33" i="21"/>
  <c r="E33" i="21"/>
  <c r="W32" i="21"/>
  <c r="E32" i="21"/>
  <c r="W30" i="21"/>
  <c r="E30" i="21"/>
  <c r="W29" i="21"/>
  <c r="E29" i="21"/>
  <c r="W28" i="21"/>
  <c r="E28" i="21"/>
  <c r="W27" i="21"/>
  <c r="E27" i="21"/>
  <c r="I49" i="21" s="1"/>
  <c r="W26" i="21"/>
  <c r="E26" i="21"/>
  <c r="W25" i="21"/>
  <c r="E25" i="21"/>
  <c r="G49" i="21" s="1"/>
  <c r="W24" i="21"/>
  <c r="E24" i="21"/>
  <c r="W23" i="21"/>
  <c r="E23" i="21"/>
  <c r="W22" i="21"/>
  <c r="E22" i="21"/>
  <c r="W20" i="21"/>
  <c r="E20" i="21"/>
  <c r="W19" i="21"/>
  <c r="E19" i="21"/>
  <c r="W18" i="21"/>
  <c r="E18" i="21"/>
  <c r="W17" i="21"/>
  <c r="E17" i="21"/>
  <c r="W15" i="21"/>
  <c r="E15" i="21"/>
  <c r="W14" i="21"/>
  <c r="E14" i="21"/>
  <c r="W13" i="21"/>
  <c r="E13" i="21"/>
  <c r="W12" i="21"/>
  <c r="E12" i="21"/>
  <c r="W10" i="21"/>
  <c r="E10" i="21"/>
  <c r="W9" i="21"/>
  <c r="E9" i="21"/>
  <c r="AN2" i="21"/>
  <c r="AL2" i="21"/>
  <c r="AK2" i="21"/>
  <c r="AF2" i="21"/>
  <c r="N2" i="21"/>
  <c r="I2" i="21"/>
  <c r="T43" i="20"/>
  <c r="S43" i="20"/>
  <c r="Q43" i="20"/>
  <c r="P43" i="20"/>
  <c r="M43" i="20"/>
  <c r="K24" i="1" s="1"/>
  <c r="K43" i="20"/>
  <c r="I24" i="1" s="1"/>
  <c r="H43" i="20"/>
  <c r="F24" i="1" s="1"/>
  <c r="W37" i="20"/>
  <c r="E37" i="20"/>
  <c r="W36" i="20"/>
  <c r="E36" i="20"/>
  <c r="W35" i="20"/>
  <c r="E35" i="20"/>
  <c r="I43" i="20" s="1"/>
  <c r="W34" i="20"/>
  <c r="E34" i="20"/>
  <c r="W33" i="20"/>
  <c r="E33" i="20"/>
  <c r="W32" i="20"/>
  <c r="E32" i="20"/>
  <c r="W31" i="20"/>
  <c r="E31" i="20"/>
  <c r="W30" i="20"/>
  <c r="E30" i="20"/>
  <c r="W29" i="20"/>
  <c r="E29" i="20"/>
  <c r="W28" i="20"/>
  <c r="E28" i="20"/>
  <c r="W27" i="20"/>
  <c r="E27" i="20"/>
  <c r="W26" i="20"/>
  <c r="E26" i="20"/>
  <c r="W25" i="20"/>
  <c r="E25" i="20"/>
  <c r="W24" i="20"/>
  <c r="E24" i="20"/>
  <c r="W23" i="20"/>
  <c r="E23" i="20"/>
  <c r="W22" i="20"/>
  <c r="E22" i="20"/>
  <c r="W21" i="20"/>
  <c r="E21" i="20"/>
  <c r="W20" i="20"/>
  <c r="E20" i="20"/>
  <c r="W19" i="20"/>
  <c r="E19" i="20"/>
  <c r="W18" i="20"/>
  <c r="E18" i="20"/>
  <c r="W17" i="20"/>
  <c r="E17" i="20"/>
  <c r="W16" i="20"/>
  <c r="E16" i="20"/>
  <c r="W15" i="20"/>
  <c r="E15" i="20"/>
  <c r="W14" i="20"/>
  <c r="E14" i="20"/>
  <c r="W13" i="20"/>
  <c r="E13" i="20"/>
  <c r="W12" i="20"/>
  <c r="E12" i="20"/>
  <c r="W10" i="20"/>
  <c r="E10" i="20"/>
  <c r="W9" i="20"/>
  <c r="E9" i="20"/>
  <c r="R43" i="20" s="1"/>
  <c r="AK2" i="20" s="1"/>
  <c r="AM2" i="20"/>
  <c r="AL2" i="20"/>
  <c r="AJ2" i="20"/>
  <c r="AI2" i="20"/>
  <c r="AF2" i="20"/>
  <c r="AD2" i="20"/>
  <c r="AA2" i="20"/>
  <c r="N2" i="20"/>
  <c r="I2" i="20"/>
  <c r="T64" i="19"/>
  <c r="Q64" i="19"/>
  <c r="O23" i="1" s="1"/>
  <c r="O64" i="19"/>
  <c r="M64" i="19"/>
  <c r="K23" i="1" s="1"/>
  <c r="J64" i="19"/>
  <c r="H23" i="1" s="1"/>
  <c r="I64" i="19"/>
  <c r="H64" i="19"/>
  <c r="F23" i="1" s="1"/>
  <c r="W58" i="19"/>
  <c r="E58" i="19"/>
  <c r="W57" i="19"/>
  <c r="E57" i="19"/>
  <c r="W56" i="19"/>
  <c r="E56" i="19"/>
  <c r="W55" i="19"/>
  <c r="E55" i="19"/>
  <c r="W54" i="19"/>
  <c r="E54" i="19"/>
  <c r="W53" i="19"/>
  <c r="E53" i="19"/>
  <c r="W51" i="19"/>
  <c r="E51" i="19"/>
  <c r="W50" i="19"/>
  <c r="E50" i="19"/>
  <c r="W49" i="19"/>
  <c r="E49" i="19"/>
  <c r="W48" i="19"/>
  <c r="E48" i="19"/>
  <c r="W47" i="19"/>
  <c r="E47" i="19"/>
  <c r="W46" i="19"/>
  <c r="E46" i="19"/>
  <c r="W45" i="19"/>
  <c r="E45" i="19"/>
  <c r="W44" i="19"/>
  <c r="E44" i="19"/>
  <c r="W43" i="19"/>
  <c r="E43" i="19"/>
  <c r="W42" i="19"/>
  <c r="E42" i="19"/>
  <c r="W40" i="19"/>
  <c r="E40" i="19"/>
  <c r="W39" i="19"/>
  <c r="E39" i="19"/>
  <c r="W38" i="19"/>
  <c r="E38" i="19"/>
  <c r="W37" i="19"/>
  <c r="E37" i="19"/>
  <c r="W36" i="19"/>
  <c r="E36" i="19"/>
  <c r="W35" i="19"/>
  <c r="E35" i="19"/>
  <c r="W33" i="19"/>
  <c r="E33" i="19"/>
  <c r="W32" i="19"/>
  <c r="E32" i="19"/>
  <c r="W31" i="19"/>
  <c r="E31" i="19"/>
  <c r="W30" i="19"/>
  <c r="E30" i="19"/>
  <c r="W29" i="19"/>
  <c r="E29" i="19"/>
  <c r="W28" i="19"/>
  <c r="E28" i="19"/>
  <c r="W27" i="19"/>
  <c r="E27" i="19"/>
  <c r="W26" i="19"/>
  <c r="E26" i="19"/>
  <c r="W25" i="19"/>
  <c r="E25" i="19"/>
  <c r="W24" i="19"/>
  <c r="E24" i="19"/>
  <c r="W23" i="19"/>
  <c r="E23" i="19"/>
  <c r="W22" i="19"/>
  <c r="E22" i="19"/>
  <c r="W21" i="19"/>
  <c r="E21" i="19"/>
  <c r="W20" i="19"/>
  <c r="E20" i="19"/>
  <c r="W19" i="19"/>
  <c r="E19" i="19"/>
  <c r="U64" i="19" s="1"/>
  <c r="W18" i="19"/>
  <c r="E18" i="19"/>
  <c r="W17" i="19"/>
  <c r="E17" i="19"/>
  <c r="W16" i="19"/>
  <c r="E16" i="19"/>
  <c r="W15" i="19"/>
  <c r="E15" i="19"/>
  <c r="W14" i="19"/>
  <c r="E14" i="19"/>
  <c r="W12" i="19"/>
  <c r="E12" i="19"/>
  <c r="W11" i="19"/>
  <c r="E11" i="19"/>
  <c r="G64" i="19" s="1"/>
  <c r="Z2" i="19" s="1"/>
  <c r="W10" i="19"/>
  <c r="E10" i="19"/>
  <c r="W9" i="19"/>
  <c r="E9" i="19"/>
  <c r="AJ2" i="19"/>
  <c r="AC2" i="19"/>
  <c r="AA2" i="19"/>
  <c r="N2" i="19"/>
  <c r="I2" i="19"/>
  <c r="U62" i="18"/>
  <c r="S22" i="1" s="1"/>
  <c r="S62" i="18"/>
  <c r="Q22" i="1" s="1"/>
  <c r="Q62" i="18"/>
  <c r="O22" i="1" s="1"/>
  <c r="P62" i="18"/>
  <c r="O62" i="18"/>
  <c r="M22" i="1" s="1"/>
  <c r="J62" i="18"/>
  <c r="H22" i="1" s="1"/>
  <c r="I62" i="18"/>
  <c r="W56" i="18"/>
  <c r="E56" i="18"/>
  <c r="W55" i="18"/>
  <c r="E55" i="18"/>
  <c r="W54" i="18"/>
  <c r="E54" i="18"/>
  <c r="W53" i="18"/>
  <c r="E53" i="18"/>
  <c r="W51" i="18"/>
  <c r="E51" i="18"/>
  <c r="W50" i="18"/>
  <c r="E50" i="18"/>
  <c r="W49" i="18"/>
  <c r="E49" i="18"/>
  <c r="W48" i="18"/>
  <c r="E48" i="18"/>
  <c r="W47" i="18"/>
  <c r="E47" i="18"/>
  <c r="W46" i="18"/>
  <c r="E46" i="18"/>
  <c r="W45" i="18"/>
  <c r="E45" i="18"/>
  <c r="W44" i="18"/>
  <c r="E44" i="18"/>
  <c r="W43" i="18"/>
  <c r="E43" i="18"/>
  <c r="W42" i="18"/>
  <c r="E42" i="18"/>
  <c r="W41" i="18"/>
  <c r="E41" i="18"/>
  <c r="W39" i="18"/>
  <c r="E39" i="18"/>
  <c r="W38" i="18"/>
  <c r="E38" i="18"/>
  <c r="N62" i="18" s="1"/>
  <c r="W37" i="18"/>
  <c r="E37" i="18"/>
  <c r="W36" i="18"/>
  <c r="E36" i="18"/>
  <c r="W35" i="18"/>
  <c r="E35" i="18"/>
  <c r="W34" i="18"/>
  <c r="E34" i="18"/>
  <c r="W33" i="18"/>
  <c r="E33" i="18"/>
  <c r="W31" i="18"/>
  <c r="E31" i="18"/>
  <c r="W30" i="18"/>
  <c r="E30" i="18"/>
  <c r="W28" i="18"/>
  <c r="E28" i="18"/>
  <c r="W27" i="18"/>
  <c r="E27" i="18"/>
  <c r="W26" i="18"/>
  <c r="E26" i="18"/>
  <c r="W25" i="18"/>
  <c r="E25" i="18"/>
  <c r="W24" i="18"/>
  <c r="E24" i="18"/>
  <c r="W22" i="18"/>
  <c r="E22" i="18"/>
  <c r="W21" i="18"/>
  <c r="E21" i="18"/>
  <c r="W20" i="18"/>
  <c r="E20" i="18"/>
  <c r="W19" i="18"/>
  <c r="E19" i="18"/>
  <c r="W18" i="18"/>
  <c r="E18" i="18"/>
  <c r="W17" i="18"/>
  <c r="E17" i="18"/>
  <c r="H62" i="18" s="1"/>
  <c r="W16" i="18"/>
  <c r="E16" i="18"/>
  <c r="W15" i="18"/>
  <c r="E15" i="18"/>
  <c r="W14" i="18"/>
  <c r="E14" i="18"/>
  <c r="W13" i="18"/>
  <c r="E13" i="18"/>
  <c r="G62" i="18" s="1"/>
  <c r="W12" i="18"/>
  <c r="E12" i="18"/>
  <c r="W11" i="18"/>
  <c r="E11" i="18"/>
  <c r="W10" i="18"/>
  <c r="E10" i="18"/>
  <c r="W9" i="18"/>
  <c r="E9" i="18"/>
  <c r="AN2" i="18"/>
  <c r="AH2" i="18"/>
  <c r="AC2" i="18"/>
  <c r="N2" i="18"/>
  <c r="I2" i="18"/>
  <c r="U36" i="17"/>
  <c r="S21" i="1" s="1"/>
  <c r="S36" i="17"/>
  <c r="R36" i="17"/>
  <c r="P21" i="1" s="1"/>
  <c r="P36" i="17"/>
  <c r="O36" i="17"/>
  <c r="N36" i="17"/>
  <c r="L21" i="1" s="1"/>
  <c r="L36" i="17"/>
  <c r="J36" i="17"/>
  <c r="H21" i="1" s="1"/>
  <c r="I36" i="17"/>
  <c r="G36" i="17"/>
  <c r="E21" i="1" s="1"/>
  <c r="F36" i="17"/>
  <c r="W30" i="17"/>
  <c r="E30" i="17"/>
  <c r="W29" i="17"/>
  <c r="E29" i="17"/>
  <c r="W28" i="17"/>
  <c r="E28" i="17"/>
  <c r="W27" i="17"/>
  <c r="E27" i="17"/>
  <c r="W26" i="17"/>
  <c r="E26" i="17"/>
  <c r="W25" i="17"/>
  <c r="E25" i="17"/>
  <c r="W24" i="17"/>
  <c r="E24" i="17"/>
  <c r="W23" i="17"/>
  <c r="E23" i="17"/>
  <c r="W22" i="17"/>
  <c r="E22" i="17"/>
  <c r="W21" i="17"/>
  <c r="E21" i="17"/>
  <c r="W20" i="17"/>
  <c r="E20" i="17"/>
  <c r="W19" i="17"/>
  <c r="E19" i="17"/>
  <c r="W18" i="17"/>
  <c r="E18" i="17"/>
  <c r="W17" i="17"/>
  <c r="E17" i="17"/>
  <c r="W15" i="17"/>
  <c r="E15" i="17"/>
  <c r="W14" i="17"/>
  <c r="E14" i="17"/>
  <c r="W13" i="17"/>
  <c r="E13" i="17"/>
  <c r="W12" i="17"/>
  <c r="E12" i="17"/>
  <c r="W11" i="17"/>
  <c r="E11" i="17"/>
  <c r="W10" i="17"/>
  <c r="E10" i="17"/>
  <c r="W9" i="17"/>
  <c r="E9" i="17"/>
  <c r="AN2" i="17"/>
  <c r="AK2" i="17"/>
  <c r="AG2" i="17"/>
  <c r="AC2" i="17"/>
  <c r="Z2" i="17"/>
  <c r="N2" i="17"/>
  <c r="I2" i="17"/>
  <c r="U30" i="16"/>
  <c r="S20" i="1" s="1"/>
  <c r="S30" i="16"/>
  <c r="Q20" i="1" s="1"/>
  <c r="R30" i="16"/>
  <c r="Q30" i="16"/>
  <c r="O30" i="16"/>
  <c r="M20" i="1" s="1"/>
  <c r="M30" i="16"/>
  <c r="K20" i="1" s="1"/>
  <c r="J30" i="16"/>
  <c r="H20" i="1" s="1"/>
  <c r="I30" i="16"/>
  <c r="H30" i="16"/>
  <c r="W24" i="16"/>
  <c r="E24" i="16"/>
  <c r="W23" i="16"/>
  <c r="E23" i="16"/>
  <c r="W22" i="16"/>
  <c r="E22" i="16"/>
  <c r="W21" i="16"/>
  <c r="E21" i="16"/>
  <c r="W20" i="16"/>
  <c r="E20" i="16"/>
  <c r="W18" i="16"/>
  <c r="E18" i="16"/>
  <c r="W17" i="16"/>
  <c r="E17" i="16"/>
  <c r="W16" i="16"/>
  <c r="E16" i="16"/>
  <c r="W15" i="16"/>
  <c r="E15" i="16"/>
  <c r="W14" i="16"/>
  <c r="E14" i="16"/>
  <c r="W13" i="16"/>
  <c r="E13" i="16"/>
  <c r="W12" i="16"/>
  <c r="E12" i="16"/>
  <c r="W11" i="16"/>
  <c r="E11" i="16"/>
  <c r="G30" i="16" s="1"/>
  <c r="W10" i="16"/>
  <c r="E10" i="16"/>
  <c r="W9" i="16"/>
  <c r="E9" i="16"/>
  <c r="AN2" i="16"/>
  <c r="AH2" i="16"/>
  <c r="AF2" i="16"/>
  <c r="AC2" i="16"/>
  <c r="N2" i="16"/>
  <c r="I2" i="16"/>
  <c r="U24" i="15"/>
  <c r="S24" i="15"/>
  <c r="Q19" i="1" s="1"/>
  <c r="R24" i="15"/>
  <c r="P19" i="1" s="1"/>
  <c r="Q24" i="15"/>
  <c r="O19" i="1" s="1"/>
  <c r="O24" i="15"/>
  <c r="M19" i="1" s="1"/>
  <c r="M24" i="15"/>
  <c r="J24" i="15"/>
  <c r="I24" i="15"/>
  <c r="G19" i="1" s="1"/>
  <c r="H24" i="15"/>
  <c r="W18" i="15"/>
  <c r="E18" i="15"/>
  <c r="W15" i="15"/>
  <c r="E15" i="15"/>
  <c r="W14" i="15"/>
  <c r="E14" i="15"/>
  <c r="W13" i="15"/>
  <c r="E13" i="15"/>
  <c r="W12" i="15"/>
  <c r="E12" i="15"/>
  <c r="W11" i="15"/>
  <c r="E11" i="15"/>
  <c r="G24" i="15" s="1"/>
  <c r="W10" i="15"/>
  <c r="E10" i="15"/>
  <c r="W9" i="15"/>
  <c r="E9" i="15"/>
  <c r="AL2" i="15"/>
  <c r="AK2" i="15"/>
  <c r="AJ2" i="15"/>
  <c r="AH2" i="15"/>
  <c r="AB2" i="15"/>
  <c r="N2" i="15"/>
  <c r="I2" i="15"/>
  <c r="U33" i="14"/>
  <c r="R33" i="14"/>
  <c r="O33" i="14"/>
  <c r="J33" i="14"/>
  <c r="G33" i="14"/>
  <c r="E18" i="1" s="1"/>
  <c r="W27" i="14"/>
  <c r="E27" i="14"/>
  <c r="W26" i="14"/>
  <c r="E26" i="14"/>
  <c r="W25" i="14"/>
  <c r="E25" i="14"/>
  <c r="W24" i="14"/>
  <c r="E24" i="14"/>
  <c r="W23" i="14"/>
  <c r="E23" i="14"/>
  <c r="W22" i="14"/>
  <c r="E22" i="14"/>
  <c r="W20" i="14"/>
  <c r="E20" i="14"/>
  <c r="W19" i="14"/>
  <c r="E19" i="14"/>
  <c r="W18" i="14"/>
  <c r="E18" i="14"/>
  <c r="W17" i="14"/>
  <c r="E17" i="14"/>
  <c r="W15" i="14"/>
  <c r="E15" i="14"/>
  <c r="W14" i="14"/>
  <c r="E14" i="14"/>
  <c r="W13" i="14"/>
  <c r="E13" i="14"/>
  <c r="W12" i="14"/>
  <c r="E12" i="14"/>
  <c r="W11" i="14"/>
  <c r="E11" i="14"/>
  <c r="W10" i="14"/>
  <c r="E10" i="14"/>
  <c r="W9" i="14"/>
  <c r="E9" i="14"/>
  <c r="Z2" i="14"/>
  <c r="N2" i="14"/>
  <c r="I2" i="14"/>
  <c r="U65" i="13"/>
  <c r="S17" i="1" s="1"/>
  <c r="S65" i="13"/>
  <c r="R65" i="13"/>
  <c r="P17" i="1" s="1"/>
  <c r="Q65" i="13"/>
  <c r="O65" i="13"/>
  <c r="M65" i="13"/>
  <c r="K65" i="13"/>
  <c r="I17" i="1" s="1"/>
  <c r="J65" i="13"/>
  <c r="H17" i="1" s="1"/>
  <c r="I65" i="13"/>
  <c r="G17" i="1" s="1"/>
  <c r="W59" i="13"/>
  <c r="E59" i="13"/>
  <c r="W58" i="13"/>
  <c r="E58" i="13"/>
  <c r="W57" i="13"/>
  <c r="E57" i="13"/>
  <c r="W56" i="13"/>
  <c r="E56" i="13"/>
  <c r="W55" i="13"/>
  <c r="E55" i="13"/>
  <c r="W53" i="13"/>
  <c r="E53" i="13"/>
  <c r="W52" i="13"/>
  <c r="E52" i="13"/>
  <c r="W51" i="13"/>
  <c r="E51" i="13"/>
  <c r="W50" i="13"/>
  <c r="E50" i="13"/>
  <c r="W49" i="13"/>
  <c r="E49" i="13"/>
  <c r="W48" i="13"/>
  <c r="E48" i="13"/>
  <c r="W47" i="13"/>
  <c r="E47" i="13"/>
  <c r="W46" i="13"/>
  <c r="E46" i="13"/>
  <c r="W45" i="13"/>
  <c r="E45" i="13"/>
  <c r="W44" i="13"/>
  <c r="E44" i="13"/>
  <c r="W43" i="13"/>
  <c r="E43" i="13"/>
  <c r="W42" i="13"/>
  <c r="E42" i="13"/>
  <c r="W41" i="13"/>
  <c r="E41" i="13"/>
  <c r="W40" i="13"/>
  <c r="E40" i="13"/>
  <c r="W39" i="13"/>
  <c r="E39" i="13"/>
  <c r="W38" i="13"/>
  <c r="E38" i="13"/>
  <c r="W37" i="13"/>
  <c r="E37" i="13"/>
  <c r="W36" i="13"/>
  <c r="E36" i="13"/>
  <c r="W35" i="13"/>
  <c r="E35" i="13"/>
  <c r="W34" i="13"/>
  <c r="E34" i="13"/>
  <c r="W33" i="13"/>
  <c r="E33" i="13"/>
  <c r="W32" i="13"/>
  <c r="E32" i="13"/>
  <c r="W31" i="13"/>
  <c r="E31" i="13"/>
  <c r="W30" i="13"/>
  <c r="E30" i="13"/>
  <c r="W29" i="13"/>
  <c r="E29" i="13"/>
  <c r="W28" i="13"/>
  <c r="E28" i="13"/>
  <c r="W27" i="13"/>
  <c r="E27" i="13"/>
  <c r="W26" i="13"/>
  <c r="E26" i="13"/>
  <c r="W25" i="13"/>
  <c r="E25" i="13"/>
  <c r="W24" i="13"/>
  <c r="E24" i="13"/>
  <c r="W23" i="13"/>
  <c r="E23" i="13"/>
  <c r="W22" i="13"/>
  <c r="E22" i="13"/>
  <c r="W21" i="13"/>
  <c r="E21" i="13"/>
  <c r="W20" i="13"/>
  <c r="E20" i="13"/>
  <c r="W19" i="13"/>
  <c r="E19" i="13"/>
  <c r="W18" i="13"/>
  <c r="E18" i="13"/>
  <c r="W17" i="13"/>
  <c r="E17" i="13"/>
  <c r="W16" i="13"/>
  <c r="E16" i="13"/>
  <c r="W15" i="13"/>
  <c r="E15" i="13"/>
  <c r="W14" i="13"/>
  <c r="E14" i="13"/>
  <c r="W13" i="13"/>
  <c r="E13" i="13"/>
  <c r="W12" i="13"/>
  <c r="E12" i="13"/>
  <c r="W9" i="13"/>
  <c r="E9" i="13"/>
  <c r="AN2" i="13"/>
  <c r="AK2" i="13"/>
  <c r="AC2" i="13"/>
  <c r="AB2" i="13"/>
  <c r="N2" i="13"/>
  <c r="I2" i="13"/>
  <c r="S43" i="12"/>
  <c r="R43" i="12"/>
  <c r="P16" i="1" s="1"/>
  <c r="O43" i="12"/>
  <c r="M43" i="12"/>
  <c r="K16" i="1" s="1"/>
  <c r="K43" i="12"/>
  <c r="I16" i="1" s="1"/>
  <c r="J43" i="12"/>
  <c r="I43" i="12"/>
  <c r="G43" i="12"/>
  <c r="Z2" i="12" s="1"/>
  <c r="W37" i="12"/>
  <c r="E37" i="12"/>
  <c r="W36" i="12"/>
  <c r="E36" i="12"/>
  <c r="W35" i="12"/>
  <c r="E35" i="12"/>
  <c r="W34" i="12"/>
  <c r="E34" i="12"/>
  <c r="W33" i="12"/>
  <c r="E33" i="12"/>
  <c r="W32" i="12"/>
  <c r="E32" i="12"/>
  <c r="W31" i="12"/>
  <c r="E31" i="12"/>
  <c r="W30" i="12"/>
  <c r="E30" i="12"/>
  <c r="W28" i="12"/>
  <c r="E28" i="12"/>
  <c r="W27" i="12"/>
  <c r="E27" i="12"/>
  <c r="W26" i="12"/>
  <c r="E26" i="12"/>
  <c r="W25" i="12"/>
  <c r="E25" i="12"/>
  <c r="W23" i="12"/>
  <c r="E23" i="12"/>
  <c r="W22" i="12"/>
  <c r="E22" i="12"/>
  <c r="W21" i="12"/>
  <c r="E21" i="12"/>
  <c r="W20" i="12"/>
  <c r="E20" i="12"/>
  <c r="W18" i="12"/>
  <c r="E18" i="12"/>
  <c r="W17" i="12"/>
  <c r="E17" i="12"/>
  <c r="W16" i="12"/>
  <c r="E16" i="12"/>
  <c r="W15" i="12"/>
  <c r="E15" i="12"/>
  <c r="W14" i="12"/>
  <c r="E14" i="12"/>
  <c r="W13" i="12"/>
  <c r="E13" i="12"/>
  <c r="W12" i="12"/>
  <c r="E12" i="12"/>
  <c r="W11" i="12"/>
  <c r="E11" i="12"/>
  <c r="W10" i="12"/>
  <c r="E10" i="12"/>
  <c r="W9" i="12"/>
  <c r="E9" i="12"/>
  <c r="AK2" i="12"/>
  <c r="AD2" i="12"/>
  <c r="N2" i="12"/>
  <c r="I2" i="12"/>
  <c r="S61" i="11"/>
  <c r="R61" i="11"/>
  <c r="P15" i="1" s="1"/>
  <c r="O61" i="11"/>
  <c r="M15" i="1" s="1"/>
  <c r="M61" i="11"/>
  <c r="K15" i="1" s="1"/>
  <c r="K61" i="11"/>
  <c r="J61" i="11"/>
  <c r="I61" i="11"/>
  <c r="W55" i="11"/>
  <c r="E55" i="11"/>
  <c r="W54" i="11"/>
  <c r="E54" i="11"/>
  <c r="W53" i="11"/>
  <c r="E53" i="11"/>
  <c r="W52" i="11"/>
  <c r="E52" i="11"/>
  <c r="W51" i="11"/>
  <c r="E51" i="11"/>
  <c r="W50" i="11"/>
  <c r="E50" i="11"/>
  <c r="W49" i="11"/>
  <c r="E49" i="11"/>
  <c r="W48" i="11"/>
  <c r="E48" i="11"/>
  <c r="W47" i="11"/>
  <c r="E47" i="11"/>
  <c r="W46" i="11"/>
  <c r="E46" i="11"/>
  <c r="W45" i="11"/>
  <c r="E45" i="11"/>
  <c r="W44" i="11"/>
  <c r="E44" i="11"/>
  <c r="W43" i="11"/>
  <c r="E43" i="11"/>
  <c r="W42" i="11"/>
  <c r="E42" i="11"/>
  <c r="W40" i="11"/>
  <c r="E40" i="11"/>
  <c r="W39" i="11"/>
  <c r="E39" i="11"/>
  <c r="W38" i="11"/>
  <c r="E38" i="11"/>
  <c r="W37" i="11"/>
  <c r="E37" i="11"/>
  <c r="W36" i="11"/>
  <c r="E36" i="11"/>
  <c r="W35" i="11"/>
  <c r="E35" i="11"/>
  <c r="W34" i="11"/>
  <c r="E34" i="11"/>
  <c r="W33" i="11"/>
  <c r="E33" i="11"/>
  <c r="W32" i="11"/>
  <c r="E32" i="11"/>
  <c r="W31" i="11"/>
  <c r="E31" i="11"/>
  <c r="W30" i="11"/>
  <c r="E30" i="11"/>
  <c r="W29" i="11"/>
  <c r="E29" i="11"/>
  <c r="W28" i="11"/>
  <c r="E28" i="11"/>
  <c r="W27" i="11"/>
  <c r="E27" i="11"/>
  <c r="W26" i="11"/>
  <c r="E26" i="11"/>
  <c r="W25" i="11"/>
  <c r="E25" i="11"/>
  <c r="W24" i="11"/>
  <c r="E24" i="11"/>
  <c r="W23" i="11"/>
  <c r="E23" i="11"/>
  <c r="W22" i="11"/>
  <c r="E22" i="11"/>
  <c r="W21" i="11"/>
  <c r="E21" i="11"/>
  <c r="W20" i="11"/>
  <c r="E20" i="11"/>
  <c r="W19" i="11"/>
  <c r="E19" i="11"/>
  <c r="W18" i="11"/>
  <c r="E18" i="11"/>
  <c r="W17" i="11"/>
  <c r="E17" i="11"/>
  <c r="W16" i="11"/>
  <c r="E16" i="11"/>
  <c r="W15" i="11"/>
  <c r="E15" i="11"/>
  <c r="W14" i="11"/>
  <c r="E14" i="11"/>
  <c r="W13" i="11"/>
  <c r="E13" i="11"/>
  <c r="W12" i="11"/>
  <c r="E12" i="11"/>
  <c r="W11" i="11"/>
  <c r="E11" i="11"/>
  <c r="Q61" i="11" s="1"/>
  <c r="O15" i="1" s="1"/>
  <c r="W10" i="11"/>
  <c r="E10" i="11"/>
  <c r="W9" i="11"/>
  <c r="V64" i="11" s="1"/>
  <c r="E9" i="11"/>
  <c r="AK2" i="11"/>
  <c r="AH2" i="11"/>
  <c r="AF2" i="11"/>
  <c r="N2" i="11"/>
  <c r="I2" i="11"/>
  <c r="U34" i="10"/>
  <c r="AN2" i="10" s="1"/>
  <c r="S34" i="10"/>
  <c r="P34" i="10"/>
  <c r="O34" i="10"/>
  <c r="M14" i="1" s="1"/>
  <c r="M34" i="10"/>
  <c r="K14" i="1" s="1"/>
  <c r="K34" i="10"/>
  <c r="I34" i="10"/>
  <c r="AB2" i="10" s="1"/>
  <c r="G34" i="10"/>
  <c r="E14" i="1" s="1"/>
  <c r="W28" i="10"/>
  <c r="E28" i="10"/>
  <c r="W27" i="10"/>
  <c r="E27" i="10"/>
  <c r="W26" i="10"/>
  <c r="E26" i="10"/>
  <c r="W24" i="10"/>
  <c r="E24" i="10"/>
  <c r="W23" i="10"/>
  <c r="E23" i="10"/>
  <c r="W22" i="10"/>
  <c r="E22" i="10"/>
  <c r="W21" i="10"/>
  <c r="E21" i="10"/>
  <c r="W20" i="10"/>
  <c r="E20" i="10"/>
  <c r="W19" i="10"/>
  <c r="E19" i="10"/>
  <c r="W18" i="10"/>
  <c r="E18" i="10"/>
  <c r="W16" i="10"/>
  <c r="E16" i="10"/>
  <c r="W15" i="10"/>
  <c r="E15" i="10"/>
  <c r="W14" i="10"/>
  <c r="E14" i="10"/>
  <c r="W13" i="10"/>
  <c r="E13" i="10"/>
  <c r="W12" i="10"/>
  <c r="E12" i="10"/>
  <c r="W11" i="10"/>
  <c r="E11" i="10"/>
  <c r="W10" i="10"/>
  <c r="E10" i="10"/>
  <c r="W9" i="10"/>
  <c r="E9" i="10"/>
  <c r="AH2" i="10"/>
  <c r="Z2" i="10"/>
  <c r="N2" i="10"/>
  <c r="I2" i="10"/>
  <c r="S42" i="9"/>
  <c r="Q13" i="1" s="1"/>
  <c r="R42" i="9"/>
  <c r="P13" i="1" s="1"/>
  <c r="Q42" i="9"/>
  <c r="O13" i="1" s="1"/>
  <c r="O42" i="9"/>
  <c r="J42" i="9"/>
  <c r="H13" i="1" s="1"/>
  <c r="I42" i="9"/>
  <c r="H42" i="9"/>
  <c r="F13" i="1" s="1"/>
  <c r="W36" i="9"/>
  <c r="E36" i="9"/>
  <c r="W35" i="9"/>
  <c r="E35" i="9"/>
  <c r="W34" i="9"/>
  <c r="E34" i="9"/>
  <c r="W33" i="9"/>
  <c r="E33" i="9"/>
  <c r="W32" i="9"/>
  <c r="E32" i="9"/>
  <c r="W31" i="9"/>
  <c r="E31" i="9"/>
  <c r="W30" i="9"/>
  <c r="E30" i="9"/>
  <c r="W29" i="9"/>
  <c r="E29" i="9"/>
  <c r="W28" i="9"/>
  <c r="E28" i="9"/>
  <c r="W27" i="9"/>
  <c r="E27" i="9"/>
  <c r="W26" i="9"/>
  <c r="E26" i="9"/>
  <c r="W25" i="9"/>
  <c r="E25" i="9"/>
  <c r="W24" i="9"/>
  <c r="E24" i="9"/>
  <c r="W23" i="9"/>
  <c r="E23" i="9"/>
  <c r="W22" i="9"/>
  <c r="E22" i="9"/>
  <c r="W20" i="9"/>
  <c r="E20" i="9"/>
  <c r="W19" i="9"/>
  <c r="E19" i="9"/>
  <c r="W18" i="9"/>
  <c r="E18" i="9"/>
  <c r="W17" i="9"/>
  <c r="E17" i="9"/>
  <c r="W16" i="9"/>
  <c r="E16" i="9"/>
  <c r="W15" i="9"/>
  <c r="E15" i="9"/>
  <c r="W14" i="9"/>
  <c r="E14" i="9"/>
  <c r="W13" i="9"/>
  <c r="E13" i="9"/>
  <c r="G42" i="9" s="1"/>
  <c r="W12" i="9"/>
  <c r="E12" i="9"/>
  <c r="W11" i="9"/>
  <c r="E11" i="9"/>
  <c r="W10" i="9"/>
  <c r="E10" i="9"/>
  <c r="W9" i="9"/>
  <c r="E9" i="9"/>
  <c r="L42" i="9" s="1"/>
  <c r="AE2" i="9" s="1"/>
  <c r="AK2" i="9"/>
  <c r="AC2" i="9"/>
  <c r="AA2" i="9"/>
  <c r="N2" i="9"/>
  <c r="I2" i="9"/>
  <c r="U37" i="8"/>
  <c r="S12" i="1" s="1"/>
  <c r="S37" i="8"/>
  <c r="Q12" i="1" s="1"/>
  <c r="R37" i="8"/>
  <c r="O37" i="8"/>
  <c r="M12" i="1" s="1"/>
  <c r="K37" i="8"/>
  <c r="AD2" i="8" s="1"/>
  <c r="J37" i="8"/>
  <c r="H37" i="8"/>
  <c r="F12" i="1" s="1"/>
  <c r="W31" i="8"/>
  <c r="E31" i="8"/>
  <c r="W30" i="8"/>
  <c r="E30" i="8"/>
  <c r="W29" i="8"/>
  <c r="E29" i="8"/>
  <c r="W28" i="8"/>
  <c r="E28" i="8"/>
  <c r="W27" i="8"/>
  <c r="E27" i="8"/>
  <c r="W26" i="8"/>
  <c r="E26" i="8"/>
  <c r="W25" i="8"/>
  <c r="E25" i="8"/>
  <c r="W24" i="8"/>
  <c r="E24" i="8"/>
  <c r="W23" i="8"/>
  <c r="E23" i="8"/>
  <c r="W22" i="8"/>
  <c r="E22" i="8"/>
  <c r="W21" i="8"/>
  <c r="E21" i="8"/>
  <c r="W20" i="8"/>
  <c r="E20" i="8"/>
  <c r="W19" i="8"/>
  <c r="E19" i="8"/>
  <c r="W18" i="8"/>
  <c r="E18" i="8"/>
  <c r="W17" i="8"/>
  <c r="E17" i="8"/>
  <c r="W16" i="8"/>
  <c r="E16" i="8"/>
  <c r="W15" i="8"/>
  <c r="E15" i="8"/>
  <c r="W14" i="8"/>
  <c r="E14" i="8"/>
  <c r="W13" i="8"/>
  <c r="E13" i="8"/>
  <c r="W12" i="8"/>
  <c r="E12" i="8"/>
  <c r="G37" i="8" s="1"/>
  <c r="Z2" i="8" s="1"/>
  <c r="W11" i="8"/>
  <c r="E11" i="8"/>
  <c r="W9" i="8"/>
  <c r="E9" i="8"/>
  <c r="AN2" i="8"/>
  <c r="AH2" i="8"/>
  <c r="AA2" i="8"/>
  <c r="N2" i="8"/>
  <c r="I2" i="8"/>
  <c r="U24" i="7"/>
  <c r="T24" i="7"/>
  <c r="AM2" i="7" s="1"/>
  <c r="R24" i="7"/>
  <c r="O24" i="7"/>
  <c r="M24" i="7"/>
  <c r="K11" i="1" s="1"/>
  <c r="J24" i="7"/>
  <c r="H11" i="1" s="1"/>
  <c r="H24" i="7"/>
  <c r="W18" i="7"/>
  <c r="E18" i="7"/>
  <c r="W17" i="7"/>
  <c r="E17" i="7"/>
  <c r="W16" i="7"/>
  <c r="E16" i="7"/>
  <c r="W14" i="7"/>
  <c r="E14" i="7"/>
  <c r="Q24" i="7" s="1"/>
  <c r="W13" i="7"/>
  <c r="E13" i="7"/>
  <c r="W12" i="7"/>
  <c r="E12" i="7"/>
  <c r="W11" i="7"/>
  <c r="E11" i="7"/>
  <c r="I24" i="7" s="1"/>
  <c r="AB2" i="7" s="1"/>
  <c r="W10" i="7"/>
  <c r="E10" i="7"/>
  <c r="W9" i="7"/>
  <c r="E9" i="7"/>
  <c r="L24" i="7" s="1"/>
  <c r="AC2" i="7"/>
  <c r="N2" i="7"/>
  <c r="I2" i="7"/>
  <c r="U49" i="6"/>
  <c r="S10" i="1" s="1"/>
  <c r="S49" i="6"/>
  <c r="R49" i="6"/>
  <c r="AK2" i="6" s="1"/>
  <c r="O49" i="6"/>
  <c r="M49" i="6"/>
  <c r="K10" i="1" s="1"/>
  <c r="K49" i="6"/>
  <c r="I10" i="1" s="1"/>
  <c r="J49" i="6"/>
  <c r="H10" i="1" s="1"/>
  <c r="I49" i="6"/>
  <c r="G10" i="1" s="1"/>
  <c r="W43" i="6"/>
  <c r="E43" i="6"/>
  <c r="W42" i="6"/>
  <c r="E42" i="6"/>
  <c r="W41" i="6"/>
  <c r="E41" i="6"/>
  <c r="W39" i="6"/>
  <c r="E39" i="6"/>
  <c r="W38" i="6"/>
  <c r="E38" i="6"/>
  <c r="W37" i="6"/>
  <c r="E37" i="6"/>
  <c r="W36" i="6"/>
  <c r="E36" i="6"/>
  <c r="W34" i="6"/>
  <c r="E34" i="6"/>
  <c r="W33" i="6"/>
  <c r="E33" i="6"/>
  <c r="W32" i="6"/>
  <c r="E32" i="6"/>
  <c r="W31" i="6"/>
  <c r="E31" i="6"/>
  <c r="W30" i="6"/>
  <c r="E30" i="6"/>
  <c r="W29" i="6"/>
  <c r="E29" i="6"/>
  <c r="W28" i="6"/>
  <c r="E28" i="6"/>
  <c r="W27" i="6"/>
  <c r="E27" i="6"/>
  <c r="W26" i="6"/>
  <c r="E26" i="6"/>
  <c r="P49" i="6" s="1"/>
  <c r="W25" i="6"/>
  <c r="E25" i="6"/>
  <c r="W24" i="6"/>
  <c r="E24" i="6"/>
  <c r="W23" i="6"/>
  <c r="E23" i="6"/>
  <c r="W22" i="6"/>
  <c r="E22" i="6"/>
  <c r="W21" i="6"/>
  <c r="E21" i="6"/>
  <c r="W20" i="6"/>
  <c r="E20" i="6"/>
  <c r="W19" i="6"/>
  <c r="E19" i="6"/>
  <c r="W18" i="6"/>
  <c r="E18" i="6"/>
  <c r="W17" i="6"/>
  <c r="E17" i="6"/>
  <c r="W16" i="6"/>
  <c r="E16" i="6"/>
  <c r="W15" i="6"/>
  <c r="E15" i="6"/>
  <c r="W14" i="6"/>
  <c r="E14" i="6"/>
  <c r="W13" i="6"/>
  <c r="E13" i="6"/>
  <c r="W12" i="6"/>
  <c r="E12" i="6"/>
  <c r="F49" i="6" s="1"/>
  <c r="W10" i="6"/>
  <c r="E10" i="6"/>
  <c r="W9" i="6"/>
  <c r="E9" i="6"/>
  <c r="AN2" i="6"/>
  <c r="AF2" i="6"/>
  <c r="AC2" i="6"/>
  <c r="AB2" i="6"/>
  <c r="N2" i="6"/>
  <c r="I2" i="6"/>
  <c r="U26" i="5"/>
  <c r="S9" i="1" s="1"/>
  <c r="S26" i="5"/>
  <c r="R26" i="5"/>
  <c r="Q26" i="5"/>
  <c r="O9" i="1" s="1"/>
  <c r="O26" i="5"/>
  <c r="M9" i="1" s="1"/>
  <c r="M26" i="5"/>
  <c r="K9" i="1" s="1"/>
  <c r="J26" i="5"/>
  <c r="I26" i="5"/>
  <c r="G9" i="1" s="1"/>
  <c r="H26" i="5"/>
  <c r="F9" i="1" s="1"/>
  <c r="W20" i="5"/>
  <c r="E20" i="5"/>
  <c r="W19" i="5"/>
  <c r="E19" i="5"/>
  <c r="W18" i="5"/>
  <c r="E18" i="5"/>
  <c r="W17" i="5"/>
  <c r="E17" i="5"/>
  <c r="W16" i="5"/>
  <c r="E16" i="5"/>
  <c r="W15" i="5"/>
  <c r="E15" i="5"/>
  <c r="W12" i="5"/>
  <c r="E12" i="5"/>
  <c r="W11" i="5"/>
  <c r="E11" i="5"/>
  <c r="G26" i="5" s="1"/>
  <c r="W10" i="5"/>
  <c r="E10" i="5"/>
  <c r="W9" i="5"/>
  <c r="E9" i="5"/>
  <c r="L26" i="5" s="1"/>
  <c r="AE2" i="5" s="1"/>
  <c r="AN2" i="5"/>
  <c r="AL2" i="5"/>
  <c r="AJ2" i="5"/>
  <c r="AH2" i="5"/>
  <c r="AF2" i="5"/>
  <c r="AB2" i="5"/>
  <c r="AA2" i="5"/>
  <c r="N2" i="5"/>
  <c r="I2" i="5"/>
  <c r="U60" i="4"/>
  <c r="AN2" i="4" s="1"/>
  <c r="S60" i="4"/>
  <c r="AL2" i="4" s="1"/>
  <c r="R60" i="4"/>
  <c r="P8" i="1" s="1"/>
  <c r="Q60" i="4"/>
  <c r="AJ2" i="4" s="1"/>
  <c r="O60" i="4"/>
  <c r="M8" i="1" s="1"/>
  <c r="M60" i="4"/>
  <c r="J60" i="4"/>
  <c r="H8" i="1" s="1"/>
  <c r="I60" i="4"/>
  <c r="AB2" i="4" s="1"/>
  <c r="H60" i="4"/>
  <c r="W54" i="4"/>
  <c r="E54" i="4"/>
  <c r="W53" i="4"/>
  <c r="E53" i="4"/>
  <c r="W52" i="4"/>
  <c r="E52" i="4"/>
  <c r="W50" i="4"/>
  <c r="E50" i="4"/>
  <c r="W49" i="4"/>
  <c r="E49" i="4"/>
  <c r="W48" i="4"/>
  <c r="E48" i="4"/>
  <c r="W46" i="4"/>
  <c r="E46" i="4"/>
  <c r="K60" i="4" s="1"/>
  <c r="W45" i="4"/>
  <c r="E45" i="4"/>
  <c r="W44" i="4"/>
  <c r="E44" i="4"/>
  <c r="W43" i="4"/>
  <c r="E43" i="4"/>
  <c r="W42" i="4"/>
  <c r="E42" i="4"/>
  <c r="W41" i="4"/>
  <c r="E41" i="4"/>
  <c r="W40" i="4"/>
  <c r="E40" i="4"/>
  <c r="W39" i="4"/>
  <c r="E39" i="4"/>
  <c r="W38" i="4"/>
  <c r="E38" i="4"/>
  <c r="W37" i="4"/>
  <c r="E37" i="4"/>
  <c r="W36" i="4"/>
  <c r="E36" i="4"/>
  <c r="W35" i="4"/>
  <c r="E35" i="4"/>
  <c r="W34" i="4"/>
  <c r="E34" i="4"/>
  <c r="W33" i="4"/>
  <c r="E33" i="4"/>
  <c r="W32" i="4"/>
  <c r="E32" i="4"/>
  <c r="W31" i="4"/>
  <c r="E31" i="4"/>
  <c r="W30" i="4"/>
  <c r="E30" i="4"/>
  <c r="W29" i="4"/>
  <c r="E29" i="4"/>
  <c r="W28" i="4"/>
  <c r="E28" i="4"/>
  <c r="W27" i="4"/>
  <c r="E27" i="4"/>
  <c r="W26" i="4"/>
  <c r="E26" i="4"/>
  <c r="W25" i="4"/>
  <c r="E25" i="4"/>
  <c r="W24" i="4"/>
  <c r="E24" i="4"/>
  <c r="W23" i="4"/>
  <c r="E23" i="4"/>
  <c r="W22" i="4"/>
  <c r="E22" i="4"/>
  <c r="W21" i="4"/>
  <c r="E21" i="4"/>
  <c r="W20" i="4"/>
  <c r="E20" i="4"/>
  <c r="W19" i="4"/>
  <c r="E19" i="4"/>
  <c r="W18" i="4"/>
  <c r="E18" i="4"/>
  <c r="W16" i="4"/>
  <c r="E16" i="4"/>
  <c r="W15" i="4"/>
  <c r="E15" i="4"/>
  <c r="W14" i="4"/>
  <c r="E14" i="4"/>
  <c r="W13" i="4"/>
  <c r="E13" i="4"/>
  <c r="W12" i="4"/>
  <c r="E12" i="4"/>
  <c r="G60" i="4" s="1"/>
  <c r="Z2" i="4" s="1"/>
  <c r="W11" i="4"/>
  <c r="E11" i="4"/>
  <c r="W10" i="4"/>
  <c r="E10" i="4"/>
  <c r="W9" i="4"/>
  <c r="E9" i="4"/>
  <c r="T60" i="4" s="1"/>
  <c r="AM2" i="4" s="1"/>
  <c r="AK2" i="4"/>
  <c r="AH2" i="4"/>
  <c r="AC2" i="4"/>
  <c r="N2" i="4"/>
  <c r="I2" i="4"/>
  <c r="U23" i="3"/>
  <c r="S7" i="1" s="1"/>
  <c r="S23" i="3"/>
  <c r="P23" i="3"/>
  <c r="O23" i="3"/>
  <c r="M23" i="3"/>
  <c r="J23" i="3"/>
  <c r="I23" i="3"/>
  <c r="G7" i="1" s="1"/>
  <c r="G23" i="3"/>
  <c r="W17" i="3"/>
  <c r="E17" i="3"/>
  <c r="W16" i="3"/>
  <c r="E16" i="3"/>
  <c r="W15" i="3"/>
  <c r="E15" i="3"/>
  <c r="W14" i="3"/>
  <c r="E14" i="3"/>
  <c r="W13" i="3"/>
  <c r="E13" i="3"/>
  <c r="W12" i="3"/>
  <c r="E12" i="3"/>
  <c r="W11" i="3"/>
  <c r="E11" i="3"/>
  <c r="L23" i="3" s="1"/>
  <c r="W10" i="3"/>
  <c r="E10" i="3"/>
  <c r="W9" i="3"/>
  <c r="E9" i="3"/>
  <c r="AH2" i="3"/>
  <c r="N2" i="3"/>
  <c r="I2" i="3"/>
  <c r="S29" i="2"/>
  <c r="Q6" i="1" s="1"/>
  <c r="Q29" i="2"/>
  <c r="AJ2" i="2" s="1"/>
  <c r="P29" i="2"/>
  <c r="M29" i="2"/>
  <c r="K29" i="2"/>
  <c r="I6" i="1" s="1"/>
  <c r="I29" i="2"/>
  <c r="AB2" i="2" s="1"/>
  <c r="W23" i="2"/>
  <c r="E23" i="2"/>
  <c r="H29" i="2" s="1"/>
  <c r="AA2" i="2" s="1"/>
  <c r="W22" i="2"/>
  <c r="E22" i="2"/>
  <c r="W20" i="2"/>
  <c r="E20" i="2"/>
  <c r="W19" i="2"/>
  <c r="E19" i="2"/>
  <c r="W17" i="2"/>
  <c r="E17" i="2"/>
  <c r="W16" i="2"/>
  <c r="E16" i="2"/>
  <c r="W15" i="2"/>
  <c r="E15" i="2"/>
  <c r="W14" i="2"/>
  <c r="E14" i="2"/>
  <c r="W12" i="2"/>
  <c r="E12" i="2"/>
  <c r="W11" i="2"/>
  <c r="E11" i="2"/>
  <c r="W9" i="2"/>
  <c r="E9" i="2"/>
  <c r="AL2" i="2"/>
  <c r="AD2" i="2"/>
  <c r="R33" i="1"/>
  <c r="Q33" i="1"/>
  <c r="O33" i="1"/>
  <c r="N33" i="1"/>
  <c r="M33" i="1"/>
  <c r="K33" i="1"/>
  <c r="J33" i="1"/>
  <c r="I33" i="1"/>
  <c r="H33" i="1"/>
  <c r="G33" i="1"/>
  <c r="F33" i="1"/>
  <c r="S32" i="1"/>
  <c r="Q32" i="1"/>
  <c r="P32" i="1"/>
  <c r="O32" i="1"/>
  <c r="M32" i="1"/>
  <c r="K32" i="1"/>
  <c r="I32" i="1"/>
  <c r="H32" i="1"/>
  <c r="G32" i="1"/>
  <c r="F32" i="1"/>
  <c r="E32" i="1"/>
  <c r="S31" i="1"/>
  <c r="Q31" i="1"/>
  <c r="P31" i="1"/>
  <c r="O31" i="1"/>
  <c r="M31" i="1"/>
  <c r="L31" i="1"/>
  <c r="K31" i="1"/>
  <c r="I31" i="1"/>
  <c r="H31" i="1"/>
  <c r="G31" i="1"/>
  <c r="F31" i="1"/>
  <c r="E31" i="1"/>
  <c r="S30" i="1"/>
  <c r="Q30" i="1"/>
  <c r="O30" i="1"/>
  <c r="N30" i="1"/>
  <c r="K30" i="1"/>
  <c r="H30" i="1"/>
  <c r="G30" i="1"/>
  <c r="E30" i="1"/>
  <c r="Q29" i="1"/>
  <c r="P29" i="1"/>
  <c r="N29" i="1"/>
  <c r="K29" i="1"/>
  <c r="I29" i="1"/>
  <c r="E29" i="1"/>
  <c r="S28" i="1"/>
  <c r="Q28" i="1"/>
  <c r="N28" i="1"/>
  <c r="M28" i="1"/>
  <c r="K28" i="1"/>
  <c r="J28" i="1"/>
  <c r="H28" i="1"/>
  <c r="G28" i="1"/>
  <c r="E28" i="1"/>
  <c r="S27" i="1"/>
  <c r="R27" i="1"/>
  <c r="Q27" i="1"/>
  <c r="P27" i="1"/>
  <c r="N27" i="1"/>
  <c r="M27" i="1"/>
  <c r="K27" i="1"/>
  <c r="F27" i="1"/>
  <c r="E27" i="1"/>
  <c r="S26" i="1"/>
  <c r="P26" i="1"/>
  <c r="O26" i="1"/>
  <c r="M26" i="1"/>
  <c r="L26" i="1"/>
  <c r="I26" i="1"/>
  <c r="H26" i="1"/>
  <c r="F26" i="1"/>
  <c r="E26" i="1"/>
  <c r="S25" i="1"/>
  <c r="Q25" i="1"/>
  <c r="P25" i="1"/>
  <c r="N25" i="1"/>
  <c r="M25" i="1"/>
  <c r="K25" i="1"/>
  <c r="I25" i="1"/>
  <c r="R24" i="1"/>
  <c r="Q24" i="1"/>
  <c r="P24" i="1"/>
  <c r="O24" i="1"/>
  <c r="N24" i="1"/>
  <c r="S14" i="1"/>
  <c r="Z2" i="21" l="1"/>
  <c r="E25" i="1"/>
  <c r="U42" i="9"/>
  <c r="T42" i="9"/>
  <c r="I37" i="8"/>
  <c r="AB2" i="8" s="1"/>
  <c r="R40" i="8"/>
  <c r="P24" i="7"/>
  <c r="G49" i="6"/>
  <c r="V52" i="6"/>
  <c r="L29" i="2"/>
  <c r="G65" i="13"/>
  <c r="Q43" i="12"/>
  <c r="I36" i="22"/>
  <c r="AB2" i="22" s="1"/>
  <c r="R52" i="21"/>
  <c r="R64" i="19"/>
  <c r="R65" i="19" s="1"/>
  <c r="R39" i="17"/>
  <c r="J30" i="1"/>
  <c r="AE2" i="26"/>
  <c r="J29" i="1"/>
  <c r="AE2" i="25"/>
  <c r="F28" i="1"/>
  <c r="AA2" i="24"/>
  <c r="Q44" i="24"/>
  <c r="T44" i="24"/>
  <c r="S46" i="24" s="1"/>
  <c r="T25" i="23"/>
  <c r="AM2" i="23" s="1"/>
  <c r="L25" i="23"/>
  <c r="J27" i="1" s="1"/>
  <c r="K26" i="1"/>
  <c r="AF2" i="22"/>
  <c r="N36" i="22"/>
  <c r="AG2" i="22" s="1"/>
  <c r="P36" i="22"/>
  <c r="AB2" i="20"/>
  <c r="G24" i="1"/>
  <c r="J43" i="20"/>
  <c r="AC2" i="20" s="1"/>
  <c r="O43" i="20"/>
  <c r="AM2" i="19"/>
  <c r="R23" i="1"/>
  <c r="AH2" i="19"/>
  <c r="M23" i="1"/>
  <c r="AB2" i="19"/>
  <c r="G23" i="1"/>
  <c r="S23" i="1"/>
  <c r="AN2" i="19"/>
  <c r="R67" i="19"/>
  <c r="C23" i="1" s="1"/>
  <c r="L64" i="19"/>
  <c r="L65" i="19" s="1"/>
  <c r="S64" i="19"/>
  <c r="AI2" i="18"/>
  <c r="N22" i="1"/>
  <c r="AB2" i="18"/>
  <c r="G22" i="1"/>
  <c r="AG2" i="18"/>
  <c r="L22" i="1"/>
  <c r="AA2" i="18"/>
  <c r="F22" i="1"/>
  <c r="Z2" i="18"/>
  <c r="E22" i="1"/>
  <c r="T62" i="18"/>
  <c r="L62" i="18"/>
  <c r="AE2" i="18" s="1"/>
  <c r="AL2" i="17"/>
  <c r="Q21" i="1"/>
  <c r="AI2" i="17"/>
  <c r="N21" i="1"/>
  <c r="AH2" i="17"/>
  <c r="M21" i="1"/>
  <c r="AE2" i="17"/>
  <c r="J21" i="1"/>
  <c r="AB2" i="17"/>
  <c r="G21" i="1"/>
  <c r="Y2" i="17"/>
  <c r="D21" i="1"/>
  <c r="AK2" i="16"/>
  <c r="P20" i="1"/>
  <c r="AJ2" i="16"/>
  <c r="O20" i="1"/>
  <c r="AB2" i="16"/>
  <c r="G20" i="1"/>
  <c r="AA2" i="16"/>
  <c r="F20" i="1"/>
  <c r="Z2" i="16"/>
  <c r="E20" i="1"/>
  <c r="R33" i="16"/>
  <c r="C20" i="1" s="1"/>
  <c r="L30" i="16"/>
  <c r="L31" i="16" s="1"/>
  <c r="AN2" i="15"/>
  <c r="S19" i="1"/>
  <c r="AF2" i="15"/>
  <c r="K19" i="1"/>
  <c r="AC2" i="15"/>
  <c r="H19" i="1"/>
  <c r="AA2" i="15"/>
  <c r="F19" i="1"/>
  <c r="Z2" i="15"/>
  <c r="E19" i="1"/>
  <c r="N24" i="15"/>
  <c r="L24" i="15"/>
  <c r="AN2" i="14"/>
  <c r="S18" i="1"/>
  <c r="AK2" i="14"/>
  <c r="P18" i="1"/>
  <c r="AH2" i="14"/>
  <c r="M18" i="1"/>
  <c r="AC2" i="14"/>
  <c r="H18" i="1"/>
  <c r="K33" i="14"/>
  <c r="AD2" i="14" s="1"/>
  <c r="L33" i="14"/>
  <c r="AE2" i="14" s="1"/>
  <c r="AL2" i="13"/>
  <c r="Q17" i="1"/>
  <c r="AJ2" i="13"/>
  <c r="O17" i="1"/>
  <c r="AH2" i="13"/>
  <c r="M17" i="1"/>
  <c r="AF2" i="13"/>
  <c r="K17" i="1"/>
  <c r="N65" i="13"/>
  <c r="R68" i="13"/>
  <c r="AH2" i="12"/>
  <c r="M16" i="1"/>
  <c r="AC2" i="12"/>
  <c r="H16" i="1"/>
  <c r="AB2" i="12"/>
  <c r="G16" i="1"/>
  <c r="AL2" i="11"/>
  <c r="Q15" i="1"/>
  <c r="I15" i="1"/>
  <c r="AD2" i="11"/>
  <c r="H15" i="1"/>
  <c r="AC2" i="11"/>
  <c r="AB2" i="11"/>
  <c r="G15" i="1"/>
  <c r="AL2" i="10"/>
  <c r="Q14" i="1"/>
  <c r="AI2" i="10"/>
  <c r="N14" i="1"/>
  <c r="AD2" i="10"/>
  <c r="I14" i="1"/>
  <c r="F34" i="10"/>
  <c r="R34" i="10"/>
  <c r="AH2" i="9"/>
  <c r="M13" i="1"/>
  <c r="AB2" i="9"/>
  <c r="G13" i="1"/>
  <c r="AK2" i="8"/>
  <c r="P12" i="1"/>
  <c r="AC2" i="8"/>
  <c r="H12" i="1"/>
  <c r="AN2" i="7"/>
  <c r="S11" i="1"/>
  <c r="AK2" i="7"/>
  <c r="P11" i="1"/>
  <c r="AH2" i="7"/>
  <c r="M11" i="1"/>
  <c r="AA2" i="7"/>
  <c r="F11" i="1"/>
  <c r="AJ2" i="7"/>
  <c r="O11" i="1"/>
  <c r="J11" i="1"/>
  <c r="AE2" i="7"/>
  <c r="AL2" i="6"/>
  <c r="Q10" i="1"/>
  <c r="AH2" i="6"/>
  <c r="M10" i="1"/>
  <c r="AI2" i="6"/>
  <c r="N10" i="1"/>
  <c r="N49" i="6"/>
  <c r="AG2" i="6" s="1"/>
  <c r="T49" i="6"/>
  <c r="S51" i="6" s="1"/>
  <c r="AK2" i="5"/>
  <c r="P9" i="1"/>
  <c r="AC2" i="5"/>
  <c r="H9" i="1"/>
  <c r="AA2" i="4"/>
  <c r="F8" i="1"/>
  <c r="AI2" i="3"/>
  <c r="N7" i="1"/>
  <c r="AC2" i="3"/>
  <c r="H7" i="1"/>
  <c r="J7" i="1"/>
  <c r="AE2" i="3"/>
  <c r="AI2" i="2"/>
  <c r="N6" i="1"/>
  <c r="T29" i="2"/>
  <c r="AM2" i="2" s="1"/>
  <c r="F29" i="2"/>
  <c r="F30" i="1"/>
  <c r="V25" i="26"/>
  <c r="S29" i="1"/>
  <c r="M29" i="1"/>
  <c r="AE2" i="23"/>
  <c r="G26" i="1"/>
  <c r="H24" i="1"/>
  <c r="V67" i="19"/>
  <c r="J22" i="1"/>
  <c r="J18" i="1"/>
  <c r="J13" i="1"/>
  <c r="G12" i="1"/>
  <c r="G11" i="1"/>
  <c r="J9" i="1"/>
  <c r="E8" i="1"/>
  <c r="Z2" i="3"/>
  <c r="H23" i="3"/>
  <c r="V40" i="8"/>
  <c r="E13" i="1"/>
  <c r="Z2" i="9"/>
  <c r="U37" i="17"/>
  <c r="P37" i="17"/>
  <c r="R8" i="1"/>
  <c r="R32" i="2"/>
  <c r="T23" i="3"/>
  <c r="S25" i="3" s="1"/>
  <c r="R26" i="3"/>
  <c r="K23" i="3"/>
  <c r="K24" i="3" s="1"/>
  <c r="R23" i="3"/>
  <c r="V29" i="5"/>
  <c r="R6" i="1"/>
  <c r="V32" i="2"/>
  <c r="Q23" i="3"/>
  <c r="G24" i="7"/>
  <c r="Z2" i="7" s="1"/>
  <c r="K24" i="7"/>
  <c r="AM2" i="18"/>
  <c r="R22" i="1"/>
  <c r="I65" i="19"/>
  <c r="Q65" i="19"/>
  <c r="O50" i="21"/>
  <c r="G50" i="21"/>
  <c r="G25" i="1"/>
  <c r="AB2" i="21"/>
  <c r="S24" i="3"/>
  <c r="U31" i="16"/>
  <c r="S31" i="16"/>
  <c r="H31" i="16"/>
  <c r="M31" i="16"/>
  <c r="AB2" i="23"/>
  <c r="G27" i="1"/>
  <c r="F6" i="1"/>
  <c r="Q8" i="1"/>
  <c r="P10" i="1"/>
  <c r="G29" i="2"/>
  <c r="O29" i="2"/>
  <c r="O30" i="2" s="1"/>
  <c r="U29" i="2"/>
  <c r="AL2" i="3"/>
  <c r="O24" i="3"/>
  <c r="V63" i="4"/>
  <c r="E9" i="1"/>
  <c r="Z2" i="5"/>
  <c r="R27" i="7"/>
  <c r="M42" i="9"/>
  <c r="J34" i="10"/>
  <c r="R46" i="12"/>
  <c r="H43" i="12"/>
  <c r="T43" i="12"/>
  <c r="S45" i="12" s="1"/>
  <c r="I33" i="14"/>
  <c r="K30" i="16"/>
  <c r="K31" i="16" s="1"/>
  <c r="P30" i="16"/>
  <c r="T30" i="16"/>
  <c r="T36" i="17"/>
  <c r="S38" i="17" s="1"/>
  <c r="M36" i="17"/>
  <c r="M38" i="17" s="1"/>
  <c r="Q36" i="17"/>
  <c r="P38" i="17" s="1"/>
  <c r="V65" i="18"/>
  <c r="U43" i="20"/>
  <c r="R46" i="20"/>
  <c r="N49" i="21"/>
  <c r="M51" i="21" s="1"/>
  <c r="J49" i="21"/>
  <c r="Q49" i="21"/>
  <c r="R28" i="23"/>
  <c r="V47" i="24"/>
  <c r="R25" i="26"/>
  <c r="G24" i="29"/>
  <c r="F24" i="29"/>
  <c r="Q37" i="8"/>
  <c r="V46" i="12"/>
  <c r="U43" i="12"/>
  <c r="V39" i="17"/>
  <c r="G43" i="20"/>
  <c r="K44" i="20"/>
  <c r="P45" i="20"/>
  <c r="V52" i="21"/>
  <c r="T36" i="22"/>
  <c r="Q25" i="23"/>
  <c r="K24" i="15"/>
  <c r="AD2" i="15" s="1"/>
  <c r="P24" i="15"/>
  <c r="P26" i="15" s="1"/>
  <c r="T24" i="15"/>
  <c r="S26" i="15" s="1"/>
  <c r="K36" i="17"/>
  <c r="K38" i="17" s="1"/>
  <c r="J29" i="2"/>
  <c r="H6" i="1" s="1"/>
  <c r="V26" i="3"/>
  <c r="N26" i="5"/>
  <c r="K26" i="5"/>
  <c r="AD2" i="5" s="1"/>
  <c r="R52" i="6"/>
  <c r="F50" i="6" s="1"/>
  <c r="M37" i="8"/>
  <c r="N37" i="8"/>
  <c r="P37" i="8"/>
  <c r="P39" i="8" s="1"/>
  <c r="G61" i="11"/>
  <c r="U61" i="11"/>
  <c r="S63" i="11" s="1"/>
  <c r="H65" i="13"/>
  <c r="H66" i="13" s="1"/>
  <c r="N66" i="13"/>
  <c r="V27" i="15"/>
  <c r="R27" i="15"/>
  <c r="V33" i="16"/>
  <c r="L43" i="20"/>
  <c r="K45" i="20" s="1"/>
  <c r="F43" i="20"/>
  <c r="S36" i="22"/>
  <c r="N44" i="24"/>
  <c r="R44" i="24"/>
  <c r="K44" i="24"/>
  <c r="R47" i="24"/>
  <c r="F29" i="25"/>
  <c r="D29" i="1" s="1"/>
  <c r="J29" i="25"/>
  <c r="U24" i="29"/>
  <c r="R7" i="1"/>
  <c r="AM2" i="3"/>
  <c r="F7" i="1"/>
  <c r="AA2" i="3"/>
  <c r="R13" i="1"/>
  <c r="AM2" i="9"/>
  <c r="S13" i="1"/>
  <c r="AN2" i="9"/>
  <c r="I8" i="1"/>
  <c r="AD2" i="4"/>
  <c r="R25" i="7"/>
  <c r="J25" i="7"/>
  <c r="M25" i="7"/>
  <c r="H25" i="7"/>
  <c r="C11" i="1"/>
  <c r="T25" i="7"/>
  <c r="O25" i="7"/>
  <c r="I25" i="7"/>
  <c r="Q25" i="7"/>
  <c r="L25" i="7"/>
  <c r="U25" i="7"/>
  <c r="P25" i="7"/>
  <c r="T30" i="2"/>
  <c r="J6" i="1"/>
  <c r="AC2" i="2"/>
  <c r="T24" i="3"/>
  <c r="R50" i="6"/>
  <c r="N50" i="6"/>
  <c r="J50" i="6"/>
  <c r="S50" i="6"/>
  <c r="M50" i="6"/>
  <c r="T50" i="6"/>
  <c r="I50" i="6"/>
  <c r="U50" i="6"/>
  <c r="P50" i="6"/>
  <c r="C10" i="1"/>
  <c r="O50" i="6"/>
  <c r="M39" i="8"/>
  <c r="AF2" i="8"/>
  <c r="K12" i="1"/>
  <c r="L12" i="1"/>
  <c r="AG2" i="8"/>
  <c r="P38" i="8"/>
  <c r="H38" i="8"/>
  <c r="R45" i="9"/>
  <c r="N22" i="28"/>
  <c r="M24" i="28" s="1"/>
  <c r="R25" i="28"/>
  <c r="F22" i="28"/>
  <c r="C6" i="1"/>
  <c r="G6" i="1"/>
  <c r="K6" i="1"/>
  <c r="O6" i="1"/>
  <c r="S6" i="1"/>
  <c r="E7" i="1"/>
  <c r="M7" i="1"/>
  <c r="Q7" i="1"/>
  <c r="G8" i="1"/>
  <c r="K8" i="1"/>
  <c r="O8" i="1"/>
  <c r="S8" i="1"/>
  <c r="Q9" i="1"/>
  <c r="G14" i="1"/>
  <c r="E23" i="1"/>
  <c r="N29" i="2"/>
  <c r="R29" i="2"/>
  <c r="F23" i="3"/>
  <c r="N23" i="3"/>
  <c r="F60" i="4"/>
  <c r="N60" i="4"/>
  <c r="P26" i="5"/>
  <c r="T26" i="5"/>
  <c r="H49" i="6"/>
  <c r="L49" i="6"/>
  <c r="Q49" i="6"/>
  <c r="AL2" i="8"/>
  <c r="AJ2" i="9"/>
  <c r="T61" i="11"/>
  <c r="P61" i="11"/>
  <c r="L61" i="11"/>
  <c r="H61" i="11"/>
  <c r="R64" i="11"/>
  <c r="R36" i="14"/>
  <c r="Q33" i="14"/>
  <c r="N33" i="14"/>
  <c r="P33" i="14"/>
  <c r="S33" i="14"/>
  <c r="M33" i="14"/>
  <c r="F33" i="14"/>
  <c r="AL2" i="27"/>
  <c r="Y2" i="6"/>
  <c r="K42" i="9"/>
  <c r="AL2" i="12"/>
  <c r="R11" i="1"/>
  <c r="AF2" i="2"/>
  <c r="AB2" i="3"/>
  <c r="AF2" i="3"/>
  <c r="AN2" i="3"/>
  <c r="AF2" i="4"/>
  <c r="R63" i="4"/>
  <c r="R29" i="5"/>
  <c r="AD2" i="6"/>
  <c r="N24" i="7"/>
  <c r="F24" i="7"/>
  <c r="V27" i="7"/>
  <c r="T34" i="10"/>
  <c r="L34" i="10"/>
  <c r="H34" i="10"/>
  <c r="Q34" i="10"/>
  <c r="R37" i="10"/>
  <c r="AJ2" i="11"/>
  <c r="AF2" i="12"/>
  <c r="D10" i="1"/>
  <c r="L10" i="1"/>
  <c r="K7" i="1"/>
  <c r="E12" i="1"/>
  <c r="I12" i="1"/>
  <c r="E16" i="1"/>
  <c r="Q16" i="1"/>
  <c r="I18" i="1"/>
  <c r="L60" i="4"/>
  <c r="P60" i="4"/>
  <c r="F26" i="5"/>
  <c r="AF2" i="7"/>
  <c r="S24" i="7"/>
  <c r="T37" i="8"/>
  <c r="L37" i="8"/>
  <c r="F37" i="8"/>
  <c r="AL2" i="9"/>
  <c r="V45" i="9"/>
  <c r="P42" i="9"/>
  <c r="AF2" i="10"/>
  <c r="V37" i="10"/>
  <c r="N34" i="10"/>
  <c r="M36" i="10" s="1"/>
  <c r="AD2" i="13"/>
  <c r="AL2" i="16"/>
  <c r="AJ2" i="18"/>
  <c r="AD2" i="21"/>
  <c r="AF2" i="29"/>
  <c r="N42" i="9"/>
  <c r="F42" i="9"/>
  <c r="N61" i="11"/>
  <c r="F61" i="11"/>
  <c r="M63" i="11"/>
  <c r="T65" i="13"/>
  <c r="S67" i="13" s="1"/>
  <c r="P65" i="13"/>
  <c r="L65" i="13"/>
  <c r="F65" i="13"/>
  <c r="AD2" i="25"/>
  <c r="T33" i="14"/>
  <c r="H33" i="14"/>
  <c r="R31" i="16"/>
  <c r="J31" i="16"/>
  <c r="Q31" i="16"/>
  <c r="G31" i="16"/>
  <c r="O31" i="16"/>
  <c r="I31" i="16"/>
  <c r="F43" i="12"/>
  <c r="N43" i="12"/>
  <c r="V68" i="13"/>
  <c r="V36" i="14"/>
  <c r="R62" i="18"/>
  <c r="F62" i="18"/>
  <c r="M62" i="18"/>
  <c r="T65" i="19"/>
  <c r="H65" i="19"/>
  <c r="J65" i="19"/>
  <c r="AJ2" i="26"/>
  <c r="M65" i="19"/>
  <c r="U65" i="19"/>
  <c r="V46" i="20"/>
  <c r="Y2" i="21"/>
  <c r="V39" i="22"/>
  <c r="AF2" i="23"/>
  <c r="T29" i="25"/>
  <c r="N29" i="25"/>
  <c r="R32" i="25"/>
  <c r="Q29" i="25"/>
  <c r="I29" i="25"/>
  <c r="AL2" i="25"/>
  <c r="L43" i="12"/>
  <c r="P43" i="12"/>
  <c r="N30" i="16"/>
  <c r="F30" i="16"/>
  <c r="H36" i="17"/>
  <c r="AL2" i="18"/>
  <c r="K62" i="18"/>
  <c r="R65" i="18"/>
  <c r="S64" i="18" s="1"/>
  <c r="AF2" i="19"/>
  <c r="P64" i="19"/>
  <c r="N64" i="19"/>
  <c r="F64" i="19"/>
  <c r="K64" i="19"/>
  <c r="G65" i="19"/>
  <c r="O65" i="19"/>
  <c r="H49" i="21"/>
  <c r="L49" i="21"/>
  <c r="T49" i="21"/>
  <c r="L36" i="22"/>
  <c r="R39" i="22"/>
  <c r="F25" i="23"/>
  <c r="J25" i="23"/>
  <c r="N25" i="23"/>
  <c r="V32" i="25"/>
  <c r="T41" i="27"/>
  <c r="P41" i="27"/>
  <c r="L41" i="27"/>
  <c r="F41" i="27"/>
  <c r="V28" i="23"/>
  <c r="K25" i="23"/>
  <c r="H29" i="25"/>
  <c r="O22" i="26"/>
  <c r="T22" i="26"/>
  <c r="V44" i="27"/>
  <c r="R44" i="27"/>
  <c r="T22" i="28"/>
  <c r="V27" i="29"/>
  <c r="F24" i="15"/>
  <c r="N43" i="20"/>
  <c r="F36" i="22"/>
  <c r="AL2" i="23"/>
  <c r="R22" i="26"/>
  <c r="N22" i="26"/>
  <c r="K22" i="26"/>
  <c r="M43" i="27"/>
  <c r="AF2" i="28"/>
  <c r="V25" i="28"/>
  <c r="N24" i="29"/>
  <c r="R24" i="29"/>
  <c r="R27" i="29"/>
  <c r="F44" i="24"/>
  <c r="F22" i="26"/>
  <c r="L22" i="28"/>
  <c r="P22" i="28"/>
  <c r="E17" i="1" l="1"/>
  <c r="Z2" i="13"/>
  <c r="O16" i="1"/>
  <c r="AJ2" i="12"/>
  <c r="P23" i="1"/>
  <c r="AK2" i="19"/>
  <c r="O28" i="1"/>
  <c r="AJ2" i="24"/>
  <c r="R28" i="1"/>
  <c r="AM2" i="24"/>
  <c r="N26" i="1"/>
  <c r="AI2" i="22"/>
  <c r="M24" i="1"/>
  <c r="AH2" i="20"/>
  <c r="J23" i="1"/>
  <c r="AE2" i="19"/>
  <c r="Q23" i="1"/>
  <c r="AL2" i="19"/>
  <c r="J20" i="1"/>
  <c r="AE2" i="16"/>
  <c r="L19" i="1"/>
  <c r="AG2" i="15"/>
  <c r="AE2" i="15"/>
  <c r="J19" i="1"/>
  <c r="L17" i="1"/>
  <c r="AG2" i="13"/>
  <c r="C17" i="1"/>
  <c r="Q66" i="13"/>
  <c r="D14" i="1"/>
  <c r="Y2" i="10"/>
  <c r="P14" i="1"/>
  <c r="AK2" i="10"/>
  <c r="R10" i="1"/>
  <c r="AM2" i="6"/>
  <c r="D6" i="1"/>
  <c r="Y2" i="2"/>
  <c r="N24" i="3"/>
  <c r="M62" i="4"/>
  <c r="F25" i="7"/>
  <c r="S25" i="7"/>
  <c r="T38" i="8"/>
  <c r="T66" i="13"/>
  <c r="P66" i="13"/>
  <c r="L66" i="13"/>
  <c r="N44" i="12"/>
  <c r="F38" i="17"/>
  <c r="H50" i="21"/>
  <c r="K51" i="21"/>
  <c r="P38" i="22"/>
  <c r="O23" i="26"/>
  <c r="T23" i="26"/>
  <c r="R23" i="26"/>
  <c r="K23" i="26"/>
  <c r="P26" i="29"/>
  <c r="S26" i="29"/>
  <c r="K26" i="7"/>
  <c r="U44" i="20"/>
  <c r="C12" i="1"/>
  <c r="I38" i="8"/>
  <c r="Q38" i="8"/>
  <c r="O38" i="8"/>
  <c r="G38" i="8"/>
  <c r="M38" i="8"/>
  <c r="R38" i="8"/>
  <c r="J38" i="8"/>
  <c r="U38" i="8"/>
  <c r="S38" i="8"/>
  <c r="N38" i="8"/>
  <c r="K38" i="8"/>
  <c r="AI2" i="7"/>
  <c r="N11" i="1"/>
  <c r="P26" i="7"/>
  <c r="E10" i="1"/>
  <c r="Z2" i="6"/>
  <c r="F51" i="6"/>
  <c r="AE2" i="2"/>
  <c r="K31" i="2"/>
  <c r="C25" i="1"/>
  <c r="I50" i="21"/>
  <c r="M50" i="21"/>
  <c r="K50" i="21"/>
  <c r="U50" i="21"/>
  <c r="P50" i="21"/>
  <c r="F50" i="21"/>
  <c r="J50" i="21"/>
  <c r="N50" i="21"/>
  <c r="R50" i="21"/>
  <c r="S50" i="21"/>
  <c r="C21" i="1"/>
  <c r="F37" i="17"/>
  <c r="O37" i="17"/>
  <c r="T37" i="17"/>
  <c r="N37" i="17"/>
  <c r="G37" i="17"/>
  <c r="R37" i="17"/>
  <c r="J37" i="17"/>
  <c r="M37" i="17"/>
  <c r="K37" i="17"/>
  <c r="L37" i="17"/>
  <c r="Q37" i="17"/>
  <c r="S37" i="17"/>
  <c r="I37" i="17"/>
  <c r="S66" i="19"/>
  <c r="S65" i="19"/>
  <c r="U66" i="13"/>
  <c r="O66" i="13"/>
  <c r="J66" i="13"/>
  <c r="I66" i="13"/>
  <c r="S66" i="13"/>
  <c r="M67" i="13"/>
  <c r="K66" i="13"/>
  <c r="G66" i="13"/>
  <c r="M66" i="13"/>
  <c r="R66" i="13"/>
  <c r="F30" i="2"/>
  <c r="R30" i="2"/>
  <c r="Q30" i="2"/>
  <c r="M30" i="2"/>
  <c r="I30" i="2"/>
  <c r="G30" i="2"/>
  <c r="K30" i="2"/>
  <c r="S30" i="2"/>
  <c r="U30" i="2"/>
  <c r="H30" i="2"/>
  <c r="P30" i="2"/>
  <c r="P31" i="2"/>
  <c r="L30" i="2"/>
  <c r="G24" i="3"/>
  <c r="U24" i="3"/>
  <c r="C7" i="1"/>
  <c r="L24" i="3"/>
  <c r="J24" i="3"/>
  <c r="R24" i="3"/>
  <c r="P24" i="3"/>
  <c r="H24" i="3"/>
  <c r="I24" i="3"/>
  <c r="M24" i="3"/>
  <c r="Q24" i="3"/>
  <c r="O7" i="1"/>
  <c r="P25" i="3"/>
  <c r="AJ2" i="3"/>
  <c r="AN2" i="2"/>
  <c r="S31" i="2"/>
  <c r="K44" i="12"/>
  <c r="J44" i="12"/>
  <c r="C16" i="1"/>
  <c r="G44" i="12"/>
  <c r="O44" i="12"/>
  <c r="I44" i="12"/>
  <c r="Q44" i="12"/>
  <c r="T44" i="12"/>
  <c r="S44" i="12"/>
  <c r="H44" i="12"/>
  <c r="M44" i="12"/>
  <c r="U44" i="12"/>
  <c r="R44" i="12"/>
  <c r="P31" i="16"/>
  <c r="P32" i="16"/>
  <c r="S32" i="16"/>
  <c r="T31" i="16"/>
  <c r="I44" i="20"/>
  <c r="F44" i="20"/>
  <c r="R44" i="20"/>
  <c r="J44" i="20"/>
  <c r="T44" i="20"/>
  <c r="P44" i="20"/>
  <c r="H44" i="20"/>
  <c r="C27" i="1"/>
  <c r="O26" i="23"/>
  <c r="S26" i="23"/>
  <c r="I26" i="23"/>
  <c r="R26" i="23"/>
  <c r="G26" i="23"/>
  <c r="Q26" i="23"/>
  <c r="S27" i="23"/>
  <c r="L26" i="23"/>
  <c r="T26" i="23"/>
  <c r="M26" i="23"/>
  <c r="P26" i="23"/>
  <c r="U26" i="23"/>
  <c r="H26" i="23"/>
  <c r="C30" i="1"/>
  <c r="Q23" i="26"/>
  <c r="L23" i="26"/>
  <c r="J23" i="26"/>
  <c r="U23" i="26"/>
  <c r="P23" i="26"/>
  <c r="I23" i="26"/>
  <c r="G23" i="26"/>
  <c r="M23" i="26"/>
  <c r="H23" i="26"/>
  <c r="S23" i="26"/>
  <c r="AJ2" i="8"/>
  <c r="O12" i="1"/>
  <c r="O27" i="1"/>
  <c r="P27" i="23"/>
  <c r="AJ2" i="23"/>
  <c r="R25" i="15"/>
  <c r="N25" i="15"/>
  <c r="J25" i="15"/>
  <c r="S25" i="15"/>
  <c r="H25" i="15"/>
  <c r="Q25" i="15"/>
  <c r="I25" i="15"/>
  <c r="O25" i="15"/>
  <c r="T25" i="15"/>
  <c r="G25" i="15"/>
  <c r="U25" i="15"/>
  <c r="K25" i="15"/>
  <c r="L25" i="15"/>
  <c r="D24" i="1"/>
  <c r="F45" i="20"/>
  <c r="Y2" i="20"/>
  <c r="P45" i="24"/>
  <c r="T45" i="24"/>
  <c r="K45" i="24"/>
  <c r="R45" i="24"/>
  <c r="N45" i="24"/>
  <c r="J45" i="24"/>
  <c r="G45" i="24"/>
  <c r="L45" i="24"/>
  <c r="Q45" i="24"/>
  <c r="H45" i="24"/>
  <c r="M45" i="24"/>
  <c r="S45" i="24"/>
  <c r="S31" i="25"/>
  <c r="Y2" i="25"/>
  <c r="S45" i="20"/>
  <c r="L44" i="20"/>
  <c r="AD2" i="16"/>
  <c r="F36" i="10"/>
  <c r="G25" i="7"/>
  <c r="E11" i="1"/>
  <c r="I11" i="1"/>
  <c r="AD2" i="7"/>
  <c r="K25" i="7"/>
  <c r="I9" i="1"/>
  <c r="I7" i="1"/>
  <c r="J30" i="2"/>
  <c r="F31" i="2"/>
  <c r="P24" i="26"/>
  <c r="AC2" i="25"/>
  <c r="H29" i="1"/>
  <c r="AL2" i="22"/>
  <c r="Q26" i="1"/>
  <c r="P25" i="15"/>
  <c r="M25" i="15"/>
  <c r="C19" i="1"/>
  <c r="AN2" i="11"/>
  <c r="S15" i="1"/>
  <c r="S34" i="1" s="1"/>
  <c r="AK2" i="1" s="1"/>
  <c r="AM2" i="15"/>
  <c r="R19" i="1"/>
  <c r="E33" i="1"/>
  <c r="Z2" i="29"/>
  <c r="P51" i="21"/>
  <c r="AJ2" i="21"/>
  <c r="O25" i="1"/>
  <c r="S24" i="1"/>
  <c r="AN2" i="20"/>
  <c r="AM2" i="17"/>
  <c r="R21" i="1"/>
  <c r="AB2" i="14"/>
  <c r="G18" i="1"/>
  <c r="AC2" i="10"/>
  <c r="H14" i="1"/>
  <c r="K67" i="13"/>
  <c r="K46" i="24"/>
  <c r="AD2" i="24"/>
  <c r="I28" i="1"/>
  <c r="Z2" i="11"/>
  <c r="E15" i="1"/>
  <c r="AI2" i="15"/>
  <c r="N19" i="1"/>
  <c r="AM2" i="22"/>
  <c r="R26" i="1"/>
  <c r="G44" i="20"/>
  <c r="E24" i="1"/>
  <c r="Z2" i="20"/>
  <c r="AC2" i="21"/>
  <c r="H25" i="1"/>
  <c r="AM2" i="16"/>
  <c r="R20" i="1"/>
  <c r="AM2" i="12"/>
  <c r="R16" i="1"/>
  <c r="AF2" i="9"/>
  <c r="K13" i="1"/>
  <c r="M6" i="1"/>
  <c r="AH2" i="2"/>
  <c r="F26" i="29"/>
  <c r="F31" i="25"/>
  <c r="O45" i="24"/>
  <c r="I45" i="24"/>
  <c r="C28" i="1"/>
  <c r="AK2" i="24"/>
  <c r="P46" i="24"/>
  <c r="P28" i="1"/>
  <c r="AE2" i="20"/>
  <c r="J24" i="1"/>
  <c r="AI2" i="8"/>
  <c r="N12" i="1"/>
  <c r="AD2" i="17"/>
  <c r="I21" i="1"/>
  <c r="K26" i="15"/>
  <c r="I19" i="1"/>
  <c r="M51" i="6"/>
  <c r="AG2" i="21"/>
  <c r="L25" i="1"/>
  <c r="AJ2" i="17"/>
  <c r="O21" i="1"/>
  <c r="AI2" i="16"/>
  <c r="N20" i="1"/>
  <c r="AA2" i="12"/>
  <c r="F16" i="1"/>
  <c r="E6" i="1"/>
  <c r="E34" i="1" s="1"/>
  <c r="W2" i="1" s="1"/>
  <c r="Z2" i="2"/>
  <c r="AK2" i="3"/>
  <c r="P7" i="1"/>
  <c r="P64" i="18"/>
  <c r="M38" i="22"/>
  <c r="H37" i="17"/>
  <c r="S28" i="5"/>
  <c r="K50" i="6"/>
  <c r="G50" i="6"/>
  <c r="S33" i="1"/>
  <c r="AN2" i="29"/>
  <c r="U45" i="24"/>
  <c r="AG2" i="24"/>
  <c r="L28" i="1"/>
  <c r="AA2" i="13"/>
  <c r="F17" i="1"/>
  <c r="AG2" i="5"/>
  <c r="L9" i="1"/>
  <c r="M26" i="15"/>
  <c r="M46" i="24"/>
  <c r="AN2" i="12"/>
  <c r="S16" i="1"/>
  <c r="Y2" i="29"/>
  <c r="D33" i="1"/>
  <c r="Q44" i="20"/>
  <c r="S44" i="20"/>
  <c r="O44" i="20"/>
  <c r="M44" i="20"/>
  <c r="C24" i="1"/>
  <c r="AF2" i="17"/>
  <c r="K21" i="1"/>
  <c r="K32" i="16"/>
  <c r="I20" i="1"/>
  <c r="Q50" i="21"/>
  <c r="K25" i="3"/>
  <c r="AD2" i="3"/>
  <c r="AG2" i="26"/>
  <c r="L30" i="1"/>
  <c r="AG2" i="23"/>
  <c r="L27" i="1"/>
  <c r="AG2" i="19"/>
  <c r="L23" i="1"/>
  <c r="AI2" i="12"/>
  <c r="P45" i="12"/>
  <c r="N16" i="1"/>
  <c r="F45" i="12"/>
  <c r="Y2" i="12"/>
  <c r="D16" i="1"/>
  <c r="T16" i="1" s="1"/>
  <c r="F44" i="12"/>
  <c r="AG2" i="7"/>
  <c r="L11" i="1"/>
  <c r="AL2" i="14"/>
  <c r="S35" i="14"/>
  <c r="Q18" i="1"/>
  <c r="AJ2" i="6"/>
  <c r="O10" i="1"/>
  <c r="AG2" i="2"/>
  <c r="L6" i="1"/>
  <c r="R43" i="9"/>
  <c r="N43" i="9"/>
  <c r="J43" i="9"/>
  <c r="F43" i="9"/>
  <c r="Q43" i="9"/>
  <c r="L43" i="9"/>
  <c r="G43" i="9"/>
  <c r="S43" i="9"/>
  <c r="K43" i="9"/>
  <c r="C13" i="1"/>
  <c r="P43" i="9"/>
  <c r="I43" i="9"/>
  <c r="T43" i="9"/>
  <c r="U43" i="9"/>
  <c r="O43" i="9"/>
  <c r="H43" i="9"/>
  <c r="M43" i="9"/>
  <c r="Q50" i="6"/>
  <c r="M31" i="2"/>
  <c r="M25" i="3"/>
  <c r="F24" i="26"/>
  <c r="Y2" i="26"/>
  <c r="D30" i="1"/>
  <c r="T30" i="1" s="1"/>
  <c r="AK2" i="29"/>
  <c r="P33" i="1"/>
  <c r="AK2" i="26"/>
  <c r="P30" i="1"/>
  <c r="F26" i="15"/>
  <c r="Y2" i="15"/>
  <c r="D19" i="1"/>
  <c r="T19" i="1" s="1"/>
  <c r="S24" i="28"/>
  <c r="AM2" i="28"/>
  <c r="R32" i="1"/>
  <c r="AH2" i="26"/>
  <c r="M30" i="1"/>
  <c r="M34" i="1" s="1"/>
  <c r="AE2" i="1" s="1"/>
  <c r="F43" i="27"/>
  <c r="D31" i="1"/>
  <c r="Y2" i="27"/>
  <c r="S24" i="26"/>
  <c r="AC2" i="23"/>
  <c r="H27" i="1"/>
  <c r="AM2" i="21"/>
  <c r="R25" i="1"/>
  <c r="M24" i="26"/>
  <c r="AI2" i="19"/>
  <c r="N23" i="1"/>
  <c r="P66" i="19"/>
  <c r="AG2" i="16"/>
  <c r="M32" i="16"/>
  <c r="L20" i="1"/>
  <c r="AE2" i="12"/>
  <c r="K45" i="12"/>
  <c r="J16" i="1"/>
  <c r="AB2" i="25"/>
  <c r="G29" i="1"/>
  <c r="G34" i="1" s="1"/>
  <c r="Y2" i="1" s="1"/>
  <c r="AM2" i="25"/>
  <c r="R29" i="1"/>
  <c r="M27" i="23"/>
  <c r="L50" i="21"/>
  <c r="S51" i="21"/>
  <c r="N65" i="19"/>
  <c r="P65" i="19"/>
  <c r="AF2" i="18"/>
  <c r="M64" i="18"/>
  <c r="K22" i="1"/>
  <c r="F23" i="26"/>
  <c r="AE2" i="13"/>
  <c r="J17" i="1"/>
  <c r="AG2" i="9"/>
  <c r="L13" i="1"/>
  <c r="AE2" i="8"/>
  <c r="J12" i="1"/>
  <c r="L44" i="12"/>
  <c r="S44" i="9"/>
  <c r="T27" i="5"/>
  <c r="R27" i="5"/>
  <c r="N27" i="5"/>
  <c r="J27" i="5"/>
  <c r="F27" i="5"/>
  <c r="C9" i="1"/>
  <c r="S27" i="5"/>
  <c r="Q27" i="5"/>
  <c r="M27" i="5"/>
  <c r="I27" i="5"/>
  <c r="K27" i="5"/>
  <c r="G27" i="5"/>
  <c r="U27" i="5"/>
  <c r="P27" i="5"/>
  <c r="L27" i="5"/>
  <c r="H27" i="5"/>
  <c r="O27" i="5"/>
  <c r="N26" i="23"/>
  <c r="AI2" i="14"/>
  <c r="P35" i="14"/>
  <c r="N18" i="1"/>
  <c r="R62" i="11"/>
  <c r="N62" i="11"/>
  <c r="J62" i="11"/>
  <c r="F62" i="11"/>
  <c r="T62" i="11"/>
  <c r="P62" i="11"/>
  <c r="L62" i="11"/>
  <c r="H62" i="11"/>
  <c r="U62" i="11"/>
  <c r="M62" i="11"/>
  <c r="S62" i="11"/>
  <c r="K62" i="11"/>
  <c r="G62" i="11"/>
  <c r="C15" i="1"/>
  <c r="Q62" i="11"/>
  <c r="I62" i="11"/>
  <c r="O62" i="11"/>
  <c r="R15" i="1"/>
  <c r="AM2" i="11"/>
  <c r="AE2" i="6"/>
  <c r="J10" i="1"/>
  <c r="AG2" i="4"/>
  <c r="L8" i="1"/>
  <c r="Y2" i="3"/>
  <c r="F25" i="3"/>
  <c r="D7" i="1"/>
  <c r="AG2" i="28"/>
  <c r="L32" i="1"/>
  <c r="K63" i="11"/>
  <c r="K28" i="5"/>
  <c r="AE2" i="28"/>
  <c r="J32" i="1"/>
  <c r="AG2" i="20"/>
  <c r="L24" i="1"/>
  <c r="AM2" i="26"/>
  <c r="R30" i="1"/>
  <c r="AE2" i="22"/>
  <c r="J26" i="1"/>
  <c r="AD2" i="18"/>
  <c r="K64" i="18"/>
  <c r="I22" i="1"/>
  <c r="AG2" i="25"/>
  <c r="L29" i="1"/>
  <c r="AM2" i="14"/>
  <c r="R18" i="1"/>
  <c r="F44" i="9"/>
  <c r="Y2" i="9"/>
  <c r="D13" i="1"/>
  <c r="T13" i="1" s="1"/>
  <c r="F39" i="8"/>
  <c r="Y2" i="8"/>
  <c r="D12" i="1"/>
  <c r="T12" i="1" s="1"/>
  <c r="F38" i="8"/>
  <c r="P36" i="10"/>
  <c r="AJ2" i="10"/>
  <c r="O14" i="1"/>
  <c r="N15" i="1"/>
  <c r="P63" i="11"/>
  <c r="AI2" i="11"/>
  <c r="N9" i="1"/>
  <c r="P28" i="5"/>
  <c r="AI2" i="5"/>
  <c r="N30" i="2"/>
  <c r="T23" i="28"/>
  <c r="P23" i="28"/>
  <c r="L23" i="28"/>
  <c r="H23" i="28"/>
  <c r="S23" i="28"/>
  <c r="N23" i="28"/>
  <c r="I23" i="28"/>
  <c r="R23" i="28"/>
  <c r="M23" i="28"/>
  <c r="G23" i="28"/>
  <c r="Q23" i="28"/>
  <c r="K23" i="28"/>
  <c r="F23" i="28"/>
  <c r="U23" i="28"/>
  <c r="O23" i="28"/>
  <c r="C32" i="1"/>
  <c r="J23" i="28"/>
  <c r="M44" i="9"/>
  <c r="N25" i="7"/>
  <c r="F46" i="24"/>
  <c r="Y2" i="24"/>
  <c r="D28" i="1"/>
  <c r="T28" i="1" s="1"/>
  <c r="AG2" i="29"/>
  <c r="L33" i="1"/>
  <c r="T42" i="27"/>
  <c r="P42" i="27"/>
  <c r="L42" i="27"/>
  <c r="H42" i="27"/>
  <c r="R42" i="27"/>
  <c r="M42" i="27"/>
  <c r="G42" i="27"/>
  <c r="Q42" i="27"/>
  <c r="K42" i="27"/>
  <c r="F42" i="27"/>
  <c r="U42" i="27"/>
  <c r="O42" i="27"/>
  <c r="J42" i="27"/>
  <c r="S42" i="27"/>
  <c r="N42" i="27"/>
  <c r="I42" i="27"/>
  <c r="C31" i="1"/>
  <c r="M31" i="25"/>
  <c r="AE2" i="27"/>
  <c r="J31" i="1"/>
  <c r="Y2" i="23"/>
  <c r="F27" i="23"/>
  <c r="D27" i="1"/>
  <c r="T27" i="1" s="1"/>
  <c r="AE2" i="21"/>
  <c r="J25" i="1"/>
  <c r="K38" i="22"/>
  <c r="K66" i="19"/>
  <c r="K65" i="19"/>
  <c r="AD2" i="19"/>
  <c r="I23" i="1"/>
  <c r="K43" i="27"/>
  <c r="P31" i="25"/>
  <c r="AJ2" i="25"/>
  <c r="O29" i="1"/>
  <c r="M45" i="20"/>
  <c r="F64" i="18"/>
  <c r="Y2" i="18"/>
  <c r="D22" i="1"/>
  <c r="N31" i="16"/>
  <c r="AI2" i="13"/>
  <c r="N17" i="1"/>
  <c r="P67" i="13"/>
  <c r="F63" i="11"/>
  <c r="Y2" i="11"/>
  <c r="D15" i="1"/>
  <c r="F25" i="15"/>
  <c r="P44" i="9"/>
  <c r="N13" i="1"/>
  <c r="AI2" i="9"/>
  <c r="AM2" i="8"/>
  <c r="R12" i="1"/>
  <c r="Y2" i="5"/>
  <c r="F28" i="5"/>
  <c r="D9" i="1"/>
  <c r="T9" i="1" s="1"/>
  <c r="P44" i="12"/>
  <c r="AA2" i="10"/>
  <c r="F14" i="1"/>
  <c r="K51" i="6"/>
  <c r="M28" i="5"/>
  <c r="F26" i="23"/>
  <c r="Y2" i="14"/>
  <c r="F35" i="14"/>
  <c r="D18" i="1"/>
  <c r="AG2" i="14"/>
  <c r="L18" i="1"/>
  <c r="AA2" i="11"/>
  <c r="F15" i="1"/>
  <c r="AA2" i="6"/>
  <c r="F10" i="1"/>
  <c r="Y2" i="4"/>
  <c r="D8" i="1"/>
  <c r="F62" i="4"/>
  <c r="L38" i="8"/>
  <c r="S39" i="8"/>
  <c r="H50" i="6"/>
  <c r="AM2" i="27"/>
  <c r="R31" i="1"/>
  <c r="N44" i="20"/>
  <c r="F32" i="16"/>
  <c r="Y2" i="16"/>
  <c r="D20" i="1"/>
  <c r="T20" i="1" s="1"/>
  <c r="F31" i="16"/>
  <c r="F67" i="13"/>
  <c r="Y2" i="13"/>
  <c r="F66" i="13"/>
  <c r="D17" i="1"/>
  <c r="AE2" i="4"/>
  <c r="J8" i="1"/>
  <c r="AM2" i="10"/>
  <c r="S36" i="10"/>
  <c r="R14" i="1"/>
  <c r="K44" i="9"/>
  <c r="I13" i="1"/>
  <c r="AD2" i="9"/>
  <c r="S43" i="27"/>
  <c r="T34" i="14"/>
  <c r="P34" i="14"/>
  <c r="L34" i="14"/>
  <c r="H34" i="14"/>
  <c r="Q34" i="14"/>
  <c r="K34" i="14"/>
  <c r="F34" i="14"/>
  <c r="S34" i="14"/>
  <c r="N34" i="14"/>
  <c r="I34" i="14"/>
  <c r="R34" i="14"/>
  <c r="G34" i="14"/>
  <c r="O34" i="14"/>
  <c r="U34" i="14"/>
  <c r="M34" i="14"/>
  <c r="J34" i="14"/>
  <c r="C18" i="1"/>
  <c r="AG2" i="3"/>
  <c r="L7" i="1"/>
  <c r="P24" i="28"/>
  <c r="AI2" i="28"/>
  <c r="N32" i="1"/>
  <c r="T25" i="29"/>
  <c r="P25" i="29"/>
  <c r="L25" i="29"/>
  <c r="H25" i="29"/>
  <c r="S25" i="29"/>
  <c r="O25" i="29"/>
  <c r="K25" i="29"/>
  <c r="G25" i="29"/>
  <c r="R25" i="29"/>
  <c r="N25" i="29"/>
  <c r="J25" i="29"/>
  <c r="F25" i="29"/>
  <c r="I25" i="29"/>
  <c r="U25" i="29"/>
  <c r="Q25" i="29"/>
  <c r="M25" i="29"/>
  <c r="C33" i="1"/>
  <c r="K26" i="29"/>
  <c r="AD2" i="26"/>
  <c r="K24" i="26"/>
  <c r="I30" i="1"/>
  <c r="F38" i="22"/>
  <c r="Y2" i="22"/>
  <c r="D26" i="1"/>
  <c r="AA2" i="25"/>
  <c r="F29" i="1"/>
  <c r="AD2" i="23"/>
  <c r="K27" i="23"/>
  <c r="I27" i="1"/>
  <c r="AI2" i="27"/>
  <c r="P43" i="27"/>
  <c r="N31" i="1"/>
  <c r="F45" i="24"/>
  <c r="R37" i="22"/>
  <c r="N37" i="22"/>
  <c r="J37" i="22"/>
  <c r="F37" i="22"/>
  <c r="S37" i="22"/>
  <c r="M37" i="22"/>
  <c r="H37" i="22"/>
  <c r="Q37" i="22"/>
  <c r="L37" i="22"/>
  <c r="G37" i="22"/>
  <c r="U37" i="22"/>
  <c r="P37" i="22"/>
  <c r="K37" i="22"/>
  <c r="I37" i="22"/>
  <c r="T37" i="22"/>
  <c r="O37" i="22"/>
  <c r="C26" i="1"/>
  <c r="AA2" i="21"/>
  <c r="F25" i="1"/>
  <c r="S38" i="22"/>
  <c r="F66" i="19"/>
  <c r="Y2" i="19"/>
  <c r="D23" i="1"/>
  <c r="T23" i="1" s="1"/>
  <c r="R63" i="18"/>
  <c r="N63" i="18"/>
  <c r="J63" i="18"/>
  <c r="F63" i="18"/>
  <c r="U63" i="18"/>
  <c r="P63" i="18"/>
  <c r="K63" i="18"/>
  <c r="T63" i="18"/>
  <c r="O63" i="18"/>
  <c r="I63" i="18"/>
  <c r="S63" i="18"/>
  <c r="M63" i="18"/>
  <c r="H63" i="18"/>
  <c r="Q63" i="18"/>
  <c r="L63" i="18"/>
  <c r="G63" i="18"/>
  <c r="C22" i="1"/>
  <c r="AA2" i="17"/>
  <c r="F21" i="1"/>
  <c r="T21" i="1" s="1"/>
  <c r="T30" i="25"/>
  <c r="P30" i="25"/>
  <c r="L30" i="25"/>
  <c r="H30" i="25"/>
  <c r="R30" i="25"/>
  <c r="M30" i="25"/>
  <c r="G30" i="25"/>
  <c r="Q30" i="25"/>
  <c r="K30" i="25"/>
  <c r="F30" i="25"/>
  <c r="U30" i="25"/>
  <c r="O30" i="25"/>
  <c r="J30" i="25"/>
  <c r="S30" i="25"/>
  <c r="N30" i="25"/>
  <c r="I30" i="25"/>
  <c r="C29" i="1"/>
  <c r="T50" i="21"/>
  <c r="F51" i="21"/>
  <c r="K24" i="28"/>
  <c r="F65" i="19"/>
  <c r="M66" i="19"/>
  <c r="AK2" i="18"/>
  <c r="P22" i="1"/>
  <c r="AG2" i="12"/>
  <c r="L16" i="1"/>
  <c r="N23" i="26"/>
  <c r="AA2" i="14"/>
  <c r="F18" i="1"/>
  <c r="K31" i="25"/>
  <c r="AM2" i="13"/>
  <c r="R17" i="1"/>
  <c r="AG2" i="11"/>
  <c r="L15" i="1"/>
  <c r="M26" i="29"/>
  <c r="L14" i="1"/>
  <c r="AG2" i="10"/>
  <c r="S26" i="7"/>
  <c r="AL2" i="7"/>
  <c r="Q11" i="1"/>
  <c r="P62" i="4"/>
  <c r="AI2" i="4"/>
  <c r="N8" i="1"/>
  <c r="M45" i="12"/>
  <c r="T35" i="10"/>
  <c r="P35" i="10"/>
  <c r="L35" i="10"/>
  <c r="H35" i="10"/>
  <c r="S35" i="10"/>
  <c r="N35" i="10"/>
  <c r="I35" i="10"/>
  <c r="O35" i="10"/>
  <c r="G35" i="10"/>
  <c r="U35" i="10"/>
  <c r="M35" i="10"/>
  <c r="F35" i="10"/>
  <c r="Q35" i="10"/>
  <c r="J35" i="10"/>
  <c r="R35" i="10"/>
  <c r="K35" i="10"/>
  <c r="C14" i="1"/>
  <c r="AE2" i="10"/>
  <c r="K36" i="10"/>
  <c r="J14" i="1"/>
  <c r="F26" i="7"/>
  <c r="Y2" i="7"/>
  <c r="D11" i="1"/>
  <c r="T11" i="1" s="1"/>
  <c r="T61" i="4"/>
  <c r="P61" i="4"/>
  <c r="L61" i="4"/>
  <c r="H61" i="4"/>
  <c r="S61" i="4"/>
  <c r="O61" i="4"/>
  <c r="K61" i="4"/>
  <c r="G61" i="4"/>
  <c r="U61" i="4"/>
  <c r="Q61" i="4"/>
  <c r="M61" i="4"/>
  <c r="I61" i="4"/>
  <c r="R61" i="4"/>
  <c r="N61" i="4"/>
  <c r="J61" i="4"/>
  <c r="F61" i="4"/>
  <c r="C8" i="1"/>
  <c r="P51" i="6"/>
  <c r="K26" i="23"/>
  <c r="J26" i="23"/>
  <c r="M35" i="14"/>
  <c r="AF2" i="14"/>
  <c r="K18" i="1"/>
  <c r="AJ2" i="14"/>
  <c r="O18" i="1"/>
  <c r="AE2" i="11"/>
  <c r="J15" i="1"/>
  <c r="K39" i="8"/>
  <c r="R9" i="1"/>
  <c r="AM2" i="5"/>
  <c r="F24" i="3"/>
  <c r="AK2" i="2"/>
  <c r="P6" i="1"/>
  <c r="Y2" i="28"/>
  <c r="F24" i="28"/>
  <c r="D32" i="1"/>
  <c r="K35" i="14"/>
  <c r="L50" i="6"/>
  <c r="K62" i="4"/>
  <c r="S62" i="4"/>
  <c r="M26" i="7"/>
  <c r="H34" i="1" l="1"/>
  <c r="Z2" i="1" s="1"/>
  <c r="T17" i="1"/>
  <c r="T33" i="1"/>
  <c r="T25" i="1"/>
  <c r="Q34" i="1"/>
  <c r="AI2" i="1" s="1"/>
  <c r="N34" i="1"/>
  <c r="AF2" i="1" s="1"/>
  <c r="K34" i="1"/>
  <c r="AC2" i="1" s="1"/>
  <c r="P34" i="1"/>
  <c r="AH2" i="1" s="1"/>
  <c r="T32" i="1"/>
  <c r="T24" i="1"/>
  <c r="J34" i="1"/>
  <c r="AB2" i="1" s="1"/>
  <c r="T6" i="1"/>
  <c r="I34" i="1"/>
  <c r="AA2" i="1" s="1"/>
  <c r="T22" i="1"/>
  <c r="O34" i="1"/>
  <c r="AG2" i="1" s="1"/>
  <c r="C34" i="1"/>
  <c r="T29" i="1"/>
  <c r="F34" i="1"/>
  <c r="X2" i="1" s="1"/>
  <c r="T14" i="1"/>
  <c r="T15" i="1"/>
  <c r="T10" i="1"/>
  <c r="T31" i="1"/>
  <c r="T7" i="1"/>
  <c r="D34" i="1"/>
  <c r="T26" i="1"/>
  <c r="R34" i="1"/>
  <c r="AJ2" i="1" s="1"/>
  <c r="T8" i="1"/>
  <c r="T18" i="1"/>
  <c r="L34" i="1"/>
  <c r="AD2" i="1" s="1"/>
  <c r="D35" i="1" l="1"/>
  <c r="V2" i="1"/>
</calcChain>
</file>

<file path=xl/sharedStrings.xml><?xml version="1.0" encoding="utf-8"?>
<sst xmlns="http://schemas.openxmlformats.org/spreadsheetml/2006/main" count="6418" uniqueCount="334">
  <si>
    <t>RESUMO CONSOLIDADO — REGIÃO 1 — RODOVIAS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</si>
  <si>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</si>
  <si>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</si>
  <si>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</si>
  <si>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</si>
  <si>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</si>
  <si>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DO PAVIMENTO</t>
  </si>
  <si>
    <t>VEGETAÇÃO</t>
  </si>
  <si>
    <t>ELEM. DE DRENAGEM</t>
  </si>
  <si>
    <t>SIN. HORIZ.</t>
  </si>
  <si>
    <t>SIN. VERTICAL</t>
  </si>
  <si>
    <t>CONFERÊNCIA</t>
  </si>
  <si>
    <t>BOM</t>
  </si>
  <si>
    <t>REM. I.</t>
  </si>
  <si>
    <t>REM. L.</t>
  </si>
  <si>
    <t>BUR. I.</t>
  </si>
  <si>
    <t>BUR. L.</t>
  </si>
  <si>
    <t>ADEQ.</t>
  </si>
  <si>
    <t>INAD.</t>
  </si>
  <si>
    <t>REG.</t>
  </si>
  <si>
    <t>RODOVIA TO-010 - TRECHO ANANÁS - ENTR. BR-230</t>
  </si>
  <si>
    <t>RODOVIA TO-010 - TRECHO ENTR. BR-230 - ARAGUATINS</t>
  </si>
  <si>
    <t>RODOVIA TO-010 - TRECHO ARAGUATINS - ENTR. TO-201</t>
  </si>
  <si>
    <t>RODOVIA TO-010 - TRECHO BURITI DO TOCANTINS (ENTR. TO-201) - SÃO SEBASTIÃO DO TOCANTINS</t>
  </si>
  <si>
    <t>RODOVIA TO-126 - TRECHO TOCANTINÓPOLIS - ENTR. BR-230 (AGUIARNÓPOLIS)</t>
  </si>
  <si>
    <t>RODOVIA TO-126 - TRECHO MAURILÂNDIA - TOCANTINÓPOLIS</t>
  </si>
  <si>
    <t>RODOVIA TO-126 - TRECHO ITAGUATINS - MAURILÂNDIA DO TOCANTINS</t>
  </si>
  <si>
    <t>RODOVIA TO-126 - TRECHO SÍTIO NOVO DO TOCANTINS - ITAGUATINS</t>
  </si>
  <si>
    <t>RODOVIA TO-126 - TRECHO SUMAUMA - SÍTIO NOVO DO TOCANTINS</t>
  </si>
  <si>
    <t>RODOVIA TO-134 - TRECHO ANGICO - DARCINÓPOLIS</t>
  </si>
  <si>
    <t>RODOVIA TO-134 - TRECHO LUZINÓPOLIS - ANGICO</t>
  </si>
  <si>
    <t>RODOVIA TO-134 - TRECHO AXIXÁ DO TOCANTINS - ENTR. BR-230</t>
  </si>
  <si>
    <t>RODOVIA TO-201 - TRECHO DIV. TO-MA - SÃO MIGUEL DO TOCANTINS</t>
  </si>
  <si>
    <t>RODOVIA TO-201 - TRECHO SÃO MIGUEL DO TOCANTINS - SÍTIO NOVO DO TOCANTINS</t>
  </si>
  <si>
    <t>RODOVIA TO-201 - TRECHO SÍTIO NOVO DO TOCANTINS - AXIXÁ DO TOCANTINS</t>
  </si>
  <si>
    <t>RODOVIA TO-201 - TRECHO AXIXÁ DO TOCANTINS - AUGUSTINÓPOLIS</t>
  </si>
  <si>
    <t>RODOVIA TO-201 - TRECHO AUGUSTINÓPOLIS - BURITI DO TOCANTINS</t>
  </si>
  <si>
    <t>RODOVIA TO-201 - TRECHO BURITI DO TOCANTINS - ESPERANTINA</t>
  </si>
  <si>
    <t>RODOVIA TO-210 - TRECHO ANGICO - ANANÁS</t>
  </si>
  <si>
    <t>RODOVIA TO-210 - TRECHO NAZARÉ - ENTR. TO-134 (POVOADO GROTÃO DE NAZARÉ)</t>
  </si>
  <si>
    <t>RODOVIA TO-210 - TRECHO TOCANTINÓPOLIS - NAZARÉ</t>
  </si>
  <si>
    <t>RODOVIA TO-403 - TRECHO SAMPAIO - ENTR. TO-404 (ITAÚBA)</t>
  </si>
  <si>
    <t>RODOVIA TO-404 - TRECHO AUGUSTINÓPOLIS - ENTR. TO-010 (POVOADO MATA VELHA)</t>
  </si>
  <si>
    <t>RODOVIA TO-404 - TRECHO AUGUSTINÓPOLIS - PRAIA NORTE</t>
  </si>
  <si>
    <t>RODOVIA TO-407 - TRECHO CARRASCO BONITO - ENTR. TO-201 (POVOADO CENTRO DOS FIRMINOS)</t>
  </si>
  <si>
    <t>RODOVIA TO-415 - TRECHO SANTA TEREZINHA DO TOCANTINS - PALMEIRAS DO TOCANTINS</t>
  </si>
  <si>
    <t>RODOVIA TO-415 - TRECHO NAZARÉ - SANTA TEREZINHA DO TOCANTINS</t>
  </si>
  <si>
    <t>RODOVIA TO-416 - TRECHO ANANÁS - ENTR. TO-010</t>
  </si>
  <si>
    <t>TOTAL PERCORRIDO NO MÊS</t>
  </si>
  <si>
    <t>% DA EXTENSÃO DA MALHA (591.53 km)</t>
  </si>
  <si>
    <t>(soma do grupo 'CONDIÇÃO DO PAVIMENTO' dividida pela malha)</t>
  </si>
  <si>
    <t>PROGRAMA DE MANUTENÇÃO RODOVIÁRIA — FICHA DE INSPEÇÃO — RODOVIAS PAVIMENTADAS</t>
  </si>
  <si>
    <t>REGIÃO:  1 — TOCANTINÓPOLIS</t>
  </si>
  <si>
    <t>MÊS / ANO:</t>
  </si>
  <si>
    <t>DATA:</t>
  </si>
  <si>
    <t>TÉCNICO:</t>
  </si>
  <si>
    <t>TRECHO 1 — RODOVIA TO-010 - TRECHO ANANÁS - ENTR. BR-230</t>
  </si>
  <si>
    <t>EXTENSÃO: 9,698 km  ·  5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</si>
  <si>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</si>
  <si>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</si>
  <si>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</si>
  <si>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</si>
  <si>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</si>
  <si>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</si>
  <si>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</si>
  <si>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</si>
  <si>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010ETO0511   |   ANANÁS *TRECHO URBANO*   |   PSU · Municipal · 0.877 km  ·  sem coordenada no shape</t>
  </si>
  <si>
    <t>010ETO0511</t>
  </si>
  <si>
    <t>C</t>
  </si>
  <si>
    <t>X</t>
  </si>
  <si>
    <t>S.R.E. 010ETO0512D   |   ANANÁS *TRECHO URBANO*  (código antigo: 010ETO0512)   |   PSU · Municipal · 1.989 km  ·  início: -6.372561, -48.068896</t>
  </si>
  <si>
    <t>010ETO0512D</t>
  </si>
  <si>
    <t>S.R.E. 010ETO0540   |   ANANÁS *TRECHO URBANO* - ENTR. TO-414(TAPUIO)   |   PPS · Estadual · 3.810 km  ·  início: -6.358384, -48.076141</t>
  </si>
  <si>
    <t>010ETO0540</t>
  </si>
  <si>
    <t>S.R.E. 010ETO0550   |   ENTR. TO-414 (TAPUIO) - ENTR. TO-210   |   PPS · Estadual · 1.665 km  ·  início: -6.325908, -48.089781</t>
  </si>
  <si>
    <t>010ETO0550</t>
  </si>
  <si>
    <t>S.R.E. 010ETO0555   |   ENTR. TO-210 - FIM PAVIMENTACAO   |   PPS · Estadual · 1.355 km  ·  início: -6.314958, -48.096642</t>
  </si>
  <si>
    <t>010ETO0555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</si>
  <si>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</si>
  <si>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</si>
  <si>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</si>
  <si>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</si>
  <si>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</si>
  <si>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</si>
  <si>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</si>
  <si>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</si>
  <si>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</si>
  <si>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REM. I. / REM. L.</t>
  </si>
  <si>
    <t>Remendos isolados (até 10 por km) · Remendos ao longo (mais de 10 por km)</t>
  </si>
  <si>
    <t>BUR. I. / BUR. L.</t>
  </si>
  <si>
    <t>Buracos isolados (até 5 por km) · Buracos ao longo (mais de 5 por km)</t>
  </si>
  <si>
    <t>SIT.</t>
  </si>
  <si>
    <t>PPS = pista simples · PSU = simples urbana · PDU = duplicada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</si>
  <si>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</si>
  <si>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</si>
  <si>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</si>
  <si>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</si>
  <si>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</si>
  <si>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</si>
  <si>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</si>
  <si>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</si>
  <si>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</si>
  <si>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</si>
  <si>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2 — RODOVIA TO-010 - TRECHO ENTR. BR-230 - ARAGUATINS</t>
  </si>
  <si>
    <t>EXTENSÃO: 8,608 km  ·  1 S.R.E.</t>
  </si>
  <si>
    <t>S.R.E. 010ETO0640   |   TRANSARAGUAIA (BR-230) - ARAGUATINS   |   PPS · Estadual · 8.608 km  ·  início: -5.717331, -48.146858</t>
  </si>
  <si>
    <t>010ETO0640</t>
  </si>
  <si>
    <t>TRECHO 3 — RODOVIA TO-010 - TRECHO ARAGUATINS - ENTR. TO-201</t>
  </si>
  <si>
    <t>EXTENSÃO: 41,607 km  ·  4 S.R.E.</t>
  </si>
  <si>
    <t>S.R.E. 010ETO0650   |   ARAGUATINS - ENTR. TO-404   |   PPS · Estadual · 7.755 km  ·  início: -5.637677, -48.10469</t>
  </si>
  <si>
    <t>010ETO0650</t>
  </si>
  <si>
    <t>S.R.E. 010ETO0665   |   ENTR. TO-404 - POV. CANAÃ   |   PPS · Estadual · 28.047 km  ·  início: -5.597599, -48.079338</t>
  </si>
  <si>
    <t>010ETO0665</t>
  </si>
  <si>
    <t>S.R.E. 010ETO0670   |   CANAÃ - VILA UNIÃO   |   PPS · Estadual · 2.862 km  ·  início: -5.368274, -48.177872</t>
  </si>
  <si>
    <t>010ETO0670</t>
  </si>
  <si>
    <t>S.R.E. 010ETO0680   |   VILA UNIÃO - ENTR. TO-201   |   PPS · Estadual · 2.942 km  ·  início: -5.341171, -48.187541</t>
  </si>
  <si>
    <t>010ETO0680</t>
  </si>
  <si>
    <t>TRECHO 4 — RODOVIA TO-010 - TRECHO BURITI DO TOCANTINS (ENTR. TO-201) - SÃO SEBASTIÃO DO TOCANTINS</t>
  </si>
  <si>
    <t>EXTENSÃO: 9,250 km  ·  2 S.R.E.</t>
  </si>
  <si>
    <t>S.R.E. 010ETO0690   |   ENTR. TO-201 - BURITI DO TOCANTINS *TRECHO URBANO*   |   PPS · Estadual · 3.661 km  ·  início: -5.318513, -48.194133</t>
  </si>
  <si>
    <t>010ETO0690</t>
  </si>
  <si>
    <t>▲ AQUI HÁ 2.168 km FORA DO ESCOPO DO CONTRATO (perímetro urbano de jurisdição municipal). Você passa por ele, mas NÃO preenche.</t>
  </si>
  <si>
    <t>S.R.E. 010ETO0710D   |   BURITI DO TOCANTINS *TRECHO URBANO* - SÃO SEBASTIÃO DO TOCANTINS *TRECHO URBANO*  (código antigo: 010ETO0710)   |   PPS · Estadual · 5.589 km  ·  início: -5.304241, -48.227554</t>
  </si>
  <si>
    <t>010ETO0710D</t>
  </si>
  <si>
    <t>TRECHO 5 — RODOVIA TO-126 - TRECHO TOCANTINÓPOLIS - ENTR. BR-230 (AGUIARNÓPOLIS)</t>
  </si>
  <si>
    <t>EXTENSÃO: 30,239 km  ·  4 S.R.E.</t>
  </si>
  <si>
    <t>S.R.E. 126ETO0151   |   PERÍMETRO URBANO TOCANTINOPOLIS   |   PDU · Municipal · 1.862 km  ·  início: -6.309502, -47.426775</t>
  </si>
  <si>
    <t>126ETO0151</t>
  </si>
  <si>
    <t>S.R.E. 126ETO0190   |   TOCANTINÓPOLIS *TRECHO URBANO* - ENTR. ACESSO TRIPA NORTE   |   PPS · Estadual · 22.490 km  ·  início: -6.351776, -47.425948</t>
  </si>
  <si>
    <t>126ETO0190</t>
  </si>
  <si>
    <t>S.R.E. 126ETO0200   |   ENTR. ACESSO TRIPA NORTE - ENTR. BR-230   |   PPS · Estadual · 3.234 km  ·  início: -6.513815, -47.479804</t>
  </si>
  <si>
    <t>126ETO0200</t>
  </si>
  <si>
    <t>S.R.E. ACESSO01   |   ENTR.TO-126 - ASA NORTE  (código antigo: ACESSO)   |   PPS · Estadual · 2.653 km  ·  início: -6.513815, -47.479804</t>
  </si>
  <si>
    <t>ACESSO01</t>
  </si>
  <si>
    <t>TRECHO 6 — RODOVIA TO-126 - TRECHO MAURILÂNDIA - TOCANTINÓPOLIS</t>
  </si>
  <si>
    <t>EXTENSÃO: 8,514 km  ·  2 S.R.E.</t>
  </si>
  <si>
    <t>S.R.E. 126ETO0140   |   RIBEIRÃO GRANDE - FOLHA GROSSA   |   PPS · Estadual · 5.529 km  ·  início: -6.259847, -47.460821</t>
  </si>
  <si>
    <t>126ETO0140</t>
  </si>
  <si>
    <t>S.R.E. 126ETO0150   |   FOLHA GROSSA - TOCANTINÓPOLIS *TRECHO URBANO*   |   PPS · Estadual · 2.985 km  ·  início: -6.297776, -47.440934</t>
  </si>
  <si>
    <t>126ETO0150</t>
  </si>
  <si>
    <t>TRECHO 7 — RODOVIA TO-126 - TRECHO ITAGUATINS - MAURILÂNDIA DO TOCANTINS</t>
  </si>
  <si>
    <t>EXTENSÃO: 21,660 km  ·  2 S.R.E.</t>
  </si>
  <si>
    <t>S.R.E. 126ETO0101   |   PERÍMETRO URBANO ITAGUATINS   |   PSU · Municipal · 0.741 km  ·  início: -5.769306, -47.484204</t>
  </si>
  <si>
    <t>126ETO0101</t>
  </si>
  <si>
    <t>KM-5,1 BORRACHUDO</t>
  </si>
  <si>
    <t>S.R.E. 126ETO0120   |   ITAGUATINS *TRECHO URBANO* - MAURILÃNDIA DO TOCANTINS *TRECHO URBANO*   |   PPS · Estadual · 20.919 km  ·  início: -5.779403, -47.483003</t>
  </si>
  <si>
    <t>126ETO0120</t>
  </si>
  <si>
    <t>KM-5,6 a 5,8  BUR -L</t>
  </si>
  <si>
    <t>KM-6,1 a 6,3 BUR-L</t>
  </si>
  <si>
    <t>KM-8,1 BORRACHUDO</t>
  </si>
  <si>
    <t>KM-15,9 16,3 BUR-L</t>
  </si>
  <si>
    <t>POUCAS  PLACAS E</t>
  </si>
  <si>
    <t>ESTÃO EM BOAS</t>
  </si>
  <si>
    <t>CONDIÇÔES</t>
  </si>
  <si>
    <t>TRECHO 8 — RODOVIA TO-126 - TRECHO SÍTIO NOVO DO TOCANTINS - ITAGUATINS</t>
  </si>
  <si>
    <t>EXTENSÃO: 25,377 km  ·  2 S.R.E.</t>
  </si>
  <si>
    <t>S.R.E. 126ETO0090   |   ENTR. TO-201(B)(SÍTIO NOVO DO TOCANTINS) - CASTANHEIRO   |   PPS · Estadual · 11.355 km  ·  início: -5.609785, -47.637302</t>
  </si>
  <si>
    <t>126ETO0090</t>
  </si>
  <si>
    <t>S.R.E. 126ETO0100   |   CASTANHEIRO - ITAGUATINS *TRECHO URBANO*   |   PPS · Estadual · 14.021 km  ·  início: -5.683588, -47.563474</t>
  </si>
  <si>
    <t>126ETO0100</t>
  </si>
  <si>
    <t>TRECHO 9 — RODOVIA TO-126 - TRECHO SUMAUMA - SÍTIO NOVO DO TOCANTINS</t>
  </si>
  <si>
    <t>EXTENSÃO: 16,675 km  ·  3 S.R.E.</t>
  </si>
  <si>
    <t>S.R.E. 126ETO0050   |   SUMAUMA *TRECHO URBANO* - SÃO PEDRO   |   PPS · Estadual · 7.917 km  ·  início: -5.528825, -47.686401</t>
  </si>
  <si>
    <t>126ETO0050</t>
  </si>
  <si>
    <t>S.R.E. 126ETO0060   |   SÃO PEDRO - ENTR. TO-201   |   PPS · Estadual · 6.576 km  ·  início: -5.547253, -47.636832</t>
  </si>
  <si>
    <t>126ETO0060</t>
  </si>
  <si>
    <t>S.R.E. 126ETO0080   |   ENTR. TO-201(A) - ENTR. TO-201(B)(SÍTIO NOVO DO TOCANTINS)   |   PPS · Estadual · 2.181 km  ·  início: -5.595906, -47.623016</t>
  </si>
  <si>
    <t>126ETO0080</t>
  </si>
  <si>
    <t>TRECHO 10 — RODOVIA TO-134 - TRECHO ANGICO - DARCINÓPOLIS</t>
  </si>
  <si>
    <t>EXTENSÃO: 45,348 km  ·  2 S.R.E.</t>
  </si>
  <si>
    <t>S.R.E. 134ETO0220   |   ENTR. TO-210 (ANGICO) - AMIGOS DA TERRA   |   PPS · Estadual · 31.597 km  ·  início: -6.399091, -47.862029</t>
  </si>
  <si>
    <t>134ETO0220</t>
  </si>
  <si>
    <t>S.R.E. 134ETO0230   |   AMIGOS DA TERRA - ENTR. BR-226(DARCINÓPOLIS)   |   PPS · Estadual · 13.751 km  ·  início: -6.669787, -47.865234</t>
  </si>
  <si>
    <t>134ETO0230</t>
  </si>
  <si>
    <t>TRECHO 11 — RODOVIA TO-134 - TRECHO LUZINÓPOLIS - ANGICO</t>
  </si>
  <si>
    <t>EXTENSÃO: 24,440 km  ·  4 S.R.E.</t>
  </si>
  <si>
    <t>S.R.E. 134ETO0180   |   ENTR. BR-230(LUZINÓPOLIS) - SANTA HELENA   |   PPS · Estadual · 9.805 km  ·  início: -6.194494, -47.86214</t>
  </si>
  <si>
    <t>134ETO0180</t>
  </si>
  <si>
    <t>S.R.E. 134ETO0190   |   SANTA HELENA - BURITI   |   PPS · Estadual · 3.627 km  ·  início: -6.273183, -47.864798</t>
  </si>
  <si>
    <t>134ETO0190</t>
  </si>
  <si>
    <t>S.R.E. 134ETO0200   |   BURITI - ENTR. TO-210 (GROTÃO DE NAZARÉ)   |   PPS · Estadual · 3.593 km  ·  início: -6.304117, -47.863395</t>
  </si>
  <si>
    <t>134ETO0200</t>
  </si>
  <si>
    <t>S.R.E. 134ETO0210   |   ENTR. TO-210 (GROTÃO DE NAZARE) - ENTR. TO-210 (ANGICO)   |   PPS · Estadual · 7.416 km  ·  início: -6.336118, -47.860068</t>
  </si>
  <si>
    <t>134ETO0210</t>
  </si>
  <si>
    <t>TRECHO 13 — RODOVIA TO-134 - TRECHO AXIXÁ DO TOCANTINS - ENTR. BR-230</t>
  </si>
  <si>
    <t>EXTENSÃO: 46,217 km  ·  3 S.R.E.</t>
  </si>
  <si>
    <t>S.R.E. 134ETO0071   |   AXIXÁ DO TOCANTINS *TRECHO URBANO*   |   PSU · Municipal · 0.417 km  ·  início: -5.610545, -47.768521</t>
  </si>
  <si>
    <t>134ETO0071</t>
  </si>
  <si>
    <t>▲ AQUI HÁ 0.776 km FORA DO ESCOPO DO CONTRATO (perímetro urbano de jurisdição municipal). Você passa por ele, mas NÃO preenche.</t>
  </si>
  <si>
    <t>S.R.E. 134ETO0110   |   AXIXÁ DO TOCANTINS *TRECHO URBANO* - ENTR. TO-409   |   PPS · Estadual · 41.676 km  ·  início: -5.620162, -47.762946</t>
  </si>
  <si>
    <t>134ETO0110</t>
  </si>
  <si>
    <t>S.R.E. 134ETO0120   |   ENTR. TO-409 - ENTR. BR-230   |   PPS · Estadual · 4.123 km  ·  início: -5.945566, -47.852473</t>
  </si>
  <si>
    <t>134ETO0120</t>
  </si>
  <si>
    <t>TRECHO 14 — RODOVIA TO-201 - TRECHO DIV. TO-MA - SÃO MIGUEL DO TOCANTINS</t>
  </si>
  <si>
    <t>EXTENSÃO: 15,911 km  ·  3 S.R.E.</t>
  </si>
  <si>
    <t>S.R.E. 201ETO0010   |   DIV. TO-MA(PONTE RIO TOCANTINS) - ACESSO BELA VISTA   |   PPS · Estadual · 6.621 km  ·  início: -5.560593, -47.489158</t>
  </si>
  <si>
    <t>201ETO0010</t>
  </si>
  <si>
    <t>S.R.E. 201ETO0020   |   ACESSO BELA VISTA - SÃO MIGUEL DO TOCANTINS   |   PPS · Estadual · 3.374 km  ·  início: -5.552754, -47.543785</t>
  </si>
  <si>
    <t>201ETO0020</t>
  </si>
  <si>
    <t>S.R.E. ACESSO02   |   BELA VISTA (BALSA) - ENTR. TO-201  (código antigo: ACESSO)   |   PPS · Estadual · 5.916 km  ·  início: -5.552754, -47.543785</t>
  </si>
  <si>
    <t>ACESSO02</t>
  </si>
  <si>
    <t>TRECHO 15 — RODOVIA TO-201 - TRECHO SÃO MIGUEL DO TOCANTINS - SÍTIO NOVO DO TOCANTINS</t>
  </si>
  <si>
    <t>EXTENSÃO: 7,275 km  ·  2 S.R.E.</t>
  </si>
  <si>
    <t>S.R.E. 201ETO0030   |   SÃO MIGUEL DO TOCANTINS - ENTR. TO-126   |   PPS · Estadual · 6.973 km  ·  início: -5.557475, -47.582379</t>
  </si>
  <si>
    <t>201ETO0030</t>
  </si>
  <si>
    <t>▲ AQUI HÁ 2.181 km FORA DO ESCOPO DO CONTRATO (perímetro urbano de jurisdição municipal). Você passa por ele, mas NÃO preenche.</t>
  </si>
  <si>
    <t>S.R.E. 201ETO0050   |   ENTR. TO-126 - SÍTIO NOVO *TRECHO URBANO*   |   PPS · Estadual · 0.302 km  ·  início: -5.605837, -47.639679</t>
  </si>
  <si>
    <t>201ETO0050</t>
  </si>
  <si>
    <t>TRECHO 16 — RODOVIA TO-201 - TRECHO SÍTIO NOVO DO TOCANTINS - AXIXÁ DO TOCANTINS</t>
  </si>
  <si>
    <t>EXTENSÃO: 14,072 km  ·  2 S.R.E.</t>
  </si>
  <si>
    <t>S.R.E. 201ETO0070   |   SÍTIO NOVO DO TOCANTINS *TRECHO URBANO* - ALTO DO ZUMBI   |   PPS · Estadual · 9.293 km  ·  início: -5.602676, -47.645374</t>
  </si>
  <si>
    <t>201ETO0070</t>
  </si>
  <si>
    <t>S.R.E. 201ETO0080   |   ALTO DO ZUMBI - AXIXÁ DO TOCANTINS *TRECHO URBANO*   |   PPS · Estadual · 4.779 km  ·  início: -5.592038, -47.726322</t>
  </si>
  <si>
    <t>201ETO0080</t>
  </si>
  <si>
    <t>TRECHO 17 — RODOVIA TO-201 - TRECHO AXIXÁ DO TOCANTINS - AUGUSTINÓPOLIS</t>
  </si>
  <si>
    <t>EXTENSÃO: 20,068 km  ·  2 S.R.E.</t>
  </si>
  <si>
    <t>S.R.E. 201ETO0120   |   AXIXÁ DO TOCANTINS *TRECHO URBANO* - GROTÃO   |   PPS · Estadual · 6.406 km  ·  início: -5.613024, -47.773018</t>
  </si>
  <si>
    <t>201ETO0120</t>
  </si>
  <si>
    <t>S.R.E. 201ETO0130   |   GROTÃO - AUGUSTINÓPOLIS *TRECHO URBANO*   |   PPS · Estadual · 13.663 km  ·  início: -5.566212, -47.806579</t>
  </si>
  <si>
    <t>201ETO0130</t>
  </si>
  <si>
    <t>TRECHO 18 — RODOVIA TO-201 - TRECHO AUGUSTINÓPOLIS - BURITI DO TOCANTINS</t>
  </si>
  <si>
    <t>EXTENSÃO: 40,315 km  ·  6 S.R.E.</t>
  </si>
  <si>
    <t>S.R.E. 201ETO0150   |   AUGUSTINÓPOLIS *TRECHO URBANO* - VINTE MIL   |   PPS · Estadual · 13.605 km  ·  início: -5.463932, -47.898196</t>
  </si>
  <si>
    <t>201ETO0150</t>
  </si>
  <si>
    <t>S.R.E. 201ETO0160   |   VINTE MIL - ENTR. TO-407   |   PPS · Estadual · 4.260 km  ·  início: -5.405758, -48.0121</t>
  </si>
  <si>
    <t>201ETO0160</t>
  </si>
  <si>
    <t>S.R.E. 201ETO0170   |   ENTR.TO-407 - CENTRO DOS FIRMINOS   |   PPS · Estadual · 1.174 km  ·  início: -5.390984, -48.041517</t>
  </si>
  <si>
    <t>201ETO0170</t>
  </si>
  <si>
    <t>S.R.E. 201ETO0180   |   CENTRO DOS FIRMINOS - CENTRO DOS FERREIRAS   |   PPS · Estadual · 6.910 km  ·  início: -5.383804, -48.055779</t>
  </si>
  <si>
    <t>201ETO0180</t>
  </si>
  <si>
    <t>S.R.E. 201ETO0190   |   CENTRO DOS FERREIRAS - ENTR. TO-010   |   PPS · Estadual · 10.705 km  ·  início: -5.358415, -48.108089</t>
  </si>
  <si>
    <t>201ETO0190</t>
  </si>
  <si>
    <t>S.R.E. 201ETO0200   |   ENTR. TO-010 - BURITI DO TOCANTINS *TRECHO URBANO*   |   PPS · Estadual · 3.661 km  ·  sem coordenada no shape</t>
  </si>
  <si>
    <t>201ETO0200</t>
  </si>
  <si>
    <t>TRECHO 19 — RODOVIA TO-201 - TRECHO BURITI DO TOCANTINS - ESPERANTINA</t>
  </si>
  <si>
    <t>EXTENSÃO: 43,104 km  ·  5 S.R.E.</t>
  </si>
  <si>
    <t>S.R.E. 201ETO0210   |   BURITI DO TOCANTINS *TRECHO URBANO* - JOSÉ ESTEVÃO   |   PPS · Estadual · 3.620 km  ·  início: -5.321592, -48.23193</t>
  </si>
  <si>
    <t>201ETO0210</t>
  </si>
  <si>
    <t>S.R.E. 201ETO0220   |   JOSÉ ESTEVÃO - ENTR. TO-402   |   PPS · Estadual · 19.794 km  ·  início: -5.311292, -48.256616</t>
  </si>
  <si>
    <t>201ETO0220</t>
  </si>
  <si>
    <t>S.R.E. 201ETO0230   |   ENTR. TO-402 - VILA TOCANTINS   |   PPS · Estadual · 5.250 km  ·  início: -5.29099, -48.427307</t>
  </si>
  <si>
    <t>201ETO0230</t>
  </si>
  <si>
    <t>S.R.E. 201ETO0240   |   VILA TOCANTINS - ESPERANTINA *TRECHO URBANO*   |   PPS · Estadual · 9.223 km  ·  início: -5.316526, -48.472064</t>
  </si>
  <si>
    <t>201ETO0240</t>
  </si>
  <si>
    <t>S.R.E. ACESSO03   |   ENTR. TO-201 - DIV. TO-PA (PEDRA GRANDE)  (código antigo: ACESSO*)   |   PPS · Estadual · 5.217 km  ·  início: -5.373241, -48.55809</t>
  </si>
  <si>
    <t>ACESSO03</t>
  </si>
  <si>
    <t>TRECHO 23 — RODOVIA TO-210 - TRECHO ANGICO - ANANÁS</t>
  </si>
  <si>
    <t>EXTENSÃO: 26,530 km  ·  2 S.R.E.</t>
  </si>
  <si>
    <t>S.R.E. 210ETO0230   |   ENTR. TO-134 - ANGICO   |   PPS · Estadual · 1.345 km  ·  início: -6.399091, -47.862029</t>
  </si>
  <si>
    <t>210ETO0230</t>
  </si>
  <si>
    <t>S.R.E. 210ETO0240   |   ANGICO - ANANÁS *TRECHO URBANO*   |   PPS · Estadual · 25.185 km  ·  início: -6.389424, -47.872603</t>
  </si>
  <si>
    <t>210ETO0240</t>
  </si>
  <si>
    <t>RESTAURAÇAO</t>
  </si>
  <si>
    <t>TRECHO 24 — RODOVIA TO-210 - TRECHO NAZARÉ - ENTR. TO-134 (POVOADO GROTÃO DE NAZARÉ)</t>
  </si>
  <si>
    <t>EXTENSÃO: 25,448 km  ·  7 S.R.E.</t>
  </si>
  <si>
    <t>S.R.E. 210ETO0140   |   NAZARÉ *TRECHO URBANO* - MATA GRANDE   |   PPS · Estadual · 1.703 km  ·  início: -6.372777, -47.669506</t>
  </si>
  <si>
    <t>210ETO0140</t>
  </si>
  <si>
    <t>S.R.E. 210ETO0150   |   MATA GRANDE - ENTR. BR-230   |   PPS · Estadual · 3.511 km  ·  início: -6.370534, -47.683071</t>
  </si>
  <si>
    <t>210ETO0150</t>
  </si>
  <si>
    <t>S.R.E. 210ETO0160   |   ENTR. BR-230 - POV. VILA ROBERTINO   |   PPS · Estadual · 3.295 km  ·  início: -6.36817, -47.711509</t>
  </si>
  <si>
    <t>210ETO0160</t>
  </si>
  <si>
    <t>S.R.E. 210ETO0170   |   POV. VILA ROBERTINO - POV. PIAÇABA   |   PPS · Estadual · 8.937 km  ·  início: -6.373484, -47.739694</t>
  </si>
  <si>
    <t>210ETO0170</t>
  </si>
  <si>
    <t>S.R.E. 210ETO0190   |   POV. PIAÇABA - POV. PIRANHAS   |   PPS · Estadual · 3.362 km  ·  início: -6.322375, -47.79234</t>
  </si>
  <si>
    <t>210ETO0190</t>
  </si>
  <si>
    <t>S.R.E. 210ETO0200   |   POV. PIRANHAS - POV. BREJINHO   |   PPS · Estadual · 2.454 km  ·  início: -6.326319, -47.819254</t>
  </si>
  <si>
    <t>210ETO0200</t>
  </si>
  <si>
    <t>S.R.E. 210ETO0210   |   POV. BREJINHO - ENTR. TO-134 (POV. GROTÃO DE NAZARÉ)   |   PPS · Estadual · 2.185 km  ·  início: -6.331646, -47.840585</t>
  </si>
  <si>
    <t>210ETO0210</t>
  </si>
  <si>
    <t>TRECHO 25 — RODOVIA TO-210 - TRECHO TOCANTINÓPOLIS - NAZARÉ</t>
  </si>
  <si>
    <t>EXTENSÃO: 16,826 km  ·  4 S.R.E.</t>
  </si>
  <si>
    <t>S.R.E. 210ETO0050   |   TOCANTINÓPOLIS *TRECHO URBANO* - OLHO DAGUA   |   PPS · Estadual · 3.893 km  ·  início: -6.326125, -47.446596</t>
  </si>
  <si>
    <t>210ETO0050</t>
  </si>
  <si>
    <t>S.R.E. 210ETO0060   |   OLHO DAGUA - PASSARINHO   |   PPS · Estadual · 2.096 km  ·  início: -6.340536, -47.470707</t>
  </si>
  <si>
    <t>210ETO0060</t>
  </si>
  <si>
    <t>S.R.E. 210ETO0070   |   PASSARINHO - ENTR. ACESSO BR-230   |   PPS · Estadual · 6.317 km  ·  início: -6.353746, -47.484167</t>
  </si>
  <si>
    <t>210ETO0070</t>
  </si>
  <si>
    <t>S.R.E. ACESSO04   |   ENTR. TO-210 - ENTR. BR-230  (código antigo: ACESSO)   |   PPS · Estadual · 4.520 km  ·  início: -6.387043, -47.52959</t>
  </si>
  <si>
    <t>ACESSO04</t>
  </si>
  <si>
    <t>TRECHO 28 — RODOVIA TO-403 - TRECHO SAMPAIO - ENTR. TO-404 (ITAÚBA)</t>
  </si>
  <si>
    <t>EXTENSÃO: 9,450 km  ·  2 S.R.E.</t>
  </si>
  <si>
    <t>S.R.E. 403ETO0021   |   PERÍMETRO URBANO DE SAMPAIO   |   PSU · Estadual · 0.723 km  ·  início: -5.349265, -47.881246</t>
  </si>
  <si>
    <t>403ETO0021</t>
  </si>
  <si>
    <t>S.R.E. 403ETO0030   |   SAMPAIO *TRECHO URBANO* - ENTR. TO-404(ITAÚBA)   |   PPS · Estadual · 8.728 km  ·  início: -5.35616, -47.877163</t>
  </si>
  <si>
    <t>403ETO0030</t>
  </si>
  <si>
    <t>TRECHO 29 — RODOVIA TO-404 - TRECHO AUGUSTINÓPOLIS - ENTR. TO-010 (POVOADO MATA VELHA)</t>
  </si>
  <si>
    <t>EXTENSÃO: 25,843 km  ·  3 S.R.E.</t>
  </si>
  <si>
    <t>S.R.E. 404ETO0030   |   ENTR. TO-201(AUGUSTINÓPOLIS) - DEZESSEIS MIL   |   PPS · Estadual · 6.333 km  ·  início: -5.464211, -47.898118</t>
  </si>
  <si>
    <t>404ETO0030</t>
  </si>
  <si>
    <t>S.R.E. 404ETO0040   |   DEZESSEIS MIL - MATA VELHA   |   PPS · Estadual · 17.445 km  ·  início: -5.504482, -47.936243</t>
  </si>
  <si>
    <t>404ETO0040</t>
  </si>
  <si>
    <t>S.R.E. 404ETO0050   |   MATA VELHA - ENTR. TO-010   |   PPS · Estadual · 2.065 km  ·  início: -5.588572, -48.063599</t>
  </si>
  <si>
    <t>404ETO0050</t>
  </si>
  <si>
    <t>TRECHO 30 — RODOVIA TO-404 - TRECHO AUGUSTINÓPOLIS - PRAIA NORTE</t>
  </si>
  <si>
    <t>EXTENSÃO: 12,104 km  ·  2 S.R.E.</t>
  </si>
  <si>
    <t>S.R.E. 404ETO0010   |   PRAIA NORTE - ENTR. TO-403(ITAÚBA)   |   PPS · Estadual · 6.075 km  ·  início: -5.398616, -47.816144</t>
  </si>
  <si>
    <t>404ETO0010</t>
  </si>
  <si>
    <t>S.R.E. 404ETO0020   |   ENTR. TO-403 (ITAÚBA) - ENTR. TO-201(AUGUSTINÓPOLIS)   |   PPS · Estadual · 6.029 km  ·  início: -5.427358, -47.862198</t>
  </si>
  <si>
    <t>404ETO0020</t>
  </si>
  <si>
    <t>TRECHO 32 — RODOVIA TO-407 - TRECHO CARRASCO BONITO - ENTR. TO-201 (POVOADO CENTRO DOS FIRMINOS)</t>
  </si>
  <si>
    <t>EXTENSÃO: 7,688 km  ·  1 S.R.E.</t>
  </si>
  <si>
    <t>S.R.E. 407ETO0020   |   CARRASCO BONITO *TRECHO URBANO* - ENTR. TO-201(P- POVOADO CENTRO DOS FIRMINOS)   |   PPS · Estadual · 7.688 km  ·  início: -5.390984, -48.041517</t>
  </si>
  <si>
    <t>407ETO0020</t>
  </si>
  <si>
    <t>TRECHO 35 — RODOVIA TO-415 - TRECHO SANTA TEREZINHA DO TOCANTINS - PALMEIRAS DO TOCANTINS</t>
  </si>
  <si>
    <t>EXTENSÃO: 24,998 km  ·  2 S.R.E.</t>
  </si>
  <si>
    <t>S.R.E. 415ETO0060   |   SANTA TEREZINHA DO TOCANTINS - IMBIRA   |   PPS · Estadual · 13.912 km  ·  início: -6.437034, -47.66774</t>
  </si>
  <si>
    <t>415ETO0060</t>
  </si>
  <si>
    <t>S.R.E. 415ETO0070   |   IMBIRA - PALMEIRAS DO TOCANTINS *TRECHO URBANO*   |   PPS · Estadual · 11.085 km  ·  início: -6.534693, -47.604132</t>
  </si>
  <si>
    <t>415ETO0070</t>
  </si>
  <si>
    <t>TRECHO 36 — RODOVIA TO-415 - TRECHO NAZARÉ - SANTA TEREZINHA DO TOCANTINS</t>
  </si>
  <si>
    <t>EXTENSÃO: 6,244 km  ·  2 S.R.E.</t>
  </si>
  <si>
    <t>S.R.E. 415ETO0040   |   ENTR. TO-210(NAZARÉ *TRECHO URBANO*) - ENTR. BR-230   |   PPS · Estadual · 2.326 km  ·  início: -6.37855, -47.662687</t>
  </si>
  <si>
    <t>415ETO0040</t>
  </si>
  <si>
    <t>S.R.E. 415ETO0050   |   ENTR. BR-230 - SANTA TEREZINHA DO TOCANTINS   |   PPS · Estadual · 3.918 km  ·  início: -6.399353, -47.663982</t>
  </si>
  <si>
    <t>415ETO0050</t>
  </si>
  <si>
    <t>TRECHO 38 — RODOVIA TO-416 - TRECHO ANANÁS - ENTR. TO-010</t>
  </si>
  <si>
    <t>EXTENSÃO: 8,023 km  ·  2 S.R.E.</t>
  </si>
  <si>
    <t>S.R.E. 416ETO0020   |   ANANÁS *TRECHO URBANO* - SÃO RAIMUNDO   |   PPS · Estadual · 3.756 km  ·  sem coordenada no shape</t>
  </si>
  <si>
    <t>416ETO0020</t>
  </si>
  <si>
    <t>S.R.E. 416ETO0030   |   SÃO RAIMUNDO - ENTR. TO-010   |   PPS · Estadual · 4.267 km  ·  sem coordenada no shape</t>
  </si>
  <si>
    <t>416ETO0030</t>
  </si>
  <si>
    <t>TÉCNICOS</t>
  </si>
  <si>
    <t>ENG. VINÍCIUS RODRIGUES FERREIRA DE OLIVEIRA</t>
  </si>
  <si>
    <t>LABORATORISTA CLAUDIOMIRO VIEIRA LOPES</t>
  </si>
  <si>
    <t>ENG. VINICIUS RODRIGUES FERREIRA DE OLIVEIRA</t>
  </si>
  <si>
    <t>x</t>
  </si>
  <si>
    <t>trecho em restauração</t>
  </si>
  <si>
    <t xml:space="preserve">trecho dnit </t>
  </si>
  <si>
    <t>trecho do lote 2</t>
  </si>
  <si>
    <t>LIMPOS</t>
  </si>
  <si>
    <t>SUJOS</t>
  </si>
  <si>
    <t>DAN.</t>
  </si>
  <si>
    <t>INEXIST.</t>
  </si>
  <si>
    <t>POUCAS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</si>
</sst>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mmm\/yyyy;@"/>
    <numFmt numFmtId="166" formatCode="0.0%"/>
    <numFmt numFmtId="167" formatCode="#,##0.000&quot; km&quot;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7.5"/>
      <color rgb="FF000000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3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5" fillId="4" borderId="0" xfId="0" applyFont="1" applyFill="1" applyAlignment="1">
      <alignment vertical="center" wrapText="1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5" xfId="0" applyBorder="1"/>
    <xf numFmtId="0" fontId="0" fillId="0" borderId="3" xfId="0" applyBorder="1"/>
    <xf numFmtId="0" fontId="7" fillId="6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6" fillId="2" borderId="0" xfId="0" applyFont="1" applyFill="1" applyAlignment="1">
      <alignment horizontal="center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4" fillId="0" borderId="0" xfId="0" applyFont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254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76F-45EE-9D09-F2173717A34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76F-45EE-9D09-F2173717A34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76F-45EE-9D09-F2173717A34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76F-45EE-9D09-F2173717A34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76F-45EE-9D09-F2173717A34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RESUMO!$D$5:$H$5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RESUMO!$V$2:$Z$2</c:f>
              <c:numCache>
                <c:formatCode>#,##0.00</c:formatCode>
                <c:ptCount val="5"/>
                <c:pt idx="0">
                  <c:v>406.77109360351699</c:v>
                </c:pt>
                <c:pt idx="1">
                  <c:v>69.883429099790007</c:v>
                </c:pt>
                <c:pt idx="2">
                  <c:v>83.218723794479999</c:v>
                </c:pt>
                <c:pt idx="3">
                  <c:v>22.362100174280002</c:v>
                </c:pt>
                <c:pt idx="4">
                  <c:v>9.2953064946899993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76F-45EE-9D09-F2173717A3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E0-41E7-BBA0-75AF26EA315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5E0-41E7-BBA0-75AF26EA315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RESUMO!$I$5:$J$5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RESUMO!$AA$2:$AB$2</c:f>
              <c:numCache>
                <c:formatCode>#,##0.00</c:formatCode>
                <c:ptCount val="2"/>
                <c:pt idx="0">
                  <c:v>62.445484601300002</c:v>
                </c:pt>
                <c:pt idx="1">
                  <c:v>529.08516856545691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E0-41E7-BBA0-75AF26EA31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1F1-43FB-8795-490A4927897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1F1-43FB-8795-490A4927897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1F1-43FB-8795-490A4927897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RESUMO!$K$5:$M$5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RESUMO!$AC$2:$AE$2</c:f>
              <c:numCache>
                <c:formatCode>#,##0.00</c:formatCode>
                <c:ptCount val="3"/>
                <c:pt idx="0">
                  <c:v>64.682646065743</c:v>
                </c:pt>
                <c:pt idx="1">
                  <c:v>512.01705104787402</c:v>
                </c:pt>
                <c:pt idx="2">
                  <c:v>14.83095605314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F1-43FB-8795-490A492789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D65-4F08-9E36-AC0C86F9743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D65-4F08-9E36-AC0C86F9743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D65-4F08-9E36-AC0C86F9743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RESUMO!$N$5:$P$5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RESUMO!$AF$2:$AH$2</c:f>
              <c:numCache>
                <c:formatCode>#,##0.00</c:formatCode>
                <c:ptCount val="3"/>
                <c:pt idx="0">
                  <c:v>288.52650772711604</c:v>
                </c:pt>
                <c:pt idx="1">
                  <c:v>147.79739117181498</c:v>
                </c:pt>
                <c:pt idx="2">
                  <c:v>155.206754267826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65-4F08-9E36-AC0C86F974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816-42A0-8B4A-EC5327619AB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816-42A0-8B4A-EC5327619AB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816-42A0-8B4A-EC5327619AB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RESUMO!$Q$5:$S$5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RESUMO!$AI$2:$AK$2</c:f>
              <c:numCache>
                <c:formatCode>#,##0.00</c:formatCode>
                <c:ptCount val="3"/>
                <c:pt idx="0">
                  <c:v>21.027128421929998</c:v>
                </c:pt>
                <c:pt idx="1">
                  <c:v>466.972232212817</c:v>
                </c:pt>
                <c:pt idx="2">
                  <c:v>103.53129253201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16-42A0-8B4A-EC5327619A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CCB-4011-83A9-BA27F221340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CCB-4011-83A9-BA27F221340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CCB-4011-83A9-BA27F221340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CCB-4011-83A9-BA27F221340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CCB-4011-83A9-BA27F221340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'1'!$Y$2:$AC$2</c:f>
              <c:numCache>
                <c:formatCode>#,##0.00</c:formatCode>
                <c:ptCount val="5"/>
                <c:pt idx="0">
                  <c:v>9.6977069718259994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CB-4011-83A9-BA27F22134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CCE-4745-966D-5E4962EEF9B0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CCE-4745-966D-5E4962EEF9B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9.6977069718259994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CE-4745-966D-5E4962EEF9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2DB-4E18-BF34-796DB61C0A7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2DB-4E18-BF34-796DB61C0A7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2DB-4E18-BF34-796DB61C0A7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2.8667509186859998</c:v>
                </c:pt>
                <c:pt idx="2">
                  <c:v>6.8309560531399995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DB-4E18-BF34-796DB61C0A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78F-4095-888F-79AB6229AC2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78F-4095-888F-79AB6229AC2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78F-4095-888F-79AB6229AC2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9.6977069718259994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8F-4095-888F-79AB6229AC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D16-4D69-8FEA-DA52AB49183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D16-4D69-8FEA-DA52AB49183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D16-4D69-8FEA-DA52AB49183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2.8667509186859998</c:v>
                </c:pt>
                <c:pt idx="2">
                  <c:v>6.8309560531399995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16-4D69-8FEA-DA52AB4918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59-4575-B55D-3603E070918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59-4575-B55D-3603E070918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59-4575-B55D-3603E070918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559-4575-B55D-3603E070918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559-4575-B55D-3603E070918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'2'!$Y$2:$AC$2</c:f>
              <c:numCache>
                <c:formatCode>#,##0.00</c:formatCode>
                <c:ptCount val="5"/>
                <c:pt idx="0">
                  <c:v>6.6075718702900001</c:v>
                </c:pt>
                <c:pt idx="1">
                  <c:v>#N/A</c:v>
                </c:pt>
                <c:pt idx="2">
                  <c:v>2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59-4575-B55D-3603E07091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8D-47A3-81C2-BBEAC7B8FEA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8D-47A3-81C2-BBEAC7B8FEA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'2'!$AD$2:$AE$2</c:f>
              <c:numCache>
                <c:formatCode>#,##0.00</c:formatCode>
                <c:ptCount val="2"/>
                <c:pt idx="0">
                  <c:v>4.6075718702900001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8D-47A3-81C2-BBEAC7B8FE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E45-46FB-91F7-19F46E7DCB2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E45-46FB-91F7-19F46E7DCB2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E45-46FB-91F7-19F46E7DCB2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8.6075718702900001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45-46FB-91F7-19F46E7DCB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C9F-4779-9B06-81697F72BEB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C9F-4779-9B06-81697F72BEB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C9F-4779-9B06-81697F72BEB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4.6075718702900001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9F-4779-9B06-81697F72BE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23C-4B38-9A37-FCB89EA4C69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23C-4B38-9A37-FCB89EA4C69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23C-4B38-9A37-FCB89EA4C69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8.6075718702900001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3C-4B38-9A37-FCB89EA4C6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99-4A73-91F3-A746A58FC1D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E99-4A73-91F3-A746A58FC1D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E99-4A73-91F3-A746A58FC1D7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E99-4A73-91F3-A746A58FC1D7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E99-4A73-91F3-A746A58FC1D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'3'!$Y$2:$AC$2</c:f>
              <c:numCache>
                <c:formatCode>#,##0.00</c:formatCode>
                <c:ptCount val="5"/>
                <c:pt idx="0">
                  <c:v>30.607009497180002</c:v>
                </c:pt>
                <c:pt idx="1">
                  <c:v>11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99-4A73-91F3-A746A58FC1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968-482C-BA90-5CBAE7AEFC5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968-482C-BA90-5CBAE7AEFC5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'3'!$AD$2:$AE$2</c:f>
              <c:numCache>
                <c:formatCode>#,##0.00</c:formatCode>
                <c:ptCount val="2"/>
                <c:pt idx="0">
                  <c:v>5.8518241291999979</c:v>
                </c:pt>
                <c:pt idx="1">
                  <c:v>35.755185367980005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68-482C-BA90-5CBAE7AEFC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C02-4306-893E-ADACC2F2390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C02-4306-893E-ADACC2F2390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C02-4306-893E-ADACC2F2390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'3'!$AF$2:$AH$2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41.607009497179995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02-4306-893E-ADACC2F239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87-404D-906E-0E9F23CAEB5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687-404D-906E-0E9F23CAEB5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687-404D-906E-0E9F23CAEB5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'3'!$AI$2:$AK$2</c:f>
              <c:numCache>
                <c:formatCode>#,##0.00</c:formatCode>
                <c:ptCount val="3"/>
                <c:pt idx="0">
                  <c:v>41.607009497179995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87-404D-906E-0E9F23CAEB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9D3-4076-96DB-000C5BF7AB4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9D3-4076-96DB-000C5BF7AB4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9D3-4076-96DB-000C5BF7AB4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41.607009497179995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D3-4076-96DB-000C5BF7AB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79B-4F60-844C-F0FBA4E57B7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79B-4F60-844C-F0FBA4E57B7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79B-4F60-844C-F0FBA4E57B7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79B-4F60-844C-F0FBA4E57B7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79B-4F60-844C-F0FBA4E57B7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'4'!$Y$2:$AC$2</c:f>
              <c:numCache>
                <c:formatCode>#,##0.00</c:formatCode>
                <c:ptCount val="5"/>
                <c:pt idx="0">
                  <c:v>5.5891580305200002</c:v>
                </c:pt>
                <c:pt idx="1">
                  <c:v>3.6607757999700001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79B-4F60-844C-F0FBA4E57B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04E-4863-8D87-D480C1A789EB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04E-4863-8D87-D480C1A789E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9.2499338304900007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4E-4863-8D87-D480C1A789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BF7-400F-819A-D597A575F9E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BF7-400F-819A-D597A575F9E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BF7-400F-819A-D597A575F9E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9.2499338304900007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F7-400F-819A-D597A575F9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AE0-48BA-98DE-6FCB48405D5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AE0-48BA-98DE-6FCB48405D5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AE0-48BA-98DE-6FCB48405D5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'4'!$AI$2:$AK$2</c:f>
              <c:numCache>
                <c:formatCode>#,##0.00</c:formatCode>
                <c:ptCount val="3"/>
                <c:pt idx="0">
                  <c:v>9.2499338304900007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E0-48BA-98DE-6FCB48405D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2ED-47A5-855A-6644397680C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2ED-47A5-855A-6644397680C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2ED-47A5-855A-6644397680C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9.2499338304900007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ED-47A5-855A-6644397680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42D-41B2-A2E7-56EBE60799E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42D-41B2-A2E7-56EBE60799E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42D-41B2-A2E7-56EBE60799E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42D-41B2-A2E7-56EBE60799E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42D-41B2-A2E7-56EBE60799E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'5'!$Y$2:$AC$2</c:f>
              <c:numCache>
                <c:formatCode>#,##0.00</c:formatCode>
                <c:ptCount val="5"/>
                <c:pt idx="0">
                  <c:v>21.142364318190001</c:v>
                </c:pt>
                <c:pt idx="1">
                  <c:v>1.23447964588</c:v>
                </c:pt>
                <c:pt idx="2">
                  <c:v>7.8623358040099998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42D-41B2-A2E7-56EBE60799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554-44DB-A799-B82C4B4242C0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554-44DB-A799-B82C4B4242C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30.239179768080003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54-44DB-A799-B82C4B4242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33E-4BF0-8A1B-E71D9CBDE59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33E-4BF0-8A1B-E71D9CBDE59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33E-4BF0-8A1B-E71D9CBDE59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30.239179768080003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3E-4BF0-8A1B-E71D9CBDE5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549-42B7-BA1C-45790340A07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549-42B7-BA1C-45790340A07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549-42B7-BA1C-45790340A07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'5'!$AI$2:$AK$2</c:f>
              <c:numCache>
                <c:formatCode>#,##0.00</c:formatCode>
                <c:ptCount val="3"/>
                <c:pt idx="0">
                  <c:v>14.376843964070002</c:v>
                </c:pt>
                <c:pt idx="1">
                  <c:v>15.86233580401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49-42B7-BA1C-45790340A0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19D-4C4F-87E0-AEA7680E21F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19D-4C4F-87E0-AEA7680E21F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19D-4C4F-87E0-AEA7680E21F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30.239179768080003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9D-4C4F-87E0-AEA7680E21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F5A-43FD-B967-425DBC8AFFF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F5A-43FD-B967-425DBC8AFFF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F5A-43FD-B967-425DBC8AFFF0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F5A-43FD-B967-425DBC8AFFF0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F5A-43FD-B967-425DBC8AFFF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'6'!$Y$2:$AC$2</c:f>
              <c:numCache>
                <c:formatCode>#,##0.00</c:formatCode>
                <c:ptCount val="5"/>
                <c:pt idx="0">
                  <c:v>5.5139277058600005</c:v>
                </c:pt>
                <c:pt idx="1">
                  <c:v>1</c:v>
                </c:pt>
                <c:pt idx="2">
                  <c:v>#N/A</c:v>
                </c:pt>
                <c:pt idx="3">
                  <c:v>2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F5A-43FD-B967-425DBC8AFF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DE5-416C-9091-909AD143FE1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DE5-416C-9091-909AD143FE1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'6'!$AD$2:$AE$2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8.5139277058600005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E5-416C-9091-909AD143FE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C76-494A-977D-088EB5718C0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C76-494A-977D-088EB5718C0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C76-494A-977D-088EB5718C0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'6'!$AF$2:$AH$2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8.5139277058600005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76-494A-977D-088EB5718C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096-4A9A-85BE-59D281B2B5F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096-4A9A-85BE-59D281B2B5F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096-4A9A-85BE-59D281B2B5F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'6'!$AI$2:$AK$2</c:f>
              <c:numCache>
                <c:formatCode>#,##0.00</c:formatCode>
                <c:ptCount val="3"/>
                <c:pt idx="0">
                  <c:v>7.9848124491900005</c:v>
                </c:pt>
                <c:pt idx="1">
                  <c:v>0.52911525666999992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96-4A9A-85BE-59D281B2B5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710-4AE2-9129-53CAA17B137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710-4AE2-9129-53CAA17B137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710-4AE2-9129-53CAA17B137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'6'!$AL$2:$AN$2</c:f>
              <c:numCache>
                <c:formatCode>#,##0.00</c:formatCode>
                <c:ptCount val="3"/>
                <c:pt idx="0">
                  <c:v>8.5139277058600005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10-4AE2-9129-53CAA17B13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A4B-484E-ACC8-7F68EC6D15A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A4B-484E-ACC8-7F68EC6D15A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A4B-484E-ACC8-7F68EC6D15A9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A4B-484E-ACC8-7F68EC6D15A9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A4B-484E-ACC8-7F68EC6D15A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'7'!$Y$2:$AC$2</c:f>
              <c:numCache>
                <c:formatCode>#,##0.00</c:formatCode>
                <c:ptCount val="5"/>
                <c:pt idx="0">
                  <c:v>13.660088410963001</c:v>
                </c:pt>
                <c:pt idx="1">
                  <c:v>3</c:v>
                </c:pt>
                <c:pt idx="2">
                  <c:v>#N/A</c:v>
                </c:pt>
                <c:pt idx="3">
                  <c:v>5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A4B-484E-ACC8-7F68EC6D15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A0-4AFB-9F1C-B8CE6B1D331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1A0-4AFB-9F1C-B8CE6B1D331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21.660088410962999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A0-4AFB-9F1C-B8CE6B1D33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5A6-4744-837B-C62EF44890E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5A6-4744-837B-C62EF44890E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5A6-4744-837B-C62EF44890E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'7'!$AF$2:$AH$2</c:f>
              <c:numCache>
                <c:formatCode>#,##0.00</c:formatCode>
                <c:ptCount val="3"/>
                <c:pt idx="0">
                  <c:v>15.660088410963001</c:v>
                </c:pt>
                <c:pt idx="1">
                  <c:v>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A6-4744-837B-C62EF44890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998-4050-986E-DBFB8FB07B9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998-4050-986E-DBFB8FB07B9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998-4050-986E-DBFB8FB07B9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'7'!$AI$2:$AK$2</c:f>
              <c:numCache>
                <c:formatCode>#,##0.00</c:formatCode>
                <c:ptCount val="3"/>
                <c:pt idx="0">
                  <c:v>6</c:v>
                </c:pt>
                <c:pt idx="1">
                  <c:v>15.660088410963001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98-4050-986E-DBFB8FB07B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3F4-432D-9C48-1ED647FFFA7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3F4-432D-9C48-1ED647FFFA7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3F4-432D-9C48-1ED647FFFA7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21.660088410962999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F4-432D-9C48-1ED647FFFA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6AE-4D91-B749-6E15545E8F9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6AE-4D91-B749-6E15545E8F9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6AE-4D91-B749-6E15545E8F9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6AE-4D91-B749-6E15545E8F9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6AE-4D91-B749-6E15545E8F9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'8'!$Y$2:$AC$2</c:f>
              <c:numCache>
                <c:formatCode>#,##0.00</c:formatCode>
                <c:ptCount val="5"/>
                <c:pt idx="0">
                  <c:v>20.376613198199998</c:v>
                </c:pt>
                <c:pt idx="1">
                  <c:v>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6AE-4D91-B749-6E15545E8F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CC5-4DEE-83E1-6D2CF09DE26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CC5-4DEE-83E1-6D2CF09DE26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'8'!$AD$2:$AE$2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25.376613198199998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C5-4DEE-83E1-6D2CF09DE2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24E-42FA-B3EB-11834A4D449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24E-42FA-B3EB-11834A4D449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24E-42FA-B3EB-11834A4D449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'8'!$AF$2:$AH$2</c:f>
              <c:numCache>
                <c:formatCode>#,##0.00</c:formatCode>
                <c:ptCount val="3"/>
                <c:pt idx="0">
                  <c:v>1.0211831320999991</c:v>
                </c:pt>
                <c:pt idx="1">
                  <c:v>24.355430066099998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4E-42FA-B3EB-11834A4D44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57-4C1B-B951-EAC150EA971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457-4C1B-B951-EAC150EA971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457-4C1B-B951-EAC150EA971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'8'!$AI$2:$AK$2</c:f>
              <c:numCache>
                <c:formatCode>#,##0.00</c:formatCode>
                <c:ptCount val="3"/>
                <c:pt idx="0">
                  <c:v>25.376613198199998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57-4C1B-B951-EAC150EA97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0F4-4E73-87FC-C5729D2572F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0F4-4E73-87FC-C5729D2572F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0F4-4E73-87FC-C5729D2572F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15.021183132099999</c:v>
                </c:pt>
                <c:pt idx="2">
                  <c:v>10.3554300661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F4-4E73-87FC-C5729D2572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589-4840-91F5-DA1A1D3395C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589-4840-91F5-DA1A1D3395C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589-4840-91F5-DA1A1D3395C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589-4840-91F5-DA1A1D3395C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589-4840-91F5-DA1A1D3395C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'9'!$Y$2:$AC$2</c:f>
              <c:numCache>
                <c:formatCode>#,##0.00</c:formatCode>
                <c:ptCount val="5"/>
                <c:pt idx="0">
                  <c:v>16.674967863439999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589-4840-91F5-DA1A1D3395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A41-47C2-9D21-174664770E3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A41-47C2-9D21-174664770E3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'9'!$AD$2:$AE$2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16.674967863439999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41-47C2-9D21-174664770E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E09-4C88-A393-8C49F8DDCD7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E09-4C88-A393-8C49F8DDCD7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E09-4C88-A393-8C49F8DDCD7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'9'!$AF$2:$AH$2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16.674967863439999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09-4C88-A393-8C49F8DDCD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511-48D2-ACE3-E4A223AF326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511-48D2-ACE3-E4A223AF326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511-48D2-ACE3-E4A223AF326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'9'!$AI$2:$AK$2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16.674967863439999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11-48D2-ACE3-E4A223AF32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42A-40A1-8835-17F90BAD814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42A-40A1-8835-17F90BAD814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42A-40A1-8835-17F90BAD814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16.674967863439999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2A-40A1-8835-17F90BAD8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DC9-4F02-8442-56809086A9B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DC9-4F02-8442-56809086A9B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DC9-4F02-8442-56809086A9B9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DC9-4F02-8442-56809086A9B9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DC9-4F02-8442-56809086A9B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'10'!$Y$2:$AC$2</c:f>
              <c:numCache>
                <c:formatCode>#,##0.00</c:formatCode>
                <c:ptCount val="5"/>
                <c:pt idx="0">
                  <c:v>37.347801936700002</c:v>
                </c:pt>
                <c:pt idx="1">
                  <c:v>4</c:v>
                </c:pt>
                <c:pt idx="2">
                  <c:v>4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DC9-4F02-8442-56809086A9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AE6-4EA0-94E3-F4F256F14E3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AE6-4EA0-94E3-F4F256F14E3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'10'!$AD$2:$AE$2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45.347801936700002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E6-4EA0-94E3-F4F256F14E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C4-4C7D-925B-34BD9273973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C4-4C7D-925B-34BD9273973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9C4-4C7D-925B-34BD9273973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'10'!$AF$2:$AH$2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45.347801936700002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C4-4C7D-925B-34BD927397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04C-4A5B-97F3-D67FA4A0FE9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04C-4A5B-97F3-D67FA4A0FE9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04C-4A5B-97F3-D67FA4A0FE9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'10'!$AI$2:$AK$2</c:f>
              <c:numCache>
                <c:formatCode>#,##0.00</c:formatCode>
                <c:ptCount val="3"/>
                <c:pt idx="0">
                  <c:v>39.347801936700002</c:v>
                </c:pt>
                <c:pt idx="1">
                  <c:v>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4C-4A5B-97F3-D67FA4A0FE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D2A-46C3-93BE-063B5A650E7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D2A-46C3-93BE-063B5A650E7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D2A-46C3-93BE-063B5A650E7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'10'!$AL$2:$AN$2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41.347801936700002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2A-46C3-93BE-063B5A650E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70A-4C3F-8A89-E6F58453F6B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70A-4C3F-8A89-E6F58453F6B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70A-4C3F-8A89-E6F58453F6B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70A-4C3F-8A89-E6F58453F6B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70A-4C3F-8A89-E6F58453F6B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'11'!$Y$2:$AC$2</c:f>
              <c:numCache>
                <c:formatCode>#,##0.00</c:formatCode>
                <c:ptCount val="5"/>
                <c:pt idx="0">
                  <c:v>12.635449461309999</c:v>
                </c:pt>
                <c:pt idx="1">
                  <c:v>#N/A</c:v>
                </c:pt>
                <c:pt idx="2">
                  <c:v>11.804744706279999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70A-4C3F-8A89-E6F58453F6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EDD-43FB-8902-FB1FB32528A7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EDD-43FB-8902-FB1FB32528A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'11'!$AD$2:$AE$2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24.440194167589997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DD-43FB-8902-FB1FB32528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C40-49C1-BCFC-331B7FB27AD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C40-49C1-BCFC-331B7FB27AD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C40-49C1-BCFC-331B7FB27AD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'11'!$M$7:$O$7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'11'!$AF$2:$AH$2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24.440194167589997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40-49C1-BCFC-331B7FB27A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C9-4700-BA05-40210A68271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C9-4700-BA05-40210A68271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CC9-4700-BA05-40210A68271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'11'!$AI$2:$AK$2</c:f>
              <c:numCache>
                <c:formatCode>#,##0.00</c:formatCode>
                <c:ptCount val="3"/>
                <c:pt idx="0">
                  <c:v>13.04278288219</c:v>
                </c:pt>
                <c:pt idx="1">
                  <c:v>11.397411285399999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C9-4700-BA05-40210A6827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2D5-4B01-A2E8-DEFDB46967E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2D5-4B01-A2E8-DEFDB46967E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2D5-4B01-A2E8-DEFDB46967E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'11'!$S$7:$U$7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'11'!$AL$2:$AN$2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12.219193632129999</c:v>
                </c:pt>
                <c:pt idx="2">
                  <c:v>12.22100053546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D5-4B01-A2E8-DEFDB46967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D3-4018-8A42-50E1BA1D998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D3-4018-8A42-50E1BA1D998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D3-4018-8A42-50E1BA1D9987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3D3-4018-8A42-50E1BA1D9987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3D3-4018-8A42-50E1BA1D998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'13'!$Y$2:$AC$2</c:f>
              <c:numCache>
                <c:formatCode>#,##0.00</c:formatCode>
                <c:ptCount val="5"/>
                <c:pt idx="0">
                  <c:v>20.217170891288998</c:v>
                </c:pt>
                <c:pt idx="1">
                  <c:v>12</c:v>
                </c:pt>
                <c:pt idx="2">
                  <c:v>14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D3-4018-8A42-50E1BA1D99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3DB-467C-9410-76B67C444BA8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3DB-467C-9410-76B67C444BA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'13'!$AD$2:$AE$2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46.217170891289001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DB-467C-9410-76B67C444B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6D9-43A5-BE1E-2564A96EC69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6D9-43A5-BE1E-2564A96EC69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6D9-43A5-BE1E-2564A96EC69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'13'!$M$7:$O$7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'13'!$AF$2:$AH$2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46.217170891289001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D9-43A5-BE1E-2564A96EC6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491-4138-8786-A670C796F20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491-4138-8786-A670C796F20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491-4138-8786-A670C796F20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'13'!$AI$2:$AK$2</c:f>
              <c:numCache>
                <c:formatCode>#,##0.00</c:formatCode>
                <c:ptCount val="3"/>
                <c:pt idx="0">
                  <c:v>46.217170891289001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91-4138-8786-A670C796F2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90-47D8-848D-CDD8903085F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90-47D8-848D-CDD8903085F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90-47D8-848D-CDD8903085F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'13'!$S$7:$U$7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46.217170891289001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90-47D8-848D-CDD8903085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AE7-4A99-B219-9045F33D8F0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AE7-4A99-B219-9045F33D8F0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AE7-4A99-B219-9045F33D8F0D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AE7-4A99-B219-9045F33D8F0D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AE7-4A99-B219-9045F33D8F0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'14'!$Y$2:$AC$2</c:f>
              <c:numCache>
                <c:formatCode>#,##0.00</c:formatCode>
                <c:ptCount val="5"/>
                <c:pt idx="0">
                  <c:v>11.9106578317</c:v>
                </c:pt>
                <c:pt idx="1">
                  <c:v>#N/A</c:v>
                </c:pt>
                <c:pt idx="2">
                  <c:v>2</c:v>
                </c:pt>
                <c:pt idx="3">
                  <c:v>2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E7-4A99-B219-9045F33D8F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C54-4E7D-9893-1641E1561F8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C54-4E7D-9893-1641E1561F8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'14'!$AD$2:$AE$2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15.9106578317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54-4E7D-9893-1641E1561F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953-4644-8F4A-7B94A4542A2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953-4644-8F4A-7B94A4542A2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953-4644-8F4A-7B94A4542A2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'14'!$AF$2:$AH$2</c:f>
              <c:numCache>
                <c:formatCode>#,##0.00</c:formatCode>
                <c:ptCount val="3"/>
                <c:pt idx="0">
                  <c:v>2.37361729672</c:v>
                </c:pt>
                <c:pt idx="1">
                  <c:v>13.537040534980001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53-4644-8F4A-7B94A4542A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833-4FB5-91EF-7595BFE49E1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833-4FB5-91EF-7595BFE49E1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833-4FB5-91EF-7595BFE49E1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'14'!$AI$2:$AK$2</c:f>
              <c:numCache>
                <c:formatCode>#,##0.00</c:formatCode>
                <c:ptCount val="3"/>
                <c:pt idx="0">
                  <c:v>7.2897588603600001</c:v>
                </c:pt>
                <c:pt idx="1">
                  <c:v>8.6208989713400008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33-4FB5-91EF-7595BFE49E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9DB-4F7D-B615-9411AB6E3A1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9DB-4F7D-B615-9411AB6E3A1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9DB-4F7D-B615-9411AB6E3A1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'14'!$AL$2:$AN$2</c:f>
              <c:numCache>
                <c:formatCode>#,##0.00</c:formatCode>
                <c:ptCount val="3"/>
                <c:pt idx="0">
                  <c:v>2.37361729672</c:v>
                </c:pt>
                <c:pt idx="1">
                  <c:v>13.537040534980001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DB-4F7D-B615-9411AB6E3A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B34-49C7-B254-CD28D012723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B34-49C7-B254-CD28D012723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B34-49C7-B254-CD28D012723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B34-49C7-B254-CD28D012723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B34-49C7-B254-CD28D012723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'15'!$Y$2:$AC$2</c:f>
              <c:numCache>
                <c:formatCode>#,##0.00</c:formatCode>
                <c:ptCount val="5"/>
                <c:pt idx="0">
                  <c:v>5.275142457087</c:v>
                </c:pt>
                <c:pt idx="1">
                  <c:v>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B34-49C7-B254-CD28D01272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FB1-4307-AFA6-2CB1B4947D4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FB1-4307-AFA6-2CB1B4947D4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'15'!$AD$2:$AE$2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7.275142457087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B1-4307-AFA6-2CB1B4947D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A3C-4B45-BD02-FB4692229FA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A3C-4B45-BD02-FB4692229FA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A3C-4B45-BD02-FB4692229FA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7.275142457087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3C-4B45-BD02-FB4692229F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6F4-4B7C-BD56-64E8EDC1E37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6F4-4B7C-BD56-64E8EDC1E37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6F4-4B7C-BD56-64E8EDC1E37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'15'!$AI$2:$AK$2</c:f>
              <c:numCache>
                <c:formatCode>#,##0.00</c:formatCode>
                <c:ptCount val="3"/>
                <c:pt idx="0">
                  <c:v>7.275142457087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F4-4B7C-BD56-64E8EDC1E3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2B2-46C2-80DC-808AA9AFE31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2B2-46C2-80DC-808AA9AFE31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2B2-46C2-80DC-808AA9AFE31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7.275142457087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B2-46C2-80DC-808AA9AFE3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A24-4BDB-89FB-BF44C9FBF45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A24-4BDB-89FB-BF44C9FBF45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A24-4BDB-89FB-BF44C9FBF45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A24-4BDB-89FB-BF44C9FBF45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A24-4BDB-89FB-BF44C9FBF45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'16'!$Y$2:$AC$2</c:f>
              <c:numCache>
                <c:formatCode>#,##0.00</c:formatCode>
                <c:ptCount val="5"/>
                <c:pt idx="0">
                  <c:v>12.071587130520001</c:v>
                </c:pt>
                <c:pt idx="1">
                  <c:v>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A24-4BDB-89FB-BF44C9FBF4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DA-45C9-8C4A-7950AA0428C2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4DA-45C9-8C4A-7950AA0428C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'16'!$AD$2:$AE$2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14.071587130520001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DA-45C9-8C4A-7950AA0428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ED-4595-A23F-8232F9CF200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ED-4595-A23F-8232F9CF200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BED-4595-A23F-8232F9CF200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'16'!$M$7:$O$7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'16'!$AF$2:$AH$2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14.071587130520001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ED-4595-A23F-8232F9CF20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20-43C5-B696-E8566F0FFB9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20-43C5-B696-E8566F0FFB9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D20-43C5-B696-E8566F0FFB9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'16'!$AI$2:$AK$2</c:f>
              <c:numCache>
                <c:formatCode>#,##0.00</c:formatCode>
                <c:ptCount val="3"/>
                <c:pt idx="0">
                  <c:v>14.071587130520001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20-43C5-B696-E8566F0FFB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761-4316-8F11-9A099A6E925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761-4316-8F11-9A099A6E925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761-4316-8F11-9A099A6E925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'16'!$S$7:$U$7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14.071587130520001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61-4316-8F11-9A099A6E92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07-43A6-8380-2A8BD87AF3B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07-43A6-8380-2A8BD87AF3B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07-43A6-8380-2A8BD87AF3BF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007-43A6-8380-2A8BD87AF3BF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007-43A6-8380-2A8BD87AF3B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'17'!$Y$2:$AC$2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20.06831737133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007-43A6-8380-2A8BD87AF3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015-4D1B-BF40-BDB66D737E1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015-4D1B-BF40-BDB66D737E1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'17'!$AD$2:$AE$2</c:f>
              <c:numCache>
                <c:formatCode>#,##0.00</c:formatCode>
                <c:ptCount val="2"/>
                <c:pt idx="0">
                  <c:v>20.06831737133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15-4D1B-BF40-BDB66D737E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5D0-4EC6-B8E0-8FAFDA21D0C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5D0-4EC6-B8E0-8FAFDA21D0C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5D0-4EC6-B8E0-8FAFDA21D0C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'17'!$M$7:$O$7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'17'!$AF$2:$AH$2</c:f>
              <c:numCache>
                <c:formatCode>#,##0.00</c:formatCode>
                <c:ptCount val="3"/>
                <c:pt idx="0">
                  <c:v>20.06831737133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D0-4EC6-B8E0-8FAFDA21D0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495-4016-AF30-021DFA02E3E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495-4016-AF30-021DFA02E3E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495-4016-AF30-021DFA02E3E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'17'!$AI$2:$AK$2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20.06831737133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95-4016-AF30-021DFA02E3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95E-4DD6-87A0-C31AC4A291D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95E-4DD6-87A0-C31AC4A291D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95E-4DD6-87A0-C31AC4A291D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'17'!$S$7:$U$7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'17'!$AL$2:$AN$2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20.06831737133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5E-4DD6-87A0-C31AC4A291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518-4219-A48B-19421AEDBC9E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518-4219-A48B-19421AEDBC9E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518-4219-A48B-19421AEDBC9E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518-4219-A48B-19421AEDBC9E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518-4219-A48B-19421AEDBC9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'18'!$Y$2:$AC$2</c:f>
              <c:numCache>
                <c:formatCode>#,##0.00</c:formatCode>
                <c:ptCount val="5"/>
                <c:pt idx="0">
                  <c:v>37.314886855479998</c:v>
                </c:pt>
                <c:pt idx="1">
                  <c:v>3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18-4219-A48B-19421AEDBC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9B-4D72-91BD-400AE012237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9B-4D72-91BD-400AE012237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'18'!$AD$2:$AE$2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40.314886855480005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9B-4D72-91BD-400AE01223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519-42B2-9B1D-C261BB0E89F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519-42B2-9B1D-C261BB0E89F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519-42B2-9B1D-C261BB0E89F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'18'!$AF$2:$AH$2</c:f>
              <c:numCache>
                <c:formatCode>#,##0.00</c:formatCode>
                <c:ptCount val="3"/>
                <c:pt idx="0">
                  <c:v>24.039445058590005</c:v>
                </c:pt>
                <c:pt idx="1">
                  <c:v>16.27544179689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19-42B2-9B1D-C261BB0E89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DA2-4650-936C-B9659F9A538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DA2-4650-936C-B9659F9A538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DA2-4650-936C-B9659F9A538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'18'!$AI$2:$AK$2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40.314886855480005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A2-4650-936C-B9659F9A53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239-4E0B-9FC7-742809DC120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239-4E0B-9FC7-742809DC120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239-4E0B-9FC7-742809DC120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40.314886855480005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39-4E0B-9FC7-742809DC12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0B2-49DC-80E7-D72B41DCC85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0B2-49DC-80E7-D72B41DCC85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0B2-49DC-80E7-D72B41DCC85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0B2-49DC-80E7-D72B41DCC85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0B2-49DC-80E7-D72B41DCC85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'19'!$Y$2:$AC$2</c:f>
              <c:numCache>
                <c:formatCode>#,##0.00</c:formatCode>
                <c:ptCount val="5"/>
                <c:pt idx="0">
                  <c:v>39.484898299180003</c:v>
                </c:pt>
                <c:pt idx="1">
                  <c:v>3.6195886233099999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B2-49DC-80E7-D72B41DCC8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E3A-4E1D-AA6B-4D3802228B44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E3A-4E1D-AA6B-4D3802228B4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'19'!$AD$2:$AE$2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43.104486922489997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3A-4E1D-AA6B-4D3802228B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D40-44F7-9D5D-6B2F9F12142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D40-44F7-9D5D-6B2F9F12142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D40-44F7-9D5D-6B2F9F12142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'19'!$M$7:$O$7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'19'!$AF$2:$AH$2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43.104486922489997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40-44F7-9D5D-6B2F9F1214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DE2-4EF7-84B6-0A83B642075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DE2-4EF7-84B6-0A83B642075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DE2-4EF7-84B6-0A83B642075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'19'!$AI$2:$AK$2</c:f>
              <c:numCache>
                <c:formatCode>#,##0.00</c:formatCode>
                <c:ptCount val="3"/>
                <c:pt idx="0">
                  <c:v>8.6195886233099994</c:v>
                </c:pt>
                <c:pt idx="1">
                  <c:v>#N/A</c:v>
                </c:pt>
                <c:pt idx="2">
                  <c:v>34.484898299180003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E2-4EF7-84B6-0A83B64207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23E-427A-9671-3B641EB05F0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23E-427A-9671-3B641EB05F0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23E-427A-9671-3B641EB05F0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'19'!$S$7:$U$7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'19'!$AL$2:$AN$2</c:f>
              <c:numCache>
                <c:formatCode>#,##0.00</c:formatCode>
                <c:ptCount val="3"/>
                <c:pt idx="0">
                  <c:v>8.6195886233099994</c:v>
                </c:pt>
                <c:pt idx="1">
                  <c:v>#N/A</c:v>
                </c:pt>
                <c:pt idx="2">
                  <c:v>34.484898299180003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3E-427A-9671-3B641EB05F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599-4B14-8762-035BC7F3B99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599-4B14-8762-035BC7F3B99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599-4B14-8762-035BC7F3B99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599-4B14-8762-035BC7F3B99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599-4B14-8762-035BC7F3B99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'23'!$Y$2:$AC$2</c:f>
              <c:numCache>
                <c:formatCode>#,##0.00</c:formatCode>
                <c:ptCount val="5"/>
                <c:pt idx="0">
                  <c:v>16.1849724954</c:v>
                </c:pt>
                <c:pt idx="1">
                  <c:v>6.3453044624999997</c:v>
                </c:pt>
                <c:pt idx="2">
                  <c:v>#N/A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599-4B14-8762-035BC7F3B9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0EA-4C98-830E-45E3C9C8EC3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0EA-4C98-830E-45E3C9C8EC3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'23'!$AD$2:$AE$2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26.5302769579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EA-4C98-830E-45E3C9C8EC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F1-4D7C-BD53-59BF52997B2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F1-4D7C-BD53-59BF52997B2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FF1-4D7C-BD53-59BF52997B2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'23'!$AF$2:$AH$2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24.5302769579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F1-4D7C-BD53-59BF52997B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C2E-4C82-A7B3-B31D71D711C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C2E-4C82-A7B3-B31D71D711C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C2E-4C82-A7B3-B31D71D711C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'23'!$AI$2:$AK$2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26.5302769579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2E-4C82-A7B3-B31D71D71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397-47A7-B283-56498543103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397-47A7-B283-56498543103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397-47A7-B283-56498543103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26.5302769579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97-47A7-B283-5649854310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AC3-4B5B-87F0-D5C4F07EA27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AC3-4B5B-87F0-D5C4F07EA27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AC3-4B5B-87F0-D5C4F07EA271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AC3-4B5B-87F0-D5C4F07EA271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AC3-4B5B-87F0-D5C4F07EA27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'24'!$Y$2:$AC$2</c:f>
              <c:numCache>
                <c:formatCode>#,##0.00</c:formatCode>
                <c:ptCount val="5"/>
                <c:pt idx="0">
                  <c:v>4.6394745040600007</c:v>
                </c:pt>
                <c:pt idx="1">
                  <c:v>2</c:v>
                </c:pt>
                <c:pt idx="2">
                  <c:v>9.1506575458199997</c:v>
                </c:pt>
                <c:pt idx="3">
                  <c:v>2.3621001742800001</c:v>
                </c:pt>
                <c:pt idx="4">
                  <c:v>7.2953064946900001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AC3-4B5B-87F0-D5C4F07EA2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BAC-4AE4-9D95-1D4F895BC9F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BAC-4AE4-9D95-1D4F895BC9F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'24'!$AD$2:$AE$2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25.447538718850002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AC-4AE4-9D95-1D4F895BC9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5E4-4C2A-B604-1EE82E4B947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5E4-4C2A-B604-1EE82E4B947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5E4-4C2A-B604-1EE82E4B947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'24'!$AF$2:$AH$2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25.447538718850002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E4-4C2A-B604-1EE82E4B94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1C0-4D86-8688-68EED07353C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1C0-4D86-8688-68EED07353C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1C0-4D86-8688-68EED07353C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'24'!$AI$2:$AK$2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25.447538718850002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C0-4D86-8688-68EED07353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FF-4954-8FAA-DA59FA22059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FF-4954-8FAA-DA59FA22059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9FF-4954-8FAA-DA59FA22059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25.447538718850002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FF-4954-8FAA-DA59FA2205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7F-4811-AB16-73B5597A33E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7F-4811-AB16-73B5597A33E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B7F-4811-AB16-73B5597A33E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B7F-4811-AB16-73B5597A33E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B7F-4811-AB16-73B5597A33E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'25'!$Y$2:$AC$2</c:f>
              <c:numCache>
                <c:formatCode>#,##0.00</c:formatCode>
                <c:ptCount val="5"/>
                <c:pt idx="0">
                  <c:v>12.82550761105</c:v>
                </c:pt>
                <c:pt idx="1">
                  <c:v>3</c:v>
                </c:pt>
                <c:pt idx="2">
                  <c:v>#N/A</c:v>
                </c:pt>
                <c:pt idx="3">
                  <c:v>1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B7F-4811-AB16-73B5597A33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9DE-4B56-A3F9-8D8AF9B435F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9DE-4B56-A3F9-8D8AF9B435F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16.82550761105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DE-4B56-A3F9-8D8AF9B435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64E-449B-87AE-6FC1E40B54D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64E-449B-87AE-6FC1E40B54D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64E-449B-87AE-6FC1E40B54D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'25'!$AF$2:$AH$2</c:f>
              <c:numCache>
                <c:formatCode>#,##0.00</c:formatCode>
                <c:ptCount val="3"/>
                <c:pt idx="0">
                  <c:v>1.5199947960399998</c:v>
                </c:pt>
                <c:pt idx="1">
                  <c:v>15.305512815010001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4E-449B-87AE-6FC1E40B54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4BA-4633-BC31-585E2D1C848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4BA-4633-BC31-585E2D1C848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4BA-4633-BC31-585E2D1C848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'25'!$AI$2:$AK$2</c:f>
              <c:numCache>
                <c:formatCode>#,##0.00</c:formatCode>
                <c:ptCount val="3"/>
                <c:pt idx="0">
                  <c:v>16.82550761105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BA-4633-BC31-585E2D1C84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936-4369-AFDF-B5CE3013339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936-4369-AFDF-B5CE3013339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936-4369-AFDF-B5CE3013339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'25'!$AL$2:$AN$2</c:f>
              <c:numCache>
                <c:formatCode>#,##0.00</c:formatCode>
                <c:ptCount val="3"/>
                <c:pt idx="0">
                  <c:v>1.5199947960399998</c:v>
                </c:pt>
                <c:pt idx="1">
                  <c:v>15.305512815010001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36-4369-AFDF-B5CE301333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DF-4CDD-80FE-DCB5183607A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DF-4CDD-80FE-DCB5183607A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1DF-4CDD-80FE-DCB5183607AF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1DF-4CDD-80FE-DCB5183607AF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1DF-4CDD-80FE-DCB5183607A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'28'!$Y$2:$AC$2</c:f>
              <c:numCache>
                <c:formatCode>#,##0.00</c:formatCode>
                <c:ptCount val="5"/>
                <c:pt idx="0">
                  <c:v>9.450495640282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1DF-4CDD-80FE-DCB5183607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8DA-4244-B159-4BA174CD5B7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8DA-4244-B159-4BA174CD5B7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'28'!$AD$2:$AE$2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9.450495640282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DA-4244-B159-4BA174CD5B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305-4358-BAB0-E9F6A5F3811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305-4358-BAB0-E9F6A5F3811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305-4358-BAB0-E9F6A5F3811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9.450495640282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05-4358-BAB0-E9F6A5F381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DB-412A-B64D-B23FBDBE176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DB-412A-B64D-B23FBDBE176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DB-412A-B64D-B23FBDBE176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'28'!$AI$2:$AK$2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3.722973855262</c:v>
                </c:pt>
                <c:pt idx="2">
                  <c:v>5.7275217850200004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DB-412A-B64D-B23FBDBE17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66-4DFF-AEB7-9124E370F5D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66-4DFF-AEB7-9124E370F5D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966-4DFF-AEB7-9124E370F5D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9.450495640282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66-4DFF-AEB7-9124E370F5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5EC-4716-A19E-3EE609A4272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5EC-4716-A19E-3EE609A4272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5EC-4716-A19E-3EE609A42721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5EC-4716-A19E-3EE609A42721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5EC-4716-A19E-3EE609A4272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'29'!$Y$2:$AC$2</c:f>
              <c:numCache>
                <c:formatCode>#,##0.00</c:formatCode>
                <c:ptCount val="5"/>
                <c:pt idx="0">
                  <c:v>13.51017659155</c:v>
                </c:pt>
                <c:pt idx="1">
                  <c:v>#N/A</c:v>
                </c:pt>
                <c:pt idx="2">
                  <c:v>12.33266836704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5EC-4716-A19E-3EE609A427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47-476B-99A8-9F292C4FD691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47-476B-99A8-9F292C4FD69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'29'!$AD$2:$AE$2</c:f>
              <c:numCache>
                <c:formatCode>#,##0.00</c:formatCode>
                <c:ptCount val="2"/>
                <c:pt idx="0">
                  <c:v>25.84284495859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47-476B-99A8-9F292C4FD6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B9-43AF-B73A-1A346636FBC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B9-43AF-B73A-1A346636FBC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FB9-43AF-B73A-1A346636FBC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'29'!$M$7:$O$7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'29'!$AF$2:$AH$2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25.84284495859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B9-43AF-B73A-1A346636FB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365-4772-8951-84DFDFE156E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365-4772-8951-84DFDFE156E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365-4772-8951-84DFDFE156E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'29'!$AI$2:$AK$2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19.77737503334</c:v>
                </c:pt>
                <c:pt idx="2">
                  <c:v>6.0654699252499995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65-4772-8951-84DFDFE156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4E-49C7-B83F-EE8B23812D0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E4E-49C7-B83F-EE8B23812D0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E4E-49C7-B83F-EE8B23812D0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'29'!$S$7:$U$7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25.84284495859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4E-49C7-B83F-EE8B23812D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C0D-4704-A003-1D830299BB4E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C0D-4704-A003-1D830299BB4E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C0D-4704-A003-1D830299BB4E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C0D-4704-A003-1D830299BB4E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C0D-4704-A003-1D830299BB4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'30'!$Y$2:$AC$2</c:f>
              <c:numCache>
                <c:formatCode>#,##0.00</c:formatCode>
                <c:ptCount val="5"/>
                <c:pt idx="0">
                  <c:v>7.1037645943600003</c:v>
                </c:pt>
                <c:pt idx="1">
                  <c:v>#N/A</c:v>
                </c:pt>
                <c:pt idx="2">
                  <c:v>#N/A</c:v>
                </c:pt>
                <c:pt idx="3">
                  <c:v>5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0D-4704-A003-1D830299BB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F6B-41FA-A8D2-E63B50B8BD5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F6B-41FA-A8D2-E63B50B8BD5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'30'!$AD$2:$AE$2</c:f>
              <c:numCache>
                <c:formatCode>#,##0.00</c:formatCode>
                <c:ptCount val="2"/>
                <c:pt idx="0">
                  <c:v>6.0749262718899999</c:v>
                </c:pt>
                <c:pt idx="1">
                  <c:v>6.0288383224700004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6B-41FA-A8D2-E63B50B8BD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4F0-4DA9-B34E-F2DD3F91A54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4F0-4DA9-B34E-F2DD3F91A54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4F0-4DA9-B34E-F2DD3F91A54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'30'!$M$7:$O$7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'30'!$AF$2:$AH$2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12.103764594360001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F0-4DA9-B34E-F2DD3F91A5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307-424A-8615-398AC2123D2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307-424A-8615-398AC2123D2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307-424A-8615-398AC2123D2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'30'!$AI$2:$AK$2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12.103764594360001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07-424A-8615-398AC2123D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D80-4C0C-8D09-3B0AFB36B85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D80-4C0C-8D09-3B0AFB36B85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D80-4C0C-8D09-3B0AFB36B85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'30'!$S$7:$U$7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'30'!$AL$2:$AN$2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12.103764594360001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80-4C0C-8D09-3B0AFB36B8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CAF-4797-9A12-71374E74B3C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CAF-4797-9A12-71374E74B3C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CAF-4797-9A12-71374E74B3C9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CAF-4797-9A12-71374E74B3C9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CAF-4797-9A12-71374E74B3C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'32'!$Y$2:$AC$2</c:f>
              <c:numCache>
                <c:formatCode>#,##0.00</c:formatCode>
                <c:ptCount val="5"/>
                <c:pt idx="0">
                  <c:v>7.6877450416000004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AF-4797-9A12-71374E74B3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075-4F0E-AEBB-12D69353CD82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075-4F0E-AEBB-12D69353CD8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'32'!$AD$2:$AE$2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7.6877450416000004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75-4F0E-AEBB-12D69353CD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651-47E7-8AD5-863EF07F569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651-47E7-8AD5-863EF07F569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651-47E7-8AD5-863EF07F569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'32'!$M$7:$O$7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'32'!$AF$2:$AH$2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1.6877450416000004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51-47E7-8AD5-863EF07F56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AA1-42F3-A1CE-E6E2C8AEAA7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AA1-42F3-A1CE-E6E2C8AEAA7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AA1-42F3-A1CE-E6E2C8AEAA7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'32'!$AI$2:$AK$2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4</c:v>
                </c:pt>
                <c:pt idx="2">
                  <c:v>3.6877450416000004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A1-42F3-A1CE-E6E2C8AEAA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46-4644-84A6-CA63BAE83D7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46-4644-84A6-CA63BAE83D7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46-4644-84A6-CA63BAE83D7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'32'!$S$7:$U$7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'32'!$AL$2:$AN$2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7.6877450416000004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46-4644-84A6-CA63BAE83D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873-4DDB-8459-DC6D50A43FC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873-4DDB-8459-DC6D50A43FC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873-4DDB-8459-DC6D50A43FCC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873-4DDB-8459-DC6D50A43FCC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873-4DDB-8459-DC6D50A43FC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'35'!$Y$2:$AC$2</c:f>
              <c:numCache>
                <c:formatCode>#,##0.00</c:formatCode>
                <c:ptCount val="5"/>
                <c:pt idx="0">
                  <c:v>21.997735133300001</c:v>
                </c:pt>
                <c:pt idx="1">
                  <c:v>#N/A</c:v>
                </c:pt>
                <c:pt idx="2">
                  <c:v>#N/A</c:v>
                </c:pt>
                <c:pt idx="3">
                  <c:v>3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73-4DDB-8459-DC6D50A43F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E45-4C91-A635-D5826E9B93C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E45-4C91-A635-D5826E9B93C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'35'!$AD$2:$AE$2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24.997735133300001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45-4C91-A635-D5826E9B93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851-4FAD-85DF-A0FC5DF1A47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851-4FAD-85DF-A0FC5DF1A47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851-4FAD-85DF-A0FC5DF1A47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'35'!$AF$2:$AH$2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24.997735133300001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51-4FAD-85DF-A0FC5DF1A4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FE3-407C-BE3F-286C7A25D33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FE3-407C-BE3F-286C7A25D33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FE3-407C-BE3F-286C7A25D33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'35'!$AI$2:$AK$2</c:f>
              <c:numCache>
                <c:formatCode>#,##0.00</c:formatCode>
                <c:ptCount val="3"/>
                <c:pt idx="0">
                  <c:v>24.997735133300001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E3-407C-BE3F-286C7A25D3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586-494A-A3C3-DA8F3B3423A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586-494A-A3C3-DA8F3B3423A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586-494A-A3C3-DA8F3B3423A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'35'!$AL$2:$AN$2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23.9122850812</c:v>
                </c:pt>
                <c:pt idx="2">
                  <c:v>1.0854500521000006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86-494A-A3C3-DA8F3B3423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7DA-4A66-9F36-C204753723B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7DA-4A66-9F36-C204753723B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7DA-4A66-9F36-C204753723B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7DA-4A66-9F36-C204753723B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7DA-4A66-9F36-C204753723B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'36'!$Y$2:$AC$2</c:f>
              <c:numCache>
                <c:formatCode>#,##0.00</c:formatCode>
                <c:ptCount val="5"/>
                <c:pt idx="0">
                  <c:v>6.2442192621799997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DA-4A66-9F36-C204753723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06D-4942-8357-354529D94A01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06D-4942-8357-354529D94A0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'36'!$AD$2:$AE$2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6.2442192621799997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6D-4942-8357-354529D94A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458-4302-B042-ED01D61C0DD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458-4302-B042-ED01D61C0DD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458-4302-B042-ED01D61C0DD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'36'!$M$7:$O$7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'36'!$AF$2:$AH$2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6.2442192621799997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58-4302-B042-ED01D61C0D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E6C-402D-9A96-04161BE21EC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E6C-402D-9A96-04161BE21EC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E6C-402D-9A96-04161BE21EC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'36'!$AI$2:$AK$2</c:f>
              <c:numCache>
                <c:formatCode>#,##0.00</c:formatCode>
                <c:ptCount val="3"/>
                <c:pt idx="0">
                  <c:v>6.2442192621799997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6C-402D-9A96-04161BE21E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2B6-4DDE-8CE1-A77050DF29B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2B6-4DDE-8CE1-A77050DF29B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2B6-4DDE-8CE1-A77050DF29B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'36'!$S$7:$U$7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'36'!$AL$2:$AN$2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6.2442192621799997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B6-4DDE-8CE1-A77050DF29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64-4057-ABE6-BAF035781E1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64-4057-ABE6-BAF035781E1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64-4057-ABE6-BAF035781E1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364-4057-ABE6-BAF035781E1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364-4057-ABE6-BAF035781E1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'38'!$Y$2:$AC$2</c:f>
              <c:numCache>
                <c:formatCode>#,##0.00</c:formatCode>
                <c:ptCount val="5"/>
                <c:pt idx="0">
                  <c:v>1</c:v>
                </c:pt>
                <c:pt idx="1">
                  <c:v>7.0232805681299997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64-4057-ABE6-BAF035781E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F3-47D3-9AE5-C263727827CE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F3-47D3-9AE5-C263727827C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'38'!$AD$2:$AE$2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8.0232805681299997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F3-47D3-9AE5-C263727827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C05-473F-927B-016DA3CABB6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C05-473F-927B-016DA3CABB6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C05-473F-927B-016DA3CABB6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'38'!$AF$2:$AH$2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8.0232805681299997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05-473F-927B-016DA3CABB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457-4B3B-8F8D-704F2997E9E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457-4B3B-8F8D-704F2997E9E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457-4B3B-8F8D-704F2997E9E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'38'!$AI$2:$AK$2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8.0232805681299997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57-4B3B-8F8D-704F2997E9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43-44DA-8593-6F7D5779F6D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843-44DA-8593-6F7D5779F6D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843-44DA-8593-6F7D5779F6D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'38'!$AL$2:$AN$2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8.0232805681299997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43-44DA-8593-6F7D5779F6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5" Type="http://schemas.openxmlformats.org/officeDocument/2006/relationships/chart" Target="../charts/chart75.xml"/><Relationship Id="rId4" Type="http://schemas.openxmlformats.org/officeDocument/2006/relationships/chart" Target="../charts/chart74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5" Type="http://schemas.openxmlformats.org/officeDocument/2006/relationships/chart" Target="../charts/chart80.xml"/><Relationship Id="rId4" Type="http://schemas.openxmlformats.org/officeDocument/2006/relationships/chart" Target="../charts/chart79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5" Type="http://schemas.openxmlformats.org/officeDocument/2006/relationships/chart" Target="../charts/chart85.xml"/><Relationship Id="rId4" Type="http://schemas.openxmlformats.org/officeDocument/2006/relationships/chart" Target="../charts/chart84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8.xml"/><Relationship Id="rId2" Type="http://schemas.openxmlformats.org/officeDocument/2006/relationships/chart" Target="../charts/chart87.xml"/><Relationship Id="rId1" Type="http://schemas.openxmlformats.org/officeDocument/2006/relationships/chart" Target="../charts/chart86.xml"/><Relationship Id="rId5" Type="http://schemas.openxmlformats.org/officeDocument/2006/relationships/chart" Target="../charts/chart90.xml"/><Relationship Id="rId4" Type="http://schemas.openxmlformats.org/officeDocument/2006/relationships/chart" Target="../charts/chart89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3.xml"/><Relationship Id="rId2" Type="http://schemas.openxmlformats.org/officeDocument/2006/relationships/chart" Target="../charts/chart92.xml"/><Relationship Id="rId1" Type="http://schemas.openxmlformats.org/officeDocument/2006/relationships/chart" Target="../charts/chart91.xml"/><Relationship Id="rId5" Type="http://schemas.openxmlformats.org/officeDocument/2006/relationships/chart" Target="../charts/chart95.xml"/><Relationship Id="rId4" Type="http://schemas.openxmlformats.org/officeDocument/2006/relationships/chart" Target="../charts/chart94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8.xml"/><Relationship Id="rId2" Type="http://schemas.openxmlformats.org/officeDocument/2006/relationships/chart" Target="../charts/chart97.xml"/><Relationship Id="rId1" Type="http://schemas.openxmlformats.org/officeDocument/2006/relationships/chart" Target="../charts/chart96.xml"/><Relationship Id="rId5" Type="http://schemas.openxmlformats.org/officeDocument/2006/relationships/chart" Target="../charts/chart100.xml"/><Relationship Id="rId4" Type="http://schemas.openxmlformats.org/officeDocument/2006/relationships/chart" Target="../charts/chart99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3.xml"/><Relationship Id="rId2" Type="http://schemas.openxmlformats.org/officeDocument/2006/relationships/chart" Target="../charts/chart102.xml"/><Relationship Id="rId1" Type="http://schemas.openxmlformats.org/officeDocument/2006/relationships/chart" Target="../charts/chart101.xml"/><Relationship Id="rId5" Type="http://schemas.openxmlformats.org/officeDocument/2006/relationships/chart" Target="../charts/chart105.xml"/><Relationship Id="rId4" Type="http://schemas.openxmlformats.org/officeDocument/2006/relationships/chart" Target="../charts/chart104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8.xml"/><Relationship Id="rId2" Type="http://schemas.openxmlformats.org/officeDocument/2006/relationships/chart" Target="../charts/chart107.xml"/><Relationship Id="rId1" Type="http://schemas.openxmlformats.org/officeDocument/2006/relationships/chart" Target="../charts/chart106.xml"/><Relationship Id="rId5" Type="http://schemas.openxmlformats.org/officeDocument/2006/relationships/chart" Target="../charts/chart110.xml"/><Relationship Id="rId4" Type="http://schemas.openxmlformats.org/officeDocument/2006/relationships/chart" Target="../charts/chart109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3.xml"/><Relationship Id="rId2" Type="http://schemas.openxmlformats.org/officeDocument/2006/relationships/chart" Target="../charts/chart112.xml"/><Relationship Id="rId1" Type="http://schemas.openxmlformats.org/officeDocument/2006/relationships/chart" Target="../charts/chart111.xml"/><Relationship Id="rId5" Type="http://schemas.openxmlformats.org/officeDocument/2006/relationships/chart" Target="../charts/chart115.xml"/><Relationship Id="rId4" Type="http://schemas.openxmlformats.org/officeDocument/2006/relationships/chart" Target="../charts/chart114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8.xml"/><Relationship Id="rId2" Type="http://schemas.openxmlformats.org/officeDocument/2006/relationships/chart" Target="../charts/chart117.xml"/><Relationship Id="rId1" Type="http://schemas.openxmlformats.org/officeDocument/2006/relationships/chart" Target="../charts/chart116.xml"/><Relationship Id="rId5" Type="http://schemas.openxmlformats.org/officeDocument/2006/relationships/chart" Target="../charts/chart120.xml"/><Relationship Id="rId4" Type="http://schemas.openxmlformats.org/officeDocument/2006/relationships/chart" Target="../charts/chart119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3.xml"/><Relationship Id="rId2" Type="http://schemas.openxmlformats.org/officeDocument/2006/relationships/chart" Target="../charts/chart122.xml"/><Relationship Id="rId1" Type="http://schemas.openxmlformats.org/officeDocument/2006/relationships/chart" Target="../charts/chart121.xml"/><Relationship Id="rId5" Type="http://schemas.openxmlformats.org/officeDocument/2006/relationships/chart" Target="../charts/chart125.xml"/><Relationship Id="rId4" Type="http://schemas.openxmlformats.org/officeDocument/2006/relationships/chart" Target="../charts/chart124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8.xml"/><Relationship Id="rId2" Type="http://schemas.openxmlformats.org/officeDocument/2006/relationships/chart" Target="../charts/chart127.xml"/><Relationship Id="rId1" Type="http://schemas.openxmlformats.org/officeDocument/2006/relationships/chart" Target="../charts/chart126.xml"/><Relationship Id="rId5" Type="http://schemas.openxmlformats.org/officeDocument/2006/relationships/chart" Target="../charts/chart130.xml"/><Relationship Id="rId4" Type="http://schemas.openxmlformats.org/officeDocument/2006/relationships/chart" Target="../charts/chart129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3.xml"/><Relationship Id="rId2" Type="http://schemas.openxmlformats.org/officeDocument/2006/relationships/chart" Target="../charts/chart132.xml"/><Relationship Id="rId1" Type="http://schemas.openxmlformats.org/officeDocument/2006/relationships/chart" Target="../charts/chart131.xml"/><Relationship Id="rId5" Type="http://schemas.openxmlformats.org/officeDocument/2006/relationships/chart" Target="../charts/chart135.xml"/><Relationship Id="rId4" Type="http://schemas.openxmlformats.org/officeDocument/2006/relationships/chart" Target="../charts/chart134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8.xml"/><Relationship Id="rId2" Type="http://schemas.openxmlformats.org/officeDocument/2006/relationships/chart" Target="../charts/chart137.xml"/><Relationship Id="rId1" Type="http://schemas.openxmlformats.org/officeDocument/2006/relationships/chart" Target="../charts/chart136.xml"/><Relationship Id="rId5" Type="http://schemas.openxmlformats.org/officeDocument/2006/relationships/chart" Target="../charts/chart140.xml"/><Relationship Id="rId4" Type="http://schemas.openxmlformats.org/officeDocument/2006/relationships/chart" Target="../charts/chart139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3.xml"/><Relationship Id="rId2" Type="http://schemas.openxmlformats.org/officeDocument/2006/relationships/chart" Target="../charts/chart142.xml"/><Relationship Id="rId1" Type="http://schemas.openxmlformats.org/officeDocument/2006/relationships/chart" Target="../charts/chart141.xml"/><Relationship Id="rId5" Type="http://schemas.openxmlformats.org/officeDocument/2006/relationships/chart" Target="../charts/chart145.xml"/><Relationship Id="rId4" Type="http://schemas.openxmlformats.org/officeDocument/2006/relationships/chart" Target="../charts/chart14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27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27</xdr:col>
      <xdr:colOff>0</xdr:colOff>
      <xdr:row>19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21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35"/>
  <sheetViews>
    <sheetView showGridLines="0" workbookViewId="0">
      <pane xSplit="3" ySplit="5" topLeftCell="D12" activePane="bottomRight" state="frozen"/>
      <selection pane="topRight"/>
      <selection pane="bottomLeft"/>
      <selection pane="bottomRight" activeCell="B27" sqref="B27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9" width="9.42578125" customWidth="1"/>
    <col min="20" max="20" width="26" customWidth="1"/>
  </cols>
  <sheetData>
    <row r="1" spans="1:37" ht="20.100000000000001" customHeight="1" x14ac:dyDescent="0.25">
      <c r="A1" s="46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V1" s="1" t="s">
        <v>1</v>
      </c>
    </row>
    <row r="2" spans="1:37" ht="20.100000000000001" customHeight="1" x14ac:dyDescent="0.25">
      <c r="A2" s="27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V2" s="2">
        <f t="shared" ref="V2:AK2" si="0">IF(D34=0,NA(),D34)</f>
        <v>406.77109360351699</v>
      </c>
      <c r="W2" s="2">
        <f t="shared" si="0"/>
        <v>69.883429099790007</v>
      </c>
      <c r="X2" s="2">
        <f t="shared" si="0"/>
        <v>83.218723794479999</v>
      </c>
      <c r="Y2" s="2">
        <f t="shared" si="0"/>
        <v>22.362100174280002</v>
      </c>
      <c r="Z2" s="2">
        <f t="shared" si="0"/>
        <v>9.2953064946899993</v>
      </c>
      <c r="AA2" s="2">
        <f t="shared" si="0"/>
        <v>62.445484601300002</v>
      </c>
      <c r="AB2" s="2">
        <f t="shared" si="0"/>
        <v>529.08516856545691</v>
      </c>
      <c r="AC2" s="2">
        <f t="shared" si="0"/>
        <v>64.682646065743</v>
      </c>
      <c r="AD2" s="2">
        <f t="shared" si="0"/>
        <v>512.01705104787402</v>
      </c>
      <c r="AE2" s="2">
        <f t="shared" si="0"/>
        <v>14.83095605314</v>
      </c>
      <c r="AF2" s="2">
        <f t="shared" si="0"/>
        <v>288.52650772711604</v>
      </c>
      <c r="AG2" s="2">
        <f t="shared" si="0"/>
        <v>147.79739117181498</v>
      </c>
      <c r="AH2" s="2">
        <f t="shared" si="0"/>
        <v>155.206754267826</v>
      </c>
      <c r="AI2" s="2">
        <f t="shared" si="0"/>
        <v>21.027128421929998</v>
      </c>
      <c r="AJ2" s="2">
        <f t="shared" si="0"/>
        <v>466.972232212817</v>
      </c>
      <c r="AK2" s="2">
        <f t="shared" si="0"/>
        <v>103.53129253201</v>
      </c>
    </row>
    <row r="4" spans="1:37" ht="26.1" customHeight="1" x14ac:dyDescent="0.25">
      <c r="A4" s="29" t="s">
        <v>3</v>
      </c>
      <c r="B4" s="29" t="s">
        <v>4</v>
      </c>
      <c r="C4" s="29" t="s">
        <v>5</v>
      </c>
      <c r="D4" s="29" t="s">
        <v>6</v>
      </c>
      <c r="E4" s="33"/>
      <c r="F4" s="33"/>
      <c r="G4" s="33"/>
      <c r="H4" s="34"/>
      <c r="I4" s="29" t="s">
        <v>7</v>
      </c>
      <c r="J4" s="34"/>
      <c r="K4" s="29" t="s">
        <v>8</v>
      </c>
      <c r="L4" s="33"/>
      <c r="M4" s="34"/>
      <c r="N4" s="29" t="s">
        <v>9</v>
      </c>
      <c r="O4" s="33"/>
      <c r="P4" s="34"/>
      <c r="Q4" s="29" t="s">
        <v>10</v>
      </c>
      <c r="R4" s="33"/>
      <c r="S4" s="34"/>
      <c r="T4" s="29" t="s">
        <v>11</v>
      </c>
    </row>
    <row r="5" spans="1:37" ht="18" customHeight="1" x14ac:dyDescent="0.25">
      <c r="A5" s="30"/>
      <c r="B5" s="30"/>
      <c r="C5" s="30"/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329</v>
      </c>
      <c r="L5" s="3" t="s">
        <v>330</v>
      </c>
      <c r="M5" s="3" t="s">
        <v>331</v>
      </c>
      <c r="N5" s="3" t="s">
        <v>12</v>
      </c>
      <c r="O5" s="3" t="s">
        <v>19</v>
      </c>
      <c r="P5" s="3" t="s">
        <v>332</v>
      </c>
      <c r="Q5" s="3" t="s">
        <v>12</v>
      </c>
      <c r="R5" s="3" t="s">
        <v>333</v>
      </c>
      <c r="S5" s="3" t="s">
        <v>332</v>
      </c>
      <c r="T5" s="30"/>
    </row>
    <row r="6" spans="1:37" x14ac:dyDescent="0.25">
      <c r="A6" s="5">
        <v>1</v>
      </c>
      <c r="B6" s="6" t="s">
        <v>20</v>
      </c>
      <c r="C6" s="7">
        <f>'1'!R32</f>
        <v>9.6977069718259994</v>
      </c>
      <c r="D6" s="7">
        <f>'1'!F29</f>
        <v>9.6977069718259994</v>
      </c>
      <c r="E6" s="7">
        <f>'1'!G29</f>
        <v>0</v>
      </c>
      <c r="F6" s="7">
        <f>'1'!H29</f>
        <v>0</v>
      </c>
      <c r="G6" s="7">
        <f>'1'!I29</f>
        <v>0</v>
      </c>
      <c r="H6" s="7">
        <f>'1'!J29</f>
        <v>0</v>
      </c>
      <c r="I6" s="7">
        <f>'1'!K29</f>
        <v>0</v>
      </c>
      <c r="J6" s="7">
        <f>'1'!L29</f>
        <v>9.6977069718259994</v>
      </c>
      <c r="K6" s="7">
        <f>'1'!M29</f>
        <v>0</v>
      </c>
      <c r="L6" s="7">
        <f>'1'!N29</f>
        <v>2.8667509186859998</v>
      </c>
      <c r="M6" s="7">
        <f>'1'!O29</f>
        <v>6.8309560531399995</v>
      </c>
      <c r="N6" s="7">
        <f>'1'!P29</f>
        <v>0</v>
      </c>
      <c r="O6" s="7">
        <f>'1'!Q29</f>
        <v>0</v>
      </c>
      <c r="P6" s="7">
        <f>'1'!R29</f>
        <v>9.6977069718259994</v>
      </c>
      <c r="Q6" s="7">
        <f>'1'!S29</f>
        <v>0</v>
      </c>
      <c r="R6" s="7">
        <f>'1'!T29</f>
        <v>2.8667509186859998</v>
      </c>
      <c r="S6" s="7">
        <f>'1'!U29</f>
        <v>6.8309560531399995</v>
      </c>
      <c r="T6" s="5" t="str">
        <f t="shared" ref="T6:T33" si="1">IF(SUM(D6:H6)=0,"— não preenchido",IF(ROUND(SUM(D6:H6)-C6,3)=0,"OK","ERRO — dif. de "&amp;ROUND(SUM(D6:H6)-C6,3)&amp;" km"))</f>
        <v>OK</v>
      </c>
    </row>
    <row r="7" spans="1:37" x14ac:dyDescent="0.25">
      <c r="A7" s="5">
        <v>2</v>
      </c>
      <c r="B7" s="6" t="s">
        <v>21</v>
      </c>
      <c r="C7" s="7">
        <f>'2'!R26</f>
        <v>8.6075718702900001</v>
      </c>
      <c r="D7" s="7">
        <f>'2'!F23</f>
        <v>6.6075718702900001</v>
      </c>
      <c r="E7" s="7">
        <f>'2'!G23</f>
        <v>0</v>
      </c>
      <c r="F7" s="7">
        <f>'2'!H23</f>
        <v>2</v>
      </c>
      <c r="G7" s="7">
        <f>'2'!I23</f>
        <v>0</v>
      </c>
      <c r="H7" s="7">
        <f>'2'!J23</f>
        <v>0</v>
      </c>
      <c r="I7" s="7">
        <f>'2'!K23</f>
        <v>4.6075718702900001</v>
      </c>
      <c r="J7" s="7">
        <f>'2'!L23</f>
        <v>4</v>
      </c>
      <c r="K7" s="7">
        <f>'2'!M23</f>
        <v>0</v>
      </c>
      <c r="L7" s="7">
        <f>'2'!N23</f>
        <v>8.6075718702900001</v>
      </c>
      <c r="M7" s="7">
        <f>'2'!O23</f>
        <v>0</v>
      </c>
      <c r="N7" s="7">
        <f>'2'!P23</f>
        <v>0</v>
      </c>
      <c r="O7" s="7">
        <f>'2'!Q23</f>
        <v>4.6075718702900001</v>
      </c>
      <c r="P7" s="7">
        <f>'2'!R23</f>
        <v>4</v>
      </c>
      <c r="Q7" s="7">
        <f>'2'!S23</f>
        <v>0</v>
      </c>
      <c r="R7" s="7">
        <f>'2'!T23</f>
        <v>8.6075718702900001</v>
      </c>
      <c r="S7" s="7">
        <f>'2'!U23</f>
        <v>0</v>
      </c>
      <c r="T7" s="5" t="str">
        <f t="shared" si="1"/>
        <v>OK</v>
      </c>
    </row>
    <row r="8" spans="1:37" x14ac:dyDescent="0.25">
      <c r="A8" s="5">
        <v>3</v>
      </c>
      <c r="B8" s="6" t="s">
        <v>22</v>
      </c>
      <c r="C8" s="7">
        <f>'3'!R63</f>
        <v>41.607009497179995</v>
      </c>
      <c r="D8" s="7">
        <f>'3'!F60</f>
        <v>30.607009497180002</v>
      </c>
      <c r="E8" s="7">
        <f>'3'!G60</f>
        <v>11</v>
      </c>
      <c r="F8" s="7">
        <f>'3'!H60</f>
        <v>0</v>
      </c>
      <c r="G8" s="7">
        <f>'3'!I60</f>
        <v>0</v>
      </c>
      <c r="H8" s="7">
        <f>'3'!J60</f>
        <v>0</v>
      </c>
      <c r="I8" s="7">
        <f>'3'!K60</f>
        <v>5.8518241291999979</v>
      </c>
      <c r="J8" s="7">
        <f>'3'!L60</f>
        <v>35.755185367980005</v>
      </c>
      <c r="K8" s="7">
        <f>'3'!M60</f>
        <v>0</v>
      </c>
      <c r="L8" s="7">
        <f>'3'!N60</f>
        <v>41.607009497179995</v>
      </c>
      <c r="M8" s="7">
        <f>'3'!O60</f>
        <v>0</v>
      </c>
      <c r="N8" s="7">
        <f>'3'!P60</f>
        <v>41.607009497179995</v>
      </c>
      <c r="O8" s="7">
        <f>'3'!Q60</f>
        <v>0</v>
      </c>
      <c r="P8" s="7">
        <f>'3'!R60</f>
        <v>0</v>
      </c>
      <c r="Q8" s="7">
        <f>'3'!S60</f>
        <v>0</v>
      </c>
      <c r="R8" s="7">
        <f>'3'!T60</f>
        <v>41.607009497179995</v>
      </c>
      <c r="S8" s="7">
        <f>'3'!U60</f>
        <v>0</v>
      </c>
      <c r="T8" s="5" t="str">
        <f t="shared" si="1"/>
        <v>OK</v>
      </c>
    </row>
    <row r="9" spans="1:37" x14ac:dyDescent="0.25">
      <c r="A9" s="5">
        <v>4</v>
      </c>
      <c r="B9" s="6" t="s">
        <v>23</v>
      </c>
      <c r="C9" s="7">
        <f>'4'!R29</f>
        <v>9.2499338304900007</v>
      </c>
      <c r="D9" s="7">
        <f>'4'!F26</f>
        <v>5.5891580305200002</v>
      </c>
      <c r="E9" s="7">
        <f>'4'!G26</f>
        <v>3.6607757999700001</v>
      </c>
      <c r="F9" s="7">
        <f>'4'!H26</f>
        <v>0</v>
      </c>
      <c r="G9" s="7">
        <f>'4'!I26</f>
        <v>0</v>
      </c>
      <c r="H9" s="7">
        <f>'4'!J26</f>
        <v>0</v>
      </c>
      <c r="I9" s="7">
        <f>'4'!K26</f>
        <v>0</v>
      </c>
      <c r="J9" s="7">
        <f>'4'!L26</f>
        <v>9.2499338304900007</v>
      </c>
      <c r="K9" s="7">
        <f>'4'!M26</f>
        <v>0</v>
      </c>
      <c r="L9" s="7">
        <f>'4'!N26</f>
        <v>9.2499338304900007</v>
      </c>
      <c r="M9" s="7">
        <f>'4'!O26</f>
        <v>0</v>
      </c>
      <c r="N9" s="7">
        <f>'4'!P26</f>
        <v>9.2499338304900007</v>
      </c>
      <c r="O9" s="7">
        <f>'4'!Q26</f>
        <v>0</v>
      </c>
      <c r="P9" s="7">
        <f>'4'!R26</f>
        <v>0</v>
      </c>
      <c r="Q9" s="7">
        <f>'4'!S26</f>
        <v>0</v>
      </c>
      <c r="R9" s="7">
        <f>'4'!T26</f>
        <v>9.2499338304900007</v>
      </c>
      <c r="S9" s="7">
        <f>'4'!U26</f>
        <v>0</v>
      </c>
      <c r="T9" s="5" t="str">
        <f t="shared" si="1"/>
        <v>OK</v>
      </c>
    </row>
    <row r="10" spans="1:37" x14ac:dyDescent="0.25">
      <c r="A10" s="5">
        <v>5</v>
      </c>
      <c r="B10" s="6" t="s">
        <v>24</v>
      </c>
      <c r="C10" s="7">
        <f>'5'!R52</f>
        <v>30.239179768080003</v>
      </c>
      <c r="D10" s="7">
        <f>'5'!F49</f>
        <v>21.142364318190001</v>
      </c>
      <c r="E10" s="7">
        <f>'5'!G49</f>
        <v>1.23447964588</v>
      </c>
      <c r="F10" s="7">
        <f>'5'!H49</f>
        <v>7.8623358040099998</v>
      </c>
      <c r="G10" s="7">
        <f>'5'!I49</f>
        <v>0</v>
      </c>
      <c r="H10" s="7">
        <f>'5'!J49</f>
        <v>0</v>
      </c>
      <c r="I10" s="7">
        <f>'5'!K49</f>
        <v>0</v>
      </c>
      <c r="J10" s="7">
        <f>'5'!L49</f>
        <v>30.239179768080003</v>
      </c>
      <c r="K10" s="7">
        <f>'5'!M49</f>
        <v>0</v>
      </c>
      <c r="L10" s="7">
        <f>'5'!N49</f>
        <v>30.239179768080003</v>
      </c>
      <c r="M10" s="7">
        <f>'5'!O49</f>
        <v>0</v>
      </c>
      <c r="N10" s="7">
        <f>'5'!P49</f>
        <v>14.376843964070002</v>
      </c>
      <c r="O10" s="7">
        <f>'5'!Q49</f>
        <v>15.86233580401</v>
      </c>
      <c r="P10" s="7">
        <f>'5'!R49</f>
        <v>0</v>
      </c>
      <c r="Q10" s="7">
        <f>'5'!S49</f>
        <v>0</v>
      </c>
      <c r="R10" s="7">
        <f>'5'!T49</f>
        <v>30.239179768080003</v>
      </c>
      <c r="S10" s="7">
        <f>'5'!U49</f>
        <v>0</v>
      </c>
      <c r="T10" s="5" t="str">
        <f t="shared" si="1"/>
        <v>OK</v>
      </c>
    </row>
    <row r="11" spans="1:37" x14ac:dyDescent="0.25">
      <c r="A11" s="5">
        <v>6</v>
      </c>
      <c r="B11" s="6" t="s">
        <v>25</v>
      </c>
      <c r="C11" s="7">
        <f>'6'!R27</f>
        <v>8.5139277058600005</v>
      </c>
      <c r="D11" s="7">
        <f>'6'!F24</f>
        <v>5.5139277058600005</v>
      </c>
      <c r="E11" s="7">
        <f>'6'!G24</f>
        <v>1</v>
      </c>
      <c r="F11" s="7">
        <f>'6'!H24</f>
        <v>0</v>
      </c>
      <c r="G11" s="7">
        <f>'6'!I24</f>
        <v>2</v>
      </c>
      <c r="H11" s="7">
        <f>'6'!J24</f>
        <v>0</v>
      </c>
      <c r="I11" s="7">
        <f>'6'!K24</f>
        <v>0</v>
      </c>
      <c r="J11" s="7">
        <f>'6'!L24</f>
        <v>8.5139277058600005</v>
      </c>
      <c r="K11" s="7">
        <f>'6'!M24</f>
        <v>0</v>
      </c>
      <c r="L11" s="7">
        <f>'6'!N24</f>
        <v>8.5139277058600005</v>
      </c>
      <c r="M11" s="7">
        <f>'6'!O24</f>
        <v>0</v>
      </c>
      <c r="N11" s="7">
        <f>'6'!P24</f>
        <v>7.9848124491900005</v>
      </c>
      <c r="O11" s="7">
        <f>'6'!Q24</f>
        <v>0.52911525666999992</v>
      </c>
      <c r="P11" s="7">
        <f>'6'!R24</f>
        <v>0</v>
      </c>
      <c r="Q11" s="7">
        <f>'6'!S24</f>
        <v>8.5139277058600005</v>
      </c>
      <c r="R11" s="7">
        <f>'6'!T24</f>
        <v>0</v>
      </c>
      <c r="S11" s="7">
        <f>'6'!U24</f>
        <v>0</v>
      </c>
      <c r="T11" s="5" t="str">
        <f t="shared" si="1"/>
        <v>OK</v>
      </c>
    </row>
    <row r="12" spans="1:37" x14ac:dyDescent="0.25">
      <c r="A12" s="5">
        <v>7</v>
      </c>
      <c r="B12" s="6" t="s">
        <v>26</v>
      </c>
      <c r="C12" s="7">
        <f>'7'!R40</f>
        <v>21.660088410962999</v>
      </c>
      <c r="D12" s="7">
        <f>'7'!F37</f>
        <v>13.660088410963001</v>
      </c>
      <c r="E12" s="7">
        <f>'7'!G37</f>
        <v>3</v>
      </c>
      <c r="F12" s="7">
        <f>'7'!H37</f>
        <v>0</v>
      </c>
      <c r="G12" s="7">
        <f>'7'!I37</f>
        <v>5</v>
      </c>
      <c r="H12" s="7">
        <f>'7'!J37</f>
        <v>0</v>
      </c>
      <c r="I12" s="7">
        <f>'7'!K37</f>
        <v>0</v>
      </c>
      <c r="J12" s="7">
        <f>'7'!L37</f>
        <v>21.660088410962999</v>
      </c>
      <c r="K12" s="7">
        <f>'7'!M37</f>
        <v>15.660088410963001</v>
      </c>
      <c r="L12" s="7">
        <f>'7'!N37</f>
        <v>6</v>
      </c>
      <c r="M12" s="7">
        <f>'7'!O37</f>
        <v>0</v>
      </c>
      <c r="N12" s="7">
        <f>'7'!P37</f>
        <v>6</v>
      </c>
      <c r="O12" s="7">
        <f>'7'!Q37</f>
        <v>15.660088410963001</v>
      </c>
      <c r="P12" s="7">
        <f>'7'!R37</f>
        <v>0</v>
      </c>
      <c r="Q12" s="7">
        <f>'7'!S37</f>
        <v>0</v>
      </c>
      <c r="R12" s="7">
        <f>'7'!T37</f>
        <v>21.660088410962999</v>
      </c>
      <c r="S12" s="7">
        <f>'7'!U37</f>
        <v>0</v>
      </c>
      <c r="T12" s="5" t="str">
        <f t="shared" si="1"/>
        <v>OK</v>
      </c>
    </row>
    <row r="13" spans="1:37" x14ac:dyDescent="0.25">
      <c r="A13" s="5">
        <v>8</v>
      </c>
      <c r="B13" s="6" t="s">
        <v>27</v>
      </c>
      <c r="C13" s="7">
        <f>'8'!R45</f>
        <v>25.376613198199998</v>
      </c>
      <c r="D13" s="7">
        <f>'8'!F42</f>
        <v>20.376613198199998</v>
      </c>
      <c r="E13" s="7">
        <f>'8'!G42</f>
        <v>5</v>
      </c>
      <c r="F13" s="7">
        <f>'8'!H42</f>
        <v>0</v>
      </c>
      <c r="G13" s="7">
        <f>'8'!I42</f>
        <v>0</v>
      </c>
      <c r="H13" s="7">
        <f>'8'!J42</f>
        <v>0</v>
      </c>
      <c r="I13" s="7">
        <f>'8'!K42</f>
        <v>0</v>
      </c>
      <c r="J13" s="7">
        <f>'8'!L42</f>
        <v>25.376613198199998</v>
      </c>
      <c r="K13" s="7">
        <f>'8'!M42</f>
        <v>1.0211831320999991</v>
      </c>
      <c r="L13" s="7">
        <f>'8'!N42</f>
        <v>24.355430066099998</v>
      </c>
      <c r="M13" s="7">
        <f>'8'!O42</f>
        <v>0</v>
      </c>
      <c r="N13" s="7">
        <f>'8'!P42</f>
        <v>25.376613198199998</v>
      </c>
      <c r="O13" s="7">
        <f>'8'!Q42</f>
        <v>0</v>
      </c>
      <c r="P13" s="7">
        <f>'8'!R42</f>
        <v>0</v>
      </c>
      <c r="Q13" s="7">
        <f>'8'!S42</f>
        <v>0</v>
      </c>
      <c r="R13" s="7">
        <f>'8'!T42</f>
        <v>15.021183132099999</v>
      </c>
      <c r="S13" s="7">
        <f>'8'!U42</f>
        <v>10.3554300661</v>
      </c>
      <c r="T13" s="5" t="str">
        <f t="shared" si="1"/>
        <v>OK</v>
      </c>
    </row>
    <row r="14" spans="1:37" x14ac:dyDescent="0.25">
      <c r="A14" s="5">
        <v>9</v>
      </c>
      <c r="B14" s="6" t="s">
        <v>28</v>
      </c>
      <c r="C14" s="7">
        <f>'9'!R37</f>
        <v>16.674967863439999</v>
      </c>
      <c r="D14" s="7">
        <f>'9'!F34</f>
        <v>16.674967863439999</v>
      </c>
      <c r="E14" s="7">
        <f>'9'!G34</f>
        <v>0</v>
      </c>
      <c r="F14" s="7">
        <f>'9'!H34</f>
        <v>0</v>
      </c>
      <c r="G14" s="7">
        <f>'9'!I34</f>
        <v>0</v>
      </c>
      <c r="H14" s="7">
        <f>'9'!J34</f>
        <v>0</v>
      </c>
      <c r="I14" s="7">
        <f>'9'!K34</f>
        <v>0</v>
      </c>
      <c r="J14" s="7">
        <f>'9'!L34</f>
        <v>16.674967863439999</v>
      </c>
      <c r="K14" s="7">
        <f>'9'!M34</f>
        <v>0</v>
      </c>
      <c r="L14" s="7">
        <f>'9'!N34</f>
        <v>16.674967863439999</v>
      </c>
      <c r="M14" s="7">
        <f>'9'!O34</f>
        <v>0</v>
      </c>
      <c r="N14" s="7">
        <f>'9'!P34</f>
        <v>0</v>
      </c>
      <c r="O14" s="7">
        <f>'9'!Q34</f>
        <v>0</v>
      </c>
      <c r="P14" s="7">
        <f>'9'!R34</f>
        <v>16.674967863439999</v>
      </c>
      <c r="Q14" s="7">
        <f>'9'!S34</f>
        <v>0</v>
      </c>
      <c r="R14" s="7">
        <f>'9'!T34</f>
        <v>16.674967863439999</v>
      </c>
      <c r="S14" s="7">
        <f>'9'!U34</f>
        <v>0</v>
      </c>
      <c r="T14" s="5" t="str">
        <f t="shared" si="1"/>
        <v>OK</v>
      </c>
    </row>
    <row r="15" spans="1:37" x14ac:dyDescent="0.25">
      <c r="A15" s="5">
        <v>10</v>
      </c>
      <c r="B15" s="6" t="s">
        <v>29</v>
      </c>
      <c r="C15" s="7">
        <f>'10'!R64</f>
        <v>45.347801936700002</v>
      </c>
      <c r="D15" s="7">
        <f>'10'!F61</f>
        <v>37.347801936700002</v>
      </c>
      <c r="E15" s="7">
        <f>'10'!G61</f>
        <v>4</v>
      </c>
      <c r="F15" s="7">
        <f>'10'!H61</f>
        <v>4</v>
      </c>
      <c r="G15" s="7">
        <f>'10'!I61</f>
        <v>0</v>
      </c>
      <c r="H15" s="7">
        <f>'10'!J61</f>
        <v>0</v>
      </c>
      <c r="I15" s="7">
        <f>'10'!K61</f>
        <v>0</v>
      </c>
      <c r="J15" s="7">
        <f>'10'!L61</f>
        <v>45.347801936700002</v>
      </c>
      <c r="K15" s="7">
        <f>'10'!M61</f>
        <v>0</v>
      </c>
      <c r="L15" s="7">
        <f>'10'!N61</f>
        <v>45.347801936700002</v>
      </c>
      <c r="M15" s="7">
        <f>'10'!O61</f>
        <v>0</v>
      </c>
      <c r="N15" s="7">
        <f>'10'!P61</f>
        <v>39.347801936700002</v>
      </c>
      <c r="O15" s="7">
        <f>'10'!Q61</f>
        <v>6</v>
      </c>
      <c r="P15" s="7">
        <f>'10'!R61</f>
        <v>0</v>
      </c>
      <c r="Q15" s="7">
        <f>'10'!S61</f>
        <v>0</v>
      </c>
      <c r="R15" s="7">
        <f>'10'!T61</f>
        <v>41.347801936700002</v>
      </c>
      <c r="S15" s="7">
        <f>'10'!U61</f>
        <v>4</v>
      </c>
      <c r="T15" s="5" t="str">
        <f t="shared" si="1"/>
        <v>OK</v>
      </c>
    </row>
    <row r="16" spans="1:37" x14ac:dyDescent="0.25">
      <c r="A16" s="5">
        <v>11</v>
      </c>
      <c r="B16" s="6" t="s">
        <v>30</v>
      </c>
      <c r="C16" s="7">
        <f>'11'!R46</f>
        <v>24.440194167589997</v>
      </c>
      <c r="D16" s="7">
        <f>'11'!F43</f>
        <v>12.635449461309999</v>
      </c>
      <c r="E16" s="7">
        <f>'11'!G43</f>
        <v>0</v>
      </c>
      <c r="F16" s="7">
        <f>'11'!H43</f>
        <v>11.804744706279999</v>
      </c>
      <c r="G16" s="7">
        <f>'11'!I43</f>
        <v>0</v>
      </c>
      <c r="H16" s="7">
        <f>'11'!J43</f>
        <v>0</v>
      </c>
      <c r="I16" s="7">
        <f>'11'!K43</f>
        <v>0</v>
      </c>
      <c r="J16" s="7">
        <f>'11'!L43</f>
        <v>24.440194167589997</v>
      </c>
      <c r="K16" s="7">
        <f>'11'!M43</f>
        <v>0</v>
      </c>
      <c r="L16" s="7">
        <f>'11'!N43</f>
        <v>24.440194167589997</v>
      </c>
      <c r="M16" s="7">
        <f>'11'!O43</f>
        <v>0</v>
      </c>
      <c r="N16" s="7">
        <f>'11'!P43</f>
        <v>13.04278288219</v>
      </c>
      <c r="O16" s="7">
        <f>'11'!Q43</f>
        <v>11.397411285399999</v>
      </c>
      <c r="P16" s="7">
        <f>'11'!R43</f>
        <v>0</v>
      </c>
      <c r="Q16" s="7">
        <f>'11'!S43</f>
        <v>0</v>
      </c>
      <c r="R16" s="7">
        <f>'11'!T43</f>
        <v>12.219193632129999</v>
      </c>
      <c r="S16" s="7">
        <f>'11'!U43</f>
        <v>12.22100053546</v>
      </c>
      <c r="T16" s="5" t="str">
        <f t="shared" si="1"/>
        <v>OK</v>
      </c>
    </row>
    <row r="17" spans="1:20" x14ac:dyDescent="0.25">
      <c r="A17" s="5">
        <v>13</v>
      </c>
      <c r="B17" s="6" t="s">
        <v>31</v>
      </c>
      <c r="C17" s="7">
        <f>'13'!R68</f>
        <v>46.217170891289001</v>
      </c>
      <c r="D17" s="7">
        <f>'13'!F65</f>
        <v>20.217170891288998</v>
      </c>
      <c r="E17" s="7">
        <f>'13'!G65</f>
        <v>12</v>
      </c>
      <c r="F17" s="7">
        <f>'13'!H65</f>
        <v>14</v>
      </c>
      <c r="G17" s="7">
        <f>'13'!I65</f>
        <v>0</v>
      </c>
      <c r="H17" s="7">
        <f>'13'!J65</f>
        <v>0</v>
      </c>
      <c r="I17" s="7">
        <f>'13'!K65</f>
        <v>0</v>
      </c>
      <c r="J17" s="7">
        <f>'13'!L65</f>
        <v>46.217170891289001</v>
      </c>
      <c r="K17" s="7">
        <f>'13'!M65</f>
        <v>0</v>
      </c>
      <c r="L17" s="7">
        <f>'13'!N65</f>
        <v>46.217170891289001</v>
      </c>
      <c r="M17" s="7">
        <f>'13'!O65</f>
        <v>0</v>
      </c>
      <c r="N17" s="7">
        <f>'13'!P65</f>
        <v>46.217170891289001</v>
      </c>
      <c r="O17" s="7">
        <f>'13'!Q65</f>
        <v>0</v>
      </c>
      <c r="P17" s="7">
        <f>'13'!R65</f>
        <v>0</v>
      </c>
      <c r="Q17" s="7">
        <f>'13'!S65</f>
        <v>0</v>
      </c>
      <c r="R17" s="7">
        <f>'13'!T65</f>
        <v>46.217170891289001</v>
      </c>
      <c r="S17" s="7">
        <f>'13'!U65</f>
        <v>0</v>
      </c>
      <c r="T17" s="5" t="str">
        <f t="shared" si="1"/>
        <v>OK</v>
      </c>
    </row>
    <row r="18" spans="1:20" x14ac:dyDescent="0.25">
      <c r="A18" s="5">
        <v>14</v>
      </c>
      <c r="B18" s="6" t="s">
        <v>32</v>
      </c>
      <c r="C18" s="7">
        <f>'14'!R36</f>
        <v>15.9106578317</v>
      </c>
      <c r="D18" s="7">
        <f>'14'!F33</f>
        <v>11.9106578317</v>
      </c>
      <c r="E18" s="7">
        <f>'14'!G33</f>
        <v>0</v>
      </c>
      <c r="F18" s="7">
        <f>'14'!H33</f>
        <v>2</v>
      </c>
      <c r="G18" s="7">
        <f>'14'!I33</f>
        <v>2</v>
      </c>
      <c r="H18" s="7">
        <f>'14'!J33</f>
        <v>0</v>
      </c>
      <c r="I18" s="7">
        <f>'14'!K33</f>
        <v>0</v>
      </c>
      <c r="J18" s="7">
        <f>'14'!L33</f>
        <v>15.9106578317</v>
      </c>
      <c r="K18" s="7">
        <f>'14'!M33</f>
        <v>2.37361729672</v>
      </c>
      <c r="L18" s="7">
        <f>'14'!N33</f>
        <v>13.537040534980001</v>
      </c>
      <c r="M18" s="7">
        <f>'14'!O33</f>
        <v>0</v>
      </c>
      <c r="N18" s="7">
        <f>'14'!P33</f>
        <v>7.2897588603600001</v>
      </c>
      <c r="O18" s="7">
        <f>'14'!Q33</f>
        <v>8.6208989713400008</v>
      </c>
      <c r="P18" s="7">
        <f>'14'!R33</f>
        <v>0</v>
      </c>
      <c r="Q18" s="7">
        <f>'14'!S33</f>
        <v>2.37361729672</v>
      </c>
      <c r="R18" s="7">
        <f>'14'!T33</f>
        <v>13.537040534980001</v>
      </c>
      <c r="S18" s="7">
        <f>'14'!U33</f>
        <v>0</v>
      </c>
      <c r="T18" s="5" t="str">
        <f t="shared" si="1"/>
        <v>OK</v>
      </c>
    </row>
    <row r="19" spans="1:20" x14ac:dyDescent="0.25">
      <c r="A19" s="5">
        <v>15</v>
      </c>
      <c r="B19" s="6" t="s">
        <v>33</v>
      </c>
      <c r="C19" s="7">
        <f>'15'!R27</f>
        <v>7.275142457087</v>
      </c>
      <c r="D19" s="7">
        <f>'15'!F24</f>
        <v>5.275142457087</v>
      </c>
      <c r="E19" s="7">
        <f>'15'!G24</f>
        <v>2</v>
      </c>
      <c r="F19" s="7">
        <f>'15'!H24</f>
        <v>0</v>
      </c>
      <c r="G19" s="7">
        <f>'15'!I24</f>
        <v>0</v>
      </c>
      <c r="H19" s="7">
        <f>'15'!J24</f>
        <v>0</v>
      </c>
      <c r="I19" s="7">
        <f>'15'!K24</f>
        <v>0</v>
      </c>
      <c r="J19" s="7">
        <f>'15'!L24</f>
        <v>7.275142457087</v>
      </c>
      <c r="K19" s="7">
        <f>'15'!M24</f>
        <v>0</v>
      </c>
      <c r="L19" s="7">
        <f>'15'!N24</f>
        <v>7.275142457087</v>
      </c>
      <c r="M19" s="7">
        <f>'15'!O24</f>
        <v>0</v>
      </c>
      <c r="N19" s="7">
        <f>'15'!P24</f>
        <v>7.275142457087</v>
      </c>
      <c r="O19" s="7">
        <f>'15'!Q24</f>
        <v>0</v>
      </c>
      <c r="P19" s="7">
        <f>'15'!R24</f>
        <v>0</v>
      </c>
      <c r="Q19" s="7">
        <f>'15'!S24</f>
        <v>0</v>
      </c>
      <c r="R19" s="7">
        <f>'15'!T24</f>
        <v>7.275142457087</v>
      </c>
      <c r="S19" s="7">
        <f>'15'!U24</f>
        <v>0</v>
      </c>
      <c r="T19" s="5" t="str">
        <f t="shared" si="1"/>
        <v>OK</v>
      </c>
    </row>
    <row r="20" spans="1:20" x14ac:dyDescent="0.25">
      <c r="A20" s="5">
        <v>16</v>
      </c>
      <c r="B20" s="6" t="s">
        <v>34</v>
      </c>
      <c r="C20" s="7">
        <f>'16'!R33</f>
        <v>14.071587130520001</v>
      </c>
      <c r="D20" s="7">
        <f>'16'!F30</f>
        <v>12.071587130520001</v>
      </c>
      <c r="E20" s="7">
        <f>'16'!G30</f>
        <v>2</v>
      </c>
      <c r="F20" s="7">
        <f>'16'!H30</f>
        <v>0</v>
      </c>
      <c r="G20" s="7">
        <f>'16'!I30</f>
        <v>0</v>
      </c>
      <c r="H20" s="7">
        <f>'16'!J30</f>
        <v>0</v>
      </c>
      <c r="I20" s="7">
        <f>'16'!K30</f>
        <v>0</v>
      </c>
      <c r="J20" s="7">
        <f>'16'!L30</f>
        <v>14.071587130520001</v>
      </c>
      <c r="K20" s="7">
        <f>'16'!M30</f>
        <v>0</v>
      </c>
      <c r="L20" s="7">
        <f>'16'!N30</f>
        <v>14.071587130520001</v>
      </c>
      <c r="M20" s="7">
        <f>'16'!O30</f>
        <v>0</v>
      </c>
      <c r="N20" s="7">
        <f>'16'!P30</f>
        <v>14.071587130520001</v>
      </c>
      <c r="O20" s="7">
        <f>'16'!Q30</f>
        <v>0</v>
      </c>
      <c r="P20" s="7">
        <f>'16'!R30</f>
        <v>0</v>
      </c>
      <c r="Q20" s="7">
        <f>'16'!S30</f>
        <v>0</v>
      </c>
      <c r="R20" s="7">
        <f>'16'!T30</f>
        <v>14.071587130520001</v>
      </c>
      <c r="S20" s="7">
        <f>'16'!U30</f>
        <v>0</v>
      </c>
      <c r="T20" s="5" t="str">
        <f t="shared" si="1"/>
        <v>OK</v>
      </c>
    </row>
    <row r="21" spans="1:20" x14ac:dyDescent="0.25">
      <c r="A21" s="5">
        <v>17</v>
      </c>
      <c r="B21" s="6" t="s">
        <v>35</v>
      </c>
      <c r="C21" s="7">
        <f>'17'!R39</f>
        <v>20.06831737133</v>
      </c>
      <c r="D21" s="7">
        <f>'17'!F36</f>
        <v>0</v>
      </c>
      <c r="E21" s="7">
        <f>'17'!G36</f>
        <v>0</v>
      </c>
      <c r="F21" s="7">
        <f>'17'!H36</f>
        <v>20.06831737133</v>
      </c>
      <c r="G21" s="7">
        <f>'17'!I36</f>
        <v>0</v>
      </c>
      <c r="H21" s="7">
        <f>'17'!J36</f>
        <v>0</v>
      </c>
      <c r="I21" s="7">
        <f>'17'!K36</f>
        <v>20.06831737133</v>
      </c>
      <c r="J21" s="7">
        <f>'17'!L36</f>
        <v>0</v>
      </c>
      <c r="K21" s="7">
        <f>'17'!M36</f>
        <v>20.06831737133</v>
      </c>
      <c r="L21" s="7">
        <f>'17'!N36</f>
        <v>0</v>
      </c>
      <c r="M21" s="7">
        <f>'17'!O36</f>
        <v>0</v>
      </c>
      <c r="N21" s="7">
        <f>'17'!P36</f>
        <v>0</v>
      </c>
      <c r="O21" s="7">
        <f>'17'!Q36</f>
        <v>20.06831737133</v>
      </c>
      <c r="P21" s="7">
        <f>'17'!R36</f>
        <v>0</v>
      </c>
      <c r="Q21" s="7">
        <f>'17'!S36</f>
        <v>0</v>
      </c>
      <c r="R21" s="7">
        <f>'17'!T36</f>
        <v>20.06831737133</v>
      </c>
      <c r="S21" s="7">
        <f>'17'!U36</f>
        <v>0</v>
      </c>
      <c r="T21" s="5" t="str">
        <f t="shared" si="1"/>
        <v>OK</v>
      </c>
    </row>
    <row r="22" spans="1:20" x14ac:dyDescent="0.25">
      <c r="A22" s="5">
        <v>18</v>
      </c>
      <c r="B22" s="6" t="s">
        <v>36</v>
      </c>
      <c r="C22" s="7">
        <f>'18'!R65</f>
        <v>40.314886855480005</v>
      </c>
      <c r="D22" s="7">
        <f>'18'!F62</f>
        <v>37.314886855479998</v>
      </c>
      <c r="E22" s="7">
        <f>'18'!G62</f>
        <v>3</v>
      </c>
      <c r="F22" s="7">
        <f>'18'!H62</f>
        <v>0</v>
      </c>
      <c r="G22" s="7">
        <f>'18'!I62</f>
        <v>0</v>
      </c>
      <c r="H22" s="7">
        <f>'18'!J62</f>
        <v>0</v>
      </c>
      <c r="I22" s="7">
        <f>'18'!K62</f>
        <v>0</v>
      </c>
      <c r="J22" s="7">
        <f>'18'!L62</f>
        <v>40.314886855480005</v>
      </c>
      <c r="K22" s="7">
        <f>'18'!M62</f>
        <v>24.039445058590005</v>
      </c>
      <c r="L22" s="7">
        <f>'18'!N62</f>
        <v>16.27544179689</v>
      </c>
      <c r="M22" s="7">
        <f>'18'!O62</f>
        <v>0</v>
      </c>
      <c r="N22" s="7">
        <f>'18'!P62</f>
        <v>0</v>
      </c>
      <c r="O22" s="7">
        <f>'18'!Q62</f>
        <v>0</v>
      </c>
      <c r="P22" s="7">
        <f>'18'!R62</f>
        <v>40.314886855480005</v>
      </c>
      <c r="Q22" s="7">
        <f>'18'!S62</f>
        <v>0</v>
      </c>
      <c r="R22" s="7">
        <f>'18'!T62</f>
        <v>40.314886855480005</v>
      </c>
      <c r="S22" s="7">
        <f>'18'!U62</f>
        <v>0</v>
      </c>
      <c r="T22" s="5" t="str">
        <f t="shared" si="1"/>
        <v>OK</v>
      </c>
    </row>
    <row r="23" spans="1:20" x14ac:dyDescent="0.25">
      <c r="A23" s="5">
        <v>19</v>
      </c>
      <c r="B23" s="6" t="s">
        <v>37</v>
      </c>
      <c r="C23" s="7">
        <f>'19'!R67</f>
        <v>43.104486922489997</v>
      </c>
      <c r="D23" s="7">
        <f>'19'!F64</f>
        <v>39.484898299180003</v>
      </c>
      <c r="E23" s="7">
        <f>'19'!G64</f>
        <v>3.6195886233099999</v>
      </c>
      <c r="F23" s="7">
        <f>'19'!H64</f>
        <v>0</v>
      </c>
      <c r="G23" s="7">
        <f>'19'!I64</f>
        <v>0</v>
      </c>
      <c r="H23" s="7">
        <f>'19'!J64</f>
        <v>0</v>
      </c>
      <c r="I23" s="7">
        <f>'19'!K64</f>
        <v>0</v>
      </c>
      <c r="J23" s="7">
        <f>'19'!L64</f>
        <v>43.104486922489997</v>
      </c>
      <c r="K23" s="7">
        <f>'19'!M64</f>
        <v>0</v>
      </c>
      <c r="L23" s="7">
        <f>'19'!N64</f>
        <v>43.104486922489997</v>
      </c>
      <c r="M23" s="7">
        <f>'19'!O64</f>
        <v>0</v>
      </c>
      <c r="N23" s="7">
        <f>'19'!P64</f>
        <v>8.6195886233099994</v>
      </c>
      <c r="O23" s="7">
        <f>'19'!Q64</f>
        <v>0</v>
      </c>
      <c r="P23" s="7">
        <f>'19'!R64</f>
        <v>34.484898299180003</v>
      </c>
      <c r="Q23" s="7">
        <f>'19'!S64</f>
        <v>8.6195886233099994</v>
      </c>
      <c r="R23" s="7">
        <f>'19'!T64</f>
        <v>0</v>
      </c>
      <c r="S23" s="7">
        <f>'19'!U64</f>
        <v>34.484898299180003</v>
      </c>
      <c r="T23" s="5" t="str">
        <f t="shared" si="1"/>
        <v>OK</v>
      </c>
    </row>
    <row r="24" spans="1:20" x14ac:dyDescent="0.25">
      <c r="A24" s="5">
        <v>23</v>
      </c>
      <c r="B24" s="6" t="s">
        <v>38</v>
      </c>
      <c r="C24" s="7">
        <f>'23'!R46</f>
        <v>26.5302769579</v>
      </c>
      <c r="D24" s="7">
        <f>'23'!F43</f>
        <v>16.1849724954</v>
      </c>
      <c r="E24" s="7">
        <f>'23'!G43</f>
        <v>6.3453044624999997</v>
      </c>
      <c r="F24" s="7">
        <f>'23'!H43</f>
        <v>0</v>
      </c>
      <c r="G24" s="7">
        <f>'23'!I43</f>
        <v>2</v>
      </c>
      <c r="H24" s="7">
        <f>'23'!J43</f>
        <v>2</v>
      </c>
      <c r="I24" s="7">
        <f>'23'!K43</f>
        <v>0</v>
      </c>
      <c r="J24" s="7">
        <f>'23'!L43</f>
        <v>26.5302769579</v>
      </c>
      <c r="K24" s="7">
        <f>'23'!M43</f>
        <v>0</v>
      </c>
      <c r="L24" s="7">
        <f>'23'!N43</f>
        <v>24.5302769579</v>
      </c>
      <c r="M24" s="7">
        <f>'23'!O43</f>
        <v>2</v>
      </c>
      <c r="N24" s="7">
        <f>'23'!P43</f>
        <v>0</v>
      </c>
      <c r="O24" s="7">
        <f>'23'!Q43</f>
        <v>0</v>
      </c>
      <c r="P24" s="7">
        <f>'23'!R43</f>
        <v>26.5302769579</v>
      </c>
      <c r="Q24" s="7">
        <f>'23'!S43</f>
        <v>0</v>
      </c>
      <c r="R24" s="7">
        <f>'23'!T43</f>
        <v>0</v>
      </c>
      <c r="S24" s="7">
        <f>'23'!U43</f>
        <v>26.5302769579</v>
      </c>
      <c r="T24" s="5" t="str">
        <f t="shared" si="1"/>
        <v>OK</v>
      </c>
    </row>
    <row r="25" spans="1:20" x14ac:dyDescent="0.25">
      <c r="A25" s="5">
        <v>24</v>
      </c>
      <c r="B25" s="6" t="s">
        <v>39</v>
      </c>
      <c r="C25" s="7">
        <f>'24'!R52</f>
        <v>25.447538718850002</v>
      </c>
      <c r="D25" s="7">
        <f>'24'!F49</f>
        <v>4.6394745040600007</v>
      </c>
      <c r="E25" s="7">
        <f>'24'!G49</f>
        <v>2</v>
      </c>
      <c r="F25" s="7">
        <f>'24'!H49</f>
        <v>9.1506575458199997</v>
      </c>
      <c r="G25" s="7">
        <f>'24'!I49</f>
        <v>2.3621001742800001</v>
      </c>
      <c r="H25" s="7">
        <f>'24'!J49</f>
        <v>7.2953064946900001</v>
      </c>
      <c r="I25" s="7">
        <f>'24'!K49</f>
        <v>0</v>
      </c>
      <c r="J25" s="7">
        <f>'24'!L49</f>
        <v>25.447538718850002</v>
      </c>
      <c r="K25" s="7">
        <f>'24'!M49</f>
        <v>0</v>
      </c>
      <c r="L25" s="7">
        <f>'24'!N49</f>
        <v>25.447538718850002</v>
      </c>
      <c r="M25" s="7">
        <f>'24'!O49</f>
        <v>0</v>
      </c>
      <c r="N25" s="7">
        <f>'24'!P49</f>
        <v>0</v>
      </c>
      <c r="O25" s="7">
        <f>'24'!Q49</f>
        <v>25.447538718850002</v>
      </c>
      <c r="P25" s="7">
        <f>'24'!R49</f>
        <v>0</v>
      </c>
      <c r="Q25" s="7">
        <f>'24'!S49</f>
        <v>0</v>
      </c>
      <c r="R25" s="7">
        <f>'24'!T49</f>
        <v>25.447538718850002</v>
      </c>
      <c r="S25" s="7">
        <f>'24'!U49</f>
        <v>0</v>
      </c>
      <c r="T25" s="5" t="str">
        <f t="shared" si="1"/>
        <v>OK</v>
      </c>
    </row>
    <row r="26" spans="1:20" x14ac:dyDescent="0.25">
      <c r="A26" s="5">
        <v>25</v>
      </c>
      <c r="B26" s="6" t="s">
        <v>40</v>
      </c>
      <c r="C26" s="7">
        <f>'25'!R39</f>
        <v>16.82550761105</v>
      </c>
      <c r="D26" s="7">
        <f>'25'!F36</f>
        <v>12.82550761105</v>
      </c>
      <c r="E26" s="7">
        <f>'25'!G36</f>
        <v>3</v>
      </c>
      <c r="F26" s="7">
        <f>'25'!H36</f>
        <v>0</v>
      </c>
      <c r="G26" s="7">
        <f>'25'!I36</f>
        <v>1</v>
      </c>
      <c r="H26" s="7">
        <f>'25'!J36</f>
        <v>0</v>
      </c>
      <c r="I26" s="7">
        <f>'25'!K36</f>
        <v>0</v>
      </c>
      <c r="J26" s="7">
        <f>'25'!L36</f>
        <v>16.82550761105</v>
      </c>
      <c r="K26" s="7">
        <f>'25'!M36</f>
        <v>1.5199947960399998</v>
      </c>
      <c r="L26" s="7">
        <f>'25'!N36</f>
        <v>15.305512815010001</v>
      </c>
      <c r="M26" s="7">
        <f>'25'!O36</f>
        <v>0</v>
      </c>
      <c r="N26" s="7">
        <f>'25'!P36</f>
        <v>16.82550761105</v>
      </c>
      <c r="O26" s="7">
        <f>'25'!Q36</f>
        <v>0</v>
      </c>
      <c r="P26" s="7">
        <f>'25'!R36</f>
        <v>0</v>
      </c>
      <c r="Q26" s="7">
        <f>'25'!S36</f>
        <v>1.5199947960399998</v>
      </c>
      <c r="R26" s="7">
        <f>'25'!T36</f>
        <v>15.305512815010001</v>
      </c>
      <c r="S26" s="7">
        <f>'25'!U36</f>
        <v>0</v>
      </c>
      <c r="T26" s="5" t="str">
        <f t="shared" si="1"/>
        <v>OK</v>
      </c>
    </row>
    <row r="27" spans="1:20" x14ac:dyDescent="0.25">
      <c r="A27" s="5">
        <v>28</v>
      </c>
      <c r="B27" s="6" t="s">
        <v>41</v>
      </c>
      <c r="C27" s="7">
        <f>'28'!R28</f>
        <v>9.450495640282</v>
      </c>
      <c r="D27" s="7">
        <f>'28'!F25</f>
        <v>9.450495640282</v>
      </c>
      <c r="E27" s="7">
        <f>'28'!G25</f>
        <v>0</v>
      </c>
      <c r="F27" s="7">
        <f>'28'!H25</f>
        <v>0</v>
      </c>
      <c r="G27" s="7">
        <f>'28'!I25</f>
        <v>0</v>
      </c>
      <c r="H27" s="7">
        <f>'28'!J25</f>
        <v>0</v>
      </c>
      <c r="I27" s="7">
        <f>'28'!K25</f>
        <v>0</v>
      </c>
      <c r="J27" s="7">
        <f>'28'!L25</f>
        <v>9.450495640282</v>
      </c>
      <c r="K27" s="7">
        <f>'28'!M25</f>
        <v>0</v>
      </c>
      <c r="L27" s="7">
        <f>'28'!N25</f>
        <v>9.450495640282</v>
      </c>
      <c r="M27" s="7">
        <f>'28'!O25</f>
        <v>0</v>
      </c>
      <c r="N27" s="7">
        <f>'28'!P25</f>
        <v>0</v>
      </c>
      <c r="O27" s="7">
        <f>'28'!Q25</f>
        <v>3.722973855262</v>
      </c>
      <c r="P27" s="7">
        <f>'28'!R25</f>
        <v>5.7275217850200004</v>
      </c>
      <c r="Q27" s="7">
        <f>'28'!S25</f>
        <v>0</v>
      </c>
      <c r="R27" s="7">
        <f>'28'!T25</f>
        <v>9.450495640282</v>
      </c>
      <c r="S27" s="7">
        <f>'28'!U25</f>
        <v>0</v>
      </c>
      <c r="T27" s="5" t="str">
        <f t="shared" si="1"/>
        <v>OK</v>
      </c>
    </row>
    <row r="28" spans="1:20" x14ac:dyDescent="0.25">
      <c r="A28" s="5">
        <v>29</v>
      </c>
      <c r="B28" s="6" t="s">
        <v>42</v>
      </c>
      <c r="C28" s="7">
        <f>'29'!R47</f>
        <v>25.84284495859</v>
      </c>
      <c r="D28" s="7">
        <f>'29'!F44</f>
        <v>13.51017659155</v>
      </c>
      <c r="E28" s="7">
        <f>'29'!G44</f>
        <v>0</v>
      </c>
      <c r="F28" s="7">
        <f>'29'!H44</f>
        <v>12.33266836704</v>
      </c>
      <c r="G28" s="7">
        <f>'29'!I44</f>
        <v>0</v>
      </c>
      <c r="H28" s="7">
        <f>'29'!J44</f>
        <v>0</v>
      </c>
      <c r="I28" s="7">
        <f>'29'!K44</f>
        <v>25.84284495859</v>
      </c>
      <c r="J28" s="7">
        <f>'29'!L44</f>
        <v>0</v>
      </c>
      <c r="K28" s="7">
        <f>'29'!M44</f>
        <v>0</v>
      </c>
      <c r="L28" s="7">
        <f>'29'!N44</f>
        <v>25.84284495859</v>
      </c>
      <c r="M28" s="7">
        <f>'29'!O44</f>
        <v>0</v>
      </c>
      <c r="N28" s="7">
        <f>'29'!P44</f>
        <v>0</v>
      </c>
      <c r="O28" s="7">
        <f>'29'!Q44</f>
        <v>19.77737503334</v>
      </c>
      <c r="P28" s="7">
        <f>'29'!R44</f>
        <v>6.0654699252499995</v>
      </c>
      <c r="Q28" s="7">
        <f>'29'!S44</f>
        <v>0</v>
      </c>
      <c r="R28" s="7">
        <f>'29'!T44</f>
        <v>25.84284495859</v>
      </c>
      <c r="S28" s="7">
        <f>'29'!U44</f>
        <v>0</v>
      </c>
      <c r="T28" s="5" t="str">
        <f t="shared" si="1"/>
        <v>OK</v>
      </c>
    </row>
    <row r="29" spans="1:20" x14ac:dyDescent="0.25">
      <c r="A29" s="5">
        <v>30</v>
      </c>
      <c r="B29" s="6" t="s">
        <v>43</v>
      </c>
      <c r="C29" s="7">
        <f>'30'!R32</f>
        <v>12.103764594360001</v>
      </c>
      <c r="D29" s="7">
        <f>'30'!F29</f>
        <v>7.1037645943600003</v>
      </c>
      <c r="E29" s="7">
        <f>'30'!G29</f>
        <v>0</v>
      </c>
      <c r="F29" s="7">
        <f>'30'!H29</f>
        <v>0</v>
      </c>
      <c r="G29" s="7">
        <f>'30'!I29</f>
        <v>5</v>
      </c>
      <c r="H29" s="7">
        <f>'30'!J29</f>
        <v>0</v>
      </c>
      <c r="I29" s="7">
        <f>'30'!K29</f>
        <v>6.0749262718899999</v>
      </c>
      <c r="J29" s="7">
        <f>'30'!L29</f>
        <v>6.0288383224700004</v>
      </c>
      <c r="K29" s="7">
        <f>'30'!M29</f>
        <v>0</v>
      </c>
      <c r="L29" s="7">
        <f>'30'!N29</f>
        <v>12.103764594360001</v>
      </c>
      <c r="M29" s="7">
        <f>'30'!O29</f>
        <v>0</v>
      </c>
      <c r="N29" s="7">
        <f>'30'!P29</f>
        <v>0</v>
      </c>
      <c r="O29" s="7">
        <f>'30'!Q29</f>
        <v>12.103764594360001</v>
      </c>
      <c r="P29" s="7">
        <f>'30'!R29</f>
        <v>0</v>
      </c>
      <c r="Q29" s="7">
        <f>'30'!S29</f>
        <v>0</v>
      </c>
      <c r="R29" s="7">
        <f>'30'!T29</f>
        <v>12.103764594360001</v>
      </c>
      <c r="S29" s="7">
        <f>'30'!U29</f>
        <v>0</v>
      </c>
      <c r="T29" s="5" t="str">
        <f t="shared" si="1"/>
        <v>OK</v>
      </c>
    </row>
    <row r="30" spans="1:20" x14ac:dyDescent="0.25">
      <c r="A30" s="5">
        <v>32</v>
      </c>
      <c r="B30" s="6" t="s">
        <v>44</v>
      </c>
      <c r="C30" s="7">
        <f>'32'!R25</f>
        <v>7.6877450416000004</v>
      </c>
      <c r="D30" s="7">
        <f>'32'!F22</f>
        <v>7.6877450416000004</v>
      </c>
      <c r="E30" s="7">
        <f>'32'!G22</f>
        <v>0</v>
      </c>
      <c r="F30" s="7">
        <f>'32'!H22</f>
        <v>0</v>
      </c>
      <c r="G30" s="7">
        <f>'32'!I22</f>
        <v>0</v>
      </c>
      <c r="H30" s="7">
        <f>'32'!J22</f>
        <v>0</v>
      </c>
      <c r="I30" s="7">
        <f>'32'!K22</f>
        <v>0</v>
      </c>
      <c r="J30" s="7">
        <f>'32'!L22</f>
        <v>7.6877450416000004</v>
      </c>
      <c r="K30" s="7">
        <f>'32'!M22</f>
        <v>0</v>
      </c>
      <c r="L30" s="7">
        <f>'32'!N22</f>
        <v>1.6877450416000004</v>
      </c>
      <c r="M30" s="7">
        <f>'32'!O22</f>
        <v>6</v>
      </c>
      <c r="N30" s="7">
        <f>'32'!P22</f>
        <v>0</v>
      </c>
      <c r="O30" s="7">
        <f>'32'!Q22</f>
        <v>4</v>
      </c>
      <c r="P30" s="7">
        <f>'32'!R22</f>
        <v>3.6877450416000004</v>
      </c>
      <c r="Q30" s="7">
        <f>'32'!S22</f>
        <v>0</v>
      </c>
      <c r="R30" s="7">
        <f>'32'!T22</f>
        <v>7.6877450416000004</v>
      </c>
      <c r="S30" s="7">
        <f>'32'!U22</f>
        <v>0</v>
      </c>
      <c r="T30" s="5" t="str">
        <f t="shared" si="1"/>
        <v>OK</v>
      </c>
    </row>
    <row r="31" spans="1:20" x14ac:dyDescent="0.25">
      <c r="A31" s="5">
        <v>35</v>
      </c>
      <c r="B31" s="6" t="s">
        <v>45</v>
      </c>
      <c r="C31" s="7">
        <f>'35'!R44</f>
        <v>24.997735133300001</v>
      </c>
      <c r="D31" s="7">
        <f>'35'!F41</f>
        <v>21.997735133300001</v>
      </c>
      <c r="E31" s="7">
        <f>'35'!G41</f>
        <v>0</v>
      </c>
      <c r="F31" s="7">
        <f>'35'!H41</f>
        <v>0</v>
      </c>
      <c r="G31" s="7">
        <f>'35'!I41</f>
        <v>3</v>
      </c>
      <c r="H31" s="7">
        <f>'35'!J41</f>
        <v>0</v>
      </c>
      <c r="I31" s="7">
        <f>'35'!K41</f>
        <v>0</v>
      </c>
      <c r="J31" s="7">
        <f>'35'!L41</f>
        <v>24.997735133300001</v>
      </c>
      <c r="K31" s="7">
        <f>'35'!M41</f>
        <v>0</v>
      </c>
      <c r="L31" s="7">
        <f>'35'!N41</f>
        <v>24.997735133300001</v>
      </c>
      <c r="M31" s="7">
        <f>'35'!O41</f>
        <v>0</v>
      </c>
      <c r="N31" s="7">
        <f>'35'!P41</f>
        <v>24.997735133300001</v>
      </c>
      <c r="O31" s="7">
        <f>'35'!Q41</f>
        <v>0</v>
      </c>
      <c r="P31" s="7">
        <f>'35'!R41</f>
        <v>0</v>
      </c>
      <c r="Q31" s="7">
        <f>'35'!S41</f>
        <v>0</v>
      </c>
      <c r="R31" s="7">
        <f>'35'!T41</f>
        <v>23.9122850812</v>
      </c>
      <c r="S31" s="7">
        <f>'35'!U41</f>
        <v>1.0854500521000006</v>
      </c>
      <c r="T31" s="5" t="str">
        <f t="shared" si="1"/>
        <v>OK</v>
      </c>
    </row>
    <row r="32" spans="1:20" x14ac:dyDescent="0.25">
      <c r="A32" s="5">
        <v>36</v>
      </c>
      <c r="B32" s="6" t="s">
        <v>46</v>
      </c>
      <c r="C32" s="7">
        <f>'36'!R25</f>
        <v>6.2442192621799997</v>
      </c>
      <c r="D32" s="7">
        <f>'36'!F22</f>
        <v>6.2442192621799997</v>
      </c>
      <c r="E32" s="7">
        <f>'36'!G22</f>
        <v>0</v>
      </c>
      <c r="F32" s="7">
        <f>'36'!H22</f>
        <v>0</v>
      </c>
      <c r="G32" s="7">
        <f>'36'!I22</f>
        <v>0</v>
      </c>
      <c r="H32" s="7">
        <f>'36'!J22</f>
        <v>0</v>
      </c>
      <c r="I32" s="7">
        <f>'36'!K22</f>
        <v>0</v>
      </c>
      <c r="J32" s="7">
        <f>'36'!L22</f>
        <v>6.2442192621799997</v>
      </c>
      <c r="K32" s="7">
        <f>'36'!M22</f>
        <v>0</v>
      </c>
      <c r="L32" s="7">
        <f>'36'!N22</f>
        <v>6.2442192621799997</v>
      </c>
      <c r="M32" s="7">
        <f>'36'!O22</f>
        <v>0</v>
      </c>
      <c r="N32" s="7">
        <f>'36'!P22</f>
        <v>6.2442192621799997</v>
      </c>
      <c r="O32" s="7">
        <f>'36'!Q22</f>
        <v>0</v>
      </c>
      <c r="P32" s="7">
        <f>'36'!R22</f>
        <v>0</v>
      </c>
      <c r="Q32" s="7">
        <f>'36'!S22</f>
        <v>0</v>
      </c>
      <c r="R32" s="7">
        <f>'36'!T22</f>
        <v>6.2442192621799997</v>
      </c>
      <c r="S32" s="7">
        <f>'36'!U22</f>
        <v>0</v>
      </c>
      <c r="T32" s="5" t="str">
        <f t="shared" si="1"/>
        <v>OK</v>
      </c>
    </row>
    <row r="33" spans="1:20" x14ac:dyDescent="0.25">
      <c r="A33" s="5">
        <v>38</v>
      </c>
      <c r="B33" s="6" t="s">
        <v>47</v>
      </c>
      <c r="C33" s="7">
        <f>'38'!R27</f>
        <v>8.0232805681299997</v>
      </c>
      <c r="D33" s="7">
        <f>'38'!F24</f>
        <v>1</v>
      </c>
      <c r="E33" s="7">
        <f>'38'!G24</f>
        <v>7.0232805681299997</v>
      </c>
      <c r="F33" s="7">
        <f>'38'!H24</f>
        <v>0</v>
      </c>
      <c r="G33" s="7">
        <f>'38'!I24</f>
        <v>0</v>
      </c>
      <c r="H33" s="7">
        <f>'38'!J24</f>
        <v>0</v>
      </c>
      <c r="I33" s="7">
        <f>'38'!K24</f>
        <v>0</v>
      </c>
      <c r="J33" s="7">
        <f>'38'!L24</f>
        <v>8.0232805681299997</v>
      </c>
      <c r="K33" s="7">
        <f>'38'!M24</f>
        <v>0</v>
      </c>
      <c r="L33" s="7">
        <f>'38'!N24</f>
        <v>8.0232805681299997</v>
      </c>
      <c r="M33" s="7">
        <f>'38'!O24</f>
        <v>0</v>
      </c>
      <c r="N33" s="7">
        <f>'38'!P24</f>
        <v>0</v>
      </c>
      <c r="O33" s="7">
        <f>'38'!Q24</f>
        <v>0</v>
      </c>
      <c r="P33" s="7">
        <f>'38'!R24</f>
        <v>8.0232805681299997</v>
      </c>
      <c r="Q33" s="7">
        <f>'38'!S24</f>
        <v>0</v>
      </c>
      <c r="R33" s="7">
        <f>'38'!T24</f>
        <v>0</v>
      </c>
      <c r="S33" s="7">
        <f>'38'!U24</f>
        <v>8.0232805681299997</v>
      </c>
      <c r="T33" s="5" t="str">
        <f t="shared" si="1"/>
        <v>OK</v>
      </c>
    </row>
    <row r="34" spans="1:20" x14ac:dyDescent="0.25">
      <c r="B34" s="8" t="s">
        <v>48</v>
      </c>
      <c r="C34" s="9">
        <f t="shared" ref="C34:S34" si="2">SUM(C6:C33)</f>
        <v>591.53065316675691</v>
      </c>
      <c r="D34" s="9">
        <f t="shared" si="2"/>
        <v>406.77109360351699</v>
      </c>
      <c r="E34" s="9">
        <f t="shared" si="2"/>
        <v>69.883429099790007</v>
      </c>
      <c r="F34" s="9">
        <f t="shared" si="2"/>
        <v>83.218723794479999</v>
      </c>
      <c r="G34" s="9">
        <f t="shared" si="2"/>
        <v>22.362100174280002</v>
      </c>
      <c r="H34" s="9">
        <f t="shared" si="2"/>
        <v>9.2953064946899993</v>
      </c>
      <c r="I34" s="9">
        <f t="shared" si="2"/>
        <v>62.445484601300002</v>
      </c>
      <c r="J34" s="9">
        <f t="shared" si="2"/>
        <v>529.08516856545691</v>
      </c>
      <c r="K34" s="9">
        <f t="shared" si="2"/>
        <v>64.682646065743</v>
      </c>
      <c r="L34" s="9">
        <f t="shared" si="2"/>
        <v>512.01705104787402</v>
      </c>
      <c r="M34" s="9">
        <f t="shared" si="2"/>
        <v>14.83095605314</v>
      </c>
      <c r="N34" s="9">
        <f t="shared" si="2"/>
        <v>288.52650772711604</v>
      </c>
      <c r="O34" s="9">
        <f t="shared" si="2"/>
        <v>147.79739117181498</v>
      </c>
      <c r="P34" s="9">
        <f t="shared" si="2"/>
        <v>155.206754267826</v>
      </c>
      <c r="Q34" s="9">
        <f t="shared" si="2"/>
        <v>21.027128421929998</v>
      </c>
      <c r="R34" s="9">
        <f t="shared" si="2"/>
        <v>466.972232212817</v>
      </c>
      <c r="S34" s="9">
        <f t="shared" si="2"/>
        <v>103.53129253201</v>
      </c>
    </row>
    <row r="35" spans="1:20" x14ac:dyDescent="0.25">
      <c r="B35" s="8" t="s">
        <v>49</v>
      </c>
      <c r="D35" s="10">
        <f>SUM(D34:H34)/591.53</f>
        <v>1.000001104198869</v>
      </c>
      <c r="I35" s="11" t="s">
        <v>50</v>
      </c>
    </row>
  </sheetData>
  <sheetProtection sheet="1"/>
  <mergeCells count="11">
    <mergeCell ref="A1:T1"/>
    <mergeCell ref="I4:J4"/>
    <mergeCell ref="B4:B5"/>
    <mergeCell ref="C4:C5"/>
    <mergeCell ref="A4:A5"/>
    <mergeCell ref="K4:M4"/>
    <mergeCell ref="T4:T5"/>
    <mergeCell ref="Q4:S4"/>
    <mergeCell ref="A2:T2"/>
    <mergeCell ref="N4:P4"/>
    <mergeCell ref="D4:H4"/>
  </mergeCells>
  <conditionalFormatting sqref="T6:T33">
    <cfRule type="expression" dxfId="253" priority="1">
      <formula>LEFT(T6,4)="ERRO"</formula>
    </cfRule>
    <cfRule type="expression" dxfId="252" priority="2">
      <formula>T6="OK"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N43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activeCell="A3" sqref="A3:S3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v>46266</v>
      </c>
      <c r="J2" s="39"/>
      <c r="K2" s="36" t="s">
        <v>54</v>
      </c>
      <c r="L2" s="28"/>
      <c r="M2" s="28"/>
      <c r="N2" s="38"/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IF(F29=0,NA(),F29)</f>
        <v>9.6977069718259994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9.6977069718259994</v>
      </c>
      <c r="AF2" s="2" t="e">
        <f t="shared" si="0"/>
        <v>#N/A</v>
      </c>
      <c r="AG2" s="2">
        <f t="shared" si="0"/>
        <v>2.8667509186859998</v>
      </c>
      <c r="AH2" s="2">
        <f t="shared" si="0"/>
        <v>6.8309560531399995</v>
      </c>
      <c r="AI2" s="2" t="e">
        <f t="shared" si="0"/>
        <v>#N/A</v>
      </c>
      <c r="AJ2" s="2" t="e">
        <f t="shared" si="0"/>
        <v>#N/A</v>
      </c>
      <c r="AK2" s="2">
        <f t="shared" si="0"/>
        <v>9.6977069718259994</v>
      </c>
      <c r="AL2" s="2" t="e">
        <f t="shared" si="0"/>
        <v>#N/A</v>
      </c>
      <c r="AM2" s="2">
        <f t="shared" si="0"/>
        <v>2.8667509186859998</v>
      </c>
      <c r="AN2" s="2">
        <f t="shared" si="0"/>
        <v>6.8309560531399995</v>
      </c>
    </row>
    <row r="3" spans="1:40" ht="15" customHeight="1" x14ac:dyDescent="0.25">
      <c r="A3" s="49" t="s">
        <v>56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57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66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2" t="s">
        <v>67</v>
      </c>
      <c r="B9" s="13" t="s">
        <v>68</v>
      </c>
      <c r="C9" s="14">
        <v>0</v>
      </c>
      <c r="D9" s="14">
        <v>0.87749259325600004</v>
      </c>
      <c r="E9" s="14">
        <f>D9-C9</f>
        <v>0.87749259325600004</v>
      </c>
      <c r="F9" s="15" t="s">
        <v>69</v>
      </c>
      <c r="G9" s="15"/>
      <c r="H9" s="15"/>
      <c r="I9" s="15"/>
      <c r="J9" s="15"/>
      <c r="K9" s="15"/>
      <c r="L9" s="21" t="s">
        <v>69</v>
      </c>
      <c r="M9" s="15"/>
      <c r="N9" s="15" t="s">
        <v>69</v>
      </c>
      <c r="O9" s="15"/>
      <c r="P9" s="15"/>
      <c r="Q9" s="15"/>
      <c r="R9" s="15" t="s">
        <v>69</v>
      </c>
      <c r="S9" s="15"/>
      <c r="T9" s="15" t="s">
        <v>69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15.95" customHeight="1" x14ac:dyDescent="0.25">
      <c r="A10" s="35" t="s">
        <v>70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4"/>
      <c r="W10" s="4"/>
    </row>
    <row r="11" spans="1:40" ht="20.100000000000001" customHeight="1" x14ac:dyDescent="0.25">
      <c r="A11" s="18" t="s">
        <v>71</v>
      </c>
      <c r="B11" s="19" t="s">
        <v>68</v>
      </c>
      <c r="C11" s="20">
        <v>0</v>
      </c>
      <c r="D11" s="20">
        <v>1</v>
      </c>
      <c r="E11" s="20">
        <f>D11-C11</f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/>
      <c r="Q11" s="21"/>
      <c r="R11" s="21" t="s">
        <v>69</v>
      </c>
      <c r="S11" s="21"/>
      <c r="T11" s="21" t="s">
        <v>69</v>
      </c>
      <c r="U11" s="21"/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2" t="s">
        <v>71</v>
      </c>
      <c r="B12" s="13" t="s">
        <v>68</v>
      </c>
      <c r="C12" s="14">
        <v>1</v>
      </c>
      <c r="D12" s="14">
        <v>1.98925832543</v>
      </c>
      <c r="E12" s="14">
        <f>D12-C12</f>
        <v>0.98925832543000003</v>
      </c>
      <c r="F12" s="15" t="s">
        <v>69</v>
      </c>
      <c r="G12" s="15"/>
      <c r="H12" s="15"/>
      <c r="I12" s="15"/>
      <c r="J12" s="15"/>
      <c r="K12" s="15"/>
      <c r="L12" s="21" t="s">
        <v>69</v>
      </c>
      <c r="M12" s="15"/>
      <c r="N12" s="15" t="s">
        <v>69</v>
      </c>
      <c r="O12" s="15"/>
      <c r="P12" s="15"/>
      <c r="Q12" s="15"/>
      <c r="R12" s="15" t="s">
        <v>69</v>
      </c>
      <c r="S12" s="15"/>
      <c r="T12" s="15" t="s">
        <v>69</v>
      </c>
      <c r="U12" s="15"/>
      <c r="V12" s="16"/>
      <c r="W12" s="17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35" t="s">
        <v>72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4"/>
      <c r="W13" s="4"/>
    </row>
    <row r="14" spans="1:40" ht="20.100000000000001" customHeight="1" x14ac:dyDescent="0.25">
      <c r="A14" s="18" t="s">
        <v>73</v>
      </c>
      <c r="B14" s="19" t="s">
        <v>68</v>
      </c>
      <c r="C14" s="20">
        <v>0</v>
      </c>
      <c r="D14" s="20">
        <v>1</v>
      </c>
      <c r="E14" s="20">
        <f>D14-C14</f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/>
      <c r="O14" s="21" t="s">
        <v>325</v>
      </c>
      <c r="P14" s="21"/>
      <c r="Q14" s="21"/>
      <c r="R14" s="21" t="s">
        <v>69</v>
      </c>
      <c r="S14" s="21"/>
      <c r="T14" s="21"/>
      <c r="U14" s="21" t="s">
        <v>69</v>
      </c>
      <c r="V14" s="22"/>
      <c r="W14" s="23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8" t="s">
        <v>73</v>
      </c>
      <c r="B15" s="19" t="s">
        <v>68</v>
      </c>
      <c r="C15" s="20">
        <v>1</v>
      </c>
      <c r="D15" s="20">
        <v>2</v>
      </c>
      <c r="E15" s="20">
        <f>D15-C15</f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/>
      <c r="O15" s="21" t="s">
        <v>325</v>
      </c>
      <c r="P15" s="21"/>
      <c r="Q15" s="21"/>
      <c r="R15" s="21" t="s">
        <v>69</v>
      </c>
      <c r="S15" s="21"/>
      <c r="T15" s="21"/>
      <c r="U15" s="21" t="s">
        <v>69</v>
      </c>
      <c r="V15" s="22"/>
      <c r="W15" s="23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8" t="s">
        <v>73</v>
      </c>
      <c r="B16" s="19" t="s">
        <v>68</v>
      </c>
      <c r="C16" s="20">
        <v>2</v>
      </c>
      <c r="D16" s="20">
        <v>3</v>
      </c>
      <c r="E16" s="20">
        <f>D16-C16</f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/>
      <c r="N16" s="21"/>
      <c r="O16" s="21" t="s">
        <v>325</v>
      </c>
      <c r="P16" s="21"/>
      <c r="Q16" s="21"/>
      <c r="R16" s="21" t="s">
        <v>69</v>
      </c>
      <c r="S16" s="21"/>
      <c r="T16" s="21"/>
      <c r="U16" s="21" t="s">
        <v>69</v>
      </c>
      <c r="V16" s="22"/>
      <c r="W16" s="23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20.100000000000001" customHeight="1" x14ac:dyDescent="0.25">
      <c r="A17" s="12" t="s">
        <v>73</v>
      </c>
      <c r="B17" s="13" t="s">
        <v>68</v>
      </c>
      <c r="C17" s="14">
        <v>3</v>
      </c>
      <c r="D17" s="14">
        <v>3.8103284894499998</v>
      </c>
      <c r="E17" s="14">
        <f>D17-C17</f>
        <v>0.8103284894499998</v>
      </c>
      <c r="F17" s="15" t="s">
        <v>69</v>
      </c>
      <c r="G17" s="15"/>
      <c r="H17" s="15"/>
      <c r="I17" s="15"/>
      <c r="J17" s="15"/>
      <c r="K17" s="15"/>
      <c r="L17" s="15" t="s">
        <v>69</v>
      </c>
      <c r="M17" s="15"/>
      <c r="N17" s="15"/>
      <c r="O17" s="15" t="s">
        <v>325</v>
      </c>
      <c r="P17" s="15"/>
      <c r="Q17" s="15"/>
      <c r="R17" s="15" t="s">
        <v>69</v>
      </c>
      <c r="S17" s="15"/>
      <c r="T17" s="15"/>
      <c r="U17" s="15" t="s">
        <v>69</v>
      </c>
      <c r="V17" s="16"/>
      <c r="W17" s="17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15.95" customHeight="1" x14ac:dyDescent="0.25">
      <c r="A18" s="35" t="s">
        <v>74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4"/>
      <c r="W18" s="4"/>
    </row>
    <row r="19" spans="1:23" ht="20.100000000000001" customHeight="1" x14ac:dyDescent="0.25">
      <c r="A19" s="18" t="s">
        <v>75</v>
      </c>
      <c r="B19" s="19" t="s">
        <v>68</v>
      </c>
      <c r="C19" s="20">
        <v>0</v>
      </c>
      <c r="D19" s="20">
        <v>1</v>
      </c>
      <c r="E19" s="20">
        <f>D19-C19</f>
        <v>1</v>
      </c>
      <c r="F19" s="21" t="s">
        <v>325</v>
      </c>
      <c r="G19" s="21"/>
      <c r="H19" s="21"/>
      <c r="I19" s="21"/>
      <c r="J19" s="21"/>
      <c r="K19" s="21"/>
      <c r="L19" s="21" t="s">
        <v>69</v>
      </c>
      <c r="M19" s="21"/>
      <c r="N19" s="21"/>
      <c r="O19" s="21" t="s">
        <v>325</v>
      </c>
      <c r="P19" s="21"/>
      <c r="Q19" s="21"/>
      <c r="R19" s="21" t="s">
        <v>69</v>
      </c>
      <c r="S19" s="21"/>
      <c r="T19" s="21"/>
      <c r="U19" s="21" t="s">
        <v>69</v>
      </c>
      <c r="V19" s="22"/>
      <c r="W19" s="23" t="str">
        <f>IF(COUNTA(F19:U19)=0,"— não preenchido",IF(COUNTIF(F19:J19,"X")&lt;&gt;1,"FALTA/DUPLA: CONDIÇÃO DO PAVIMENTO",IF(COUNTIF(K19:L19,"X")&lt;&gt;1,"FALTA/DUPLA: VEGETAÇÃO",IF(COUNTIF(M19:O19,"X")&lt;&gt;1,"FALTA/DUPLA: ELEM. DE DRENAGEM",IF(COUNTIF(P19:R19,"X")&lt;&gt;1,"FALTA/DUPLA: SIN. HORIZ.",IF(COUNTIF(S19:U19,"X")&lt;&gt;1,"FALTA/DUPLA: SIN. VERTICAL","OK"))))))</f>
        <v>OK</v>
      </c>
    </row>
    <row r="20" spans="1:23" ht="20.100000000000001" customHeight="1" x14ac:dyDescent="0.25">
      <c r="A20" s="12" t="s">
        <v>75</v>
      </c>
      <c r="B20" s="13" t="s">
        <v>68</v>
      </c>
      <c r="C20" s="14">
        <v>1</v>
      </c>
      <c r="D20" s="14">
        <v>1.66539509741</v>
      </c>
      <c r="E20" s="14">
        <f>D20-C20</f>
        <v>0.66539509741000002</v>
      </c>
      <c r="F20" s="21" t="s">
        <v>325</v>
      </c>
      <c r="G20" s="15"/>
      <c r="H20" s="15"/>
      <c r="I20" s="15"/>
      <c r="J20" s="15"/>
      <c r="K20" s="15"/>
      <c r="L20" s="15" t="s">
        <v>69</v>
      </c>
      <c r="M20" s="15"/>
      <c r="N20" s="15"/>
      <c r="O20" s="15" t="s">
        <v>325</v>
      </c>
      <c r="P20" s="15"/>
      <c r="Q20" s="15"/>
      <c r="R20" s="15" t="s">
        <v>69</v>
      </c>
      <c r="S20" s="15"/>
      <c r="T20" s="15"/>
      <c r="U20" s="15" t="s">
        <v>69</v>
      </c>
      <c r="V20" s="16"/>
      <c r="W20" s="17" t="str">
        <f>IF(COUNTA(F20:U20)=0,"— não preenchido",IF(COUNTIF(F20:J20,"X")&lt;&gt;1,"FALTA/DUPLA: CONDIÇÃO DO PAVIMENTO",IF(COUNTIF(K20:L20,"X")&lt;&gt;1,"FALTA/DUPLA: VEGETAÇÃO",IF(COUNTIF(M20:O20,"X")&lt;&gt;1,"FALTA/DUPLA: ELEM. DE DRENAGEM",IF(COUNTIF(P20:R20,"X")&lt;&gt;1,"FALTA/DUPLA: SIN. HORIZ.",IF(COUNTIF(S20:U20,"X")&lt;&gt;1,"FALTA/DUPLA: SIN. VERTICAL","OK"))))))</f>
        <v>OK</v>
      </c>
    </row>
    <row r="21" spans="1:23" ht="15.95" customHeight="1" x14ac:dyDescent="0.25">
      <c r="A21" s="35" t="s">
        <v>76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4"/>
      <c r="W21" s="4"/>
    </row>
    <row r="22" spans="1:23" ht="20.100000000000001" customHeight="1" x14ac:dyDescent="0.25">
      <c r="A22" s="18" t="s">
        <v>77</v>
      </c>
      <c r="B22" s="19" t="s">
        <v>68</v>
      </c>
      <c r="C22" s="20">
        <v>0</v>
      </c>
      <c r="D22" s="20">
        <v>1</v>
      </c>
      <c r="E22" s="20">
        <f>D22-C22</f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/>
      <c r="N22" s="21"/>
      <c r="O22" s="21" t="s">
        <v>69</v>
      </c>
      <c r="P22" s="21"/>
      <c r="Q22" s="21"/>
      <c r="R22" s="21" t="s">
        <v>69</v>
      </c>
      <c r="S22" s="21"/>
      <c r="T22" s="21"/>
      <c r="U22" s="21" t="s">
        <v>69</v>
      </c>
      <c r="V22" s="22"/>
      <c r="W22" s="23" t="str">
        <f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2" t="s">
        <v>77</v>
      </c>
      <c r="B23" s="13" t="s">
        <v>68</v>
      </c>
      <c r="C23" s="14">
        <v>1</v>
      </c>
      <c r="D23" s="14">
        <v>1.3552324662799999</v>
      </c>
      <c r="E23" s="14">
        <f>D23-C23</f>
        <v>0.35523246627999994</v>
      </c>
      <c r="F23" s="15" t="s">
        <v>69</v>
      </c>
      <c r="G23" s="15"/>
      <c r="H23" s="15"/>
      <c r="I23" s="15"/>
      <c r="J23" s="15"/>
      <c r="K23" s="15"/>
      <c r="L23" s="15" t="s">
        <v>69</v>
      </c>
      <c r="M23" s="15"/>
      <c r="N23" s="15"/>
      <c r="O23" s="15" t="s">
        <v>69</v>
      </c>
      <c r="P23" s="15"/>
      <c r="Q23" s="15"/>
      <c r="R23" s="15" t="s">
        <v>69</v>
      </c>
      <c r="S23" s="15"/>
      <c r="T23" s="15"/>
      <c r="U23" s="15" t="s">
        <v>69</v>
      </c>
      <c r="V23" s="16"/>
      <c r="W23" s="17" t="str">
        <f>IF(COUNTA(F23:U23)=0,"— não preenchido",IF(COUNTIF(F23:J23,"X")&lt;&gt;1,"FALTA/DUPLA: CONDIÇÃO DO PAVIMENTO",IF(COUNTIF(K23:L23,"X")&lt;&gt;1,"FALTA/DUPLA: VEGETAÇÃO",IF(COUNTIF(M23:O23,"X")&lt;&gt;1,"FALTA/DUPLA: ELEM. DE DRENAGEM",IF(COUNTIF(P23:R23,"X")&lt;&gt;1,"FALTA/DUPLA: SIN. HORIZ.",IF(COUNTIF(S23:U23,"X")&lt;&gt;1,"FALTA/DUPLA: SIN. VERTICAL","OK"))))))</f>
        <v>OK</v>
      </c>
    </row>
    <row r="25" spans="1:23" x14ac:dyDescent="0.25">
      <c r="A25" s="40" t="s">
        <v>78</v>
      </c>
      <c r="B25" s="28"/>
      <c r="C25" s="28"/>
      <c r="D25" s="28"/>
      <c r="E25" s="28"/>
      <c r="G25" s="40" t="s">
        <v>78</v>
      </c>
      <c r="H25" s="28"/>
      <c r="I25" s="28"/>
      <c r="J25" s="28"/>
      <c r="K25" s="28"/>
    </row>
    <row r="26" spans="1:23" x14ac:dyDescent="0.25">
      <c r="A26" s="44" t="s">
        <v>79</v>
      </c>
      <c r="B26" s="28"/>
      <c r="C26" s="28"/>
      <c r="D26" s="28"/>
      <c r="E26" s="28"/>
      <c r="G26" s="44" t="s">
        <v>80</v>
      </c>
      <c r="H26" s="28"/>
      <c r="I26" s="28"/>
      <c r="J26" s="28"/>
      <c r="K26" s="28"/>
    </row>
    <row r="28" spans="1:23" x14ac:dyDescent="0.25">
      <c r="A28" s="41" t="s">
        <v>81</v>
      </c>
      <c r="B28" s="28"/>
      <c r="C28" s="28"/>
      <c r="D28" s="28"/>
      <c r="E28" s="28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3" x14ac:dyDescent="0.25">
      <c r="A29" s="43" t="s">
        <v>82</v>
      </c>
      <c r="B29" s="28"/>
      <c r="C29" s="28"/>
      <c r="D29" s="28"/>
      <c r="E29" s="28"/>
      <c r="F29" s="9">
        <f t="shared" ref="F29:U29" si="1">SUMIF(F$9:F$23,"X",$E$9:$E$23)</f>
        <v>9.6977069718259994</v>
      </c>
      <c r="G29" s="9">
        <f t="shared" si="1"/>
        <v>0</v>
      </c>
      <c r="H29" s="9">
        <f t="shared" si="1"/>
        <v>0</v>
      </c>
      <c r="I29" s="9">
        <f t="shared" si="1"/>
        <v>0</v>
      </c>
      <c r="J29" s="9">
        <f t="shared" si="1"/>
        <v>0</v>
      </c>
      <c r="K29" s="9">
        <f t="shared" si="1"/>
        <v>0</v>
      </c>
      <c r="L29" s="9">
        <f t="shared" si="1"/>
        <v>9.6977069718259994</v>
      </c>
      <c r="M29" s="9">
        <f t="shared" si="1"/>
        <v>0</v>
      </c>
      <c r="N29" s="9">
        <f t="shared" si="1"/>
        <v>2.8667509186859998</v>
      </c>
      <c r="O29" s="9">
        <f t="shared" si="1"/>
        <v>6.8309560531399995</v>
      </c>
      <c r="P29" s="9">
        <f t="shared" si="1"/>
        <v>0</v>
      </c>
      <c r="Q29" s="9">
        <f t="shared" si="1"/>
        <v>0</v>
      </c>
      <c r="R29" s="9">
        <f t="shared" si="1"/>
        <v>9.6977069718259994</v>
      </c>
      <c r="S29" s="9">
        <f t="shared" si="1"/>
        <v>0</v>
      </c>
      <c r="T29" s="9">
        <f t="shared" si="1"/>
        <v>2.8667509186859998</v>
      </c>
      <c r="U29" s="9">
        <f t="shared" si="1"/>
        <v>6.8309560531399995</v>
      </c>
    </row>
    <row r="30" spans="1:23" x14ac:dyDescent="0.25">
      <c r="A30" s="43" t="s">
        <v>83</v>
      </c>
      <c r="B30" s="28"/>
      <c r="C30" s="28"/>
      <c r="D30" s="28"/>
      <c r="E30" s="28"/>
      <c r="F30" s="25">
        <f t="shared" ref="F30:U30" si="2">IF($R32=0,0,F29/$R32)</f>
        <v>1</v>
      </c>
      <c r="G30" s="25">
        <f t="shared" si="2"/>
        <v>0</v>
      </c>
      <c r="H30" s="25">
        <f t="shared" si="2"/>
        <v>0</v>
      </c>
      <c r="I30" s="25">
        <f t="shared" si="2"/>
        <v>0</v>
      </c>
      <c r="J30" s="25">
        <f t="shared" si="2"/>
        <v>0</v>
      </c>
      <c r="K30" s="25">
        <f t="shared" si="2"/>
        <v>0</v>
      </c>
      <c r="L30" s="25">
        <f t="shared" si="2"/>
        <v>1</v>
      </c>
      <c r="M30" s="25">
        <f t="shared" si="2"/>
        <v>0</v>
      </c>
      <c r="N30" s="25">
        <f t="shared" si="2"/>
        <v>0.29561121273457225</v>
      </c>
      <c r="O30" s="25">
        <f t="shared" si="2"/>
        <v>0.70438878726542775</v>
      </c>
      <c r="P30" s="25">
        <f t="shared" si="2"/>
        <v>0</v>
      </c>
      <c r="Q30" s="25">
        <f t="shared" si="2"/>
        <v>0</v>
      </c>
      <c r="R30" s="25">
        <f t="shared" si="2"/>
        <v>1</v>
      </c>
      <c r="S30" s="25">
        <f t="shared" si="2"/>
        <v>0</v>
      </c>
      <c r="T30" s="25">
        <f t="shared" si="2"/>
        <v>0.29561121273457225</v>
      </c>
      <c r="U30" s="25">
        <f t="shared" si="2"/>
        <v>0.70438878726542775</v>
      </c>
    </row>
    <row r="31" spans="1:23" x14ac:dyDescent="0.25">
      <c r="A31" s="43" t="s">
        <v>84</v>
      </c>
      <c r="B31" s="28"/>
      <c r="C31" s="28"/>
      <c r="D31" s="28"/>
      <c r="E31" s="28"/>
      <c r="F31" s="42" t="str">
        <f>IF(SUM(F29:J29)=0,"— não preenchido",IF(ROUND(SUM(F29:J29)-$R32,3)=0,"OK — "&amp;ROUND(SUM(F29:J29),3)&amp;" km","ERRO — dif. de "&amp;ROUND(SUM(F29:J29)-$R32,3)&amp;" km"))</f>
        <v>OK — 9,698 km</v>
      </c>
      <c r="G31" s="33"/>
      <c r="H31" s="33"/>
      <c r="I31" s="33"/>
      <c r="J31" s="34"/>
      <c r="K31" s="42" t="str">
        <f>IF(SUM(K29:L29)=0,"— não preenchido",IF(ROUND(SUM(K29:L29)-$R32,3)=0,"OK — "&amp;ROUND(SUM(K29:L29),3)&amp;" km","ERRO — dif. de "&amp;ROUND(SUM(K29:L29)-$R32,3)&amp;" km"))</f>
        <v>OK — 9,698 km</v>
      </c>
      <c r="L31" s="34"/>
      <c r="M31" s="42" t="str">
        <f>IF(SUM(M29:O29)=0,"— não preenchido",IF(ROUND(SUM(M29:O29)-$R32,3)=0,"OK — "&amp;ROUND(SUM(M29:O29),3)&amp;" km","ERRO — dif. de "&amp;ROUND(SUM(M29:O29)-$R32,3)&amp;" km"))</f>
        <v>OK — 9,698 km</v>
      </c>
      <c r="N31" s="33"/>
      <c r="O31" s="34"/>
      <c r="P31" s="42" t="str">
        <f>IF(SUM(P29:R29)=0,"— não preenchido",IF(ROUND(SUM(P29:R29)-$R32,3)=0,"OK — "&amp;ROUND(SUM(P29:R29),3)&amp;" km","ERRO — dif. de "&amp;ROUND(SUM(P29:R29)-$R32,3)&amp;" km"))</f>
        <v>OK — 9,698 km</v>
      </c>
      <c r="Q31" s="33"/>
      <c r="R31" s="34"/>
      <c r="S31" s="42" t="str">
        <f>IF(SUM(S29:U29)=0,"— não preenchido",IF(ROUND(SUM(S29:U29)-$R32,3)=0,"OK — "&amp;ROUND(SUM(S29:U29),3)&amp;" km","ERRO — dif. de "&amp;ROUND(SUM(S29:U29)-$R32,3)&amp;" km"))</f>
        <v>OK — 9,698 km</v>
      </c>
      <c r="T31" s="33"/>
      <c r="U31" s="34"/>
    </row>
    <row r="32" spans="1:23" x14ac:dyDescent="0.25">
      <c r="A32" s="43" t="s">
        <v>85</v>
      </c>
      <c r="B32" s="28"/>
      <c r="C32" s="28"/>
      <c r="D32" s="28"/>
      <c r="E32" s="28"/>
      <c r="R32" s="26">
        <f>SUM(E9:E23)</f>
        <v>9.6977069718259994</v>
      </c>
      <c r="V32" s="8" t="str">
        <f>COUNTIF(W9:W23,"OK")&amp;" de "&amp;COUNT($E$9:$E$23)&amp;" linhas conferidas"</f>
        <v>11 de 11 linhas conferidas</v>
      </c>
    </row>
    <row r="34" spans="1:22" x14ac:dyDescent="0.25">
      <c r="A34" s="37" t="s">
        <v>86</v>
      </c>
      <c r="B34" s="28"/>
      <c r="C34" s="28"/>
      <c r="D34" s="28"/>
      <c r="E34" s="28"/>
    </row>
    <row r="35" spans="1:22" x14ac:dyDescent="0.25">
      <c r="A35" s="43" t="s">
        <v>87</v>
      </c>
      <c r="B35" s="28"/>
      <c r="C35" s="28"/>
      <c r="D35" s="28"/>
      <c r="E35" s="31" t="s">
        <v>88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43" t="s">
        <v>89</v>
      </c>
      <c r="B36" s="28"/>
      <c r="C36" s="28"/>
      <c r="D36" s="28"/>
      <c r="E36" s="31" t="s">
        <v>90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43" t="s">
        <v>91</v>
      </c>
      <c r="B37" s="28"/>
      <c r="C37" s="28"/>
      <c r="D37" s="28"/>
      <c r="E37" s="31" t="s">
        <v>92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43" t="s">
        <v>93</v>
      </c>
      <c r="B38" s="28"/>
      <c r="C38" s="28"/>
      <c r="D38" s="28"/>
      <c r="E38" s="31" t="s">
        <v>94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43" t="s">
        <v>95</v>
      </c>
      <c r="B39" s="28"/>
      <c r="C39" s="28"/>
      <c r="D39" s="28"/>
      <c r="E39" s="31" t="s">
        <v>96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43" t="s">
        <v>60</v>
      </c>
      <c r="B40" s="28"/>
      <c r="C40" s="28"/>
      <c r="D40" s="28"/>
      <c r="E40" s="31" t="s">
        <v>97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43" t="s">
        <v>98</v>
      </c>
      <c r="B41" s="28"/>
      <c r="C41" s="28"/>
      <c r="D41" s="28"/>
      <c r="E41" s="31" t="s">
        <v>99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43" t="s">
        <v>100</v>
      </c>
      <c r="B42" s="28"/>
      <c r="C42" s="28"/>
      <c r="D42" s="28"/>
      <c r="E42" s="31" t="s">
        <v>101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43" t="s">
        <v>11</v>
      </c>
      <c r="B43" s="28"/>
      <c r="C43" s="28"/>
      <c r="D43" s="28"/>
      <c r="E43" s="31" t="s">
        <v>102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</sheetData>
  <sheetProtection sheet="1" formatCells="0"/>
  <mergeCells count="61">
    <mergeCell ref="A1:V1"/>
    <mergeCell ref="E41:V41"/>
    <mergeCell ref="T3:V3"/>
    <mergeCell ref="A21:V21"/>
    <mergeCell ref="F31:J31"/>
    <mergeCell ref="S31:U31"/>
    <mergeCell ref="A32:E32"/>
    <mergeCell ref="E37:V37"/>
    <mergeCell ref="A41:D41"/>
    <mergeCell ref="G26:K26"/>
    <mergeCell ref="A37:D37"/>
    <mergeCell ref="A29:E29"/>
    <mergeCell ref="A28:E28"/>
    <mergeCell ref="G25:K25"/>
    <mergeCell ref="R2:V2"/>
    <mergeCell ref="A3:S3"/>
    <mergeCell ref="W6:W7"/>
    <mergeCell ref="E36:V36"/>
    <mergeCell ref="E6:E7"/>
    <mergeCell ref="K31:L31"/>
    <mergeCell ref="B6:B7"/>
    <mergeCell ref="A36:D36"/>
    <mergeCell ref="A26:E26"/>
    <mergeCell ref="A18:V18"/>
    <mergeCell ref="C6:C7"/>
    <mergeCell ref="A31:E31"/>
    <mergeCell ref="K6:L6"/>
    <mergeCell ref="D6:D7"/>
    <mergeCell ref="P6:R6"/>
    <mergeCell ref="P31:R31"/>
    <mergeCell ref="A30:E30"/>
    <mergeCell ref="E35:V35"/>
    <mergeCell ref="A43:D43"/>
    <mergeCell ref="A6:A7"/>
    <mergeCell ref="F6:J6"/>
    <mergeCell ref="E40:V40"/>
    <mergeCell ref="M6:O6"/>
    <mergeCell ref="V6:V7"/>
    <mergeCell ref="S6:U6"/>
    <mergeCell ref="A10:V10"/>
    <mergeCell ref="A40:D40"/>
    <mergeCell ref="A13:V13"/>
    <mergeCell ref="A25:E25"/>
    <mergeCell ref="A39:D39"/>
    <mergeCell ref="E43:V43"/>
    <mergeCell ref="E42:V42"/>
    <mergeCell ref="A42:D42"/>
    <mergeCell ref="E39:V39"/>
    <mergeCell ref="A34:E34"/>
    <mergeCell ref="E38:V38"/>
    <mergeCell ref="G2:H2"/>
    <mergeCell ref="A35:D35"/>
    <mergeCell ref="I2:J2"/>
    <mergeCell ref="A38:D38"/>
    <mergeCell ref="A8:V8"/>
    <mergeCell ref="M31:O31"/>
    <mergeCell ref="A4:V4"/>
    <mergeCell ref="A2:F2"/>
    <mergeCell ref="K2:M2"/>
    <mergeCell ref="N2:O2"/>
    <mergeCell ref="P2:Q2"/>
  </mergeCells>
  <conditionalFormatting sqref="F9:J23">
    <cfRule type="expression" dxfId="251" priority="1">
      <formula>AND(F9&lt;&gt;"",COUNTIF($F9:$J9,"X")&gt;1)</formula>
    </cfRule>
  </conditionalFormatting>
  <conditionalFormatting sqref="F31:U31">
    <cfRule type="expression" dxfId="250" priority="8">
      <formula>LEFT(F31,4)="ERRO"</formula>
    </cfRule>
    <cfRule type="expression" dxfId="249" priority="9">
      <formula>LEFT(F31,2)="OK"</formula>
    </cfRule>
  </conditionalFormatting>
  <conditionalFormatting sqref="K9:L23">
    <cfRule type="expression" dxfId="248" priority="2">
      <formula>AND(K9&lt;&gt;"",COUNTIF($K9:$L9,"X")&gt;1)</formula>
    </cfRule>
  </conditionalFormatting>
  <conditionalFormatting sqref="M9:O23">
    <cfRule type="expression" dxfId="247" priority="3">
      <formula>AND(M9&lt;&gt;"",COUNTIF($M9:$O9,"X")&gt;1)</formula>
    </cfRule>
  </conditionalFormatting>
  <conditionalFormatting sqref="P9:R23">
    <cfRule type="expression" dxfId="246" priority="4">
      <formula>AND(P9&lt;&gt;"",COUNTIF($P9:$R9,"X")&gt;1)</formula>
    </cfRule>
  </conditionalFormatting>
  <conditionalFormatting sqref="S9:U23">
    <cfRule type="expression" dxfId="245" priority="5">
      <formula>AND(S9&lt;&gt;"",COUNTIF($S9:$U9,"X")&gt;1)</formula>
    </cfRule>
  </conditionalFormatting>
  <conditionalFormatting sqref="W9:W23">
    <cfRule type="expression" dxfId="244" priority="6">
      <formula>AND(W9&lt;&gt;"OK",W9&lt;&gt;"")</formula>
    </cfRule>
    <cfRule type="expression" dxfId="24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3" xr:uid="{00000000-0002-0000-0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3" xr:uid="{00000000-0002-0000-0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3" xr:uid="{00000000-0002-0000-0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3" xr:uid="{00000000-0002-0000-0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3" xr:uid="{00000000-0002-0000-0100-000004000000}">
      <formula1>AND(UPPER(S9)="X",COUNTIF($S9:$U9,"X")&lt;=1)</formula1>
    </dataValidation>
    <dataValidation type="list" showErrorMessage="1" errorTitle="Sentido inválido" error="Use C (crescente) ou D (decrescente)." sqref="B9:B23" xr:uid="{00000000-0002-0000-0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</oddHeader>
    <oddFooter>&amp;L&amp;7 RTA / MSI — Programa de Manutenção Rodoviária&amp;C&amp;7 Página &amp;P de &amp;N&amp;R&amp;7 Impresso em &amp;D</oddFooter>
  </headerFooter>
  <rowBreaks count="1" manualBreakCount="1">
    <brk id="26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N37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IF(F23=0,NA(),F23)</f>
        <v>6.6075718702900001</v>
      </c>
      <c r="Z2" s="2" t="e">
        <f t="shared" si="0"/>
        <v>#N/A</v>
      </c>
      <c r="AA2" s="2">
        <f t="shared" si="0"/>
        <v>2</v>
      </c>
      <c r="AB2" s="2" t="e">
        <f t="shared" si="0"/>
        <v>#N/A</v>
      </c>
      <c r="AC2" s="2" t="e">
        <f t="shared" si="0"/>
        <v>#N/A</v>
      </c>
      <c r="AD2" s="2">
        <f t="shared" si="0"/>
        <v>4.6075718702900001</v>
      </c>
      <c r="AE2" s="2">
        <f t="shared" si="0"/>
        <v>4</v>
      </c>
      <c r="AF2" s="2" t="e">
        <f t="shared" si="0"/>
        <v>#N/A</v>
      </c>
      <c r="AG2" s="2">
        <f t="shared" si="0"/>
        <v>8.6075718702900001</v>
      </c>
      <c r="AH2" s="2" t="e">
        <f t="shared" si="0"/>
        <v>#N/A</v>
      </c>
      <c r="AI2" s="2" t="e">
        <f t="shared" si="0"/>
        <v>#N/A</v>
      </c>
      <c r="AJ2" s="2">
        <f t="shared" si="0"/>
        <v>4.6075718702900001</v>
      </c>
      <c r="AK2" s="2">
        <f t="shared" si="0"/>
        <v>4</v>
      </c>
      <c r="AL2" s="2" t="e">
        <f t="shared" si="0"/>
        <v>#N/A</v>
      </c>
      <c r="AM2" s="2">
        <f t="shared" si="0"/>
        <v>8.6075718702900001</v>
      </c>
      <c r="AN2" s="2" t="e">
        <f t="shared" si="0"/>
        <v>#N/A</v>
      </c>
    </row>
    <row r="3" spans="1:40" ht="15" customHeight="1" x14ac:dyDescent="0.25">
      <c r="A3" s="49" t="s">
        <v>103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104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105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106</v>
      </c>
      <c r="B9" s="19" t="s">
        <v>68</v>
      </c>
      <c r="C9" s="20">
        <v>0</v>
      </c>
      <c r="D9" s="20">
        <v>1</v>
      </c>
      <c r="E9" s="20">
        <f t="shared" ref="E9:E17" si="1">D9-C9</f>
        <v>1</v>
      </c>
      <c r="F9" s="21" t="s">
        <v>69</v>
      </c>
      <c r="G9" s="21"/>
      <c r="H9" s="21"/>
      <c r="I9" s="21"/>
      <c r="J9" s="21"/>
      <c r="K9" s="21" t="s">
        <v>69</v>
      </c>
      <c r="L9" s="21"/>
      <c r="M9" s="21"/>
      <c r="N9" s="21" t="s">
        <v>69</v>
      </c>
      <c r="O9" s="21"/>
      <c r="P9" s="21"/>
      <c r="Q9" s="21" t="s">
        <v>69</v>
      </c>
      <c r="R9" s="21"/>
      <c r="S9" s="21"/>
      <c r="T9" s="21" t="s">
        <v>69</v>
      </c>
      <c r="U9" s="21"/>
      <c r="V9" s="22"/>
      <c r="W9" s="23" t="str">
        <f t="shared" ref="W9:W17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106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 t="s">
        <v>69</v>
      </c>
      <c r="L10" s="21"/>
      <c r="M10" s="21"/>
      <c r="N10" s="21" t="s">
        <v>69</v>
      </c>
      <c r="O10" s="21"/>
      <c r="P10" s="21"/>
      <c r="Q10" s="21" t="s">
        <v>69</v>
      </c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106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/>
      <c r="Q11" s="21"/>
      <c r="R11" s="21" t="s">
        <v>69</v>
      </c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106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 t="s">
        <v>69</v>
      </c>
      <c r="G12" s="21"/>
      <c r="H12" s="21"/>
      <c r="I12" s="21"/>
      <c r="J12" s="21"/>
      <c r="K12" s="21" t="s">
        <v>69</v>
      </c>
      <c r="L12" s="21"/>
      <c r="M12" s="21"/>
      <c r="N12" s="21" t="s">
        <v>69</v>
      </c>
      <c r="O12" s="21"/>
      <c r="P12" s="21"/>
      <c r="Q12" s="21"/>
      <c r="R12" s="21" t="s">
        <v>69</v>
      </c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106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/>
      <c r="Q13" s="21" t="s">
        <v>69</v>
      </c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106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/>
      <c r="Q14" s="21" t="s">
        <v>69</v>
      </c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106</v>
      </c>
      <c r="B15" s="19" t="s">
        <v>68</v>
      </c>
      <c r="C15" s="20">
        <v>6</v>
      </c>
      <c r="D15" s="20">
        <v>7</v>
      </c>
      <c r="E15" s="20">
        <f t="shared" si="1"/>
        <v>1</v>
      </c>
      <c r="F15" s="21"/>
      <c r="G15" s="21"/>
      <c r="H15" s="21" t="s">
        <v>69</v>
      </c>
      <c r="I15" s="21"/>
      <c r="J15" s="21"/>
      <c r="K15" s="21"/>
      <c r="L15" s="21" t="s">
        <v>69</v>
      </c>
      <c r="M15" s="21"/>
      <c r="N15" s="21" t="s">
        <v>69</v>
      </c>
      <c r="O15" s="21"/>
      <c r="P15" s="21"/>
      <c r="Q15" s="21"/>
      <c r="R15" s="21" t="s">
        <v>69</v>
      </c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106</v>
      </c>
      <c r="B16" s="19" t="s">
        <v>68</v>
      </c>
      <c r="C16" s="20">
        <v>7</v>
      </c>
      <c r="D16" s="20">
        <v>8</v>
      </c>
      <c r="E16" s="20">
        <f t="shared" si="1"/>
        <v>1</v>
      </c>
      <c r="F16" s="21"/>
      <c r="G16" s="21"/>
      <c r="H16" s="21" t="s">
        <v>69</v>
      </c>
      <c r="I16" s="21"/>
      <c r="J16" s="21"/>
      <c r="K16" s="21" t="s">
        <v>69</v>
      </c>
      <c r="L16" s="21"/>
      <c r="M16" s="21"/>
      <c r="N16" s="21" t="s">
        <v>69</v>
      </c>
      <c r="O16" s="21"/>
      <c r="P16" s="21"/>
      <c r="Q16" s="21"/>
      <c r="R16" s="21" t="s">
        <v>69</v>
      </c>
      <c r="S16" s="21"/>
      <c r="T16" s="21" t="s">
        <v>69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2" t="s">
        <v>106</v>
      </c>
      <c r="B17" s="13" t="s">
        <v>68</v>
      </c>
      <c r="C17" s="14">
        <v>8</v>
      </c>
      <c r="D17" s="14">
        <v>8.6075718702900001</v>
      </c>
      <c r="E17" s="14">
        <f t="shared" si="1"/>
        <v>0.60757187029000015</v>
      </c>
      <c r="F17" s="15" t="s">
        <v>69</v>
      </c>
      <c r="G17" s="15"/>
      <c r="H17" s="15"/>
      <c r="I17" s="15"/>
      <c r="J17" s="15"/>
      <c r="K17" s="15" t="s">
        <v>69</v>
      </c>
      <c r="L17" s="15"/>
      <c r="M17" s="15"/>
      <c r="N17" s="15" t="s">
        <v>69</v>
      </c>
      <c r="O17" s="15"/>
      <c r="P17" s="15"/>
      <c r="Q17" s="15" t="s">
        <v>69</v>
      </c>
      <c r="R17" s="15"/>
      <c r="S17" s="15"/>
      <c r="T17" s="15" t="s">
        <v>69</v>
      </c>
      <c r="U17" s="15"/>
      <c r="V17" s="16"/>
      <c r="W17" s="17" t="str">
        <f t="shared" si="2"/>
        <v>OK</v>
      </c>
    </row>
    <row r="19" spans="1:23" x14ac:dyDescent="0.25">
      <c r="A19" s="40" t="s">
        <v>78</v>
      </c>
      <c r="B19" s="28"/>
      <c r="C19" s="28"/>
      <c r="D19" s="28"/>
      <c r="E19" s="28"/>
      <c r="G19" s="40" t="s">
        <v>78</v>
      </c>
      <c r="H19" s="28"/>
      <c r="I19" s="28"/>
      <c r="J19" s="28"/>
      <c r="K19" s="28"/>
    </row>
    <row r="20" spans="1:23" x14ac:dyDescent="0.25">
      <c r="A20" s="44" t="s">
        <v>79</v>
      </c>
      <c r="B20" s="28"/>
      <c r="C20" s="28"/>
      <c r="D20" s="28"/>
      <c r="E20" s="28"/>
      <c r="G20" s="44" t="s">
        <v>80</v>
      </c>
      <c r="H20" s="28"/>
      <c r="I20" s="28"/>
      <c r="J20" s="28"/>
      <c r="K20" s="28"/>
    </row>
    <row r="22" spans="1:23" x14ac:dyDescent="0.25">
      <c r="A22" s="41" t="s">
        <v>81</v>
      </c>
      <c r="B22" s="28"/>
      <c r="C22" s="28"/>
      <c r="D22" s="28"/>
      <c r="E22" s="28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</row>
    <row r="23" spans="1:23" x14ac:dyDescent="0.25">
      <c r="A23" s="43" t="s">
        <v>82</v>
      </c>
      <c r="B23" s="28"/>
      <c r="C23" s="28"/>
      <c r="D23" s="28"/>
      <c r="E23" s="28"/>
      <c r="F23" s="9">
        <f t="shared" ref="F23:U23" si="3">SUMIF(F$9:F$17,"X",$E$9:$E$17)</f>
        <v>6.6075718702900001</v>
      </c>
      <c r="G23" s="9">
        <f t="shared" si="3"/>
        <v>0</v>
      </c>
      <c r="H23" s="9">
        <f t="shared" si="3"/>
        <v>2</v>
      </c>
      <c r="I23" s="9">
        <f t="shared" si="3"/>
        <v>0</v>
      </c>
      <c r="J23" s="9">
        <f t="shared" si="3"/>
        <v>0</v>
      </c>
      <c r="K23" s="9">
        <f t="shared" si="3"/>
        <v>4.6075718702900001</v>
      </c>
      <c r="L23" s="9">
        <f t="shared" si="3"/>
        <v>4</v>
      </c>
      <c r="M23" s="9">
        <f t="shared" si="3"/>
        <v>0</v>
      </c>
      <c r="N23" s="9">
        <f t="shared" si="3"/>
        <v>8.6075718702900001</v>
      </c>
      <c r="O23" s="9">
        <f t="shared" si="3"/>
        <v>0</v>
      </c>
      <c r="P23" s="9">
        <f t="shared" si="3"/>
        <v>0</v>
      </c>
      <c r="Q23" s="9">
        <f t="shared" si="3"/>
        <v>4.6075718702900001</v>
      </c>
      <c r="R23" s="9">
        <f t="shared" si="3"/>
        <v>4</v>
      </c>
      <c r="S23" s="9">
        <f t="shared" si="3"/>
        <v>0</v>
      </c>
      <c r="T23" s="9">
        <f t="shared" si="3"/>
        <v>8.6075718702900001</v>
      </c>
      <c r="U23" s="9">
        <f t="shared" si="3"/>
        <v>0</v>
      </c>
    </row>
    <row r="24" spans="1:23" x14ac:dyDescent="0.25">
      <c r="A24" s="43" t="s">
        <v>83</v>
      </c>
      <c r="B24" s="28"/>
      <c r="C24" s="28"/>
      <c r="D24" s="28"/>
      <c r="E24" s="28"/>
      <c r="F24" s="25">
        <f t="shared" ref="F24:U24" si="4">IF($R26=0,0,F23/$R26)</f>
        <v>0.76764643616822714</v>
      </c>
      <c r="G24" s="25">
        <f t="shared" si="4"/>
        <v>0</v>
      </c>
      <c r="H24" s="25">
        <f t="shared" si="4"/>
        <v>0.23235356383177286</v>
      </c>
      <c r="I24" s="25">
        <f t="shared" si="4"/>
        <v>0</v>
      </c>
      <c r="J24" s="25">
        <f t="shared" si="4"/>
        <v>0</v>
      </c>
      <c r="K24" s="25">
        <f t="shared" si="4"/>
        <v>0.53529287233645428</v>
      </c>
      <c r="L24" s="25">
        <f t="shared" si="4"/>
        <v>0.46470712766354572</v>
      </c>
      <c r="M24" s="25">
        <f t="shared" si="4"/>
        <v>0</v>
      </c>
      <c r="N24" s="25">
        <f t="shared" si="4"/>
        <v>1</v>
      </c>
      <c r="O24" s="25">
        <f t="shared" si="4"/>
        <v>0</v>
      </c>
      <c r="P24" s="25">
        <f t="shared" si="4"/>
        <v>0</v>
      </c>
      <c r="Q24" s="25">
        <f t="shared" si="4"/>
        <v>0.53529287233645428</v>
      </c>
      <c r="R24" s="25">
        <f t="shared" si="4"/>
        <v>0.46470712766354572</v>
      </c>
      <c r="S24" s="25">
        <f t="shared" si="4"/>
        <v>0</v>
      </c>
      <c r="T24" s="25">
        <f t="shared" si="4"/>
        <v>1</v>
      </c>
      <c r="U24" s="25">
        <f t="shared" si="4"/>
        <v>0</v>
      </c>
    </row>
    <row r="25" spans="1:23" x14ac:dyDescent="0.25">
      <c r="A25" s="43" t="s">
        <v>84</v>
      </c>
      <c r="B25" s="28"/>
      <c r="C25" s="28"/>
      <c r="D25" s="28"/>
      <c r="E25" s="28"/>
      <c r="F25" s="42" t="str">
        <f>IF(SUM(F23:J23)=0,"— não preenchido",IF(ROUND(SUM(F23:J23)-$R26,3)=0,"OK — "&amp;ROUND(SUM(F23:J23),3)&amp;" km","ERRO — dif. de "&amp;ROUND(SUM(F23:J23)-$R26,3)&amp;" km"))</f>
        <v>OK — 8,608 km</v>
      </c>
      <c r="G25" s="33"/>
      <c r="H25" s="33"/>
      <c r="I25" s="33"/>
      <c r="J25" s="34"/>
      <c r="K25" s="42" t="str">
        <f>IF(SUM(K23:L23)=0,"— não preenchido",IF(ROUND(SUM(K23:L23)-$R26,3)=0,"OK — "&amp;ROUND(SUM(K23:L23),3)&amp;" km","ERRO — dif. de "&amp;ROUND(SUM(K23:L23)-$R26,3)&amp;" km"))</f>
        <v>OK — 8,608 km</v>
      </c>
      <c r="L25" s="34"/>
      <c r="M25" s="42" t="str">
        <f>IF(SUM(M23:O23)=0,"— não preenchido",IF(ROUND(SUM(M23:O23)-$R26,3)=0,"OK — "&amp;ROUND(SUM(M23:O23),3)&amp;" km","ERRO — dif. de "&amp;ROUND(SUM(M23:O23)-$R26,3)&amp;" km"))</f>
        <v>OK — 8,608 km</v>
      </c>
      <c r="N25" s="33"/>
      <c r="O25" s="34"/>
      <c r="P25" s="42" t="str">
        <f>IF(SUM(P23:R23)=0,"— não preenchido",IF(ROUND(SUM(P23:R23)-$R26,3)=0,"OK — "&amp;ROUND(SUM(P23:R23),3)&amp;" km","ERRO — dif. de "&amp;ROUND(SUM(P23:R23)-$R26,3)&amp;" km"))</f>
        <v>OK — 8,608 km</v>
      </c>
      <c r="Q25" s="33"/>
      <c r="R25" s="34"/>
      <c r="S25" s="42" t="str">
        <f>IF(SUM(S23:U23)=0,"— não preenchido",IF(ROUND(SUM(S23:U23)-$R26,3)=0,"OK — "&amp;ROUND(SUM(S23:U23),3)&amp;" km","ERRO — dif. de "&amp;ROUND(SUM(S23:U23)-$R26,3)&amp;" km"))</f>
        <v>OK — 8,608 km</v>
      </c>
      <c r="T25" s="33"/>
      <c r="U25" s="34"/>
    </row>
    <row r="26" spans="1:23" x14ac:dyDescent="0.25">
      <c r="A26" s="43" t="s">
        <v>85</v>
      </c>
      <c r="B26" s="28"/>
      <c r="C26" s="28"/>
      <c r="D26" s="28"/>
      <c r="E26" s="28"/>
      <c r="R26" s="26">
        <f>SUM(E9:E17)</f>
        <v>8.6075718702900001</v>
      </c>
      <c r="V26" s="8" t="str">
        <f>COUNTIF(W9:W17,"OK")&amp;" de "&amp;COUNT($E$9:$E$17)&amp;" linhas conferidas"</f>
        <v>9 de 9 linhas conferidas</v>
      </c>
    </row>
    <row r="28" spans="1:23" x14ac:dyDescent="0.25">
      <c r="A28" s="37" t="s">
        <v>86</v>
      </c>
      <c r="B28" s="28"/>
      <c r="C28" s="28"/>
      <c r="D28" s="28"/>
      <c r="E28" s="28"/>
    </row>
    <row r="29" spans="1:23" x14ac:dyDescent="0.25">
      <c r="A29" s="43" t="s">
        <v>87</v>
      </c>
      <c r="B29" s="28"/>
      <c r="C29" s="28"/>
      <c r="D29" s="28"/>
      <c r="E29" s="31" t="s">
        <v>88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3" x14ac:dyDescent="0.25">
      <c r="A30" s="43" t="s">
        <v>89</v>
      </c>
      <c r="B30" s="28"/>
      <c r="C30" s="28"/>
      <c r="D30" s="28"/>
      <c r="E30" s="31" t="s">
        <v>90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3" x14ac:dyDescent="0.25">
      <c r="A31" s="43" t="s">
        <v>91</v>
      </c>
      <c r="B31" s="28"/>
      <c r="C31" s="28"/>
      <c r="D31" s="28"/>
      <c r="E31" s="31" t="s">
        <v>92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3" x14ac:dyDescent="0.25">
      <c r="A32" s="43" t="s">
        <v>93</v>
      </c>
      <c r="B32" s="28"/>
      <c r="C32" s="28"/>
      <c r="D32" s="28"/>
      <c r="E32" s="31" t="s">
        <v>94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43" t="s">
        <v>95</v>
      </c>
      <c r="B33" s="28"/>
      <c r="C33" s="28"/>
      <c r="D33" s="28"/>
      <c r="E33" s="31" t="s">
        <v>96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43" t="s">
        <v>60</v>
      </c>
      <c r="B34" s="28"/>
      <c r="C34" s="28"/>
      <c r="D34" s="28"/>
      <c r="E34" s="31" t="s">
        <v>97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43" t="s">
        <v>98</v>
      </c>
      <c r="B35" s="28"/>
      <c r="C35" s="28"/>
      <c r="D35" s="28"/>
      <c r="E35" s="31" t="s">
        <v>99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43" t="s">
        <v>100</v>
      </c>
      <c r="B36" s="28"/>
      <c r="C36" s="28"/>
      <c r="D36" s="28"/>
      <c r="E36" s="31" t="s">
        <v>101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43" t="s">
        <v>11</v>
      </c>
      <c r="B37" s="28"/>
      <c r="C37" s="28"/>
      <c r="D37" s="28"/>
      <c r="E37" s="31" t="s">
        <v>102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</sheetData>
  <sheetProtection sheet="1" formatCells="0"/>
  <mergeCells count="57">
    <mergeCell ref="A1:V1"/>
    <mergeCell ref="E32:V32"/>
    <mergeCell ref="T3:V3"/>
    <mergeCell ref="A23:E23"/>
    <mergeCell ref="E37:V37"/>
    <mergeCell ref="A22:E22"/>
    <mergeCell ref="S25:U25"/>
    <mergeCell ref="A37:D37"/>
    <mergeCell ref="A20:E20"/>
    <mergeCell ref="G20:K20"/>
    <mergeCell ref="P25:R25"/>
    <mergeCell ref="A28:E28"/>
    <mergeCell ref="E33:V33"/>
    <mergeCell ref="A19:E19"/>
    <mergeCell ref="R2:V2"/>
    <mergeCell ref="A3:S3"/>
    <mergeCell ref="W6:W7"/>
    <mergeCell ref="E36:V36"/>
    <mergeCell ref="G19:K19"/>
    <mergeCell ref="E6:E7"/>
    <mergeCell ref="B6:B7"/>
    <mergeCell ref="A36:D36"/>
    <mergeCell ref="A26:E26"/>
    <mergeCell ref="C6:C7"/>
    <mergeCell ref="A33:D33"/>
    <mergeCell ref="K6:L6"/>
    <mergeCell ref="D6:D7"/>
    <mergeCell ref="P6:R6"/>
    <mergeCell ref="V6:V7"/>
    <mergeCell ref="E34:V34"/>
    <mergeCell ref="A32:D32"/>
    <mergeCell ref="A34:D34"/>
    <mergeCell ref="A2:F2"/>
    <mergeCell ref="S6:U6"/>
    <mergeCell ref="K2:M2"/>
    <mergeCell ref="E30:V30"/>
    <mergeCell ref="A31:D31"/>
    <mergeCell ref="A25:E25"/>
    <mergeCell ref="N2:O2"/>
    <mergeCell ref="A30:D30"/>
    <mergeCell ref="P2:Q2"/>
    <mergeCell ref="E35:V35"/>
    <mergeCell ref="K25:L25"/>
    <mergeCell ref="A24:E24"/>
    <mergeCell ref="E29:V29"/>
    <mergeCell ref="G2:H2"/>
    <mergeCell ref="A35:D35"/>
    <mergeCell ref="I2:J2"/>
    <mergeCell ref="A8:V8"/>
    <mergeCell ref="F25:J25"/>
    <mergeCell ref="A29:D29"/>
    <mergeCell ref="M25:O25"/>
    <mergeCell ref="A6:A7"/>
    <mergeCell ref="F6:J6"/>
    <mergeCell ref="M6:O6"/>
    <mergeCell ref="E31:V31"/>
    <mergeCell ref="A4:V4"/>
  </mergeCells>
  <conditionalFormatting sqref="F9:J17">
    <cfRule type="expression" dxfId="242" priority="1">
      <formula>AND(F9&lt;&gt;"",COUNTIF($F9:$J9,"X")&gt;1)</formula>
    </cfRule>
  </conditionalFormatting>
  <conditionalFormatting sqref="F25:U25">
    <cfRule type="expression" dxfId="241" priority="8">
      <formula>LEFT(F25,4)="ERRO"</formula>
    </cfRule>
    <cfRule type="expression" dxfId="240" priority="9">
      <formula>LEFT(F25,2)="OK"</formula>
    </cfRule>
  </conditionalFormatting>
  <conditionalFormatting sqref="K9:L17">
    <cfRule type="expression" dxfId="239" priority="2">
      <formula>AND(K9&lt;&gt;"",COUNTIF($K9:$L9,"X")&gt;1)</formula>
    </cfRule>
  </conditionalFormatting>
  <conditionalFormatting sqref="M9:O17">
    <cfRule type="expression" dxfId="238" priority="3">
      <formula>AND(M9&lt;&gt;"",COUNTIF($M9:$O9,"X")&gt;1)</formula>
    </cfRule>
  </conditionalFormatting>
  <conditionalFormatting sqref="P9:R17">
    <cfRule type="expression" dxfId="237" priority="4">
      <formula>AND(P9&lt;&gt;"",COUNTIF($P9:$R9,"X")&gt;1)</formula>
    </cfRule>
  </conditionalFormatting>
  <conditionalFormatting sqref="S9:U17">
    <cfRule type="expression" dxfId="236" priority="5">
      <formula>AND(S9&lt;&gt;"",COUNTIF($S9:$U9,"X")&gt;1)</formula>
    </cfRule>
  </conditionalFormatting>
  <conditionalFormatting sqref="W9:W17">
    <cfRule type="expression" dxfId="235" priority="6">
      <formula>AND(W9&lt;&gt;"OK",W9&lt;&gt;"")</formula>
    </cfRule>
    <cfRule type="expression" dxfId="23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7" xr:uid="{00000000-0002-0000-0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7" xr:uid="{00000000-0002-0000-0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7" xr:uid="{00000000-0002-0000-0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7" xr:uid="{00000000-0002-0000-0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7" xr:uid="{00000000-0002-0000-0200-000004000000}">
      <formula1>AND(UPPER(S9)="X",COUNTIF($S9:$U9,"X")&lt;=1)</formula1>
    </dataValidation>
    <dataValidation type="list" showErrorMessage="1" errorTitle="Sentido inválido" error="Use C (crescente) ou D (decrescente)." sqref="B9:B17" xr:uid="{00000000-0002-0000-0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</oddHeader>
    <oddFooter>&amp;L&amp;7 RTA / MSI — Programa de Manutenção Rodoviária&amp;C&amp;7 Página &amp;P de &amp;N&amp;R&amp;7 Impresso em &amp;D</oddFooter>
  </headerFooter>
  <rowBreaks count="1" manualBreakCount="1">
    <brk id="20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AN74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IF(F60=0,NA(),F60)</f>
        <v>30.607009497180002</v>
      </c>
      <c r="Z2" s="2">
        <f t="shared" si="0"/>
        <v>11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5.8518241291999979</v>
      </c>
      <c r="AE2" s="2">
        <f t="shared" si="0"/>
        <v>35.755185367980005</v>
      </c>
      <c r="AF2" s="2" t="e">
        <f t="shared" si="0"/>
        <v>#N/A</v>
      </c>
      <c r="AG2" s="2">
        <f t="shared" si="0"/>
        <v>41.607009497179995</v>
      </c>
      <c r="AH2" s="2" t="e">
        <f t="shared" si="0"/>
        <v>#N/A</v>
      </c>
      <c r="AI2" s="2">
        <f t="shared" si="0"/>
        <v>41.607009497179995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41.607009497179995</v>
      </c>
      <c r="AN2" s="2" t="e">
        <f t="shared" si="0"/>
        <v>#N/A</v>
      </c>
    </row>
    <row r="3" spans="1:40" ht="15" customHeight="1" x14ac:dyDescent="0.25">
      <c r="A3" s="49" t="s">
        <v>107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108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109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110</v>
      </c>
      <c r="B9" s="19" t="s">
        <v>68</v>
      </c>
      <c r="C9" s="20">
        <v>0</v>
      </c>
      <c r="D9" s="20">
        <v>1</v>
      </c>
      <c r="E9" s="20">
        <f t="shared" ref="E9:E16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/>
      <c r="T9" s="21" t="s">
        <v>69</v>
      </c>
      <c r="U9" s="21"/>
      <c r="V9" s="22"/>
      <c r="W9" s="23" t="str">
        <f t="shared" ref="W9:W1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110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110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 t="s">
        <v>69</v>
      </c>
      <c r="Q11" s="21"/>
      <c r="R11" s="21"/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110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/>
      <c r="G12" s="21" t="s">
        <v>69</v>
      </c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 t="s">
        <v>69</v>
      </c>
      <c r="Q12" s="21"/>
      <c r="R12" s="21"/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110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/>
      <c r="G13" s="21" t="s">
        <v>69</v>
      </c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 t="s">
        <v>69</v>
      </c>
      <c r="Q13" s="21"/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110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 t="s">
        <v>69</v>
      </c>
      <c r="Q14" s="21"/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110</v>
      </c>
      <c r="B15" s="19" t="s">
        <v>68</v>
      </c>
      <c r="C15" s="20">
        <v>6</v>
      </c>
      <c r="D15" s="20">
        <v>7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 t="s">
        <v>69</v>
      </c>
      <c r="Q15" s="21"/>
      <c r="R15" s="21"/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2" t="s">
        <v>110</v>
      </c>
      <c r="B16" s="13" t="s">
        <v>68</v>
      </c>
      <c r="C16" s="14">
        <v>7</v>
      </c>
      <c r="D16" s="14">
        <v>7.7551853679800002</v>
      </c>
      <c r="E16" s="14">
        <f t="shared" si="1"/>
        <v>0.75518536798000024</v>
      </c>
      <c r="F16" s="15" t="s">
        <v>69</v>
      </c>
      <c r="G16" s="15"/>
      <c r="H16" s="15"/>
      <c r="I16" s="15"/>
      <c r="J16" s="15"/>
      <c r="K16" s="15"/>
      <c r="L16" s="15" t="s">
        <v>69</v>
      </c>
      <c r="M16" s="15"/>
      <c r="N16" s="15" t="s">
        <v>69</v>
      </c>
      <c r="O16" s="15"/>
      <c r="P16" s="15" t="s">
        <v>69</v>
      </c>
      <c r="Q16" s="15"/>
      <c r="R16" s="15"/>
      <c r="S16" s="15"/>
      <c r="T16" s="15" t="s">
        <v>69</v>
      </c>
      <c r="U16" s="15"/>
      <c r="V16" s="16"/>
      <c r="W16" s="17" t="str">
        <f t="shared" si="2"/>
        <v>OK</v>
      </c>
    </row>
    <row r="17" spans="1:23" ht="15.95" customHeight="1" x14ac:dyDescent="0.25">
      <c r="A17" s="35" t="s">
        <v>111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4"/>
      <c r="W17" s="4"/>
    </row>
    <row r="18" spans="1:23" ht="20.100000000000001" customHeight="1" x14ac:dyDescent="0.25">
      <c r="A18" s="18" t="s">
        <v>112</v>
      </c>
      <c r="B18" s="19" t="s">
        <v>68</v>
      </c>
      <c r="C18" s="20">
        <v>0</v>
      </c>
      <c r="D18" s="20">
        <v>1</v>
      </c>
      <c r="E18" s="20">
        <f t="shared" ref="E18:E46" si="3">D18-C18</f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 t="s">
        <v>69</v>
      </c>
      <c r="Q18" s="21"/>
      <c r="R18" s="21"/>
      <c r="S18" s="21"/>
      <c r="T18" s="21" t="s">
        <v>69</v>
      </c>
      <c r="U18" s="21"/>
      <c r="V18" s="22"/>
      <c r="W18" s="23" t="str">
        <f t="shared" ref="W18:W46" si="4"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8" t="s">
        <v>112</v>
      </c>
      <c r="B19" s="19" t="s">
        <v>68</v>
      </c>
      <c r="C19" s="20">
        <v>1</v>
      </c>
      <c r="D19" s="20">
        <v>2</v>
      </c>
      <c r="E19" s="20">
        <f t="shared" si="3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/>
      <c r="N19" s="21" t="s">
        <v>69</v>
      </c>
      <c r="O19" s="21"/>
      <c r="P19" s="21" t="s">
        <v>69</v>
      </c>
      <c r="Q19" s="21"/>
      <c r="R19" s="21"/>
      <c r="S19" s="21"/>
      <c r="T19" s="21" t="s">
        <v>69</v>
      </c>
      <c r="U19" s="21"/>
      <c r="V19" s="22"/>
      <c r="W19" s="23" t="str">
        <f t="shared" si="4"/>
        <v>OK</v>
      </c>
    </row>
    <row r="20" spans="1:23" ht="20.100000000000001" customHeight="1" x14ac:dyDescent="0.25">
      <c r="A20" s="18" t="s">
        <v>112</v>
      </c>
      <c r="B20" s="19" t="s">
        <v>68</v>
      </c>
      <c r="C20" s="20">
        <v>2</v>
      </c>
      <c r="D20" s="20">
        <v>3</v>
      </c>
      <c r="E20" s="20">
        <f t="shared" si="3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 t="s">
        <v>69</v>
      </c>
      <c r="Q20" s="21"/>
      <c r="R20" s="21"/>
      <c r="S20" s="21"/>
      <c r="T20" s="21" t="s">
        <v>69</v>
      </c>
      <c r="U20" s="21"/>
      <c r="V20" s="22"/>
      <c r="W20" s="23" t="str">
        <f t="shared" si="4"/>
        <v>OK</v>
      </c>
    </row>
    <row r="21" spans="1:23" ht="20.100000000000001" customHeight="1" x14ac:dyDescent="0.25">
      <c r="A21" s="18" t="s">
        <v>112</v>
      </c>
      <c r="B21" s="19" t="s">
        <v>68</v>
      </c>
      <c r="C21" s="20">
        <v>3</v>
      </c>
      <c r="D21" s="20">
        <v>4</v>
      </c>
      <c r="E21" s="20">
        <f t="shared" si="3"/>
        <v>1</v>
      </c>
      <c r="F21" s="21"/>
      <c r="G21" s="21" t="s">
        <v>69</v>
      </c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 t="s">
        <v>69</v>
      </c>
      <c r="Q21" s="21"/>
      <c r="R21" s="21"/>
      <c r="S21" s="21"/>
      <c r="T21" s="21" t="s">
        <v>69</v>
      </c>
      <c r="U21" s="21"/>
      <c r="V21" s="22"/>
      <c r="W21" s="23" t="str">
        <f t="shared" si="4"/>
        <v>OK</v>
      </c>
    </row>
    <row r="22" spans="1:23" ht="20.100000000000001" customHeight="1" x14ac:dyDescent="0.25">
      <c r="A22" s="18" t="s">
        <v>112</v>
      </c>
      <c r="B22" s="19" t="s">
        <v>68</v>
      </c>
      <c r="C22" s="20">
        <v>4</v>
      </c>
      <c r="D22" s="20">
        <v>5</v>
      </c>
      <c r="E22" s="20">
        <f t="shared" si="3"/>
        <v>1</v>
      </c>
      <c r="F22" s="21"/>
      <c r="G22" s="21" t="s">
        <v>69</v>
      </c>
      <c r="H22" s="21"/>
      <c r="I22" s="21"/>
      <c r="J22" s="21"/>
      <c r="K22" s="21"/>
      <c r="L22" s="21" t="s">
        <v>69</v>
      </c>
      <c r="M22" s="21"/>
      <c r="N22" s="21" t="s">
        <v>69</v>
      </c>
      <c r="O22" s="21"/>
      <c r="P22" s="21" t="s">
        <v>69</v>
      </c>
      <c r="Q22" s="21"/>
      <c r="R22" s="21"/>
      <c r="S22" s="21"/>
      <c r="T22" s="21" t="s">
        <v>69</v>
      </c>
      <c r="U22" s="21"/>
      <c r="V22" s="22"/>
      <c r="W22" s="23" t="str">
        <f t="shared" si="4"/>
        <v>OK</v>
      </c>
    </row>
    <row r="23" spans="1:23" ht="20.100000000000001" customHeight="1" x14ac:dyDescent="0.25">
      <c r="A23" s="18" t="s">
        <v>112</v>
      </c>
      <c r="B23" s="19" t="s">
        <v>68</v>
      </c>
      <c r="C23" s="20">
        <v>5</v>
      </c>
      <c r="D23" s="20">
        <v>6</v>
      </c>
      <c r="E23" s="20">
        <f t="shared" si="3"/>
        <v>1</v>
      </c>
      <c r="F23" s="21" t="s">
        <v>69</v>
      </c>
      <c r="G23" s="21"/>
      <c r="H23" s="21"/>
      <c r="I23" s="21"/>
      <c r="J23" s="21"/>
      <c r="K23" s="21"/>
      <c r="L23" s="21" t="s">
        <v>69</v>
      </c>
      <c r="M23" s="21"/>
      <c r="N23" s="21" t="s">
        <v>69</v>
      </c>
      <c r="O23" s="21"/>
      <c r="P23" s="21" t="s">
        <v>69</v>
      </c>
      <c r="Q23" s="21"/>
      <c r="R23" s="21"/>
      <c r="S23" s="21"/>
      <c r="T23" s="21" t="s">
        <v>69</v>
      </c>
      <c r="U23" s="21"/>
      <c r="V23" s="22"/>
      <c r="W23" s="23" t="str">
        <f t="shared" si="4"/>
        <v>OK</v>
      </c>
    </row>
    <row r="24" spans="1:23" ht="20.100000000000001" customHeight="1" x14ac:dyDescent="0.25">
      <c r="A24" s="18" t="s">
        <v>112</v>
      </c>
      <c r="B24" s="19" t="s">
        <v>68</v>
      </c>
      <c r="C24" s="20">
        <v>6</v>
      </c>
      <c r="D24" s="20">
        <v>7</v>
      </c>
      <c r="E24" s="20">
        <f t="shared" si="3"/>
        <v>1</v>
      </c>
      <c r="F24" s="21" t="s">
        <v>69</v>
      </c>
      <c r="G24" s="21"/>
      <c r="H24" s="21"/>
      <c r="I24" s="21"/>
      <c r="J24" s="21"/>
      <c r="K24" s="21"/>
      <c r="L24" s="21" t="s">
        <v>69</v>
      </c>
      <c r="M24" s="21"/>
      <c r="N24" s="21" t="s">
        <v>69</v>
      </c>
      <c r="O24" s="21"/>
      <c r="P24" s="21" t="s">
        <v>69</v>
      </c>
      <c r="Q24" s="21"/>
      <c r="R24" s="21"/>
      <c r="S24" s="21"/>
      <c r="T24" s="21" t="s">
        <v>69</v>
      </c>
      <c r="U24" s="21"/>
      <c r="V24" s="22"/>
      <c r="W24" s="23" t="str">
        <f t="shared" si="4"/>
        <v>OK</v>
      </c>
    </row>
    <row r="25" spans="1:23" ht="20.100000000000001" customHeight="1" x14ac:dyDescent="0.25">
      <c r="A25" s="18" t="s">
        <v>112</v>
      </c>
      <c r="B25" s="19" t="s">
        <v>68</v>
      </c>
      <c r="C25" s="20">
        <v>7</v>
      </c>
      <c r="D25" s="20">
        <v>8</v>
      </c>
      <c r="E25" s="20">
        <f t="shared" si="3"/>
        <v>1</v>
      </c>
      <c r="F25" s="21" t="s">
        <v>69</v>
      </c>
      <c r="G25" s="21"/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 t="s">
        <v>69</v>
      </c>
      <c r="Q25" s="21"/>
      <c r="R25" s="21"/>
      <c r="S25" s="21"/>
      <c r="T25" s="21" t="s">
        <v>69</v>
      </c>
      <c r="U25" s="21"/>
      <c r="V25" s="22"/>
      <c r="W25" s="23" t="str">
        <f t="shared" si="4"/>
        <v>OK</v>
      </c>
    </row>
    <row r="26" spans="1:23" ht="20.100000000000001" customHeight="1" x14ac:dyDescent="0.25">
      <c r="A26" s="18" t="s">
        <v>112</v>
      </c>
      <c r="B26" s="19" t="s">
        <v>68</v>
      </c>
      <c r="C26" s="20">
        <v>8</v>
      </c>
      <c r="D26" s="20">
        <v>9</v>
      </c>
      <c r="E26" s="20">
        <f t="shared" si="3"/>
        <v>1</v>
      </c>
      <c r="F26" s="21" t="s">
        <v>69</v>
      </c>
      <c r="G26" s="21"/>
      <c r="H26" s="21"/>
      <c r="I26" s="21"/>
      <c r="J26" s="21"/>
      <c r="K26" s="21"/>
      <c r="L26" s="21" t="s">
        <v>69</v>
      </c>
      <c r="M26" s="21"/>
      <c r="N26" s="21" t="s">
        <v>69</v>
      </c>
      <c r="O26" s="21"/>
      <c r="P26" s="21" t="s">
        <v>69</v>
      </c>
      <c r="Q26" s="21"/>
      <c r="R26" s="21"/>
      <c r="S26" s="21"/>
      <c r="T26" s="21" t="s">
        <v>69</v>
      </c>
      <c r="U26" s="21"/>
      <c r="V26" s="22"/>
      <c r="W26" s="23" t="str">
        <f t="shared" si="4"/>
        <v>OK</v>
      </c>
    </row>
    <row r="27" spans="1:23" ht="20.100000000000001" customHeight="1" x14ac:dyDescent="0.25">
      <c r="A27" s="18" t="s">
        <v>112</v>
      </c>
      <c r="B27" s="19" t="s">
        <v>68</v>
      </c>
      <c r="C27" s="20">
        <v>9</v>
      </c>
      <c r="D27" s="20">
        <v>10</v>
      </c>
      <c r="E27" s="20">
        <f t="shared" si="3"/>
        <v>1</v>
      </c>
      <c r="F27" s="21"/>
      <c r="G27" s="21" t="s">
        <v>69</v>
      </c>
      <c r="H27" s="21"/>
      <c r="I27" s="21"/>
      <c r="J27" s="21"/>
      <c r="K27" s="21"/>
      <c r="L27" s="21" t="s">
        <v>69</v>
      </c>
      <c r="M27" s="21"/>
      <c r="N27" s="21" t="s">
        <v>69</v>
      </c>
      <c r="O27" s="21"/>
      <c r="P27" s="21" t="s">
        <v>69</v>
      </c>
      <c r="Q27" s="21"/>
      <c r="R27" s="21"/>
      <c r="S27" s="21"/>
      <c r="T27" s="21" t="s">
        <v>69</v>
      </c>
      <c r="U27" s="21"/>
      <c r="V27" s="22"/>
      <c r="W27" s="23" t="str">
        <f t="shared" si="4"/>
        <v>OK</v>
      </c>
    </row>
    <row r="28" spans="1:23" ht="20.100000000000001" customHeight="1" x14ac:dyDescent="0.25">
      <c r="A28" s="18" t="s">
        <v>112</v>
      </c>
      <c r="B28" s="19" t="s">
        <v>68</v>
      </c>
      <c r="C28" s="20">
        <v>10</v>
      </c>
      <c r="D28" s="20">
        <v>11</v>
      </c>
      <c r="E28" s="20">
        <f t="shared" si="3"/>
        <v>1</v>
      </c>
      <c r="F28" s="21"/>
      <c r="G28" s="21" t="s">
        <v>69</v>
      </c>
      <c r="H28" s="21"/>
      <c r="I28" s="21"/>
      <c r="J28" s="21"/>
      <c r="K28" s="21"/>
      <c r="L28" s="21" t="s">
        <v>69</v>
      </c>
      <c r="M28" s="21"/>
      <c r="N28" s="21" t="s">
        <v>69</v>
      </c>
      <c r="O28" s="21"/>
      <c r="P28" s="21" t="s">
        <v>69</v>
      </c>
      <c r="Q28" s="21"/>
      <c r="R28" s="21"/>
      <c r="S28" s="21"/>
      <c r="T28" s="21" t="s">
        <v>69</v>
      </c>
      <c r="U28" s="21"/>
      <c r="V28" s="22"/>
      <c r="W28" s="23" t="str">
        <f t="shared" si="4"/>
        <v>OK</v>
      </c>
    </row>
    <row r="29" spans="1:23" ht="20.100000000000001" customHeight="1" x14ac:dyDescent="0.25">
      <c r="A29" s="18" t="s">
        <v>112</v>
      </c>
      <c r="B29" s="19" t="s">
        <v>68</v>
      </c>
      <c r="C29" s="20">
        <v>11</v>
      </c>
      <c r="D29" s="20">
        <v>12</v>
      </c>
      <c r="E29" s="20">
        <f t="shared" si="3"/>
        <v>1</v>
      </c>
      <c r="F29" s="21" t="s">
        <v>69</v>
      </c>
      <c r="G29" s="21"/>
      <c r="H29" s="21"/>
      <c r="I29" s="21"/>
      <c r="J29" s="21"/>
      <c r="K29" s="21"/>
      <c r="L29" s="21" t="s">
        <v>69</v>
      </c>
      <c r="M29" s="21"/>
      <c r="N29" s="21" t="s">
        <v>69</v>
      </c>
      <c r="O29" s="21"/>
      <c r="P29" s="21" t="s">
        <v>69</v>
      </c>
      <c r="Q29" s="21"/>
      <c r="R29" s="21"/>
      <c r="S29" s="21"/>
      <c r="T29" s="21" t="s">
        <v>69</v>
      </c>
      <c r="U29" s="21"/>
      <c r="V29" s="22"/>
      <c r="W29" s="23" t="str">
        <f t="shared" si="4"/>
        <v>OK</v>
      </c>
    </row>
    <row r="30" spans="1:23" ht="20.100000000000001" customHeight="1" x14ac:dyDescent="0.25">
      <c r="A30" s="18" t="s">
        <v>112</v>
      </c>
      <c r="B30" s="19" t="s">
        <v>68</v>
      </c>
      <c r="C30" s="20">
        <v>12</v>
      </c>
      <c r="D30" s="20">
        <v>13</v>
      </c>
      <c r="E30" s="20">
        <f t="shared" si="3"/>
        <v>1</v>
      </c>
      <c r="F30" s="21" t="s">
        <v>69</v>
      </c>
      <c r="G30" s="21"/>
      <c r="H30" s="21"/>
      <c r="I30" s="21"/>
      <c r="J30" s="21"/>
      <c r="K30" s="21"/>
      <c r="L30" s="21" t="s">
        <v>69</v>
      </c>
      <c r="M30" s="21"/>
      <c r="N30" s="21" t="s">
        <v>69</v>
      </c>
      <c r="O30" s="21"/>
      <c r="P30" s="21" t="s">
        <v>69</v>
      </c>
      <c r="Q30" s="21"/>
      <c r="R30" s="21"/>
      <c r="S30" s="21"/>
      <c r="T30" s="21" t="s">
        <v>69</v>
      </c>
      <c r="U30" s="21"/>
      <c r="V30" s="22"/>
      <c r="W30" s="23" t="str">
        <f t="shared" si="4"/>
        <v>OK</v>
      </c>
    </row>
    <row r="31" spans="1:23" ht="20.100000000000001" customHeight="1" x14ac:dyDescent="0.25">
      <c r="A31" s="18" t="s">
        <v>112</v>
      </c>
      <c r="B31" s="19" t="s">
        <v>68</v>
      </c>
      <c r="C31" s="20">
        <v>13</v>
      </c>
      <c r="D31" s="20">
        <v>14</v>
      </c>
      <c r="E31" s="20">
        <f t="shared" si="3"/>
        <v>1</v>
      </c>
      <c r="F31" s="21" t="s">
        <v>69</v>
      </c>
      <c r="G31" s="21"/>
      <c r="H31" s="21"/>
      <c r="I31" s="21"/>
      <c r="J31" s="21"/>
      <c r="K31" s="21"/>
      <c r="L31" s="21" t="s">
        <v>69</v>
      </c>
      <c r="M31" s="21"/>
      <c r="N31" s="21" t="s">
        <v>69</v>
      </c>
      <c r="O31" s="21"/>
      <c r="P31" s="21" t="s">
        <v>69</v>
      </c>
      <c r="Q31" s="21"/>
      <c r="R31" s="21"/>
      <c r="S31" s="21"/>
      <c r="T31" s="21" t="s">
        <v>69</v>
      </c>
      <c r="U31" s="21"/>
      <c r="V31" s="22"/>
      <c r="W31" s="23" t="str">
        <f t="shared" si="4"/>
        <v>OK</v>
      </c>
    </row>
    <row r="32" spans="1:23" ht="20.100000000000001" customHeight="1" x14ac:dyDescent="0.25">
      <c r="A32" s="18" t="s">
        <v>112</v>
      </c>
      <c r="B32" s="19" t="s">
        <v>68</v>
      </c>
      <c r="C32" s="20">
        <v>14</v>
      </c>
      <c r="D32" s="20">
        <v>15</v>
      </c>
      <c r="E32" s="20">
        <f t="shared" si="3"/>
        <v>1</v>
      </c>
      <c r="F32" s="21" t="s">
        <v>69</v>
      </c>
      <c r="G32" s="21"/>
      <c r="H32" s="21"/>
      <c r="I32" s="21"/>
      <c r="J32" s="21"/>
      <c r="K32" s="21"/>
      <c r="L32" s="21" t="s">
        <v>69</v>
      </c>
      <c r="M32" s="21"/>
      <c r="N32" s="21" t="s">
        <v>69</v>
      </c>
      <c r="O32" s="21"/>
      <c r="P32" s="21" t="s">
        <v>69</v>
      </c>
      <c r="Q32" s="21"/>
      <c r="R32" s="21"/>
      <c r="S32" s="21"/>
      <c r="T32" s="21" t="s">
        <v>69</v>
      </c>
      <c r="U32" s="21"/>
      <c r="V32" s="22"/>
      <c r="W32" s="23" t="str">
        <f t="shared" si="4"/>
        <v>OK</v>
      </c>
    </row>
    <row r="33" spans="1:23" ht="20.100000000000001" customHeight="1" x14ac:dyDescent="0.25">
      <c r="A33" s="18" t="s">
        <v>112</v>
      </c>
      <c r="B33" s="19" t="s">
        <v>68</v>
      </c>
      <c r="C33" s="20">
        <v>15</v>
      </c>
      <c r="D33" s="20">
        <v>16</v>
      </c>
      <c r="E33" s="20">
        <f t="shared" si="3"/>
        <v>1</v>
      </c>
      <c r="F33" s="21"/>
      <c r="G33" s="21" t="s">
        <v>69</v>
      </c>
      <c r="H33" s="21"/>
      <c r="I33" s="21"/>
      <c r="J33" s="21"/>
      <c r="K33" s="21"/>
      <c r="L33" s="21" t="s">
        <v>69</v>
      </c>
      <c r="M33" s="21"/>
      <c r="N33" s="21" t="s">
        <v>69</v>
      </c>
      <c r="O33" s="21"/>
      <c r="P33" s="21" t="s">
        <v>69</v>
      </c>
      <c r="Q33" s="21"/>
      <c r="R33" s="21"/>
      <c r="S33" s="21"/>
      <c r="T33" s="21" t="s">
        <v>69</v>
      </c>
      <c r="U33" s="21"/>
      <c r="V33" s="22"/>
      <c r="W33" s="23" t="str">
        <f t="shared" si="4"/>
        <v>OK</v>
      </c>
    </row>
    <row r="34" spans="1:23" ht="20.100000000000001" customHeight="1" x14ac:dyDescent="0.25">
      <c r="A34" s="18" t="s">
        <v>112</v>
      </c>
      <c r="B34" s="19" t="s">
        <v>68</v>
      </c>
      <c r="C34" s="20">
        <v>16</v>
      </c>
      <c r="D34" s="20">
        <v>17</v>
      </c>
      <c r="E34" s="20">
        <f t="shared" si="3"/>
        <v>1</v>
      </c>
      <c r="F34" s="21" t="s">
        <v>69</v>
      </c>
      <c r="G34" s="21"/>
      <c r="H34" s="21"/>
      <c r="I34" s="21"/>
      <c r="J34" s="21"/>
      <c r="K34" s="21"/>
      <c r="L34" s="21" t="s">
        <v>69</v>
      </c>
      <c r="M34" s="21"/>
      <c r="N34" s="21" t="s">
        <v>69</v>
      </c>
      <c r="O34" s="21"/>
      <c r="P34" s="21" t="s">
        <v>69</v>
      </c>
      <c r="Q34" s="21"/>
      <c r="R34" s="21"/>
      <c r="S34" s="21"/>
      <c r="T34" s="21" t="s">
        <v>69</v>
      </c>
      <c r="U34" s="21"/>
      <c r="V34" s="22"/>
      <c r="W34" s="23" t="str">
        <f t="shared" si="4"/>
        <v>OK</v>
      </c>
    </row>
    <row r="35" spans="1:23" ht="20.100000000000001" customHeight="1" x14ac:dyDescent="0.25">
      <c r="A35" s="18" t="s">
        <v>112</v>
      </c>
      <c r="B35" s="19" t="s">
        <v>68</v>
      </c>
      <c r="C35" s="20">
        <v>17</v>
      </c>
      <c r="D35" s="20">
        <v>18</v>
      </c>
      <c r="E35" s="20">
        <f t="shared" si="3"/>
        <v>1</v>
      </c>
      <c r="F35" s="21" t="s">
        <v>69</v>
      </c>
      <c r="G35" s="21"/>
      <c r="H35" s="21"/>
      <c r="I35" s="21"/>
      <c r="J35" s="21"/>
      <c r="K35" s="21"/>
      <c r="L35" s="21" t="s">
        <v>69</v>
      </c>
      <c r="M35" s="21"/>
      <c r="N35" s="21" t="s">
        <v>69</v>
      </c>
      <c r="O35" s="21"/>
      <c r="P35" s="21" t="s">
        <v>69</v>
      </c>
      <c r="Q35" s="21"/>
      <c r="R35" s="21"/>
      <c r="S35" s="21"/>
      <c r="T35" s="21" t="s">
        <v>69</v>
      </c>
      <c r="U35" s="21"/>
      <c r="V35" s="22"/>
      <c r="W35" s="23" t="str">
        <f t="shared" si="4"/>
        <v>OK</v>
      </c>
    </row>
    <row r="36" spans="1:23" ht="20.100000000000001" customHeight="1" x14ac:dyDescent="0.25">
      <c r="A36" s="18" t="s">
        <v>112</v>
      </c>
      <c r="B36" s="19" t="s">
        <v>68</v>
      </c>
      <c r="C36" s="20">
        <v>18</v>
      </c>
      <c r="D36" s="20">
        <v>19</v>
      </c>
      <c r="E36" s="20">
        <f t="shared" si="3"/>
        <v>1</v>
      </c>
      <c r="F36" s="21" t="s">
        <v>69</v>
      </c>
      <c r="G36" s="21"/>
      <c r="H36" s="21"/>
      <c r="I36" s="21"/>
      <c r="J36" s="21"/>
      <c r="K36" s="21"/>
      <c r="L36" s="21" t="s">
        <v>69</v>
      </c>
      <c r="M36" s="21"/>
      <c r="N36" s="21" t="s">
        <v>69</v>
      </c>
      <c r="O36" s="21"/>
      <c r="P36" s="21" t="s">
        <v>69</v>
      </c>
      <c r="Q36" s="21"/>
      <c r="R36" s="21"/>
      <c r="S36" s="21"/>
      <c r="T36" s="21" t="s">
        <v>69</v>
      </c>
      <c r="U36" s="21"/>
      <c r="V36" s="22"/>
      <c r="W36" s="23" t="str">
        <f t="shared" si="4"/>
        <v>OK</v>
      </c>
    </row>
    <row r="37" spans="1:23" ht="20.100000000000001" customHeight="1" x14ac:dyDescent="0.25">
      <c r="A37" s="18" t="s">
        <v>112</v>
      </c>
      <c r="B37" s="19" t="s">
        <v>68</v>
      </c>
      <c r="C37" s="20">
        <v>19</v>
      </c>
      <c r="D37" s="20">
        <v>20</v>
      </c>
      <c r="E37" s="20">
        <f t="shared" si="3"/>
        <v>1</v>
      </c>
      <c r="F37" s="21" t="s">
        <v>69</v>
      </c>
      <c r="G37" s="21"/>
      <c r="H37" s="21"/>
      <c r="I37" s="21"/>
      <c r="J37" s="21"/>
      <c r="K37" s="21"/>
      <c r="L37" s="21" t="s">
        <v>69</v>
      </c>
      <c r="M37" s="21"/>
      <c r="N37" s="21" t="s">
        <v>69</v>
      </c>
      <c r="O37" s="21"/>
      <c r="P37" s="21" t="s">
        <v>69</v>
      </c>
      <c r="Q37" s="21"/>
      <c r="R37" s="21"/>
      <c r="S37" s="21"/>
      <c r="T37" s="21" t="s">
        <v>69</v>
      </c>
      <c r="U37" s="21"/>
      <c r="V37" s="22"/>
      <c r="W37" s="23" t="str">
        <f t="shared" si="4"/>
        <v>OK</v>
      </c>
    </row>
    <row r="38" spans="1:23" ht="20.100000000000001" customHeight="1" x14ac:dyDescent="0.25">
      <c r="A38" s="18" t="s">
        <v>112</v>
      </c>
      <c r="B38" s="19" t="s">
        <v>68</v>
      </c>
      <c r="C38" s="20">
        <v>20</v>
      </c>
      <c r="D38" s="20">
        <v>21</v>
      </c>
      <c r="E38" s="20">
        <f t="shared" si="3"/>
        <v>1</v>
      </c>
      <c r="F38" s="21" t="s">
        <v>69</v>
      </c>
      <c r="G38" s="21"/>
      <c r="H38" s="21"/>
      <c r="I38" s="21"/>
      <c r="J38" s="21"/>
      <c r="K38" s="21"/>
      <c r="L38" s="21" t="s">
        <v>69</v>
      </c>
      <c r="M38" s="21"/>
      <c r="N38" s="21" t="s">
        <v>69</v>
      </c>
      <c r="O38" s="21"/>
      <c r="P38" s="21" t="s">
        <v>69</v>
      </c>
      <c r="Q38" s="21"/>
      <c r="R38" s="21"/>
      <c r="S38" s="21"/>
      <c r="T38" s="21" t="s">
        <v>69</v>
      </c>
      <c r="U38" s="21"/>
      <c r="V38" s="22"/>
      <c r="W38" s="23" t="str">
        <f t="shared" si="4"/>
        <v>OK</v>
      </c>
    </row>
    <row r="39" spans="1:23" ht="20.100000000000001" customHeight="1" x14ac:dyDescent="0.25">
      <c r="A39" s="18" t="s">
        <v>112</v>
      </c>
      <c r="B39" s="19" t="s">
        <v>68</v>
      </c>
      <c r="C39" s="20">
        <v>21</v>
      </c>
      <c r="D39" s="20">
        <v>22</v>
      </c>
      <c r="E39" s="20">
        <f t="shared" si="3"/>
        <v>1</v>
      </c>
      <c r="F39" s="21" t="s">
        <v>69</v>
      </c>
      <c r="G39" s="21"/>
      <c r="H39" s="21"/>
      <c r="I39" s="21"/>
      <c r="J39" s="21"/>
      <c r="K39" s="21"/>
      <c r="L39" s="21" t="s">
        <v>69</v>
      </c>
      <c r="M39" s="21"/>
      <c r="N39" s="21" t="s">
        <v>69</v>
      </c>
      <c r="O39" s="21"/>
      <c r="P39" s="21" t="s">
        <v>69</v>
      </c>
      <c r="Q39" s="21"/>
      <c r="R39" s="21"/>
      <c r="S39" s="21"/>
      <c r="T39" s="21" t="s">
        <v>69</v>
      </c>
      <c r="U39" s="21"/>
      <c r="V39" s="22"/>
      <c r="W39" s="23" t="str">
        <f t="shared" si="4"/>
        <v>OK</v>
      </c>
    </row>
    <row r="40" spans="1:23" ht="20.100000000000001" customHeight="1" x14ac:dyDescent="0.25">
      <c r="A40" s="18" t="s">
        <v>112</v>
      </c>
      <c r="B40" s="19" t="s">
        <v>68</v>
      </c>
      <c r="C40" s="20">
        <v>22</v>
      </c>
      <c r="D40" s="20">
        <v>23</v>
      </c>
      <c r="E40" s="20">
        <f t="shared" si="3"/>
        <v>1</v>
      </c>
      <c r="F40" s="21" t="s">
        <v>69</v>
      </c>
      <c r="G40" s="21"/>
      <c r="H40" s="21"/>
      <c r="I40" s="21"/>
      <c r="J40" s="21"/>
      <c r="K40" s="21"/>
      <c r="L40" s="21" t="s">
        <v>69</v>
      </c>
      <c r="M40" s="21"/>
      <c r="N40" s="21" t="s">
        <v>69</v>
      </c>
      <c r="O40" s="21"/>
      <c r="P40" s="21" t="s">
        <v>69</v>
      </c>
      <c r="Q40" s="21"/>
      <c r="R40" s="21"/>
      <c r="S40" s="21"/>
      <c r="T40" s="21" t="s">
        <v>69</v>
      </c>
      <c r="U40" s="21"/>
      <c r="V40" s="22"/>
      <c r="W40" s="23" t="str">
        <f t="shared" si="4"/>
        <v>OK</v>
      </c>
    </row>
    <row r="41" spans="1:23" ht="20.100000000000001" customHeight="1" x14ac:dyDescent="0.25">
      <c r="A41" s="18" t="s">
        <v>112</v>
      </c>
      <c r="B41" s="19" t="s">
        <v>68</v>
      </c>
      <c r="C41" s="20">
        <v>23</v>
      </c>
      <c r="D41" s="20">
        <v>24</v>
      </c>
      <c r="E41" s="20">
        <f t="shared" si="3"/>
        <v>1</v>
      </c>
      <c r="F41" s="21"/>
      <c r="G41" s="21" t="s">
        <v>69</v>
      </c>
      <c r="H41" s="21"/>
      <c r="I41" s="21"/>
      <c r="J41" s="21"/>
      <c r="K41" s="21"/>
      <c r="L41" s="21" t="s">
        <v>69</v>
      </c>
      <c r="M41" s="21"/>
      <c r="N41" s="21" t="s">
        <v>69</v>
      </c>
      <c r="O41" s="21"/>
      <c r="P41" s="21" t="s">
        <v>69</v>
      </c>
      <c r="Q41" s="21"/>
      <c r="R41" s="21"/>
      <c r="S41" s="21"/>
      <c r="T41" s="21" t="s">
        <v>69</v>
      </c>
      <c r="U41" s="21"/>
      <c r="V41" s="22"/>
      <c r="W41" s="23" t="str">
        <f t="shared" si="4"/>
        <v>OK</v>
      </c>
    </row>
    <row r="42" spans="1:23" ht="20.100000000000001" customHeight="1" x14ac:dyDescent="0.25">
      <c r="A42" s="18" t="s">
        <v>112</v>
      </c>
      <c r="B42" s="19" t="s">
        <v>68</v>
      </c>
      <c r="C42" s="20">
        <v>24</v>
      </c>
      <c r="D42" s="20">
        <v>25</v>
      </c>
      <c r="E42" s="20">
        <f t="shared" si="3"/>
        <v>1</v>
      </c>
      <c r="F42" s="21"/>
      <c r="G42" s="21" t="s">
        <v>69</v>
      </c>
      <c r="H42" s="21"/>
      <c r="I42" s="21"/>
      <c r="J42" s="21"/>
      <c r="K42" s="21"/>
      <c r="L42" s="21" t="s">
        <v>69</v>
      </c>
      <c r="M42" s="21"/>
      <c r="N42" s="21" t="s">
        <v>69</v>
      </c>
      <c r="O42" s="21"/>
      <c r="P42" s="21" t="s">
        <v>69</v>
      </c>
      <c r="Q42" s="21"/>
      <c r="R42" s="21"/>
      <c r="S42" s="21"/>
      <c r="T42" s="21" t="s">
        <v>69</v>
      </c>
      <c r="U42" s="21"/>
      <c r="V42" s="22"/>
      <c r="W42" s="23" t="str">
        <f t="shared" si="4"/>
        <v>OK</v>
      </c>
    </row>
    <row r="43" spans="1:23" ht="20.100000000000001" customHeight="1" x14ac:dyDescent="0.25">
      <c r="A43" s="18" t="s">
        <v>112</v>
      </c>
      <c r="B43" s="19" t="s">
        <v>68</v>
      </c>
      <c r="C43" s="20">
        <v>25</v>
      </c>
      <c r="D43" s="20">
        <v>26</v>
      </c>
      <c r="E43" s="20">
        <f t="shared" si="3"/>
        <v>1</v>
      </c>
      <c r="F43" s="21"/>
      <c r="G43" s="21" t="s">
        <v>69</v>
      </c>
      <c r="H43" s="21"/>
      <c r="I43" s="21"/>
      <c r="J43" s="21"/>
      <c r="K43" s="21"/>
      <c r="L43" s="21" t="s">
        <v>69</v>
      </c>
      <c r="M43" s="21"/>
      <c r="N43" s="21" t="s">
        <v>69</v>
      </c>
      <c r="O43" s="21"/>
      <c r="P43" s="21" t="s">
        <v>69</v>
      </c>
      <c r="Q43" s="21"/>
      <c r="R43" s="21"/>
      <c r="S43" s="21"/>
      <c r="T43" s="21" t="s">
        <v>69</v>
      </c>
      <c r="U43" s="21"/>
      <c r="V43" s="22"/>
      <c r="W43" s="23" t="str">
        <f t="shared" si="4"/>
        <v>OK</v>
      </c>
    </row>
    <row r="44" spans="1:23" ht="20.100000000000001" customHeight="1" x14ac:dyDescent="0.25">
      <c r="A44" s="18" t="s">
        <v>112</v>
      </c>
      <c r="B44" s="19" t="s">
        <v>68</v>
      </c>
      <c r="C44" s="20">
        <v>26</v>
      </c>
      <c r="D44" s="20">
        <v>27</v>
      </c>
      <c r="E44" s="20">
        <f t="shared" si="3"/>
        <v>1</v>
      </c>
      <c r="F44" s="21"/>
      <c r="G44" s="21" t="s">
        <v>69</v>
      </c>
      <c r="H44" s="21"/>
      <c r="I44" s="21"/>
      <c r="J44" s="21"/>
      <c r="K44" s="21"/>
      <c r="L44" s="21" t="s">
        <v>69</v>
      </c>
      <c r="M44" s="21"/>
      <c r="N44" s="21" t="s">
        <v>69</v>
      </c>
      <c r="O44" s="21"/>
      <c r="P44" s="21" t="s">
        <v>69</v>
      </c>
      <c r="Q44" s="21"/>
      <c r="R44" s="21"/>
      <c r="S44" s="21"/>
      <c r="T44" s="21" t="s">
        <v>69</v>
      </c>
      <c r="U44" s="21"/>
      <c r="V44" s="22"/>
      <c r="W44" s="23" t="str">
        <f t="shared" si="4"/>
        <v>OK</v>
      </c>
    </row>
    <row r="45" spans="1:23" ht="20.100000000000001" customHeight="1" x14ac:dyDescent="0.25">
      <c r="A45" s="18" t="s">
        <v>112</v>
      </c>
      <c r="B45" s="19" t="s">
        <v>68</v>
      </c>
      <c r="C45" s="20">
        <v>27</v>
      </c>
      <c r="D45" s="20">
        <v>28</v>
      </c>
      <c r="E45" s="20">
        <f t="shared" si="3"/>
        <v>1</v>
      </c>
      <c r="F45" s="21" t="s">
        <v>69</v>
      </c>
      <c r="G45" s="21"/>
      <c r="H45" s="21"/>
      <c r="I45" s="21"/>
      <c r="J45" s="21"/>
      <c r="K45" s="21"/>
      <c r="L45" s="21" t="s">
        <v>69</v>
      </c>
      <c r="M45" s="21"/>
      <c r="N45" s="21" t="s">
        <v>69</v>
      </c>
      <c r="O45" s="21"/>
      <c r="P45" s="21" t="s">
        <v>69</v>
      </c>
      <c r="Q45" s="21"/>
      <c r="R45" s="21"/>
      <c r="S45" s="21"/>
      <c r="T45" s="21" t="s">
        <v>69</v>
      </c>
      <c r="U45" s="21"/>
      <c r="V45" s="22"/>
      <c r="W45" s="23" t="str">
        <f t="shared" si="4"/>
        <v>OK</v>
      </c>
    </row>
    <row r="46" spans="1:23" ht="20.100000000000001" customHeight="1" x14ac:dyDescent="0.25">
      <c r="A46" s="12" t="s">
        <v>112</v>
      </c>
      <c r="B46" s="13" t="s">
        <v>68</v>
      </c>
      <c r="C46" s="14">
        <v>28</v>
      </c>
      <c r="D46" s="14">
        <v>28.047220652899998</v>
      </c>
      <c r="E46" s="14">
        <f t="shared" si="3"/>
        <v>4.7220652899998328E-2</v>
      </c>
      <c r="F46" s="15" t="s">
        <v>69</v>
      </c>
      <c r="G46" s="15"/>
      <c r="H46" s="15"/>
      <c r="I46" s="15"/>
      <c r="J46" s="15"/>
      <c r="K46" s="15" t="s">
        <v>69</v>
      </c>
      <c r="L46" s="15"/>
      <c r="M46" s="15"/>
      <c r="N46" s="15" t="s">
        <v>69</v>
      </c>
      <c r="O46" s="15"/>
      <c r="P46" s="15" t="s">
        <v>69</v>
      </c>
      <c r="Q46" s="15"/>
      <c r="R46" s="15"/>
      <c r="S46" s="15"/>
      <c r="T46" s="15" t="s">
        <v>69</v>
      </c>
      <c r="U46" s="15"/>
      <c r="V46" s="16"/>
      <c r="W46" s="17" t="str">
        <f t="shared" si="4"/>
        <v>OK</v>
      </c>
    </row>
    <row r="47" spans="1:23" ht="15.95" customHeight="1" x14ac:dyDescent="0.25">
      <c r="A47" s="35" t="s">
        <v>113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4"/>
      <c r="W47" s="4"/>
    </row>
    <row r="48" spans="1:23" ht="20.100000000000001" customHeight="1" x14ac:dyDescent="0.25">
      <c r="A48" s="18" t="s">
        <v>114</v>
      </c>
      <c r="B48" s="19" t="s">
        <v>68</v>
      </c>
      <c r="C48" s="20">
        <v>0</v>
      </c>
      <c r="D48" s="20">
        <v>1</v>
      </c>
      <c r="E48" s="20">
        <f>D48-C48</f>
        <v>1</v>
      </c>
      <c r="F48" s="21" t="s">
        <v>69</v>
      </c>
      <c r="G48" s="21"/>
      <c r="H48" s="21"/>
      <c r="I48" s="21"/>
      <c r="J48" s="21"/>
      <c r="K48" s="21" t="s">
        <v>69</v>
      </c>
      <c r="L48" s="21"/>
      <c r="M48" s="21"/>
      <c r="N48" s="21" t="s">
        <v>69</v>
      </c>
      <c r="O48" s="21"/>
      <c r="P48" s="21" t="s">
        <v>69</v>
      </c>
      <c r="Q48" s="21"/>
      <c r="R48" s="21"/>
      <c r="S48" s="21"/>
      <c r="T48" s="21" t="s">
        <v>69</v>
      </c>
      <c r="U48" s="21"/>
      <c r="V48" s="22"/>
      <c r="W48" s="23" t="str">
        <f>IF(COUNTA(F48:U48)=0,"— não preenchido",IF(COUNTIF(F48:J48,"X")&lt;&gt;1,"FALTA/DUPLA: CONDIÇÃO DO PAVIMENTO",IF(COUNTIF(K48:L48,"X")&lt;&gt;1,"FALTA/DUPLA: VEGETAÇÃO",IF(COUNTIF(M48:O48,"X")&lt;&gt;1,"FALTA/DUPLA: ELEM. DE DRENAGEM",IF(COUNTIF(P48:R48,"X")&lt;&gt;1,"FALTA/DUPLA: SIN. HORIZ.",IF(COUNTIF(S48:U48,"X")&lt;&gt;1,"FALTA/DUPLA: SIN. VERTICAL","OK"))))))</f>
        <v>OK</v>
      </c>
    </row>
    <row r="49" spans="1:23" ht="20.100000000000001" customHeight="1" x14ac:dyDescent="0.25">
      <c r="A49" s="18" t="s">
        <v>114</v>
      </c>
      <c r="B49" s="19" t="s">
        <v>68</v>
      </c>
      <c r="C49" s="20">
        <v>1</v>
      </c>
      <c r="D49" s="20">
        <v>2</v>
      </c>
      <c r="E49" s="20">
        <f>D49-C49</f>
        <v>1</v>
      </c>
      <c r="F49" s="21" t="s">
        <v>69</v>
      </c>
      <c r="G49" s="21"/>
      <c r="H49" s="21"/>
      <c r="I49" s="21"/>
      <c r="J49" s="21"/>
      <c r="K49" s="21" t="s">
        <v>69</v>
      </c>
      <c r="L49" s="21"/>
      <c r="M49" s="21"/>
      <c r="N49" s="21" t="s">
        <v>69</v>
      </c>
      <c r="O49" s="21"/>
      <c r="P49" s="21" t="s">
        <v>69</v>
      </c>
      <c r="Q49" s="21"/>
      <c r="R49" s="21"/>
      <c r="S49" s="21"/>
      <c r="T49" s="21" t="s">
        <v>69</v>
      </c>
      <c r="U49" s="21"/>
      <c r="V49" s="22"/>
      <c r="W49" s="23" t="str">
        <f>IF(COUNTA(F49:U49)=0,"— não preenchido",IF(COUNTIF(F49:J49,"X")&lt;&gt;1,"FALTA/DUPLA: CONDIÇÃO DO PAVIMENTO",IF(COUNTIF(K49:L49,"X")&lt;&gt;1,"FALTA/DUPLA: VEGETAÇÃO",IF(COUNTIF(M49:O49,"X")&lt;&gt;1,"FALTA/DUPLA: ELEM. DE DRENAGEM",IF(COUNTIF(P49:R49,"X")&lt;&gt;1,"FALTA/DUPLA: SIN. HORIZ.",IF(COUNTIF(S49:U49,"X")&lt;&gt;1,"FALTA/DUPLA: SIN. VERTICAL","OK"))))))</f>
        <v>OK</v>
      </c>
    </row>
    <row r="50" spans="1:23" ht="20.100000000000001" customHeight="1" x14ac:dyDescent="0.25">
      <c r="A50" s="12" t="s">
        <v>114</v>
      </c>
      <c r="B50" s="13" t="s">
        <v>68</v>
      </c>
      <c r="C50" s="14">
        <v>2</v>
      </c>
      <c r="D50" s="14">
        <v>2.8623319182300002</v>
      </c>
      <c r="E50" s="14">
        <f>D50-C50</f>
        <v>0.86233191823000022</v>
      </c>
      <c r="F50" s="15" t="s">
        <v>69</v>
      </c>
      <c r="G50" s="15"/>
      <c r="H50" s="15"/>
      <c r="I50" s="15"/>
      <c r="J50" s="15"/>
      <c r="K50" s="15" t="s">
        <v>69</v>
      </c>
      <c r="L50" s="15"/>
      <c r="M50" s="15"/>
      <c r="N50" s="15" t="s">
        <v>69</v>
      </c>
      <c r="O50" s="15"/>
      <c r="P50" s="15" t="s">
        <v>69</v>
      </c>
      <c r="Q50" s="15"/>
      <c r="R50" s="15"/>
      <c r="S50" s="15"/>
      <c r="T50" s="15" t="s">
        <v>69</v>
      </c>
      <c r="U50" s="15"/>
      <c r="V50" s="16"/>
      <c r="W50" s="17" t="str">
        <f>IF(COUNTA(F50:U50)=0,"— não preenchido",IF(COUNTIF(F50:J50,"X")&lt;&gt;1,"FALTA/DUPLA: CONDIÇÃO DO PAVIMENTO",IF(COUNTIF(K50:L50,"X")&lt;&gt;1,"FALTA/DUPLA: VEGETAÇÃO",IF(COUNTIF(M50:O50,"X")&lt;&gt;1,"FALTA/DUPLA: ELEM. DE DRENAGEM",IF(COUNTIF(P50:R50,"X")&lt;&gt;1,"FALTA/DUPLA: SIN. HORIZ.",IF(COUNTIF(S50:U50,"X")&lt;&gt;1,"FALTA/DUPLA: SIN. VERTICAL","OK"))))))</f>
        <v>OK</v>
      </c>
    </row>
    <row r="51" spans="1:23" ht="15.95" customHeight="1" x14ac:dyDescent="0.25">
      <c r="A51" s="35" t="s">
        <v>115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4"/>
      <c r="W51" s="4"/>
    </row>
    <row r="52" spans="1:23" ht="20.100000000000001" customHeight="1" x14ac:dyDescent="0.25">
      <c r="A52" s="18" t="s">
        <v>116</v>
      </c>
      <c r="B52" s="19" t="s">
        <v>68</v>
      </c>
      <c r="C52" s="20">
        <v>0</v>
      </c>
      <c r="D52" s="20">
        <v>1</v>
      </c>
      <c r="E52" s="20">
        <f>D52-C52</f>
        <v>1</v>
      </c>
      <c r="F52" s="21" t="s">
        <v>69</v>
      </c>
      <c r="G52" s="21"/>
      <c r="H52" s="21"/>
      <c r="I52" s="21"/>
      <c r="J52" s="21"/>
      <c r="K52" s="21" t="s">
        <v>69</v>
      </c>
      <c r="L52" s="21"/>
      <c r="M52" s="21"/>
      <c r="N52" s="21" t="s">
        <v>69</v>
      </c>
      <c r="O52" s="21"/>
      <c r="P52" s="21" t="s">
        <v>69</v>
      </c>
      <c r="Q52" s="21"/>
      <c r="R52" s="21"/>
      <c r="S52" s="21"/>
      <c r="T52" s="21" t="s">
        <v>69</v>
      </c>
      <c r="U52" s="21"/>
      <c r="V52" s="22"/>
      <c r="W52" s="23" t="str">
        <f>IF(COUNTA(F52:U52)=0,"— não preenchido",IF(COUNTIF(F52:J52,"X")&lt;&gt;1,"FALTA/DUPLA: CONDIÇÃO DO PAVIMENTO",IF(COUNTIF(K52:L52,"X")&lt;&gt;1,"FALTA/DUPLA: VEGETAÇÃO",IF(COUNTIF(M52:O52,"X")&lt;&gt;1,"FALTA/DUPLA: ELEM. DE DRENAGEM",IF(COUNTIF(P52:R52,"X")&lt;&gt;1,"FALTA/DUPLA: SIN. HORIZ.",IF(COUNTIF(S52:U52,"X")&lt;&gt;1,"FALTA/DUPLA: SIN. VERTICAL","OK"))))))</f>
        <v>OK</v>
      </c>
    </row>
    <row r="53" spans="1:23" ht="20.100000000000001" customHeight="1" x14ac:dyDescent="0.25">
      <c r="A53" s="18" t="s">
        <v>116</v>
      </c>
      <c r="B53" s="19" t="s">
        <v>68</v>
      </c>
      <c r="C53" s="20">
        <v>1</v>
      </c>
      <c r="D53" s="20">
        <v>2</v>
      </c>
      <c r="E53" s="20">
        <f>D53-C53</f>
        <v>1</v>
      </c>
      <c r="F53" s="21" t="s">
        <v>69</v>
      </c>
      <c r="G53" s="21"/>
      <c r="H53" s="21"/>
      <c r="I53" s="21"/>
      <c r="J53" s="21"/>
      <c r="K53" s="21" t="s">
        <v>69</v>
      </c>
      <c r="L53" s="21"/>
      <c r="M53" s="21"/>
      <c r="N53" s="21" t="s">
        <v>69</v>
      </c>
      <c r="O53" s="21"/>
      <c r="P53" s="21" t="s">
        <v>69</v>
      </c>
      <c r="Q53" s="21"/>
      <c r="R53" s="21"/>
      <c r="S53" s="21"/>
      <c r="T53" s="21" t="s">
        <v>69</v>
      </c>
      <c r="U53" s="21"/>
      <c r="V53" s="22"/>
      <c r="W53" s="23" t="str">
        <f>IF(COUNTA(F53:U53)=0,"— não preenchido",IF(COUNTIF(F53:J53,"X")&lt;&gt;1,"FALTA/DUPLA: CONDIÇÃO DO PAVIMENTO",IF(COUNTIF(K53:L53,"X")&lt;&gt;1,"FALTA/DUPLA: VEGETAÇÃO",IF(COUNTIF(M53:O53,"X")&lt;&gt;1,"FALTA/DUPLA: ELEM. DE DRENAGEM",IF(COUNTIF(P53:R53,"X")&lt;&gt;1,"FALTA/DUPLA: SIN. HORIZ.",IF(COUNTIF(S53:U53,"X")&lt;&gt;1,"FALTA/DUPLA: SIN. VERTICAL","OK"))))))</f>
        <v>OK</v>
      </c>
    </row>
    <row r="54" spans="1:23" ht="20.100000000000001" customHeight="1" x14ac:dyDescent="0.25">
      <c r="A54" s="12" t="s">
        <v>116</v>
      </c>
      <c r="B54" s="13" t="s">
        <v>68</v>
      </c>
      <c r="C54" s="14">
        <v>2</v>
      </c>
      <c r="D54" s="14">
        <v>2.9422715580699998</v>
      </c>
      <c r="E54" s="14">
        <f>D54-C54</f>
        <v>0.94227155806999985</v>
      </c>
      <c r="F54" s="15" t="s">
        <v>69</v>
      </c>
      <c r="G54" s="15"/>
      <c r="H54" s="15"/>
      <c r="I54" s="15"/>
      <c r="J54" s="15"/>
      <c r="K54" s="15" t="s">
        <v>69</v>
      </c>
      <c r="L54" s="15"/>
      <c r="M54" s="15"/>
      <c r="N54" s="15" t="s">
        <v>69</v>
      </c>
      <c r="O54" s="15"/>
      <c r="P54" s="15" t="s">
        <v>69</v>
      </c>
      <c r="Q54" s="15"/>
      <c r="R54" s="15"/>
      <c r="S54" s="15"/>
      <c r="T54" s="15" t="s">
        <v>69</v>
      </c>
      <c r="U54" s="15"/>
      <c r="V54" s="16"/>
      <c r="W54" s="17" t="str">
        <f>IF(COUNTA(F54:U54)=0,"— não preenchido",IF(COUNTIF(F54:J54,"X")&lt;&gt;1,"FALTA/DUPLA: CONDIÇÃO DO PAVIMENTO",IF(COUNTIF(K54:L54,"X")&lt;&gt;1,"FALTA/DUPLA: VEGETAÇÃO",IF(COUNTIF(M54:O54,"X")&lt;&gt;1,"FALTA/DUPLA: ELEM. DE DRENAGEM",IF(COUNTIF(P54:R54,"X")&lt;&gt;1,"FALTA/DUPLA: SIN. HORIZ.",IF(COUNTIF(S54:U54,"X")&lt;&gt;1,"FALTA/DUPLA: SIN. VERTICAL","OK"))))))</f>
        <v>OK</v>
      </c>
    </row>
    <row r="56" spans="1:23" x14ac:dyDescent="0.25">
      <c r="A56" s="40" t="s">
        <v>78</v>
      </c>
      <c r="B56" s="28"/>
      <c r="C56" s="28"/>
      <c r="D56" s="28"/>
      <c r="E56" s="28"/>
      <c r="G56" s="40" t="s">
        <v>78</v>
      </c>
      <c r="H56" s="28"/>
      <c r="I56" s="28"/>
      <c r="J56" s="28"/>
      <c r="K56" s="28"/>
    </row>
    <row r="57" spans="1:23" x14ac:dyDescent="0.25">
      <c r="A57" s="44" t="s">
        <v>79</v>
      </c>
      <c r="B57" s="28"/>
      <c r="C57" s="28"/>
      <c r="D57" s="28"/>
      <c r="E57" s="28"/>
      <c r="G57" s="44" t="s">
        <v>80</v>
      </c>
      <c r="H57" s="28"/>
      <c r="I57" s="28"/>
      <c r="J57" s="28"/>
      <c r="K57" s="28"/>
    </row>
    <row r="59" spans="1:23" x14ac:dyDescent="0.25">
      <c r="A59" s="41" t="s">
        <v>81</v>
      </c>
      <c r="B59" s="28"/>
      <c r="C59" s="28"/>
      <c r="D59" s="28"/>
      <c r="E59" s="28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 spans="1:23" x14ac:dyDescent="0.25">
      <c r="A60" s="43" t="s">
        <v>82</v>
      </c>
      <c r="B60" s="28"/>
      <c r="C60" s="28"/>
      <c r="D60" s="28"/>
      <c r="E60" s="28"/>
      <c r="F60" s="9">
        <f t="shared" ref="F60:U60" si="5">SUMIF(F$9:F$54,"X",$E$9:$E$54)</f>
        <v>30.607009497180002</v>
      </c>
      <c r="G60" s="9">
        <f t="shared" si="5"/>
        <v>11</v>
      </c>
      <c r="H60" s="9">
        <f t="shared" si="5"/>
        <v>0</v>
      </c>
      <c r="I60" s="9">
        <f t="shared" si="5"/>
        <v>0</v>
      </c>
      <c r="J60" s="9">
        <f t="shared" si="5"/>
        <v>0</v>
      </c>
      <c r="K60" s="9">
        <f t="shared" si="5"/>
        <v>5.8518241291999979</v>
      </c>
      <c r="L60" s="9">
        <f t="shared" si="5"/>
        <v>35.755185367980005</v>
      </c>
      <c r="M60" s="9">
        <f t="shared" si="5"/>
        <v>0</v>
      </c>
      <c r="N60" s="9">
        <f t="shared" si="5"/>
        <v>41.607009497179995</v>
      </c>
      <c r="O60" s="9">
        <f t="shared" si="5"/>
        <v>0</v>
      </c>
      <c r="P60" s="9">
        <f t="shared" si="5"/>
        <v>41.607009497179995</v>
      </c>
      <c r="Q60" s="9">
        <f t="shared" si="5"/>
        <v>0</v>
      </c>
      <c r="R60" s="9">
        <f t="shared" si="5"/>
        <v>0</v>
      </c>
      <c r="S60" s="9">
        <f t="shared" si="5"/>
        <v>0</v>
      </c>
      <c r="T60" s="9">
        <f t="shared" si="5"/>
        <v>41.607009497179995</v>
      </c>
      <c r="U60" s="9">
        <f t="shared" si="5"/>
        <v>0</v>
      </c>
    </row>
    <row r="61" spans="1:23" x14ac:dyDescent="0.25">
      <c r="A61" s="43" t="s">
        <v>83</v>
      </c>
      <c r="B61" s="28"/>
      <c r="C61" s="28"/>
      <c r="D61" s="28"/>
      <c r="E61" s="28"/>
      <c r="F61" s="25">
        <f t="shared" ref="F61:U61" si="6">IF($R63=0,0,F60/$R63)</f>
        <v>0.73562147020574642</v>
      </c>
      <c r="G61" s="25">
        <f t="shared" si="6"/>
        <v>0.26437852979425375</v>
      </c>
      <c r="H61" s="25">
        <f t="shared" si="6"/>
        <v>0</v>
      </c>
      <c r="I61" s="25">
        <f t="shared" si="6"/>
        <v>0</v>
      </c>
      <c r="J61" s="25">
        <f t="shared" si="6"/>
        <v>0</v>
      </c>
      <c r="K61" s="25">
        <f t="shared" si="6"/>
        <v>0.14064515089931223</v>
      </c>
      <c r="L61" s="25">
        <f t="shared" si="6"/>
        <v>0.85935484910068793</v>
      </c>
      <c r="M61" s="25">
        <f t="shared" si="6"/>
        <v>0</v>
      </c>
      <c r="N61" s="25">
        <f t="shared" si="6"/>
        <v>1</v>
      </c>
      <c r="O61" s="25">
        <f t="shared" si="6"/>
        <v>0</v>
      </c>
      <c r="P61" s="25">
        <f t="shared" si="6"/>
        <v>1</v>
      </c>
      <c r="Q61" s="25">
        <f t="shared" si="6"/>
        <v>0</v>
      </c>
      <c r="R61" s="25">
        <f t="shared" si="6"/>
        <v>0</v>
      </c>
      <c r="S61" s="25">
        <f t="shared" si="6"/>
        <v>0</v>
      </c>
      <c r="T61" s="25">
        <f t="shared" si="6"/>
        <v>1</v>
      </c>
      <c r="U61" s="25">
        <f t="shared" si="6"/>
        <v>0</v>
      </c>
    </row>
    <row r="62" spans="1:23" x14ac:dyDescent="0.25">
      <c r="A62" s="43" t="s">
        <v>84</v>
      </c>
      <c r="B62" s="28"/>
      <c r="C62" s="28"/>
      <c r="D62" s="28"/>
      <c r="E62" s="28"/>
      <c r="F62" s="42" t="str">
        <f>IF(SUM(F60:J60)=0,"— não preenchido",IF(ROUND(SUM(F60:J60)-$R63,3)=0,"OK — "&amp;ROUND(SUM(F60:J60),3)&amp;" km","ERRO — dif. de "&amp;ROUND(SUM(F60:J60)-$R63,3)&amp;" km"))</f>
        <v>OK — 41,607 km</v>
      </c>
      <c r="G62" s="33"/>
      <c r="H62" s="33"/>
      <c r="I62" s="33"/>
      <c r="J62" s="34"/>
      <c r="K62" s="42" t="str">
        <f>IF(SUM(K60:L60)=0,"— não preenchido",IF(ROUND(SUM(K60:L60)-$R63,3)=0,"OK — "&amp;ROUND(SUM(K60:L60),3)&amp;" km","ERRO — dif. de "&amp;ROUND(SUM(K60:L60)-$R63,3)&amp;" km"))</f>
        <v>OK — 41,607 km</v>
      </c>
      <c r="L62" s="34"/>
      <c r="M62" s="42" t="str">
        <f>IF(SUM(M60:O60)=0,"— não preenchido",IF(ROUND(SUM(M60:O60)-$R63,3)=0,"OK — "&amp;ROUND(SUM(M60:O60),3)&amp;" km","ERRO — dif. de "&amp;ROUND(SUM(M60:O60)-$R63,3)&amp;" km"))</f>
        <v>OK — 41,607 km</v>
      </c>
      <c r="N62" s="33"/>
      <c r="O62" s="34"/>
      <c r="P62" s="42" t="str">
        <f>IF(SUM(P60:R60)=0,"— não preenchido",IF(ROUND(SUM(P60:R60)-$R63,3)=0,"OK — "&amp;ROUND(SUM(P60:R60),3)&amp;" km","ERRO — dif. de "&amp;ROUND(SUM(P60:R60)-$R63,3)&amp;" km"))</f>
        <v>OK — 41,607 km</v>
      </c>
      <c r="Q62" s="33"/>
      <c r="R62" s="34"/>
      <c r="S62" s="42" t="str">
        <f>IF(SUM(S60:U60)=0,"— não preenchido",IF(ROUND(SUM(S60:U60)-$R63,3)=0,"OK — "&amp;ROUND(SUM(S60:U60),3)&amp;" km","ERRO — dif. de "&amp;ROUND(SUM(S60:U60)-$R63,3)&amp;" km"))</f>
        <v>OK — 41,607 km</v>
      </c>
      <c r="T62" s="33"/>
      <c r="U62" s="34"/>
    </row>
    <row r="63" spans="1:23" x14ac:dyDescent="0.25">
      <c r="A63" s="43" t="s">
        <v>85</v>
      </c>
      <c r="B63" s="28"/>
      <c r="C63" s="28"/>
      <c r="D63" s="28"/>
      <c r="E63" s="28"/>
      <c r="R63" s="26">
        <f>SUM(E9:E54)</f>
        <v>41.607009497179995</v>
      </c>
      <c r="V63" s="8" t="str">
        <f>COUNTIF(W9:W54,"OK")&amp;" de "&amp;COUNT($E$9:$E$54)&amp;" linhas conferidas"</f>
        <v>43 de 43 linhas conferidas</v>
      </c>
    </row>
    <row r="65" spans="1:22" x14ac:dyDescent="0.25">
      <c r="A65" s="37" t="s">
        <v>86</v>
      </c>
      <c r="B65" s="28"/>
      <c r="C65" s="28"/>
      <c r="D65" s="28"/>
      <c r="E65" s="28"/>
    </row>
    <row r="66" spans="1:22" x14ac:dyDescent="0.25">
      <c r="A66" s="43" t="s">
        <v>87</v>
      </c>
      <c r="B66" s="28"/>
      <c r="C66" s="28"/>
      <c r="D66" s="28"/>
      <c r="E66" s="31" t="s">
        <v>88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43" t="s">
        <v>89</v>
      </c>
      <c r="B67" s="28"/>
      <c r="C67" s="28"/>
      <c r="D67" s="28"/>
      <c r="E67" s="31" t="s">
        <v>90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43" t="s">
        <v>91</v>
      </c>
      <c r="B68" s="28"/>
      <c r="C68" s="28"/>
      <c r="D68" s="28"/>
      <c r="E68" s="31" t="s">
        <v>92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43" t="s">
        <v>93</v>
      </c>
      <c r="B69" s="28"/>
      <c r="C69" s="28"/>
      <c r="D69" s="28"/>
      <c r="E69" s="31" t="s">
        <v>94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43" t="s">
        <v>95</v>
      </c>
      <c r="B70" s="28"/>
      <c r="C70" s="28"/>
      <c r="D70" s="28"/>
      <c r="E70" s="31" t="s">
        <v>96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43" t="s">
        <v>60</v>
      </c>
      <c r="B71" s="28"/>
      <c r="C71" s="28"/>
      <c r="D71" s="28"/>
      <c r="E71" s="31" t="s">
        <v>97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43" t="s">
        <v>98</v>
      </c>
      <c r="B72" s="28"/>
      <c r="C72" s="28"/>
      <c r="D72" s="28"/>
      <c r="E72" s="31" t="s">
        <v>99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43" t="s">
        <v>100</v>
      </c>
      <c r="B73" s="28"/>
      <c r="C73" s="28"/>
      <c r="D73" s="28"/>
      <c r="E73" s="31" t="s">
        <v>101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43" t="s">
        <v>11</v>
      </c>
      <c r="B74" s="28"/>
      <c r="C74" s="28"/>
      <c r="D74" s="28"/>
      <c r="E74" s="31" t="s">
        <v>102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</sheetData>
  <sheetProtection sheet="1" formatCells="0"/>
  <mergeCells count="60">
    <mergeCell ref="A1:V1"/>
    <mergeCell ref="K62:L62"/>
    <mergeCell ref="T3:V3"/>
    <mergeCell ref="E66:V66"/>
    <mergeCell ref="A66:D66"/>
    <mergeCell ref="A62:E62"/>
    <mergeCell ref="S62:U62"/>
    <mergeCell ref="A63:E63"/>
    <mergeCell ref="R2:V2"/>
    <mergeCell ref="A3:S3"/>
    <mergeCell ref="C6:C7"/>
    <mergeCell ref="K6:L6"/>
    <mergeCell ref="D6:D7"/>
    <mergeCell ref="P6:R6"/>
    <mergeCell ref="V6:V7"/>
    <mergeCell ref="G2:H2"/>
    <mergeCell ref="W6:W7"/>
    <mergeCell ref="G57:K57"/>
    <mergeCell ref="E6:E7"/>
    <mergeCell ref="A73:D73"/>
    <mergeCell ref="E70:V70"/>
    <mergeCell ref="B6:B7"/>
    <mergeCell ref="A56:E56"/>
    <mergeCell ref="M62:O62"/>
    <mergeCell ref="A51:V51"/>
    <mergeCell ref="F62:J62"/>
    <mergeCell ref="A70:D70"/>
    <mergeCell ref="A57:E57"/>
    <mergeCell ref="P62:R62"/>
    <mergeCell ref="A69:D69"/>
    <mergeCell ref="E72:V72"/>
    <mergeCell ref="E68:V68"/>
    <mergeCell ref="E74:V74"/>
    <mergeCell ref="K2:M2"/>
    <mergeCell ref="A65:E65"/>
    <mergeCell ref="A67:D67"/>
    <mergeCell ref="N2:O2"/>
    <mergeCell ref="P2:Q2"/>
    <mergeCell ref="A74:D74"/>
    <mergeCell ref="E71:V71"/>
    <mergeCell ref="E67:V67"/>
    <mergeCell ref="A71:D71"/>
    <mergeCell ref="E73:V73"/>
    <mergeCell ref="G56:K56"/>
    <mergeCell ref="A59:E59"/>
    <mergeCell ref="A47:V47"/>
    <mergeCell ref="I2:J2"/>
    <mergeCell ref="A60:E60"/>
    <mergeCell ref="A72:D72"/>
    <mergeCell ref="A17:V17"/>
    <mergeCell ref="A6:A7"/>
    <mergeCell ref="F6:J6"/>
    <mergeCell ref="A61:E61"/>
    <mergeCell ref="M6:O6"/>
    <mergeCell ref="E69:V69"/>
    <mergeCell ref="A4:V4"/>
    <mergeCell ref="A68:D68"/>
    <mergeCell ref="A2:F2"/>
    <mergeCell ref="S6:U6"/>
    <mergeCell ref="A8:V8"/>
  </mergeCells>
  <conditionalFormatting sqref="F9:J54">
    <cfRule type="expression" dxfId="233" priority="1">
      <formula>AND(F9&lt;&gt;"",COUNTIF($F9:$J9,"X")&gt;1)</formula>
    </cfRule>
  </conditionalFormatting>
  <conditionalFormatting sqref="F62:U62">
    <cfRule type="expression" dxfId="232" priority="8">
      <formula>LEFT(F62,4)="ERRO"</formula>
    </cfRule>
    <cfRule type="expression" dxfId="231" priority="9">
      <formula>LEFT(F62,2)="OK"</formula>
    </cfRule>
  </conditionalFormatting>
  <conditionalFormatting sqref="K9:L54">
    <cfRule type="expression" dxfId="230" priority="2">
      <formula>AND(K9&lt;&gt;"",COUNTIF($K9:$L9,"X")&gt;1)</formula>
    </cfRule>
  </conditionalFormatting>
  <conditionalFormatting sqref="M9:O54">
    <cfRule type="expression" dxfId="229" priority="3">
      <formula>AND(M9&lt;&gt;"",COUNTIF($M9:$O9,"X")&gt;1)</formula>
    </cfRule>
  </conditionalFormatting>
  <conditionalFormatting sqref="P9:R54">
    <cfRule type="expression" dxfId="228" priority="4">
      <formula>AND(P9&lt;&gt;"",COUNTIF($P9:$R9,"X")&gt;1)</formula>
    </cfRule>
  </conditionalFormatting>
  <conditionalFormatting sqref="S9:U54">
    <cfRule type="expression" dxfId="227" priority="5">
      <formula>AND(S9&lt;&gt;"",COUNTIF($S9:$U9,"X")&gt;1)</formula>
    </cfRule>
  </conditionalFormatting>
  <conditionalFormatting sqref="W9:W54">
    <cfRule type="expression" dxfId="226" priority="6">
      <formula>AND(W9&lt;&gt;"OK",W9&lt;&gt;"")</formula>
    </cfRule>
    <cfRule type="expression" dxfId="22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4" xr:uid="{00000000-0002-0000-0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4" xr:uid="{00000000-0002-0000-0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4" xr:uid="{00000000-0002-0000-0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4" xr:uid="{00000000-0002-0000-0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4" xr:uid="{00000000-0002-0000-0300-000004000000}">
      <formula1>AND(UPPER(S9)="X",COUNTIF($S9:$U9,"X")&lt;=1)</formula1>
    </dataValidation>
    <dataValidation type="list" showErrorMessage="1" errorTitle="Sentido inválido" error="Use C (crescente) ou D (decrescente)." sqref="B9:B54" xr:uid="{00000000-0002-0000-0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</oddHeader>
    <oddFooter>&amp;L&amp;7 RTA / MSI — Programa de Manutenção Rodoviária&amp;C&amp;7 Página &amp;P de &amp;N&amp;R&amp;7 Impresso em &amp;D</oddFooter>
  </headerFooter>
  <rowBreaks count="1" manualBreakCount="1">
    <brk id="57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N40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IF(F26=0,NA(),F26)</f>
        <v>5.5891580305200002</v>
      </c>
      <c r="Z2" s="2">
        <f t="shared" si="0"/>
        <v>3.6607757999700001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9.2499338304900007</v>
      </c>
      <c r="AF2" s="2" t="e">
        <f t="shared" si="0"/>
        <v>#N/A</v>
      </c>
      <c r="AG2" s="2">
        <f t="shared" si="0"/>
        <v>9.2499338304900007</v>
      </c>
      <c r="AH2" s="2" t="e">
        <f t="shared" si="0"/>
        <v>#N/A</v>
      </c>
      <c r="AI2" s="2">
        <f t="shared" si="0"/>
        <v>9.2499338304900007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9.2499338304900007</v>
      </c>
      <c r="AN2" s="2" t="e">
        <f t="shared" si="0"/>
        <v>#N/A</v>
      </c>
    </row>
    <row r="3" spans="1:40" ht="15" customHeight="1" x14ac:dyDescent="0.25">
      <c r="A3" s="49" t="s">
        <v>117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118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119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120</v>
      </c>
      <c r="B9" s="19" t="s">
        <v>68</v>
      </c>
      <c r="C9" s="20">
        <v>0</v>
      </c>
      <c r="D9" s="20">
        <v>1</v>
      </c>
      <c r="E9" s="20">
        <f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/>
      <c r="T9" s="21" t="s">
        <v>69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120</v>
      </c>
      <c r="B10" s="19" t="s">
        <v>68</v>
      </c>
      <c r="C10" s="20">
        <v>1</v>
      </c>
      <c r="D10" s="20">
        <v>2</v>
      </c>
      <c r="E10" s="20">
        <f>D10-C10</f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/>
      <c r="T10" s="21" t="s">
        <v>69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8" t="s">
        <v>120</v>
      </c>
      <c r="B11" s="19" t="s">
        <v>68</v>
      </c>
      <c r="C11" s="20">
        <v>2</v>
      </c>
      <c r="D11" s="20">
        <v>3</v>
      </c>
      <c r="E11" s="20">
        <f>D11-C11</f>
        <v>1</v>
      </c>
      <c r="F11" s="21"/>
      <c r="G11" s="21" t="s">
        <v>69</v>
      </c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 t="s">
        <v>69</v>
      </c>
      <c r="Q11" s="21"/>
      <c r="R11" s="21"/>
      <c r="S11" s="21"/>
      <c r="T11" s="21" t="s">
        <v>69</v>
      </c>
      <c r="U11" s="21"/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2" t="s">
        <v>120</v>
      </c>
      <c r="B12" s="13" t="s">
        <v>68</v>
      </c>
      <c r="C12" s="14">
        <v>3</v>
      </c>
      <c r="D12" s="14">
        <v>3.6607757999700001</v>
      </c>
      <c r="E12" s="14">
        <f>D12-C12</f>
        <v>0.66077579997000013</v>
      </c>
      <c r="F12" s="15"/>
      <c r="G12" s="15" t="s">
        <v>69</v>
      </c>
      <c r="H12" s="15"/>
      <c r="I12" s="15"/>
      <c r="J12" s="15"/>
      <c r="K12" s="15"/>
      <c r="L12" s="15" t="s">
        <v>69</v>
      </c>
      <c r="M12" s="15"/>
      <c r="N12" s="15" t="s">
        <v>69</v>
      </c>
      <c r="O12" s="15"/>
      <c r="P12" s="15" t="s">
        <v>69</v>
      </c>
      <c r="Q12" s="15"/>
      <c r="R12" s="15"/>
      <c r="S12" s="15"/>
      <c r="T12" s="15" t="s">
        <v>69</v>
      </c>
      <c r="U12" s="15"/>
      <c r="V12" s="16"/>
      <c r="W12" s="17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" customHeight="1" x14ac:dyDescent="0.25">
      <c r="A13" s="50" t="s">
        <v>121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4"/>
      <c r="W13" s="4"/>
    </row>
    <row r="14" spans="1:40" ht="15.95" customHeight="1" x14ac:dyDescent="0.25">
      <c r="A14" s="35" t="s">
        <v>122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4"/>
      <c r="W14" s="4"/>
    </row>
    <row r="15" spans="1:40" ht="20.100000000000001" customHeight="1" x14ac:dyDescent="0.25">
      <c r="A15" s="18" t="s">
        <v>123</v>
      </c>
      <c r="B15" s="19" t="s">
        <v>68</v>
      </c>
      <c r="C15" s="20">
        <v>0</v>
      </c>
      <c r="D15" s="20">
        <v>1</v>
      </c>
      <c r="E15" s="20">
        <f t="shared" ref="E15:E20" si="1">D15-C15</f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 t="s">
        <v>69</v>
      </c>
      <c r="Q15" s="21"/>
      <c r="R15" s="21"/>
      <c r="S15" s="21"/>
      <c r="T15" s="21" t="s">
        <v>69</v>
      </c>
      <c r="U15" s="21"/>
      <c r="V15" s="22"/>
      <c r="W15" s="23" t="str">
        <f t="shared" ref="W15:W20" si="2"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8" t="s">
        <v>123</v>
      </c>
      <c r="B16" s="19" t="s">
        <v>68</v>
      </c>
      <c r="C16" s="20">
        <v>1</v>
      </c>
      <c r="D16" s="20">
        <v>2</v>
      </c>
      <c r="E16" s="20">
        <f t="shared" si="1"/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 t="s">
        <v>69</v>
      </c>
      <c r="Q16" s="21"/>
      <c r="R16" s="21"/>
      <c r="S16" s="21"/>
      <c r="T16" s="21" t="s">
        <v>69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123</v>
      </c>
      <c r="B17" s="19" t="s">
        <v>68</v>
      </c>
      <c r="C17" s="20">
        <v>2</v>
      </c>
      <c r="D17" s="20">
        <v>3</v>
      </c>
      <c r="E17" s="20">
        <f t="shared" si="1"/>
        <v>1</v>
      </c>
      <c r="F17" s="21"/>
      <c r="G17" s="21" t="s">
        <v>69</v>
      </c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 t="s">
        <v>69</v>
      </c>
      <c r="Q17" s="21"/>
      <c r="R17" s="21"/>
      <c r="S17" s="21"/>
      <c r="T17" s="21" t="s">
        <v>69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123</v>
      </c>
      <c r="B18" s="19" t="s">
        <v>68</v>
      </c>
      <c r="C18" s="20">
        <v>3</v>
      </c>
      <c r="D18" s="20">
        <v>4</v>
      </c>
      <c r="E18" s="20">
        <f t="shared" si="1"/>
        <v>1</v>
      </c>
      <c r="F18" s="21"/>
      <c r="G18" s="21" t="s">
        <v>69</v>
      </c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 t="s">
        <v>69</v>
      </c>
      <c r="Q18" s="21"/>
      <c r="R18" s="21"/>
      <c r="S18" s="21"/>
      <c r="T18" s="21" t="s">
        <v>69</v>
      </c>
      <c r="U18" s="21"/>
      <c r="V18" s="22"/>
      <c r="W18" s="23" t="str">
        <f t="shared" si="2"/>
        <v>OK</v>
      </c>
    </row>
    <row r="19" spans="1:23" ht="20.100000000000001" customHeight="1" x14ac:dyDescent="0.25">
      <c r="A19" s="18" t="s">
        <v>123</v>
      </c>
      <c r="B19" s="19" t="s">
        <v>68</v>
      </c>
      <c r="C19" s="20">
        <v>4</v>
      </c>
      <c r="D19" s="20">
        <v>5</v>
      </c>
      <c r="E19" s="20">
        <f t="shared" si="1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/>
      <c r="N19" s="21" t="s">
        <v>69</v>
      </c>
      <c r="O19" s="21"/>
      <c r="P19" s="21" t="s">
        <v>69</v>
      </c>
      <c r="Q19" s="21"/>
      <c r="R19" s="21"/>
      <c r="S19" s="21"/>
      <c r="T19" s="21" t="s">
        <v>69</v>
      </c>
      <c r="U19" s="21"/>
      <c r="V19" s="22"/>
      <c r="W19" s="23" t="str">
        <f t="shared" si="2"/>
        <v>OK</v>
      </c>
    </row>
    <row r="20" spans="1:23" ht="20.100000000000001" customHeight="1" x14ac:dyDescent="0.25">
      <c r="A20" s="12" t="s">
        <v>123</v>
      </c>
      <c r="B20" s="13" t="s">
        <v>68</v>
      </c>
      <c r="C20" s="14">
        <v>5</v>
      </c>
      <c r="D20" s="14">
        <v>5.5891580305200002</v>
      </c>
      <c r="E20" s="14">
        <f t="shared" si="1"/>
        <v>0.58915803052000015</v>
      </c>
      <c r="F20" s="15" t="s">
        <v>69</v>
      </c>
      <c r="G20" s="15"/>
      <c r="H20" s="15"/>
      <c r="I20" s="15"/>
      <c r="J20" s="15"/>
      <c r="K20" s="15"/>
      <c r="L20" s="15" t="s">
        <v>69</v>
      </c>
      <c r="M20" s="15"/>
      <c r="N20" s="15" t="s">
        <v>69</v>
      </c>
      <c r="O20" s="15"/>
      <c r="P20" s="15" t="s">
        <v>69</v>
      </c>
      <c r="Q20" s="15"/>
      <c r="R20" s="15"/>
      <c r="S20" s="15"/>
      <c r="T20" s="15" t="s">
        <v>69</v>
      </c>
      <c r="U20" s="15"/>
      <c r="V20" s="16"/>
      <c r="W20" s="17" t="str">
        <f t="shared" si="2"/>
        <v>OK</v>
      </c>
    </row>
    <row r="22" spans="1:23" x14ac:dyDescent="0.25">
      <c r="A22" s="40" t="s">
        <v>78</v>
      </c>
      <c r="B22" s="28"/>
      <c r="C22" s="28"/>
      <c r="D22" s="28"/>
      <c r="E22" s="28"/>
      <c r="G22" s="40" t="s">
        <v>78</v>
      </c>
      <c r="H22" s="28"/>
      <c r="I22" s="28"/>
      <c r="J22" s="28"/>
      <c r="K22" s="28"/>
    </row>
    <row r="23" spans="1:23" x14ac:dyDescent="0.25">
      <c r="A23" s="44" t="s">
        <v>79</v>
      </c>
      <c r="B23" s="28"/>
      <c r="C23" s="28"/>
      <c r="D23" s="28"/>
      <c r="E23" s="28"/>
      <c r="G23" s="44" t="s">
        <v>80</v>
      </c>
      <c r="H23" s="28"/>
      <c r="I23" s="28"/>
      <c r="J23" s="28"/>
      <c r="K23" s="28"/>
    </row>
    <row r="25" spans="1:23" x14ac:dyDescent="0.25">
      <c r="A25" s="41" t="s">
        <v>81</v>
      </c>
      <c r="B25" s="28"/>
      <c r="C25" s="28"/>
      <c r="D25" s="28"/>
      <c r="E25" s="28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spans="1:23" x14ac:dyDescent="0.25">
      <c r="A26" s="43" t="s">
        <v>82</v>
      </c>
      <c r="B26" s="28"/>
      <c r="C26" s="28"/>
      <c r="D26" s="28"/>
      <c r="E26" s="28"/>
      <c r="F26" s="9">
        <f t="shared" ref="F26:U26" si="3">SUMIF(F$9:F$20,"X",$E$9:$E$20)</f>
        <v>5.5891580305200002</v>
      </c>
      <c r="G26" s="9">
        <f t="shared" si="3"/>
        <v>3.6607757999700001</v>
      </c>
      <c r="H26" s="9">
        <f t="shared" si="3"/>
        <v>0</v>
      </c>
      <c r="I26" s="9">
        <f t="shared" si="3"/>
        <v>0</v>
      </c>
      <c r="J26" s="9">
        <f t="shared" si="3"/>
        <v>0</v>
      </c>
      <c r="K26" s="9">
        <f t="shared" si="3"/>
        <v>0</v>
      </c>
      <c r="L26" s="9">
        <f t="shared" si="3"/>
        <v>9.2499338304900007</v>
      </c>
      <c r="M26" s="9">
        <f t="shared" si="3"/>
        <v>0</v>
      </c>
      <c r="N26" s="9">
        <f t="shared" si="3"/>
        <v>9.2499338304900007</v>
      </c>
      <c r="O26" s="9">
        <f t="shared" si="3"/>
        <v>0</v>
      </c>
      <c r="P26" s="9">
        <f t="shared" si="3"/>
        <v>9.2499338304900007</v>
      </c>
      <c r="Q26" s="9">
        <f t="shared" si="3"/>
        <v>0</v>
      </c>
      <c r="R26" s="9">
        <f t="shared" si="3"/>
        <v>0</v>
      </c>
      <c r="S26" s="9">
        <f t="shared" si="3"/>
        <v>0</v>
      </c>
      <c r="T26" s="9">
        <f t="shared" si="3"/>
        <v>9.2499338304900007</v>
      </c>
      <c r="U26" s="9">
        <f t="shared" si="3"/>
        <v>0</v>
      </c>
    </row>
    <row r="27" spans="1:23" x14ac:dyDescent="0.25">
      <c r="A27" s="43" t="s">
        <v>83</v>
      </c>
      <c r="B27" s="28"/>
      <c r="C27" s="28"/>
      <c r="D27" s="28"/>
      <c r="E27" s="28"/>
      <c r="F27" s="25">
        <f t="shared" ref="F27:U27" si="4">IF($R29=0,0,F26/$R29)</f>
        <v>0.60423762298674988</v>
      </c>
      <c r="G27" s="25">
        <f t="shared" si="4"/>
        <v>0.39576237701325007</v>
      </c>
      <c r="H27" s="25">
        <f t="shared" si="4"/>
        <v>0</v>
      </c>
      <c r="I27" s="25">
        <f t="shared" si="4"/>
        <v>0</v>
      </c>
      <c r="J27" s="25">
        <f t="shared" si="4"/>
        <v>0</v>
      </c>
      <c r="K27" s="25">
        <f t="shared" si="4"/>
        <v>0</v>
      </c>
      <c r="L27" s="25">
        <f t="shared" si="4"/>
        <v>1</v>
      </c>
      <c r="M27" s="25">
        <f t="shared" si="4"/>
        <v>0</v>
      </c>
      <c r="N27" s="25">
        <f t="shared" si="4"/>
        <v>1</v>
      </c>
      <c r="O27" s="25">
        <f t="shared" si="4"/>
        <v>0</v>
      </c>
      <c r="P27" s="25">
        <f t="shared" si="4"/>
        <v>1</v>
      </c>
      <c r="Q27" s="25">
        <f t="shared" si="4"/>
        <v>0</v>
      </c>
      <c r="R27" s="25">
        <f t="shared" si="4"/>
        <v>0</v>
      </c>
      <c r="S27" s="25">
        <f t="shared" si="4"/>
        <v>0</v>
      </c>
      <c r="T27" s="25">
        <f t="shared" si="4"/>
        <v>1</v>
      </c>
      <c r="U27" s="25">
        <f t="shared" si="4"/>
        <v>0</v>
      </c>
    </row>
    <row r="28" spans="1:23" x14ac:dyDescent="0.25">
      <c r="A28" s="43" t="s">
        <v>84</v>
      </c>
      <c r="B28" s="28"/>
      <c r="C28" s="28"/>
      <c r="D28" s="28"/>
      <c r="E28" s="28"/>
      <c r="F28" s="42" t="str">
        <f>IF(SUM(F26:J26)=0,"— não preenchido",IF(ROUND(SUM(F26:J26)-$R29,3)=0,"OK — "&amp;ROUND(SUM(F26:J26),3)&amp;" km","ERRO — dif. de "&amp;ROUND(SUM(F26:J26)-$R29,3)&amp;" km"))</f>
        <v>OK — 9,25 km</v>
      </c>
      <c r="G28" s="33"/>
      <c r="H28" s="33"/>
      <c r="I28" s="33"/>
      <c r="J28" s="34"/>
      <c r="K28" s="42" t="str">
        <f>IF(SUM(K26:L26)=0,"— não preenchido",IF(ROUND(SUM(K26:L26)-$R29,3)=0,"OK — "&amp;ROUND(SUM(K26:L26),3)&amp;" km","ERRO — dif. de "&amp;ROUND(SUM(K26:L26)-$R29,3)&amp;" km"))</f>
        <v>OK — 9,25 km</v>
      </c>
      <c r="L28" s="34"/>
      <c r="M28" s="42" t="str">
        <f>IF(SUM(M26:O26)=0,"— não preenchido",IF(ROUND(SUM(M26:O26)-$R29,3)=0,"OK — "&amp;ROUND(SUM(M26:O26),3)&amp;" km","ERRO — dif. de "&amp;ROUND(SUM(M26:O26)-$R29,3)&amp;" km"))</f>
        <v>OK — 9,25 km</v>
      </c>
      <c r="N28" s="33"/>
      <c r="O28" s="34"/>
      <c r="P28" s="42" t="str">
        <f>IF(SUM(P26:R26)=0,"— não preenchido",IF(ROUND(SUM(P26:R26)-$R29,3)=0,"OK — "&amp;ROUND(SUM(P26:R26),3)&amp;" km","ERRO — dif. de "&amp;ROUND(SUM(P26:R26)-$R29,3)&amp;" km"))</f>
        <v>OK — 9,25 km</v>
      </c>
      <c r="Q28" s="33"/>
      <c r="R28" s="34"/>
      <c r="S28" s="42" t="str">
        <f>IF(SUM(S26:U26)=0,"— não preenchido",IF(ROUND(SUM(S26:U26)-$R29,3)=0,"OK — "&amp;ROUND(SUM(S26:U26),3)&amp;" km","ERRO — dif. de "&amp;ROUND(SUM(S26:U26)-$R29,3)&amp;" km"))</f>
        <v>OK — 9,25 km</v>
      </c>
      <c r="T28" s="33"/>
      <c r="U28" s="34"/>
    </row>
    <row r="29" spans="1:23" x14ac:dyDescent="0.25">
      <c r="A29" s="43" t="s">
        <v>85</v>
      </c>
      <c r="B29" s="28"/>
      <c r="C29" s="28"/>
      <c r="D29" s="28"/>
      <c r="E29" s="28"/>
      <c r="R29" s="26">
        <f>SUM(E9:E20)</f>
        <v>9.2499338304900007</v>
      </c>
      <c r="V29" s="8" t="str">
        <f>COUNTIF(W9:W20,"OK")&amp;" de "&amp;COUNT($E$9:$E$20)&amp;" linhas conferidas"</f>
        <v>10 de 10 linhas conferidas</v>
      </c>
    </row>
    <row r="31" spans="1:23" x14ac:dyDescent="0.25">
      <c r="A31" s="37" t="s">
        <v>86</v>
      </c>
      <c r="B31" s="28"/>
      <c r="C31" s="28"/>
      <c r="D31" s="28"/>
      <c r="E31" s="28"/>
    </row>
    <row r="32" spans="1:23" x14ac:dyDescent="0.25">
      <c r="A32" s="43" t="s">
        <v>87</v>
      </c>
      <c r="B32" s="28"/>
      <c r="C32" s="28"/>
      <c r="D32" s="28"/>
      <c r="E32" s="31" t="s">
        <v>88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43" t="s">
        <v>89</v>
      </c>
      <c r="B33" s="28"/>
      <c r="C33" s="28"/>
      <c r="D33" s="28"/>
      <c r="E33" s="31" t="s">
        <v>90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43" t="s">
        <v>91</v>
      </c>
      <c r="B34" s="28"/>
      <c r="C34" s="28"/>
      <c r="D34" s="28"/>
      <c r="E34" s="31" t="s">
        <v>92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43" t="s">
        <v>93</v>
      </c>
      <c r="B35" s="28"/>
      <c r="C35" s="28"/>
      <c r="D35" s="28"/>
      <c r="E35" s="31" t="s">
        <v>94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43" t="s">
        <v>95</v>
      </c>
      <c r="B36" s="28"/>
      <c r="C36" s="28"/>
      <c r="D36" s="28"/>
      <c r="E36" s="31" t="s">
        <v>96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43" t="s">
        <v>60</v>
      </c>
      <c r="B37" s="28"/>
      <c r="C37" s="28"/>
      <c r="D37" s="28"/>
      <c r="E37" s="31" t="s">
        <v>97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43" t="s">
        <v>98</v>
      </c>
      <c r="B38" s="28"/>
      <c r="C38" s="28"/>
      <c r="D38" s="28"/>
      <c r="E38" s="31" t="s">
        <v>99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43" t="s">
        <v>100</v>
      </c>
      <c r="B39" s="28"/>
      <c r="C39" s="28"/>
      <c r="D39" s="28"/>
      <c r="E39" s="31" t="s">
        <v>101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43" t="s">
        <v>11</v>
      </c>
      <c r="B40" s="28"/>
      <c r="C40" s="28"/>
      <c r="D40" s="28"/>
      <c r="E40" s="31" t="s">
        <v>102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</sheetData>
  <sheetProtection sheet="1" formatCells="0"/>
  <mergeCells count="59">
    <mergeCell ref="A1:V1"/>
    <mergeCell ref="E32:V32"/>
    <mergeCell ref="F28:J28"/>
    <mergeCell ref="T3:V3"/>
    <mergeCell ref="A23:E23"/>
    <mergeCell ref="A22:E22"/>
    <mergeCell ref="A29:E29"/>
    <mergeCell ref="A28:E28"/>
    <mergeCell ref="K28:L28"/>
    <mergeCell ref="R2:V2"/>
    <mergeCell ref="A3:S3"/>
    <mergeCell ref="C6:C7"/>
    <mergeCell ref="B6:B7"/>
    <mergeCell ref="A27:E27"/>
    <mergeCell ref="G2:H2"/>
    <mergeCell ref="I2:J2"/>
    <mergeCell ref="W6:W7"/>
    <mergeCell ref="E6:E7"/>
    <mergeCell ref="G23:K23"/>
    <mergeCell ref="M6:O6"/>
    <mergeCell ref="A40:D40"/>
    <mergeCell ref="A13:V13"/>
    <mergeCell ref="A32:D32"/>
    <mergeCell ref="A34:D34"/>
    <mergeCell ref="A25:E25"/>
    <mergeCell ref="P28:R28"/>
    <mergeCell ref="A39:D39"/>
    <mergeCell ref="E37:V37"/>
    <mergeCell ref="E38:V38"/>
    <mergeCell ref="E36:V36"/>
    <mergeCell ref="E40:V40"/>
    <mergeCell ref="E39:V39"/>
    <mergeCell ref="A38:D38"/>
    <mergeCell ref="A8:V8"/>
    <mergeCell ref="A14:V14"/>
    <mergeCell ref="S28:U28"/>
    <mergeCell ref="A6:A7"/>
    <mergeCell ref="F6:J6"/>
    <mergeCell ref="A36:D36"/>
    <mergeCell ref="A26:E26"/>
    <mergeCell ref="E33:V33"/>
    <mergeCell ref="E35:V35"/>
    <mergeCell ref="K6:L6"/>
    <mergeCell ref="D6:D7"/>
    <mergeCell ref="G22:K22"/>
    <mergeCell ref="P6:R6"/>
    <mergeCell ref="A33:D33"/>
    <mergeCell ref="V6:V7"/>
    <mergeCell ref="A2:F2"/>
    <mergeCell ref="K2:M2"/>
    <mergeCell ref="N2:O2"/>
    <mergeCell ref="P2:Q2"/>
    <mergeCell ref="A37:D37"/>
    <mergeCell ref="A31:E31"/>
    <mergeCell ref="A4:V4"/>
    <mergeCell ref="E34:V34"/>
    <mergeCell ref="M28:O28"/>
    <mergeCell ref="S6:U6"/>
    <mergeCell ref="A35:D35"/>
  </mergeCells>
  <conditionalFormatting sqref="F9:J20">
    <cfRule type="expression" dxfId="224" priority="1">
      <formula>AND(F9&lt;&gt;"",COUNTIF($F9:$J9,"X")&gt;1)</formula>
    </cfRule>
  </conditionalFormatting>
  <conditionalFormatting sqref="F28:U28">
    <cfRule type="expression" dxfId="223" priority="8">
      <formula>LEFT(F28,4)="ERRO"</formula>
    </cfRule>
    <cfRule type="expression" dxfId="222" priority="9">
      <formula>LEFT(F28,2)="OK"</formula>
    </cfRule>
  </conditionalFormatting>
  <conditionalFormatting sqref="K9:L20">
    <cfRule type="expression" dxfId="221" priority="2">
      <formula>AND(K9&lt;&gt;"",COUNTIF($K9:$L9,"X")&gt;1)</formula>
    </cfRule>
  </conditionalFormatting>
  <conditionalFormatting sqref="M9:O20">
    <cfRule type="expression" dxfId="220" priority="3">
      <formula>AND(M9&lt;&gt;"",COUNTIF($M9:$O9,"X")&gt;1)</formula>
    </cfRule>
  </conditionalFormatting>
  <conditionalFormatting sqref="P9:R20">
    <cfRule type="expression" dxfId="219" priority="4">
      <formula>AND(P9&lt;&gt;"",COUNTIF($P9:$R9,"X")&gt;1)</formula>
    </cfRule>
  </conditionalFormatting>
  <conditionalFormatting sqref="S9:U20">
    <cfRule type="expression" dxfId="218" priority="5">
      <formula>AND(S9&lt;&gt;"",COUNTIF($S9:$U9,"X")&gt;1)</formula>
    </cfRule>
  </conditionalFormatting>
  <conditionalFormatting sqref="W9:W20">
    <cfRule type="expression" dxfId="217" priority="6">
      <formula>AND(W9&lt;&gt;"OK",W9&lt;&gt;"")</formula>
    </cfRule>
    <cfRule type="expression" dxfId="21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0" xr:uid="{00000000-0002-0000-0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0" xr:uid="{00000000-0002-0000-0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0" xr:uid="{00000000-0002-0000-0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0" xr:uid="{00000000-0002-0000-0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0" xr:uid="{00000000-0002-0000-0400-000004000000}">
      <formula1>AND(UPPER(S9)="X",COUNTIF($S9:$U9,"X")&lt;=1)</formula1>
    </dataValidation>
    <dataValidation type="list" showErrorMessage="1" errorTitle="Sentido inválido" error="Use C (crescente) ou D (decrescente)." sqref="B9:B20" xr:uid="{00000000-0002-0000-0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4</oddHeader>
    <oddFooter>&amp;L&amp;7 RTA / MSI — Programa de Manutenção Rodoviária&amp;C&amp;7 Página &amp;P de &amp;N&amp;R&amp;7 Impresso em &amp;D</oddFooter>
  </headerFooter>
  <rowBreaks count="1" manualBreakCount="1">
    <brk id="23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AN63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IF(F49=0,NA(),F49)</f>
        <v>21.142364318190001</v>
      </c>
      <c r="Z2" s="2">
        <f t="shared" si="0"/>
        <v>1.23447964588</v>
      </c>
      <c r="AA2" s="2">
        <f t="shared" si="0"/>
        <v>7.8623358040099998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30.239179768080003</v>
      </c>
      <c r="AF2" s="2" t="e">
        <f t="shared" si="0"/>
        <v>#N/A</v>
      </c>
      <c r="AG2" s="2">
        <f t="shared" si="0"/>
        <v>30.239179768080003</v>
      </c>
      <c r="AH2" s="2" t="e">
        <f t="shared" si="0"/>
        <v>#N/A</v>
      </c>
      <c r="AI2" s="2">
        <f t="shared" si="0"/>
        <v>14.376843964070002</v>
      </c>
      <c r="AJ2" s="2">
        <f t="shared" si="0"/>
        <v>15.86233580401</v>
      </c>
      <c r="AK2" s="2" t="e">
        <f t="shared" si="0"/>
        <v>#N/A</v>
      </c>
      <c r="AL2" s="2" t="e">
        <f t="shared" si="0"/>
        <v>#N/A</v>
      </c>
      <c r="AM2" s="2">
        <f t="shared" si="0"/>
        <v>30.239179768080003</v>
      </c>
      <c r="AN2" s="2" t="e">
        <f t="shared" si="0"/>
        <v>#N/A</v>
      </c>
    </row>
    <row r="3" spans="1:40" ht="15" customHeight="1" x14ac:dyDescent="0.25">
      <c r="A3" s="49" t="s">
        <v>124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125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126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127</v>
      </c>
      <c r="B9" s="19" t="s">
        <v>68</v>
      </c>
      <c r="C9" s="20">
        <v>0</v>
      </c>
      <c r="D9" s="20">
        <v>1</v>
      </c>
      <c r="E9" s="20">
        <f>D9-C9</f>
        <v>1</v>
      </c>
      <c r="F9" s="21"/>
      <c r="G9" s="21"/>
      <c r="H9" s="21" t="s">
        <v>69</v>
      </c>
      <c r="I9" s="21"/>
      <c r="J9" s="21"/>
      <c r="K9" s="21"/>
      <c r="L9" s="21" t="s">
        <v>69</v>
      </c>
      <c r="M9" s="21"/>
      <c r="N9" s="21" t="s">
        <v>69</v>
      </c>
      <c r="O9" s="21"/>
      <c r="P9" s="21"/>
      <c r="Q9" s="21" t="s">
        <v>69</v>
      </c>
      <c r="R9" s="21"/>
      <c r="S9" s="21"/>
      <c r="T9" s="21" t="s">
        <v>69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127</v>
      </c>
      <c r="B10" s="13" t="s">
        <v>68</v>
      </c>
      <c r="C10" s="14">
        <v>1</v>
      </c>
      <c r="D10" s="14">
        <v>1.86233580401</v>
      </c>
      <c r="E10" s="14">
        <f>D10-C10</f>
        <v>0.86233580400999998</v>
      </c>
      <c r="F10" s="15"/>
      <c r="G10" s="15"/>
      <c r="H10" s="15" t="s">
        <v>69</v>
      </c>
      <c r="I10" s="15"/>
      <c r="J10" s="15"/>
      <c r="K10" s="15"/>
      <c r="L10" s="15" t="s">
        <v>69</v>
      </c>
      <c r="M10" s="15"/>
      <c r="N10" s="15" t="s">
        <v>69</v>
      </c>
      <c r="O10" s="15"/>
      <c r="P10" s="15"/>
      <c r="Q10" s="15" t="s">
        <v>69</v>
      </c>
      <c r="R10" s="15"/>
      <c r="S10" s="15"/>
      <c r="T10" s="15" t="s">
        <v>69</v>
      </c>
      <c r="U10" s="15"/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35" t="s">
        <v>128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4"/>
      <c r="W11" s="4"/>
    </row>
    <row r="12" spans="1:40" ht="20.100000000000001" customHeight="1" x14ac:dyDescent="0.25">
      <c r="A12" s="18" t="s">
        <v>129</v>
      </c>
      <c r="B12" s="19" t="s">
        <v>68</v>
      </c>
      <c r="C12" s="20">
        <v>0</v>
      </c>
      <c r="D12" s="20">
        <v>1</v>
      </c>
      <c r="E12" s="20">
        <f t="shared" ref="E12:E34" si="1">D12-C12</f>
        <v>1</v>
      </c>
      <c r="F12" s="21" t="s">
        <v>69</v>
      </c>
      <c r="G12" s="21"/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/>
      <c r="Q12" s="21" t="s">
        <v>69</v>
      </c>
      <c r="R12" s="21"/>
      <c r="S12" s="21"/>
      <c r="T12" s="21" t="s">
        <v>69</v>
      </c>
      <c r="U12" s="21"/>
      <c r="V12" s="22"/>
      <c r="W12" s="23" t="str">
        <f t="shared" ref="W12:W34" si="2"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8" t="s">
        <v>129</v>
      </c>
      <c r="B13" s="19" t="s">
        <v>68</v>
      </c>
      <c r="C13" s="20">
        <v>1</v>
      </c>
      <c r="D13" s="20">
        <v>2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/>
      <c r="Q13" s="21" t="s">
        <v>69</v>
      </c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129</v>
      </c>
      <c r="B14" s="19" t="s">
        <v>68</v>
      </c>
      <c r="C14" s="20">
        <v>2</v>
      </c>
      <c r="D14" s="20">
        <v>3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/>
      <c r="Q14" s="21" t="s">
        <v>69</v>
      </c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129</v>
      </c>
      <c r="B15" s="19" t="s">
        <v>68</v>
      </c>
      <c r="C15" s="20">
        <v>3</v>
      </c>
      <c r="D15" s="20">
        <v>4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/>
      <c r="Q15" s="21" t="s">
        <v>69</v>
      </c>
      <c r="R15" s="21"/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129</v>
      </c>
      <c r="B16" s="19" t="s">
        <v>68</v>
      </c>
      <c r="C16" s="20">
        <v>4</v>
      </c>
      <c r="D16" s="20">
        <v>5</v>
      </c>
      <c r="E16" s="20">
        <f t="shared" si="1"/>
        <v>1</v>
      </c>
      <c r="F16" s="21"/>
      <c r="G16" s="21"/>
      <c r="H16" s="21" t="s">
        <v>69</v>
      </c>
      <c r="I16" s="21"/>
      <c r="J16" s="21"/>
      <c r="K16" s="21"/>
      <c r="L16" s="21" t="s">
        <v>69</v>
      </c>
      <c r="M16" s="21"/>
      <c r="N16" s="21" t="s">
        <v>69</v>
      </c>
      <c r="O16" s="21"/>
      <c r="P16" s="21"/>
      <c r="Q16" s="21" t="s">
        <v>69</v>
      </c>
      <c r="R16" s="21"/>
      <c r="S16" s="21"/>
      <c r="T16" s="21" t="s">
        <v>69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129</v>
      </c>
      <c r="B17" s="19" t="s">
        <v>68</v>
      </c>
      <c r="C17" s="20">
        <v>5</v>
      </c>
      <c r="D17" s="20">
        <v>6</v>
      </c>
      <c r="E17" s="20">
        <f t="shared" si="1"/>
        <v>1</v>
      </c>
      <c r="F17" s="21"/>
      <c r="G17" s="21"/>
      <c r="H17" s="21" t="s">
        <v>69</v>
      </c>
      <c r="I17" s="21"/>
      <c r="J17" s="21"/>
      <c r="K17" s="21"/>
      <c r="L17" s="21" t="s">
        <v>69</v>
      </c>
      <c r="M17" s="21"/>
      <c r="N17" s="21" t="s">
        <v>69</v>
      </c>
      <c r="O17" s="21"/>
      <c r="P17" s="21"/>
      <c r="Q17" s="21" t="s">
        <v>69</v>
      </c>
      <c r="R17" s="21"/>
      <c r="S17" s="21"/>
      <c r="T17" s="21" t="s">
        <v>69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129</v>
      </c>
      <c r="B18" s="19" t="s">
        <v>68</v>
      </c>
      <c r="C18" s="20">
        <v>6</v>
      </c>
      <c r="D18" s="20">
        <v>7</v>
      </c>
      <c r="E18" s="20">
        <f t="shared" si="1"/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/>
      <c r="Q18" s="21" t="s">
        <v>69</v>
      </c>
      <c r="R18" s="21"/>
      <c r="S18" s="21"/>
      <c r="T18" s="21" t="s">
        <v>69</v>
      </c>
      <c r="U18" s="21"/>
      <c r="V18" s="22"/>
      <c r="W18" s="23" t="str">
        <f t="shared" si="2"/>
        <v>OK</v>
      </c>
    </row>
    <row r="19" spans="1:23" ht="20.100000000000001" customHeight="1" x14ac:dyDescent="0.25">
      <c r="A19" s="18" t="s">
        <v>129</v>
      </c>
      <c r="B19" s="19" t="s">
        <v>68</v>
      </c>
      <c r="C19" s="20">
        <v>7</v>
      </c>
      <c r="D19" s="20">
        <v>8</v>
      </c>
      <c r="E19" s="20">
        <f t="shared" si="1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/>
      <c r="N19" s="21" t="s">
        <v>69</v>
      </c>
      <c r="O19" s="21"/>
      <c r="P19" s="21"/>
      <c r="Q19" s="21" t="s">
        <v>69</v>
      </c>
      <c r="R19" s="21"/>
      <c r="S19" s="21"/>
      <c r="T19" s="21" t="s">
        <v>69</v>
      </c>
      <c r="U19" s="21"/>
      <c r="V19" s="22"/>
      <c r="W19" s="23" t="str">
        <f t="shared" si="2"/>
        <v>OK</v>
      </c>
    </row>
    <row r="20" spans="1:23" ht="20.100000000000001" customHeight="1" x14ac:dyDescent="0.25">
      <c r="A20" s="18" t="s">
        <v>129</v>
      </c>
      <c r="B20" s="19" t="s">
        <v>68</v>
      </c>
      <c r="C20" s="20">
        <v>8</v>
      </c>
      <c r="D20" s="20">
        <v>9</v>
      </c>
      <c r="E20" s="20">
        <f t="shared" si="1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/>
      <c r="Q20" s="21" t="s">
        <v>69</v>
      </c>
      <c r="R20" s="21"/>
      <c r="S20" s="21"/>
      <c r="T20" s="21" t="s">
        <v>69</v>
      </c>
      <c r="U20" s="21"/>
      <c r="V20" s="22"/>
      <c r="W20" s="23" t="str">
        <f t="shared" si="2"/>
        <v>OK</v>
      </c>
    </row>
    <row r="21" spans="1:23" ht="20.100000000000001" customHeight="1" x14ac:dyDescent="0.25">
      <c r="A21" s="18" t="s">
        <v>129</v>
      </c>
      <c r="B21" s="19" t="s">
        <v>68</v>
      </c>
      <c r="C21" s="20">
        <v>9</v>
      </c>
      <c r="D21" s="20">
        <v>10</v>
      </c>
      <c r="E21" s="20">
        <f t="shared" si="1"/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/>
      <c r="Q21" s="21" t="s">
        <v>69</v>
      </c>
      <c r="R21" s="21"/>
      <c r="S21" s="21"/>
      <c r="T21" s="21" t="s">
        <v>69</v>
      </c>
      <c r="U21" s="21"/>
      <c r="V21" s="22"/>
      <c r="W21" s="23" t="str">
        <f t="shared" si="2"/>
        <v>OK</v>
      </c>
    </row>
    <row r="22" spans="1:23" ht="20.100000000000001" customHeight="1" x14ac:dyDescent="0.25">
      <c r="A22" s="18" t="s">
        <v>129</v>
      </c>
      <c r="B22" s="19" t="s">
        <v>68</v>
      </c>
      <c r="C22" s="20">
        <v>10</v>
      </c>
      <c r="D22" s="20">
        <v>11</v>
      </c>
      <c r="E22" s="20">
        <f t="shared" si="1"/>
        <v>1</v>
      </c>
      <c r="F22" s="21"/>
      <c r="G22" s="21"/>
      <c r="H22" s="21" t="s">
        <v>69</v>
      </c>
      <c r="I22" s="21"/>
      <c r="J22" s="21"/>
      <c r="K22" s="21"/>
      <c r="L22" s="21" t="s">
        <v>69</v>
      </c>
      <c r="M22" s="21"/>
      <c r="N22" s="21" t="s">
        <v>69</v>
      </c>
      <c r="O22" s="21"/>
      <c r="P22" s="21"/>
      <c r="Q22" s="21" t="s">
        <v>69</v>
      </c>
      <c r="R22" s="21"/>
      <c r="S22" s="21"/>
      <c r="T22" s="21" t="s">
        <v>69</v>
      </c>
      <c r="U22" s="21"/>
      <c r="V22" s="22"/>
      <c r="W22" s="23" t="str">
        <f t="shared" si="2"/>
        <v>OK</v>
      </c>
    </row>
    <row r="23" spans="1:23" ht="20.100000000000001" customHeight="1" x14ac:dyDescent="0.25">
      <c r="A23" s="18" t="s">
        <v>129</v>
      </c>
      <c r="B23" s="19" t="s">
        <v>68</v>
      </c>
      <c r="C23" s="20">
        <v>11</v>
      </c>
      <c r="D23" s="20">
        <v>12</v>
      </c>
      <c r="E23" s="20">
        <f t="shared" si="1"/>
        <v>1</v>
      </c>
      <c r="F23" s="21"/>
      <c r="G23" s="21"/>
      <c r="H23" s="21" t="s">
        <v>69</v>
      </c>
      <c r="I23" s="21"/>
      <c r="J23" s="21"/>
      <c r="K23" s="21"/>
      <c r="L23" s="21" t="s">
        <v>69</v>
      </c>
      <c r="M23" s="21"/>
      <c r="N23" s="21" t="s">
        <v>69</v>
      </c>
      <c r="O23" s="21"/>
      <c r="P23" s="21"/>
      <c r="Q23" s="21" t="s">
        <v>69</v>
      </c>
      <c r="R23" s="21"/>
      <c r="S23" s="21"/>
      <c r="T23" s="21" t="s">
        <v>69</v>
      </c>
      <c r="U23" s="21"/>
      <c r="V23" s="22"/>
      <c r="W23" s="23" t="str">
        <f t="shared" si="2"/>
        <v>OK</v>
      </c>
    </row>
    <row r="24" spans="1:23" ht="20.100000000000001" customHeight="1" x14ac:dyDescent="0.25">
      <c r="A24" s="18" t="s">
        <v>129</v>
      </c>
      <c r="B24" s="19" t="s">
        <v>68</v>
      </c>
      <c r="C24" s="20">
        <v>12</v>
      </c>
      <c r="D24" s="20">
        <v>13</v>
      </c>
      <c r="E24" s="20">
        <f t="shared" si="1"/>
        <v>1</v>
      </c>
      <c r="F24" s="21" t="s">
        <v>69</v>
      </c>
      <c r="G24" s="21"/>
      <c r="H24" s="21"/>
      <c r="I24" s="21"/>
      <c r="J24" s="21"/>
      <c r="K24" s="21"/>
      <c r="L24" s="21" t="s">
        <v>69</v>
      </c>
      <c r="M24" s="21"/>
      <c r="N24" s="21" t="s">
        <v>69</v>
      </c>
      <c r="O24" s="21"/>
      <c r="P24" s="21"/>
      <c r="Q24" s="21" t="s">
        <v>69</v>
      </c>
      <c r="R24" s="21"/>
      <c r="S24" s="21"/>
      <c r="T24" s="21" t="s">
        <v>69</v>
      </c>
      <c r="U24" s="21"/>
      <c r="V24" s="22"/>
      <c r="W24" s="23" t="str">
        <f t="shared" si="2"/>
        <v>OK</v>
      </c>
    </row>
    <row r="25" spans="1:23" ht="20.100000000000001" customHeight="1" x14ac:dyDescent="0.25">
      <c r="A25" s="18" t="s">
        <v>129</v>
      </c>
      <c r="B25" s="19" t="s">
        <v>68</v>
      </c>
      <c r="C25" s="20">
        <v>13</v>
      </c>
      <c r="D25" s="20">
        <v>14</v>
      </c>
      <c r="E25" s="20">
        <f t="shared" si="1"/>
        <v>1</v>
      </c>
      <c r="F25" s="21" t="s">
        <v>69</v>
      </c>
      <c r="G25" s="21"/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/>
      <c r="Q25" s="21" t="s">
        <v>69</v>
      </c>
      <c r="R25" s="21"/>
      <c r="S25" s="21"/>
      <c r="T25" s="21" t="s">
        <v>69</v>
      </c>
      <c r="U25" s="21"/>
      <c r="V25" s="22"/>
      <c r="W25" s="23" t="str">
        <f t="shared" si="2"/>
        <v>OK</v>
      </c>
    </row>
    <row r="26" spans="1:23" ht="20.100000000000001" customHeight="1" x14ac:dyDescent="0.25">
      <c r="A26" s="18" t="s">
        <v>129</v>
      </c>
      <c r="B26" s="19" t="s">
        <v>68</v>
      </c>
      <c r="C26" s="20">
        <v>14</v>
      </c>
      <c r="D26" s="20">
        <v>15</v>
      </c>
      <c r="E26" s="20">
        <f t="shared" si="1"/>
        <v>1</v>
      </c>
      <c r="F26" s="21"/>
      <c r="G26" s="21"/>
      <c r="H26" s="21" t="s">
        <v>69</v>
      </c>
      <c r="I26" s="21"/>
      <c r="J26" s="21"/>
      <c r="K26" s="21"/>
      <c r="L26" s="21" t="s">
        <v>69</v>
      </c>
      <c r="M26" s="21"/>
      <c r="N26" s="21" t="s">
        <v>69</v>
      </c>
      <c r="O26" s="21"/>
      <c r="P26" s="21" t="s">
        <v>69</v>
      </c>
      <c r="Q26" s="21"/>
      <c r="R26" s="21"/>
      <c r="S26" s="21"/>
      <c r="T26" s="21" t="s">
        <v>69</v>
      </c>
      <c r="U26" s="21"/>
      <c r="V26" s="22"/>
      <c r="W26" s="23" t="str">
        <f t="shared" si="2"/>
        <v>OK</v>
      </c>
    </row>
    <row r="27" spans="1:23" ht="20.100000000000001" customHeight="1" x14ac:dyDescent="0.25">
      <c r="A27" s="18" t="s">
        <v>129</v>
      </c>
      <c r="B27" s="19" t="s">
        <v>68</v>
      </c>
      <c r="C27" s="20">
        <v>15</v>
      </c>
      <c r="D27" s="20">
        <v>16</v>
      </c>
      <c r="E27" s="20">
        <f t="shared" si="1"/>
        <v>1</v>
      </c>
      <c r="F27" s="21"/>
      <c r="G27" s="21"/>
      <c r="H27" s="21" t="s">
        <v>69</v>
      </c>
      <c r="I27" s="21"/>
      <c r="J27" s="21"/>
      <c r="K27" s="21"/>
      <c r="L27" s="21" t="s">
        <v>69</v>
      </c>
      <c r="M27" s="21"/>
      <c r="N27" s="21" t="s">
        <v>69</v>
      </c>
      <c r="O27" s="21"/>
      <c r="P27" s="21" t="s">
        <v>69</v>
      </c>
      <c r="Q27" s="21"/>
      <c r="R27" s="21"/>
      <c r="S27" s="21"/>
      <c r="T27" s="21" t="s">
        <v>69</v>
      </c>
      <c r="U27" s="21"/>
      <c r="V27" s="22"/>
      <c r="W27" s="23" t="str">
        <f t="shared" si="2"/>
        <v>OK</v>
      </c>
    </row>
    <row r="28" spans="1:23" ht="20.100000000000001" customHeight="1" x14ac:dyDescent="0.25">
      <c r="A28" s="18" t="s">
        <v>129</v>
      </c>
      <c r="B28" s="19" t="s">
        <v>68</v>
      </c>
      <c r="C28" s="20">
        <v>16</v>
      </c>
      <c r="D28" s="20">
        <v>17</v>
      </c>
      <c r="E28" s="20">
        <f t="shared" si="1"/>
        <v>1</v>
      </c>
      <c r="F28" s="21" t="s">
        <v>69</v>
      </c>
      <c r="G28" s="21"/>
      <c r="H28" s="21"/>
      <c r="I28" s="21"/>
      <c r="J28" s="21"/>
      <c r="K28" s="21"/>
      <c r="L28" s="21" t="s">
        <v>69</v>
      </c>
      <c r="M28" s="21"/>
      <c r="N28" s="21" t="s">
        <v>69</v>
      </c>
      <c r="O28" s="21"/>
      <c r="P28" s="21" t="s">
        <v>69</v>
      </c>
      <c r="Q28" s="21"/>
      <c r="R28" s="21"/>
      <c r="S28" s="21"/>
      <c r="T28" s="21" t="s">
        <v>69</v>
      </c>
      <c r="U28" s="21"/>
      <c r="V28" s="22"/>
      <c r="W28" s="23" t="str">
        <f t="shared" si="2"/>
        <v>OK</v>
      </c>
    </row>
    <row r="29" spans="1:23" ht="20.100000000000001" customHeight="1" x14ac:dyDescent="0.25">
      <c r="A29" s="18" t="s">
        <v>129</v>
      </c>
      <c r="B29" s="19" t="s">
        <v>68</v>
      </c>
      <c r="C29" s="20">
        <v>17</v>
      </c>
      <c r="D29" s="20">
        <v>18</v>
      </c>
      <c r="E29" s="20">
        <f t="shared" si="1"/>
        <v>1</v>
      </c>
      <c r="F29" s="21" t="s">
        <v>69</v>
      </c>
      <c r="G29" s="21"/>
      <c r="H29" s="21"/>
      <c r="I29" s="21"/>
      <c r="J29" s="21"/>
      <c r="K29" s="21"/>
      <c r="L29" s="21" t="s">
        <v>69</v>
      </c>
      <c r="M29" s="21"/>
      <c r="N29" s="21" t="s">
        <v>69</v>
      </c>
      <c r="O29" s="21"/>
      <c r="P29" s="21" t="s">
        <v>69</v>
      </c>
      <c r="Q29" s="21"/>
      <c r="R29" s="21"/>
      <c r="S29" s="21"/>
      <c r="T29" s="21" t="s">
        <v>69</v>
      </c>
      <c r="U29" s="21"/>
      <c r="V29" s="22"/>
      <c r="W29" s="23" t="str">
        <f t="shared" si="2"/>
        <v>OK</v>
      </c>
    </row>
    <row r="30" spans="1:23" ht="20.100000000000001" customHeight="1" x14ac:dyDescent="0.25">
      <c r="A30" s="18" t="s">
        <v>129</v>
      </c>
      <c r="B30" s="19" t="s">
        <v>68</v>
      </c>
      <c r="C30" s="20">
        <v>18</v>
      </c>
      <c r="D30" s="20">
        <v>19</v>
      </c>
      <c r="E30" s="20">
        <f t="shared" si="1"/>
        <v>1</v>
      </c>
      <c r="F30" s="21" t="s">
        <v>69</v>
      </c>
      <c r="G30" s="21"/>
      <c r="H30" s="21"/>
      <c r="I30" s="21"/>
      <c r="J30" s="21"/>
      <c r="K30" s="21"/>
      <c r="L30" s="21" t="s">
        <v>69</v>
      </c>
      <c r="M30" s="21"/>
      <c r="N30" s="21" t="s">
        <v>69</v>
      </c>
      <c r="O30" s="21"/>
      <c r="P30" s="21" t="s">
        <v>69</v>
      </c>
      <c r="Q30" s="21"/>
      <c r="R30" s="21"/>
      <c r="S30" s="21"/>
      <c r="T30" s="21" t="s">
        <v>69</v>
      </c>
      <c r="U30" s="21"/>
      <c r="V30" s="22"/>
      <c r="W30" s="23" t="str">
        <f t="shared" si="2"/>
        <v>OK</v>
      </c>
    </row>
    <row r="31" spans="1:23" ht="20.100000000000001" customHeight="1" x14ac:dyDescent="0.25">
      <c r="A31" s="18" t="s">
        <v>129</v>
      </c>
      <c r="B31" s="19" t="s">
        <v>68</v>
      </c>
      <c r="C31" s="20">
        <v>19</v>
      </c>
      <c r="D31" s="20">
        <v>20</v>
      </c>
      <c r="E31" s="20">
        <f t="shared" si="1"/>
        <v>1</v>
      </c>
      <c r="F31" s="21" t="s">
        <v>69</v>
      </c>
      <c r="G31" s="21"/>
      <c r="H31" s="21"/>
      <c r="I31" s="21"/>
      <c r="J31" s="21"/>
      <c r="K31" s="21"/>
      <c r="L31" s="21" t="s">
        <v>69</v>
      </c>
      <c r="M31" s="21"/>
      <c r="N31" s="21" t="s">
        <v>69</v>
      </c>
      <c r="O31" s="21"/>
      <c r="P31" s="21" t="s">
        <v>69</v>
      </c>
      <c r="Q31" s="21"/>
      <c r="R31" s="21"/>
      <c r="S31" s="21"/>
      <c r="T31" s="21" t="s">
        <v>69</v>
      </c>
      <c r="U31" s="21"/>
      <c r="V31" s="22"/>
      <c r="W31" s="23" t="str">
        <f t="shared" si="2"/>
        <v>OK</v>
      </c>
    </row>
    <row r="32" spans="1:23" ht="20.100000000000001" customHeight="1" x14ac:dyDescent="0.25">
      <c r="A32" s="18" t="s">
        <v>129</v>
      </c>
      <c r="B32" s="19" t="s">
        <v>68</v>
      </c>
      <c r="C32" s="20">
        <v>20</v>
      </c>
      <c r="D32" s="20">
        <v>21</v>
      </c>
      <c r="E32" s="20">
        <f t="shared" si="1"/>
        <v>1</v>
      </c>
      <c r="F32" s="21" t="s">
        <v>69</v>
      </c>
      <c r="G32" s="21"/>
      <c r="H32" s="21"/>
      <c r="I32" s="21"/>
      <c r="J32" s="21"/>
      <c r="K32" s="21"/>
      <c r="L32" s="21" t="s">
        <v>69</v>
      </c>
      <c r="M32" s="21"/>
      <c r="N32" s="21" t="s">
        <v>69</v>
      </c>
      <c r="O32" s="21"/>
      <c r="P32" s="21" t="s">
        <v>69</v>
      </c>
      <c r="Q32" s="21"/>
      <c r="R32" s="21"/>
      <c r="S32" s="21"/>
      <c r="T32" s="21" t="s">
        <v>69</v>
      </c>
      <c r="U32" s="21"/>
      <c r="V32" s="22"/>
      <c r="W32" s="23" t="str">
        <f t="shared" si="2"/>
        <v>OK</v>
      </c>
    </row>
    <row r="33" spans="1:23" ht="20.100000000000001" customHeight="1" x14ac:dyDescent="0.25">
      <c r="A33" s="18" t="s">
        <v>129</v>
      </c>
      <c r="B33" s="19" t="s">
        <v>68</v>
      </c>
      <c r="C33" s="20">
        <v>21</v>
      </c>
      <c r="D33" s="20">
        <v>22</v>
      </c>
      <c r="E33" s="20">
        <f t="shared" si="1"/>
        <v>1</v>
      </c>
      <c r="F33" s="21" t="s">
        <v>69</v>
      </c>
      <c r="G33" s="21"/>
      <c r="H33" s="21"/>
      <c r="I33" s="21"/>
      <c r="J33" s="21"/>
      <c r="K33" s="21"/>
      <c r="L33" s="21" t="s">
        <v>69</v>
      </c>
      <c r="M33" s="21"/>
      <c r="N33" s="21" t="s">
        <v>69</v>
      </c>
      <c r="O33" s="21"/>
      <c r="P33" s="21" t="s">
        <v>69</v>
      </c>
      <c r="Q33" s="21"/>
      <c r="R33" s="21"/>
      <c r="S33" s="21"/>
      <c r="T33" s="21" t="s">
        <v>69</v>
      </c>
      <c r="U33" s="21"/>
      <c r="V33" s="22"/>
      <c r="W33" s="23" t="str">
        <f t="shared" si="2"/>
        <v>OK</v>
      </c>
    </row>
    <row r="34" spans="1:23" ht="20.100000000000001" customHeight="1" x14ac:dyDescent="0.25">
      <c r="A34" s="12" t="s">
        <v>129</v>
      </c>
      <c r="B34" s="13" t="s">
        <v>68</v>
      </c>
      <c r="C34" s="14">
        <v>22</v>
      </c>
      <c r="D34" s="14">
        <v>22.489852453000001</v>
      </c>
      <c r="E34" s="14">
        <f t="shared" si="1"/>
        <v>0.48985245300000102</v>
      </c>
      <c r="F34" s="15" t="s">
        <v>69</v>
      </c>
      <c r="G34" s="15"/>
      <c r="H34" s="15"/>
      <c r="I34" s="15"/>
      <c r="J34" s="15"/>
      <c r="K34" s="15"/>
      <c r="L34" s="15" t="s">
        <v>69</v>
      </c>
      <c r="M34" s="15"/>
      <c r="N34" s="15" t="s">
        <v>69</v>
      </c>
      <c r="O34" s="15"/>
      <c r="P34" s="15" t="s">
        <v>69</v>
      </c>
      <c r="Q34" s="15"/>
      <c r="R34" s="15"/>
      <c r="S34" s="15"/>
      <c r="T34" s="15" t="s">
        <v>69</v>
      </c>
      <c r="U34" s="15"/>
      <c r="V34" s="16"/>
      <c r="W34" s="17" t="str">
        <f t="shared" si="2"/>
        <v>OK</v>
      </c>
    </row>
    <row r="35" spans="1:23" ht="15.95" customHeight="1" x14ac:dyDescent="0.25">
      <c r="A35" s="35" t="s">
        <v>130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4"/>
      <c r="W35" s="4"/>
    </row>
    <row r="36" spans="1:23" ht="20.100000000000001" customHeight="1" x14ac:dyDescent="0.25">
      <c r="A36" s="18" t="s">
        <v>131</v>
      </c>
      <c r="B36" s="19" t="s">
        <v>68</v>
      </c>
      <c r="C36" s="20">
        <v>0</v>
      </c>
      <c r="D36" s="20">
        <v>1</v>
      </c>
      <c r="E36" s="20">
        <f>D36-C36</f>
        <v>1</v>
      </c>
      <c r="F36" s="21" t="s">
        <v>69</v>
      </c>
      <c r="G36" s="21"/>
      <c r="H36" s="21"/>
      <c r="I36" s="21"/>
      <c r="J36" s="21"/>
      <c r="K36" s="21"/>
      <c r="L36" s="21" t="s">
        <v>69</v>
      </c>
      <c r="M36" s="21"/>
      <c r="N36" s="21" t="s">
        <v>69</v>
      </c>
      <c r="O36" s="21"/>
      <c r="P36" s="21" t="s">
        <v>69</v>
      </c>
      <c r="Q36" s="21"/>
      <c r="R36" s="21"/>
      <c r="S36" s="21"/>
      <c r="T36" s="21" t="s">
        <v>69</v>
      </c>
      <c r="U36" s="21"/>
      <c r="V36" s="22"/>
      <c r="W36" s="23" t="str">
        <f>IF(COUNTA(F36:U36)=0,"— não preenchido",IF(COUNTIF(F36:J36,"X")&lt;&gt;1,"FALTA/DUPLA: CONDIÇÃO DO PAVIMENTO",IF(COUNTIF(K36:L36,"X")&lt;&gt;1,"FALTA/DUPLA: VEGETAÇÃO",IF(COUNTIF(M36:O36,"X")&lt;&gt;1,"FALTA/DUPLA: ELEM. DE DRENAGEM",IF(COUNTIF(P36:R36,"X")&lt;&gt;1,"FALTA/DUPLA: SIN. HORIZ.",IF(COUNTIF(S36:U36,"X")&lt;&gt;1,"FALTA/DUPLA: SIN. VERTICAL","OK"))))))</f>
        <v>OK</v>
      </c>
    </row>
    <row r="37" spans="1:23" ht="20.100000000000001" customHeight="1" x14ac:dyDescent="0.25">
      <c r="A37" s="18" t="s">
        <v>131</v>
      </c>
      <c r="B37" s="19" t="s">
        <v>68</v>
      </c>
      <c r="C37" s="20">
        <v>1</v>
      </c>
      <c r="D37" s="20">
        <v>2</v>
      </c>
      <c r="E37" s="20">
        <f>D37-C37</f>
        <v>1</v>
      </c>
      <c r="F37" s="21" t="s">
        <v>69</v>
      </c>
      <c r="G37" s="21"/>
      <c r="H37" s="21"/>
      <c r="I37" s="21"/>
      <c r="J37" s="21"/>
      <c r="K37" s="21"/>
      <c r="L37" s="21" t="s">
        <v>69</v>
      </c>
      <c r="M37" s="21"/>
      <c r="N37" s="21" t="s">
        <v>69</v>
      </c>
      <c r="O37" s="21"/>
      <c r="P37" s="21" t="s">
        <v>69</v>
      </c>
      <c r="Q37" s="21"/>
      <c r="R37" s="21"/>
      <c r="S37" s="21"/>
      <c r="T37" s="21" t="s">
        <v>69</v>
      </c>
      <c r="U37" s="21"/>
      <c r="V37" s="22"/>
      <c r="W37" s="23" t="str">
        <f>IF(COUNTA(F37:U37)=0,"— não preenchido",IF(COUNTIF(F37:J37,"X")&lt;&gt;1,"FALTA/DUPLA: CONDIÇÃO DO PAVIMENTO",IF(COUNTIF(K37:L37,"X")&lt;&gt;1,"FALTA/DUPLA: VEGETAÇÃO",IF(COUNTIF(M37:O37,"X")&lt;&gt;1,"FALTA/DUPLA: ELEM. DE DRENAGEM",IF(COUNTIF(P37:R37,"X")&lt;&gt;1,"FALTA/DUPLA: SIN. HORIZ.",IF(COUNTIF(S37:U37,"X")&lt;&gt;1,"FALTA/DUPLA: SIN. VERTICAL","OK"))))))</f>
        <v>OK</v>
      </c>
    </row>
    <row r="38" spans="1:23" ht="20.100000000000001" customHeight="1" x14ac:dyDescent="0.25">
      <c r="A38" s="18" t="s">
        <v>131</v>
      </c>
      <c r="B38" s="19" t="s">
        <v>68</v>
      </c>
      <c r="C38" s="20">
        <v>2</v>
      </c>
      <c r="D38" s="20">
        <v>3</v>
      </c>
      <c r="E38" s="20">
        <f>D38-C38</f>
        <v>1</v>
      </c>
      <c r="F38" s="21"/>
      <c r="G38" s="21" t="s">
        <v>69</v>
      </c>
      <c r="H38" s="21"/>
      <c r="I38" s="21"/>
      <c r="J38" s="21"/>
      <c r="K38" s="21"/>
      <c r="L38" s="21" t="s">
        <v>69</v>
      </c>
      <c r="M38" s="21"/>
      <c r="N38" s="21" t="s">
        <v>69</v>
      </c>
      <c r="O38" s="21"/>
      <c r="P38" s="21" t="s">
        <v>69</v>
      </c>
      <c r="Q38" s="21"/>
      <c r="R38" s="21"/>
      <c r="S38" s="21"/>
      <c r="T38" s="21" t="s">
        <v>69</v>
      </c>
      <c r="U38" s="21"/>
      <c r="V38" s="22"/>
      <c r="W38" s="23" t="str">
        <f>IF(COUNTA(F38:U38)=0,"— não preenchido",IF(COUNTIF(F38:J38,"X")&lt;&gt;1,"FALTA/DUPLA: CONDIÇÃO DO PAVIMENTO",IF(COUNTIF(K38:L38,"X")&lt;&gt;1,"FALTA/DUPLA: VEGETAÇÃO",IF(COUNTIF(M38:O38,"X")&lt;&gt;1,"FALTA/DUPLA: ELEM. DE DRENAGEM",IF(COUNTIF(P38:R38,"X")&lt;&gt;1,"FALTA/DUPLA: SIN. HORIZ.",IF(COUNTIF(S38:U38,"X")&lt;&gt;1,"FALTA/DUPLA: SIN. VERTICAL","OK"))))))</f>
        <v>OK</v>
      </c>
    </row>
    <row r="39" spans="1:23" ht="20.100000000000001" customHeight="1" x14ac:dyDescent="0.25">
      <c r="A39" s="12" t="s">
        <v>131</v>
      </c>
      <c r="B39" s="13" t="s">
        <v>68</v>
      </c>
      <c r="C39" s="14">
        <v>3</v>
      </c>
      <c r="D39" s="14">
        <v>3.23447964588</v>
      </c>
      <c r="E39" s="14">
        <f>D39-C39</f>
        <v>0.23447964588000003</v>
      </c>
      <c r="F39" s="15"/>
      <c r="G39" s="15" t="s">
        <v>69</v>
      </c>
      <c r="H39" s="15"/>
      <c r="I39" s="15"/>
      <c r="J39" s="15"/>
      <c r="K39" s="15"/>
      <c r="L39" s="15" t="s">
        <v>69</v>
      </c>
      <c r="M39" s="15"/>
      <c r="N39" s="15" t="s">
        <v>69</v>
      </c>
      <c r="O39" s="15"/>
      <c r="P39" s="15" t="s">
        <v>69</v>
      </c>
      <c r="Q39" s="15"/>
      <c r="R39" s="15"/>
      <c r="S39" s="15"/>
      <c r="T39" s="15" t="s">
        <v>69</v>
      </c>
      <c r="U39" s="15"/>
      <c r="V39" s="16"/>
      <c r="W39" s="17" t="str">
        <f>IF(COUNTA(F39:U39)=0,"— não preenchido",IF(COUNTIF(F39:J39,"X")&lt;&gt;1,"FALTA/DUPLA: CONDIÇÃO DO PAVIMENTO",IF(COUNTIF(K39:L39,"X")&lt;&gt;1,"FALTA/DUPLA: VEGETAÇÃO",IF(COUNTIF(M39:O39,"X")&lt;&gt;1,"FALTA/DUPLA: ELEM. DE DRENAGEM",IF(COUNTIF(P39:R39,"X")&lt;&gt;1,"FALTA/DUPLA: SIN. HORIZ.",IF(COUNTIF(S39:U39,"X")&lt;&gt;1,"FALTA/DUPLA: SIN. VERTICAL","OK"))))))</f>
        <v>OK</v>
      </c>
    </row>
    <row r="40" spans="1:23" ht="15.95" customHeight="1" x14ac:dyDescent="0.25">
      <c r="A40" s="35" t="s">
        <v>132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4"/>
      <c r="W40" s="4"/>
    </row>
    <row r="41" spans="1:23" ht="20.100000000000001" customHeight="1" x14ac:dyDescent="0.25">
      <c r="A41" s="18" t="s">
        <v>133</v>
      </c>
      <c r="B41" s="19" t="s">
        <v>68</v>
      </c>
      <c r="C41" s="20">
        <v>0</v>
      </c>
      <c r="D41" s="20">
        <v>1</v>
      </c>
      <c r="E41" s="20">
        <f>D41-C41</f>
        <v>1</v>
      </c>
      <c r="F41" s="21" t="s">
        <v>69</v>
      </c>
      <c r="G41" s="21"/>
      <c r="H41" s="21"/>
      <c r="I41" s="21"/>
      <c r="J41" s="21"/>
      <c r="K41" s="21"/>
      <c r="L41" s="21" t="s">
        <v>69</v>
      </c>
      <c r="M41" s="21"/>
      <c r="N41" s="21" t="s">
        <v>69</v>
      </c>
      <c r="O41" s="21"/>
      <c r="P41" s="21" t="s">
        <v>69</v>
      </c>
      <c r="Q41" s="21"/>
      <c r="R41" s="21"/>
      <c r="S41" s="21"/>
      <c r="T41" s="21" t="s">
        <v>69</v>
      </c>
      <c r="U41" s="21"/>
      <c r="V41" s="22"/>
      <c r="W41" s="23" t="str">
        <f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8" t="s">
        <v>133</v>
      </c>
      <c r="B42" s="19" t="s">
        <v>68</v>
      </c>
      <c r="C42" s="20">
        <v>1</v>
      </c>
      <c r="D42" s="20">
        <v>2</v>
      </c>
      <c r="E42" s="20">
        <f>D42-C42</f>
        <v>1</v>
      </c>
      <c r="F42" s="21" t="s">
        <v>69</v>
      </c>
      <c r="G42" s="21"/>
      <c r="H42" s="21"/>
      <c r="I42" s="21"/>
      <c r="J42" s="21"/>
      <c r="K42" s="21"/>
      <c r="L42" s="21" t="s">
        <v>69</v>
      </c>
      <c r="M42" s="21"/>
      <c r="N42" s="21" t="s">
        <v>69</v>
      </c>
      <c r="O42" s="21"/>
      <c r="P42" s="21" t="s">
        <v>69</v>
      </c>
      <c r="Q42" s="21"/>
      <c r="R42" s="21"/>
      <c r="S42" s="21"/>
      <c r="T42" s="21" t="s">
        <v>69</v>
      </c>
      <c r="U42" s="21"/>
      <c r="V42" s="22"/>
      <c r="W42" s="23" t="str">
        <f>IF(COUNTA(F42:U42)=0,"— não preenchido",IF(COUNTIF(F42:J42,"X")&lt;&gt;1,"FALTA/DUPLA: CONDIÇÃO DO PAVIMENTO",IF(COUNTIF(K42:L42,"X")&lt;&gt;1,"FALTA/DUPLA: VEGETAÇÃO",IF(COUNTIF(M42:O42,"X")&lt;&gt;1,"FALTA/DUPLA: ELEM. DE DRENAGEM",IF(COUNTIF(P42:R42,"X")&lt;&gt;1,"FALTA/DUPLA: SIN. HORIZ.",IF(COUNTIF(S42:U42,"X")&lt;&gt;1,"FALTA/DUPLA: SIN. VERTICAL","OK"))))))</f>
        <v>OK</v>
      </c>
    </row>
    <row r="43" spans="1:23" ht="20.100000000000001" customHeight="1" x14ac:dyDescent="0.25">
      <c r="A43" s="12" t="s">
        <v>133</v>
      </c>
      <c r="B43" s="13" t="s">
        <v>68</v>
      </c>
      <c r="C43" s="14">
        <v>2</v>
      </c>
      <c r="D43" s="14">
        <v>2.6525118651900002</v>
      </c>
      <c r="E43" s="14">
        <f>D43-C43</f>
        <v>0.65251186519000015</v>
      </c>
      <c r="F43" s="15" t="s">
        <v>69</v>
      </c>
      <c r="G43" s="15"/>
      <c r="H43" s="15"/>
      <c r="I43" s="15"/>
      <c r="J43" s="15"/>
      <c r="K43" s="15"/>
      <c r="L43" s="15" t="s">
        <v>69</v>
      </c>
      <c r="M43" s="15"/>
      <c r="N43" s="15" t="s">
        <v>69</v>
      </c>
      <c r="O43" s="15"/>
      <c r="P43" s="15" t="s">
        <v>69</v>
      </c>
      <c r="Q43" s="15"/>
      <c r="R43" s="15"/>
      <c r="S43" s="15"/>
      <c r="T43" s="15" t="s">
        <v>69</v>
      </c>
      <c r="U43" s="15"/>
      <c r="V43" s="16"/>
      <c r="W43" s="17" t="str">
        <f>IF(COUNTA(F43:U43)=0,"— não preenchido",IF(COUNTIF(F43:J43,"X")&lt;&gt;1,"FALTA/DUPLA: CONDIÇÃO DO PAVIMENTO",IF(COUNTIF(K43:L43,"X")&lt;&gt;1,"FALTA/DUPLA: VEGETAÇÃO",IF(COUNTIF(M43:O43,"X")&lt;&gt;1,"FALTA/DUPLA: ELEM. DE DRENAGEM",IF(COUNTIF(P43:R43,"X")&lt;&gt;1,"FALTA/DUPLA: SIN. HORIZ.",IF(COUNTIF(S43:U43,"X")&lt;&gt;1,"FALTA/DUPLA: SIN. VERTICAL","OK"))))))</f>
        <v>OK</v>
      </c>
    </row>
    <row r="45" spans="1:23" x14ac:dyDescent="0.25">
      <c r="A45" s="40" t="s">
        <v>78</v>
      </c>
      <c r="B45" s="28"/>
      <c r="C45" s="28"/>
      <c r="D45" s="28"/>
      <c r="E45" s="28"/>
      <c r="G45" s="40" t="s">
        <v>78</v>
      </c>
      <c r="H45" s="28"/>
      <c r="I45" s="28"/>
      <c r="J45" s="28"/>
      <c r="K45" s="28"/>
    </row>
    <row r="46" spans="1:23" x14ac:dyDescent="0.25">
      <c r="A46" s="44" t="s">
        <v>79</v>
      </c>
      <c r="B46" s="28"/>
      <c r="C46" s="28"/>
      <c r="D46" s="28"/>
      <c r="E46" s="28"/>
      <c r="G46" s="44" t="s">
        <v>80</v>
      </c>
      <c r="H46" s="28"/>
      <c r="I46" s="28"/>
      <c r="J46" s="28"/>
      <c r="K46" s="28"/>
    </row>
    <row r="48" spans="1:23" x14ac:dyDescent="0.25">
      <c r="A48" s="41" t="s">
        <v>81</v>
      </c>
      <c r="B48" s="28"/>
      <c r="C48" s="28"/>
      <c r="D48" s="28"/>
      <c r="E48" s="28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</row>
    <row r="49" spans="1:22" x14ac:dyDescent="0.25">
      <c r="A49" s="43" t="s">
        <v>82</v>
      </c>
      <c r="B49" s="28"/>
      <c r="C49" s="28"/>
      <c r="D49" s="28"/>
      <c r="E49" s="28"/>
      <c r="F49" s="9">
        <f t="shared" ref="F49:U49" si="3">SUMIF(F$9:F$43,"X",$E$9:$E$43)</f>
        <v>21.142364318190001</v>
      </c>
      <c r="G49" s="9">
        <f t="shared" si="3"/>
        <v>1.23447964588</v>
      </c>
      <c r="H49" s="9">
        <f t="shared" si="3"/>
        <v>7.8623358040099998</v>
      </c>
      <c r="I49" s="9">
        <f t="shared" si="3"/>
        <v>0</v>
      </c>
      <c r="J49" s="9">
        <f t="shared" si="3"/>
        <v>0</v>
      </c>
      <c r="K49" s="9">
        <f t="shared" si="3"/>
        <v>0</v>
      </c>
      <c r="L49" s="9">
        <f t="shared" si="3"/>
        <v>30.239179768080003</v>
      </c>
      <c r="M49" s="9">
        <f t="shared" si="3"/>
        <v>0</v>
      </c>
      <c r="N49" s="9">
        <f t="shared" si="3"/>
        <v>30.239179768080003</v>
      </c>
      <c r="O49" s="9">
        <f t="shared" si="3"/>
        <v>0</v>
      </c>
      <c r="P49" s="9">
        <f t="shared" si="3"/>
        <v>14.376843964070002</v>
      </c>
      <c r="Q49" s="9">
        <f t="shared" si="3"/>
        <v>15.86233580401</v>
      </c>
      <c r="R49" s="9">
        <f t="shared" si="3"/>
        <v>0</v>
      </c>
      <c r="S49" s="9">
        <f t="shared" si="3"/>
        <v>0</v>
      </c>
      <c r="T49" s="9">
        <f t="shared" si="3"/>
        <v>30.239179768080003</v>
      </c>
      <c r="U49" s="9">
        <f t="shared" si="3"/>
        <v>0</v>
      </c>
    </row>
    <row r="50" spans="1:22" x14ac:dyDescent="0.25">
      <c r="A50" s="43" t="s">
        <v>83</v>
      </c>
      <c r="B50" s="28"/>
      <c r="C50" s="28"/>
      <c r="D50" s="28"/>
      <c r="E50" s="28"/>
      <c r="F50" s="25">
        <f t="shared" ref="F50:U50" si="4">IF($R52=0,0,F49/$R52)</f>
        <v>0.69917122356961359</v>
      </c>
      <c r="G50" s="25">
        <f t="shared" si="4"/>
        <v>4.0823846921373745E-2</v>
      </c>
      <c r="H50" s="25">
        <f t="shared" si="4"/>
        <v>0.26000492950901255</v>
      </c>
      <c r="I50" s="25">
        <f t="shared" si="4"/>
        <v>0</v>
      </c>
      <c r="J50" s="25">
        <f t="shared" si="4"/>
        <v>0</v>
      </c>
      <c r="K50" s="25">
        <f t="shared" si="4"/>
        <v>0</v>
      </c>
      <c r="L50" s="25">
        <f t="shared" si="4"/>
        <v>1</v>
      </c>
      <c r="M50" s="25">
        <f t="shared" si="4"/>
        <v>0</v>
      </c>
      <c r="N50" s="25">
        <f t="shared" si="4"/>
        <v>1</v>
      </c>
      <c r="O50" s="25">
        <f t="shared" si="4"/>
        <v>0</v>
      </c>
      <c r="P50" s="25">
        <f t="shared" si="4"/>
        <v>0.4754376300658118</v>
      </c>
      <c r="Q50" s="25">
        <f t="shared" si="4"/>
        <v>0.52456236993418814</v>
      </c>
      <c r="R50" s="25">
        <f t="shared" si="4"/>
        <v>0</v>
      </c>
      <c r="S50" s="25">
        <f t="shared" si="4"/>
        <v>0</v>
      </c>
      <c r="T50" s="25">
        <f t="shared" si="4"/>
        <v>1</v>
      </c>
      <c r="U50" s="25">
        <f t="shared" si="4"/>
        <v>0</v>
      </c>
    </row>
    <row r="51" spans="1:22" x14ac:dyDescent="0.25">
      <c r="A51" s="43" t="s">
        <v>84</v>
      </c>
      <c r="B51" s="28"/>
      <c r="C51" s="28"/>
      <c r="D51" s="28"/>
      <c r="E51" s="28"/>
      <c r="F51" s="42" t="str">
        <f>IF(SUM(F49:J49)=0,"— não preenchido",IF(ROUND(SUM(F49:J49)-$R52,3)=0,"OK — "&amp;ROUND(SUM(F49:J49),3)&amp;" km","ERRO — dif. de "&amp;ROUND(SUM(F49:J49)-$R52,3)&amp;" km"))</f>
        <v>OK — 30,239 km</v>
      </c>
      <c r="G51" s="33"/>
      <c r="H51" s="33"/>
      <c r="I51" s="33"/>
      <c r="J51" s="34"/>
      <c r="K51" s="42" t="str">
        <f>IF(SUM(K49:L49)=0,"— não preenchido",IF(ROUND(SUM(K49:L49)-$R52,3)=0,"OK — "&amp;ROUND(SUM(K49:L49),3)&amp;" km","ERRO — dif. de "&amp;ROUND(SUM(K49:L49)-$R52,3)&amp;" km"))</f>
        <v>OK — 30,239 km</v>
      </c>
      <c r="L51" s="34"/>
      <c r="M51" s="42" t="str">
        <f>IF(SUM(M49:O49)=0,"— não preenchido",IF(ROUND(SUM(M49:O49)-$R52,3)=0,"OK — "&amp;ROUND(SUM(M49:O49),3)&amp;" km","ERRO — dif. de "&amp;ROUND(SUM(M49:O49)-$R52,3)&amp;" km"))</f>
        <v>OK — 30,239 km</v>
      </c>
      <c r="N51" s="33"/>
      <c r="O51" s="34"/>
      <c r="P51" s="42" t="str">
        <f>IF(SUM(P49:R49)=0,"— não preenchido",IF(ROUND(SUM(P49:R49)-$R52,3)=0,"OK — "&amp;ROUND(SUM(P49:R49),3)&amp;" km","ERRO — dif. de "&amp;ROUND(SUM(P49:R49)-$R52,3)&amp;" km"))</f>
        <v>OK — 30,239 km</v>
      </c>
      <c r="Q51" s="33"/>
      <c r="R51" s="34"/>
      <c r="S51" s="42" t="str">
        <f>IF(SUM(S49:U49)=0,"— não preenchido",IF(ROUND(SUM(S49:U49)-$R52,3)=0,"OK — "&amp;ROUND(SUM(S49:U49),3)&amp;" km","ERRO — dif. de "&amp;ROUND(SUM(S49:U49)-$R52,3)&amp;" km"))</f>
        <v>OK — 30,239 km</v>
      </c>
      <c r="T51" s="33"/>
      <c r="U51" s="34"/>
    </row>
    <row r="52" spans="1:22" x14ac:dyDescent="0.25">
      <c r="A52" s="43" t="s">
        <v>85</v>
      </c>
      <c r="B52" s="28"/>
      <c r="C52" s="28"/>
      <c r="D52" s="28"/>
      <c r="E52" s="28"/>
      <c r="R52" s="26">
        <f>SUM(E9:E43)</f>
        <v>30.239179768080003</v>
      </c>
      <c r="V52" s="8" t="str">
        <f>COUNTIF(W9:W43,"OK")&amp;" de "&amp;COUNT($E$9:$E$43)&amp;" linhas conferidas"</f>
        <v>32 de 32 linhas conferidas</v>
      </c>
    </row>
    <row r="54" spans="1:22" x14ac:dyDescent="0.25">
      <c r="A54" s="37" t="s">
        <v>86</v>
      </c>
      <c r="B54" s="28"/>
      <c r="C54" s="28"/>
      <c r="D54" s="28"/>
      <c r="E54" s="28"/>
    </row>
    <row r="55" spans="1:22" x14ac:dyDescent="0.25">
      <c r="A55" s="43" t="s">
        <v>87</v>
      </c>
      <c r="B55" s="28"/>
      <c r="C55" s="28"/>
      <c r="D55" s="28"/>
      <c r="E55" s="31" t="s">
        <v>88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43" t="s">
        <v>89</v>
      </c>
      <c r="B56" s="28"/>
      <c r="C56" s="28"/>
      <c r="D56" s="28"/>
      <c r="E56" s="31" t="s">
        <v>90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43" t="s">
        <v>91</v>
      </c>
      <c r="B57" s="28"/>
      <c r="C57" s="28"/>
      <c r="D57" s="28"/>
      <c r="E57" s="31" t="s">
        <v>92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x14ac:dyDescent="0.25">
      <c r="A58" s="43" t="s">
        <v>93</v>
      </c>
      <c r="B58" s="28"/>
      <c r="C58" s="28"/>
      <c r="D58" s="28"/>
      <c r="E58" s="31" t="s">
        <v>94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x14ac:dyDescent="0.25">
      <c r="A59" s="43" t="s">
        <v>95</v>
      </c>
      <c r="B59" s="28"/>
      <c r="C59" s="28"/>
      <c r="D59" s="28"/>
      <c r="E59" s="31" t="s">
        <v>96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x14ac:dyDescent="0.25">
      <c r="A60" s="43" t="s">
        <v>60</v>
      </c>
      <c r="B60" s="28"/>
      <c r="C60" s="28"/>
      <c r="D60" s="28"/>
      <c r="E60" s="31" t="s">
        <v>97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43" t="s">
        <v>98</v>
      </c>
      <c r="B61" s="28"/>
      <c r="C61" s="28"/>
      <c r="D61" s="28"/>
      <c r="E61" s="31" t="s">
        <v>99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43" t="s">
        <v>100</v>
      </c>
      <c r="B62" s="28"/>
      <c r="C62" s="28"/>
      <c r="D62" s="28"/>
      <c r="E62" s="31" t="s">
        <v>101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43" t="s">
        <v>11</v>
      </c>
      <c r="B63" s="28"/>
      <c r="C63" s="28"/>
      <c r="D63" s="28"/>
      <c r="E63" s="31" t="s">
        <v>102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</sheetData>
  <sheetProtection sheet="1" formatCells="0"/>
  <mergeCells count="60">
    <mergeCell ref="E57:V57"/>
    <mergeCell ref="A4:V4"/>
    <mergeCell ref="A6:A7"/>
    <mergeCell ref="G2:H2"/>
    <mergeCell ref="I2:J2"/>
    <mergeCell ref="F6:J6"/>
    <mergeCell ref="R2:V2"/>
    <mergeCell ref="A3:S3"/>
    <mergeCell ref="C6:C7"/>
    <mergeCell ref="K6:L6"/>
    <mergeCell ref="D6:D7"/>
    <mergeCell ref="P6:R6"/>
    <mergeCell ref="A1:V1"/>
    <mergeCell ref="S51:U51"/>
    <mergeCell ref="T3:V3"/>
    <mergeCell ref="G45:K45"/>
    <mergeCell ref="E56:V56"/>
    <mergeCell ref="P51:R51"/>
    <mergeCell ref="A56:D56"/>
    <mergeCell ref="A52:E52"/>
    <mergeCell ref="G46:K46"/>
    <mergeCell ref="E55:V55"/>
    <mergeCell ref="A55:D55"/>
    <mergeCell ref="A50:E50"/>
    <mergeCell ref="N2:O2"/>
    <mergeCell ref="P2:Q2"/>
    <mergeCell ref="A2:F2"/>
    <mergeCell ref="K2:M2"/>
    <mergeCell ref="W6:W7"/>
    <mergeCell ref="A59:D59"/>
    <mergeCell ref="A40:V40"/>
    <mergeCell ref="A46:E46"/>
    <mergeCell ref="E6:E7"/>
    <mergeCell ref="M51:O51"/>
    <mergeCell ref="B6:B7"/>
    <mergeCell ref="A11:V11"/>
    <mergeCell ref="A58:D58"/>
    <mergeCell ref="A54:E54"/>
    <mergeCell ref="E59:V59"/>
    <mergeCell ref="F51:J51"/>
    <mergeCell ref="A35:V35"/>
    <mergeCell ref="S6:U6"/>
    <mergeCell ref="K51:L51"/>
    <mergeCell ref="A48:E48"/>
    <mergeCell ref="E60:V60"/>
    <mergeCell ref="A63:D63"/>
    <mergeCell ref="M6:O6"/>
    <mergeCell ref="V6:V7"/>
    <mergeCell ref="E63:V63"/>
    <mergeCell ref="A62:D62"/>
    <mergeCell ref="A8:V8"/>
    <mergeCell ref="A49:E49"/>
    <mergeCell ref="A51:E51"/>
    <mergeCell ref="A45:E45"/>
    <mergeCell ref="E62:V62"/>
    <mergeCell ref="A60:D60"/>
    <mergeCell ref="E61:V61"/>
    <mergeCell ref="A61:D61"/>
    <mergeCell ref="E58:V58"/>
    <mergeCell ref="A57:D57"/>
  </mergeCells>
  <conditionalFormatting sqref="F9:J43">
    <cfRule type="expression" dxfId="215" priority="1">
      <formula>AND(F9&lt;&gt;"",COUNTIF($F9:$J9,"X")&gt;1)</formula>
    </cfRule>
  </conditionalFormatting>
  <conditionalFormatting sqref="F51:U51">
    <cfRule type="expression" dxfId="214" priority="8">
      <formula>LEFT(F51,4)="ERRO"</formula>
    </cfRule>
    <cfRule type="expression" dxfId="213" priority="9">
      <formula>LEFT(F51,2)="OK"</formula>
    </cfRule>
  </conditionalFormatting>
  <conditionalFormatting sqref="K9:L43">
    <cfRule type="expression" dxfId="212" priority="2">
      <formula>AND(K9&lt;&gt;"",COUNTIF($K9:$L9,"X")&gt;1)</formula>
    </cfRule>
  </conditionalFormatting>
  <conditionalFormatting sqref="M9:O43">
    <cfRule type="expression" dxfId="211" priority="3">
      <formula>AND(M9&lt;&gt;"",COUNTIF($M9:$O9,"X")&gt;1)</formula>
    </cfRule>
  </conditionalFormatting>
  <conditionalFormatting sqref="P9:R43">
    <cfRule type="expression" dxfId="210" priority="4">
      <formula>AND(P9&lt;&gt;"",COUNTIF($P9:$R9,"X")&gt;1)</formula>
    </cfRule>
  </conditionalFormatting>
  <conditionalFormatting sqref="S9:U43">
    <cfRule type="expression" dxfId="209" priority="5">
      <formula>AND(S9&lt;&gt;"",COUNTIF($S9:$U9,"X")&gt;1)</formula>
    </cfRule>
  </conditionalFormatting>
  <conditionalFormatting sqref="W9:W43">
    <cfRule type="expression" dxfId="208" priority="6">
      <formula>AND(W9&lt;&gt;"OK",W9&lt;&gt;"")</formula>
    </cfRule>
    <cfRule type="expression" dxfId="20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3" xr:uid="{00000000-0002-0000-05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3" xr:uid="{00000000-0002-0000-05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3" xr:uid="{00000000-0002-0000-05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3" xr:uid="{00000000-0002-0000-05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3" xr:uid="{00000000-0002-0000-0500-000004000000}">
      <formula1>AND(UPPER(S9)="X",COUNTIF($S9:$U9,"X")&lt;=1)</formula1>
    </dataValidation>
    <dataValidation type="list" showErrorMessage="1" errorTitle="Sentido inválido" error="Use C (crescente) ou D (decrescente)." sqref="B9:B43" xr:uid="{00000000-0002-0000-05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5</oddHeader>
    <oddFooter>&amp;L&amp;7 RTA / MSI — Programa de Manutenção Rodoviária&amp;C&amp;7 Página &amp;P de &amp;N&amp;R&amp;7 Impresso em &amp;D</oddFooter>
  </headerFooter>
  <rowBreaks count="1" manualBreakCount="1">
    <brk id="46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AN38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IF(F24=0,NA(),F24)</f>
        <v>5.5139277058600005</v>
      </c>
      <c r="Z2" s="2">
        <f t="shared" si="0"/>
        <v>1</v>
      </c>
      <c r="AA2" s="2" t="e">
        <f t="shared" si="0"/>
        <v>#N/A</v>
      </c>
      <c r="AB2" s="2">
        <f t="shared" si="0"/>
        <v>2</v>
      </c>
      <c r="AC2" s="2" t="e">
        <f t="shared" si="0"/>
        <v>#N/A</v>
      </c>
      <c r="AD2" s="2" t="e">
        <f t="shared" si="0"/>
        <v>#N/A</v>
      </c>
      <c r="AE2" s="2">
        <f t="shared" si="0"/>
        <v>8.5139277058600005</v>
      </c>
      <c r="AF2" s="2" t="e">
        <f t="shared" si="0"/>
        <v>#N/A</v>
      </c>
      <c r="AG2" s="2">
        <f t="shared" si="0"/>
        <v>8.5139277058600005</v>
      </c>
      <c r="AH2" s="2" t="e">
        <f t="shared" si="0"/>
        <v>#N/A</v>
      </c>
      <c r="AI2" s="2">
        <f t="shared" si="0"/>
        <v>7.9848124491900005</v>
      </c>
      <c r="AJ2" s="2">
        <f t="shared" si="0"/>
        <v>0.52911525666999992</v>
      </c>
      <c r="AK2" s="2" t="e">
        <f t="shared" si="0"/>
        <v>#N/A</v>
      </c>
      <c r="AL2" s="2">
        <f t="shared" si="0"/>
        <v>8.5139277058600005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49" t="s">
        <v>134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135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136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137</v>
      </c>
      <c r="B9" s="19" t="s">
        <v>68</v>
      </c>
      <c r="C9" s="20">
        <v>0</v>
      </c>
      <c r="D9" s="20">
        <v>1</v>
      </c>
      <c r="E9" s="20">
        <f t="shared" ref="E9:E14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 t="s">
        <v>69</v>
      </c>
      <c r="T9" s="21"/>
      <c r="U9" s="21"/>
      <c r="V9" s="22"/>
      <c r="W9" s="23" t="str">
        <f t="shared" ref="W9:W1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137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/>
      <c r="G10" s="21" t="s">
        <v>69</v>
      </c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 t="s">
        <v>69</v>
      </c>
      <c r="T10" s="21"/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137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/>
      <c r="G11" s="21"/>
      <c r="H11" s="21"/>
      <c r="I11" s="21" t="s">
        <v>69</v>
      </c>
      <c r="J11" s="21"/>
      <c r="K11" s="21"/>
      <c r="L11" s="21" t="s">
        <v>69</v>
      </c>
      <c r="M11" s="21"/>
      <c r="N11" s="21" t="s">
        <v>69</v>
      </c>
      <c r="O11" s="21"/>
      <c r="P11" s="21" t="s">
        <v>69</v>
      </c>
      <c r="Q11" s="21"/>
      <c r="R11" s="21"/>
      <c r="S11" s="21" t="s">
        <v>69</v>
      </c>
      <c r="T11" s="21"/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137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 t="s">
        <v>69</v>
      </c>
      <c r="G12" s="21"/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 t="s">
        <v>69</v>
      </c>
      <c r="Q12" s="21"/>
      <c r="R12" s="21"/>
      <c r="S12" s="21" t="s">
        <v>69</v>
      </c>
      <c r="T12" s="21"/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137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/>
      <c r="G13" s="21"/>
      <c r="H13" s="21"/>
      <c r="I13" s="21" t="s">
        <v>69</v>
      </c>
      <c r="J13" s="21"/>
      <c r="K13" s="21"/>
      <c r="L13" s="21" t="s">
        <v>69</v>
      </c>
      <c r="M13" s="21"/>
      <c r="N13" s="21" t="s">
        <v>69</v>
      </c>
      <c r="O13" s="21"/>
      <c r="P13" s="21" t="s">
        <v>69</v>
      </c>
      <c r="Q13" s="21"/>
      <c r="R13" s="21"/>
      <c r="S13" s="21" t="s">
        <v>69</v>
      </c>
      <c r="T13" s="21"/>
      <c r="U13" s="21"/>
      <c r="V13" s="22"/>
      <c r="W13" s="23" t="str">
        <f t="shared" si="2"/>
        <v>OK</v>
      </c>
    </row>
    <row r="14" spans="1:40" ht="20.100000000000001" customHeight="1" x14ac:dyDescent="0.25">
      <c r="A14" s="12" t="s">
        <v>137</v>
      </c>
      <c r="B14" s="13" t="s">
        <v>68</v>
      </c>
      <c r="C14" s="14">
        <v>5</v>
      </c>
      <c r="D14" s="14">
        <v>5.5291152566699999</v>
      </c>
      <c r="E14" s="14">
        <f t="shared" si="1"/>
        <v>0.52911525666999992</v>
      </c>
      <c r="F14" s="15" t="s">
        <v>69</v>
      </c>
      <c r="G14" s="15"/>
      <c r="H14" s="15"/>
      <c r="I14" s="15"/>
      <c r="J14" s="15"/>
      <c r="K14" s="15"/>
      <c r="L14" s="15" t="s">
        <v>69</v>
      </c>
      <c r="M14" s="15"/>
      <c r="N14" s="15" t="s">
        <v>69</v>
      </c>
      <c r="O14" s="15"/>
      <c r="P14" s="15"/>
      <c r="Q14" s="15" t="s">
        <v>69</v>
      </c>
      <c r="R14" s="15"/>
      <c r="S14" s="15" t="s">
        <v>69</v>
      </c>
      <c r="T14" s="15"/>
      <c r="U14" s="15"/>
      <c r="V14" s="16"/>
      <c r="W14" s="17" t="str">
        <f t="shared" si="2"/>
        <v>OK</v>
      </c>
    </row>
    <row r="15" spans="1:40" ht="15.95" customHeight="1" x14ac:dyDescent="0.25">
      <c r="A15" s="35" t="s">
        <v>138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4"/>
      <c r="W15" s="4"/>
    </row>
    <row r="16" spans="1:40" ht="20.100000000000001" customHeight="1" x14ac:dyDescent="0.25">
      <c r="A16" s="18" t="s">
        <v>139</v>
      </c>
      <c r="B16" s="19" t="s">
        <v>68</v>
      </c>
      <c r="C16" s="20">
        <v>0</v>
      </c>
      <c r="D16" s="20">
        <v>1</v>
      </c>
      <c r="E16" s="20">
        <f>D16-C16</f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 t="s">
        <v>69</v>
      </c>
      <c r="Q16" s="21"/>
      <c r="R16" s="21"/>
      <c r="S16" s="21" t="s">
        <v>69</v>
      </c>
      <c r="T16" s="21"/>
      <c r="U16" s="21"/>
      <c r="V16" s="22"/>
      <c r="W16" s="23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20.100000000000001" customHeight="1" x14ac:dyDescent="0.25">
      <c r="A17" s="18" t="s">
        <v>139</v>
      </c>
      <c r="B17" s="19" t="s">
        <v>68</v>
      </c>
      <c r="C17" s="20">
        <v>1</v>
      </c>
      <c r="D17" s="20">
        <v>2</v>
      </c>
      <c r="E17" s="20">
        <f>D17-C17</f>
        <v>1</v>
      </c>
      <c r="F17" s="21" t="s">
        <v>69</v>
      </c>
      <c r="G17" s="21"/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 t="s">
        <v>69</v>
      </c>
      <c r="Q17" s="21"/>
      <c r="R17" s="21"/>
      <c r="S17" s="21" t="s">
        <v>69</v>
      </c>
      <c r="T17" s="21"/>
      <c r="U17" s="21"/>
      <c r="V17" s="22"/>
      <c r="W17" s="23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2" t="s">
        <v>139</v>
      </c>
      <c r="B18" s="13" t="s">
        <v>68</v>
      </c>
      <c r="C18" s="14">
        <v>2</v>
      </c>
      <c r="D18" s="14">
        <v>2.9848124491900001</v>
      </c>
      <c r="E18" s="14">
        <f>D18-C18</f>
        <v>0.98481244919000011</v>
      </c>
      <c r="F18" s="15" t="s">
        <v>69</v>
      </c>
      <c r="G18" s="15"/>
      <c r="H18" s="15"/>
      <c r="I18" s="15"/>
      <c r="J18" s="15"/>
      <c r="K18" s="15"/>
      <c r="L18" s="15" t="s">
        <v>69</v>
      </c>
      <c r="M18" s="15"/>
      <c r="N18" s="15" t="s">
        <v>69</v>
      </c>
      <c r="O18" s="15"/>
      <c r="P18" s="15" t="s">
        <v>69</v>
      </c>
      <c r="Q18" s="15"/>
      <c r="R18" s="15"/>
      <c r="S18" s="15" t="s">
        <v>69</v>
      </c>
      <c r="T18" s="15"/>
      <c r="U18" s="15"/>
      <c r="V18" s="16"/>
      <c r="W18" s="17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20" spans="1:23" x14ac:dyDescent="0.25">
      <c r="A20" s="40" t="s">
        <v>78</v>
      </c>
      <c r="B20" s="28"/>
      <c r="C20" s="28"/>
      <c r="D20" s="28"/>
      <c r="E20" s="28"/>
      <c r="G20" s="40" t="s">
        <v>78</v>
      </c>
      <c r="H20" s="28"/>
      <c r="I20" s="28"/>
      <c r="J20" s="28"/>
      <c r="K20" s="28"/>
    </row>
    <row r="21" spans="1:23" x14ac:dyDescent="0.25">
      <c r="A21" s="44" t="s">
        <v>79</v>
      </c>
      <c r="B21" s="28"/>
      <c r="C21" s="28"/>
      <c r="D21" s="28"/>
      <c r="E21" s="28"/>
      <c r="G21" s="44" t="s">
        <v>80</v>
      </c>
      <c r="H21" s="28"/>
      <c r="I21" s="28"/>
      <c r="J21" s="28"/>
      <c r="K21" s="28"/>
    </row>
    <row r="23" spans="1:23" x14ac:dyDescent="0.25">
      <c r="A23" s="41" t="s">
        <v>81</v>
      </c>
      <c r="B23" s="28"/>
      <c r="C23" s="28"/>
      <c r="D23" s="28"/>
      <c r="E23" s="28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spans="1:23" x14ac:dyDescent="0.25">
      <c r="A24" s="43" t="s">
        <v>82</v>
      </c>
      <c r="B24" s="28"/>
      <c r="C24" s="28"/>
      <c r="D24" s="28"/>
      <c r="E24" s="28"/>
      <c r="F24" s="9">
        <f t="shared" ref="F24:U24" si="3">SUMIF(F$9:F$18,"X",$E$9:$E$18)</f>
        <v>5.5139277058600005</v>
      </c>
      <c r="G24" s="9">
        <f t="shared" si="3"/>
        <v>1</v>
      </c>
      <c r="H24" s="9">
        <f t="shared" si="3"/>
        <v>0</v>
      </c>
      <c r="I24" s="9">
        <f t="shared" si="3"/>
        <v>2</v>
      </c>
      <c r="J24" s="9">
        <f t="shared" si="3"/>
        <v>0</v>
      </c>
      <c r="K24" s="9">
        <f t="shared" si="3"/>
        <v>0</v>
      </c>
      <c r="L24" s="9">
        <f t="shared" si="3"/>
        <v>8.5139277058600005</v>
      </c>
      <c r="M24" s="9">
        <f t="shared" si="3"/>
        <v>0</v>
      </c>
      <c r="N24" s="9">
        <f t="shared" si="3"/>
        <v>8.5139277058600005</v>
      </c>
      <c r="O24" s="9">
        <f t="shared" si="3"/>
        <v>0</v>
      </c>
      <c r="P24" s="9">
        <f t="shared" si="3"/>
        <v>7.9848124491900005</v>
      </c>
      <c r="Q24" s="9">
        <f t="shared" si="3"/>
        <v>0.52911525666999992</v>
      </c>
      <c r="R24" s="9">
        <f t="shared" si="3"/>
        <v>0</v>
      </c>
      <c r="S24" s="9">
        <f t="shared" si="3"/>
        <v>8.5139277058600005</v>
      </c>
      <c r="T24" s="9">
        <f t="shared" si="3"/>
        <v>0</v>
      </c>
      <c r="U24" s="9">
        <f t="shared" si="3"/>
        <v>0</v>
      </c>
    </row>
    <row r="25" spans="1:23" x14ac:dyDescent="0.25">
      <c r="A25" s="43" t="s">
        <v>83</v>
      </c>
      <c r="B25" s="28"/>
      <c r="C25" s="28"/>
      <c r="D25" s="28"/>
      <c r="E25" s="28"/>
      <c r="F25" s="25">
        <f t="shared" ref="F25:U25" si="4">IF($R27=0,0,F24/$R27)</f>
        <v>0.64763619052870891</v>
      </c>
      <c r="G25" s="25">
        <f t="shared" si="4"/>
        <v>0.11745460315709705</v>
      </c>
      <c r="H25" s="25">
        <f t="shared" si="4"/>
        <v>0</v>
      </c>
      <c r="I25" s="25">
        <f t="shared" si="4"/>
        <v>0.2349092063141941</v>
      </c>
      <c r="J25" s="25">
        <f t="shared" si="4"/>
        <v>0</v>
      </c>
      <c r="K25" s="25">
        <f t="shared" si="4"/>
        <v>0</v>
      </c>
      <c r="L25" s="25">
        <f t="shared" si="4"/>
        <v>1</v>
      </c>
      <c r="M25" s="25">
        <f t="shared" si="4"/>
        <v>0</v>
      </c>
      <c r="N25" s="25">
        <f t="shared" si="4"/>
        <v>1</v>
      </c>
      <c r="O25" s="25">
        <f t="shared" si="4"/>
        <v>0</v>
      </c>
      <c r="P25" s="25">
        <f t="shared" si="4"/>
        <v>0.93785297750345964</v>
      </c>
      <c r="Q25" s="25">
        <f t="shared" si="4"/>
        <v>6.2147022496540388E-2</v>
      </c>
      <c r="R25" s="25">
        <f t="shared" si="4"/>
        <v>0</v>
      </c>
      <c r="S25" s="25">
        <f t="shared" si="4"/>
        <v>1</v>
      </c>
      <c r="T25" s="25">
        <f t="shared" si="4"/>
        <v>0</v>
      </c>
      <c r="U25" s="25">
        <f t="shared" si="4"/>
        <v>0</v>
      </c>
    </row>
    <row r="26" spans="1:23" x14ac:dyDescent="0.25">
      <c r="A26" s="43" t="s">
        <v>84</v>
      </c>
      <c r="B26" s="28"/>
      <c r="C26" s="28"/>
      <c r="D26" s="28"/>
      <c r="E26" s="28"/>
      <c r="F26" s="42" t="str">
        <f>IF(SUM(F24:J24)=0,"— não preenchido",IF(ROUND(SUM(F24:J24)-$R27,3)=0,"OK — "&amp;ROUND(SUM(F24:J24),3)&amp;" km","ERRO — dif. de "&amp;ROUND(SUM(F24:J24)-$R27,3)&amp;" km"))</f>
        <v>OK — 8,514 km</v>
      </c>
      <c r="G26" s="33"/>
      <c r="H26" s="33"/>
      <c r="I26" s="33"/>
      <c r="J26" s="34"/>
      <c r="K26" s="42" t="str">
        <f>IF(SUM(K24:L24)=0,"— não preenchido",IF(ROUND(SUM(K24:L24)-$R27,3)=0,"OK — "&amp;ROUND(SUM(K24:L24),3)&amp;" km","ERRO — dif. de "&amp;ROUND(SUM(K24:L24)-$R27,3)&amp;" km"))</f>
        <v>OK — 8,514 km</v>
      </c>
      <c r="L26" s="34"/>
      <c r="M26" s="42" t="str">
        <f>IF(SUM(M24:O24)=0,"— não preenchido",IF(ROUND(SUM(M24:O24)-$R27,3)=0,"OK — "&amp;ROUND(SUM(M24:O24),3)&amp;" km","ERRO — dif. de "&amp;ROUND(SUM(M24:O24)-$R27,3)&amp;" km"))</f>
        <v>OK — 8,514 km</v>
      </c>
      <c r="N26" s="33"/>
      <c r="O26" s="34"/>
      <c r="P26" s="42" t="str">
        <f>IF(SUM(P24:R24)=0,"— não preenchido",IF(ROUND(SUM(P24:R24)-$R27,3)=0,"OK — "&amp;ROUND(SUM(P24:R24),3)&amp;" km","ERRO — dif. de "&amp;ROUND(SUM(P24:R24)-$R27,3)&amp;" km"))</f>
        <v>OK — 8,514 km</v>
      </c>
      <c r="Q26" s="33"/>
      <c r="R26" s="34"/>
      <c r="S26" s="42" t="str">
        <f>IF(SUM(S24:U24)=0,"— não preenchido",IF(ROUND(SUM(S24:U24)-$R27,3)=0,"OK — "&amp;ROUND(SUM(S24:U24),3)&amp;" km","ERRO — dif. de "&amp;ROUND(SUM(S24:U24)-$R27,3)&amp;" km"))</f>
        <v>OK — 8,514 km</v>
      </c>
      <c r="T26" s="33"/>
      <c r="U26" s="34"/>
    </row>
    <row r="27" spans="1:23" x14ac:dyDescent="0.25">
      <c r="A27" s="43" t="s">
        <v>85</v>
      </c>
      <c r="B27" s="28"/>
      <c r="C27" s="28"/>
      <c r="D27" s="28"/>
      <c r="E27" s="28"/>
      <c r="R27" s="26">
        <f>SUM(E9:E18)</f>
        <v>8.5139277058600005</v>
      </c>
      <c r="V27" s="8" t="str">
        <f>COUNTIF(W9:W18,"OK")&amp;" de "&amp;COUNT($E$9:$E$18)&amp;" linhas conferidas"</f>
        <v>9 de 9 linhas conferidas</v>
      </c>
    </row>
    <row r="29" spans="1:23" x14ac:dyDescent="0.25">
      <c r="A29" s="37" t="s">
        <v>86</v>
      </c>
      <c r="B29" s="28"/>
      <c r="C29" s="28"/>
      <c r="D29" s="28"/>
      <c r="E29" s="28"/>
    </row>
    <row r="30" spans="1:23" x14ac:dyDescent="0.25">
      <c r="A30" s="43" t="s">
        <v>87</v>
      </c>
      <c r="B30" s="28"/>
      <c r="C30" s="28"/>
      <c r="D30" s="28"/>
      <c r="E30" s="31" t="s">
        <v>88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3" x14ac:dyDescent="0.25">
      <c r="A31" s="43" t="s">
        <v>89</v>
      </c>
      <c r="B31" s="28"/>
      <c r="C31" s="28"/>
      <c r="D31" s="28"/>
      <c r="E31" s="31" t="s">
        <v>90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3" x14ac:dyDescent="0.25">
      <c r="A32" s="43" t="s">
        <v>91</v>
      </c>
      <c r="B32" s="28"/>
      <c r="C32" s="28"/>
      <c r="D32" s="28"/>
      <c r="E32" s="31" t="s">
        <v>92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43" t="s">
        <v>93</v>
      </c>
      <c r="B33" s="28"/>
      <c r="C33" s="28"/>
      <c r="D33" s="28"/>
      <c r="E33" s="31" t="s">
        <v>94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43" t="s">
        <v>95</v>
      </c>
      <c r="B34" s="28"/>
      <c r="C34" s="28"/>
      <c r="D34" s="28"/>
      <c r="E34" s="31" t="s">
        <v>96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43" t="s">
        <v>60</v>
      </c>
      <c r="B35" s="28"/>
      <c r="C35" s="28"/>
      <c r="D35" s="28"/>
      <c r="E35" s="31" t="s">
        <v>97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43" t="s">
        <v>98</v>
      </c>
      <c r="B36" s="28"/>
      <c r="C36" s="28"/>
      <c r="D36" s="28"/>
      <c r="E36" s="31" t="s">
        <v>99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43" t="s">
        <v>100</v>
      </c>
      <c r="B37" s="28"/>
      <c r="C37" s="28"/>
      <c r="D37" s="28"/>
      <c r="E37" s="31" t="s">
        <v>101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43" t="s">
        <v>11</v>
      </c>
      <c r="B38" s="28"/>
      <c r="C38" s="28"/>
      <c r="D38" s="28"/>
      <c r="E38" s="31" t="s">
        <v>102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</sheetData>
  <sheetProtection sheet="1" formatCells="0"/>
  <mergeCells count="58">
    <mergeCell ref="E37:V37"/>
    <mergeCell ref="P26:R26"/>
    <mergeCell ref="A37:D37"/>
    <mergeCell ref="A29:E29"/>
    <mergeCell ref="A20:E20"/>
    <mergeCell ref="G20:K20"/>
    <mergeCell ref="E33:V33"/>
    <mergeCell ref="A33:D33"/>
    <mergeCell ref="A34:D34"/>
    <mergeCell ref="K26:L26"/>
    <mergeCell ref="A1:V1"/>
    <mergeCell ref="E32:V32"/>
    <mergeCell ref="S26:U26"/>
    <mergeCell ref="T3:V3"/>
    <mergeCell ref="A23:E23"/>
    <mergeCell ref="R2:V2"/>
    <mergeCell ref="A3:S3"/>
    <mergeCell ref="C6:C7"/>
    <mergeCell ref="K6:L6"/>
    <mergeCell ref="D6:D7"/>
    <mergeCell ref="P6:R6"/>
    <mergeCell ref="A2:F2"/>
    <mergeCell ref="K2:M2"/>
    <mergeCell ref="A25:E25"/>
    <mergeCell ref="N2:O2"/>
    <mergeCell ref="A30:D30"/>
    <mergeCell ref="W6:W7"/>
    <mergeCell ref="E36:V36"/>
    <mergeCell ref="E6:E7"/>
    <mergeCell ref="M26:O26"/>
    <mergeCell ref="B6:B7"/>
    <mergeCell ref="A15:V15"/>
    <mergeCell ref="F26:J26"/>
    <mergeCell ref="A27:E27"/>
    <mergeCell ref="A36:D36"/>
    <mergeCell ref="A21:E21"/>
    <mergeCell ref="A26:E26"/>
    <mergeCell ref="E34:V34"/>
    <mergeCell ref="S6:U6"/>
    <mergeCell ref="E30:V30"/>
    <mergeCell ref="A31:D31"/>
    <mergeCell ref="A32:D32"/>
    <mergeCell ref="P2:Q2"/>
    <mergeCell ref="E35:V35"/>
    <mergeCell ref="E38:V38"/>
    <mergeCell ref="G21:K21"/>
    <mergeCell ref="A24:E24"/>
    <mergeCell ref="G2:H2"/>
    <mergeCell ref="A35:D35"/>
    <mergeCell ref="I2:J2"/>
    <mergeCell ref="A38:D38"/>
    <mergeCell ref="A8:V8"/>
    <mergeCell ref="A6:A7"/>
    <mergeCell ref="F6:J6"/>
    <mergeCell ref="M6:O6"/>
    <mergeCell ref="E31:V31"/>
    <mergeCell ref="A4:V4"/>
    <mergeCell ref="V6:V7"/>
  </mergeCells>
  <conditionalFormatting sqref="F9:J18">
    <cfRule type="expression" dxfId="206" priority="1">
      <formula>AND(F9&lt;&gt;"",COUNTIF($F9:$J9,"X")&gt;1)</formula>
    </cfRule>
  </conditionalFormatting>
  <conditionalFormatting sqref="F26:U26">
    <cfRule type="expression" dxfId="205" priority="8">
      <formula>LEFT(F26,4)="ERRO"</formula>
    </cfRule>
    <cfRule type="expression" dxfId="204" priority="9">
      <formula>LEFT(F26,2)="OK"</formula>
    </cfRule>
  </conditionalFormatting>
  <conditionalFormatting sqref="K9:L18">
    <cfRule type="expression" dxfId="203" priority="2">
      <formula>AND(K9&lt;&gt;"",COUNTIF($K9:$L9,"X")&gt;1)</formula>
    </cfRule>
  </conditionalFormatting>
  <conditionalFormatting sqref="M9:O18">
    <cfRule type="expression" dxfId="202" priority="3">
      <formula>AND(M9&lt;&gt;"",COUNTIF($M9:$O9,"X")&gt;1)</formula>
    </cfRule>
  </conditionalFormatting>
  <conditionalFormatting sqref="P9:R18">
    <cfRule type="expression" dxfId="201" priority="4">
      <formula>AND(P9&lt;&gt;"",COUNTIF($P9:$R9,"X")&gt;1)</formula>
    </cfRule>
  </conditionalFormatting>
  <conditionalFormatting sqref="S9:U18">
    <cfRule type="expression" dxfId="200" priority="5">
      <formula>AND(S9&lt;&gt;"",COUNTIF($S9:$U9,"X")&gt;1)</formula>
    </cfRule>
  </conditionalFormatting>
  <conditionalFormatting sqref="W9:W18">
    <cfRule type="expression" dxfId="199" priority="6">
      <formula>AND(W9&lt;&gt;"OK",W9&lt;&gt;"")</formula>
    </cfRule>
    <cfRule type="expression" dxfId="19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8" xr:uid="{00000000-0002-0000-06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8" xr:uid="{00000000-0002-0000-06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8" xr:uid="{00000000-0002-0000-06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8" xr:uid="{00000000-0002-0000-06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8" xr:uid="{00000000-0002-0000-0600-000004000000}">
      <formula1>AND(UPPER(S9)="X",COUNTIF($S9:$U9,"X")&lt;=1)</formula1>
    </dataValidation>
    <dataValidation type="list" showErrorMessage="1" errorTitle="Sentido inválido" error="Use C (crescente) ou D (decrescente)." sqref="B9:B18" xr:uid="{00000000-0002-0000-06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6</oddHeader>
    <oddFooter>&amp;L&amp;7 RTA / MSI — Programa de Manutenção Rodoviária&amp;C&amp;7 Página &amp;P de &amp;N&amp;R&amp;7 Impresso em &amp;D</oddFooter>
  </headerFooter>
  <rowBreaks count="1" manualBreakCount="1">
    <brk id="21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AN51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IF(F37=0,NA(),F37)</f>
        <v>13.660088410963001</v>
      </c>
      <c r="Z2" s="2">
        <f t="shared" si="0"/>
        <v>3</v>
      </c>
      <c r="AA2" s="2" t="e">
        <f t="shared" si="0"/>
        <v>#N/A</v>
      </c>
      <c r="AB2" s="2">
        <f t="shared" si="0"/>
        <v>5</v>
      </c>
      <c r="AC2" s="2" t="e">
        <f t="shared" si="0"/>
        <v>#N/A</v>
      </c>
      <c r="AD2" s="2" t="e">
        <f t="shared" si="0"/>
        <v>#N/A</v>
      </c>
      <c r="AE2" s="2">
        <f t="shared" si="0"/>
        <v>21.660088410962999</v>
      </c>
      <c r="AF2" s="2">
        <f t="shared" si="0"/>
        <v>15.660088410963001</v>
      </c>
      <c r="AG2" s="2">
        <f t="shared" si="0"/>
        <v>6</v>
      </c>
      <c r="AH2" s="2" t="e">
        <f t="shared" si="0"/>
        <v>#N/A</v>
      </c>
      <c r="AI2" s="2">
        <f t="shared" si="0"/>
        <v>6</v>
      </c>
      <c r="AJ2" s="2">
        <f t="shared" si="0"/>
        <v>15.660088410963001</v>
      </c>
      <c r="AK2" s="2" t="e">
        <f t="shared" si="0"/>
        <v>#N/A</v>
      </c>
      <c r="AL2" s="2" t="e">
        <f t="shared" si="0"/>
        <v>#N/A</v>
      </c>
      <c r="AM2" s="2">
        <f t="shared" si="0"/>
        <v>21.660088410962999</v>
      </c>
      <c r="AN2" s="2" t="e">
        <f t="shared" si="0"/>
        <v>#N/A</v>
      </c>
    </row>
    <row r="3" spans="1:40" ht="15" customHeight="1" x14ac:dyDescent="0.25">
      <c r="A3" s="49" t="s">
        <v>140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141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142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2" t="s">
        <v>143</v>
      </c>
      <c r="B9" s="13" t="s">
        <v>68</v>
      </c>
      <c r="C9" s="14">
        <v>0</v>
      </c>
      <c r="D9" s="14">
        <v>0.74066591426299999</v>
      </c>
      <c r="E9" s="14">
        <f>D9-C9</f>
        <v>0.74066591426299999</v>
      </c>
      <c r="F9" s="15" t="s">
        <v>69</v>
      </c>
      <c r="G9" s="15"/>
      <c r="H9" s="15"/>
      <c r="I9" s="15"/>
      <c r="J9" s="15"/>
      <c r="K9" s="15"/>
      <c r="L9" s="15" t="s">
        <v>69</v>
      </c>
      <c r="M9" s="15" t="s">
        <v>69</v>
      </c>
      <c r="N9" s="15"/>
      <c r="O9" s="15"/>
      <c r="P9" s="15"/>
      <c r="Q9" s="15" t="s">
        <v>69</v>
      </c>
      <c r="R9" s="15"/>
      <c r="S9" s="15"/>
      <c r="T9" s="15" t="s">
        <v>69</v>
      </c>
      <c r="U9" s="15"/>
      <c r="V9" s="16" t="s">
        <v>144</v>
      </c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15.95" customHeight="1" x14ac:dyDescent="0.25">
      <c r="A10" s="35" t="s">
        <v>145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4"/>
      <c r="W10" s="4"/>
    </row>
    <row r="11" spans="1:40" ht="20.100000000000001" customHeight="1" x14ac:dyDescent="0.25">
      <c r="A11" s="18" t="s">
        <v>146</v>
      </c>
      <c r="B11" s="19" t="s">
        <v>68</v>
      </c>
      <c r="C11" s="20">
        <v>0</v>
      </c>
      <c r="D11" s="20">
        <v>1</v>
      </c>
      <c r="E11" s="20">
        <f t="shared" ref="E11:E31" si="1">D11-C11</f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 t="s">
        <v>69</v>
      </c>
      <c r="N11" s="21"/>
      <c r="O11" s="21"/>
      <c r="P11" s="21"/>
      <c r="Q11" s="21" t="s">
        <v>69</v>
      </c>
      <c r="R11" s="21"/>
      <c r="S11" s="21"/>
      <c r="T11" s="21" t="s">
        <v>69</v>
      </c>
      <c r="U11" s="21"/>
      <c r="V11" s="22" t="s">
        <v>144</v>
      </c>
      <c r="W11" s="23" t="str">
        <f t="shared" ref="W11:W31" si="2"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146</v>
      </c>
      <c r="B12" s="19" t="s">
        <v>68</v>
      </c>
      <c r="C12" s="20">
        <v>1</v>
      </c>
      <c r="D12" s="20">
        <v>2</v>
      </c>
      <c r="E12" s="20">
        <f t="shared" si="1"/>
        <v>1</v>
      </c>
      <c r="F12" s="21"/>
      <c r="G12" s="21" t="s">
        <v>69</v>
      </c>
      <c r="H12" s="21"/>
      <c r="I12" s="21"/>
      <c r="J12" s="21"/>
      <c r="K12" s="21"/>
      <c r="L12" s="21" t="s">
        <v>69</v>
      </c>
      <c r="M12" s="21" t="s">
        <v>69</v>
      </c>
      <c r="N12" s="21"/>
      <c r="O12" s="21"/>
      <c r="P12" s="21"/>
      <c r="Q12" s="21" t="s">
        <v>69</v>
      </c>
      <c r="R12" s="21"/>
      <c r="S12" s="21"/>
      <c r="T12" s="21" t="s">
        <v>69</v>
      </c>
      <c r="U12" s="21"/>
      <c r="V12" s="22" t="s">
        <v>147</v>
      </c>
      <c r="W12" s="23" t="str">
        <f t="shared" si="2"/>
        <v>OK</v>
      </c>
    </row>
    <row r="13" spans="1:40" ht="20.100000000000001" customHeight="1" x14ac:dyDescent="0.25">
      <c r="A13" s="18" t="s">
        <v>146</v>
      </c>
      <c r="B13" s="19" t="s">
        <v>68</v>
      </c>
      <c r="C13" s="20">
        <v>2</v>
      </c>
      <c r="D13" s="20">
        <v>3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 t="s">
        <v>69</v>
      </c>
      <c r="N13" s="21"/>
      <c r="O13" s="21"/>
      <c r="P13" s="21"/>
      <c r="Q13" s="21" t="s">
        <v>69</v>
      </c>
      <c r="R13" s="21"/>
      <c r="S13" s="21"/>
      <c r="T13" s="21" t="s">
        <v>69</v>
      </c>
      <c r="U13" s="21"/>
      <c r="V13" s="22" t="s">
        <v>147</v>
      </c>
      <c r="W13" s="23" t="str">
        <f t="shared" si="2"/>
        <v>OK</v>
      </c>
    </row>
    <row r="14" spans="1:40" ht="20.100000000000001" customHeight="1" x14ac:dyDescent="0.25">
      <c r="A14" s="18" t="s">
        <v>146</v>
      </c>
      <c r="B14" s="19" t="s">
        <v>68</v>
      </c>
      <c r="C14" s="20">
        <v>3</v>
      </c>
      <c r="D14" s="20">
        <v>4</v>
      </c>
      <c r="E14" s="20">
        <f t="shared" si="1"/>
        <v>1</v>
      </c>
      <c r="F14" s="21"/>
      <c r="G14" s="21"/>
      <c r="H14" s="21"/>
      <c r="I14" s="21" t="s">
        <v>69</v>
      </c>
      <c r="J14" s="21"/>
      <c r="K14" s="21"/>
      <c r="L14" s="21" t="s">
        <v>69</v>
      </c>
      <c r="M14" s="21"/>
      <c r="N14" s="21" t="s">
        <v>69</v>
      </c>
      <c r="O14" s="21"/>
      <c r="P14" s="21"/>
      <c r="Q14" s="21" t="s">
        <v>69</v>
      </c>
      <c r="R14" s="21"/>
      <c r="S14" s="21"/>
      <c r="T14" s="21" t="s">
        <v>69</v>
      </c>
      <c r="U14" s="21"/>
      <c r="V14" s="22" t="s">
        <v>148</v>
      </c>
      <c r="W14" s="23" t="str">
        <f t="shared" si="2"/>
        <v>OK</v>
      </c>
    </row>
    <row r="15" spans="1:40" ht="20.100000000000001" customHeight="1" x14ac:dyDescent="0.25">
      <c r="A15" s="18" t="s">
        <v>146</v>
      </c>
      <c r="B15" s="19" t="s">
        <v>68</v>
      </c>
      <c r="C15" s="20">
        <v>4</v>
      </c>
      <c r="D15" s="20">
        <v>5</v>
      </c>
      <c r="E15" s="20">
        <f t="shared" si="1"/>
        <v>1</v>
      </c>
      <c r="F15" s="21"/>
      <c r="G15" s="21"/>
      <c r="H15" s="21"/>
      <c r="I15" s="21" t="s">
        <v>69</v>
      </c>
      <c r="J15" s="21"/>
      <c r="K15" s="21"/>
      <c r="L15" s="21" t="s">
        <v>69</v>
      </c>
      <c r="M15" s="21"/>
      <c r="N15" s="21" t="s">
        <v>69</v>
      </c>
      <c r="O15" s="21"/>
      <c r="P15" s="21"/>
      <c r="Q15" s="21" t="s">
        <v>69</v>
      </c>
      <c r="R15" s="21"/>
      <c r="S15" s="21"/>
      <c r="T15" s="21" t="s">
        <v>69</v>
      </c>
      <c r="U15" s="21"/>
      <c r="V15" s="22" t="s">
        <v>148</v>
      </c>
      <c r="W15" s="23" t="str">
        <f t="shared" si="2"/>
        <v>OK</v>
      </c>
    </row>
    <row r="16" spans="1:40" ht="20.100000000000001" customHeight="1" x14ac:dyDescent="0.25">
      <c r="A16" s="18" t="s">
        <v>146</v>
      </c>
      <c r="B16" s="19" t="s">
        <v>68</v>
      </c>
      <c r="C16" s="20">
        <v>5</v>
      </c>
      <c r="D16" s="20">
        <v>6</v>
      </c>
      <c r="E16" s="20">
        <f t="shared" si="1"/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 t="s">
        <v>69</v>
      </c>
      <c r="N16" s="21"/>
      <c r="O16" s="21"/>
      <c r="P16" s="21" t="s">
        <v>69</v>
      </c>
      <c r="Q16" s="21"/>
      <c r="R16" s="21"/>
      <c r="S16" s="21"/>
      <c r="T16" s="21" t="s">
        <v>69</v>
      </c>
      <c r="U16" s="21"/>
      <c r="V16" s="22" t="s">
        <v>149</v>
      </c>
      <c r="W16" s="23" t="str">
        <f t="shared" si="2"/>
        <v>OK</v>
      </c>
    </row>
    <row r="17" spans="1:23" ht="20.100000000000001" customHeight="1" x14ac:dyDescent="0.25">
      <c r="A17" s="18" t="s">
        <v>146</v>
      </c>
      <c r="B17" s="19" t="s">
        <v>68</v>
      </c>
      <c r="C17" s="20">
        <v>6</v>
      </c>
      <c r="D17" s="20">
        <v>7</v>
      </c>
      <c r="E17" s="20">
        <f t="shared" si="1"/>
        <v>1</v>
      </c>
      <c r="F17" s="21" t="s">
        <v>69</v>
      </c>
      <c r="G17" s="21"/>
      <c r="H17" s="21"/>
      <c r="I17" s="21"/>
      <c r="J17" s="21"/>
      <c r="K17" s="21"/>
      <c r="L17" s="21" t="s">
        <v>69</v>
      </c>
      <c r="M17" s="21" t="s">
        <v>69</v>
      </c>
      <c r="N17" s="21"/>
      <c r="O17" s="21"/>
      <c r="P17" s="21" t="s">
        <v>69</v>
      </c>
      <c r="Q17" s="21"/>
      <c r="R17" s="21"/>
      <c r="S17" s="21"/>
      <c r="T17" s="21" t="s">
        <v>69</v>
      </c>
      <c r="U17" s="21"/>
      <c r="V17" s="22" t="s">
        <v>149</v>
      </c>
      <c r="W17" s="23" t="str">
        <f t="shared" si="2"/>
        <v>OK</v>
      </c>
    </row>
    <row r="18" spans="1:23" ht="20.100000000000001" customHeight="1" x14ac:dyDescent="0.25">
      <c r="A18" s="18" t="s">
        <v>146</v>
      </c>
      <c r="B18" s="19" t="s">
        <v>68</v>
      </c>
      <c r="C18" s="20">
        <v>7</v>
      </c>
      <c r="D18" s="20">
        <v>8</v>
      </c>
      <c r="E18" s="20">
        <f t="shared" si="1"/>
        <v>1</v>
      </c>
      <c r="F18" s="21"/>
      <c r="G18" s="21" t="s">
        <v>69</v>
      </c>
      <c r="H18" s="21"/>
      <c r="I18" s="21"/>
      <c r="J18" s="21"/>
      <c r="K18" s="21"/>
      <c r="L18" s="21" t="s">
        <v>69</v>
      </c>
      <c r="M18" s="21" t="s">
        <v>69</v>
      </c>
      <c r="N18" s="21"/>
      <c r="O18" s="21"/>
      <c r="P18" s="21" t="s">
        <v>69</v>
      </c>
      <c r="Q18" s="21"/>
      <c r="R18" s="21"/>
      <c r="S18" s="21"/>
      <c r="T18" s="21" t="s">
        <v>69</v>
      </c>
      <c r="U18" s="21"/>
      <c r="V18" s="22" t="s">
        <v>150</v>
      </c>
      <c r="W18" s="23" t="str">
        <f t="shared" si="2"/>
        <v>OK</v>
      </c>
    </row>
    <row r="19" spans="1:23" ht="20.100000000000001" customHeight="1" x14ac:dyDescent="0.25">
      <c r="A19" s="18" t="s">
        <v>146</v>
      </c>
      <c r="B19" s="19" t="s">
        <v>68</v>
      </c>
      <c r="C19" s="20">
        <v>8</v>
      </c>
      <c r="D19" s="20">
        <v>9</v>
      </c>
      <c r="E19" s="20">
        <f t="shared" si="1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 t="s">
        <v>69</v>
      </c>
      <c r="N19" s="21"/>
      <c r="O19" s="21"/>
      <c r="P19" s="21" t="s">
        <v>69</v>
      </c>
      <c r="Q19" s="21"/>
      <c r="R19" s="21"/>
      <c r="S19" s="21"/>
      <c r="T19" s="21" t="s">
        <v>69</v>
      </c>
      <c r="U19" s="21"/>
      <c r="V19" s="22" t="s">
        <v>150</v>
      </c>
      <c r="W19" s="23" t="str">
        <f t="shared" si="2"/>
        <v>OK</v>
      </c>
    </row>
    <row r="20" spans="1:23" ht="20.100000000000001" customHeight="1" x14ac:dyDescent="0.25">
      <c r="A20" s="18" t="s">
        <v>146</v>
      </c>
      <c r="B20" s="19" t="s">
        <v>68</v>
      </c>
      <c r="C20" s="20">
        <v>9</v>
      </c>
      <c r="D20" s="20">
        <v>10</v>
      </c>
      <c r="E20" s="20">
        <f t="shared" si="1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 t="s">
        <v>69</v>
      </c>
      <c r="N20" s="21"/>
      <c r="O20" s="21"/>
      <c r="P20" s="21"/>
      <c r="Q20" s="21" t="s">
        <v>69</v>
      </c>
      <c r="R20" s="21"/>
      <c r="S20" s="21"/>
      <c r="T20" s="21" t="s">
        <v>69</v>
      </c>
      <c r="U20" s="21"/>
      <c r="V20" s="22"/>
      <c r="W20" s="23" t="str">
        <f t="shared" si="2"/>
        <v>OK</v>
      </c>
    </row>
    <row r="21" spans="1:23" ht="20.100000000000001" customHeight="1" x14ac:dyDescent="0.25">
      <c r="A21" s="18" t="s">
        <v>146</v>
      </c>
      <c r="B21" s="19" t="s">
        <v>68</v>
      </c>
      <c r="C21" s="20">
        <v>10</v>
      </c>
      <c r="D21" s="20">
        <v>11</v>
      </c>
      <c r="E21" s="20">
        <f t="shared" si="1"/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 t="s">
        <v>69</v>
      </c>
      <c r="N21" s="21"/>
      <c r="O21" s="21"/>
      <c r="P21" s="21"/>
      <c r="Q21" s="21" t="s">
        <v>69</v>
      </c>
      <c r="R21" s="21"/>
      <c r="S21" s="21"/>
      <c r="T21" s="21" t="s">
        <v>69</v>
      </c>
      <c r="U21" s="21"/>
      <c r="V21" s="22"/>
      <c r="W21" s="23" t="str">
        <f t="shared" si="2"/>
        <v>OK</v>
      </c>
    </row>
    <row r="22" spans="1:23" ht="20.100000000000001" customHeight="1" x14ac:dyDescent="0.25">
      <c r="A22" s="18" t="s">
        <v>146</v>
      </c>
      <c r="B22" s="19" t="s">
        <v>68</v>
      </c>
      <c r="C22" s="20">
        <v>11</v>
      </c>
      <c r="D22" s="20">
        <v>12</v>
      </c>
      <c r="E22" s="20">
        <f t="shared" si="1"/>
        <v>1</v>
      </c>
      <c r="F22" s="21"/>
      <c r="G22" s="21"/>
      <c r="H22" s="21"/>
      <c r="I22" s="21" t="s">
        <v>69</v>
      </c>
      <c r="J22" s="21"/>
      <c r="K22" s="21"/>
      <c r="L22" s="21" t="s">
        <v>69</v>
      </c>
      <c r="M22" s="21" t="s">
        <v>69</v>
      </c>
      <c r="N22" s="21"/>
      <c r="O22" s="21"/>
      <c r="P22" s="21"/>
      <c r="Q22" s="21" t="s">
        <v>69</v>
      </c>
      <c r="R22" s="21"/>
      <c r="S22" s="21"/>
      <c r="T22" s="21" t="s">
        <v>69</v>
      </c>
      <c r="U22" s="21"/>
      <c r="V22" s="22" t="s">
        <v>151</v>
      </c>
      <c r="W22" s="23" t="str">
        <f t="shared" si="2"/>
        <v>OK</v>
      </c>
    </row>
    <row r="23" spans="1:23" ht="20.100000000000001" customHeight="1" x14ac:dyDescent="0.25">
      <c r="A23" s="18" t="s">
        <v>146</v>
      </c>
      <c r="B23" s="19" t="s">
        <v>68</v>
      </c>
      <c r="C23" s="20">
        <v>12</v>
      </c>
      <c r="D23" s="20">
        <v>13</v>
      </c>
      <c r="E23" s="20">
        <f t="shared" si="1"/>
        <v>1</v>
      </c>
      <c r="F23" s="21" t="s">
        <v>69</v>
      </c>
      <c r="G23" s="21"/>
      <c r="H23" s="21"/>
      <c r="I23" s="21"/>
      <c r="J23" s="21"/>
      <c r="K23" s="21"/>
      <c r="L23" s="21" t="s">
        <v>69</v>
      </c>
      <c r="M23" s="21" t="s">
        <v>69</v>
      </c>
      <c r="N23" s="21"/>
      <c r="O23" s="21"/>
      <c r="P23" s="21"/>
      <c r="Q23" s="21" t="s">
        <v>69</v>
      </c>
      <c r="R23" s="21"/>
      <c r="S23" s="21"/>
      <c r="T23" s="21" t="s">
        <v>69</v>
      </c>
      <c r="U23" s="21"/>
      <c r="V23" s="22" t="s">
        <v>151</v>
      </c>
      <c r="W23" s="23" t="str">
        <f t="shared" si="2"/>
        <v>OK</v>
      </c>
    </row>
    <row r="24" spans="1:23" ht="20.100000000000001" customHeight="1" x14ac:dyDescent="0.25">
      <c r="A24" s="18" t="s">
        <v>146</v>
      </c>
      <c r="B24" s="19" t="s">
        <v>68</v>
      </c>
      <c r="C24" s="20">
        <v>13</v>
      </c>
      <c r="D24" s="20">
        <v>14</v>
      </c>
      <c r="E24" s="20">
        <f t="shared" si="1"/>
        <v>1</v>
      </c>
      <c r="F24" s="21"/>
      <c r="G24" s="21" t="s">
        <v>69</v>
      </c>
      <c r="H24" s="21"/>
      <c r="I24" s="21"/>
      <c r="J24" s="21"/>
      <c r="K24" s="21"/>
      <c r="L24" s="21" t="s">
        <v>69</v>
      </c>
      <c r="M24" s="21"/>
      <c r="N24" s="21" t="s">
        <v>69</v>
      </c>
      <c r="O24" s="21"/>
      <c r="P24" s="21"/>
      <c r="Q24" s="21" t="s">
        <v>69</v>
      </c>
      <c r="R24" s="21"/>
      <c r="S24" s="21"/>
      <c r="T24" s="21" t="s">
        <v>69</v>
      </c>
      <c r="U24" s="21"/>
      <c r="V24" s="22" t="s">
        <v>152</v>
      </c>
      <c r="W24" s="23" t="str">
        <f t="shared" si="2"/>
        <v>OK</v>
      </c>
    </row>
    <row r="25" spans="1:23" ht="20.100000000000001" customHeight="1" x14ac:dyDescent="0.25">
      <c r="A25" s="18" t="s">
        <v>146</v>
      </c>
      <c r="B25" s="19" t="s">
        <v>68</v>
      </c>
      <c r="C25" s="20">
        <v>14</v>
      </c>
      <c r="D25" s="20">
        <v>15</v>
      </c>
      <c r="E25" s="20">
        <f t="shared" si="1"/>
        <v>1</v>
      </c>
      <c r="F25" s="21" t="s">
        <v>69</v>
      </c>
      <c r="G25" s="21"/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/>
      <c r="Q25" s="21" t="s">
        <v>69</v>
      </c>
      <c r="R25" s="21"/>
      <c r="S25" s="21"/>
      <c r="T25" s="21" t="s">
        <v>69</v>
      </c>
      <c r="U25" s="21"/>
      <c r="V25" s="22" t="s">
        <v>152</v>
      </c>
      <c r="W25" s="23" t="str">
        <f t="shared" si="2"/>
        <v>OK</v>
      </c>
    </row>
    <row r="26" spans="1:23" ht="20.100000000000001" customHeight="1" x14ac:dyDescent="0.25">
      <c r="A26" s="18" t="s">
        <v>146</v>
      </c>
      <c r="B26" s="19" t="s">
        <v>68</v>
      </c>
      <c r="C26" s="20">
        <v>15</v>
      </c>
      <c r="D26" s="20">
        <v>16</v>
      </c>
      <c r="E26" s="20">
        <f t="shared" si="1"/>
        <v>1</v>
      </c>
      <c r="F26" s="21"/>
      <c r="G26" s="21"/>
      <c r="H26" s="21"/>
      <c r="I26" s="21" t="s">
        <v>69</v>
      </c>
      <c r="J26" s="21"/>
      <c r="K26" s="21"/>
      <c r="L26" s="21" t="s">
        <v>69</v>
      </c>
      <c r="M26" s="21"/>
      <c r="N26" s="21" t="s">
        <v>69</v>
      </c>
      <c r="O26" s="21"/>
      <c r="P26" s="21"/>
      <c r="Q26" s="21" t="s">
        <v>69</v>
      </c>
      <c r="R26" s="21"/>
      <c r="S26" s="21"/>
      <c r="T26" s="21" t="s">
        <v>69</v>
      </c>
      <c r="U26" s="21"/>
      <c r="V26" s="22" t="s">
        <v>153</v>
      </c>
      <c r="W26" s="23" t="str">
        <f t="shared" si="2"/>
        <v>OK</v>
      </c>
    </row>
    <row r="27" spans="1:23" ht="20.100000000000001" customHeight="1" x14ac:dyDescent="0.25">
      <c r="A27" s="18" t="s">
        <v>146</v>
      </c>
      <c r="B27" s="19" t="s">
        <v>68</v>
      </c>
      <c r="C27" s="20">
        <v>16</v>
      </c>
      <c r="D27" s="20">
        <v>17</v>
      </c>
      <c r="E27" s="20">
        <f t="shared" si="1"/>
        <v>1</v>
      </c>
      <c r="F27" s="21"/>
      <c r="G27" s="21"/>
      <c r="H27" s="21"/>
      <c r="I27" s="21" t="s">
        <v>69</v>
      </c>
      <c r="J27" s="21"/>
      <c r="K27" s="21"/>
      <c r="L27" s="21" t="s">
        <v>69</v>
      </c>
      <c r="M27" s="21"/>
      <c r="N27" s="21" t="s">
        <v>69</v>
      </c>
      <c r="O27" s="21"/>
      <c r="P27" s="21"/>
      <c r="Q27" s="21" t="s">
        <v>69</v>
      </c>
      <c r="R27" s="21"/>
      <c r="S27" s="21"/>
      <c r="T27" s="21" t="s">
        <v>69</v>
      </c>
      <c r="U27" s="21"/>
      <c r="V27" s="22" t="s">
        <v>153</v>
      </c>
      <c r="W27" s="23" t="str">
        <f t="shared" si="2"/>
        <v>OK</v>
      </c>
    </row>
    <row r="28" spans="1:23" ht="20.100000000000001" customHeight="1" x14ac:dyDescent="0.25">
      <c r="A28" s="18" t="s">
        <v>146</v>
      </c>
      <c r="B28" s="19" t="s">
        <v>68</v>
      </c>
      <c r="C28" s="20">
        <v>17</v>
      </c>
      <c r="D28" s="20">
        <v>18</v>
      </c>
      <c r="E28" s="20">
        <f t="shared" si="1"/>
        <v>1</v>
      </c>
      <c r="F28" s="21" t="s">
        <v>69</v>
      </c>
      <c r="G28" s="21"/>
      <c r="H28" s="21"/>
      <c r="I28" s="21"/>
      <c r="J28" s="21"/>
      <c r="K28" s="21"/>
      <c r="L28" s="21" t="s">
        <v>69</v>
      </c>
      <c r="M28" s="21" t="s">
        <v>69</v>
      </c>
      <c r="N28" s="21"/>
      <c r="O28" s="21"/>
      <c r="P28" s="21" t="s">
        <v>69</v>
      </c>
      <c r="Q28" s="21"/>
      <c r="R28" s="21"/>
      <c r="S28" s="21"/>
      <c r="T28" s="21" t="s">
        <v>69</v>
      </c>
      <c r="U28" s="21"/>
      <c r="V28" s="22"/>
      <c r="W28" s="23" t="str">
        <f t="shared" si="2"/>
        <v>OK</v>
      </c>
    </row>
    <row r="29" spans="1:23" ht="20.100000000000001" customHeight="1" x14ac:dyDescent="0.25">
      <c r="A29" s="18" t="s">
        <v>146</v>
      </c>
      <c r="B29" s="19" t="s">
        <v>68</v>
      </c>
      <c r="C29" s="20">
        <v>18</v>
      </c>
      <c r="D29" s="20">
        <v>19</v>
      </c>
      <c r="E29" s="20">
        <f t="shared" si="1"/>
        <v>1</v>
      </c>
      <c r="F29" s="21" t="s">
        <v>69</v>
      </c>
      <c r="G29" s="21"/>
      <c r="H29" s="21"/>
      <c r="I29" s="21"/>
      <c r="J29" s="21"/>
      <c r="K29" s="21"/>
      <c r="L29" s="21" t="s">
        <v>69</v>
      </c>
      <c r="M29" s="21" t="s">
        <v>69</v>
      </c>
      <c r="N29" s="21"/>
      <c r="O29" s="21"/>
      <c r="P29" s="21" t="s">
        <v>69</v>
      </c>
      <c r="Q29" s="21"/>
      <c r="R29" s="21"/>
      <c r="S29" s="21"/>
      <c r="T29" s="21" t="s">
        <v>69</v>
      </c>
      <c r="U29" s="21"/>
      <c r="V29" s="22"/>
      <c r="W29" s="23" t="str">
        <f t="shared" si="2"/>
        <v>OK</v>
      </c>
    </row>
    <row r="30" spans="1:23" ht="20.100000000000001" customHeight="1" x14ac:dyDescent="0.25">
      <c r="A30" s="18" t="s">
        <v>146</v>
      </c>
      <c r="B30" s="19" t="s">
        <v>68</v>
      </c>
      <c r="C30" s="20">
        <v>19</v>
      </c>
      <c r="D30" s="20">
        <v>20</v>
      </c>
      <c r="E30" s="20">
        <f t="shared" si="1"/>
        <v>1</v>
      </c>
      <c r="F30" s="21" t="s">
        <v>69</v>
      </c>
      <c r="G30" s="21"/>
      <c r="H30" s="21"/>
      <c r="I30" s="21"/>
      <c r="J30" s="21"/>
      <c r="K30" s="21"/>
      <c r="L30" s="21" t="s">
        <v>69</v>
      </c>
      <c r="M30" s="21" t="s">
        <v>69</v>
      </c>
      <c r="N30" s="21"/>
      <c r="O30" s="21"/>
      <c r="P30" s="21"/>
      <c r="Q30" s="21" t="s">
        <v>69</v>
      </c>
      <c r="R30" s="21"/>
      <c r="S30" s="21"/>
      <c r="T30" s="21" t="s">
        <v>69</v>
      </c>
      <c r="U30" s="21"/>
      <c r="V30" s="22"/>
      <c r="W30" s="23" t="str">
        <f t="shared" si="2"/>
        <v>OK</v>
      </c>
    </row>
    <row r="31" spans="1:23" ht="20.100000000000001" customHeight="1" x14ac:dyDescent="0.25">
      <c r="A31" s="12" t="s">
        <v>146</v>
      </c>
      <c r="B31" s="13" t="s">
        <v>68</v>
      </c>
      <c r="C31" s="14">
        <v>20</v>
      </c>
      <c r="D31" s="14">
        <v>20.919422496700001</v>
      </c>
      <c r="E31" s="14">
        <f t="shared" si="1"/>
        <v>0.91942249670000109</v>
      </c>
      <c r="F31" s="15" t="s">
        <v>69</v>
      </c>
      <c r="G31" s="15"/>
      <c r="H31" s="15"/>
      <c r="I31" s="15"/>
      <c r="J31" s="15"/>
      <c r="K31" s="15"/>
      <c r="L31" s="15" t="s">
        <v>69</v>
      </c>
      <c r="M31" s="15" t="s">
        <v>69</v>
      </c>
      <c r="N31" s="15"/>
      <c r="O31" s="15"/>
      <c r="P31" s="15"/>
      <c r="Q31" s="15" t="s">
        <v>69</v>
      </c>
      <c r="R31" s="15"/>
      <c r="S31" s="15"/>
      <c r="T31" s="15" t="s">
        <v>69</v>
      </c>
      <c r="U31" s="15"/>
      <c r="V31" s="16"/>
      <c r="W31" s="17" t="str">
        <f t="shared" si="2"/>
        <v>OK</v>
      </c>
    </row>
    <row r="33" spans="1:22" x14ac:dyDescent="0.25">
      <c r="A33" s="40" t="s">
        <v>78</v>
      </c>
      <c r="B33" s="28"/>
      <c r="C33" s="28"/>
      <c r="D33" s="28"/>
      <c r="E33" s="28"/>
      <c r="G33" s="40" t="s">
        <v>78</v>
      </c>
      <c r="H33" s="28"/>
      <c r="I33" s="28"/>
      <c r="J33" s="28"/>
      <c r="K33" s="28"/>
    </row>
    <row r="34" spans="1:22" x14ac:dyDescent="0.25">
      <c r="A34" s="44" t="s">
        <v>79</v>
      </c>
      <c r="B34" s="28"/>
      <c r="C34" s="28"/>
      <c r="D34" s="28"/>
      <c r="E34" s="28"/>
      <c r="G34" s="44" t="s">
        <v>80</v>
      </c>
      <c r="H34" s="28"/>
      <c r="I34" s="28"/>
      <c r="J34" s="28"/>
      <c r="K34" s="28"/>
    </row>
    <row r="36" spans="1:22" x14ac:dyDescent="0.25">
      <c r="A36" s="41" t="s">
        <v>81</v>
      </c>
      <c r="B36" s="28"/>
      <c r="C36" s="28"/>
      <c r="D36" s="28"/>
      <c r="E36" s="28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 spans="1:22" x14ac:dyDescent="0.25">
      <c r="A37" s="43" t="s">
        <v>82</v>
      </c>
      <c r="B37" s="28"/>
      <c r="C37" s="28"/>
      <c r="D37" s="28"/>
      <c r="E37" s="28"/>
      <c r="F37" s="9">
        <f t="shared" ref="F37:U37" si="3">SUMIF(F$9:F$31,"X",$E$9:$E$31)</f>
        <v>13.660088410963001</v>
      </c>
      <c r="G37" s="9">
        <f t="shared" si="3"/>
        <v>3</v>
      </c>
      <c r="H37" s="9">
        <f t="shared" si="3"/>
        <v>0</v>
      </c>
      <c r="I37" s="9">
        <f t="shared" si="3"/>
        <v>5</v>
      </c>
      <c r="J37" s="9">
        <f t="shared" si="3"/>
        <v>0</v>
      </c>
      <c r="K37" s="9">
        <f t="shared" si="3"/>
        <v>0</v>
      </c>
      <c r="L37" s="9">
        <f t="shared" si="3"/>
        <v>21.660088410962999</v>
      </c>
      <c r="M37" s="9">
        <f t="shared" si="3"/>
        <v>15.660088410963001</v>
      </c>
      <c r="N37" s="9">
        <f t="shared" si="3"/>
        <v>6</v>
      </c>
      <c r="O37" s="9">
        <f t="shared" si="3"/>
        <v>0</v>
      </c>
      <c r="P37" s="9">
        <f t="shared" si="3"/>
        <v>6</v>
      </c>
      <c r="Q37" s="9">
        <f t="shared" si="3"/>
        <v>15.660088410963001</v>
      </c>
      <c r="R37" s="9">
        <f t="shared" si="3"/>
        <v>0</v>
      </c>
      <c r="S37" s="9">
        <f t="shared" si="3"/>
        <v>0</v>
      </c>
      <c r="T37" s="9">
        <f t="shared" si="3"/>
        <v>21.660088410962999</v>
      </c>
      <c r="U37" s="9">
        <f t="shared" si="3"/>
        <v>0</v>
      </c>
    </row>
    <row r="38" spans="1:22" x14ac:dyDescent="0.25">
      <c r="A38" s="43" t="s">
        <v>83</v>
      </c>
      <c r="B38" s="28"/>
      <c r="C38" s="28"/>
      <c r="D38" s="28"/>
      <c r="E38" s="28"/>
      <c r="F38" s="25">
        <f t="shared" ref="F38:U38" si="4">IF($R40=0,0,F37/$R40)</f>
        <v>0.6306570939040631</v>
      </c>
      <c r="G38" s="25">
        <f t="shared" si="4"/>
        <v>0.13850358978597638</v>
      </c>
      <c r="H38" s="25">
        <f t="shared" si="4"/>
        <v>0</v>
      </c>
      <c r="I38" s="25">
        <f t="shared" si="4"/>
        <v>0.23083931630996063</v>
      </c>
      <c r="J38" s="25">
        <f t="shared" si="4"/>
        <v>0</v>
      </c>
      <c r="K38" s="25">
        <f t="shared" si="4"/>
        <v>0</v>
      </c>
      <c r="L38" s="25">
        <f t="shared" si="4"/>
        <v>1</v>
      </c>
      <c r="M38" s="25">
        <f t="shared" si="4"/>
        <v>0.72299282042804736</v>
      </c>
      <c r="N38" s="25">
        <f t="shared" si="4"/>
        <v>0.27700717957195276</v>
      </c>
      <c r="O38" s="25">
        <f t="shared" si="4"/>
        <v>0</v>
      </c>
      <c r="P38" s="25">
        <f t="shared" si="4"/>
        <v>0.27700717957195276</v>
      </c>
      <c r="Q38" s="25">
        <f t="shared" si="4"/>
        <v>0.72299282042804736</v>
      </c>
      <c r="R38" s="25">
        <f t="shared" si="4"/>
        <v>0</v>
      </c>
      <c r="S38" s="25">
        <f t="shared" si="4"/>
        <v>0</v>
      </c>
      <c r="T38" s="25">
        <f t="shared" si="4"/>
        <v>1</v>
      </c>
      <c r="U38" s="25">
        <f t="shared" si="4"/>
        <v>0</v>
      </c>
    </row>
    <row r="39" spans="1:22" x14ac:dyDescent="0.25">
      <c r="A39" s="43" t="s">
        <v>84</v>
      </c>
      <c r="B39" s="28"/>
      <c r="C39" s="28"/>
      <c r="D39" s="28"/>
      <c r="E39" s="28"/>
      <c r="F39" s="42" t="str">
        <f>IF(SUM(F37:J37)=0,"— não preenchido",IF(ROUND(SUM(F37:J37)-$R40,3)=0,"OK — "&amp;ROUND(SUM(F37:J37),3)&amp;" km","ERRO — dif. de "&amp;ROUND(SUM(F37:J37)-$R40,3)&amp;" km"))</f>
        <v>OK — 21,66 km</v>
      </c>
      <c r="G39" s="33"/>
      <c r="H39" s="33"/>
      <c r="I39" s="33"/>
      <c r="J39" s="34"/>
      <c r="K39" s="42" t="str">
        <f>IF(SUM(K37:L37)=0,"— não preenchido",IF(ROUND(SUM(K37:L37)-$R40,3)=0,"OK — "&amp;ROUND(SUM(K37:L37),3)&amp;" km","ERRO — dif. de "&amp;ROUND(SUM(K37:L37)-$R40,3)&amp;" km"))</f>
        <v>OK — 21,66 km</v>
      </c>
      <c r="L39" s="34"/>
      <c r="M39" s="42" t="str">
        <f>IF(SUM(M37:O37)=0,"— não preenchido",IF(ROUND(SUM(M37:O37)-$R40,3)=0,"OK — "&amp;ROUND(SUM(M37:O37),3)&amp;" km","ERRO — dif. de "&amp;ROUND(SUM(M37:O37)-$R40,3)&amp;" km"))</f>
        <v>OK — 21,66 km</v>
      </c>
      <c r="N39" s="33"/>
      <c r="O39" s="34"/>
      <c r="P39" s="42" t="str">
        <f>IF(SUM(P37:R37)=0,"— não preenchido",IF(ROUND(SUM(P37:R37)-$R40,3)=0,"OK — "&amp;ROUND(SUM(P37:R37),3)&amp;" km","ERRO — dif. de "&amp;ROUND(SUM(P37:R37)-$R40,3)&amp;" km"))</f>
        <v>OK — 21,66 km</v>
      </c>
      <c r="Q39" s="33"/>
      <c r="R39" s="34"/>
      <c r="S39" s="42" t="str">
        <f>IF(SUM(S37:U37)=0,"— não preenchido",IF(ROUND(SUM(S37:U37)-$R40,3)=0,"OK — "&amp;ROUND(SUM(S37:U37),3)&amp;" km","ERRO — dif. de "&amp;ROUND(SUM(S37:U37)-$R40,3)&amp;" km"))</f>
        <v>OK — 21,66 km</v>
      </c>
      <c r="T39" s="33"/>
      <c r="U39" s="34"/>
    </row>
    <row r="40" spans="1:22" x14ac:dyDescent="0.25">
      <c r="A40" s="43" t="s">
        <v>85</v>
      </c>
      <c r="B40" s="28"/>
      <c r="C40" s="28"/>
      <c r="D40" s="28"/>
      <c r="E40" s="28"/>
      <c r="R40" s="26">
        <f>SUM(E9:E31)</f>
        <v>21.660088410962999</v>
      </c>
      <c r="V40" s="8" t="str">
        <f>COUNTIF(W9:W31,"OK")&amp;" de "&amp;COUNT($E$9:$E$31)&amp;" linhas conferidas"</f>
        <v>22 de 22 linhas conferidas</v>
      </c>
    </row>
    <row r="42" spans="1:22" x14ac:dyDescent="0.25">
      <c r="A42" s="37" t="s">
        <v>86</v>
      </c>
      <c r="B42" s="28"/>
      <c r="C42" s="28"/>
      <c r="D42" s="28"/>
      <c r="E42" s="28"/>
    </row>
    <row r="43" spans="1:22" x14ac:dyDescent="0.25">
      <c r="A43" s="43" t="s">
        <v>87</v>
      </c>
      <c r="B43" s="28"/>
      <c r="C43" s="28"/>
      <c r="D43" s="28"/>
      <c r="E43" s="31" t="s">
        <v>88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43" t="s">
        <v>89</v>
      </c>
      <c r="B44" s="28"/>
      <c r="C44" s="28"/>
      <c r="D44" s="28"/>
      <c r="E44" s="31" t="s">
        <v>90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43" t="s">
        <v>91</v>
      </c>
      <c r="B45" s="28"/>
      <c r="C45" s="28"/>
      <c r="D45" s="28"/>
      <c r="E45" s="31" t="s">
        <v>92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43" t="s">
        <v>93</v>
      </c>
      <c r="B46" s="28"/>
      <c r="C46" s="28"/>
      <c r="D46" s="28"/>
      <c r="E46" s="31" t="s">
        <v>94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x14ac:dyDescent="0.25">
      <c r="A47" s="43" t="s">
        <v>95</v>
      </c>
      <c r="B47" s="28"/>
      <c r="C47" s="28"/>
      <c r="D47" s="28"/>
      <c r="E47" s="31" t="s">
        <v>96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x14ac:dyDescent="0.25">
      <c r="A48" s="43" t="s">
        <v>60</v>
      </c>
      <c r="B48" s="28"/>
      <c r="C48" s="28"/>
      <c r="D48" s="28"/>
      <c r="E48" s="31" t="s">
        <v>97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43" t="s">
        <v>98</v>
      </c>
      <c r="B49" s="28"/>
      <c r="C49" s="28"/>
      <c r="D49" s="28"/>
      <c r="E49" s="31" t="s">
        <v>99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43" t="s">
        <v>100</v>
      </c>
      <c r="B50" s="28"/>
      <c r="C50" s="28"/>
      <c r="D50" s="28"/>
      <c r="E50" s="31" t="s">
        <v>101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43" t="s">
        <v>11</v>
      </c>
      <c r="B51" s="28"/>
      <c r="C51" s="28"/>
      <c r="D51" s="28"/>
      <c r="E51" s="31" t="s">
        <v>102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</sheetData>
  <sheetProtection sheet="1" formatCells="0"/>
  <mergeCells count="58">
    <mergeCell ref="A49:D49"/>
    <mergeCell ref="A48:D48"/>
    <mergeCell ref="A36:E36"/>
    <mergeCell ref="A1:V1"/>
    <mergeCell ref="A42:E42"/>
    <mergeCell ref="A33:E33"/>
    <mergeCell ref="G33:K33"/>
    <mergeCell ref="T3:V3"/>
    <mergeCell ref="K39:L39"/>
    <mergeCell ref="F39:J39"/>
    <mergeCell ref="A38:E38"/>
    <mergeCell ref="M39:O39"/>
    <mergeCell ref="R2:V2"/>
    <mergeCell ref="A3:S3"/>
    <mergeCell ref="C6:C7"/>
    <mergeCell ref="P39:R39"/>
    <mergeCell ref="M6:O6"/>
    <mergeCell ref="V6:V7"/>
    <mergeCell ref="A8:V8"/>
    <mergeCell ref="A51:D51"/>
    <mergeCell ref="B6:B7"/>
    <mergeCell ref="A45:D45"/>
    <mergeCell ref="G34:K34"/>
    <mergeCell ref="D6:D7"/>
    <mergeCell ref="A46:D46"/>
    <mergeCell ref="E47:V47"/>
    <mergeCell ref="E43:V43"/>
    <mergeCell ref="E50:V50"/>
    <mergeCell ref="A50:D50"/>
    <mergeCell ref="E48:V48"/>
    <mergeCell ref="E51:V51"/>
    <mergeCell ref="A47:D47"/>
    <mergeCell ref="S39:U39"/>
    <mergeCell ref="A40:E40"/>
    <mergeCell ref="P6:R6"/>
    <mergeCell ref="W6:W7"/>
    <mergeCell ref="A37:E37"/>
    <mergeCell ref="E6:E7"/>
    <mergeCell ref="A4:V4"/>
    <mergeCell ref="F6:J6"/>
    <mergeCell ref="A6:A7"/>
    <mergeCell ref="K6:L6"/>
    <mergeCell ref="N2:O2"/>
    <mergeCell ref="E46:V46"/>
    <mergeCell ref="E49:V49"/>
    <mergeCell ref="P2:Q2"/>
    <mergeCell ref="A44:D44"/>
    <mergeCell ref="A2:F2"/>
    <mergeCell ref="S6:U6"/>
    <mergeCell ref="A10:V10"/>
    <mergeCell ref="K2:M2"/>
    <mergeCell ref="A39:E39"/>
    <mergeCell ref="A34:E34"/>
    <mergeCell ref="E44:V44"/>
    <mergeCell ref="G2:H2"/>
    <mergeCell ref="I2:J2"/>
    <mergeCell ref="A43:D43"/>
    <mergeCell ref="E45:V45"/>
  </mergeCells>
  <conditionalFormatting sqref="F9:J31">
    <cfRule type="expression" dxfId="197" priority="1">
      <formula>AND(F9&lt;&gt;"",COUNTIF($F9:$J9,"X")&gt;1)</formula>
    </cfRule>
  </conditionalFormatting>
  <conditionalFormatting sqref="F39:U39">
    <cfRule type="expression" dxfId="196" priority="8">
      <formula>LEFT(F39,4)="ERRO"</formula>
    </cfRule>
    <cfRule type="expression" dxfId="195" priority="9">
      <formula>LEFT(F39,2)="OK"</formula>
    </cfRule>
  </conditionalFormatting>
  <conditionalFormatting sqref="K9:L31">
    <cfRule type="expression" dxfId="194" priority="2">
      <formula>AND(K9&lt;&gt;"",COUNTIF($K9:$L9,"X")&gt;1)</formula>
    </cfRule>
  </conditionalFormatting>
  <conditionalFormatting sqref="M9:O31">
    <cfRule type="expression" dxfId="193" priority="3">
      <formula>AND(M9&lt;&gt;"",COUNTIF($M9:$O9,"X")&gt;1)</formula>
    </cfRule>
  </conditionalFormatting>
  <conditionalFormatting sqref="P9:R31">
    <cfRule type="expression" dxfId="192" priority="4">
      <formula>AND(P9&lt;&gt;"",COUNTIF($P9:$R9,"X")&gt;1)</formula>
    </cfRule>
  </conditionalFormatting>
  <conditionalFormatting sqref="S9:U31">
    <cfRule type="expression" dxfId="191" priority="5">
      <formula>AND(S9&lt;&gt;"",COUNTIF($S9:$U9,"X")&gt;1)</formula>
    </cfRule>
  </conditionalFormatting>
  <conditionalFormatting sqref="W9:W31">
    <cfRule type="expression" dxfId="190" priority="6">
      <formula>AND(W9&lt;&gt;"OK",W9&lt;&gt;"")</formula>
    </cfRule>
    <cfRule type="expression" dxfId="18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1" xr:uid="{00000000-0002-0000-07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1" xr:uid="{00000000-0002-0000-07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1" xr:uid="{00000000-0002-0000-07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1" xr:uid="{00000000-0002-0000-07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1" xr:uid="{00000000-0002-0000-0700-000004000000}">
      <formula1>AND(UPPER(S9)="X",COUNTIF($S9:$U9,"X")&lt;=1)</formula1>
    </dataValidation>
    <dataValidation type="list" showErrorMessage="1" errorTitle="Sentido inválido" error="Use C (crescente) ou D (decrescente)." sqref="B9:B31" xr:uid="{00000000-0002-0000-07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7</oddHeader>
    <oddFooter>&amp;L&amp;7 RTA / MSI — Programa de Manutenção Rodoviária&amp;C&amp;7 Página &amp;P de &amp;N&amp;R&amp;7 Impresso em &amp;D</oddFooter>
  </headerFooter>
  <rowBreaks count="1" manualBreakCount="1">
    <brk id="34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AN56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IF(F42=0,NA(),F42)</f>
        <v>20.376613198199998</v>
      </c>
      <c r="Z2" s="2">
        <f t="shared" si="0"/>
        <v>5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25.376613198199998</v>
      </c>
      <c r="AF2" s="2">
        <f t="shared" si="0"/>
        <v>1.0211831320999991</v>
      </c>
      <c r="AG2" s="2">
        <f t="shared" si="0"/>
        <v>24.355430066099998</v>
      </c>
      <c r="AH2" s="2" t="e">
        <f t="shared" si="0"/>
        <v>#N/A</v>
      </c>
      <c r="AI2" s="2">
        <f t="shared" si="0"/>
        <v>25.376613198199998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15.021183132099999</v>
      </c>
      <c r="AN2" s="2">
        <f t="shared" si="0"/>
        <v>10.3554300661</v>
      </c>
    </row>
    <row r="3" spans="1:40" ht="15" customHeight="1" x14ac:dyDescent="0.25">
      <c r="A3" s="49" t="s">
        <v>154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155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156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157</v>
      </c>
      <c r="B9" s="19" t="s">
        <v>68</v>
      </c>
      <c r="C9" s="20">
        <v>0</v>
      </c>
      <c r="D9" s="20">
        <v>1</v>
      </c>
      <c r="E9" s="20">
        <f t="shared" ref="E9:E20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/>
      <c r="T9" s="21" t="s">
        <v>69</v>
      </c>
      <c r="U9" s="21"/>
      <c r="V9" s="22"/>
      <c r="W9" s="23" t="str">
        <f t="shared" ref="W9:W2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157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157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 t="s">
        <v>69</v>
      </c>
      <c r="Q11" s="21"/>
      <c r="R11" s="21"/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157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 t="s">
        <v>69</v>
      </c>
      <c r="G12" s="21"/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 t="s">
        <v>69</v>
      </c>
      <c r="Q12" s="21"/>
      <c r="R12" s="21"/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157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/>
      <c r="G13" s="21" t="s">
        <v>69</v>
      </c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 t="s">
        <v>69</v>
      </c>
      <c r="Q13" s="21"/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157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 t="s">
        <v>69</v>
      </c>
      <c r="Q14" s="21"/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157</v>
      </c>
      <c r="B15" s="19" t="s">
        <v>68</v>
      </c>
      <c r="C15" s="20">
        <v>6</v>
      </c>
      <c r="D15" s="20">
        <v>7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 t="s">
        <v>69</v>
      </c>
      <c r="Q15" s="21"/>
      <c r="R15" s="21"/>
      <c r="S15" s="21"/>
      <c r="T15" s="21"/>
      <c r="U15" s="21" t="s">
        <v>69</v>
      </c>
      <c r="V15" s="22"/>
      <c r="W15" s="23" t="str">
        <f t="shared" si="2"/>
        <v>OK</v>
      </c>
    </row>
    <row r="16" spans="1:40" ht="20.100000000000001" customHeight="1" x14ac:dyDescent="0.25">
      <c r="A16" s="18" t="s">
        <v>157</v>
      </c>
      <c r="B16" s="19" t="s">
        <v>68</v>
      </c>
      <c r="C16" s="20">
        <v>7</v>
      </c>
      <c r="D16" s="20">
        <v>8</v>
      </c>
      <c r="E16" s="20">
        <f t="shared" si="1"/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 t="s">
        <v>69</v>
      </c>
      <c r="Q16" s="21"/>
      <c r="R16" s="21"/>
      <c r="S16" s="21"/>
      <c r="T16" s="21"/>
      <c r="U16" s="21" t="s">
        <v>69</v>
      </c>
      <c r="V16" s="22"/>
      <c r="W16" s="23" t="str">
        <f t="shared" si="2"/>
        <v>OK</v>
      </c>
    </row>
    <row r="17" spans="1:23" ht="20.100000000000001" customHeight="1" x14ac:dyDescent="0.25">
      <c r="A17" s="18" t="s">
        <v>157</v>
      </c>
      <c r="B17" s="19" t="s">
        <v>68</v>
      </c>
      <c r="C17" s="20">
        <v>8</v>
      </c>
      <c r="D17" s="20">
        <v>9</v>
      </c>
      <c r="E17" s="20">
        <f t="shared" si="1"/>
        <v>1</v>
      </c>
      <c r="F17" s="21"/>
      <c r="G17" s="21" t="s">
        <v>69</v>
      </c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 t="s">
        <v>69</v>
      </c>
      <c r="Q17" s="21"/>
      <c r="R17" s="21"/>
      <c r="S17" s="21"/>
      <c r="T17" s="21" t="s">
        <v>69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157</v>
      </c>
      <c r="B18" s="19" t="s">
        <v>68</v>
      </c>
      <c r="C18" s="20">
        <v>9</v>
      </c>
      <c r="D18" s="20">
        <v>10</v>
      </c>
      <c r="E18" s="20">
        <f t="shared" si="1"/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 t="s">
        <v>69</v>
      </c>
      <c r="Q18" s="21"/>
      <c r="R18" s="21"/>
      <c r="S18" s="21"/>
      <c r="T18" s="21" t="s">
        <v>69</v>
      </c>
      <c r="U18" s="21"/>
      <c r="V18" s="22"/>
      <c r="W18" s="23" t="str">
        <f t="shared" si="2"/>
        <v>OK</v>
      </c>
    </row>
    <row r="19" spans="1:23" ht="20.100000000000001" customHeight="1" x14ac:dyDescent="0.25">
      <c r="A19" s="18" t="s">
        <v>157</v>
      </c>
      <c r="B19" s="19" t="s">
        <v>68</v>
      </c>
      <c r="C19" s="20">
        <v>10</v>
      </c>
      <c r="D19" s="20">
        <v>11</v>
      </c>
      <c r="E19" s="20">
        <f t="shared" si="1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/>
      <c r="N19" s="21" t="s">
        <v>69</v>
      </c>
      <c r="O19" s="21"/>
      <c r="P19" s="21" t="s">
        <v>69</v>
      </c>
      <c r="Q19" s="21"/>
      <c r="R19" s="21"/>
      <c r="S19" s="21"/>
      <c r="T19" s="21"/>
      <c r="U19" s="21" t="s">
        <v>69</v>
      </c>
      <c r="V19" s="22"/>
      <c r="W19" s="23" t="str">
        <f t="shared" si="2"/>
        <v>OK</v>
      </c>
    </row>
    <row r="20" spans="1:23" ht="20.100000000000001" customHeight="1" x14ac:dyDescent="0.25">
      <c r="A20" s="12" t="s">
        <v>157</v>
      </c>
      <c r="B20" s="13" t="s">
        <v>68</v>
      </c>
      <c r="C20" s="14">
        <v>11</v>
      </c>
      <c r="D20" s="14">
        <v>11.3554300661</v>
      </c>
      <c r="E20" s="14">
        <f t="shared" si="1"/>
        <v>0.35543006610000027</v>
      </c>
      <c r="F20" s="15" t="s">
        <v>69</v>
      </c>
      <c r="G20" s="15"/>
      <c r="H20" s="15"/>
      <c r="I20" s="15"/>
      <c r="J20" s="15"/>
      <c r="K20" s="15"/>
      <c r="L20" s="15" t="s">
        <v>69</v>
      </c>
      <c r="M20" s="15"/>
      <c r="N20" s="15" t="s">
        <v>69</v>
      </c>
      <c r="O20" s="15"/>
      <c r="P20" s="15" t="s">
        <v>69</v>
      </c>
      <c r="Q20" s="15"/>
      <c r="R20" s="15"/>
      <c r="S20" s="15"/>
      <c r="T20" s="15"/>
      <c r="U20" s="15" t="s">
        <v>69</v>
      </c>
      <c r="V20" s="16"/>
      <c r="W20" s="17" t="str">
        <f t="shared" si="2"/>
        <v>OK</v>
      </c>
    </row>
    <row r="21" spans="1:23" ht="15.95" customHeight="1" x14ac:dyDescent="0.25">
      <c r="A21" s="35" t="s">
        <v>158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4"/>
      <c r="W21" s="4"/>
    </row>
    <row r="22" spans="1:23" ht="20.100000000000001" customHeight="1" x14ac:dyDescent="0.25">
      <c r="A22" s="18" t="s">
        <v>159</v>
      </c>
      <c r="B22" s="19" t="s">
        <v>68</v>
      </c>
      <c r="C22" s="20">
        <v>0</v>
      </c>
      <c r="D22" s="20">
        <v>1</v>
      </c>
      <c r="E22" s="20">
        <f t="shared" ref="E22:E36" si="3">D22-C22</f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/>
      <c r="N22" s="21" t="s">
        <v>69</v>
      </c>
      <c r="O22" s="21"/>
      <c r="P22" s="21" t="s">
        <v>69</v>
      </c>
      <c r="Q22" s="21"/>
      <c r="R22" s="21"/>
      <c r="S22" s="21"/>
      <c r="T22" s="21"/>
      <c r="U22" s="21" t="s">
        <v>69</v>
      </c>
      <c r="V22" s="22"/>
      <c r="W22" s="23" t="str">
        <f t="shared" ref="W22:W36" si="4"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8" t="s">
        <v>159</v>
      </c>
      <c r="B23" s="19" t="s">
        <v>68</v>
      </c>
      <c r="C23" s="20">
        <v>1</v>
      </c>
      <c r="D23" s="20">
        <v>2</v>
      </c>
      <c r="E23" s="20">
        <f t="shared" si="3"/>
        <v>1</v>
      </c>
      <c r="F23" s="21" t="s">
        <v>69</v>
      </c>
      <c r="G23" s="21"/>
      <c r="H23" s="21"/>
      <c r="I23" s="21"/>
      <c r="J23" s="21"/>
      <c r="K23" s="21"/>
      <c r="L23" s="21" t="s">
        <v>69</v>
      </c>
      <c r="M23" s="21"/>
      <c r="N23" s="21" t="s">
        <v>69</v>
      </c>
      <c r="O23" s="21"/>
      <c r="P23" s="21" t="s">
        <v>69</v>
      </c>
      <c r="Q23" s="21"/>
      <c r="R23" s="21"/>
      <c r="S23" s="21"/>
      <c r="T23" s="21"/>
      <c r="U23" s="21" t="s">
        <v>69</v>
      </c>
      <c r="V23" s="22"/>
      <c r="W23" s="23" t="str">
        <f t="shared" si="4"/>
        <v>OK</v>
      </c>
    </row>
    <row r="24" spans="1:23" ht="20.100000000000001" customHeight="1" x14ac:dyDescent="0.25">
      <c r="A24" s="18" t="s">
        <v>159</v>
      </c>
      <c r="B24" s="19" t="s">
        <v>68</v>
      </c>
      <c r="C24" s="20">
        <v>2</v>
      </c>
      <c r="D24" s="20">
        <v>3</v>
      </c>
      <c r="E24" s="20">
        <f t="shared" si="3"/>
        <v>1</v>
      </c>
      <c r="F24" s="21" t="s">
        <v>69</v>
      </c>
      <c r="G24" s="21"/>
      <c r="H24" s="21"/>
      <c r="I24" s="21"/>
      <c r="J24" s="21"/>
      <c r="K24" s="21"/>
      <c r="L24" s="21" t="s">
        <v>69</v>
      </c>
      <c r="M24" s="21"/>
      <c r="N24" s="21" t="s">
        <v>69</v>
      </c>
      <c r="O24" s="21"/>
      <c r="P24" s="21" t="s">
        <v>69</v>
      </c>
      <c r="Q24" s="21"/>
      <c r="R24" s="21"/>
      <c r="S24" s="21"/>
      <c r="T24" s="21"/>
      <c r="U24" s="21" t="s">
        <v>69</v>
      </c>
      <c r="V24" s="22"/>
      <c r="W24" s="23" t="str">
        <f t="shared" si="4"/>
        <v>OK</v>
      </c>
    </row>
    <row r="25" spans="1:23" ht="20.100000000000001" customHeight="1" x14ac:dyDescent="0.25">
      <c r="A25" s="18" t="s">
        <v>159</v>
      </c>
      <c r="B25" s="19" t="s">
        <v>68</v>
      </c>
      <c r="C25" s="20">
        <v>3</v>
      </c>
      <c r="D25" s="20">
        <v>4</v>
      </c>
      <c r="E25" s="20">
        <f t="shared" si="3"/>
        <v>1</v>
      </c>
      <c r="F25" s="21" t="s">
        <v>69</v>
      </c>
      <c r="G25" s="21"/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 t="s">
        <v>69</v>
      </c>
      <c r="Q25" s="21"/>
      <c r="R25" s="21"/>
      <c r="S25" s="21"/>
      <c r="T25" s="21" t="s">
        <v>69</v>
      </c>
      <c r="U25" s="21"/>
      <c r="V25" s="22"/>
      <c r="W25" s="23" t="str">
        <f t="shared" si="4"/>
        <v>OK</v>
      </c>
    </row>
    <row r="26" spans="1:23" ht="20.100000000000001" customHeight="1" x14ac:dyDescent="0.25">
      <c r="A26" s="18" t="s">
        <v>159</v>
      </c>
      <c r="B26" s="19" t="s">
        <v>68</v>
      </c>
      <c r="C26" s="20">
        <v>4</v>
      </c>
      <c r="D26" s="20">
        <v>5</v>
      </c>
      <c r="E26" s="20">
        <f t="shared" si="3"/>
        <v>1</v>
      </c>
      <c r="F26" s="21" t="s">
        <v>69</v>
      </c>
      <c r="G26" s="21"/>
      <c r="H26" s="21"/>
      <c r="I26" s="21"/>
      <c r="J26" s="21"/>
      <c r="K26" s="21"/>
      <c r="L26" s="21" t="s">
        <v>69</v>
      </c>
      <c r="M26" s="21"/>
      <c r="N26" s="21" t="s">
        <v>69</v>
      </c>
      <c r="O26" s="21"/>
      <c r="P26" s="21" t="s">
        <v>69</v>
      </c>
      <c r="Q26" s="21"/>
      <c r="R26" s="21"/>
      <c r="S26" s="21"/>
      <c r="T26" s="21" t="s">
        <v>69</v>
      </c>
      <c r="U26" s="21"/>
      <c r="V26" s="22"/>
      <c r="W26" s="23" t="str">
        <f t="shared" si="4"/>
        <v>OK</v>
      </c>
    </row>
    <row r="27" spans="1:23" ht="20.100000000000001" customHeight="1" x14ac:dyDescent="0.25">
      <c r="A27" s="18" t="s">
        <v>159</v>
      </c>
      <c r="B27" s="19" t="s">
        <v>68</v>
      </c>
      <c r="C27" s="20">
        <v>5</v>
      </c>
      <c r="D27" s="20">
        <v>6</v>
      </c>
      <c r="E27" s="20">
        <f t="shared" si="3"/>
        <v>1</v>
      </c>
      <c r="F27" s="21"/>
      <c r="G27" s="21" t="s">
        <v>69</v>
      </c>
      <c r="H27" s="21"/>
      <c r="I27" s="21"/>
      <c r="J27" s="21"/>
      <c r="K27" s="21"/>
      <c r="L27" s="21" t="s">
        <v>69</v>
      </c>
      <c r="M27" s="21"/>
      <c r="N27" s="21" t="s">
        <v>69</v>
      </c>
      <c r="O27" s="21"/>
      <c r="P27" s="21" t="s">
        <v>69</v>
      </c>
      <c r="Q27" s="21"/>
      <c r="R27" s="21"/>
      <c r="S27" s="21"/>
      <c r="T27" s="21" t="s">
        <v>69</v>
      </c>
      <c r="U27" s="21"/>
      <c r="V27" s="22"/>
      <c r="W27" s="23" t="str">
        <f t="shared" si="4"/>
        <v>OK</v>
      </c>
    </row>
    <row r="28" spans="1:23" ht="20.100000000000001" customHeight="1" x14ac:dyDescent="0.25">
      <c r="A28" s="18" t="s">
        <v>159</v>
      </c>
      <c r="B28" s="19" t="s">
        <v>68</v>
      </c>
      <c r="C28" s="20">
        <v>6</v>
      </c>
      <c r="D28" s="20">
        <v>7</v>
      </c>
      <c r="E28" s="20">
        <f t="shared" si="3"/>
        <v>1</v>
      </c>
      <c r="F28" s="21" t="s">
        <v>69</v>
      </c>
      <c r="G28" s="21"/>
      <c r="H28" s="21"/>
      <c r="I28" s="21"/>
      <c r="J28" s="21"/>
      <c r="K28" s="21"/>
      <c r="L28" s="21" t="s">
        <v>69</v>
      </c>
      <c r="M28" s="21"/>
      <c r="N28" s="21" t="s">
        <v>69</v>
      </c>
      <c r="O28" s="21"/>
      <c r="P28" s="21" t="s">
        <v>69</v>
      </c>
      <c r="Q28" s="21"/>
      <c r="R28" s="21"/>
      <c r="S28" s="21"/>
      <c r="T28" s="21" t="s">
        <v>69</v>
      </c>
      <c r="U28" s="21"/>
      <c r="V28" s="22"/>
      <c r="W28" s="23" t="str">
        <f t="shared" si="4"/>
        <v>OK</v>
      </c>
    </row>
    <row r="29" spans="1:23" ht="20.100000000000001" customHeight="1" x14ac:dyDescent="0.25">
      <c r="A29" s="18" t="s">
        <v>159</v>
      </c>
      <c r="B29" s="19" t="s">
        <v>68</v>
      </c>
      <c r="C29" s="20">
        <v>7</v>
      </c>
      <c r="D29" s="20">
        <v>8</v>
      </c>
      <c r="E29" s="20">
        <f t="shared" si="3"/>
        <v>1</v>
      </c>
      <c r="F29" s="21"/>
      <c r="G29" s="21" t="s">
        <v>69</v>
      </c>
      <c r="H29" s="21"/>
      <c r="I29" s="21"/>
      <c r="J29" s="21"/>
      <c r="K29" s="21"/>
      <c r="L29" s="21" t="s">
        <v>69</v>
      </c>
      <c r="M29" s="21"/>
      <c r="N29" s="21" t="s">
        <v>69</v>
      </c>
      <c r="O29" s="21"/>
      <c r="P29" s="21" t="s">
        <v>69</v>
      </c>
      <c r="Q29" s="21"/>
      <c r="R29" s="21"/>
      <c r="S29" s="21"/>
      <c r="T29" s="21"/>
      <c r="U29" s="21" t="s">
        <v>69</v>
      </c>
      <c r="V29" s="22"/>
      <c r="W29" s="23" t="str">
        <f t="shared" si="4"/>
        <v>OK</v>
      </c>
    </row>
    <row r="30" spans="1:23" ht="20.100000000000001" customHeight="1" x14ac:dyDescent="0.25">
      <c r="A30" s="18" t="s">
        <v>159</v>
      </c>
      <c r="B30" s="19" t="s">
        <v>68</v>
      </c>
      <c r="C30" s="20">
        <v>8</v>
      </c>
      <c r="D30" s="20">
        <v>9</v>
      </c>
      <c r="E30" s="20">
        <f t="shared" si="3"/>
        <v>1</v>
      </c>
      <c r="F30" s="21" t="s">
        <v>69</v>
      </c>
      <c r="G30" s="21"/>
      <c r="H30" s="21"/>
      <c r="I30" s="21"/>
      <c r="J30" s="21"/>
      <c r="K30" s="21"/>
      <c r="L30" s="21" t="s">
        <v>69</v>
      </c>
      <c r="M30" s="21"/>
      <c r="N30" s="21" t="s">
        <v>69</v>
      </c>
      <c r="O30" s="21"/>
      <c r="P30" s="21" t="s">
        <v>69</v>
      </c>
      <c r="Q30" s="21"/>
      <c r="R30" s="21"/>
      <c r="S30" s="21"/>
      <c r="T30" s="21"/>
      <c r="U30" s="21" t="s">
        <v>69</v>
      </c>
      <c r="V30" s="22"/>
      <c r="W30" s="23" t="str">
        <f t="shared" si="4"/>
        <v>OK</v>
      </c>
    </row>
    <row r="31" spans="1:23" ht="20.100000000000001" customHeight="1" x14ac:dyDescent="0.25">
      <c r="A31" s="18" t="s">
        <v>159</v>
      </c>
      <c r="B31" s="19" t="s">
        <v>68</v>
      </c>
      <c r="C31" s="20">
        <v>9</v>
      </c>
      <c r="D31" s="20">
        <v>10</v>
      </c>
      <c r="E31" s="20">
        <f t="shared" si="3"/>
        <v>1</v>
      </c>
      <c r="F31" s="21" t="s">
        <v>69</v>
      </c>
      <c r="G31" s="21"/>
      <c r="H31" s="21"/>
      <c r="I31" s="21"/>
      <c r="J31" s="21"/>
      <c r="K31" s="21"/>
      <c r="L31" s="21" t="s">
        <v>69</v>
      </c>
      <c r="M31" s="21"/>
      <c r="N31" s="21" t="s">
        <v>69</v>
      </c>
      <c r="O31" s="21"/>
      <c r="P31" s="21" t="s">
        <v>69</v>
      </c>
      <c r="Q31" s="21"/>
      <c r="R31" s="21"/>
      <c r="S31" s="21"/>
      <c r="T31" s="21"/>
      <c r="U31" s="21" t="s">
        <v>69</v>
      </c>
      <c r="V31" s="22"/>
      <c r="W31" s="23" t="str">
        <f t="shared" si="4"/>
        <v>OK</v>
      </c>
    </row>
    <row r="32" spans="1:23" ht="20.100000000000001" customHeight="1" x14ac:dyDescent="0.25">
      <c r="A32" s="18" t="s">
        <v>159</v>
      </c>
      <c r="B32" s="19" t="s">
        <v>68</v>
      </c>
      <c r="C32" s="20">
        <v>10</v>
      </c>
      <c r="D32" s="20">
        <v>11</v>
      </c>
      <c r="E32" s="20">
        <f t="shared" si="3"/>
        <v>1</v>
      </c>
      <c r="F32" s="21" t="s">
        <v>69</v>
      </c>
      <c r="G32" s="21"/>
      <c r="H32" s="21"/>
      <c r="I32" s="21"/>
      <c r="J32" s="21"/>
      <c r="K32" s="21"/>
      <c r="L32" s="21" t="s">
        <v>69</v>
      </c>
      <c r="M32" s="21"/>
      <c r="N32" s="21" t="s">
        <v>69</v>
      </c>
      <c r="O32" s="21"/>
      <c r="P32" s="21" t="s">
        <v>69</v>
      </c>
      <c r="Q32" s="21"/>
      <c r="R32" s="21"/>
      <c r="S32" s="21"/>
      <c r="T32" s="21"/>
      <c r="U32" s="21" t="s">
        <v>69</v>
      </c>
      <c r="V32" s="22"/>
      <c r="W32" s="23" t="str">
        <f t="shared" si="4"/>
        <v>OK</v>
      </c>
    </row>
    <row r="33" spans="1:23" ht="20.100000000000001" customHeight="1" x14ac:dyDescent="0.25">
      <c r="A33" s="18" t="s">
        <v>159</v>
      </c>
      <c r="B33" s="19" t="s">
        <v>68</v>
      </c>
      <c r="C33" s="20">
        <v>11</v>
      </c>
      <c r="D33" s="20">
        <v>12</v>
      </c>
      <c r="E33" s="20">
        <f t="shared" si="3"/>
        <v>1</v>
      </c>
      <c r="F33" s="21" t="s">
        <v>69</v>
      </c>
      <c r="G33" s="21"/>
      <c r="H33" s="21"/>
      <c r="I33" s="21"/>
      <c r="J33" s="21"/>
      <c r="K33" s="21"/>
      <c r="L33" s="21" t="s">
        <v>69</v>
      </c>
      <c r="M33" s="21"/>
      <c r="N33" s="21" t="s">
        <v>69</v>
      </c>
      <c r="O33" s="21"/>
      <c r="P33" s="21" t="s">
        <v>69</v>
      </c>
      <c r="Q33" s="21"/>
      <c r="R33" s="21"/>
      <c r="S33" s="21"/>
      <c r="T33" s="21" t="s">
        <v>69</v>
      </c>
      <c r="U33" s="21"/>
      <c r="V33" s="22"/>
      <c r="W33" s="23" t="str">
        <f t="shared" si="4"/>
        <v>OK</v>
      </c>
    </row>
    <row r="34" spans="1:23" ht="20.100000000000001" customHeight="1" x14ac:dyDescent="0.25">
      <c r="A34" s="18" t="s">
        <v>159</v>
      </c>
      <c r="B34" s="19" t="s">
        <v>68</v>
      </c>
      <c r="C34" s="20">
        <v>12</v>
      </c>
      <c r="D34" s="20">
        <v>13</v>
      </c>
      <c r="E34" s="20">
        <f t="shared" si="3"/>
        <v>1</v>
      </c>
      <c r="F34" s="21" t="s">
        <v>69</v>
      </c>
      <c r="G34" s="21"/>
      <c r="H34" s="21"/>
      <c r="I34" s="21"/>
      <c r="J34" s="21"/>
      <c r="K34" s="21"/>
      <c r="L34" s="21" t="s">
        <v>69</v>
      </c>
      <c r="M34" s="21"/>
      <c r="N34" s="21" t="s">
        <v>69</v>
      </c>
      <c r="O34" s="21"/>
      <c r="P34" s="21" t="s">
        <v>69</v>
      </c>
      <c r="Q34" s="21"/>
      <c r="R34" s="21"/>
      <c r="S34" s="21"/>
      <c r="T34" s="21" t="s">
        <v>69</v>
      </c>
      <c r="U34" s="21"/>
      <c r="V34" s="22"/>
      <c r="W34" s="23" t="str">
        <f t="shared" si="4"/>
        <v>OK</v>
      </c>
    </row>
    <row r="35" spans="1:23" ht="20.100000000000001" customHeight="1" x14ac:dyDescent="0.25">
      <c r="A35" s="18" t="s">
        <v>159</v>
      </c>
      <c r="B35" s="19" t="s">
        <v>68</v>
      </c>
      <c r="C35" s="20">
        <v>13</v>
      </c>
      <c r="D35" s="20">
        <v>14</v>
      </c>
      <c r="E35" s="20">
        <f t="shared" si="3"/>
        <v>1</v>
      </c>
      <c r="F35" s="21"/>
      <c r="G35" s="21" t="s">
        <v>69</v>
      </c>
      <c r="H35" s="21"/>
      <c r="I35" s="21"/>
      <c r="J35" s="21"/>
      <c r="K35" s="21"/>
      <c r="L35" s="21" t="s">
        <v>69</v>
      </c>
      <c r="M35" s="21" t="s">
        <v>69</v>
      </c>
      <c r="N35" s="21"/>
      <c r="O35" s="21"/>
      <c r="P35" s="21" t="s">
        <v>69</v>
      </c>
      <c r="Q35" s="21"/>
      <c r="R35" s="21"/>
      <c r="S35" s="21"/>
      <c r="T35" s="21" t="s">
        <v>69</v>
      </c>
      <c r="U35" s="21"/>
      <c r="V35" s="22"/>
      <c r="W35" s="23" t="str">
        <f t="shared" si="4"/>
        <v>OK</v>
      </c>
    </row>
    <row r="36" spans="1:23" ht="20.100000000000001" customHeight="1" x14ac:dyDescent="0.25">
      <c r="A36" s="12" t="s">
        <v>159</v>
      </c>
      <c r="B36" s="13" t="s">
        <v>68</v>
      </c>
      <c r="C36" s="14">
        <v>14</v>
      </c>
      <c r="D36" s="14">
        <v>14.021183132099999</v>
      </c>
      <c r="E36" s="14">
        <f t="shared" si="3"/>
        <v>2.1183132099999114E-2</v>
      </c>
      <c r="F36" s="15" t="s">
        <v>69</v>
      </c>
      <c r="G36" s="15"/>
      <c r="H36" s="15"/>
      <c r="I36" s="15"/>
      <c r="J36" s="15"/>
      <c r="K36" s="15"/>
      <c r="L36" s="15" t="s">
        <v>69</v>
      </c>
      <c r="M36" s="15" t="s">
        <v>69</v>
      </c>
      <c r="N36" s="15"/>
      <c r="O36" s="15"/>
      <c r="P36" s="15" t="s">
        <v>69</v>
      </c>
      <c r="Q36" s="15"/>
      <c r="R36" s="15"/>
      <c r="S36" s="15"/>
      <c r="T36" s="15" t="s">
        <v>69</v>
      </c>
      <c r="U36" s="15"/>
      <c r="V36" s="16"/>
      <c r="W36" s="17" t="str">
        <f t="shared" si="4"/>
        <v>OK</v>
      </c>
    </row>
    <row r="38" spans="1:23" x14ac:dyDescent="0.25">
      <c r="A38" s="40" t="s">
        <v>78</v>
      </c>
      <c r="B38" s="28"/>
      <c r="C38" s="28"/>
      <c r="D38" s="28"/>
      <c r="E38" s="28"/>
      <c r="G38" s="40" t="s">
        <v>78</v>
      </c>
      <c r="H38" s="28"/>
      <c r="I38" s="28"/>
      <c r="J38" s="28"/>
      <c r="K38" s="28"/>
    </row>
    <row r="39" spans="1:23" x14ac:dyDescent="0.25">
      <c r="A39" s="44" t="s">
        <v>79</v>
      </c>
      <c r="B39" s="28"/>
      <c r="C39" s="28"/>
      <c r="D39" s="28"/>
      <c r="E39" s="28"/>
      <c r="G39" s="44" t="s">
        <v>80</v>
      </c>
      <c r="H39" s="28"/>
      <c r="I39" s="28"/>
      <c r="J39" s="28"/>
      <c r="K39" s="28"/>
    </row>
    <row r="41" spans="1:23" x14ac:dyDescent="0.25">
      <c r="A41" s="41" t="s">
        <v>81</v>
      </c>
      <c r="B41" s="28"/>
      <c r="C41" s="28"/>
      <c r="D41" s="28"/>
      <c r="E41" s="28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</row>
    <row r="42" spans="1:23" x14ac:dyDescent="0.25">
      <c r="A42" s="43" t="s">
        <v>82</v>
      </c>
      <c r="B42" s="28"/>
      <c r="C42" s="28"/>
      <c r="D42" s="28"/>
      <c r="E42" s="28"/>
      <c r="F42" s="9">
        <f t="shared" ref="F42:U42" si="5">SUMIF(F$9:F$36,"X",$E$9:$E$36)</f>
        <v>20.376613198199998</v>
      </c>
      <c r="G42" s="9">
        <f t="shared" si="5"/>
        <v>5</v>
      </c>
      <c r="H42" s="9">
        <f t="shared" si="5"/>
        <v>0</v>
      </c>
      <c r="I42" s="9">
        <f t="shared" si="5"/>
        <v>0</v>
      </c>
      <c r="J42" s="9">
        <f t="shared" si="5"/>
        <v>0</v>
      </c>
      <c r="K42" s="9">
        <f t="shared" si="5"/>
        <v>0</v>
      </c>
      <c r="L42" s="9">
        <f t="shared" si="5"/>
        <v>25.376613198199998</v>
      </c>
      <c r="M42" s="9">
        <f t="shared" si="5"/>
        <v>1.0211831320999991</v>
      </c>
      <c r="N42" s="9">
        <f t="shared" si="5"/>
        <v>24.355430066099998</v>
      </c>
      <c r="O42" s="9">
        <f t="shared" si="5"/>
        <v>0</v>
      </c>
      <c r="P42" s="9">
        <f t="shared" si="5"/>
        <v>25.376613198199998</v>
      </c>
      <c r="Q42" s="9">
        <f t="shared" si="5"/>
        <v>0</v>
      </c>
      <c r="R42" s="9">
        <f t="shared" si="5"/>
        <v>0</v>
      </c>
      <c r="S42" s="9">
        <f t="shared" si="5"/>
        <v>0</v>
      </c>
      <c r="T42" s="9">
        <f t="shared" si="5"/>
        <v>15.021183132099999</v>
      </c>
      <c r="U42" s="9">
        <f t="shared" si="5"/>
        <v>10.3554300661</v>
      </c>
    </row>
    <row r="43" spans="1:23" x14ac:dyDescent="0.25">
      <c r="A43" s="43" t="s">
        <v>83</v>
      </c>
      <c r="B43" s="28"/>
      <c r="C43" s="28"/>
      <c r="D43" s="28"/>
      <c r="E43" s="28"/>
      <c r="F43" s="25">
        <f t="shared" ref="F43:U43" si="6">IF($R45=0,0,F42/$R45)</f>
        <v>0.80296819118657414</v>
      </c>
      <c r="G43" s="25">
        <f t="shared" si="6"/>
        <v>0.1970318088134258</v>
      </c>
      <c r="H43" s="25">
        <f t="shared" si="6"/>
        <v>0</v>
      </c>
      <c r="I43" s="25">
        <f t="shared" si="6"/>
        <v>0</v>
      </c>
      <c r="J43" s="25">
        <f t="shared" si="6"/>
        <v>0</v>
      </c>
      <c r="K43" s="25">
        <f t="shared" si="6"/>
        <v>0</v>
      </c>
      <c r="L43" s="25">
        <f t="shared" si="6"/>
        <v>1</v>
      </c>
      <c r="M43" s="25">
        <f t="shared" si="6"/>
        <v>4.0241111929484479E-2</v>
      </c>
      <c r="N43" s="25">
        <f t="shared" si="6"/>
        <v>0.95975888807051557</v>
      </c>
      <c r="O43" s="25">
        <f t="shared" si="6"/>
        <v>0</v>
      </c>
      <c r="P43" s="25">
        <f t="shared" si="6"/>
        <v>1</v>
      </c>
      <c r="Q43" s="25">
        <f t="shared" si="6"/>
        <v>0</v>
      </c>
      <c r="R43" s="25">
        <f t="shared" si="6"/>
        <v>0</v>
      </c>
      <c r="S43" s="25">
        <f t="shared" si="6"/>
        <v>0</v>
      </c>
      <c r="T43" s="25">
        <f t="shared" si="6"/>
        <v>0.5919301766070767</v>
      </c>
      <c r="U43" s="25">
        <f t="shared" si="6"/>
        <v>0.4080698233929233</v>
      </c>
    </row>
    <row r="44" spans="1:23" x14ac:dyDescent="0.25">
      <c r="A44" s="43" t="s">
        <v>84</v>
      </c>
      <c r="B44" s="28"/>
      <c r="C44" s="28"/>
      <c r="D44" s="28"/>
      <c r="E44" s="28"/>
      <c r="F44" s="42" t="str">
        <f>IF(SUM(F42:J42)=0,"— não preenchido",IF(ROUND(SUM(F42:J42)-$R45,3)=0,"OK — "&amp;ROUND(SUM(F42:J42),3)&amp;" km","ERRO — dif. de "&amp;ROUND(SUM(F42:J42)-$R45,3)&amp;" km"))</f>
        <v>OK — 25,377 km</v>
      </c>
      <c r="G44" s="33"/>
      <c r="H44" s="33"/>
      <c r="I44" s="33"/>
      <c r="J44" s="34"/>
      <c r="K44" s="42" t="str">
        <f>IF(SUM(K42:L42)=0,"— não preenchido",IF(ROUND(SUM(K42:L42)-$R45,3)=0,"OK — "&amp;ROUND(SUM(K42:L42),3)&amp;" km","ERRO — dif. de "&amp;ROUND(SUM(K42:L42)-$R45,3)&amp;" km"))</f>
        <v>OK — 25,377 km</v>
      </c>
      <c r="L44" s="34"/>
      <c r="M44" s="42" t="str">
        <f>IF(SUM(M42:O42)=0,"— não preenchido",IF(ROUND(SUM(M42:O42)-$R45,3)=0,"OK — "&amp;ROUND(SUM(M42:O42),3)&amp;" km","ERRO — dif. de "&amp;ROUND(SUM(M42:O42)-$R45,3)&amp;" km"))</f>
        <v>OK — 25,377 km</v>
      </c>
      <c r="N44" s="33"/>
      <c r="O44" s="34"/>
      <c r="P44" s="42" t="str">
        <f>IF(SUM(P42:R42)=0,"— não preenchido",IF(ROUND(SUM(P42:R42)-$R45,3)=0,"OK — "&amp;ROUND(SUM(P42:R42),3)&amp;" km","ERRO — dif. de "&amp;ROUND(SUM(P42:R42)-$R45,3)&amp;" km"))</f>
        <v>OK — 25,377 km</v>
      </c>
      <c r="Q44" s="33"/>
      <c r="R44" s="34"/>
      <c r="S44" s="42" t="str">
        <f>IF(SUM(S42:U42)=0,"— não preenchido",IF(ROUND(SUM(S42:U42)-$R45,3)=0,"OK — "&amp;ROUND(SUM(S42:U42),3)&amp;" km","ERRO — dif. de "&amp;ROUND(SUM(S42:U42)-$R45,3)&amp;" km"))</f>
        <v>OK — 25,377 km</v>
      </c>
      <c r="T44" s="33"/>
      <c r="U44" s="34"/>
    </row>
    <row r="45" spans="1:23" x14ac:dyDescent="0.25">
      <c r="A45" s="43" t="s">
        <v>85</v>
      </c>
      <c r="B45" s="28"/>
      <c r="C45" s="28"/>
      <c r="D45" s="28"/>
      <c r="E45" s="28"/>
      <c r="R45" s="26">
        <f>SUM(E9:E36)</f>
        <v>25.376613198199998</v>
      </c>
      <c r="V45" s="8" t="str">
        <f>COUNTIF(W9:W36,"OK")&amp;" de "&amp;COUNT($E$9:$E$36)&amp;" linhas conferidas"</f>
        <v>27 de 27 linhas conferidas</v>
      </c>
    </row>
    <row r="47" spans="1:23" x14ac:dyDescent="0.25">
      <c r="A47" s="37" t="s">
        <v>86</v>
      </c>
      <c r="B47" s="28"/>
      <c r="C47" s="28"/>
      <c r="D47" s="28"/>
      <c r="E47" s="28"/>
    </row>
    <row r="48" spans="1:23" x14ac:dyDescent="0.25">
      <c r="A48" s="43" t="s">
        <v>87</v>
      </c>
      <c r="B48" s="28"/>
      <c r="C48" s="28"/>
      <c r="D48" s="28"/>
      <c r="E48" s="31" t="s">
        <v>88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43" t="s">
        <v>89</v>
      </c>
      <c r="B49" s="28"/>
      <c r="C49" s="28"/>
      <c r="D49" s="28"/>
      <c r="E49" s="31" t="s">
        <v>90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43" t="s">
        <v>91</v>
      </c>
      <c r="B50" s="28"/>
      <c r="C50" s="28"/>
      <c r="D50" s="28"/>
      <c r="E50" s="31" t="s">
        <v>92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43" t="s">
        <v>93</v>
      </c>
      <c r="B51" s="28"/>
      <c r="C51" s="28"/>
      <c r="D51" s="28"/>
      <c r="E51" s="31" t="s">
        <v>94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43" t="s">
        <v>95</v>
      </c>
      <c r="B52" s="28"/>
      <c r="C52" s="28"/>
      <c r="D52" s="28"/>
      <c r="E52" s="31" t="s">
        <v>96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43" t="s">
        <v>60</v>
      </c>
      <c r="B53" s="28"/>
      <c r="C53" s="28"/>
      <c r="D53" s="28"/>
      <c r="E53" s="31" t="s">
        <v>97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43" t="s">
        <v>98</v>
      </c>
      <c r="B54" s="28"/>
      <c r="C54" s="28"/>
      <c r="D54" s="28"/>
      <c r="E54" s="31" t="s">
        <v>99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43" t="s">
        <v>100</v>
      </c>
      <c r="B55" s="28"/>
      <c r="C55" s="28"/>
      <c r="D55" s="28"/>
      <c r="E55" s="31" t="s">
        <v>101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43" t="s">
        <v>11</v>
      </c>
      <c r="B56" s="28"/>
      <c r="C56" s="28"/>
      <c r="D56" s="28"/>
      <c r="E56" s="31" t="s">
        <v>102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</sheetData>
  <sheetProtection sheet="1" formatCells="0"/>
  <mergeCells count="58">
    <mergeCell ref="E56:V56"/>
    <mergeCell ref="E53:V53"/>
    <mergeCell ref="E50:V50"/>
    <mergeCell ref="M44:O44"/>
    <mergeCell ref="A56:D56"/>
    <mergeCell ref="A50:D50"/>
    <mergeCell ref="P44:R44"/>
    <mergeCell ref="E55:V55"/>
    <mergeCell ref="A55:D55"/>
    <mergeCell ref="E52:V52"/>
    <mergeCell ref="E48:V48"/>
    <mergeCell ref="A51:D51"/>
    <mergeCell ref="A49:D49"/>
    <mergeCell ref="E51:V51"/>
    <mergeCell ref="A53:D53"/>
    <mergeCell ref="A52:D52"/>
    <mergeCell ref="E54:V54"/>
    <mergeCell ref="A1:V1"/>
    <mergeCell ref="A42:E42"/>
    <mergeCell ref="A54:D54"/>
    <mergeCell ref="S44:U44"/>
    <mergeCell ref="A47:E47"/>
    <mergeCell ref="T3:V3"/>
    <mergeCell ref="A21:V21"/>
    <mergeCell ref="A44:E44"/>
    <mergeCell ref="A43:E43"/>
    <mergeCell ref="A38:E38"/>
    <mergeCell ref="R2:V2"/>
    <mergeCell ref="A3:S3"/>
    <mergeCell ref="C6:C7"/>
    <mergeCell ref="A48:D48"/>
    <mergeCell ref="K44:L44"/>
    <mergeCell ref="E49:V49"/>
    <mergeCell ref="W6:W7"/>
    <mergeCell ref="E6:E7"/>
    <mergeCell ref="K6:L6"/>
    <mergeCell ref="A41:E41"/>
    <mergeCell ref="A39:E39"/>
    <mergeCell ref="F44:J44"/>
    <mergeCell ref="A45:E45"/>
    <mergeCell ref="G39:K39"/>
    <mergeCell ref="B6:B7"/>
    <mergeCell ref="D6:D7"/>
    <mergeCell ref="P6:R6"/>
    <mergeCell ref="S6:U6"/>
    <mergeCell ref="K2:M2"/>
    <mergeCell ref="G38:K38"/>
    <mergeCell ref="N2:O2"/>
    <mergeCell ref="G2:H2"/>
    <mergeCell ref="I2:J2"/>
    <mergeCell ref="A8:V8"/>
    <mergeCell ref="A6:A7"/>
    <mergeCell ref="F6:J6"/>
    <mergeCell ref="M6:O6"/>
    <mergeCell ref="V6:V7"/>
    <mergeCell ref="A4:V4"/>
    <mergeCell ref="A2:F2"/>
    <mergeCell ref="P2:Q2"/>
  </mergeCells>
  <conditionalFormatting sqref="F9:J36">
    <cfRule type="expression" dxfId="188" priority="1">
      <formula>AND(F9&lt;&gt;"",COUNTIF($F9:$J9,"X")&gt;1)</formula>
    </cfRule>
  </conditionalFormatting>
  <conditionalFormatting sqref="F44:U44">
    <cfRule type="expression" dxfId="187" priority="8">
      <formula>LEFT(F44,4)="ERRO"</formula>
    </cfRule>
    <cfRule type="expression" dxfId="186" priority="9">
      <formula>LEFT(F44,2)="OK"</formula>
    </cfRule>
  </conditionalFormatting>
  <conditionalFormatting sqref="K9:L36">
    <cfRule type="expression" dxfId="185" priority="2">
      <formula>AND(K9&lt;&gt;"",COUNTIF($K9:$L9,"X")&gt;1)</formula>
    </cfRule>
  </conditionalFormatting>
  <conditionalFormatting sqref="M9:O36">
    <cfRule type="expression" dxfId="184" priority="3">
      <formula>AND(M9&lt;&gt;"",COUNTIF($M9:$O9,"X")&gt;1)</formula>
    </cfRule>
  </conditionalFormatting>
  <conditionalFormatting sqref="P9:R36">
    <cfRule type="expression" dxfId="183" priority="4">
      <formula>AND(P9&lt;&gt;"",COUNTIF($P9:$R9,"X")&gt;1)</formula>
    </cfRule>
  </conditionalFormatting>
  <conditionalFormatting sqref="S9:U36">
    <cfRule type="expression" dxfId="182" priority="5">
      <formula>AND(S9&lt;&gt;"",COUNTIF($S9:$U9,"X")&gt;1)</formula>
    </cfRule>
  </conditionalFormatting>
  <conditionalFormatting sqref="W9:W36">
    <cfRule type="expression" dxfId="181" priority="6">
      <formula>AND(W9&lt;&gt;"OK",W9&lt;&gt;"")</formula>
    </cfRule>
    <cfRule type="expression" dxfId="18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6" xr:uid="{00000000-0002-0000-08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6" xr:uid="{00000000-0002-0000-08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6" xr:uid="{00000000-0002-0000-08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6" xr:uid="{00000000-0002-0000-08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6" xr:uid="{00000000-0002-0000-0800-000004000000}">
      <formula1>AND(UPPER(S9)="X",COUNTIF($S9:$U9,"X")&lt;=1)</formula1>
    </dataValidation>
    <dataValidation type="list" showErrorMessage="1" errorTitle="Sentido inválido" error="Use C (crescente) ou D (decrescente)." sqref="B9:B36" xr:uid="{00000000-0002-0000-08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8</oddHeader>
    <oddFooter>&amp;L&amp;7 RTA / MSI — Programa de Manutenção Rodoviária&amp;C&amp;7 Página &amp;P de &amp;N&amp;R&amp;7 Impresso em &amp;D</oddFooter>
  </headerFooter>
  <rowBreaks count="1" manualBreakCount="1">
    <brk id="39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1:AN48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IF(F34=0,NA(),F34)</f>
        <v>16.674967863439999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16.674967863439999</v>
      </c>
      <c r="AF2" s="2" t="e">
        <f t="shared" si="0"/>
        <v>#N/A</v>
      </c>
      <c r="AG2" s="2">
        <f t="shared" si="0"/>
        <v>16.674967863439999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16.674967863439999</v>
      </c>
      <c r="AL2" s="2" t="e">
        <f t="shared" si="0"/>
        <v>#N/A</v>
      </c>
      <c r="AM2" s="2">
        <f t="shared" si="0"/>
        <v>16.674967863439999</v>
      </c>
      <c r="AN2" s="2" t="e">
        <f t="shared" si="0"/>
        <v>#N/A</v>
      </c>
    </row>
    <row r="3" spans="1:40" ht="15" customHeight="1" x14ac:dyDescent="0.25">
      <c r="A3" s="49" t="s">
        <v>160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161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162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163</v>
      </c>
      <c r="B9" s="19" t="s">
        <v>68</v>
      </c>
      <c r="C9" s="20">
        <v>0</v>
      </c>
      <c r="D9" s="20">
        <v>1</v>
      </c>
      <c r="E9" s="20">
        <f t="shared" ref="E9:E16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/>
      <c r="Q9" s="21"/>
      <c r="R9" s="21" t="s">
        <v>69</v>
      </c>
      <c r="S9" s="21"/>
      <c r="T9" s="21" t="s">
        <v>69</v>
      </c>
      <c r="U9" s="21"/>
      <c r="V9" s="22"/>
      <c r="W9" s="23" t="str">
        <f t="shared" ref="W9:W1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163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/>
      <c r="Q10" s="21"/>
      <c r="R10" s="21" t="s">
        <v>69</v>
      </c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163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/>
      <c r="Q11" s="21"/>
      <c r="R11" s="21" t="s">
        <v>69</v>
      </c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163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 t="s">
        <v>69</v>
      </c>
      <c r="G12" s="21"/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/>
      <c r="Q12" s="21"/>
      <c r="R12" s="21" t="s">
        <v>69</v>
      </c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163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/>
      <c r="Q13" s="21"/>
      <c r="R13" s="21" t="s">
        <v>69</v>
      </c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163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/>
      <c r="Q14" s="21"/>
      <c r="R14" s="21" t="s">
        <v>69</v>
      </c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163</v>
      </c>
      <c r="B15" s="19" t="s">
        <v>68</v>
      </c>
      <c r="C15" s="20">
        <v>6</v>
      </c>
      <c r="D15" s="20">
        <v>7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/>
      <c r="Q15" s="21"/>
      <c r="R15" s="21" t="s">
        <v>69</v>
      </c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2" t="s">
        <v>163</v>
      </c>
      <c r="B16" s="13" t="s">
        <v>68</v>
      </c>
      <c r="C16" s="14">
        <v>7</v>
      </c>
      <c r="D16" s="14">
        <v>7.9173809789899998</v>
      </c>
      <c r="E16" s="14">
        <f t="shared" si="1"/>
        <v>0.91738097898999982</v>
      </c>
      <c r="F16" s="21" t="s">
        <v>69</v>
      </c>
      <c r="G16" s="15"/>
      <c r="H16" s="15"/>
      <c r="I16" s="15"/>
      <c r="J16" s="15"/>
      <c r="K16" s="15"/>
      <c r="L16" s="15" t="s">
        <v>69</v>
      </c>
      <c r="M16" s="15"/>
      <c r="N16" s="15" t="s">
        <v>69</v>
      </c>
      <c r="O16" s="15"/>
      <c r="P16" s="15"/>
      <c r="Q16" s="15"/>
      <c r="R16" s="15" t="s">
        <v>69</v>
      </c>
      <c r="S16" s="15"/>
      <c r="T16" s="15" t="s">
        <v>69</v>
      </c>
      <c r="U16" s="15"/>
      <c r="V16" s="16"/>
      <c r="W16" s="17" t="str">
        <f t="shared" si="2"/>
        <v>OK</v>
      </c>
    </row>
    <row r="17" spans="1:23" ht="15.95" customHeight="1" x14ac:dyDescent="0.25">
      <c r="A17" s="35" t="s">
        <v>164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4"/>
      <c r="W17" s="4"/>
    </row>
    <row r="18" spans="1:23" ht="20.100000000000001" customHeight="1" x14ac:dyDescent="0.25">
      <c r="A18" s="18" t="s">
        <v>165</v>
      </c>
      <c r="B18" s="19" t="s">
        <v>68</v>
      </c>
      <c r="C18" s="20">
        <v>0</v>
      </c>
      <c r="D18" s="20">
        <v>1</v>
      </c>
      <c r="E18" s="20">
        <f t="shared" ref="E18:E24" si="3">D18-C18</f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/>
      <c r="Q18" s="21"/>
      <c r="R18" s="21" t="s">
        <v>69</v>
      </c>
      <c r="S18" s="21"/>
      <c r="T18" s="21" t="s">
        <v>69</v>
      </c>
      <c r="U18" s="21"/>
      <c r="V18" s="22"/>
      <c r="W18" s="23" t="str">
        <f t="shared" ref="W18:W24" si="4"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8" t="s">
        <v>165</v>
      </c>
      <c r="B19" s="19" t="s">
        <v>68</v>
      </c>
      <c r="C19" s="20">
        <v>1</v>
      </c>
      <c r="D19" s="20">
        <v>2</v>
      </c>
      <c r="E19" s="20">
        <f t="shared" si="3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/>
      <c r="N19" s="21" t="s">
        <v>69</v>
      </c>
      <c r="O19" s="21"/>
      <c r="P19" s="21"/>
      <c r="Q19" s="21"/>
      <c r="R19" s="21" t="s">
        <v>69</v>
      </c>
      <c r="S19" s="21"/>
      <c r="T19" s="21" t="s">
        <v>69</v>
      </c>
      <c r="U19" s="21"/>
      <c r="V19" s="22"/>
      <c r="W19" s="23" t="str">
        <f t="shared" si="4"/>
        <v>OK</v>
      </c>
    </row>
    <row r="20" spans="1:23" ht="20.100000000000001" customHeight="1" x14ac:dyDescent="0.25">
      <c r="A20" s="18" t="s">
        <v>165</v>
      </c>
      <c r="B20" s="19" t="s">
        <v>68</v>
      </c>
      <c r="C20" s="20">
        <v>2</v>
      </c>
      <c r="D20" s="20">
        <v>3</v>
      </c>
      <c r="E20" s="20">
        <f t="shared" si="3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/>
      <c r="Q20" s="21"/>
      <c r="R20" s="21" t="s">
        <v>69</v>
      </c>
      <c r="S20" s="21"/>
      <c r="T20" s="21" t="s">
        <v>69</v>
      </c>
      <c r="U20" s="21"/>
      <c r="V20" s="22"/>
      <c r="W20" s="23" t="str">
        <f t="shared" si="4"/>
        <v>OK</v>
      </c>
    </row>
    <row r="21" spans="1:23" ht="20.100000000000001" customHeight="1" x14ac:dyDescent="0.25">
      <c r="A21" s="18" t="s">
        <v>165</v>
      </c>
      <c r="B21" s="19" t="s">
        <v>68</v>
      </c>
      <c r="C21" s="20">
        <v>3</v>
      </c>
      <c r="D21" s="20">
        <v>4</v>
      </c>
      <c r="E21" s="20">
        <f t="shared" si="3"/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/>
      <c r="Q21" s="21"/>
      <c r="R21" s="21" t="s">
        <v>69</v>
      </c>
      <c r="S21" s="21"/>
      <c r="T21" s="21" t="s">
        <v>69</v>
      </c>
      <c r="U21" s="21"/>
      <c r="V21" s="22"/>
      <c r="W21" s="23" t="str">
        <f t="shared" si="4"/>
        <v>OK</v>
      </c>
    </row>
    <row r="22" spans="1:23" ht="20.100000000000001" customHeight="1" x14ac:dyDescent="0.25">
      <c r="A22" s="18" t="s">
        <v>165</v>
      </c>
      <c r="B22" s="19" t="s">
        <v>68</v>
      </c>
      <c r="C22" s="20">
        <v>4</v>
      </c>
      <c r="D22" s="20">
        <v>5</v>
      </c>
      <c r="E22" s="20">
        <f t="shared" si="3"/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/>
      <c r="N22" s="21" t="s">
        <v>69</v>
      </c>
      <c r="O22" s="21"/>
      <c r="P22" s="21"/>
      <c r="Q22" s="21"/>
      <c r="R22" s="21" t="s">
        <v>69</v>
      </c>
      <c r="S22" s="21"/>
      <c r="T22" s="21" t="s">
        <v>69</v>
      </c>
      <c r="U22" s="21"/>
      <c r="V22" s="22"/>
      <c r="W22" s="23" t="str">
        <f t="shared" si="4"/>
        <v>OK</v>
      </c>
    </row>
    <row r="23" spans="1:23" ht="20.100000000000001" customHeight="1" x14ac:dyDescent="0.25">
      <c r="A23" s="18" t="s">
        <v>165</v>
      </c>
      <c r="B23" s="19" t="s">
        <v>68</v>
      </c>
      <c r="C23" s="20">
        <v>5</v>
      </c>
      <c r="D23" s="20">
        <v>6</v>
      </c>
      <c r="E23" s="20">
        <f t="shared" si="3"/>
        <v>1</v>
      </c>
      <c r="F23" s="21" t="s">
        <v>69</v>
      </c>
      <c r="G23" s="21"/>
      <c r="H23" s="21"/>
      <c r="I23" s="21"/>
      <c r="J23" s="21"/>
      <c r="K23" s="21"/>
      <c r="L23" s="21" t="s">
        <v>69</v>
      </c>
      <c r="M23" s="21"/>
      <c r="N23" s="21" t="s">
        <v>69</v>
      </c>
      <c r="O23" s="21"/>
      <c r="P23" s="21"/>
      <c r="Q23" s="21"/>
      <c r="R23" s="21" t="s">
        <v>69</v>
      </c>
      <c r="S23" s="21"/>
      <c r="T23" s="21" t="s">
        <v>69</v>
      </c>
      <c r="U23" s="21"/>
      <c r="V23" s="22"/>
      <c r="W23" s="23" t="str">
        <f t="shared" si="4"/>
        <v>OK</v>
      </c>
    </row>
    <row r="24" spans="1:23" ht="20.100000000000001" customHeight="1" x14ac:dyDescent="0.25">
      <c r="A24" s="12" t="s">
        <v>165</v>
      </c>
      <c r="B24" s="13" t="s">
        <v>68</v>
      </c>
      <c r="C24" s="14">
        <v>6</v>
      </c>
      <c r="D24" s="14">
        <v>6.5761498107099996</v>
      </c>
      <c r="E24" s="14">
        <f t="shared" si="3"/>
        <v>0.5761498107099996</v>
      </c>
      <c r="F24" s="21" t="s">
        <v>69</v>
      </c>
      <c r="G24" s="15"/>
      <c r="H24" s="15"/>
      <c r="I24" s="15"/>
      <c r="J24" s="15"/>
      <c r="K24" s="15"/>
      <c r="L24" s="15" t="s">
        <v>69</v>
      </c>
      <c r="M24" s="15"/>
      <c r="N24" s="15" t="s">
        <v>69</v>
      </c>
      <c r="O24" s="15"/>
      <c r="P24" s="15"/>
      <c r="Q24" s="15"/>
      <c r="R24" s="15" t="s">
        <v>69</v>
      </c>
      <c r="S24" s="15"/>
      <c r="T24" s="15" t="s">
        <v>69</v>
      </c>
      <c r="U24" s="15"/>
      <c r="V24" s="16"/>
      <c r="W24" s="17" t="str">
        <f t="shared" si="4"/>
        <v>OK</v>
      </c>
    </row>
    <row r="25" spans="1:23" ht="15.95" customHeight="1" x14ac:dyDescent="0.25">
      <c r="A25" s="35" t="s">
        <v>166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4"/>
      <c r="W25" s="4"/>
    </row>
    <row r="26" spans="1:23" ht="20.100000000000001" customHeight="1" x14ac:dyDescent="0.25">
      <c r="A26" s="18" t="s">
        <v>167</v>
      </c>
      <c r="B26" s="19" t="s">
        <v>68</v>
      </c>
      <c r="C26" s="20">
        <v>0</v>
      </c>
      <c r="D26" s="20">
        <v>1</v>
      </c>
      <c r="E26" s="20">
        <f>D26-C26</f>
        <v>1</v>
      </c>
      <c r="F26" s="21" t="s">
        <v>69</v>
      </c>
      <c r="G26" s="21"/>
      <c r="H26" s="21"/>
      <c r="I26" s="21"/>
      <c r="J26" s="21"/>
      <c r="K26" s="21"/>
      <c r="L26" s="21" t="s">
        <v>69</v>
      </c>
      <c r="M26" s="21"/>
      <c r="N26" s="21" t="s">
        <v>69</v>
      </c>
      <c r="O26" s="21"/>
      <c r="P26" s="21"/>
      <c r="Q26" s="21"/>
      <c r="R26" s="21" t="s">
        <v>69</v>
      </c>
      <c r="S26" s="21"/>
      <c r="T26" s="21" t="s">
        <v>69</v>
      </c>
      <c r="U26" s="21"/>
      <c r="V26" s="22"/>
      <c r="W26" s="23" t="str">
        <f>IF(COUNTA(F26:U26)=0,"— não preenchido",IF(COUNTIF(F26:J26,"X")&lt;&gt;1,"FALTA/DUPLA: CONDIÇÃO DO PAVIMENTO",IF(COUNTIF(K26:L26,"X")&lt;&gt;1,"FALTA/DUPLA: VEGETAÇÃO",IF(COUNTIF(M26:O26,"X")&lt;&gt;1,"FALTA/DUPLA: ELEM. DE DRENAGEM",IF(COUNTIF(P26:R26,"X")&lt;&gt;1,"FALTA/DUPLA: SIN. HORIZ.",IF(COUNTIF(S26:U26,"X")&lt;&gt;1,"FALTA/DUPLA: SIN. VERTICAL","OK"))))))</f>
        <v>OK</v>
      </c>
    </row>
    <row r="27" spans="1:23" ht="20.100000000000001" customHeight="1" x14ac:dyDescent="0.25">
      <c r="A27" s="18" t="s">
        <v>167</v>
      </c>
      <c r="B27" s="19" t="s">
        <v>68</v>
      </c>
      <c r="C27" s="20">
        <v>1</v>
      </c>
      <c r="D27" s="20">
        <v>2</v>
      </c>
      <c r="E27" s="20">
        <f>D27-C27</f>
        <v>1</v>
      </c>
      <c r="F27" s="21" t="s">
        <v>69</v>
      </c>
      <c r="G27" s="21"/>
      <c r="H27" s="21"/>
      <c r="I27" s="21"/>
      <c r="J27" s="21"/>
      <c r="K27" s="21"/>
      <c r="L27" s="21" t="s">
        <v>69</v>
      </c>
      <c r="M27" s="21"/>
      <c r="N27" s="21" t="s">
        <v>69</v>
      </c>
      <c r="O27" s="21"/>
      <c r="P27" s="21"/>
      <c r="Q27" s="21"/>
      <c r="R27" s="21" t="s">
        <v>69</v>
      </c>
      <c r="S27" s="21"/>
      <c r="T27" s="21" t="s">
        <v>69</v>
      </c>
      <c r="U27" s="21"/>
      <c r="V27" s="22"/>
      <c r="W27" s="23" t="str">
        <f>IF(COUNTA(F27:U27)=0,"— não preenchido",IF(COUNTIF(F27:J27,"X")&lt;&gt;1,"FALTA/DUPLA: CONDIÇÃO DO PAVIMENTO",IF(COUNTIF(K27:L27,"X")&lt;&gt;1,"FALTA/DUPLA: VEGETAÇÃO",IF(COUNTIF(M27:O27,"X")&lt;&gt;1,"FALTA/DUPLA: ELEM. DE DRENAGEM",IF(COUNTIF(P27:R27,"X")&lt;&gt;1,"FALTA/DUPLA: SIN. HORIZ.",IF(COUNTIF(S27:U27,"X")&lt;&gt;1,"FALTA/DUPLA: SIN. VERTICAL","OK"))))))</f>
        <v>OK</v>
      </c>
    </row>
    <row r="28" spans="1:23" ht="20.100000000000001" customHeight="1" x14ac:dyDescent="0.25">
      <c r="A28" s="12" t="s">
        <v>167</v>
      </c>
      <c r="B28" s="13" t="s">
        <v>68</v>
      </c>
      <c r="C28" s="14">
        <v>2</v>
      </c>
      <c r="D28" s="14">
        <v>2.1814370737400002</v>
      </c>
      <c r="E28" s="14">
        <f>D28-C28</f>
        <v>0.18143707374000018</v>
      </c>
      <c r="F28" s="21" t="s">
        <v>69</v>
      </c>
      <c r="G28" s="15"/>
      <c r="H28" s="15"/>
      <c r="I28" s="15"/>
      <c r="J28" s="15"/>
      <c r="K28" s="15"/>
      <c r="L28" s="15" t="s">
        <v>69</v>
      </c>
      <c r="M28" s="15"/>
      <c r="N28" s="15" t="s">
        <v>69</v>
      </c>
      <c r="O28" s="15"/>
      <c r="P28" s="15"/>
      <c r="Q28" s="15"/>
      <c r="R28" s="15" t="s">
        <v>69</v>
      </c>
      <c r="S28" s="15"/>
      <c r="T28" s="15" t="s">
        <v>69</v>
      </c>
      <c r="U28" s="15"/>
      <c r="V28" s="16"/>
      <c r="W28" s="17" t="str">
        <f>IF(COUNTA(F28:U28)=0,"— não preenchido",IF(COUNTIF(F28:J28,"X")&lt;&gt;1,"FALTA/DUPLA: CONDIÇÃO DO PAVIMENTO",IF(COUNTIF(K28:L28,"X")&lt;&gt;1,"FALTA/DUPLA: VEGETAÇÃO",IF(COUNTIF(M28:O28,"X")&lt;&gt;1,"FALTA/DUPLA: ELEM. DE DRENAGEM",IF(COUNTIF(P28:R28,"X")&lt;&gt;1,"FALTA/DUPLA: SIN. HORIZ.",IF(COUNTIF(S28:U28,"X")&lt;&gt;1,"FALTA/DUPLA: SIN. VERTICAL","OK"))))))</f>
        <v>OK</v>
      </c>
    </row>
    <row r="30" spans="1:23" x14ac:dyDescent="0.25">
      <c r="A30" s="40" t="s">
        <v>78</v>
      </c>
      <c r="B30" s="28"/>
      <c r="C30" s="28"/>
      <c r="D30" s="28"/>
      <c r="E30" s="28"/>
      <c r="G30" s="40" t="s">
        <v>78</v>
      </c>
      <c r="H30" s="28"/>
      <c r="I30" s="28"/>
      <c r="J30" s="28"/>
      <c r="K30" s="28"/>
    </row>
    <row r="31" spans="1:23" x14ac:dyDescent="0.25">
      <c r="A31" s="44" t="s">
        <v>79</v>
      </c>
      <c r="B31" s="28"/>
      <c r="C31" s="28"/>
      <c r="D31" s="28"/>
      <c r="E31" s="28"/>
      <c r="G31" s="44" t="s">
        <v>80</v>
      </c>
      <c r="H31" s="28"/>
      <c r="I31" s="28"/>
      <c r="J31" s="28"/>
      <c r="K31" s="28"/>
    </row>
    <row r="33" spans="1:22" x14ac:dyDescent="0.25">
      <c r="A33" s="41" t="s">
        <v>81</v>
      </c>
      <c r="B33" s="28"/>
      <c r="C33" s="28"/>
      <c r="D33" s="28"/>
      <c r="E33" s="28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spans="1:22" x14ac:dyDescent="0.25">
      <c r="A34" s="43" t="s">
        <v>82</v>
      </c>
      <c r="B34" s="28"/>
      <c r="C34" s="28"/>
      <c r="D34" s="28"/>
      <c r="E34" s="28"/>
      <c r="F34" s="9">
        <f t="shared" ref="F34:U34" si="5">SUMIF(F$9:F$28,"X",$E$9:$E$28)</f>
        <v>16.674967863439999</v>
      </c>
      <c r="G34" s="9">
        <f t="shared" si="5"/>
        <v>0</v>
      </c>
      <c r="H34" s="9">
        <f t="shared" si="5"/>
        <v>0</v>
      </c>
      <c r="I34" s="9">
        <f t="shared" si="5"/>
        <v>0</v>
      </c>
      <c r="J34" s="9">
        <f t="shared" si="5"/>
        <v>0</v>
      </c>
      <c r="K34" s="9">
        <f t="shared" si="5"/>
        <v>0</v>
      </c>
      <c r="L34" s="9">
        <f t="shared" si="5"/>
        <v>16.674967863439999</v>
      </c>
      <c r="M34" s="9">
        <f t="shared" si="5"/>
        <v>0</v>
      </c>
      <c r="N34" s="9">
        <f t="shared" si="5"/>
        <v>16.674967863439999</v>
      </c>
      <c r="O34" s="9">
        <f t="shared" si="5"/>
        <v>0</v>
      </c>
      <c r="P34" s="9">
        <f t="shared" si="5"/>
        <v>0</v>
      </c>
      <c r="Q34" s="9">
        <f t="shared" si="5"/>
        <v>0</v>
      </c>
      <c r="R34" s="9">
        <f t="shared" si="5"/>
        <v>16.674967863439999</v>
      </c>
      <c r="S34" s="9">
        <f t="shared" si="5"/>
        <v>0</v>
      </c>
      <c r="T34" s="9">
        <f t="shared" si="5"/>
        <v>16.674967863439999</v>
      </c>
      <c r="U34" s="9">
        <f t="shared" si="5"/>
        <v>0</v>
      </c>
    </row>
    <row r="35" spans="1:22" x14ac:dyDescent="0.25">
      <c r="A35" s="43" t="s">
        <v>83</v>
      </c>
      <c r="B35" s="28"/>
      <c r="C35" s="28"/>
      <c r="D35" s="28"/>
      <c r="E35" s="28"/>
      <c r="F35" s="25">
        <f t="shared" ref="F35:U35" si="6">IF($R37=0,0,F34/$R37)</f>
        <v>1</v>
      </c>
      <c r="G35" s="25">
        <f t="shared" si="6"/>
        <v>0</v>
      </c>
      <c r="H35" s="25">
        <f t="shared" si="6"/>
        <v>0</v>
      </c>
      <c r="I35" s="25">
        <f t="shared" si="6"/>
        <v>0</v>
      </c>
      <c r="J35" s="25">
        <f t="shared" si="6"/>
        <v>0</v>
      </c>
      <c r="K35" s="25">
        <f t="shared" si="6"/>
        <v>0</v>
      </c>
      <c r="L35" s="25">
        <f t="shared" si="6"/>
        <v>1</v>
      </c>
      <c r="M35" s="25">
        <f t="shared" si="6"/>
        <v>0</v>
      </c>
      <c r="N35" s="25">
        <f t="shared" si="6"/>
        <v>1</v>
      </c>
      <c r="O35" s="25">
        <f t="shared" si="6"/>
        <v>0</v>
      </c>
      <c r="P35" s="25">
        <f t="shared" si="6"/>
        <v>0</v>
      </c>
      <c r="Q35" s="25">
        <f t="shared" si="6"/>
        <v>0</v>
      </c>
      <c r="R35" s="25">
        <f t="shared" si="6"/>
        <v>1</v>
      </c>
      <c r="S35" s="25">
        <f t="shared" si="6"/>
        <v>0</v>
      </c>
      <c r="T35" s="25">
        <f t="shared" si="6"/>
        <v>1</v>
      </c>
      <c r="U35" s="25">
        <f t="shared" si="6"/>
        <v>0</v>
      </c>
    </row>
    <row r="36" spans="1:22" x14ac:dyDescent="0.25">
      <c r="A36" s="43" t="s">
        <v>84</v>
      </c>
      <c r="B36" s="28"/>
      <c r="C36" s="28"/>
      <c r="D36" s="28"/>
      <c r="E36" s="28"/>
      <c r="F36" s="42" t="str">
        <f>IF(SUM(F34:J34)=0,"— não preenchido",IF(ROUND(SUM(F34:J34)-$R37,3)=0,"OK — "&amp;ROUND(SUM(F34:J34),3)&amp;" km","ERRO — dif. de "&amp;ROUND(SUM(F34:J34)-$R37,3)&amp;" km"))</f>
        <v>OK — 16,675 km</v>
      </c>
      <c r="G36" s="33"/>
      <c r="H36" s="33"/>
      <c r="I36" s="33"/>
      <c r="J36" s="34"/>
      <c r="K36" s="42" t="str">
        <f>IF(SUM(K34:L34)=0,"— não preenchido",IF(ROUND(SUM(K34:L34)-$R37,3)=0,"OK — "&amp;ROUND(SUM(K34:L34),3)&amp;" km","ERRO — dif. de "&amp;ROUND(SUM(K34:L34)-$R37,3)&amp;" km"))</f>
        <v>OK — 16,675 km</v>
      </c>
      <c r="L36" s="34"/>
      <c r="M36" s="42" t="str">
        <f>IF(SUM(M34:O34)=0,"— não preenchido",IF(ROUND(SUM(M34:O34)-$R37,3)=0,"OK — "&amp;ROUND(SUM(M34:O34),3)&amp;" km","ERRO — dif. de "&amp;ROUND(SUM(M34:O34)-$R37,3)&amp;" km"))</f>
        <v>OK — 16,675 km</v>
      </c>
      <c r="N36" s="33"/>
      <c r="O36" s="34"/>
      <c r="P36" s="42" t="str">
        <f>IF(SUM(P34:R34)=0,"— não preenchido",IF(ROUND(SUM(P34:R34)-$R37,3)=0,"OK — "&amp;ROUND(SUM(P34:R34),3)&amp;" km","ERRO — dif. de "&amp;ROUND(SUM(P34:R34)-$R37,3)&amp;" km"))</f>
        <v>OK — 16,675 km</v>
      </c>
      <c r="Q36" s="33"/>
      <c r="R36" s="34"/>
      <c r="S36" s="42" t="str">
        <f>IF(SUM(S34:U34)=0,"— não preenchido",IF(ROUND(SUM(S34:U34)-$R37,3)=0,"OK — "&amp;ROUND(SUM(S34:U34),3)&amp;" km","ERRO — dif. de "&amp;ROUND(SUM(S34:U34)-$R37,3)&amp;" km"))</f>
        <v>OK — 16,675 km</v>
      </c>
      <c r="T36" s="33"/>
      <c r="U36" s="34"/>
    </row>
    <row r="37" spans="1:22" x14ac:dyDescent="0.25">
      <c r="A37" s="43" t="s">
        <v>85</v>
      </c>
      <c r="B37" s="28"/>
      <c r="C37" s="28"/>
      <c r="D37" s="28"/>
      <c r="E37" s="28"/>
      <c r="R37" s="26">
        <f>SUM(E9:E28)</f>
        <v>16.674967863439999</v>
      </c>
      <c r="V37" s="8" t="str">
        <f>COUNTIF(W9:W28,"OK")&amp;" de "&amp;COUNT($E$9:$E$28)&amp;" linhas conferidas"</f>
        <v>18 de 18 linhas conferidas</v>
      </c>
    </row>
    <row r="39" spans="1:22" x14ac:dyDescent="0.25">
      <c r="A39" s="37" t="s">
        <v>86</v>
      </c>
      <c r="B39" s="28"/>
      <c r="C39" s="28"/>
      <c r="D39" s="28"/>
      <c r="E39" s="28"/>
    </row>
    <row r="40" spans="1:22" x14ac:dyDescent="0.25">
      <c r="A40" s="43" t="s">
        <v>87</v>
      </c>
      <c r="B40" s="28"/>
      <c r="C40" s="28"/>
      <c r="D40" s="28"/>
      <c r="E40" s="31" t="s">
        <v>88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43" t="s">
        <v>89</v>
      </c>
      <c r="B41" s="28"/>
      <c r="C41" s="28"/>
      <c r="D41" s="28"/>
      <c r="E41" s="31" t="s">
        <v>90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43" t="s">
        <v>91</v>
      </c>
      <c r="B42" s="28"/>
      <c r="C42" s="28"/>
      <c r="D42" s="28"/>
      <c r="E42" s="31" t="s">
        <v>92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43" t="s">
        <v>93</v>
      </c>
      <c r="B43" s="28"/>
      <c r="C43" s="28"/>
      <c r="D43" s="28"/>
      <c r="E43" s="31" t="s">
        <v>94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43" t="s">
        <v>95</v>
      </c>
      <c r="B44" s="28"/>
      <c r="C44" s="28"/>
      <c r="D44" s="28"/>
      <c r="E44" s="31" t="s">
        <v>96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43" t="s">
        <v>60</v>
      </c>
      <c r="B45" s="28"/>
      <c r="C45" s="28"/>
      <c r="D45" s="28"/>
      <c r="E45" s="31" t="s">
        <v>97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43" t="s">
        <v>98</v>
      </c>
      <c r="B46" s="28"/>
      <c r="C46" s="28"/>
      <c r="D46" s="28"/>
      <c r="E46" s="31" t="s">
        <v>99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x14ac:dyDescent="0.25">
      <c r="A47" s="43" t="s">
        <v>100</v>
      </c>
      <c r="B47" s="28"/>
      <c r="C47" s="28"/>
      <c r="D47" s="28"/>
      <c r="E47" s="31" t="s">
        <v>101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x14ac:dyDescent="0.25">
      <c r="A48" s="43" t="s">
        <v>11</v>
      </c>
      <c r="B48" s="28"/>
      <c r="C48" s="28"/>
      <c r="D48" s="28"/>
      <c r="E48" s="31" t="s">
        <v>102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</sheetData>
  <sheetProtection sheet="1" formatCells="0"/>
  <mergeCells count="59">
    <mergeCell ref="A1:V1"/>
    <mergeCell ref="E41:V41"/>
    <mergeCell ref="A33:E33"/>
    <mergeCell ref="T3:V3"/>
    <mergeCell ref="A41:D41"/>
    <mergeCell ref="A25:V25"/>
    <mergeCell ref="A35:E35"/>
    <mergeCell ref="R2:V2"/>
    <mergeCell ref="A3:S3"/>
    <mergeCell ref="C6:C7"/>
    <mergeCell ref="K6:L6"/>
    <mergeCell ref="D6:D7"/>
    <mergeCell ref="A31:E31"/>
    <mergeCell ref="P6:R6"/>
    <mergeCell ref="A4:V4"/>
    <mergeCell ref="G2:H2"/>
    <mergeCell ref="W6:W7"/>
    <mergeCell ref="A37:E37"/>
    <mergeCell ref="E6:E7"/>
    <mergeCell ref="E45:V45"/>
    <mergeCell ref="B6:B7"/>
    <mergeCell ref="A45:D45"/>
    <mergeCell ref="G30:K30"/>
    <mergeCell ref="E43:V43"/>
    <mergeCell ref="E42:V42"/>
    <mergeCell ref="A42:D42"/>
    <mergeCell ref="A48:D48"/>
    <mergeCell ref="N2:O2"/>
    <mergeCell ref="E46:V46"/>
    <mergeCell ref="P2:Q2"/>
    <mergeCell ref="F36:J36"/>
    <mergeCell ref="S36:U36"/>
    <mergeCell ref="A46:D46"/>
    <mergeCell ref="E47:V47"/>
    <mergeCell ref="E48:V48"/>
    <mergeCell ref="A2:F2"/>
    <mergeCell ref="S6:U6"/>
    <mergeCell ref="A40:D40"/>
    <mergeCell ref="K2:M2"/>
    <mergeCell ref="M36:O36"/>
    <mergeCell ref="M6:O6"/>
    <mergeCell ref="V6:V7"/>
    <mergeCell ref="A47:D47"/>
    <mergeCell ref="A44:D44"/>
    <mergeCell ref="A30:E30"/>
    <mergeCell ref="A39:E39"/>
    <mergeCell ref="A34:E34"/>
    <mergeCell ref="E44:V44"/>
    <mergeCell ref="I2:J2"/>
    <mergeCell ref="P36:R36"/>
    <mergeCell ref="A8:V8"/>
    <mergeCell ref="A17:V17"/>
    <mergeCell ref="A43:D43"/>
    <mergeCell ref="G31:K31"/>
    <mergeCell ref="A36:E36"/>
    <mergeCell ref="A6:A7"/>
    <mergeCell ref="F6:J6"/>
    <mergeCell ref="E40:V40"/>
    <mergeCell ref="K36:L36"/>
  </mergeCells>
  <conditionalFormatting sqref="F9:J28">
    <cfRule type="expression" dxfId="179" priority="1">
      <formula>AND(F9&lt;&gt;"",COUNTIF($F9:$J9,"X")&gt;1)</formula>
    </cfRule>
  </conditionalFormatting>
  <conditionalFormatting sqref="F36:U36">
    <cfRule type="expression" dxfId="178" priority="8">
      <formula>LEFT(F36,4)="ERRO"</formula>
    </cfRule>
    <cfRule type="expression" dxfId="177" priority="9">
      <formula>LEFT(F36,2)="OK"</formula>
    </cfRule>
  </conditionalFormatting>
  <conditionalFormatting sqref="K9:L28">
    <cfRule type="expression" dxfId="176" priority="2">
      <formula>AND(K9&lt;&gt;"",COUNTIF($K9:$L9,"X")&gt;1)</formula>
    </cfRule>
  </conditionalFormatting>
  <conditionalFormatting sqref="M9:O28">
    <cfRule type="expression" dxfId="175" priority="3">
      <formula>AND(M9&lt;&gt;"",COUNTIF($M9:$O9,"X")&gt;1)</formula>
    </cfRule>
  </conditionalFormatting>
  <conditionalFormatting sqref="P9:R28">
    <cfRule type="expression" dxfId="174" priority="4">
      <formula>AND(P9&lt;&gt;"",COUNTIF($P9:$R9,"X")&gt;1)</formula>
    </cfRule>
  </conditionalFormatting>
  <conditionalFormatting sqref="S9:U28">
    <cfRule type="expression" dxfId="173" priority="5">
      <formula>AND(S9&lt;&gt;"",COUNTIF($S9:$U9,"X")&gt;1)</formula>
    </cfRule>
  </conditionalFormatting>
  <conditionalFormatting sqref="W9:W28">
    <cfRule type="expression" dxfId="172" priority="6">
      <formula>AND(W9&lt;&gt;"OK",W9&lt;&gt;"")</formula>
    </cfRule>
    <cfRule type="expression" dxfId="171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8" xr:uid="{00000000-0002-0000-09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8" xr:uid="{00000000-0002-0000-09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8" xr:uid="{00000000-0002-0000-09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8" xr:uid="{00000000-0002-0000-09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8" xr:uid="{00000000-0002-0000-0900-000004000000}">
      <formula1>AND(UPPER(S9)="X",COUNTIF($S9:$U9,"X")&lt;=1)</formula1>
    </dataValidation>
    <dataValidation type="list" showErrorMessage="1" errorTitle="Sentido inválido" error="Use C (crescente) ou D (decrescente)." sqref="B9:B28" xr:uid="{00000000-0002-0000-09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9</oddHeader>
    <oddFooter>&amp;L&amp;7 RTA / MSI — Programa de Manutenção Rodoviária&amp;C&amp;7 Página &amp;P de &amp;N&amp;R&amp;7 Impresso em &amp;D</oddFooter>
  </headerFooter>
  <rowBreaks count="1" manualBreakCount="1">
    <brk id="31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AN75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IF(F61=0,NA(),F61)</f>
        <v>37.347801936700002</v>
      </c>
      <c r="Z2" s="2">
        <f t="shared" si="0"/>
        <v>4</v>
      </c>
      <c r="AA2" s="2">
        <f t="shared" si="0"/>
        <v>4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45.347801936700002</v>
      </c>
      <c r="AF2" s="2" t="e">
        <f t="shared" si="0"/>
        <v>#N/A</v>
      </c>
      <c r="AG2" s="2">
        <f t="shared" si="0"/>
        <v>45.347801936700002</v>
      </c>
      <c r="AH2" s="2" t="e">
        <f t="shared" si="0"/>
        <v>#N/A</v>
      </c>
      <c r="AI2" s="2">
        <f t="shared" si="0"/>
        <v>39.347801936700002</v>
      </c>
      <c r="AJ2" s="2">
        <f t="shared" si="0"/>
        <v>6</v>
      </c>
      <c r="AK2" s="2" t="e">
        <f t="shared" si="0"/>
        <v>#N/A</v>
      </c>
      <c r="AL2" s="2" t="e">
        <f t="shared" si="0"/>
        <v>#N/A</v>
      </c>
      <c r="AM2" s="2">
        <f t="shared" si="0"/>
        <v>41.347801936700002</v>
      </c>
      <c r="AN2" s="2">
        <f t="shared" si="0"/>
        <v>4</v>
      </c>
    </row>
    <row r="3" spans="1:40" ht="15" customHeight="1" x14ac:dyDescent="0.25">
      <c r="A3" s="49" t="s">
        <v>168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169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170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171</v>
      </c>
      <c r="B9" s="19" t="s">
        <v>68</v>
      </c>
      <c r="C9" s="20">
        <v>0</v>
      </c>
      <c r="D9" s="20">
        <v>1</v>
      </c>
      <c r="E9" s="20">
        <f t="shared" ref="E9:E40" si="1">D9-C9</f>
        <v>1</v>
      </c>
      <c r="F9" s="21"/>
      <c r="G9" s="21"/>
      <c r="H9" s="21" t="s">
        <v>69</v>
      </c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/>
      <c r="T9" s="21" t="s">
        <v>69</v>
      </c>
      <c r="U9" s="21"/>
      <c r="V9" s="22"/>
      <c r="W9" s="23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171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/>
      <c r="G10" s="21"/>
      <c r="H10" s="21" t="s">
        <v>69</v>
      </c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171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/>
      <c r="Q11" s="21" t="s">
        <v>69</v>
      </c>
      <c r="R11" s="21"/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171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 t="s">
        <v>69</v>
      </c>
      <c r="G12" s="21"/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/>
      <c r="Q12" s="21" t="s">
        <v>69</v>
      </c>
      <c r="R12" s="21"/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171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 t="s">
        <v>69</v>
      </c>
      <c r="Q13" s="21"/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171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 t="s">
        <v>69</v>
      </c>
      <c r="Q14" s="21"/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171</v>
      </c>
      <c r="B15" s="19" t="s">
        <v>68</v>
      </c>
      <c r="C15" s="20">
        <v>6</v>
      </c>
      <c r="D15" s="20">
        <v>7</v>
      </c>
      <c r="E15" s="20">
        <f t="shared" si="1"/>
        <v>1</v>
      </c>
      <c r="F15" s="21"/>
      <c r="G15" s="21" t="s">
        <v>69</v>
      </c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/>
      <c r="Q15" s="21" t="s">
        <v>69</v>
      </c>
      <c r="R15" s="21"/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171</v>
      </c>
      <c r="B16" s="19" t="s">
        <v>68</v>
      </c>
      <c r="C16" s="20">
        <v>7</v>
      </c>
      <c r="D16" s="20">
        <v>8</v>
      </c>
      <c r="E16" s="20">
        <f t="shared" si="1"/>
        <v>1</v>
      </c>
      <c r="F16" s="21"/>
      <c r="G16" s="21" t="s">
        <v>69</v>
      </c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/>
      <c r="Q16" s="21" t="s">
        <v>69</v>
      </c>
      <c r="R16" s="21"/>
      <c r="S16" s="21"/>
      <c r="T16" s="21" t="s">
        <v>69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171</v>
      </c>
      <c r="B17" s="19" t="s">
        <v>68</v>
      </c>
      <c r="C17" s="20">
        <v>8</v>
      </c>
      <c r="D17" s="20">
        <v>9</v>
      </c>
      <c r="E17" s="20">
        <f t="shared" si="1"/>
        <v>1</v>
      </c>
      <c r="F17" s="21" t="s">
        <v>69</v>
      </c>
      <c r="G17" s="21"/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/>
      <c r="Q17" s="21" t="s">
        <v>69</v>
      </c>
      <c r="R17" s="21"/>
      <c r="S17" s="21"/>
      <c r="T17" s="21"/>
      <c r="U17" s="21" t="s">
        <v>69</v>
      </c>
      <c r="V17" s="22"/>
      <c r="W17" s="23" t="str">
        <f t="shared" si="2"/>
        <v>OK</v>
      </c>
    </row>
    <row r="18" spans="1:23" ht="20.100000000000001" customHeight="1" x14ac:dyDescent="0.25">
      <c r="A18" s="18" t="s">
        <v>171</v>
      </c>
      <c r="B18" s="19" t="s">
        <v>68</v>
      </c>
      <c r="C18" s="20">
        <v>9</v>
      </c>
      <c r="D18" s="20">
        <v>10</v>
      </c>
      <c r="E18" s="20">
        <f t="shared" si="1"/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/>
      <c r="Q18" s="21" t="s">
        <v>69</v>
      </c>
      <c r="R18" s="21"/>
      <c r="S18" s="21"/>
      <c r="T18" s="21"/>
      <c r="U18" s="21" t="s">
        <v>69</v>
      </c>
      <c r="V18" s="22"/>
      <c r="W18" s="23" t="str">
        <f t="shared" si="2"/>
        <v>OK</v>
      </c>
    </row>
    <row r="19" spans="1:23" ht="20.100000000000001" customHeight="1" x14ac:dyDescent="0.25">
      <c r="A19" s="18" t="s">
        <v>171</v>
      </c>
      <c r="B19" s="19" t="s">
        <v>68</v>
      </c>
      <c r="C19" s="20">
        <v>10</v>
      </c>
      <c r="D19" s="20">
        <v>11</v>
      </c>
      <c r="E19" s="20">
        <f t="shared" si="1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/>
      <c r="N19" s="21" t="s">
        <v>69</v>
      </c>
      <c r="O19" s="21"/>
      <c r="P19" s="21" t="s">
        <v>69</v>
      </c>
      <c r="Q19" s="21"/>
      <c r="R19" s="21"/>
      <c r="S19" s="21"/>
      <c r="T19" s="21" t="s">
        <v>69</v>
      </c>
      <c r="U19" s="21"/>
      <c r="V19" s="22"/>
      <c r="W19" s="23" t="str">
        <f t="shared" si="2"/>
        <v>OK</v>
      </c>
    </row>
    <row r="20" spans="1:23" ht="20.100000000000001" customHeight="1" x14ac:dyDescent="0.25">
      <c r="A20" s="18" t="s">
        <v>171</v>
      </c>
      <c r="B20" s="19" t="s">
        <v>68</v>
      </c>
      <c r="C20" s="20">
        <v>11</v>
      </c>
      <c r="D20" s="20">
        <v>12</v>
      </c>
      <c r="E20" s="20">
        <f t="shared" si="1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 t="s">
        <v>69</v>
      </c>
      <c r="Q20" s="21"/>
      <c r="R20" s="21"/>
      <c r="S20" s="21"/>
      <c r="T20" s="21" t="s">
        <v>69</v>
      </c>
      <c r="U20" s="21"/>
      <c r="V20" s="22"/>
      <c r="W20" s="23" t="str">
        <f t="shared" si="2"/>
        <v>OK</v>
      </c>
    </row>
    <row r="21" spans="1:23" ht="20.100000000000001" customHeight="1" x14ac:dyDescent="0.25">
      <c r="A21" s="18" t="s">
        <v>171</v>
      </c>
      <c r="B21" s="19" t="s">
        <v>68</v>
      </c>
      <c r="C21" s="20">
        <v>12</v>
      </c>
      <c r="D21" s="20">
        <v>13</v>
      </c>
      <c r="E21" s="20">
        <f t="shared" si="1"/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 t="s">
        <v>69</v>
      </c>
      <c r="Q21" s="21"/>
      <c r="R21" s="21"/>
      <c r="S21" s="21"/>
      <c r="T21" s="21" t="s">
        <v>69</v>
      </c>
      <c r="U21" s="21"/>
      <c r="V21" s="22"/>
      <c r="W21" s="23" t="str">
        <f t="shared" si="2"/>
        <v>OK</v>
      </c>
    </row>
    <row r="22" spans="1:23" ht="20.100000000000001" customHeight="1" x14ac:dyDescent="0.25">
      <c r="A22" s="18" t="s">
        <v>171</v>
      </c>
      <c r="B22" s="19" t="s">
        <v>68</v>
      </c>
      <c r="C22" s="20">
        <v>13</v>
      </c>
      <c r="D22" s="20">
        <v>14</v>
      </c>
      <c r="E22" s="20">
        <f t="shared" si="1"/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/>
      <c r="N22" s="21" t="s">
        <v>69</v>
      </c>
      <c r="O22" s="21"/>
      <c r="P22" s="21" t="s">
        <v>69</v>
      </c>
      <c r="Q22" s="21"/>
      <c r="R22" s="21"/>
      <c r="S22" s="21"/>
      <c r="T22" s="21" t="s">
        <v>69</v>
      </c>
      <c r="U22" s="21"/>
      <c r="V22" s="22"/>
      <c r="W22" s="23" t="str">
        <f t="shared" si="2"/>
        <v>OK</v>
      </c>
    </row>
    <row r="23" spans="1:23" ht="20.100000000000001" customHeight="1" x14ac:dyDescent="0.25">
      <c r="A23" s="18" t="s">
        <v>171</v>
      </c>
      <c r="B23" s="19" t="s">
        <v>68</v>
      </c>
      <c r="C23" s="20">
        <v>14</v>
      </c>
      <c r="D23" s="20">
        <v>15</v>
      </c>
      <c r="E23" s="20">
        <f t="shared" si="1"/>
        <v>1</v>
      </c>
      <c r="F23" s="21" t="s">
        <v>69</v>
      </c>
      <c r="G23" s="21"/>
      <c r="H23" s="21"/>
      <c r="I23" s="21"/>
      <c r="J23" s="21"/>
      <c r="K23" s="21"/>
      <c r="L23" s="21" t="s">
        <v>69</v>
      </c>
      <c r="M23" s="21"/>
      <c r="N23" s="21" t="s">
        <v>69</v>
      </c>
      <c r="O23" s="21"/>
      <c r="P23" s="21" t="s">
        <v>69</v>
      </c>
      <c r="Q23" s="21"/>
      <c r="R23" s="21"/>
      <c r="S23" s="21"/>
      <c r="T23" s="21" t="s">
        <v>69</v>
      </c>
      <c r="U23" s="21"/>
      <c r="V23" s="22"/>
      <c r="W23" s="23" t="str">
        <f t="shared" si="2"/>
        <v>OK</v>
      </c>
    </row>
    <row r="24" spans="1:23" ht="20.100000000000001" customHeight="1" x14ac:dyDescent="0.25">
      <c r="A24" s="18" t="s">
        <v>171</v>
      </c>
      <c r="B24" s="19" t="s">
        <v>68</v>
      </c>
      <c r="C24" s="20">
        <v>15</v>
      </c>
      <c r="D24" s="20">
        <v>16</v>
      </c>
      <c r="E24" s="20">
        <f t="shared" si="1"/>
        <v>1</v>
      </c>
      <c r="F24" s="21" t="s">
        <v>69</v>
      </c>
      <c r="G24" s="21"/>
      <c r="H24" s="21"/>
      <c r="I24" s="21"/>
      <c r="J24" s="21"/>
      <c r="K24" s="21"/>
      <c r="L24" s="21" t="s">
        <v>69</v>
      </c>
      <c r="M24" s="21"/>
      <c r="N24" s="21" t="s">
        <v>69</v>
      </c>
      <c r="O24" s="21"/>
      <c r="P24" s="21" t="s">
        <v>69</v>
      </c>
      <c r="Q24" s="21"/>
      <c r="R24" s="21"/>
      <c r="S24" s="21"/>
      <c r="T24" s="21" t="s">
        <v>69</v>
      </c>
      <c r="U24" s="21"/>
      <c r="V24" s="22"/>
      <c r="W24" s="23" t="str">
        <f t="shared" si="2"/>
        <v>OK</v>
      </c>
    </row>
    <row r="25" spans="1:23" ht="20.100000000000001" customHeight="1" x14ac:dyDescent="0.25">
      <c r="A25" s="18" t="s">
        <v>171</v>
      </c>
      <c r="B25" s="19" t="s">
        <v>68</v>
      </c>
      <c r="C25" s="20">
        <v>16</v>
      </c>
      <c r="D25" s="20">
        <v>17</v>
      </c>
      <c r="E25" s="20">
        <f t="shared" si="1"/>
        <v>1</v>
      </c>
      <c r="F25" s="21" t="s">
        <v>69</v>
      </c>
      <c r="G25" s="21"/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 t="s">
        <v>69</v>
      </c>
      <c r="Q25" s="21"/>
      <c r="R25" s="21"/>
      <c r="S25" s="21"/>
      <c r="T25" s="21" t="s">
        <v>69</v>
      </c>
      <c r="U25" s="21"/>
      <c r="V25" s="22"/>
      <c r="W25" s="23" t="str">
        <f t="shared" si="2"/>
        <v>OK</v>
      </c>
    </row>
    <row r="26" spans="1:23" ht="20.100000000000001" customHeight="1" x14ac:dyDescent="0.25">
      <c r="A26" s="18" t="s">
        <v>171</v>
      </c>
      <c r="B26" s="19" t="s">
        <v>68</v>
      </c>
      <c r="C26" s="20">
        <v>17</v>
      </c>
      <c r="D26" s="20">
        <v>18</v>
      </c>
      <c r="E26" s="20">
        <f t="shared" si="1"/>
        <v>1</v>
      </c>
      <c r="F26" s="21" t="s">
        <v>69</v>
      </c>
      <c r="G26" s="21"/>
      <c r="H26" s="21"/>
      <c r="I26" s="21"/>
      <c r="J26" s="21"/>
      <c r="K26" s="21"/>
      <c r="L26" s="21" t="s">
        <v>69</v>
      </c>
      <c r="M26" s="21"/>
      <c r="N26" s="21" t="s">
        <v>69</v>
      </c>
      <c r="O26" s="21"/>
      <c r="P26" s="21" t="s">
        <v>69</v>
      </c>
      <c r="Q26" s="21"/>
      <c r="R26" s="21"/>
      <c r="S26" s="21"/>
      <c r="T26" s="21" t="s">
        <v>69</v>
      </c>
      <c r="U26" s="21"/>
      <c r="V26" s="22"/>
      <c r="W26" s="23" t="str">
        <f t="shared" si="2"/>
        <v>OK</v>
      </c>
    </row>
    <row r="27" spans="1:23" ht="20.100000000000001" customHeight="1" x14ac:dyDescent="0.25">
      <c r="A27" s="18" t="s">
        <v>171</v>
      </c>
      <c r="B27" s="19" t="s">
        <v>68</v>
      </c>
      <c r="C27" s="20">
        <v>18</v>
      </c>
      <c r="D27" s="20">
        <v>19</v>
      </c>
      <c r="E27" s="20">
        <f t="shared" si="1"/>
        <v>1</v>
      </c>
      <c r="F27" s="21" t="s">
        <v>69</v>
      </c>
      <c r="G27" s="21"/>
      <c r="H27" s="21"/>
      <c r="I27" s="21"/>
      <c r="J27" s="21"/>
      <c r="K27" s="21"/>
      <c r="L27" s="21" t="s">
        <v>69</v>
      </c>
      <c r="M27" s="21"/>
      <c r="N27" s="21" t="s">
        <v>69</v>
      </c>
      <c r="O27" s="21"/>
      <c r="P27" s="21" t="s">
        <v>69</v>
      </c>
      <c r="Q27" s="21"/>
      <c r="R27" s="21"/>
      <c r="S27" s="21"/>
      <c r="T27" s="21" t="s">
        <v>69</v>
      </c>
      <c r="U27" s="21"/>
      <c r="V27" s="22"/>
      <c r="W27" s="23" t="str">
        <f t="shared" si="2"/>
        <v>OK</v>
      </c>
    </row>
    <row r="28" spans="1:23" ht="20.100000000000001" customHeight="1" x14ac:dyDescent="0.25">
      <c r="A28" s="18" t="s">
        <v>171</v>
      </c>
      <c r="B28" s="19" t="s">
        <v>68</v>
      </c>
      <c r="C28" s="20">
        <v>19</v>
      </c>
      <c r="D28" s="20">
        <v>20</v>
      </c>
      <c r="E28" s="20">
        <f t="shared" si="1"/>
        <v>1</v>
      </c>
      <c r="F28" s="21" t="s">
        <v>69</v>
      </c>
      <c r="G28" s="21"/>
      <c r="H28" s="21"/>
      <c r="I28" s="21"/>
      <c r="J28" s="21"/>
      <c r="K28" s="21"/>
      <c r="L28" s="21" t="s">
        <v>69</v>
      </c>
      <c r="M28" s="21"/>
      <c r="N28" s="21" t="s">
        <v>69</v>
      </c>
      <c r="O28" s="21"/>
      <c r="P28" s="21" t="s">
        <v>69</v>
      </c>
      <c r="Q28" s="21"/>
      <c r="R28" s="21"/>
      <c r="S28" s="21"/>
      <c r="T28" s="21" t="s">
        <v>69</v>
      </c>
      <c r="U28" s="21"/>
      <c r="V28" s="22"/>
      <c r="W28" s="23" t="str">
        <f t="shared" si="2"/>
        <v>OK</v>
      </c>
    </row>
    <row r="29" spans="1:23" ht="20.100000000000001" customHeight="1" x14ac:dyDescent="0.25">
      <c r="A29" s="18" t="s">
        <v>171</v>
      </c>
      <c r="B29" s="19" t="s">
        <v>68</v>
      </c>
      <c r="C29" s="20">
        <v>20</v>
      </c>
      <c r="D29" s="20">
        <v>21</v>
      </c>
      <c r="E29" s="20">
        <f t="shared" si="1"/>
        <v>1</v>
      </c>
      <c r="F29" s="21" t="s">
        <v>69</v>
      </c>
      <c r="G29" s="21"/>
      <c r="H29" s="21"/>
      <c r="I29" s="21"/>
      <c r="J29" s="21"/>
      <c r="K29" s="21"/>
      <c r="L29" s="21" t="s">
        <v>69</v>
      </c>
      <c r="M29" s="21"/>
      <c r="N29" s="21" t="s">
        <v>69</v>
      </c>
      <c r="O29" s="21"/>
      <c r="P29" s="21" t="s">
        <v>69</v>
      </c>
      <c r="Q29" s="21"/>
      <c r="R29" s="21"/>
      <c r="S29" s="21"/>
      <c r="T29" s="21" t="s">
        <v>69</v>
      </c>
      <c r="U29" s="21"/>
      <c r="V29" s="22"/>
      <c r="W29" s="23" t="str">
        <f t="shared" si="2"/>
        <v>OK</v>
      </c>
    </row>
    <row r="30" spans="1:23" ht="20.100000000000001" customHeight="1" x14ac:dyDescent="0.25">
      <c r="A30" s="18" t="s">
        <v>171</v>
      </c>
      <c r="B30" s="19" t="s">
        <v>68</v>
      </c>
      <c r="C30" s="20">
        <v>21</v>
      </c>
      <c r="D30" s="20">
        <v>22</v>
      </c>
      <c r="E30" s="20">
        <f t="shared" si="1"/>
        <v>1</v>
      </c>
      <c r="F30" s="21" t="s">
        <v>69</v>
      </c>
      <c r="G30" s="21"/>
      <c r="H30" s="21"/>
      <c r="I30" s="21"/>
      <c r="J30" s="21"/>
      <c r="K30" s="21"/>
      <c r="L30" s="21" t="s">
        <v>69</v>
      </c>
      <c r="M30" s="21"/>
      <c r="N30" s="21" t="s">
        <v>69</v>
      </c>
      <c r="O30" s="21"/>
      <c r="P30" s="21" t="s">
        <v>69</v>
      </c>
      <c r="Q30" s="21"/>
      <c r="R30" s="21"/>
      <c r="S30" s="21"/>
      <c r="T30" s="21" t="s">
        <v>69</v>
      </c>
      <c r="U30" s="21"/>
      <c r="V30" s="22"/>
      <c r="W30" s="23" t="str">
        <f t="shared" si="2"/>
        <v>OK</v>
      </c>
    </row>
    <row r="31" spans="1:23" ht="20.100000000000001" customHeight="1" x14ac:dyDescent="0.25">
      <c r="A31" s="18" t="s">
        <v>171</v>
      </c>
      <c r="B31" s="19" t="s">
        <v>68</v>
      </c>
      <c r="C31" s="20">
        <v>22</v>
      </c>
      <c r="D31" s="20">
        <v>23</v>
      </c>
      <c r="E31" s="20">
        <f t="shared" si="1"/>
        <v>1</v>
      </c>
      <c r="F31" s="21"/>
      <c r="G31" s="21" t="s">
        <v>69</v>
      </c>
      <c r="H31" s="21"/>
      <c r="I31" s="21"/>
      <c r="J31" s="21"/>
      <c r="K31" s="21"/>
      <c r="L31" s="21" t="s">
        <v>69</v>
      </c>
      <c r="M31" s="21"/>
      <c r="N31" s="21" t="s">
        <v>69</v>
      </c>
      <c r="O31" s="21"/>
      <c r="P31" s="21" t="s">
        <v>69</v>
      </c>
      <c r="Q31" s="21"/>
      <c r="R31" s="21"/>
      <c r="S31" s="21"/>
      <c r="T31" s="21" t="s">
        <v>69</v>
      </c>
      <c r="U31" s="21"/>
      <c r="V31" s="22"/>
      <c r="W31" s="23" t="str">
        <f t="shared" si="2"/>
        <v>OK</v>
      </c>
    </row>
    <row r="32" spans="1:23" ht="20.100000000000001" customHeight="1" x14ac:dyDescent="0.25">
      <c r="A32" s="18" t="s">
        <v>171</v>
      </c>
      <c r="B32" s="19" t="s">
        <v>68</v>
      </c>
      <c r="C32" s="20">
        <v>23</v>
      </c>
      <c r="D32" s="20">
        <v>24</v>
      </c>
      <c r="E32" s="20">
        <f t="shared" si="1"/>
        <v>1</v>
      </c>
      <c r="F32" s="21"/>
      <c r="G32" s="21" t="s">
        <v>69</v>
      </c>
      <c r="H32" s="21"/>
      <c r="I32" s="21"/>
      <c r="J32" s="21"/>
      <c r="K32" s="21"/>
      <c r="L32" s="21" t="s">
        <v>69</v>
      </c>
      <c r="M32" s="21"/>
      <c r="N32" s="21" t="s">
        <v>69</v>
      </c>
      <c r="O32" s="21"/>
      <c r="P32" s="21" t="s">
        <v>69</v>
      </c>
      <c r="Q32" s="21"/>
      <c r="R32" s="21"/>
      <c r="S32" s="21"/>
      <c r="T32" s="21" t="s">
        <v>69</v>
      </c>
      <c r="U32" s="21"/>
      <c r="V32" s="22"/>
      <c r="W32" s="23" t="str">
        <f t="shared" si="2"/>
        <v>OK</v>
      </c>
    </row>
    <row r="33" spans="1:23" ht="20.100000000000001" customHeight="1" x14ac:dyDescent="0.25">
      <c r="A33" s="18" t="s">
        <v>171</v>
      </c>
      <c r="B33" s="19" t="s">
        <v>68</v>
      </c>
      <c r="C33" s="20">
        <v>24</v>
      </c>
      <c r="D33" s="20">
        <v>25</v>
      </c>
      <c r="E33" s="20">
        <f t="shared" si="1"/>
        <v>1</v>
      </c>
      <c r="F33" s="21" t="s">
        <v>69</v>
      </c>
      <c r="G33" s="21"/>
      <c r="H33" s="21"/>
      <c r="I33" s="21"/>
      <c r="J33" s="21"/>
      <c r="K33" s="21"/>
      <c r="L33" s="21" t="s">
        <v>69</v>
      </c>
      <c r="M33" s="21"/>
      <c r="N33" s="21" t="s">
        <v>69</v>
      </c>
      <c r="O33" s="21"/>
      <c r="P33" s="21" t="s">
        <v>69</v>
      </c>
      <c r="Q33" s="21"/>
      <c r="R33" s="21"/>
      <c r="S33" s="21"/>
      <c r="T33" s="21" t="s">
        <v>69</v>
      </c>
      <c r="U33" s="21"/>
      <c r="V33" s="22"/>
      <c r="W33" s="23" t="str">
        <f t="shared" si="2"/>
        <v>OK</v>
      </c>
    </row>
    <row r="34" spans="1:23" ht="20.100000000000001" customHeight="1" x14ac:dyDescent="0.25">
      <c r="A34" s="18" t="s">
        <v>171</v>
      </c>
      <c r="B34" s="19" t="s">
        <v>68</v>
      </c>
      <c r="C34" s="20">
        <v>25</v>
      </c>
      <c r="D34" s="20">
        <v>26</v>
      </c>
      <c r="E34" s="20">
        <f t="shared" si="1"/>
        <v>1</v>
      </c>
      <c r="F34" s="21" t="s">
        <v>69</v>
      </c>
      <c r="G34" s="21"/>
      <c r="H34" s="21"/>
      <c r="I34" s="21"/>
      <c r="J34" s="21"/>
      <c r="K34" s="21"/>
      <c r="L34" s="21" t="s">
        <v>69</v>
      </c>
      <c r="M34" s="21"/>
      <c r="N34" s="21" t="s">
        <v>69</v>
      </c>
      <c r="O34" s="21"/>
      <c r="P34" s="21" t="s">
        <v>69</v>
      </c>
      <c r="Q34" s="21"/>
      <c r="R34" s="21"/>
      <c r="S34" s="21"/>
      <c r="T34" s="21" t="s">
        <v>69</v>
      </c>
      <c r="U34" s="21"/>
      <c r="V34" s="22"/>
      <c r="W34" s="23" t="str">
        <f t="shared" si="2"/>
        <v>OK</v>
      </c>
    </row>
    <row r="35" spans="1:23" ht="20.100000000000001" customHeight="1" x14ac:dyDescent="0.25">
      <c r="A35" s="18" t="s">
        <v>171</v>
      </c>
      <c r="B35" s="19" t="s">
        <v>68</v>
      </c>
      <c r="C35" s="20">
        <v>26</v>
      </c>
      <c r="D35" s="20">
        <v>27</v>
      </c>
      <c r="E35" s="20">
        <f t="shared" si="1"/>
        <v>1</v>
      </c>
      <c r="F35" s="21" t="s">
        <v>69</v>
      </c>
      <c r="G35" s="21"/>
      <c r="H35" s="21"/>
      <c r="I35" s="21"/>
      <c r="J35" s="21"/>
      <c r="K35" s="21"/>
      <c r="L35" s="21" t="s">
        <v>69</v>
      </c>
      <c r="M35" s="21"/>
      <c r="N35" s="21" t="s">
        <v>69</v>
      </c>
      <c r="O35" s="21"/>
      <c r="P35" s="21" t="s">
        <v>69</v>
      </c>
      <c r="Q35" s="21"/>
      <c r="R35" s="21"/>
      <c r="S35" s="21"/>
      <c r="T35" s="21" t="s">
        <v>69</v>
      </c>
      <c r="U35" s="21"/>
      <c r="V35" s="22"/>
      <c r="W35" s="23" t="str">
        <f t="shared" si="2"/>
        <v>OK</v>
      </c>
    </row>
    <row r="36" spans="1:23" ht="20.100000000000001" customHeight="1" x14ac:dyDescent="0.25">
      <c r="A36" s="18" t="s">
        <v>171</v>
      </c>
      <c r="B36" s="19" t="s">
        <v>68</v>
      </c>
      <c r="C36" s="20">
        <v>27</v>
      </c>
      <c r="D36" s="20">
        <v>28</v>
      </c>
      <c r="E36" s="20">
        <f t="shared" si="1"/>
        <v>1</v>
      </c>
      <c r="F36" s="21" t="s">
        <v>69</v>
      </c>
      <c r="G36" s="21"/>
      <c r="H36" s="21"/>
      <c r="I36" s="21"/>
      <c r="J36" s="21"/>
      <c r="K36" s="21"/>
      <c r="L36" s="21" t="s">
        <v>69</v>
      </c>
      <c r="M36" s="21"/>
      <c r="N36" s="21" t="s">
        <v>69</v>
      </c>
      <c r="O36" s="21"/>
      <c r="P36" s="21" t="s">
        <v>69</v>
      </c>
      <c r="Q36" s="21"/>
      <c r="R36" s="21"/>
      <c r="S36" s="21"/>
      <c r="T36" s="21" t="s">
        <v>69</v>
      </c>
      <c r="U36" s="21"/>
      <c r="V36" s="22"/>
      <c r="W36" s="23" t="str">
        <f t="shared" si="2"/>
        <v>OK</v>
      </c>
    </row>
    <row r="37" spans="1:23" ht="20.100000000000001" customHeight="1" x14ac:dyDescent="0.25">
      <c r="A37" s="18" t="s">
        <v>171</v>
      </c>
      <c r="B37" s="19" t="s">
        <v>68</v>
      </c>
      <c r="C37" s="20">
        <v>28</v>
      </c>
      <c r="D37" s="20">
        <v>29</v>
      </c>
      <c r="E37" s="20">
        <f t="shared" si="1"/>
        <v>1</v>
      </c>
      <c r="F37" s="21" t="s">
        <v>69</v>
      </c>
      <c r="G37" s="21"/>
      <c r="H37" s="21"/>
      <c r="I37" s="21"/>
      <c r="J37" s="21"/>
      <c r="K37" s="21"/>
      <c r="L37" s="21" t="s">
        <v>69</v>
      </c>
      <c r="M37" s="21"/>
      <c r="N37" s="21" t="s">
        <v>69</v>
      </c>
      <c r="O37" s="21"/>
      <c r="P37" s="21" t="s">
        <v>69</v>
      </c>
      <c r="Q37" s="21"/>
      <c r="R37" s="21"/>
      <c r="S37" s="21"/>
      <c r="T37" s="21" t="s">
        <v>69</v>
      </c>
      <c r="U37" s="21"/>
      <c r="V37" s="22"/>
      <c r="W37" s="23" t="str">
        <f t="shared" si="2"/>
        <v>OK</v>
      </c>
    </row>
    <row r="38" spans="1:23" ht="20.100000000000001" customHeight="1" x14ac:dyDescent="0.25">
      <c r="A38" s="18" t="s">
        <v>171</v>
      </c>
      <c r="B38" s="19" t="s">
        <v>68</v>
      </c>
      <c r="C38" s="20">
        <v>29</v>
      </c>
      <c r="D38" s="20">
        <v>30</v>
      </c>
      <c r="E38" s="20">
        <f t="shared" si="1"/>
        <v>1</v>
      </c>
      <c r="F38" s="21" t="s">
        <v>69</v>
      </c>
      <c r="G38" s="21"/>
      <c r="H38" s="21"/>
      <c r="I38" s="21"/>
      <c r="J38" s="21"/>
      <c r="K38" s="21"/>
      <c r="L38" s="21" t="s">
        <v>69</v>
      </c>
      <c r="M38" s="21"/>
      <c r="N38" s="21" t="s">
        <v>69</v>
      </c>
      <c r="O38" s="21"/>
      <c r="P38" s="21" t="s">
        <v>69</v>
      </c>
      <c r="Q38" s="21"/>
      <c r="R38" s="21"/>
      <c r="S38" s="21"/>
      <c r="T38" s="21" t="s">
        <v>69</v>
      </c>
      <c r="U38" s="21"/>
      <c r="V38" s="22"/>
      <c r="W38" s="23" t="str">
        <f t="shared" si="2"/>
        <v>OK</v>
      </c>
    </row>
    <row r="39" spans="1:23" ht="20.100000000000001" customHeight="1" x14ac:dyDescent="0.25">
      <c r="A39" s="18" t="s">
        <v>171</v>
      </c>
      <c r="B39" s="19" t="s">
        <v>68</v>
      </c>
      <c r="C39" s="20">
        <v>30</v>
      </c>
      <c r="D39" s="20">
        <v>31</v>
      </c>
      <c r="E39" s="20">
        <f t="shared" si="1"/>
        <v>1</v>
      </c>
      <c r="F39" s="21" t="s">
        <v>69</v>
      </c>
      <c r="G39" s="21"/>
      <c r="H39" s="21"/>
      <c r="I39" s="21"/>
      <c r="J39" s="21"/>
      <c r="K39" s="21"/>
      <c r="L39" s="21" t="s">
        <v>69</v>
      </c>
      <c r="M39" s="21"/>
      <c r="N39" s="21" t="s">
        <v>69</v>
      </c>
      <c r="O39" s="21"/>
      <c r="P39" s="21" t="s">
        <v>69</v>
      </c>
      <c r="Q39" s="21"/>
      <c r="R39" s="21"/>
      <c r="S39" s="21"/>
      <c r="T39" s="21" t="s">
        <v>69</v>
      </c>
      <c r="U39" s="21"/>
      <c r="V39" s="22"/>
      <c r="W39" s="23" t="str">
        <f t="shared" si="2"/>
        <v>OK</v>
      </c>
    </row>
    <row r="40" spans="1:23" ht="20.100000000000001" customHeight="1" x14ac:dyDescent="0.25">
      <c r="A40" s="12" t="s">
        <v>171</v>
      </c>
      <c r="B40" s="13" t="s">
        <v>68</v>
      </c>
      <c r="C40" s="14">
        <v>31</v>
      </c>
      <c r="D40" s="14">
        <v>31.5971797837</v>
      </c>
      <c r="E40" s="14">
        <f t="shared" si="1"/>
        <v>0.59717978369999969</v>
      </c>
      <c r="F40" s="15" t="s">
        <v>69</v>
      </c>
      <c r="G40" s="15"/>
      <c r="H40" s="15"/>
      <c r="I40" s="15"/>
      <c r="J40" s="15"/>
      <c r="K40" s="15"/>
      <c r="L40" s="15" t="s">
        <v>69</v>
      </c>
      <c r="M40" s="15"/>
      <c r="N40" s="15" t="s">
        <v>69</v>
      </c>
      <c r="O40" s="15"/>
      <c r="P40" s="15" t="s">
        <v>69</v>
      </c>
      <c r="Q40" s="15"/>
      <c r="R40" s="15"/>
      <c r="S40" s="15"/>
      <c r="T40" s="15" t="s">
        <v>69</v>
      </c>
      <c r="U40" s="15"/>
      <c r="V40" s="16"/>
      <c r="W40" s="17" t="str">
        <f t="shared" si="2"/>
        <v>OK</v>
      </c>
    </row>
    <row r="41" spans="1:23" ht="15.95" customHeight="1" x14ac:dyDescent="0.25">
      <c r="A41" s="35" t="s">
        <v>172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4"/>
      <c r="W41" s="4"/>
    </row>
    <row r="42" spans="1:23" ht="20.100000000000001" customHeight="1" x14ac:dyDescent="0.25">
      <c r="A42" s="18" t="s">
        <v>173</v>
      </c>
      <c r="B42" s="19" t="s">
        <v>68</v>
      </c>
      <c r="C42" s="20">
        <v>0</v>
      </c>
      <c r="D42" s="20">
        <v>1</v>
      </c>
      <c r="E42" s="20">
        <f t="shared" ref="E42:E55" si="3">D42-C42</f>
        <v>1</v>
      </c>
      <c r="F42" s="21" t="s">
        <v>69</v>
      </c>
      <c r="G42" s="21"/>
      <c r="H42" s="21"/>
      <c r="I42" s="21"/>
      <c r="J42" s="21"/>
      <c r="K42" s="21"/>
      <c r="L42" s="21" t="s">
        <v>69</v>
      </c>
      <c r="M42" s="21"/>
      <c r="N42" s="21" t="s">
        <v>69</v>
      </c>
      <c r="O42" s="21"/>
      <c r="P42" s="21" t="s">
        <v>69</v>
      </c>
      <c r="Q42" s="21"/>
      <c r="R42" s="21"/>
      <c r="S42" s="21"/>
      <c r="T42" s="21"/>
      <c r="U42" s="21" t="s">
        <v>69</v>
      </c>
      <c r="V42" s="22"/>
      <c r="W42" s="23" t="str">
        <f t="shared" ref="W42:W55" si="4">IF(COUNTA(F42:U42)=0,"— não preenchido",IF(COUNTIF(F42:J42,"X")&lt;&gt;1,"FALTA/DUPLA: CONDIÇÃO DO PAVIMENTO",IF(COUNTIF(K42:L42,"X")&lt;&gt;1,"FALTA/DUPLA: VEGETAÇÃO",IF(COUNTIF(M42:O42,"X")&lt;&gt;1,"FALTA/DUPLA: ELEM. DE DRENAGEM",IF(COUNTIF(P42:R42,"X")&lt;&gt;1,"FALTA/DUPLA: SIN. HORIZ.",IF(COUNTIF(S42:U42,"X")&lt;&gt;1,"FALTA/DUPLA: SIN. VERTICAL","OK"))))))</f>
        <v>OK</v>
      </c>
    </row>
    <row r="43" spans="1:23" ht="20.100000000000001" customHeight="1" x14ac:dyDescent="0.25">
      <c r="A43" s="18" t="s">
        <v>173</v>
      </c>
      <c r="B43" s="19" t="s">
        <v>68</v>
      </c>
      <c r="C43" s="20">
        <v>1</v>
      </c>
      <c r="D43" s="20">
        <v>2</v>
      </c>
      <c r="E43" s="20">
        <f t="shared" si="3"/>
        <v>1</v>
      </c>
      <c r="F43" s="21" t="s">
        <v>69</v>
      </c>
      <c r="G43" s="21"/>
      <c r="H43" s="21"/>
      <c r="I43" s="21"/>
      <c r="J43" s="21"/>
      <c r="K43" s="21"/>
      <c r="L43" s="21" t="s">
        <v>69</v>
      </c>
      <c r="M43" s="21"/>
      <c r="N43" s="21" t="s">
        <v>69</v>
      </c>
      <c r="O43" s="21"/>
      <c r="P43" s="21" t="s">
        <v>69</v>
      </c>
      <c r="Q43" s="21"/>
      <c r="R43" s="21"/>
      <c r="S43" s="21"/>
      <c r="T43" s="21"/>
      <c r="U43" s="21" t="s">
        <v>69</v>
      </c>
      <c r="V43" s="22"/>
      <c r="W43" s="23" t="str">
        <f t="shared" si="4"/>
        <v>OK</v>
      </c>
    </row>
    <row r="44" spans="1:23" ht="20.100000000000001" customHeight="1" x14ac:dyDescent="0.25">
      <c r="A44" s="18" t="s">
        <v>173</v>
      </c>
      <c r="B44" s="19" t="s">
        <v>68</v>
      </c>
      <c r="C44" s="20">
        <v>2</v>
      </c>
      <c r="D44" s="20">
        <v>3</v>
      </c>
      <c r="E44" s="20">
        <f t="shared" si="3"/>
        <v>1</v>
      </c>
      <c r="F44" s="21"/>
      <c r="G44" s="21"/>
      <c r="H44" s="21" t="s">
        <v>69</v>
      </c>
      <c r="I44" s="21"/>
      <c r="J44" s="21"/>
      <c r="K44" s="21"/>
      <c r="L44" s="21" t="s">
        <v>69</v>
      </c>
      <c r="M44" s="21"/>
      <c r="N44" s="21" t="s">
        <v>69</v>
      </c>
      <c r="O44" s="21"/>
      <c r="P44" s="21" t="s">
        <v>69</v>
      </c>
      <c r="Q44" s="21"/>
      <c r="R44" s="21"/>
      <c r="S44" s="21"/>
      <c r="T44" s="21" t="s">
        <v>69</v>
      </c>
      <c r="U44" s="21"/>
      <c r="V44" s="22"/>
      <c r="W44" s="23" t="str">
        <f t="shared" si="4"/>
        <v>OK</v>
      </c>
    </row>
    <row r="45" spans="1:23" ht="20.100000000000001" customHeight="1" x14ac:dyDescent="0.25">
      <c r="A45" s="18" t="s">
        <v>173</v>
      </c>
      <c r="B45" s="19" t="s">
        <v>68</v>
      </c>
      <c r="C45" s="20">
        <v>3</v>
      </c>
      <c r="D45" s="20">
        <v>4</v>
      </c>
      <c r="E45" s="20">
        <f t="shared" si="3"/>
        <v>1</v>
      </c>
      <c r="F45" s="21"/>
      <c r="G45" s="21"/>
      <c r="H45" s="21" t="s">
        <v>69</v>
      </c>
      <c r="I45" s="21"/>
      <c r="J45" s="21"/>
      <c r="K45" s="21"/>
      <c r="L45" s="21" t="s">
        <v>69</v>
      </c>
      <c r="M45" s="21"/>
      <c r="N45" s="21" t="s">
        <v>69</v>
      </c>
      <c r="O45" s="21"/>
      <c r="P45" s="21" t="s">
        <v>69</v>
      </c>
      <c r="Q45" s="21"/>
      <c r="R45" s="21"/>
      <c r="S45" s="21"/>
      <c r="T45" s="21" t="s">
        <v>69</v>
      </c>
      <c r="U45" s="21"/>
      <c r="V45" s="22"/>
      <c r="W45" s="23" t="str">
        <f t="shared" si="4"/>
        <v>OK</v>
      </c>
    </row>
    <row r="46" spans="1:23" ht="20.100000000000001" customHeight="1" x14ac:dyDescent="0.25">
      <c r="A46" s="18" t="s">
        <v>173</v>
      </c>
      <c r="B46" s="19" t="s">
        <v>68</v>
      </c>
      <c r="C46" s="20">
        <v>4</v>
      </c>
      <c r="D46" s="20">
        <v>5</v>
      </c>
      <c r="E46" s="20">
        <f t="shared" si="3"/>
        <v>1</v>
      </c>
      <c r="F46" s="21" t="s">
        <v>69</v>
      </c>
      <c r="G46" s="21"/>
      <c r="H46" s="21"/>
      <c r="I46" s="21"/>
      <c r="J46" s="21"/>
      <c r="K46" s="21"/>
      <c r="L46" s="21" t="s">
        <v>69</v>
      </c>
      <c r="M46" s="21"/>
      <c r="N46" s="21" t="s">
        <v>69</v>
      </c>
      <c r="O46" s="21"/>
      <c r="P46" s="21" t="s">
        <v>69</v>
      </c>
      <c r="Q46" s="21"/>
      <c r="R46" s="21"/>
      <c r="S46" s="21"/>
      <c r="T46" s="21" t="s">
        <v>69</v>
      </c>
      <c r="U46" s="21"/>
      <c r="V46" s="22"/>
      <c r="W46" s="23" t="str">
        <f t="shared" si="4"/>
        <v>OK</v>
      </c>
    </row>
    <row r="47" spans="1:23" ht="20.100000000000001" customHeight="1" x14ac:dyDescent="0.25">
      <c r="A47" s="18" t="s">
        <v>173</v>
      </c>
      <c r="B47" s="19" t="s">
        <v>68</v>
      </c>
      <c r="C47" s="20">
        <v>5</v>
      </c>
      <c r="D47" s="20">
        <v>6</v>
      </c>
      <c r="E47" s="20">
        <f t="shared" si="3"/>
        <v>1</v>
      </c>
      <c r="F47" s="21" t="s">
        <v>69</v>
      </c>
      <c r="G47" s="21"/>
      <c r="H47" s="21"/>
      <c r="I47" s="21"/>
      <c r="J47" s="21"/>
      <c r="K47" s="21"/>
      <c r="L47" s="21" t="s">
        <v>69</v>
      </c>
      <c r="M47" s="21"/>
      <c r="N47" s="21" t="s">
        <v>69</v>
      </c>
      <c r="O47" s="21"/>
      <c r="P47" s="21" t="s">
        <v>69</v>
      </c>
      <c r="Q47" s="21"/>
      <c r="R47" s="21"/>
      <c r="S47" s="21"/>
      <c r="T47" s="21" t="s">
        <v>69</v>
      </c>
      <c r="U47" s="21"/>
      <c r="V47" s="22"/>
      <c r="W47" s="23" t="str">
        <f t="shared" si="4"/>
        <v>OK</v>
      </c>
    </row>
    <row r="48" spans="1:23" ht="20.100000000000001" customHeight="1" x14ac:dyDescent="0.25">
      <c r="A48" s="18" t="s">
        <v>173</v>
      </c>
      <c r="B48" s="19" t="s">
        <v>68</v>
      </c>
      <c r="C48" s="20">
        <v>6</v>
      </c>
      <c r="D48" s="20">
        <v>7</v>
      </c>
      <c r="E48" s="20">
        <f t="shared" si="3"/>
        <v>1</v>
      </c>
      <c r="F48" s="21" t="s">
        <v>69</v>
      </c>
      <c r="G48" s="21"/>
      <c r="H48" s="21"/>
      <c r="I48" s="21"/>
      <c r="J48" s="21"/>
      <c r="K48" s="21"/>
      <c r="L48" s="21" t="s">
        <v>69</v>
      </c>
      <c r="M48" s="21"/>
      <c r="N48" s="21" t="s">
        <v>69</v>
      </c>
      <c r="O48" s="21"/>
      <c r="P48" s="21" t="s">
        <v>69</v>
      </c>
      <c r="Q48" s="21"/>
      <c r="R48" s="21"/>
      <c r="S48" s="21"/>
      <c r="T48" s="21" t="s">
        <v>69</v>
      </c>
      <c r="U48" s="21"/>
      <c r="V48" s="22"/>
      <c r="W48" s="23" t="str">
        <f t="shared" si="4"/>
        <v>OK</v>
      </c>
    </row>
    <row r="49" spans="1:23" ht="20.100000000000001" customHeight="1" x14ac:dyDescent="0.25">
      <c r="A49" s="18" t="s">
        <v>173</v>
      </c>
      <c r="B49" s="19" t="s">
        <v>68</v>
      </c>
      <c r="C49" s="20">
        <v>7</v>
      </c>
      <c r="D49" s="20">
        <v>8</v>
      </c>
      <c r="E49" s="20">
        <f t="shared" si="3"/>
        <v>1</v>
      </c>
      <c r="F49" s="21" t="s">
        <v>69</v>
      </c>
      <c r="G49" s="21"/>
      <c r="H49" s="21"/>
      <c r="I49" s="21"/>
      <c r="J49" s="21"/>
      <c r="K49" s="21"/>
      <c r="L49" s="21" t="s">
        <v>69</v>
      </c>
      <c r="M49" s="21"/>
      <c r="N49" s="21" t="s">
        <v>69</v>
      </c>
      <c r="O49" s="21"/>
      <c r="P49" s="21" t="s">
        <v>69</v>
      </c>
      <c r="Q49" s="21"/>
      <c r="R49" s="21"/>
      <c r="S49" s="21"/>
      <c r="T49" s="21" t="s">
        <v>69</v>
      </c>
      <c r="U49" s="21"/>
      <c r="V49" s="22"/>
      <c r="W49" s="23" t="str">
        <f t="shared" si="4"/>
        <v>OK</v>
      </c>
    </row>
    <row r="50" spans="1:23" ht="20.100000000000001" customHeight="1" x14ac:dyDescent="0.25">
      <c r="A50" s="18" t="s">
        <v>173</v>
      </c>
      <c r="B50" s="19" t="s">
        <v>68</v>
      </c>
      <c r="C50" s="20">
        <v>8</v>
      </c>
      <c r="D50" s="20">
        <v>9</v>
      </c>
      <c r="E50" s="20">
        <f t="shared" si="3"/>
        <v>1</v>
      </c>
      <c r="F50" s="21" t="s">
        <v>69</v>
      </c>
      <c r="G50" s="21"/>
      <c r="H50" s="21"/>
      <c r="I50" s="21"/>
      <c r="J50" s="21"/>
      <c r="K50" s="21"/>
      <c r="L50" s="21" t="s">
        <v>69</v>
      </c>
      <c r="M50" s="21"/>
      <c r="N50" s="21" t="s">
        <v>69</v>
      </c>
      <c r="O50" s="21"/>
      <c r="P50" s="21" t="s">
        <v>69</v>
      </c>
      <c r="Q50" s="21"/>
      <c r="R50" s="21"/>
      <c r="S50" s="21"/>
      <c r="T50" s="21" t="s">
        <v>69</v>
      </c>
      <c r="U50" s="21"/>
      <c r="V50" s="22"/>
      <c r="W50" s="23" t="str">
        <f t="shared" si="4"/>
        <v>OK</v>
      </c>
    </row>
    <row r="51" spans="1:23" ht="20.100000000000001" customHeight="1" x14ac:dyDescent="0.25">
      <c r="A51" s="18" t="s">
        <v>173</v>
      </c>
      <c r="B51" s="19" t="s">
        <v>68</v>
      </c>
      <c r="C51" s="20">
        <v>9</v>
      </c>
      <c r="D51" s="20">
        <v>10</v>
      </c>
      <c r="E51" s="20">
        <f t="shared" si="3"/>
        <v>1</v>
      </c>
      <c r="F51" s="21" t="s">
        <v>69</v>
      </c>
      <c r="G51" s="21"/>
      <c r="H51" s="21"/>
      <c r="I51" s="21"/>
      <c r="J51" s="21"/>
      <c r="K51" s="21"/>
      <c r="L51" s="21" t="s">
        <v>69</v>
      </c>
      <c r="M51" s="21"/>
      <c r="N51" s="21" t="s">
        <v>69</v>
      </c>
      <c r="O51" s="21"/>
      <c r="P51" s="21" t="s">
        <v>69</v>
      </c>
      <c r="Q51" s="21"/>
      <c r="R51" s="21"/>
      <c r="S51" s="21"/>
      <c r="T51" s="21" t="s">
        <v>69</v>
      </c>
      <c r="U51" s="21"/>
      <c r="V51" s="22"/>
      <c r="W51" s="23" t="str">
        <f t="shared" si="4"/>
        <v>OK</v>
      </c>
    </row>
    <row r="52" spans="1:23" ht="20.100000000000001" customHeight="1" x14ac:dyDescent="0.25">
      <c r="A52" s="18" t="s">
        <v>173</v>
      </c>
      <c r="B52" s="19" t="s">
        <v>68</v>
      </c>
      <c r="C52" s="20">
        <v>10</v>
      </c>
      <c r="D52" s="20">
        <v>11</v>
      </c>
      <c r="E52" s="20">
        <f t="shared" si="3"/>
        <v>1</v>
      </c>
      <c r="F52" s="21" t="s">
        <v>69</v>
      </c>
      <c r="G52" s="21"/>
      <c r="H52" s="21"/>
      <c r="I52" s="21"/>
      <c r="J52" s="21"/>
      <c r="K52" s="21"/>
      <c r="L52" s="21" t="s">
        <v>69</v>
      </c>
      <c r="M52" s="21"/>
      <c r="N52" s="21" t="s">
        <v>69</v>
      </c>
      <c r="O52" s="21"/>
      <c r="P52" s="21" t="s">
        <v>69</v>
      </c>
      <c r="Q52" s="21"/>
      <c r="R52" s="21"/>
      <c r="S52" s="21"/>
      <c r="T52" s="21" t="s">
        <v>69</v>
      </c>
      <c r="U52" s="21"/>
      <c r="V52" s="22"/>
      <c r="W52" s="23" t="str">
        <f t="shared" si="4"/>
        <v>OK</v>
      </c>
    </row>
    <row r="53" spans="1:23" ht="20.100000000000001" customHeight="1" x14ac:dyDescent="0.25">
      <c r="A53" s="18" t="s">
        <v>173</v>
      </c>
      <c r="B53" s="19" t="s">
        <v>68</v>
      </c>
      <c r="C53" s="20">
        <v>11</v>
      </c>
      <c r="D53" s="20">
        <v>12</v>
      </c>
      <c r="E53" s="20">
        <f t="shared" si="3"/>
        <v>1</v>
      </c>
      <c r="F53" s="21" t="s">
        <v>69</v>
      </c>
      <c r="G53" s="21"/>
      <c r="H53" s="21"/>
      <c r="I53" s="21"/>
      <c r="J53" s="21"/>
      <c r="K53" s="21"/>
      <c r="L53" s="21" t="s">
        <v>69</v>
      </c>
      <c r="M53" s="21"/>
      <c r="N53" s="21" t="s">
        <v>69</v>
      </c>
      <c r="O53" s="21"/>
      <c r="P53" s="21" t="s">
        <v>69</v>
      </c>
      <c r="Q53" s="21"/>
      <c r="R53" s="21"/>
      <c r="S53" s="21"/>
      <c r="T53" s="21" t="s">
        <v>69</v>
      </c>
      <c r="U53" s="21"/>
      <c r="V53" s="22"/>
      <c r="W53" s="23" t="str">
        <f t="shared" si="4"/>
        <v>OK</v>
      </c>
    </row>
    <row r="54" spans="1:23" ht="20.100000000000001" customHeight="1" x14ac:dyDescent="0.25">
      <c r="A54" s="18" t="s">
        <v>173</v>
      </c>
      <c r="B54" s="19" t="s">
        <v>68</v>
      </c>
      <c r="C54" s="20">
        <v>12</v>
      </c>
      <c r="D54" s="20">
        <v>13</v>
      </c>
      <c r="E54" s="20">
        <f t="shared" si="3"/>
        <v>1</v>
      </c>
      <c r="F54" s="21" t="s">
        <v>69</v>
      </c>
      <c r="G54" s="21"/>
      <c r="H54" s="21"/>
      <c r="I54" s="21"/>
      <c r="J54" s="21"/>
      <c r="K54" s="21"/>
      <c r="L54" s="21" t="s">
        <v>69</v>
      </c>
      <c r="M54" s="21"/>
      <c r="N54" s="21" t="s">
        <v>69</v>
      </c>
      <c r="O54" s="21"/>
      <c r="P54" s="21" t="s">
        <v>69</v>
      </c>
      <c r="Q54" s="21"/>
      <c r="R54" s="21"/>
      <c r="S54" s="21"/>
      <c r="T54" s="21" t="s">
        <v>69</v>
      </c>
      <c r="U54" s="21"/>
      <c r="V54" s="22"/>
      <c r="W54" s="23" t="str">
        <f t="shared" si="4"/>
        <v>OK</v>
      </c>
    </row>
    <row r="55" spans="1:23" ht="20.100000000000001" customHeight="1" x14ac:dyDescent="0.25">
      <c r="A55" s="12" t="s">
        <v>173</v>
      </c>
      <c r="B55" s="13" t="s">
        <v>68</v>
      </c>
      <c r="C55" s="14">
        <v>13</v>
      </c>
      <c r="D55" s="14">
        <v>13.750622153</v>
      </c>
      <c r="E55" s="14">
        <f t="shared" si="3"/>
        <v>0.75062215300000013</v>
      </c>
      <c r="F55" s="15" t="s">
        <v>69</v>
      </c>
      <c r="G55" s="15"/>
      <c r="H55" s="15"/>
      <c r="I55" s="15"/>
      <c r="J55" s="15"/>
      <c r="K55" s="15"/>
      <c r="L55" s="15" t="s">
        <v>69</v>
      </c>
      <c r="M55" s="15"/>
      <c r="N55" s="15" t="s">
        <v>69</v>
      </c>
      <c r="O55" s="15"/>
      <c r="P55" s="15" t="s">
        <v>69</v>
      </c>
      <c r="Q55" s="15"/>
      <c r="R55" s="15"/>
      <c r="S55" s="15"/>
      <c r="T55" s="15" t="s">
        <v>69</v>
      </c>
      <c r="U55" s="15"/>
      <c r="V55" s="16"/>
      <c r="W55" s="17" t="str">
        <f t="shared" si="4"/>
        <v>OK</v>
      </c>
    </row>
    <row r="57" spans="1:23" x14ac:dyDescent="0.25">
      <c r="A57" s="40" t="s">
        <v>78</v>
      </c>
      <c r="B57" s="28"/>
      <c r="C57" s="28"/>
      <c r="D57" s="28"/>
      <c r="E57" s="28"/>
      <c r="G57" s="40" t="s">
        <v>78</v>
      </c>
      <c r="H57" s="28"/>
      <c r="I57" s="28"/>
      <c r="J57" s="28"/>
      <c r="K57" s="28"/>
    </row>
    <row r="58" spans="1:23" x14ac:dyDescent="0.25">
      <c r="A58" s="44" t="s">
        <v>79</v>
      </c>
      <c r="B58" s="28"/>
      <c r="C58" s="28"/>
      <c r="D58" s="28"/>
      <c r="E58" s="28"/>
      <c r="G58" s="44" t="s">
        <v>80</v>
      </c>
      <c r="H58" s="28"/>
      <c r="I58" s="28"/>
      <c r="J58" s="28"/>
      <c r="K58" s="28"/>
    </row>
    <row r="60" spans="1:23" x14ac:dyDescent="0.25">
      <c r="A60" s="41" t="s">
        <v>81</v>
      </c>
      <c r="B60" s="28"/>
      <c r="C60" s="28"/>
      <c r="D60" s="28"/>
      <c r="E60" s="28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</row>
    <row r="61" spans="1:23" x14ac:dyDescent="0.25">
      <c r="A61" s="43" t="s">
        <v>82</v>
      </c>
      <c r="B61" s="28"/>
      <c r="C61" s="28"/>
      <c r="D61" s="28"/>
      <c r="E61" s="28"/>
      <c r="F61" s="9">
        <f t="shared" ref="F61:U61" si="5">SUMIF(F$9:F$55,"X",$E$9:$E$55)</f>
        <v>37.347801936700002</v>
      </c>
      <c r="G61" s="9">
        <f t="shared" si="5"/>
        <v>4</v>
      </c>
      <c r="H61" s="9">
        <f t="shared" si="5"/>
        <v>4</v>
      </c>
      <c r="I61" s="9">
        <f t="shared" si="5"/>
        <v>0</v>
      </c>
      <c r="J61" s="9">
        <f t="shared" si="5"/>
        <v>0</v>
      </c>
      <c r="K61" s="9">
        <f t="shared" si="5"/>
        <v>0</v>
      </c>
      <c r="L61" s="9">
        <f t="shared" si="5"/>
        <v>45.347801936700002</v>
      </c>
      <c r="M61" s="9">
        <f t="shared" si="5"/>
        <v>0</v>
      </c>
      <c r="N61" s="9">
        <f t="shared" si="5"/>
        <v>45.347801936700002</v>
      </c>
      <c r="O61" s="9">
        <f t="shared" si="5"/>
        <v>0</v>
      </c>
      <c r="P61" s="9">
        <f t="shared" si="5"/>
        <v>39.347801936700002</v>
      </c>
      <c r="Q61" s="9">
        <f t="shared" si="5"/>
        <v>6</v>
      </c>
      <c r="R61" s="9">
        <f t="shared" si="5"/>
        <v>0</v>
      </c>
      <c r="S61" s="9">
        <f t="shared" si="5"/>
        <v>0</v>
      </c>
      <c r="T61" s="9">
        <f t="shared" si="5"/>
        <v>41.347801936700002</v>
      </c>
      <c r="U61" s="9">
        <f t="shared" si="5"/>
        <v>4</v>
      </c>
    </row>
    <row r="62" spans="1:23" x14ac:dyDescent="0.25">
      <c r="A62" s="43" t="s">
        <v>83</v>
      </c>
      <c r="B62" s="28"/>
      <c r="C62" s="28"/>
      <c r="D62" s="28"/>
      <c r="E62" s="28"/>
      <c r="F62" s="25">
        <f t="shared" ref="F62:U62" si="6">IF($R64=0,0,F61/$R64)</f>
        <v>0.82358571621250742</v>
      </c>
      <c r="G62" s="25">
        <f t="shared" si="6"/>
        <v>8.8207141893746288E-2</v>
      </c>
      <c r="H62" s="25">
        <f t="shared" si="6"/>
        <v>8.8207141893746288E-2</v>
      </c>
      <c r="I62" s="25">
        <f t="shared" si="6"/>
        <v>0</v>
      </c>
      <c r="J62" s="25">
        <f t="shared" si="6"/>
        <v>0</v>
      </c>
      <c r="K62" s="25">
        <f t="shared" si="6"/>
        <v>0</v>
      </c>
      <c r="L62" s="25">
        <f t="shared" si="6"/>
        <v>1</v>
      </c>
      <c r="M62" s="25">
        <f t="shared" si="6"/>
        <v>0</v>
      </c>
      <c r="N62" s="25">
        <f t="shared" si="6"/>
        <v>1</v>
      </c>
      <c r="O62" s="25">
        <f t="shared" si="6"/>
        <v>0</v>
      </c>
      <c r="P62" s="25">
        <f t="shared" si="6"/>
        <v>0.86768928715938054</v>
      </c>
      <c r="Q62" s="25">
        <f t="shared" si="6"/>
        <v>0.13231071284061943</v>
      </c>
      <c r="R62" s="25">
        <f t="shared" si="6"/>
        <v>0</v>
      </c>
      <c r="S62" s="25">
        <f t="shared" si="6"/>
        <v>0</v>
      </c>
      <c r="T62" s="25">
        <f t="shared" si="6"/>
        <v>0.91179285810625366</v>
      </c>
      <c r="U62" s="25">
        <f t="shared" si="6"/>
        <v>8.8207141893746288E-2</v>
      </c>
    </row>
    <row r="63" spans="1:23" x14ac:dyDescent="0.25">
      <c r="A63" s="43" t="s">
        <v>84</v>
      </c>
      <c r="B63" s="28"/>
      <c r="C63" s="28"/>
      <c r="D63" s="28"/>
      <c r="E63" s="28"/>
      <c r="F63" s="42" t="str">
        <f>IF(SUM(F61:J61)=0,"— não preenchido",IF(ROUND(SUM(F61:J61)-$R64,3)=0,"OK — "&amp;ROUND(SUM(F61:J61),3)&amp;" km","ERRO — dif. de "&amp;ROUND(SUM(F61:J61)-$R64,3)&amp;" km"))</f>
        <v>OK — 45,348 km</v>
      </c>
      <c r="G63" s="33"/>
      <c r="H63" s="33"/>
      <c r="I63" s="33"/>
      <c r="J63" s="34"/>
      <c r="K63" s="42" t="str">
        <f>IF(SUM(K61:L61)=0,"— não preenchido",IF(ROUND(SUM(K61:L61)-$R64,3)=0,"OK — "&amp;ROUND(SUM(K61:L61),3)&amp;" km","ERRO — dif. de "&amp;ROUND(SUM(K61:L61)-$R64,3)&amp;" km"))</f>
        <v>OK — 45,348 km</v>
      </c>
      <c r="L63" s="34"/>
      <c r="M63" s="42" t="str">
        <f>IF(SUM(M61:O61)=0,"— não preenchido",IF(ROUND(SUM(M61:O61)-$R64,3)=0,"OK — "&amp;ROUND(SUM(M61:O61),3)&amp;" km","ERRO — dif. de "&amp;ROUND(SUM(M61:O61)-$R64,3)&amp;" km"))</f>
        <v>OK — 45,348 km</v>
      </c>
      <c r="N63" s="33"/>
      <c r="O63" s="34"/>
      <c r="P63" s="42" t="str">
        <f>IF(SUM(P61:R61)=0,"— não preenchido",IF(ROUND(SUM(P61:R61)-$R64,3)=0,"OK — "&amp;ROUND(SUM(P61:R61),3)&amp;" km","ERRO — dif. de "&amp;ROUND(SUM(P61:R61)-$R64,3)&amp;" km"))</f>
        <v>OK — 45,348 km</v>
      </c>
      <c r="Q63" s="33"/>
      <c r="R63" s="34"/>
      <c r="S63" s="42" t="str">
        <f>IF(SUM(S61:U61)=0,"— não preenchido",IF(ROUND(SUM(S61:U61)-$R64,3)=0,"OK — "&amp;ROUND(SUM(S61:U61),3)&amp;" km","ERRO — dif. de "&amp;ROUND(SUM(S61:U61)-$R64,3)&amp;" km"))</f>
        <v>OK — 45,348 km</v>
      </c>
      <c r="T63" s="33"/>
      <c r="U63" s="34"/>
    </row>
    <row r="64" spans="1:23" x14ac:dyDescent="0.25">
      <c r="A64" s="43" t="s">
        <v>85</v>
      </c>
      <c r="B64" s="28"/>
      <c r="C64" s="28"/>
      <c r="D64" s="28"/>
      <c r="E64" s="28"/>
      <c r="R64" s="26">
        <f>SUM(E9:E55)</f>
        <v>45.347801936700002</v>
      </c>
      <c r="V64" s="8" t="str">
        <f>COUNTIF(W9:W55,"OK")&amp;" de "&amp;COUNT($E$9:$E$55)&amp;" linhas conferidas"</f>
        <v>46 de 46 linhas conferidas</v>
      </c>
    </row>
    <row r="66" spans="1:22" x14ac:dyDescent="0.25">
      <c r="A66" s="37" t="s">
        <v>86</v>
      </c>
      <c r="B66" s="28"/>
      <c r="C66" s="28"/>
      <c r="D66" s="28"/>
      <c r="E66" s="28"/>
    </row>
    <row r="67" spans="1:22" x14ac:dyDescent="0.25">
      <c r="A67" s="43" t="s">
        <v>87</v>
      </c>
      <c r="B67" s="28"/>
      <c r="C67" s="28"/>
      <c r="D67" s="28"/>
      <c r="E67" s="31" t="s">
        <v>88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43" t="s">
        <v>89</v>
      </c>
      <c r="B68" s="28"/>
      <c r="C68" s="28"/>
      <c r="D68" s="28"/>
      <c r="E68" s="31" t="s">
        <v>90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43" t="s">
        <v>91</v>
      </c>
      <c r="B69" s="28"/>
      <c r="C69" s="28"/>
      <c r="D69" s="28"/>
      <c r="E69" s="31" t="s">
        <v>92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43" t="s">
        <v>93</v>
      </c>
      <c r="B70" s="28"/>
      <c r="C70" s="28"/>
      <c r="D70" s="28"/>
      <c r="E70" s="31" t="s">
        <v>94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43" t="s">
        <v>95</v>
      </c>
      <c r="B71" s="28"/>
      <c r="C71" s="28"/>
      <c r="D71" s="28"/>
      <c r="E71" s="31" t="s">
        <v>96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43" t="s">
        <v>60</v>
      </c>
      <c r="B72" s="28"/>
      <c r="C72" s="28"/>
      <c r="D72" s="28"/>
      <c r="E72" s="31" t="s">
        <v>97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43" t="s">
        <v>98</v>
      </c>
      <c r="B73" s="28"/>
      <c r="C73" s="28"/>
      <c r="D73" s="28"/>
      <c r="E73" s="31" t="s">
        <v>99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43" t="s">
        <v>100</v>
      </c>
      <c r="B74" s="28"/>
      <c r="C74" s="28"/>
      <c r="D74" s="28"/>
      <c r="E74" s="31" t="s">
        <v>101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43" t="s">
        <v>11</v>
      </c>
      <c r="B75" s="28"/>
      <c r="C75" s="28"/>
      <c r="D75" s="28"/>
      <c r="E75" s="31" t="s">
        <v>102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</sheetData>
  <sheetProtection sheet="1" formatCells="0"/>
  <mergeCells count="58">
    <mergeCell ref="A1:V1"/>
    <mergeCell ref="G58:K58"/>
    <mergeCell ref="E75:V75"/>
    <mergeCell ref="T3:V3"/>
    <mergeCell ref="A75:D75"/>
    <mergeCell ref="A62:E62"/>
    <mergeCell ref="A41:V41"/>
    <mergeCell ref="P63:R63"/>
    <mergeCell ref="E68:V68"/>
    <mergeCell ref="A74:D74"/>
    <mergeCell ref="E71:V71"/>
    <mergeCell ref="A63:E63"/>
    <mergeCell ref="R2:V2"/>
    <mergeCell ref="A3:S3"/>
    <mergeCell ref="E67:V67"/>
    <mergeCell ref="C6:C7"/>
    <mergeCell ref="W6:W7"/>
    <mergeCell ref="G57:K57"/>
    <mergeCell ref="E6:E7"/>
    <mergeCell ref="A73:D73"/>
    <mergeCell ref="A66:E66"/>
    <mergeCell ref="E70:V70"/>
    <mergeCell ref="B6:B7"/>
    <mergeCell ref="A70:D70"/>
    <mergeCell ref="A57:E57"/>
    <mergeCell ref="M63:O63"/>
    <mergeCell ref="S63:U63"/>
    <mergeCell ref="A69:D69"/>
    <mergeCell ref="E72:V72"/>
    <mergeCell ref="A71:D71"/>
    <mergeCell ref="K6:L6"/>
    <mergeCell ref="D6:D7"/>
    <mergeCell ref="A2:F2"/>
    <mergeCell ref="S6:U6"/>
    <mergeCell ref="E74:V74"/>
    <mergeCell ref="K2:M2"/>
    <mergeCell ref="A67:D67"/>
    <mergeCell ref="N2:O2"/>
    <mergeCell ref="K63:L63"/>
    <mergeCell ref="P2:Q2"/>
    <mergeCell ref="P6:R6"/>
    <mergeCell ref="E73:V73"/>
    <mergeCell ref="A58:E58"/>
    <mergeCell ref="G2:H2"/>
    <mergeCell ref="A64:E64"/>
    <mergeCell ref="I2:J2"/>
    <mergeCell ref="A60:E60"/>
    <mergeCell ref="A4:V4"/>
    <mergeCell ref="V6:V7"/>
    <mergeCell ref="A8:V8"/>
    <mergeCell ref="A72:D72"/>
    <mergeCell ref="F63:J63"/>
    <mergeCell ref="A6:A7"/>
    <mergeCell ref="F6:J6"/>
    <mergeCell ref="A61:E61"/>
    <mergeCell ref="M6:O6"/>
    <mergeCell ref="E69:V69"/>
    <mergeCell ref="A68:D68"/>
  </mergeCells>
  <conditionalFormatting sqref="F9:J55">
    <cfRule type="expression" dxfId="170" priority="1">
      <formula>AND(F9&lt;&gt;"",COUNTIF($F9:$J9,"X")&gt;1)</formula>
    </cfRule>
  </conditionalFormatting>
  <conditionalFormatting sqref="F63:U63">
    <cfRule type="expression" dxfId="169" priority="8">
      <formula>LEFT(F63,4)="ERRO"</formula>
    </cfRule>
    <cfRule type="expression" dxfId="168" priority="9">
      <formula>LEFT(F63,2)="OK"</formula>
    </cfRule>
  </conditionalFormatting>
  <conditionalFormatting sqref="K9:L55">
    <cfRule type="expression" dxfId="167" priority="2">
      <formula>AND(K9&lt;&gt;"",COUNTIF($K9:$L9,"X")&gt;1)</formula>
    </cfRule>
  </conditionalFormatting>
  <conditionalFormatting sqref="M9:O55">
    <cfRule type="expression" dxfId="166" priority="3">
      <formula>AND(M9&lt;&gt;"",COUNTIF($M9:$O9,"X")&gt;1)</formula>
    </cfRule>
  </conditionalFormatting>
  <conditionalFormatting sqref="P9:R55">
    <cfRule type="expression" dxfId="165" priority="4">
      <formula>AND(P9&lt;&gt;"",COUNTIF($P9:$R9,"X")&gt;1)</formula>
    </cfRule>
  </conditionalFormatting>
  <conditionalFormatting sqref="S9:U55">
    <cfRule type="expression" dxfId="164" priority="5">
      <formula>AND(S9&lt;&gt;"",COUNTIF($S9:$U9,"X")&gt;1)</formula>
    </cfRule>
  </conditionalFormatting>
  <conditionalFormatting sqref="W9:W55">
    <cfRule type="expression" dxfId="163" priority="6">
      <formula>AND(W9&lt;&gt;"OK",W9&lt;&gt;"")</formula>
    </cfRule>
    <cfRule type="expression" dxfId="16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5" xr:uid="{00000000-0002-0000-0A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5" xr:uid="{00000000-0002-0000-0A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5" xr:uid="{00000000-0002-0000-0A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5" xr:uid="{00000000-0002-0000-0A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5" xr:uid="{00000000-0002-0000-0A00-000004000000}">
      <formula1>AND(UPPER(S9)="X",COUNTIF($S9:$U9,"X")&lt;=1)</formula1>
    </dataValidation>
    <dataValidation type="list" showErrorMessage="1" errorTitle="Sentido inválido" error="Use C (crescente) ou D (decrescente)." sqref="B9:B55" xr:uid="{00000000-0002-0000-0A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10</oddHeader>
    <oddFooter>&amp;L&amp;7 RTA / MSI — Programa de Manutenção Rodoviária&amp;C&amp;7 Página &amp;P de &amp;N&amp;R&amp;7 Impresso em &amp;D</oddFooter>
  </headerFooter>
  <rowBreaks count="1" manualBreakCount="1">
    <brk id="58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1:AN57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IF(F43=0,NA(),F43)</f>
        <v>12.635449461309999</v>
      </c>
      <c r="Z2" s="2" t="e">
        <f t="shared" si="0"/>
        <v>#N/A</v>
      </c>
      <c r="AA2" s="2">
        <f t="shared" si="0"/>
        <v>11.804744706279999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24.440194167589997</v>
      </c>
      <c r="AF2" s="2" t="e">
        <f t="shared" si="0"/>
        <v>#N/A</v>
      </c>
      <c r="AG2" s="2">
        <f t="shared" si="0"/>
        <v>24.440194167589997</v>
      </c>
      <c r="AH2" s="2" t="e">
        <f t="shared" si="0"/>
        <v>#N/A</v>
      </c>
      <c r="AI2" s="2">
        <f t="shared" si="0"/>
        <v>13.04278288219</v>
      </c>
      <c r="AJ2" s="2">
        <f t="shared" si="0"/>
        <v>11.397411285399999</v>
      </c>
      <c r="AK2" s="2" t="e">
        <f t="shared" si="0"/>
        <v>#N/A</v>
      </c>
      <c r="AL2" s="2" t="e">
        <f t="shared" si="0"/>
        <v>#N/A</v>
      </c>
      <c r="AM2" s="2">
        <f t="shared" si="0"/>
        <v>12.219193632129999</v>
      </c>
      <c r="AN2" s="2">
        <f t="shared" si="0"/>
        <v>12.22100053546</v>
      </c>
    </row>
    <row r="3" spans="1:40" ht="15" customHeight="1" x14ac:dyDescent="0.25">
      <c r="A3" s="49" t="s">
        <v>174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175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176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177</v>
      </c>
      <c r="B9" s="19" t="s">
        <v>68</v>
      </c>
      <c r="C9" s="20">
        <v>0</v>
      </c>
      <c r="D9" s="20">
        <v>1</v>
      </c>
      <c r="E9" s="20">
        <f t="shared" ref="E9:E18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/>
      <c r="T9" s="21"/>
      <c r="U9" s="21" t="s">
        <v>69</v>
      </c>
      <c r="V9" s="22"/>
      <c r="W9" s="23" t="str">
        <f t="shared" ref="W9:W18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177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/>
      <c r="T10" s="21"/>
      <c r="U10" s="21" t="s">
        <v>69</v>
      </c>
      <c r="V10" s="22"/>
      <c r="W10" s="23" t="str">
        <f t="shared" si="2"/>
        <v>OK</v>
      </c>
    </row>
    <row r="11" spans="1:40" ht="20.100000000000001" customHeight="1" x14ac:dyDescent="0.25">
      <c r="A11" s="18" t="s">
        <v>177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/>
      <c r="G11" s="21"/>
      <c r="H11" s="21" t="s">
        <v>69</v>
      </c>
      <c r="I11" s="21"/>
      <c r="J11" s="21"/>
      <c r="K11" s="21"/>
      <c r="L11" s="21" t="s">
        <v>69</v>
      </c>
      <c r="M11" s="21"/>
      <c r="N11" s="21" t="s">
        <v>69</v>
      </c>
      <c r="O11" s="21"/>
      <c r="P11" s="21"/>
      <c r="Q11" s="21" t="s">
        <v>69</v>
      </c>
      <c r="R11" s="21"/>
      <c r="S11" s="21"/>
      <c r="T11" s="21"/>
      <c r="U11" s="21" t="s">
        <v>69</v>
      </c>
      <c r="V11" s="22"/>
      <c r="W11" s="23" t="str">
        <f t="shared" si="2"/>
        <v>OK</v>
      </c>
    </row>
    <row r="12" spans="1:40" ht="20.100000000000001" customHeight="1" x14ac:dyDescent="0.25">
      <c r="A12" s="18" t="s">
        <v>177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/>
      <c r="G12" s="21"/>
      <c r="H12" s="21" t="s">
        <v>69</v>
      </c>
      <c r="I12" s="21"/>
      <c r="J12" s="21"/>
      <c r="K12" s="21"/>
      <c r="L12" s="21" t="s">
        <v>69</v>
      </c>
      <c r="M12" s="21"/>
      <c r="N12" s="21" t="s">
        <v>69</v>
      </c>
      <c r="O12" s="21"/>
      <c r="P12" s="21"/>
      <c r="Q12" s="21" t="s">
        <v>69</v>
      </c>
      <c r="R12" s="21"/>
      <c r="S12" s="21"/>
      <c r="T12" s="21"/>
      <c r="U12" s="21" t="s">
        <v>69</v>
      </c>
      <c r="V12" s="22"/>
      <c r="W12" s="23" t="str">
        <f t="shared" si="2"/>
        <v>OK</v>
      </c>
    </row>
    <row r="13" spans="1:40" ht="20.100000000000001" customHeight="1" x14ac:dyDescent="0.25">
      <c r="A13" s="18" t="s">
        <v>177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/>
      <c r="G13" s="21"/>
      <c r="H13" s="21" t="s">
        <v>69</v>
      </c>
      <c r="I13" s="21"/>
      <c r="J13" s="21"/>
      <c r="K13" s="21"/>
      <c r="L13" s="21" t="s">
        <v>69</v>
      </c>
      <c r="M13" s="21"/>
      <c r="N13" s="21" t="s">
        <v>69</v>
      </c>
      <c r="O13" s="21"/>
      <c r="P13" s="21"/>
      <c r="Q13" s="21" t="s">
        <v>69</v>
      </c>
      <c r="R13" s="21"/>
      <c r="S13" s="21"/>
      <c r="T13" s="21"/>
      <c r="U13" s="21" t="s">
        <v>69</v>
      </c>
      <c r="V13" s="22"/>
      <c r="W13" s="23" t="str">
        <f t="shared" si="2"/>
        <v>OK</v>
      </c>
    </row>
    <row r="14" spans="1:40" ht="20.100000000000001" customHeight="1" x14ac:dyDescent="0.25">
      <c r="A14" s="18" t="s">
        <v>177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/>
      <c r="G14" s="21"/>
      <c r="H14" s="21" t="s">
        <v>69</v>
      </c>
      <c r="I14" s="21"/>
      <c r="J14" s="21"/>
      <c r="K14" s="21"/>
      <c r="L14" s="21" t="s">
        <v>69</v>
      </c>
      <c r="M14" s="21"/>
      <c r="N14" s="21" t="s">
        <v>69</v>
      </c>
      <c r="O14" s="21"/>
      <c r="P14" s="21"/>
      <c r="Q14" s="21" t="s">
        <v>69</v>
      </c>
      <c r="R14" s="21"/>
      <c r="S14" s="21"/>
      <c r="T14" s="21"/>
      <c r="U14" s="21" t="s">
        <v>69</v>
      </c>
      <c r="V14" s="22"/>
      <c r="W14" s="23" t="str">
        <f t="shared" si="2"/>
        <v>OK</v>
      </c>
    </row>
    <row r="15" spans="1:40" ht="20.100000000000001" customHeight="1" x14ac:dyDescent="0.25">
      <c r="A15" s="18" t="s">
        <v>177</v>
      </c>
      <c r="B15" s="19" t="s">
        <v>68</v>
      </c>
      <c r="C15" s="20">
        <v>6</v>
      </c>
      <c r="D15" s="20">
        <v>7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 t="s">
        <v>69</v>
      </c>
      <c r="Q15" s="21"/>
      <c r="R15" s="21"/>
      <c r="S15" s="21"/>
      <c r="T15" s="21"/>
      <c r="U15" s="21" t="s">
        <v>69</v>
      </c>
      <c r="V15" s="22"/>
      <c r="W15" s="23" t="str">
        <f t="shared" si="2"/>
        <v>OK</v>
      </c>
    </row>
    <row r="16" spans="1:40" ht="20.100000000000001" customHeight="1" x14ac:dyDescent="0.25">
      <c r="A16" s="18" t="s">
        <v>177</v>
      </c>
      <c r="B16" s="19" t="s">
        <v>68</v>
      </c>
      <c r="C16" s="20">
        <v>7</v>
      </c>
      <c r="D16" s="20">
        <v>8</v>
      </c>
      <c r="E16" s="20">
        <f t="shared" si="1"/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 t="s">
        <v>69</v>
      </c>
      <c r="Q16" s="21"/>
      <c r="R16" s="21"/>
      <c r="S16" s="21"/>
      <c r="T16" s="21"/>
      <c r="U16" s="21" t="s">
        <v>69</v>
      </c>
      <c r="V16" s="22"/>
      <c r="W16" s="23" t="str">
        <f t="shared" si="2"/>
        <v>OK</v>
      </c>
    </row>
    <row r="17" spans="1:23" ht="20.100000000000001" customHeight="1" x14ac:dyDescent="0.25">
      <c r="A17" s="18" t="s">
        <v>177</v>
      </c>
      <c r="B17" s="19" t="s">
        <v>68</v>
      </c>
      <c r="C17" s="20">
        <v>8</v>
      </c>
      <c r="D17" s="20">
        <v>9</v>
      </c>
      <c r="E17" s="20">
        <f t="shared" si="1"/>
        <v>1</v>
      </c>
      <c r="F17" s="21"/>
      <c r="G17" s="21"/>
      <c r="H17" s="21" t="s">
        <v>69</v>
      </c>
      <c r="I17" s="21"/>
      <c r="J17" s="21"/>
      <c r="K17" s="21"/>
      <c r="L17" s="21" t="s">
        <v>69</v>
      </c>
      <c r="M17" s="21"/>
      <c r="N17" s="21" t="s">
        <v>69</v>
      </c>
      <c r="O17" s="21"/>
      <c r="P17" s="21"/>
      <c r="Q17" s="21" t="s">
        <v>69</v>
      </c>
      <c r="R17" s="21"/>
      <c r="S17" s="21"/>
      <c r="T17" s="21"/>
      <c r="U17" s="21" t="s">
        <v>69</v>
      </c>
      <c r="V17" s="22"/>
      <c r="W17" s="23" t="str">
        <f t="shared" si="2"/>
        <v>OK</v>
      </c>
    </row>
    <row r="18" spans="1:23" ht="20.100000000000001" customHeight="1" x14ac:dyDescent="0.25">
      <c r="A18" s="12" t="s">
        <v>177</v>
      </c>
      <c r="B18" s="13" t="s">
        <v>68</v>
      </c>
      <c r="C18" s="14">
        <v>9</v>
      </c>
      <c r="D18" s="14">
        <v>9.8047447062799993</v>
      </c>
      <c r="E18" s="14">
        <f t="shared" si="1"/>
        <v>0.80474470627999928</v>
      </c>
      <c r="F18" s="15"/>
      <c r="G18" s="15"/>
      <c r="H18" s="15" t="s">
        <v>69</v>
      </c>
      <c r="I18" s="15"/>
      <c r="J18" s="15"/>
      <c r="K18" s="15"/>
      <c r="L18" s="15" t="s">
        <v>69</v>
      </c>
      <c r="M18" s="15"/>
      <c r="N18" s="15" t="s">
        <v>69</v>
      </c>
      <c r="O18" s="15"/>
      <c r="P18" s="15"/>
      <c r="Q18" s="15" t="s">
        <v>69</v>
      </c>
      <c r="R18" s="15"/>
      <c r="S18" s="15"/>
      <c r="T18" s="15"/>
      <c r="U18" s="15" t="s">
        <v>69</v>
      </c>
      <c r="V18" s="16"/>
      <c r="W18" s="17" t="str">
        <f t="shared" si="2"/>
        <v>OK</v>
      </c>
    </row>
    <row r="19" spans="1:23" ht="15.95" customHeight="1" x14ac:dyDescent="0.25">
      <c r="A19" s="35" t="s">
        <v>178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4"/>
      <c r="W19" s="4"/>
    </row>
    <row r="20" spans="1:23" ht="20.100000000000001" customHeight="1" x14ac:dyDescent="0.25">
      <c r="A20" s="18" t="s">
        <v>179</v>
      </c>
      <c r="B20" s="19" t="s">
        <v>68</v>
      </c>
      <c r="C20" s="20">
        <v>0</v>
      </c>
      <c r="D20" s="20">
        <v>1</v>
      </c>
      <c r="E20" s="20">
        <f>D20-C20</f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 t="s">
        <v>69</v>
      </c>
      <c r="Q20" s="21"/>
      <c r="R20" s="21"/>
      <c r="S20" s="21"/>
      <c r="T20" s="21"/>
      <c r="U20" s="21" t="s">
        <v>69</v>
      </c>
      <c r="V20" s="22"/>
      <c r="W20" s="23" t="str">
        <f>IF(COUNTA(F20:U20)=0,"— não preenchido",IF(COUNTIF(F20:J20,"X")&lt;&gt;1,"FALTA/DUPLA: CONDIÇÃO DO PAVIMENTO",IF(COUNTIF(K20:L20,"X")&lt;&gt;1,"FALTA/DUPLA: VEGETAÇÃO",IF(COUNTIF(M20:O20,"X")&lt;&gt;1,"FALTA/DUPLA: ELEM. DE DRENAGEM",IF(COUNTIF(P20:R20,"X")&lt;&gt;1,"FALTA/DUPLA: SIN. HORIZ.",IF(COUNTIF(S20:U20,"X")&lt;&gt;1,"FALTA/DUPLA: SIN. VERTICAL","OK"))))))</f>
        <v>OK</v>
      </c>
    </row>
    <row r="21" spans="1:23" ht="20.100000000000001" customHeight="1" x14ac:dyDescent="0.25">
      <c r="A21" s="18" t="s">
        <v>179</v>
      </c>
      <c r="B21" s="19" t="s">
        <v>68</v>
      </c>
      <c r="C21" s="20">
        <v>1</v>
      </c>
      <c r="D21" s="20">
        <v>2</v>
      </c>
      <c r="E21" s="20">
        <f>D21-C21</f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 t="s">
        <v>69</v>
      </c>
      <c r="Q21" s="21"/>
      <c r="R21" s="21"/>
      <c r="S21" s="21"/>
      <c r="T21" s="21"/>
      <c r="U21" s="21" t="s">
        <v>69</v>
      </c>
      <c r="V21" s="22"/>
      <c r="W21" s="23" t="str">
        <f>IF(COUNTA(F21:U21)=0,"— não preenchido",IF(COUNTIF(F21:J21,"X")&lt;&gt;1,"FALTA/DUPLA: CONDIÇÃO DO PAVIMENTO",IF(COUNTIF(K21:L21,"X")&lt;&gt;1,"FALTA/DUPLA: VEGETAÇÃO",IF(COUNTIF(M21:O21,"X")&lt;&gt;1,"FALTA/DUPLA: ELEM. DE DRENAGEM",IF(COUNTIF(P21:R21,"X")&lt;&gt;1,"FALTA/DUPLA: SIN. HORIZ.",IF(COUNTIF(S21:U21,"X")&lt;&gt;1,"FALTA/DUPLA: SIN. VERTICAL","OK"))))))</f>
        <v>OK</v>
      </c>
    </row>
    <row r="22" spans="1:23" ht="20.100000000000001" customHeight="1" x14ac:dyDescent="0.25">
      <c r="A22" s="18" t="s">
        <v>179</v>
      </c>
      <c r="B22" s="19" t="s">
        <v>68</v>
      </c>
      <c r="C22" s="20">
        <v>2</v>
      </c>
      <c r="D22" s="20">
        <v>3</v>
      </c>
      <c r="E22" s="20">
        <f>D22-C22</f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/>
      <c r="N22" s="21" t="s">
        <v>69</v>
      </c>
      <c r="O22" s="21"/>
      <c r="P22" s="21" t="s">
        <v>69</v>
      </c>
      <c r="Q22" s="21"/>
      <c r="R22" s="21"/>
      <c r="S22" s="21"/>
      <c r="T22" s="21" t="s">
        <v>69</v>
      </c>
      <c r="U22" s="21"/>
      <c r="V22" s="22"/>
      <c r="W22" s="23" t="str">
        <f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2" t="s">
        <v>179</v>
      </c>
      <c r="B23" s="13" t="s">
        <v>68</v>
      </c>
      <c r="C23" s="14">
        <v>3</v>
      </c>
      <c r="D23" s="14">
        <v>3.6265270530099998</v>
      </c>
      <c r="E23" s="14">
        <f>D23-C23</f>
        <v>0.62652705300999978</v>
      </c>
      <c r="F23" s="15" t="s">
        <v>69</v>
      </c>
      <c r="G23" s="15"/>
      <c r="H23" s="15"/>
      <c r="I23" s="15"/>
      <c r="J23" s="15"/>
      <c r="K23" s="15"/>
      <c r="L23" s="15" t="s">
        <v>69</v>
      </c>
      <c r="M23" s="15"/>
      <c r="N23" s="15" t="s">
        <v>69</v>
      </c>
      <c r="O23" s="15"/>
      <c r="P23" s="15" t="s">
        <v>69</v>
      </c>
      <c r="Q23" s="15"/>
      <c r="R23" s="15"/>
      <c r="S23" s="15"/>
      <c r="T23" s="15" t="s">
        <v>69</v>
      </c>
      <c r="U23" s="15"/>
      <c r="V23" s="16"/>
      <c r="W23" s="17" t="str">
        <f>IF(COUNTA(F23:U23)=0,"— não preenchido",IF(COUNTIF(F23:J23,"X")&lt;&gt;1,"FALTA/DUPLA: CONDIÇÃO DO PAVIMENTO",IF(COUNTIF(K23:L23,"X")&lt;&gt;1,"FALTA/DUPLA: VEGETAÇÃO",IF(COUNTIF(M23:O23,"X")&lt;&gt;1,"FALTA/DUPLA: ELEM. DE DRENAGEM",IF(COUNTIF(P23:R23,"X")&lt;&gt;1,"FALTA/DUPLA: SIN. HORIZ.",IF(COUNTIF(S23:U23,"X")&lt;&gt;1,"FALTA/DUPLA: SIN. VERTICAL","OK"))))))</f>
        <v>OK</v>
      </c>
    </row>
    <row r="24" spans="1:23" ht="15.95" customHeight="1" x14ac:dyDescent="0.25">
      <c r="A24" s="35" t="s">
        <v>180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4"/>
      <c r="W24" s="4"/>
    </row>
    <row r="25" spans="1:23" ht="20.100000000000001" customHeight="1" x14ac:dyDescent="0.25">
      <c r="A25" s="18" t="s">
        <v>181</v>
      </c>
      <c r="B25" s="19" t="s">
        <v>68</v>
      </c>
      <c r="C25" s="20">
        <v>0</v>
      </c>
      <c r="D25" s="20">
        <v>1</v>
      </c>
      <c r="E25" s="20">
        <f>D25-C25</f>
        <v>1</v>
      </c>
      <c r="F25" s="21" t="s">
        <v>69</v>
      </c>
      <c r="G25" s="21"/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 t="s">
        <v>69</v>
      </c>
      <c r="Q25" s="21"/>
      <c r="R25" s="21"/>
      <c r="S25" s="21"/>
      <c r="T25" s="21" t="s">
        <v>69</v>
      </c>
      <c r="U25" s="21"/>
      <c r="V25" s="22"/>
      <c r="W25" s="23" t="str">
        <f>IF(COUNTA(F25:U25)=0,"— não preenchido",IF(COUNTIF(F25:J25,"X")&lt;&gt;1,"FALTA/DUPLA: CONDIÇÃO DO PAVIMENTO",IF(COUNTIF(K25:L25,"X")&lt;&gt;1,"FALTA/DUPLA: VEGETAÇÃO",IF(COUNTIF(M25:O25,"X")&lt;&gt;1,"FALTA/DUPLA: ELEM. DE DRENAGEM",IF(COUNTIF(P25:R25,"X")&lt;&gt;1,"FALTA/DUPLA: SIN. HORIZ.",IF(COUNTIF(S25:U25,"X")&lt;&gt;1,"FALTA/DUPLA: SIN. VERTICAL","OK"))))))</f>
        <v>OK</v>
      </c>
    </row>
    <row r="26" spans="1:23" ht="20.100000000000001" customHeight="1" x14ac:dyDescent="0.25">
      <c r="A26" s="18" t="s">
        <v>181</v>
      </c>
      <c r="B26" s="19" t="s">
        <v>68</v>
      </c>
      <c r="C26" s="20">
        <v>1</v>
      </c>
      <c r="D26" s="20">
        <v>2</v>
      </c>
      <c r="E26" s="20">
        <f>D26-C26</f>
        <v>1</v>
      </c>
      <c r="F26" s="21"/>
      <c r="G26" s="21"/>
      <c r="H26" s="21" t="s">
        <v>69</v>
      </c>
      <c r="I26" s="21"/>
      <c r="J26" s="21"/>
      <c r="K26" s="21"/>
      <c r="L26" s="21" t="s">
        <v>69</v>
      </c>
      <c r="M26" s="21"/>
      <c r="N26" s="21" t="s">
        <v>69</v>
      </c>
      <c r="O26" s="21"/>
      <c r="P26" s="21"/>
      <c r="Q26" s="21" t="s">
        <v>69</v>
      </c>
      <c r="R26" s="21"/>
      <c r="S26" s="21"/>
      <c r="T26" s="21" t="s">
        <v>69</v>
      </c>
      <c r="U26" s="21"/>
      <c r="V26" s="22"/>
      <c r="W26" s="23" t="str">
        <f>IF(COUNTA(F26:U26)=0,"— não preenchido",IF(COUNTIF(F26:J26,"X")&lt;&gt;1,"FALTA/DUPLA: CONDIÇÃO DO PAVIMENTO",IF(COUNTIF(K26:L26,"X")&lt;&gt;1,"FALTA/DUPLA: VEGETAÇÃO",IF(COUNTIF(M26:O26,"X")&lt;&gt;1,"FALTA/DUPLA: ELEM. DE DRENAGEM",IF(COUNTIF(P26:R26,"X")&lt;&gt;1,"FALTA/DUPLA: SIN. HORIZ.",IF(COUNTIF(S26:U26,"X")&lt;&gt;1,"FALTA/DUPLA: SIN. VERTICAL","OK"))))))</f>
        <v>OK</v>
      </c>
    </row>
    <row r="27" spans="1:23" ht="20.100000000000001" customHeight="1" x14ac:dyDescent="0.25">
      <c r="A27" s="18" t="s">
        <v>181</v>
      </c>
      <c r="B27" s="19" t="s">
        <v>68</v>
      </c>
      <c r="C27" s="20">
        <v>2</v>
      </c>
      <c r="D27" s="20">
        <v>3</v>
      </c>
      <c r="E27" s="20">
        <f>D27-C27</f>
        <v>1</v>
      </c>
      <c r="F27" s="21"/>
      <c r="G27" s="21"/>
      <c r="H27" s="21" t="s">
        <v>69</v>
      </c>
      <c r="I27" s="21"/>
      <c r="J27" s="21"/>
      <c r="K27" s="21"/>
      <c r="L27" s="21" t="s">
        <v>69</v>
      </c>
      <c r="M27" s="21"/>
      <c r="N27" s="21" t="s">
        <v>69</v>
      </c>
      <c r="O27" s="21"/>
      <c r="P27" s="21"/>
      <c r="Q27" s="21" t="s">
        <v>69</v>
      </c>
      <c r="R27" s="21"/>
      <c r="S27" s="21"/>
      <c r="T27" s="21" t="s">
        <v>69</v>
      </c>
      <c r="U27" s="21"/>
      <c r="V27" s="22"/>
      <c r="W27" s="23" t="str">
        <f>IF(COUNTA(F27:U27)=0,"— não preenchido",IF(COUNTIF(F27:J27,"X")&lt;&gt;1,"FALTA/DUPLA: CONDIÇÃO DO PAVIMENTO",IF(COUNTIF(K27:L27,"X")&lt;&gt;1,"FALTA/DUPLA: VEGETAÇÃO",IF(COUNTIF(M27:O27,"X")&lt;&gt;1,"FALTA/DUPLA: ELEM. DE DRENAGEM",IF(COUNTIF(P27:R27,"X")&lt;&gt;1,"FALTA/DUPLA: SIN. HORIZ.",IF(COUNTIF(S27:U27,"X")&lt;&gt;1,"FALTA/DUPLA: SIN. VERTICAL","OK"))))))</f>
        <v>OK</v>
      </c>
    </row>
    <row r="28" spans="1:23" ht="20.100000000000001" customHeight="1" x14ac:dyDescent="0.25">
      <c r="A28" s="12" t="s">
        <v>181</v>
      </c>
      <c r="B28" s="13" t="s">
        <v>68</v>
      </c>
      <c r="C28" s="14">
        <v>3</v>
      </c>
      <c r="D28" s="14">
        <v>3.5926665791199999</v>
      </c>
      <c r="E28" s="14">
        <f>D28-C28</f>
        <v>0.59266657911999987</v>
      </c>
      <c r="F28" s="15" t="s">
        <v>69</v>
      </c>
      <c r="G28" s="15"/>
      <c r="H28" s="15"/>
      <c r="I28" s="15"/>
      <c r="J28" s="15"/>
      <c r="K28" s="15"/>
      <c r="L28" s="15" t="s">
        <v>69</v>
      </c>
      <c r="M28" s="15"/>
      <c r="N28" s="15" t="s">
        <v>69</v>
      </c>
      <c r="O28" s="15"/>
      <c r="P28" s="15"/>
      <c r="Q28" s="15" t="s">
        <v>69</v>
      </c>
      <c r="R28" s="15"/>
      <c r="S28" s="15"/>
      <c r="T28" s="15" t="s">
        <v>69</v>
      </c>
      <c r="U28" s="15"/>
      <c r="V28" s="16"/>
      <c r="W28" s="17" t="str">
        <f>IF(COUNTA(F28:U28)=0,"— não preenchido",IF(COUNTIF(F28:J28,"X")&lt;&gt;1,"FALTA/DUPLA: CONDIÇÃO DO PAVIMENTO",IF(COUNTIF(K28:L28,"X")&lt;&gt;1,"FALTA/DUPLA: VEGETAÇÃO",IF(COUNTIF(M28:O28,"X")&lt;&gt;1,"FALTA/DUPLA: ELEM. DE DRENAGEM",IF(COUNTIF(P28:R28,"X")&lt;&gt;1,"FALTA/DUPLA: SIN. HORIZ.",IF(COUNTIF(S28:U28,"X")&lt;&gt;1,"FALTA/DUPLA: SIN. VERTICAL","OK"))))))</f>
        <v>OK</v>
      </c>
    </row>
    <row r="29" spans="1:23" ht="15.95" customHeight="1" x14ac:dyDescent="0.25">
      <c r="A29" s="35" t="s">
        <v>182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4"/>
      <c r="W29" s="4"/>
    </row>
    <row r="30" spans="1:23" ht="20.100000000000001" customHeight="1" x14ac:dyDescent="0.25">
      <c r="A30" s="18" t="s">
        <v>183</v>
      </c>
      <c r="B30" s="19" t="s">
        <v>68</v>
      </c>
      <c r="C30" s="20">
        <v>0</v>
      </c>
      <c r="D30" s="20">
        <v>1</v>
      </c>
      <c r="E30" s="20">
        <f t="shared" ref="E30:E37" si="3">D30-C30</f>
        <v>1</v>
      </c>
      <c r="F30" s="21" t="s">
        <v>69</v>
      </c>
      <c r="G30" s="21"/>
      <c r="H30" s="21"/>
      <c r="I30" s="21"/>
      <c r="J30" s="21"/>
      <c r="K30" s="21"/>
      <c r="L30" s="21" t="s">
        <v>69</v>
      </c>
      <c r="M30" s="21"/>
      <c r="N30" s="21" t="s">
        <v>69</v>
      </c>
      <c r="O30" s="21"/>
      <c r="P30" s="21"/>
      <c r="Q30" s="21" t="s">
        <v>69</v>
      </c>
      <c r="R30" s="21"/>
      <c r="S30" s="21"/>
      <c r="T30" s="21" t="s">
        <v>69</v>
      </c>
      <c r="U30" s="21"/>
      <c r="V30" s="22"/>
      <c r="W30" s="23" t="str">
        <f t="shared" ref="W30:W37" si="4">IF(COUNTA(F30:U30)=0,"— não preenchido",IF(COUNTIF(F30:J30,"X")&lt;&gt;1,"FALTA/DUPLA: CONDIÇÃO DO PAVIMENTO",IF(COUNTIF(K30:L30,"X")&lt;&gt;1,"FALTA/DUPLA: VEGETAÇÃO",IF(COUNTIF(M30:O30,"X")&lt;&gt;1,"FALTA/DUPLA: ELEM. DE DRENAGEM",IF(COUNTIF(P30:R30,"X")&lt;&gt;1,"FALTA/DUPLA: SIN. HORIZ.",IF(COUNTIF(S30:U30,"X")&lt;&gt;1,"FALTA/DUPLA: SIN. VERTICAL","OK"))))))</f>
        <v>OK</v>
      </c>
    </row>
    <row r="31" spans="1:23" ht="20.100000000000001" customHeight="1" x14ac:dyDescent="0.25">
      <c r="A31" s="18" t="s">
        <v>183</v>
      </c>
      <c r="B31" s="19" t="s">
        <v>68</v>
      </c>
      <c r="C31" s="20">
        <v>1</v>
      </c>
      <c r="D31" s="20">
        <v>2</v>
      </c>
      <c r="E31" s="20">
        <f t="shared" si="3"/>
        <v>1</v>
      </c>
      <c r="F31" s="21"/>
      <c r="G31" s="21"/>
      <c r="H31" s="21" t="s">
        <v>69</v>
      </c>
      <c r="I31" s="21"/>
      <c r="J31" s="21"/>
      <c r="K31" s="21"/>
      <c r="L31" s="21" t="s">
        <v>69</v>
      </c>
      <c r="M31" s="21"/>
      <c r="N31" s="21" t="s">
        <v>69</v>
      </c>
      <c r="O31" s="21"/>
      <c r="P31" s="21" t="s">
        <v>69</v>
      </c>
      <c r="Q31" s="21"/>
      <c r="R31" s="21"/>
      <c r="S31" s="21"/>
      <c r="T31" s="21" t="s">
        <v>69</v>
      </c>
      <c r="U31" s="21"/>
      <c r="V31" s="22"/>
      <c r="W31" s="23" t="str">
        <f t="shared" si="4"/>
        <v>OK</v>
      </c>
    </row>
    <row r="32" spans="1:23" ht="20.100000000000001" customHeight="1" x14ac:dyDescent="0.25">
      <c r="A32" s="18" t="s">
        <v>183</v>
      </c>
      <c r="B32" s="19" t="s">
        <v>68</v>
      </c>
      <c r="C32" s="20">
        <v>2</v>
      </c>
      <c r="D32" s="20">
        <v>3</v>
      </c>
      <c r="E32" s="20">
        <f t="shared" si="3"/>
        <v>1</v>
      </c>
      <c r="F32" s="21"/>
      <c r="G32" s="21"/>
      <c r="H32" s="21" t="s">
        <v>69</v>
      </c>
      <c r="I32" s="21"/>
      <c r="J32" s="21"/>
      <c r="K32" s="21"/>
      <c r="L32" s="21" t="s">
        <v>69</v>
      </c>
      <c r="M32" s="21"/>
      <c r="N32" s="21" t="s">
        <v>69</v>
      </c>
      <c r="O32" s="21"/>
      <c r="P32" s="21" t="s">
        <v>69</v>
      </c>
      <c r="Q32" s="21"/>
      <c r="R32" s="21"/>
      <c r="S32" s="21"/>
      <c r="T32" s="21" t="s">
        <v>69</v>
      </c>
      <c r="U32" s="21"/>
      <c r="V32" s="22"/>
      <c r="W32" s="23" t="str">
        <f t="shared" si="4"/>
        <v>OK</v>
      </c>
    </row>
    <row r="33" spans="1:23" ht="20.100000000000001" customHeight="1" x14ac:dyDescent="0.25">
      <c r="A33" s="18" t="s">
        <v>183</v>
      </c>
      <c r="B33" s="19" t="s">
        <v>68</v>
      </c>
      <c r="C33" s="20">
        <v>3</v>
      </c>
      <c r="D33" s="20">
        <v>4</v>
      </c>
      <c r="E33" s="20">
        <f t="shared" si="3"/>
        <v>1</v>
      </c>
      <c r="F33" s="21"/>
      <c r="G33" s="21"/>
      <c r="H33" s="21" t="s">
        <v>69</v>
      </c>
      <c r="I33" s="21"/>
      <c r="J33" s="21"/>
      <c r="K33" s="21"/>
      <c r="L33" s="21" t="s">
        <v>69</v>
      </c>
      <c r="M33" s="21"/>
      <c r="N33" s="21" t="s">
        <v>69</v>
      </c>
      <c r="O33" s="21"/>
      <c r="P33" s="21" t="s">
        <v>69</v>
      </c>
      <c r="Q33" s="21"/>
      <c r="R33" s="21"/>
      <c r="S33" s="21"/>
      <c r="T33" s="21" t="s">
        <v>69</v>
      </c>
      <c r="U33" s="21"/>
      <c r="V33" s="22"/>
      <c r="W33" s="23" t="str">
        <f t="shared" si="4"/>
        <v>OK</v>
      </c>
    </row>
    <row r="34" spans="1:23" ht="20.100000000000001" customHeight="1" x14ac:dyDescent="0.25">
      <c r="A34" s="18" t="s">
        <v>183</v>
      </c>
      <c r="B34" s="19" t="s">
        <v>68</v>
      </c>
      <c r="C34" s="20">
        <v>4</v>
      </c>
      <c r="D34" s="20">
        <v>5</v>
      </c>
      <c r="E34" s="20">
        <f t="shared" si="3"/>
        <v>1</v>
      </c>
      <c r="F34" s="21"/>
      <c r="G34" s="21"/>
      <c r="H34" s="21" t="s">
        <v>69</v>
      </c>
      <c r="I34" s="21"/>
      <c r="J34" s="21"/>
      <c r="K34" s="21"/>
      <c r="L34" s="21" t="s">
        <v>69</v>
      </c>
      <c r="M34" s="21"/>
      <c r="N34" s="21" t="s">
        <v>69</v>
      </c>
      <c r="O34" s="21"/>
      <c r="P34" s="21" t="s">
        <v>69</v>
      </c>
      <c r="Q34" s="21"/>
      <c r="R34" s="21"/>
      <c r="S34" s="21"/>
      <c r="T34" s="21" t="s">
        <v>69</v>
      </c>
      <c r="U34" s="21"/>
      <c r="V34" s="22"/>
      <c r="W34" s="23" t="str">
        <f t="shared" si="4"/>
        <v>OK</v>
      </c>
    </row>
    <row r="35" spans="1:23" ht="20.100000000000001" customHeight="1" x14ac:dyDescent="0.25">
      <c r="A35" s="18" t="s">
        <v>183</v>
      </c>
      <c r="B35" s="19" t="s">
        <v>68</v>
      </c>
      <c r="C35" s="20">
        <v>5</v>
      </c>
      <c r="D35" s="20">
        <v>6</v>
      </c>
      <c r="E35" s="20">
        <f t="shared" si="3"/>
        <v>1</v>
      </c>
      <c r="F35" s="21" t="s">
        <v>69</v>
      </c>
      <c r="G35" s="21"/>
      <c r="H35" s="21"/>
      <c r="I35" s="21"/>
      <c r="J35" s="21"/>
      <c r="K35" s="21"/>
      <c r="L35" s="21" t="s">
        <v>69</v>
      </c>
      <c r="M35" s="21"/>
      <c r="N35" s="21" t="s">
        <v>69</v>
      </c>
      <c r="O35" s="21"/>
      <c r="P35" s="21"/>
      <c r="Q35" s="21" t="s">
        <v>69</v>
      </c>
      <c r="R35" s="21"/>
      <c r="S35" s="21"/>
      <c r="T35" s="21" t="s">
        <v>69</v>
      </c>
      <c r="U35" s="21"/>
      <c r="V35" s="22"/>
      <c r="W35" s="23" t="str">
        <f t="shared" si="4"/>
        <v>OK</v>
      </c>
    </row>
    <row r="36" spans="1:23" ht="20.100000000000001" customHeight="1" x14ac:dyDescent="0.25">
      <c r="A36" s="18" t="s">
        <v>183</v>
      </c>
      <c r="B36" s="19" t="s">
        <v>68</v>
      </c>
      <c r="C36" s="20">
        <v>6</v>
      </c>
      <c r="D36" s="20">
        <v>7</v>
      </c>
      <c r="E36" s="20">
        <f t="shared" si="3"/>
        <v>1</v>
      </c>
      <c r="F36" s="21" t="s">
        <v>69</v>
      </c>
      <c r="G36" s="21"/>
      <c r="H36" s="21"/>
      <c r="I36" s="21"/>
      <c r="J36" s="21"/>
      <c r="K36" s="21"/>
      <c r="L36" s="21" t="s">
        <v>69</v>
      </c>
      <c r="M36" s="21"/>
      <c r="N36" s="21" t="s">
        <v>69</v>
      </c>
      <c r="O36" s="21"/>
      <c r="P36" s="21"/>
      <c r="Q36" s="21" t="s">
        <v>69</v>
      </c>
      <c r="R36" s="21"/>
      <c r="S36" s="21"/>
      <c r="T36" s="21" t="s">
        <v>69</v>
      </c>
      <c r="U36" s="21"/>
      <c r="V36" s="22"/>
      <c r="W36" s="23" t="str">
        <f t="shared" si="4"/>
        <v>OK</v>
      </c>
    </row>
    <row r="37" spans="1:23" ht="20.100000000000001" customHeight="1" x14ac:dyDescent="0.25">
      <c r="A37" s="12" t="s">
        <v>183</v>
      </c>
      <c r="B37" s="13" t="s">
        <v>68</v>
      </c>
      <c r="C37" s="14">
        <v>7</v>
      </c>
      <c r="D37" s="14">
        <v>7.4162558291799998</v>
      </c>
      <c r="E37" s="14">
        <f t="shared" si="3"/>
        <v>0.41625582917999981</v>
      </c>
      <c r="F37" s="15" t="s">
        <v>69</v>
      </c>
      <c r="G37" s="15"/>
      <c r="H37" s="15"/>
      <c r="I37" s="15"/>
      <c r="J37" s="15"/>
      <c r="K37" s="15"/>
      <c r="L37" s="15" t="s">
        <v>69</v>
      </c>
      <c r="M37" s="15"/>
      <c r="N37" s="15" t="s">
        <v>69</v>
      </c>
      <c r="O37" s="15"/>
      <c r="P37" s="15" t="s">
        <v>69</v>
      </c>
      <c r="Q37" s="15"/>
      <c r="R37" s="15"/>
      <c r="S37" s="15"/>
      <c r="T37" s="15"/>
      <c r="U37" s="15" t="s">
        <v>69</v>
      </c>
      <c r="V37" s="16"/>
      <c r="W37" s="17" t="str">
        <f t="shared" si="4"/>
        <v>OK</v>
      </c>
    </row>
    <row r="39" spans="1:23" x14ac:dyDescent="0.25">
      <c r="A39" s="40" t="s">
        <v>78</v>
      </c>
      <c r="B39" s="28"/>
      <c r="C39" s="28"/>
      <c r="D39" s="28"/>
      <c r="E39" s="28"/>
      <c r="G39" s="40" t="s">
        <v>78</v>
      </c>
      <c r="H39" s="28"/>
      <c r="I39" s="28"/>
      <c r="J39" s="28"/>
      <c r="K39" s="28"/>
    </row>
    <row r="40" spans="1:23" x14ac:dyDescent="0.25">
      <c r="A40" s="44" t="s">
        <v>79</v>
      </c>
      <c r="B40" s="28"/>
      <c r="C40" s="28"/>
      <c r="D40" s="28"/>
      <c r="E40" s="28"/>
      <c r="G40" s="44" t="s">
        <v>80</v>
      </c>
      <c r="H40" s="28"/>
      <c r="I40" s="28"/>
      <c r="J40" s="28"/>
      <c r="K40" s="28"/>
    </row>
    <row r="42" spans="1:23" x14ac:dyDescent="0.25">
      <c r="A42" s="41" t="s">
        <v>81</v>
      </c>
      <c r="B42" s="28"/>
      <c r="C42" s="28"/>
      <c r="D42" s="28"/>
      <c r="E42" s="28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spans="1:23" x14ac:dyDescent="0.25">
      <c r="A43" s="43" t="s">
        <v>82</v>
      </c>
      <c r="B43" s="28"/>
      <c r="C43" s="28"/>
      <c r="D43" s="28"/>
      <c r="E43" s="28"/>
      <c r="F43" s="9">
        <f t="shared" ref="F43:U43" si="5">SUMIF(F$9:F$37,"X",$E$9:$E$37)</f>
        <v>12.635449461309999</v>
      </c>
      <c r="G43" s="9">
        <f t="shared" si="5"/>
        <v>0</v>
      </c>
      <c r="H43" s="9">
        <f t="shared" si="5"/>
        <v>11.804744706279999</v>
      </c>
      <c r="I43" s="9">
        <f t="shared" si="5"/>
        <v>0</v>
      </c>
      <c r="J43" s="9">
        <f t="shared" si="5"/>
        <v>0</v>
      </c>
      <c r="K43" s="9">
        <f t="shared" si="5"/>
        <v>0</v>
      </c>
      <c r="L43" s="9">
        <f t="shared" si="5"/>
        <v>24.440194167589997</v>
      </c>
      <c r="M43" s="9">
        <f t="shared" si="5"/>
        <v>0</v>
      </c>
      <c r="N43" s="9">
        <f t="shared" si="5"/>
        <v>24.440194167589997</v>
      </c>
      <c r="O43" s="9">
        <f t="shared" si="5"/>
        <v>0</v>
      </c>
      <c r="P43" s="9">
        <f t="shared" si="5"/>
        <v>13.04278288219</v>
      </c>
      <c r="Q43" s="9">
        <f t="shared" si="5"/>
        <v>11.397411285399999</v>
      </c>
      <c r="R43" s="9">
        <f t="shared" si="5"/>
        <v>0</v>
      </c>
      <c r="S43" s="9">
        <f t="shared" si="5"/>
        <v>0</v>
      </c>
      <c r="T43" s="9">
        <f t="shared" si="5"/>
        <v>12.219193632129999</v>
      </c>
      <c r="U43" s="9">
        <f t="shared" si="5"/>
        <v>12.22100053546</v>
      </c>
    </row>
    <row r="44" spans="1:23" x14ac:dyDescent="0.25">
      <c r="A44" s="43" t="s">
        <v>83</v>
      </c>
      <c r="B44" s="28"/>
      <c r="C44" s="28"/>
      <c r="D44" s="28"/>
      <c r="E44" s="28"/>
      <c r="F44" s="25">
        <f t="shared" ref="F44:U44" si="6">IF($R46=0,0,F43/$R46)</f>
        <v>0.51699464311399779</v>
      </c>
      <c r="G44" s="25">
        <f t="shared" si="6"/>
        <v>0</v>
      </c>
      <c r="H44" s="25">
        <f t="shared" si="6"/>
        <v>0.48300535688600232</v>
      </c>
      <c r="I44" s="25">
        <f t="shared" si="6"/>
        <v>0</v>
      </c>
      <c r="J44" s="25">
        <f t="shared" si="6"/>
        <v>0</v>
      </c>
      <c r="K44" s="25">
        <f t="shared" si="6"/>
        <v>0</v>
      </c>
      <c r="L44" s="25">
        <f t="shared" si="6"/>
        <v>1</v>
      </c>
      <c r="M44" s="25">
        <f t="shared" si="6"/>
        <v>0</v>
      </c>
      <c r="N44" s="25">
        <f t="shared" si="6"/>
        <v>1</v>
      </c>
      <c r="O44" s="25">
        <f t="shared" si="6"/>
        <v>0</v>
      </c>
      <c r="P44" s="25">
        <f t="shared" si="6"/>
        <v>0.53366118095272586</v>
      </c>
      <c r="Q44" s="25">
        <f t="shared" si="6"/>
        <v>0.46633881904727426</v>
      </c>
      <c r="R44" s="25">
        <f t="shared" si="6"/>
        <v>0</v>
      </c>
      <c r="S44" s="25">
        <f t="shared" si="6"/>
        <v>0</v>
      </c>
      <c r="T44" s="25">
        <f t="shared" si="6"/>
        <v>0.49996303418627508</v>
      </c>
      <c r="U44" s="25">
        <f t="shared" si="6"/>
        <v>0.50003696581372503</v>
      </c>
    </row>
    <row r="45" spans="1:23" x14ac:dyDescent="0.25">
      <c r="A45" s="43" t="s">
        <v>84</v>
      </c>
      <c r="B45" s="28"/>
      <c r="C45" s="28"/>
      <c r="D45" s="28"/>
      <c r="E45" s="28"/>
      <c r="F45" s="42" t="str">
        <f>IF(SUM(F43:J43)=0,"— não preenchido",IF(ROUND(SUM(F43:J43)-$R46,3)=0,"OK — "&amp;ROUND(SUM(F43:J43),3)&amp;" km","ERRO — dif. de "&amp;ROUND(SUM(F43:J43)-$R46,3)&amp;" km"))</f>
        <v>OK — 24,44 km</v>
      </c>
      <c r="G45" s="33"/>
      <c r="H45" s="33"/>
      <c r="I45" s="33"/>
      <c r="J45" s="34"/>
      <c r="K45" s="42" t="str">
        <f>IF(SUM(K43:L43)=0,"— não preenchido",IF(ROUND(SUM(K43:L43)-$R46,3)=0,"OK — "&amp;ROUND(SUM(K43:L43),3)&amp;" km","ERRO — dif. de "&amp;ROUND(SUM(K43:L43)-$R46,3)&amp;" km"))</f>
        <v>OK — 24,44 km</v>
      </c>
      <c r="L45" s="34"/>
      <c r="M45" s="42" t="str">
        <f>IF(SUM(M43:O43)=0,"— não preenchido",IF(ROUND(SUM(M43:O43)-$R46,3)=0,"OK — "&amp;ROUND(SUM(M43:O43),3)&amp;" km","ERRO — dif. de "&amp;ROUND(SUM(M43:O43)-$R46,3)&amp;" km"))</f>
        <v>OK — 24,44 km</v>
      </c>
      <c r="N45" s="33"/>
      <c r="O45" s="34"/>
      <c r="P45" s="42" t="str">
        <f>IF(SUM(P43:R43)=0,"— não preenchido",IF(ROUND(SUM(P43:R43)-$R46,3)=0,"OK — "&amp;ROUND(SUM(P43:R43),3)&amp;" km","ERRO — dif. de "&amp;ROUND(SUM(P43:R43)-$R46,3)&amp;" km"))</f>
        <v>OK — 24,44 km</v>
      </c>
      <c r="Q45" s="33"/>
      <c r="R45" s="34"/>
      <c r="S45" s="42" t="str">
        <f>IF(SUM(S43:U43)=0,"— não preenchido",IF(ROUND(SUM(S43:U43)-$R46,3)=0,"OK — "&amp;ROUND(SUM(S43:U43),3)&amp;" km","ERRO — dif. de "&amp;ROUND(SUM(S43:U43)-$R46,3)&amp;" km"))</f>
        <v>OK — 24,44 km</v>
      </c>
      <c r="T45" s="33"/>
      <c r="U45" s="34"/>
    </row>
    <row r="46" spans="1:23" x14ac:dyDescent="0.25">
      <c r="A46" s="43" t="s">
        <v>85</v>
      </c>
      <c r="B46" s="28"/>
      <c r="C46" s="28"/>
      <c r="D46" s="28"/>
      <c r="E46" s="28"/>
      <c r="R46" s="26">
        <f>SUM(E9:E37)</f>
        <v>24.440194167589997</v>
      </c>
      <c r="V46" s="8" t="str">
        <f>COUNTIF(W9:W37,"OK")&amp;" de "&amp;COUNT($E$9:$E$37)&amp;" linhas conferidas"</f>
        <v>26 de 26 linhas conferidas</v>
      </c>
    </row>
    <row r="48" spans="1:23" x14ac:dyDescent="0.25">
      <c r="A48" s="37" t="s">
        <v>86</v>
      </c>
      <c r="B48" s="28"/>
      <c r="C48" s="28"/>
      <c r="D48" s="28"/>
      <c r="E48" s="28"/>
    </row>
    <row r="49" spans="1:22" x14ac:dyDescent="0.25">
      <c r="A49" s="43" t="s">
        <v>87</v>
      </c>
      <c r="B49" s="28"/>
      <c r="C49" s="28"/>
      <c r="D49" s="28"/>
      <c r="E49" s="31" t="s">
        <v>88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43" t="s">
        <v>89</v>
      </c>
      <c r="B50" s="28"/>
      <c r="C50" s="28"/>
      <c r="D50" s="28"/>
      <c r="E50" s="31" t="s">
        <v>90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43" t="s">
        <v>91</v>
      </c>
      <c r="B51" s="28"/>
      <c r="C51" s="28"/>
      <c r="D51" s="28"/>
      <c r="E51" s="31" t="s">
        <v>92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43" t="s">
        <v>93</v>
      </c>
      <c r="B52" s="28"/>
      <c r="C52" s="28"/>
      <c r="D52" s="28"/>
      <c r="E52" s="31" t="s">
        <v>94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43" t="s">
        <v>95</v>
      </c>
      <c r="B53" s="28"/>
      <c r="C53" s="28"/>
      <c r="D53" s="28"/>
      <c r="E53" s="31" t="s">
        <v>96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43" t="s">
        <v>60</v>
      </c>
      <c r="B54" s="28"/>
      <c r="C54" s="28"/>
      <c r="D54" s="28"/>
      <c r="E54" s="31" t="s">
        <v>97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43" t="s">
        <v>98</v>
      </c>
      <c r="B55" s="28"/>
      <c r="C55" s="28"/>
      <c r="D55" s="28"/>
      <c r="E55" s="31" t="s">
        <v>99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43" t="s">
        <v>100</v>
      </c>
      <c r="B56" s="28"/>
      <c r="C56" s="28"/>
      <c r="D56" s="28"/>
      <c r="E56" s="31" t="s">
        <v>101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43" t="s">
        <v>11</v>
      </c>
      <c r="B57" s="28"/>
      <c r="C57" s="28"/>
      <c r="D57" s="28"/>
      <c r="E57" s="31" t="s">
        <v>102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</sheetData>
  <sheetProtection sheet="1" formatCells="0"/>
  <mergeCells count="60">
    <mergeCell ref="A1:V1"/>
    <mergeCell ref="A42:E42"/>
    <mergeCell ref="A54:D54"/>
    <mergeCell ref="T3:V3"/>
    <mergeCell ref="P45:R45"/>
    <mergeCell ref="A44:E44"/>
    <mergeCell ref="E53:V53"/>
    <mergeCell ref="E50:V50"/>
    <mergeCell ref="A43:E43"/>
    <mergeCell ref="A50:D50"/>
    <mergeCell ref="R2:V2"/>
    <mergeCell ref="A3:S3"/>
    <mergeCell ref="E52:V52"/>
    <mergeCell ref="C6:C7"/>
    <mergeCell ref="K6:L6"/>
    <mergeCell ref="D6:D7"/>
    <mergeCell ref="A51:D51"/>
    <mergeCell ref="B6:B7"/>
    <mergeCell ref="A24:V24"/>
    <mergeCell ref="E57:V57"/>
    <mergeCell ref="E54:V54"/>
    <mergeCell ref="E56:V56"/>
    <mergeCell ref="A56:D56"/>
    <mergeCell ref="E55:V55"/>
    <mergeCell ref="A55:D55"/>
    <mergeCell ref="A57:D57"/>
    <mergeCell ref="A40:E40"/>
    <mergeCell ref="P6:R6"/>
    <mergeCell ref="M45:O45"/>
    <mergeCell ref="E49:V49"/>
    <mergeCell ref="A49:D49"/>
    <mergeCell ref="E51:V51"/>
    <mergeCell ref="A2:F2"/>
    <mergeCell ref="S6:U6"/>
    <mergeCell ref="K2:M2"/>
    <mergeCell ref="A19:V19"/>
    <mergeCell ref="N2:O2"/>
    <mergeCell ref="W6:W7"/>
    <mergeCell ref="A46:E46"/>
    <mergeCell ref="E6:E7"/>
    <mergeCell ref="F45:J45"/>
    <mergeCell ref="S45:U45"/>
    <mergeCell ref="G39:K39"/>
    <mergeCell ref="A39:E39"/>
    <mergeCell ref="A48:E48"/>
    <mergeCell ref="A53:D53"/>
    <mergeCell ref="G2:H2"/>
    <mergeCell ref="G40:K40"/>
    <mergeCell ref="I2:J2"/>
    <mergeCell ref="A8:V8"/>
    <mergeCell ref="A52:D52"/>
    <mergeCell ref="A45:E45"/>
    <mergeCell ref="K45:L45"/>
    <mergeCell ref="F6:J6"/>
    <mergeCell ref="A6:A7"/>
    <mergeCell ref="M6:O6"/>
    <mergeCell ref="A29:V29"/>
    <mergeCell ref="V6:V7"/>
    <mergeCell ref="P2:Q2"/>
    <mergeCell ref="A4:V4"/>
  </mergeCells>
  <conditionalFormatting sqref="F9:J37">
    <cfRule type="expression" dxfId="161" priority="1">
      <formula>AND(F9&lt;&gt;"",COUNTIF($F9:$J9,"X")&gt;1)</formula>
    </cfRule>
  </conditionalFormatting>
  <conditionalFormatting sqref="F45:U45">
    <cfRule type="expression" dxfId="160" priority="8">
      <formula>LEFT(F45,4)="ERRO"</formula>
    </cfRule>
    <cfRule type="expression" dxfId="159" priority="9">
      <formula>LEFT(F45,2)="OK"</formula>
    </cfRule>
  </conditionalFormatting>
  <conditionalFormatting sqref="K9:L37">
    <cfRule type="expression" dxfId="158" priority="2">
      <formula>AND(K9&lt;&gt;"",COUNTIF($K9:$L9,"X")&gt;1)</formula>
    </cfRule>
  </conditionalFormatting>
  <conditionalFormatting sqref="M9:O37">
    <cfRule type="expression" dxfId="157" priority="3">
      <formula>AND(M9&lt;&gt;"",COUNTIF($M9:$O9,"X")&gt;1)</formula>
    </cfRule>
  </conditionalFormatting>
  <conditionalFormatting sqref="P9:R37">
    <cfRule type="expression" dxfId="156" priority="4">
      <formula>AND(P9&lt;&gt;"",COUNTIF($P9:$R9,"X")&gt;1)</formula>
    </cfRule>
  </conditionalFormatting>
  <conditionalFormatting sqref="S9:U37">
    <cfRule type="expression" dxfId="155" priority="5">
      <formula>AND(S9&lt;&gt;"",COUNTIF($S9:$U9,"X")&gt;1)</formula>
    </cfRule>
  </conditionalFormatting>
  <conditionalFormatting sqref="W9:W37">
    <cfRule type="expression" dxfId="154" priority="6">
      <formula>AND(W9&lt;&gt;"OK",W9&lt;&gt;"")</formula>
    </cfRule>
    <cfRule type="expression" dxfId="15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7" xr:uid="{00000000-0002-0000-0B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7" xr:uid="{00000000-0002-0000-0B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7" xr:uid="{00000000-0002-0000-0B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7" xr:uid="{00000000-0002-0000-0B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7" xr:uid="{00000000-0002-0000-0B00-000004000000}">
      <formula1>AND(UPPER(S9)="X",COUNTIF($S9:$U9,"X")&lt;=1)</formula1>
    </dataValidation>
    <dataValidation type="list" showErrorMessage="1" errorTitle="Sentido inválido" error="Use C (crescente) ou D (decrescente)." sqref="B9:B37" xr:uid="{00000000-0002-0000-0B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11</oddHeader>
    <oddFooter>&amp;L&amp;7 RTA / MSI — Programa de Manutenção Rodoviária&amp;C&amp;7 Página &amp;P de &amp;N&amp;R&amp;7 Impresso em &amp;D</oddFooter>
  </headerFooter>
  <rowBreaks count="1" manualBreakCount="1">
    <brk id="40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1:AN79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IF(F65=0,NA(),F65)</f>
        <v>20.217170891288998</v>
      </c>
      <c r="Z2" s="2">
        <f t="shared" si="0"/>
        <v>12</v>
      </c>
      <c r="AA2" s="2">
        <f t="shared" si="0"/>
        <v>14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46.217170891289001</v>
      </c>
      <c r="AF2" s="2" t="e">
        <f t="shared" si="0"/>
        <v>#N/A</v>
      </c>
      <c r="AG2" s="2">
        <f t="shared" si="0"/>
        <v>46.217170891289001</v>
      </c>
      <c r="AH2" s="2" t="e">
        <f t="shared" si="0"/>
        <v>#N/A</v>
      </c>
      <c r="AI2" s="2">
        <f t="shared" si="0"/>
        <v>46.217170891289001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46.217170891289001</v>
      </c>
      <c r="AN2" s="2" t="e">
        <f t="shared" si="0"/>
        <v>#N/A</v>
      </c>
    </row>
    <row r="3" spans="1:40" ht="15" customHeight="1" x14ac:dyDescent="0.25">
      <c r="A3" s="49" t="s">
        <v>184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185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186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2" t="s">
        <v>187</v>
      </c>
      <c r="B9" s="13" t="s">
        <v>68</v>
      </c>
      <c r="C9" s="14">
        <v>0</v>
      </c>
      <c r="D9" s="14">
        <v>0.41740116896899998</v>
      </c>
      <c r="E9" s="14">
        <f>D9-C9</f>
        <v>0.41740116896899998</v>
      </c>
      <c r="F9" s="15" t="s">
        <v>69</v>
      </c>
      <c r="G9" s="15"/>
      <c r="H9" s="15"/>
      <c r="I9" s="15"/>
      <c r="J9" s="15"/>
      <c r="K9" s="15"/>
      <c r="L9" s="15" t="s">
        <v>69</v>
      </c>
      <c r="M9" s="15"/>
      <c r="N9" s="15" t="s">
        <v>69</v>
      </c>
      <c r="O9" s="15"/>
      <c r="P9" s="15" t="s">
        <v>69</v>
      </c>
      <c r="Q9" s="15"/>
      <c r="R9" s="15"/>
      <c r="S9" s="15"/>
      <c r="T9" s="15" t="s">
        <v>69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15" customHeight="1" x14ac:dyDescent="0.25">
      <c r="A10" s="50" t="s">
        <v>188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4"/>
      <c r="W10" s="4"/>
    </row>
    <row r="11" spans="1:40" ht="15.95" customHeight="1" x14ac:dyDescent="0.25">
      <c r="A11" s="35" t="s">
        <v>189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4"/>
      <c r="W11" s="4"/>
    </row>
    <row r="12" spans="1:40" ht="20.100000000000001" customHeight="1" x14ac:dyDescent="0.25">
      <c r="A12" s="18" t="s">
        <v>190</v>
      </c>
      <c r="B12" s="19" t="s">
        <v>68</v>
      </c>
      <c r="C12" s="20">
        <v>0</v>
      </c>
      <c r="D12" s="20">
        <v>1</v>
      </c>
      <c r="E12" s="20">
        <f t="shared" ref="E12:E53" si="1">D12-C12</f>
        <v>1</v>
      </c>
      <c r="F12" s="21" t="s">
        <v>69</v>
      </c>
      <c r="G12" s="21"/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 t="s">
        <v>69</v>
      </c>
      <c r="Q12" s="21"/>
      <c r="R12" s="21"/>
      <c r="S12" s="21"/>
      <c r="T12" s="21" t="s">
        <v>69</v>
      </c>
      <c r="U12" s="21"/>
      <c r="V12" s="22"/>
      <c r="W12" s="23" t="str">
        <f t="shared" ref="W12:W53" si="2"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8" t="s">
        <v>190</v>
      </c>
      <c r="B13" s="19" t="s">
        <v>68</v>
      </c>
      <c r="C13" s="20">
        <v>1</v>
      </c>
      <c r="D13" s="20">
        <v>2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 t="s">
        <v>69</v>
      </c>
      <c r="Q13" s="21"/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190</v>
      </c>
      <c r="B14" s="19" t="s">
        <v>68</v>
      </c>
      <c r="C14" s="20">
        <v>2</v>
      </c>
      <c r="D14" s="20">
        <v>3</v>
      </c>
      <c r="E14" s="20">
        <f t="shared" si="1"/>
        <v>1</v>
      </c>
      <c r="F14" s="21"/>
      <c r="G14" s="21" t="s">
        <v>69</v>
      </c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 t="s">
        <v>69</v>
      </c>
      <c r="Q14" s="21"/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190</v>
      </c>
      <c r="B15" s="19" t="s">
        <v>68</v>
      </c>
      <c r="C15" s="20">
        <v>3</v>
      </c>
      <c r="D15" s="20">
        <v>4</v>
      </c>
      <c r="E15" s="20">
        <f t="shared" si="1"/>
        <v>1</v>
      </c>
      <c r="F15" s="21"/>
      <c r="G15" s="21" t="s">
        <v>69</v>
      </c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 t="s">
        <v>69</v>
      </c>
      <c r="Q15" s="21"/>
      <c r="R15" s="21"/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190</v>
      </c>
      <c r="B16" s="19" t="s">
        <v>68</v>
      </c>
      <c r="C16" s="20">
        <v>4</v>
      </c>
      <c r="D16" s="20">
        <v>5</v>
      </c>
      <c r="E16" s="20">
        <f t="shared" si="1"/>
        <v>1</v>
      </c>
      <c r="F16" s="21"/>
      <c r="G16" s="21" t="s">
        <v>69</v>
      </c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 t="s">
        <v>69</v>
      </c>
      <c r="Q16" s="21"/>
      <c r="R16" s="21"/>
      <c r="S16" s="21"/>
      <c r="T16" s="21" t="s">
        <v>69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190</v>
      </c>
      <c r="B17" s="19" t="s">
        <v>68</v>
      </c>
      <c r="C17" s="20">
        <v>5</v>
      </c>
      <c r="D17" s="20">
        <v>6</v>
      </c>
      <c r="E17" s="20">
        <f t="shared" si="1"/>
        <v>1</v>
      </c>
      <c r="F17" s="21"/>
      <c r="G17" s="21" t="s">
        <v>69</v>
      </c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 t="s">
        <v>69</v>
      </c>
      <c r="Q17" s="21"/>
      <c r="R17" s="21"/>
      <c r="S17" s="21"/>
      <c r="T17" s="21" t="s">
        <v>69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190</v>
      </c>
      <c r="B18" s="19" t="s">
        <v>68</v>
      </c>
      <c r="C18" s="20">
        <v>6</v>
      </c>
      <c r="D18" s="20">
        <v>7</v>
      </c>
      <c r="E18" s="20">
        <f t="shared" si="1"/>
        <v>1</v>
      </c>
      <c r="F18" s="21"/>
      <c r="G18" s="21"/>
      <c r="H18" s="21" t="s">
        <v>69</v>
      </c>
      <c r="I18" s="21"/>
      <c r="J18" s="21"/>
      <c r="K18" s="21"/>
      <c r="L18" s="21" t="s">
        <v>69</v>
      </c>
      <c r="M18" s="21"/>
      <c r="N18" s="21" t="s">
        <v>69</v>
      </c>
      <c r="O18" s="21"/>
      <c r="P18" s="21" t="s">
        <v>69</v>
      </c>
      <c r="Q18" s="21"/>
      <c r="R18" s="21"/>
      <c r="S18" s="21"/>
      <c r="T18" s="21" t="s">
        <v>69</v>
      </c>
      <c r="U18" s="21"/>
      <c r="V18" s="22"/>
      <c r="W18" s="23" t="str">
        <f t="shared" si="2"/>
        <v>OK</v>
      </c>
    </row>
    <row r="19" spans="1:23" ht="20.100000000000001" customHeight="1" x14ac:dyDescent="0.25">
      <c r="A19" s="18" t="s">
        <v>190</v>
      </c>
      <c r="B19" s="19" t="s">
        <v>68</v>
      </c>
      <c r="C19" s="20">
        <v>7</v>
      </c>
      <c r="D19" s="20">
        <v>8</v>
      </c>
      <c r="E19" s="20">
        <f t="shared" si="1"/>
        <v>1</v>
      </c>
      <c r="F19" s="21"/>
      <c r="G19" s="21"/>
      <c r="H19" s="21" t="s">
        <v>69</v>
      </c>
      <c r="I19" s="21"/>
      <c r="J19" s="21"/>
      <c r="K19" s="21"/>
      <c r="L19" s="21" t="s">
        <v>69</v>
      </c>
      <c r="M19" s="21"/>
      <c r="N19" s="21" t="s">
        <v>69</v>
      </c>
      <c r="O19" s="21"/>
      <c r="P19" s="21" t="s">
        <v>69</v>
      </c>
      <c r="Q19" s="21"/>
      <c r="R19" s="21"/>
      <c r="S19" s="21"/>
      <c r="T19" s="21" t="s">
        <v>69</v>
      </c>
      <c r="U19" s="21"/>
      <c r="V19" s="22"/>
      <c r="W19" s="23" t="str">
        <f t="shared" si="2"/>
        <v>OK</v>
      </c>
    </row>
    <row r="20" spans="1:23" ht="20.100000000000001" customHeight="1" x14ac:dyDescent="0.25">
      <c r="A20" s="18" t="s">
        <v>190</v>
      </c>
      <c r="B20" s="19" t="s">
        <v>68</v>
      </c>
      <c r="C20" s="20">
        <v>8</v>
      </c>
      <c r="D20" s="20">
        <v>9</v>
      </c>
      <c r="E20" s="20">
        <f t="shared" si="1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 t="s">
        <v>69</v>
      </c>
      <c r="Q20" s="21"/>
      <c r="R20" s="21"/>
      <c r="S20" s="21"/>
      <c r="T20" s="21" t="s">
        <v>69</v>
      </c>
      <c r="U20" s="21"/>
      <c r="V20" s="22"/>
      <c r="W20" s="23" t="str">
        <f t="shared" si="2"/>
        <v>OK</v>
      </c>
    </row>
    <row r="21" spans="1:23" ht="20.100000000000001" customHeight="1" x14ac:dyDescent="0.25">
      <c r="A21" s="18" t="s">
        <v>190</v>
      </c>
      <c r="B21" s="19" t="s">
        <v>68</v>
      </c>
      <c r="C21" s="20">
        <v>9</v>
      </c>
      <c r="D21" s="20">
        <v>10</v>
      </c>
      <c r="E21" s="20">
        <f t="shared" si="1"/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 t="s">
        <v>69</v>
      </c>
      <c r="Q21" s="21"/>
      <c r="R21" s="21"/>
      <c r="S21" s="21"/>
      <c r="T21" s="21" t="s">
        <v>69</v>
      </c>
      <c r="U21" s="21"/>
      <c r="V21" s="22"/>
      <c r="W21" s="23" t="str">
        <f t="shared" si="2"/>
        <v>OK</v>
      </c>
    </row>
    <row r="22" spans="1:23" ht="20.100000000000001" customHeight="1" x14ac:dyDescent="0.25">
      <c r="A22" s="18" t="s">
        <v>190</v>
      </c>
      <c r="B22" s="19" t="s">
        <v>68</v>
      </c>
      <c r="C22" s="20">
        <v>10</v>
      </c>
      <c r="D22" s="20">
        <v>11</v>
      </c>
      <c r="E22" s="20">
        <f t="shared" si="1"/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/>
      <c r="N22" s="21" t="s">
        <v>69</v>
      </c>
      <c r="O22" s="21"/>
      <c r="P22" s="21" t="s">
        <v>69</v>
      </c>
      <c r="Q22" s="21"/>
      <c r="R22" s="21"/>
      <c r="S22" s="21"/>
      <c r="T22" s="21" t="s">
        <v>69</v>
      </c>
      <c r="U22" s="21"/>
      <c r="V22" s="22"/>
      <c r="W22" s="23" t="str">
        <f t="shared" si="2"/>
        <v>OK</v>
      </c>
    </row>
    <row r="23" spans="1:23" ht="20.100000000000001" customHeight="1" x14ac:dyDescent="0.25">
      <c r="A23" s="18" t="s">
        <v>190</v>
      </c>
      <c r="B23" s="19" t="s">
        <v>68</v>
      </c>
      <c r="C23" s="20">
        <v>11</v>
      </c>
      <c r="D23" s="20">
        <v>12</v>
      </c>
      <c r="E23" s="20">
        <f t="shared" si="1"/>
        <v>1</v>
      </c>
      <c r="F23" s="21" t="s">
        <v>69</v>
      </c>
      <c r="G23" s="21"/>
      <c r="H23" s="21"/>
      <c r="I23" s="21"/>
      <c r="J23" s="21"/>
      <c r="K23" s="21"/>
      <c r="L23" s="21" t="s">
        <v>69</v>
      </c>
      <c r="M23" s="21"/>
      <c r="N23" s="21" t="s">
        <v>69</v>
      </c>
      <c r="O23" s="21"/>
      <c r="P23" s="21" t="s">
        <v>69</v>
      </c>
      <c r="Q23" s="21"/>
      <c r="R23" s="21"/>
      <c r="S23" s="21"/>
      <c r="T23" s="21" t="s">
        <v>69</v>
      </c>
      <c r="U23" s="21"/>
      <c r="V23" s="22"/>
      <c r="W23" s="23" t="str">
        <f t="shared" si="2"/>
        <v>OK</v>
      </c>
    </row>
    <row r="24" spans="1:23" ht="20.100000000000001" customHeight="1" x14ac:dyDescent="0.25">
      <c r="A24" s="18" t="s">
        <v>190</v>
      </c>
      <c r="B24" s="19" t="s">
        <v>68</v>
      </c>
      <c r="C24" s="20">
        <v>12</v>
      </c>
      <c r="D24" s="20">
        <v>13</v>
      </c>
      <c r="E24" s="20">
        <f t="shared" si="1"/>
        <v>1</v>
      </c>
      <c r="F24" s="21"/>
      <c r="G24" s="21" t="s">
        <v>69</v>
      </c>
      <c r="H24" s="21"/>
      <c r="I24" s="21"/>
      <c r="J24" s="21"/>
      <c r="K24" s="21"/>
      <c r="L24" s="21" t="s">
        <v>69</v>
      </c>
      <c r="M24" s="21"/>
      <c r="N24" s="21" t="s">
        <v>69</v>
      </c>
      <c r="O24" s="21"/>
      <c r="P24" s="21" t="s">
        <v>69</v>
      </c>
      <c r="Q24" s="21"/>
      <c r="R24" s="21"/>
      <c r="S24" s="21"/>
      <c r="T24" s="21" t="s">
        <v>69</v>
      </c>
      <c r="U24" s="21"/>
      <c r="V24" s="22"/>
      <c r="W24" s="23" t="str">
        <f t="shared" si="2"/>
        <v>OK</v>
      </c>
    </row>
    <row r="25" spans="1:23" ht="20.100000000000001" customHeight="1" x14ac:dyDescent="0.25">
      <c r="A25" s="18" t="s">
        <v>190</v>
      </c>
      <c r="B25" s="19" t="s">
        <v>68</v>
      </c>
      <c r="C25" s="20">
        <v>13</v>
      </c>
      <c r="D25" s="20">
        <v>14</v>
      </c>
      <c r="E25" s="20">
        <f t="shared" si="1"/>
        <v>1</v>
      </c>
      <c r="F25" s="21"/>
      <c r="G25" s="21" t="s">
        <v>69</v>
      </c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 t="s">
        <v>69</v>
      </c>
      <c r="Q25" s="21"/>
      <c r="R25" s="21"/>
      <c r="S25" s="21"/>
      <c r="T25" s="21" t="s">
        <v>69</v>
      </c>
      <c r="U25" s="21"/>
      <c r="V25" s="22"/>
      <c r="W25" s="23" t="str">
        <f t="shared" si="2"/>
        <v>OK</v>
      </c>
    </row>
    <row r="26" spans="1:23" ht="20.100000000000001" customHeight="1" x14ac:dyDescent="0.25">
      <c r="A26" s="18" t="s">
        <v>190</v>
      </c>
      <c r="B26" s="19" t="s">
        <v>68</v>
      </c>
      <c r="C26" s="20">
        <v>14</v>
      </c>
      <c r="D26" s="20">
        <v>15</v>
      </c>
      <c r="E26" s="20">
        <f t="shared" si="1"/>
        <v>1</v>
      </c>
      <c r="F26" s="21"/>
      <c r="G26" s="21"/>
      <c r="H26" s="21" t="s">
        <v>69</v>
      </c>
      <c r="I26" s="21"/>
      <c r="J26" s="21"/>
      <c r="K26" s="21"/>
      <c r="L26" s="21" t="s">
        <v>69</v>
      </c>
      <c r="M26" s="21"/>
      <c r="N26" s="21" t="s">
        <v>69</v>
      </c>
      <c r="O26" s="21"/>
      <c r="P26" s="21" t="s">
        <v>69</v>
      </c>
      <c r="Q26" s="21"/>
      <c r="R26" s="21"/>
      <c r="S26" s="21"/>
      <c r="T26" s="21" t="s">
        <v>69</v>
      </c>
      <c r="U26" s="21"/>
      <c r="V26" s="22"/>
      <c r="W26" s="23" t="str">
        <f t="shared" si="2"/>
        <v>OK</v>
      </c>
    </row>
    <row r="27" spans="1:23" ht="20.100000000000001" customHeight="1" x14ac:dyDescent="0.25">
      <c r="A27" s="18" t="s">
        <v>190</v>
      </c>
      <c r="B27" s="19" t="s">
        <v>68</v>
      </c>
      <c r="C27" s="20">
        <v>15</v>
      </c>
      <c r="D27" s="20">
        <v>16</v>
      </c>
      <c r="E27" s="20">
        <f t="shared" si="1"/>
        <v>1</v>
      </c>
      <c r="F27" s="21"/>
      <c r="G27" s="21"/>
      <c r="H27" s="21" t="s">
        <v>69</v>
      </c>
      <c r="I27" s="21"/>
      <c r="J27" s="21"/>
      <c r="K27" s="21"/>
      <c r="L27" s="21" t="s">
        <v>69</v>
      </c>
      <c r="M27" s="21"/>
      <c r="N27" s="21" t="s">
        <v>69</v>
      </c>
      <c r="O27" s="21"/>
      <c r="P27" s="21" t="s">
        <v>69</v>
      </c>
      <c r="Q27" s="21"/>
      <c r="R27" s="21"/>
      <c r="S27" s="21"/>
      <c r="T27" s="21" t="s">
        <v>69</v>
      </c>
      <c r="U27" s="21"/>
      <c r="V27" s="22"/>
      <c r="W27" s="23" t="str">
        <f t="shared" si="2"/>
        <v>OK</v>
      </c>
    </row>
    <row r="28" spans="1:23" ht="20.100000000000001" customHeight="1" x14ac:dyDescent="0.25">
      <c r="A28" s="18" t="s">
        <v>190</v>
      </c>
      <c r="B28" s="19" t="s">
        <v>68</v>
      </c>
      <c r="C28" s="20">
        <v>16</v>
      </c>
      <c r="D28" s="20">
        <v>17</v>
      </c>
      <c r="E28" s="20">
        <f t="shared" si="1"/>
        <v>1</v>
      </c>
      <c r="F28" s="21"/>
      <c r="G28" s="21"/>
      <c r="H28" s="21" t="s">
        <v>69</v>
      </c>
      <c r="I28" s="21"/>
      <c r="J28" s="21"/>
      <c r="K28" s="21"/>
      <c r="L28" s="21" t="s">
        <v>69</v>
      </c>
      <c r="M28" s="21"/>
      <c r="N28" s="21" t="s">
        <v>69</v>
      </c>
      <c r="O28" s="21"/>
      <c r="P28" s="21" t="s">
        <v>69</v>
      </c>
      <c r="Q28" s="21"/>
      <c r="R28" s="21"/>
      <c r="S28" s="21"/>
      <c r="T28" s="21" t="s">
        <v>69</v>
      </c>
      <c r="U28" s="21"/>
      <c r="V28" s="22"/>
      <c r="W28" s="23" t="str">
        <f t="shared" si="2"/>
        <v>OK</v>
      </c>
    </row>
    <row r="29" spans="1:23" ht="20.100000000000001" customHeight="1" x14ac:dyDescent="0.25">
      <c r="A29" s="18" t="s">
        <v>190</v>
      </c>
      <c r="B29" s="19" t="s">
        <v>68</v>
      </c>
      <c r="C29" s="20">
        <v>17</v>
      </c>
      <c r="D29" s="20">
        <v>18</v>
      </c>
      <c r="E29" s="20">
        <f t="shared" si="1"/>
        <v>1</v>
      </c>
      <c r="F29" s="21" t="s">
        <v>69</v>
      </c>
      <c r="G29" s="21"/>
      <c r="H29" s="21"/>
      <c r="I29" s="21"/>
      <c r="J29" s="21"/>
      <c r="K29" s="21"/>
      <c r="L29" s="21" t="s">
        <v>69</v>
      </c>
      <c r="M29" s="21"/>
      <c r="N29" s="21" t="s">
        <v>69</v>
      </c>
      <c r="O29" s="21"/>
      <c r="P29" s="21" t="s">
        <v>69</v>
      </c>
      <c r="Q29" s="21"/>
      <c r="R29" s="21"/>
      <c r="S29" s="21"/>
      <c r="T29" s="21" t="s">
        <v>69</v>
      </c>
      <c r="U29" s="21"/>
      <c r="V29" s="22"/>
      <c r="W29" s="23" t="str">
        <f t="shared" si="2"/>
        <v>OK</v>
      </c>
    </row>
    <row r="30" spans="1:23" ht="20.100000000000001" customHeight="1" x14ac:dyDescent="0.25">
      <c r="A30" s="18" t="s">
        <v>190</v>
      </c>
      <c r="B30" s="19" t="s">
        <v>68</v>
      </c>
      <c r="C30" s="20">
        <v>18</v>
      </c>
      <c r="D30" s="20">
        <v>19</v>
      </c>
      <c r="E30" s="20">
        <f t="shared" si="1"/>
        <v>1</v>
      </c>
      <c r="F30" s="21" t="s">
        <v>69</v>
      </c>
      <c r="G30" s="21"/>
      <c r="H30" s="21"/>
      <c r="I30" s="21"/>
      <c r="J30" s="21"/>
      <c r="K30" s="21"/>
      <c r="L30" s="21" t="s">
        <v>69</v>
      </c>
      <c r="M30" s="21"/>
      <c r="N30" s="21" t="s">
        <v>69</v>
      </c>
      <c r="O30" s="21"/>
      <c r="P30" s="21" t="s">
        <v>69</v>
      </c>
      <c r="Q30" s="21"/>
      <c r="R30" s="21"/>
      <c r="S30" s="21"/>
      <c r="T30" s="21" t="s">
        <v>69</v>
      </c>
      <c r="U30" s="21"/>
      <c r="V30" s="22"/>
      <c r="W30" s="23" t="str">
        <f t="shared" si="2"/>
        <v>OK</v>
      </c>
    </row>
    <row r="31" spans="1:23" ht="20.100000000000001" customHeight="1" x14ac:dyDescent="0.25">
      <c r="A31" s="18" t="s">
        <v>190</v>
      </c>
      <c r="B31" s="19" t="s">
        <v>68</v>
      </c>
      <c r="C31" s="20">
        <v>19</v>
      </c>
      <c r="D31" s="20">
        <v>20</v>
      </c>
      <c r="E31" s="20">
        <f t="shared" si="1"/>
        <v>1</v>
      </c>
      <c r="F31" s="21" t="s">
        <v>69</v>
      </c>
      <c r="G31" s="21"/>
      <c r="H31" s="21"/>
      <c r="I31" s="21"/>
      <c r="J31" s="21"/>
      <c r="K31" s="21"/>
      <c r="L31" s="21" t="s">
        <v>69</v>
      </c>
      <c r="M31" s="21"/>
      <c r="N31" s="21" t="s">
        <v>69</v>
      </c>
      <c r="O31" s="21"/>
      <c r="P31" s="21" t="s">
        <v>69</v>
      </c>
      <c r="Q31" s="21"/>
      <c r="R31" s="21"/>
      <c r="S31" s="21"/>
      <c r="T31" s="21" t="s">
        <v>69</v>
      </c>
      <c r="U31" s="21"/>
      <c r="V31" s="22"/>
      <c r="W31" s="23" t="str">
        <f t="shared" si="2"/>
        <v>OK</v>
      </c>
    </row>
    <row r="32" spans="1:23" ht="20.100000000000001" customHeight="1" x14ac:dyDescent="0.25">
      <c r="A32" s="18" t="s">
        <v>190</v>
      </c>
      <c r="B32" s="19" t="s">
        <v>68</v>
      </c>
      <c r="C32" s="20">
        <v>20</v>
      </c>
      <c r="D32" s="20">
        <v>21</v>
      </c>
      <c r="E32" s="20">
        <f t="shared" si="1"/>
        <v>1</v>
      </c>
      <c r="F32" s="21" t="s">
        <v>69</v>
      </c>
      <c r="G32" s="21"/>
      <c r="H32" s="21"/>
      <c r="I32" s="21"/>
      <c r="J32" s="21"/>
      <c r="K32" s="21"/>
      <c r="L32" s="21" t="s">
        <v>69</v>
      </c>
      <c r="M32" s="21"/>
      <c r="N32" s="21" t="s">
        <v>69</v>
      </c>
      <c r="O32" s="21"/>
      <c r="P32" s="21" t="s">
        <v>69</v>
      </c>
      <c r="Q32" s="21"/>
      <c r="R32" s="21"/>
      <c r="S32" s="21"/>
      <c r="T32" s="21" t="s">
        <v>69</v>
      </c>
      <c r="U32" s="21"/>
      <c r="V32" s="22"/>
      <c r="W32" s="23" t="str">
        <f t="shared" si="2"/>
        <v>OK</v>
      </c>
    </row>
    <row r="33" spans="1:23" ht="20.100000000000001" customHeight="1" x14ac:dyDescent="0.25">
      <c r="A33" s="18" t="s">
        <v>190</v>
      </c>
      <c r="B33" s="19" t="s">
        <v>68</v>
      </c>
      <c r="C33" s="20">
        <v>21</v>
      </c>
      <c r="D33" s="20">
        <v>22</v>
      </c>
      <c r="E33" s="20">
        <f t="shared" si="1"/>
        <v>1</v>
      </c>
      <c r="F33" s="21" t="s">
        <v>69</v>
      </c>
      <c r="G33" s="21"/>
      <c r="H33" s="21"/>
      <c r="I33" s="21"/>
      <c r="J33" s="21"/>
      <c r="K33" s="21"/>
      <c r="L33" s="21" t="s">
        <v>69</v>
      </c>
      <c r="M33" s="21"/>
      <c r="N33" s="21" t="s">
        <v>69</v>
      </c>
      <c r="O33" s="21"/>
      <c r="P33" s="21" t="s">
        <v>69</v>
      </c>
      <c r="Q33" s="21"/>
      <c r="R33" s="21"/>
      <c r="S33" s="21"/>
      <c r="T33" s="21" t="s">
        <v>69</v>
      </c>
      <c r="U33" s="21"/>
      <c r="V33" s="22"/>
      <c r="W33" s="23" t="str">
        <f t="shared" si="2"/>
        <v>OK</v>
      </c>
    </row>
    <row r="34" spans="1:23" ht="20.100000000000001" customHeight="1" x14ac:dyDescent="0.25">
      <c r="A34" s="18" t="s">
        <v>190</v>
      </c>
      <c r="B34" s="19" t="s">
        <v>68</v>
      </c>
      <c r="C34" s="20">
        <v>22</v>
      </c>
      <c r="D34" s="20">
        <v>23</v>
      </c>
      <c r="E34" s="20">
        <f t="shared" si="1"/>
        <v>1</v>
      </c>
      <c r="F34" s="21" t="s">
        <v>325</v>
      </c>
      <c r="G34" s="21"/>
      <c r="H34" s="21"/>
      <c r="I34" s="21"/>
      <c r="J34" s="21"/>
      <c r="K34" s="21"/>
      <c r="L34" s="21" t="s">
        <v>69</v>
      </c>
      <c r="M34" s="21"/>
      <c r="N34" s="21" t="s">
        <v>69</v>
      </c>
      <c r="O34" s="21"/>
      <c r="P34" s="21" t="s">
        <v>69</v>
      </c>
      <c r="Q34" s="21"/>
      <c r="R34" s="21"/>
      <c r="S34" s="21"/>
      <c r="T34" s="21" t="s">
        <v>69</v>
      </c>
      <c r="U34" s="21"/>
      <c r="V34" s="22"/>
      <c r="W34" s="23" t="str">
        <f t="shared" si="2"/>
        <v>OK</v>
      </c>
    </row>
    <row r="35" spans="1:23" ht="20.100000000000001" customHeight="1" x14ac:dyDescent="0.25">
      <c r="A35" s="18" t="s">
        <v>190</v>
      </c>
      <c r="B35" s="19" t="s">
        <v>68</v>
      </c>
      <c r="C35" s="20">
        <v>23</v>
      </c>
      <c r="D35" s="20">
        <v>24</v>
      </c>
      <c r="E35" s="20">
        <f t="shared" si="1"/>
        <v>1</v>
      </c>
      <c r="F35" s="21"/>
      <c r="G35" s="21"/>
      <c r="H35" s="21" t="s">
        <v>69</v>
      </c>
      <c r="I35" s="21"/>
      <c r="J35" s="21"/>
      <c r="K35" s="21"/>
      <c r="L35" s="21" t="s">
        <v>69</v>
      </c>
      <c r="M35" s="21"/>
      <c r="N35" s="21" t="s">
        <v>69</v>
      </c>
      <c r="O35" s="21"/>
      <c r="P35" s="21" t="s">
        <v>69</v>
      </c>
      <c r="Q35" s="21"/>
      <c r="R35" s="21"/>
      <c r="S35" s="21"/>
      <c r="T35" s="21" t="s">
        <v>69</v>
      </c>
      <c r="U35" s="21"/>
      <c r="V35" s="22"/>
      <c r="W35" s="23" t="str">
        <f t="shared" si="2"/>
        <v>OK</v>
      </c>
    </row>
    <row r="36" spans="1:23" ht="20.100000000000001" customHeight="1" x14ac:dyDescent="0.25">
      <c r="A36" s="18" t="s">
        <v>190</v>
      </c>
      <c r="B36" s="19" t="s">
        <v>68</v>
      </c>
      <c r="C36" s="20">
        <v>24</v>
      </c>
      <c r="D36" s="20">
        <v>25</v>
      </c>
      <c r="E36" s="20">
        <f t="shared" si="1"/>
        <v>1</v>
      </c>
      <c r="F36" s="21" t="s">
        <v>69</v>
      </c>
      <c r="G36" s="21"/>
      <c r="H36" s="21"/>
      <c r="I36" s="21"/>
      <c r="J36" s="21"/>
      <c r="K36" s="21"/>
      <c r="L36" s="21" t="s">
        <v>69</v>
      </c>
      <c r="M36" s="21"/>
      <c r="N36" s="21" t="s">
        <v>69</v>
      </c>
      <c r="O36" s="21"/>
      <c r="P36" s="21" t="s">
        <v>69</v>
      </c>
      <c r="Q36" s="21"/>
      <c r="R36" s="21"/>
      <c r="S36" s="21"/>
      <c r="T36" s="21" t="s">
        <v>69</v>
      </c>
      <c r="U36" s="21"/>
      <c r="V36" s="22"/>
      <c r="W36" s="23" t="str">
        <f t="shared" si="2"/>
        <v>OK</v>
      </c>
    </row>
    <row r="37" spans="1:23" ht="20.100000000000001" customHeight="1" x14ac:dyDescent="0.25">
      <c r="A37" s="18" t="s">
        <v>190</v>
      </c>
      <c r="B37" s="19" t="s">
        <v>68</v>
      </c>
      <c r="C37" s="20">
        <v>25</v>
      </c>
      <c r="D37" s="20">
        <v>26</v>
      </c>
      <c r="E37" s="20">
        <f t="shared" si="1"/>
        <v>1</v>
      </c>
      <c r="F37" s="21" t="s">
        <v>69</v>
      </c>
      <c r="G37" s="21"/>
      <c r="H37" s="21"/>
      <c r="I37" s="21"/>
      <c r="J37" s="21"/>
      <c r="K37" s="21"/>
      <c r="L37" s="21" t="s">
        <v>69</v>
      </c>
      <c r="M37" s="21"/>
      <c r="N37" s="21" t="s">
        <v>69</v>
      </c>
      <c r="O37" s="21"/>
      <c r="P37" s="21" t="s">
        <v>69</v>
      </c>
      <c r="Q37" s="21"/>
      <c r="R37" s="21"/>
      <c r="S37" s="21"/>
      <c r="T37" s="21" t="s">
        <v>69</v>
      </c>
      <c r="U37" s="21"/>
      <c r="V37" s="22"/>
      <c r="W37" s="23" t="str">
        <f t="shared" si="2"/>
        <v>OK</v>
      </c>
    </row>
    <row r="38" spans="1:23" ht="20.100000000000001" customHeight="1" x14ac:dyDescent="0.25">
      <c r="A38" s="18" t="s">
        <v>190</v>
      </c>
      <c r="B38" s="19" t="s">
        <v>68</v>
      </c>
      <c r="C38" s="20">
        <v>26</v>
      </c>
      <c r="D38" s="20">
        <v>27</v>
      </c>
      <c r="E38" s="20">
        <f t="shared" si="1"/>
        <v>1</v>
      </c>
      <c r="F38" s="21"/>
      <c r="G38" s="21"/>
      <c r="H38" s="21" t="s">
        <v>69</v>
      </c>
      <c r="I38" s="21"/>
      <c r="J38" s="21"/>
      <c r="K38" s="21"/>
      <c r="L38" s="21" t="s">
        <v>69</v>
      </c>
      <c r="M38" s="21"/>
      <c r="N38" s="21" t="s">
        <v>69</v>
      </c>
      <c r="O38" s="21"/>
      <c r="P38" s="21" t="s">
        <v>69</v>
      </c>
      <c r="Q38" s="21"/>
      <c r="R38" s="21"/>
      <c r="S38" s="21"/>
      <c r="T38" s="21" t="s">
        <v>69</v>
      </c>
      <c r="U38" s="21"/>
      <c r="V38" s="22"/>
      <c r="W38" s="23" t="str">
        <f t="shared" si="2"/>
        <v>OK</v>
      </c>
    </row>
    <row r="39" spans="1:23" ht="20.100000000000001" customHeight="1" x14ac:dyDescent="0.25">
      <c r="A39" s="18" t="s">
        <v>190</v>
      </c>
      <c r="B39" s="19" t="s">
        <v>68</v>
      </c>
      <c r="C39" s="20">
        <v>27</v>
      </c>
      <c r="D39" s="20">
        <v>28</v>
      </c>
      <c r="E39" s="20">
        <f t="shared" si="1"/>
        <v>1</v>
      </c>
      <c r="F39" s="21"/>
      <c r="G39" s="21"/>
      <c r="H39" s="21" t="s">
        <v>69</v>
      </c>
      <c r="I39" s="21"/>
      <c r="J39" s="21"/>
      <c r="K39" s="21"/>
      <c r="L39" s="21" t="s">
        <v>69</v>
      </c>
      <c r="M39" s="21"/>
      <c r="N39" s="21" t="s">
        <v>69</v>
      </c>
      <c r="O39" s="21"/>
      <c r="P39" s="21" t="s">
        <v>69</v>
      </c>
      <c r="Q39" s="21"/>
      <c r="R39" s="21"/>
      <c r="S39" s="21"/>
      <c r="T39" s="21" t="s">
        <v>69</v>
      </c>
      <c r="U39" s="21"/>
      <c r="V39" s="22"/>
      <c r="W39" s="23" t="str">
        <f t="shared" si="2"/>
        <v>OK</v>
      </c>
    </row>
    <row r="40" spans="1:23" ht="20.100000000000001" customHeight="1" x14ac:dyDescent="0.25">
      <c r="A40" s="18" t="s">
        <v>190</v>
      </c>
      <c r="B40" s="19" t="s">
        <v>68</v>
      </c>
      <c r="C40" s="20">
        <v>28</v>
      </c>
      <c r="D40" s="20">
        <v>29</v>
      </c>
      <c r="E40" s="20">
        <f t="shared" si="1"/>
        <v>1</v>
      </c>
      <c r="F40" s="21" t="s">
        <v>69</v>
      </c>
      <c r="G40" s="21"/>
      <c r="H40" s="21"/>
      <c r="I40" s="21"/>
      <c r="J40" s="21"/>
      <c r="K40" s="21"/>
      <c r="L40" s="21" t="s">
        <v>69</v>
      </c>
      <c r="M40" s="21"/>
      <c r="N40" s="21" t="s">
        <v>69</v>
      </c>
      <c r="O40" s="21"/>
      <c r="P40" s="21" t="s">
        <v>69</v>
      </c>
      <c r="Q40" s="21"/>
      <c r="R40" s="21"/>
      <c r="S40" s="21"/>
      <c r="T40" s="21" t="s">
        <v>69</v>
      </c>
      <c r="U40" s="21"/>
      <c r="V40" s="22"/>
      <c r="W40" s="23" t="str">
        <f t="shared" si="2"/>
        <v>OK</v>
      </c>
    </row>
    <row r="41" spans="1:23" ht="20.100000000000001" customHeight="1" x14ac:dyDescent="0.25">
      <c r="A41" s="18" t="s">
        <v>190</v>
      </c>
      <c r="B41" s="19" t="s">
        <v>68</v>
      </c>
      <c r="C41" s="20">
        <v>29</v>
      </c>
      <c r="D41" s="20">
        <v>30</v>
      </c>
      <c r="E41" s="20">
        <f t="shared" si="1"/>
        <v>1</v>
      </c>
      <c r="F41" s="21" t="s">
        <v>69</v>
      </c>
      <c r="G41" s="21"/>
      <c r="H41" s="21"/>
      <c r="I41" s="21"/>
      <c r="J41" s="21"/>
      <c r="K41" s="21"/>
      <c r="L41" s="21" t="s">
        <v>69</v>
      </c>
      <c r="M41" s="21"/>
      <c r="N41" s="21" t="s">
        <v>69</v>
      </c>
      <c r="O41" s="21"/>
      <c r="P41" s="21" t="s">
        <v>69</v>
      </c>
      <c r="Q41" s="21"/>
      <c r="R41" s="21"/>
      <c r="S41" s="21"/>
      <c r="T41" s="21" t="s">
        <v>69</v>
      </c>
      <c r="U41" s="21"/>
      <c r="V41" s="22"/>
      <c r="W41" s="23" t="str">
        <f t="shared" si="2"/>
        <v>OK</v>
      </c>
    </row>
    <row r="42" spans="1:23" ht="20.100000000000001" customHeight="1" x14ac:dyDescent="0.25">
      <c r="A42" s="18" t="s">
        <v>190</v>
      </c>
      <c r="B42" s="19" t="s">
        <v>68</v>
      </c>
      <c r="C42" s="20">
        <v>30</v>
      </c>
      <c r="D42" s="20">
        <v>31</v>
      </c>
      <c r="E42" s="20">
        <f t="shared" si="1"/>
        <v>1</v>
      </c>
      <c r="F42" s="21"/>
      <c r="G42" s="21" t="s">
        <v>69</v>
      </c>
      <c r="H42" s="21"/>
      <c r="I42" s="21"/>
      <c r="J42" s="21"/>
      <c r="K42" s="21"/>
      <c r="L42" s="21" t="s">
        <v>69</v>
      </c>
      <c r="M42" s="21"/>
      <c r="N42" s="21" t="s">
        <v>69</v>
      </c>
      <c r="O42" s="21"/>
      <c r="P42" s="21" t="s">
        <v>69</v>
      </c>
      <c r="Q42" s="21"/>
      <c r="R42" s="21"/>
      <c r="S42" s="21"/>
      <c r="T42" s="21" t="s">
        <v>69</v>
      </c>
      <c r="U42" s="21"/>
      <c r="V42" s="22"/>
      <c r="W42" s="23" t="str">
        <f t="shared" si="2"/>
        <v>OK</v>
      </c>
    </row>
    <row r="43" spans="1:23" ht="20.100000000000001" customHeight="1" x14ac:dyDescent="0.25">
      <c r="A43" s="18" t="s">
        <v>190</v>
      </c>
      <c r="B43" s="19" t="s">
        <v>68</v>
      </c>
      <c r="C43" s="20">
        <v>31</v>
      </c>
      <c r="D43" s="20">
        <v>32</v>
      </c>
      <c r="E43" s="20">
        <f t="shared" si="1"/>
        <v>1</v>
      </c>
      <c r="F43" s="21"/>
      <c r="G43" s="21" t="s">
        <v>69</v>
      </c>
      <c r="H43" s="21"/>
      <c r="I43" s="21"/>
      <c r="J43" s="21"/>
      <c r="K43" s="21"/>
      <c r="L43" s="21" t="s">
        <v>69</v>
      </c>
      <c r="M43" s="21"/>
      <c r="N43" s="21" t="s">
        <v>69</v>
      </c>
      <c r="O43" s="21"/>
      <c r="P43" s="21" t="s">
        <v>69</v>
      </c>
      <c r="Q43" s="21"/>
      <c r="R43" s="21"/>
      <c r="S43" s="21"/>
      <c r="T43" s="21" t="s">
        <v>69</v>
      </c>
      <c r="U43" s="21"/>
      <c r="V43" s="22"/>
      <c r="W43" s="23" t="str">
        <f t="shared" si="2"/>
        <v>OK</v>
      </c>
    </row>
    <row r="44" spans="1:23" ht="20.100000000000001" customHeight="1" x14ac:dyDescent="0.25">
      <c r="A44" s="18" t="s">
        <v>190</v>
      </c>
      <c r="B44" s="19" t="s">
        <v>68</v>
      </c>
      <c r="C44" s="20">
        <v>32</v>
      </c>
      <c r="D44" s="20">
        <v>33</v>
      </c>
      <c r="E44" s="20">
        <f t="shared" si="1"/>
        <v>1</v>
      </c>
      <c r="F44" s="21"/>
      <c r="G44" s="21"/>
      <c r="H44" s="21" t="s">
        <v>69</v>
      </c>
      <c r="I44" s="21"/>
      <c r="J44" s="21"/>
      <c r="K44" s="21"/>
      <c r="L44" s="21" t="s">
        <v>69</v>
      </c>
      <c r="M44" s="21"/>
      <c r="N44" s="21" t="s">
        <v>69</v>
      </c>
      <c r="O44" s="21"/>
      <c r="P44" s="21" t="s">
        <v>69</v>
      </c>
      <c r="Q44" s="21"/>
      <c r="R44" s="21"/>
      <c r="S44" s="21"/>
      <c r="T44" s="21" t="s">
        <v>69</v>
      </c>
      <c r="U44" s="21"/>
      <c r="V44" s="22"/>
      <c r="W44" s="23" t="str">
        <f t="shared" si="2"/>
        <v>OK</v>
      </c>
    </row>
    <row r="45" spans="1:23" ht="20.100000000000001" customHeight="1" x14ac:dyDescent="0.25">
      <c r="A45" s="18" t="s">
        <v>190</v>
      </c>
      <c r="B45" s="19" t="s">
        <v>68</v>
      </c>
      <c r="C45" s="20">
        <v>33</v>
      </c>
      <c r="D45" s="20">
        <v>34</v>
      </c>
      <c r="E45" s="20">
        <f t="shared" si="1"/>
        <v>1</v>
      </c>
      <c r="F45" s="21"/>
      <c r="G45" s="21"/>
      <c r="H45" s="21" t="s">
        <v>69</v>
      </c>
      <c r="I45" s="21"/>
      <c r="J45" s="21"/>
      <c r="K45" s="21"/>
      <c r="L45" s="21" t="s">
        <v>69</v>
      </c>
      <c r="M45" s="21"/>
      <c r="N45" s="21" t="s">
        <v>69</v>
      </c>
      <c r="O45" s="21"/>
      <c r="P45" s="21" t="s">
        <v>69</v>
      </c>
      <c r="Q45" s="21"/>
      <c r="R45" s="21"/>
      <c r="S45" s="21"/>
      <c r="T45" s="21" t="s">
        <v>69</v>
      </c>
      <c r="U45" s="21"/>
      <c r="V45" s="22"/>
      <c r="W45" s="23" t="str">
        <f t="shared" si="2"/>
        <v>OK</v>
      </c>
    </row>
    <row r="46" spans="1:23" ht="20.100000000000001" customHeight="1" x14ac:dyDescent="0.25">
      <c r="A46" s="18" t="s">
        <v>190</v>
      </c>
      <c r="B46" s="19" t="s">
        <v>68</v>
      </c>
      <c r="C46" s="20">
        <v>34</v>
      </c>
      <c r="D46" s="20">
        <v>35</v>
      </c>
      <c r="E46" s="20">
        <f t="shared" si="1"/>
        <v>1</v>
      </c>
      <c r="F46" s="21"/>
      <c r="G46" s="21" t="s">
        <v>69</v>
      </c>
      <c r="H46" s="21"/>
      <c r="I46" s="21"/>
      <c r="J46" s="21"/>
      <c r="K46" s="21"/>
      <c r="L46" s="21" t="s">
        <v>69</v>
      </c>
      <c r="M46" s="21"/>
      <c r="N46" s="21" t="s">
        <v>69</v>
      </c>
      <c r="O46" s="21"/>
      <c r="P46" s="21" t="s">
        <v>69</v>
      </c>
      <c r="Q46" s="21"/>
      <c r="R46" s="21"/>
      <c r="S46" s="21"/>
      <c r="T46" s="21" t="s">
        <v>69</v>
      </c>
      <c r="U46" s="21"/>
      <c r="V46" s="22"/>
      <c r="W46" s="23" t="str">
        <f t="shared" si="2"/>
        <v>OK</v>
      </c>
    </row>
    <row r="47" spans="1:23" ht="20.100000000000001" customHeight="1" x14ac:dyDescent="0.25">
      <c r="A47" s="18" t="s">
        <v>190</v>
      </c>
      <c r="B47" s="19" t="s">
        <v>68</v>
      </c>
      <c r="C47" s="20">
        <v>35</v>
      </c>
      <c r="D47" s="20">
        <v>36</v>
      </c>
      <c r="E47" s="20">
        <f t="shared" si="1"/>
        <v>1</v>
      </c>
      <c r="F47" s="21"/>
      <c r="G47" s="21" t="s">
        <v>69</v>
      </c>
      <c r="H47" s="21"/>
      <c r="I47" s="21"/>
      <c r="J47" s="21"/>
      <c r="K47" s="21"/>
      <c r="L47" s="21" t="s">
        <v>69</v>
      </c>
      <c r="M47" s="21"/>
      <c r="N47" s="21" t="s">
        <v>69</v>
      </c>
      <c r="O47" s="21"/>
      <c r="P47" s="21" t="s">
        <v>69</v>
      </c>
      <c r="Q47" s="21"/>
      <c r="R47" s="21"/>
      <c r="S47" s="21"/>
      <c r="T47" s="21" t="s">
        <v>69</v>
      </c>
      <c r="U47" s="21"/>
      <c r="V47" s="22"/>
      <c r="W47" s="23" t="str">
        <f t="shared" si="2"/>
        <v>OK</v>
      </c>
    </row>
    <row r="48" spans="1:23" ht="20.100000000000001" customHeight="1" x14ac:dyDescent="0.25">
      <c r="A48" s="18" t="s">
        <v>190</v>
      </c>
      <c r="B48" s="19" t="s">
        <v>68</v>
      </c>
      <c r="C48" s="20">
        <v>36</v>
      </c>
      <c r="D48" s="20">
        <v>37</v>
      </c>
      <c r="E48" s="20">
        <f t="shared" si="1"/>
        <v>1</v>
      </c>
      <c r="F48" s="21" t="s">
        <v>69</v>
      </c>
      <c r="G48" s="21"/>
      <c r="H48" s="21"/>
      <c r="I48" s="21"/>
      <c r="J48" s="21"/>
      <c r="K48" s="21"/>
      <c r="L48" s="21" t="s">
        <v>69</v>
      </c>
      <c r="M48" s="21"/>
      <c r="N48" s="21" t="s">
        <v>69</v>
      </c>
      <c r="O48" s="21"/>
      <c r="P48" s="21" t="s">
        <v>69</v>
      </c>
      <c r="Q48" s="21"/>
      <c r="R48" s="21"/>
      <c r="S48" s="21"/>
      <c r="T48" s="21" t="s">
        <v>69</v>
      </c>
      <c r="U48" s="21"/>
      <c r="V48" s="22"/>
      <c r="W48" s="23" t="str">
        <f t="shared" si="2"/>
        <v>OK</v>
      </c>
    </row>
    <row r="49" spans="1:23" ht="20.100000000000001" customHeight="1" x14ac:dyDescent="0.25">
      <c r="A49" s="18" t="s">
        <v>190</v>
      </c>
      <c r="B49" s="19" t="s">
        <v>68</v>
      </c>
      <c r="C49" s="20">
        <v>37</v>
      </c>
      <c r="D49" s="20">
        <v>38</v>
      </c>
      <c r="E49" s="20">
        <f t="shared" si="1"/>
        <v>1</v>
      </c>
      <c r="F49" s="21" t="s">
        <v>69</v>
      </c>
      <c r="G49" s="21"/>
      <c r="H49" s="21"/>
      <c r="I49" s="21"/>
      <c r="J49" s="21"/>
      <c r="K49" s="21"/>
      <c r="L49" s="21" t="s">
        <v>69</v>
      </c>
      <c r="M49" s="21"/>
      <c r="N49" s="21" t="s">
        <v>69</v>
      </c>
      <c r="O49" s="21"/>
      <c r="P49" s="21" t="s">
        <v>69</v>
      </c>
      <c r="Q49" s="21"/>
      <c r="R49" s="21"/>
      <c r="S49" s="21"/>
      <c r="T49" s="21" t="s">
        <v>69</v>
      </c>
      <c r="U49" s="21"/>
      <c r="V49" s="22"/>
      <c r="W49" s="23" t="str">
        <f t="shared" si="2"/>
        <v>OK</v>
      </c>
    </row>
    <row r="50" spans="1:23" ht="20.100000000000001" customHeight="1" x14ac:dyDescent="0.25">
      <c r="A50" s="18" t="s">
        <v>190</v>
      </c>
      <c r="B50" s="19" t="s">
        <v>68</v>
      </c>
      <c r="C50" s="20">
        <v>38</v>
      </c>
      <c r="D50" s="20">
        <v>39</v>
      </c>
      <c r="E50" s="20">
        <f t="shared" si="1"/>
        <v>1</v>
      </c>
      <c r="F50" s="21"/>
      <c r="G50" s="21"/>
      <c r="H50" s="21" t="s">
        <v>69</v>
      </c>
      <c r="I50" s="21"/>
      <c r="J50" s="21"/>
      <c r="K50" s="21"/>
      <c r="L50" s="21" t="s">
        <v>69</v>
      </c>
      <c r="M50" s="21"/>
      <c r="N50" s="21" t="s">
        <v>69</v>
      </c>
      <c r="O50" s="21"/>
      <c r="P50" s="21" t="s">
        <v>69</v>
      </c>
      <c r="Q50" s="21"/>
      <c r="R50" s="21"/>
      <c r="S50" s="21"/>
      <c r="T50" s="21" t="s">
        <v>69</v>
      </c>
      <c r="U50" s="21"/>
      <c r="V50" s="22"/>
      <c r="W50" s="23" t="str">
        <f t="shared" si="2"/>
        <v>OK</v>
      </c>
    </row>
    <row r="51" spans="1:23" ht="20.100000000000001" customHeight="1" x14ac:dyDescent="0.25">
      <c r="A51" s="18" t="s">
        <v>190</v>
      </c>
      <c r="B51" s="19" t="s">
        <v>68</v>
      </c>
      <c r="C51" s="20">
        <v>39</v>
      </c>
      <c r="D51" s="20">
        <v>40</v>
      </c>
      <c r="E51" s="20">
        <f t="shared" si="1"/>
        <v>1</v>
      </c>
      <c r="F51" s="21"/>
      <c r="G51" s="21"/>
      <c r="H51" s="21" t="s">
        <v>69</v>
      </c>
      <c r="I51" s="21"/>
      <c r="J51" s="21"/>
      <c r="K51" s="21"/>
      <c r="L51" s="21" t="s">
        <v>69</v>
      </c>
      <c r="M51" s="21"/>
      <c r="N51" s="21" t="s">
        <v>69</v>
      </c>
      <c r="O51" s="21"/>
      <c r="P51" s="21" t="s">
        <v>69</v>
      </c>
      <c r="Q51" s="21"/>
      <c r="R51" s="21"/>
      <c r="S51" s="21"/>
      <c r="T51" s="21" t="s">
        <v>69</v>
      </c>
      <c r="U51" s="21"/>
      <c r="V51" s="22"/>
      <c r="W51" s="23" t="str">
        <f t="shared" si="2"/>
        <v>OK</v>
      </c>
    </row>
    <row r="52" spans="1:23" ht="20.100000000000001" customHeight="1" x14ac:dyDescent="0.25">
      <c r="A52" s="18" t="s">
        <v>190</v>
      </c>
      <c r="B52" s="19" t="s">
        <v>68</v>
      </c>
      <c r="C52" s="20">
        <v>40</v>
      </c>
      <c r="D52" s="20">
        <v>41</v>
      </c>
      <c r="E52" s="20">
        <f t="shared" si="1"/>
        <v>1</v>
      </c>
      <c r="F52" s="21" t="s">
        <v>69</v>
      </c>
      <c r="G52" s="21"/>
      <c r="H52" s="21"/>
      <c r="I52" s="21"/>
      <c r="J52" s="21"/>
      <c r="K52" s="21"/>
      <c r="L52" s="21" t="s">
        <v>69</v>
      </c>
      <c r="M52" s="21"/>
      <c r="N52" s="21" t="s">
        <v>69</v>
      </c>
      <c r="O52" s="21"/>
      <c r="P52" s="21" t="s">
        <v>69</v>
      </c>
      <c r="Q52" s="21"/>
      <c r="R52" s="21"/>
      <c r="S52" s="21"/>
      <c r="T52" s="21" t="s">
        <v>69</v>
      </c>
      <c r="U52" s="21"/>
      <c r="V52" s="22"/>
      <c r="W52" s="23" t="str">
        <f t="shared" si="2"/>
        <v>OK</v>
      </c>
    </row>
    <row r="53" spans="1:23" ht="20.100000000000001" customHeight="1" x14ac:dyDescent="0.25">
      <c r="A53" s="12" t="s">
        <v>190</v>
      </c>
      <c r="B53" s="13" t="s">
        <v>68</v>
      </c>
      <c r="C53" s="14">
        <v>41</v>
      </c>
      <c r="D53" s="14">
        <v>41.676456106899998</v>
      </c>
      <c r="E53" s="14">
        <f t="shared" si="1"/>
        <v>0.67645610689999813</v>
      </c>
      <c r="F53" s="15" t="s">
        <v>69</v>
      </c>
      <c r="G53" s="15"/>
      <c r="H53" s="15"/>
      <c r="I53" s="15"/>
      <c r="J53" s="15"/>
      <c r="K53" s="15"/>
      <c r="L53" s="15" t="s">
        <v>69</v>
      </c>
      <c r="M53" s="15"/>
      <c r="N53" s="15" t="s">
        <v>69</v>
      </c>
      <c r="O53" s="15"/>
      <c r="P53" s="15" t="s">
        <v>69</v>
      </c>
      <c r="Q53" s="15"/>
      <c r="R53" s="15"/>
      <c r="S53" s="15"/>
      <c r="T53" s="15" t="s">
        <v>69</v>
      </c>
      <c r="U53" s="15"/>
      <c r="V53" s="16"/>
      <c r="W53" s="17" t="str">
        <f t="shared" si="2"/>
        <v>OK</v>
      </c>
    </row>
    <row r="54" spans="1:23" ht="15.95" customHeight="1" x14ac:dyDescent="0.25">
      <c r="A54" s="35" t="s">
        <v>191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4"/>
      <c r="W54" s="4"/>
    </row>
    <row r="55" spans="1:23" ht="20.100000000000001" customHeight="1" x14ac:dyDescent="0.25">
      <c r="A55" s="18" t="s">
        <v>192</v>
      </c>
      <c r="B55" s="19" t="s">
        <v>68</v>
      </c>
      <c r="C55" s="20">
        <v>0</v>
      </c>
      <c r="D55" s="20">
        <v>1</v>
      </c>
      <c r="E55" s="20">
        <f>D55-C55</f>
        <v>1</v>
      </c>
      <c r="F55" s="21"/>
      <c r="G55" s="21" t="s">
        <v>69</v>
      </c>
      <c r="H55" s="21"/>
      <c r="I55" s="21"/>
      <c r="J55" s="21"/>
      <c r="K55" s="21"/>
      <c r="L55" s="21" t="s">
        <v>69</v>
      </c>
      <c r="M55" s="21"/>
      <c r="N55" s="21" t="s">
        <v>69</v>
      </c>
      <c r="O55" s="21"/>
      <c r="P55" s="21" t="s">
        <v>69</v>
      </c>
      <c r="Q55" s="21"/>
      <c r="R55" s="21"/>
      <c r="S55" s="21"/>
      <c r="T55" s="21" t="s">
        <v>69</v>
      </c>
      <c r="U55" s="21"/>
      <c r="V55" s="22"/>
      <c r="W55" s="23" t="str">
        <f>IF(COUNTA(F55:U55)=0,"— não preenchido",IF(COUNTIF(F55:J55,"X")&lt;&gt;1,"FALTA/DUPLA: CONDIÇÃO DO PAVIMENTO",IF(COUNTIF(K55:L55,"X")&lt;&gt;1,"FALTA/DUPLA: VEGETAÇÃO",IF(COUNTIF(M55:O55,"X")&lt;&gt;1,"FALTA/DUPLA: ELEM. DE DRENAGEM",IF(COUNTIF(P55:R55,"X")&lt;&gt;1,"FALTA/DUPLA: SIN. HORIZ.",IF(COUNTIF(S55:U55,"X")&lt;&gt;1,"FALTA/DUPLA: SIN. VERTICAL","OK"))))))</f>
        <v>OK</v>
      </c>
    </row>
    <row r="56" spans="1:23" ht="20.100000000000001" customHeight="1" x14ac:dyDescent="0.25">
      <c r="A56" s="18" t="s">
        <v>192</v>
      </c>
      <c r="B56" s="19" t="s">
        <v>68</v>
      </c>
      <c r="C56" s="20">
        <v>1</v>
      </c>
      <c r="D56" s="20">
        <v>2</v>
      </c>
      <c r="E56" s="20">
        <f>D56-C56</f>
        <v>1</v>
      </c>
      <c r="F56" s="21"/>
      <c r="G56" s="21" t="s">
        <v>69</v>
      </c>
      <c r="H56" s="21"/>
      <c r="I56" s="21"/>
      <c r="J56" s="21"/>
      <c r="K56" s="21"/>
      <c r="L56" s="21" t="s">
        <v>69</v>
      </c>
      <c r="M56" s="21"/>
      <c r="N56" s="21" t="s">
        <v>69</v>
      </c>
      <c r="O56" s="21"/>
      <c r="P56" s="21" t="s">
        <v>69</v>
      </c>
      <c r="Q56" s="21"/>
      <c r="R56" s="21"/>
      <c r="S56" s="21"/>
      <c r="T56" s="21" t="s">
        <v>69</v>
      </c>
      <c r="U56" s="21"/>
      <c r="V56" s="22"/>
      <c r="W56" s="23" t="str">
        <f>IF(COUNTA(F56:U56)=0,"— não preenchido",IF(COUNTIF(F56:J56,"X")&lt;&gt;1,"FALTA/DUPLA: CONDIÇÃO DO PAVIMENTO",IF(COUNTIF(K56:L56,"X")&lt;&gt;1,"FALTA/DUPLA: VEGETAÇÃO",IF(COUNTIF(M56:O56,"X")&lt;&gt;1,"FALTA/DUPLA: ELEM. DE DRENAGEM",IF(COUNTIF(P56:R56,"X")&lt;&gt;1,"FALTA/DUPLA: SIN. HORIZ.",IF(COUNTIF(S56:U56,"X")&lt;&gt;1,"FALTA/DUPLA: SIN. VERTICAL","OK"))))))</f>
        <v>OK</v>
      </c>
    </row>
    <row r="57" spans="1:23" ht="20.100000000000001" customHeight="1" x14ac:dyDescent="0.25">
      <c r="A57" s="18" t="s">
        <v>192</v>
      </c>
      <c r="B57" s="19" t="s">
        <v>68</v>
      </c>
      <c r="C57" s="20">
        <v>2</v>
      </c>
      <c r="D57" s="20">
        <v>3</v>
      </c>
      <c r="E57" s="20">
        <f>D57-C57</f>
        <v>1</v>
      </c>
      <c r="F57" s="21"/>
      <c r="G57" s="21"/>
      <c r="H57" s="21" t="s">
        <v>69</v>
      </c>
      <c r="I57" s="21"/>
      <c r="J57" s="21"/>
      <c r="K57" s="21"/>
      <c r="L57" s="21" t="s">
        <v>69</v>
      </c>
      <c r="M57" s="21"/>
      <c r="N57" s="21" t="s">
        <v>69</v>
      </c>
      <c r="O57" s="21"/>
      <c r="P57" s="21" t="s">
        <v>69</v>
      </c>
      <c r="Q57" s="21"/>
      <c r="R57" s="21"/>
      <c r="S57" s="21"/>
      <c r="T57" s="21" t="s">
        <v>69</v>
      </c>
      <c r="U57" s="21"/>
      <c r="V57" s="22"/>
      <c r="W57" s="23" t="str">
        <f>IF(COUNTA(F57:U57)=0,"— não preenchido",IF(COUNTIF(F57:J57,"X")&lt;&gt;1,"FALTA/DUPLA: CONDIÇÃO DO PAVIMENTO",IF(COUNTIF(K57:L57,"X")&lt;&gt;1,"FALTA/DUPLA: VEGETAÇÃO",IF(COUNTIF(M57:O57,"X")&lt;&gt;1,"FALTA/DUPLA: ELEM. DE DRENAGEM",IF(COUNTIF(P57:R57,"X")&lt;&gt;1,"FALTA/DUPLA: SIN. HORIZ.",IF(COUNTIF(S57:U57,"X")&lt;&gt;1,"FALTA/DUPLA: SIN. VERTICAL","OK"))))))</f>
        <v>OK</v>
      </c>
    </row>
    <row r="58" spans="1:23" ht="20.100000000000001" customHeight="1" x14ac:dyDescent="0.25">
      <c r="A58" s="18" t="s">
        <v>192</v>
      </c>
      <c r="B58" s="19" t="s">
        <v>68</v>
      </c>
      <c r="C58" s="20">
        <v>3</v>
      </c>
      <c r="D58" s="20">
        <v>4</v>
      </c>
      <c r="E58" s="20">
        <f>D58-C58</f>
        <v>1</v>
      </c>
      <c r="F58" s="21"/>
      <c r="G58" s="21"/>
      <c r="H58" s="21" t="s">
        <v>69</v>
      </c>
      <c r="I58" s="21"/>
      <c r="J58" s="21"/>
      <c r="K58" s="21"/>
      <c r="L58" s="21" t="s">
        <v>69</v>
      </c>
      <c r="M58" s="21"/>
      <c r="N58" s="21" t="s">
        <v>69</v>
      </c>
      <c r="O58" s="21"/>
      <c r="P58" s="21" t="s">
        <v>69</v>
      </c>
      <c r="Q58" s="21"/>
      <c r="R58" s="21"/>
      <c r="S58" s="21"/>
      <c r="T58" s="21" t="s">
        <v>69</v>
      </c>
      <c r="U58" s="21"/>
      <c r="V58" s="22"/>
      <c r="W58" s="23" t="str">
        <f>IF(COUNTA(F58:U58)=0,"— não preenchido",IF(COUNTIF(F58:J58,"X")&lt;&gt;1,"FALTA/DUPLA: CONDIÇÃO DO PAVIMENTO",IF(COUNTIF(K58:L58,"X")&lt;&gt;1,"FALTA/DUPLA: VEGETAÇÃO",IF(COUNTIF(M58:O58,"X")&lt;&gt;1,"FALTA/DUPLA: ELEM. DE DRENAGEM",IF(COUNTIF(P58:R58,"X")&lt;&gt;1,"FALTA/DUPLA: SIN. HORIZ.",IF(COUNTIF(S58:U58,"X")&lt;&gt;1,"FALTA/DUPLA: SIN. VERTICAL","OK"))))))</f>
        <v>OK</v>
      </c>
    </row>
    <row r="59" spans="1:23" ht="20.100000000000001" customHeight="1" x14ac:dyDescent="0.25">
      <c r="A59" s="12" t="s">
        <v>192</v>
      </c>
      <c r="B59" s="13" t="s">
        <v>68</v>
      </c>
      <c r="C59" s="14">
        <v>4</v>
      </c>
      <c r="D59" s="14">
        <v>4.1233136154199999</v>
      </c>
      <c r="E59" s="14">
        <f>D59-C59</f>
        <v>0.12331361541999986</v>
      </c>
      <c r="F59" s="15" t="s">
        <v>69</v>
      </c>
      <c r="G59" s="15"/>
      <c r="H59" s="15"/>
      <c r="I59" s="15"/>
      <c r="J59" s="15"/>
      <c r="K59" s="15"/>
      <c r="L59" s="15" t="s">
        <v>69</v>
      </c>
      <c r="M59" s="15"/>
      <c r="N59" s="15" t="s">
        <v>69</v>
      </c>
      <c r="O59" s="15"/>
      <c r="P59" s="15" t="s">
        <v>69</v>
      </c>
      <c r="Q59" s="15"/>
      <c r="R59" s="15"/>
      <c r="S59" s="15"/>
      <c r="T59" s="15" t="s">
        <v>69</v>
      </c>
      <c r="U59" s="15"/>
      <c r="V59" s="16"/>
      <c r="W59" s="17" t="str">
        <f>IF(COUNTA(F59:U59)=0,"— não preenchido",IF(COUNTIF(F59:J59,"X")&lt;&gt;1,"FALTA/DUPLA: CONDIÇÃO DO PAVIMENTO",IF(COUNTIF(K59:L59,"X")&lt;&gt;1,"FALTA/DUPLA: VEGETAÇÃO",IF(COUNTIF(M59:O59,"X")&lt;&gt;1,"FALTA/DUPLA: ELEM. DE DRENAGEM",IF(COUNTIF(P59:R59,"X")&lt;&gt;1,"FALTA/DUPLA: SIN. HORIZ.",IF(COUNTIF(S59:U59,"X")&lt;&gt;1,"FALTA/DUPLA: SIN. VERTICAL","OK"))))))</f>
        <v>OK</v>
      </c>
    </row>
    <row r="61" spans="1:23" x14ac:dyDescent="0.25">
      <c r="A61" s="40" t="s">
        <v>78</v>
      </c>
      <c r="B61" s="28"/>
      <c r="C61" s="28"/>
      <c r="D61" s="28"/>
      <c r="E61" s="28"/>
      <c r="G61" s="40" t="s">
        <v>78</v>
      </c>
      <c r="H61" s="28"/>
      <c r="I61" s="28"/>
      <c r="J61" s="28"/>
      <c r="K61" s="28"/>
    </row>
    <row r="62" spans="1:23" x14ac:dyDescent="0.25">
      <c r="A62" s="44" t="s">
        <v>79</v>
      </c>
      <c r="B62" s="28"/>
      <c r="C62" s="28"/>
      <c r="D62" s="28"/>
      <c r="E62" s="28"/>
      <c r="G62" s="44" t="s">
        <v>80</v>
      </c>
      <c r="H62" s="28"/>
      <c r="I62" s="28"/>
      <c r="J62" s="28"/>
      <c r="K62" s="28"/>
    </row>
    <row r="64" spans="1:23" x14ac:dyDescent="0.25">
      <c r="A64" s="41" t="s">
        <v>81</v>
      </c>
      <c r="B64" s="28"/>
      <c r="C64" s="28"/>
      <c r="D64" s="28"/>
      <c r="E64" s="28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</row>
    <row r="65" spans="1:22" x14ac:dyDescent="0.25">
      <c r="A65" s="43" t="s">
        <v>82</v>
      </c>
      <c r="B65" s="28"/>
      <c r="C65" s="28"/>
      <c r="D65" s="28"/>
      <c r="E65" s="28"/>
      <c r="F65" s="9">
        <f t="shared" ref="F65:U65" si="3">SUMIF(F$9:F$59,"X",$E$9:$E$59)</f>
        <v>20.217170891288998</v>
      </c>
      <c r="G65" s="9">
        <f t="shared" si="3"/>
        <v>12</v>
      </c>
      <c r="H65" s="9">
        <f t="shared" si="3"/>
        <v>14</v>
      </c>
      <c r="I65" s="9">
        <f t="shared" si="3"/>
        <v>0</v>
      </c>
      <c r="J65" s="9">
        <f t="shared" si="3"/>
        <v>0</v>
      </c>
      <c r="K65" s="9">
        <f t="shared" si="3"/>
        <v>0</v>
      </c>
      <c r="L65" s="9">
        <f t="shared" si="3"/>
        <v>46.217170891289001</v>
      </c>
      <c r="M65" s="9">
        <f t="shared" si="3"/>
        <v>0</v>
      </c>
      <c r="N65" s="9">
        <f t="shared" si="3"/>
        <v>46.217170891289001</v>
      </c>
      <c r="O65" s="9">
        <f t="shared" si="3"/>
        <v>0</v>
      </c>
      <c r="P65" s="9">
        <f t="shared" si="3"/>
        <v>46.217170891289001</v>
      </c>
      <c r="Q65" s="9">
        <f t="shared" si="3"/>
        <v>0</v>
      </c>
      <c r="R65" s="9">
        <f t="shared" si="3"/>
        <v>0</v>
      </c>
      <c r="S65" s="9">
        <f t="shared" si="3"/>
        <v>0</v>
      </c>
      <c r="T65" s="9">
        <f t="shared" si="3"/>
        <v>46.217170891289001</v>
      </c>
      <c r="U65" s="9">
        <f t="shared" si="3"/>
        <v>0</v>
      </c>
    </row>
    <row r="66" spans="1:22" x14ac:dyDescent="0.25">
      <c r="A66" s="43" t="s">
        <v>83</v>
      </c>
      <c r="B66" s="28"/>
      <c r="C66" s="28"/>
      <c r="D66" s="28"/>
      <c r="E66" s="28"/>
      <c r="F66" s="25">
        <f t="shared" ref="F66:U66" si="4">IF($R68=0,0,F65/$R68)</f>
        <v>0.43743852125530092</v>
      </c>
      <c r="G66" s="25">
        <f t="shared" si="4"/>
        <v>0.25964375942063034</v>
      </c>
      <c r="H66" s="25">
        <f t="shared" si="4"/>
        <v>0.30291771932406869</v>
      </c>
      <c r="I66" s="25">
        <f t="shared" si="4"/>
        <v>0</v>
      </c>
      <c r="J66" s="25">
        <f t="shared" si="4"/>
        <v>0</v>
      </c>
      <c r="K66" s="25">
        <f t="shared" si="4"/>
        <v>0</v>
      </c>
      <c r="L66" s="25">
        <f t="shared" si="4"/>
        <v>1</v>
      </c>
      <c r="M66" s="25">
        <f t="shared" si="4"/>
        <v>0</v>
      </c>
      <c r="N66" s="25">
        <f t="shared" si="4"/>
        <v>1</v>
      </c>
      <c r="O66" s="25">
        <f t="shared" si="4"/>
        <v>0</v>
      </c>
      <c r="P66" s="25">
        <f t="shared" si="4"/>
        <v>1</v>
      </c>
      <c r="Q66" s="25">
        <f t="shared" si="4"/>
        <v>0</v>
      </c>
      <c r="R66" s="25">
        <f t="shared" si="4"/>
        <v>0</v>
      </c>
      <c r="S66" s="25">
        <f t="shared" si="4"/>
        <v>0</v>
      </c>
      <c r="T66" s="25">
        <f t="shared" si="4"/>
        <v>1</v>
      </c>
      <c r="U66" s="25">
        <f t="shared" si="4"/>
        <v>0</v>
      </c>
    </row>
    <row r="67" spans="1:22" x14ac:dyDescent="0.25">
      <c r="A67" s="43" t="s">
        <v>84</v>
      </c>
      <c r="B67" s="28"/>
      <c r="C67" s="28"/>
      <c r="D67" s="28"/>
      <c r="E67" s="28"/>
      <c r="F67" s="42" t="str">
        <f>IF(SUM(F65:J65)=0,"— não preenchido",IF(ROUND(SUM(F65:J65)-$R68,3)=0,"OK — "&amp;ROUND(SUM(F65:J65),3)&amp;" km","ERRO — dif. de "&amp;ROUND(SUM(F65:J65)-$R68,3)&amp;" km"))</f>
        <v>OK — 46,217 km</v>
      </c>
      <c r="G67" s="33"/>
      <c r="H67" s="33"/>
      <c r="I67" s="33"/>
      <c r="J67" s="34"/>
      <c r="K67" s="42" t="str">
        <f>IF(SUM(K65:L65)=0,"— não preenchido",IF(ROUND(SUM(K65:L65)-$R68,3)=0,"OK — "&amp;ROUND(SUM(K65:L65),3)&amp;" km","ERRO — dif. de "&amp;ROUND(SUM(K65:L65)-$R68,3)&amp;" km"))</f>
        <v>OK — 46,217 km</v>
      </c>
      <c r="L67" s="34"/>
      <c r="M67" s="42" t="str">
        <f>IF(SUM(M65:O65)=0,"— não preenchido",IF(ROUND(SUM(M65:O65)-$R68,3)=0,"OK — "&amp;ROUND(SUM(M65:O65),3)&amp;" km","ERRO — dif. de "&amp;ROUND(SUM(M65:O65)-$R68,3)&amp;" km"))</f>
        <v>OK — 46,217 km</v>
      </c>
      <c r="N67" s="33"/>
      <c r="O67" s="34"/>
      <c r="P67" s="42" t="str">
        <f>IF(SUM(P65:R65)=0,"— não preenchido",IF(ROUND(SUM(P65:R65)-$R68,3)=0,"OK — "&amp;ROUND(SUM(P65:R65),3)&amp;" km","ERRO — dif. de "&amp;ROUND(SUM(P65:R65)-$R68,3)&amp;" km"))</f>
        <v>OK — 46,217 km</v>
      </c>
      <c r="Q67" s="33"/>
      <c r="R67" s="34"/>
      <c r="S67" s="42" t="str">
        <f>IF(SUM(S65:U65)=0,"— não preenchido",IF(ROUND(SUM(S65:U65)-$R68,3)=0,"OK — "&amp;ROUND(SUM(S65:U65),3)&amp;" km","ERRO — dif. de "&amp;ROUND(SUM(S65:U65)-$R68,3)&amp;" km"))</f>
        <v>OK — 46,217 km</v>
      </c>
      <c r="T67" s="33"/>
      <c r="U67" s="34"/>
    </row>
    <row r="68" spans="1:22" x14ac:dyDescent="0.25">
      <c r="A68" s="43" t="s">
        <v>85</v>
      </c>
      <c r="B68" s="28"/>
      <c r="C68" s="28"/>
      <c r="D68" s="28"/>
      <c r="E68" s="28"/>
      <c r="R68" s="26">
        <f>SUM(E9:E59)</f>
        <v>46.217170891289001</v>
      </c>
      <c r="V68" s="8" t="str">
        <f>COUNTIF(W9:W59,"OK")&amp;" de "&amp;COUNT($E$9:$E$59)&amp;" linhas conferidas"</f>
        <v>48 de 48 linhas conferidas</v>
      </c>
    </row>
    <row r="70" spans="1:22" x14ac:dyDescent="0.25">
      <c r="A70" s="37" t="s">
        <v>86</v>
      </c>
      <c r="B70" s="28"/>
      <c r="C70" s="28"/>
      <c r="D70" s="28"/>
      <c r="E70" s="28"/>
    </row>
    <row r="71" spans="1:22" x14ac:dyDescent="0.25">
      <c r="A71" s="43" t="s">
        <v>87</v>
      </c>
      <c r="B71" s="28"/>
      <c r="C71" s="28"/>
      <c r="D71" s="28"/>
      <c r="E71" s="31" t="s">
        <v>88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43" t="s">
        <v>89</v>
      </c>
      <c r="B72" s="28"/>
      <c r="C72" s="28"/>
      <c r="D72" s="28"/>
      <c r="E72" s="31" t="s">
        <v>90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43" t="s">
        <v>91</v>
      </c>
      <c r="B73" s="28"/>
      <c r="C73" s="28"/>
      <c r="D73" s="28"/>
      <c r="E73" s="31" t="s">
        <v>92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43" t="s">
        <v>93</v>
      </c>
      <c r="B74" s="28"/>
      <c r="C74" s="28"/>
      <c r="D74" s="28"/>
      <c r="E74" s="31" t="s">
        <v>94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43" t="s">
        <v>95</v>
      </c>
      <c r="B75" s="28"/>
      <c r="C75" s="28"/>
      <c r="D75" s="28"/>
      <c r="E75" s="31" t="s">
        <v>96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43" t="s">
        <v>60</v>
      </c>
      <c r="B76" s="28"/>
      <c r="C76" s="28"/>
      <c r="D76" s="28"/>
      <c r="E76" s="31" t="s">
        <v>97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43" t="s">
        <v>98</v>
      </c>
      <c r="B77" s="28"/>
      <c r="C77" s="28"/>
      <c r="D77" s="28"/>
      <c r="E77" s="31" t="s">
        <v>99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x14ac:dyDescent="0.25">
      <c r="A78" s="43" t="s">
        <v>100</v>
      </c>
      <c r="B78" s="28"/>
      <c r="C78" s="28"/>
      <c r="D78" s="28"/>
      <c r="E78" s="31" t="s">
        <v>101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x14ac:dyDescent="0.25">
      <c r="A79" s="43" t="s">
        <v>11</v>
      </c>
      <c r="B79" s="28"/>
      <c r="C79" s="28"/>
      <c r="D79" s="28"/>
      <c r="E79" s="31" t="s">
        <v>102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</sheetData>
  <sheetProtection sheet="1" formatCells="0"/>
  <mergeCells count="60">
    <mergeCell ref="A79:D79"/>
    <mergeCell ref="E76:V76"/>
    <mergeCell ref="A11:V11"/>
    <mergeCell ref="E72:V72"/>
    <mergeCell ref="A1:V1"/>
    <mergeCell ref="A78:D78"/>
    <mergeCell ref="E75:V75"/>
    <mergeCell ref="E79:V79"/>
    <mergeCell ref="T3:V3"/>
    <mergeCell ref="A54:V54"/>
    <mergeCell ref="F67:J67"/>
    <mergeCell ref="A75:D75"/>
    <mergeCell ref="A62:E62"/>
    <mergeCell ref="A74:D74"/>
    <mergeCell ref="M67:O67"/>
    <mergeCell ref="E71:V71"/>
    <mergeCell ref="W6:W7"/>
    <mergeCell ref="E6:E7"/>
    <mergeCell ref="A73:D73"/>
    <mergeCell ref="A66:E66"/>
    <mergeCell ref="B6:B7"/>
    <mergeCell ref="G62:K62"/>
    <mergeCell ref="K67:L67"/>
    <mergeCell ref="A68:E68"/>
    <mergeCell ref="C6:C7"/>
    <mergeCell ref="A71:D71"/>
    <mergeCell ref="K6:L6"/>
    <mergeCell ref="D6:D7"/>
    <mergeCell ref="P6:R6"/>
    <mergeCell ref="A67:E67"/>
    <mergeCell ref="E78:V78"/>
    <mergeCell ref="G61:K61"/>
    <mergeCell ref="A4:V4"/>
    <mergeCell ref="V6:V7"/>
    <mergeCell ref="M6:O6"/>
    <mergeCell ref="A70:E70"/>
    <mergeCell ref="S6:U6"/>
    <mergeCell ref="A10:V10"/>
    <mergeCell ref="A65:E65"/>
    <mergeCell ref="E74:V74"/>
    <mergeCell ref="A77:D77"/>
    <mergeCell ref="E77:V77"/>
    <mergeCell ref="E73:V73"/>
    <mergeCell ref="S67:U67"/>
    <mergeCell ref="A76:D76"/>
    <mergeCell ref="G2:H2"/>
    <mergeCell ref="A64:E64"/>
    <mergeCell ref="I2:J2"/>
    <mergeCell ref="A8:V8"/>
    <mergeCell ref="A72:D72"/>
    <mergeCell ref="P67:R67"/>
    <mergeCell ref="A6:A7"/>
    <mergeCell ref="A61:E61"/>
    <mergeCell ref="F6:J6"/>
    <mergeCell ref="A2:F2"/>
    <mergeCell ref="K2:M2"/>
    <mergeCell ref="N2:O2"/>
    <mergeCell ref="P2:Q2"/>
    <mergeCell ref="R2:V2"/>
    <mergeCell ref="A3:S3"/>
  </mergeCells>
  <conditionalFormatting sqref="F9:J59">
    <cfRule type="expression" dxfId="152" priority="1">
      <formula>AND(F9&lt;&gt;"",COUNTIF($F9:$J9,"X")&gt;1)</formula>
    </cfRule>
  </conditionalFormatting>
  <conditionalFormatting sqref="F67:U67">
    <cfRule type="expression" dxfId="151" priority="8">
      <formula>LEFT(F67,4)="ERRO"</formula>
    </cfRule>
    <cfRule type="expression" dxfId="150" priority="9">
      <formula>LEFT(F67,2)="OK"</formula>
    </cfRule>
  </conditionalFormatting>
  <conditionalFormatting sqref="K9:L59">
    <cfRule type="expression" dxfId="149" priority="2">
      <formula>AND(K9&lt;&gt;"",COUNTIF($K9:$L9,"X")&gt;1)</formula>
    </cfRule>
  </conditionalFormatting>
  <conditionalFormatting sqref="M9:O59">
    <cfRule type="expression" dxfId="148" priority="3">
      <formula>AND(M9&lt;&gt;"",COUNTIF($M9:$O9,"X")&gt;1)</formula>
    </cfRule>
  </conditionalFormatting>
  <conditionalFormatting sqref="P9:R59">
    <cfRule type="expression" dxfId="147" priority="4">
      <formula>AND(P9&lt;&gt;"",COUNTIF($P9:$R9,"X")&gt;1)</formula>
    </cfRule>
  </conditionalFormatting>
  <conditionalFormatting sqref="S9:U59">
    <cfRule type="expression" dxfId="146" priority="5">
      <formula>AND(S9&lt;&gt;"",COUNTIF($S9:$U9,"X")&gt;1)</formula>
    </cfRule>
  </conditionalFormatting>
  <conditionalFormatting sqref="W9:W59">
    <cfRule type="expression" dxfId="145" priority="6">
      <formula>AND(W9&lt;&gt;"OK",W9&lt;&gt;"")</formula>
    </cfRule>
    <cfRule type="expression" dxfId="14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9" xr:uid="{00000000-0002-0000-0C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9" xr:uid="{00000000-0002-0000-0C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9" xr:uid="{00000000-0002-0000-0C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9" xr:uid="{00000000-0002-0000-0C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9" xr:uid="{00000000-0002-0000-0C00-000004000000}">
      <formula1>AND(UPPER(S9)="X",COUNTIF($S9:$U9,"X")&lt;=1)</formula1>
    </dataValidation>
    <dataValidation type="list" showErrorMessage="1" errorTitle="Sentido inválido" error="Use C (crescente) ou D (decrescente)." sqref="B9:B59" xr:uid="{00000000-0002-0000-0C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13</oddHeader>
    <oddFooter>&amp;L&amp;7 RTA / MSI — Programa de Manutenção Rodoviária&amp;C&amp;7 Página &amp;P de &amp;N&amp;R&amp;7 Impresso em &amp;D</oddFooter>
  </headerFooter>
  <rowBreaks count="1" manualBreakCount="1">
    <brk id="62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AN47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IF(F33=0,NA(),F33)</f>
        <v>11.9106578317</v>
      </c>
      <c r="Z2" s="2" t="e">
        <f t="shared" si="0"/>
        <v>#N/A</v>
      </c>
      <c r="AA2" s="2">
        <f t="shared" si="0"/>
        <v>2</v>
      </c>
      <c r="AB2" s="2">
        <f t="shared" si="0"/>
        <v>2</v>
      </c>
      <c r="AC2" s="2" t="e">
        <f t="shared" si="0"/>
        <v>#N/A</v>
      </c>
      <c r="AD2" s="2" t="e">
        <f t="shared" si="0"/>
        <v>#N/A</v>
      </c>
      <c r="AE2" s="2">
        <f t="shared" si="0"/>
        <v>15.9106578317</v>
      </c>
      <c r="AF2" s="2">
        <f t="shared" si="0"/>
        <v>2.37361729672</v>
      </c>
      <c r="AG2" s="2">
        <f t="shared" si="0"/>
        <v>13.537040534980001</v>
      </c>
      <c r="AH2" s="2" t="e">
        <f t="shared" si="0"/>
        <v>#N/A</v>
      </c>
      <c r="AI2" s="2">
        <f t="shared" si="0"/>
        <v>7.2897588603600001</v>
      </c>
      <c r="AJ2" s="2">
        <f t="shared" si="0"/>
        <v>8.6208989713400008</v>
      </c>
      <c r="AK2" s="2" t="e">
        <f t="shared" si="0"/>
        <v>#N/A</v>
      </c>
      <c r="AL2" s="2">
        <f t="shared" si="0"/>
        <v>2.37361729672</v>
      </c>
      <c r="AM2" s="2">
        <f t="shared" si="0"/>
        <v>13.537040534980001</v>
      </c>
      <c r="AN2" s="2" t="e">
        <f t="shared" si="0"/>
        <v>#N/A</v>
      </c>
    </row>
    <row r="3" spans="1:40" ht="15" customHeight="1" x14ac:dyDescent="0.25">
      <c r="A3" s="49" t="s">
        <v>193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194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195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196</v>
      </c>
      <c r="B9" s="19" t="s">
        <v>68</v>
      </c>
      <c r="C9" s="20">
        <v>0</v>
      </c>
      <c r="D9" s="20">
        <v>1</v>
      </c>
      <c r="E9" s="20">
        <f t="shared" ref="E9:E15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/>
      <c r="Q9" s="21" t="s">
        <v>69</v>
      </c>
      <c r="R9" s="21"/>
      <c r="S9" s="21"/>
      <c r="T9" s="21" t="s">
        <v>69</v>
      </c>
      <c r="U9" s="21"/>
      <c r="V9" s="22"/>
      <c r="W9" s="23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196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/>
      <c r="Q10" s="21" t="s">
        <v>69</v>
      </c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196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/>
      <c r="Q11" s="21" t="s">
        <v>69</v>
      </c>
      <c r="R11" s="21"/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196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 t="s">
        <v>69</v>
      </c>
      <c r="G12" s="21"/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/>
      <c r="Q12" s="21" t="s">
        <v>69</v>
      </c>
      <c r="R12" s="21"/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196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/>
      <c r="Q13" s="21" t="s">
        <v>69</v>
      </c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196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/>
      <c r="Q14" s="21" t="s">
        <v>69</v>
      </c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2" t="s">
        <v>196</v>
      </c>
      <c r="B15" s="13" t="s">
        <v>68</v>
      </c>
      <c r="C15" s="14">
        <v>6</v>
      </c>
      <c r="D15" s="14">
        <v>6.6208989713399999</v>
      </c>
      <c r="E15" s="14">
        <f t="shared" si="1"/>
        <v>0.62089897133999994</v>
      </c>
      <c r="F15" s="15" t="s">
        <v>69</v>
      </c>
      <c r="G15" s="15"/>
      <c r="H15" s="15"/>
      <c r="I15" s="15"/>
      <c r="J15" s="15"/>
      <c r="K15" s="15"/>
      <c r="L15" s="15" t="s">
        <v>69</v>
      </c>
      <c r="M15" s="15"/>
      <c r="N15" s="15" t="s">
        <v>69</v>
      </c>
      <c r="O15" s="15"/>
      <c r="P15" s="15"/>
      <c r="Q15" s="15" t="s">
        <v>69</v>
      </c>
      <c r="R15" s="15"/>
      <c r="S15" s="15"/>
      <c r="T15" s="15" t="s">
        <v>69</v>
      </c>
      <c r="U15" s="15"/>
      <c r="V15" s="16"/>
      <c r="W15" s="17" t="str">
        <f t="shared" si="2"/>
        <v>OK</v>
      </c>
    </row>
    <row r="16" spans="1:40" ht="15.95" customHeight="1" x14ac:dyDescent="0.25">
      <c r="A16" s="35" t="s">
        <v>197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4"/>
      <c r="W16" s="4"/>
    </row>
    <row r="17" spans="1:23" ht="20.100000000000001" customHeight="1" x14ac:dyDescent="0.25">
      <c r="A17" s="18" t="s">
        <v>198</v>
      </c>
      <c r="B17" s="19" t="s">
        <v>68</v>
      </c>
      <c r="C17" s="20">
        <v>0</v>
      </c>
      <c r="D17" s="20">
        <v>1</v>
      </c>
      <c r="E17" s="20">
        <f>D17-C17</f>
        <v>1</v>
      </c>
      <c r="F17" s="21"/>
      <c r="G17" s="21"/>
      <c r="H17" s="21"/>
      <c r="I17" s="21" t="s">
        <v>69</v>
      </c>
      <c r="J17" s="21"/>
      <c r="K17" s="21"/>
      <c r="L17" s="21" t="s">
        <v>69</v>
      </c>
      <c r="M17" s="21"/>
      <c r="N17" s="21" t="s">
        <v>69</v>
      </c>
      <c r="O17" s="21"/>
      <c r="P17" s="21"/>
      <c r="Q17" s="21" t="s">
        <v>69</v>
      </c>
      <c r="R17" s="21"/>
      <c r="S17" s="21"/>
      <c r="T17" s="21" t="s">
        <v>69</v>
      </c>
      <c r="U17" s="21"/>
      <c r="V17" s="22"/>
      <c r="W17" s="23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8" t="s">
        <v>198</v>
      </c>
      <c r="B18" s="19" t="s">
        <v>68</v>
      </c>
      <c r="C18" s="20">
        <v>1</v>
      </c>
      <c r="D18" s="20">
        <v>2</v>
      </c>
      <c r="E18" s="20">
        <f>D18-C18</f>
        <v>1</v>
      </c>
      <c r="F18" s="21"/>
      <c r="G18" s="21"/>
      <c r="H18" s="21"/>
      <c r="I18" s="21" t="s">
        <v>69</v>
      </c>
      <c r="J18" s="21"/>
      <c r="K18" s="21"/>
      <c r="L18" s="21" t="s">
        <v>69</v>
      </c>
      <c r="M18" s="21"/>
      <c r="N18" s="21" t="s">
        <v>69</v>
      </c>
      <c r="O18" s="21"/>
      <c r="P18" s="21"/>
      <c r="Q18" s="21" t="s">
        <v>69</v>
      </c>
      <c r="R18" s="21"/>
      <c r="S18" s="21"/>
      <c r="T18" s="21" t="s">
        <v>69</v>
      </c>
      <c r="U18" s="21"/>
      <c r="V18" s="22"/>
      <c r="W18" s="23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8" t="s">
        <v>198</v>
      </c>
      <c r="B19" s="19" t="s">
        <v>68</v>
      </c>
      <c r="C19" s="20">
        <v>2</v>
      </c>
      <c r="D19" s="20">
        <v>3</v>
      </c>
      <c r="E19" s="20">
        <f>D19-C19</f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 t="s">
        <v>69</v>
      </c>
      <c r="N19" s="21"/>
      <c r="O19" s="21"/>
      <c r="P19" s="21" t="s">
        <v>69</v>
      </c>
      <c r="Q19" s="21"/>
      <c r="R19" s="21"/>
      <c r="S19" s="21" t="s">
        <v>69</v>
      </c>
      <c r="T19" s="21"/>
      <c r="U19" s="21"/>
      <c r="V19" s="22"/>
      <c r="W19" s="23" t="str">
        <f>IF(COUNTA(F19:U19)=0,"— não preenchido",IF(COUNTIF(F19:J19,"X")&lt;&gt;1,"FALTA/DUPLA: CONDIÇÃO DO PAVIMENTO",IF(COUNTIF(K19:L19,"X")&lt;&gt;1,"FALTA/DUPLA: VEGETAÇÃO",IF(COUNTIF(M19:O19,"X")&lt;&gt;1,"FALTA/DUPLA: ELEM. DE DRENAGEM",IF(COUNTIF(P19:R19,"X")&lt;&gt;1,"FALTA/DUPLA: SIN. HORIZ.",IF(COUNTIF(S19:U19,"X")&lt;&gt;1,"FALTA/DUPLA: SIN. VERTICAL","OK"))))))</f>
        <v>OK</v>
      </c>
    </row>
    <row r="20" spans="1:23" ht="20.100000000000001" customHeight="1" x14ac:dyDescent="0.25">
      <c r="A20" s="12" t="s">
        <v>198</v>
      </c>
      <c r="B20" s="13" t="s">
        <v>68</v>
      </c>
      <c r="C20" s="14">
        <v>3</v>
      </c>
      <c r="D20" s="14">
        <v>3.37361729672</v>
      </c>
      <c r="E20" s="14">
        <f>D20-C20</f>
        <v>0.37361729671999999</v>
      </c>
      <c r="F20" s="15" t="s">
        <v>69</v>
      </c>
      <c r="G20" s="15"/>
      <c r="H20" s="15"/>
      <c r="I20" s="15"/>
      <c r="J20" s="15"/>
      <c r="K20" s="15"/>
      <c r="L20" s="15" t="s">
        <v>69</v>
      </c>
      <c r="M20" s="15" t="s">
        <v>69</v>
      </c>
      <c r="N20" s="15"/>
      <c r="O20" s="15"/>
      <c r="P20" s="15" t="s">
        <v>69</v>
      </c>
      <c r="Q20" s="15"/>
      <c r="R20" s="15"/>
      <c r="S20" s="15" t="s">
        <v>69</v>
      </c>
      <c r="T20" s="15"/>
      <c r="U20" s="15"/>
      <c r="V20" s="16"/>
      <c r="W20" s="17" t="str">
        <f>IF(COUNTA(F20:U20)=0,"— não preenchido",IF(COUNTIF(F20:J20,"X")&lt;&gt;1,"FALTA/DUPLA: CONDIÇÃO DO PAVIMENTO",IF(COUNTIF(K20:L20,"X")&lt;&gt;1,"FALTA/DUPLA: VEGETAÇÃO",IF(COUNTIF(M20:O20,"X")&lt;&gt;1,"FALTA/DUPLA: ELEM. DE DRENAGEM",IF(COUNTIF(P20:R20,"X")&lt;&gt;1,"FALTA/DUPLA: SIN. HORIZ.",IF(COUNTIF(S20:U20,"X")&lt;&gt;1,"FALTA/DUPLA: SIN. VERTICAL","OK"))))))</f>
        <v>OK</v>
      </c>
    </row>
    <row r="21" spans="1:23" ht="15.95" customHeight="1" x14ac:dyDescent="0.25">
      <c r="A21" s="35" t="s">
        <v>199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4"/>
      <c r="W21" s="4"/>
    </row>
    <row r="22" spans="1:23" ht="20.100000000000001" customHeight="1" x14ac:dyDescent="0.25">
      <c r="A22" s="18" t="s">
        <v>200</v>
      </c>
      <c r="B22" s="19" t="s">
        <v>68</v>
      </c>
      <c r="C22" s="20">
        <v>0</v>
      </c>
      <c r="D22" s="20">
        <v>1</v>
      </c>
      <c r="E22" s="20">
        <f t="shared" ref="E22:E27" si="3">D22-C22</f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 t="s">
        <v>69</v>
      </c>
      <c r="N22" s="21"/>
      <c r="O22" s="21"/>
      <c r="P22" s="21" t="s">
        <v>69</v>
      </c>
      <c r="Q22" s="21"/>
      <c r="R22" s="21"/>
      <c r="S22" s="21" t="s">
        <v>69</v>
      </c>
      <c r="T22" s="21"/>
      <c r="U22" s="21"/>
      <c r="V22" s="22"/>
      <c r="W22" s="23" t="str">
        <f t="shared" ref="W22:W27" si="4"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8" t="s">
        <v>200</v>
      </c>
      <c r="B23" s="19" t="s">
        <v>68</v>
      </c>
      <c r="C23" s="20">
        <v>1</v>
      </c>
      <c r="D23" s="20">
        <v>2</v>
      </c>
      <c r="E23" s="20">
        <f t="shared" si="3"/>
        <v>1</v>
      </c>
      <c r="F23" s="21" t="s">
        <v>69</v>
      </c>
      <c r="G23" s="21"/>
      <c r="H23" s="21"/>
      <c r="I23" s="21"/>
      <c r="J23" s="21"/>
      <c r="K23" s="21"/>
      <c r="L23" s="21" t="s">
        <v>69</v>
      </c>
      <c r="M23" s="21"/>
      <c r="N23" s="21" t="s">
        <v>69</v>
      </c>
      <c r="O23" s="21"/>
      <c r="P23" s="21" t="s">
        <v>69</v>
      </c>
      <c r="Q23" s="21"/>
      <c r="R23" s="21"/>
      <c r="S23" s="21"/>
      <c r="T23" s="21" t="s">
        <v>69</v>
      </c>
      <c r="U23" s="21"/>
      <c r="V23" s="22"/>
      <c r="W23" s="23" t="str">
        <f t="shared" si="4"/>
        <v>OK</v>
      </c>
    </row>
    <row r="24" spans="1:23" ht="20.100000000000001" customHeight="1" x14ac:dyDescent="0.25">
      <c r="A24" s="18" t="s">
        <v>200</v>
      </c>
      <c r="B24" s="19" t="s">
        <v>68</v>
      </c>
      <c r="C24" s="20">
        <v>2</v>
      </c>
      <c r="D24" s="20">
        <v>3</v>
      </c>
      <c r="E24" s="20">
        <f t="shared" si="3"/>
        <v>1</v>
      </c>
      <c r="F24" s="21" t="s">
        <v>69</v>
      </c>
      <c r="G24" s="21"/>
      <c r="H24" s="21"/>
      <c r="I24" s="21"/>
      <c r="J24" s="21"/>
      <c r="K24" s="21"/>
      <c r="L24" s="21" t="s">
        <v>69</v>
      </c>
      <c r="M24" s="21"/>
      <c r="N24" s="21" t="s">
        <v>69</v>
      </c>
      <c r="O24" s="21"/>
      <c r="P24" s="21" t="s">
        <v>69</v>
      </c>
      <c r="Q24" s="21"/>
      <c r="R24" s="21"/>
      <c r="S24" s="21"/>
      <c r="T24" s="21" t="s">
        <v>69</v>
      </c>
      <c r="U24" s="21"/>
      <c r="V24" s="22"/>
      <c r="W24" s="23" t="str">
        <f t="shared" si="4"/>
        <v>OK</v>
      </c>
    </row>
    <row r="25" spans="1:23" ht="20.100000000000001" customHeight="1" x14ac:dyDescent="0.25">
      <c r="A25" s="18" t="s">
        <v>200</v>
      </c>
      <c r="B25" s="19" t="s">
        <v>68</v>
      </c>
      <c r="C25" s="20">
        <v>3</v>
      </c>
      <c r="D25" s="20">
        <v>4</v>
      </c>
      <c r="E25" s="20">
        <f t="shared" si="3"/>
        <v>1</v>
      </c>
      <c r="F25" s="21"/>
      <c r="G25" s="21"/>
      <c r="H25" s="21" t="s">
        <v>69</v>
      </c>
      <c r="I25" s="21"/>
      <c r="J25" s="21"/>
      <c r="K25" s="21"/>
      <c r="L25" s="21" t="s">
        <v>69</v>
      </c>
      <c r="M25" s="21"/>
      <c r="N25" s="21" t="s">
        <v>69</v>
      </c>
      <c r="O25" s="21"/>
      <c r="P25" s="21" t="s">
        <v>69</v>
      </c>
      <c r="Q25" s="21"/>
      <c r="R25" s="21"/>
      <c r="S25" s="21"/>
      <c r="T25" s="21" t="s">
        <v>69</v>
      </c>
      <c r="U25" s="21"/>
      <c r="V25" s="22"/>
      <c r="W25" s="23" t="str">
        <f t="shared" si="4"/>
        <v>OK</v>
      </c>
    </row>
    <row r="26" spans="1:23" ht="20.100000000000001" customHeight="1" x14ac:dyDescent="0.25">
      <c r="A26" s="18" t="s">
        <v>200</v>
      </c>
      <c r="B26" s="19" t="s">
        <v>68</v>
      </c>
      <c r="C26" s="20">
        <v>4</v>
      </c>
      <c r="D26" s="20">
        <v>5</v>
      </c>
      <c r="E26" s="20">
        <f t="shared" si="3"/>
        <v>1</v>
      </c>
      <c r="F26" s="21"/>
      <c r="G26" s="21"/>
      <c r="H26" s="21" t="s">
        <v>69</v>
      </c>
      <c r="I26" s="21"/>
      <c r="J26" s="21"/>
      <c r="K26" s="21"/>
      <c r="L26" s="21" t="s">
        <v>69</v>
      </c>
      <c r="M26" s="21"/>
      <c r="N26" s="21" t="s">
        <v>69</v>
      </c>
      <c r="O26" s="21"/>
      <c r="P26" s="21" t="s">
        <v>69</v>
      </c>
      <c r="Q26" s="21"/>
      <c r="R26" s="21"/>
      <c r="S26" s="21"/>
      <c r="T26" s="21" t="s">
        <v>69</v>
      </c>
      <c r="U26" s="21"/>
      <c r="V26" s="22"/>
      <c r="W26" s="23" t="str">
        <f t="shared" si="4"/>
        <v>OK</v>
      </c>
    </row>
    <row r="27" spans="1:23" ht="20.100000000000001" customHeight="1" x14ac:dyDescent="0.25">
      <c r="A27" s="12" t="s">
        <v>200</v>
      </c>
      <c r="B27" s="13" t="s">
        <v>68</v>
      </c>
      <c r="C27" s="14">
        <v>5</v>
      </c>
      <c r="D27" s="14">
        <v>5.9161415636400001</v>
      </c>
      <c r="E27" s="14">
        <f t="shared" si="3"/>
        <v>0.9161415636400001</v>
      </c>
      <c r="F27" s="15" t="s">
        <v>69</v>
      </c>
      <c r="G27" s="15"/>
      <c r="H27" s="15"/>
      <c r="I27" s="15"/>
      <c r="J27" s="15"/>
      <c r="K27" s="15"/>
      <c r="L27" s="15" t="s">
        <v>69</v>
      </c>
      <c r="M27" s="15"/>
      <c r="N27" s="15" t="s">
        <v>69</v>
      </c>
      <c r="O27" s="15"/>
      <c r="P27" s="15" t="s">
        <v>69</v>
      </c>
      <c r="Q27" s="15"/>
      <c r="R27" s="15"/>
      <c r="S27" s="15"/>
      <c r="T27" s="15" t="s">
        <v>69</v>
      </c>
      <c r="U27" s="15"/>
      <c r="V27" s="16"/>
      <c r="W27" s="17" t="str">
        <f t="shared" si="4"/>
        <v>OK</v>
      </c>
    </row>
    <row r="29" spans="1:23" x14ac:dyDescent="0.25">
      <c r="A29" s="40" t="s">
        <v>78</v>
      </c>
      <c r="B29" s="28"/>
      <c r="C29" s="28"/>
      <c r="D29" s="28"/>
      <c r="E29" s="28"/>
      <c r="G29" s="40" t="s">
        <v>78</v>
      </c>
      <c r="H29" s="28"/>
      <c r="I29" s="28"/>
      <c r="J29" s="28"/>
      <c r="K29" s="28"/>
    </row>
    <row r="30" spans="1:23" x14ac:dyDescent="0.25">
      <c r="A30" s="44" t="s">
        <v>79</v>
      </c>
      <c r="B30" s="28"/>
      <c r="C30" s="28"/>
      <c r="D30" s="28"/>
      <c r="E30" s="28"/>
      <c r="G30" s="44" t="s">
        <v>80</v>
      </c>
      <c r="H30" s="28"/>
      <c r="I30" s="28"/>
      <c r="J30" s="28"/>
      <c r="K30" s="28"/>
    </row>
    <row r="32" spans="1:23" x14ac:dyDescent="0.25">
      <c r="A32" s="41" t="s">
        <v>81</v>
      </c>
      <c r="B32" s="28"/>
      <c r="C32" s="28"/>
      <c r="D32" s="28"/>
      <c r="E32" s="28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</row>
    <row r="33" spans="1:22" x14ac:dyDescent="0.25">
      <c r="A33" s="43" t="s">
        <v>82</v>
      </c>
      <c r="B33" s="28"/>
      <c r="C33" s="28"/>
      <c r="D33" s="28"/>
      <c r="E33" s="28"/>
      <c r="F33" s="9">
        <f t="shared" ref="F33:U33" si="5">SUMIF(F$9:F$27,"X",$E$9:$E$27)</f>
        <v>11.9106578317</v>
      </c>
      <c r="G33" s="9">
        <f t="shared" si="5"/>
        <v>0</v>
      </c>
      <c r="H33" s="9">
        <f t="shared" si="5"/>
        <v>2</v>
      </c>
      <c r="I33" s="9">
        <f t="shared" si="5"/>
        <v>2</v>
      </c>
      <c r="J33" s="9">
        <f t="shared" si="5"/>
        <v>0</v>
      </c>
      <c r="K33" s="9">
        <f t="shared" si="5"/>
        <v>0</v>
      </c>
      <c r="L33" s="9">
        <f t="shared" si="5"/>
        <v>15.9106578317</v>
      </c>
      <c r="M33" s="9">
        <f t="shared" si="5"/>
        <v>2.37361729672</v>
      </c>
      <c r="N33" s="9">
        <f t="shared" si="5"/>
        <v>13.537040534980001</v>
      </c>
      <c r="O33" s="9">
        <f t="shared" si="5"/>
        <v>0</v>
      </c>
      <c r="P33" s="9">
        <f t="shared" si="5"/>
        <v>7.2897588603600001</v>
      </c>
      <c r="Q33" s="9">
        <f t="shared" si="5"/>
        <v>8.6208989713400008</v>
      </c>
      <c r="R33" s="9">
        <f t="shared" si="5"/>
        <v>0</v>
      </c>
      <c r="S33" s="9">
        <f t="shared" si="5"/>
        <v>2.37361729672</v>
      </c>
      <c r="T33" s="9">
        <f t="shared" si="5"/>
        <v>13.537040534980001</v>
      </c>
      <c r="U33" s="9">
        <f t="shared" si="5"/>
        <v>0</v>
      </c>
    </row>
    <row r="34" spans="1:22" x14ac:dyDescent="0.25">
      <c r="A34" s="43" t="s">
        <v>83</v>
      </c>
      <c r="B34" s="28"/>
      <c r="C34" s="28"/>
      <c r="D34" s="28"/>
      <c r="E34" s="28"/>
      <c r="F34" s="25">
        <f t="shared" ref="F34:U34" si="6">IF($R36=0,0,F33/$R36)</f>
        <v>0.74859618990545451</v>
      </c>
      <c r="G34" s="25">
        <f t="shared" si="6"/>
        <v>0</v>
      </c>
      <c r="H34" s="25">
        <f t="shared" si="6"/>
        <v>0.12570190504727274</v>
      </c>
      <c r="I34" s="25">
        <f t="shared" si="6"/>
        <v>0.12570190504727274</v>
      </c>
      <c r="J34" s="25">
        <f t="shared" si="6"/>
        <v>0</v>
      </c>
      <c r="K34" s="25">
        <f t="shared" si="6"/>
        <v>0</v>
      </c>
      <c r="L34" s="25">
        <f t="shared" si="6"/>
        <v>1</v>
      </c>
      <c r="M34" s="25">
        <f t="shared" si="6"/>
        <v>0.14918410802543083</v>
      </c>
      <c r="N34" s="25">
        <f t="shared" si="6"/>
        <v>0.85081589197456919</v>
      </c>
      <c r="O34" s="25">
        <f t="shared" si="6"/>
        <v>0</v>
      </c>
      <c r="P34" s="25">
        <f t="shared" si="6"/>
        <v>0.45816828804124399</v>
      </c>
      <c r="Q34" s="25">
        <f t="shared" si="6"/>
        <v>0.54183171195875612</v>
      </c>
      <c r="R34" s="25">
        <f t="shared" si="6"/>
        <v>0</v>
      </c>
      <c r="S34" s="25">
        <f t="shared" si="6"/>
        <v>0.14918410802543083</v>
      </c>
      <c r="T34" s="25">
        <f t="shared" si="6"/>
        <v>0.85081589197456919</v>
      </c>
      <c r="U34" s="25">
        <f t="shared" si="6"/>
        <v>0</v>
      </c>
    </row>
    <row r="35" spans="1:22" x14ac:dyDescent="0.25">
      <c r="A35" s="43" t="s">
        <v>84</v>
      </c>
      <c r="B35" s="28"/>
      <c r="C35" s="28"/>
      <c r="D35" s="28"/>
      <c r="E35" s="28"/>
      <c r="F35" s="42" t="str">
        <f>IF(SUM(F33:J33)=0,"— não preenchido",IF(ROUND(SUM(F33:J33)-$R36,3)=0,"OK — "&amp;ROUND(SUM(F33:J33),3)&amp;" km","ERRO — dif. de "&amp;ROUND(SUM(F33:J33)-$R36,3)&amp;" km"))</f>
        <v>OK — 15,911 km</v>
      </c>
      <c r="G35" s="33"/>
      <c r="H35" s="33"/>
      <c r="I35" s="33"/>
      <c r="J35" s="34"/>
      <c r="K35" s="42" t="str">
        <f>IF(SUM(K33:L33)=0,"— não preenchido",IF(ROUND(SUM(K33:L33)-$R36,3)=0,"OK — "&amp;ROUND(SUM(K33:L33),3)&amp;" km","ERRO — dif. de "&amp;ROUND(SUM(K33:L33)-$R36,3)&amp;" km"))</f>
        <v>OK — 15,911 km</v>
      </c>
      <c r="L35" s="34"/>
      <c r="M35" s="42" t="str">
        <f>IF(SUM(M33:O33)=0,"— não preenchido",IF(ROUND(SUM(M33:O33)-$R36,3)=0,"OK — "&amp;ROUND(SUM(M33:O33),3)&amp;" km","ERRO — dif. de "&amp;ROUND(SUM(M33:O33)-$R36,3)&amp;" km"))</f>
        <v>OK — 15,911 km</v>
      </c>
      <c r="N35" s="33"/>
      <c r="O35" s="34"/>
      <c r="P35" s="42" t="str">
        <f>IF(SUM(P33:R33)=0,"— não preenchido",IF(ROUND(SUM(P33:R33)-$R36,3)=0,"OK — "&amp;ROUND(SUM(P33:R33),3)&amp;" km","ERRO — dif. de "&amp;ROUND(SUM(P33:R33)-$R36,3)&amp;" km"))</f>
        <v>OK — 15,911 km</v>
      </c>
      <c r="Q35" s="33"/>
      <c r="R35" s="34"/>
      <c r="S35" s="42" t="str">
        <f>IF(SUM(S33:U33)=0,"— não preenchido",IF(ROUND(SUM(S33:U33)-$R36,3)=0,"OK — "&amp;ROUND(SUM(S33:U33),3)&amp;" km","ERRO — dif. de "&amp;ROUND(SUM(S33:U33)-$R36,3)&amp;" km"))</f>
        <v>OK — 15,911 km</v>
      </c>
      <c r="T35" s="33"/>
      <c r="U35" s="34"/>
    </row>
    <row r="36" spans="1:22" x14ac:dyDescent="0.25">
      <c r="A36" s="43" t="s">
        <v>85</v>
      </c>
      <c r="B36" s="28"/>
      <c r="C36" s="28"/>
      <c r="D36" s="28"/>
      <c r="E36" s="28"/>
      <c r="R36" s="26">
        <f>SUM(E9:E27)</f>
        <v>15.9106578317</v>
      </c>
      <c r="V36" s="8" t="str">
        <f>COUNTIF(W9:W27,"OK")&amp;" de "&amp;COUNT($E$9:$E$27)&amp;" linhas conferidas"</f>
        <v>17 de 17 linhas conferidas</v>
      </c>
    </row>
    <row r="38" spans="1:22" x14ac:dyDescent="0.25">
      <c r="A38" s="37" t="s">
        <v>86</v>
      </c>
      <c r="B38" s="28"/>
      <c r="C38" s="28"/>
      <c r="D38" s="28"/>
      <c r="E38" s="28"/>
    </row>
    <row r="39" spans="1:22" x14ac:dyDescent="0.25">
      <c r="A39" s="43" t="s">
        <v>87</v>
      </c>
      <c r="B39" s="28"/>
      <c r="C39" s="28"/>
      <c r="D39" s="28"/>
      <c r="E39" s="31" t="s">
        <v>88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43" t="s">
        <v>89</v>
      </c>
      <c r="B40" s="28"/>
      <c r="C40" s="28"/>
      <c r="D40" s="28"/>
      <c r="E40" s="31" t="s">
        <v>90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43" t="s">
        <v>91</v>
      </c>
      <c r="B41" s="28"/>
      <c r="C41" s="28"/>
      <c r="D41" s="28"/>
      <c r="E41" s="31" t="s">
        <v>92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43" t="s">
        <v>93</v>
      </c>
      <c r="B42" s="28"/>
      <c r="C42" s="28"/>
      <c r="D42" s="28"/>
      <c r="E42" s="31" t="s">
        <v>94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43" t="s">
        <v>95</v>
      </c>
      <c r="B43" s="28"/>
      <c r="C43" s="28"/>
      <c r="D43" s="28"/>
      <c r="E43" s="31" t="s">
        <v>96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43" t="s">
        <v>60</v>
      </c>
      <c r="B44" s="28"/>
      <c r="C44" s="28"/>
      <c r="D44" s="28"/>
      <c r="E44" s="31" t="s">
        <v>97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43" t="s">
        <v>98</v>
      </c>
      <c r="B45" s="28"/>
      <c r="C45" s="28"/>
      <c r="D45" s="28"/>
      <c r="E45" s="31" t="s">
        <v>99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43" t="s">
        <v>100</v>
      </c>
      <c r="B46" s="28"/>
      <c r="C46" s="28"/>
      <c r="D46" s="28"/>
      <c r="E46" s="31" t="s">
        <v>101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x14ac:dyDescent="0.25">
      <c r="A47" s="43" t="s">
        <v>11</v>
      </c>
      <c r="B47" s="28"/>
      <c r="C47" s="28"/>
      <c r="D47" s="28"/>
      <c r="E47" s="31" t="s">
        <v>102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</sheetData>
  <sheetProtection sheet="1" formatCells="0"/>
  <mergeCells count="59">
    <mergeCell ref="A1:V1"/>
    <mergeCell ref="E41:V41"/>
    <mergeCell ref="A33:E33"/>
    <mergeCell ref="T3:V3"/>
    <mergeCell ref="A21:V21"/>
    <mergeCell ref="A32:E32"/>
    <mergeCell ref="A41:D41"/>
    <mergeCell ref="P35:R35"/>
    <mergeCell ref="A16:V16"/>
    <mergeCell ref="A29:E29"/>
    <mergeCell ref="G29:K29"/>
    <mergeCell ref="A35:E35"/>
    <mergeCell ref="A38:E38"/>
    <mergeCell ref="R2:V2"/>
    <mergeCell ref="A3:S3"/>
    <mergeCell ref="C6:C7"/>
    <mergeCell ref="W6:W7"/>
    <mergeCell ref="E6:E7"/>
    <mergeCell ref="E45:V45"/>
    <mergeCell ref="B6:B7"/>
    <mergeCell ref="F35:J35"/>
    <mergeCell ref="S35:U35"/>
    <mergeCell ref="A45:D45"/>
    <mergeCell ref="G30:K30"/>
    <mergeCell ref="E43:V43"/>
    <mergeCell ref="E42:V42"/>
    <mergeCell ref="M35:O35"/>
    <mergeCell ref="K6:L6"/>
    <mergeCell ref="D6:D7"/>
    <mergeCell ref="A42:D42"/>
    <mergeCell ref="E39:V39"/>
    <mergeCell ref="P6:R6"/>
    <mergeCell ref="A47:D47"/>
    <mergeCell ref="A44:D44"/>
    <mergeCell ref="A2:F2"/>
    <mergeCell ref="S6:U6"/>
    <mergeCell ref="K35:L35"/>
    <mergeCell ref="K2:M2"/>
    <mergeCell ref="A40:D40"/>
    <mergeCell ref="N2:O2"/>
    <mergeCell ref="E46:V46"/>
    <mergeCell ref="A39:D39"/>
    <mergeCell ref="P2:Q2"/>
    <mergeCell ref="A46:D46"/>
    <mergeCell ref="E47:V47"/>
    <mergeCell ref="A30:E30"/>
    <mergeCell ref="A34:E34"/>
    <mergeCell ref="E44:V44"/>
    <mergeCell ref="G2:H2"/>
    <mergeCell ref="I2:J2"/>
    <mergeCell ref="A8:V8"/>
    <mergeCell ref="A43:D43"/>
    <mergeCell ref="A36:E36"/>
    <mergeCell ref="A6:A7"/>
    <mergeCell ref="F6:J6"/>
    <mergeCell ref="E40:V40"/>
    <mergeCell ref="M6:O6"/>
    <mergeCell ref="V6:V7"/>
    <mergeCell ref="A4:V4"/>
  </mergeCells>
  <conditionalFormatting sqref="F9:J27">
    <cfRule type="expression" dxfId="143" priority="1">
      <formula>AND(F9&lt;&gt;"",COUNTIF($F9:$J9,"X")&gt;1)</formula>
    </cfRule>
  </conditionalFormatting>
  <conditionalFormatting sqref="F35:U35">
    <cfRule type="expression" dxfId="142" priority="8">
      <formula>LEFT(F35,4)="ERRO"</formula>
    </cfRule>
    <cfRule type="expression" dxfId="141" priority="9">
      <formula>LEFT(F35,2)="OK"</formula>
    </cfRule>
  </conditionalFormatting>
  <conditionalFormatting sqref="K9:L27">
    <cfRule type="expression" dxfId="140" priority="2">
      <formula>AND(K9&lt;&gt;"",COUNTIF($K9:$L9,"X")&gt;1)</formula>
    </cfRule>
  </conditionalFormatting>
  <conditionalFormatting sqref="M9:O27">
    <cfRule type="expression" dxfId="139" priority="3">
      <formula>AND(M9&lt;&gt;"",COUNTIF($M9:$O9,"X")&gt;1)</formula>
    </cfRule>
  </conditionalFormatting>
  <conditionalFormatting sqref="P9:R27">
    <cfRule type="expression" dxfId="138" priority="4">
      <formula>AND(P9&lt;&gt;"",COUNTIF($P9:$R9,"X")&gt;1)</formula>
    </cfRule>
  </conditionalFormatting>
  <conditionalFormatting sqref="S9:U27">
    <cfRule type="expression" dxfId="137" priority="5">
      <formula>AND(S9&lt;&gt;"",COUNTIF($S9:$U9,"X")&gt;1)</formula>
    </cfRule>
  </conditionalFormatting>
  <conditionalFormatting sqref="W9:W27">
    <cfRule type="expression" dxfId="136" priority="6">
      <formula>AND(W9&lt;&gt;"OK",W9&lt;&gt;"")</formula>
    </cfRule>
    <cfRule type="expression" dxfId="13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7" xr:uid="{00000000-0002-0000-0D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7" xr:uid="{00000000-0002-0000-0D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7" xr:uid="{00000000-0002-0000-0D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7" xr:uid="{00000000-0002-0000-0D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7" xr:uid="{00000000-0002-0000-0D00-000004000000}">
      <formula1>AND(UPPER(S9)="X",COUNTIF($S9:$U9,"X")&lt;=1)</formula1>
    </dataValidation>
    <dataValidation type="list" showErrorMessage="1" errorTitle="Sentido inválido" error="Use C (crescente) ou D (decrescente)." sqref="B9:B27" xr:uid="{00000000-0002-0000-0D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14</oddHeader>
    <oddFooter>&amp;L&amp;7 RTA / MSI — Programa de Manutenção Rodoviária&amp;C&amp;7 Página &amp;P de &amp;N&amp;R&amp;7 Impresso em &amp;D</oddFooter>
  </headerFooter>
  <rowBreaks count="1" manualBreakCount="1">
    <brk id="30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pageSetUpPr fitToPage="1"/>
  </sheetPr>
  <dimension ref="A1:AN38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IF(F24=0,NA(),F24)</f>
        <v>5.275142457087</v>
      </c>
      <c r="Z2" s="2">
        <f t="shared" si="0"/>
        <v>2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7.275142457087</v>
      </c>
      <c r="AF2" s="2" t="e">
        <f t="shared" si="0"/>
        <v>#N/A</v>
      </c>
      <c r="AG2" s="2">
        <f t="shared" si="0"/>
        <v>7.275142457087</v>
      </c>
      <c r="AH2" s="2" t="e">
        <f t="shared" si="0"/>
        <v>#N/A</v>
      </c>
      <c r="AI2" s="2">
        <f t="shared" si="0"/>
        <v>7.275142457087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7.275142457087</v>
      </c>
      <c r="AN2" s="2" t="e">
        <f t="shared" si="0"/>
        <v>#N/A</v>
      </c>
    </row>
    <row r="3" spans="1:40" ht="15" customHeight="1" x14ac:dyDescent="0.25">
      <c r="A3" s="49" t="s">
        <v>201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202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203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204</v>
      </c>
      <c r="B9" s="19" t="s">
        <v>68</v>
      </c>
      <c r="C9" s="20">
        <v>0</v>
      </c>
      <c r="D9" s="20">
        <v>1</v>
      </c>
      <c r="E9" s="20">
        <f t="shared" ref="E9:E15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/>
      <c r="T9" s="21" t="s">
        <v>69</v>
      </c>
      <c r="U9" s="21"/>
      <c r="V9" s="22"/>
      <c r="W9" s="23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204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204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/>
      <c r="G11" s="21" t="s">
        <v>69</v>
      </c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 t="s">
        <v>69</v>
      </c>
      <c r="Q11" s="21"/>
      <c r="R11" s="21"/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204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/>
      <c r="G12" s="21" t="s">
        <v>69</v>
      </c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 t="s">
        <v>69</v>
      </c>
      <c r="Q12" s="21"/>
      <c r="R12" s="21"/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204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 t="s">
        <v>69</v>
      </c>
      <c r="Q13" s="21"/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204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 t="s">
        <v>69</v>
      </c>
      <c r="Q14" s="21"/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2" t="s">
        <v>204</v>
      </c>
      <c r="B15" s="13" t="s">
        <v>68</v>
      </c>
      <c r="C15" s="14">
        <v>6</v>
      </c>
      <c r="D15" s="14">
        <v>6.9727132514200001</v>
      </c>
      <c r="E15" s="14">
        <f t="shared" si="1"/>
        <v>0.97271325142000009</v>
      </c>
      <c r="F15" s="15" t="s">
        <v>69</v>
      </c>
      <c r="G15" s="15"/>
      <c r="H15" s="15"/>
      <c r="I15" s="15"/>
      <c r="J15" s="15"/>
      <c r="K15" s="15"/>
      <c r="L15" s="15" t="s">
        <v>69</v>
      </c>
      <c r="M15" s="15"/>
      <c r="N15" s="15" t="s">
        <v>69</v>
      </c>
      <c r="O15" s="15"/>
      <c r="P15" s="15" t="s">
        <v>69</v>
      </c>
      <c r="Q15" s="15"/>
      <c r="R15" s="15"/>
      <c r="S15" s="15"/>
      <c r="T15" s="15" t="s">
        <v>69</v>
      </c>
      <c r="U15" s="15"/>
      <c r="V15" s="16"/>
      <c r="W15" s="17" t="str">
        <f t="shared" si="2"/>
        <v>OK</v>
      </c>
    </row>
    <row r="16" spans="1:40" ht="15" customHeight="1" x14ac:dyDescent="0.25">
      <c r="A16" s="50" t="s">
        <v>205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4"/>
      <c r="W16" s="4"/>
    </row>
    <row r="17" spans="1:23" ht="15.95" customHeight="1" x14ac:dyDescent="0.25">
      <c r="A17" s="35" t="s">
        <v>206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4"/>
      <c r="W17" s="4"/>
    </row>
    <row r="18" spans="1:23" ht="20.100000000000001" customHeight="1" x14ac:dyDescent="0.25">
      <c r="A18" s="12" t="s">
        <v>207</v>
      </c>
      <c r="B18" s="13" t="s">
        <v>68</v>
      </c>
      <c r="C18" s="14">
        <v>0</v>
      </c>
      <c r="D18" s="14">
        <v>0.30242920566699999</v>
      </c>
      <c r="E18" s="14">
        <f>D18-C18</f>
        <v>0.30242920566699999</v>
      </c>
      <c r="F18" s="15" t="s">
        <v>69</v>
      </c>
      <c r="G18" s="15"/>
      <c r="H18" s="15"/>
      <c r="I18" s="15"/>
      <c r="J18" s="15"/>
      <c r="K18" s="15"/>
      <c r="L18" s="15" t="s">
        <v>69</v>
      </c>
      <c r="M18" s="15"/>
      <c r="N18" s="15" t="s">
        <v>69</v>
      </c>
      <c r="O18" s="15"/>
      <c r="P18" s="15" t="s">
        <v>69</v>
      </c>
      <c r="Q18" s="15"/>
      <c r="R18" s="15"/>
      <c r="S18" s="15"/>
      <c r="T18" s="15" t="s">
        <v>69</v>
      </c>
      <c r="U18" s="15"/>
      <c r="V18" s="16"/>
      <c r="W18" s="17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20" spans="1:23" x14ac:dyDescent="0.25">
      <c r="A20" s="40" t="s">
        <v>78</v>
      </c>
      <c r="B20" s="28"/>
      <c r="C20" s="28"/>
      <c r="D20" s="28"/>
      <c r="E20" s="28"/>
      <c r="G20" s="40" t="s">
        <v>78</v>
      </c>
      <c r="H20" s="28"/>
      <c r="I20" s="28"/>
      <c r="J20" s="28"/>
      <c r="K20" s="28"/>
    </row>
    <row r="21" spans="1:23" x14ac:dyDescent="0.25">
      <c r="A21" s="44" t="s">
        <v>79</v>
      </c>
      <c r="B21" s="28"/>
      <c r="C21" s="28"/>
      <c r="D21" s="28"/>
      <c r="E21" s="28"/>
      <c r="G21" s="44" t="s">
        <v>80</v>
      </c>
      <c r="H21" s="28"/>
      <c r="I21" s="28"/>
      <c r="J21" s="28"/>
      <c r="K21" s="28"/>
    </row>
    <row r="23" spans="1:23" x14ac:dyDescent="0.25">
      <c r="A23" s="41" t="s">
        <v>81</v>
      </c>
      <c r="B23" s="28"/>
      <c r="C23" s="28"/>
      <c r="D23" s="28"/>
      <c r="E23" s="28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spans="1:23" x14ac:dyDescent="0.25">
      <c r="A24" s="43" t="s">
        <v>82</v>
      </c>
      <c r="B24" s="28"/>
      <c r="C24" s="28"/>
      <c r="D24" s="28"/>
      <c r="E24" s="28"/>
      <c r="F24" s="9">
        <f t="shared" ref="F24:U24" si="3">SUMIF(F$9:F$18,"X",$E$9:$E$18)</f>
        <v>5.275142457087</v>
      </c>
      <c r="G24" s="9">
        <f t="shared" si="3"/>
        <v>2</v>
      </c>
      <c r="H24" s="9">
        <f t="shared" si="3"/>
        <v>0</v>
      </c>
      <c r="I24" s="9">
        <f t="shared" si="3"/>
        <v>0</v>
      </c>
      <c r="J24" s="9">
        <f t="shared" si="3"/>
        <v>0</v>
      </c>
      <c r="K24" s="9">
        <f t="shared" si="3"/>
        <v>0</v>
      </c>
      <c r="L24" s="9">
        <f t="shared" si="3"/>
        <v>7.275142457087</v>
      </c>
      <c r="M24" s="9">
        <f t="shared" si="3"/>
        <v>0</v>
      </c>
      <c r="N24" s="9">
        <f t="shared" si="3"/>
        <v>7.275142457087</v>
      </c>
      <c r="O24" s="9">
        <f t="shared" si="3"/>
        <v>0</v>
      </c>
      <c r="P24" s="9">
        <f t="shared" si="3"/>
        <v>7.275142457087</v>
      </c>
      <c r="Q24" s="9">
        <f t="shared" si="3"/>
        <v>0</v>
      </c>
      <c r="R24" s="9">
        <f t="shared" si="3"/>
        <v>0</v>
      </c>
      <c r="S24" s="9">
        <f t="shared" si="3"/>
        <v>0</v>
      </c>
      <c r="T24" s="9">
        <f t="shared" si="3"/>
        <v>7.275142457087</v>
      </c>
      <c r="U24" s="9">
        <f t="shared" si="3"/>
        <v>0</v>
      </c>
    </row>
    <row r="25" spans="1:23" x14ac:dyDescent="0.25">
      <c r="A25" s="43" t="s">
        <v>83</v>
      </c>
      <c r="B25" s="28"/>
      <c r="C25" s="28"/>
      <c r="D25" s="28"/>
      <c r="E25" s="28"/>
      <c r="F25" s="25">
        <f t="shared" ref="F25:U25" si="4">IF($R27=0,0,F24/$R27)</f>
        <v>0.72509129384102688</v>
      </c>
      <c r="G25" s="25">
        <f t="shared" si="4"/>
        <v>0.27490870615897317</v>
      </c>
      <c r="H25" s="25">
        <f t="shared" si="4"/>
        <v>0</v>
      </c>
      <c r="I25" s="25">
        <f t="shared" si="4"/>
        <v>0</v>
      </c>
      <c r="J25" s="25">
        <f t="shared" si="4"/>
        <v>0</v>
      </c>
      <c r="K25" s="25">
        <f t="shared" si="4"/>
        <v>0</v>
      </c>
      <c r="L25" s="25">
        <f t="shared" si="4"/>
        <v>1</v>
      </c>
      <c r="M25" s="25">
        <f t="shared" si="4"/>
        <v>0</v>
      </c>
      <c r="N25" s="25">
        <f t="shared" si="4"/>
        <v>1</v>
      </c>
      <c r="O25" s="25">
        <f t="shared" si="4"/>
        <v>0</v>
      </c>
      <c r="P25" s="25">
        <f t="shared" si="4"/>
        <v>1</v>
      </c>
      <c r="Q25" s="25">
        <f t="shared" si="4"/>
        <v>0</v>
      </c>
      <c r="R25" s="25">
        <f t="shared" si="4"/>
        <v>0</v>
      </c>
      <c r="S25" s="25">
        <f t="shared" si="4"/>
        <v>0</v>
      </c>
      <c r="T25" s="25">
        <f t="shared" si="4"/>
        <v>1</v>
      </c>
      <c r="U25" s="25">
        <f t="shared" si="4"/>
        <v>0</v>
      </c>
    </row>
    <row r="26" spans="1:23" x14ac:dyDescent="0.25">
      <c r="A26" s="43" t="s">
        <v>84</v>
      </c>
      <c r="B26" s="28"/>
      <c r="C26" s="28"/>
      <c r="D26" s="28"/>
      <c r="E26" s="28"/>
      <c r="F26" s="42" t="str">
        <f>IF(SUM(F24:J24)=0,"— não preenchido",IF(ROUND(SUM(F24:J24)-$R27,3)=0,"OK — "&amp;ROUND(SUM(F24:J24),3)&amp;" km","ERRO — dif. de "&amp;ROUND(SUM(F24:J24)-$R27,3)&amp;" km"))</f>
        <v>OK — 7,275 km</v>
      </c>
      <c r="G26" s="33"/>
      <c r="H26" s="33"/>
      <c r="I26" s="33"/>
      <c r="J26" s="34"/>
      <c r="K26" s="42" t="str">
        <f>IF(SUM(K24:L24)=0,"— não preenchido",IF(ROUND(SUM(K24:L24)-$R27,3)=0,"OK — "&amp;ROUND(SUM(K24:L24),3)&amp;" km","ERRO — dif. de "&amp;ROUND(SUM(K24:L24)-$R27,3)&amp;" km"))</f>
        <v>OK — 7,275 km</v>
      </c>
      <c r="L26" s="34"/>
      <c r="M26" s="42" t="str">
        <f>IF(SUM(M24:O24)=0,"— não preenchido",IF(ROUND(SUM(M24:O24)-$R27,3)=0,"OK — "&amp;ROUND(SUM(M24:O24),3)&amp;" km","ERRO — dif. de "&amp;ROUND(SUM(M24:O24)-$R27,3)&amp;" km"))</f>
        <v>OK — 7,275 km</v>
      </c>
      <c r="N26" s="33"/>
      <c r="O26" s="34"/>
      <c r="P26" s="42" t="str">
        <f>IF(SUM(P24:R24)=0,"— não preenchido",IF(ROUND(SUM(P24:R24)-$R27,3)=0,"OK — "&amp;ROUND(SUM(P24:R24),3)&amp;" km","ERRO — dif. de "&amp;ROUND(SUM(P24:R24)-$R27,3)&amp;" km"))</f>
        <v>OK — 7,275 km</v>
      </c>
      <c r="Q26" s="33"/>
      <c r="R26" s="34"/>
      <c r="S26" s="42" t="str">
        <f>IF(SUM(S24:U24)=0,"— não preenchido",IF(ROUND(SUM(S24:U24)-$R27,3)=0,"OK — "&amp;ROUND(SUM(S24:U24),3)&amp;" km","ERRO — dif. de "&amp;ROUND(SUM(S24:U24)-$R27,3)&amp;" km"))</f>
        <v>OK — 7,275 km</v>
      </c>
      <c r="T26" s="33"/>
      <c r="U26" s="34"/>
    </row>
    <row r="27" spans="1:23" x14ac:dyDescent="0.25">
      <c r="A27" s="43" t="s">
        <v>85</v>
      </c>
      <c r="B27" s="28"/>
      <c r="C27" s="28"/>
      <c r="D27" s="28"/>
      <c r="E27" s="28"/>
      <c r="R27" s="26">
        <f>SUM(E9:E18)</f>
        <v>7.275142457087</v>
      </c>
      <c r="V27" s="8" t="str">
        <f>COUNTIF(W9:W18,"OK")&amp;" de "&amp;COUNT($E$9:$E$18)&amp;" linhas conferidas"</f>
        <v>8 de 8 linhas conferidas</v>
      </c>
    </row>
    <row r="29" spans="1:23" x14ac:dyDescent="0.25">
      <c r="A29" s="37" t="s">
        <v>86</v>
      </c>
      <c r="B29" s="28"/>
      <c r="C29" s="28"/>
      <c r="D29" s="28"/>
      <c r="E29" s="28"/>
    </row>
    <row r="30" spans="1:23" x14ac:dyDescent="0.25">
      <c r="A30" s="43" t="s">
        <v>87</v>
      </c>
      <c r="B30" s="28"/>
      <c r="C30" s="28"/>
      <c r="D30" s="28"/>
      <c r="E30" s="31" t="s">
        <v>88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3" x14ac:dyDescent="0.25">
      <c r="A31" s="43" t="s">
        <v>89</v>
      </c>
      <c r="B31" s="28"/>
      <c r="C31" s="28"/>
      <c r="D31" s="28"/>
      <c r="E31" s="31" t="s">
        <v>90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3" x14ac:dyDescent="0.25">
      <c r="A32" s="43" t="s">
        <v>91</v>
      </c>
      <c r="B32" s="28"/>
      <c r="C32" s="28"/>
      <c r="D32" s="28"/>
      <c r="E32" s="31" t="s">
        <v>92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43" t="s">
        <v>93</v>
      </c>
      <c r="B33" s="28"/>
      <c r="C33" s="28"/>
      <c r="D33" s="28"/>
      <c r="E33" s="31" t="s">
        <v>94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43" t="s">
        <v>95</v>
      </c>
      <c r="B34" s="28"/>
      <c r="C34" s="28"/>
      <c r="D34" s="28"/>
      <c r="E34" s="31" t="s">
        <v>96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43" t="s">
        <v>60</v>
      </c>
      <c r="B35" s="28"/>
      <c r="C35" s="28"/>
      <c r="D35" s="28"/>
      <c r="E35" s="31" t="s">
        <v>97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43" t="s">
        <v>98</v>
      </c>
      <c r="B36" s="28"/>
      <c r="C36" s="28"/>
      <c r="D36" s="28"/>
      <c r="E36" s="31" t="s">
        <v>99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43" t="s">
        <v>100</v>
      </c>
      <c r="B37" s="28"/>
      <c r="C37" s="28"/>
      <c r="D37" s="28"/>
      <c r="E37" s="31" t="s">
        <v>101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43" t="s">
        <v>11</v>
      </c>
      <c r="B38" s="28"/>
      <c r="C38" s="28"/>
      <c r="D38" s="28"/>
      <c r="E38" s="31" t="s">
        <v>102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</sheetData>
  <sheetProtection sheet="1" formatCells="0"/>
  <mergeCells count="59">
    <mergeCell ref="E37:V37"/>
    <mergeCell ref="P26:R26"/>
    <mergeCell ref="A16:V16"/>
    <mergeCell ref="A37:D37"/>
    <mergeCell ref="A29:E29"/>
    <mergeCell ref="A20:E20"/>
    <mergeCell ref="G20:K20"/>
    <mergeCell ref="E33:V33"/>
    <mergeCell ref="A33:D33"/>
    <mergeCell ref="A34:D34"/>
    <mergeCell ref="A32:D32"/>
    <mergeCell ref="A1:V1"/>
    <mergeCell ref="E32:V32"/>
    <mergeCell ref="S26:U26"/>
    <mergeCell ref="T3:V3"/>
    <mergeCell ref="A23:E23"/>
    <mergeCell ref="R2:V2"/>
    <mergeCell ref="A3:S3"/>
    <mergeCell ref="C6:C7"/>
    <mergeCell ref="K6:L6"/>
    <mergeCell ref="D6:D7"/>
    <mergeCell ref="P6:R6"/>
    <mergeCell ref="A2:F2"/>
    <mergeCell ref="K2:M2"/>
    <mergeCell ref="A25:E25"/>
    <mergeCell ref="N2:O2"/>
    <mergeCell ref="A4:V4"/>
    <mergeCell ref="W6:W7"/>
    <mergeCell ref="E36:V36"/>
    <mergeCell ref="E6:E7"/>
    <mergeCell ref="M26:O26"/>
    <mergeCell ref="B6:B7"/>
    <mergeCell ref="F26:J26"/>
    <mergeCell ref="A27:E27"/>
    <mergeCell ref="A36:D36"/>
    <mergeCell ref="A21:E21"/>
    <mergeCell ref="A26:E26"/>
    <mergeCell ref="K26:L26"/>
    <mergeCell ref="E34:V34"/>
    <mergeCell ref="S6:U6"/>
    <mergeCell ref="E30:V30"/>
    <mergeCell ref="A31:D31"/>
    <mergeCell ref="V6:V7"/>
    <mergeCell ref="P2:Q2"/>
    <mergeCell ref="E35:V35"/>
    <mergeCell ref="E38:V38"/>
    <mergeCell ref="G21:K21"/>
    <mergeCell ref="A24:E24"/>
    <mergeCell ref="G2:H2"/>
    <mergeCell ref="A35:D35"/>
    <mergeCell ref="I2:J2"/>
    <mergeCell ref="A38:D38"/>
    <mergeCell ref="A8:V8"/>
    <mergeCell ref="A17:V17"/>
    <mergeCell ref="A6:A7"/>
    <mergeCell ref="F6:J6"/>
    <mergeCell ref="M6:O6"/>
    <mergeCell ref="E31:V31"/>
    <mergeCell ref="A30:D30"/>
  </mergeCells>
  <conditionalFormatting sqref="F9:J18">
    <cfRule type="expression" dxfId="134" priority="1">
      <formula>AND(F9&lt;&gt;"",COUNTIF($F9:$J9,"X")&gt;1)</formula>
    </cfRule>
  </conditionalFormatting>
  <conditionalFormatting sqref="F26:U26">
    <cfRule type="expression" dxfId="133" priority="8">
      <formula>LEFT(F26,4)="ERRO"</formula>
    </cfRule>
    <cfRule type="expression" dxfId="132" priority="9">
      <formula>LEFT(F26,2)="OK"</formula>
    </cfRule>
  </conditionalFormatting>
  <conditionalFormatting sqref="K9:L18">
    <cfRule type="expression" dxfId="131" priority="2">
      <formula>AND(K9&lt;&gt;"",COUNTIF($K9:$L9,"X")&gt;1)</formula>
    </cfRule>
  </conditionalFormatting>
  <conditionalFormatting sqref="M9:O18">
    <cfRule type="expression" dxfId="130" priority="3">
      <formula>AND(M9&lt;&gt;"",COUNTIF($M9:$O9,"X")&gt;1)</formula>
    </cfRule>
  </conditionalFormatting>
  <conditionalFormatting sqref="P9:R18">
    <cfRule type="expression" dxfId="129" priority="4">
      <formula>AND(P9&lt;&gt;"",COUNTIF($P9:$R9,"X")&gt;1)</formula>
    </cfRule>
  </conditionalFormatting>
  <conditionalFormatting sqref="S9:U18">
    <cfRule type="expression" dxfId="128" priority="5">
      <formula>AND(S9&lt;&gt;"",COUNTIF($S9:$U9,"X")&gt;1)</formula>
    </cfRule>
  </conditionalFormatting>
  <conditionalFormatting sqref="W9:W18">
    <cfRule type="expression" dxfId="127" priority="6">
      <formula>AND(W9&lt;&gt;"OK",W9&lt;&gt;"")</formula>
    </cfRule>
    <cfRule type="expression" dxfId="12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8" xr:uid="{00000000-0002-0000-0E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8" xr:uid="{00000000-0002-0000-0E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8" xr:uid="{00000000-0002-0000-0E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8" xr:uid="{00000000-0002-0000-0E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8" xr:uid="{00000000-0002-0000-0E00-000004000000}">
      <formula1>AND(UPPER(S9)="X",COUNTIF($S9:$U9,"X")&lt;=1)</formula1>
    </dataValidation>
    <dataValidation type="list" showErrorMessage="1" errorTitle="Sentido inválido" error="Use C (crescente) ou D (decrescente)." sqref="B9:B18" xr:uid="{00000000-0002-0000-0E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15</oddHeader>
    <oddFooter>&amp;L&amp;7 RTA / MSI — Programa de Manutenção Rodoviária&amp;C&amp;7 Página &amp;P de &amp;N&amp;R&amp;7 Impresso em &amp;D</oddFooter>
  </headerFooter>
  <rowBreaks count="1" manualBreakCount="1">
    <brk id="21" max="1638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1:AN44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IF(F30=0,NA(),F30)</f>
        <v>12.071587130520001</v>
      </c>
      <c r="Z2" s="2">
        <f t="shared" si="0"/>
        <v>2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14.071587130520001</v>
      </c>
      <c r="AF2" s="2" t="e">
        <f t="shared" si="0"/>
        <v>#N/A</v>
      </c>
      <c r="AG2" s="2">
        <f t="shared" si="0"/>
        <v>14.071587130520001</v>
      </c>
      <c r="AH2" s="2" t="e">
        <f t="shared" si="0"/>
        <v>#N/A</v>
      </c>
      <c r="AI2" s="2">
        <f t="shared" si="0"/>
        <v>14.071587130520001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14.071587130520001</v>
      </c>
      <c r="AN2" s="2" t="e">
        <f t="shared" si="0"/>
        <v>#N/A</v>
      </c>
    </row>
    <row r="3" spans="1:40" ht="15" customHeight="1" x14ac:dyDescent="0.25">
      <c r="A3" s="49" t="s">
        <v>208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209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210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211</v>
      </c>
      <c r="B9" s="19" t="s">
        <v>68</v>
      </c>
      <c r="C9" s="20">
        <v>0</v>
      </c>
      <c r="D9" s="20">
        <v>1</v>
      </c>
      <c r="E9" s="20">
        <f t="shared" ref="E9:E18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/>
      <c r="T9" s="21" t="s">
        <v>69</v>
      </c>
      <c r="U9" s="21"/>
      <c r="V9" s="22"/>
      <c r="W9" s="23" t="str">
        <f t="shared" ref="W9:W18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211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211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/>
      <c r="G11" s="21" t="s">
        <v>69</v>
      </c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 t="s">
        <v>69</v>
      </c>
      <c r="Q11" s="21"/>
      <c r="R11" s="21"/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211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/>
      <c r="G12" s="21" t="s">
        <v>69</v>
      </c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 t="s">
        <v>69</v>
      </c>
      <c r="Q12" s="21"/>
      <c r="R12" s="21"/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211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 t="s">
        <v>69</v>
      </c>
      <c r="Q13" s="21"/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211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 t="s">
        <v>69</v>
      </c>
      <c r="Q14" s="21"/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211</v>
      </c>
      <c r="B15" s="19" t="s">
        <v>68</v>
      </c>
      <c r="C15" s="20">
        <v>6</v>
      </c>
      <c r="D15" s="20">
        <v>7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 t="s">
        <v>69</v>
      </c>
      <c r="Q15" s="21"/>
      <c r="R15" s="21"/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211</v>
      </c>
      <c r="B16" s="19" t="s">
        <v>68</v>
      </c>
      <c r="C16" s="20">
        <v>7</v>
      </c>
      <c r="D16" s="20">
        <v>8</v>
      </c>
      <c r="E16" s="20">
        <f t="shared" si="1"/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 t="s">
        <v>69</v>
      </c>
      <c r="Q16" s="21"/>
      <c r="R16" s="21"/>
      <c r="S16" s="21"/>
      <c r="T16" s="21" t="s">
        <v>69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211</v>
      </c>
      <c r="B17" s="19" t="s">
        <v>68</v>
      </c>
      <c r="C17" s="20">
        <v>8</v>
      </c>
      <c r="D17" s="20">
        <v>9</v>
      </c>
      <c r="E17" s="20">
        <f t="shared" si="1"/>
        <v>1</v>
      </c>
      <c r="F17" s="21" t="s">
        <v>69</v>
      </c>
      <c r="G17" s="21"/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 t="s">
        <v>69</v>
      </c>
      <c r="Q17" s="21"/>
      <c r="R17" s="21"/>
      <c r="S17" s="21"/>
      <c r="T17" s="21" t="s">
        <v>69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2" t="s">
        <v>211</v>
      </c>
      <c r="B18" s="13" t="s">
        <v>68</v>
      </c>
      <c r="C18" s="14">
        <v>9</v>
      </c>
      <c r="D18" s="14">
        <v>9.29256611908</v>
      </c>
      <c r="E18" s="14">
        <f t="shared" si="1"/>
        <v>0.29256611907999996</v>
      </c>
      <c r="F18" s="15" t="s">
        <v>69</v>
      </c>
      <c r="G18" s="15"/>
      <c r="H18" s="15"/>
      <c r="I18" s="15"/>
      <c r="J18" s="15"/>
      <c r="K18" s="15"/>
      <c r="L18" s="15" t="s">
        <v>69</v>
      </c>
      <c r="M18" s="15"/>
      <c r="N18" s="15" t="s">
        <v>69</v>
      </c>
      <c r="O18" s="15"/>
      <c r="P18" s="15" t="s">
        <v>69</v>
      </c>
      <c r="Q18" s="15"/>
      <c r="R18" s="15"/>
      <c r="S18" s="15"/>
      <c r="T18" s="15" t="s">
        <v>69</v>
      </c>
      <c r="U18" s="15"/>
      <c r="V18" s="16"/>
      <c r="W18" s="17" t="str">
        <f t="shared" si="2"/>
        <v>OK</v>
      </c>
    </row>
    <row r="19" spans="1:23" ht="15.95" customHeight="1" x14ac:dyDescent="0.25">
      <c r="A19" s="35" t="s">
        <v>212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4"/>
      <c r="W19" s="4"/>
    </row>
    <row r="20" spans="1:23" ht="20.100000000000001" customHeight="1" x14ac:dyDescent="0.25">
      <c r="A20" s="18" t="s">
        <v>213</v>
      </c>
      <c r="B20" s="19" t="s">
        <v>68</v>
      </c>
      <c r="C20" s="20">
        <v>0</v>
      </c>
      <c r="D20" s="20">
        <v>1</v>
      </c>
      <c r="E20" s="20">
        <f>D20-C20</f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 t="s">
        <v>69</v>
      </c>
      <c r="Q20" s="21"/>
      <c r="R20" s="21"/>
      <c r="S20" s="21"/>
      <c r="T20" s="21" t="s">
        <v>69</v>
      </c>
      <c r="U20" s="21"/>
      <c r="V20" s="22"/>
      <c r="W20" s="23" t="str">
        <f>IF(COUNTA(F20:U20)=0,"— não preenchido",IF(COUNTIF(F20:J20,"X")&lt;&gt;1,"FALTA/DUPLA: CONDIÇÃO DO PAVIMENTO",IF(COUNTIF(K20:L20,"X")&lt;&gt;1,"FALTA/DUPLA: VEGETAÇÃO",IF(COUNTIF(M20:O20,"X")&lt;&gt;1,"FALTA/DUPLA: ELEM. DE DRENAGEM",IF(COUNTIF(P20:R20,"X")&lt;&gt;1,"FALTA/DUPLA: SIN. HORIZ.",IF(COUNTIF(S20:U20,"X")&lt;&gt;1,"FALTA/DUPLA: SIN. VERTICAL","OK"))))))</f>
        <v>OK</v>
      </c>
    </row>
    <row r="21" spans="1:23" ht="20.100000000000001" customHeight="1" x14ac:dyDescent="0.25">
      <c r="A21" s="18" t="s">
        <v>213</v>
      </c>
      <c r="B21" s="19" t="s">
        <v>68</v>
      </c>
      <c r="C21" s="20">
        <v>1</v>
      </c>
      <c r="D21" s="20">
        <v>2</v>
      </c>
      <c r="E21" s="20">
        <f>D21-C21</f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 t="s">
        <v>69</v>
      </c>
      <c r="Q21" s="21"/>
      <c r="R21" s="21"/>
      <c r="S21" s="21"/>
      <c r="T21" s="21" t="s">
        <v>69</v>
      </c>
      <c r="U21" s="21"/>
      <c r="V21" s="22"/>
      <c r="W21" s="23" t="str">
        <f>IF(COUNTA(F21:U21)=0,"— não preenchido",IF(COUNTIF(F21:J21,"X")&lt;&gt;1,"FALTA/DUPLA: CONDIÇÃO DO PAVIMENTO",IF(COUNTIF(K21:L21,"X")&lt;&gt;1,"FALTA/DUPLA: VEGETAÇÃO",IF(COUNTIF(M21:O21,"X")&lt;&gt;1,"FALTA/DUPLA: ELEM. DE DRENAGEM",IF(COUNTIF(P21:R21,"X")&lt;&gt;1,"FALTA/DUPLA: SIN. HORIZ.",IF(COUNTIF(S21:U21,"X")&lt;&gt;1,"FALTA/DUPLA: SIN. VERTICAL","OK"))))))</f>
        <v>OK</v>
      </c>
    </row>
    <row r="22" spans="1:23" ht="20.100000000000001" customHeight="1" x14ac:dyDescent="0.25">
      <c r="A22" s="18" t="s">
        <v>213</v>
      </c>
      <c r="B22" s="19" t="s">
        <v>68</v>
      </c>
      <c r="C22" s="20">
        <v>2</v>
      </c>
      <c r="D22" s="20">
        <v>3</v>
      </c>
      <c r="E22" s="20">
        <f>D22-C22</f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/>
      <c r="N22" s="21" t="s">
        <v>69</v>
      </c>
      <c r="O22" s="21"/>
      <c r="P22" s="21" t="s">
        <v>69</v>
      </c>
      <c r="Q22" s="21"/>
      <c r="R22" s="21"/>
      <c r="S22" s="21"/>
      <c r="T22" s="21" t="s">
        <v>69</v>
      </c>
      <c r="U22" s="21"/>
      <c r="V22" s="22"/>
      <c r="W22" s="23" t="str">
        <f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8" t="s">
        <v>213</v>
      </c>
      <c r="B23" s="19" t="s">
        <v>68</v>
      </c>
      <c r="C23" s="20">
        <v>3</v>
      </c>
      <c r="D23" s="20">
        <v>4</v>
      </c>
      <c r="E23" s="20">
        <f>D23-C23</f>
        <v>1</v>
      </c>
      <c r="F23" s="21" t="s">
        <v>69</v>
      </c>
      <c r="G23" s="21"/>
      <c r="H23" s="21"/>
      <c r="I23" s="21"/>
      <c r="J23" s="21"/>
      <c r="K23" s="21"/>
      <c r="L23" s="21" t="s">
        <v>69</v>
      </c>
      <c r="M23" s="21"/>
      <c r="N23" s="21" t="s">
        <v>69</v>
      </c>
      <c r="O23" s="21"/>
      <c r="P23" s="21" t="s">
        <v>69</v>
      </c>
      <c r="Q23" s="21"/>
      <c r="R23" s="21"/>
      <c r="S23" s="21"/>
      <c r="T23" s="21" t="s">
        <v>69</v>
      </c>
      <c r="U23" s="21"/>
      <c r="V23" s="22"/>
      <c r="W23" s="23" t="str">
        <f>IF(COUNTA(F23:U23)=0,"— não preenchido",IF(COUNTIF(F23:J23,"X")&lt;&gt;1,"FALTA/DUPLA: CONDIÇÃO DO PAVIMENTO",IF(COUNTIF(K23:L23,"X")&lt;&gt;1,"FALTA/DUPLA: VEGETAÇÃO",IF(COUNTIF(M23:O23,"X")&lt;&gt;1,"FALTA/DUPLA: ELEM. DE DRENAGEM",IF(COUNTIF(P23:R23,"X")&lt;&gt;1,"FALTA/DUPLA: SIN. HORIZ.",IF(COUNTIF(S23:U23,"X")&lt;&gt;1,"FALTA/DUPLA: SIN. VERTICAL","OK"))))))</f>
        <v>OK</v>
      </c>
    </row>
    <row r="24" spans="1:23" ht="20.100000000000001" customHeight="1" x14ac:dyDescent="0.25">
      <c r="A24" s="12" t="s">
        <v>213</v>
      </c>
      <c r="B24" s="13" t="s">
        <v>68</v>
      </c>
      <c r="C24" s="14">
        <v>4</v>
      </c>
      <c r="D24" s="14">
        <v>4.7790210114400002</v>
      </c>
      <c r="E24" s="14">
        <f>D24-C24</f>
        <v>0.77902101144000024</v>
      </c>
      <c r="F24" s="15" t="s">
        <v>69</v>
      </c>
      <c r="G24" s="15"/>
      <c r="H24" s="15"/>
      <c r="I24" s="15"/>
      <c r="J24" s="15"/>
      <c r="K24" s="15"/>
      <c r="L24" s="15" t="s">
        <v>69</v>
      </c>
      <c r="M24" s="15"/>
      <c r="N24" s="15" t="s">
        <v>69</v>
      </c>
      <c r="O24" s="15"/>
      <c r="P24" s="15" t="s">
        <v>69</v>
      </c>
      <c r="Q24" s="15"/>
      <c r="R24" s="15"/>
      <c r="S24" s="15"/>
      <c r="T24" s="15" t="s">
        <v>69</v>
      </c>
      <c r="U24" s="15"/>
      <c r="V24" s="16"/>
      <c r="W24" s="17" t="str">
        <f>IF(COUNTA(F24:U24)=0,"— não preenchido",IF(COUNTIF(F24:J24,"X")&lt;&gt;1,"FALTA/DUPLA: CONDIÇÃO DO PAVIMENTO",IF(COUNTIF(K24:L24,"X")&lt;&gt;1,"FALTA/DUPLA: VEGETAÇÃO",IF(COUNTIF(M24:O24,"X")&lt;&gt;1,"FALTA/DUPLA: ELEM. DE DRENAGEM",IF(COUNTIF(P24:R24,"X")&lt;&gt;1,"FALTA/DUPLA: SIN. HORIZ.",IF(COUNTIF(S24:U24,"X")&lt;&gt;1,"FALTA/DUPLA: SIN. VERTICAL","OK"))))))</f>
        <v>OK</v>
      </c>
    </row>
    <row r="26" spans="1:23" x14ac:dyDescent="0.25">
      <c r="A26" s="40" t="s">
        <v>78</v>
      </c>
      <c r="B26" s="28"/>
      <c r="C26" s="28"/>
      <c r="D26" s="28"/>
      <c r="E26" s="28"/>
      <c r="G26" s="40" t="s">
        <v>78</v>
      </c>
      <c r="H26" s="28"/>
      <c r="I26" s="28"/>
      <c r="J26" s="28"/>
      <c r="K26" s="28"/>
    </row>
    <row r="27" spans="1:23" x14ac:dyDescent="0.25">
      <c r="A27" s="44" t="s">
        <v>79</v>
      </c>
      <c r="B27" s="28"/>
      <c r="C27" s="28"/>
      <c r="D27" s="28"/>
      <c r="E27" s="28"/>
      <c r="G27" s="44" t="s">
        <v>80</v>
      </c>
      <c r="H27" s="28"/>
      <c r="I27" s="28"/>
      <c r="J27" s="28"/>
      <c r="K27" s="28"/>
    </row>
    <row r="29" spans="1:23" x14ac:dyDescent="0.25">
      <c r="A29" s="41" t="s">
        <v>81</v>
      </c>
      <c r="B29" s="28"/>
      <c r="C29" s="28"/>
      <c r="D29" s="28"/>
      <c r="E29" s="28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3" x14ac:dyDescent="0.25">
      <c r="A30" s="43" t="s">
        <v>82</v>
      </c>
      <c r="B30" s="28"/>
      <c r="C30" s="28"/>
      <c r="D30" s="28"/>
      <c r="E30" s="28"/>
      <c r="F30" s="9">
        <f t="shared" ref="F30:U30" si="3">SUMIF(F$9:F$24,"X",$E$9:$E$24)</f>
        <v>12.071587130520001</v>
      </c>
      <c r="G30" s="9">
        <f t="shared" si="3"/>
        <v>2</v>
      </c>
      <c r="H30" s="9">
        <f t="shared" si="3"/>
        <v>0</v>
      </c>
      <c r="I30" s="9">
        <f t="shared" si="3"/>
        <v>0</v>
      </c>
      <c r="J30" s="9">
        <f t="shared" si="3"/>
        <v>0</v>
      </c>
      <c r="K30" s="9">
        <f t="shared" si="3"/>
        <v>0</v>
      </c>
      <c r="L30" s="9">
        <f t="shared" si="3"/>
        <v>14.071587130520001</v>
      </c>
      <c r="M30" s="9">
        <f t="shared" si="3"/>
        <v>0</v>
      </c>
      <c r="N30" s="9">
        <f t="shared" si="3"/>
        <v>14.071587130520001</v>
      </c>
      <c r="O30" s="9">
        <f t="shared" si="3"/>
        <v>0</v>
      </c>
      <c r="P30" s="9">
        <f t="shared" si="3"/>
        <v>14.071587130520001</v>
      </c>
      <c r="Q30" s="9">
        <f t="shared" si="3"/>
        <v>0</v>
      </c>
      <c r="R30" s="9">
        <f t="shared" si="3"/>
        <v>0</v>
      </c>
      <c r="S30" s="9">
        <f t="shared" si="3"/>
        <v>0</v>
      </c>
      <c r="T30" s="9">
        <f t="shared" si="3"/>
        <v>14.071587130520001</v>
      </c>
      <c r="U30" s="9">
        <f t="shared" si="3"/>
        <v>0</v>
      </c>
    </row>
    <row r="31" spans="1:23" x14ac:dyDescent="0.25">
      <c r="A31" s="43" t="s">
        <v>83</v>
      </c>
      <c r="B31" s="28"/>
      <c r="C31" s="28"/>
      <c r="D31" s="28"/>
      <c r="E31" s="28"/>
      <c r="F31" s="25">
        <f t="shared" ref="F31:U31" si="4">IF($R33=0,0,F30/$R33)</f>
        <v>0.85786962185223725</v>
      </c>
      <c r="G31" s="25">
        <f t="shared" si="4"/>
        <v>0.14213037814776278</v>
      </c>
      <c r="H31" s="25">
        <f t="shared" si="4"/>
        <v>0</v>
      </c>
      <c r="I31" s="25">
        <f t="shared" si="4"/>
        <v>0</v>
      </c>
      <c r="J31" s="25">
        <f t="shared" si="4"/>
        <v>0</v>
      </c>
      <c r="K31" s="25">
        <f t="shared" si="4"/>
        <v>0</v>
      </c>
      <c r="L31" s="25">
        <f t="shared" si="4"/>
        <v>1</v>
      </c>
      <c r="M31" s="25">
        <f t="shared" si="4"/>
        <v>0</v>
      </c>
      <c r="N31" s="25">
        <f t="shared" si="4"/>
        <v>1</v>
      </c>
      <c r="O31" s="25">
        <f t="shared" si="4"/>
        <v>0</v>
      </c>
      <c r="P31" s="25">
        <f t="shared" si="4"/>
        <v>1</v>
      </c>
      <c r="Q31" s="25">
        <f t="shared" si="4"/>
        <v>0</v>
      </c>
      <c r="R31" s="25">
        <f t="shared" si="4"/>
        <v>0</v>
      </c>
      <c r="S31" s="25">
        <f t="shared" si="4"/>
        <v>0</v>
      </c>
      <c r="T31" s="25">
        <f t="shared" si="4"/>
        <v>1</v>
      </c>
      <c r="U31" s="25">
        <f t="shared" si="4"/>
        <v>0</v>
      </c>
    </row>
    <row r="32" spans="1:23" x14ac:dyDescent="0.25">
      <c r="A32" s="43" t="s">
        <v>84</v>
      </c>
      <c r="B32" s="28"/>
      <c r="C32" s="28"/>
      <c r="D32" s="28"/>
      <c r="E32" s="28"/>
      <c r="F32" s="42" t="str">
        <f>IF(SUM(F30:J30)=0,"— não preenchido",IF(ROUND(SUM(F30:J30)-$R33,3)=0,"OK — "&amp;ROUND(SUM(F30:J30),3)&amp;" km","ERRO — dif. de "&amp;ROUND(SUM(F30:J30)-$R33,3)&amp;" km"))</f>
        <v>OK — 14,072 km</v>
      </c>
      <c r="G32" s="33"/>
      <c r="H32" s="33"/>
      <c r="I32" s="33"/>
      <c r="J32" s="34"/>
      <c r="K32" s="42" t="str">
        <f>IF(SUM(K30:L30)=0,"— não preenchido",IF(ROUND(SUM(K30:L30)-$R33,3)=0,"OK — "&amp;ROUND(SUM(K30:L30),3)&amp;" km","ERRO — dif. de "&amp;ROUND(SUM(K30:L30)-$R33,3)&amp;" km"))</f>
        <v>OK — 14,072 km</v>
      </c>
      <c r="L32" s="34"/>
      <c r="M32" s="42" t="str">
        <f>IF(SUM(M30:O30)=0,"— não preenchido",IF(ROUND(SUM(M30:O30)-$R33,3)=0,"OK — "&amp;ROUND(SUM(M30:O30),3)&amp;" km","ERRO — dif. de "&amp;ROUND(SUM(M30:O30)-$R33,3)&amp;" km"))</f>
        <v>OK — 14,072 km</v>
      </c>
      <c r="N32" s="33"/>
      <c r="O32" s="34"/>
      <c r="P32" s="42" t="str">
        <f>IF(SUM(P30:R30)=0,"— não preenchido",IF(ROUND(SUM(P30:R30)-$R33,3)=0,"OK — "&amp;ROUND(SUM(P30:R30),3)&amp;" km","ERRO — dif. de "&amp;ROUND(SUM(P30:R30)-$R33,3)&amp;" km"))</f>
        <v>OK — 14,072 km</v>
      </c>
      <c r="Q32" s="33"/>
      <c r="R32" s="34"/>
      <c r="S32" s="42" t="str">
        <f>IF(SUM(S30:U30)=0,"— não preenchido",IF(ROUND(SUM(S30:U30)-$R33,3)=0,"OK — "&amp;ROUND(SUM(S30:U30),3)&amp;" km","ERRO — dif. de "&amp;ROUND(SUM(S30:U30)-$R33,3)&amp;" km"))</f>
        <v>OK — 14,072 km</v>
      </c>
      <c r="T32" s="33"/>
      <c r="U32" s="34"/>
    </row>
    <row r="33" spans="1:22" x14ac:dyDescent="0.25">
      <c r="A33" s="43" t="s">
        <v>85</v>
      </c>
      <c r="B33" s="28"/>
      <c r="C33" s="28"/>
      <c r="D33" s="28"/>
      <c r="E33" s="28"/>
      <c r="R33" s="26">
        <f>SUM(E9:E24)</f>
        <v>14.071587130520001</v>
      </c>
      <c r="V33" s="8" t="str">
        <f>COUNTIF(W9:W24,"OK")&amp;" de "&amp;COUNT($E$9:$E$24)&amp;" linhas conferidas"</f>
        <v>15 de 15 linhas conferidas</v>
      </c>
    </row>
    <row r="35" spans="1:22" x14ac:dyDescent="0.25">
      <c r="A35" s="37" t="s">
        <v>86</v>
      </c>
      <c r="B35" s="28"/>
      <c r="C35" s="28"/>
      <c r="D35" s="28"/>
      <c r="E35" s="28"/>
    </row>
    <row r="36" spans="1:22" x14ac:dyDescent="0.25">
      <c r="A36" s="43" t="s">
        <v>87</v>
      </c>
      <c r="B36" s="28"/>
      <c r="C36" s="28"/>
      <c r="D36" s="28"/>
      <c r="E36" s="31" t="s">
        <v>88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43" t="s">
        <v>89</v>
      </c>
      <c r="B37" s="28"/>
      <c r="C37" s="28"/>
      <c r="D37" s="28"/>
      <c r="E37" s="31" t="s">
        <v>90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43" t="s">
        <v>91</v>
      </c>
      <c r="B38" s="28"/>
      <c r="C38" s="28"/>
      <c r="D38" s="28"/>
      <c r="E38" s="31" t="s">
        <v>92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43" t="s">
        <v>93</v>
      </c>
      <c r="B39" s="28"/>
      <c r="C39" s="28"/>
      <c r="D39" s="28"/>
      <c r="E39" s="31" t="s">
        <v>94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43" t="s">
        <v>95</v>
      </c>
      <c r="B40" s="28"/>
      <c r="C40" s="28"/>
      <c r="D40" s="28"/>
      <c r="E40" s="31" t="s">
        <v>96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43" t="s">
        <v>60</v>
      </c>
      <c r="B41" s="28"/>
      <c r="C41" s="28"/>
      <c r="D41" s="28"/>
      <c r="E41" s="31" t="s">
        <v>97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43" t="s">
        <v>98</v>
      </c>
      <c r="B42" s="28"/>
      <c r="C42" s="28"/>
      <c r="D42" s="28"/>
      <c r="E42" s="31" t="s">
        <v>99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43" t="s">
        <v>100</v>
      </c>
      <c r="B43" s="28"/>
      <c r="C43" s="28"/>
      <c r="D43" s="28"/>
      <c r="E43" s="31" t="s">
        <v>101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43" t="s">
        <v>11</v>
      </c>
      <c r="B44" s="28"/>
      <c r="C44" s="28"/>
      <c r="D44" s="28"/>
      <c r="E44" s="31" t="s">
        <v>102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</sheetData>
  <sheetProtection sheet="1" formatCells="0"/>
  <mergeCells count="58">
    <mergeCell ref="E43:V43"/>
    <mergeCell ref="G26:K26"/>
    <mergeCell ref="A37:D37"/>
    <mergeCell ref="A29:E29"/>
    <mergeCell ref="A35:E35"/>
    <mergeCell ref="E42:V42"/>
    <mergeCell ref="A31:E31"/>
    <mergeCell ref="A42:D42"/>
    <mergeCell ref="E39:V39"/>
    <mergeCell ref="A39:D39"/>
    <mergeCell ref="E38:V38"/>
    <mergeCell ref="E40:V40"/>
    <mergeCell ref="A1:V1"/>
    <mergeCell ref="E41:V41"/>
    <mergeCell ref="S32:U32"/>
    <mergeCell ref="A33:E33"/>
    <mergeCell ref="T3:V3"/>
    <mergeCell ref="A32:E32"/>
    <mergeCell ref="A41:D41"/>
    <mergeCell ref="E37:V37"/>
    <mergeCell ref="R2:V2"/>
    <mergeCell ref="A3:S3"/>
    <mergeCell ref="C6:C7"/>
    <mergeCell ref="K6:L6"/>
    <mergeCell ref="D6:D7"/>
    <mergeCell ref="P6:R6"/>
    <mergeCell ref="A2:F2"/>
    <mergeCell ref="A40:D40"/>
    <mergeCell ref="B6:B7"/>
    <mergeCell ref="F32:J32"/>
    <mergeCell ref="A27:E27"/>
    <mergeCell ref="A36:D36"/>
    <mergeCell ref="M32:O32"/>
    <mergeCell ref="A26:E26"/>
    <mergeCell ref="F6:J6"/>
    <mergeCell ref="M6:O6"/>
    <mergeCell ref="V6:V7"/>
    <mergeCell ref="W6:W7"/>
    <mergeCell ref="E36:V36"/>
    <mergeCell ref="E6:E7"/>
    <mergeCell ref="S6:U6"/>
    <mergeCell ref="P32:R32"/>
    <mergeCell ref="A4:V4"/>
    <mergeCell ref="A44:D44"/>
    <mergeCell ref="K2:M2"/>
    <mergeCell ref="A19:V19"/>
    <mergeCell ref="N2:O2"/>
    <mergeCell ref="K32:L32"/>
    <mergeCell ref="P2:Q2"/>
    <mergeCell ref="A30:E30"/>
    <mergeCell ref="E44:V44"/>
    <mergeCell ref="G2:H2"/>
    <mergeCell ref="I2:J2"/>
    <mergeCell ref="A38:D38"/>
    <mergeCell ref="A8:V8"/>
    <mergeCell ref="G27:K27"/>
    <mergeCell ref="A43:D43"/>
    <mergeCell ref="A6:A7"/>
  </mergeCells>
  <conditionalFormatting sqref="F9:J24">
    <cfRule type="expression" dxfId="125" priority="1">
      <formula>AND(F9&lt;&gt;"",COUNTIF($F9:$J9,"X")&gt;1)</formula>
    </cfRule>
  </conditionalFormatting>
  <conditionalFormatting sqref="F32:U32">
    <cfRule type="expression" dxfId="124" priority="8">
      <formula>LEFT(F32,4)="ERRO"</formula>
    </cfRule>
    <cfRule type="expression" dxfId="123" priority="9">
      <formula>LEFT(F32,2)="OK"</formula>
    </cfRule>
  </conditionalFormatting>
  <conditionalFormatting sqref="K9:L24">
    <cfRule type="expression" dxfId="122" priority="2">
      <formula>AND(K9&lt;&gt;"",COUNTIF($K9:$L9,"X")&gt;1)</formula>
    </cfRule>
  </conditionalFormatting>
  <conditionalFormatting sqref="M9:O24">
    <cfRule type="expression" dxfId="121" priority="3">
      <formula>AND(M9&lt;&gt;"",COUNTIF($M9:$O9,"X")&gt;1)</formula>
    </cfRule>
  </conditionalFormatting>
  <conditionalFormatting sqref="P9:R24">
    <cfRule type="expression" dxfId="120" priority="4">
      <formula>AND(P9&lt;&gt;"",COUNTIF($P9:$R9,"X")&gt;1)</formula>
    </cfRule>
  </conditionalFormatting>
  <conditionalFormatting sqref="S9:U24">
    <cfRule type="expression" dxfId="119" priority="5">
      <formula>AND(S9&lt;&gt;"",COUNTIF($S9:$U9,"X")&gt;1)</formula>
    </cfRule>
  </conditionalFormatting>
  <conditionalFormatting sqref="W9:W24">
    <cfRule type="expression" dxfId="118" priority="6">
      <formula>AND(W9&lt;&gt;"OK",W9&lt;&gt;"")</formula>
    </cfRule>
    <cfRule type="expression" dxfId="11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4" xr:uid="{00000000-0002-0000-0F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4" xr:uid="{00000000-0002-0000-0F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4" xr:uid="{00000000-0002-0000-0F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4" xr:uid="{00000000-0002-0000-0F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4" xr:uid="{00000000-0002-0000-0F00-000004000000}">
      <formula1>AND(UPPER(S9)="X",COUNTIF($S9:$U9,"X")&lt;=1)</formula1>
    </dataValidation>
    <dataValidation type="list" showErrorMessage="1" errorTitle="Sentido inválido" error="Use C (crescente) ou D (decrescente)." sqref="B9:B24" xr:uid="{00000000-0002-0000-0F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16</oddHeader>
    <oddFooter>&amp;L&amp;7 RTA / MSI — Programa de Manutenção Rodoviária&amp;C&amp;7 Página &amp;P de &amp;N&amp;R&amp;7 Impresso em &amp;D</oddFooter>
  </headerFooter>
  <rowBreaks count="1" manualBreakCount="1">
    <brk id="27" max="16383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pageSetUpPr fitToPage="1"/>
  </sheetPr>
  <dimension ref="A1:AN50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 t="e">
        <f t="shared" ref="Y2:AN2" si="0">IF(F36=0,NA(),F36)</f>
        <v>#N/A</v>
      </c>
      <c r="Z2" s="2" t="e">
        <f t="shared" si="0"/>
        <v>#N/A</v>
      </c>
      <c r="AA2" s="2">
        <f t="shared" si="0"/>
        <v>20.06831737133</v>
      </c>
      <c r="AB2" s="2" t="e">
        <f t="shared" si="0"/>
        <v>#N/A</v>
      </c>
      <c r="AC2" s="2" t="e">
        <f t="shared" si="0"/>
        <v>#N/A</v>
      </c>
      <c r="AD2" s="2">
        <f t="shared" si="0"/>
        <v>20.06831737133</v>
      </c>
      <c r="AE2" s="2" t="e">
        <f t="shared" si="0"/>
        <v>#N/A</v>
      </c>
      <c r="AF2" s="2">
        <f t="shared" si="0"/>
        <v>20.06831737133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20.06831737133</v>
      </c>
      <c r="AK2" s="2" t="e">
        <f t="shared" si="0"/>
        <v>#N/A</v>
      </c>
      <c r="AL2" s="2" t="e">
        <f t="shared" si="0"/>
        <v>#N/A</v>
      </c>
      <c r="AM2" s="2">
        <f t="shared" si="0"/>
        <v>20.06831737133</v>
      </c>
      <c r="AN2" s="2" t="e">
        <f t="shared" si="0"/>
        <v>#N/A</v>
      </c>
    </row>
    <row r="3" spans="1:40" ht="15" customHeight="1" x14ac:dyDescent="0.25">
      <c r="A3" s="49" t="s">
        <v>214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215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216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217</v>
      </c>
      <c r="B9" s="19" t="s">
        <v>68</v>
      </c>
      <c r="C9" s="20">
        <v>0</v>
      </c>
      <c r="D9" s="20">
        <v>1</v>
      </c>
      <c r="E9" s="20">
        <f t="shared" ref="E9:E15" si="1">D9-C9</f>
        <v>1</v>
      </c>
      <c r="F9" s="21"/>
      <c r="G9" s="21"/>
      <c r="H9" s="21" t="s">
        <v>69</v>
      </c>
      <c r="I9" s="21"/>
      <c r="J9" s="21"/>
      <c r="K9" s="21" t="s">
        <v>69</v>
      </c>
      <c r="L9" s="21"/>
      <c r="M9" s="21" t="s">
        <v>69</v>
      </c>
      <c r="N9" s="21"/>
      <c r="O9" s="21"/>
      <c r="P9" s="21"/>
      <c r="Q9" s="21" t="s">
        <v>69</v>
      </c>
      <c r="R9" s="21"/>
      <c r="S9" s="21"/>
      <c r="T9" s="21" t="s">
        <v>69</v>
      </c>
      <c r="U9" s="21"/>
      <c r="V9" s="22"/>
      <c r="W9" s="23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217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/>
      <c r="G10" s="21"/>
      <c r="H10" s="21" t="s">
        <v>69</v>
      </c>
      <c r="I10" s="21"/>
      <c r="J10" s="21"/>
      <c r="K10" s="21" t="s">
        <v>69</v>
      </c>
      <c r="L10" s="21"/>
      <c r="M10" s="21" t="s">
        <v>69</v>
      </c>
      <c r="N10" s="21"/>
      <c r="O10" s="21"/>
      <c r="P10" s="21"/>
      <c r="Q10" s="21" t="s">
        <v>69</v>
      </c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217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/>
      <c r="G11" s="21"/>
      <c r="H11" s="21" t="s">
        <v>69</v>
      </c>
      <c r="I11" s="21"/>
      <c r="J11" s="21"/>
      <c r="K11" s="21" t="s">
        <v>69</v>
      </c>
      <c r="L11" s="21"/>
      <c r="M11" s="21" t="s">
        <v>69</v>
      </c>
      <c r="N11" s="21"/>
      <c r="O11" s="21"/>
      <c r="P11" s="21"/>
      <c r="Q11" s="21" t="s">
        <v>69</v>
      </c>
      <c r="R11" s="21"/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217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/>
      <c r="G12" s="21"/>
      <c r="H12" s="21" t="s">
        <v>69</v>
      </c>
      <c r="I12" s="21"/>
      <c r="J12" s="21"/>
      <c r="K12" s="21" t="s">
        <v>69</v>
      </c>
      <c r="L12" s="21"/>
      <c r="M12" s="21" t="s">
        <v>69</v>
      </c>
      <c r="N12" s="21"/>
      <c r="O12" s="21"/>
      <c r="P12" s="21"/>
      <c r="Q12" s="21" t="s">
        <v>69</v>
      </c>
      <c r="R12" s="21"/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217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/>
      <c r="G13" s="21"/>
      <c r="H13" s="21" t="s">
        <v>69</v>
      </c>
      <c r="I13" s="21"/>
      <c r="J13" s="21"/>
      <c r="K13" s="21" t="s">
        <v>69</v>
      </c>
      <c r="L13" s="21"/>
      <c r="M13" s="21" t="s">
        <v>69</v>
      </c>
      <c r="N13" s="21"/>
      <c r="O13" s="21"/>
      <c r="P13" s="21"/>
      <c r="Q13" s="21" t="s">
        <v>69</v>
      </c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217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/>
      <c r="G14" s="21"/>
      <c r="H14" s="21" t="s">
        <v>69</v>
      </c>
      <c r="I14" s="21"/>
      <c r="J14" s="21"/>
      <c r="K14" s="21" t="s">
        <v>69</v>
      </c>
      <c r="L14" s="21"/>
      <c r="M14" s="21" t="s">
        <v>69</v>
      </c>
      <c r="N14" s="21"/>
      <c r="O14" s="21"/>
      <c r="P14" s="21"/>
      <c r="Q14" s="21" t="s">
        <v>69</v>
      </c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2" t="s">
        <v>217</v>
      </c>
      <c r="B15" s="13" t="s">
        <v>68</v>
      </c>
      <c r="C15" s="14">
        <v>6</v>
      </c>
      <c r="D15" s="14">
        <v>6.4056834824299997</v>
      </c>
      <c r="E15" s="14">
        <f t="shared" si="1"/>
        <v>0.40568348242999974</v>
      </c>
      <c r="F15" s="15"/>
      <c r="G15" s="15"/>
      <c r="H15" s="15" t="s">
        <v>69</v>
      </c>
      <c r="I15" s="15"/>
      <c r="J15" s="15"/>
      <c r="K15" s="15" t="s">
        <v>69</v>
      </c>
      <c r="L15" s="15"/>
      <c r="M15" s="15" t="s">
        <v>69</v>
      </c>
      <c r="N15" s="15"/>
      <c r="O15" s="15"/>
      <c r="P15" s="15"/>
      <c r="Q15" s="15" t="s">
        <v>69</v>
      </c>
      <c r="R15" s="15"/>
      <c r="S15" s="15"/>
      <c r="T15" s="15" t="s">
        <v>69</v>
      </c>
      <c r="U15" s="15"/>
      <c r="V15" s="16"/>
      <c r="W15" s="17" t="str">
        <f t="shared" si="2"/>
        <v>OK</v>
      </c>
    </row>
    <row r="16" spans="1:40" ht="15.95" customHeight="1" x14ac:dyDescent="0.25">
      <c r="A16" s="35" t="s">
        <v>218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4"/>
      <c r="W16" s="4"/>
    </row>
    <row r="17" spans="1:23" ht="20.100000000000001" customHeight="1" x14ac:dyDescent="0.25">
      <c r="A17" s="18" t="s">
        <v>219</v>
      </c>
      <c r="B17" s="19" t="s">
        <v>68</v>
      </c>
      <c r="C17" s="20">
        <v>0</v>
      </c>
      <c r="D17" s="20">
        <v>1</v>
      </c>
      <c r="E17" s="20">
        <f t="shared" ref="E17:E30" si="3">D17-C17</f>
        <v>1</v>
      </c>
      <c r="F17" s="21"/>
      <c r="G17" s="21"/>
      <c r="H17" s="21" t="s">
        <v>69</v>
      </c>
      <c r="I17" s="21"/>
      <c r="J17" s="21"/>
      <c r="K17" s="21" t="s">
        <v>69</v>
      </c>
      <c r="L17" s="21"/>
      <c r="M17" s="21" t="s">
        <v>69</v>
      </c>
      <c r="N17" s="21"/>
      <c r="O17" s="21"/>
      <c r="P17" s="21"/>
      <c r="Q17" s="21" t="s">
        <v>69</v>
      </c>
      <c r="R17" s="21"/>
      <c r="S17" s="21"/>
      <c r="T17" s="21" t="s">
        <v>69</v>
      </c>
      <c r="U17" s="21"/>
      <c r="V17" s="22"/>
      <c r="W17" s="23" t="str">
        <f t="shared" ref="W17:W30" si="4"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8" t="s">
        <v>219</v>
      </c>
      <c r="B18" s="19" t="s">
        <v>68</v>
      </c>
      <c r="C18" s="20">
        <v>1</v>
      </c>
      <c r="D18" s="20">
        <v>2</v>
      </c>
      <c r="E18" s="20">
        <f t="shared" si="3"/>
        <v>1</v>
      </c>
      <c r="F18" s="21"/>
      <c r="G18" s="21"/>
      <c r="H18" s="21" t="s">
        <v>69</v>
      </c>
      <c r="I18" s="21"/>
      <c r="J18" s="21"/>
      <c r="K18" s="21" t="s">
        <v>69</v>
      </c>
      <c r="L18" s="21"/>
      <c r="M18" s="21" t="s">
        <v>69</v>
      </c>
      <c r="N18" s="21"/>
      <c r="O18" s="21"/>
      <c r="P18" s="21"/>
      <c r="Q18" s="21" t="s">
        <v>69</v>
      </c>
      <c r="R18" s="21"/>
      <c r="S18" s="21"/>
      <c r="T18" s="21" t="s">
        <v>69</v>
      </c>
      <c r="U18" s="21"/>
      <c r="V18" s="22"/>
      <c r="W18" s="23" t="str">
        <f t="shared" si="4"/>
        <v>OK</v>
      </c>
    </row>
    <row r="19" spans="1:23" ht="20.100000000000001" customHeight="1" x14ac:dyDescent="0.25">
      <c r="A19" s="18" t="s">
        <v>219</v>
      </c>
      <c r="B19" s="19" t="s">
        <v>68</v>
      </c>
      <c r="C19" s="20">
        <v>2</v>
      </c>
      <c r="D19" s="20">
        <v>3</v>
      </c>
      <c r="E19" s="20">
        <f t="shared" si="3"/>
        <v>1</v>
      </c>
      <c r="F19" s="21"/>
      <c r="G19" s="21"/>
      <c r="H19" s="21" t="s">
        <v>69</v>
      </c>
      <c r="I19" s="21"/>
      <c r="J19" s="21"/>
      <c r="K19" s="21" t="s">
        <v>69</v>
      </c>
      <c r="L19" s="21"/>
      <c r="M19" s="21" t="s">
        <v>69</v>
      </c>
      <c r="N19" s="21"/>
      <c r="O19" s="21"/>
      <c r="P19" s="21"/>
      <c r="Q19" s="21" t="s">
        <v>69</v>
      </c>
      <c r="R19" s="21"/>
      <c r="S19" s="21"/>
      <c r="T19" s="21" t="s">
        <v>69</v>
      </c>
      <c r="U19" s="21"/>
      <c r="V19" s="22"/>
      <c r="W19" s="23" t="str">
        <f t="shared" si="4"/>
        <v>OK</v>
      </c>
    </row>
    <row r="20" spans="1:23" ht="20.100000000000001" customHeight="1" x14ac:dyDescent="0.25">
      <c r="A20" s="18" t="s">
        <v>219</v>
      </c>
      <c r="B20" s="19" t="s">
        <v>68</v>
      </c>
      <c r="C20" s="20">
        <v>3</v>
      </c>
      <c r="D20" s="20">
        <v>4</v>
      </c>
      <c r="E20" s="20">
        <f t="shared" si="3"/>
        <v>1</v>
      </c>
      <c r="F20" s="21"/>
      <c r="G20" s="21"/>
      <c r="H20" s="21" t="s">
        <v>69</v>
      </c>
      <c r="I20" s="21"/>
      <c r="J20" s="21"/>
      <c r="K20" s="21" t="s">
        <v>69</v>
      </c>
      <c r="L20" s="21"/>
      <c r="M20" s="21" t="s">
        <v>69</v>
      </c>
      <c r="N20" s="21"/>
      <c r="O20" s="21"/>
      <c r="P20" s="21"/>
      <c r="Q20" s="21" t="s">
        <v>69</v>
      </c>
      <c r="R20" s="21"/>
      <c r="S20" s="21"/>
      <c r="T20" s="21" t="s">
        <v>69</v>
      </c>
      <c r="U20" s="21"/>
      <c r="V20" s="22"/>
      <c r="W20" s="23" t="str">
        <f t="shared" si="4"/>
        <v>OK</v>
      </c>
    </row>
    <row r="21" spans="1:23" ht="20.100000000000001" customHeight="1" x14ac:dyDescent="0.25">
      <c r="A21" s="18" t="s">
        <v>219</v>
      </c>
      <c r="B21" s="19" t="s">
        <v>68</v>
      </c>
      <c r="C21" s="20">
        <v>4</v>
      </c>
      <c r="D21" s="20">
        <v>5</v>
      </c>
      <c r="E21" s="20">
        <f t="shared" si="3"/>
        <v>1</v>
      </c>
      <c r="F21" s="21"/>
      <c r="G21" s="21"/>
      <c r="H21" s="21" t="s">
        <v>69</v>
      </c>
      <c r="I21" s="21"/>
      <c r="J21" s="21"/>
      <c r="K21" s="21" t="s">
        <v>69</v>
      </c>
      <c r="L21" s="21"/>
      <c r="M21" s="21" t="s">
        <v>69</v>
      </c>
      <c r="N21" s="21"/>
      <c r="O21" s="21"/>
      <c r="P21" s="21"/>
      <c r="Q21" s="21" t="s">
        <v>69</v>
      </c>
      <c r="R21" s="21"/>
      <c r="S21" s="21"/>
      <c r="T21" s="21" t="s">
        <v>69</v>
      </c>
      <c r="U21" s="21"/>
      <c r="V21" s="22"/>
      <c r="W21" s="23" t="str">
        <f t="shared" si="4"/>
        <v>OK</v>
      </c>
    </row>
    <row r="22" spans="1:23" ht="20.100000000000001" customHeight="1" x14ac:dyDescent="0.25">
      <c r="A22" s="18" t="s">
        <v>219</v>
      </c>
      <c r="B22" s="19" t="s">
        <v>68</v>
      </c>
      <c r="C22" s="20">
        <v>5</v>
      </c>
      <c r="D22" s="20">
        <v>6</v>
      </c>
      <c r="E22" s="20">
        <f t="shared" si="3"/>
        <v>1</v>
      </c>
      <c r="F22" s="21"/>
      <c r="G22" s="21"/>
      <c r="H22" s="21" t="s">
        <v>69</v>
      </c>
      <c r="I22" s="21"/>
      <c r="J22" s="21"/>
      <c r="K22" s="21" t="s">
        <v>69</v>
      </c>
      <c r="L22" s="21"/>
      <c r="M22" s="21" t="s">
        <v>69</v>
      </c>
      <c r="N22" s="21"/>
      <c r="O22" s="21"/>
      <c r="P22" s="21"/>
      <c r="Q22" s="21" t="s">
        <v>69</v>
      </c>
      <c r="R22" s="21"/>
      <c r="S22" s="21"/>
      <c r="T22" s="21" t="s">
        <v>69</v>
      </c>
      <c r="U22" s="21"/>
      <c r="V22" s="22"/>
      <c r="W22" s="23" t="str">
        <f t="shared" si="4"/>
        <v>OK</v>
      </c>
    </row>
    <row r="23" spans="1:23" ht="20.100000000000001" customHeight="1" x14ac:dyDescent="0.25">
      <c r="A23" s="18" t="s">
        <v>219</v>
      </c>
      <c r="B23" s="19" t="s">
        <v>68</v>
      </c>
      <c r="C23" s="20">
        <v>6</v>
      </c>
      <c r="D23" s="20">
        <v>7</v>
      </c>
      <c r="E23" s="20">
        <f t="shared" si="3"/>
        <v>1</v>
      </c>
      <c r="F23" s="21"/>
      <c r="G23" s="21"/>
      <c r="H23" s="21" t="s">
        <v>69</v>
      </c>
      <c r="I23" s="21"/>
      <c r="J23" s="21"/>
      <c r="K23" s="21" t="s">
        <v>69</v>
      </c>
      <c r="L23" s="21"/>
      <c r="M23" s="21" t="s">
        <v>69</v>
      </c>
      <c r="N23" s="21"/>
      <c r="O23" s="21"/>
      <c r="P23" s="21"/>
      <c r="Q23" s="21" t="s">
        <v>69</v>
      </c>
      <c r="R23" s="21"/>
      <c r="S23" s="21"/>
      <c r="T23" s="21" t="s">
        <v>69</v>
      </c>
      <c r="U23" s="21"/>
      <c r="V23" s="22"/>
      <c r="W23" s="23" t="str">
        <f t="shared" si="4"/>
        <v>OK</v>
      </c>
    </row>
    <row r="24" spans="1:23" ht="20.100000000000001" customHeight="1" x14ac:dyDescent="0.25">
      <c r="A24" s="18" t="s">
        <v>219</v>
      </c>
      <c r="B24" s="19" t="s">
        <v>68</v>
      </c>
      <c r="C24" s="20">
        <v>7</v>
      </c>
      <c r="D24" s="20">
        <v>8</v>
      </c>
      <c r="E24" s="20">
        <f t="shared" si="3"/>
        <v>1</v>
      </c>
      <c r="F24" s="21"/>
      <c r="G24" s="21"/>
      <c r="H24" s="21" t="s">
        <v>69</v>
      </c>
      <c r="I24" s="21"/>
      <c r="J24" s="21"/>
      <c r="K24" s="21" t="s">
        <v>69</v>
      </c>
      <c r="L24" s="21"/>
      <c r="M24" s="21" t="s">
        <v>69</v>
      </c>
      <c r="N24" s="21"/>
      <c r="O24" s="21"/>
      <c r="P24" s="21"/>
      <c r="Q24" s="21" t="s">
        <v>69</v>
      </c>
      <c r="R24" s="21"/>
      <c r="S24" s="21"/>
      <c r="T24" s="21" t="s">
        <v>69</v>
      </c>
      <c r="U24" s="21"/>
      <c r="V24" s="22"/>
      <c r="W24" s="23" t="str">
        <f t="shared" si="4"/>
        <v>OK</v>
      </c>
    </row>
    <row r="25" spans="1:23" ht="20.100000000000001" customHeight="1" x14ac:dyDescent="0.25">
      <c r="A25" s="18" t="s">
        <v>219</v>
      </c>
      <c r="B25" s="19" t="s">
        <v>68</v>
      </c>
      <c r="C25" s="20">
        <v>8</v>
      </c>
      <c r="D25" s="20">
        <v>9</v>
      </c>
      <c r="E25" s="20">
        <f t="shared" si="3"/>
        <v>1</v>
      </c>
      <c r="F25" s="21"/>
      <c r="G25" s="21"/>
      <c r="H25" s="21" t="s">
        <v>69</v>
      </c>
      <c r="I25" s="21"/>
      <c r="J25" s="21"/>
      <c r="K25" s="21" t="s">
        <v>69</v>
      </c>
      <c r="L25" s="21"/>
      <c r="M25" s="21" t="s">
        <v>69</v>
      </c>
      <c r="N25" s="21"/>
      <c r="O25" s="21"/>
      <c r="P25" s="21"/>
      <c r="Q25" s="21" t="s">
        <v>69</v>
      </c>
      <c r="R25" s="21"/>
      <c r="S25" s="21"/>
      <c r="T25" s="21" t="s">
        <v>69</v>
      </c>
      <c r="U25" s="21"/>
      <c r="V25" s="22"/>
      <c r="W25" s="23" t="str">
        <f t="shared" si="4"/>
        <v>OK</v>
      </c>
    </row>
    <row r="26" spans="1:23" ht="20.100000000000001" customHeight="1" x14ac:dyDescent="0.25">
      <c r="A26" s="18" t="s">
        <v>219</v>
      </c>
      <c r="B26" s="19" t="s">
        <v>68</v>
      </c>
      <c r="C26" s="20">
        <v>9</v>
      </c>
      <c r="D26" s="20">
        <v>10</v>
      </c>
      <c r="E26" s="20">
        <f t="shared" si="3"/>
        <v>1</v>
      </c>
      <c r="F26" s="21"/>
      <c r="G26" s="21"/>
      <c r="H26" s="21" t="s">
        <v>69</v>
      </c>
      <c r="I26" s="21"/>
      <c r="J26" s="21"/>
      <c r="K26" s="21" t="s">
        <v>69</v>
      </c>
      <c r="L26" s="21"/>
      <c r="M26" s="21" t="s">
        <v>69</v>
      </c>
      <c r="N26" s="21"/>
      <c r="O26" s="21"/>
      <c r="P26" s="21"/>
      <c r="Q26" s="21" t="s">
        <v>69</v>
      </c>
      <c r="R26" s="21"/>
      <c r="S26" s="21"/>
      <c r="T26" s="21" t="s">
        <v>69</v>
      </c>
      <c r="U26" s="21"/>
      <c r="V26" s="22"/>
      <c r="W26" s="23" t="str">
        <f t="shared" si="4"/>
        <v>OK</v>
      </c>
    </row>
    <row r="27" spans="1:23" ht="20.100000000000001" customHeight="1" x14ac:dyDescent="0.25">
      <c r="A27" s="18" t="s">
        <v>219</v>
      </c>
      <c r="B27" s="19" t="s">
        <v>68</v>
      </c>
      <c r="C27" s="20">
        <v>10</v>
      </c>
      <c r="D27" s="20">
        <v>11</v>
      </c>
      <c r="E27" s="20">
        <f t="shared" si="3"/>
        <v>1</v>
      </c>
      <c r="F27" s="21"/>
      <c r="G27" s="21"/>
      <c r="H27" s="21" t="s">
        <v>69</v>
      </c>
      <c r="I27" s="21"/>
      <c r="J27" s="21"/>
      <c r="K27" s="21" t="s">
        <v>69</v>
      </c>
      <c r="L27" s="21"/>
      <c r="M27" s="21" t="s">
        <v>69</v>
      </c>
      <c r="N27" s="21"/>
      <c r="O27" s="21"/>
      <c r="P27" s="21"/>
      <c r="Q27" s="21" t="s">
        <v>69</v>
      </c>
      <c r="R27" s="21"/>
      <c r="S27" s="21"/>
      <c r="T27" s="21" t="s">
        <v>69</v>
      </c>
      <c r="U27" s="21"/>
      <c r="V27" s="22"/>
      <c r="W27" s="23" t="str">
        <f t="shared" si="4"/>
        <v>OK</v>
      </c>
    </row>
    <row r="28" spans="1:23" ht="20.100000000000001" customHeight="1" x14ac:dyDescent="0.25">
      <c r="A28" s="18" t="s">
        <v>219</v>
      </c>
      <c r="B28" s="19" t="s">
        <v>68</v>
      </c>
      <c r="C28" s="20">
        <v>11</v>
      </c>
      <c r="D28" s="20">
        <v>12</v>
      </c>
      <c r="E28" s="20">
        <f t="shared" si="3"/>
        <v>1</v>
      </c>
      <c r="F28" s="21"/>
      <c r="G28" s="21"/>
      <c r="H28" s="21" t="s">
        <v>69</v>
      </c>
      <c r="I28" s="21"/>
      <c r="J28" s="21"/>
      <c r="K28" s="21" t="s">
        <v>69</v>
      </c>
      <c r="L28" s="21"/>
      <c r="M28" s="21" t="s">
        <v>69</v>
      </c>
      <c r="N28" s="21"/>
      <c r="O28" s="21"/>
      <c r="P28" s="21"/>
      <c r="Q28" s="21" t="s">
        <v>69</v>
      </c>
      <c r="R28" s="21"/>
      <c r="S28" s="21"/>
      <c r="T28" s="21" t="s">
        <v>69</v>
      </c>
      <c r="U28" s="21"/>
      <c r="V28" s="22"/>
      <c r="W28" s="23" t="str">
        <f t="shared" si="4"/>
        <v>OK</v>
      </c>
    </row>
    <row r="29" spans="1:23" ht="20.100000000000001" customHeight="1" x14ac:dyDescent="0.25">
      <c r="A29" s="18" t="s">
        <v>219</v>
      </c>
      <c r="B29" s="19" t="s">
        <v>68</v>
      </c>
      <c r="C29" s="20">
        <v>12</v>
      </c>
      <c r="D29" s="20">
        <v>13</v>
      </c>
      <c r="E29" s="20">
        <f t="shared" si="3"/>
        <v>1</v>
      </c>
      <c r="F29" s="21"/>
      <c r="G29" s="21"/>
      <c r="H29" s="21" t="s">
        <v>69</v>
      </c>
      <c r="I29" s="21"/>
      <c r="J29" s="21"/>
      <c r="K29" s="21" t="s">
        <v>69</v>
      </c>
      <c r="L29" s="21"/>
      <c r="M29" s="21" t="s">
        <v>69</v>
      </c>
      <c r="N29" s="21"/>
      <c r="O29" s="21"/>
      <c r="P29" s="21"/>
      <c r="Q29" s="21" t="s">
        <v>69</v>
      </c>
      <c r="R29" s="21"/>
      <c r="S29" s="21"/>
      <c r="T29" s="21" t="s">
        <v>69</v>
      </c>
      <c r="U29" s="21"/>
      <c r="V29" s="22"/>
      <c r="W29" s="23" t="str">
        <f t="shared" si="4"/>
        <v>OK</v>
      </c>
    </row>
    <row r="30" spans="1:23" ht="20.100000000000001" customHeight="1" x14ac:dyDescent="0.25">
      <c r="A30" s="12" t="s">
        <v>219</v>
      </c>
      <c r="B30" s="13" t="s">
        <v>68</v>
      </c>
      <c r="C30" s="14">
        <v>13</v>
      </c>
      <c r="D30" s="14">
        <v>13.6626338889</v>
      </c>
      <c r="E30" s="14">
        <f t="shared" si="3"/>
        <v>0.6626338889000003</v>
      </c>
      <c r="F30" s="15"/>
      <c r="G30" s="15"/>
      <c r="H30" s="15" t="s">
        <v>69</v>
      </c>
      <c r="I30" s="15"/>
      <c r="J30" s="15"/>
      <c r="K30" s="15" t="s">
        <v>69</v>
      </c>
      <c r="L30" s="15"/>
      <c r="M30" s="15" t="s">
        <v>69</v>
      </c>
      <c r="N30" s="15"/>
      <c r="O30" s="15"/>
      <c r="P30" s="15"/>
      <c r="Q30" s="15" t="s">
        <v>69</v>
      </c>
      <c r="R30" s="15"/>
      <c r="S30" s="15"/>
      <c r="T30" s="15" t="s">
        <v>69</v>
      </c>
      <c r="U30" s="15"/>
      <c r="V30" s="16"/>
      <c r="W30" s="17" t="str">
        <f t="shared" si="4"/>
        <v>OK</v>
      </c>
    </row>
    <row r="32" spans="1:23" x14ac:dyDescent="0.25">
      <c r="A32" s="40" t="s">
        <v>78</v>
      </c>
      <c r="B32" s="28"/>
      <c r="C32" s="28"/>
      <c r="D32" s="28"/>
      <c r="E32" s="28"/>
      <c r="G32" s="40" t="s">
        <v>78</v>
      </c>
      <c r="H32" s="28"/>
      <c r="I32" s="28"/>
      <c r="J32" s="28"/>
      <c r="K32" s="28"/>
    </row>
    <row r="33" spans="1:22" x14ac:dyDescent="0.25">
      <c r="A33" s="44" t="s">
        <v>79</v>
      </c>
      <c r="B33" s="28"/>
      <c r="C33" s="28"/>
      <c r="D33" s="28"/>
      <c r="E33" s="28"/>
      <c r="G33" s="44" t="s">
        <v>80</v>
      </c>
      <c r="H33" s="28"/>
      <c r="I33" s="28"/>
      <c r="J33" s="28"/>
      <c r="K33" s="28"/>
    </row>
    <row r="35" spans="1:22" x14ac:dyDescent="0.25">
      <c r="A35" s="41" t="s">
        <v>81</v>
      </c>
      <c r="B35" s="28"/>
      <c r="C35" s="28"/>
      <c r="D35" s="28"/>
      <c r="E35" s="28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</row>
    <row r="36" spans="1:22" x14ac:dyDescent="0.25">
      <c r="A36" s="43" t="s">
        <v>82</v>
      </c>
      <c r="B36" s="28"/>
      <c r="C36" s="28"/>
      <c r="D36" s="28"/>
      <c r="E36" s="28"/>
      <c r="F36" s="9">
        <f t="shared" ref="F36:U36" si="5">SUMIF(F$9:F$30,"X",$E$9:$E$30)</f>
        <v>0</v>
      </c>
      <c r="G36" s="9">
        <f t="shared" si="5"/>
        <v>0</v>
      </c>
      <c r="H36" s="9">
        <f t="shared" si="5"/>
        <v>20.06831737133</v>
      </c>
      <c r="I36" s="9">
        <f t="shared" si="5"/>
        <v>0</v>
      </c>
      <c r="J36" s="9">
        <f t="shared" si="5"/>
        <v>0</v>
      </c>
      <c r="K36" s="9">
        <f t="shared" si="5"/>
        <v>20.06831737133</v>
      </c>
      <c r="L36" s="9">
        <f t="shared" si="5"/>
        <v>0</v>
      </c>
      <c r="M36" s="9">
        <f t="shared" si="5"/>
        <v>20.06831737133</v>
      </c>
      <c r="N36" s="9">
        <f t="shared" si="5"/>
        <v>0</v>
      </c>
      <c r="O36" s="9">
        <f t="shared" si="5"/>
        <v>0</v>
      </c>
      <c r="P36" s="9">
        <f t="shared" si="5"/>
        <v>0</v>
      </c>
      <c r="Q36" s="9">
        <f t="shared" si="5"/>
        <v>20.06831737133</v>
      </c>
      <c r="R36" s="9">
        <f t="shared" si="5"/>
        <v>0</v>
      </c>
      <c r="S36" s="9">
        <f t="shared" si="5"/>
        <v>0</v>
      </c>
      <c r="T36" s="9">
        <f t="shared" si="5"/>
        <v>20.06831737133</v>
      </c>
      <c r="U36" s="9">
        <f t="shared" si="5"/>
        <v>0</v>
      </c>
    </row>
    <row r="37" spans="1:22" x14ac:dyDescent="0.25">
      <c r="A37" s="43" t="s">
        <v>83</v>
      </c>
      <c r="B37" s="28"/>
      <c r="C37" s="28"/>
      <c r="D37" s="28"/>
      <c r="E37" s="28"/>
      <c r="F37" s="25">
        <f t="shared" ref="F37:U37" si="6">IF($R39=0,0,F36/$R39)</f>
        <v>0</v>
      </c>
      <c r="G37" s="25">
        <f t="shared" si="6"/>
        <v>0</v>
      </c>
      <c r="H37" s="25">
        <f t="shared" si="6"/>
        <v>1</v>
      </c>
      <c r="I37" s="25">
        <f t="shared" si="6"/>
        <v>0</v>
      </c>
      <c r="J37" s="25">
        <f t="shared" si="6"/>
        <v>0</v>
      </c>
      <c r="K37" s="25">
        <f t="shared" si="6"/>
        <v>1</v>
      </c>
      <c r="L37" s="25">
        <f t="shared" si="6"/>
        <v>0</v>
      </c>
      <c r="M37" s="25">
        <f t="shared" si="6"/>
        <v>1</v>
      </c>
      <c r="N37" s="25">
        <f t="shared" si="6"/>
        <v>0</v>
      </c>
      <c r="O37" s="25">
        <f t="shared" si="6"/>
        <v>0</v>
      </c>
      <c r="P37" s="25">
        <f t="shared" si="6"/>
        <v>0</v>
      </c>
      <c r="Q37" s="25">
        <f t="shared" si="6"/>
        <v>1</v>
      </c>
      <c r="R37" s="25">
        <f t="shared" si="6"/>
        <v>0</v>
      </c>
      <c r="S37" s="25">
        <f t="shared" si="6"/>
        <v>0</v>
      </c>
      <c r="T37" s="25">
        <f t="shared" si="6"/>
        <v>1</v>
      </c>
      <c r="U37" s="25">
        <f t="shared" si="6"/>
        <v>0</v>
      </c>
    </row>
    <row r="38" spans="1:22" x14ac:dyDescent="0.25">
      <c r="A38" s="43" t="s">
        <v>84</v>
      </c>
      <c r="B38" s="28"/>
      <c r="C38" s="28"/>
      <c r="D38" s="28"/>
      <c r="E38" s="28"/>
      <c r="F38" s="42" t="str">
        <f>IF(SUM(F36:J36)=0,"— não preenchido",IF(ROUND(SUM(F36:J36)-$R39,3)=0,"OK — "&amp;ROUND(SUM(F36:J36),3)&amp;" km","ERRO — dif. de "&amp;ROUND(SUM(F36:J36)-$R39,3)&amp;" km"))</f>
        <v>OK — 20,068 km</v>
      </c>
      <c r="G38" s="33"/>
      <c r="H38" s="33"/>
      <c r="I38" s="33"/>
      <c r="J38" s="34"/>
      <c r="K38" s="42" t="str">
        <f>IF(SUM(K36:L36)=0,"— não preenchido",IF(ROUND(SUM(K36:L36)-$R39,3)=0,"OK — "&amp;ROUND(SUM(K36:L36),3)&amp;" km","ERRO — dif. de "&amp;ROUND(SUM(K36:L36)-$R39,3)&amp;" km"))</f>
        <v>OK — 20,068 km</v>
      </c>
      <c r="L38" s="34"/>
      <c r="M38" s="42" t="str">
        <f>IF(SUM(M36:O36)=0,"— não preenchido",IF(ROUND(SUM(M36:O36)-$R39,3)=0,"OK — "&amp;ROUND(SUM(M36:O36),3)&amp;" km","ERRO — dif. de "&amp;ROUND(SUM(M36:O36)-$R39,3)&amp;" km"))</f>
        <v>OK — 20,068 km</v>
      </c>
      <c r="N38" s="33"/>
      <c r="O38" s="34"/>
      <c r="P38" s="42" t="str">
        <f>IF(SUM(P36:R36)=0,"— não preenchido",IF(ROUND(SUM(P36:R36)-$R39,3)=0,"OK — "&amp;ROUND(SUM(P36:R36),3)&amp;" km","ERRO — dif. de "&amp;ROUND(SUM(P36:R36)-$R39,3)&amp;" km"))</f>
        <v>OK — 20,068 km</v>
      </c>
      <c r="Q38" s="33"/>
      <c r="R38" s="34"/>
      <c r="S38" s="42" t="str">
        <f>IF(SUM(S36:U36)=0,"— não preenchido",IF(ROUND(SUM(S36:U36)-$R39,3)=0,"OK — "&amp;ROUND(SUM(S36:U36),3)&amp;" km","ERRO — dif. de "&amp;ROUND(SUM(S36:U36)-$R39,3)&amp;" km"))</f>
        <v>OK — 20,068 km</v>
      </c>
      <c r="T38" s="33"/>
      <c r="U38" s="34"/>
    </row>
    <row r="39" spans="1:22" x14ac:dyDescent="0.25">
      <c r="A39" s="43" t="s">
        <v>85</v>
      </c>
      <c r="B39" s="28"/>
      <c r="C39" s="28"/>
      <c r="D39" s="28"/>
      <c r="E39" s="28"/>
      <c r="R39" s="26">
        <f>SUM(E9:E30)</f>
        <v>20.06831737133</v>
      </c>
      <c r="V39" s="8" t="str">
        <f>COUNTIF(W9:W30,"OK")&amp;" de "&amp;COUNT($E$9:$E$30)&amp;" linhas conferidas"</f>
        <v>21 de 21 linhas conferidas</v>
      </c>
    </row>
    <row r="41" spans="1:22" x14ac:dyDescent="0.25">
      <c r="A41" s="37" t="s">
        <v>86</v>
      </c>
      <c r="B41" s="28"/>
      <c r="C41" s="28"/>
      <c r="D41" s="28"/>
      <c r="E41" s="28"/>
    </row>
    <row r="42" spans="1:22" x14ac:dyDescent="0.25">
      <c r="A42" s="43" t="s">
        <v>87</v>
      </c>
      <c r="B42" s="28"/>
      <c r="C42" s="28"/>
      <c r="D42" s="28"/>
      <c r="E42" s="31" t="s">
        <v>88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43" t="s">
        <v>89</v>
      </c>
      <c r="B43" s="28"/>
      <c r="C43" s="28"/>
      <c r="D43" s="28"/>
      <c r="E43" s="31" t="s">
        <v>90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43" t="s">
        <v>91</v>
      </c>
      <c r="B44" s="28"/>
      <c r="C44" s="28"/>
      <c r="D44" s="28"/>
      <c r="E44" s="31" t="s">
        <v>92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43" t="s">
        <v>93</v>
      </c>
      <c r="B45" s="28"/>
      <c r="C45" s="28"/>
      <c r="D45" s="28"/>
      <c r="E45" s="31" t="s">
        <v>94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43" t="s">
        <v>95</v>
      </c>
      <c r="B46" s="28"/>
      <c r="C46" s="28"/>
      <c r="D46" s="28"/>
      <c r="E46" s="31" t="s">
        <v>96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x14ac:dyDescent="0.25">
      <c r="A47" s="43" t="s">
        <v>60</v>
      </c>
      <c r="B47" s="28"/>
      <c r="C47" s="28"/>
      <c r="D47" s="28"/>
      <c r="E47" s="31" t="s">
        <v>97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x14ac:dyDescent="0.25">
      <c r="A48" s="43" t="s">
        <v>98</v>
      </c>
      <c r="B48" s="28"/>
      <c r="C48" s="28"/>
      <c r="D48" s="28"/>
      <c r="E48" s="31" t="s">
        <v>99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43" t="s">
        <v>100</v>
      </c>
      <c r="B49" s="28"/>
      <c r="C49" s="28"/>
      <c r="D49" s="28"/>
      <c r="E49" s="31" t="s">
        <v>101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43" t="s">
        <v>11</v>
      </c>
      <c r="B50" s="28"/>
      <c r="C50" s="28"/>
      <c r="D50" s="28"/>
      <c r="E50" s="31" t="s">
        <v>102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</sheetData>
  <sheetProtection sheet="1" formatCells="0"/>
  <mergeCells count="58">
    <mergeCell ref="E50:V50"/>
    <mergeCell ref="A35:E35"/>
    <mergeCell ref="A38:E38"/>
    <mergeCell ref="K38:L38"/>
    <mergeCell ref="A50:D50"/>
    <mergeCell ref="E42:V42"/>
    <mergeCell ref="E48:V48"/>
    <mergeCell ref="A42:D42"/>
    <mergeCell ref="E49:V49"/>
    <mergeCell ref="A49:D49"/>
    <mergeCell ref="A48:D48"/>
    <mergeCell ref="E47:V47"/>
    <mergeCell ref="E43:V43"/>
    <mergeCell ref="A41:E41"/>
    <mergeCell ref="E46:V46"/>
    <mergeCell ref="E45:V45"/>
    <mergeCell ref="A1:V1"/>
    <mergeCell ref="F38:J38"/>
    <mergeCell ref="A33:E33"/>
    <mergeCell ref="G33:K33"/>
    <mergeCell ref="T3:V3"/>
    <mergeCell ref="A32:E32"/>
    <mergeCell ref="P38:R38"/>
    <mergeCell ref="A16:V16"/>
    <mergeCell ref="G32:K32"/>
    <mergeCell ref="R2:V2"/>
    <mergeCell ref="A3:S3"/>
    <mergeCell ref="C6:C7"/>
    <mergeCell ref="K6:L6"/>
    <mergeCell ref="D6:D7"/>
    <mergeCell ref="P6:R6"/>
    <mergeCell ref="N2:O2"/>
    <mergeCell ref="V6:V7"/>
    <mergeCell ref="F6:J6"/>
    <mergeCell ref="W6:W7"/>
    <mergeCell ref="A37:E37"/>
    <mergeCell ref="E6:E7"/>
    <mergeCell ref="B6:B7"/>
    <mergeCell ref="A45:D45"/>
    <mergeCell ref="M38:O38"/>
    <mergeCell ref="P2:Q2"/>
    <mergeCell ref="M6:O6"/>
    <mergeCell ref="A47:D47"/>
    <mergeCell ref="A44:D44"/>
    <mergeCell ref="A2:F2"/>
    <mergeCell ref="S6:U6"/>
    <mergeCell ref="K2:M2"/>
    <mergeCell ref="A39:E39"/>
    <mergeCell ref="S38:U38"/>
    <mergeCell ref="E44:V44"/>
    <mergeCell ref="G2:H2"/>
    <mergeCell ref="I2:J2"/>
    <mergeCell ref="A8:V8"/>
    <mergeCell ref="A43:D43"/>
    <mergeCell ref="A36:E36"/>
    <mergeCell ref="A6:A7"/>
    <mergeCell ref="A46:D46"/>
    <mergeCell ref="A4:V4"/>
  </mergeCells>
  <conditionalFormatting sqref="F9:J30">
    <cfRule type="expression" dxfId="116" priority="1">
      <formula>AND(F9&lt;&gt;"",COUNTIF($F9:$J9,"X")&gt;1)</formula>
    </cfRule>
  </conditionalFormatting>
  <conditionalFormatting sqref="F38:U38">
    <cfRule type="expression" dxfId="115" priority="8">
      <formula>LEFT(F38,4)="ERRO"</formula>
    </cfRule>
    <cfRule type="expression" dxfId="114" priority="9">
      <formula>LEFT(F38,2)="OK"</formula>
    </cfRule>
  </conditionalFormatting>
  <conditionalFormatting sqref="K9:L30">
    <cfRule type="expression" dxfId="113" priority="2">
      <formula>AND(K9&lt;&gt;"",COUNTIF($K9:$L9,"X")&gt;1)</formula>
    </cfRule>
  </conditionalFormatting>
  <conditionalFormatting sqref="M9:O30">
    <cfRule type="expression" dxfId="112" priority="3">
      <formula>AND(M9&lt;&gt;"",COUNTIF($M9:$O9,"X")&gt;1)</formula>
    </cfRule>
  </conditionalFormatting>
  <conditionalFormatting sqref="P9:R30">
    <cfRule type="expression" dxfId="111" priority="4">
      <formula>AND(P9&lt;&gt;"",COUNTIF($P9:$R9,"X")&gt;1)</formula>
    </cfRule>
  </conditionalFormatting>
  <conditionalFormatting sqref="S9:U30">
    <cfRule type="expression" dxfId="110" priority="5">
      <formula>AND(S9&lt;&gt;"",COUNTIF($S9:$U9,"X")&gt;1)</formula>
    </cfRule>
  </conditionalFormatting>
  <conditionalFormatting sqref="W9:W30">
    <cfRule type="expression" dxfId="109" priority="6">
      <formula>AND(W9&lt;&gt;"OK",W9&lt;&gt;"")</formula>
    </cfRule>
    <cfRule type="expression" dxfId="10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0" xr:uid="{00000000-0002-0000-10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0" xr:uid="{00000000-0002-0000-10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0" xr:uid="{00000000-0002-0000-10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0" xr:uid="{00000000-0002-0000-10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0" xr:uid="{00000000-0002-0000-1000-000004000000}">
      <formula1>AND(UPPER(S9)="X",COUNTIF($S9:$U9,"X")&lt;=1)</formula1>
    </dataValidation>
    <dataValidation type="list" showErrorMessage="1" errorTitle="Sentido inválido" error="Use C (crescente) ou D (decrescente)." sqref="B9:B30" xr:uid="{00000000-0002-0000-10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17</oddHeader>
    <oddFooter>&amp;L&amp;7 RTA / MSI — Programa de Manutenção Rodoviária&amp;C&amp;7 Página &amp;P de &amp;N&amp;R&amp;7 Impresso em &amp;D</oddFooter>
  </headerFooter>
  <rowBreaks count="1" manualBreakCount="1">
    <brk id="33" max="16383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  <pageSetUpPr fitToPage="1"/>
  </sheetPr>
  <dimension ref="A1:AN76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IF(F62=0,NA(),F62)</f>
        <v>37.314886855479998</v>
      </c>
      <c r="Z2" s="2">
        <f t="shared" si="0"/>
        <v>3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40.314886855480005</v>
      </c>
      <c r="AF2" s="2">
        <f t="shared" si="0"/>
        <v>24.039445058590005</v>
      </c>
      <c r="AG2" s="2">
        <f t="shared" si="0"/>
        <v>16.27544179689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40.314886855480005</v>
      </c>
      <c r="AL2" s="2" t="e">
        <f t="shared" si="0"/>
        <v>#N/A</v>
      </c>
      <c r="AM2" s="2">
        <f t="shared" si="0"/>
        <v>40.314886855480005</v>
      </c>
      <c r="AN2" s="2" t="e">
        <f t="shared" si="0"/>
        <v>#N/A</v>
      </c>
    </row>
    <row r="3" spans="1:40" ht="15" customHeight="1" x14ac:dyDescent="0.25">
      <c r="A3" s="49" t="s">
        <v>220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221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222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223</v>
      </c>
      <c r="B9" s="19" t="s">
        <v>68</v>
      </c>
      <c r="C9" s="20">
        <v>0</v>
      </c>
      <c r="D9" s="20">
        <v>1</v>
      </c>
      <c r="E9" s="20">
        <f t="shared" ref="E9:E22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 t="s">
        <v>69</v>
      </c>
      <c r="N9" s="21"/>
      <c r="O9" s="21"/>
      <c r="P9" s="21"/>
      <c r="Q9" s="21"/>
      <c r="R9" s="21" t="s">
        <v>69</v>
      </c>
      <c r="S9" s="21"/>
      <c r="T9" s="21" t="s">
        <v>69</v>
      </c>
      <c r="U9" s="21"/>
      <c r="V9" s="22"/>
      <c r="W9" s="23" t="str">
        <f t="shared" ref="W9:W22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223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 t="s">
        <v>69</v>
      </c>
      <c r="N10" s="21"/>
      <c r="O10" s="21"/>
      <c r="P10" s="21"/>
      <c r="Q10" s="21"/>
      <c r="R10" s="21" t="s">
        <v>69</v>
      </c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223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 t="s">
        <v>69</v>
      </c>
      <c r="N11" s="21"/>
      <c r="O11" s="21"/>
      <c r="P11" s="21"/>
      <c r="Q11" s="21"/>
      <c r="R11" s="21" t="s">
        <v>69</v>
      </c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223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 t="s">
        <v>69</v>
      </c>
      <c r="G12" s="21"/>
      <c r="H12" s="21"/>
      <c r="I12" s="21"/>
      <c r="J12" s="21"/>
      <c r="K12" s="21"/>
      <c r="L12" s="21" t="s">
        <v>69</v>
      </c>
      <c r="M12" s="21" t="s">
        <v>69</v>
      </c>
      <c r="N12" s="21"/>
      <c r="O12" s="21"/>
      <c r="P12" s="21"/>
      <c r="Q12" s="21"/>
      <c r="R12" s="21" t="s">
        <v>69</v>
      </c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223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/>
      <c r="G13" s="21" t="s">
        <v>69</v>
      </c>
      <c r="H13" s="21"/>
      <c r="I13" s="21"/>
      <c r="J13" s="21"/>
      <c r="K13" s="21"/>
      <c r="L13" s="21" t="s">
        <v>69</v>
      </c>
      <c r="M13" s="21" t="s">
        <v>69</v>
      </c>
      <c r="N13" s="21"/>
      <c r="O13" s="21"/>
      <c r="P13" s="21"/>
      <c r="Q13" s="21"/>
      <c r="R13" s="21" t="s">
        <v>69</v>
      </c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223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/>
      <c r="G14" s="21" t="s">
        <v>69</v>
      </c>
      <c r="H14" s="21"/>
      <c r="I14" s="21"/>
      <c r="J14" s="21"/>
      <c r="K14" s="21"/>
      <c r="L14" s="21" t="s">
        <v>69</v>
      </c>
      <c r="M14" s="21" t="s">
        <v>69</v>
      </c>
      <c r="N14" s="21"/>
      <c r="O14" s="21"/>
      <c r="P14" s="21"/>
      <c r="Q14" s="21"/>
      <c r="R14" s="21" t="s">
        <v>69</v>
      </c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223</v>
      </c>
      <c r="B15" s="19" t="s">
        <v>68</v>
      </c>
      <c r="C15" s="20">
        <v>6</v>
      </c>
      <c r="D15" s="20">
        <v>7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 t="s">
        <v>69</v>
      </c>
      <c r="N15" s="21"/>
      <c r="O15" s="21"/>
      <c r="P15" s="21"/>
      <c r="Q15" s="21"/>
      <c r="R15" s="21" t="s">
        <v>69</v>
      </c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223</v>
      </c>
      <c r="B16" s="19" t="s">
        <v>68</v>
      </c>
      <c r="C16" s="20">
        <v>7</v>
      </c>
      <c r="D16" s="20">
        <v>8</v>
      </c>
      <c r="E16" s="20">
        <f t="shared" si="1"/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 t="s">
        <v>69</v>
      </c>
      <c r="N16" s="21"/>
      <c r="O16" s="21"/>
      <c r="P16" s="21"/>
      <c r="Q16" s="21"/>
      <c r="R16" s="21" t="s">
        <v>69</v>
      </c>
      <c r="S16" s="21"/>
      <c r="T16" s="21" t="s">
        <v>69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223</v>
      </c>
      <c r="B17" s="19" t="s">
        <v>68</v>
      </c>
      <c r="C17" s="20">
        <v>8</v>
      </c>
      <c r="D17" s="20">
        <v>9</v>
      </c>
      <c r="E17" s="20">
        <f t="shared" si="1"/>
        <v>1</v>
      </c>
      <c r="F17" s="21" t="s">
        <v>69</v>
      </c>
      <c r="G17" s="21"/>
      <c r="H17" s="21"/>
      <c r="I17" s="21"/>
      <c r="J17" s="21"/>
      <c r="K17" s="21"/>
      <c r="L17" s="21" t="s">
        <v>69</v>
      </c>
      <c r="M17" s="21" t="s">
        <v>69</v>
      </c>
      <c r="N17" s="21"/>
      <c r="O17" s="21"/>
      <c r="P17" s="21"/>
      <c r="Q17" s="21"/>
      <c r="R17" s="21" t="s">
        <v>69</v>
      </c>
      <c r="S17" s="21"/>
      <c r="T17" s="21" t="s">
        <v>69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223</v>
      </c>
      <c r="B18" s="19" t="s">
        <v>68</v>
      </c>
      <c r="C18" s="20">
        <v>9</v>
      </c>
      <c r="D18" s="20">
        <v>10</v>
      </c>
      <c r="E18" s="20">
        <f t="shared" si="1"/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 t="s">
        <v>69</v>
      </c>
      <c r="N18" s="21"/>
      <c r="O18" s="21"/>
      <c r="P18" s="21"/>
      <c r="Q18" s="21"/>
      <c r="R18" s="21" t="s">
        <v>69</v>
      </c>
      <c r="S18" s="21"/>
      <c r="T18" s="21" t="s">
        <v>69</v>
      </c>
      <c r="U18" s="21"/>
      <c r="V18" s="22"/>
      <c r="W18" s="23" t="str">
        <f t="shared" si="2"/>
        <v>OK</v>
      </c>
    </row>
    <row r="19" spans="1:23" ht="20.100000000000001" customHeight="1" x14ac:dyDescent="0.25">
      <c r="A19" s="18" t="s">
        <v>223</v>
      </c>
      <c r="B19" s="19" t="s">
        <v>68</v>
      </c>
      <c r="C19" s="20">
        <v>10</v>
      </c>
      <c r="D19" s="20">
        <v>11</v>
      </c>
      <c r="E19" s="20">
        <f t="shared" si="1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 t="s">
        <v>69</v>
      </c>
      <c r="N19" s="21"/>
      <c r="O19" s="21"/>
      <c r="P19" s="21"/>
      <c r="Q19" s="21"/>
      <c r="R19" s="21" t="s">
        <v>69</v>
      </c>
      <c r="S19" s="21"/>
      <c r="T19" s="21" t="s">
        <v>69</v>
      </c>
      <c r="U19" s="21"/>
      <c r="V19" s="22"/>
      <c r="W19" s="23" t="str">
        <f t="shared" si="2"/>
        <v>OK</v>
      </c>
    </row>
    <row r="20" spans="1:23" ht="20.100000000000001" customHeight="1" x14ac:dyDescent="0.25">
      <c r="A20" s="18" t="s">
        <v>223</v>
      </c>
      <c r="B20" s="19" t="s">
        <v>68</v>
      </c>
      <c r="C20" s="20">
        <v>11</v>
      </c>
      <c r="D20" s="20">
        <v>12</v>
      </c>
      <c r="E20" s="20">
        <f t="shared" si="1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 t="s">
        <v>69</v>
      </c>
      <c r="N20" s="21"/>
      <c r="O20" s="21"/>
      <c r="P20" s="21"/>
      <c r="Q20" s="21"/>
      <c r="R20" s="21" t="s">
        <v>69</v>
      </c>
      <c r="S20" s="21"/>
      <c r="T20" s="21" t="s">
        <v>69</v>
      </c>
      <c r="U20" s="21"/>
      <c r="V20" s="22"/>
      <c r="W20" s="23" t="str">
        <f t="shared" si="2"/>
        <v>OK</v>
      </c>
    </row>
    <row r="21" spans="1:23" ht="20.100000000000001" customHeight="1" x14ac:dyDescent="0.25">
      <c r="A21" s="18" t="s">
        <v>223</v>
      </c>
      <c r="B21" s="19" t="s">
        <v>68</v>
      </c>
      <c r="C21" s="20">
        <v>12</v>
      </c>
      <c r="D21" s="20">
        <v>13</v>
      </c>
      <c r="E21" s="20">
        <f t="shared" si="1"/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 t="s">
        <v>69</v>
      </c>
      <c r="N21" s="21"/>
      <c r="O21" s="21"/>
      <c r="P21" s="21"/>
      <c r="Q21" s="21"/>
      <c r="R21" s="21" t="s">
        <v>69</v>
      </c>
      <c r="S21" s="21"/>
      <c r="T21" s="21" t="s">
        <v>69</v>
      </c>
      <c r="U21" s="21"/>
      <c r="V21" s="22"/>
      <c r="W21" s="23" t="str">
        <f t="shared" si="2"/>
        <v>OK</v>
      </c>
    </row>
    <row r="22" spans="1:23" ht="20.100000000000001" customHeight="1" x14ac:dyDescent="0.25">
      <c r="A22" s="12" t="s">
        <v>223</v>
      </c>
      <c r="B22" s="13" t="s">
        <v>68</v>
      </c>
      <c r="C22" s="14">
        <v>13</v>
      </c>
      <c r="D22" s="14">
        <v>13.605198378300001</v>
      </c>
      <c r="E22" s="14">
        <f t="shared" si="1"/>
        <v>0.60519837830000078</v>
      </c>
      <c r="F22" s="15" t="s">
        <v>69</v>
      </c>
      <c r="G22" s="15"/>
      <c r="H22" s="15"/>
      <c r="I22" s="15"/>
      <c r="J22" s="15"/>
      <c r="K22" s="15"/>
      <c r="L22" s="15" t="s">
        <v>69</v>
      </c>
      <c r="M22" s="15" t="s">
        <v>69</v>
      </c>
      <c r="N22" s="15"/>
      <c r="O22" s="15"/>
      <c r="P22" s="15"/>
      <c r="Q22" s="15"/>
      <c r="R22" s="15" t="s">
        <v>69</v>
      </c>
      <c r="S22" s="15"/>
      <c r="T22" s="15" t="s">
        <v>69</v>
      </c>
      <c r="U22" s="15"/>
      <c r="V22" s="16"/>
      <c r="W22" s="17" t="str">
        <f t="shared" si="2"/>
        <v>OK</v>
      </c>
    </row>
    <row r="23" spans="1:23" ht="15.95" customHeight="1" x14ac:dyDescent="0.25">
      <c r="A23" s="35" t="s">
        <v>224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4"/>
      <c r="W23" s="4"/>
    </row>
    <row r="24" spans="1:23" ht="20.100000000000001" customHeight="1" x14ac:dyDescent="0.25">
      <c r="A24" s="18" t="s">
        <v>225</v>
      </c>
      <c r="B24" s="19" t="s">
        <v>68</v>
      </c>
      <c r="C24" s="20">
        <v>0</v>
      </c>
      <c r="D24" s="20">
        <v>1</v>
      </c>
      <c r="E24" s="20">
        <f>D24-C24</f>
        <v>1</v>
      </c>
      <c r="F24" s="21" t="s">
        <v>69</v>
      </c>
      <c r="G24" s="21"/>
      <c r="H24" s="21"/>
      <c r="I24" s="21"/>
      <c r="J24" s="21"/>
      <c r="K24" s="21"/>
      <c r="L24" s="21" t="s">
        <v>69</v>
      </c>
      <c r="M24" s="21" t="s">
        <v>69</v>
      </c>
      <c r="N24" s="21"/>
      <c r="O24" s="21"/>
      <c r="P24" s="21"/>
      <c r="Q24" s="21"/>
      <c r="R24" s="21" t="s">
        <v>69</v>
      </c>
      <c r="S24" s="21"/>
      <c r="T24" s="21" t="s">
        <v>69</v>
      </c>
      <c r="U24" s="21"/>
      <c r="V24" s="22"/>
      <c r="W24" s="23" t="str">
        <f>IF(COUNTA(F24:U24)=0,"— não preenchido",IF(COUNTIF(F24:J24,"X")&lt;&gt;1,"FALTA/DUPLA: CONDIÇÃO DO PAVIMENTO",IF(COUNTIF(K24:L24,"X")&lt;&gt;1,"FALTA/DUPLA: VEGETAÇÃO",IF(COUNTIF(M24:O24,"X")&lt;&gt;1,"FALTA/DUPLA: ELEM. DE DRENAGEM",IF(COUNTIF(P24:R24,"X")&lt;&gt;1,"FALTA/DUPLA: SIN. HORIZ.",IF(COUNTIF(S24:U24,"X")&lt;&gt;1,"FALTA/DUPLA: SIN. VERTICAL","OK"))))))</f>
        <v>OK</v>
      </c>
    </row>
    <row r="25" spans="1:23" ht="20.100000000000001" customHeight="1" x14ac:dyDescent="0.25">
      <c r="A25" s="18" t="s">
        <v>225</v>
      </c>
      <c r="B25" s="19" t="s">
        <v>68</v>
      </c>
      <c r="C25" s="20">
        <v>1</v>
      </c>
      <c r="D25" s="20">
        <v>2</v>
      </c>
      <c r="E25" s="20">
        <f>D25-C25</f>
        <v>1</v>
      </c>
      <c r="F25" s="21" t="s">
        <v>69</v>
      </c>
      <c r="G25" s="21"/>
      <c r="H25" s="21"/>
      <c r="I25" s="21"/>
      <c r="J25" s="21"/>
      <c r="K25" s="21"/>
      <c r="L25" s="21" t="s">
        <v>69</v>
      </c>
      <c r="M25" s="21" t="s">
        <v>69</v>
      </c>
      <c r="N25" s="21"/>
      <c r="O25" s="21"/>
      <c r="P25" s="21"/>
      <c r="Q25" s="21"/>
      <c r="R25" s="21" t="s">
        <v>69</v>
      </c>
      <c r="S25" s="21"/>
      <c r="T25" s="21" t="s">
        <v>69</v>
      </c>
      <c r="U25" s="21"/>
      <c r="V25" s="22"/>
      <c r="W25" s="23" t="str">
        <f>IF(COUNTA(F25:U25)=0,"— não preenchido",IF(COUNTIF(F25:J25,"X")&lt;&gt;1,"FALTA/DUPLA: CONDIÇÃO DO PAVIMENTO",IF(COUNTIF(K25:L25,"X")&lt;&gt;1,"FALTA/DUPLA: VEGETAÇÃO",IF(COUNTIF(M25:O25,"X")&lt;&gt;1,"FALTA/DUPLA: ELEM. DE DRENAGEM",IF(COUNTIF(P25:R25,"X")&lt;&gt;1,"FALTA/DUPLA: SIN. HORIZ.",IF(COUNTIF(S25:U25,"X")&lt;&gt;1,"FALTA/DUPLA: SIN. VERTICAL","OK"))))))</f>
        <v>OK</v>
      </c>
    </row>
    <row r="26" spans="1:23" ht="20.100000000000001" customHeight="1" x14ac:dyDescent="0.25">
      <c r="A26" s="18" t="s">
        <v>225</v>
      </c>
      <c r="B26" s="19" t="s">
        <v>68</v>
      </c>
      <c r="C26" s="20">
        <v>2</v>
      </c>
      <c r="D26" s="20">
        <v>3</v>
      </c>
      <c r="E26" s="20">
        <f>D26-C26</f>
        <v>1</v>
      </c>
      <c r="F26" s="21" t="s">
        <v>69</v>
      </c>
      <c r="G26" s="21"/>
      <c r="H26" s="21"/>
      <c r="I26" s="21"/>
      <c r="J26" s="21"/>
      <c r="K26" s="21"/>
      <c r="L26" s="21" t="s">
        <v>69</v>
      </c>
      <c r="M26" s="21" t="s">
        <v>69</v>
      </c>
      <c r="N26" s="21"/>
      <c r="O26" s="21"/>
      <c r="P26" s="21"/>
      <c r="Q26" s="21"/>
      <c r="R26" s="21" t="s">
        <v>69</v>
      </c>
      <c r="S26" s="21"/>
      <c r="T26" s="21" t="s">
        <v>69</v>
      </c>
      <c r="U26" s="21"/>
      <c r="V26" s="22"/>
      <c r="W26" s="23" t="str">
        <f>IF(COUNTA(F26:U26)=0,"— não preenchido",IF(COUNTIF(F26:J26,"X")&lt;&gt;1,"FALTA/DUPLA: CONDIÇÃO DO PAVIMENTO",IF(COUNTIF(K26:L26,"X")&lt;&gt;1,"FALTA/DUPLA: VEGETAÇÃO",IF(COUNTIF(M26:O26,"X")&lt;&gt;1,"FALTA/DUPLA: ELEM. DE DRENAGEM",IF(COUNTIF(P26:R26,"X")&lt;&gt;1,"FALTA/DUPLA: SIN. HORIZ.",IF(COUNTIF(S26:U26,"X")&lt;&gt;1,"FALTA/DUPLA: SIN. VERTICAL","OK"))))))</f>
        <v>OK</v>
      </c>
    </row>
    <row r="27" spans="1:23" ht="20.100000000000001" customHeight="1" x14ac:dyDescent="0.25">
      <c r="A27" s="18" t="s">
        <v>225</v>
      </c>
      <c r="B27" s="19" t="s">
        <v>68</v>
      </c>
      <c r="C27" s="20">
        <v>3</v>
      </c>
      <c r="D27" s="20">
        <v>4</v>
      </c>
      <c r="E27" s="20">
        <f>D27-C27</f>
        <v>1</v>
      </c>
      <c r="F27" s="21" t="s">
        <v>69</v>
      </c>
      <c r="G27" s="21"/>
      <c r="H27" s="21"/>
      <c r="I27" s="21"/>
      <c r="J27" s="21"/>
      <c r="K27" s="21"/>
      <c r="L27" s="21" t="s">
        <v>69</v>
      </c>
      <c r="M27" s="21" t="s">
        <v>69</v>
      </c>
      <c r="N27" s="21"/>
      <c r="O27" s="21"/>
      <c r="P27" s="21"/>
      <c r="Q27" s="21"/>
      <c r="R27" s="21" t="s">
        <v>69</v>
      </c>
      <c r="S27" s="21"/>
      <c r="T27" s="21" t="s">
        <v>69</v>
      </c>
      <c r="U27" s="21"/>
      <c r="V27" s="22"/>
      <c r="W27" s="23" t="str">
        <f>IF(COUNTA(F27:U27)=0,"— não preenchido",IF(COUNTIF(F27:J27,"X")&lt;&gt;1,"FALTA/DUPLA: CONDIÇÃO DO PAVIMENTO",IF(COUNTIF(K27:L27,"X")&lt;&gt;1,"FALTA/DUPLA: VEGETAÇÃO",IF(COUNTIF(M27:O27,"X")&lt;&gt;1,"FALTA/DUPLA: ELEM. DE DRENAGEM",IF(COUNTIF(P27:R27,"X")&lt;&gt;1,"FALTA/DUPLA: SIN. HORIZ.",IF(COUNTIF(S27:U27,"X")&lt;&gt;1,"FALTA/DUPLA: SIN. VERTICAL","OK"))))))</f>
        <v>OK</v>
      </c>
    </row>
    <row r="28" spans="1:23" ht="20.100000000000001" customHeight="1" x14ac:dyDescent="0.25">
      <c r="A28" s="12" t="s">
        <v>225</v>
      </c>
      <c r="B28" s="13" t="s">
        <v>68</v>
      </c>
      <c r="C28" s="14">
        <v>4</v>
      </c>
      <c r="D28" s="14">
        <v>4.2600635240600004</v>
      </c>
      <c r="E28" s="14">
        <f>D28-C28</f>
        <v>0.26006352406000044</v>
      </c>
      <c r="F28" s="15" t="s">
        <v>69</v>
      </c>
      <c r="G28" s="15"/>
      <c r="H28" s="15"/>
      <c r="I28" s="15"/>
      <c r="J28" s="15"/>
      <c r="K28" s="15"/>
      <c r="L28" s="15" t="s">
        <v>69</v>
      </c>
      <c r="M28" s="15" t="s">
        <v>69</v>
      </c>
      <c r="N28" s="15"/>
      <c r="O28" s="15"/>
      <c r="P28" s="15"/>
      <c r="Q28" s="15"/>
      <c r="R28" s="15" t="s">
        <v>69</v>
      </c>
      <c r="S28" s="15"/>
      <c r="T28" s="15" t="s">
        <v>69</v>
      </c>
      <c r="U28" s="15"/>
      <c r="V28" s="16"/>
      <c r="W28" s="17" t="str">
        <f>IF(COUNTA(F28:U28)=0,"— não preenchido",IF(COUNTIF(F28:J28,"X")&lt;&gt;1,"FALTA/DUPLA: CONDIÇÃO DO PAVIMENTO",IF(COUNTIF(K28:L28,"X")&lt;&gt;1,"FALTA/DUPLA: VEGETAÇÃO",IF(COUNTIF(M28:O28,"X")&lt;&gt;1,"FALTA/DUPLA: ELEM. DE DRENAGEM",IF(COUNTIF(P28:R28,"X")&lt;&gt;1,"FALTA/DUPLA: SIN. HORIZ.",IF(COUNTIF(S28:U28,"X")&lt;&gt;1,"FALTA/DUPLA: SIN. VERTICAL","OK"))))))</f>
        <v>OK</v>
      </c>
    </row>
    <row r="29" spans="1:23" ht="15.95" customHeight="1" x14ac:dyDescent="0.25">
      <c r="A29" s="35" t="s">
        <v>226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4"/>
      <c r="W29" s="4"/>
    </row>
    <row r="30" spans="1:23" ht="20.100000000000001" customHeight="1" x14ac:dyDescent="0.25">
      <c r="A30" s="18" t="s">
        <v>227</v>
      </c>
      <c r="B30" s="19" t="s">
        <v>68</v>
      </c>
      <c r="C30" s="20">
        <v>0</v>
      </c>
      <c r="D30" s="20">
        <v>1</v>
      </c>
      <c r="E30" s="20">
        <f>D30-C30</f>
        <v>1</v>
      </c>
      <c r="F30" s="21" t="s">
        <v>69</v>
      </c>
      <c r="G30" s="21"/>
      <c r="H30" s="21"/>
      <c r="I30" s="21"/>
      <c r="J30" s="21"/>
      <c r="K30" s="21"/>
      <c r="L30" s="21" t="s">
        <v>69</v>
      </c>
      <c r="M30" s="21" t="s">
        <v>69</v>
      </c>
      <c r="N30" s="21"/>
      <c r="O30" s="21"/>
      <c r="P30" s="21"/>
      <c r="Q30" s="21"/>
      <c r="R30" s="21" t="s">
        <v>69</v>
      </c>
      <c r="S30" s="21"/>
      <c r="T30" s="21" t="s">
        <v>69</v>
      </c>
      <c r="U30" s="21"/>
      <c r="V30" s="22"/>
      <c r="W30" s="23" t="str">
        <f>IF(COUNTA(F30:U30)=0,"— não preenchido",IF(COUNTIF(F30:J30,"X")&lt;&gt;1,"FALTA/DUPLA: CONDIÇÃO DO PAVIMENTO",IF(COUNTIF(K30:L30,"X")&lt;&gt;1,"FALTA/DUPLA: VEGETAÇÃO",IF(COUNTIF(M30:O30,"X")&lt;&gt;1,"FALTA/DUPLA: ELEM. DE DRENAGEM",IF(COUNTIF(P30:R30,"X")&lt;&gt;1,"FALTA/DUPLA: SIN. HORIZ.",IF(COUNTIF(S30:U30,"X")&lt;&gt;1,"FALTA/DUPLA: SIN. VERTICAL","OK"))))))</f>
        <v>OK</v>
      </c>
    </row>
    <row r="31" spans="1:23" ht="20.100000000000001" customHeight="1" x14ac:dyDescent="0.25">
      <c r="A31" s="12" t="s">
        <v>227</v>
      </c>
      <c r="B31" s="13" t="s">
        <v>68</v>
      </c>
      <c r="C31" s="14">
        <v>1</v>
      </c>
      <c r="D31" s="14">
        <v>1.17418315623</v>
      </c>
      <c r="E31" s="14">
        <f>D31-C31</f>
        <v>0.17418315623000002</v>
      </c>
      <c r="F31" s="15" t="s">
        <v>69</v>
      </c>
      <c r="G31" s="15"/>
      <c r="H31" s="15"/>
      <c r="I31" s="15"/>
      <c r="J31" s="15"/>
      <c r="K31" s="15"/>
      <c r="L31" s="15" t="s">
        <v>69</v>
      </c>
      <c r="M31" s="15" t="s">
        <v>69</v>
      </c>
      <c r="N31" s="15"/>
      <c r="O31" s="15"/>
      <c r="P31" s="15"/>
      <c r="Q31" s="15"/>
      <c r="R31" s="15" t="s">
        <v>69</v>
      </c>
      <c r="S31" s="15"/>
      <c r="T31" s="15" t="s">
        <v>69</v>
      </c>
      <c r="U31" s="15"/>
      <c r="V31" s="16"/>
      <c r="W31" s="17" t="str">
        <f>IF(COUNTA(F31:U31)=0,"— não preenchido",IF(COUNTIF(F31:J31,"X")&lt;&gt;1,"FALTA/DUPLA: CONDIÇÃO DO PAVIMENTO",IF(COUNTIF(K31:L31,"X")&lt;&gt;1,"FALTA/DUPLA: VEGETAÇÃO",IF(COUNTIF(M31:O31,"X")&lt;&gt;1,"FALTA/DUPLA: ELEM. DE DRENAGEM",IF(COUNTIF(P31:R31,"X")&lt;&gt;1,"FALTA/DUPLA: SIN. HORIZ.",IF(COUNTIF(S31:U31,"X")&lt;&gt;1,"FALTA/DUPLA: SIN. VERTICAL","OK"))))))</f>
        <v>OK</v>
      </c>
    </row>
    <row r="32" spans="1:23" ht="15.95" customHeight="1" x14ac:dyDescent="0.25">
      <c r="A32" s="35" t="s">
        <v>228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4"/>
      <c r="W32" s="4"/>
    </row>
    <row r="33" spans="1:23" ht="20.100000000000001" customHeight="1" x14ac:dyDescent="0.25">
      <c r="A33" s="18" t="s">
        <v>229</v>
      </c>
      <c r="B33" s="19" t="s">
        <v>68</v>
      </c>
      <c r="C33" s="20">
        <v>0</v>
      </c>
      <c r="D33" s="20">
        <v>1</v>
      </c>
      <c r="E33" s="20">
        <f t="shared" ref="E33:E39" si="3">D33-C33</f>
        <v>1</v>
      </c>
      <c r="F33" s="21" t="s">
        <v>69</v>
      </c>
      <c r="G33" s="21"/>
      <c r="H33" s="21"/>
      <c r="I33" s="21"/>
      <c r="J33" s="21"/>
      <c r="K33" s="21"/>
      <c r="L33" s="21" t="s">
        <v>69</v>
      </c>
      <c r="M33" s="21" t="s">
        <v>69</v>
      </c>
      <c r="N33" s="21"/>
      <c r="O33" s="21"/>
      <c r="P33" s="21"/>
      <c r="Q33" s="21"/>
      <c r="R33" s="21" t="s">
        <v>69</v>
      </c>
      <c r="S33" s="21"/>
      <c r="T33" s="21" t="s">
        <v>69</v>
      </c>
      <c r="U33" s="21"/>
      <c r="V33" s="22"/>
      <c r="W33" s="23" t="str">
        <f t="shared" ref="W33:W39" si="4">IF(COUNTA(F33:U33)=0,"— não preenchido",IF(COUNTIF(F33:J33,"X")&lt;&gt;1,"FALTA/DUPLA: CONDIÇÃO DO PAVIMENTO",IF(COUNTIF(K33:L33,"X")&lt;&gt;1,"FALTA/DUPLA: VEGETAÇÃO",IF(COUNTIF(M33:O33,"X")&lt;&gt;1,"FALTA/DUPLA: ELEM. DE DRENAGEM",IF(COUNTIF(P33:R33,"X")&lt;&gt;1,"FALTA/DUPLA: SIN. HORIZ.",IF(COUNTIF(S33:U33,"X")&lt;&gt;1,"FALTA/DUPLA: SIN. VERTICAL","OK"))))))</f>
        <v>OK</v>
      </c>
    </row>
    <row r="34" spans="1:23" ht="20.100000000000001" customHeight="1" x14ac:dyDescent="0.25">
      <c r="A34" s="18" t="s">
        <v>229</v>
      </c>
      <c r="B34" s="19" t="s">
        <v>68</v>
      </c>
      <c r="C34" s="20">
        <v>1</v>
      </c>
      <c r="D34" s="20">
        <v>2</v>
      </c>
      <c r="E34" s="20">
        <f t="shared" si="3"/>
        <v>1</v>
      </c>
      <c r="F34" s="21" t="s">
        <v>69</v>
      </c>
      <c r="G34" s="21"/>
      <c r="H34" s="21"/>
      <c r="I34" s="21"/>
      <c r="J34" s="21"/>
      <c r="K34" s="21"/>
      <c r="L34" s="21" t="s">
        <v>69</v>
      </c>
      <c r="M34" s="21" t="s">
        <v>69</v>
      </c>
      <c r="N34" s="21"/>
      <c r="O34" s="21"/>
      <c r="P34" s="21"/>
      <c r="Q34" s="21"/>
      <c r="R34" s="21" t="s">
        <v>69</v>
      </c>
      <c r="S34" s="21"/>
      <c r="T34" s="21" t="s">
        <v>69</v>
      </c>
      <c r="U34" s="21"/>
      <c r="V34" s="22"/>
      <c r="W34" s="23" t="str">
        <f t="shared" si="4"/>
        <v>OK</v>
      </c>
    </row>
    <row r="35" spans="1:23" ht="20.100000000000001" customHeight="1" x14ac:dyDescent="0.25">
      <c r="A35" s="18" t="s">
        <v>229</v>
      </c>
      <c r="B35" s="19" t="s">
        <v>68</v>
      </c>
      <c r="C35" s="20">
        <v>2</v>
      </c>
      <c r="D35" s="20">
        <v>3</v>
      </c>
      <c r="E35" s="20">
        <f t="shared" si="3"/>
        <v>1</v>
      </c>
      <c r="F35" s="21" t="s">
        <v>69</v>
      </c>
      <c r="G35" s="21"/>
      <c r="H35" s="21"/>
      <c r="I35" s="21"/>
      <c r="J35" s="21"/>
      <c r="K35" s="21"/>
      <c r="L35" s="21" t="s">
        <v>69</v>
      </c>
      <c r="M35" s="21" t="s">
        <v>69</v>
      </c>
      <c r="N35" s="21"/>
      <c r="O35" s="21"/>
      <c r="P35" s="21"/>
      <c r="Q35" s="21"/>
      <c r="R35" s="21" t="s">
        <v>69</v>
      </c>
      <c r="S35" s="21"/>
      <c r="T35" s="21" t="s">
        <v>69</v>
      </c>
      <c r="U35" s="21"/>
      <c r="V35" s="22"/>
      <c r="W35" s="23" t="str">
        <f t="shared" si="4"/>
        <v>OK</v>
      </c>
    </row>
    <row r="36" spans="1:23" ht="20.100000000000001" customHeight="1" x14ac:dyDescent="0.25">
      <c r="A36" s="18" t="s">
        <v>229</v>
      </c>
      <c r="B36" s="19" t="s">
        <v>68</v>
      </c>
      <c r="C36" s="20">
        <v>3</v>
      </c>
      <c r="D36" s="20">
        <v>4</v>
      </c>
      <c r="E36" s="20">
        <f t="shared" si="3"/>
        <v>1</v>
      </c>
      <c r="F36" s="21" t="s">
        <v>69</v>
      </c>
      <c r="G36" s="21"/>
      <c r="H36" s="21"/>
      <c r="I36" s="21"/>
      <c r="J36" s="21"/>
      <c r="K36" s="21"/>
      <c r="L36" s="21" t="s">
        <v>69</v>
      </c>
      <c r="M36" s="21" t="s">
        <v>69</v>
      </c>
      <c r="N36" s="21"/>
      <c r="O36" s="21"/>
      <c r="P36" s="21"/>
      <c r="Q36" s="21"/>
      <c r="R36" s="21" t="s">
        <v>69</v>
      </c>
      <c r="S36" s="21"/>
      <c r="T36" s="21" t="s">
        <v>69</v>
      </c>
      <c r="U36" s="21"/>
      <c r="V36" s="22"/>
      <c r="W36" s="23" t="str">
        <f t="shared" si="4"/>
        <v>OK</v>
      </c>
    </row>
    <row r="37" spans="1:23" ht="20.100000000000001" customHeight="1" x14ac:dyDescent="0.25">
      <c r="A37" s="18" t="s">
        <v>229</v>
      </c>
      <c r="B37" s="19" t="s">
        <v>68</v>
      </c>
      <c r="C37" s="20">
        <v>4</v>
      </c>
      <c r="D37" s="20">
        <v>5</v>
      </c>
      <c r="E37" s="20">
        <f t="shared" si="3"/>
        <v>1</v>
      </c>
      <c r="F37" s="21"/>
      <c r="G37" s="21" t="s">
        <v>69</v>
      </c>
      <c r="H37" s="21"/>
      <c r="I37" s="21"/>
      <c r="J37" s="21"/>
      <c r="K37" s="21"/>
      <c r="L37" s="21" t="s">
        <v>69</v>
      </c>
      <c r="M37" s="21" t="s">
        <v>69</v>
      </c>
      <c r="N37" s="21"/>
      <c r="O37" s="21"/>
      <c r="P37" s="21"/>
      <c r="Q37" s="21"/>
      <c r="R37" s="21" t="s">
        <v>69</v>
      </c>
      <c r="S37" s="21"/>
      <c r="T37" s="21" t="s">
        <v>69</v>
      </c>
      <c r="U37" s="21"/>
      <c r="V37" s="22"/>
      <c r="W37" s="23" t="str">
        <f t="shared" si="4"/>
        <v>OK</v>
      </c>
    </row>
    <row r="38" spans="1:23" ht="20.100000000000001" customHeight="1" x14ac:dyDescent="0.25">
      <c r="A38" s="18" t="s">
        <v>229</v>
      </c>
      <c r="B38" s="19" t="s">
        <v>68</v>
      </c>
      <c r="C38" s="20">
        <v>5</v>
      </c>
      <c r="D38" s="20">
        <v>6</v>
      </c>
      <c r="E38" s="20">
        <f t="shared" si="3"/>
        <v>1</v>
      </c>
      <c r="F38" s="21" t="s">
        <v>69</v>
      </c>
      <c r="G38" s="21"/>
      <c r="H38" s="21"/>
      <c r="I38" s="21"/>
      <c r="J38" s="21"/>
      <c r="K38" s="21"/>
      <c r="L38" s="21" t="s">
        <v>69</v>
      </c>
      <c r="M38" s="21"/>
      <c r="N38" s="21" t="s">
        <v>69</v>
      </c>
      <c r="O38" s="21"/>
      <c r="P38" s="21"/>
      <c r="Q38" s="21"/>
      <c r="R38" s="21" t="s">
        <v>69</v>
      </c>
      <c r="S38" s="21"/>
      <c r="T38" s="21" t="s">
        <v>69</v>
      </c>
      <c r="U38" s="21"/>
      <c r="V38" s="22"/>
      <c r="W38" s="23" t="str">
        <f t="shared" si="4"/>
        <v>OK</v>
      </c>
    </row>
    <row r="39" spans="1:23" ht="20.100000000000001" customHeight="1" x14ac:dyDescent="0.25">
      <c r="A39" s="12" t="s">
        <v>229</v>
      </c>
      <c r="B39" s="13" t="s">
        <v>68</v>
      </c>
      <c r="C39" s="14">
        <v>6</v>
      </c>
      <c r="D39" s="14">
        <v>6.9100749333199998</v>
      </c>
      <c r="E39" s="14">
        <f t="shared" si="3"/>
        <v>0.91007493331999978</v>
      </c>
      <c r="F39" s="15" t="s">
        <v>69</v>
      </c>
      <c r="G39" s="15"/>
      <c r="H39" s="15"/>
      <c r="I39" s="15"/>
      <c r="J39" s="15"/>
      <c r="K39" s="15"/>
      <c r="L39" s="15" t="s">
        <v>69</v>
      </c>
      <c r="M39" s="15"/>
      <c r="N39" s="15" t="s">
        <v>69</v>
      </c>
      <c r="O39" s="15"/>
      <c r="P39" s="15"/>
      <c r="Q39" s="15"/>
      <c r="R39" s="15" t="s">
        <v>69</v>
      </c>
      <c r="S39" s="15"/>
      <c r="T39" s="15" t="s">
        <v>69</v>
      </c>
      <c r="U39" s="15"/>
      <c r="V39" s="16"/>
      <c r="W39" s="17" t="str">
        <f t="shared" si="4"/>
        <v>OK</v>
      </c>
    </row>
    <row r="40" spans="1:23" ht="15.95" customHeight="1" x14ac:dyDescent="0.25">
      <c r="A40" s="35" t="s">
        <v>230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4"/>
      <c r="W40" s="4"/>
    </row>
    <row r="41" spans="1:23" ht="20.100000000000001" customHeight="1" x14ac:dyDescent="0.25">
      <c r="A41" s="18" t="s">
        <v>231</v>
      </c>
      <c r="B41" s="19" t="s">
        <v>68</v>
      </c>
      <c r="C41" s="20">
        <v>0</v>
      </c>
      <c r="D41" s="20">
        <v>1</v>
      </c>
      <c r="E41" s="20">
        <f t="shared" ref="E41:E51" si="5">D41-C41</f>
        <v>1</v>
      </c>
      <c r="F41" s="21" t="s">
        <v>69</v>
      </c>
      <c r="G41" s="21"/>
      <c r="H41" s="21"/>
      <c r="I41" s="21"/>
      <c r="J41" s="21"/>
      <c r="K41" s="21"/>
      <c r="L41" s="21" t="s">
        <v>69</v>
      </c>
      <c r="M41" s="21"/>
      <c r="N41" s="21" t="s">
        <v>69</v>
      </c>
      <c r="O41" s="21"/>
      <c r="P41" s="21"/>
      <c r="Q41" s="21"/>
      <c r="R41" s="21" t="s">
        <v>69</v>
      </c>
      <c r="S41" s="21"/>
      <c r="T41" s="21" t="s">
        <v>69</v>
      </c>
      <c r="U41" s="21"/>
      <c r="V41" s="22"/>
      <c r="W41" s="23" t="str">
        <f t="shared" ref="W41:W51" si="6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8" t="s">
        <v>231</v>
      </c>
      <c r="B42" s="19" t="s">
        <v>68</v>
      </c>
      <c r="C42" s="20">
        <v>1</v>
      </c>
      <c r="D42" s="20">
        <v>2</v>
      </c>
      <c r="E42" s="20">
        <f t="shared" si="5"/>
        <v>1</v>
      </c>
      <c r="F42" s="21" t="s">
        <v>69</v>
      </c>
      <c r="G42" s="21"/>
      <c r="H42" s="21"/>
      <c r="I42" s="21"/>
      <c r="J42" s="21"/>
      <c r="K42" s="21"/>
      <c r="L42" s="21" t="s">
        <v>69</v>
      </c>
      <c r="M42" s="21"/>
      <c r="N42" s="21" t="s">
        <v>69</v>
      </c>
      <c r="O42" s="21"/>
      <c r="P42" s="21"/>
      <c r="Q42" s="21"/>
      <c r="R42" s="21" t="s">
        <v>69</v>
      </c>
      <c r="S42" s="21"/>
      <c r="T42" s="21" t="s">
        <v>69</v>
      </c>
      <c r="U42" s="21"/>
      <c r="V42" s="22"/>
      <c r="W42" s="23" t="str">
        <f t="shared" si="6"/>
        <v>OK</v>
      </c>
    </row>
    <row r="43" spans="1:23" ht="20.100000000000001" customHeight="1" x14ac:dyDescent="0.25">
      <c r="A43" s="18" t="s">
        <v>231</v>
      </c>
      <c r="B43" s="19" t="s">
        <v>68</v>
      </c>
      <c r="C43" s="20">
        <v>2</v>
      </c>
      <c r="D43" s="20">
        <v>3</v>
      </c>
      <c r="E43" s="20">
        <f t="shared" si="5"/>
        <v>1</v>
      </c>
      <c r="F43" s="21" t="s">
        <v>69</v>
      </c>
      <c r="G43" s="21"/>
      <c r="H43" s="21"/>
      <c r="I43" s="21"/>
      <c r="J43" s="21"/>
      <c r="K43" s="21"/>
      <c r="L43" s="21" t="s">
        <v>69</v>
      </c>
      <c r="M43" s="21"/>
      <c r="N43" s="21" t="s">
        <v>69</v>
      </c>
      <c r="O43" s="21"/>
      <c r="P43" s="21"/>
      <c r="Q43" s="21"/>
      <c r="R43" s="21" t="s">
        <v>69</v>
      </c>
      <c r="S43" s="21"/>
      <c r="T43" s="21" t="s">
        <v>69</v>
      </c>
      <c r="U43" s="21"/>
      <c r="V43" s="22"/>
      <c r="W43" s="23" t="str">
        <f t="shared" si="6"/>
        <v>OK</v>
      </c>
    </row>
    <row r="44" spans="1:23" ht="20.100000000000001" customHeight="1" x14ac:dyDescent="0.25">
      <c r="A44" s="18" t="s">
        <v>231</v>
      </c>
      <c r="B44" s="19" t="s">
        <v>68</v>
      </c>
      <c r="C44" s="20">
        <v>3</v>
      </c>
      <c r="D44" s="20">
        <v>4</v>
      </c>
      <c r="E44" s="20">
        <f t="shared" si="5"/>
        <v>1</v>
      </c>
      <c r="F44" s="21" t="s">
        <v>69</v>
      </c>
      <c r="G44" s="21"/>
      <c r="H44" s="21"/>
      <c r="I44" s="21"/>
      <c r="J44" s="21"/>
      <c r="K44" s="21"/>
      <c r="L44" s="21" t="s">
        <v>69</v>
      </c>
      <c r="M44" s="21"/>
      <c r="N44" s="21" t="s">
        <v>69</v>
      </c>
      <c r="O44" s="21"/>
      <c r="P44" s="21"/>
      <c r="Q44" s="21"/>
      <c r="R44" s="21" t="s">
        <v>69</v>
      </c>
      <c r="S44" s="21"/>
      <c r="T44" s="21" t="s">
        <v>69</v>
      </c>
      <c r="U44" s="21"/>
      <c r="V44" s="22"/>
      <c r="W44" s="23" t="str">
        <f t="shared" si="6"/>
        <v>OK</v>
      </c>
    </row>
    <row r="45" spans="1:23" ht="20.100000000000001" customHeight="1" x14ac:dyDescent="0.25">
      <c r="A45" s="18" t="s">
        <v>231</v>
      </c>
      <c r="B45" s="19" t="s">
        <v>68</v>
      </c>
      <c r="C45" s="20">
        <v>4</v>
      </c>
      <c r="D45" s="20">
        <v>5</v>
      </c>
      <c r="E45" s="20">
        <f t="shared" si="5"/>
        <v>1</v>
      </c>
      <c r="F45" s="21" t="s">
        <v>69</v>
      </c>
      <c r="G45" s="21"/>
      <c r="H45" s="21"/>
      <c r="I45" s="21"/>
      <c r="J45" s="21"/>
      <c r="K45" s="21"/>
      <c r="L45" s="21" t="s">
        <v>69</v>
      </c>
      <c r="M45" s="21"/>
      <c r="N45" s="21" t="s">
        <v>69</v>
      </c>
      <c r="O45" s="21"/>
      <c r="P45" s="21"/>
      <c r="Q45" s="21"/>
      <c r="R45" s="21" t="s">
        <v>69</v>
      </c>
      <c r="S45" s="21"/>
      <c r="T45" s="21" t="s">
        <v>69</v>
      </c>
      <c r="U45" s="21"/>
      <c r="V45" s="22"/>
      <c r="W45" s="23" t="str">
        <f t="shared" si="6"/>
        <v>OK</v>
      </c>
    </row>
    <row r="46" spans="1:23" ht="20.100000000000001" customHeight="1" x14ac:dyDescent="0.25">
      <c r="A46" s="18" t="s">
        <v>231</v>
      </c>
      <c r="B46" s="19" t="s">
        <v>68</v>
      </c>
      <c r="C46" s="20">
        <v>5</v>
      </c>
      <c r="D46" s="20">
        <v>6</v>
      </c>
      <c r="E46" s="20">
        <f t="shared" si="5"/>
        <v>1</v>
      </c>
      <c r="F46" s="21" t="s">
        <v>69</v>
      </c>
      <c r="G46" s="21"/>
      <c r="H46" s="21"/>
      <c r="I46" s="21"/>
      <c r="J46" s="21"/>
      <c r="K46" s="21"/>
      <c r="L46" s="21" t="s">
        <v>69</v>
      </c>
      <c r="M46" s="21"/>
      <c r="N46" s="21" t="s">
        <v>69</v>
      </c>
      <c r="O46" s="21"/>
      <c r="P46" s="21"/>
      <c r="Q46" s="21"/>
      <c r="R46" s="21" t="s">
        <v>69</v>
      </c>
      <c r="S46" s="21"/>
      <c r="T46" s="21" t="s">
        <v>69</v>
      </c>
      <c r="U46" s="21"/>
      <c r="V46" s="22"/>
      <c r="W46" s="23" t="str">
        <f t="shared" si="6"/>
        <v>OK</v>
      </c>
    </row>
    <row r="47" spans="1:23" ht="20.100000000000001" customHeight="1" x14ac:dyDescent="0.25">
      <c r="A47" s="18" t="s">
        <v>231</v>
      </c>
      <c r="B47" s="19" t="s">
        <v>68</v>
      </c>
      <c r="C47" s="20">
        <v>6</v>
      </c>
      <c r="D47" s="20">
        <v>7</v>
      </c>
      <c r="E47" s="20">
        <f t="shared" si="5"/>
        <v>1</v>
      </c>
      <c r="F47" s="21" t="s">
        <v>69</v>
      </c>
      <c r="G47" s="21"/>
      <c r="H47" s="21"/>
      <c r="I47" s="21"/>
      <c r="J47" s="21"/>
      <c r="K47" s="21"/>
      <c r="L47" s="21" t="s">
        <v>69</v>
      </c>
      <c r="M47" s="21"/>
      <c r="N47" s="21" t="s">
        <v>69</v>
      </c>
      <c r="O47" s="21"/>
      <c r="P47" s="21"/>
      <c r="Q47" s="21"/>
      <c r="R47" s="21" t="s">
        <v>69</v>
      </c>
      <c r="S47" s="21"/>
      <c r="T47" s="21" t="s">
        <v>69</v>
      </c>
      <c r="U47" s="21"/>
      <c r="V47" s="22"/>
      <c r="W47" s="23" t="str">
        <f t="shared" si="6"/>
        <v>OK</v>
      </c>
    </row>
    <row r="48" spans="1:23" ht="20.100000000000001" customHeight="1" x14ac:dyDescent="0.25">
      <c r="A48" s="18" t="s">
        <v>231</v>
      </c>
      <c r="B48" s="19" t="s">
        <v>68</v>
      </c>
      <c r="C48" s="20">
        <v>7</v>
      </c>
      <c r="D48" s="20">
        <v>8</v>
      </c>
      <c r="E48" s="20">
        <f t="shared" si="5"/>
        <v>1</v>
      </c>
      <c r="F48" s="21" t="s">
        <v>69</v>
      </c>
      <c r="G48" s="21"/>
      <c r="H48" s="21"/>
      <c r="I48" s="21"/>
      <c r="J48" s="21"/>
      <c r="K48" s="21"/>
      <c r="L48" s="21" t="s">
        <v>69</v>
      </c>
      <c r="M48" s="21"/>
      <c r="N48" s="21" t="s">
        <v>69</v>
      </c>
      <c r="O48" s="21"/>
      <c r="P48" s="21"/>
      <c r="Q48" s="21"/>
      <c r="R48" s="21" t="s">
        <v>69</v>
      </c>
      <c r="S48" s="21"/>
      <c r="T48" s="21" t="s">
        <v>69</v>
      </c>
      <c r="U48" s="21"/>
      <c r="V48" s="22"/>
      <c r="W48" s="23" t="str">
        <f t="shared" si="6"/>
        <v>OK</v>
      </c>
    </row>
    <row r="49" spans="1:23" ht="20.100000000000001" customHeight="1" x14ac:dyDescent="0.25">
      <c r="A49" s="18" t="s">
        <v>231</v>
      </c>
      <c r="B49" s="19" t="s">
        <v>68</v>
      </c>
      <c r="C49" s="20">
        <v>8</v>
      </c>
      <c r="D49" s="20">
        <v>9</v>
      </c>
      <c r="E49" s="20">
        <f t="shared" si="5"/>
        <v>1</v>
      </c>
      <c r="F49" s="21" t="s">
        <v>69</v>
      </c>
      <c r="G49" s="21"/>
      <c r="H49" s="21"/>
      <c r="I49" s="21"/>
      <c r="J49" s="21"/>
      <c r="K49" s="21"/>
      <c r="L49" s="21" t="s">
        <v>69</v>
      </c>
      <c r="M49" s="21"/>
      <c r="N49" s="21" t="s">
        <v>69</v>
      </c>
      <c r="O49" s="21"/>
      <c r="P49" s="21"/>
      <c r="Q49" s="21"/>
      <c r="R49" s="21" t="s">
        <v>69</v>
      </c>
      <c r="S49" s="21"/>
      <c r="T49" s="21" t="s">
        <v>69</v>
      </c>
      <c r="U49" s="21"/>
      <c r="V49" s="22"/>
      <c r="W49" s="23" t="str">
        <f t="shared" si="6"/>
        <v>OK</v>
      </c>
    </row>
    <row r="50" spans="1:23" ht="20.100000000000001" customHeight="1" x14ac:dyDescent="0.25">
      <c r="A50" s="18" t="s">
        <v>231</v>
      </c>
      <c r="B50" s="19" t="s">
        <v>68</v>
      </c>
      <c r="C50" s="20">
        <v>9</v>
      </c>
      <c r="D50" s="20">
        <v>10</v>
      </c>
      <c r="E50" s="20">
        <f t="shared" si="5"/>
        <v>1</v>
      </c>
      <c r="F50" s="21" t="s">
        <v>69</v>
      </c>
      <c r="G50" s="21"/>
      <c r="H50" s="21"/>
      <c r="I50" s="21"/>
      <c r="J50" s="21"/>
      <c r="K50" s="21"/>
      <c r="L50" s="21" t="s">
        <v>69</v>
      </c>
      <c r="M50" s="21"/>
      <c r="N50" s="21" t="s">
        <v>69</v>
      </c>
      <c r="O50" s="21"/>
      <c r="P50" s="21"/>
      <c r="Q50" s="21"/>
      <c r="R50" s="21" t="s">
        <v>69</v>
      </c>
      <c r="S50" s="21"/>
      <c r="T50" s="21" t="s">
        <v>69</v>
      </c>
      <c r="U50" s="21"/>
      <c r="V50" s="22"/>
      <c r="W50" s="23" t="str">
        <f t="shared" si="6"/>
        <v>OK</v>
      </c>
    </row>
    <row r="51" spans="1:23" ht="20.100000000000001" customHeight="1" x14ac:dyDescent="0.25">
      <c r="A51" s="12" t="s">
        <v>231</v>
      </c>
      <c r="B51" s="13" t="s">
        <v>68</v>
      </c>
      <c r="C51" s="14">
        <v>10</v>
      </c>
      <c r="D51" s="14">
        <v>10.704591063600001</v>
      </c>
      <c r="E51" s="14">
        <f t="shared" si="5"/>
        <v>0.70459106360000057</v>
      </c>
      <c r="F51" s="15" t="s">
        <v>69</v>
      </c>
      <c r="G51" s="15"/>
      <c r="H51" s="15"/>
      <c r="I51" s="15"/>
      <c r="J51" s="15"/>
      <c r="K51" s="15"/>
      <c r="L51" s="15" t="s">
        <v>69</v>
      </c>
      <c r="M51" s="15"/>
      <c r="N51" s="15" t="s">
        <v>69</v>
      </c>
      <c r="O51" s="15"/>
      <c r="P51" s="15"/>
      <c r="Q51" s="15"/>
      <c r="R51" s="15" t="s">
        <v>69</v>
      </c>
      <c r="S51" s="15"/>
      <c r="T51" s="15" t="s">
        <v>69</v>
      </c>
      <c r="U51" s="15"/>
      <c r="V51" s="16"/>
      <c r="W51" s="17" t="str">
        <f t="shared" si="6"/>
        <v>OK</v>
      </c>
    </row>
    <row r="52" spans="1:23" ht="15.95" customHeight="1" x14ac:dyDescent="0.25">
      <c r="A52" s="35" t="s">
        <v>232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4"/>
      <c r="W52" s="4"/>
    </row>
    <row r="53" spans="1:23" ht="20.100000000000001" customHeight="1" x14ac:dyDescent="0.25">
      <c r="A53" s="18" t="s">
        <v>233</v>
      </c>
      <c r="B53" s="19" t="s">
        <v>68</v>
      </c>
      <c r="C53" s="20">
        <v>0</v>
      </c>
      <c r="D53" s="20">
        <v>1</v>
      </c>
      <c r="E53" s="20">
        <f>D53-C53</f>
        <v>1</v>
      </c>
      <c r="F53" s="21" t="s">
        <v>69</v>
      </c>
      <c r="G53" s="21"/>
      <c r="H53" s="21"/>
      <c r="I53" s="21"/>
      <c r="J53" s="21"/>
      <c r="K53" s="21"/>
      <c r="L53" s="21" t="s">
        <v>69</v>
      </c>
      <c r="M53" s="21"/>
      <c r="N53" s="21" t="s">
        <v>69</v>
      </c>
      <c r="O53" s="21"/>
      <c r="P53" s="21"/>
      <c r="Q53" s="21"/>
      <c r="R53" s="21" t="s">
        <v>69</v>
      </c>
      <c r="S53" s="21"/>
      <c r="T53" s="21" t="s">
        <v>69</v>
      </c>
      <c r="U53" s="21"/>
      <c r="V53" s="22"/>
      <c r="W53" s="23" t="str">
        <f>IF(COUNTA(F53:U53)=0,"— não preenchido",IF(COUNTIF(F53:J53,"X")&lt;&gt;1,"FALTA/DUPLA: CONDIÇÃO DO PAVIMENTO",IF(COUNTIF(K53:L53,"X")&lt;&gt;1,"FALTA/DUPLA: VEGETAÇÃO",IF(COUNTIF(M53:O53,"X")&lt;&gt;1,"FALTA/DUPLA: ELEM. DE DRENAGEM",IF(COUNTIF(P53:R53,"X")&lt;&gt;1,"FALTA/DUPLA: SIN. HORIZ.",IF(COUNTIF(S53:U53,"X")&lt;&gt;1,"FALTA/DUPLA: SIN. VERTICAL","OK"))))))</f>
        <v>OK</v>
      </c>
    </row>
    <row r="54" spans="1:23" ht="20.100000000000001" customHeight="1" x14ac:dyDescent="0.25">
      <c r="A54" s="18" t="s">
        <v>233</v>
      </c>
      <c r="B54" s="19" t="s">
        <v>68</v>
      </c>
      <c r="C54" s="20">
        <v>1</v>
      </c>
      <c r="D54" s="20">
        <v>2</v>
      </c>
      <c r="E54" s="20">
        <f>D54-C54</f>
        <v>1</v>
      </c>
      <c r="F54" s="21" t="s">
        <v>69</v>
      </c>
      <c r="G54" s="21"/>
      <c r="H54" s="21"/>
      <c r="I54" s="21"/>
      <c r="J54" s="21"/>
      <c r="K54" s="21"/>
      <c r="L54" s="21" t="s">
        <v>69</v>
      </c>
      <c r="M54" s="21"/>
      <c r="N54" s="21" t="s">
        <v>69</v>
      </c>
      <c r="O54" s="21"/>
      <c r="P54" s="21"/>
      <c r="Q54" s="21"/>
      <c r="R54" s="21" t="s">
        <v>69</v>
      </c>
      <c r="S54" s="21"/>
      <c r="T54" s="21" t="s">
        <v>69</v>
      </c>
      <c r="U54" s="21"/>
      <c r="V54" s="22"/>
      <c r="W54" s="23" t="str">
        <f>IF(COUNTA(F54:U54)=0,"— não preenchido",IF(COUNTIF(F54:J54,"X")&lt;&gt;1,"FALTA/DUPLA: CONDIÇÃO DO PAVIMENTO",IF(COUNTIF(K54:L54,"X")&lt;&gt;1,"FALTA/DUPLA: VEGETAÇÃO",IF(COUNTIF(M54:O54,"X")&lt;&gt;1,"FALTA/DUPLA: ELEM. DE DRENAGEM",IF(COUNTIF(P54:R54,"X")&lt;&gt;1,"FALTA/DUPLA: SIN. HORIZ.",IF(COUNTIF(S54:U54,"X")&lt;&gt;1,"FALTA/DUPLA: SIN. VERTICAL","OK"))))))</f>
        <v>OK</v>
      </c>
    </row>
    <row r="55" spans="1:23" ht="20.100000000000001" customHeight="1" x14ac:dyDescent="0.25">
      <c r="A55" s="18" t="s">
        <v>233</v>
      </c>
      <c r="B55" s="19" t="s">
        <v>68</v>
      </c>
      <c r="C55" s="20">
        <v>2</v>
      </c>
      <c r="D55" s="20">
        <v>3</v>
      </c>
      <c r="E55" s="20">
        <f>D55-C55</f>
        <v>1</v>
      </c>
      <c r="F55" s="21" t="s">
        <v>69</v>
      </c>
      <c r="G55" s="21"/>
      <c r="H55" s="21"/>
      <c r="I55" s="21"/>
      <c r="J55" s="21"/>
      <c r="K55" s="21"/>
      <c r="L55" s="21" t="s">
        <v>69</v>
      </c>
      <c r="M55" s="21"/>
      <c r="N55" s="21" t="s">
        <v>69</v>
      </c>
      <c r="O55" s="21"/>
      <c r="P55" s="21"/>
      <c r="Q55" s="21"/>
      <c r="R55" s="21" t="s">
        <v>69</v>
      </c>
      <c r="S55" s="21"/>
      <c r="T55" s="21" t="s">
        <v>69</v>
      </c>
      <c r="U55" s="21"/>
      <c r="V55" s="22"/>
      <c r="W55" s="23" t="str">
        <f>IF(COUNTA(F55:U55)=0,"— não preenchido",IF(COUNTIF(F55:J55,"X")&lt;&gt;1,"FALTA/DUPLA: CONDIÇÃO DO PAVIMENTO",IF(COUNTIF(K55:L55,"X")&lt;&gt;1,"FALTA/DUPLA: VEGETAÇÃO",IF(COUNTIF(M55:O55,"X")&lt;&gt;1,"FALTA/DUPLA: ELEM. DE DRENAGEM",IF(COUNTIF(P55:R55,"X")&lt;&gt;1,"FALTA/DUPLA: SIN. HORIZ.",IF(COUNTIF(S55:U55,"X")&lt;&gt;1,"FALTA/DUPLA: SIN. VERTICAL","OK"))))))</f>
        <v>OK</v>
      </c>
    </row>
    <row r="56" spans="1:23" ht="20.100000000000001" customHeight="1" x14ac:dyDescent="0.25">
      <c r="A56" s="12" t="s">
        <v>233</v>
      </c>
      <c r="B56" s="13" t="s">
        <v>68</v>
      </c>
      <c r="C56" s="14">
        <v>3</v>
      </c>
      <c r="D56" s="14">
        <v>3.6607757999700001</v>
      </c>
      <c r="E56" s="14">
        <f>D56-C56</f>
        <v>0.66077579997000013</v>
      </c>
      <c r="F56" s="15" t="s">
        <v>69</v>
      </c>
      <c r="G56" s="15"/>
      <c r="H56" s="15"/>
      <c r="I56" s="15"/>
      <c r="J56" s="15"/>
      <c r="K56" s="15"/>
      <c r="L56" s="15" t="s">
        <v>69</v>
      </c>
      <c r="M56" s="15"/>
      <c r="N56" s="15" t="s">
        <v>69</v>
      </c>
      <c r="O56" s="15"/>
      <c r="P56" s="15"/>
      <c r="Q56" s="15"/>
      <c r="R56" s="15" t="s">
        <v>69</v>
      </c>
      <c r="S56" s="15"/>
      <c r="T56" s="15" t="s">
        <v>69</v>
      </c>
      <c r="U56" s="15"/>
      <c r="V56" s="16"/>
      <c r="W56" s="17" t="str">
        <f>IF(COUNTA(F56:U56)=0,"— não preenchido",IF(COUNTIF(F56:J56,"X")&lt;&gt;1,"FALTA/DUPLA: CONDIÇÃO DO PAVIMENTO",IF(COUNTIF(K56:L56,"X")&lt;&gt;1,"FALTA/DUPLA: VEGETAÇÃO",IF(COUNTIF(M56:O56,"X")&lt;&gt;1,"FALTA/DUPLA: ELEM. DE DRENAGEM",IF(COUNTIF(P56:R56,"X")&lt;&gt;1,"FALTA/DUPLA: SIN. HORIZ.",IF(COUNTIF(S56:U56,"X")&lt;&gt;1,"FALTA/DUPLA: SIN. VERTICAL","OK"))))))</f>
        <v>OK</v>
      </c>
    </row>
    <row r="58" spans="1:23" x14ac:dyDescent="0.25">
      <c r="A58" s="40" t="s">
        <v>78</v>
      </c>
      <c r="B58" s="28"/>
      <c r="C58" s="28"/>
      <c r="D58" s="28"/>
      <c r="E58" s="28"/>
      <c r="G58" s="40" t="s">
        <v>78</v>
      </c>
      <c r="H58" s="28"/>
      <c r="I58" s="28"/>
      <c r="J58" s="28"/>
      <c r="K58" s="28"/>
    </row>
    <row r="59" spans="1:23" x14ac:dyDescent="0.25">
      <c r="A59" s="44" t="s">
        <v>79</v>
      </c>
      <c r="B59" s="28"/>
      <c r="C59" s="28"/>
      <c r="D59" s="28"/>
      <c r="E59" s="28"/>
      <c r="G59" s="44" t="s">
        <v>80</v>
      </c>
      <c r="H59" s="28"/>
      <c r="I59" s="28"/>
      <c r="J59" s="28"/>
      <c r="K59" s="28"/>
    </row>
    <row r="61" spans="1:23" x14ac:dyDescent="0.25">
      <c r="A61" s="41" t="s">
        <v>81</v>
      </c>
      <c r="B61" s="28"/>
      <c r="C61" s="28"/>
      <c r="D61" s="28"/>
      <c r="E61" s="28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</row>
    <row r="62" spans="1:23" x14ac:dyDescent="0.25">
      <c r="A62" s="43" t="s">
        <v>82</v>
      </c>
      <c r="B62" s="28"/>
      <c r="C62" s="28"/>
      <c r="D62" s="28"/>
      <c r="E62" s="28"/>
      <c r="F62" s="9">
        <f t="shared" ref="F62:U62" si="7">SUMIF(F$9:F$56,"X",$E$9:$E$56)</f>
        <v>37.314886855479998</v>
      </c>
      <c r="G62" s="9">
        <f t="shared" si="7"/>
        <v>3</v>
      </c>
      <c r="H62" s="9">
        <f t="shared" si="7"/>
        <v>0</v>
      </c>
      <c r="I62" s="9">
        <f t="shared" si="7"/>
        <v>0</v>
      </c>
      <c r="J62" s="9">
        <f t="shared" si="7"/>
        <v>0</v>
      </c>
      <c r="K62" s="9">
        <f t="shared" si="7"/>
        <v>0</v>
      </c>
      <c r="L62" s="9">
        <f t="shared" si="7"/>
        <v>40.314886855480005</v>
      </c>
      <c r="M62" s="9">
        <f t="shared" si="7"/>
        <v>24.039445058590005</v>
      </c>
      <c r="N62" s="9">
        <f t="shared" si="7"/>
        <v>16.27544179689</v>
      </c>
      <c r="O62" s="9">
        <f t="shared" si="7"/>
        <v>0</v>
      </c>
      <c r="P62" s="9">
        <f t="shared" si="7"/>
        <v>0</v>
      </c>
      <c r="Q62" s="9">
        <f t="shared" si="7"/>
        <v>0</v>
      </c>
      <c r="R62" s="9">
        <f t="shared" si="7"/>
        <v>40.314886855480005</v>
      </c>
      <c r="S62" s="9">
        <f t="shared" si="7"/>
        <v>0</v>
      </c>
      <c r="T62" s="9">
        <f t="shared" si="7"/>
        <v>40.314886855480005</v>
      </c>
      <c r="U62" s="9">
        <f t="shared" si="7"/>
        <v>0</v>
      </c>
    </row>
    <row r="63" spans="1:23" x14ac:dyDescent="0.25">
      <c r="A63" s="43" t="s">
        <v>83</v>
      </c>
      <c r="B63" s="28"/>
      <c r="C63" s="28"/>
      <c r="D63" s="28"/>
      <c r="E63" s="28"/>
      <c r="F63" s="25">
        <f t="shared" ref="F63:U63" si="8">IF($R65=0,0,F62/$R65)</f>
        <v>0.9255858013255911</v>
      </c>
      <c r="G63" s="25">
        <f t="shared" si="8"/>
        <v>7.441419867440878E-2</v>
      </c>
      <c r="H63" s="25">
        <f t="shared" si="8"/>
        <v>0</v>
      </c>
      <c r="I63" s="25">
        <f t="shared" si="8"/>
        <v>0</v>
      </c>
      <c r="J63" s="25">
        <f t="shared" si="8"/>
        <v>0</v>
      </c>
      <c r="K63" s="25">
        <f t="shared" si="8"/>
        <v>0</v>
      </c>
      <c r="L63" s="25">
        <f t="shared" si="8"/>
        <v>1</v>
      </c>
      <c r="M63" s="25">
        <f t="shared" si="8"/>
        <v>0.59629201353748362</v>
      </c>
      <c r="N63" s="25">
        <f t="shared" si="8"/>
        <v>0.40370798646251638</v>
      </c>
      <c r="O63" s="25">
        <f t="shared" si="8"/>
        <v>0</v>
      </c>
      <c r="P63" s="25">
        <f t="shared" si="8"/>
        <v>0</v>
      </c>
      <c r="Q63" s="25">
        <f t="shared" si="8"/>
        <v>0</v>
      </c>
      <c r="R63" s="25">
        <f t="shared" si="8"/>
        <v>1</v>
      </c>
      <c r="S63" s="25">
        <f t="shared" si="8"/>
        <v>0</v>
      </c>
      <c r="T63" s="25">
        <f t="shared" si="8"/>
        <v>1</v>
      </c>
      <c r="U63" s="25">
        <f t="shared" si="8"/>
        <v>0</v>
      </c>
    </row>
    <row r="64" spans="1:23" x14ac:dyDescent="0.25">
      <c r="A64" s="43" t="s">
        <v>84</v>
      </c>
      <c r="B64" s="28"/>
      <c r="C64" s="28"/>
      <c r="D64" s="28"/>
      <c r="E64" s="28"/>
      <c r="F64" s="42" t="str">
        <f>IF(SUM(F62:J62)=0,"— não preenchido",IF(ROUND(SUM(F62:J62)-$R65,3)=0,"OK — "&amp;ROUND(SUM(F62:J62),3)&amp;" km","ERRO — dif. de "&amp;ROUND(SUM(F62:J62)-$R65,3)&amp;" km"))</f>
        <v>OK — 40,315 km</v>
      </c>
      <c r="G64" s="33"/>
      <c r="H64" s="33"/>
      <c r="I64" s="33"/>
      <c r="J64" s="34"/>
      <c r="K64" s="42" t="str">
        <f>IF(SUM(K62:L62)=0,"— não preenchido",IF(ROUND(SUM(K62:L62)-$R65,3)=0,"OK — "&amp;ROUND(SUM(K62:L62),3)&amp;" km","ERRO — dif. de "&amp;ROUND(SUM(K62:L62)-$R65,3)&amp;" km"))</f>
        <v>OK — 40,315 km</v>
      </c>
      <c r="L64" s="34"/>
      <c r="M64" s="42" t="str">
        <f>IF(SUM(M62:O62)=0,"— não preenchido",IF(ROUND(SUM(M62:O62)-$R65,3)=0,"OK — "&amp;ROUND(SUM(M62:O62),3)&amp;" km","ERRO — dif. de "&amp;ROUND(SUM(M62:O62)-$R65,3)&amp;" km"))</f>
        <v>OK — 40,315 km</v>
      </c>
      <c r="N64" s="33"/>
      <c r="O64" s="34"/>
      <c r="P64" s="42" t="str">
        <f>IF(SUM(P62:R62)=0,"— não preenchido",IF(ROUND(SUM(P62:R62)-$R65,3)=0,"OK — "&amp;ROUND(SUM(P62:R62),3)&amp;" km","ERRO — dif. de "&amp;ROUND(SUM(P62:R62)-$R65,3)&amp;" km"))</f>
        <v>OK — 40,315 km</v>
      </c>
      <c r="Q64" s="33"/>
      <c r="R64" s="34"/>
      <c r="S64" s="42" t="str">
        <f>IF(SUM(S62:U62)=0,"— não preenchido",IF(ROUND(SUM(S62:U62)-$R65,3)=0,"OK — "&amp;ROUND(SUM(S62:U62),3)&amp;" km","ERRO — dif. de "&amp;ROUND(SUM(S62:U62)-$R65,3)&amp;" km"))</f>
        <v>OK — 40,315 km</v>
      </c>
      <c r="T64" s="33"/>
      <c r="U64" s="34"/>
    </row>
    <row r="65" spans="1:22" x14ac:dyDescent="0.25">
      <c r="A65" s="43" t="s">
        <v>85</v>
      </c>
      <c r="B65" s="28"/>
      <c r="C65" s="28"/>
      <c r="D65" s="28"/>
      <c r="E65" s="28"/>
      <c r="R65" s="26">
        <f>SUM(E9:E56)</f>
        <v>40.314886855480005</v>
      </c>
      <c r="V65" s="8" t="str">
        <f>COUNTIF(W9:W56,"OK")&amp;" de "&amp;COUNT($E$9:$E$56)&amp;" linhas conferidas"</f>
        <v>43 de 43 linhas conferidas</v>
      </c>
    </row>
    <row r="67" spans="1:22" x14ac:dyDescent="0.25">
      <c r="A67" s="37" t="s">
        <v>86</v>
      </c>
      <c r="B67" s="28"/>
      <c r="C67" s="28"/>
      <c r="D67" s="28"/>
      <c r="E67" s="28"/>
    </row>
    <row r="68" spans="1:22" x14ac:dyDescent="0.25">
      <c r="A68" s="43" t="s">
        <v>87</v>
      </c>
      <c r="B68" s="28"/>
      <c r="C68" s="28"/>
      <c r="D68" s="28"/>
      <c r="E68" s="31" t="s">
        <v>88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43" t="s">
        <v>89</v>
      </c>
      <c r="B69" s="28"/>
      <c r="C69" s="28"/>
      <c r="D69" s="28"/>
      <c r="E69" s="31" t="s">
        <v>90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43" t="s">
        <v>91</v>
      </c>
      <c r="B70" s="28"/>
      <c r="C70" s="28"/>
      <c r="D70" s="28"/>
      <c r="E70" s="31" t="s">
        <v>92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43" t="s">
        <v>93</v>
      </c>
      <c r="B71" s="28"/>
      <c r="C71" s="28"/>
      <c r="D71" s="28"/>
      <c r="E71" s="31" t="s">
        <v>94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43" t="s">
        <v>95</v>
      </c>
      <c r="B72" s="28"/>
      <c r="C72" s="28"/>
      <c r="D72" s="28"/>
      <c r="E72" s="31" t="s">
        <v>96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43" t="s">
        <v>60</v>
      </c>
      <c r="B73" s="28"/>
      <c r="C73" s="28"/>
      <c r="D73" s="28"/>
      <c r="E73" s="31" t="s">
        <v>97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43" t="s">
        <v>98</v>
      </c>
      <c r="B74" s="28"/>
      <c r="C74" s="28"/>
      <c r="D74" s="28"/>
      <c r="E74" s="31" t="s">
        <v>99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43" t="s">
        <v>100</v>
      </c>
      <c r="B75" s="28"/>
      <c r="C75" s="28"/>
      <c r="D75" s="28"/>
      <c r="E75" s="31" t="s">
        <v>101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43" t="s">
        <v>11</v>
      </c>
      <c r="B76" s="28"/>
      <c r="C76" s="28"/>
      <c r="D76" s="28"/>
      <c r="E76" s="31" t="s">
        <v>102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</sheetData>
  <sheetProtection sheet="1" formatCells="0"/>
  <mergeCells count="62">
    <mergeCell ref="A76:D76"/>
    <mergeCell ref="C6:C7"/>
    <mergeCell ref="A71:D71"/>
    <mergeCell ref="K6:L6"/>
    <mergeCell ref="D6:D7"/>
    <mergeCell ref="A67:E67"/>
    <mergeCell ref="E76:V76"/>
    <mergeCell ref="A69:D69"/>
    <mergeCell ref="E72:V72"/>
    <mergeCell ref="G59:K59"/>
    <mergeCell ref="A58:E58"/>
    <mergeCell ref="A72:D72"/>
    <mergeCell ref="A68:D68"/>
    <mergeCell ref="E69:V69"/>
    <mergeCell ref="A1:V1"/>
    <mergeCell ref="G58:K58"/>
    <mergeCell ref="E75:V75"/>
    <mergeCell ref="T3:V3"/>
    <mergeCell ref="P64:R64"/>
    <mergeCell ref="A75:D75"/>
    <mergeCell ref="A62:E62"/>
    <mergeCell ref="E68:V68"/>
    <mergeCell ref="A74:D74"/>
    <mergeCell ref="E71:V71"/>
    <mergeCell ref="A63:E63"/>
    <mergeCell ref="R2:V2"/>
    <mergeCell ref="A3:S3"/>
    <mergeCell ref="K2:M2"/>
    <mergeCell ref="E74:V74"/>
    <mergeCell ref="N2:O2"/>
    <mergeCell ref="W6:W7"/>
    <mergeCell ref="A40:V40"/>
    <mergeCell ref="E6:E7"/>
    <mergeCell ref="A73:D73"/>
    <mergeCell ref="S64:U64"/>
    <mergeCell ref="E70:V70"/>
    <mergeCell ref="B6:B7"/>
    <mergeCell ref="A70:D70"/>
    <mergeCell ref="M64:O64"/>
    <mergeCell ref="P6:R6"/>
    <mergeCell ref="A52:V52"/>
    <mergeCell ref="A65:E65"/>
    <mergeCell ref="S6:U6"/>
    <mergeCell ref="E73:V73"/>
    <mergeCell ref="F64:J64"/>
    <mergeCell ref="A59:E59"/>
    <mergeCell ref="P2:Q2"/>
    <mergeCell ref="G2:H2"/>
    <mergeCell ref="A64:E64"/>
    <mergeCell ref="I2:J2"/>
    <mergeCell ref="A23:V23"/>
    <mergeCell ref="A32:V32"/>
    <mergeCell ref="A8:V8"/>
    <mergeCell ref="A6:A7"/>
    <mergeCell ref="F6:J6"/>
    <mergeCell ref="A61:E61"/>
    <mergeCell ref="M6:O6"/>
    <mergeCell ref="A29:V29"/>
    <mergeCell ref="A4:V4"/>
    <mergeCell ref="V6:V7"/>
    <mergeCell ref="K64:L64"/>
    <mergeCell ref="A2:F2"/>
  </mergeCells>
  <conditionalFormatting sqref="F9:J56">
    <cfRule type="expression" dxfId="107" priority="1">
      <formula>AND(F9&lt;&gt;"",COUNTIF($F9:$J9,"X")&gt;1)</formula>
    </cfRule>
  </conditionalFormatting>
  <conditionalFormatting sqref="F64:U64">
    <cfRule type="expression" dxfId="106" priority="8">
      <formula>LEFT(F64,4)="ERRO"</formula>
    </cfRule>
    <cfRule type="expression" dxfId="105" priority="9">
      <formula>LEFT(F64,2)="OK"</formula>
    </cfRule>
  </conditionalFormatting>
  <conditionalFormatting sqref="K9:L56">
    <cfRule type="expression" dxfId="104" priority="2">
      <formula>AND(K9&lt;&gt;"",COUNTIF($K9:$L9,"X")&gt;1)</formula>
    </cfRule>
  </conditionalFormatting>
  <conditionalFormatting sqref="M9:O56">
    <cfRule type="expression" dxfId="103" priority="3">
      <formula>AND(M9&lt;&gt;"",COUNTIF($M9:$O9,"X")&gt;1)</formula>
    </cfRule>
  </conditionalFormatting>
  <conditionalFormatting sqref="P9:R56">
    <cfRule type="expression" dxfId="102" priority="4">
      <formula>AND(P9&lt;&gt;"",COUNTIF($P9:$R9,"X")&gt;1)</formula>
    </cfRule>
  </conditionalFormatting>
  <conditionalFormatting sqref="S9:U56">
    <cfRule type="expression" dxfId="101" priority="5">
      <formula>AND(S9&lt;&gt;"",COUNTIF($S9:$U9,"X")&gt;1)</formula>
    </cfRule>
  </conditionalFormatting>
  <conditionalFormatting sqref="W9:W56">
    <cfRule type="expression" dxfId="100" priority="6">
      <formula>AND(W9&lt;&gt;"OK",W9&lt;&gt;"")</formula>
    </cfRule>
    <cfRule type="expression" dxfId="9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6" xr:uid="{00000000-0002-0000-1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6" xr:uid="{00000000-0002-0000-1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6" xr:uid="{00000000-0002-0000-1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6" xr:uid="{00000000-0002-0000-1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6" xr:uid="{00000000-0002-0000-1100-000004000000}">
      <formula1>AND(UPPER(S9)="X",COUNTIF($S9:$U9,"X")&lt;=1)</formula1>
    </dataValidation>
    <dataValidation type="list" showErrorMessage="1" errorTitle="Sentido inválido" error="Use C (crescente) ou D (decrescente)." sqref="B9:B56" xr:uid="{00000000-0002-0000-1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18</oddHeader>
    <oddFooter>&amp;L&amp;7 RTA / MSI — Programa de Manutenção Rodoviária&amp;C&amp;7 Página &amp;P de &amp;N&amp;R&amp;7 Impresso em &amp;D</oddFooter>
  </headerFooter>
  <rowBreaks count="1" manualBreakCount="1">
    <brk id="59" max="16383" man="1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  <pageSetUpPr fitToPage="1"/>
  </sheetPr>
  <dimension ref="A1:AN78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IF(F64=0,NA(),F64)</f>
        <v>39.484898299180003</v>
      </c>
      <c r="Z2" s="2">
        <f t="shared" si="0"/>
        <v>3.6195886233099999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43.104486922489997</v>
      </c>
      <c r="AF2" s="2" t="e">
        <f t="shared" si="0"/>
        <v>#N/A</v>
      </c>
      <c r="AG2" s="2">
        <f t="shared" si="0"/>
        <v>43.104486922489997</v>
      </c>
      <c r="AH2" s="2" t="e">
        <f t="shared" si="0"/>
        <v>#N/A</v>
      </c>
      <c r="AI2" s="2">
        <f t="shared" si="0"/>
        <v>8.6195886233099994</v>
      </c>
      <c r="AJ2" s="2" t="e">
        <f t="shared" si="0"/>
        <v>#N/A</v>
      </c>
      <c r="AK2" s="2">
        <f t="shared" si="0"/>
        <v>34.484898299180003</v>
      </c>
      <c r="AL2" s="2">
        <f t="shared" si="0"/>
        <v>8.6195886233099994</v>
      </c>
      <c r="AM2" s="2" t="e">
        <f t="shared" si="0"/>
        <v>#N/A</v>
      </c>
      <c r="AN2" s="2">
        <f t="shared" si="0"/>
        <v>34.484898299180003</v>
      </c>
    </row>
    <row r="3" spans="1:40" ht="15" customHeight="1" x14ac:dyDescent="0.25">
      <c r="A3" s="49" t="s">
        <v>234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235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236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237</v>
      </c>
      <c r="B9" s="19" t="s">
        <v>68</v>
      </c>
      <c r="C9" s="20">
        <v>0</v>
      </c>
      <c r="D9" s="20">
        <v>1</v>
      </c>
      <c r="E9" s="20">
        <f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 t="s">
        <v>69</v>
      </c>
      <c r="T9" s="21"/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237</v>
      </c>
      <c r="B10" s="19" t="s">
        <v>68</v>
      </c>
      <c r="C10" s="20">
        <v>1</v>
      </c>
      <c r="D10" s="20">
        <v>2</v>
      </c>
      <c r="E10" s="20">
        <f>D10-C10</f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 t="s">
        <v>69</v>
      </c>
      <c r="T10" s="21"/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8" t="s">
        <v>237</v>
      </c>
      <c r="B11" s="19" t="s">
        <v>68</v>
      </c>
      <c r="C11" s="20">
        <v>2</v>
      </c>
      <c r="D11" s="20">
        <v>3</v>
      </c>
      <c r="E11" s="20">
        <f>D11-C11</f>
        <v>1</v>
      </c>
      <c r="F11" s="21"/>
      <c r="G11" s="21" t="s">
        <v>69</v>
      </c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 t="s">
        <v>69</v>
      </c>
      <c r="Q11" s="21"/>
      <c r="R11" s="21"/>
      <c r="S11" s="21" t="s">
        <v>69</v>
      </c>
      <c r="T11" s="21"/>
      <c r="U11" s="21"/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2" t="s">
        <v>237</v>
      </c>
      <c r="B12" s="13" t="s">
        <v>68</v>
      </c>
      <c r="C12" s="14">
        <v>3</v>
      </c>
      <c r="D12" s="14">
        <v>3.6195886233099999</v>
      </c>
      <c r="E12" s="14">
        <f>D12-C12</f>
        <v>0.61958862330999986</v>
      </c>
      <c r="F12" s="15"/>
      <c r="G12" s="15" t="s">
        <v>69</v>
      </c>
      <c r="H12" s="15"/>
      <c r="I12" s="15"/>
      <c r="J12" s="15"/>
      <c r="K12" s="15"/>
      <c r="L12" s="15" t="s">
        <v>69</v>
      </c>
      <c r="M12" s="15"/>
      <c r="N12" s="15" t="s">
        <v>69</v>
      </c>
      <c r="O12" s="15"/>
      <c r="P12" s="15" t="s">
        <v>69</v>
      </c>
      <c r="Q12" s="15"/>
      <c r="R12" s="15"/>
      <c r="S12" s="15" t="s">
        <v>69</v>
      </c>
      <c r="T12" s="15"/>
      <c r="U12" s="15"/>
      <c r="V12" s="16"/>
      <c r="W12" s="17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35" t="s">
        <v>238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4"/>
      <c r="W13" s="4"/>
    </row>
    <row r="14" spans="1:40" ht="20.100000000000001" customHeight="1" x14ac:dyDescent="0.25">
      <c r="A14" s="18" t="s">
        <v>239</v>
      </c>
      <c r="B14" s="19" t="s">
        <v>68</v>
      </c>
      <c r="C14" s="20">
        <v>0</v>
      </c>
      <c r="D14" s="20">
        <v>1</v>
      </c>
      <c r="E14" s="20">
        <f t="shared" ref="E14:E33" si="1">D14-C14</f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 t="s">
        <v>69</v>
      </c>
      <c r="Q14" s="21"/>
      <c r="R14" s="21"/>
      <c r="S14" s="21" t="s">
        <v>69</v>
      </c>
      <c r="T14" s="21"/>
      <c r="U14" s="21"/>
      <c r="V14" s="22"/>
      <c r="W14" s="23" t="str">
        <f t="shared" ref="W14:W33" si="2"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8" t="s">
        <v>239</v>
      </c>
      <c r="B15" s="19" t="s">
        <v>68</v>
      </c>
      <c r="C15" s="20">
        <v>1</v>
      </c>
      <c r="D15" s="20">
        <v>2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 t="s">
        <v>69</v>
      </c>
      <c r="Q15" s="21"/>
      <c r="R15" s="21"/>
      <c r="S15" s="21" t="s">
        <v>69</v>
      </c>
      <c r="T15" s="21"/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239</v>
      </c>
      <c r="B16" s="19" t="s">
        <v>68</v>
      </c>
      <c r="C16" s="20">
        <v>2</v>
      </c>
      <c r="D16" s="20">
        <v>3</v>
      </c>
      <c r="E16" s="20">
        <f t="shared" si="1"/>
        <v>1</v>
      </c>
      <c r="F16" s="21"/>
      <c r="G16" s="21" t="s">
        <v>69</v>
      </c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 t="s">
        <v>69</v>
      </c>
      <c r="Q16" s="21"/>
      <c r="R16" s="21"/>
      <c r="S16" s="21" t="s">
        <v>69</v>
      </c>
      <c r="T16" s="21"/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239</v>
      </c>
      <c r="B17" s="19" t="s">
        <v>68</v>
      </c>
      <c r="C17" s="20">
        <v>3</v>
      </c>
      <c r="D17" s="20">
        <v>4</v>
      </c>
      <c r="E17" s="20">
        <f t="shared" si="1"/>
        <v>1</v>
      </c>
      <c r="F17" s="21"/>
      <c r="G17" s="21" t="s">
        <v>69</v>
      </c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 t="s">
        <v>69</v>
      </c>
      <c r="Q17" s="21"/>
      <c r="R17" s="21"/>
      <c r="S17" s="21" t="s">
        <v>69</v>
      </c>
      <c r="T17" s="21"/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239</v>
      </c>
      <c r="B18" s="19" t="s">
        <v>68</v>
      </c>
      <c r="C18" s="20">
        <v>4</v>
      </c>
      <c r="D18" s="20">
        <v>5</v>
      </c>
      <c r="E18" s="20">
        <f t="shared" si="1"/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 t="s">
        <v>69</v>
      </c>
      <c r="Q18" s="21"/>
      <c r="R18" s="21"/>
      <c r="S18" s="21" t="s">
        <v>69</v>
      </c>
      <c r="T18" s="21"/>
      <c r="U18" s="21"/>
      <c r="V18" s="22"/>
      <c r="W18" s="23" t="str">
        <f t="shared" si="2"/>
        <v>OK</v>
      </c>
    </row>
    <row r="19" spans="1:23" ht="20.100000000000001" customHeight="1" x14ac:dyDescent="0.25">
      <c r="A19" s="18" t="s">
        <v>239</v>
      </c>
      <c r="B19" s="19" t="s">
        <v>68</v>
      </c>
      <c r="C19" s="20">
        <v>5</v>
      </c>
      <c r="D19" s="20">
        <v>6</v>
      </c>
      <c r="E19" s="20">
        <f t="shared" si="1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/>
      <c r="N19" s="21" t="s">
        <v>69</v>
      </c>
      <c r="O19" s="21"/>
      <c r="P19" s="21"/>
      <c r="Q19" s="21"/>
      <c r="R19" s="21" t="s">
        <v>69</v>
      </c>
      <c r="S19" s="21"/>
      <c r="T19" s="21"/>
      <c r="U19" s="21" t="s">
        <v>69</v>
      </c>
      <c r="V19" s="22"/>
      <c r="W19" s="23" t="str">
        <f t="shared" si="2"/>
        <v>OK</v>
      </c>
    </row>
    <row r="20" spans="1:23" ht="20.100000000000001" customHeight="1" x14ac:dyDescent="0.25">
      <c r="A20" s="18" t="s">
        <v>239</v>
      </c>
      <c r="B20" s="19" t="s">
        <v>68</v>
      </c>
      <c r="C20" s="20">
        <v>6</v>
      </c>
      <c r="D20" s="20">
        <v>7</v>
      </c>
      <c r="E20" s="20">
        <f t="shared" si="1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/>
      <c r="Q20" s="21"/>
      <c r="R20" s="21" t="s">
        <v>69</v>
      </c>
      <c r="S20" s="21"/>
      <c r="T20" s="21"/>
      <c r="U20" s="21" t="s">
        <v>69</v>
      </c>
      <c r="V20" s="22"/>
      <c r="W20" s="23" t="str">
        <f t="shared" si="2"/>
        <v>OK</v>
      </c>
    </row>
    <row r="21" spans="1:23" ht="20.100000000000001" customHeight="1" x14ac:dyDescent="0.25">
      <c r="A21" s="18" t="s">
        <v>239</v>
      </c>
      <c r="B21" s="19" t="s">
        <v>68</v>
      </c>
      <c r="C21" s="20">
        <v>7</v>
      </c>
      <c r="D21" s="20">
        <v>8</v>
      </c>
      <c r="E21" s="20">
        <f t="shared" si="1"/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/>
      <c r="Q21" s="21"/>
      <c r="R21" s="21" t="s">
        <v>69</v>
      </c>
      <c r="S21" s="21"/>
      <c r="T21" s="21"/>
      <c r="U21" s="21" t="s">
        <v>69</v>
      </c>
      <c r="V21" s="22"/>
      <c r="W21" s="23" t="str">
        <f t="shared" si="2"/>
        <v>OK</v>
      </c>
    </row>
    <row r="22" spans="1:23" ht="20.100000000000001" customHeight="1" x14ac:dyDescent="0.25">
      <c r="A22" s="18" t="s">
        <v>239</v>
      </c>
      <c r="B22" s="19" t="s">
        <v>68</v>
      </c>
      <c r="C22" s="20">
        <v>8</v>
      </c>
      <c r="D22" s="20">
        <v>9</v>
      </c>
      <c r="E22" s="20">
        <f t="shared" si="1"/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/>
      <c r="N22" s="21" t="s">
        <v>69</v>
      </c>
      <c r="O22" s="21"/>
      <c r="P22" s="21"/>
      <c r="Q22" s="21"/>
      <c r="R22" s="21" t="s">
        <v>69</v>
      </c>
      <c r="S22" s="21"/>
      <c r="T22" s="21"/>
      <c r="U22" s="21" t="s">
        <v>69</v>
      </c>
      <c r="V22" s="22"/>
      <c r="W22" s="23" t="str">
        <f t="shared" si="2"/>
        <v>OK</v>
      </c>
    </row>
    <row r="23" spans="1:23" ht="20.100000000000001" customHeight="1" x14ac:dyDescent="0.25">
      <c r="A23" s="18" t="s">
        <v>239</v>
      </c>
      <c r="B23" s="19" t="s">
        <v>68</v>
      </c>
      <c r="C23" s="20">
        <v>9</v>
      </c>
      <c r="D23" s="20">
        <v>10</v>
      </c>
      <c r="E23" s="20">
        <f t="shared" si="1"/>
        <v>1</v>
      </c>
      <c r="F23" s="21" t="s">
        <v>69</v>
      </c>
      <c r="G23" s="21"/>
      <c r="H23" s="21"/>
      <c r="I23" s="21"/>
      <c r="J23" s="21"/>
      <c r="K23" s="21"/>
      <c r="L23" s="21" t="s">
        <v>69</v>
      </c>
      <c r="M23" s="21"/>
      <c r="N23" s="21" t="s">
        <v>69</v>
      </c>
      <c r="O23" s="21"/>
      <c r="P23" s="21"/>
      <c r="Q23" s="21"/>
      <c r="R23" s="21" t="s">
        <v>69</v>
      </c>
      <c r="S23" s="21"/>
      <c r="T23" s="21"/>
      <c r="U23" s="21" t="s">
        <v>69</v>
      </c>
      <c r="V23" s="22"/>
      <c r="W23" s="23" t="str">
        <f t="shared" si="2"/>
        <v>OK</v>
      </c>
    </row>
    <row r="24" spans="1:23" ht="20.100000000000001" customHeight="1" x14ac:dyDescent="0.25">
      <c r="A24" s="18" t="s">
        <v>239</v>
      </c>
      <c r="B24" s="19" t="s">
        <v>68</v>
      </c>
      <c r="C24" s="20">
        <v>10</v>
      </c>
      <c r="D24" s="20">
        <v>11</v>
      </c>
      <c r="E24" s="20">
        <f t="shared" si="1"/>
        <v>1</v>
      </c>
      <c r="F24" s="21" t="s">
        <v>69</v>
      </c>
      <c r="G24" s="21"/>
      <c r="H24" s="21"/>
      <c r="I24" s="21"/>
      <c r="J24" s="21"/>
      <c r="K24" s="21"/>
      <c r="L24" s="21" t="s">
        <v>69</v>
      </c>
      <c r="M24" s="21"/>
      <c r="N24" s="21" t="s">
        <v>69</v>
      </c>
      <c r="O24" s="21"/>
      <c r="P24" s="21"/>
      <c r="Q24" s="21"/>
      <c r="R24" s="21" t="s">
        <v>69</v>
      </c>
      <c r="S24" s="21"/>
      <c r="T24" s="21"/>
      <c r="U24" s="21" t="s">
        <v>69</v>
      </c>
      <c r="V24" s="22"/>
      <c r="W24" s="23" t="str">
        <f t="shared" si="2"/>
        <v>OK</v>
      </c>
    </row>
    <row r="25" spans="1:23" ht="20.100000000000001" customHeight="1" x14ac:dyDescent="0.25">
      <c r="A25" s="18" t="s">
        <v>239</v>
      </c>
      <c r="B25" s="19" t="s">
        <v>68</v>
      </c>
      <c r="C25" s="20">
        <v>11</v>
      </c>
      <c r="D25" s="20">
        <v>12</v>
      </c>
      <c r="E25" s="20">
        <f t="shared" si="1"/>
        <v>1</v>
      </c>
      <c r="F25" s="21" t="s">
        <v>69</v>
      </c>
      <c r="G25" s="21"/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/>
      <c r="Q25" s="21"/>
      <c r="R25" s="21" t="s">
        <v>69</v>
      </c>
      <c r="S25" s="21"/>
      <c r="T25" s="21"/>
      <c r="U25" s="21" t="s">
        <v>69</v>
      </c>
      <c r="V25" s="22"/>
      <c r="W25" s="23" t="str">
        <f t="shared" si="2"/>
        <v>OK</v>
      </c>
    </row>
    <row r="26" spans="1:23" ht="20.100000000000001" customHeight="1" x14ac:dyDescent="0.25">
      <c r="A26" s="18" t="s">
        <v>239</v>
      </c>
      <c r="B26" s="19" t="s">
        <v>68</v>
      </c>
      <c r="C26" s="20">
        <v>12</v>
      </c>
      <c r="D26" s="20">
        <v>13</v>
      </c>
      <c r="E26" s="20">
        <f t="shared" si="1"/>
        <v>1</v>
      </c>
      <c r="F26" s="21" t="s">
        <v>69</v>
      </c>
      <c r="G26" s="21"/>
      <c r="H26" s="21"/>
      <c r="I26" s="21"/>
      <c r="J26" s="21"/>
      <c r="K26" s="21"/>
      <c r="L26" s="21" t="s">
        <v>69</v>
      </c>
      <c r="M26" s="21"/>
      <c r="N26" s="21" t="s">
        <v>69</v>
      </c>
      <c r="O26" s="21"/>
      <c r="P26" s="21"/>
      <c r="Q26" s="21"/>
      <c r="R26" s="21" t="s">
        <v>69</v>
      </c>
      <c r="S26" s="21"/>
      <c r="T26" s="21"/>
      <c r="U26" s="21" t="s">
        <v>69</v>
      </c>
      <c r="V26" s="22"/>
      <c r="W26" s="23" t="str">
        <f t="shared" si="2"/>
        <v>OK</v>
      </c>
    </row>
    <row r="27" spans="1:23" ht="20.100000000000001" customHeight="1" x14ac:dyDescent="0.25">
      <c r="A27" s="18" t="s">
        <v>239</v>
      </c>
      <c r="B27" s="19" t="s">
        <v>68</v>
      </c>
      <c r="C27" s="20">
        <v>13</v>
      </c>
      <c r="D27" s="20">
        <v>14</v>
      </c>
      <c r="E27" s="20">
        <f t="shared" si="1"/>
        <v>1</v>
      </c>
      <c r="F27" s="21" t="s">
        <v>69</v>
      </c>
      <c r="G27" s="21"/>
      <c r="H27" s="21"/>
      <c r="I27" s="21"/>
      <c r="J27" s="21"/>
      <c r="K27" s="21"/>
      <c r="L27" s="21" t="s">
        <v>69</v>
      </c>
      <c r="M27" s="21"/>
      <c r="N27" s="21" t="s">
        <v>69</v>
      </c>
      <c r="O27" s="21"/>
      <c r="P27" s="21"/>
      <c r="Q27" s="21"/>
      <c r="R27" s="21" t="s">
        <v>69</v>
      </c>
      <c r="S27" s="21"/>
      <c r="T27" s="21"/>
      <c r="U27" s="21" t="s">
        <v>69</v>
      </c>
      <c r="V27" s="22"/>
      <c r="W27" s="23" t="str">
        <f t="shared" si="2"/>
        <v>OK</v>
      </c>
    </row>
    <row r="28" spans="1:23" ht="20.100000000000001" customHeight="1" x14ac:dyDescent="0.25">
      <c r="A28" s="18" t="s">
        <v>239</v>
      </c>
      <c r="B28" s="19" t="s">
        <v>68</v>
      </c>
      <c r="C28" s="20">
        <v>14</v>
      </c>
      <c r="D28" s="20">
        <v>15</v>
      </c>
      <c r="E28" s="20">
        <f t="shared" si="1"/>
        <v>1</v>
      </c>
      <c r="F28" s="21" t="s">
        <v>69</v>
      </c>
      <c r="G28" s="21"/>
      <c r="H28" s="21"/>
      <c r="I28" s="21"/>
      <c r="J28" s="21"/>
      <c r="K28" s="21"/>
      <c r="L28" s="21" t="s">
        <v>69</v>
      </c>
      <c r="M28" s="21"/>
      <c r="N28" s="21" t="s">
        <v>69</v>
      </c>
      <c r="O28" s="21"/>
      <c r="P28" s="21"/>
      <c r="Q28" s="21"/>
      <c r="R28" s="21" t="s">
        <v>69</v>
      </c>
      <c r="S28" s="21"/>
      <c r="T28" s="21"/>
      <c r="U28" s="21" t="s">
        <v>69</v>
      </c>
      <c r="V28" s="22"/>
      <c r="W28" s="23" t="str">
        <f t="shared" si="2"/>
        <v>OK</v>
      </c>
    </row>
    <row r="29" spans="1:23" ht="20.100000000000001" customHeight="1" x14ac:dyDescent="0.25">
      <c r="A29" s="18" t="s">
        <v>239</v>
      </c>
      <c r="B29" s="19" t="s">
        <v>68</v>
      </c>
      <c r="C29" s="20">
        <v>15</v>
      </c>
      <c r="D29" s="20">
        <v>16</v>
      </c>
      <c r="E29" s="20">
        <f t="shared" si="1"/>
        <v>1</v>
      </c>
      <c r="F29" s="21" t="s">
        <v>69</v>
      </c>
      <c r="G29" s="21"/>
      <c r="H29" s="21"/>
      <c r="I29" s="21"/>
      <c r="J29" s="21"/>
      <c r="K29" s="21"/>
      <c r="L29" s="21" t="s">
        <v>69</v>
      </c>
      <c r="M29" s="21"/>
      <c r="N29" s="21" t="s">
        <v>69</v>
      </c>
      <c r="O29" s="21"/>
      <c r="P29" s="21"/>
      <c r="Q29" s="21"/>
      <c r="R29" s="21" t="s">
        <v>69</v>
      </c>
      <c r="S29" s="21"/>
      <c r="T29" s="21"/>
      <c r="U29" s="21" t="s">
        <v>69</v>
      </c>
      <c r="V29" s="22"/>
      <c r="W29" s="23" t="str">
        <f t="shared" si="2"/>
        <v>OK</v>
      </c>
    </row>
    <row r="30" spans="1:23" ht="20.100000000000001" customHeight="1" x14ac:dyDescent="0.25">
      <c r="A30" s="18" t="s">
        <v>239</v>
      </c>
      <c r="B30" s="19" t="s">
        <v>68</v>
      </c>
      <c r="C30" s="20">
        <v>16</v>
      </c>
      <c r="D30" s="20">
        <v>17</v>
      </c>
      <c r="E30" s="20">
        <f t="shared" si="1"/>
        <v>1</v>
      </c>
      <c r="F30" s="21" t="s">
        <v>69</v>
      </c>
      <c r="G30" s="21"/>
      <c r="H30" s="21"/>
      <c r="I30" s="21"/>
      <c r="J30" s="21"/>
      <c r="K30" s="21"/>
      <c r="L30" s="21" t="s">
        <v>69</v>
      </c>
      <c r="M30" s="21"/>
      <c r="N30" s="21" t="s">
        <v>69</v>
      </c>
      <c r="O30" s="21"/>
      <c r="P30" s="21"/>
      <c r="Q30" s="21"/>
      <c r="R30" s="21" t="s">
        <v>69</v>
      </c>
      <c r="S30" s="21"/>
      <c r="T30" s="21"/>
      <c r="U30" s="21" t="s">
        <v>69</v>
      </c>
      <c r="V30" s="22"/>
      <c r="W30" s="23" t="str">
        <f t="shared" si="2"/>
        <v>OK</v>
      </c>
    </row>
    <row r="31" spans="1:23" ht="20.100000000000001" customHeight="1" x14ac:dyDescent="0.25">
      <c r="A31" s="18" t="s">
        <v>239</v>
      </c>
      <c r="B31" s="19" t="s">
        <v>68</v>
      </c>
      <c r="C31" s="20">
        <v>17</v>
      </c>
      <c r="D31" s="20">
        <v>18</v>
      </c>
      <c r="E31" s="20">
        <f t="shared" si="1"/>
        <v>1</v>
      </c>
      <c r="F31" s="21" t="s">
        <v>69</v>
      </c>
      <c r="G31" s="21"/>
      <c r="H31" s="21"/>
      <c r="I31" s="21"/>
      <c r="J31" s="21"/>
      <c r="K31" s="21"/>
      <c r="L31" s="21" t="s">
        <v>69</v>
      </c>
      <c r="M31" s="21"/>
      <c r="N31" s="21" t="s">
        <v>69</v>
      </c>
      <c r="O31" s="21"/>
      <c r="P31" s="21"/>
      <c r="Q31" s="21"/>
      <c r="R31" s="21" t="s">
        <v>69</v>
      </c>
      <c r="S31" s="21"/>
      <c r="T31" s="21"/>
      <c r="U31" s="21" t="s">
        <v>69</v>
      </c>
      <c r="V31" s="22"/>
      <c r="W31" s="23" t="str">
        <f t="shared" si="2"/>
        <v>OK</v>
      </c>
    </row>
    <row r="32" spans="1:23" ht="20.100000000000001" customHeight="1" x14ac:dyDescent="0.25">
      <c r="A32" s="18" t="s">
        <v>239</v>
      </c>
      <c r="B32" s="19" t="s">
        <v>68</v>
      </c>
      <c r="C32" s="20">
        <v>18</v>
      </c>
      <c r="D32" s="20">
        <v>19</v>
      </c>
      <c r="E32" s="20">
        <f t="shared" si="1"/>
        <v>1</v>
      </c>
      <c r="F32" s="21" t="s">
        <v>69</v>
      </c>
      <c r="G32" s="21"/>
      <c r="H32" s="21"/>
      <c r="I32" s="21"/>
      <c r="J32" s="21"/>
      <c r="K32" s="21"/>
      <c r="L32" s="21" t="s">
        <v>69</v>
      </c>
      <c r="M32" s="21"/>
      <c r="N32" s="21" t="s">
        <v>69</v>
      </c>
      <c r="O32" s="21"/>
      <c r="P32" s="21"/>
      <c r="Q32" s="21"/>
      <c r="R32" s="21" t="s">
        <v>69</v>
      </c>
      <c r="S32" s="21"/>
      <c r="T32" s="21"/>
      <c r="U32" s="21" t="s">
        <v>69</v>
      </c>
      <c r="V32" s="22"/>
      <c r="W32" s="23" t="str">
        <f t="shared" si="2"/>
        <v>OK</v>
      </c>
    </row>
    <row r="33" spans="1:23" ht="20.100000000000001" customHeight="1" x14ac:dyDescent="0.25">
      <c r="A33" s="12" t="s">
        <v>239</v>
      </c>
      <c r="B33" s="13" t="s">
        <v>68</v>
      </c>
      <c r="C33" s="14">
        <v>19</v>
      </c>
      <c r="D33" s="14">
        <v>19.793994194500002</v>
      </c>
      <c r="E33" s="14">
        <f t="shared" si="1"/>
        <v>0.79399419450000153</v>
      </c>
      <c r="F33" s="15" t="s">
        <v>69</v>
      </c>
      <c r="G33" s="15"/>
      <c r="H33" s="15"/>
      <c r="I33" s="15"/>
      <c r="J33" s="15"/>
      <c r="K33" s="15"/>
      <c r="L33" s="15" t="s">
        <v>69</v>
      </c>
      <c r="M33" s="15"/>
      <c r="N33" s="15" t="s">
        <v>69</v>
      </c>
      <c r="O33" s="15"/>
      <c r="P33" s="15"/>
      <c r="Q33" s="15"/>
      <c r="R33" s="15" t="s">
        <v>69</v>
      </c>
      <c r="S33" s="15"/>
      <c r="T33" s="15"/>
      <c r="U33" s="15" t="s">
        <v>69</v>
      </c>
      <c r="V33" s="16"/>
      <c r="W33" s="17" t="str">
        <f t="shared" si="2"/>
        <v>OK</v>
      </c>
    </row>
    <row r="34" spans="1:23" ht="15.95" customHeight="1" x14ac:dyDescent="0.25">
      <c r="A34" s="35" t="s">
        <v>240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4"/>
      <c r="W34" s="4"/>
    </row>
    <row r="35" spans="1:23" ht="20.100000000000001" customHeight="1" x14ac:dyDescent="0.25">
      <c r="A35" s="18" t="s">
        <v>241</v>
      </c>
      <c r="B35" s="19" t="s">
        <v>68</v>
      </c>
      <c r="C35" s="20">
        <v>0</v>
      </c>
      <c r="D35" s="20">
        <v>1</v>
      </c>
      <c r="E35" s="20">
        <f t="shared" ref="E35:E40" si="3">D35-C35</f>
        <v>1</v>
      </c>
      <c r="F35" s="21" t="s">
        <v>69</v>
      </c>
      <c r="G35" s="21"/>
      <c r="H35" s="21"/>
      <c r="I35" s="21"/>
      <c r="J35" s="21"/>
      <c r="K35" s="21"/>
      <c r="L35" s="21" t="s">
        <v>69</v>
      </c>
      <c r="M35" s="21"/>
      <c r="N35" s="21" t="s">
        <v>69</v>
      </c>
      <c r="O35" s="21"/>
      <c r="P35" s="21"/>
      <c r="Q35" s="21"/>
      <c r="R35" s="21" t="s">
        <v>69</v>
      </c>
      <c r="S35" s="21"/>
      <c r="T35" s="21"/>
      <c r="U35" s="21" t="s">
        <v>69</v>
      </c>
      <c r="V35" s="22"/>
      <c r="W35" s="23" t="str">
        <f t="shared" ref="W35:W40" si="4">IF(COUNTA(F35:U35)=0,"— não preenchido",IF(COUNTIF(F35:J35,"X")&lt;&gt;1,"FALTA/DUPLA: CONDIÇÃO DO PAVIMENTO",IF(COUNTIF(K35:L35,"X")&lt;&gt;1,"FALTA/DUPLA: VEGETAÇÃO",IF(COUNTIF(M35:O35,"X")&lt;&gt;1,"FALTA/DUPLA: ELEM. DE DRENAGEM",IF(COUNTIF(P35:R35,"X")&lt;&gt;1,"FALTA/DUPLA: SIN. HORIZ.",IF(COUNTIF(S35:U35,"X")&lt;&gt;1,"FALTA/DUPLA: SIN. VERTICAL","OK"))))))</f>
        <v>OK</v>
      </c>
    </row>
    <row r="36" spans="1:23" ht="20.100000000000001" customHeight="1" x14ac:dyDescent="0.25">
      <c r="A36" s="18" t="s">
        <v>241</v>
      </c>
      <c r="B36" s="19" t="s">
        <v>68</v>
      </c>
      <c r="C36" s="20">
        <v>1</v>
      </c>
      <c r="D36" s="20">
        <v>2</v>
      </c>
      <c r="E36" s="20">
        <f t="shared" si="3"/>
        <v>1</v>
      </c>
      <c r="F36" s="21" t="s">
        <v>69</v>
      </c>
      <c r="G36" s="21"/>
      <c r="H36" s="21"/>
      <c r="I36" s="21"/>
      <c r="J36" s="21"/>
      <c r="K36" s="21"/>
      <c r="L36" s="21" t="s">
        <v>69</v>
      </c>
      <c r="M36" s="21"/>
      <c r="N36" s="21" t="s">
        <v>69</v>
      </c>
      <c r="O36" s="21"/>
      <c r="P36" s="21"/>
      <c r="Q36" s="21"/>
      <c r="R36" s="21" t="s">
        <v>69</v>
      </c>
      <c r="S36" s="21"/>
      <c r="T36" s="21"/>
      <c r="U36" s="21" t="s">
        <v>69</v>
      </c>
      <c r="V36" s="22"/>
      <c r="W36" s="23" t="str">
        <f t="shared" si="4"/>
        <v>OK</v>
      </c>
    </row>
    <row r="37" spans="1:23" ht="20.100000000000001" customHeight="1" x14ac:dyDescent="0.25">
      <c r="A37" s="18" t="s">
        <v>241</v>
      </c>
      <c r="B37" s="19" t="s">
        <v>68</v>
      </c>
      <c r="C37" s="20">
        <v>2</v>
      </c>
      <c r="D37" s="20">
        <v>3</v>
      </c>
      <c r="E37" s="20">
        <f t="shared" si="3"/>
        <v>1</v>
      </c>
      <c r="F37" s="21" t="s">
        <v>69</v>
      </c>
      <c r="G37" s="21"/>
      <c r="H37" s="21"/>
      <c r="I37" s="21"/>
      <c r="J37" s="21"/>
      <c r="K37" s="21"/>
      <c r="L37" s="21" t="s">
        <v>69</v>
      </c>
      <c r="M37" s="21"/>
      <c r="N37" s="21" t="s">
        <v>69</v>
      </c>
      <c r="O37" s="21"/>
      <c r="P37" s="21"/>
      <c r="Q37" s="21"/>
      <c r="R37" s="21" t="s">
        <v>69</v>
      </c>
      <c r="S37" s="21"/>
      <c r="T37" s="21"/>
      <c r="U37" s="21" t="s">
        <v>69</v>
      </c>
      <c r="V37" s="22"/>
      <c r="W37" s="23" t="str">
        <f t="shared" si="4"/>
        <v>OK</v>
      </c>
    </row>
    <row r="38" spans="1:23" ht="20.100000000000001" customHeight="1" x14ac:dyDescent="0.25">
      <c r="A38" s="18" t="s">
        <v>241</v>
      </c>
      <c r="B38" s="19" t="s">
        <v>68</v>
      </c>
      <c r="C38" s="20">
        <v>3</v>
      </c>
      <c r="D38" s="20">
        <v>4</v>
      </c>
      <c r="E38" s="20">
        <f t="shared" si="3"/>
        <v>1</v>
      </c>
      <c r="F38" s="21" t="s">
        <v>69</v>
      </c>
      <c r="G38" s="21"/>
      <c r="H38" s="21"/>
      <c r="I38" s="21"/>
      <c r="J38" s="21"/>
      <c r="K38" s="21"/>
      <c r="L38" s="21" t="s">
        <v>69</v>
      </c>
      <c r="M38" s="21"/>
      <c r="N38" s="21" t="s">
        <v>69</v>
      </c>
      <c r="O38" s="21"/>
      <c r="P38" s="21"/>
      <c r="Q38" s="21"/>
      <c r="R38" s="21" t="s">
        <v>69</v>
      </c>
      <c r="S38" s="21"/>
      <c r="T38" s="21"/>
      <c r="U38" s="21" t="s">
        <v>69</v>
      </c>
      <c r="V38" s="22"/>
      <c r="W38" s="23" t="str">
        <f t="shared" si="4"/>
        <v>OK</v>
      </c>
    </row>
    <row r="39" spans="1:23" ht="20.100000000000001" customHeight="1" x14ac:dyDescent="0.25">
      <c r="A39" s="18" t="s">
        <v>241</v>
      </c>
      <c r="B39" s="19" t="s">
        <v>68</v>
      </c>
      <c r="C39" s="20">
        <v>4</v>
      </c>
      <c r="D39" s="20">
        <v>5</v>
      </c>
      <c r="E39" s="20">
        <f t="shared" si="3"/>
        <v>1</v>
      </c>
      <c r="F39" s="21" t="s">
        <v>69</v>
      </c>
      <c r="G39" s="21"/>
      <c r="H39" s="21"/>
      <c r="I39" s="21"/>
      <c r="J39" s="21"/>
      <c r="K39" s="21"/>
      <c r="L39" s="21" t="s">
        <v>69</v>
      </c>
      <c r="M39" s="21"/>
      <c r="N39" s="21" t="s">
        <v>69</v>
      </c>
      <c r="O39" s="21"/>
      <c r="P39" s="21"/>
      <c r="Q39" s="21"/>
      <c r="R39" s="21" t="s">
        <v>69</v>
      </c>
      <c r="S39" s="21"/>
      <c r="T39" s="21"/>
      <c r="U39" s="21" t="s">
        <v>69</v>
      </c>
      <c r="V39" s="22"/>
      <c r="W39" s="23" t="str">
        <f t="shared" si="4"/>
        <v>OK</v>
      </c>
    </row>
    <row r="40" spans="1:23" ht="20.100000000000001" customHeight="1" x14ac:dyDescent="0.25">
      <c r="A40" s="12" t="s">
        <v>241</v>
      </c>
      <c r="B40" s="13" t="s">
        <v>68</v>
      </c>
      <c r="C40" s="14">
        <v>5</v>
      </c>
      <c r="D40" s="14">
        <v>5.2504937683000001</v>
      </c>
      <c r="E40" s="14">
        <f t="shared" si="3"/>
        <v>0.25049376830000014</v>
      </c>
      <c r="F40" s="15" t="s">
        <v>69</v>
      </c>
      <c r="G40" s="15"/>
      <c r="H40" s="15"/>
      <c r="I40" s="15"/>
      <c r="J40" s="15"/>
      <c r="K40" s="15"/>
      <c r="L40" s="15" t="s">
        <v>69</v>
      </c>
      <c r="M40" s="15"/>
      <c r="N40" s="15" t="s">
        <v>69</v>
      </c>
      <c r="O40" s="15"/>
      <c r="P40" s="15"/>
      <c r="Q40" s="15"/>
      <c r="R40" s="15" t="s">
        <v>69</v>
      </c>
      <c r="S40" s="15"/>
      <c r="T40" s="15"/>
      <c r="U40" s="15" t="s">
        <v>69</v>
      </c>
      <c r="V40" s="16"/>
      <c r="W40" s="17" t="str">
        <f t="shared" si="4"/>
        <v>OK</v>
      </c>
    </row>
    <row r="41" spans="1:23" ht="15.95" customHeight="1" x14ac:dyDescent="0.25">
      <c r="A41" s="35" t="s">
        <v>242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4"/>
      <c r="W41" s="4"/>
    </row>
    <row r="42" spans="1:23" ht="20.100000000000001" customHeight="1" x14ac:dyDescent="0.25">
      <c r="A42" s="18" t="s">
        <v>243</v>
      </c>
      <c r="B42" s="19" t="s">
        <v>68</v>
      </c>
      <c r="C42" s="20">
        <v>0</v>
      </c>
      <c r="D42" s="20">
        <v>1</v>
      </c>
      <c r="E42" s="20">
        <f t="shared" ref="E42:E51" si="5">D42-C42</f>
        <v>1</v>
      </c>
      <c r="F42" s="21" t="s">
        <v>69</v>
      </c>
      <c r="G42" s="21"/>
      <c r="H42" s="21"/>
      <c r="I42" s="21"/>
      <c r="J42" s="21"/>
      <c r="K42" s="21"/>
      <c r="L42" s="21" t="s">
        <v>69</v>
      </c>
      <c r="M42" s="21"/>
      <c r="N42" s="21" t="s">
        <v>69</v>
      </c>
      <c r="O42" s="21"/>
      <c r="P42" s="21"/>
      <c r="Q42" s="21"/>
      <c r="R42" s="21" t="s">
        <v>69</v>
      </c>
      <c r="S42" s="21"/>
      <c r="T42" s="21"/>
      <c r="U42" s="21" t="s">
        <v>69</v>
      </c>
      <c r="V42" s="22"/>
      <c r="W42" s="23" t="str">
        <f t="shared" ref="W42:W51" si="6">IF(COUNTA(F42:U42)=0,"— não preenchido",IF(COUNTIF(F42:J42,"X")&lt;&gt;1,"FALTA/DUPLA: CONDIÇÃO DO PAVIMENTO",IF(COUNTIF(K42:L42,"X")&lt;&gt;1,"FALTA/DUPLA: VEGETAÇÃO",IF(COUNTIF(M42:O42,"X")&lt;&gt;1,"FALTA/DUPLA: ELEM. DE DRENAGEM",IF(COUNTIF(P42:R42,"X")&lt;&gt;1,"FALTA/DUPLA: SIN. HORIZ.",IF(COUNTIF(S42:U42,"X")&lt;&gt;1,"FALTA/DUPLA: SIN. VERTICAL","OK"))))))</f>
        <v>OK</v>
      </c>
    </row>
    <row r="43" spans="1:23" ht="20.100000000000001" customHeight="1" x14ac:dyDescent="0.25">
      <c r="A43" s="18" t="s">
        <v>243</v>
      </c>
      <c r="B43" s="19" t="s">
        <v>68</v>
      </c>
      <c r="C43" s="20">
        <v>1</v>
      </c>
      <c r="D43" s="20">
        <v>2</v>
      </c>
      <c r="E43" s="20">
        <f t="shared" si="5"/>
        <v>1</v>
      </c>
      <c r="F43" s="21" t="s">
        <v>69</v>
      </c>
      <c r="G43" s="21"/>
      <c r="H43" s="21"/>
      <c r="I43" s="21"/>
      <c r="J43" s="21"/>
      <c r="K43" s="21"/>
      <c r="L43" s="21" t="s">
        <v>69</v>
      </c>
      <c r="M43" s="21"/>
      <c r="N43" s="21" t="s">
        <v>69</v>
      </c>
      <c r="O43" s="21"/>
      <c r="P43" s="21"/>
      <c r="Q43" s="21"/>
      <c r="R43" s="21" t="s">
        <v>69</v>
      </c>
      <c r="S43" s="21"/>
      <c r="T43" s="21"/>
      <c r="U43" s="21" t="s">
        <v>69</v>
      </c>
      <c r="V43" s="22"/>
      <c r="W43" s="23" t="str">
        <f t="shared" si="6"/>
        <v>OK</v>
      </c>
    </row>
    <row r="44" spans="1:23" ht="20.100000000000001" customHeight="1" x14ac:dyDescent="0.25">
      <c r="A44" s="18" t="s">
        <v>243</v>
      </c>
      <c r="B44" s="19" t="s">
        <v>68</v>
      </c>
      <c r="C44" s="20">
        <v>2</v>
      </c>
      <c r="D44" s="20">
        <v>3</v>
      </c>
      <c r="E44" s="20">
        <f t="shared" si="5"/>
        <v>1</v>
      </c>
      <c r="F44" s="21" t="s">
        <v>69</v>
      </c>
      <c r="G44" s="21"/>
      <c r="H44" s="21"/>
      <c r="I44" s="21"/>
      <c r="J44" s="21"/>
      <c r="K44" s="21"/>
      <c r="L44" s="21" t="s">
        <v>69</v>
      </c>
      <c r="M44" s="21"/>
      <c r="N44" s="21" t="s">
        <v>69</v>
      </c>
      <c r="O44" s="21"/>
      <c r="P44" s="21"/>
      <c r="Q44" s="21"/>
      <c r="R44" s="21" t="s">
        <v>69</v>
      </c>
      <c r="S44" s="21"/>
      <c r="T44" s="21"/>
      <c r="U44" s="21" t="s">
        <v>69</v>
      </c>
      <c r="V44" s="22"/>
      <c r="W44" s="23" t="str">
        <f t="shared" si="6"/>
        <v>OK</v>
      </c>
    </row>
    <row r="45" spans="1:23" ht="20.100000000000001" customHeight="1" x14ac:dyDescent="0.25">
      <c r="A45" s="18" t="s">
        <v>243</v>
      </c>
      <c r="B45" s="19" t="s">
        <v>68</v>
      </c>
      <c r="C45" s="20">
        <v>3</v>
      </c>
      <c r="D45" s="20">
        <v>4</v>
      </c>
      <c r="E45" s="20">
        <f t="shared" si="5"/>
        <v>1</v>
      </c>
      <c r="F45" s="21" t="s">
        <v>69</v>
      </c>
      <c r="G45" s="21"/>
      <c r="H45" s="21"/>
      <c r="I45" s="21"/>
      <c r="J45" s="21"/>
      <c r="K45" s="21"/>
      <c r="L45" s="21" t="s">
        <v>69</v>
      </c>
      <c r="M45" s="21"/>
      <c r="N45" s="21" t="s">
        <v>69</v>
      </c>
      <c r="O45" s="21"/>
      <c r="P45" s="21"/>
      <c r="Q45" s="21"/>
      <c r="R45" s="21" t="s">
        <v>69</v>
      </c>
      <c r="S45" s="21"/>
      <c r="T45" s="21"/>
      <c r="U45" s="21" t="s">
        <v>69</v>
      </c>
      <c r="V45" s="22"/>
      <c r="W45" s="23" t="str">
        <f t="shared" si="6"/>
        <v>OK</v>
      </c>
    </row>
    <row r="46" spans="1:23" ht="20.100000000000001" customHeight="1" x14ac:dyDescent="0.25">
      <c r="A46" s="18" t="s">
        <v>243</v>
      </c>
      <c r="B46" s="19" t="s">
        <v>68</v>
      </c>
      <c r="C46" s="20">
        <v>4</v>
      </c>
      <c r="D46" s="20">
        <v>5</v>
      </c>
      <c r="E46" s="20">
        <f t="shared" si="5"/>
        <v>1</v>
      </c>
      <c r="F46" s="21" t="s">
        <v>69</v>
      </c>
      <c r="G46" s="21"/>
      <c r="H46" s="21"/>
      <c r="I46" s="21"/>
      <c r="J46" s="21"/>
      <c r="K46" s="21"/>
      <c r="L46" s="21" t="s">
        <v>69</v>
      </c>
      <c r="M46" s="21"/>
      <c r="N46" s="21" t="s">
        <v>69</v>
      </c>
      <c r="O46" s="21"/>
      <c r="P46" s="21"/>
      <c r="Q46" s="21"/>
      <c r="R46" s="21" t="s">
        <v>69</v>
      </c>
      <c r="S46" s="21"/>
      <c r="T46" s="21"/>
      <c r="U46" s="21" t="s">
        <v>69</v>
      </c>
      <c r="V46" s="22"/>
      <c r="W46" s="23" t="str">
        <f t="shared" si="6"/>
        <v>OK</v>
      </c>
    </row>
    <row r="47" spans="1:23" ht="20.100000000000001" customHeight="1" x14ac:dyDescent="0.25">
      <c r="A47" s="18" t="s">
        <v>243</v>
      </c>
      <c r="B47" s="19" t="s">
        <v>68</v>
      </c>
      <c r="C47" s="20">
        <v>5</v>
      </c>
      <c r="D47" s="20">
        <v>6</v>
      </c>
      <c r="E47" s="20">
        <f t="shared" si="5"/>
        <v>1</v>
      </c>
      <c r="F47" s="21" t="s">
        <v>69</v>
      </c>
      <c r="G47" s="21"/>
      <c r="H47" s="21"/>
      <c r="I47" s="21"/>
      <c r="J47" s="21"/>
      <c r="K47" s="21"/>
      <c r="L47" s="21" t="s">
        <v>69</v>
      </c>
      <c r="M47" s="21"/>
      <c r="N47" s="21" t="s">
        <v>69</v>
      </c>
      <c r="O47" s="21"/>
      <c r="P47" s="21"/>
      <c r="Q47" s="21"/>
      <c r="R47" s="21" t="s">
        <v>69</v>
      </c>
      <c r="S47" s="21"/>
      <c r="T47" s="21"/>
      <c r="U47" s="21" t="s">
        <v>69</v>
      </c>
      <c r="V47" s="22"/>
      <c r="W47" s="23" t="str">
        <f t="shared" si="6"/>
        <v>OK</v>
      </c>
    </row>
    <row r="48" spans="1:23" ht="20.100000000000001" customHeight="1" x14ac:dyDescent="0.25">
      <c r="A48" s="18" t="s">
        <v>243</v>
      </c>
      <c r="B48" s="19" t="s">
        <v>68</v>
      </c>
      <c r="C48" s="20">
        <v>6</v>
      </c>
      <c r="D48" s="20">
        <v>7</v>
      </c>
      <c r="E48" s="20">
        <f t="shared" si="5"/>
        <v>1</v>
      </c>
      <c r="F48" s="21" t="s">
        <v>69</v>
      </c>
      <c r="G48" s="21"/>
      <c r="H48" s="21"/>
      <c r="I48" s="21"/>
      <c r="J48" s="21"/>
      <c r="K48" s="21"/>
      <c r="L48" s="21" t="s">
        <v>69</v>
      </c>
      <c r="M48" s="21"/>
      <c r="N48" s="21" t="s">
        <v>69</v>
      </c>
      <c r="O48" s="21"/>
      <c r="P48" s="21"/>
      <c r="Q48" s="21"/>
      <c r="R48" s="21" t="s">
        <v>69</v>
      </c>
      <c r="S48" s="21"/>
      <c r="T48" s="21"/>
      <c r="U48" s="21" t="s">
        <v>69</v>
      </c>
      <c r="V48" s="22"/>
      <c r="W48" s="23" t="str">
        <f t="shared" si="6"/>
        <v>OK</v>
      </c>
    </row>
    <row r="49" spans="1:23" ht="20.100000000000001" customHeight="1" x14ac:dyDescent="0.25">
      <c r="A49" s="18" t="s">
        <v>243</v>
      </c>
      <c r="B49" s="19" t="s">
        <v>68</v>
      </c>
      <c r="C49" s="20">
        <v>7</v>
      </c>
      <c r="D49" s="20">
        <v>8</v>
      </c>
      <c r="E49" s="20">
        <f t="shared" si="5"/>
        <v>1</v>
      </c>
      <c r="F49" s="21" t="s">
        <v>69</v>
      </c>
      <c r="G49" s="21"/>
      <c r="H49" s="21"/>
      <c r="I49" s="21"/>
      <c r="J49" s="21"/>
      <c r="K49" s="21"/>
      <c r="L49" s="21" t="s">
        <v>69</v>
      </c>
      <c r="M49" s="21"/>
      <c r="N49" s="21" t="s">
        <v>69</v>
      </c>
      <c r="O49" s="21"/>
      <c r="P49" s="21"/>
      <c r="Q49" s="21"/>
      <c r="R49" s="21" t="s">
        <v>69</v>
      </c>
      <c r="S49" s="21"/>
      <c r="T49" s="21"/>
      <c r="U49" s="21" t="s">
        <v>69</v>
      </c>
      <c r="V49" s="22"/>
      <c r="W49" s="23" t="str">
        <f t="shared" si="6"/>
        <v>OK</v>
      </c>
    </row>
    <row r="50" spans="1:23" ht="20.100000000000001" customHeight="1" x14ac:dyDescent="0.25">
      <c r="A50" s="18" t="s">
        <v>243</v>
      </c>
      <c r="B50" s="19" t="s">
        <v>68</v>
      </c>
      <c r="C50" s="20">
        <v>8</v>
      </c>
      <c r="D50" s="20">
        <v>9</v>
      </c>
      <c r="E50" s="20">
        <f t="shared" si="5"/>
        <v>1</v>
      </c>
      <c r="F50" s="21" t="s">
        <v>69</v>
      </c>
      <c r="G50" s="21"/>
      <c r="H50" s="21"/>
      <c r="I50" s="21"/>
      <c r="J50" s="21"/>
      <c r="K50" s="21"/>
      <c r="L50" s="21" t="s">
        <v>69</v>
      </c>
      <c r="M50" s="21"/>
      <c r="N50" s="21" t="s">
        <v>69</v>
      </c>
      <c r="O50" s="21"/>
      <c r="P50" s="21"/>
      <c r="Q50" s="21"/>
      <c r="R50" s="21" t="s">
        <v>69</v>
      </c>
      <c r="S50" s="21"/>
      <c r="T50" s="21"/>
      <c r="U50" s="21" t="s">
        <v>69</v>
      </c>
      <c r="V50" s="22"/>
      <c r="W50" s="23" t="str">
        <f t="shared" si="6"/>
        <v>OK</v>
      </c>
    </row>
    <row r="51" spans="1:23" ht="20.100000000000001" customHeight="1" x14ac:dyDescent="0.25">
      <c r="A51" s="12" t="s">
        <v>243</v>
      </c>
      <c r="B51" s="13" t="s">
        <v>68</v>
      </c>
      <c r="C51" s="14">
        <v>9</v>
      </c>
      <c r="D51" s="14">
        <v>9.2231364993699998</v>
      </c>
      <c r="E51" s="14">
        <f t="shared" si="5"/>
        <v>0.2231364993699998</v>
      </c>
      <c r="F51" s="15" t="s">
        <v>69</v>
      </c>
      <c r="G51" s="15"/>
      <c r="H51" s="15"/>
      <c r="I51" s="15"/>
      <c r="J51" s="15"/>
      <c r="K51" s="15"/>
      <c r="L51" s="15" t="s">
        <v>69</v>
      </c>
      <c r="M51" s="15"/>
      <c r="N51" s="15" t="s">
        <v>69</v>
      </c>
      <c r="O51" s="15"/>
      <c r="P51" s="15"/>
      <c r="Q51" s="15"/>
      <c r="R51" s="15" t="s">
        <v>69</v>
      </c>
      <c r="S51" s="15"/>
      <c r="T51" s="15"/>
      <c r="U51" s="15" t="s">
        <v>69</v>
      </c>
      <c r="V51" s="16"/>
      <c r="W51" s="17" t="str">
        <f t="shared" si="6"/>
        <v>OK</v>
      </c>
    </row>
    <row r="52" spans="1:23" ht="15.95" customHeight="1" x14ac:dyDescent="0.25">
      <c r="A52" s="35" t="s">
        <v>244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4"/>
      <c r="W52" s="4"/>
    </row>
    <row r="53" spans="1:23" ht="20.100000000000001" customHeight="1" x14ac:dyDescent="0.25">
      <c r="A53" s="18" t="s">
        <v>245</v>
      </c>
      <c r="B53" s="19" t="s">
        <v>68</v>
      </c>
      <c r="C53" s="20">
        <v>0</v>
      </c>
      <c r="D53" s="20">
        <v>1</v>
      </c>
      <c r="E53" s="20">
        <f t="shared" ref="E53:E58" si="7">D53-C53</f>
        <v>1</v>
      </c>
      <c r="F53" s="21" t="s">
        <v>69</v>
      </c>
      <c r="G53" s="21"/>
      <c r="H53" s="21"/>
      <c r="I53" s="21"/>
      <c r="J53" s="21"/>
      <c r="K53" s="21"/>
      <c r="L53" s="21" t="s">
        <v>69</v>
      </c>
      <c r="M53" s="21"/>
      <c r="N53" s="21" t="s">
        <v>69</v>
      </c>
      <c r="O53" s="21"/>
      <c r="P53" s="21"/>
      <c r="Q53" s="21"/>
      <c r="R53" s="21" t="s">
        <v>69</v>
      </c>
      <c r="S53" s="21"/>
      <c r="T53" s="21"/>
      <c r="U53" s="21" t="s">
        <v>69</v>
      </c>
      <c r="V53" s="22"/>
      <c r="W53" s="23" t="str">
        <f t="shared" ref="W53:W58" si="8">IF(COUNTA(F53:U53)=0,"— não preenchido",IF(COUNTIF(F53:J53,"X")&lt;&gt;1,"FALTA/DUPLA: CONDIÇÃO DO PAVIMENTO",IF(COUNTIF(K53:L53,"X")&lt;&gt;1,"FALTA/DUPLA: VEGETAÇÃO",IF(COUNTIF(M53:O53,"X")&lt;&gt;1,"FALTA/DUPLA: ELEM. DE DRENAGEM",IF(COUNTIF(P53:R53,"X")&lt;&gt;1,"FALTA/DUPLA: SIN. HORIZ.",IF(COUNTIF(S53:U53,"X")&lt;&gt;1,"FALTA/DUPLA: SIN. VERTICAL","OK"))))))</f>
        <v>OK</v>
      </c>
    </row>
    <row r="54" spans="1:23" ht="20.100000000000001" customHeight="1" x14ac:dyDescent="0.25">
      <c r="A54" s="18" t="s">
        <v>245</v>
      </c>
      <c r="B54" s="19" t="s">
        <v>68</v>
      </c>
      <c r="C54" s="20">
        <v>1</v>
      </c>
      <c r="D54" s="20">
        <v>2</v>
      </c>
      <c r="E54" s="20">
        <f t="shared" si="7"/>
        <v>1</v>
      </c>
      <c r="F54" s="21" t="s">
        <v>69</v>
      </c>
      <c r="G54" s="21"/>
      <c r="H54" s="21"/>
      <c r="I54" s="21"/>
      <c r="J54" s="21"/>
      <c r="K54" s="21"/>
      <c r="L54" s="21" t="s">
        <v>69</v>
      </c>
      <c r="M54" s="21"/>
      <c r="N54" s="21" t="s">
        <v>69</v>
      </c>
      <c r="O54" s="21"/>
      <c r="P54" s="21"/>
      <c r="Q54" s="21"/>
      <c r="R54" s="21" t="s">
        <v>69</v>
      </c>
      <c r="S54" s="21"/>
      <c r="T54" s="21"/>
      <c r="U54" s="21" t="s">
        <v>69</v>
      </c>
      <c r="V54" s="22"/>
      <c r="W54" s="23" t="str">
        <f t="shared" si="8"/>
        <v>OK</v>
      </c>
    </row>
    <row r="55" spans="1:23" ht="20.100000000000001" customHeight="1" x14ac:dyDescent="0.25">
      <c r="A55" s="18" t="s">
        <v>245</v>
      </c>
      <c r="B55" s="19" t="s">
        <v>68</v>
      </c>
      <c r="C55" s="20">
        <v>2</v>
      </c>
      <c r="D55" s="20">
        <v>3</v>
      </c>
      <c r="E55" s="20">
        <f t="shared" si="7"/>
        <v>1</v>
      </c>
      <c r="F55" s="21" t="s">
        <v>69</v>
      </c>
      <c r="G55" s="21"/>
      <c r="H55" s="21"/>
      <c r="I55" s="21"/>
      <c r="J55" s="21"/>
      <c r="K55" s="21"/>
      <c r="L55" s="21" t="s">
        <v>69</v>
      </c>
      <c r="M55" s="21"/>
      <c r="N55" s="21" t="s">
        <v>69</v>
      </c>
      <c r="O55" s="21"/>
      <c r="P55" s="21"/>
      <c r="Q55" s="21"/>
      <c r="R55" s="21" t="s">
        <v>69</v>
      </c>
      <c r="S55" s="21"/>
      <c r="T55" s="21"/>
      <c r="U55" s="21" t="s">
        <v>69</v>
      </c>
      <c r="V55" s="22"/>
      <c r="W55" s="23" t="str">
        <f t="shared" si="8"/>
        <v>OK</v>
      </c>
    </row>
    <row r="56" spans="1:23" ht="20.100000000000001" customHeight="1" x14ac:dyDescent="0.25">
      <c r="A56" s="18" t="s">
        <v>245</v>
      </c>
      <c r="B56" s="19" t="s">
        <v>68</v>
      </c>
      <c r="C56" s="20">
        <v>3</v>
      </c>
      <c r="D56" s="20">
        <v>4</v>
      </c>
      <c r="E56" s="20">
        <f t="shared" si="7"/>
        <v>1</v>
      </c>
      <c r="F56" s="21" t="s">
        <v>69</v>
      </c>
      <c r="G56" s="21"/>
      <c r="H56" s="21"/>
      <c r="I56" s="21"/>
      <c r="J56" s="21"/>
      <c r="K56" s="21"/>
      <c r="L56" s="21" t="s">
        <v>69</v>
      </c>
      <c r="M56" s="21"/>
      <c r="N56" s="21" t="s">
        <v>69</v>
      </c>
      <c r="O56" s="21"/>
      <c r="P56" s="21"/>
      <c r="Q56" s="21"/>
      <c r="R56" s="21" t="s">
        <v>69</v>
      </c>
      <c r="S56" s="21"/>
      <c r="T56" s="21"/>
      <c r="U56" s="21" t="s">
        <v>69</v>
      </c>
      <c r="V56" s="22"/>
      <c r="W56" s="23" t="str">
        <f t="shared" si="8"/>
        <v>OK</v>
      </c>
    </row>
    <row r="57" spans="1:23" ht="20.100000000000001" customHeight="1" x14ac:dyDescent="0.25">
      <c r="A57" s="18" t="s">
        <v>245</v>
      </c>
      <c r="B57" s="19" t="s">
        <v>68</v>
      </c>
      <c r="C57" s="20">
        <v>4</v>
      </c>
      <c r="D57" s="20">
        <v>5</v>
      </c>
      <c r="E57" s="20">
        <f t="shared" si="7"/>
        <v>1</v>
      </c>
      <c r="F57" s="21" t="s">
        <v>69</v>
      </c>
      <c r="G57" s="21"/>
      <c r="H57" s="21"/>
      <c r="I57" s="21"/>
      <c r="J57" s="21"/>
      <c r="K57" s="21"/>
      <c r="L57" s="21" t="s">
        <v>69</v>
      </c>
      <c r="M57" s="21"/>
      <c r="N57" s="21" t="s">
        <v>69</v>
      </c>
      <c r="O57" s="21"/>
      <c r="P57" s="21"/>
      <c r="Q57" s="21"/>
      <c r="R57" s="21" t="s">
        <v>69</v>
      </c>
      <c r="S57" s="21"/>
      <c r="T57" s="21"/>
      <c r="U57" s="21" t="s">
        <v>69</v>
      </c>
      <c r="V57" s="22"/>
      <c r="W57" s="23" t="str">
        <f t="shared" si="8"/>
        <v>OK</v>
      </c>
    </row>
    <row r="58" spans="1:23" ht="20.100000000000001" customHeight="1" x14ac:dyDescent="0.25">
      <c r="A58" s="12" t="s">
        <v>245</v>
      </c>
      <c r="B58" s="13" t="s">
        <v>68</v>
      </c>
      <c r="C58" s="14">
        <v>5</v>
      </c>
      <c r="D58" s="14">
        <v>5.2172738370099996</v>
      </c>
      <c r="E58" s="14">
        <f t="shared" si="7"/>
        <v>0.21727383700999958</v>
      </c>
      <c r="F58" s="15" t="s">
        <v>69</v>
      </c>
      <c r="G58" s="15"/>
      <c r="H58" s="15"/>
      <c r="I58" s="15"/>
      <c r="J58" s="15"/>
      <c r="K58" s="15"/>
      <c r="L58" s="15" t="s">
        <v>69</v>
      </c>
      <c r="M58" s="15"/>
      <c r="N58" s="15" t="s">
        <v>69</v>
      </c>
      <c r="O58" s="15"/>
      <c r="P58" s="15"/>
      <c r="Q58" s="15"/>
      <c r="R58" s="15" t="s">
        <v>69</v>
      </c>
      <c r="S58" s="15"/>
      <c r="T58" s="15"/>
      <c r="U58" s="15" t="s">
        <v>69</v>
      </c>
      <c r="V58" s="16"/>
      <c r="W58" s="17" t="str">
        <f t="shared" si="8"/>
        <v>OK</v>
      </c>
    </row>
    <row r="60" spans="1:23" x14ac:dyDescent="0.25">
      <c r="A60" s="40" t="s">
        <v>78</v>
      </c>
      <c r="B60" s="28"/>
      <c r="C60" s="28"/>
      <c r="D60" s="28"/>
      <c r="E60" s="28"/>
      <c r="G60" s="40" t="s">
        <v>78</v>
      </c>
      <c r="H60" s="28"/>
      <c r="I60" s="28"/>
      <c r="J60" s="28"/>
      <c r="K60" s="28"/>
    </row>
    <row r="61" spans="1:23" x14ac:dyDescent="0.25">
      <c r="A61" s="44" t="s">
        <v>79</v>
      </c>
      <c r="B61" s="28"/>
      <c r="C61" s="28"/>
      <c r="D61" s="28"/>
      <c r="E61" s="28"/>
      <c r="G61" s="44" t="s">
        <v>80</v>
      </c>
      <c r="H61" s="28"/>
      <c r="I61" s="28"/>
      <c r="J61" s="28"/>
      <c r="K61" s="28"/>
    </row>
    <row r="63" spans="1:23" x14ac:dyDescent="0.25">
      <c r="A63" s="41" t="s">
        <v>81</v>
      </c>
      <c r="B63" s="28"/>
      <c r="C63" s="28"/>
      <c r="D63" s="28"/>
      <c r="E63" s="28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</row>
    <row r="64" spans="1:23" x14ac:dyDescent="0.25">
      <c r="A64" s="43" t="s">
        <v>82</v>
      </c>
      <c r="B64" s="28"/>
      <c r="C64" s="28"/>
      <c r="D64" s="28"/>
      <c r="E64" s="28"/>
      <c r="F64" s="9">
        <f t="shared" ref="F64:U64" si="9">SUMIF(F$9:F$58,"X",$E$9:$E$58)</f>
        <v>39.484898299180003</v>
      </c>
      <c r="G64" s="9">
        <f t="shared" si="9"/>
        <v>3.6195886233099999</v>
      </c>
      <c r="H64" s="9">
        <f t="shared" si="9"/>
        <v>0</v>
      </c>
      <c r="I64" s="9">
        <f t="shared" si="9"/>
        <v>0</v>
      </c>
      <c r="J64" s="9">
        <f t="shared" si="9"/>
        <v>0</v>
      </c>
      <c r="K64" s="9">
        <f t="shared" si="9"/>
        <v>0</v>
      </c>
      <c r="L64" s="9">
        <f t="shared" si="9"/>
        <v>43.104486922489997</v>
      </c>
      <c r="M64" s="9">
        <f t="shared" si="9"/>
        <v>0</v>
      </c>
      <c r="N64" s="9">
        <f t="shared" si="9"/>
        <v>43.104486922489997</v>
      </c>
      <c r="O64" s="9">
        <f t="shared" si="9"/>
        <v>0</v>
      </c>
      <c r="P64" s="9">
        <f t="shared" si="9"/>
        <v>8.6195886233099994</v>
      </c>
      <c r="Q64" s="9">
        <f t="shared" si="9"/>
        <v>0</v>
      </c>
      <c r="R64" s="9">
        <f t="shared" si="9"/>
        <v>34.484898299180003</v>
      </c>
      <c r="S64" s="9">
        <f t="shared" si="9"/>
        <v>8.6195886233099994</v>
      </c>
      <c r="T64" s="9">
        <f t="shared" si="9"/>
        <v>0</v>
      </c>
      <c r="U64" s="9">
        <f t="shared" si="9"/>
        <v>34.484898299180003</v>
      </c>
    </row>
    <row r="65" spans="1:22" x14ac:dyDescent="0.25">
      <c r="A65" s="43" t="s">
        <v>83</v>
      </c>
      <c r="B65" s="28"/>
      <c r="C65" s="28"/>
      <c r="D65" s="28"/>
      <c r="E65" s="28"/>
      <c r="F65" s="25">
        <f t="shared" ref="F65:U65" si="10">IF($R67=0,0,F64/$R67)</f>
        <v>0.91602756738947622</v>
      </c>
      <c r="G65" s="25">
        <f t="shared" si="10"/>
        <v>8.3972432610523895E-2</v>
      </c>
      <c r="H65" s="25">
        <f t="shared" si="10"/>
        <v>0</v>
      </c>
      <c r="I65" s="25">
        <f t="shared" si="10"/>
        <v>0</v>
      </c>
      <c r="J65" s="25">
        <f t="shared" si="10"/>
        <v>0</v>
      </c>
      <c r="K65" s="25">
        <f t="shared" si="10"/>
        <v>0</v>
      </c>
      <c r="L65" s="25">
        <f t="shared" si="10"/>
        <v>1</v>
      </c>
      <c r="M65" s="25">
        <f t="shared" si="10"/>
        <v>0</v>
      </c>
      <c r="N65" s="25">
        <f t="shared" si="10"/>
        <v>1</v>
      </c>
      <c r="O65" s="25">
        <f t="shared" si="10"/>
        <v>0</v>
      </c>
      <c r="P65" s="25">
        <f t="shared" si="10"/>
        <v>0.19996963747207214</v>
      </c>
      <c r="Q65" s="25">
        <f t="shared" si="10"/>
        <v>0</v>
      </c>
      <c r="R65" s="25">
        <f t="shared" si="10"/>
        <v>0.80003036252792803</v>
      </c>
      <c r="S65" s="25">
        <f t="shared" si="10"/>
        <v>0.19996963747207214</v>
      </c>
      <c r="T65" s="25">
        <f t="shared" si="10"/>
        <v>0</v>
      </c>
      <c r="U65" s="25">
        <f t="shared" si="10"/>
        <v>0.80003036252792803</v>
      </c>
    </row>
    <row r="66" spans="1:22" x14ac:dyDescent="0.25">
      <c r="A66" s="43" t="s">
        <v>84</v>
      </c>
      <c r="B66" s="28"/>
      <c r="C66" s="28"/>
      <c r="D66" s="28"/>
      <c r="E66" s="28"/>
      <c r="F66" s="42" t="str">
        <f>IF(SUM(F64:J64)=0,"— não preenchido",IF(ROUND(SUM(F64:J64)-$R67,3)=0,"OK — "&amp;ROUND(SUM(F64:J64),3)&amp;" km","ERRO — dif. de "&amp;ROUND(SUM(F64:J64)-$R67,3)&amp;" km"))</f>
        <v>OK — 43,104 km</v>
      </c>
      <c r="G66" s="33"/>
      <c r="H66" s="33"/>
      <c r="I66" s="33"/>
      <c r="J66" s="34"/>
      <c r="K66" s="42" t="str">
        <f>IF(SUM(K64:L64)=0,"— não preenchido",IF(ROUND(SUM(K64:L64)-$R67,3)=0,"OK — "&amp;ROUND(SUM(K64:L64),3)&amp;" km","ERRO — dif. de "&amp;ROUND(SUM(K64:L64)-$R67,3)&amp;" km"))</f>
        <v>OK — 43,104 km</v>
      </c>
      <c r="L66" s="34"/>
      <c r="M66" s="42" t="str">
        <f>IF(SUM(M64:O64)=0,"— não preenchido",IF(ROUND(SUM(M64:O64)-$R67,3)=0,"OK — "&amp;ROUND(SUM(M64:O64),3)&amp;" km","ERRO — dif. de "&amp;ROUND(SUM(M64:O64)-$R67,3)&amp;" km"))</f>
        <v>OK — 43,104 km</v>
      </c>
      <c r="N66" s="33"/>
      <c r="O66" s="34"/>
      <c r="P66" s="42" t="str">
        <f>IF(SUM(P64:R64)=0,"— não preenchido",IF(ROUND(SUM(P64:R64)-$R67,3)=0,"OK — "&amp;ROUND(SUM(P64:R64),3)&amp;" km","ERRO — dif. de "&amp;ROUND(SUM(P64:R64)-$R67,3)&amp;" km"))</f>
        <v>OK — 43,104 km</v>
      </c>
      <c r="Q66" s="33"/>
      <c r="R66" s="34"/>
      <c r="S66" s="42" t="str">
        <f>IF(SUM(S64:U64)=0,"— não preenchido",IF(ROUND(SUM(S64:U64)-$R67,3)=0,"OK — "&amp;ROUND(SUM(S64:U64),3)&amp;" km","ERRO — dif. de "&amp;ROUND(SUM(S64:U64)-$R67,3)&amp;" km"))</f>
        <v>OK — 43,104 km</v>
      </c>
      <c r="T66" s="33"/>
      <c r="U66" s="34"/>
    </row>
    <row r="67" spans="1:22" x14ac:dyDescent="0.25">
      <c r="A67" s="43" t="s">
        <v>85</v>
      </c>
      <c r="B67" s="28"/>
      <c r="C67" s="28"/>
      <c r="D67" s="28"/>
      <c r="E67" s="28"/>
      <c r="R67" s="26">
        <f>SUM(E9:E58)</f>
        <v>43.104486922489997</v>
      </c>
      <c r="V67" s="8" t="str">
        <f>COUNTIF(W9:W58,"OK")&amp;" de "&amp;COUNT($E$9:$E$58)&amp;" linhas conferidas"</f>
        <v>46 de 46 linhas conferidas</v>
      </c>
    </row>
    <row r="69" spans="1:22" x14ac:dyDescent="0.25">
      <c r="A69" s="37" t="s">
        <v>86</v>
      </c>
      <c r="B69" s="28"/>
      <c r="C69" s="28"/>
      <c r="D69" s="28"/>
      <c r="E69" s="28"/>
    </row>
    <row r="70" spans="1:22" x14ac:dyDescent="0.25">
      <c r="A70" s="43" t="s">
        <v>87</v>
      </c>
      <c r="B70" s="28"/>
      <c r="C70" s="28"/>
      <c r="D70" s="28"/>
      <c r="E70" s="31" t="s">
        <v>88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43" t="s">
        <v>89</v>
      </c>
      <c r="B71" s="28"/>
      <c r="C71" s="28"/>
      <c r="D71" s="28"/>
      <c r="E71" s="31" t="s">
        <v>90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43" t="s">
        <v>91</v>
      </c>
      <c r="B72" s="28"/>
      <c r="C72" s="28"/>
      <c r="D72" s="28"/>
      <c r="E72" s="31" t="s">
        <v>92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43" t="s">
        <v>93</v>
      </c>
      <c r="B73" s="28"/>
      <c r="C73" s="28"/>
      <c r="D73" s="28"/>
      <c r="E73" s="31" t="s">
        <v>94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43" t="s">
        <v>95</v>
      </c>
      <c r="B74" s="28"/>
      <c r="C74" s="28"/>
      <c r="D74" s="28"/>
      <c r="E74" s="31" t="s">
        <v>96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43" t="s">
        <v>60</v>
      </c>
      <c r="B75" s="28"/>
      <c r="C75" s="28"/>
      <c r="D75" s="28"/>
      <c r="E75" s="31" t="s">
        <v>97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43" t="s">
        <v>98</v>
      </c>
      <c r="B76" s="28"/>
      <c r="C76" s="28"/>
      <c r="D76" s="28"/>
      <c r="E76" s="31" t="s">
        <v>99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43" t="s">
        <v>100</v>
      </c>
      <c r="B77" s="28"/>
      <c r="C77" s="28"/>
      <c r="D77" s="28"/>
      <c r="E77" s="31" t="s">
        <v>101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x14ac:dyDescent="0.25">
      <c r="A78" s="43" t="s">
        <v>11</v>
      </c>
      <c r="B78" s="28"/>
      <c r="C78" s="28"/>
      <c r="D78" s="28"/>
      <c r="E78" s="31" t="s">
        <v>102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</sheetData>
  <sheetProtection sheet="1" formatCells="0"/>
  <mergeCells count="61">
    <mergeCell ref="A1:V1"/>
    <mergeCell ref="M66:O66"/>
    <mergeCell ref="A78:D78"/>
    <mergeCell ref="E75:V75"/>
    <mergeCell ref="T3:V3"/>
    <mergeCell ref="A75:D75"/>
    <mergeCell ref="A41:V41"/>
    <mergeCell ref="A74:D74"/>
    <mergeCell ref="E71:V71"/>
    <mergeCell ref="K66:L66"/>
    <mergeCell ref="A63:E63"/>
    <mergeCell ref="R2:V2"/>
    <mergeCell ref="A3:S3"/>
    <mergeCell ref="A76:D76"/>
    <mergeCell ref="C6:C7"/>
    <mergeCell ref="A71:D71"/>
    <mergeCell ref="W6:W7"/>
    <mergeCell ref="E6:E7"/>
    <mergeCell ref="A73:D73"/>
    <mergeCell ref="A66:E66"/>
    <mergeCell ref="E70:V70"/>
    <mergeCell ref="B6:B7"/>
    <mergeCell ref="A34:V34"/>
    <mergeCell ref="F66:J66"/>
    <mergeCell ref="A70:D70"/>
    <mergeCell ref="E72:V72"/>
    <mergeCell ref="K6:L6"/>
    <mergeCell ref="D6:D7"/>
    <mergeCell ref="G60:K60"/>
    <mergeCell ref="P6:R6"/>
    <mergeCell ref="A67:E67"/>
    <mergeCell ref="S66:U66"/>
    <mergeCell ref="E78:V78"/>
    <mergeCell ref="G61:K61"/>
    <mergeCell ref="A4:V4"/>
    <mergeCell ref="V6:V7"/>
    <mergeCell ref="M6:O6"/>
    <mergeCell ref="S6:U6"/>
    <mergeCell ref="A52:V52"/>
    <mergeCell ref="A65:E65"/>
    <mergeCell ref="A69:E69"/>
    <mergeCell ref="A13:V13"/>
    <mergeCell ref="E74:V74"/>
    <mergeCell ref="A77:D77"/>
    <mergeCell ref="E77:V77"/>
    <mergeCell ref="P66:R66"/>
    <mergeCell ref="E76:V76"/>
    <mergeCell ref="E73:V73"/>
    <mergeCell ref="A72:D72"/>
    <mergeCell ref="A6:A7"/>
    <mergeCell ref="A61:E61"/>
    <mergeCell ref="F6:J6"/>
    <mergeCell ref="A2:F2"/>
    <mergeCell ref="G2:H2"/>
    <mergeCell ref="A64:E64"/>
    <mergeCell ref="I2:J2"/>
    <mergeCell ref="A60:E60"/>
    <mergeCell ref="A8:V8"/>
    <mergeCell ref="K2:M2"/>
    <mergeCell ref="N2:O2"/>
    <mergeCell ref="P2:Q2"/>
  </mergeCells>
  <conditionalFormatting sqref="F9:J58">
    <cfRule type="expression" dxfId="98" priority="1">
      <formula>AND(F9&lt;&gt;"",COUNTIF($F9:$J9,"X")&gt;1)</formula>
    </cfRule>
  </conditionalFormatting>
  <conditionalFormatting sqref="F66:U66">
    <cfRule type="expression" dxfId="97" priority="8">
      <formula>LEFT(F66,4)="ERRO"</formula>
    </cfRule>
    <cfRule type="expression" dxfId="96" priority="9">
      <formula>LEFT(F66,2)="OK"</formula>
    </cfRule>
  </conditionalFormatting>
  <conditionalFormatting sqref="K9:L58">
    <cfRule type="expression" dxfId="95" priority="2">
      <formula>AND(K9&lt;&gt;"",COUNTIF($K9:$L9,"X")&gt;1)</formula>
    </cfRule>
  </conditionalFormatting>
  <conditionalFormatting sqref="M9:O58">
    <cfRule type="expression" dxfId="94" priority="3">
      <formula>AND(M9&lt;&gt;"",COUNTIF($M9:$O9,"X")&gt;1)</formula>
    </cfRule>
  </conditionalFormatting>
  <conditionalFormatting sqref="P9:R58">
    <cfRule type="expression" dxfId="93" priority="4">
      <formula>AND(P9&lt;&gt;"",COUNTIF($P9:$R9,"X")&gt;1)</formula>
    </cfRule>
  </conditionalFormatting>
  <conditionalFormatting sqref="S9:U58">
    <cfRule type="expression" dxfId="92" priority="5">
      <formula>AND(S9&lt;&gt;"",COUNTIF($S9:$U9,"X")&gt;1)</formula>
    </cfRule>
  </conditionalFormatting>
  <conditionalFormatting sqref="W9:W58">
    <cfRule type="expression" dxfId="91" priority="6">
      <formula>AND(W9&lt;&gt;"OK",W9&lt;&gt;"")</formula>
    </cfRule>
    <cfRule type="expression" dxfId="9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8" xr:uid="{00000000-0002-0000-1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8" xr:uid="{00000000-0002-0000-1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8" xr:uid="{00000000-0002-0000-1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8" xr:uid="{00000000-0002-0000-1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8" xr:uid="{00000000-0002-0000-1200-000004000000}">
      <formula1>AND(UPPER(S9)="X",COUNTIF($S9:$U9,"X")&lt;=1)</formula1>
    </dataValidation>
    <dataValidation type="list" showErrorMessage="1" errorTitle="Sentido inválido" error="Use C (crescente) ou D (decrescente)." sqref="B9:B58" xr:uid="{00000000-0002-0000-1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19</oddHeader>
    <oddFooter>&amp;L&amp;7 RTA / MSI — Programa de Manutenção Rodoviária&amp;C&amp;7 Página &amp;P de &amp;N&amp;R&amp;7 Impresso em &amp;D</oddFooter>
  </headerFooter>
  <rowBreaks count="1" manualBreakCount="1">
    <brk id="61" max="16383" man="1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  <pageSetUpPr fitToPage="1"/>
  </sheetPr>
  <dimension ref="A1:AN57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IF(F43=0,NA(),F43)</f>
        <v>16.1849724954</v>
      </c>
      <c r="Z2" s="2">
        <f t="shared" si="0"/>
        <v>6.3453044624999997</v>
      </c>
      <c r="AA2" s="2" t="e">
        <f t="shared" si="0"/>
        <v>#N/A</v>
      </c>
      <c r="AB2" s="2">
        <f t="shared" si="0"/>
        <v>2</v>
      </c>
      <c r="AC2" s="2">
        <f t="shared" si="0"/>
        <v>2</v>
      </c>
      <c r="AD2" s="2" t="e">
        <f t="shared" si="0"/>
        <v>#N/A</v>
      </c>
      <c r="AE2" s="2">
        <f t="shared" si="0"/>
        <v>26.5302769579</v>
      </c>
      <c r="AF2" s="2" t="e">
        <f t="shared" si="0"/>
        <v>#N/A</v>
      </c>
      <c r="AG2" s="2">
        <f t="shared" si="0"/>
        <v>24.5302769579</v>
      </c>
      <c r="AH2" s="2">
        <f t="shared" si="0"/>
        <v>2</v>
      </c>
      <c r="AI2" s="2" t="e">
        <f t="shared" si="0"/>
        <v>#N/A</v>
      </c>
      <c r="AJ2" s="2" t="e">
        <f t="shared" si="0"/>
        <v>#N/A</v>
      </c>
      <c r="AK2" s="2">
        <f t="shared" si="0"/>
        <v>26.5302769579</v>
      </c>
      <c r="AL2" s="2" t="e">
        <f t="shared" si="0"/>
        <v>#N/A</v>
      </c>
      <c r="AM2" s="2" t="e">
        <f t="shared" si="0"/>
        <v>#N/A</v>
      </c>
      <c r="AN2" s="2">
        <f t="shared" si="0"/>
        <v>26.5302769579</v>
      </c>
    </row>
    <row r="3" spans="1:40" ht="15" customHeight="1" x14ac:dyDescent="0.25">
      <c r="A3" s="49" t="s">
        <v>246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247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248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249</v>
      </c>
      <c r="B9" s="19" t="s">
        <v>68</v>
      </c>
      <c r="C9" s="20">
        <v>0</v>
      </c>
      <c r="D9" s="20">
        <v>1</v>
      </c>
      <c r="E9" s="20">
        <f>D9-C9</f>
        <v>1</v>
      </c>
      <c r="F9" s="21"/>
      <c r="G9" s="21" t="s">
        <v>69</v>
      </c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/>
      <c r="Q9" s="21"/>
      <c r="R9" s="21" t="s">
        <v>69</v>
      </c>
      <c r="S9" s="21"/>
      <c r="T9" s="21"/>
      <c r="U9" s="21" t="s">
        <v>69</v>
      </c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249</v>
      </c>
      <c r="B10" s="13" t="s">
        <v>68</v>
      </c>
      <c r="C10" s="14">
        <v>1</v>
      </c>
      <c r="D10" s="14">
        <v>1.3453044624999999</v>
      </c>
      <c r="E10" s="14">
        <f>D10-C10</f>
        <v>0.34530446249999991</v>
      </c>
      <c r="F10" s="15"/>
      <c r="G10" s="15" t="s">
        <v>69</v>
      </c>
      <c r="H10" s="15"/>
      <c r="I10" s="15"/>
      <c r="J10" s="15"/>
      <c r="K10" s="15"/>
      <c r="L10" s="15" t="s">
        <v>69</v>
      </c>
      <c r="M10" s="15"/>
      <c r="N10" s="15" t="s">
        <v>69</v>
      </c>
      <c r="O10" s="15"/>
      <c r="P10" s="15"/>
      <c r="Q10" s="15"/>
      <c r="R10" s="15" t="s">
        <v>69</v>
      </c>
      <c r="S10" s="15"/>
      <c r="T10" s="15"/>
      <c r="U10" s="15" t="s">
        <v>69</v>
      </c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35" t="s">
        <v>250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4"/>
      <c r="W11" s="4"/>
    </row>
    <row r="12" spans="1:40" ht="20.100000000000001" customHeight="1" x14ac:dyDescent="0.25">
      <c r="A12" s="18" t="s">
        <v>251</v>
      </c>
      <c r="B12" s="19" t="s">
        <v>68</v>
      </c>
      <c r="C12" s="20">
        <v>0</v>
      </c>
      <c r="D12" s="20">
        <v>1</v>
      </c>
      <c r="E12" s="20">
        <f t="shared" ref="E12:E37" si="1">D12-C12</f>
        <v>1</v>
      </c>
      <c r="F12" s="21"/>
      <c r="G12" s="21" t="s">
        <v>69</v>
      </c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/>
      <c r="Q12" s="21"/>
      <c r="R12" s="21" t="s">
        <v>69</v>
      </c>
      <c r="S12" s="21"/>
      <c r="T12" s="21"/>
      <c r="U12" s="21" t="s">
        <v>69</v>
      </c>
      <c r="V12" s="22"/>
      <c r="W12" s="23" t="str">
        <f t="shared" ref="W12:W37" si="2"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8" t="s">
        <v>251</v>
      </c>
      <c r="B13" s="19" t="s">
        <v>68</v>
      </c>
      <c r="C13" s="20">
        <v>1</v>
      </c>
      <c r="D13" s="20">
        <v>2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/>
      <c r="Q13" s="21"/>
      <c r="R13" s="21" t="s">
        <v>69</v>
      </c>
      <c r="S13" s="21"/>
      <c r="T13" s="21"/>
      <c r="U13" s="21" t="s">
        <v>69</v>
      </c>
      <c r="V13" s="22"/>
      <c r="W13" s="23" t="str">
        <f t="shared" si="2"/>
        <v>OK</v>
      </c>
    </row>
    <row r="14" spans="1:40" ht="20.100000000000001" customHeight="1" x14ac:dyDescent="0.25">
      <c r="A14" s="18" t="s">
        <v>251</v>
      </c>
      <c r="B14" s="19" t="s">
        <v>68</v>
      </c>
      <c r="C14" s="20">
        <v>2</v>
      </c>
      <c r="D14" s="20">
        <v>3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/>
      <c r="Q14" s="21"/>
      <c r="R14" s="21" t="s">
        <v>69</v>
      </c>
      <c r="S14" s="21"/>
      <c r="T14" s="21"/>
      <c r="U14" s="21" t="s">
        <v>69</v>
      </c>
      <c r="V14" s="22"/>
      <c r="W14" s="23" t="str">
        <f t="shared" si="2"/>
        <v>OK</v>
      </c>
    </row>
    <row r="15" spans="1:40" ht="20.100000000000001" customHeight="1" x14ac:dyDescent="0.25">
      <c r="A15" s="18" t="s">
        <v>251</v>
      </c>
      <c r="B15" s="19" t="s">
        <v>68</v>
      </c>
      <c r="C15" s="20">
        <v>3</v>
      </c>
      <c r="D15" s="20">
        <v>4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/>
      <c r="Q15" s="21"/>
      <c r="R15" s="21" t="s">
        <v>69</v>
      </c>
      <c r="S15" s="21"/>
      <c r="T15" s="21"/>
      <c r="U15" s="21" t="s">
        <v>69</v>
      </c>
      <c r="V15" s="22"/>
      <c r="W15" s="23" t="str">
        <f t="shared" si="2"/>
        <v>OK</v>
      </c>
    </row>
    <row r="16" spans="1:40" ht="20.100000000000001" customHeight="1" x14ac:dyDescent="0.25">
      <c r="A16" s="18" t="s">
        <v>251</v>
      </c>
      <c r="B16" s="19" t="s">
        <v>68</v>
      </c>
      <c r="C16" s="20">
        <v>4</v>
      </c>
      <c r="D16" s="20">
        <v>5</v>
      </c>
      <c r="E16" s="20">
        <f t="shared" si="1"/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/>
      <c r="Q16" s="21"/>
      <c r="R16" s="21" t="s">
        <v>69</v>
      </c>
      <c r="S16" s="21"/>
      <c r="T16" s="21"/>
      <c r="U16" s="21" t="s">
        <v>69</v>
      </c>
      <c r="V16" s="22"/>
      <c r="W16" s="23" t="str">
        <f t="shared" si="2"/>
        <v>OK</v>
      </c>
    </row>
    <row r="17" spans="1:23" ht="20.100000000000001" customHeight="1" x14ac:dyDescent="0.25">
      <c r="A17" s="18" t="s">
        <v>251</v>
      </c>
      <c r="B17" s="19" t="s">
        <v>68</v>
      </c>
      <c r="C17" s="20">
        <v>5</v>
      </c>
      <c r="D17" s="20">
        <v>6</v>
      </c>
      <c r="E17" s="20">
        <f t="shared" si="1"/>
        <v>1</v>
      </c>
      <c r="F17" s="21"/>
      <c r="G17" s="21" t="s">
        <v>69</v>
      </c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/>
      <c r="Q17" s="21"/>
      <c r="R17" s="21" t="s">
        <v>69</v>
      </c>
      <c r="S17" s="21"/>
      <c r="T17" s="21"/>
      <c r="U17" s="21" t="s">
        <v>69</v>
      </c>
      <c r="V17" s="22"/>
      <c r="W17" s="23" t="str">
        <f t="shared" si="2"/>
        <v>OK</v>
      </c>
    </row>
    <row r="18" spans="1:23" ht="20.100000000000001" customHeight="1" x14ac:dyDescent="0.25">
      <c r="A18" s="18" t="s">
        <v>251</v>
      </c>
      <c r="B18" s="19" t="s">
        <v>68</v>
      </c>
      <c r="C18" s="20">
        <v>6</v>
      </c>
      <c r="D18" s="20">
        <v>7</v>
      </c>
      <c r="E18" s="20">
        <f t="shared" si="1"/>
        <v>1</v>
      </c>
      <c r="F18" s="21"/>
      <c r="G18" s="21" t="s">
        <v>69</v>
      </c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/>
      <c r="Q18" s="21"/>
      <c r="R18" s="21" t="s">
        <v>69</v>
      </c>
      <c r="S18" s="21"/>
      <c r="T18" s="21"/>
      <c r="U18" s="21" t="s">
        <v>69</v>
      </c>
      <c r="V18" s="22"/>
      <c r="W18" s="23" t="str">
        <f t="shared" si="2"/>
        <v>OK</v>
      </c>
    </row>
    <row r="19" spans="1:23" ht="20.100000000000001" customHeight="1" x14ac:dyDescent="0.25">
      <c r="A19" s="18" t="s">
        <v>251</v>
      </c>
      <c r="B19" s="19" t="s">
        <v>68</v>
      </c>
      <c r="C19" s="20">
        <v>7</v>
      </c>
      <c r="D19" s="20">
        <v>8</v>
      </c>
      <c r="E19" s="20">
        <f t="shared" si="1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/>
      <c r="N19" s="21" t="s">
        <v>69</v>
      </c>
      <c r="O19" s="21"/>
      <c r="P19" s="21"/>
      <c r="Q19" s="21"/>
      <c r="R19" s="21" t="s">
        <v>69</v>
      </c>
      <c r="S19" s="21"/>
      <c r="T19" s="21"/>
      <c r="U19" s="21" t="s">
        <v>69</v>
      </c>
      <c r="V19" s="22"/>
      <c r="W19" s="23" t="str">
        <f t="shared" si="2"/>
        <v>OK</v>
      </c>
    </row>
    <row r="20" spans="1:23" ht="20.100000000000001" customHeight="1" x14ac:dyDescent="0.25">
      <c r="A20" s="18" t="s">
        <v>251</v>
      </c>
      <c r="B20" s="19" t="s">
        <v>68</v>
      </c>
      <c r="C20" s="20">
        <v>8</v>
      </c>
      <c r="D20" s="20">
        <v>9</v>
      </c>
      <c r="E20" s="20">
        <f t="shared" si="1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/>
      <c r="Q20" s="21"/>
      <c r="R20" s="21" t="s">
        <v>69</v>
      </c>
      <c r="S20" s="21"/>
      <c r="T20" s="21"/>
      <c r="U20" s="21" t="s">
        <v>69</v>
      </c>
      <c r="V20" s="22"/>
      <c r="W20" s="23" t="str">
        <f t="shared" si="2"/>
        <v>OK</v>
      </c>
    </row>
    <row r="21" spans="1:23" ht="20.100000000000001" customHeight="1" x14ac:dyDescent="0.25">
      <c r="A21" s="18" t="s">
        <v>251</v>
      </c>
      <c r="B21" s="19" t="s">
        <v>68</v>
      </c>
      <c r="C21" s="20">
        <v>9</v>
      </c>
      <c r="D21" s="20">
        <v>10</v>
      </c>
      <c r="E21" s="20">
        <f t="shared" si="1"/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/>
      <c r="Q21" s="21"/>
      <c r="R21" s="21" t="s">
        <v>69</v>
      </c>
      <c r="S21" s="21"/>
      <c r="T21" s="21"/>
      <c r="U21" s="21" t="s">
        <v>69</v>
      </c>
      <c r="V21" s="22"/>
      <c r="W21" s="23" t="str">
        <f t="shared" si="2"/>
        <v>OK</v>
      </c>
    </row>
    <row r="22" spans="1:23" ht="20.100000000000001" customHeight="1" x14ac:dyDescent="0.25">
      <c r="A22" s="18" t="s">
        <v>251</v>
      </c>
      <c r="B22" s="19" t="s">
        <v>68</v>
      </c>
      <c r="C22" s="20">
        <v>10</v>
      </c>
      <c r="D22" s="20">
        <v>11</v>
      </c>
      <c r="E22" s="20">
        <f t="shared" si="1"/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/>
      <c r="N22" s="21" t="s">
        <v>69</v>
      </c>
      <c r="O22" s="21"/>
      <c r="P22" s="21"/>
      <c r="Q22" s="21"/>
      <c r="R22" s="21" t="s">
        <v>69</v>
      </c>
      <c r="S22" s="21"/>
      <c r="T22" s="21"/>
      <c r="U22" s="21" t="s">
        <v>69</v>
      </c>
      <c r="V22" s="22"/>
      <c r="W22" s="23" t="str">
        <f t="shared" si="2"/>
        <v>OK</v>
      </c>
    </row>
    <row r="23" spans="1:23" ht="20.100000000000001" customHeight="1" x14ac:dyDescent="0.25">
      <c r="A23" s="18" t="s">
        <v>251</v>
      </c>
      <c r="B23" s="19" t="s">
        <v>68</v>
      </c>
      <c r="C23" s="20">
        <v>11</v>
      </c>
      <c r="D23" s="20">
        <v>12</v>
      </c>
      <c r="E23" s="20">
        <f t="shared" si="1"/>
        <v>1</v>
      </c>
      <c r="F23" s="21"/>
      <c r="G23" s="21"/>
      <c r="H23" s="21"/>
      <c r="I23" s="21"/>
      <c r="J23" s="21" t="s">
        <v>325</v>
      </c>
      <c r="K23" s="21"/>
      <c r="L23" s="21" t="s">
        <v>325</v>
      </c>
      <c r="M23" s="21"/>
      <c r="N23" s="21"/>
      <c r="O23" s="21" t="s">
        <v>325</v>
      </c>
      <c r="P23" s="21"/>
      <c r="Q23" s="21"/>
      <c r="R23" s="21" t="s">
        <v>325</v>
      </c>
      <c r="S23" s="21"/>
      <c r="T23" s="21"/>
      <c r="U23" s="21" t="s">
        <v>325</v>
      </c>
      <c r="V23" s="22" t="s">
        <v>252</v>
      </c>
      <c r="W23" s="23" t="str">
        <f t="shared" si="2"/>
        <v>OK</v>
      </c>
    </row>
    <row r="24" spans="1:23" ht="20.100000000000001" customHeight="1" x14ac:dyDescent="0.25">
      <c r="A24" s="18" t="s">
        <v>251</v>
      </c>
      <c r="B24" s="19" t="s">
        <v>68</v>
      </c>
      <c r="C24" s="20">
        <v>12</v>
      </c>
      <c r="D24" s="20">
        <v>13</v>
      </c>
      <c r="E24" s="20">
        <f t="shared" si="1"/>
        <v>1</v>
      </c>
      <c r="F24" s="21"/>
      <c r="G24" s="21"/>
      <c r="H24" s="21"/>
      <c r="I24" s="21"/>
      <c r="J24" s="21" t="s">
        <v>325</v>
      </c>
      <c r="K24" s="21"/>
      <c r="L24" s="21" t="s">
        <v>325</v>
      </c>
      <c r="M24" s="21"/>
      <c r="N24" s="21"/>
      <c r="O24" s="21" t="s">
        <v>325</v>
      </c>
      <c r="P24" s="21"/>
      <c r="Q24" s="21"/>
      <c r="R24" s="21" t="s">
        <v>325</v>
      </c>
      <c r="S24" s="21"/>
      <c r="T24" s="21"/>
      <c r="U24" s="21" t="s">
        <v>325</v>
      </c>
      <c r="V24" s="22" t="s">
        <v>252</v>
      </c>
      <c r="W24" s="23" t="str">
        <f t="shared" si="2"/>
        <v>OK</v>
      </c>
    </row>
    <row r="25" spans="1:23" ht="20.100000000000001" customHeight="1" x14ac:dyDescent="0.25">
      <c r="A25" s="18" t="s">
        <v>251</v>
      </c>
      <c r="B25" s="19" t="s">
        <v>68</v>
      </c>
      <c r="C25" s="20">
        <v>13</v>
      </c>
      <c r="D25" s="20">
        <v>14</v>
      </c>
      <c r="E25" s="20">
        <f t="shared" si="1"/>
        <v>1</v>
      </c>
      <c r="F25" s="21" t="s">
        <v>69</v>
      </c>
      <c r="G25" s="21"/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/>
      <c r="Q25" s="21"/>
      <c r="R25" s="21" t="s">
        <v>69</v>
      </c>
      <c r="S25" s="21"/>
      <c r="T25" s="21"/>
      <c r="U25" s="21" t="s">
        <v>69</v>
      </c>
      <c r="V25" s="22"/>
      <c r="W25" s="23" t="str">
        <f t="shared" si="2"/>
        <v>OK</v>
      </c>
    </row>
    <row r="26" spans="1:23" ht="20.100000000000001" customHeight="1" x14ac:dyDescent="0.25">
      <c r="A26" s="18" t="s">
        <v>251</v>
      </c>
      <c r="B26" s="19" t="s">
        <v>68</v>
      </c>
      <c r="C26" s="20">
        <v>14</v>
      </c>
      <c r="D26" s="20">
        <v>15</v>
      </c>
      <c r="E26" s="20">
        <f t="shared" si="1"/>
        <v>1</v>
      </c>
      <c r="F26" s="21" t="s">
        <v>69</v>
      </c>
      <c r="G26" s="21"/>
      <c r="H26" s="21"/>
      <c r="I26" s="21"/>
      <c r="J26" s="21"/>
      <c r="K26" s="21"/>
      <c r="L26" s="21" t="s">
        <v>69</v>
      </c>
      <c r="M26" s="21"/>
      <c r="N26" s="21" t="s">
        <v>69</v>
      </c>
      <c r="O26" s="21"/>
      <c r="P26" s="21"/>
      <c r="Q26" s="21"/>
      <c r="R26" s="21" t="s">
        <v>69</v>
      </c>
      <c r="S26" s="21"/>
      <c r="T26" s="21"/>
      <c r="U26" s="21" t="s">
        <v>69</v>
      </c>
      <c r="V26" s="22"/>
      <c r="W26" s="23" t="str">
        <f t="shared" si="2"/>
        <v>OK</v>
      </c>
    </row>
    <row r="27" spans="1:23" ht="20.100000000000001" customHeight="1" x14ac:dyDescent="0.25">
      <c r="A27" s="18" t="s">
        <v>251</v>
      </c>
      <c r="B27" s="19" t="s">
        <v>68</v>
      </c>
      <c r="C27" s="20">
        <v>15</v>
      </c>
      <c r="D27" s="20">
        <v>16</v>
      </c>
      <c r="E27" s="20">
        <f t="shared" si="1"/>
        <v>1</v>
      </c>
      <c r="F27" s="21"/>
      <c r="G27" s="21" t="s">
        <v>69</v>
      </c>
      <c r="H27" s="21"/>
      <c r="I27" s="21"/>
      <c r="J27" s="21"/>
      <c r="K27" s="21"/>
      <c r="L27" s="21" t="s">
        <v>69</v>
      </c>
      <c r="M27" s="21"/>
      <c r="N27" s="21" t="s">
        <v>69</v>
      </c>
      <c r="O27" s="21"/>
      <c r="P27" s="21"/>
      <c r="Q27" s="21"/>
      <c r="R27" s="21" t="s">
        <v>69</v>
      </c>
      <c r="S27" s="21"/>
      <c r="T27" s="21"/>
      <c r="U27" s="21" t="s">
        <v>69</v>
      </c>
      <c r="V27" s="22"/>
      <c r="W27" s="23" t="str">
        <f t="shared" si="2"/>
        <v>OK</v>
      </c>
    </row>
    <row r="28" spans="1:23" ht="20.100000000000001" customHeight="1" x14ac:dyDescent="0.25">
      <c r="A28" s="18" t="s">
        <v>251</v>
      </c>
      <c r="B28" s="19" t="s">
        <v>68</v>
      </c>
      <c r="C28" s="20">
        <v>16</v>
      </c>
      <c r="D28" s="20">
        <v>17</v>
      </c>
      <c r="E28" s="20">
        <f t="shared" si="1"/>
        <v>1</v>
      </c>
      <c r="F28" s="21"/>
      <c r="G28" s="21" t="s">
        <v>69</v>
      </c>
      <c r="H28" s="21"/>
      <c r="I28" s="21"/>
      <c r="J28" s="21"/>
      <c r="K28" s="21"/>
      <c r="L28" s="21" t="s">
        <v>69</v>
      </c>
      <c r="M28" s="21"/>
      <c r="N28" s="21" t="s">
        <v>69</v>
      </c>
      <c r="O28" s="21"/>
      <c r="P28" s="21"/>
      <c r="Q28" s="21"/>
      <c r="R28" s="21" t="s">
        <v>69</v>
      </c>
      <c r="S28" s="21"/>
      <c r="T28" s="21"/>
      <c r="U28" s="21" t="s">
        <v>69</v>
      </c>
      <c r="V28" s="22"/>
      <c r="W28" s="23" t="str">
        <f t="shared" si="2"/>
        <v>OK</v>
      </c>
    </row>
    <row r="29" spans="1:23" ht="20.100000000000001" customHeight="1" x14ac:dyDescent="0.25">
      <c r="A29" s="18" t="s">
        <v>251</v>
      </c>
      <c r="B29" s="19" t="s">
        <v>68</v>
      </c>
      <c r="C29" s="20">
        <v>17</v>
      </c>
      <c r="D29" s="20">
        <v>18</v>
      </c>
      <c r="E29" s="20">
        <f t="shared" si="1"/>
        <v>1</v>
      </c>
      <c r="F29" s="21" t="s">
        <v>69</v>
      </c>
      <c r="G29" s="21"/>
      <c r="H29" s="21"/>
      <c r="I29" s="21"/>
      <c r="J29" s="21"/>
      <c r="K29" s="21"/>
      <c r="L29" s="21" t="s">
        <v>69</v>
      </c>
      <c r="M29" s="21"/>
      <c r="N29" s="21" t="s">
        <v>69</v>
      </c>
      <c r="O29" s="21"/>
      <c r="P29" s="21"/>
      <c r="Q29" s="21"/>
      <c r="R29" s="21" t="s">
        <v>69</v>
      </c>
      <c r="S29" s="21"/>
      <c r="T29" s="21"/>
      <c r="U29" s="21" t="s">
        <v>69</v>
      </c>
      <c r="V29" s="22"/>
      <c r="W29" s="23" t="str">
        <f t="shared" si="2"/>
        <v>OK</v>
      </c>
    </row>
    <row r="30" spans="1:23" ht="20.100000000000001" customHeight="1" x14ac:dyDescent="0.25">
      <c r="A30" s="18" t="s">
        <v>251</v>
      </c>
      <c r="B30" s="19" t="s">
        <v>68</v>
      </c>
      <c r="C30" s="20">
        <v>18</v>
      </c>
      <c r="D30" s="20">
        <v>19</v>
      </c>
      <c r="E30" s="20">
        <f t="shared" si="1"/>
        <v>1</v>
      </c>
      <c r="F30" s="21" t="s">
        <v>69</v>
      </c>
      <c r="G30" s="21"/>
      <c r="H30" s="21"/>
      <c r="I30" s="21"/>
      <c r="J30" s="21"/>
      <c r="K30" s="21"/>
      <c r="L30" s="21" t="s">
        <v>69</v>
      </c>
      <c r="M30" s="21"/>
      <c r="N30" s="21" t="s">
        <v>69</v>
      </c>
      <c r="O30" s="21"/>
      <c r="P30" s="21"/>
      <c r="Q30" s="21"/>
      <c r="R30" s="21" t="s">
        <v>69</v>
      </c>
      <c r="S30" s="21"/>
      <c r="T30" s="21"/>
      <c r="U30" s="21" t="s">
        <v>69</v>
      </c>
      <c r="V30" s="22"/>
      <c r="W30" s="23" t="str">
        <f t="shared" si="2"/>
        <v>OK</v>
      </c>
    </row>
    <row r="31" spans="1:23" ht="20.100000000000001" customHeight="1" x14ac:dyDescent="0.25">
      <c r="A31" s="18" t="s">
        <v>251</v>
      </c>
      <c r="B31" s="19" t="s">
        <v>68</v>
      </c>
      <c r="C31" s="20">
        <v>19</v>
      </c>
      <c r="D31" s="20">
        <v>20</v>
      </c>
      <c r="E31" s="20">
        <f t="shared" si="1"/>
        <v>1</v>
      </c>
      <c r="F31" s="21" t="s">
        <v>69</v>
      </c>
      <c r="G31" s="21"/>
      <c r="H31" s="21"/>
      <c r="I31" s="21"/>
      <c r="J31" s="21"/>
      <c r="K31" s="21"/>
      <c r="L31" s="21" t="s">
        <v>69</v>
      </c>
      <c r="M31" s="21"/>
      <c r="N31" s="21" t="s">
        <v>69</v>
      </c>
      <c r="O31" s="21"/>
      <c r="P31" s="21"/>
      <c r="Q31" s="21"/>
      <c r="R31" s="21" t="s">
        <v>69</v>
      </c>
      <c r="S31" s="21"/>
      <c r="T31" s="21"/>
      <c r="U31" s="21" t="s">
        <v>69</v>
      </c>
      <c r="V31" s="22"/>
      <c r="W31" s="23" t="str">
        <f t="shared" si="2"/>
        <v>OK</v>
      </c>
    </row>
    <row r="32" spans="1:23" ht="20.100000000000001" customHeight="1" x14ac:dyDescent="0.25">
      <c r="A32" s="18" t="s">
        <v>251</v>
      </c>
      <c r="B32" s="19" t="s">
        <v>68</v>
      </c>
      <c r="C32" s="20">
        <v>20</v>
      </c>
      <c r="D32" s="20">
        <v>21</v>
      </c>
      <c r="E32" s="20">
        <f t="shared" si="1"/>
        <v>1</v>
      </c>
      <c r="F32" s="21" t="s">
        <v>69</v>
      </c>
      <c r="G32" s="21"/>
      <c r="H32" s="21"/>
      <c r="I32" s="21"/>
      <c r="J32" s="21"/>
      <c r="K32" s="21"/>
      <c r="L32" s="21" t="s">
        <v>69</v>
      </c>
      <c r="M32" s="21"/>
      <c r="N32" s="21" t="s">
        <v>69</v>
      </c>
      <c r="O32" s="21"/>
      <c r="P32" s="21"/>
      <c r="Q32" s="21"/>
      <c r="R32" s="21" t="s">
        <v>69</v>
      </c>
      <c r="S32" s="21"/>
      <c r="T32" s="21"/>
      <c r="U32" s="21" t="s">
        <v>69</v>
      </c>
      <c r="V32" s="22"/>
      <c r="W32" s="23" t="str">
        <f t="shared" si="2"/>
        <v>OK</v>
      </c>
    </row>
    <row r="33" spans="1:23" ht="20.100000000000001" customHeight="1" x14ac:dyDescent="0.25">
      <c r="A33" s="18" t="s">
        <v>251</v>
      </c>
      <c r="B33" s="19" t="s">
        <v>68</v>
      </c>
      <c r="C33" s="20">
        <v>21</v>
      </c>
      <c r="D33" s="20">
        <v>22</v>
      </c>
      <c r="E33" s="20">
        <f t="shared" si="1"/>
        <v>1</v>
      </c>
      <c r="F33" s="21" t="s">
        <v>69</v>
      </c>
      <c r="G33" s="21"/>
      <c r="H33" s="21"/>
      <c r="I33" s="21"/>
      <c r="J33" s="21"/>
      <c r="K33" s="21"/>
      <c r="L33" s="21" t="s">
        <v>69</v>
      </c>
      <c r="M33" s="21"/>
      <c r="N33" s="21" t="s">
        <v>69</v>
      </c>
      <c r="O33" s="21"/>
      <c r="P33" s="21"/>
      <c r="Q33" s="21"/>
      <c r="R33" s="21" t="s">
        <v>69</v>
      </c>
      <c r="S33" s="21"/>
      <c r="T33" s="21"/>
      <c r="U33" s="21" t="s">
        <v>69</v>
      </c>
      <c r="V33" s="22"/>
      <c r="W33" s="23" t="str">
        <f t="shared" si="2"/>
        <v>OK</v>
      </c>
    </row>
    <row r="34" spans="1:23" ht="20.100000000000001" customHeight="1" x14ac:dyDescent="0.25">
      <c r="A34" s="18" t="s">
        <v>251</v>
      </c>
      <c r="B34" s="19" t="s">
        <v>68</v>
      </c>
      <c r="C34" s="20">
        <v>22</v>
      </c>
      <c r="D34" s="20">
        <v>23</v>
      </c>
      <c r="E34" s="20">
        <f t="shared" si="1"/>
        <v>1</v>
      </c>
      <c r="F34" s="21" t="s">
        <v>69</v>
      </c>
      <c r="G34" s="21"/>
      <c r="H34" s="21"/>
      <c r="I34" s="21"/>
      <c r="J34" s="21"/>
      <c r="K34" s="21"/>
      <c r="L34" s="21" t="s">
        <v>69</v>
      </c>
      <c r="M34" s="21"/>
      <c r="N34" s="21" t="s">
        <v>69</v>
      </c>
      <c r="O34" s="21"/>
      <c r="P34" s="21"/>
      <c r="Q34" s="21"/>
      <c r="R34" s="21" t="s">
        <v>69</v>
      </c>
      <c r="S34" s="21"/>
      <c r="T34" s="21"/>
      <c r="U34" s="21" t="s">
        <v>69</v>
      </c>
      <c r="V34" s="22"/>
      <c r="W34" s="23" t="str">
        <f t="shared" si="2"/>
        <v>OK</v>
      </c>
    </row>
    <row r="35" spans="1:23" ht="20.100000000000001" customHeight="1" x14ac:dyDescent="0.25">
      <c r="A35" s="18" t="s">
        <v>251</v>
      </c>
      <c r="B35" s="19" t="s">
        <v>68</v>
      </c>
      <c r="C35" s="20">
        <v>23</v>
      </c>
      <c r="D35" s="20">
        <v>24</v>
      </c>
      <c r="E35" s="20">
        <f t="shared" si="1"/>
        <v>1</v>
      </c>
      <c r="F35" s="21"/>
      <c r="G35" s="21"/>
      <c r="H35" s="21"/>
      <c r="I35" s="21" t="s">
        <v>69</v>
      </c>
      <c r="J35" s="21"/>
      <c r="K35" s="21"/>
      <c r="L35" s="21" t="s">
        <v>69</v>
      </c>
      <c r="M35" s="21"/>
      <c r="N35" s="21" t="s">
        <v>69</v>
      </c>
      <c r="O35" s="21"/>
      <c r="P35" s="21"/>
      <c r="Q35" s="21"/>
      <c r="R35" s="21" t="s">
        <v>69</v>
      </c>
      <c r="S35" s="21"/>
      <c r="T35" s="21"/>
      <c r="U35" s="21" t="s">
        <v>69</v>
      </c>
      <c r="V35" s="22"/>
      <c r="W35" s="23" t="str">
        <f t="shared" si="2"/>
        <v>OK</v>
      </c>
    </row>
    <row r="36" spans="1:23" ht="20.100000000000001" customHeight="1" x14ac:dyDescent="0.25">
      <c r="A36" s="18" t="s">
        <v>251</v>
      </c>
      <c r="B36" s="19" t="s">
        <v>68</v>
      </c>
      <c r="C36" s="20">
        <v>24</v>
      </c>
      <c r="D36" s="20">
        <v>25</v>
      </c>
      <c r="E36" s="20">
        <f t="shared" si="1"/>
        <v>1</v>
      </c>
      <c r="F36" s="21"/>
      <c r="G36" s="21"/>
      <c r="H36" s="21"/>
      <c r="I36" s="21" t="s">
        <v>69</v>
      </c>
      <c r="J36" s="21"/>
      <c r="K36" s="21"/>
      <c r="L36" s="21" t="s">
        <v>69</v>
      </c>
      <c r="M36" s="21"/>
      <c r="N36" s="21" t="s">
        <v>69</v>
      </c>
      <c r="O36" s="21"/>
      <c r="P36" s="21"/>
      <c r="Q36" s="21"/>
      <c r="R36" s="21" t="s">
        <v>69</v>
      </c>
      <c r="S36" s="21"/>
      <c r="T36" s="21"/>
      <c r="U36" s="21" t="s">
        <v>69</v>
      </c>
      <c r="V36" s="22"/>
      <c r="W36" s="23" t="str">
        <f t="shared" si="2"/>
        <v>OK</v>
      </c>
    </row>
    <row r="37" spans="1:23" ht="20.100000000000001" customHeight="1" x14ac:dyDescent="0.25">
      <c r="A37" s="12" t="s">
        <v>251</v>
      </c>
      <c r="B37" s="13" t="s">
        <v>68</v>
      </c>
      <c r="C37" s="14">
        <v>25</v>
      </c>
      <c r="D37" s="14">
        <v>25.1849724954</v>
      </c>
      <c r="E37" s="14">
        <f t="shared" si="1"/>
        <v>0.18497249540000027</v>
      </c>
      <c r="F37" s="15" t="s">
        <v>69</v>
      </c>
      <c r="G37" s="15"/>
      <c r="H37" s="15"/>
      <c r="I37" s="15"/>
      <c r="J37" s="15"/>
      <c r="K37" s="15"/>
      <c r="L37" s="15" t="s">
        <v>69</v>
      </c>
      <c r="M37" s="15"/>
      <c r="N37" s="15" t="s">
        <v>69</v>
      </c>
      <c r="O37" s="15"/>
      <c r="P37" s="15"/>
      <c r="Q37" s="15"/>
      <c r="R37" s="15" t="s">
        <v>69</v>
      </c>
      <c r="S37" s="15"/>
      <c r="T37" s="15"/>
      <c r="U37" s="15" t="s">
        <v>69</v>
      </c>
      <c r="V37" s="16"/>
      <c r="W37" s="17" t="str">
        <f t="shared" si="2"/>
        <v>OK</v>
      </c>
    </row>
    <row r="39" spans="1:23" x14ac:dyDescent="0.25">
      <c r="A39" s="40" t="s">
        <v>78</v>
      </c>
      <c r="B39" s="28"/>
      <c r="C39" s="28"/>
      <c r="D39" s="28"/>
      <c r="E39" s="28"/>
      <c r="G39" s="40" t="s">
        <v>78</v>
      </c>
      <c r="H39" s="28"/>
      <c r="I39" s="28"/>
      <c r="J39" s="28"/>
      <c r="K39" s="28"/>
    </row>
    <row r="40" spans="1:23" x14ac:dyDescent="0.25">
      <c r="A40" s="44" t="s">
        <v>79</v>
      </c>
      <c r="B40" s="28"/>
      <c r="C40" s="28"/>
      <c r="D40" s="28"/>
      <c r="E40" s="28"/>
      <c r="G40" s="44" t="s">
        <v>80</v>
      </c>
      <c r="H40" s="28"/>
      <c r="I40" s="28"/>
      <c r="J40" s="28"/>
      <c r="K40" s="28"/>
    </row>
    <row r="42" spans="1:23" x14ac:dyDescent="0.25">
      <c r="A42" s="41" t="s">
        <v>81</v>
      </c>
      <c r="B42" s="28"/>
      <c r="C42" s="28"/>
      <c r="D42" s="28"/>
      <c r="E42" s="28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spans="1:23" x14ac:dyDescent="0.25">
      <c r="A43" s="43" t="s">
        <v>82</v>
      </c>
      <c r="B43" s="28"/>
      <c r="C43" s="28"/>
      <c r="D43" s="28"/>
      <c r="E43" s="28"/>
      <c r="F43" s="9">
        <f t="shared" ref="F43:U43" si="3">SUMIF(F$9:F$37,"X",$E$9:$E$37)</f>
        <v>16.1849724954</v>
      </c>
      <c r="G43" s="9">
        <f t="shared" si="3"/>
        <v>6.3453044624999997</v>
      </c>
      <c r="H43" s="9">
        <f t="shared" si="3"/>
        <v>0</v>
      </c>
      <c r="I43" s="9">
        <f t="shared" si="3"/>
        <v>2</v>
      </c>
      <c r="J43" s="9">
        <f t="shared" si="3"/>
        <v>2</v>
      </c>
      <c r="K43" s="9">
        <f t="shared" si="3"/>
        <v>0</v>
      </c>
      <c r="L43" s="9">
        <f t="shared" si="3"/>
        <v>26.5302769579</v>
      </c>
      <c r="M43" s="9">
        <f t="shared" si="3"/>
        <v>0</v>
      </c>
      <c r="N43" s="9">
        <f t="shared" si="3"/>
        <v>24.5302769579</v>
      </c>
      <c r="O43" s="9">
        <f t="shared" si="3"/>
        <v>2</v>
      </c>
      <c r="P43" s="9">
        <f t="shared" si="3"/>
        <v>0</v>
      </c>
      <c r="Q43" s="9">
        <f t="shared" si="3"/>
        <v>0</v>
      </c>
      <c r="R43" s="9">
        <f t="shared" si="3"/>
        <v>26.5302769579</v>
      </c>
      <c r="S43" s="9">
        <f t="shared" si="3"/>
        <v>0</v>
      </c>
      <c r="T43" s="9">
        <f t="shared" si="3"/>
        <v>0</v>
      </c>
      <c r="U43" s="9">
        <f t="shared" si="3"/>
        <v>26.5302769579</v>
      </c>
    </row>
    <row r="44" spans="1:23" x14ac:dyDescent="0.25">
      <c r="A44" s="43" t="s">
        <v>83</v>
      </c>
      <c r="B44" s="28"/>
      <c r="C44" s="28"/>
      <c r="D44" s="28"/>
      <c r="E44" s="28"/>
      <c r="F44" s="25">
        <f t="shared" ref="F44:U44" si="4">IF($R46=0,0,F43/$R46)</f>
        <v>0.61005667302619515</v>
      </c>
      <c r="G44" s="25">
        <f t="shared" si="4"/>
        <v>0.23917219079805119</v>
      </c>
      <c r="H44" s="25">
        <f t="shared" si="4"/>
        <v>0</v>
      </c>
      <c r="I44" s="25">
        <f t="shared" si="4"/>
        <v>7.5385568087876817E-2</v>
      </c>
      <c r="J44" s="25">
        <f t="shared" si="4"/>
        <v>7.5385568087876817E-2</v>
      </c>
      <c r="K44" s="25">
        <f t="shared" si="4"/>
        <v>0</v>
      </c>
      <c r="L44" s="25">
        <f t="shared" si="4"/>
        <v>1</v>
      </c>
      <c r="M44" s="25">
        <f t="shared" si="4"/>
        <v>0</v>
      </c>
      <c r="N44" s="25">
        <f t="shared" si="4"/>
        <v>0.92461443191212322</v>
      </c>
      <c r="O44" s="25">
        <f t="shared" si="4"/>
        <v>7.5385568087876817E-2</v>
      </c>
      <c r="P44" s="25">
        <f t="shared" si="4"/>
        <v>0</v>
      </c>
      <c r="Q44" s="25">
        <f t="shared" si="4"/>
        <v>0</v>
      </c>
      <c r="R44" s="25">
        <f t="shared" si="4"/>
        <v>1</v>
      </c>
      <c r="S44" s="25">
        <f t="shared" si="4"/>
        <v>0</v>
      </c>
      <c r="T44" s="25">
        <f t="shared" si="4"/>
        <v>0</v>
      </c>
      <c r="U44" s="25">
        <f t="shared" si="4"/>
        <v>1</v>
      </c>
    </row>
    <row r="45" spans="1:23" x14ac:dyDescent="0.25">
      <c r="A45" s="43" t="s">
        <v>84</v>
      </c>
      <c r="B45" s="28"/>
      <c r="C45" s="28"/>
      <c r="D45" s="28"/>
      <c r="E45" s="28"/>
      <c r="F45" s="42" t="str">
        <f>IF(SUM(F43:J43)=0,"— não preenchido",IF(ROUND(SUM(F43:J43)-$R46,3)=0,"OK — "&amp;ROUND(SUM(F43:J43),3)&amp;" km","ERRO — dif. de "&amp;ROUND(SUM(F43:J43)-$R46,3)&amp;" km"))</f>
        <v>OK — 26,53 km</v>
      </c>
      <c r="G45" s="33"/>
      <c r="H45" s="33"/>
      <c r="I45" s="33"/>
      <c r="J45" s="34"/>
      <c r="K45" s="42" t="str">
        <f>IF(SUM(K43:L43)=0,"— não preenchido",IF(ROUND(SUM(K43:L43)-$R46,3)=0,"OK — "&amp;ROUND(SUM(K43:L43),3)&amp;" km","ERRO — dif. de "&amp;ROUND(SUM(K43:L43)-$R46,3)&amp;" km"))</f>
        <v>OK — 26,53 km</v>
      </c>
      <c r="L45" s="34"/>
      <c r="M45" s="42" t="str">
        <f>IF(SUM(M43:O43)=0,"— não preenchido",IF(ROUND(SUM(M43:O43)-$R46,3)=0,"OK — "&amp;ROUND(SUM(M43:O43),3)&amp;" km","ERRO — dif. de "&amp;ROUND(SUM(M43:O43)-$R46,3)&amp;" km"))</f>
        <v>OK — 26,53 km</v>
      </c>
      <c r="N45" s="33"/>
      <c r="O45" s="34"/>
      <c r="P45" s="42" t="str">
        <f>IF(SUM(P43:R43)=0,"— não preenchido",IF(ROUND(SUM(P43:R43)-$R46,3)=0,"OK — "&amp;ROUND(SUM(P43:R43),3)&amp;" km","ERRO — dif. de "&amp;ROUND(SUM(P43:R43)-$R46,3)&amp;" km"))</f>
        <v>OK — 26,53 km</v>
      </c>
      <c r="Q45" s="33"/>
      <c r="R45" s="34"/>
      <c r="S45" s="42" t="str">
        <f>IF(SUM(S43:U43)=0,"— não preenchido",IF(ROUND(SUM(S43:U43)-$R46,3)=0,"OK — "&amp;ROUND(SUM(S43:U43),3)&amp;" km","ERRO — dif. de "&amp;ROUND(SUM(S43:U43)-$R46,3)&amp;" km"))</f>
        <v>OK — 26,53 km</v>
      </c>
      <c r="T45" s="33"/>
      <c r="U45" s="34"/>
    </row>
    <row r="46" spans="1:23" x14ac:dyDescent="0.25">
      <c r="A46" s="43" t="s">
        <v>85</v>
      </c>
      <c r="B46" s="28"/>
      <c r="C46" s="28"/>
      <c r="D46" s="28"/>
      <c r="E46" s="28"/>
      <c r="R46" s="26">
        <f>SUM(E9:E37)</f>
        <v>26.5302769579</v>
      </c>
      <c r="V46" s="8" t="str">
        <f>COUNTIF(W9:W37,"OK")&amp;" de "&amp;COUNT($E$9:$E$37)&amp;" linhas conferidas"</f>
        <v>28 de 28 linhas conferidas</v>
      </c>
    </row>
    <row r="48" spans="1:23" x14ac:dyDescent="0.25">
      <c r="A48" s="37" t="s">
        <v>86</v>
      </c>
      <c r="B48" s="28"/>
      <c r="C48" s="28"/>
      <c r="D48" s="28"/>
      <c r="E48" s="28"/>
    </row>
    <row r="49" spans="1:22" x14ac:dyDescent="0.25">
      <c r="A49" s="43" t="s">
        <v>87</v>
      </c>
      <c r="B49" s="28"/>
      <c r="C49" s="28"/>
      <c r="D49" s="28"/>
      <c r="E49" s="31" t="s">
        <v>88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43" t="s">
        <v>89</v>
      </c>
      <c r="B50" s="28"/>
      <c r="C50" s="28"/>
      <c r="D50" s="28"/>
      <c r="E50" s="31" t="s">
        <v>90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43" t="s">
        <v>91</v>
      </c>
      <c r="B51" s="28"/>
      <c r="C51" s="28"/>
      <c r="D51" s="28"/>
      <c r="E51" s="31" t="s">
        <v>92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43" t="s">
        <v>93</v>
      </c>
      <c r="B52" s="28"/>
      <c r="C52" s="28"/>
      <c r="D52" s="28"/>
      <c r="E52" s="31" t="s">
        <v>94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43" t="s">
        <v>95</v>
      </c>
      <c r="B53" s="28"/>
      <c r="C53" s="28"/>
      <c r="D53" s="28"/>
      <c r="E53" s="31" t="s">
        <v>96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43" t="s">
        <v>60</v>
      </c>
      <c r="B54" s="28"/>
      <c r="C54" s="28"/>
      <c r="D54" s="28"/>
      <c r="E54" s="31" t="s">
        <v>97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43" t="s">
        <v>98</v>
      </c>
      <c r="B55" s="28"/>
      <c r="C55" s="28"/>
      <c r="D55" s="28"/>
      <c r="E55" s="31" t="s">
        <v>99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43" t="s">
        <v>100</v>
      </c>
      <c r="B56" s="28"/>
      <c r="C56" s="28"/>
      <c r="D56" s="28"/>
      <c r="E56" s="31" t="s">
        <v>101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43" t="s">
        <v>11</v>
      </c>
      <c r="B57" s="28"/>
      <c r="C57" s="28"/>
      <c r="D57" s="28"/>
      <c r="E57" s="31" t="s">
        <v>102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</sheetData>
  <sheetProtection sheet="1" formatCells="0"/>
  <mergeCells count="58">
    <mergeCell ref="A1:V1"/>
    <mergeCell ref="A42:E42"/>
    <mergeCell ref="A54:D54"/>
    <mergeCell ref="T3:V3"/>
    <mergeCell ref="P45:R45"/>
    <mergeCell ref="A44:E44"/>
    <mergeCell ref="E53:V53"/>
    <mergeCell ref="E50:V50"/>
    <mergeCell ref="A43:E43"/>
    <mergeCell ref="A50:D50"/>
    <mergeCell ref="R2:V2"/>
    <mergeCell ref="A3:S3"/>
    <mergeCell ref="E52:V52"/>
    <mergeCell ref="C6:C7"/>
    <mergeCell ref="K6:L6"/>
    <mergeCell ref="D6:D7"/>
    <mergeCell ref="A51:D51"/>
    <mergeCell ref="B6:B7"/>
    <mergeCell ref="E57:V57"/>
    <mergeCell ref="E54:V54"/>
    <mergeCell ref="A11:V11"/>
    <mergeCell ref="E56:V56"/>
    <mergeCell ref="A56:D56"/>
    <mergeCell ref="E55:V55"/>
    <mergeCell ref="A55:D55"/>
    <mergeCell ref="A57:D57"/>
    <mergeCell ref="A40:E40"/>
    <mergeCell ref="P6:R6"/>
    <mergeCell ref="M45:O45"/>
    <mergeCell ref="E49:V49"/>
    <mergeCell ref="A49:D49"/>
    <mergeCell ref="E51:V51"/>
    <mergeCell ref="A2:F2"/>
    <mergeCell ref="S6:U6"/>
    <mergeCell ref="K2:M2"/>
    <mergeCell ref="N2:O2"/>
    <mergeCell ref="A39:E39"/>
    <mergeCell ref="W6:W7"/>
    <mergeCell ref="A46:E46"/>
    <mergeCell ref="E6:E7"/>
    <mergeCell ref="F45:J45"/>
    <mergeCell ref="S45:U45"/>
    <mergeCell ref="A48:E48"/>
    <mergeCell ref="A53:D53"/>
    <mergeCell ref="G2:H2"/>
    <mergeCell ref="G40:K40"/>
    <mergeCell ref="I2:J2"/>
    <mergeCell ref="A8:V8"/>
    <mergeCell ref="A52:D52"/>
    <mergeCell ref="A45:E45"/>
    <mergeCell ref="K45:L45"/>
    <mergeCell ref="F6:J6"/>
    <mergeCell ref="A6:A7"/>
    <mergeCell ref="M6:O6"/>
    <mergeCell ref="G39:K39"/>
    <mergeCell ref="V6:V7"/>
    <mergeCell ref="P2:Q2"/>
    <mergeCell ref="A4:V4"/>
  </mergeCells>
  <conditionalFormatting sqref="F9:J37">
    <cfRule type="expression" dxfId="89" priority="1">
      <formula>AND(F9&lt;&gt;"",COUNTIF($F9:$J9,"X")&gt;1)</formula>
    </cfRule>
  </conditionalFormatting>
  <conditionalFormatting sqref="F45:U45">
    <cfRule type="expression" dxfId="88" priority="8">
      <formula>LEFT(F45,4)="ERRO"</formula>
    </cfRule>
    <cfRule type="expression" dxfId="87" priority="9">
      <formula>LEFT(F45,2)="OK"</formula>
    </cfRule>
  </conditionalFormatting>
  <conditionalFormatting sqref="K9:L37">
    <cfRule type="expression" dxfId="86" priority="2">
      <formula>AND(K9&lt;&gt;"",COUNTIF($K9:$L9,"X")&gt;1)</formula>
    </cfRule>
  </conditionalFormatting>
  <conditionalFormatting sqref="M9:O37">
    <cfRule type="expression" dxfId="85" priority="3">
      <formula>AND(M9&lt;&gt;"",COUNTIF($M9:$O9,"X")&gt;1)</formula>
    </cfRule>
  </conditionalFormatting>
  <conditionalFormatting sqref="P9:R37">
    <cfRule type="expression" dxfId="84" priority="4">
      <formula>AND(P9&lt;&gt;"",COUNTIF($P9:$R9,"X")&gt;1)</formula>
    </cfRule>
  </conditionalFormatting>
  <conditionalFormatting sqref="S9:U37">
    <cfRule type="expression" dxfId="83" priority="5">
      <formula>AND(S9&lt;&gt;"",COUNTIF($S9:$U9,"X")&gt;1)</formula>
    </cfRule>
  </conditionalFormatting>
  <conditionalFormatting sqref="W9:W37">
    <cfRule type="expression" dxfId="82" priority="6">
      <formula>AND(W9&lt;&gt;"OK",W9&lt;&gt;"")</formula>
    </cfRule>
    <cfRule type="expression" dxfId="81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7" xr:uid="{00000000-0002-0000-1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7" xr:uid="{00000000-0002-0000-1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7" xr:uid="{00000000-0002-0000-1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7" xr:uid="{00000000-0002-0000-1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7" xr:uid="{00000000-0002-0000-1300-000004000000}">
      <formula1>AND(UPPER(S9)="X",COUNTIF($S9:$U9,"X")&lt;=1)</formula1>
    </dataValidation>
    <dataValidation type="list" showErrorMessage="1" errorTitle="Sentido inválido" error="Use C (crescente) ou D (decrescente)." sqref="B9:B37" xr:uid="{00000000-0002-0000-1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23</oddHeader>
    <oddFooter>&amp;L&amp;7 RTA / MSI — Programa de Manutenção Rodoviária&amp;C&amp;7 Página &amp;P de &amp;N&amp;R&amp;7 Impresso em &amp;D</oddFooter>
  </headerFooter>
  <rowBreaks count="1" manualBreakCount="1">
    <brk id="40" max="16383" man="1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  <pageSetUpPr fitToPage="1"/>
  </sheetPr>
  <dimension ref="A1:AN63"/>
  <sheetViews>
    <sheetView showGridLines="0" workbookViewId="0">
      <pane xSplit="5" ySplit="7" topLeftCell="F29" activePane="bottomRight" state="frozen"/>
      <selection sqref="A1:T1"/>
      <selection pane="topRight" sqref="A1:T1"/>
      <selection pane="bottomLeft" sqref="A1:T1"/>
      <selection pane="bottomRight" activeCell="O41" sqref="O4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IF(F49=0,NA(),F49)</f>
        <v>4.6394745040600007</v>
      </c>
      <c r="Z2" s="2">
        <f t="shared" si="0"/>
        <v>2</v>
      </c>
      <c r="AA2" s="2">
        <f t="shared" si="0"/>
        <v>9.1506575458199997</v>
      </c>
      <c r="AB2" s="2">
        <f t="shared" si="0"/>
        <v>2.3621001742800001</v>
      </c>
      <c r="AC2" s="2">
        <f t="shared" si="0"/>
        <v>7.2953064946900001</v>
      </c>
      <c r="AD2" s="2" t="e">
        <f t="shared" si="0"/>
        <v>#N/A</v>
      </c>
      <c r="AE2" s="2">
        <f t="shared" si="0"/>
        <v>25.447538718850002</v>
      </c>
      <c r="AF2" s="2" t="e">
        <f t="shared" si="0"/>
        <v>#N/A</v>
      </c>
      <c r="AG2" s="2">
        <f t="shared" si="0"/>
        <v>25.447538718850002</v>
      </c>
      <c r="AH2" s="2" t="e">
        <f t="shared" si="0"/>
        <v>#N/A</v>
      </c>
      <c r="AI2" s="2" t="e">
        <f t="shared" si="0"/>
        <v>#N/A</v>
      </c>
      <c r="AJ2" s="2">
        <f t="shared" si="0"/>
        <v>25.447538718850002</v>
      </c>
      <c r="AK2" s="2" t="e">
        <f t="shared" si="0"/>
        <v>#N/A</v>
      </c>
      <c r="AL2" s="2" t="e">
        <f t="shared" si="0"/>
        <v>#N/A</v>
      </c>
      <c r="AM2" s="2">
        <f t="shared" si="0"/>
        <v>25.447538718850002</v>
      </c>
      <c r="AN2" s="2" t="e">
        <f t="shared" si="0"/>
        <v>#N/A</v>
      </c>
    </row>
    <row r="3" spans="1:40" ht="15" customHeight="1" x14ac:dyDescent="0.25">
      <c r="A3" s="49" t="s">
        <v>253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254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255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256</v>
      </c>
      <c r="B9" s="19" t="s">
        <v>68</v>
      </c>
      <c r="C9" s="20">
        <v>0</v>
      </c>
      <c r="D9" s="20">
        <v>1</v>
      </c>
      <c r="E9" s="20">
        <f>D9-C9</f>
        <v>1</v>
      </c>
      <c r="F9" s="21"/>
      <c r="G9" s="21"/>
      <c r="H9" s="21" t="s">
        <v>69</v>
      </c>
      <c r="I9" s="21"/>
      <c r="J9" s="21"/>
      <c r="K9" s="21"/>
      <c r="L9" s="21" t="s">
        <v>69</v>
      </c>
      <c r="M9" s="21"/>
      <c r="N9" s="21" t="s">
        <v>69</v>
      </c>
      <c r="O9" s="21"/>
      <c r="P9" s="21"/>
      <c r="Q9" s="21" t="s">
        <v>69</v>
      </c>
      <c r="R9" s="21"/>
      <c r="S9" s="21"/>
      <c r="T9" s="21" t="s">
        <v>69</v>
      </c>
      <c r="U9" s="21"/>
      <c r="V9" s="22" t="s">
        <v>326</v>
      </c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256</v>
      </c>
      <c r="B10" s="13" t="s">
        <v>68</v>
      </c>
      <c r="C10" s="14">
        <v>1</v>
      </c>
      <c r="D10" s="14">
        <v>1.7025750742100001</v>
      </c>
      <c r="E10" s="14">
        <f>D10-C10</f>
        <v>0.70257507421000009</v>
      </c>
      <c r="F10" s="15"/>
      <c r="G10" s="15"/>
      <c r="H10" s="15" t="s">
        <v>69</v>
      </c>
      <c r="I10" s="15"/>
      <c r="J10" s="15"/>
      <c r="K10" s="15"/>
      <c r="L10" s="15" t="s">
        <v>69</v>
      </c>
      <c r="M10" s="15"/>
      <c r="N10" s="15" t="s">
        <v>69</v>
      </c>
      <c r="O10" s="15"/>
      <c r="P10" s="15"/>
      <c r="Q10" s="15" t="s">
        <v>69</v>
      </c>
      <c r="R10" s="15"/>
      <c r="S10" s="15"/>
      <c r="T10" s="15" t="s">
        <v>69</v>
      </c>
      <c r="U10" s="15"/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35" t="s">
        <v>257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4"/>
      <c r="W11" s="4"/>
    </row>
    <row r="12" spans="1:40" ht="20.100000000000001" customHeight="1" x14ac:dyDescent="0.25">
      <c r="A12" s="18" t="s">
        <v>258</v>
      </c>
      <c r="B12" s="19" t="s">
        <v>68</v>
      </c>
      <c r="C12" s="20">
        <v>0</v>
      </c>
      <c r="D12" s="20">
        <v>1</v>
      </c>
      <c r="E12" s="20">
        <f>D12-C12</f>
        <v>1</v>
      </c>
      <c r="F12" s="21"/>
      <c r="G12" s="21"/>
      <c r="H12" s="21"/>
      <c r="I12" s="21"/>
      <c r="J12" s="21" t="s">
        <v>69</v>
      </c>
      <c r="K12" s="21"/>
      <c r="L12" s="21" t="s">
        <v>69</v>
      </c>
      <c r="M12" s="21"/>
      <c r="N12" s="21" t="s">
        <v>69</v>
      </c>
      <c r="O12" s="21"/>
      <c r="P12" s="21"/>
      <c r="Q12" s="21" t="s">
        <v>69</v>
      </c>
      <c r="R12" s="21"/>
      <c r="S12" s="21"/>
      <c r="T12" s="21" t="s">
        <v>69</v>
      </c>
      <c r="U12" s="21"/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8" t="s">
        <v>258</v>
      </c>
      <c r="B13" s="19" t="s">
        <v>68</v>
      </c>
      <c r="C13" s="20">
        <v>1</v>
      </c>
      <c r="D13" s="20">
        <v>2</v>
      </c>
      <c r="E13" s="20">
        <f>D13-C13</f>
        <v>1</v>
      </c>
      <c r="F13" s="21"/>
      <c r="G13" s="21"/>
      <c r="H13" s="21"/>
      <c r="I13" s="21"/>
      <c r="J13" s="21" t="s">
        <v>69</v>
      </c>
      <c r="K13" s="21"/>
      <c r="L13" s="21" t="s">
        <v>69</v>
      </c>
      <c r="M13" s="21"/>
      <c r="N13" s="21" t="s">
        <v>69</v>
      </c>
      <c r="O13" s="21"/>
      <c r="P13" s="21"/>
      <c r="Q13" s="21" t="s">
        <v>69</v>
      </c>
      <c r="R13" s="21"/>
      <c r="S13" s="21"/>
      <c r="T13" s="21" t="s">
        <v>69</v>
      </c>
      <c r="U13" s="21"/>
      <c r="V13" s="22"/>
      <c r="W13" s="23" t="str">
        <f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20.100000000000001" customHeight="1" x14ac:dyDescent="0.25">
      <c r="A14" s="18" t="s">
        <v>258</v>
      </c>
      <c r="B14" s="19" t="s">
        <v>68</v>
      </c>
      <c r="C14" s="20">
        <v>2</v>
      </c>
      <c r="D14" s="20">
        <v>3</v>
      </c>
      <c r="E14" s="20">
        <f>D14-C14</f>
        <v>1</v>
      </c>
      <c r="F14" s="21"/>
      <c r="G14" s="21"/>
      <c r="H14" s="21" t="s">
        <v>69</v>
      </c>
      <c r="I14" s="21"/>
      <c r="J14" s="21"/>
      <c r="K14" s="21"/>
      <c r="L14" s="21" t="s">
        <v>69</v>
      </c>
      <c r="M14" s="21"/>
      <c r="N14" s="21" t="s">
        <v>69</v>
      </c>
      <c r="O14" s="21"/>
      <c r="P14" s="21"/>
      <c r="Q14" s="21" t="s">
        <v>69</v>
      </c>
      <c r="R14" s="21"/>
      <c r="S14" s="21"/>
      <c r="T14" s="21" t="s">
        <v>69</v>
      </c>
      <c r="U14" s="21"/>
      <c r="V14" s="22"/>
      <c r="W14" s="23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258</v>
      </c>
      <c r="B15" s="13" t="s">
        <v>68</v>
      </c>
      <c r="C15" s="14">
        <v>3</v>
      </c>
      <c r="D15" s="14">
        <v>3.5113933610700001</v>
      </c>
      <c r="E15" s="14">
        <f>D15-C15</f>
        <v>0.51139336107000011</v>
      </c>
      <c r="F15" s="15"/>
      <c r="G15" s="15"/>
      <c r="H15" s="15" t="s">
        <v>69</v>
      </c>
      <c r="I15" s="15"/>
      <c r="J15" s="15"/>
      <c r="K15" s="15"/>
      <c r="L15" s="15" t="s">
        <v>69</v>
      </c>
      <c r="M15" s="15"/>
      <c r="N15" s="15" t="s">
        <v>69</v>
      </c>
      <c r="O15" s="15"/>
      <c r="P15" s="15"/>
      <c r="Q15" s="15" t="s">
        <v>69</v>
      </c>
      <c r="R15" s="15"/>
      <c r="S15" s="15"/>
      <c r="T15" s="15" t="s">
        <v>69</v>
      </c>
      <c r="U15" s="15"/>
      <c r="V15" s="16"/>
      <c r="W15" s="17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15.95" customHeight="1" x14ac:dyDescent="0.25">
      <c r="A16" s="35" t="s">
        <v>259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4"/>
      <c r="W16" s="4"/>
    </row>
    <row r="17" spans="1:23" ht="20.100000000000001" customHeight="1" x14ac:dyDescent="0.25">
      <c r="A17" s="18" t="s">
        <v>260</v>
      </c>
      <c r="B17" s="19" t="s">
        <v>68</v>
      </c>
      <c r="C17" s="20">
        <v>0</v>
      </c>
      <c r="D17" s="20">
        <v>1</v>
      </c>
      <c r="E17" s="20">
        <f>D17-C17</f>
        <v>1</v>
      </c>
      <c r="F17" s="21"/>
      <c r="G17" s="21"/>
      <c r="H17" s="21" t="s">
        <v>69</v>
      </c>
      <c r="I17" s="21"/>
      <c r="J17" s="21"/>
      <c r="K17" s="21"/>
      <c r="L17" s="21" t="s">
        <v>69</v>
      </c>
      <c r="M17" s="21"/>
      <c r="N17" s="21" t="s">
        <v>69</v>
      </c>
      <c r="O17" s="21"/>
      <c r="P17" s="21"/>
      <c r="Q17" s="21" t="s">
        <v>69</v>
      </c>
      <c r="R17" s="21"/>
      <c r="S17" s="21"/>
      <c r="T17" s="21" t="s">
        <v>69</v>
      </c>
      <c r="U17" s="21"/>
      <c r="V17" s="22"/>
      <c r="W17" s="23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8" t="s">
        <v>260</v>
      </c>
      <c r="B18" s="19" t="s">
        <v>68</v>
      </c>
      <c r="C18" s="20">
        <v>1</v>
      </c>
      <c r="D18" s="20">
        <v>2</v>
      </c>
      <c r="E18" s="20">
        <f>D18-C18</f>
        <v>1</v>
      </c>
      <c r="F18" s="21"/>
      <c r="G18" s="21"/>
      <c r="H18" s="21"/>
      <c r="I18" s="21"/>
      <c r="J18" s="21" t="s">
        <v>69</v>
      </c>
      <c r="K18" s="21"/>
      <c r="L18" s="21" t="s">
        <v>69</v>
      </c>
      <c r="M18" s="21"/>
      <c r="N18" s="21" t="s">
        <v>69</v>
      </c>
      <c r="O18" s="21"/>
      <c r="P18" s="21"/>
      <c r="Q18" s="21" t="s">
        <v>69</v>
      </c>
      <c r="R18" s="21"/>
      <c r="S18" s="21"/>
      <c r="T18" s="21" t="s">
        <v>69</v>
      </c>
      <c r="U18" s="21"/>
      <c r="V18" s="22"/>
      <c r="W18" s="23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8" t="s">
        <v>260</v>
      </c>
      <c r="B19" s="19" t="s">
        <v>68</v>
      </c>
      <c r="C19" s="20">
        <v>2</v>
      </c>
      <c r="D19" s="20">
        <v>3</v>
      </c>
      <c r="E19" s="20">
        <f>D19-C19</f>
        <v>1</v>
      </c>
      <c r="F19" s="21"/>
      <c r="G19" s="21"/>
      <c r="H19" s="21"/>
      <c r="I19" s="21"/>
      <c r="J19" s="21" t="s">
        <v>69</v>
      </c>
      <c r="K19" s="21"/>
      <c r="L19" s="21" t="s">
        <v>69</v>
      </c>
      <c r="M19" s="21"/>
      <c r="N19" s="21" t="s">
        <v>69</v>
      </c>
      <c r="O19" s="21"/>
      <c r="P19" s="21"/>
      <c r="Q19" s="21" t="s">
        <v>69</v>
      </c>
      <c r="R19" s="21"/>
      <c r="S19" s="21"/>
      <c r="T19" s="21" t="s">
        <v>69</v>
      </c>
      <c r="U19" s="21"/>
      <c r="V19" s="22"/>
      <c r="W19" s="23" t="str">
        <f>IF(COUNTA(F19:U19)=0,"— não preenchido",IF(COUNTIF(F19:J19,"X")&lt;&gt;1,"FALTA/DUPLA: CONDIÇÃO DO PAVIMENTO",IF(COUNTIF(K19:L19,"X")&lt;&gt;1,"FALTA/DUPLA: VEGETAÇÃO",IF(COUNTIF(M19:O19,"X")&lt;&gt;1,"FALTA/DUPLA: ELEM. DE DRENAGEM",IF(COUNTIF(P19:R19,"X")&lt;&gt;1,"FALTA/DUPLA: SIN. HORIZ.",IF(COUNTIF(S19:U19,"X")&lt;&gt;1,"FALTA/DUPLA: SIN. VERTICAL","OK"))))))</f>
        <v>OK</v>
      </c>
    </row>
    <row r="20" spans="1:23" ht="20.100000000000001" customHeight="1" x14ac:dyDescent="0.25">
      <c r="A20" s="12" t="s">
        <v>260</v>
      </c>
      <c r="B20" s="13" t="s">
        <v>68</v>
      </c>
      <c r="C20" s="14">
        <v>3</v>
      </c>
      <c r="D20" s="14">
        <v>3.2953064946900001</v>
      </c>
      <c r="E20" s="14">
        <f>D20-C20</f>
        <v>0.29530649469000014</v>
      </c>
      <c r="F20" s="15"/>
      <c r="G20" s="15"/>
      <c r="H20" s="15"/>
      <c r="I20" s="15"/>
      <c r="J20" s="15" t="s">
        <v>69</v>
      </c>
      <c r="K20" s="15"/>
      <c r="L20" s="15" t="s">
        <v>69</v>
      </c>
      <c r="M20" s="15"/>
      <c r="N20" s="15" t="s">
        <v>69</v>
      </c>
      <c r="O20" s="15"/>
      <c r="P20" s="15"/>
      <c r="Q20" s="15" t="s">
        <v>69</v>
      </c>
      <c r="R20" s="15"/>
      <c r="S20" s="15"/>
      <c r="T20" s="15" t="s">
        <v>69</v>
      </c>
      <c r="U20" s="15"/>
      <c r="V20" s="16"/>
      <c r="W20" s="17" t="str">
        <f>IF(COUNTA(F20:U20)=0,"— não preenchido",IF(COUNTIF(F20:J20,"X")&lt;&gt;1,"FALTA/DUPLA: CONDIÇÃO DO PAVIMENTO",IF(COUNTIF(K20:L20,"X")&lt;&gt;1,"FALTA/DUPLA: VEGETAÇÃO",IF(COUNTIF(M20:O20,"X")&lt;&gt;1,"FALTA/DUPLA: ELEM. DE DRENAGEM",IF(COUNTIF(P20:R20,"X")&lt;&gt;1,"FALTA/DUPLA: SIN. HORIZ.",IF(COUNTIF(S20:U20,"X")&lt;&gt;1,"FALTA/DUPLA: SIN. VERTICAL","OK"))))))</f>
        <v>OK</v>
      </c>
    </row>
    <row r="21" spans="1:23" ht="15.95" customHeight="1" x14ac:dyDescent="0.25">
      <c r="A21" s="35" t="s">
        <v>261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4"/>
      <c r="W21" s="4"/>
    </row>
    <row r="22" spans="1:23" ht="20.100000000000001" customHeight="1" x14ac:dyDescent="0.25">
      <c r="A22" s="18" t="s">
        <v>262</v>
      </c>
      <c r="B22" s="19" t="s">
        <v>68</v>
      </c>
      <c r="C22" s="20">
        <v>0</v>
      </c>
      <c r="D22" s="20">
        <v>1</v>
      </c>
      <c r="E22" s="20">
        <f t="shared" ref="E22:E30" si="1">D22-C22</f>
        <v>1</v>
      </c>
      <c r="F22" s="21"/>
      <c r="G22" s="21"/>
      <c r="H22" s="21"/>
      <c r="I22" s="21"/>
      <c r="J22" s="21" t="s">
        <v>69</v>
      </c>
      <c r="K22" s="21"/>
      <c r="L22" s="21" t="s">
        <v>69</v>
      </c>
      <c r="M22" s="21"/>
      <c r="N22" s="21" t="s">
        <v>69</v>
      </c>
      <c r="O22" s="21"/>
      <c r="P22" s="21"/>
      <c r="Q22" s="21" t="s">
        <v>69</v>
      </c>
      <c r="R22" s="21"/>
      <c r="S22" s="21"/>
      <c r="T22" s="21" t="s">
        <v>69</v>
      </c>
      <c r="U22" s="21"/>
      <c r="V22" s="22"/>
      <c r="W22" s="23" t="str">
        <f t="shared" ref="W22:W30" si="2"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8" t="s">
        <v>262</v>
      </c>
      <c r="B23" s="19" t="s">
        <v>68</v>
      </c>
      <c r="C23" s="20">
        <v>1</v>
      </c>
      <c r="D23" s="20">
        <v>2</v>
      </c>
      <c r="E23" s="20">
        <f t="shared" si="1"/>
        <v>1</v>
      </c>
      <c r="F23" s="21"/>
      <c r="G23" s="21"/>
      <c r="H23" s="21" t="s">
        <v>69</v>
      </c>
      <c r="I23" s="21"/>
      <c r="J23" s="21"/>
      <c r="K23" s="21"/>
      <c r="L23" s="21" t="s">
        <v>69</v>
      </c>
      <c r="M23" s="21"/>
      <c r="N23" s="21" t="s">
        <v>69</v>
      </c>
      <c r="O23" s="21"/>
      <c r="P23" s="21"/>
      <c r="Q23" s="21" t="s">
        <v>69</v>
      </c>
      <c r="R23" s="21"/>
      <c r="S23" s="21"/>
      <c r="T23" s="21" t="s">
        <v>69</v>
      </c>
      <c r="U23" s="21"/>
      <c r="V23" s="22"/>
      <c r="W23" s="23" t="str">
        <f t="shared" si="2"/>
        <v>OK</v>
      </c>
    </row>
    <row r="24" spans="1:23" ht="20.100000000000001" customHeight="1" x14ac:dyDescent="0.25">
      <c r="A24" s="18" t="s">
        <v>262</v>
      </c>
      <c r="B24" s="19" t="s">
        <v>68</v>
      </c>
      <c r="C24" s="20">
        <v>2</v>
      </c>
      <c r="D24" s="20">
        <v>3</v>
      </c>
      <c r="E24" s="20">
        <f t="shared" si="1"/>
        <v>1</v>
      </c>
      <c r="F24" s="21"/>
      <c r="G24" s="21"/>
      <c r="H24" s="21" t="s">
        <v>69</v>
      </c>
      <c r="I24" s="21"/>
      <c r="J24" s="21"/>
      <c r="K24" s="21"/>
      <c r="L24" s="21" t="s">
        <v>69</v>
      </c>
      <c r="M24" s="21"/>
      <c r="N24" s="21" t="s">
        <v>69</v>
      </c>
      <c r="O24" s="21"/>
      <c r="P24" s="21"/>
      <c r="Q24" s="21" t="s">
        <v>69</v>
      </c>
      <c r="R24" s="21"/>
      <c r="S24" s="21"/>
      <c r="T24" s="21" t="s">
        <v>69</v>
      </c>
      <c r="U24" s="21"/>
      <c r="V24" s="22"/>
      <c r="W24" s="23" t="str">
        <f t="shared" si="2"/>
        <v>OK</v>
      </c>
    </row>
    <row r="25" spans="1:23" ht="20.100000000000001" customHeight="1" x14ac:dyDescent="0.25">
      <c r="A25" s="18" t="s">
        <v>262</v>
      </c>
      <c r="B25" s="19" t="s">
        <v>68</v>
      </c>
      <c r="C25" s="20">
        <v>3</v>
      </c>
      <c r="D25" s="20">
        <v>4</v>
      </c>
      <c r="E25" s="20">
        <f t="shared" si="1"/>
        <v>1</v>
      </c>
      <c r="F25" s="21"/>
      <c r="G25" s="21" t="s">
        <v>69</v>
      </c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/>
      <c r="Q25" s="21" t="s">
        <v>69</v>
      </c>
      <c r="R25" s="21"/>
      <c r="S25" s="21"/>
      <c r="T25" s="21" t="s">
        <v>69</v>
      </c>
      <c r="U25" s="21"/>
      <c r="V25" s="22"/>
      <c r="W25" s="23" t="str">
        <f t="shared" si="2"/>
        <v>OK</v>
      </c>
    </row>
    <row r="26" spans="1:23" ht="20.100000000000001" customHeight="1" x14ac:dyDescent="0.25">
      <c r="A26" s="18" t="s">
        <v>262</v>
      </c>
      <c r="B26" s="19" t="s">
        <v>68</v>
      </c>
      <c r="C26" s="20">
        <v>4</v>
      </c>
      <c r="D26" s="20">
        <v>5</v>
      </c>
      <c r="E26" s="20">
        <f t="shared" si="1"/>
        <v>1</v>
      </c>
      <c r="F26" s="21"/>
      <c r="G26" s="21" t="s">
        <v>69</v>
      </c>
      <c r="H26" s="21"/>
      <c r="I26" s="21"/>
      <c r="J26" s="21"/>
      <c r="K26" s="21"/>
      <c r="L26" s="21" t="s">
        <v>69</v>
      </c>
      <c r="M26" s="21"/>
      <c r="N26" s="21" t="s">
        <v>69</v>
      </c>
      <c r="O26" s="21"/>
      <c r="P26" s="21"/>
      <c r="Q26" s="21" t="s">
        <v>69</v>
      </c>
      <c r="R26" s="21"/>
      <c r="S26" s="21"/>
      <c r="T26" s="21" t="s">
        <v>69</v>
      </c>
      <c r="U26" s="21"/>
      <c r="V26" s="22"/>
      <c r="W26" s="23" t="str">
        <f t="shared" si="2"/>
        <v>OK</v>
      </c>
    </row>
    <row r="27" spans="1:23" ht="20.100000000000001" customHeight="1" x14ac:dyDescent="0.25">
      <c r="A27" s="18" t="s">
        <v>262</v>
      </c>
      <c r="B27" s="19" t="s">
        <v>68</v>
      </c>
      <c r="C27" s="20">
        <v>5</v>
      </c>
      <c r="D27" s="20">
        <v>6</v>
      </c>
      <c r="E27" s="20">
        <f t="shared" si="1"/>
        <v>1</v>
      </c>
      <c r="F27" s="21"/>
      <c r="G27" s="21"/>
      <c r="H27" s="21"/>
      <c r="I27" s="21" t="s">
        <v>69</v>
      </c>
      <c r="J27" s="21"/>
      <c r="K27" s="21"/>
      <c r="L27" s="21" t="s">
        <v>69</v>
      </c>
      <c r="M27" s="21"/>
      <c r="N27" s="21" t="s">
        <v>69</v>
      </c>
      <c r="O27" s="21"/>
      <c r="P27" s="21"/>
      <c r="Q27" s="21" t="s">
        <v>69</v>
      </c>
      <c r="R27" s="21"/>
      <c r="S27" s="21"/>
      <c r="T27" s="21" t="s">
        <v>69</v>
      </c>
      <c r="U27" s="21"/>
      <c r="V27" s="22"/>
      <c r="W27" s="23" t="str">
        <f t="shared" si="2"/>
        <v>OK</v>
      </c>
    </row>
    <row r="28" spans="1:23" ht="20.100000000000001" customHeight="1" x14ac:dyDescent="0.25">
      <c r="A28" s="18" t="s">
        <v>262</v>
      </c>
      <c r="B28" s="19" t="s">
        <v>68</v>
      </c>
      <c r="C28" s="20">
        <v>6</v>
      </c>
      <c r="D28" s="20">
        <v>7</v>
      </c>
      <c r="E28" s="20">
        <f t="shared" si="1"/>
        <v>1</v>
      </c>
      <c r="F28" s="21"/>
      <c r="G28" s="21"/>
      <c r="H28" s="21"/>
      <c r="I28" s="21" t="s">
        <v>69</v>
      </c>
      <c r="J28" s="21"/>
      <c r="K28" s="21"/>
      <c r="L28" s="21" t="s">
        <v>69</v>
      </c>
      <c r="M28" s="21"/>
      <c r="N28" s="21" t="s">
        <v>69</v>
      </c>
      <c r="O28" s="21"/>
      <c r="P28" s="21"/>
      <c r="Q28" s="21" t="s">
        <v>69</v>
      </c>
      <c r="R28" s="21"/>
      <c r="S28" s="21"/>
      <c r="T28" s="21" t="s">
        <v>69</v>
      </c>
      <c r="U28" s="21"/>
      <c r="V28" s="22"/>
      <c r="W28" s="23" t="str">
        <f t="shared" si="2"/>
        <v>OK</v>
      </c>
    </row>
    <row r="29" spans="1:23" ht="20.100000000000001" customHeight="1" x14ac:dyDescent="0.25">
      <c r="A29" s="18" t="s">
        <v>262</v>
      </c>
      <c r="B29" s="19" t="s">
        <v>68</v>
      </c>
      <c r="C29" s="20">
        <v>7</v>
      </c>
      <c r="D29" s="20">
        <v>8</v>
      </c>
      <c r="E29" s="20">
        <f t="shared" si="1"/>
        <v>1</v>
      </c>
      <c r="F29" s="21"/>
      <c r="G29" s="21"/>
      <c r="H29" s="21" t="s">
        <v>69</v>
      </c>
      <c r="I29" s="21"/>
      <c r="J29" s="21"/>
      <c r="K29" s="21"/>
      <c r="L29" s="21" t="s">
        <v>69</v>
      </c>
      <c r="M29" s="21"/>
      <c r="N29" s="21" t="s">
        <v>69</v>
      </c>
      <c r="O29" s="21"/>
      <c r="P29" s="21"/>
      <c r="Q29" s="21" t="s">
        <v>69</v>
      </c>
      <c r="R29" s="21"/>
      <c r="S29" s="21"/>
      <c r="T29" s="21" t="s">
        <v>69</v>
      </c>
      <c r="U29" s="21"/>
      <c r="V29" s="22"/>
      <c r="W29" s="23" t="str">
        <f t="shared" si="2"/>
        <v>OK</v>
      </c>
    </row>
    <row r="30" spans="1:23" ht="20.100000000000001" customHeight="1" x14ac:dyDescent="0.25">
      <c r="A30" s="12" t="s">
        <v>262</v>
      </c>
      <c r="B30" s="13" t="s">
        <v>68</v>
      </c>
      <c r="C30" s="14">
        <v>8</v>
      </c>
      <c r="D30" s="14">
        <v>8.9366891105399997</v>
      </c>
      <c r="E30" s="14">
        <f t="shared" si="1"/>
        <v>0.9366891105399997</v>
      </c>
      <c r="F30" s="15"/>
      <c r="G30" s="15"/>
      <c r="H30" s="15" t="s">
        <v>69</v>
      </c>
      <c r="I30" s="15"/>
      <c r="J30" s="15"/>
      <c r="K30" s="15"/>
      <c r="L30" s="15" t="s">
        <v>69</v>
      </c>
      <c r="M30" s="15"/>
      <c r="N30" s="15" t="s">
        <v>69</v>
      </c>
      <c r="O30" s="15"/>
      <c r="P30" s="15"/>
      <c r="Q30" s="15" t="s">
        <v>69</v>
      </c>
      <c r="R30" s="15"/>
      <c r="S30" s="15"/>
      <c r="T30" s="15" t="s">
        <v>69</v>
      </c>
      <c r="U30" s="15"/>
      <c r="V30" s="16"/>
      <c r="W30" s="17" t="str">
        <f t="shared" si="2"/>
        <v>OK</v>
      </c>
    </row>
    <row r="31" spans="1:23" ht="15.95" customHeight="1" x14ac:dyDescent="0.25">
      <c r="A31" s="35" t="s">
        <v>263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4"/>
      <c r="W31" s="4"/>
    </row>
    <row r="32" spans="1:23" ht="20.100000000000001" customHeight="1" x14ac:dyDescent="0.25">
      <c r="A32" s="18" t="s">
        <v>264</v>
      </c>
      <c r="B32" s="19" t="s">
        <v>68</v>
      </c>
      <c r="C32" s="20">
        <v>0</v>
      </c>
      <c r="D32" s="20">
        <v>1</v>
      </c>
      <c r="E32" s="20">
        <f>D32-C32</f>
        <v>1</v>
      </c>
      <c r="F32" s="21"/>
      <c r="G32" s="21"/>
      <c r="H32" s="21" t="s">
        <v>69</v>
      </c>
      <c r="I32" s="21"/>
      <c r="J32" s="21"/>
      <c r="K32" s="21"/>
      <c r="L32" s="21" t="s">
        <v>69</v>
      </c>
      <c r="M32" s="21"/>
      <c r="N32" s="21" t="s">
        <v>69</v>
      </c>
      <c r="O32" s="21"/>
      <c r="P32" s="21"/>
      <c r="Q32" s="21" t="s">
        <v>69</v>
      </c>
      <c r="R32" s="21"/>
      <c r="S32" s="21"/>
      <c r="T32" s="21" t="s">
        <v>69</v>
      </c>
      <c r="U32" s="21"/>
      <c r="V32" s="22"/>
      <c r="W32" s="23" t="str">
        <f>IF(COUNTA(F32:U32)=0,"— não preenchido",IF(COUNTIF(F32:J32,"X")&lt;&gt;1,"FALTA/DUPLA: CONDIÇÃO DO PAVIMENTO",IF(COUNTIF(K32:L32,"X")&lt;&gt;1,"FALTA/DUPLA: VEGETAÇÃO",IF(COUNTIF(M32:O32,"X")&lt;&gt;1,"FALTA/DUPLA: ELEM. DE DRENAGEM",IF(COUNTIF(P32:R32,"X")&lt;&gt;1,"FALTA/DUPLA: SIN. HORIZ.",IF(COUNTIF(S32:U32,"X")&lt;&gt;1,"FALTA/DUPLA: SIN. VERTICAL","OK"))))))</f>
        <v>OK</v>
      </c>
    </row>
    <row r="33" spans="1:23" ht="20.100000000000001" customHeight="1" x14ac:dyDescent="0.25">
      <c r="A33" s="18" t="s">
        <v>264</v>
      </c>
      <c r="B33" s="19" t="s">
        <v>68</v>
      </c>
      <c r="C33" s="20">
        <v>1</v>
      </c>
      <c r="D33" s="20">
        <v>2</v>
      </c>
      <c r="E33" s="20">
        <f>D33-C33</f>
        <v>1</v>
      </c>
      <c r="F33" s="21"/>
      <c r="G33" s="21"/>
      <c r="H33" s="21"/>
      <c r="I33" s="21"/>
      <c r="J33" s="21" t="s">
        <v>69</v>
      </c>
      <c r="K33" s="21"/>
      <c r="L33" s="21" t="s">
        <v>69</v>
      </c>
      <c r="M33" s="21"/>
      <c r="N33" s="21" t="s">
        <v>69</v>
      </c>
      <c r="O33" s="21"/>
      <c r="P33" s="21"/>
      <c r="Q33" s="21" t="s">
        <v>69</v>
      </c>
      <c r="R33" s="21"/>
      <c r="S33" s="21"/>
      <c r="T33" s="21" t="s">
        <v>69</v>
      </c>
      <c r="U33" s="21"/>
      <c r="V33" s="22"/>
      <c r="W33" s="23" t="str">
        <f>IF(COUNTA(F33:U33)=0,"— não preenchido",IF(COUNTIF(F33:J33,"X")&lt;&gt;1,"FALTA/DUPLA: CONDIÇÃO DO PAVIMENTO",IF(COUNTIF(K33:L33,"X")&lt;&gt;1,"FALTA/DUPLA: VEGETAÇÃO",IF(COUNTIF(M33:O33,"X")&lt;&gt;1,"FALTA/DUPLA: ELEM. DE DRENAGEM",IF(COUNTIF(P33:R33,"X")&lt;&gt;1,"FALTA/DUPLA: SIN. HORIZ.",IF(COUNTIF(S33:U33,"X")&lt;&gt;1,"FALTA/DUPLA: SIN. VERTICAL","OK"))))))</f>
        <v>OK</v>
      </c>
    </row>
    <row r="34" spans="1:23" ht="20.100000000000001" customHeight="1" x14ac:dyDescent="0.25">
      <c r="A34" s="18" t="s">
        <v>264</v>
      </c>
      <c r="B34" s="19" t="s">
        <v>68</v>
      </c>
      <c r="C34" s="20">
        <v>2</v>
      </c>
      <c r="D34" s="20">
        <v>3</v>
      </c>
      <c r="E34" s="20">
        <f>D34-C34</f>
        <v>1</v>
      </c>
      <c r="F34" s="21"/>
      <c r="G34" s="21"/>
      <c r="H34" s="21"/>
      <c r="I34" s="21"/>
      <c r="J34" s="21" t="s">
        <v>69</v>
      </c>
      <c r="K34" s="21"/>
      <c r="L34" s="21" t="s">
        <v>69</v>
      </c>
      <c r="M34" s="21"/>
      <c r="N34" s="21" t="s">
        <v>69</v>
      </c>
      <c r="O34" s="21"/>
      <c r="P34" s="21"/>
      <c r="Q34" s="21" t="s">
        <v>69</v>
      </c>
      <c r="R34" s="21"/>
      <c r="S34" s="21"/>
      <c r="T34" s="21" t="s">
        <v>69</v>
      </c>
      <c r="U34" s="21"/>
      <c r="V34" s="22"/>
      <c r="W34" s="23" t="str">
        <f>IF(COUNTA(F34:U34)=0,"— não preenchido",IF(COUNTIF(F34:J34,"X")&lt;&gt;1,"FALTA/DUPLA: CONDIÇÃO DO PAVIMENTO",IF(COUNTIF(K34:L34,"X")&lt;&gt;1,"FALTA/DUPLA: VEGETAÇÃO",IF(COUNTIF(M34:O34,"X")&lt;&gt;1,"FALTA/DUPLA: ELEM. DE DRENAGEM",IF(COUNTIF(P34:R34,"X")&lt;&gt;1,"FALTA/DUPLA: SIN. HORIZ.",IF(COUNTIF(S34:U34,"X")&lt;&gt;1,"FALTA/DUPLA: SIN. VERTICAL","OK"))))))</f>
        <v>OK</v>
      </c>
    </row>
    <row r="35" spans="1:23" ht="20.100000000000001" customHeight="1" x14ac:dyDescent="0.25">
      <c r="A35" s="12" t="s">
        <v>264</v>
      </c>
      <c r="B35" s="13" t="s">
        <v>68</v>
      </c>
      <c r="C35" s="14">
        <v>3</v>
      </c>
      <c r="D35" s="14">
        <v>3.3621001742800001</v>
      </c>
      <c r="E35" s="14">
        <f>D35-C35</f>
        <v>0.36210017428000008</v>
      </c>
      <c r="F35" s="15"/>
      <c r="G35" s="15"/>
      <c r="H35" s="15"/>
      <c r="I35" s="15" t="s">
        <v>69</v>
      </c>
      <c r="J35" s="15"/>
      <c r="K35" s="15"/>
      <c r="L35" s="15" t="s">
        <v>69</v>
      </c>
      <c r="M35" s="15"/>
      <c r="N35" s="15" t="s">
        <v>69</v>
      </c>
      <c r="O35" s="15"/>
      <c r="P35" s="15"/>
      <c r="Q35" s="15" t="s">
        <v>69</v>
      </c>
      <c r="R35" s="15"/>
      <c r="S35" s="15"/>
      <c r="T35" s="15" t="s">
        <v>69</v>
      </c>
      <c r="U35" s="15"/>
      <c r="V35" s="16"/>
      <c r="W35" s="17" t="str">
        <f>IF(COUNTA(F35:U35)=0,"— não preenchido",IF(COUNTIF(F35:J35,"X")&lt;&gt;1,"FALTA/DUPLA: CONDIÇÃO DO PAVIMENTO",IF(COUNTIF(K35:L35,"X")&lt;&gt;1,"FALTA/DUPLA: VEGETAÇÃO",IF(COUNTIF(M35:O35,"X")&lt;&gt;1,"FALTA/DUPLA: ELEM. DE DRENAGEM",IF(COUNTIF(P35:R35,"X")&lt;&gt;1,"FALTA/DUPLA: SIN. HORIZ.",IF(COUNTIF(S35:U35,"X")&lt;&gt;1,"FALTA/DUPLA: SIN. VERTICAL","OK"))))))</f>
        <v>OK</v>
      </c>
    </row>
    <row r="36" spans="1:23" ht="15.95" customHeight="1" x14ac:dyDescent="0.25">
      <c r="A36" s="35" t="s">
        <v>265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4"/>
      <c r="W36" s="4"/>
    </row>
    <row r="37" spans="1:23" ht="20.100000000000001" customHeight="1" x14ac:dyDescent="0.25">
      <c r="A37" s="18" t="s">
        <v>266</v>
      </c>
      <c r="B37" s="19" t="s">
        <v>68</v>
      </c>
      <c r="C37" s="20">
        <v>0</v>
      </c>
      <c r="D37" s="20">
        <v>1</v>
      </c>
      <c r="E37" s="20">
        <f>D37-C37</f>
        <v>1</v>
      </c>
      <c r="F37" s="21" t="s">
        <v>69</v>
      </c>
      <c r="G37" s="21"/>
      <c r="H37" s="21"/>
      <c r="I37" s="21"/>
      <c r="J37" s="21"/>
      <c r="K37" s="21"/>
      <c r="L37" s="21" t="s">
        <v>69</v>
      </c>
      <c r="M37" s="21"/>
      <c r="N37" s="21" t="s">
        <v>69</v>
      </c>
      <c r="O37" s="21"/>
      <c r="P37" s="21"/>
      <c r="Q37" s="21" t="s">
        <v>69</v>
      </c>
      <c r="R37" s="21"/>
      <c r="S37" s="21"/>
      <c r="T37" s="21" t="s">
        <v>69</v>
      </c>
      <c r="U37" s="21"/>
      <c r="V37" s="22"/>
      <c r="W37" s="23" t="str">
        <f>IF(COUNTA(F37:U37)=0,"— não preenchido",IF(COUNTIF(F37:J37,"X")&lt;&gt;1,"FALTA/DUPLA: CONDIÇÃO DO PAVIMENTO",IF(COUNTIF(K37:L37,"X")&lt;&gt;1,"FALTA/DUPLA: VEGETAÇÃO",IF(COUNTIF(M37:O37,"X")&lt;&gt;1,"FALTA/DUPLA: ELEM. DE DRENAGEM",IF(COUNTIF(P37:R37,"X")&lt;&gt;1,"FALTA/DUPLA: SIN. HORIZ.",IF(COUNTIF(S37:U37,"X")&lt;&gt;1,"FALTA/DUPLA: SIN. VERTICAL","OK"))))))</f>
        <v>OK</v>
      </c>
    </row>
    <row r="38" spans="1:23" ht="20.100000000000001" customHeight="1" x14ac:dyDescent="0.25">
      <c r="A38" s="18" t="s">
        <v>266</v>
      </c>
      <c r="B38" s="19" t="s">
        <v>68</v>
      </c>
      <c r="C38" s="20">
        <v>1</v>
      </c>
      <c r="D38" s="20">
        <v>2</v>
      </c>
      <c r="E38" s="20">
        <f>D38-C38</f>
        <v>1</v>
      </c>
      <c r="F38" s="21" t="s">
        <v>69</v>
      </c>
      <c r="G38" s="21"/>
      <c r="H38" s="21"/>
      <c r="I38" s="21"/>
      <c r="J38" s="21"/>
      <c r="K38" s="21"/>
      <c r="L38" s="21" t="s">
        <v>69</v>
      </c>
      <c r="M38" s="21"/>
      <c r="N38" s="21" t="s">
        <v>69</v>
      </c>
      <c r="O38" s="21"/>
      <c r="P38" s="21"/>
      <c r="Q38" s="21" t="s">
        <v>69</v>
      </c>
      <c r="R38" s="21"/>
      <c r="S38" s="21"/>
      <c r="T38" s="21" t="s">
        <v>69</v>
      </c>
      <c r="U38" s="21"/>
      <c r="V38" s="22"/>
      <c r="W38" s="23" t="str">
        <f>IF(COUNTA(F38:U38)=0,"— não preenchido",IF(COUNTIF(F38:J38,"X")&lt;&gt;1,"FALTA/DUPLA: CONDIÇÃO DO PAVIMENTO",IF(COUNTIF(K38:L38,"X")&lt;&gt;1,"FALTA/DUPLA: VEGETAÇÃO",IF(COUNTIF(M38:O38,"X")&lt;&gt;1,"FALTA/DUPLA: ELEM. DE DRENAGEM",IF(COUNTIF(P38:R38,"X")&lt;&gt;1,"FALTA/DUPLA: SIN. HORIZ.",IF(COUNTIF(S38:U38,"X")&lt;&gt;1,"FALTA/DUPLA: SIN. VERTICAL","OK"))))))</f>
        <v>OK</v>
      </c>
    </row>
    <row r="39" spans="1:23" ht="20.100000000000001" customHeight="1" thickBot="1" x14ac:dyDescent="0.3">
      <c r="A39" s="12" t="s">
        <v>266</v>
      </c>
      <c r="B39" s="13" t="s">
        <v>68</v>
      </c>
      <c r="C39" s="14">
        <v>2</v>
      </c>
      <c r="D39" s="14">
        <v>2.4541499881600002</v>
      </c>
      <c r="E39" s="14">
        <f>D39-C39</f>
        <v>0.45414998816000018</v>
      </c>
      <c r="F39" s="15" t="s">
        <v>69</v>
      </c>
      <c r="G39" s="15"/>
      <c r="H39" s="15"/>
      <c r="I39" s="15"/>
      <c r="J39" s="15"/>
      <c r="K39" s="15"/>
      <c r="L39" s="15" t="s">
        <v>69</v>
      </c>
      <c r="M39" s="15"/>
      <c r="N39" s="15" t="s">
        <v>69</v>
      </c>
      <c r="O39" s="15"/>
      <c r="P39" s="15"/>
      <c r="Q39" s="15" t="s">
        <v>69</v>
      </c>
      <c r="R39" s="15"/>
      <c r="S39" s="15"/>
      <c r="T39" s="15" t="s">
        <v>69</v>
      </c>
      <c r="U39" s="15"/>
      <c r="V39" s="16"/>
      <c r="W39" s="17" t="str">
        <f>IF(COUNTA(F39:U39)=0,"— não preenchido",IF(COUNTIF(F39:J39,"X")&lt;&gt;1,"FALTA/DUPLA: CONDIÇÃO DO PAVIMENTO",IF(COUNTIF(K39:L39,"X")&lt;&gt;1,"FALTA/DUPLA: VEGETAÇÃO",IF(COUNTIF(M39:O39,"X")&lt;&gt;1,"FALTA/DUPLA: ELEM. DE DRENAGEM",IF(COUNTIF(P39:R39,"X")&lt;&gt;1,"FALTA/DUPLA: SIN. HORIZ.",IF(COUNTIF(S39:U39,"X")&lt;&gt;1,"FALTA/DUPLA: SIN. VERTICAL","OK"))))))</f>
        <v>OK</v>
      </c>
    </row>
    <row r="40" spans="1:23" ht="15.95" customHeight="1" x14ac:dyDescent="0.25">
      <c r="A40" s="35" t="s">
        <v>267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4"/>
      <c r="W40" s="4"/>
    </row>
    <row r="41" spans="1:23" ht="20.100000000000001" customHeight="1" x14ac:dyDescent="0.25">
      <c r="A41" s="18" t="s">
        <v>268</v>
      </c>
      <c r="B41" s="19" t="s">
        <v>68</v>
      </c>
      <c r="C41" s="20">
        <v>0</v>
      </c>
      <c r="D41" s="20">
        <v>1</v>
      </c>
      <c r="E41" s="20">
        <f>D41-C41</f>
        <v>1</v>
      </c>
      <c r="F41" s="21" t="s">
        <v>69</v>
      </c>
      <c r="G41" s="21"/>
      <c r="H41" s="21"/>
      <c r="I41" s="21"/>
      <c r="J41" s="21"/>
      <c r="K41" s="21"/>
      <c r="L41" s="21" t="s">
        <v>69</v>
      </c>
      <c r="M41" s="21"/>
      <c r="N41" s="21" t="s">
        <v>69</v>
      </c>
      <c r="O41" s="21"/>
      <c r="P41" s="21"/>
      <c r="Q41" s="21" t="s">
        <v>69</v>
      </c>
      <c r="R41" s="21"/>
      <c r="S41" s="21"/>
      <c r="T41" s="21" t="s">
        <v>69</v>
      </c>
      <c r="U41" s="21"/>
      <c r="V41" s="22"/>
      <c r="W41" s="23" t="str">
        <f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8" t="s">
        <v>268</v>
      </c>
      <c r="B42" s="19" t="s">
        <v>68</v>
      </c>
      <c r="C42" s="20">
        <v>1</v>
      </c>
      <c r="D42" s="20">
        <v>2</v>
      </c>
      <c r="E42" s="20">
        <f>D42-C42</f>
        <v>1</v>
      </c>
      <c r="F42" s="21" t="s">
        <v>69</v>
      </c>
      <c r="G42" s="21"/>
      <c r="H42" s="21"/>
      <c r="I42" s="21"/>
      <c r="J42" s="21"/>
      <c r="K42" s="21"/>
      <c r="L42" s="21" t="s">
        <v>69</v>
      </c>
      <c r="M42" s="21"/>
      <c r="N42" s="21" t="s">
        <v>69</v>
      </c>
      <c r="O42" s="21"/>
      <c r="P42" s="21"/>
      <c r="Q42" s="21" t="s">
        <v>69</v>
      </c>
      <c r="R42" s="21"/>
      <c r="S42" s="21"/>
      <c r="T42" s="21" t="s">
        <v>69</v>
      </c>
      <c r="U42" s="21"/>
      <c r="V42" s="22"/>
      <c r="W42" s="23" t="str">
        <f>IF(COUNTA(F42:U42)=0,"— não preenchido",IF(COUNTIF(F42:J42,"X")&lt;&gt;1,"FALTA/DUPLA: CONDIÇÃO DO PAVIMENTO",IF(COUNTIF(K42:L42,"X")&lt;&gt;1,"FALTA/DUPLA: VEGETAÇÃO",IF(COUNTIF(M42:O42,"X")&lt;&gt;1,"FALTA/DUPLA: ELEM. DE DRENAGEM",IF(COUNTIF(P42:R42,"X")&lt;&gt;1,"FALTA/DUPLA: SIN. HORIZ.",IF(COUNTIF(S42:U42,"X")&lt;&gt;1,"FALTA/DUPLA: SIN. VERTICAL","OK"))))))</f>
        <v>OK</v>
      </c>
    </row>
    <row r="43" spans="1:23" ht="20.100000000000001" customHeight="1" x14ac:dyDescent="0.25">
      <c r="A43" s="12" t="s">
        <v>268</v>
      </c>
      <c r="B43" s="13" t="s">
        <v>68</v>
      </c>
      <c r="C43" s="14">
        <v>2</v>
      </c>
      <c r="D43" s="14">
        <v>2.1853245159000001</v>
      </c>
      <c r="E43" s="14">
        <f>D43-C43</f>
        <v>0.1853245159000001</v>
      </c>
      <c r="F43" s="15" t="s">
        <v>69</v>
      </c>
      <c r="G43" s="15"/>
      <c r="H43" s="15"/>
      <c r="I43" s="15"/>
      <c r="J43" s="15"/>
      <c r="K43" s="15"/>
      <c r="L43" s="15" t="s">
        <v>69</v>
      </c>
      <c r="M43" s="15"/>
      <c r="N43" s="15" t="s">
        <v>69</v>
      </c>
      <c r="O43" s="15"/>
      <c r="P43" s="15"/>
      <c r="Q43" s="15" t="s">
        <v>69</v>
      </c>
      <c r="R43" s="15"/>
      <c r="S43" s="15"/>
      <c r="T43" s="15" t="s">
        <v>69</v>
      </c>
      <c r="U43" s="15"/>
      <c r="V43" s="16"/>
      <c r="W43" s="17" t="str">
        <f>IF(COUNTA(F43:U43)=0,"— não preenchido",IF(COUNTIF(F43:J43,"X")&lt;&gt;1,"FALTA/DUPLA: CONDIÇÃO DO PAVIMENTO",IF(COUNTIF(K43:L43,"X")&lt;&gt;1,"FALTA/DUPLA: VEGETAÇÃO",IF(COUNTIF(M43:O43,"X")&lt;&gt;1,"FALTA/DUPLA: ELEM. DE DRENAGEM",IF(COUNTIF(P43:R43,"X")&lt;&gt;1,"FALTA/DUPLA: SIN. HORIZ.",IF(COUNTIF(S43:U43,"X")&lt;&gt;1,"FALTA/DUPLA: SIN. VERTICAL","OK"))))))</f>
        <v>OK</v>
      </c>
    </row>
    <row r="45" spans="1:23" x14ac:dyDescent="0.25">
      <c r="A45" s="40" t="s">
        <v>78</v>
      </c>
      <c r="B45" s="28"/>
      <c r="C45" s="28"/>
      <c r="D45" s="28"/>
      <c r="E45" s="28"/>
      <c r="G45" s="40" t="s">
        <v>78</v>
      </c>
      <c r="H45" s="28"/>
      <c r="I45" s="28"/>
      <c r="J45" s="28"/>
      <c r="K45" s="28"/>
    </row>
    <row r="46" spans="1:23" x14ac:dyDescent="0.25">
      <c r="A46" s="44" t="s">
        <v>79</v>
      </c>
      <c r="B46" s="28"/>
      <c r="C46" s="28"/>
      <c r="D46" s="28"/>
      <c r="E46" s="28"/>
      <c r="G46" s="44" t="s">
        <v>80</v>
      </c>
      <c r="H46" s="28"/>
      <c r="I46" s="28"/>
      <c r="J46" s="28"/>
      <c r="K46" s="28"/>
    </row>
    <row r="48" spans="1:23" x14ac:dyDescent="0.25">
      <c r="A48" s="41" t="s">
        <v>81</v>
      </c>
      <c r="B48" s="28"/>
      <c r="C48" s="28"/>
      <c r="D48" s="28"/>
      <c r="E48" s="28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</row>
    <row r="49" spans="1:22" x14ac:dyDescent="0.25">
      <c r="A49" s="43" t="s">
        <v>82</v>
      </c>
      <c r="B49" s="28"/>
      <c r="C49" s="28"/>
      <c r="D49" s="28"/>
      <c r="E49" s="28"/>
      <c r="F49" s="9">
        <f t="shared" ref="F49:U49" si="3">SUMIF(F$9:F$43,"X",$E$9:$E$43)</f>
        <v>4.6394745040600007</v>
      </c>
      <c r="G49" s="9">
        <f t="shared" si="3"/>
        <v>2</v>
      </c>
      <c r="H49" s="9">
        <f t="shared" si="3"/>
        <v>9.1506575458199997</v>
      </c>
      <c r="I49" s="9">
        <f t="shared" si="3"/>
        <v>2.3621001742800001</v>
      </c>
      <c r="J49" s="9">
        <f t="shared" si="3"/>
        <v>7.2953064946900001</v>
      </c>
      <c r="K49" s="9">
        <f t="shared" si="3"/>
        <v>0</v>
      </c>
      <c r="L49" s="9">
        <f t="shared" si="3"/>
        <v>25.447538718850002</v>
      </c>
      <c r="M49" s="9">
        <f t="shared" si="3"/>
        <v>0</v>
      </c>
      <c r="N49" s="9">
        <f t="shared" si="3"/>
        <v>25.447538718850002</v>
      </c>
      <c r="O49" s="9">
        <f t="shared" si="3"/>
        <v>0</v>
      </c>
      <c r="P49" s="9">
        <f t="shared" si="3"/>
        <v>0</v>
      </c>
      <c r="Q49" s="9">
        <f t="shared" si="3"/>
        <v>25.447538718850002</v>
      </c>
      <c r="R49" s="9">
        <f t="shared" si="3"/>
        <v>0</v>
      </c>
      <c r="S49" s="9">
        <f t="shared" si="3"/>
        <v>0</v>
      </c>
      <c r="T49" s="9">
        <f t="shared" si="3"/>
        <v>25.447538718850002</v>
      </c>
      <c r="U49" s="9">
        <f t="shared" si="3"/>
        <v>0</v>
      </c>
    </row>
    <row r="50" spans="1:22" x14ac:dyDescent="0.25">
      <c r="A50" s="43" t="s">
        <v>83</v>
      </c>
      <c r="B50" s="28"/>
      <c r="C50" s="28"/>
      <c r="D50" s="28"/>
      <c r="E50" s="28"/>
      <c r="F50" s="25">
        <f t="shared" ref="F50:U50" si="4">IF($R52=0,0,F49/$R52)</f>
        <v>0.18231525474105509</v>
      </c>
      <c r="G50" s="25">
        <f t="shared" si="4"/>
        <v>7.8593062460634772E-2</v>
      </c>
      <c r="H50" s="25">
        <f t="shared" si="4"/>
        <v>0.35958910002725508</v>
      </c>
      <c r="I50" s="25">
        <f t="shared" si="4"/>
        <v>9.2822343267732171E-2</v>
      </c>
      <c r="J50" s="25">
        <f t="shared" si="4"/>
        <v>0.28668023950332283</v>
      </c>
      <c r="K50" s="25">
        <f t="shared" si="4"/>
        <v>0</v>
      </c>
      <c r="L50" s="25">
        <f t="shared" si="4"/>
        <v>1</v>
      </c>
      <c r="M50" s="25">
        <f t="shared" si="4"/>
        <v>0</v>
      </c>
      <c r="N50" s="25">
        <f t="shared" si="4"/>
        <v>1</v>
      </c>
      <c r="O50" s="25">
        <f t="shared" si="4"/>
        <v>0</v>
      </c>
      <c r="P50" s="25">
        <f t="shared" si="4"/>
        <v>0</v>
      </c>
      <c r="Q50" s="25">
        <f t="shared" si="4"/>
        <v>1</v>
      </c>
      <c r="R50" s="25">
        <f t="shared" si="4"/>
        <v>0</v>
      </c>
      <c r="S50" s="25">
        <f t="shared" si="4"/>
        <v>0</v>
      </c>
      <c r="T50" s="25">
        <f t="shared" si="4"/>
        <v>1</v>
      </c>
      <c r="U50" s="25">
        <f t="shared" si="4"/>
        <v>0</v>
      </c>
    </row>
    <row r="51" spans="1:22" x14ac:dyDescent="0.25">
      <c r="A51" s="43" t="s">
        <v>84</v>
      </c>
      <c r="B51" s="28"/>
      <c r="C51" s="28"/>
      <c r="D51" s="28"/>
      <c r="E51" s="28"/>
      <c r="F51" s="42" t="str">
        <f>IF(SUM(F49:J49)=0,"— não preenchido",IF(ROUND(SUM(F49:J49)-$R52,3)=0,"OK — "&amp;ROUND(SUM(F49:J49),3)&amp;" km","ERRO — dif. de "&amp;ROUND(SUM(F49:J49)-$R52,3)&amp;" km"))</f>
        <v>OK — 25,448 km</v>
      </c>
      <c r="G51" s="33"/>
      <c r="H51" s="33"/>
      <c r="I51" s="33"/>
      <c r="J51" s="34"/>
      <c r="K51" s="42" t="str">
        <f>IF(SUM(K49:L49)=0,"— não preenchido",IF(ROUND(SUM(K49:L49)-$R52,3)=0,"OK — "&amp;ROUND(SUM(K49:L49),3)&amp;" km","ERRO — dif. de "&amp;ROUND(SUM(K49:L49)-$R52,3)&amp;" km"))</f>
        <v>OK — 25,448 km</v>
      </c>
      <c r="L51" s="34"/>
      <c r="M51" s="42" t="str">
        <f>IF(SUM(M49:O49)=0,"— não preenchido",IF(ROUND(SUM(M49:O49)-$R52,3)=0,"OK — "&amp;ROUND(SUM(M49:O49),3)&amp;" km","ERRO — dif. de "&amp;ROUND(SUM(M49:O49)-$R52,3)&amp;" km"))</f>
        <v>OK — 25,448 km</v>
      </c>
      <c r="N51" s="33"/>
      <c r="O51" s="34"/>
      <c r="P51" s="42" t="str">
        <f>IF(SUM(P49:R49)=0,"— não preenchido",IF(ROUND(SUM(P49:R49)-$R52,3)=0,"OK — "&amp;ROUND(SUM(P49:R49),3)&amp;" km","ERRO — dif. de "&amp;ROUND(SUM(P49:R49)-$R52,3)&amp;" km"))</f>
        <v>OK — 25,448 km</v>
      </c>
      <c r="Q51" s="33"/>
      <c r="R51" s="34"/>
      <c r="S51" s="42" t="str">
        <f>IF(SUM(S49:U49)=0,"— não preenchido",IF(ROUND(SUM(S49:U49)-$R52,3)=0,"OK — "&amp;ROUND(SUM(S49:U49),3)&amp;" km","ERRO — dif. de "&amp;ROUND(SUM(S49:U49)-$R52,3)&amp;" km"))</f>
        <v>OK — 25,448 km</v>
      </c>
      <c r="T51" s="33"/>
      <c r="U51" s="34"/>
    </row>
    <row r="52" spans="1:22" x14ac:dyDescent="0.25">
      <c r="A52" s="43" t="s">
        <v>85</v>
      </c>
      <c r="B52" s="28"/>
      <c r="C52" s="28"/>
      <c r="D52" s="28"/>
      <c r="E52" s="28"/>
      <c r="R52" s="26">
        <f>SUM(E9:E43)</f>
        <v>25.447538718850002</v>
      </c>
      <c r="V52" s="8" t="str">
        <f>COUNTIF(W9:W43,"OK")&amp;" de "&amp;COUNT($E$9:$E$43)&amp;" linhas conferidas"</f>
        <v>29 de 29 linhas conferidas</v>
      </c>
    </row>
    <row r="54" spans="1:22" x14ac:dyDescent="0.25">
      <c r="A54" s="37" t="s">
        <v>86</v>
      </c>
      <c r="B54" s="28"/>
      <c r="C54" s="28"/>
      <c r="D54" s="28"/>
      <c r="E54" s="28"/>
    </row>
    <row r="55" spans="1:22" x14ac:dyDescent="0.25">
      <c r="A55" s="43" t="s">
        <v>87</v>
      </c>
      <c r="B55" s="28"/>
      <c r="C55" s="28"/>
      <c r="D55" s="28"/>
      <c r="E55" s="31" t="s">
        <v>88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43" t="s">
        <v>89</v>
      </c>
      <c r="B56" s="28"/>
      <c r="C56" s="28"/>
      <c r="D56" s="28"/>
      <c r="E56" s="31" t="s">
        <v>90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43" t="s">
        <v>91</v>
      </c>
      <c r="B57" s="28"/>
      <c r="C57" s="28"/>
      <c r="D57" s="28"/>
      <c r="E57" s="31" t="s">
        <v>92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x14ac:dyDescent="0.25">
      <c r="A58" s="43" t="s">
        <v>93</v>
      </c>
      <c r="B58" s="28"/>
      <c r="C58" s="28"/>
      <c r="D58" s="28"/>
      <c r="E58" s="31" t="s">
        <v>94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x14ac:dyDescent="0.25">
      <c r="A59" s="43" t="s">
        <v>95</v>
      </c>
      <c r="B59" s="28"/>
      <c r="C59" s="28"/>
      <c r="D59" s="28"/>
      <c r="E59" s="31" t="s">
        <v>96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x14ac:dyDescent="0.25">
      <c r="A60" s="43" t="s">
        <v>60</v>
      </c>
      <c r="B60" s="28"/>
      <c r="C60" s="28"/>
      <c r="D60" s="28"/>
      <c r="E60" s="31" t="s">
        <v>97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43" t="s">
        <v>98</v>
      </c>
      <c r="B61" s="28"/>
      <c r="C61" s="28"/>
      <c r="D61" s="28"/>
      <c r="E61" s="31" t="s">
        <v>99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43" t="s">
        <v>100</v>
      </c>
      <c r="B62" s="28"/>
      <c r="C62" s="28"/>
      <c r="D62" s="28"/>
      <c r="E62" s="31" t="s">
        <v>101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43" t="s">
        <v>11</v>
      </c>
      <c r="B63" s="28"/>
      <c r="C63" s="28"/>
      <c r="D63" s="28"/>
      <c r="E63" s="31" t="s">
        <v>102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</sheetData>
  <sheetProtection sheet="1" formatCells="0"/>
  <mergeCells count="63">
    <mergeCell ref="A52:E52"/>
    <mergeCell ref="E57:V57"/>
    <mergeCell ref="A61:D61"/>
    <mergeCell ref="E56:V56"/>
    <mergeCell ref="E58:V58"/>
    <mergeCell ref="A56:D56"/>
    <mergeCell ref="A1:V1"/>
    <mergeCell ref="S51:U51"/>
    <mergeCell ref="T3:V3"/>
    <mergeCell ref="A21:V21"/>
    <mergeCell ref="G45:K45"/>
    <mergeCell ref="P51:R51"/>
    <mergeCell ref="A16:V16"/>
    <mergeCell ref="G46:K46"/>
    <mergeCell ref="A50:E50"/>
    <mergeCell ref="N2:O2"/>
    <mergeCell ref="P2:Q2"/>
    <mergeCell ref="A2:F2"/>
    <mergeCell ref="K2:M2"/>
    <mergeCell ref="M6:O6"/>
    <mergeCell ref="V6:V7"/>
    <mergeCell ref="R2:V2"/>
    <mergeCell ref="W6:W7"/>
    <mergeCell ref="A59:D59"/>
    <mergeCell ref="A40:V40"/>
    <mergeCell ref="A46:E46"/>
    <mergeCell ref="E6:E7"/>
    <mergeCell ref="M51:O51"/>
    <mergeCell ref="B6:B7"/>
    <mergeCell ref="A36:V36"/>
    <mergeCell ref="A11:V11"/>
    <mergeCell ref="E59:V59"/>
    <mergeCell ref="F51:J51"/>
    <mergeCell ref="A31:V31"/>
    <mergeCell ref="S6:U6"/>
    <mergeCell ref="K51:L51"/>
    <mergeCell ref="A57:D57"/>
    <mergeCell ref="C6:C7"/>
    <mergeCell ref="G2:H2"/>
    <mergeCell ref="I2:J2"/>
    <mergeCell ref="F6:J6"/>
    <mergeCell ref="A6:A7"/>
    <mergeCell ref="A4:V4"/>
    <mergeCell ref="A3:S3"/>
    <mergeCell ref="K6:L6"/>
    <mergeCell ref="D6:D7"/>
    <mergeCell ref="P6:R6"/>
    <mergeCell ref="E63:V63"/>
    <mergeCell ref="A62:D62"/>
    <mergeCell ref="A8:V8"/>
    <mergeCell ref="A49:E49"/>
    <mergeCell ref="A51:E51"/>
    <mergeCell ref="A45:E45"/>
    <mergeCell ref="E60:V60"/>
    <mergeCell ref="A63:D63"/>
    <mergeCell ref="A58:D58"/>
    <mergeCell ref="A54:E54"/>
    <mergeCell ref="A48:E48"/>
    <mergeCell ref="E55:V55"/>
    <mergeCell ref="A55:D55"/>
    <mergeCell ref="E62:V62"/>
    <mergeCell ref="A60:D60"/>
    <mergeCell ref="E61:V61"/>
  </mergeCells>
  <conditionalFormatting sqref="F9:J43">
    <cfRule type="expression" dxfId="80" priority="1">
      <formula>AND(F9&lt;&gt;"",COUNTIF($F9:$J9,"X")&gt;1)</formula>
    </cfRule>
  </conditionalFormatting>
  <conditionalFormatting sqref="F51:U51">
    <cfRule type="expression" dxfId="79" priority="8">
      <formula>LEFT(F51,4)="ERRO"</formula>
    </cfRule>
    <cfRule type="expression" dxfId="78" priority="9">
      <formula>LEFT(F51,2)="OK"</formula>
    </cfRule>
  </conditionalFormatting>
  <conditionalFormatting sqref="K9:L43">
    <cfRule type="expression" dxfId="77" priority="2">
      <formula>AND(K9&lt;&gt;"",COUNTIF($K9:$L9,"X")&gt;1)</formula>
    </cfRule>
  </conditionalFormatting>
  <conditionalFormatting sqref="M9:O43">
    <cfRule type="expression" dxfId="76" priority="3">
      <formula>AND(M9&lt;&gt;"",COUNTIF($M9:$O9,"X")&gt;1)</formula>
    </cfRule>
  </conditionalFormatting>
  <conditionalFormatting sqref="P9:R43">
    <cfRule type="expression" dxfId="75" priority="4">
      <formula>AND(P9&lt;&gt;"",COUNTIF($P9:$R9,"X")&gt;1)</formula>
    </cfRule>
  </conditionalFormatting>
  <conditionalFormatting sqref="S9:U43">
    <cfRule type="expression" dxfId="74" priority="5">
      <formula>AND(S9&lt;&gt;"",COUNTIF($S9:$U9,"X")&gt;1)</formula>
    </cfRule>
  </conditionalFormatting>
  <conditionalFormatting sqref="W9:W43">
    <cfRule type="expression" dxfId="73" priority="6">
      <formula>AND(W9&lt;&gt;"OK",W9&lt;&gt;"")</formula>
    </cfRule>
    <cfRule type="expression" dxfId="7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3" xr:uid="{00000000-0002-0000-1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3" xr:uid="{00000000-0002-0000-1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3" xr:uid="{00000000-0002-0000-1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3" xr:uid="{00000000-0002-0000-1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3" xr:uid="{00000000-0002-0000-1400-000004000000}">
      <formula1>AND(UPPER(S9)="X",COUNTIF($S9:$U9,"X")&lt;=1)</formula1>
    </dataValidation>
    <dataValidation type="list" showErrorMessage="1" errorTitle="Sentido inválido" error="Use C (crescente) ou D (decrescente)." sqref="B9:B43" xr:uid="{00000000-0002-0000-1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24</oddHeader>
    <oddFooter>&amp;L&amp;7 RTA / MSI — Programa de Manutenção Rodoviária&amp;C&amp;7 Página &amp;P de &amp;N&amp;R&amp;7 Impresso em &amp;D</oddFooter>
  </headerFooter>
  <rowBreaks count="1" manualBreakCount="1">
    <brk id="46" max="16383" man="1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AN50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IF(F36=0,NA(),F36)</f>
        <v>12.82550761105</v>
      </c>
      <c r="Z2" s="2">
        <f t="shared" si="0"/>
        <v>3</v>
      </c>
      <c r="AA2" s="2" t="e">
        <f t="shared" si="0"/>
        <v>#N/A</v>
      </c>
      <c r="AB2" s="2">
        <f t="shared" si="0"/>
        <v>1</v>
      </c>
      <c r="AC2" s="2" t="e">
        <f t="shared" si="0"/>
        <v>#N/A</v>
      </c>
      <c r="AD2" s="2" t="e">
        <f t="shared" si="0"/>
        <v>#N/A</v>
      </c>
      <c r="AE2" s="2">
        <f t="shared" si="0"/>
        <v>16.82550761105</v>
      </c>
      <c r="AF2" s="2">
        <f t="shared" si="0"/>
        <v>1.5199947960399998</v>
      </c>
      <c r="AG2" s="2">
        <f t="shared" si="0"/>
        <v>15.305512815010001</v>
      </c>
      <c r="AH2" s="2" t="e">
        <f t="shared" si="0"/>
        <v>#N/A</v>
      </c>
      <c r="AI2" s="2">
        <f t="shared" si="0"/>
        <v>16.82550761105</v>
      </c>
      <c r="AJ2" s="2" t="e">
        <f t="shared" si="0"/>
        <v>#N/A</v>
      </c>
      <c r="AK2" s="2" t="e">
        <f t="shared" si="0"/>
        <v>#N/A</v>
      </c>
      <c r="AL2" s="2">
        <f t="shared" si="0"/>
        <v>1.5199947960399998</v>
      </c>
      <c r="AM2" s="2">
        <f t="shared" si="0"/>
        <v>15.305512815010001</v>
      </c>
      <c r="AN2" s="2" t="e">
        <f t="shared" si="0"/>
        <v>#N/A</v>
      </c>
    </row>
    <row r="3" spans="1:40" ht="15" customHeight="1" x14ac:dyDescent="0.25">
      <c r="A3" s="49" t="s">
        <v>269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270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271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272</v>
      </c>
      <c r="B9" s="19" t="s">
        <v>68</v>
      </c>
      <c r="C9" s="20">
        <v>0</v>
      </c>
      <c r="D9" s="20">
        <v>1</v>
      </c>
      <c r="E9" s="20">
        <f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/>
      <c r="T9" s="21" t="s">
        <v>69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272</v>
      </c>
      <c r="B10" s="19" t="s">
        <v>68</v>
      </c>
      <c r="C10" s="20">
        <v>1</v>
      </c>
      <c r="D10" s="20">
        <v>2</v>
      </c>
      <c r="E10" s="20">
        <f>D10-C10</f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/>
      <c r="T10" s="21" t="s">
        <v>69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8" t="s">
        <v>272</v>
      </c>
      <c r="B11" s="19" t="s">
        <v>68</v>
      </c>
      <c r="C11" s="20">
        <v>2</v>
      </c>
      <c r="D11" s="20">
        <v>3</v>
      </c>
      <c r="E11" s="20">
        <f>D11-C11</f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 t="s">
        <v>69</v>
      </c>
      <c r="Q11" s="21"/>
      <c r="R11" s="21"/>
      <c r="S11" s="21"/>
      <c r="T11" s="21" t="s">
        <v>69</v>
      </c>
      <c r="U11" s="21"/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2" t="s">
        <v>272</v>
      </c>
      <c r="B12" s="13" t="s">
        <v>68</v>
      </c>
      <c r="C12" s="14">
        <v>3</v>
      </c>
      <c r="D12" s="14">
        <v>3.8927996447000002</v>
      </c>
      <c r="E12" s="14">
        <f>D12-C12</f>
        <v>0.89279964470000017</v>
      </c>
      <c r="F12" s="15" t="s">
        <v>69</v>
      </c>
      <c r="G12" s="15"/>
      <c r="H12" s="15"/>
      <c r="I12" s="15"/>
      <c r="J12" s="15"/>
      <c r="K12" s="15"/>
      <c r="L12" s="15" t="s">
        <v>69</v>
      </c>
      <c r="M12" s="15"/>
      <c r="N12" s="15" t="s">
        <v>69</v>
      </c>
      <c r="O12" s="15"/>
      <c r="P12" s="15" t="s">
        <v>69</v>
      </c>
      <c r="Q12" s="15"/>
      <c r="R12" s="15"/>
      <c r="S12" s="15"/>
      <c r="T12" s="15" t="s">
        <v>69</v>
      </c>
      <c r="U12" s="15"/>
      <c r="V12" s="16"/>
      <c r="W12" s="17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35" t="s">
        <v>273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4"/>
      <c r="W13" s="4"/>
    </row>
    <row r="14" spans="1:40" ht="20.100000000000001" customHeight="1" x14ac:dyDescent="0.25">
      <c r="A14" s="18" t="s">
        <v>274</v>
      </c>
      <c r="B14" s="19" t="s">
        <v>68</v>
      </c>
      <c r="C14" s="20">
        <v>0</v>
      </c>
      <c r="D14" s="20">
        <v>1</v>
      </c>
      <c r="E14" s="20">
        <f>D14-C14</f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 t="s">
        <v>69</v>
      </c>
      <c r="Q14" s="21"/>
      <c r="R14" s="21"/>
      <c r="S14" s="21"/>
      <c r="T14" s="21" t="s">
        <v>69</v>
      </c>
      <c r="U14" s="21"/>
      <c r="V14" s="22"/>
      <c r="W14" s="23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8" t="s">
        <v>274</v>
      </c>
      <c r="B15" s="19" t="s">
        <v>68</v>
      </c>
      <c r="C15" s="20">
        <v>1</v>
      </c>
      <c r="D15" s="20">
        <v>2</v>
      </c>
      <c r="E15" s="20">
        <f>D15-C15</f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 t="s">
        <v>69</v>
      </c>
      <c r="Q15" s="21"/>
      <c r="R15" s="21"/>
      <c r="S15" s="21"/>
      <c r="T15" s="21" t="s">
        <v>69</v>
      </c>
      <c r="U15" s="21"/>
      <c r="V15" s="22"/>
      <c r="W15" s="23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2" t="s">
        <v>274</v>
      </c>
      <c r="B16" s="13" t="s">
        <v>68</v>
      </c>
      <c r="C16" s="14">
        <v>2</v>
      </c>
      <c r="D16" s="14">
        <v>2.0956863697100001</v>
      </c>
      <c r="E16" s="14">
        <f>D16-C16</f>
        <v>9.5686369710000108E-2</v>
      </c>
      <c r="F16" s="15" t="s">
        <v>69</v>
      </c>
      <c r="G16" s="15"/>
      <c r="H16" s="15"/>
      <c r="I16" s="15"/>
      <c r="J16" s="15"/>
      <c r="K16" s="15"/>
      <c r="L16" s="15" t="s">
        <v>69</v>
      </c>
      <c r="M16" s="15"/>
      <c r="N16" s="15" t="s">
        <v>69</v>
      </c>
      <c r="O16" s="15"/>
      <c r="P16" s="15" t="s">
        <v>69</v>
      </c>
      <c r="Q16" s="15"/>
      <c r="R16" s="15"/>
      <c r="S16" s="15"/>
      <c r="T16" s="15" t="s">
        <v>69</v>
      </c>
      <c r="U16" s="15"/>
      <c r="V16" s="16"/>
      <c r="W16" s="17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15.95" customHeight="1" x14ac:dyDescent="0.25">
      <c r="A17" s="35" t="s">
        <v>275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4"/>
      <c r="W17" s="4"/>
    </row>
    <row r="18" spans="1:23" ht="20.100000000000001" customHeight="1" x14ac:dyDescent="0.25">
      <c r="A18" s="18" t="s">
        <v>276</v>
      </c>
      <c r="B18" s="19" t="s">
        <v>68</v>
      </c>
      <c r="C18" s="20">
        <v>0</v>
      </c>
      <c r="D18" s="20">
        <v>1</v>
      </c>
      <c r="E18" s="20">
        <f t="shared" ref="E18:E24" si="1">D18-C18</f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 t="s">
        <v>69</v>
      </c>
      <c r="Q18" s="21"/>
      <c r="R18" s="21"/>
      <c r="S18" s="21"/>
      <c r="T18" s="21" t="s">
        <v>69</v>
      </c>
      <c r="U18" s="21"/>
      <c r="V18" s="22"/>
      <c r="W18" s="23" t="str">
        <f t="shared" ref="W18:W24" si="2"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8" t="s">
        <v>276</v>
      </c>
      <c r="B19" s="19" t="s">
        <v>68</v>
      </c>
      <c r="C19" s="20">
        <v>1</v>
      </c>
      <c r="D19" s="20">
        <v>2</v>
      </c>
      <c r="E19" s="20">
        <f t="shared" si="1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/>
      <c r="N19" s="21" t="s">
        <v>69</v>
      </c>
      <c r="O19" s="21"/>
      <c r="P19" s="21" t="s">
        <v>69</v>
      </c>
      <c r="Q19" s="21"/>
      <c r="R19" s="21"/>
      <c r="S19" s="21"/>
      <c r="T19" s="21" t="s">
        <v>69</v>
      </c>
      <c r="U19" s="21"/>
      <c r="V19" s="22"/>
      <c r="W19" s="23" t="str">
        <f t="shared" si="2"/>
        <v>OK</v>
      </c>
    </row>
    <row r="20" spans="1:23" ht="20.100000000000001" customHeight="1" x14ac:dyDescent="0.25">
      <c r="A20" s="18" t="s">
        <v>276</v>
      </c>
      <c r="B20" s="19" t="s">
        <v>68</v>
      </c>
      <c r="C20" s="20">
        <v>2</v>
      </c>
      <c r="D20" s="20">
        <v>3</v>
      </c>
      <c r="E20" s="20">
        <f t="shared" si="1"/>
        <v>1</v>
      </c>
      <c r="F20" s="21"/>
      <c r="G20" s="21" t="s">
        <v>69</v>
      </c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 t="s">
        <v>69</v>
      </c>
      <c r="Q20" s="21"/>
      <c r="R20" s="21"/>
      <c r="S20" s="21"/>
      <c r="T20" s="21" t="s">
        <v>69</v>
      </c>
      <c r="U20" s="21"/>
      <c r="V20" s="22"/>
      <c r="W20" s="23" t="str">
        <f t="shared" si="2"/>
        <v>OK</v>
      </c>
    </row>
    <row r="21" spans="1:23" ht="20.100000000000001" customHeight="1" x14ac:dyDescent="0.25">
      <c r="A21" s="18" t="s">
        <v>276</v>
      </c>
      <c r="B21" s="19" t="s">
        <v>68</v>
      </c>
      <c r="C21" s="20">
        <v>3</v>
      </c>
      <c r="D21" s="20">
        <v>4</v>
      </c>
      <c r="E21" s="20">
        <f t="shared" si="1"/>
        <v>1</v>
      </c>
      <c r="F21" s="21"/>
      <c r="G21" s="21" t="s">
        <v>69</v>
      </c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 t="s">
        <v>69</v>
      </c>
      <c r="Q21" s="21"/>
      <c r="R21" s="21"/>
      <c r="S21" s="21"/>
      <c r="T21" s="21" t="s">
        <v>69</v>
      </c>
      <c r="U21" s="21"/>
      <c r="V21" s="22"/>
      <c r="W21" s="23" t="str">
        <f t="shared" si="2"/>
        <v>OK</v>
      </c>
    </row>
    <row r="22" spans="1:23" ht="20.100000000000001" customHeight="1" x14ac:dyDescent="0.25">
      <c r="A22" s="18" t="s">
        <v>276</v>
      </c>
      <c r="B22" s="19" t="s">
        <v>68</v>
      </c>
      <c r="C22" s="20">
        <v>4</v>
      </c>
      <c r="D22" s="20">
        <v>5</v>
      </c>
      <c r="E22" s="20">
        <f t="shared" si="1"/>
        <v>1</v>
      </c>
      <c r="F22" s="21"/>
      <c r="G22" s="21"/>
      <c r="H22" s="21"/>
      <c r="I22" s="21" t="s">
        <v>69</v>
      </c>
      <c r="J22" s="21"/>
      <c r="K22" s="21"/>
      <c r="L22" s="21" t="s">
        <v>69</v>
      </c>
      <c r="M22" s="21"/>
      <c r="N22" s="21" t="s">
        <v>69</v>
      </c>
      <c r="O22" s="21"/>
      <c r="P22" s="21" t="s">
        <v>69</v>
      </c>
      <c r="Q22" s="21"/>
      <c r="R22" s="21"/>
      <c r="S22" s="21"/>
      <c r="T22" s="21" t="s">
        <v>69</v>
      </c>
      <c r="U22" s="21"/>
      <c r="V22" s="22"/>
      <c r="W22" s="23" t="str">
        <f t="shared" si="2"/>
        <v>OK</v>
      </c>
    </row>
    <row r="23" spans="1:23" ht="20.100000000000001" customHeight="1" x14ac:dyDescent="0.25">
      <c r="A23" s="18" t="s">
        <v>276</v>
      </c>
      <c r="B23" s="19" t="s">
        <v>68</v>
      </c>
      <c r="C23" s="20">
        <v>5</v>
      </c>
      <c r="D23" s="20">
        <v>6</v>
      </c>
      <c r="E23" s="20">
        <f t="shared" si="1"/>
        <v>1</v>
      </c>
      <c r="F23" s="21"/>
      <c r="G23" s="21" t="s">
        <v>69</v>
      </c>
      <c r="H23" s="21"/>
      <c r="I23" s="21"/>
      <c r="J23" s="21"/>
      <c r="K23" s="21"/>
      <c r="L23" s="21" t="s">
        <v>69</v>
      </c>
      <c r="M23" s="21"/>
      <c r="N23" s="21" t="s">
        <v>69</v>
      </c>
      <c r="O23" s="21"/>
      <c r="P23" s="21" t="s">
        <v>69</v>
      </c>
      <c r="Q23" s="21"/>
      <c r="R23" s="21"/>
      <c r="S23" s="21"/>
      <c r="T23" s="21" t="s">
        <v>69</v>
      </c>
      <c r="U23" s="21"/>
      <c r="V23" s="22"/>
      <c r="W23" s="23" t="str">
        <f t="shared" si="2"/>
        <v>OK</v>
      </c>
    </row>
    <row r="24" spans="1:23" ht="20.100000000000001" customHeight="1" x14ac:dyDescent="0.25">
      <c r="A24" s="12" t="s">
        <v>276</v>
      </c>
      <c r="B24" s="13" t="s">
        <v>68</v>
      </c>
      <c r="C24" s="14">
        <v>6</v>
      </c>
      <c r="D24" s="14">
        <v>6.3170268005999999</v>
      </c>
      <c r="E24" s="14">
        <f t="shared" si="1"/>
        <v>0.31702680059999988</v>
      </c>
      <c r="F24" s="15" t="s">
        <v>69</v>
      </c>
      <c r="G24" s="15"/>
      <c r="H24" s="15"/>
      <c r="I24" s="15"/>
      <c r="J24" s="15"/>
      <c r="K24" s="15"/>
      <c r="L24" s="15" t="s">
        <v>69</v>
      </c>
      <c r="M24" s="15"/>
      <c r="N24" s="15" t="s">
        <v>69</v>
      </c>
      <c r="O24" s="15"/>
      <c r="P24" s="15" t="s">
        <v>69</v>
      </c>
      <c r="Q24" s="15"/>
      <c r="R24" s="15"/>
      <c r="S24" s="15"/>
      <c r="T24" s="15" t="s">
        <v>69</v>
      </c>
      <c r="U24" s="15"/>
      <c r="V24" s="16"/>
      <c r="W24" s="17" t="str">
        <f t="shared" si="2"/>
        <v>OK</v>
      </c>
    </row>
    <row r="25" spans="1:23" ht="15.95" customHeight="1" x14ac:dyDescent="0.25">
      <c r="A25" s="35" t="s">
        <v>277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4"/>
      <c r="W25" s="4"/>
    </row>
    <row r="26" spans="1:23" ht="20.100000000000001" customHeight="1" x14ac:dyDescent="0.25">
      <c r="A26" s="18" t="s">
        <v>278</v>
      </c>
      <c r="B26" s="19" t="s">
        <v>68</v>
      </c>
      <c r="C26" s="20">
        <v>0</v>
      </c>
      <c r="D26" s="20">
        <v>1</v>
      </c>
      <c r="E26" s="20">
        <f>D26-C26</f>
        <v>1</v>
      </c>
      <c r="F26" s="21" t="s">
        <v>69</v>
      </c>
      <c r="G26" s="21"/>
      <c r="H26" s="21"/>
      <c r="I26" s="21"/>
      <c r="J26" s="21"/>
      <c r="K26" s="21"/>
      <c r="L26" s="21" t="s">
        <v>69</v>
      </c>
      <c r="M26" s="21"/>
      <c r="N26" s="21" t="s">
        <v>69</v>
      </c>
      <c r="O26" s="21"/>
      <c r="P26" s="21" t="s">
        <v>69</v>
      </c>
      <c r="Q26" s="21"/>
      <c r="R26" s="21"/>
      <c r="S26" s="21"/>
      <c r="T26" s="21" t="s">
        <v>69</v>
      </c>
      <c r="U26" s="21"/>
      <c r="V26" s="22"/>
      <c r="W26" s="23" t="str">
        <f>IF(COUNTA(F26:U26)=0,"— não preenchido",IF(COUNTIF(F26:J26,"X")&lt;&gt;1,"FALTA/DUPLA: CONDIÇÃO DO PAVIMENTO",IF(COUNTIF(K26:L26,"X")&lt;&gt;1,"FALTA/DUPLA: VEGETAÇÃO",IF(COUNTIF(M26:O26,"X")&lt;&gt;1,"FALTA/DUPLA: ELEM. DE DRENAGEM",IF(COUNTIF(P26:R26,"X")&lt;&gt;1,"FALTA/DUPLA: SIN. HORIZ.",IF(COUNTIF(S26:U26,"X")&lt;&gt;1,"FALTA/DUPLA: SIN. VERTICAL","OK"))))))</f>
        <v>OK</v>
      </c>
    </row>
    <row r="27" spans="1:23" ht="20.100000000000001" customHeight="1" x14ac:dyDescent="0.25">
      <c r="A27" s="18" t="s">
        <v>278</v>
      </c>
      <c r="B27" s="19" t="s">
        <v>68</v>
      </c>
      <c r="C27" s="20">
        <v>1</v>
      </c>
      <c r="D27" s="20">
        <v>2</v>
      </c>
      <c r="E27" s="20">
        <f>D27-C27</f>
        <v>1</v>
      </c>
      <c r="F27" s="21" t="s">
        <v>69</v>
      </c>
      <c r="G27" s="21"/>
      <c r="H27" s="21"/>
      <c r="I27" s="21"/>
      <c r="J27" s="21"/>
      <c r="K27" s="21"/>
      <c r="L27" s="21" t="s">
        <v>69</v>
      </c>
      <c r="M27" s="21"/>
      <c r="N27" s="21" t="s">
        <v>69</v>
      </c>
      <c r="O27" s="21"/>
      <c r="P27" s="21" t="s">
        <v>69</v>
      </c>
      <c r="Q27" s="21"/>
      <c r="R27" s="21"/>
      <c r="S27" s="21"/>
      <c r="T27" s="21" t="s">
        <v>69</v>
      </c>
      <c r="U27" s="21"/>
      <c r="V27" s="22"/>
      <c r="W27" s="23" t="str">
        <f>IF(COUNTA(F27:U27)=0,"— não preenchido",IF(COUNTIF(F27:J27,"X")&lt;&gt;1,"FALTA/DUPLA: CONDIÇÃO DO PAVIMENTO",IF(COUNTIF(K27:L27,"X")&lt;&gt;1,"FALTA/DUPLA: VEGETAÇÃO",IF(COUNTIF(M27:O27,"X")&lt;&gt;1,"FALTA/DUPLA: ELEM. DE DRENAGEM",IF(COUNTIF(P27:R27,"X")&lt;&gt;1,"FALTA/DUPLA: SIN. HORIZ.",IF(COUNTIF(S27:U27,"X")&lt;&gt;1,"FALTA/DUPLA: SIN. VERTICAL","OK"))))))</f>
        <v>OK</v>
      </c>
    </row>
    <row r="28" spans="1:23" ht="20.100000000000001" customHeight="1" x14ac:dyDescent="0.25">
      <c r="A28" s="18" t="s">
        <v>278</v>
      </c>
      <c r="B28" s="19" t="s">
        <v>68</v>
      </c>
      <c r="C28" s="20">
        <v>2</v>
      </c>
      <c r="D28" s="20">
        <v>3</v>
      </c>
      <c r="E28" s="20">
        <f>D28-C28</f>
        <v>1</v>
      </c>
      <c r="F28" s="21" t="s">
        <v>69</v>
      </c>
      <c r="G28" s="21"/>
      <c r="H28" s="21"/>
      <c r="I28" s="21"/>
      <c r="J28" s="21"/>
      <c r="K28" s="21"/>
      <c r="L28" s="21" t="s">
        <v>69</v>
      </c>
      <c r="M28" s="21"/>
      <c r="N28" s="21" t="s">
        <v>69</v>
      </c>
      <c r="O28" s="21"/>
      <c r="P28" s="21" t="s">
        <v>69</v>
      </c>
      <c r="Q28" s="21"/>
      <c r="R28" s="21"/>
      <c r="S28" s="21"/>
      <c r="T28" s="21" t="s">
        <v>69</v>
      </c>
      <c r="U28" s="21"/>
      <c r="V28" s="22"/>
      <c r="W28" s="23" t="str">
        <f>IF(COUNTA(F28:U28)=0,"— não preenchido",IF(COUNTIF(F28:J28,"X")&lt;&gt;1,"FALTA/DUPLA: CONDIÇÃO DO PAVIMENTO",IF(COUNTIF(K28:L28,"X")&lt;&gt;1,"FALTA/DUPLA: VEGETAÇÃO",IF(COUNTIF(M28:O28,"X")&lt;&gt;1,"FALTA/DUPLA: ELEM. DE DRENAGEM",IF(COUNTIF(P28:R28,"X")&lt;&gt;1,"FALTA/DUPLA: SIN. HORIZ.",IF(COUNTIF(S28:U28,"X")&lt;&gt;1,"FALTA/DUPLA: SIN. VERTICAL","OK"))))))</f>
        <v>OK</v>
      </c>
    </row>
    <row r="29" spans="1:23" ht="20.100000000000001" customHeight="1" x14ac:dyDescent="0.25">
      <c r="A29" s="18" t="s">
        <v>278</v>
      </c>
      <c r="B29" s="19" t="s">
        <v>68</v>
      </c>
      <c r="C29" s="20">
        <v>3</v>
      </c>
      <c r="D29" s="20">
        <v>4</v>
      </c>
      <c r="E29" s="20">
        <f>D29-C29</f>
        <v>1</v>
      </c>
      <c r="F29" s="21" t="s">
        <v>69</v>
      </c>
      <c r="G29" s="21"/>
      <c r="H29" s="21"/>
      <c r="I29" s="21"/>
      <c r="J29" s="21"/>
      <c r="K29" s="21"/>
      <c r="L29" s="21" t="s">
        <v>69</v>
      </c>
      <c r="M29" s="21" t="s">
        <v>69</v>
      </c>
      <c r="N29" s="21"/>
      <c r="O29" s="21"/>
      <c r="P29" s="21" t="s">
        <v>69</v>
      </c>
      <c r="Q29" s="21"/>
      <c r="R29" s="21"/>
      <c r="S29" s="21" t="s">
        <v>69</v>
      </c>
      <c r="T29" s="21"/>
      <c r="U29" s="21"/>
      <c r="V29" s="22"/>
      <c r="W29" s="23" t="str">
        <f>IF(COUNTA(F29:U29)=0,"— não preenchido",IF(COUNTIF(F29:J29,"X")&lt;&gt;1,"FALTA/DUPLA: CONDIÇÃO DO PAVIMENTO",IF(COUNTIF(K29:L29,"X")&lt;&gt;1,"FALTA/DUPLA: VEGETAÇÃO",IF(COUNTIF(M29:O29,"X")&lt;&gt;1,"FALTA/DUPLA: ELEM. DE DRENAGEM",IF(COUNTIF(P29:R29,"X")&lt;&gt;1,"FALTA/DUPLA: SIN. HORIZ.",IF(COUNTIF(S29:U29,"X")&lt;&gt;1,"FALTA/DUPLA: SIN. VERTICAL","OK"))))))</f>
        <v>OK</v>
      </c>
    </row>
    <row r="30" spans="1:23" ht="20.100000000000001" customHeight="1" x14ac:dyDescent="0.25">
      <c r="A30" s="12" t="s">
        <v>278</v>
      </c>
      <c r="B30" s="13" t="s">
        <v>68</v>
      </c>
      <c r="C30" s="14">
        <v>4</v>
      </c>
      <c r="D30" s="14">
        <v>4.5199947960399998</v>
      </c>
      <c r="E30" s="14">
        <f>D30-C30</f>
        <v>0.51999479603999976</v>
      </c>
      <c r="F30" s="15" t="s">
        <v>69</v>
      </c>
      <c r="G30" s="15"/>
      <c r="H30" s="15"/>
      <c r="I30" s="15"/>
      <c r="J30" s="15"/>
      <c r="K30" s="15"/>
      <c r="L30" s="15" t="s">
        <v>69</v>
      </c>
      <c r="M30" s="15" t="s">
        <v>69</v>
      </c>
      <c r="N30" s="15"/>
      <c r="O30" s="15"/>
      <c r="P30" s="15" t="s">
        <v>69</v>
      </c>
      <c r="Q30" s="15"/>
      <c r="R30" s="15"/>
      <c r="S30" s="15" t="s">
        <v>69</v>
      </c>
      <c r="T30" s="15"/>
      <c r="U30" s="15"/>
      <c r="V30" s="16"/>
      <c r="W30" s="17" t="str">
        <f>IF(COUNTA(F30:U30)=0,"— não preenchido",IF(COUNTIF(F30:J30,"X")&lt;&gt;1,"FALTA/DUPLA: CONDIÇÃO DO PAVIMENTO",IF(COUNTIF(K30:L30,"X")&lt;&gt;1,"FALTA/DUPLA: VEGETAÇÃO",IF(COUNTIF(M30:O30,"X")&lt;&gt;1,"FALTA/DUPLA: ELEM. DE DRENAGEM",IF(COUNTIF(P30:R30,"X")&lt;&gt;1,"FALTA/DUPLA: SIN. HORIZ.",IF(COUNTIF(S30:U30,"X")&lt;&gt;1,"FALTA/DUPLA: SIN. VERTICAL","OK"))))))</f>
        <v>OK</v>
      </c>
    </row>
    <row r="32" spans="1:23" x14ac:dyDescent="0.25">
      <c r="A32" s="40" t="s">
        <v>78</v>
      </c>
      <c r="B32" s="28"/>
      <c r="C32" s="28"/>
      <c r="D32" s="28"/>
      <c r="E32" s="28"/>
      <c r="G32" s="40" t="s">
        <v>78</v>
      </c>
      <c r="H32" s="28"/>
      <c r="I32" s="28"/>
      <c r="J32" s="28"/>
      <c r="K32" s="28"/>
    </row>
    <row r="33" spans="1:22" x14ac:dyDescent="0.25">
      <c r="A33" s="44" t="s">
        <v>79</v>
      </c>
      <c r="B33" s="28"/>
      <c r="C33" s="28"/>
      <c r="D33" s="28"/>
      <c r="E33" s="28"/>
      <c r="G33" s="44" t="s">
        <v>80</v>
      </c>
      <c r="H33" s="28"/>
      <c r="I33" s="28"/>
      <c r="J33" s="28"/>
      <c r="K33" s="28"/>
    </row>
    <row r="35" spans="1:22" x14ac:dyDescent="0.25">
      <c r="A35" s="41" t="s">
        <v>81</v>
      </c>
      <c r="B35" s="28"/>
      <c r="C35" s="28"/>
      <c r="D35" s="28"/>
      <c r="E35" s="28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</row>
    <row r="36" spans="1:22" x14ac:dyDescent="0.25">
      <c r="A36" s="43" t="s">
        <v>82</v>
      </c>
      <c r="B36" s="28"/>
      <c r="C36" s="28"/>
      <c r="D36" s="28"/>
      <c r="E36" s="28"/>
      <c r="F36" s="9">
        <f t="shared" ref="F36:U36" si="3">SUMIF(F$9:F$30,"X",$E$9:$E$30)</f>
        <v>12.82550761105</v>
      </c>
      <c r="G36" s="9">
        <f t="shared" si="3"/>
        <v>3</v>
      </c>
      <c r="H36" s="9">
        <f t="shared" si="3"/>
        <v>0</v>
      </c>
      <c r="I36" s="9">
        <f t="shared" si="3"/>
        <v>1</v>
      </c>
      <c r="J36" s="9">
        <f t="shared" si="3"/>
        <v>0</v>
      </c>
      <c r="K36" s="9">
        <f t="shared" si="3"/>
        <v>0</v>
      </c>
      <c r="L36" s="9">
        <f t="shared" si="3"/>
        <v>16.82550761105</v>
      </c>
      <c r="M36" s="9">
        <f t="shared" si="3"/>
        <v>1.5199947960399998</v>
      </c>
      <c r="N36" s="9">
        <f t="shared" si="3"/>
        <v>15.305512815010001</v>
      </c>
      <c r="O36" s="9">
        <f t="shared" si="3"/>
        <v>0</v>
      </c>
      <c r="P36" s="9">
        <f t="shared" si="3"/>
        <v>16.82550761105</v>
      </c>
      <c r="Q36" s="9">
        <f t="shared" si="3"/>
        <v>0</v>
      </c>
      <c r="R36" s="9">
        <f t="shared" si="3"/>
        <v>0</v>
      </c>
      <c r="S36" s="9">
        <f t="shared" si="3"/>
        <v>1.5199947960399998</v>
      </c>
      <c r="T36" s="9">
        <f t="shared" si="3"/>
        <v>15.305512815010001</v>
      </c>
      <c r="U36" s="9">
        <f t="shared" si="3"/>
        <v>0</v>
      </c>
    </row>
    <row r="37" spans="1:22" x14ac:dyDescent="0.25">
      <c r="A37" s="43" t="s">
        <v>83</v>
      </c>
      <c r="B37" s="28"/>
      <c r="C37" s="28"/>
      <c r="D37" s="28"/>
      <c r="E37" s="28"/>
      <c r="F37" s="25">
        <f t="shared" ref="F37:U37" si="4">IF($R39=0,0,F36/$R39)</f>
        <v>0.76226571628822437</v>
      </c>
      <c r="G37" s="25">
        <f t="shared" si="4"/>
        <v>0.17830071278383169</v>
      </c>
      <c r="H37" s="25">
        <f t="shared" si="4"/>
        <v>0</v>
      </c>
      <c r="I37" s="25">
        <f t="shared" si="4"/>
        <v>5.9433570927943893E-2</v>
      </c>
      <c r="J37" s="25">
        <f t="shared" si="4"/>
        <v>0</v>
      </c>
      <c r="K37" s="25">
        <f t="shared" si="4"/>
        <v>0</v>
      </c>
      <c r="L37" s="25">
        <f t="shared" si="4"/>
        <v>1</v>
      </c>
      <c r="M37" s="25">
        <f t="shared" si="4"/>
        <v>9.0338718520548936E-2</v>
      </c>
      <c r="N37" s="25">
        <f t="shared" si="4"/>
        <v>0.90966128147945113</v>
      </c>
      <c r="O37" s="25">
        <f t="shared" si="4"/>
        <v>0</v>
      </c>
      <c r="P37" s="25">
        <f t="shared" si="4"/>
        <v>1</v>
      </c>
      <c r="Q37" s="25">
        <f t="shared" si="4"/>
        <v>0</v>
      </c>
      <c r="R37" s="25">
        <f t="shared" si="4"/>
        <v>0</v>
      </c>
      <c r="S37" s="25">
        <f t="shared" si="4"/>
        <v>9.0338718520548936E-2</v>
      </c>
      <c r="T37" s="25">
        <f t="shared" si="4"/>
        <v>0.90966128147945113</v>
      </c>
      <c r="U37" s="25">
        <f t="shared" si="4"/>
        <v>0</v>
      </c>
    </row>
    <row r="38" spans="1:22" x14ac:dyDescent="0.25">
      <c r="A38" s="43" t="s">
        <v>84</v>
      </c>
      <c r="B38" s="28"/>
      <c r="C38" s="28"/>
      <c r="D38" s="28"/>
      <c r="E38" s="28"/>
      <c r="F38" s="42" t="str">
        <f>IF(SUM(F36:J36)=0,"— não preenchido",IF(ROUND(SUM(F36:J36)-$R39,3)=0,"OK — "&amp;ROUND(SUM(F36:J36),3)&amp;" km","ERRO — dif. de "&amp;ROUND(SUM(F36:J36)-$R39,3)&amp;" km"))</f>
        <v>OK — 16,826 km</v>
      </c>
      <c r="G38" s="33"/>
      <c r="H38" s="33"/>
      <c r="I38" s="33"/>
      <c r="J38" s="34"/>
      <c r="K38" s="42" t="str">
        <f>IF(SUM(K36:L36)=0,"— não preenchido",IF(ROUND(SUM(K36:L36)-$R39,3)=0,"OK — "&amp;ROUND(SUM(K36:L36),3)&amp;" km","ERRO — dif. de "&amp;ROUND(SUM(K36:L36)-$R39,3)&amp;" km"))</f>
        <v>OK — 16,826 km</v>
      </c>
      <c r="L38" s="34"/>
      <c r="M38" s="42" t="str">
        <f>IF(SUM(M36:O36)=0,"— não preenchido",IF(ROUND(SUM(M36:O36)-$R39,3)=0,"OK — "&amp;ROUND(SUM(M36:O36),3)&amp;" km","ERRO — dif. de "&amp;ROUND(SUM(M36:O36)-$R39,3)&amp;" km"))</f>
        <v>OK — 16,826 km</v>
      </c>
      <c r="N38" s="33"/>
      <c r="O38" s="34"/>
      <c r="P38" s="42" t="str">
        <f>IF(SUM(P36:R36)=0,"— não preenchido",IF(ROUND(SUM(P36:R36)-$R39,3)=0,"OK — "&amp;ROUND(SUM(P36:R36),3)&amp;" km","ERRO — dif. de "&amp;ROUND(SUM(P36:R36)-$R39,3)&amp;" km"))</f>
        <v>OK — 16,826 km</v>
      </c>
      <c r="Q38" s="33"/>
      <c r="R38" s="34"/>
      <c r="S38" s="42" t="str">
        <f>IF(SUM(S36:U36)=0,"— não preenchido",IF(ROUND(SUM(S36:U36)-$R39,3)=0,"OK — "&amp;ROUND(SUM(S36:U36),3)&amp;" km","ERRO — dif. de "&amp;ROUND(SUM(S36:U36)-$R39,3)&amp;" km"))</f>
        <v>OK — 16,826 km</v>
      </c>
      <c r="T38" s="33"/>
      <c r="U38" s="34"/>
    </row>
    <row r="39" spans="1:22" x14ac:dyDescent="0.25">
      <c r="A39" s="43" t="s">
        <v>85</v>
      </c>
      <c r="B39" s="28"/>
      <c r="C39" s="28"/>
      <c r="D39" s="28"/>
      <c r="E39" s="28"/>
      <c r="R39" s="26">
        <f>SUM(E9:E30)</f>
        <v>16.82550761105</v>
      </c>
      <c r="V39" s="8" t="str">
        <f>COUNTIF(W9:W30,"OK")&amp;" de "&amp;COUNT($E$9:$E$30)&amp;" linhas conferidas"</f>
        <v>19 de 19 linhas conferidas</v>
      </c>
    </row>
    <row r="41" spans="1:22" x14ac:dyDescent="0.25">
      <c r="A41" s="37" t="s">
        <v>86</v>
      </c>
      <c r="B41" s="28"/>
      <c r="C41" s="28"/>
      <c r="D41" s="28"/>
      <c r="E41" s="28"/>
    </row>
    <row r="42" spans="1:22" x14ac:dyDescent="0.25">
      <c r="A42" s="43" t="s">
        <v>87</v>
      </c>
      <c r="B42" s="28"/>
      <c r="C42" s="28"/>
      <c r="D42" s="28"/>
      <c r="E42" s="31" t="s">
        <v>88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43" t="s">
        <v>89</v>
      </c>
      <c r="B43" s="28"/>
      <c r="C43" s="28"/>
      <c r="D43" s="28"/>
      <c r="E43" s="31" t="s">
        <v>90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43" t="s">
        <v>91</v>
      </c>
      <c r="B44" s="28"/>
      <c r="C44" s="28"/>
      <c r="D44" s="28"/>
      <c r="E44" s="31" t="s">
        <v>92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43" t="s">
        <v>93</v>
      </c>
      <c r="B45" s="28"/>
      <c r="C45" s="28"/>
      <c r="D45" s="28"/>
      <c r="E45" s="31" t="s">
        <v>94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43" t="s">
        <v>95</v>
      </c>
      <c r="B46" s="28"/>
      <c r="C46" s="28"/>
      <c r="D46" s="28"/>
      <c r="E46" s="31" t="s">
        <v>96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x14ac:dyDescent="0.25">
      <c r="A47" s="43" t="s">
        <v>60</v>
      </c>
      <c r="B47" s="28"/>
      <c r="C47" s="28"/>
      <c r="D47" s="28"/>
      <c r="E47" s="31" t="s">
        <v>97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x14ac:dyDescent="0.25">
      <c r="A48" s="43" t="s">
        <v>98</v>
      </c>
      <c r="B48" s="28"/>
      <c r="C48" s="28"/>
      <c r="D48" s="28"/>
      <c r="E48" s="31" t="s">
        <v>99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43" t="s">
        <v>100</v>
      </c>
      <c r="B49" s="28"/>
      <c r="C49" s="28"/>
      <c r="D49" s="28"/>
      <c r="E49" s="31" t="s">
        <v>101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43" t="s">
        <v>11</v>
      </c>
      <c r="B50" s="28"/>
      <c r="C50" s="28"/>
      <c r="D50" s="28"/>
      <c r="E50" s="31" t="s">
        <v>102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</sheetData>
  <sheetProtection sheet="1" formatCells="0"/>
  <mergeCells count="60">
    <mergeCell ref="E50:V50"/>
    <mergeCell ref="A35:E35"/>
    <mergeCell ref="A38:E38"/>
    <mergeCell ref="K38:L38"/>
    <mergeCell ref="A50:D50"/>
    <mergeCell ref="E42:V42"/>
    <mergeCell ref="E48:V48"/>
    <mergeCell ref="A42:D42"/>
    <mergeCell ref="E49:V49"/>
    <mergeCell ref="E45:V45"/>
    <mergeCell ref="A49:D49"/>
    <mergeCell ref="A48:D48"/>
    <mergeCell ref="A46:D46"/>
    <mergeCell ref="E47:V47"/>
    <mergeCell ref="E43:V43"/>
    <mergeCell ref="A41:E41"/>
    <mergeCell ref="A1:V1"/>
    <mergeCell ref="F38:J38"/>
    <mergeCell ref="A33:E33"/>
    <mergeCell ref="G33:K33"/>
    <mergeCell ref="T3:V3"/>
    <mergeCell ref="A32:E32"/>
    <mergeCell ref="A25:V25"/>
    <mergeCell ref="P38:R38"/>
    <mergeCell ref="G32:K32"/>
    <mergeCell ref="R2:V2"/>
    <mergeCell ref="A3:S3"/>
    <mergeCell ref="C6:C7"/>
    <mergeCell ref="K6:L6"/>
    <mergeCell ref="D6:D7"/>
    <mergeCell ref="P6:R6"/>
    <mergeCell ref="N2:O2"/>
    <mergeCell ref="E46:V46"/>
    <mergeCell ref="A43:D43"/>
    <mergeCell ref="W6:W7"/>
    <mergeCell ref="A37:E37"/>
    <mergeCell ref="E6:E7"/>
    <mergeCell ref="M6:O6"/>
    <mergeCell ref="V6:V7"/>
    <mergeCell ref="B6:B7"/>
    <mergeCell ref="A6:A7"/>
    <mergeCell ref="F6:J6"/>
    <mergeCell ref="A17:V17"/>
    <mergeCell ref="A36:E36"/>
    <mergeCell ref="A4:V4"/>
    <mergeCell ref="P2:Q2"/>
    <mergeCell ref="A47:D47"/>
    <mergeCell ref="A44:D44"/>
    <mergeCell ref="A2:F2"/>
    <mergeCell ref="S6:U6"/>
    <mergeCell ref="K2:M2"/>
    <mergeCell ref="A13:V13"/>
    <mergeCell ref="A39:E39"/>
    <mergeCell ref="S38:U38"/>
    <mergeCell ref="E44:V44"/>
    <mergeCell ref="G2:H2"/>
    <mergeCell ref="I2:J2"/>
    <mergeCell ref="A8:V8"/>
    <mergeCell ref="A45:D45"/>
    <mergeCell ref="M38:O38"/>
  </mergeCells>
  <conditionalFormatting sqref="F9:J30">
    <cfRule type="expression" dxfId="71" priority="1">
      <formula>AND(F9&lt;&gt;"",COUNTIF($F9:$J9,"X")&gt;1)</formula>
    </cfRule>
  </conditionalFormatting>
  <conditionalFormatting sqref="F38:U38">
    <cfRule type="expression" dxfId="70" priority="8">
      <formula>LEFT(F38,4)="ERRO"</formula>
    </cfRule>
    <cfRule type="expression" dxfId="69" priority="9">
      <formula>LEFT(F38,2)="OK"</formula>
    </cfRule>
  </conditionalFormatting>
  <conditionalFormatting sqref="K9:L30">
    <cfRule type="expression" dxfId="68" priority="2">
      <formula>AND(K9&lt;&gt;"",COUNTIF($K9:$L9,"X")&gt;1)</formula>
    </cfRule>
  </conditionalFormatting>
  <conditionalFormatting sqref="M9:O30">
    <cfRule type="expression" dxfId="67" priority="3">
      <formula>AND(M9&lt;&gt;"",COUNTIF($M9:$O9,"X")&gt;1)</formula>
    </cfRule>
  </conditionalFormatting>
  <conditionalFormatting sqref="P9:R30">
    <cfRule type="expression" dxfId="66" priority="4">
      <formula>AND(P9&lt;&gt;"",COUNTIF($P9:$R9,"X")&gt;1)</formula>
    </cfRule>
  </conditionalFormatting>
  <conditionalFormatting sqref="S9:U30">
    <cfRule type="expression" dxfId="65" priority="5">
      <formula>AND(S9&lt;&gt;"",COUNTIF($S9:$U9,"X")&gt;1)</formula>
    </cfRule>
  </conditionalFormatting>
  <conditionalFormatting sqref="W9:W30">
    <cfRule type="expression" dxfId="64" priority="6">
      <formula>AND(W9&lt;&gt;"OK",W9&lt;&gt;"")</formula>
    </cfRule>
    <cfRule type="expression" dxfId="6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0" xr:uid="{00000000-0002-0000-15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0" xr:uid="{00000000-0002-0000-15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0" xr:uid="{00000000-0002-0000-15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0" xr:uid="{00000000-0002-0000-15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0" xr:uid="{00000000-0002-0000-1500-000004000000}">
      <formula1>AND(UPPER(S9)="X",COUNTIF($S9:$U9,"X")&lt;=1)</formula1>
    </dataValidation>
    <dataValidation type="list" showErrorMessage="1" errorTitle="Sentido inválido" error="Use C (crescente) ou D (decrescente)." sqref="B9:B30" xr:uid="{00000000-0002-0000-15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25</oddHeader>
    <oddFooter>&amp;L&amp;7 RTA / MSI — Programa de Manutenção Rodoviária&amp;C&amp;7 Página &amp;P de &amp;N&amp;R&amp;7 Impresso em &amp;D</oddFooter>
  </headerFooter>
  <rowBreaks count="1" manualBreakCount="1">
    <brk id="33" max="16383" man="1"/>
  </rowBrea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  <pageSetUpPr fitToPage="1"/>
  </sheetPr>
  <dimension ref="A1:AN39"/>
  <sheetViews>
    <sheetView showGridLines="0" tabSelected="1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activeCell="J15" sqref="J15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IF(F25=0,NA(),F25)</f>
        <v>9.450495640282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9.450495640282</v>
      </c>
      <c r="AF2" s="2" t="e">
        <f t="shared" si="0"/>
        <v>#N/A</v>
      </c>
      <c r="AG2" s="2">
        <f t="shared" si="0"/>
        <v>9.450495640282</v>
      </c>
      <c r="AH2" s="2" t="e">
        <f t="shared" si="0"/>
        <v>#N/A</v>
      </c>
      <c r="AI2" s="2" t="e">
        <f t="shared" si="0"/>
        <v>#N/A</v>
      </c>
      <c r="AJ2" s="2">
        <f t="shared" si="0"/>
        <v>3.722973855262</v>
      </c>
      <c r="AK2" s="2">
        <f t="shared" si="0"/>
        <v>5.7275217850200004</v>
      </c>
      <c r="AL2" s="2" t="e">
        <f t="shared" si="0"/>
        <v>#N/A</v>
      </c>
      <c r="AM2" s="2">
        <f t="shared" si="0"/>
        <v>9.450495640282</v>
      </c>
      <c r="AN2" s="2" t="e">
        <f t="shared" si="0"/>
        <v>#N/A</v>
      </c>
    </row>
    <row r="3" spans="1:40" ht="15" customHeight="1" x14ac:dyDescent="0.25">
      <c r="A3" s="49" t="s">
        <v>279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280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281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2" t="s">
        <v>282</v>
      </c>
      <c r="B9" s="13" t="s">
        <v>68</v>
      </c>
      <c r="C9" s="14">
        <v>0</v>
      </c>
      <c r="D9" s="14">
        <v>0.72297385526199998</v>
      </c>
      <c r="E9" s="14">
        <f>D9-C9</f>
        <v>0.72297385526199998</v>
      </c>
      <c r="F9" s="15" t="s">
        <v>69</v>
      </c>
      <c r="G9" s="15"/>
      <c r="H9" s="15"/>
      <c r="I9" s="15"/>
      <c r="J9" s="15"/>
      <c r="K9" s="15"/>
      <c r="L9" s="15" t="s">
        <v>69</v>
      </c>
      <c r="M9" s="15"/>
      <c r="N9" s="15" t="s">
        <v>69</v>
      </c>
      <c r="O9" s="15"/>
      <c r="P9" s="15"/>
      <c r="Q9" s="15" t="s">
        <v>69</v>
      </c>
      <c r="R9" s="15"/>
      <c r="S9" s="15"/>
      <c r="T9" s="15" t="s">
        <v>69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15.95" customHeight="1" x14ac:dyDescent="0.25">
      <c r="A10" s="35" t="s">
        <v>283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4"/>
      <c r="W10" s="4"/>
    </row>
    <row r="11" spans="1:40" ht="20.100000000000001" customHeight="1" x14ac:dyDescent="0.25">
      <c r="A11" s="18" t="s">
        <v>284</v>
      </c>
      <c r="B11" s="19" t="s">
        <v>68</v>
      </c>
      <c r="C11" s="20">
        <v>0</v>
      </c>
      <c r="D11" s="20">
        <v>1</v>
      </c>
      <c r="E11" s="20">
        <f t="shared" ref="E11:E19" si="1">D11-C11</f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/>
      <c r="Q11" s="21" t="s">
        <v>69</v>
      </c>
      <c r="R11" s="21"/>
      <c r="S11" s="21"/>
      <c r="T11" s="21" t="s">
        <v>69</v>
      </c>
      <c r="U11" s="21"/>
      <c r="V11" s="22"/>
      <c r="W11" s="23" t="str">
        <f t="shared" ref="W11:W19" si="2"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284</v>
      </c>
      <c r="B12" s="19" t="s">
        <v>68</v>
      </c>
      <c r="C12" s="20">
        <v>1</v>
      </c>
      <c r="D12" s="20">
        <v>2</v>
      </c>
      <c r="E12" s="20">
        <f t="shared" si="1"/>
        <v>1</v>
      </c>
      <c r="F12" s="21" t="s">
        <v>69</v>
      </c>
      <c r="G12" s="21"/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/>
      <c r="Q12" s="21"/>
      <c r="R12" s="21" t="s">
        <v>69</v>
      </c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284</v>
      </c>
      <c r="B13" s="19" t="s">
        <v>68</v>
      </c>
      <c r="C13" s="20">
        <v>2</v>
      </c>
      <c r="D13" s="20">
        <v>3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/>
      <c r="Q13" s="21"/>
      <c r="R13" s="21" t="s">
        <v>69</v>
      </c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284</v>
      </c>
      <c r="B14" s="19" t="s">
        <v>68</v>
      </c>
      <c r="C14" s="20">
        <v>3</v>
      </c>
      <c r="D14" s="20">
        <v>4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/>
      <c r="Q14" s="21"/>
      <c r="R14" s="21" t="s">
        <v>69</v>
      </c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284</v>
      </c>
      <c r="B15" s="19" t="s">
        <v>68</v>
      </c>
      <c r="C15" s="20">
        <v>4</v>
      </c>
      <c r="D15" s="20">
        <v>5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/>
      <c r="Q15" s="21"/>
      <c r="R15" s="21" t="s">
        <v>69</v>
      </c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284</v>
      </c>
      <c r="B16" s="19" t="s">
        <v>68</v>
      </c>
      <c r="C16" s="20">
        <v>5</v>
      </c>
      <c r="D16" s="20">
        <v>6</v>
      </c>
      <c r="E16" s="20">
        <f t="shared" si="1"/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/>
      <c r="Q16" s="21" t="s">
        <v>69</v>
      </c>
      <c r="R16" s="21"/>
      <c r="S16" s="21"/>
      <c r="T16" s="21" t="s">
        <v>69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284</v>
      </c>
      <c r="B17" s="19" t="s">
        <v>68</v>
      </c>
      <c r="C17" s="20">
        <v>6</v>
      </c>
      <c r="D17" s="20">
        <v>7</v>
      </c>
      <c r="E17" s="20">
        <f t="shared" si="1"/>
        <v>1</v>
      </c>
      <c r="F17" s="21" t="s">
        <v>69</v>
      </c>
      <c r="G17" s="21"/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/>
      <c r="Q17" s="21" t="s">
        <v>69</v>
      </c>
      <c r="R17" s="21"/>
      <c r="S17" s="21"/>
      <c r="T17" s="21" t="s">
        <v>69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284</v>
      </c>
      <c r="B18" s="19" t="s">
        <v>68</v>
      </c>
      <c r="C18" s="20">
        <v>7</v>
      </c>
      <c r="D18" s="20">
        <v>8</v>
      </c>
      <c r="E18" s="20">
        <f t="shared" si="1"/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/>
      <c r="Q18" s="21"/>
      <c r="R18" s="21" t="s">
        <v>69</v>
      </c>
      <c r="S18" s="21"/>
      <c r="T18" s="21" t="s">
        <v>69</v>
      </c>
      <c r="U18" s="21"/>
      <c r="V18" s="22"/>
      <c r="W18" s="23" t="str">
        <f t="shared" si="2"/>
        <v>OK</v>
      </c>
    </row>
    <row r="19" spans="1:23" ht="20.100000000000001" customHeight="1" x14ac:dyDescent="0.25">
      <c r="A19" s="12" t="s">
        <v>284</v>
      </c>
      <c r="B19" s="13" t="s">
        <v>68</v>
      </c>
      <c r="C19" s="14">
        <v>8</v>
      </c>
      <c r="D19" s="14">
        <v>8.7275217850200004</v>
      </c>
      <c r="E19" s="14">
        <f t="shared" si="1"/>
        <v>0.72752178502000042</v>
      </c>
      <c r="F19" s="15" t="s">
        <v>69</v>
      </c>
      <c r="G19" s="15"/>
      <c r="H19" s="15"/>
      <c r="I19" s="15"/>
      <c r="J19" s="15"/>
      <c r="K19" s="15"/>
      <c r="L19" s="15" t="s">
        <v>69</v>
      </c>
      <c r="M19" s="15"/>
      <c r="N19" s="15" t="s">
        <v>69</v>
      </c>
      <c r="O19" s="15"/>
      <c r="P19" s="15"/>
      <c r="Q19" s="15"/>
      <c r="R19" s="15" t="s">
        <v>69</v>
      </c>
      <c r="S19" s="15"/>
      <c r="T19" s="15" t="s">
        <v>69</v>
      </c>
      <c r="U19" s="15"/>
      <c r="V19" s="16"/>
      <c r="W19" s="17" t="str">
        <f t="shared" si="2"/>
        <v>OK</v>
      </c>
    </row>
    <row r="21" spans="1:23" x14ac:dyDescent="0.25">
      <c r="A21" s="40" t="s">
        <v>78</v>
      </c>
      <c r="B21" s="28"/>
      <c r="C21" s="28"/>
      <c r="D21" s="28"/>
      <c r="E21" s="28"/>
      <c r="G21" s="40" t="s">
        <v>78</v>
      </c>
      <c r="H21" s="28"/>
      <c r="I21" s="28"/>
      <c r="J21" s="28"/>
      <c r="K21" s="28"/>
    </row>
    <row r="22" spans="1:23" x14ac:dyDescent="0.25">
      <c r="A22" s="44" t="s">
        <v>79</v>
      </c>
      <c r="B22" s="28"/>
      <c r="C22" s="28"/>
      <c r="D22" s="28"/>
      <c r="E22" s="28"/>
      <c r="G22" s="44" t="s">
        <v>80</v>
      </c>
      <c r="H22" s="28"/>
      <c r="I22" s="28"/>
      <c r="J22" s="28"/>
      <c r="K22" s="28"/>
    </row>
    <row r="24" spans="1:23" x14ac:dyDescent="0.25">
      <c r="A24" s="41" t="s">
        <v>81</v>
      </c>
      <c r="B24" s="28"/>
      <c r="C24" s="28"/>
      <c r="D24" s="28"/>
      <c r="E24" s="28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 spans="1:23" x14ac:dyDescent="0.25">
      <c r="A25" s="43" t="s">
        <v>82</v>
      </c>
      <c r="B25" s="28"/>
      <c r="C25" s="28"/>
      <c r="D25" s="28"/>
      <c r="E25" s="28"/>
      <c r="F25" s="9">
        <f t="shared" ref="F25:U25" si="3">SUMIF(F$9:F$19,"X",$E$9:$E$19)</f>
        <v>9.450495640282</v>
      </c>
      <c r="G25" s="9">
        <f t="shared" si="3"/>
        <v>0</v>
      </c>
      <c r="H25" s="9">
        <f t="shared" si="3"/>
        <v>0</v>
      </c>
      <c r="I25" s="9">
        <f t="shared" si="3"/>
        <v>0</v>
      </c>
      <c r="J25" s="9">
        <f t="shared" si="3"/>
        <v>0</v>
      </c>
      <c r="K25" s="9">
        <f t="shared" si="3"/>
        <v>0</v>
      </c>
      <c r="L25" s="9">
        <f t="shared" si="3"/>
        <v>9.450495640282</v>
      </c>
      <c r="M25" s="9">
        <f t="shared" si="3"/>
        <v>0</v>
      </c>
      <c r="N25" s="9">
        <f t="shared" si="3"/>
        <v>9.450495640282</v>
      </c>
      <c r="O25" s="9">
        <f t="shared" si="3"/>
        <v>0</v>
      </c>
      <c r="P25" s="9">
        <f t="shared" si="3"/>
        <v>0</v>
      </c>
      <c r="Q25" s="9">
        <f t="shared" si="3"/>
        <v>3.722973855262</v>
      </c>
      <c r="R25" s="9">
        <f t="shared" si="3"/>
        <v>5.7275217850200004</v>
      </c>
      <c r="S25" s="9">
        <f t="shared" si="3"/>
        <v>0</v>
      </c>
      <c r="T25" s="9">
        <f t="shared" si="3"/>
        <v>9.450495640282</v>
      </c>
      <c r="U25" s="9">
        <f t="shared" si="3"/>
        <v>0</v>
      </c>
    </row>
    <row r="26" spans="1:23" x14ac:dyDescent="0.25">
      <c r="A26" s="43" t="s">
        <v>83</v>
      </c>
      <c r="B26" s="28"/>
      <c r="C26" s="28"/>
      <c r="D26" s="28"/>
      <c r="E26" s="28"/>
      <c r="F26" s="25">
        <f t="shared" ref="F26:U26" si="4">IF($R28=0,0,F25/$R28)</f>
        <v>1</v>
      </c>
      <c r="G26" s="25">
        <f t="shared" si="4"/>
        <v>0</v>
      </c>
      <c r="H26" s="25">
        <f t="shared" si="4"/>
        <v>0</v>
      </c>
      <c r="I26" s="25">
        <f t="shared" si="4"/>
        <v>0</v>
      </c>
      <c r="J26" s="25">
        <f t="shared" si="4"/>
        <v>0</v>
      </c>
      <c r="K26" s="25">
        <f t="shared" si="4"/>
        <v>0</v>
      </c>
      <c r="L26" s="25">
        <f t="shared" si="4"/>
        <v>1</v>
      </c>
      <c r="M26" s="25">
        <f t="shared" si="4"/>
        <v>0</v>
      </c>
      <c r="N26" s="25">
        <f t="shared" si="4"/>
        <v>1</v>
      </c>
      <c r="O26" s="25">
        <f t="shared" si="4"/>
        <v>0</v>
      </c>
      <c r="P26" s="25">
        <f t="shared" si="4"/>
        <v>0</v>
      </c>
      <c r="Q26" s="25">
        <f t="shared" si="4"/>
        <v>0.39394482543255344</v>
      </c>
      <c r="R26" s="25">
        <f t="shared" si="4"/>
        <v>0.60605517456744662</v>
      </c>
      <c r="S26" s="25">
        <f t="shared" si="4"/>
        <v>0</v>
      </c>
      <c r="T26" s="25">
        <f t="shared" si="4"/>
        <v>1</v>
      </c>
      <c r="U26" s="25">
        <f t="shared" si="4"/>
        <v>0</v>
      </c>
    </row>
    <row r="27" spans="1:23" x14ac:dyDescent="0.25">
      <c r="A27" s="43" t="s">
        <v>84</v>
      </c>
      <c r="B27" s="28"/>
      <c r="C27" s="28"/>
      <c r="D27" s="28"/>
      <c r="E27" s="28"/>
      <c r="F27" s="42" t="str">
        <f>IF(SUM(F25:J25)=0,"— não preenchido",IF(ROUND(SUM(F25:J25)-$R28,3)=0,"OK — "&amp;ROUND(SUM(F25:J25),3)&amp;" km","ERRO — dif. de "&amp;ROUND(SUM(F25:J25)-$R28,3)&amp;" km"))</f>
        <v>OK — 9,45 km</v>
      </c>
      <c r="G27" s="33"/>
      <c r="H27" s="33"/>
      <c r="I27" s="33"/>
      <c r="J27" s="34"/>
      <c r="K27" s="42" t="str">
        <f>IF(SUM(K25:L25)=0,"— não preenchido",IF(ROUND(SUM(K25:L25)-$R28,3)=0,"OK — "&amp;ROUND(SUM(K25:L25),3)&amp;" km","ERRO — dif. de "&amp;ROUND(SUM(K25:L25)-$R28,3)&amp;" km"))</f>
        <v>OK — 9,45 km</v>
      </c>
      <c r="L27" s="34"/>
      <c r="M27" s="42" t="str">
        <f>IF(SUM(M25:O25)=0,"— não preenchido",IF(ROUND(SUM(M25:O25)-$R28,3)=0,"OK — "&amp;ROUND(SUM(M25:O25),3)&amp;" km","ERRO — dif. de "&amp;ROUND(SUM(M25:O25)-$R28,3)&amp;" km"))</f>
        <v>OK — 9,45 km</v>
      </c>
      <c r="N27" s="33"/>
      <c r="O27" s="34"/>
      <c r="P27" s="42" t="str">
        <f>IF(SUM(P25:R25)=0,"— não preenchido",IF(ROUND(SUM(P25:R25)-$R28,3)=0,"OK — "&amp;ROUND(SUM(P25:R25),3)&amp;" km","ERRO — dif. de "&amp;ROUND(SUM(P25:R25)-$R28,3)&amp;" km"))</f>
        <v>OK — 9,45 km</v>
      </c>
      <c r="Q27" s="33"/>
      <c r="R27" s="34"/>
      <c r="S27" s="42" t="str">
        <f>IF(SUM(S25:U25)=0,"— não preenchido",IF(ROUND(SUM(S25:U25)-$R28,3)=0,"OK — "&amp;ROUND(SUM(S25:U25),3)&amp;" km","ERRO — dif. de "&amp;ROUND(SUM(S25:U25)-$R28,3)&amp;" km"))</f>
        <v>OK — 9,45 km</v>
      </c>
      <c r="T27" s="33"/>
      <c r="U27" s="34"/>
    </row>
    <row r="28" spans="1:23" x14ac:dyDescent="0.25">
      <c r="A28" s="43" t="s">
        <v>85</v>
      </c>
      <c r="B28" s="28"/>
      <c r="C28" s="28"/>
      <c r="D28" s="28"/>
      <c r="E28" s="28"/>
      <c r="R28" s="26">
        <f>SUM(E9:E19)</f>
        <v>9.450495640282</v>
      </c>
      <c r="V28" s="8" t="str">
        <f>COUNTIF(W9:W19,"OK")&amp;" de "&amp;COUNT($E$9:$E$19)&amp;" linhas conferidas"</f>
        <v>10 de 10 linhas conferidas</v>
      </c>
    </row>
    <row r="30" spans="1:23" x14ac:dyDescent="0.25">
      <c r="A30" s="37" t="s">
        <v>86</v>
      </c>
      <c r="B30" s="28"/>
      <c r="C30" s="28"/>
      <c r="D30" s="28"/>
      <c r="E30" s="28"/>
    </row>
    <row r="31" spans="1:23" x14ac:dyDescent="0.25">
      <c r="A31" s="43" t="s">
        <v>87</v>
      </c>
      <c r="B31" s="28"/>
      <c r="C31" s="28"/>
      <c r="D31" s="28"/>
      <c r="E31" s="31" t="s">
        <v>88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3" x14ac:dyDescent="0.25">
      <c r="A32" s="43" t="s">
        <v>89</v>
      </c>
      <c r="B32" s="28"/>
      <c r="C32" s="28"/>
      <c r="D32" s="28"/>
      <c r="E32" s="31" t="s">
        <v>90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43" t="s">
        <v>91</v>
      </c>
      <c r="B33" s="28"/>
      <c r="C33" s="28"/>
      <c r="D33" s="28"/>
      <c r="E33" s="31" t="s">
        <v>92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43" t="s">
        <v>93</v>
      </c>
      <c r="B34" s="28"/>
      <c r="C34" s="28"/>
      <c r="D34" s="28"/>
      <c r="E34" s="31" t="s">
        <v>94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43" t="s">
        <v>95</v>
      </c>
      <c r="B35" s="28"/>
      <c r="C35" s="28"/>
      <c r="D35" s="28"/>
      <c r="E35" s="31" t="s">
        <v>96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43" t="s">
        <v>60</v>
      </c>
      <c r="B36" s="28"/>
      <c r="C36" s="28"/>
      <c r="D36" s="28"/>
      <c r="E36" s="31" t="s">
        <v>97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43" t="s">
        <v>98</v>
      </c>
      <c r="B37" s="28"/>
      <c r="C37" s="28"/>
      <c r="D37" s="28"/>
      <c r="E37" s="31" t="s">
        <v>99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43" t="s">
        <v>100</v>
      </c>
      <c r="B38" s="28"/>
      <c r="C38" s="28"/>
      <c r="D38" s="28"/>
      <c r="E38" s="31" t="s">
        <v>101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43" t="s">
        <v>11</v>
      </c>
      <c r="B39" s="28"/>
      <c r="C39" s="28"/>
      <c r="D39" s="28"/>
      <c r="E39" s="31" t="s">
        <v>102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</sheetData>
  <sheetProtection sheet="1" formatCells="0"/>
  <mergeCells count="58">
    <mergeCell ref="A1:V1"/>
    <mergeCell ref="E32:V32"/>
    <mergeCell ref="K27:L27"/>
    <mergeCell ref="T3:V3"/>
    <mergeCell ref="E37:V37"/>
    <mergeCell ref="A22:E22"/>
    <mergeCell ref="F27:J27"/>
    <mergeCell ref="A37:D37"/>
    <mergeCell ref="S27:U27"/>
    <mergeCell ref="A28:E28"/>
    <mergeCell ref="E33:V33"/>
    <mergeCell ref="R2:V2"/>
    <mergeCell ref="A3:S3"/>
    <mergeCell ref="C6:C7"/>
    <mergeCell ref="A33:D33"/>
    <mergeCell ref="K6:L6"/>
    <mergeCell ref="A39:D39"/>
    <mergeCell ref="P2:Q2"/>
    <mergeCell ref="W6:W7"/>
    <mergeCell ref="E36:V36"/>
    <mergeCell ref="E6:E7"/>
    <mergeCell ref="B6:B7"/>
    <mergeCell ref="A27:E27"/>
    <mergeCell ref="A36:D36"/>
    <mergeCell ref="A21:E21"/>
    <mergeCell ref="A26:E26"/>
    <mergeCell ref="D6:D7"/>
    <mergeCell ref="E39:V39"/>
    <mergeCell ref="G22:K22"/>
    <mergeCell ref="P6:R6"/>
    <mergeCell ref="G2:H2"/>
    <mergeCell ref="I2:J2"/>
    <mergeCell ref="A38:D38"/>
    <mergeCell ref="A8:V8"/>
    <mergeCell ref="A6:A7"/>
    <mergeCell ref="F6:J6"/>
    <mergeCell ref="M6:O6"/>
    <mergeCell ref="E31:V31"/>
    <mergeCell ref="E35:V35"/>
    <mergeCell ref="E38:V38"/>
    <mergeCell ref="A25:E25"/>
    <mergeCell ref="A35:D35"/>
    <mergeCell ref="A4:V4"/>
    <mergeCell ref="V6:V7"/>
    <mergeCell ref="E34:V34"/>
    <mergeCell ref="A2:F2"/>
    <mergeCell ref="S6:U6"/>
    <mergeCell ref="A10:V10"/>
    <mergeCell ref="K2:M2"/>
    <mergeCell ref="A30:E30"/>
    <mergeCell ref="N2:O2"/>
    <mergeCell ref="G21:K21"/>
    <mergeCell ref="A24:E24"/>
    <mergeCell ref="P27:R27"/>
    <mergeCell ref="A31:D31"/>
    <mergeCell ref="M27:O27"/>
    <mergeCell ref="A32:D32"/>
    <mergeCell ref="A34:D34"/>
  </mergeCells>
  <conditionalFormatting sqref="F9:J19">
    <cfRule type="expression" dxfId="62" priority="1">
      <formula>AND(F9&lt;&gt;"",COUNTIF($F9:$J9,"X")&gt;1)</formula>
    </cfRule>
  </conditionalFormatting>
  <conditionalFormatting sqref="F27:U27">
    <cfRule type="expression" dxfId="61" priority="8">
      <formula>LEFT(F27,4)="ERRO"</formula>
    </cfRule>
    <cfRule type="expression" dxfId="60" priority="9">
      <formula>LEFT(F27,2)="OK"</formula>
    </cfRule>
  </conditionalFormatting>
  <conditionalFormatting sqref="K9:L19">
    <cfRule type="expression" dxfId="59" priority="2">
      <formula>AND(K9&lt;&gt;"",COUNTIF($K9:$L9,"X")&gt;1)</formula>
    </cfRule>
  </conditionalFormatting>
  <conditionalFormatting sqref="M9:O19">
    <cfRule type="expression" dxfId="58" priority="3">
      <formula>AND(M9&lt;&gt;"",COUNTIF($M9:$O9,"X")&gt;1)</formula>
    </cfRule>
  </conditionalFormatting>
  <conditionalFormatting sqref="P9:R19">
    <cfRule type="expression" dxfId="57" priority="4">
      <formula>AND(P9&lt;&gt;"",COUNTIF($P9:$R9,"X")&gt;1)</formula>
    </cfRule>
  </conditionalFormatting>
  <conditionalFormatting sqref="S9:U19">
    <cfRule type="expression" dxfId="56" priority="5">
      <formula>AND(S9&lt;&gt;"",COUNTIF($S9:$U9,"X")&gt;1)</formula>
    </cfRule>
  </conditionalFormatting>
  <conditionalFormatting sqref="W9:W19">
    <cfRule type="expression" dxfId="55" priority="6">
      <formula>AND(W9&lt;&gt;"OK",W9&lt;&gt;"")</formula>
    </cfRule>
    <cfRule type="expression" dxfId="5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9" xr:uid="{00000000-0002-0000-16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9" xr:uid="{00000000-0002-0000-16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9" xr:uid="{00000000-0002-0000-16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9" xr:uid="{00000000-0002-0000-16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9" xr:uid="{00000000-0002-0000-1600-000004000000}">
      <formula1>AND(UPPER(S9)="X",COUNTIF($S9:$U9,"X")&lt;=1)</formula1>
    </dataValidation>
    <dataValidation type="list" showErrorMessage="1" errorTitle="Sentido inválido" error="Use C (crescente) ou D (decrescente)." sqref="B9:B19" xr:uid="{00000000-0002-0000-16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28</oddHeader>
    <oddFooter>&amp;L&amp;7 RTA / MSI — Programa de Manutenção Rodoviária&amp;C&amp;7 Página &amp;P de &amp;N&amp;R&amp;7 Impresso em &amp;D</oddFooter>
  </headerFooter>
  <rowBreaks count="1" manualBreakCount="1">
    <brk id="22" max="16383" man="1"/>
  </rowBrea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  <pageSetUpPr fitToPage="1"/>
  </sheetPr>
  <dimension ref="A1:AN58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IF(F44=0,NA(),F44)</f>
        <v>13.51017659155</v>
      </c>
      <c r="Z2" s="2" t="e">
        <f t="shared" si="0"/>
        <v>#N/A</v>
      </c>
      <c r="AA2" s="2">
        <f t="shared" si="0"/>
        <v>12.33266836704</v>
      </c>
      <c r="AB2" s="2" t="e">
        <f t="shared" si="0"/>
        <v>#N/A</v>
      </c>
      <c r="AC2" s="2" t="e">
        <f t="shared" si="0"/>
        <v>#N/A</v>
      </c>
      <c r="AD2" s="2">
        <f t="shared" si="0"/>
        <v>25.84284495859</v>
      </c>
      <c r="AE2" s="2" t="e">
        <f t="shared" si="0"/>
        <v>#N/A</v>
      </c>
      <c r="AF2" s="2" t="e">
        <f t="shared" si="0"/>
        <v>#N/A</v>
      </c>
      <c r="AG2" s="2">
        <f t="shared" si="0"/>
        <v>25.84284495859</v>
      </c>
      <c r="AH2" s="2" t="e">
        <f t="shared" si="0"/>
        <v>#N/A</v>
      </c>
      <c r="AI2" s="2" t="e">
        <f t="shared" si="0"/>
        <v>#N/A</v>
      </c>
      <c r="AJ2" s="2">
        <f t="shared" si="0"/>
        <v>19.77737503334</v>
      </c>
      <c r="AK2" s="2">
        <f t="shared" si="0"/>
        <v>6.0654699252499995</v>
      </c>
      <c r="AL2" s="2" t="e">
        <f t="shared" si="0"/>
        <v>#N/A</v>
      </c>
      <c r="AM2" s="2">
        <f t="shared" si="0"/>
        <v>25.84284495859</v>
      </c>
      <c r="AN2" s="2" t="e">
        <f t="shared" si="0"/>
        <v>#N/A</v>
      </c>
    </row>
    <row r="3" spans="1:40" ht="15" customHeight="1" x14ac:dyDescent="0.25">
      <c r="A3" s="49" t="s">
        <v>285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286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287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288</v>
      </c>
      <c r="B9" s="19" t="s">
        <v>68</v>
      </c>
      <c r="C9" s="20">
        <v>0</v>
      </c>
      <c r="D9" s="20">
        <v>1</v>
      </c>
      <c r="E9" s="20">
        <f t="shared" ref="E9:E15" si="1">D9-C9</f>
        <v>1</v>
      </c>
      <c r="F9" s="21" t="s">
        <v>69</v>
      </c>
      <c r="G9" s="21"/>
      <c r="H9" s="21"/>
      <c r="I9" s="21"/>
      <c r="J9" s="21"/>
      <c r="K9" s="21" t="s">
        <v>69</v>
      </c>
      <c r="L9" s="21"/>
      <c r="M9" s="21"/>
      <c r="N9" s="21" t="s">
        <v>69</v>
      </c>
      <c r="O9" s="21"/>
      <c r="P9" s="21"/>
      <c r="Q9" s="21" t="s">
        <v>69</v>
      </c>
      <c r="R9" s="21"/>
      <c r="S9" s="21"/>
      <c r="T9" s="21" t="s">
        <v>69</v>
      </c>
      <c r="U9" s="21"/>
      <c r="V9" s="22" t="s">
        <v>327</v>
      </c>
      <c r="W9" s="23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288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 t="s">
        <v>69</v>
      </c>
      <c r="L10" s="21"/>
      <c r="M10" s="21"/>
      <c r="N10" s="21" t="s">
        <v>69</v>
      </c>
      <c r="O10" s="21"/>
      <c r="P10" s="21"/>
      <c r="Q10" s="21" t="s">
        <v>69</v>
      </c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288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/>
      <c r="G11" s="21"/>
      <c r="H11" s="21" t="s">
        <v>69</v>
      </c>
      <c r="I11" s="21"/>
      <c r="J11" s="21"/>
      <c r="K11" s="21" t="s">
        <v>69</v>
      </c>
      <c r="L11" s="21"/>
      <c r="M11" s="21"/>
      <c r="N11" s="21" t="s">
        <v>69</v>
      </c>
      <c r="O11" s="21"/>
      <c r="P11" s="21"/>
      <c r="Q11" s="21"/>
      <c r="R11" s="21" t="s">
        <v>69</v>
      </c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288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/>
      <c r="G12" s="21"/>
      <c r="H12" s="21" t="s">
        <v>69</v>
      </c>
      <c r="I12" s="21"/>
      <c r="J12" s="21"/>
      <c r="K12" s="21" t="s">
        <v>69</v>
      </c>
      <c r="L12" s="21"/>
      <c r="M12" s="21"/>
      <c r="N12" s="21" t="s">
        <v>69</v>
      </c>
      <c r="O12" s="21"/>
      <c r="P12" s="21"/>
      <c r="Q12" s="21"/>
      <c r="R12" s="21" t="s">
        <v>69</v>
      </c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288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 t="s">
        <v>69</v>
      </c>
      <c r="L13" s="21"/>
      <c r="M13" s="21"/>
      <c r="N13" s="21" t="s">
        <v>69</v>
      </c>
      <c r="O13" s="21"/>
      <c r="P13" s="21"/>
      <c r="Q13" s="21" t="s">
        <v>69</v>
      </c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288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 t="s">
        <v>69</v>
      </c>
      <c r="L14" s="21"/>
      <c r="M14" s="21"/>
      <c r="N14" s="21" t="s">
        <v>69</v>
      </c>
      <c r="O14" s="21"/>
      <c r="P14" s="21"/>
      <c r="Q14" s="21" t="s">
        <v>69</v>
      </c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2" t="s">
        <v>288</v>
      </c>
      <c r="B15" s="13" t="s">
        <v>68</v>
      </c>
      <c r="C15" s="14">
        <v>6</v>
      </c>
      <c r="D15" s="14">
        <v>6.3326683670400001</v>
      </c>
      <c r="E15" s="14">
        <f t="shared" si="1"/>
        <v>0.33266836704000013</v>
      </c>
      <c r="F15" s="15"/>
      <c r="G15" s="15"/>
      <c r="H15" s="15" t="s">
        <v>69</v>
      </c>
      <c r="I15" s="15"/>
      <c r="J15" s="15"/>
      <c r="K15" s="15" t="s">
        <v>69</v>
      </c>
      <c r="L15" s="15"/>
      <c r="M15" s="15"/>
      <c r="N15" s="15" t="s">
        <v>69</v>
      </c>
      <c r="O15" s="15"/>
      <c r="P15" s="15"/>
      <c r="Q15" s="15" t="s">
        <v>69</v>
      </c>
      <c r="R15" s="15"/>
      <c r="S15" s="15"/>
      <c r="T15" s="15" t="s">
        <v>69</v>
      </c>
      <c r="U15" s="15"/>
      <c r="V15" s="16"/>
      <c r="W15" s="17" t="str">
        <f t="shared" si="2"/>
        <v>OK</v>
      </c>
    </row>
    <row r="16" spans="1:40" ht="15.95" customHeight="1" x14ac:dyDescent="0.25">
      <c r="A16" s="35" t="s">
        <v>289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4"/>
      <c r="W16" s="4"/>
    </row>
    <row r="17" spans="1:23" ht="20.100000000000001" customHeight="1" x14ac:dyDescent="0.25">
      <c r="A17" s="18" t="s">
        <v>290</v>
      </c>
      <c r="B17" s="19" t="s">
        <v>68</v>
      </c>
      <c r="C17" s="20">
        <v>0</v>
      </c>
      <c r="D17" s="20">
        <v>1</v>
      </c>
      <c r="E17" s="20">
        <f t="shared" ref="E17:E34" si="3">D17-C17</f>
        <v>1</v>
      </c>
      <c r="F17" s="21"/>
      <c r="G17" s="21"/>
      <c r="H17" s="21" t="s">
        <v>69</v>
      </c>
      <c r="I17" s="21"/>
      <c r="J17" s="21"/>
      <c r="K17" s="21" t="s">
        <v>69</v>
      </c>
      <c r="L17" s="21"/>
      <c r="M17" s="21"/>
      <c r="N17" s="21" t="s">
        <v>69</v>
      </c>
      <c r="O17" s="21"/>
      <c r="P17" s="21"/>
      <c r="Q17" s="21" t="s">
        <v>69</v>
      </c>
      <c r="R17" s="21"/>
      <c r="S17" s="21"/>
      <c r="T17" s="21" t="s">
        <v>69</v>
      </c>
      <c r="U17" s="21"/>
      <c r="V17" s="22"/>
      <c r="W17" s="23" t="str">
        <f t="shared" ref="W17:W34" si="4"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8" t="s">
        <v>290</v>
      </c>
      <c r="B18" s="19" t="s">
        <v>68</v>
      </c>
      <c r="C18" s="20">
        <v>1</v>
      </c>
      <c r="D18" s="20">
        <v>2</v>
      </c>
      <c r="E18" s="20">
        <f t="shared" si="3"/>
        <v>1</v>
      </c>
      <c r="F18" s="21"/>
      <c r="G18" s="21"/>
      <c r="H18" s="21" t="s">
        <v>69</v>
      </c>
      <c r="I18" s="21"/>
      <c r="J18" s="21"/>
      <c r="K18" s="21" t="s">
        <v>69</v>
      </c>
      <c r="L18" s="21"/>
      <c r="M18" s="21"/>
      <c r="N18" s="21" t="s">
        <v>69</v>
      </c>
      <c r="O18" s="21"/>
      <c r="P18" s="21"/>
      <c r="Q18" s="21" t="s">
        <v>69</v>
      </c>
      <c r="R18" s="21"/>
      <c r="S18" s="21"/>
      <c r="T18" s="21" t="s">
        <v>69</v>
      </c>
      <c r="U18" s="21"/>
      <c r="V18" s="22"/>
      <c r="W18" s="23" t="str">
        <f t="shared" si="4"/>
        <v>OK</v>
      </c>
    </row>
    <row r="19" spans="1:23" ht="20.100000000000001" customHeight="1" x14ac:dyDescent="0.25">
      <c r="A19" s="18" t="s">
        <v>290</v>
      </c>
      <c r="B19" s="19" t="s">
        <v>68</v>
      </c>
      <c r="C19" s="20">
        <v>2</v>
      </c>
      <c r="D19" s="20">
        <v>3</v>
      </c>
      <c r="E19" s="20">
        <f t="shared" si="3"/>
        <v>1</v>
      </c>
      <c r="F19" s="21"/>
      <c r="G19" s="21"/>
      <c r="H19" s="21" t="s">
        <v>69</v>
      </c>
      <c r="I19" s="21"/>
      <c r="J19" s="21"/>
      <c r="K19" s="21" t="s">
        <v>69</v>
      </c>
      <c r="L19" s="21"/>
      <c r="M19" s="21"/>
      <c r="N19" s="21" t="s">
        <v>69</v>
      </c>
      <c r="O19" s="21"/>
      <c r="P19" s="21"/>
      <c r="Q19" s="21" t="s">
        <v>69</v>
      </c>
      <c r="R19" s="21"/>
      <c r="S19" s="21"/>
      <c r="T19" s="21" t="s">
        <v>69</v>
      </c>
      <c r="U19" s="21"/>
      <c r="V19" s="22"/>
      <c r="W19" s="23" t="str">
        <f t="shared" si="4"/>
        <v>OK</v>
      </c>
    </row>
    <row r="20" spans="1:23" ht="20.100000000000001" customHeight="1" x14ac:dyDescent="0.25">
      <c r="A20" s="18" t="s">
        <v>290</v>
      </c>
      <c r="B20" s="19" t="s">
        <v>68</v>
      </c>
      <c r="C20" s="20">
        <v>3</v>
      </c>
      <c r="D20" s="20">
        <v>4</v>
      </c>
      <c r="E20" s="20">
        <f t="shared" si="3"/>
        <v>1</v>
      </c>
      <c r="F20" s="21"/>
      <c r="G20" s="21"/>
      <c r="H20" s="21" t="s">
        <v>69</v>
      </c>
      <c r="I20" s="21"/>
      <c r="J20" s="21"/>
      <c r="K20" s="21" t="s">
        <v>69</v>
      </c>
      <c r="L20" s="21"/>
      <c r="M20" s="21"/>
      <c r="N20" s="21" t="s">
        <v>69</v>
      </c>
      <c r="O20" s="21"/>
      <c r="P20" s="21"/>
      <c r="Q20" s="21" t="s">
        <v>69</v>
      </c>
      <c r="R20" s="21"/>
      <c r="S20" s="21"/>
      <c r="T20" s="21" t="s">
        <v>69</v>
      </c>
      <c r="U20" s="21"/>
      <c r="V20" s="22"/>
      <c r="W20" s="23" t="str">
        <f t="shared" si="4"/>
        <v>OK</v>
      </c>
    </row>
    <row r="21" spans="1:23" ht="20.100000000000001" customHeight="1" x14ac:dyDescent="0.25">
      <c r="A21" s="18" t="s">
        <v>290</v>
      </c>
      <c r="B21" s="19" t="s">
        <v>68</v>
      </c>
      <c r="C21" s="20">
        <v>4</v>
      </c>
      <c r="D21" s="20">
        <v>5</v>
      </c>
      <c r="E21" s="20">
        <f t="shared" si="3"/>
        <v>1</v>
      </c>
      <c r="F21" s="21" t="s">
        <v>69</v>
      </c>
      <c r="G21" s="21"/>
      <c r="H21" s="21"/>
      <c r="I21" s="21"/>
      <c r="J21" s="21"/>
      <c r="K21" s="21" t="s">
        <v>69</v>
      </c>
      <c r="L21" s="21"/>
      <c r="M21" s="21"/>
      <c r="N21" s="21" t="s">
        <v>69</v>
      </c>
      <c r="O21" s="21"/>
      <c r="P21" s="21"/>
      <c r="Q21" s="21" t="s">
        <v>69</v>
      </c>
      <c r="R21" s="21"/>
      <c r="S21" s="21"/>
      <c r="T21" s="21" t="s">
        <v>69</v>
      </c>
      <c r="U21" s="21"/>
      <c r="V21" s="22"/>
      <c r="W21" s="23" t="str">
        <f t="shared" si="4"/>
        <v>OK</v>
      </c>
    </row>
    <row r="22" spans="1:23" ht="20.100000000000001" customHeight="1" x14ac:dyDescent="0.25">
      <c r="A22" s="18" t="s">
        <v>290</v>
      </c>
      <c r="B22" s="19" t="s">
        <v>68</v>
      </c>
      <c r="C22" s="20">
        <v>5</v>
      </c>
      <c r="D22" s="20">
        <v>6</v>
      </c>
      <c r="E22" s="20">
        <f t="shared" si="3"/>
        <v>1</v>
      </c>
      <c r="F22" s="21" t="s">
        <v>69</v>
      </c>
      <c r="G22" s="21"/>
      <c r="H22" s="21"/>
      <c r="I22" s="21"/>
      <c r="J22" s="21"/>
      <c r="K22" s="21" t="s">
        <v>69</v>
      </c>
      <c r="L22" s="21"/>
      <c r="M22" s="21"/>
      <c r="N22" s="21" t="s">
        <v>69</v>
      </c>
      <c r="O22" s="21"/>
      <c r="P22" s="21"/>
      <c r="Q22" s="21" t="s">
        <v>69</v>
      </c>
      <c r="R22" s="21"/>
      <c r="S22" s="21"/>
      <c r="T22" s="21" t="s">
        <v>69</v>
      </c>
      <c r="U22" s="21"/>
      <c r="V22" s="22"/>
      <c r="W22" s="23" t="str">
        <f t="shared" si="4"/>
        <v>OK</v>
      </c>
    </row>
    <row r="23" spans="1:23" ht="20.100000000000001" customHeight="1" x14ac:dyDescent="0.25">
      <c r="A23" s="18" t="s">
        <v>290</v>
      </c>
      <c r="B23" s="19" t="s">
        <v>68</v>
      </c>
      <c r="C23" s="20">
        <v>6</v>
      </c>
      <c r="D23" s="20">
        <v>7</v>
      </c>
      <c r="E23" s="20">
        <f t="shared" si="3"/>
        <v>1</v>
      </c>
      <c r="F23" s="21"/>
      <c r="G23" s="21"/>
      <c r="H23" s="21" t="s">
        <v>69</v>
      </c>
      <c r="I23" s="21"/>
      <c r="J23" s="21"/>
      <c r="K23" s="21" t="s">
        <v>69</v>
      </c>
      <c r="L23" s="21"/>
      <c r="M23" s="21"/>
      <c r="N23" s="21" t="s">
        <v>69</v>
      </c>
      <c r="O23" s="21"/>
      <c r="P23" s="21"/>
      <c r="Q23" s="21" t="s">
        <v>69</v>
      </c>
      <c r="R23" s="21"/>
      <c r="S23" s="21"/>
      <c r="T23" s="21" t="s">
        <v>69</v>
      </c>
      <c r="U23" s="21"/>
      <c r="V23" s="22"/>
      <c r="W23" s="23" t="str">
        <f t="shared" si="4"/>
        <v>OK</v>
      </c>
    </row>
    <row r="24" spans="1:23" ht="20.100000000000001" customHeight="1" x14ac:dyDescent="0.25">
      <c r="A24" s="18" t="s">
        <v>290</v>
      </c>
      <c r="B24" s="19" t="s">
        <v>68</v>
      </c>
      <c r="C24" s="20">
        <v>7</v>
      </c>
      <c r="D24" s="20">
        <v>8</v>
      </c>
      <c r="E24" s="20">
        <f t="shared" si="3"/>
        <v>1</v>
      </c>
      <c r="F24" s="21"/>
      <c r="G24" s="21"/>
      <c r="H24" s="21" t="s">
        <v>69</v>
      </c>
      <c r="I24" s="21"/>
      <c r="J24" s="21"/>
      <c r="K24" s="21" t="s">
        <v>69</v>
      </c>
      <c r="L24" s="21"/>
      <c r="M24" s="21"/>
      <c r="N24" s="21" t="s">
        <v>69</v>
      </c>
      <c r="O24" s="21"/>
      <c r="P24" s="21"/>
      <c r="Q24" s="21" t="s">
        <v>69</v>
      </c>
      <c r="R24" s="21"/>
      <c r="S24" s="21"/>
      <c r="T24" s="21" t="s">
        <v>69</v>
      </c>
      <c r="U24" s="21"/>
      <c r="V24" s="22"/>
      <c r="W24" s="23" t="str">
        <f t="shared" si="4"/>
        <v>OK</v>
      </c>
    </row>
    <row r="25" spans="1:23" ht="20.100000000000001" customHeight="1" x14ac:dyDescent="0.25">
      <c r="A25" s="18" t="s">
        <v>290</v>
      </c>
      <c r="B25" s="19" t="s">
        <v>68</v>
      </c>
      <c r="C25" s="20">
        <v>8</v>
      </c>
      <c r="D25" s="20">
        <v>9</v>
      </c>
      <c r="E25" s="20">
        <f t="shared" si="3"/>
        <v>1</v>
      </c>
      <c r="F25" s="21" t="s">
        <v>69</v>
      </c>
      <c r="G25" s="21"/>
      <c r="H25" s="21"/>
      <c r="I25" s="21"/>
      <c r="J25" s="21"/>
      <c r="K25" s="21" t="s">
        <v>69</v>
      </c>
      <c r="L25" s="21"/>
      <c r="M25" s="21"/>
      <c r="N25" s="21" t="s">
        <v>69</v>
      </c>
      <c r="O25" s="21"/>
      <c r="P25" s="21"/>
      <c r="Q25" s="21"/>
      <c r="R25" s="21" t="s">
        <v>69</v>
      </c>
      <c r="S25" s="21"/>
      <c r="T25" s="21" t="s">
        <v>69</v>
      </c>
      <c r="U25" s="21"/>
      <c r="V25" s="22"/>
      <c r="W25" s="23" t="str">
        <f t="shared" si="4"/>
        <v>OK</v>
      </c>
    </row>
    <row r="26" spans="1:23" ht="20.100000000000001" customHeight="1" x14ac:dyDescent="0.25">
      <c r="A26" s="18" t="s">
        <v>290</v>
      </c>
      <c r="B26" s="19" t="s">
        <v>68</v>
      </c>
      <c r="C26" s="20">
        <v>9</v>
      </c>
      <c r="D26" s="20">
        <v>10</v>
      </c>
      <c r="E26" s="20">
        <f t="shared" si="3"/>
        <v>1</v>
      </c>
      <c r="F26" s="21" t="s">
        <v>69</v>
      </c>
      <c r="G26" s="21"/>
      <c r="H26" s="21"/>
      <c r="I26" s="21"/>
      <c r="J26" s="21"/>
      <c r="K26" s="21" t="s">
        <v>69</v>
      </c>
      <c r="L26" s="21"/>
      <c r="M26" s="21"/>
      <c r="N26" s="21" t="s">
        <v>69</v>
      </c>
      <c r="O26" s="21"/>
      <c r="P26" s="21"/>
      <c r="Q26" s="21"/>
      <c r="R26" s="21" t="s">
        <v>69</v>
      </c>
      <c r="S26" s="21"/>
      <c r="T26" s="21" t="s">
        <v>69</v>
      </c>
      <c r="U26" s="21"/>
      <c r="V26" s="22"/>
      <c r="W26" s="23" t="str">
        <f t="shared" si="4"/>
        <v>OK</v>
      </c>
    </row>
    <row r="27" spans="1:23" ht="20.100000000000001" customHeight="1" x14ac:dyDescent="0.25">
      <c r="A27" s="18" t="s">
        <v>290</v>
      </c>
      <c r="B27" s="19" t="s">
        <v>68</v>
      </c>
      <c r="C27" s="20">
        <v>10</v>
      </c>
      <c r="D27" s="20">
        <v>11</v>
      </c>
      <c r="E27" s="20">
        <f t="shared" si="3"/>
        <v>1</v>
      </c>
      <c r="F27" s="21"/>
      <c r="G27" s="21"/>
      <c r="H27" s="21" t="s">
        <v>69</v>
      </c>
      <c r="I27" s="21"/>
      <c r="J27" s="21"/>
      <c r="K27" s="21" t="s">
        <v>69</v>
      </c>
      <c r="L27" s="21"/>
      <c r="M27" s="21"/>
      <c r="N27" s="21" t="s">
        <v>69</v>
      </c>
      <c r="O27" s="21"/>
      <c r="P27" s="21"/>
      <c r="Q27" s="21" t="s">
        <v>69</v>
      </c>
      <c r="R27" s="21"/>
      <c r="S27" s="21"/>
      <c r="T27" s="21" t="s">
        <v>69</v>
      </c>
      <c r="U27" s="21"/>
      <c r="V27" s="22"/>
      <c r="W27" s="23" t="str">
        <f t="shared" si="4"/>
        <v>OK</v>
      </c>
    </row>
    <row r="28" spans="1:23" ht="20.100000000000001" customHeight="1" x14ac:dyDescent="0.25">
      <c r="A28" s="18" t="s">
        <v>290</v>
      </c>
      <c r="B28" s="19" t="s">
        <v>68</v>
      </c>
      <c r="C28" s="20">
        <v>11</v>
      </c>
      <c r="D28" s="20">
        <v>12</v>
      </c>
      <c r="E28" s="20">
        <f t="shared" si="3"/>
        <v>1</v>
      </c>
      <c r="F28" s="21"/>
      <c r="G28" s="21"/>
      <c r="H28" s="21" t="s">
        <v>69</v>
      </c>
      <c r="I28" s="21"/>
      <c r="J28" s="21"/>
      <c r="K28" s="21" t="s">
        <v>69</v>
      </c>
      <c r="L28" s="21"/>
      <c r="M28" s="21"/>
      <c r="N28" s="21" t="s">
        <v>69</v>
      </c>
      <c r="O28" s="21"/>
      <c r="P28" s="21"/>
      <c r="Q28" s="21" t="s">
        <v>69</v>
      </c>
      <c r="R28" s="21"/>
      <c r="S28" s="21"/>
      <c r="T28" s="21" t="s">
        <v>69</v>
      </c>
      <c r="U28" s="21"/>
      <c r="V28" s="22"/>
      <c r="W28" s="23" t="str">
        <f t="shared" si="4"/>
        <v>OK</v>
      </c>
    </row>
    <row r="29" spans="1:23" ht="20.100000000000001" customHeight="1" x14ac:dyDescent="0.25">
      <c r="A29" s="18" t="s">
        <v>290</v>
      </c>
      <c r="B29" s="19" t="s">
        <v>68</v>
      </c>
      <c r="C29" s="20">
        <v>12</v>
      </c>
      <c r="D29" s="20">
        <v>13</v>
      </c>
      <c r="E29" s="20">
        <f t="shared" si="3"/>
        <v>1</v>
      </c>
      <c r="F29" s="21" t="s">
        <v>69</v>
      </c>
      <c r="G29" s="21"/>
      <c r="H29" s="21"/>
      <c r="I29" s="21"/>
      <c r="J29" s="21"/>
      <c r="K29" s="21" t="s">
        <v>69</v>
      </c>
      <c r="L29" s="21"/>
      <c r="M29" s="21"/>
      <c r="N29" s="21" t="s">
        <v>69</v>
      </c>
      <c r="O29" s="21"/>
      <c r="P29" s="21"/>
      <c r="Q29" s="21" t="s">
        <v>69</v>
      </c>
      <c r="R29" s="21"/>
      <c r="S29" s="21"/>
      <c r="T29" s="21" t="s">
        <v>69</v>
      </c>
      <c r="U29" s="21"/>
      <c r="V29" s="22"/>
      <c r="W29" s="23" t="str">
        <f t="shared" si="4"/>
        <v>OK</v>
      </c>
    </row>
    <row r="30" spans="1:23" ht="20.100000000000001" customHeight="1" x14ac:dyDescent="0.25">
      <c r="A30" s="18" t="s">
        <v>290</v>
      </c>
      <c r="B30" s="19" t="s">
        <v>68</v>
      </c>
      <c r="C30" s="20">
        <v>13</v>
      </c>
      <c r="D30" s="20">
        <v>14</v>
      </c>
      <c r="E30" s="20">
        <f t="shared" si="3"/>
        <v>1</v>
      </c>
      <c r="F30" s="21" t="s">
        <v>69</v>
      </c>
      <c r="G30" s="21"/>
      <c r="H30" s="21"/>
      <c r="I30" s="21"/>
      <c r="J30" s="21"/>
      <c r="K30" s="21" t="s">
        <v>69</v>
      </c>
      <c r="L30" s="21"/>
      <c r="M30" s="21"/>
      <c r="N30" s="21" t="s">
        <v>69</v>
      </c>
      <c r="O30" s="21"/>
      <c r="P30" s="21"/>
      <c r="Q30" s="21" t="s">
        <v>69</v>
      </c>
      <c r="R30" s="21"/>
      <c r="S30" s="21"/>
      <c r="T30" s="21" t="s">
        <v>69</v>
      </c>
      <c r="U30" s="21"/>
      <c r="V30" s="22"/>
      <c r="W30" s="23" t="str">
        <f t="shared" si="4"/>
        <v>OK</v>
      </c>
    </row>
    <row r="31" spans="1:23" ht="20.100000000000001" customHeight="1" x14ac:dyDescent="0.25">
      <c r="A31" s="18" t="s">
        <v>290</v>
      </c>
      <c r="B31" s="19" t="s">
        <v>68</v>
      </c>
      <c r="C31" s="20">
        <v>14</v>
      </c>
      <c r="D31" s="20">
        <v>15</v>
      </c>
      <c r="E31" s="20">
        <f t="shared" si="3"/>
        <v>1</v>
      </c>
      <c r="F31" s="21"/>
      <c r="G31" s="21"/>
      <c r="H31" s="21" t="s">
        <v>69</v>
      </c>
      <c r="I31" s="21"/>
      <c r="J31" s="21"/>
      <c r="K31" s="21" t="s">
        <v>69</v>
      </c>
      <c r="L31" s="21"/>
      <c r="M31" s="21"/>
      <c r="N31" s="21" t="s">
        <v>69</v>
      </c>
      <c r="O31" s="21"/>
      <c r="P31" s="21"/>
      <c r="Q31" s="21" t="s">
        <v>69</v>
      </c>
      <c r="R31" s="21"/>
      <c r="S31" s="21"/>
      <c r="T31" s="21" t="s">
        <v>69</v>
      </c>
      <c r="U31" s="21"/>
      <c r="V31" s="22"/>
      <c r="W31" s="23" t="str">
        <f t="shared" si="4"/>
        <v>OK</v>
      </c>
    </row>
    <row r="32" spans="1:23" ht="20.100000000000001" customHeight="1" x14ac:dyDescent="0.25">
      <c r="A32" s="18" t="s">
        <v>290</v>
      </c>
      <c r="B32" s="19" t="s">
        <v>68</v>
      </c>
      <c r="C32" s="20">
        <v>15</v>
      </c>
      <c r="D32" s="20">
        <v>16</v>
      </c>
      <c r="E32" s="20">
        <f t="shared" si="3"/>
        <v>1</v>
      </c>
      <c r="F32" s="21"/>
      <c r="G32" s="21"/>
      <c r="H32" s="21" t="s">
        <v>69</v>
      </c>
      <c r="I32" s="21"/>
      <c r="J32" s="21"/>
      <c r="K32" s="21" t="s">
        <v>69</v>
      </c>
      <c r="L32" s="21"/>
      <c r="M32" s="21"/>
      <c r="N32" s="21" t="s">
        <v>69</v>
      </c>
      <c r="O32" s="21"/>
      <c r="P32" s="21"/>
      <c r="Q32" s="21" t="s">
        <v>69</v>
      </c>
      <c r="R32" s="21"/>
      <c r="S32" s="21"/>
      <c r="T32" s="21" t="s">
        <v>69</v>
      </c>
      <c r="U32" s="21"/>
      <c r="V32" s="22"/>
      <c r="W32" s="23" t="str">
        <f t="shared" si="4"/>
        <v>OK</v>
      </c>
    </row>
    <row r="33" spans="1:23" ht="20.100000000000001" customHeight="1" x14ac:dyDescent="0.25">
      <c r="A33" s="18" t="s">
        <v>290</v>
      </c>
      <c r="B33" s="19" t="s">
        <v>68</v>
      </c>
      <c r="C33" s="20">
        <v>16</v>
      </c>
      <c r="D33" s="20">
        <v>17</v>
      </c>
      <c r="E33" s="20">
        <f t="shared" si="3"/>
        <v>1</v>
      </c>
      <c r="F33" s="21" t="s">
        <v>69</v>
      </c>
      <c r="G33" s="21"/>
      <c r="H33" s="21"/>
      <c r="I33" s="21"/>
      <c r="J33" s="21"/>
      <c r="K33" s="21" t="s">
        <v>69</v>
      </c>
      <c r="L33" s="21"/>
      <c r="M33" s="21"/>
      <c r="N33" s="21" t="s">
        <v>69</v>
      </c>
      <c r="O33" s="21"/>
      <c r="P33" s="21"/>
      <c r="Q33" s="21" t="s">
        <v>69</v>
      </c>
      <c r="R33" s="21"/>
      <c r="S33" s="21"/>
      <c r="T33" s="21" t="s">
        <v>69</v>
      </c>
      <c r="U33" s="21"/>
      <c r="V33" s="22"/>
      <c r="W33" s="23" t="str">
        <f t="shared" si="4"/>
        <v>OK</v>
      </c>
    </row>
    <row r="34" spans="1:23" ht="20.100000000000001" customHeight="1" x14ac:dyDescent="0.25">
      <c r="A34" s="12" t="s">
        <v>290</v>
      </c>
      <c r="B34" s="13" t="s">
        <v>68</v>
      </c>
      <c r="C34" s="14">
        <v>17</v>
      </c>
      <c r="D34" s="14">
        <v>17.4447066663</v>
      </c>
      <c r="E34" s="14">
        <f t="shared" si="3"/>
        <v>0.44470666630000011</v>
      </c>
      <c r="F34" s="15" t="s">
        <v>69</v>
      </c>
      <c r="G34" s="15"/>
      <c r="H34" s="15"/>
      <c r="I34" s="15"/>
      <c r="J34" s="15"/>
      <c r="K34" s="15" t="s">
        <v>69</v>
      </c>
      <c r="L34" s="15"/>
      <c r="M34" s="15"/>
      <c r="N34" s="15" t="s">
        <v>69</v>
      </c>
      <c r="O34" s="15"/>
      <c r="P34" s="15"/>
      <c r="Q34" s="15" t="s">
        <v>69</v>
      </c>
      <c r="R34" s="15"/>
      <c r="S34" s="15"/>
      <c r="T34" s="15" t="s">
        <v>69</v>
      </c>
      <c r="U34" s="15"/>
      <c r="V34" s="16"/>
      <c r="W34" s="17" t="str">
        <f t="shared" si="4"/>
        <v>OK</v>
      </c>
    </row>
    <row r="35" spans="1:23" ht="15.95" customHeight="1" x14ac:dyDescent="0.25">
      <c r="A35" s="35" t="s">
        <v>291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4"/>
      <c r="W35" s="4"/>
    </row>
    <row r="36" spans="1:23" ht="20.100000000000001" customHeight="1" x14ac:dyDescent="0.25">
      <c r="A36" s="18" t="s">
        <v>292</v>
      </c>
      <c r="B36" s="19" t="s">
        <v>68</v>
      </c>
      <c r="C36" s="20">
        <v>0</v>
      </c>
      <c r="D36" s="20">
        <v>1</v>
      </c>
      <c r="E36" s="20">
        <f>D36-C36</f>
        <v>1</v>
      </c>
      <c r="F36" s="21" t="s">
        <v>69</v>
      </c>
      <c r="G36" s="21"/>
      <c r="H36" s="21"/>
      <c r="I36" s="21"/>
      <c r="J36" s="21"/>
      <c r="K36" s="21" t="s">
        <v>69</v>
      </c>
      <c r="L36" s="21"/>
      <c r="M36" s="21"/>
      <c r="N36" s="21" t="s">
        <v>69</v>
      </c>
      <c r="O36" s="21"/>
      <c r="P36" s="21"/>
      <c r="Q36" s="21"/>
      <c r="R36" s="21" t="s">
        <v>69</v>
      </c>
      <c r="S36" s="21"/>
      <c r="T36" s="21" t="s">
        <v>69</v>
      </c>
      <c r="U36" s="21"/>
      <c r="V36" s="22"/>
      <c r="W36" s="23" t="str">
        <f>IF(COUNTA(F36:U36)=0,"— não preenchido",IF(COUNTIF(F36:J36,"X")&lt;&gt;1,"FALTA/DUPLA: CONDIÇÃO DO PAVIMENTO",IF(COUNTIF(K36:L36,"X")&lt;&gt;1,"FALTA/DUPLA: VEGETAÇÃO",IF(COUNTIF(M36:O36,"X")&lt;&gt;1,"FALTA/DUPLA: ELEM. DE DRENAGEM",IF(COUNTIF(P36:R36,"X")&lt;&gt;1,"FALTA/DUPLA: SIN. HORIZ.",IF(COUNTIF(S36:U36,"X")&lt;&gt;1,"FALTA/DUPLA: SIN. VERTICAL","OK"))))))</f>
        <v>OK</v>
      </c>
    </row>
    <row r="37" spans="1:23" ht="20.100000000000001" customHeight="1" x14ac:dyDescent="0.25">
      <c r="A37" s="18" t="s">
        <v>292</v>
      </c>
      <c r="B37" s="19" t="s">
        <v>68</v>
      </c>
      <c r="C37" s="20">
        <v>1</v>
      </c>
      <c r="D37" s="20">
        <v>2</v>
      </c>
      <c r="E37" s="20">
        <f>D37-C37</f>
        <v>1</v>
      </c>
      <c r="F37" s="21" t="s">
        <v>69</v>
      </c>
      <c r="G37" s="21"/>
      <c r="H37" s="21"/>
      <c r="I37" s="21"/>
      <c r="J37" s="21"/>
      <c r="K37" s="21" t="s">
        <v>69</v>
      </c>
      <c r="L37" s="21"/>
      <c r="M37" s="21"/>
      <c r="N37" s="21" t="s">
        <v>69</v>
      </c>
      <c r="O37" s="21"/>
      <c r="P37" s="21"/>
      <c r="Q37" s="21"/>
      <c r="R37" s="21" t="s">
        <v>69</v>
      </c>
      <c r="S37" s="21"/>
      <c r="T37" s="21" t="s">
        <v>69</v>
      </c>
      <c r="U37" s="21"/>
      <c r="V37" s="22"/>
      <c r="W37" s="23" t="str">
        <f>IF(COUNTA(F37:U37)=0,"— não preenchido",IF(COUNTIF(F37:J37,"X")&lt;&gt;1,"FALTA/DUPLA: CONDIÇÃO DO PAVIMENTO",IF(COUNTIF(K37:L37,"X")&lt;&gt;1,"FALTA/DUPLA: VEGETAÇÃO",IF(COUNTIF(M37:O37,"X")&lt;&gt;1,"FALTA/DUPLA: ELEM. DE DRENAGEM",IF(COUNTIF(P37:R37,"X")&lt;&gt;1,"FALTA/DUPLA: SIN. HORIZ.",IF(COUNTIF(S37:U37,"X")&lt;&gt;1,"FALTA/DUPLA: SIN. VERTICAL","OK"))))))</f>
        <v>OK</v>
      </c>
    </row>
    <row r="38" spans="1:23" ht="20.100000000000001" customHeight="1" x14ac:dyDescent="0.25">
      <c r="A38" s="12" t="s">
        <v>292</v>
      </c>
      <c r="B38" s="13" t="s">
        <v>68</v>
      </c>
      <c r="C38" s="14">
        <v>2</v>
      </c>
      <c r="D38" s="14">
        <v>2.0654699252499999</v>
      </c>
      <c r="E38" s="14">
        <f>D38-C38</f>
        <v>6.546992524999995E-2</v>
      </c>
      <c r="F38" s="15" t="s">
        <v>69</v>
      </c>
      <c r="G38" s="15"/>
      <c r="H38" s="15"/>
      <c r="I38" s="15"/>
      <c r="J38" s="15"/>
      <c r="K38" s="15" t="s">
        <v>69</v>
      </c>
      <c r="L38" s="15"/>
      <c r="M38" s="15"/>
      <c r="N38" s="15" t="s">
        <v>69</v>
      </c>
      <c r="O38" s="15"/>
      <c r="P38" s="15"/>
      <c r="Q38" s="15"/>
      <c r="R38" s="15" t="s">
        <v>69</v>
      </c>
      <c r="S38" s="15"/>
      <c r="T38" s="15" t="s">
        <v>69</v>
      </c>
      <c r="U38" s="15"/>
      <c r="V38" s="16"/>
      <c r="W38" s="17" t="str">
        <f>IF(COUNTA(F38:U38)=0,"— não preenchido",IF(COUNTIF(F38:J38,"X")&lt;&gt;1,"FALTA/DUPLA: CONDIÇÃO DO PAVIMENTO",IF(COUNTIF(K38:L38,"X")&lt;&gt;1,"FALTA/DUPLA: VEGETAÇÃO",IF(COUNTIF(M38:O38,"X")&lt;&gt;1,"FALTA/DUPLA: ELEM. DE DRENAGEM",IF(COUNTIF(P38:R38,"X")&lt;&gt;1,"FALTA/DUPLA: SIN. HORIZ.",IF(COUNTIF(S38:U38,"X")&lt;&gt;1,"FALTA/DUPLA: SIN. VERTICAL","OK"))))))</f>
        <v>OK</v>
      </c>
    </row>
    <row r="40" spans="1:23" x14ac:dyDescent="0.25">
      <c r="A40" s="40" t="s">
        <v>78</v>
      </c>
      <c r="B40" s="28"/>
      <c r="C40" s="28"/>
      <c r="D40" s="28"/>
      <c r="E40" s="28"/>
      <c r="G40" s="40" t="s">
        <v>78</v>
      </c>
      <c r="H40" s="28"/>
      <c r="I40" s="28"/>
      <c r="J40" s="28"/>
      <c r="K40" s="28"/>
    </row>
    <row r="41" spans="1:23" x14ac:dyDescent="0.25">
      <c r="A41" s="44" t="s">
        <v>79</v>
      </c>
      <c r="B41" s="28"/>
      <c r="C41" s="28"/>
      <c r="D41" s="28"/>
      <c r="E41" s="28"/>
      <c r="G41" s="44" t="s">
        <v>80</v>
      </c>
      <c r="H41" s="28"/>
      <c r="I41" s="28"/>
      <c r="J41" s="28"/>
      <c r="K41" s="28"/>
    </row>
    <row r="43" spans="1:23" x14ac:dyDescent="0.25">
      <c r="A43" s="41" t="s">
        <v>81</v>
      </c>
      <c r="B43" s="28"/>
      <c r="C43" s="28"/>
      <c r="D43" s="28"/>
      <c r="E43" s="28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</row>
    <row r="44" spans="1:23" x14ac:dyDescent="0.25">
      <c r="A44" s="43" t="s">
        <v>82</v>
      </c>
      <c r="B44" s="28"/>
      <c r="C44" s="28"/>
      <c r="D44" s="28"/>
      <c r="E44" s="28"/>
      <c r="F44" s="9">
        <f t="shared" ref="F44:U44" si="5">SUMIF(F$9:F$38,"X",$E$9:$E$38)</f>
        <v>13.51017659155</v>
      </c>
      <c r="G44" s="9">
        <f t="shared" si="5"/>
        <v>0</v>
      </c>
      <c r="H44" s="9">
        <f t="shared" si="5"/>
        <v>12.33266836704</v>
      </c>
      <c r="I44" s="9">
        <f t="shared" si="5"/>
        <v>0</v>
      </c>
      <c r="J44" s="9">
        <f t="shared" si="5"/>
        <v>0</v>
      </c>
      <c r="K44" s="9">
        <f t="shared" si="5"/>
        <v>25.84284495859</v>
      </c>
      <c r="L44" s="9">
        <f t="shared" si="5"/>
        <v>0</v>
      </c>
      <c r="M44" s="9">
        <f t="shared" si="5"/>
        <v>0</v>
      </c>
      <c r="N44" s="9">
        <f t="shared" si="5"/>
        <v>25.84284495859</v>
      </c>
      <c r="O44" s="9">
        <f t="shared" si="5"/>
        <v>0</v>
      </c>
      <c r="P44" s="9">
        <f t="shared" si="5"/>
        <v>0</v>
      </c>
      <c r="Q44" s="9">
        <f t="shared" si="5"/>
        <v>19.77737503334</v>
      </c>
      <c r="R44" s="9">
        <f t="shared" si="5"/>
        <v>6.0654699252499995</v>
      </c>
      <c r="S44" s="9">
        <f t="shared" si="5"/>
        <v>0</v>
      </c>
      <c r="T44" s="9">
        <f t="shared" si="5"/>
        <v>25.84284495859</v>
      </c>
      <c r="U44" s="9">
        <f t="shared" si="5"/>
        <v>0</v>
      </c>
    </row>
    <row r="45" spans="1:23" x14ac:dyDescent="0.25">
      <c r="A45" s="43" t="s">
        <v>83</v>
      </c>
      <c r="B45" s="28"/>
      <c r="C45" s="28"/>
      <c r="D45" s="28"/>
      <c r="E45" s="28"/>
      <c r="F45" s="25">
        <f t="shared" ref="F45:U45" si="6">IF($R47=0,0,F44/$R47)</f>
        <v>0.52278209358135319</v>
      </c>
      <c r="G45" s="25">
        <f t="shared" si="6"/>
        <v>0</v>
      </c>
      <c r="H45" s="25">
        <f t="shared" si="6"/>
        <v>0.47721790641864675</v>
      </c>
      <c r="I45" s="25">
        <f t="shared" si="6"/>
        <v>0</v>
      </c>
      <c r="J45" s="25">
        <f t="shared" si="6"/>
        <v>0</v>
      </c>
      <c r="K45" s="25">
        <f t="shared" si="6"/>
        <v>1</v>
      </c>
      <c r="L45" s="25">
        <f t="shared" si="6"/>
        <v>0</v>
      </c>
      <c r="M45" s="25">
        <f t="shared" si="6"/>
        <v>0</v>
      </c>
      <c r="N45" s="25">
        <f t="shared" si="6"/>
        <v>1</v>
      </c>
      <c r="O45" s="25">
        <f t="shared" si="6"/>
        <v>0</v>
      </c>
      <c r="P45" s="25">
        <f t="shared" si="6"/>
        <v>0</v>
      </c>
      <c r="Q45" s="25">
        <f t="shared" si="6"/>
        <v>0.76529403264349671</v>
      </c>
      <c r="R45" s="25">
        <f t="shared" si="6"/>
        <v>0.23470596735650326</v>
      </c>
      <c r="S45" s="25">
        <f t="shared" si="6"/>
        <v>0</v>
      </c>
      <c r="T45" s="25">
        <f t="shared" si="6"/>
        <v>1</v>
      </c>
      <c r="U45" s="25">
        <f t="shared" si="6"/>
        <v>0</v>
      </c>
    </row>
    <row r="46" spans="1:23" x14ac:dyDescent="0.25">
      <c r="A46" s="43" t="s">
        <v>84</v>
      </c>
      <c r="B46" s="28"/>
      <c r="C46" s="28"/>
      <c r="D46" s="28"/>
      <c r="E46" s="28"/>
      <c r="F46" s="42" t="str">
        <f>IF(SUM(F44:J44)=0,"— não preenchido",IF(ROUND(SUM(F44:J44)-$R47,3)=0,"OK — "&amp;ROUND(SUM(F44:J44),3)&amp;" km","ERRO — dif. de "&amp;ROUND(SUM(F44:J44)-$R47,3)&amp;" km"))</f>
        <v>OK — 25,843 km</v>
      </c>
      <c r="G46" s="33"/>
      <c r="H46" s="33"/>
      <c r="I46" s="33"/>
      <c r="J46" s="34"/>
      <c r="K46" s="42" t="str">
        <f>IF(SUM(K44:L44)=0,"— não preenchido",IF(ROUND(SUM(K44:L44)-$R47,3)=0,"OK — "&amp;ROUND(SUM(K44:L44),3)&amp;" km","ERRO — dif. de "&amp;ROUND(SUM(K44:L44)-$R47,3)&amp;" km"))</f>
        <v>OK — 25,843 km</v>
      </c>
      <c r="L46" s="34"/>
      <c r="M46" s="42" t="str">
        <f>IF(SUM(M44:O44)=0,"— não preenchido",IF(ROUND(SUM(M44:O44)-$R47,3)=0,"OK — "&amp;ROUND(SUM(M44:O44),3)&amp;" km","ERRO — dif. de "&amp;ROUND(SUM(M44:O44)-$R47,3)&amp;" km"))</f>
        <v>OK — 25,843 km</v>
      </c>
      <c r="N46" s="33"/>
      <c r="O46" s="34"/>
      <c r="P46" s="42" t="str">
        <f>IF(SUM(P44:R44)=0,"— não preenchido",IF(ROUND(SUM(P44:R44)-$R47,3)=0,"OK — "&amp;ROUND(SUM(P44:R44),3)&amp;" km","ERRO — dif. de "&amp;ROUND(SUM(P44:R44)-$R47,3)&amp;" km"))</f>
        <v>OK — 25,843 km</v>
      </c>
      <c r="Q46" s="33"/>
      <c r="R46" s="34"/>
      <c r="S46" s="42" t="str">
        <f>IF(SUM(S44:U44)=0,"— não preenchido",IF(ROUND(SUM(S44:U44)-$R47,3)=0,"OK — "&amp;ROUND(SUM(S44:U44),3)&amp;" km","ERRO — dif. de "&amp;ROUND(SUM(S44:U44)-$R47,3)&amp;" km"))</f>
        <v>OK — 25,843 km</v>
      </c>
      <c r="T46" s="33"/>
      <c r="U46" s="34"/>
    </row>
    <row r="47" spans="1:23" x14ac:dyDescent="0.25">
      <c r="A47" s="43" t="s">
        <v>85</v>
      </c>
      <c r="B47" s="28"/>
      <c r="C47" s="28"/>
      <c r="D47" s="28"/>
      <c r="E47" s="28"/>
      <c r="R47" s="26">
        <f>SUM(E9:E38)</f>
        <v>25.84284495859</v>
      </c>
      <c r="V47" s="8" t="str">
        <f>COUNTIF(W9:W38,"OK")&amp;" de "&amp;COUNT($E$9:$E$38)&amp;" linhas conferidas"</f>
        <v>28 de 28 linhas conferidas</v>
      </c>
    </row>
    <row r="49" spans="1:22" x14ac:dyDescent="0.25">
      <c r="A49" s="37" t="s">
        <v>86</v>
      </c>
      <c r="B49" s="28"/>
      <c r="C49" s="28"/>
      <c r="D49" s="28"/>
      <c r="E49" s="28"/>
    </row>
    <row r="50" spans="1:22" x14ac:dyDescent="0.25">
      <c r="A50" s="43" t="s">
        <v>87</v>
      </c>
      <c r="B50" s="28"/>
      <c r="C50" s="28"/>
      <c r="D50" s="28"/>
      <c r="E50" s="31" t="s">
        <v>88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43" t="s">
        <v>89</v>
      </c>
      <c r="B51" s="28"/>
      <c r="C51" s="28"/>
      <c r="D51" s="28"/>
      <c r="E51" s="31" t="s">
        <v>90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43" t="s">
        <v>91</v>
      </c>
      <c r="B52" s="28"/>
      <c r="C52" s="28"/>
      <c r="D52" s="28"/>
      <c r="E52" s="31" t="s">
        <v>92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43" t="s">
        <v>93</v>
      </c>
      <c r="B53" s="28"/>
      <c r="C53" s="28"/>
      <c r="D53" s="28"/>
      <c r="E53" s="31" t="s">
        <v>94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43" t="s">
        <v>95</v>
      </c>
      <c r="B54" s="28"/>
      <c r="C54" s="28"/>
      <c r="D54" s="28"/>
      <c r="E54" s="31" t="s">
        <v>96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43" t="s">
        <v>60</v>
      </c>
      <c r="B55" s="28"/>
      <c r="C55" s="28"/>
      <c r="D55" s="28"/>
      <c r="E55" s="31" t="s">
        <v>97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43" t="s">
        <v>98</v>
      </c>
      <c r="B56" s="28"/>
      <c r="C56" s="28"/>
      <c r="D56" s="28"/>
      <c r="E56" s="31" t="s">
        <v>99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43" t="s">
        <v>100</v>
      </c>
      <c r="B57" s="28"/>
      <c r="C57" s="28"/>
      <c r="D57" s="28"/>
      <c r="E57" s="31" t="s">
        <v>101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x14ac:dyDescent="0.25">
      <c r="A58" s="43" t="s">
        <v>11</v>
      </c>
      <c r="B58" s="28"/>
      <c r="C58" s="28"/>
      <c r="D58" s="28"/>
      <c r="E58" s="31" t="s">
        <v>102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</sheetData>
  <sheetProtection sheet="1" formatCells="0"/>
  <mergeCells count="59">
    <mergeCell ref="A57:D57"/>
    <mergeCell ref="A40:E40"/>
    <mergeCell ref="P6:R6"/>
    <mergeCell ref="A1:V1"/>
    <mergeCell ref="A54:D54"/>
    <mergeCell ref="A47:E47"/>
    <mergeCell ref="T3:V3"/>
    <mergeCell ref="A44:E44"/>
    <mergeCell ref="F46:J46"/>
    <mergeCell ref="E53:V53"/>
    <mergeCell ref="A16:V16"/>
    <mergeCell ref="E50:V50"/>
    <mergeCell ref="S46:U46"/>
    <mergeCell ref="A43:E43"/>
    <mergeCell ref="A50:D50"/>
    <mergeCell ref="R2:V2"/>
    <mergeCell ref="W6:W7"/>
    <mergeCell ref="A46:E46"/>
    <mergeCell ref="E6:E7"/>
    <mergeCell ref="K46:L46"/>
    <mergeCell ref="S6:U6"/>
    <mergeCell ref="A2:F2"/>
    <mergeCell ref="K2:M2"/>
    <mergeCell ref="M46:O46"/>
    <mergeCell ref="G40:K40"/>
    <mergeCell ref="I2:J2"/>
    <mergeCell ref="A8:V8"/>
    <mergeCell ref="A4:V4"/>
    <mergeCell ref="A3:S3"/>
    <mergeCell ref="G41:K41"/>
    <mergeCell ref="C6:C7"/>
    <mergeCell ref="A58:D58"/>
    <mergeCell ref="N2:O2"/>
    <mergeCell ref="A41:E41"/>
    <mergeCell ref="P2:Q2"/>
    <mergeCell ref="E57:V57"/>
    <mergeCell ref="E54:V54"/>
    <mergeCell ref="E56:V56"/>
    <mergeCell ref="A56:D56"/>
    <mergeCell ref="E58:V58"/>
    <mergeCell ref="E55:V55"/>
    <mergeCell ref="A55:D55"/>
    <mergeCell ref="E52:V52"/>
    <mergeCell ref="E51:V51"/>
    <mergeCell ref="P46:R46"/>
    <mergeCell ref="A53:D53"/>
    <mergeCell ref="G2:H2"/>
    <mergeCell ref="A52:D52"/>
    <mergeCell ref="A45:E45"/>
    <mergeCell ref="F6:J6"/>
    <mergeCell ref="A6:A7"/>
    <mergeCell ref="M6:O6"/>
    <mergeCell ref="A35:V35"/>
    <mergeCell ref="V6:V7"/>
    <mergeCell ref="A51:D51"/>
    <mergeCell ref="B6:B7"/>
    <mergeCell ref="K6:L6"/>
    <mergeCell ref="D6:D7"/>
    <mergeCell ref="A49:E49"/>
  </mergeCells>
  <conditionalFormatting sqref="F9:J38">
    <cfRule type="expression" dxfId="53" priority="1">
      <formula>AND(F9&lt;&gt;"",COUNTIF($F9:$J9,"X")&gt;1)</formula>
    </cfRule>
  </conditionalFormatting>
  <conditionalFormatting sqref="F46:U46">
    <cfRule type="expression" dxfId="52" priority="8">
      <formula>LEFT(F46,4)="ERRO"</formula>
    </cfRule>
    <cfRule type="expression" dxfId="51" priority="9">
      <formula>LEFT(F46,2)="OK"</formula>
    </cfRule>
  </conditionalFormatting>
  <conditionalFormatting sqref="K9:L38">
    <cfRule type="expression" dxfId="50" priority="2">
      <formula>AND(K9&lt;&gt;"",COUNTIF($K9:$L9,"X")&gt;1)</formula>
    </cfRule>
  </conditionalFormatting>
  <conditionalFormatting sqref="M9:O38">
    <cfRule type="expression" dxfId="49" priority="3">
      <formula>AND(M9&lt;&gt;"",COUNTIF($M9:$O9,"X")&gt;1)</formula>
    </cfRule>
  </conditionalFormatting>
  <conditionalFormatting sqref="P9:R38">
    <cfRule type="expression" dxfId="48" priority="4">
      <formula>AND(P9&lt;&gt;"",COUNTIF($P9:$R9,"X")&gt;1)</formula>
    </cfRule>
  </conditionalFormatting>
  <conditionalFormatting sqref="S9:U38">
    <cfRule type="expression" dxfId="47" priority="5">
      <formula>AND(S9&lt;&gt;"",COUNTIF($S9:$U9,"X")&gt;1)</formula>
    </cfRule>
  </conditionalFormatting>
  <conditionalFormatting sqref="W9:W38">
    <cfRule type="expression" dxfId="46" priority="6">
      <formula>AND(W9&lt;&gt;"OK",W9&lt;&gt;"")</formula>
    </cfRule>
    <cfRule type="expression" dxfId="4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8" xr:uid="{00000000-0002-0000-17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8" xr:uid="{00000000-0002-0000-17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8" xr:uid="{00000000-0002-0000-17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8" xr:uid="{00000000-0002-0000-17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8" xr:uid="{00000000-0002-0000-1700-000004000000}">
      <formula1>AND(UPPER(S9)="X",COUNTIF($S9:$U9,"X")&lt;=1)</formula1>
    </dataValidation>
    <dataValidation type="list" showErrorMessage="1" errorTitle="Sentido inválido" error="Use C (crescente) ou D (decrescente)." sqref="B9:B38" xr:uid="{00000000-0002-0000-17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29</oddHeader>
    <oddFooter>&amp;L&amp;7 RTA / MSI — Programa de Manutenção Rodoviária&amp;C&amp;7 Página &amp;P de &amp;N&amp;R&amp;7 Impresso em &amp;D</oddFooter>
  </headerFooter>
  <rowBreaks count="1" manualBreakCount="1">
    <brk id="41" max="16383" man="1"/>
  </rowBrea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  <pageSetUpPr fitToPage="1"/>
  </sheetPr>
  <dimension ref="A1:AN43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IF(F29=0,NA(),F29)</f>
        <v>7.1037645943600003</v>
      </c>
      <c r="Z2" s="2" t="e">
        <f t="shared" si="0"/>
        <v>#N/A</v>
      </c>
      <c r="AA2" s="2" t="e">
        <f t="shared" si="0"/>
        <v>#N/A</v>
      </c>
      <c r="AB2" s="2">
        <f t="shared" si="0"/>
        <v>5</v>
      </c>
      <c r="AC2" s="2" t="e">
        <f t="shared" si="0"/>
        <v>#N/A</v>
      </c>
      <c r="AD2" s="2">
        <f t="shared" si="0"/>
        <v>6.0749262718899999</v>
      </c>
      <c r="AE2" s="2">
        <f t="shared" si="0"/>
        <v>6.0288383224700004</v>
      </c>
      <c r="AF2" s="2" t="e">
        <f t="shared" si="0"/>
        <v>#N/A</v>
      </c>
      <c r="AG2" s="2">
        <f t="shared" si="0"/>
        <v>12.103764594360001</v>
      </c>
      <c r="AH2" s="2" t="e">
        <f t="shared" si="0"/>
        <v>#N/A</v>
      </c>
      <c r="AI2" s="2" t="e">
        <f t="shared" si="0"/>
        <v>#N/A</v>
      </c>
      <c r="AJ2" s="2">
        <f t="shared" si="0"/>
        <v>12.103764594360001</v>
      </c>
      <c r="AK2" s="2" t="e">
        <f t="shared" si="0"/>
        <v>#N/A</v>
      </c>
      <c r="AL2" s="2" t="e">
        <f t="shared" si="0"/>
        <v>#N/A</v>
      </c>
      <c r="AM2" s="2">
        <f t="shared" si="0"/>
        <v>12.103764594360001</v>
      </c>
      <c r="AN2" s="2" t="e">
        <f t="shared" si="0"/>
        <v>#N/A</v>
      </c>
    </row>
    <row r="3" spans="1:40" ht="15" customHeight="1" x14ac:dyDescent="0.25">
      <c r="A3" s="49" t="s">
        <v>293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294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295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296</v>
      </c>
      <c r="B9" s="19" t="s">
        <v>68</v>
      </c>
      <c r="C9" s="20">
        <v>0</v>
      </c>
      <c r="D9" s="20">
        <v>1</v>
      </c>
      <c r="E9" s="20">
        <f t="shared" ref="E9:E15" si="1">D9-C9</f>
        <v>1</v>
      </c>
      <c r="F9" s="21"/>
      <c r="G9" s="21"/>
      <c r="H9" s="21"/>
      <c r="I9" s="21" t="s">
        <v>69</v>
      </c>
      <c r="J9" s="21"/>
      <c r="K9" s="21" t="s">
        <v>69</v>
      </c>
      <c r="L9" s="21"/>
      <c r="M9" s="21"/>
      <c r="N9" s="21" t="s">
        <v>69</v>
      </c>
      <c r="O9" s="21"/>
      <c r="P9" s="21"/>
      <c r="Q9" s="21" t="s">
        <v>69</v>
      </c>
      <c r="R9" s="21"/>
      <c r="S9" s="21"/>
      <c r="T9" s="21" t="s">
        <v>69</v>
      </c>
      <c r="U9" s="21"/>
      <c r="V9" s="22"/>
      <c r="W9" s="23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296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/>
      <c r="G10" s="21"/>
      <c r="H10" s="21"/>
      <c r="I10" s="21" t="s">
        <v>69</v>
      </c>
      <c r="J10" s="21"/>
      <c r="K10" s="21" t="s">
        <v>69</v>
      </c>
      <c r="L10" s="21"/>
      <c r="M10" s="21"/>
      <c r="N10" s="21" t="s">
        <v>69</v>
      </c>
      <c r="O10" s="21"/>
      <c r="P10" s="21"/>
      <c r="Q10" s="21" t="s">
        <v>69</v>
      </c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296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 t="s">
        <v>69</v>
      </c>
      <c r="G11" s="21"/>
      <c r="H11" s="21"/>
      <c r="I11" s="21"/>
      <c r="J11" s="21"/>
      <c r="K11" s="21" t="s">
        <v>69</v>
      </c>
      <c r="L11" s="21"/>
      <c r="M11" s="21"/>
      <c r="N11" s="21" t="s">
        <v>69</v>
      </c>
      <c r="O11" s="21"/>
      <c r="P11" s="21"/>
      <c r="Q11" s="21" t="s">
        <v>69</v>
      </c>
      <c r="R11" s="21"/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296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/>
      <c r="G12" s="21"/>
      <c r="H12" s="21"/>
      <c r="I12" s="21" t="s">
        <v>69</v>
      </c>
      <c r="J12" s="21"/>
      <c r="K12" s="21" t="s">
        <v>69</v>
      </c>
      <c r="L12" s="21"/>
      <c r="M12" s="21"/>
      <c r="N12" s="21" t="s">
        <v>69</v>
      </c>
      <c r="O12" s="21"/>
      <c r="P12" s="21"/>
      <c r="Q12" s="21" t="s">
        <v>69</v>
      </c>
      <c r="R12" s="21"/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296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/>
      <c r="G13" s="21"/>
      <c r="H13" s="21"/>
      <c r="I13" s="21" t="s">
        <v>69</v>
      </c>
      <c r="J13" s="21"/>
      <c r="K13" s="21" t="s">
        <v>69</v>
      </c>
      <c r="L13" s="21"/>
      <c r="M13" s="21"/>
      <c r="N13" s="21" t="s">
        <v>69</v>
      </c>
      <c r="O13" s="21"/>
      <c r="P13" s="21"/>
      <c r="Q13" s="21" t="s">
        <v>69</v>
      </c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296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 t="s">
        <v>69</v>
      </c>
      <c r="L14" s="21"/>
      <c r="M14" s="21"/>
      <c r="N14" s="21" t="s">
        <v>69</v>
      </c>
      <c r="O14" s="21"/>
      <c r="P14" s="21"/>
      <c r="Q14" s="21" t="s">
        <v>69</v>
      </c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2" t="s">
        <v>296</v>
      </c>
      <c r="B15" s="13" t="s">
        <v>68</v>
      </c>
      <c r="C15" s="14">
        <v>6</v>
      </c>
      <c r="D15" s="14">
        <v>6.0749262718899999</v>
      </c>
      <c r="E15" s="14">
        <f t="shared" si="1"/>
        <v>7.4926271889999896E-2</v>
      </c>
      <c r="F15" s="15" t="s">
        <v>69</v>
      </c>
      <c r="G15" s="15"/>
      <c r="H15" s="15"/>
      <c r="I15" s="15"/>
      <c r="J15" s="15"/>
      <c r="K15" s="15" t="s">
        <v>69</v>
      </c>
      <c r="L15" s="15"/>
      <c r="M15" s="15"/>
      <c r="N15" s="15" t="s">
        <v>69</v>
      </c>
      <c r="O15" s="15"/>
      <c r="P15" s="15"/>
      <c r="Q15" s="15" t="s">
        <v>69</v>
      </c>
      <c r="R15" s="15"/>
      <c r="S15" s="15"/>
      <c r="T15" s="15" t="s">
        <v>69</v>
      </c>
      <c r="U15" s="15"/>
      <c r="V15" s="16"/>
      <c r="W15" s="17" t="str">
        <f t="shared" si="2"/>
        <v>OK</v>
      </c>
    </row>
    <row r="16" spans="1:40" ht="15.95" customHeight="1" x14ac:dyDescent="0.25">
      <c r="A16" s="35" t="s">
        <v>297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4"/>
      <c r="W16" s="4"/>
    </row>
    <row r="17" spans="1:23" ht="20.100000000000001" customHeight="1" x14ac:dyDescent="0.25">
      <c r="A17" s="18" t="s">
        <v>298</v>
      </c>
      <c r="B17" s="19" t="s">
        <v>68</v>
      </c>
      <c r="C17" s="20">
        <v>0</v>
      </c>
      <c r="D17" s="20">
        <v>1</v>
      </c>
      <c r="E17" s="20">
        <f t="shared" ref="E17:E23" si="3">D17-C17</f>
        <v>1</v>
      </c>
      <c r="F17" s="21" t="s">
        <v>69</v>
      </c>
      <c r="G17" s="21"/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/>
      <c r="Q17" s="21" t="s">
        <v>69</v>
      </c>
      <c r="R17" s="21"/>
      <c r="S17" s="21"/>
      <c r="T17" s="21" t="s">
        <v>69</v>
      </c>
      <c r="U17" s="21"/>
      <c r="V17" s="22"/>
      <c r="W17" s="23" t="str">
        <f t="shared" ref="W17:W23" si="4"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8" t="s">
        <v>298</v>
      </c>
      <c r="B18" s="19" t="s">
        <v>68</v>
      </c>
      <c r="C18" s="20">
        <v>1</v>
      </c>
      <c r="D18" s="20">
        <v>2</v>
      </c>
      <c r="E18" s="20">
        <f t="shared" si="3"/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/>
      <c r="Q18" s="21" t="s">
        <v>69</v>
      </c>
      <c r="R18" s="21"/>
      <c r="S18" s="21"/>
      <c r="T18" s="21" t="s">
        <v>69</v>
      </c>
      <c r="U18" s="21"/>
      <c r="V18" s="22"/>
      <c r="W18" s="23" t="str">
        <f t="shared" si="4"/>
        <v>OK</v>
      </c>
    </row>
    <row r="19" spans="1:23" ht="20.100000000000001" customHeight="1" x14ac:dyDescent="0.25">
      <c r="A19" s="18" t="s">
        <v>298</v>
      </c>
      <c r="B19" s="19" t="s">
        <v>68</v>
      </c>
      <c r="C19" s="20">
        <v>2</v>
      </c>
      <c r="D19" s="20">
        <v>3</v>
      </c>
      <c r="E19" s="20">
        <f t="shared" si="3"/>
        <v>1</v>
      </c>
      <c r="F19" s="21"/>
      <c r="G19" s="21"/>
      <c r="H19" s="21"/>
      <c r="I19" s="21" t="s">
        <v>69</v>
      </c>
      <c r="J19" s="21"/>
      <c r="K19" s="21"/>
      <c r="L19" s="21" t="s">
        <v>69</v>
      </c>
      <c r="M19" s="21"/>
      <c r="N19" s="21" t="s">
        <v>69</v>
      </c>
      <c r="O19" s="21"/>
      <c r="P19" s="21"/>
      <c r="Q19" s="21" t="s">
        <v>69</v>
      </c>
      <c r="R19" s="21"/>
      <c r="S19" s="21"/>
      <c r="T19" s="21" t="s">
        <v>69</v>
      </c>
      <c r="U19" s="21"/>
      <c r="V19" s="22"/>
      <c r="W19" s="23" t="str">
        <f t="shared" si="4"/>
        <v>OK</v>
      </c>
    </row>
    <row r="20" spans="1:23" ht="20.100000000000001" customHeight="1" x14ac:dyDescent="0.25">
      <c r="A20" s="18" t="s">
        <v>298</v>
      </c>
      <c r="B20" s="19" t="s">
        <v>68</v>
      </c>
      <c r="C20" s="20">
        <v>3</v>
      </c>
      <c r="D20" s="20">
        <v>4</v>
      </c>
      <c r="E20" s="20">
        <f t="shared" si="3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/>
      <c r="Q20" s="21" t="s">
        <v>69</v>
      </c>
      <c r="R20" s="21"/>
      <c r="S20" s="21"/>
      <c r="T20" s="21" t="s">
        <v>69</v>
      </c>
      <c r="U20" s="21"/>
      <c r="V20" s="22"/>
      <c r="W20" s="23" t="str">
        <f t="shared" si="4"/>
        <v>OK</v>
      </c>
    </row>
    <row r="21" spans="1:23" ht="20.100000000000001" customHeight="1" x14ac:dyDescent="0.25">
      <c r="A21" s="18" t="s">
        <v>298</v>
      </c>
      <c r="B21" s="19" t="s">
        <v>68</v>
      </c>
      <c r="C21" s="20">
        <v>4</v>
      </c>
      <c r="D21" s="20">
        <v>5</v>
      </c>
      <c r="E21" s="20">
        <f t="shared" si="3"/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/>
      <c r="Q21" s="21" t="s">
        <v>69</v>
      </c>
      <c r="R21" s="21"/>
      <c r="S21" s="21"/>
      <c r="T21" s="21" t="s">
        <v>69</v>
      </c>
      <c r="U21" s="21"/>
      <c r="V21" s="22"/>
      <c r="W21" s="23" t="str">
        <f t="shared" si="4"/>
        <v>OK</v>
      </c>
    </row>
    <row r="22" spans="1:23" ht="20.100000000000001" customHeight="1" x14ac:dyDescent="0.25">
      <c r="A22" s="18" t="s">
        <v>298</v>
      </c>
      <c r="B22" s="19" t="s">
        <v>68</v>
      </c>
      <c r="C22" s="20">
        <v>5</v>
      </c>
      <c r="D22" s="20">
        <v>6</v>
      </c>
      <c r="E22" s="20">
        <f t="shared" si="3"/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/>
      <c r="N22" s="21" t="s">
        <v>69</v>
      </c>
      <c r="O22" s="21"/>
      <c r="P22" s="21"/>
      <c r="Q22" s="21" t="s">
        <v>69</v>
      </c>
      <c r="R22" s="21"/>
      <c r="S22" s="21"/>
      <c r="T22" s="21" t="s">
        <v>69</v>
      </c>
      <c r="U22" s="21"/>
      <c r="V22" s="22"/>
      <c r="W22" s="23" t="str">
        <f t="shared" si="4"/>
        <v>OK</v>
      </c>
    </row>
    <row r="23" spans="1:23" ht="20.100000000000001" customHeight="1" thickBot="1" x14ac:dyDescent="0.3">
      <c r="A23" s="12" t="s">
        <v>298</v>
      </c>
      <c r="B23" s="13" t="s">
        <v>68</v>
      </c>
      <c r="C23" s="14">
        <v>6</v>
      </c>
      <c r="D23" s="14">
        <v>6.0288383224700004</v>
      </c>
      <c r="E23" s="14">
        <f t="shared" si="3"/>
        <v>2.8838322470000399E-2</v>
      </c>
      <c r="F23" s="15" t="s">
        <v>69</v>
      </c>
      <c r="G23" s="15"/>
      <c r="H23" s="15"/>
      <c r="I23" s="15"/>
      <c r="J23" s="15"/>
      <c r="K23" s="15"/>
      <c r="L23" s="15" t="s">
        <v>69</v>
      </c>
      <c r="M23" s="15"/>
      <c r="N23" s="15" t="s">
        <v>69</v>
      </c>
      <c r="O23" s="15"/>
      <c r="P23" s="15"/>
      <c r="Q23" s="15" t="s">
        <v>69</v>
      </c>
      <c r="R23" s="15"/>
      <c r="S23" s="15"/>
      <c r="T23" s="15" t="s">
        <v>69</v>
      </c>
      <c r="U23" s="15"/>
      <c r="V23" s="16"/>
      <c r="W23" s="17" t="str">
        <f t="shared" si="4"/>
        <v>OK</v>
      </c>
    </row>
    <row r="25" spans="1:23" x14ac:dyDescent="0.25">
      <c r="A25" s="40" t="s">
        <v>78</v>
      </c>
      <c r="B25" s="28"/>
      <c r="C25" s="28"/>
      <c r="D25" s="28"/>
      <c r="E25" s="28"/>
      <c r="G25" s="40" t="s">
        <v>78</v>
      </c>
      <c r="H25" s="28"/>
      <c r="I25" s="28"/>
      <c r="J25" s="28"/>
      <c r="K25" s="28"/>
    </row>
    <row r="26" spans="1:23" x14ac:dyDescent="0.25">
      <c r="A26" s="44" t="s">
        <v>79</v>
      </c>
      <c r="B26" s="28"/>
      <c r="C26" s="28"/>
      <c r="D26" s="28"/>
      <c r="E26" s="28"/>
      <c r="G26" s="44" t="s">
        <v>80</v>
      </c>
      <c r="H26" s="28"/>
      <c r="I26" s="28"/>
      <c r="J26" s="28"/>
      <c r="K26" s="28"/>
    </row>
    <row r="28" spans="1:23" x14ac:dyDescent="0.25">
      <c r="A28" s="41" t="s">
        <v>81</v>
      </c>
      <c r="B28" s="28"/>
      <c r="C28" s="28"/>
      <c r="D28" s="28"/>
      <c r="E28" s="28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3" x14ac:dyDescent="0.25">
      <c r="A29" s="43" t="s">
        <v>82</v>
      </c>
      <c r="B29" s="28"/>
      <c r="C29" s="28"/>
      <c r="D29" s="28"/>
      <c r="E29" s="28"/>
      <c r="F29" s="9">
        <f t="shared" ref="F29:U29" si="5">SUMIF(F$9:F$23,"X",$E$9:$E$23)</f>
        <v>7.1037645943600003</v>
      </c>
      <c r="G29" s="9">
        <f t="shared" si="5"/>
        <v>0</v>
      </c>
      <c r="H29" s="9">
        <f t="shared" si="5"/>
        <v>0</v>
      </c>
      <c r="I29" s="9">
        <f t="shared" si="5"/>
        <v>5</v>
      </c>
      <c r="J29" s="9">
        <f t="shared" si="5"/>
        <v>0</v>
      </c>
      <c r="K29" s="9">
        <f t="shared" si="5"/>
        <v>6.0749262718899999</v>
      </c>
      <c r="L29" s="9">
        <f>SUMIF(L$9:L$23,"X",$E$9:$E$23)</f>
        <v>6.0288383224700004</v>
      </c>
      <c r="M29" s="9">
        <f t="shared" si="5"/>
        <v>0</v>
      </c>
      <c r="N29" s="9">
        <f t="shared" si="5"/>
        <v>12.103764594360001</v>
      </c>
      <c r="O29" s="9">
        <f t="shared" si="5"/>
        <v>0</v>
      </c>
      <c r="P29" s="9">
        <f t="shared" si="5"/>
        <v>0</v>
      </c>
      <c r="Q29" s="9">
        <f t="shared" si="5"/>
        <v>12.103764594360001</v>
      </c>
      <c r="R29" s="9">
        <f t="shared" si="5"/>
        <v>0</v>
      </c>
      <c r="S29" s="9">
        <f t="shared" si="5"/>
        <v>0</v>
      </c>
      <c r="T29" s="9">
        <f t="shared" si="5"/>
        <v>12.103764594360001</v>
      </c>
      <c r="U29" s="9">
        <f t="shared" si="5"/>
        <v>0</v>
      </c>
    </row>
    <row r="30" spans="1:23" x14ac:dyDescent="0.25">
      <c r="A30" s="43" t="s">
        <v>83</v>
      </c>
      <c r="B30" s="28"/>
      <c r="C30" s="28"/>
      <c r="D30" s="28"/>
      <c r="E30" s="28"/>
      <c r="F30" s="25">
        <f t="shared" ref="F30:U30" si="6">IF($R32=0,0,F29/$R32)</f>
        <v>0.58690538294756212</v>
      </c>
      <c r="G30" s="25">
        <f t="shared" si="6"/>
        <v>0</v>
      </c>
      <c r="H30" s="25">
        <f t="shared" si="6"/>
        <v>0</v>
      </c>
      <c r="I30" s="25">
        <f t="shared" si="6"/>
        <v>0.41309461705243783</v>
      </c>
      <c r="J30" s="25">
        <f t="shared" si="6"/>
        <v>0</v>
      </c>
      <c r="K30" s="25">
        <f t="shared" si="6"/>
        <v>0.5019038683816387</v>
      </c>
      <c r="L30" s="25">
        <f t="shared" si="6"/>
        <v>0.4980961316183613</v>
      </c>
      <c r="M30" s="25">
        <f t="shared" si="6"/>
        <v>0</v>
      </c>
      <c r="N30" s="25">
        <f t="shared" si="6"/>
        <v>1</v>
      </c>
      <c r="O30" s="25">
        <f t="shared" si="6"/>
        <v>0</v>
      </c>
      <c r="P30" s="25">
        <f t="shared" si="6"/>
        <v>0</v>
      </c>
      <c r="Q30" s="25">
        <f t="shared" si="6"/>
        <v>1</v>
      </c>
      <c r="R30" s="25">
        <f t="shared" si="6"/>
        <v>0</v>
      </c>
      <c r="S30" s="25">
        <f t="shared" si="6"/>
        <v>0</v>
      </c>
      <c r="T30" s="25">
        <f t="shared" si="6"/>
        <v>1</v>
      </c>
      <c r="U30" s="25">
        <f t="shared" si="6"/>
        <v>0</v>
      </c>
    </row>
    <row r="31" spans="1:23" x14ac:dyDescent="0.25">
      <c r="A31" s="43" t="s">
        <v>84</v>
      </c>
      <c r="B31" s="28"/>
      <c r="C31" s="28"/>
      <c r="D31" s="28"/>
      <c r="E31" s="28"/>
      <c r="F31" s="42" t="str">
        <f>IF(SUM(F29:J29)=0,"— não preenchido",IF(ROUND(SUM(F29:J29)-$R32,3)=0,"OK — "&amp;ROUND(SUM(F29:J29),3)&amp;" km","ERRO — dif. de "&amp;ROUND(SUM(F29:J29)-$R32,3)&amp;" km"))</f>
        <v>OK — 12,104 km</v>
      </c>
      <c r="G31" s="33"/>
      <c r="H31" s="33"/>
      <c r="I31" s="33"/>
      <c r="J31" s="34"/>
      <c r="K31" s="42" t="str">
        <f>IF(SUM(K29:L29)=0,"— não preenchido",IF(ROUND(SUM(K29:L29)-$R32,3)=0,"OK — "&amp;ROUND(SUM(K29:L29),3)&amp;" km","ERRO — dif. de "&amp;ROUND(SUM(K29:L29)-$R32,3)&amp;" km"))</f>
        <v>OK — 12,104 km</v>
      </c>
      <c r="L31" s="34"/>
      <c r="M31" s="42" t="str">
        <f>IF(SUM(M29:O29)=0,"— não preenchido",IF(ROUND(SUM(M29:O29)-$R32,3)=0,"OK — "&amp;ROUND(SUM(M29:O29),3)&amp;" km","ERRO — dif. de "&amp;ROUND(SUM(M29:O29)-$R32,3)&amp;" km"))</f>
        <v>OK — 12,104 km</v>
      </c>
      <c r="N31" s="33"/>
      <c r="O31" s="34"/>
      <c r="P31" s="42" t="str">
        <f>IF(SUM(P29:R29)=0,"— não preenchido",IF(ROUND(SUM(P29:R29)-$R32,3)=0,"OK — "&amp;ROUND(SUM(P29:R29),3)&amp;" km","ERRO — dif. de "&amp;ROUND(SUM(P29:R29)-$R32,3)&amp;" km"))</f>
        <v>OK — 12,104 km</v>
      </c>
      <c r="Q31" s="33"/>
      <c r="R31" s="34"/>
      <c r="S31" s="42" t="str">
        <f>IF(SUM(S29:U29)=0,"— não preenchido",IF(ROUND(SUM(S29:U29)-$R32,3)=0,"OK — "&amp;ROUND(SUM(S29:U29),3)&amp;" km","ERRO — dif. de "&amp;ROUND(SUM(S29:U29)-$R32,3)&amp;" km"))</f>
        <v>OK — 12,104 km</v>
      </c>
      <c r="T31" s="33"/>
      <c r="U31" s="34"/>
    </row>
    <row r="32" spans="1:23" x14ac:dyDescent="0.25">
      <c r="A32" s="43" t="s">
        <v>85</v>
      </c>
      <c r="B32" s="28"/>
      <c r="C32" s="28"/>
      <c r="D32" s="28"/>
      <c r="E32" s="28"/>
      <c r="R32" s="26">
        <f>SUM(E9:E23)</f>
        <v>12.103764594360001</v>
      </c>
      <c r="V32" s="8" t="str">
        <f>COUNTIF(W9:W23,"OK")&amp;" de "&amp;COUNT($E$9:$E$23)&amp;" linhas conferidas"</f>
        <v>14 de 14 linhas conferidas</v>
      </c>
    </row>
    <row r="34" spans="1:22" x14ac:dyDescent="0.25">
      <c r="A34" s="37" t="s">
        <v>86</v>
      </c>
      <c r="B34" s="28"/>
      <c r="C34" s="28"/>
      <c r="D34" s="28"/>
      <c r="E34" s="28"/>
    </row>
    <row r="35" spans="1:22" x14ac:dyDescent="0.25">
      <c r="A35" s="43" t="s">
        <v>87</v>
      </c>
      <c r="B35" s="28"/>
      <c r="C35" s="28"/>
      <c r="D35" s="28"/>
      <c r="E35" s="31" t="s">
        <v>88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43" t="s">
        <v>89</v>
      </c>
      <c r="B36" s="28"/>
      <c r="C36" s="28"/>
      <c r="D36" s="28"/>
      <c r="E36" s="31" t="s">
        <v>90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43" t="s">
        <v>91</v>
      </c>
      <c r="B37" s="28"/>
      <c r="C37" s="28"/>
      <c r="D37" s="28"/>
      <c r="E37" s="31" t="s">
        <v>92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43" t="s">
        <v>93</v>
      </c>
      <c r="B38" s="28"/>
      <c r="C38" s="28"/>
      <c r="D38" s="28"/>
      <c r="E38" s="31" t="s">
        <v>94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43" t="s">
        <v>95</v>
      </c>
      <c r="B39" s="28"/>
      <c r="C39" s="28"/>
      <c r="D39" s="28"/>
      <c r="E39" s="31" t="s">
        <v>96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43" t="s">
        <v>60</v>
      </c>
      <c r="B40" s="28"/>
      <c r="C40" s="28"/>
      <c r="D40" s="28"/>
      <c r="E40" s="31" t="s">
        <v>97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43" t="s">
        <v>98</v>
      </c>
      <c r="B41" s="28"/>
      <c r="C41" s="28"/>
      <c r="D41" s="28"/>
      <c r="E41" s="31" t="s">
        <v>99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43" t="s">
        <v>100</v>
      </c>
      <c r="B42" s="28"/>
      <c r="C42" s="28"/>
      <c r="D42" s="28"/>
      <c r="E42" s="31" t="s">
        <v>101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43" t="s">
        <v>11</v>
      </c>
      <c r="B43" s="28"/>
      <c r="C43" s="28"/>
      <c r="D43" s="28"/>
      <c r="E43" s="31" t="s">
        <v>102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</sheetData>
  <sheetProtection sheet="1" formatCells="0"/>
  <mergeCells count="58">
    <mergeCell ref="A1:V1"/>
    <mergeCell ref="E41:V41"/>
    <mergeCell ref="T3:V3"/>
    <mergeCell ref="F31:J31"/>
    <mergeCell ref="S31:U31"/>
    <mergeCell ref="A32:E32"/>
    <mergeCell ref="E37:V37"/>
    <mergeCell ref="A41:D41"/>
    <mergeCell ref="A16:V16"/>
    <mergeCell ref="G26:K26"/>
    <mergeCell ref="A37:D37"/>
    <mergeCell ref="A29:E29"/>
    <mergeCell ref="A28:E28"/>
    <mergeCell ref="G25:K25"/>
    <mergeCell ref="R2:V2"/>
    <mergeCell ref="A3:S3"/>
    <mergeCell ref="W6:W7"/>
    <mergeCell ref="E36:V36"/>
    <mergeCell ref="E6:E7"/>
    <mergeCell ref="K31:L31"/>
    <mergeCell ref="B6:B7"/>
    <mergeCell ref="A36:D36"/>
    <mergeCell ref="A26:E26"/>
    <mergeCell ref="P31:R31"/>
    <mergeCell ref="C6:C7"/>
    <mergeCell ref="A31:E31"/>
    <mergeCell ref="K6:L6"/>
    <mergeCell ref="D6:D7"/>
    <mergeCell ref="P6:R6"/>
    <mergeCell ref="A34:E34"/>
    <mergeCell ref="A43:D43"/>
    <mergeCell ref="A6:A7"/>
    <mergeCell ref="F6:J6"/>
    <mergeCell ref="E40:V40"/>
    <mergeCell ref="M6:O6"/>
    <mergeCell ref="V6:V7"/>
    <mergeCell ref="S6:U6"/>
    <mergeCell ref="A40:D40"/>
    <mergeCell ref="A25:E25"/>
    <mergeCell ref="A39:D39"/>
    <mergeCell ref="E43:V43"/>
    <mergeCell ref="E42:V42"/>
    <mergeCell ref="A42:D42"/>
    <mergeCell ref="E39:V39"/>
    <mergeCell ref="A30:E30"/>
    <mergeCell ref="E35:V35"/>
    <mergeCell ref="E38:V38"/>
    <mergeCell ref="G2:H2"/>
    <mergeCell ref="A35:D35"/>
    <mergeCell ref="I2:J2"/>
    <mergeCell ref="A38:D38"/>
    <mergeCell ref="A8:V8"/>
    <mergeCell ref="M31:O31"/>
    <mergeCell ref="A4:V4"/>
    <mergeCell ref="A2:F2"/>
    <mergeCell ref="K2:M2"/>
    <mergeCell ref="N2:O2"/>
    <mergeCell ref="P2:Q2"/>
  </mergeCells>
  <conditionalFormatting sqref="F9:J23">
    <cfRule type="expression" dxfId="44" priority="1">
      <formula>AND(F9&lt;&gt;"",COUNTIF($F9:$J9,"X")&gt;1)</formula>
    </cfRule>
  </conditionalFormatting>
  <conditionalFormatting sqref="F31:U31">
    <cfRule type="expression" dxfId="43" priority="8">
      <formula>LEFT(F31,4)="ERRO"</formula>
    </cfRule>
    <cfRule type="expression" dxfId="42" priority="9">
      <formula>LEFT(F31,2)="OK"</formula>
    </cfRule>
  </conditionalFormatting>
  <conditionalFormatting sqref="K9:L23">
    <cfRule type="expression" dxfId="41" priority="2">
      <formula>AND(K9&lt;&gt;"",COUNTIF($K9:$L9,"X")&gt;1)</formula>
    </cfRule>
  </conditionalFormatting>
  <conditionalFormatting sqref="M9:O23">
    <cfRule type="expression" dxfId="40" priority="3">
      <formula>AND(M9&lt;&gt;"",COUNTIF($M9:$O9,"X")&gt;1)</formula>
    </cfRule>
  </conditionalFormatting>
  <conditionalFormatting sqref="P9:R23">
    <cfRule type="expression" dxfId="39" priority="4">
      <formula>AND(P9&lt;&gt;"",COUNTIF($P9:$R9,"X")&gt;1)</formula>
    </cfRule>
  </conditionalFormatting>
  <conditionalFormatting sqref="S9:U23">
    <cfRule type="expression" dxfId="38" priority="5">
      <formula>AND(S9&lt;&gt;"",COUNTIF($S9:$U9,"X")&gt;1)</formula>
    </cfRule>
  </conditionalFormatting>
  <conditionalFormatting sqref="W9:W23">
    <cfRule type="expression" dxfId="37" priority="6">
      <formula>AND(W9&lt;&gt;"OK",W9&lt;&gt;"")</formula>
    </cfRule>
    <cfRule type="expression" dxfId="3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3" xr:uid="{00000000-0002-0000-18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3" xr:uid="{00000000-0002-0000-18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3" xr:uid="{00000000-0002-0000-18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3" xr:uid="{00000000-0002-0000-18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3" xr:uid="{00000000-0002-0000-1800-000004000000}">
      <formula1>AND(UPPER(S9)="X",COUNTIF($S9:$U9,"X")&lt;=1)</formula1>
    </dataValidation>
    <dataValidation type="list" showErrorMessage="1" errorTitle="Sentido inválido" error="Use C (crescente) ou D (decrescente)." sqref="B9:B23" xr:uid="{00000000-0002-0000-18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30</oddHeader>
    <oddFooter>&amp;L&amp;7 RTA / MSI — Programa de Manutenção Rodoviária&amp;C&amp;7 Página &amp;P de &amp;N&amp;R&amp;7 Impresso em &amp;D</oddFooter>
  </headerFooter>
  <rowBreaks count="1" manualBreakCount="1">
    <brk id="26" max="16383" man="1"/>
  </row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  <pageSetUpPr fitToPage="1"/>
  </sheetPr>
  <dimension ref="A1:AN36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IF(F22=0,NA(),F22)</f>
        <v>7.6877450416000004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7.6877450416000004</v>
      </c>
      <c r="AF2" s="2" t="e">
        <f t="shared" si="0"/>
        <v>#N/A</v>
      </c>
      <c r="AG2" s="2">
        <f t="shared" si="0"/>
        <v>1.6877450416000004</v>
      </c>
      <c r="AH2" s="2">
        <f t="shared" si="0"/>
        <v>6</v>
      </c>
      <c r="AI2" s="2" t="e">
        <f t="shared" si="0"/>
        <v>#N/A</v>
      </c>
      <c r="AJ2" s="2">
        <f t="shared" si="0"/>
        <v>4</v>
      </c>
      <c r="AK2" s="2">
        <f t="shared" si="0"/>
        <v>3.6877450416000004</v>
      </c>
      <c r="AL2" s="2" t="e">
        <f t="shared" si="0"/>
        <v>#N/A</v>
      </c>
      <c r="AM2" s="2">
        <f t="shared" si="0"/>
        <v>7.6877450416000004</v>
      </c>
      <c r="AN2" s="2" t="e">
        <f t="shared" si="0"/>
        <v>#N/A</v>
      </c>
    </row>
    <row r="3" spans="1:40" ht="15" customHeight="1" x14ac:dyDescent="0.25">
      <c r="A3" s="49" t="s">
        <v>299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300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301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302</v>
      </c>
      <c r="B9" s="19" t="s">
        <v>68</v>
      </c>
      <c r="C9" s="20">
        <v>0</v>
      </c>
      <c r="D9" s="20">
        <v>1</v>
      </c>
      <c r="E9" s="20">
        <f t="shared" ref="E9:E16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/>
      <c r="O9" s="21" t="s">
        <v>69</v>
      </c>
      <c r="P9" s="21"/>
      <c r="Q9" s="21"/>
      <c r="R9" s="21" t="s">
        <v>69</v>
      </c>
      <c r="S9" s="21"/>
      <c r="T9" s="21" t="s">
        <v>69</v>
      </c>
      <c r="U9" s="21"/>
      <c r="V9" s="22"/>
      <c r="W9" s="23" t="str">
        <f t="shared" ref="W9:W1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302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/>
      <c r="O10" s="21" t="s">
        <v>69</v>
      </c>
      <c r="P10" s="21"/>
      <c r="Q10" s="21"/>
      <c r="R10" s="21" t="s">
        <v>69</v>
      </c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302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/>
      <c r="O11" s="21" t="s">
        <v>69</v>
      </c>
      <c r="P11" s="21"/>
      <c r="Q11" s="21" t="s">
        <v>69</v>
      </c>
      <c r="R11" s="21"/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302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 t="s">
        <v>69</v>
      </c>
      <c r="G12" s="21"/>
      <c r="H12" s="21"/>
      <c r="I12" s="21"/>
      <c r="J12" s="21"/>
      <c r="K12" s="21"/>
      <c r="L12" s="21" t="s">
        <v>69</v>
      </c>
      <c r="M12" s="21"/>
      <c r="N12" s="21"/>
      <c r="O12" s="21" t="s">
        <v>69</v>
      </c>
      <c r="P12" s="21"/>
      <c r="Q12" s="21" t="s">
        <v>69</v>
      </c>
      <c r="R12" s="21"/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302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/>
      <c r="O13" s="21" t="s">
        <v>69</v>
      </c>
      <c r="P13" s="21"/>
      <c r="Q13" s="21" t="s">
        <v>69</v>
      </c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302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/>
      <c r="O14" s="21" t="s">
        <v>69</v>
      </c>
      <c r="P14" s="21"/>
      <c r="Q14" s="21" t="s">
        <v>69</v>
      </c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302</v>
      </c>
      <c r="B15" s="19" t="s">
        <v>68</v>
      </c>
      <c r="C15" s="20">
        <v>6</v>
      </c>
      <c r="D15" s="20">
        <v>7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/>
      <c r="Q15" s="21"/>
      <c r="R15" s="21" t="s">
        <v>69</v>
      </c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2" t="s">
        <v>302</v>
      </c>
      <c r="B16" s="13" t="s">
        <v>68</v>
      </c>
      <c r="C16" s="14">
        <v>7</v>
      </c>
      <c r="D16" s="14">
        <v>7.6877450416000004</v>
      </c>
      <c r="E16" s="14">
        <f t="shared" si="1"/>
        <v>0.68774504160000038</v>
      </c>
      <c r="F16" s="15" t="s">
        <v>69</v>
      </c>
      <c r="G16" s="15"/>
      <c r="H16" s="15"/>
      <c r="I16" s="15"/>
      <c r="J16" s="15"/>
      <c r="K16" s="15"/>
      <c r="L16" s="15" t="s">
        <v>69</v>
      </c>
      <c r="M16" s="15"/>
      <c r="N16" s="15" t="s">
        <v>69</v>
      </c>
      <c r="O16" s="15"/>
      <c r="P16" s="15"/>
      <c r="Q16" s="15"/>
      <c r="R16" s="15" t="s">
        <v>69</v>
      </c>
      <c r="S16" s="15"/>
      <c r="T16" s="15" t="s">
        <v>69</v>
      </c>
      <c r="U16" s="15"/>
      <c r="V16" s="16"/>
      <c r="W16" s="17" t="str">
        <f t="shared" si="2"/>
        <v>OK</v>
      </c>
    </row>
    <row r="18" spans="1:22" x14ac:dyDescent="0.25">
      <c r="A18" s="40" t="s">
        <v>78</v>
      </c>
      <c r="B18" s="28"/>
      <c r="C18" s="28"/>
      <c r="D18" s="28"/>
      <c r="E18" s="28"/>
      <c r="G18" s="40" t="s">
        <v>78</v>
      </c>
      <c r="H18" s="28"/>
      <c r="I18" s="28"/>
      <c r="J18" s="28"/>
      <c r="K18" s="28"/>
    </row>
    <row r="19" spans="1:22" x14ac:dyDescent="0.25">
      <c r="A19" s="44" t="s">
        <v>79</v>
      </c>
      <c r="B19" s="28"/>
      <c r="C19" s="28"/>
      <c r="D19" s="28"/>
      <c r="E19" s="28"/>
      <c r="G19" s="44" t="s">
        <v>80</v>
      </c>
      <c r="H19" s="28"/>
      <c r="I19" s="28"/>
      <c r="J19" s="28"/>
      <c r="K19" s="28"/>
    </row>
    <row r="21" spans="1:22" x14ac:dyDescent="0.25">
      <c r="A21" s="41" t="s">
        <v>81</v>
      </c>
      <c r="B21" s="28"/>
      <c r="C21" s="28"/>
      <c r="D21" s="28"/>
      <c r="E21" s="28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x14ac:dyDescent="0.25">
      <c r="A22" s="43" t="s">
        <v>82</v>
      </c>
      <c r="B22" s="28"/>
      <c r="C22" s="28"/>
      <c r="D22" s="28"/>
      <c r="E22" s="28"/>
      <c r="F22" s="9">
        <f t="shared" ref="F22:U22" si="3">SUMIF(F$9:F$16,"X",$E$9:$E$16)</f>
        <v>7.6877450416000004</v>
      </c>
      <c r="G22" s="9">
        <f t="shared" si="3"/>
        <v>0</v>
      </c>
      <c r="H22" s="9">
        <f t="shared" si="3"/>
        <v>0</v>
      </c>
      <c r="I22" s="9">
        <f t="shared" si="3"/>
        <v>0</v>
      </c>
      <c r="J22" s="9">
        <f t="shared" si="3"/>
        <v>0</v>
      </c>
      <c r="K22" s="9">
        <f t="shared" si="3"/>
        <v>0</v>
      </c>
      <c r="L22" s="9">
        <f t="shared" si="3"/>
        <v>7.6877450416000004</v>
      </c>
      <c r="M22" s="9">
        <f t="shared" si="3"/>
        <v>0</v>
      </c>
      <c r="N22" s="9">
        <f t="shared" si="3"/>
        <v>1.6877450416000004</v>
      </c>
      <c r="O22" s="9">
        <f t="shared" si="3"/>
        <v>6</v>
      </c>
      <c r="P22" s="9">
        <f t="shared" si="3"/>
        <v>0</v>
      </c>
      <c r="Q22" s="9">
        <f t="shared" si="3"/>
        <v>4</v>
      </c>
      <c r="R22" s="9">
        <f t="shared" si="3"/>
        <v>3.6877450416000004</v>
      </c>
      <c r="S22" s="9">
        <f t="shared" si="3"/>
        <v>0</v>
      </c>
      <c r="T22" s="9">
        <f t="shared" si="3"/>
        <v>7.6877450416000004</v>
      </c>
      <c r="U22" s="9">
        <f t="shared" si="3"/>
        <v>0</v>
      </c>
    </row>
    <row r="23" spans="1:22" x14ac:dyDescent="0.25">
      <c r="A23" s="43" t="s">
        <v>83</v>
      </c>
      <c r="B23" s="28"/>
      <c r="C23" s="28"/>
      <c r="D23" s="28"/>
      <c r="E23" s="28"/>
      <c r="F23" s="25">
        <f t="shared" ref="F23:U23" si="4">IF($R25=0,0,F22/$R25)</f>
        <v>1</v>
      </c>
      <c r="G23" s="25">
        <f t="shared" si="4"/>
        <v>0</v>
      </c>
      <c r="H23" s="25">
        <f t="shared" si="4"/>
        <v>0</v>
      </c>
      <c r="I23" s="25">
        <f t="shared" si="4"/>
        <v>0</v>
      </c>
      <c r="J23" s="25">
        <f t="shared" si="4"/>
        <v>0</v>
      </c>
      <c r="K23" s="25">
        <f t="shared" si="4"/>
        <v>0</v>
      </c>
      <c r="L23" s="25">
        <f t="shared" si="4"/>
        <v>1</v>
      </c>
      <c r="M23" s="25">
        <f t="shared" si="4"/>
        <v>0</v>
      </c>
      <c r="N23" s="25">
        <f t="shared" si="4"/>
        <v>0.21953707263537722</v>
      </c>
      <c r="O23" s="25">
        <f t="shared" si="4"/>
        <v>0.78046292736462275</v>
      </c>
      <c r="P23" s="25">
        <f t="shared" si="4"/>
        <v>0</v>
      </c>
      <c r="Q23" s="25">
        <f t="shared" si="4"/>
        <v>0.52030861824308183</v>
      </c>
      <c r="R23" s="25">
        <f t="shared" si="4"/>
        <v>0.47969138175691817</v>
      </c>
      <c r="S23" s="25">
        <f t="shared" si="4"/>
        <v>0</v>
      </c>
      <c r="T23" s="25">
        <f t="shared" si="4"/>
        <v>1</v>
      </c>
      <c r="U23" s="25">
        <f t="shared" si="4"/>
        <v>0</v>
      </c>
    </row>
    <row r="24" spans="1:22" x14ac:dyDescent="0.25">
      <c r="A24" s="43" t="s">
        <v>84</v>
      </c>
      <c r="B24" s="28"/>
      <c r="C24" s="28"/>
      <c r="D24" s="28"/>
      <c r="E24" s="28"/>
      <c r="F24" s="42" t="str">
        <f>IF(SUM(F22:J22)=0,"— não preenchido",IF(ROUND(SUM(F22:J22)-$R25,3)=0,"OK — "&amp;ROUND(SUM(F22:J22),3)&amp;" km","ERRO — dif. de "&amp;ROUND(SUM(F22:J22)-$R25,3)&amp;" km"))</f>
        <v>OK — 7,688 km</v>
      </c>
      <c r="G24" s="33"/>
      <c r="H24" s="33"/>
      <c r="I24" s="33"/>
      <c r="J24" s="34"/>
      <c r="K24" s="42" t="str">
        <f>IF(SUM(K22:L22)=0,"— não preenchido",IF(ROUND(SUM(K22:L22)-$R25,3)=0,"OK — "&amp;ROUND(SUM(K22:L22),3)&amp;" km","ERRO — dif. de "&amp;ROUND(SUM(K22:L22)-$R25,3)&amp;" km"))</f>
        <v>OK — 7,688 km</v>
      </c>
      <c r="L24" s="34"/>
      <c r="M24" s="42" t="str">
        <f>IF(SUM(M22:O22)=0,"— não preenchido",IF(ROUND(SUM(M22:O22)-$R25,3)=0,"OK — "&amp;ROUND(SUM(M22:O22),3)&amp;" km","ERRO — dif. de "&amp;ROUND(SUM(M22:O22)-$R25,3)&amp;" km"))</f>
        <v>OK — 7,688 km</v>
      </c>
      <c r="N24" s="33"/>
      <c r="O24" s="34"/>
      <c r="P24" s="42" t="str">
        <f>IF(SUM(P22:R22)=0,"— não preenchido",IF(ROUND(SUM(P22:R22)-$R25,3)=0,"OK — "&amp;ROUND(SUM(P22:R22),3)&amp;" km","ERRO — dif. de "&amp;ROUND(SUM(P22:R22)-$R25,3)&amp;" km"))</f>
        <v>OK — 7,688 km</v>
      </c>
      <c r="Q24" s="33"/>
      <c r="R24" s="34"/>
      <c r="S24" s="42" t="str">
        <f>IF(SUM(S22:U22)=0,"— não preenchido",IF(ROUND(SUM(S22:U22)-$R25,3)=0,"OK — "&amp;ROUND(SUM(S22:U22),3)&amp;" km","ERRO — dif. de "&amp;ROUND(SUM(S22:U22)-$R25,3)&amp;" km"))</f>
        <v>OK — 7,688 km</v>
      </c>
      <c r="T24" s="33"/>
      <c r="U24" s="34"/>
    </row>
    <row r="25" spans="1:22" x14ac:dyDescent="0.25">
      <c r="A25" s="43" t="s">
        <v>85</v>
      </c>
      <c r="B25" s="28"/>
      <c r="C25" s="28"/>
      <c r="D25" s="28"/>
      <c r="E25" s="28"/>
      <c r="R25" s="26">
        <f>SUM(E9:E16)</f>
        <v>7.6877450416000004</v>
      </c>
      <c r="V25" s="8" t="str">
        <f>COUNTIF(W9:W16,"OK")&amp;" de "&amp;COUNT($E$9:$E$16)&amp;" linhas conferidas"</f>
        <v>8 de 8 linhas conferidas</v>
      </c>
    </row>
    <row r="27" spans="1:22" x14ac:dyDescent="0.25">
      <c r="A27" s="37" t="s">
        <v>86</v>
      </c>
      <c r="B27" s="28"/>
      <c r="C27" s="28"/>
      <c r="D27" s="28"/>
      <c r="E27" s="28"/>
    </row>
    <row r="28" spans="1:22" x14ac:dyDescent="0.25">
      <c r="A28" s="43" t="s">
        <v>87</v>
      </c>
      <c r="B28" s="28"/>
      <c r="C28" s="28"/>
      <c r="D28" s="28"/>
      <c r="E28" s="31" t="s">
        <v>88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43" t="s">
        <v>89</v>
      </c>
      <c r="B29" s="28"/>
      <c r="C29" s="28"/>
      <c r="D29" s="28"/>
      <c r="E29" s="31" t="s">
        <v>90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43" t="s">
        <v>91</v>
      </c>
      <c r="B30" s="28"/>
      <c r="C30" s="28"/>
      <c r="D30" s="28"/>
      <c r="E30" s="31" t="s">
        <v>92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x14ac:dyDescent="0.25">
      <c r="A31" s="43" t="s">
        <v>93</v>
      </c>
      <c r="B31" s="28"/>
      <c r="C31" s="28"/>
      <c r="D31" s="28"/>
      <c r="E31" s="31" t="s">
        <v>94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x14ac:dyDescent="0.25">
      <c r="A32" s="43" t="s">
        <v>95</v>
      </c>
      <c r="B32" s="28"/>
      <c r="C32" s="28"/>
      <c r="D32" s="28"/>
      <c r="E32" s="31" t="s">
        <v>96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43" t="s">
        <v>60</v>
      </c>
      <c r="B33" s="28"/>
      <c r="C33" s="28"/>
      <c r="D33" s="28"/>
      <c r="E33" s="31" t="s">
        <v>97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43" t="s">
        <v>98</v>
      </c>
      <c r="B34" s="28"/>
      <c r="C34" s="28"/>
      <c r="D34" s="28"/>
      <c r="E34" s="31" t="s">
        <v>99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43" t="s">
        <v>100</v>
      </c>
      <c r="B35" s="28"/>
      <c r="C35" s="28"/>
      <c r="D35" s="28"/>
      <c r="E35" s="31" t="s">
        <v>101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43" t="s">
        <v>11</v>
      </c>
      <c r="B36" s="28"/>
      <c r="C36" s="28"/>
      <c r="D36" s="28"/>
      <c r="E36" s="31" t="s">
        <v>102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</sheetData>
  <sheetProtection sheet="1" formatCells="0"/>
  <mergeCells count="57">
    <mergeCell ref="A33:D33"/>
    <mergeCell ref="E31:V31"/>
    <mergeCell ref="E34:V34"/>
    <mergeCell ref="A1:V1"/>
    <mergeCell ref="E32:V32"/>
    <mergeCell ref="T3:V3"/>
    <mergeCell ref="A23:E23"/>
    <mergeCell ref="A22:E22"/>
    <mergeCell ref="A19:E19"/>
    <mergeCell ref="R2:V2"/>
    <mergeCell ref="A3:S3"/>
    <mergeCell ref="C6:C7"/>
    <mergeCell ref="K6:L6"/>
    <mergeCell ref="D6:D7"/>
    <mergeCell ref="P6:R6"/>
    <mergeCell ref="A2:F2"/>
    <mergeCell ref="A34:D34"/>
    <mergeCell ref="A25:E25"/>
    <mergeCell ref="A28:D28"/>
    <mergeCell ref="W6:W7"/>
    <mergeCell ref="E36:V36"/>
    <mergeCell ref="G19:K19"/>
    <mergeCell ref="E6:E7"/>
    <mergeCell ref="B6:B7"/>
    <mergeCell ref="M24:O24"/>
    <mergeCell ref="A18:E18"/>
    <mergeCell ref="G18:K18"/>
    <mergeCell ref="A27:E27"/>
    <mergeCell ref="A36:D36"/>
    <mergeCell ref="A21:E21"/>
    <mergeCell ref="P24:R24"/>
    <mergeCell ref="E33:V33"/>
    <mergeCell ref="E35:V35"/>
    <mergeCell ref="A24:E24"/>
    <mergeCell ref="E29:V29"/>
    <mergeCell ref="G2:H2"/>
    <mergeCell ref="K24:L24"/>
    <mergeCell ref="A35:D35"/>
    <mergeCell ref="I2:J2"/>
    <mergeCell ref="A8:V8"/>
    <mergeCell ref="E28:V28"/>
    <mergeCell ref="A29:D29"/>
    <mergeCell ref="A6:A7"/>
    <mergeCell ref="F6:J6"/>
    <mergeCell ref="M6:O6"/>
    <mergeCell ref="A31:D31"/>
    <mergeCell ref="A32:D32"/>
    <mergeCell ref="F24:J24"/>
    <mergeCell ref="V6:V7"/>
    <mergeCell ref="A4:V4"/>
    <mergeCell ref="N2:O2"/>
    <mergeCell ref="A30:D30"/>
    <mergeCell ref="P2:Q2"/>
    <mergeCell ref="S24:U24"/>
    <mergeCell ref="S6:U6"/>
    <mergeCell ref="K2:M2"/>
    <mergeCell ref="E30:V30"/>
  </mergeCells>
  <conditionalFormatting sqref="F9:J16">
    <cfRule type="expression" dxfId="35" priority="1">
      <formula>AND(F9&lt;&gt;"",COUNTIF($F9:$J9,"X")&gt;1)</formula>
    </cfRule>
  </conditionalFormatting>
  <conditionalFormatting sqref="F24:U24">
    <cfRule type="expression" dxfId="34" priority="8">
      <formula>LEFT(F24,4)="ERRO"</formula>
    </cfRule>
    <cfRule type="expression" dxfId="33" priority="9">
      <formula>LEFT(F24,2)="OK"</formula>
    </cfRule>
  </conditionalFormatting>
  <conditionalFormatting sqref="K9:L16">
    <cfRule type="expression" dxfId="32" priority="2">
      <formula>AND(K9&lt;&gt;"",COUNTIF($K9:$L9,"X")&gt;1)</formula>
    </cfRule>
  </conditionalFormatting>
  <conditionalFormatting sqref="M9:O16">
    <cfRule type="expression" dxfId="31" priority="3">
      <formula>AND(M9&lt;&gt;"",COUNTIF($M9:$O9,"X")&gt;1)</formula>
    </cfRule>
  </conditionalFormatting>
  <conditionalFormatting sqref="P9:R16">
    <cfRule type="expression" dxfId="30" priority="4">
      <formula>AND(P9&lt;&gt;"",COUNTIF($P9:$R9,"X")&gt;1)</formula>
    </cfRule>
  </conditionalFormatting>
  <conditionalFormatting sqref="S9:U16">
    <cfRule type="expression" dxfId="29" priority="5">
      <formula>AND(S9&lt;&gt;"",COUNTIF($S9:$U9,"X")&gt;1)</formula>
    </cfRule>
  </conditionalFormatting>
  <conditionalFormatting sqref="W9:W16">
    <cfRule type="expression" dxfId="28" priority="6">
      <formula>AND(W9&lt;&gt;"OK",W9&lt;&gt;"")</formula>
    </cfRule>
    <cfRule type="expression" dxfId="2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6" xr:uid="{00000000-0002-0000-19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6" xr:uid="{00000000-0002-0000-19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6" xr:uid="{00000000-0002-0000-19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6" xr:uid="{00000000-0002-0000-19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6" xr:uid="{00000000-0002-0000-1900-000004000000}">
      <formula1>AND(UPPER(S9)="X",COUNTIF($S9:$U9,"X")&lt;=1)</formula1>
    </dataValidation>
    <dataValidation type="list" showErrorMessage="1" errorTitle="Sentido inválido" error="Use C (crescente) ou D (decrescente)." sqref="B9:B16" xr:uid="{00000000-0002-0000-19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32</oddHeader>
    <oddFooter>&amp;L&amp;7 RTA / MSI — Programa de Manutenção Rodoviária&amp;C&amp;7 Página &amp;P de &amp;N&amp;R&amp;7 Impresso em &amp;D</oddFooter>
  </headerFooter>
  <rowBreaks count="1" manualBreakCount="1">
    <brk id="19" max="16383" man="1"/>
  </rowBrea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  <pageSetUpPr fitToPage="1"/>
  </sheetPr>
  <dimension ref="A1:AN55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IF(F41=0,NA(),F41)</f>
        <v>21.997735133300001</v>
      </c>
      <c r="Z2" s="2" t="e">
        <f t="shared" si="0"/>
        <v>#N/A</v>
      </c>
      <c r="AA2" s="2" t="e">
        <f t="shared" si="0"/>
        <v>#N/A</v>
      </c>
      <c r="AB2" s="2">
        <f t="shared" si="0"/>
        <v>3</v>
      </c>
      <c r="AC2" s="2" t="e">
        <f t="shared" si="0"/>
        <v>#N/A</v>
      </c>
      <c r="AD2" s="2" t="e">
        <f t="shared" si="0"/>
        <v>#N/A</v>
      </c>
      <c r="AE2" s="2">
        <f t="shared" si="0"/>
        <v>24.997735133300001</v>
      </c>
      <c r="AF2" s="2" t="e">
        <f t="shared" si="0"/>
        <v>#N/A</v>
      </c>
      <c r="AG2" s="2">
        <f t="shared" si="0"/>
        <v>24.997735133300001</v>
      </c>
      <c r="AH2" s="2" t="e">
        <f t="shared" si="0"/>
        <v>#N/A</v>
      </c>
      <c r="AI2" s="2">
        <f t="shared" si="0"/>
        <v>24.997735133300001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23.9122850812</v>
      </c>
      <c r="AN2" s="2">
        <f t="shared" si="0"/>
        <v>1.0854500521000006</v>
      </c>
    </row>
    <row r="3" spans="1:40" ht="15" customHeight="1" x14ac:dyDescent="0.25">
      <c r="A3" s="49" t="s">
        <v>303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304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305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306</v>
      </c>
      <c r="B9" s="19" t="s">
        <v>68</v>
      </c>
      <c r="C9" s="20">
        <v>0</v>
      </c>
      <c r="D9" s="20">
        <v>1</v>
      </c>
      <c r="E9" s="20">
        <f t="shared" ref="E9:E22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/>
      <c r="T9" s="21" t="s">
        <v>69</v>
      </c>
      <c r="U9" s="21"/>
      <c r="V9" s="22"/>
      <c r="W9" s="23" t="str">
        <f t="shared" ref="W9:W22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306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306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 t="s">
        <v>69</v>
      </c>
      <c r="Q11" s="21"/>
      <c r="R11" s="21"/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306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 t="s">
        <v>69</v>
      </c>
      <c r="G12" s="21"/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 t="s">
        <v>69</v>
      </c>
      <c r="Q12" s="21"/>
      <c r="R12" s="21"/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306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 t="s">
        <v>69</v>
      </c>
      <c r="Q13" s="21"/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306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 t="s">
        <v>69</v>
      </c>
      <c r="Q14" s="21"/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306</v>
      </c>
      <c r="B15" s="19" t="s">
        <v>68</v>
      </c>
      <c r="C15" s="20">
        <v>6</v>
      </c>
      <c r="D15" s="20">
        <v>7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 t="s">
        <v>69</v>
      </c>
      <c r="Q15" s="21"/>
      <c r="R15" s="21"/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306</v>
      </c>
      <c r="B16" s="19" t="s">
        <v>68</v>
      </c>
      <c r="C16" s="20">
        <v>7</v>
      </c>
      <c r="D16" s="20">
        <v>8</v>
      </c>
      <c r="E16" s="20">
        <f t="shared" si="1"/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 t="s">
        <v>69</v>
      </c>
      <c r="Q16" s="21"/>
      <c r="R16" s="21"/>
      <c r="S16" s="21"/>
      <c r="T16" s="21" t="s">
        <v>69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306</v>
      </c>
      <c r="B17" s="19" t="s">
        <v>68</v>
      </c>
      <c r="C17" s="20">
        <v>8</v>
      </c>
      <c r="D17" s="20">
        <v>9</v>
      </c>
      <c r="E17" s="20">
        <f t="shared" si="1"/>
        <v>1</v>
      </c>
      <c r="F17" s="21" t="s">
        <v>69</v>
      </c>
      <c r="G17" s="21"/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 t="s">
        <v>69</v>
      </c>
      <c r="Q17" s="21"/>
      <c r="R17" s="21"/>
      <c r="S17" s="21"/>
      <c r="T17" s="21" t="s">
        <v>69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306</v>
      </c>
      <c r="B18" s="19" t="s">
        <v>68</v>
      </c>
      <c r="C18" s="20">
        <v>9</v>
      </c>
      <c r="D18" s="20">
        <v>10</v>
      </c>
      <c r="E18" s="20">
        <f t="shared" si="1"/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 t="s">
        <v>69</v>
      </c>
      <c r="Q18" s="21"/>
      <c r="R18" s="21"/>
      <c r="S18" s="21"/>
      <c r="T18" s="21" t="s">
        <v>69</v>
      </c>
      <c r="U18" s="21"/>
      <c r="V18" s="22"/>
      <c r="W18" s="23" t="str">
        <f t="shared" si="2"/>
        <v>OK</v>
      </c>
    </row>
    <row r="19" spans="1:23" ht="20.100000000000001" customHeight="1" x14ac:dyDescent="0.25">
      <c r="A19" s="18" t="s">
        <v>306</v>
      </c>
      <c r="B19" s="19" t="s">
        <v>68</v>
      </c>
      <c r="C19" s="20">
        <v>10</v>
      </c>
      <c r="D19" s="20">
        <v>11</v>
      </c>
      <c r="E19" s="20">
        <f t="shared" si="1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/>
      <c r="N19" s="21" t="s">
        <v>69</v>
      </c>
      <c r="O19" s="21"/>
      <c r="P19" s="21" t="s">
        <v>69</v>
      </c>
      <c r="Q19" s="21"/>
      <c r="R19" s="21"/>
      <c r="S19" s="21"/>
      <c r="T19" s="21" t="s">
        <v>69</v>
      </c>
      <c r="U19" s="21"/>
      <c r="V19" s="22"/>
      <c r="W19" s="23" t="str">
        <f t="shared" si="2"/>
        <v>OK</v>
      </c>
    </row>
    <row r="20" spans="1:23" ht="20.100000000000001" customHeight="1" x14ac:dyDescent="0.25">
      <c r="A20" s="18" t="s">
        <v>306</v>
      </c>
      <c r="B20" s="19" t="s">
        <v>68</v>
      </c>
      <c r="C20" s="20">
        <v>11</v>
      </c>
      <c r="D20" s="20">
        <v>12</v>
      </c>
      <c r="E20" s="20">
        <f t="shared" si="1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 t="s">
        <v>69</v>
      </c>
      <c r="Q20" s="21"/>
      <c r="R20" s="21"/>
      <c r="S20" s="21"/>
      <c r="T20" s="21" t="s">
        <v>69</v>
      </c>
      <c r="U20" s="21"/>
      <c r="V20" s="22"/>
      <c r="W20" s="23" t="str">
        <f t="shared" si="2"/>
        <v>OK</v>
      </c>
    </row>
    <row r="21" spans="1:23" ht="20.100000000000001" customHeight="1" x14ac:dyDescent="0.25">
      <c r="A21" s="18" t="s">
        <v>306</v>
      </c>
      <c r="B21" s="19" t="s">
        <v>68</v>
      </c>
      <c r="C21" s="20">
        <v>12</v>
      </c>
      <c r="D21" s="20">
        <v>13</v>
      </c>
      <c r="E21" s="20">
        <f t="shared" si="1"/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 t="s">
        <v>69</v>
      </c>
      <c r="Q21" s="21"/>
      <c r="R21" s="21"/>
      <c r="S21" s="21"/>
      <c r="T21" s="21" t="s">
        <v>69</v>
      </c>
      <c r="U21" s="21"/>
      <c r="V21" s="22"/>
      <c r="W21" s="23" t="str">
        <f t="shared" si="2"/>
        <v>OK</v>
      </c>
    </row>
    <row r="22" spans="1:23" ht="20.100000000000001" customHeight="1" x14ac:dyDescent="0.25">
      <c r="A22" s="12" t="s">
        <v>306</v>
      </c>
      <c r="B22" s="13" t="s">
        <v>68</v>
      </c>
      <c r="C22" s="14">
        <v>13</v>
      </c>
      <c r="D22" s="14">
        <v>13.9122850812</v>
      </c>
      <c r="E22" s="14">
        <f t="shared" si="1"/>
        <v>0.91228508120000029</v>
      </c>
      <c r="F22" s="15" t="s">
        <v>69</v>
      </c>
      <c r="G22" s="15"/>
      <c r="H22" s="15"/>
      <c r="I22" s="15"/>
      <c r="J22" s="15"/>
      <c r="K22" s="15"/>
      <c r="L22" s="15" t="s">
        <v>69</v>
      </c>
      <c r="M22" s="15"/>
      <c r="N22" s="15" t="s">
        <v>69</v>
      </c>
      <c r="O22" s="15"/>
      <c r="P22" s="15" t="s">
        <v>69</v>
      </c>
      <c r="Q22" s="15"/>
      <c r="R22" s="15"/>
      <c r="S22" s="15"/>
      <c r="T22" s="15" t="s">
        <v>69</v>
      </c>
      <c r="U22" s="15"/>
      <c r="V22" s="16"/>
      <c r="W22" s="17" t="str">
        <f t="shared" si="2"/>
        <v>OK</v>
      </c>
    </row>
    <row r="23" spans="1:23" ht="15.95" customHeight="1" x14ac:dyDescent="0.25">
      <c r="A23" s="35" t="s">
        <v>307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4"/>
      <c r="W23" s="4"/>
    </row>
    <row r="24" spans="1:23" ht="20.100000000000001" customHeight="1" x14ac:dyDescent="0.25">
      <c r="A24" s="18" t="s">
        <v>308</v>
      </c>
      <c r="B24" s="19" t="s">
        <v>68</v>
      </c>
      <c r="C24" s="20">
        <v>0</v>
      </c>
      <c r="D24" s="20">
        <v>1</v>
      </c>
      <c r="E24" s="20">
        <f t="shared" ref="E24:E35" si="3">D24-C24</f>
        <v>1</v>
      </c>
      <c r="F24" s="21" t="s">
        <v>69</v>
      </c>
      <c r="G24" s="21"/>
      <c r="H24" s="21"/>
      <c r="I24" s="21"/>
      <c r="J24" s="21"/>
      <c r="K24" s="21"/>
      <c r="L24" s="21" t="s">
        <v>69</v>
      </c>
      <c r="M24" s="21"/>
      <c r="N24" s="21" t="s">
        <v>69</v>
      </c>
      <c r="O24" s="21"/>
      <c r="P24" s="21" t="s">
        <v>69</v>
      </c>
      <c r="Q24" s="21"/>
      <c r="R24" s="21"/>
      <c r="S24" s="21"/>
      <c r="T24" s="21" t="s">
        <v>69</v>
      </c>
      <c r="U24" s="21"/>
      <c r="V24" s="22"/>
      <c r="W24" s="23" t="str">
        <f t="shared" ref="W24:W35" si="4">IF(COUNTA(F24:U24)=0,"— não preenchido",IF(COUNTIF(F24:J24,"X")&lt;&gt;1,"FALTA/DUPLA: CONDIÇÃO DO PAVIMENTO",IF(COUNTIF(K24:L24,"X")&lt;&gt;1,"FALTA/DUPLA: VEGETAÇÃO",IF(COUNTIF(M24:O24,"X")&lt;&gt;1,"FALTA/DUPLA: ELEM. DE DRENAGEM",IF(COUNTIF(P24:R24,"X")&lt;&gt;1,"FALTA/DUPLA: SIN. HORIZ.",IF(COUNTIF(S24:U24,"X")&lt;&gt;1,"FALTA/DUPLA: SIN. VERTICAL","OK"))))))</f>
        <v>OK</v>
      </c>
    </row>
    <row r="25" spans="1:23" ht="20.100000000000001" customHeight="1" x14ac:dyDescent="0.25">
      <c r="A25" s="18" t="s">
        <v>308</v>
      </c>
      <c r="B25" s="19" t="s">
        <v>68</v>
      </c>
      <c r="C25" s="20">
        <v>1</v>
      </c>
      <c r="D25" s="20">
        <v>2</v>
      </c>
      <c r="E25" s="20">
        <f t="shared" si="3"/>
        <v>1</v>
      </c>
      <c r="F25" s="21" t="s">
        <v>69</v>
      </c>
      <c r="G25" s="21"/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 t="s">
        <v>69</v>
      </c>
      <c r="Q25" s="21"/>
      <c r="R25" s="21"/>
      <c r="S25" s="21"/>
      <c r="T25" s="21" t="s">
        <v>69</v>
      </c>
      <c r="U25" s="21"/>
      <c r="V25" s="22"/>
      <c r="W25" s="23" t="str">
        <f t="shared" si="4"/>
        <v>OK</v>
      </c>
    </row>
    <row r="26" spans="1:23" ht="20.100000000000001" customHeight="1" x14ac:dyDescent="0.25">
      <c r="A26" s="18" t="s">
        <v>308</v>
      </c>
      <c r="B26" s="19" t="s">
        <v>68</v>
      </c>
      <c r="C26" s="20">
        <v>2</v>
      </c>
      <c r="D26" s="20">
        <v>3</v>
      </c>
      <c r="E26" s="20">
        <f t="shared" si="3"/>
        <v>1</v>
      </c>
      <c r="F26" s="21" t="s">
        <v>69</v>
      </c>
      <c r="G26" s="21"/>
      <c r="H26" s="21"/>
      <c r="I26" s="21"/>
      <c r="J26" s="21"/>
      <c r="K26" s="21"/>
      <c r="L26" s="21" t="s">
        <v>69</v>
      </c>
      <c r="M26" s="21"/>
      <c r="N26" s="21" t="s">
        <v>69</v>
      </c>
      <c r="O26" s="21"/>
      <c r="P26" s="21" t="s">
        <v>69</v>
      </c>
      <c r="Q26" s="21"/>
      <c r="R26" s="21"/>
      <c r="S26" s="21"/>
      <c r="T26" s="21" t="s">
        <v>69</v>
      </c>
      <c r="U26" s="21"/>
      <c r="V26" s="22"/>
      <c r="W26" s="23" t="str">
        <f t="shared" si="4"/>
        <v>OK</v>
      </c>
    </row>
    <row r="27" spans="1:23" ht="20.100000000000001" customHeight="1" x14ac:dyDescent="0.25">
      <c r="A27" s="18" t="s">
        <v>308</v>
      </c>
      <c r="B27" s="19" t="s">
        <v>68</v>
      </c>
      <c r="C27" s="20">
        <v>3</v>
      </c>
      <c r="D27" s="20">
        <v>4</v>
      </c>
      <c r="E27" s="20">
        <f t="shared" si="3"/>
        <v>1</v>
      </c>
      <c r="F27" s="21" t="s">
        <v>69</v>
      </c>
      <c r="G27" s="21"/>
      <c r="H27" s="21"/>
      <c r="I27" s="21"/>
      <c r="J27" s="21"/>
      <c r="K27" s="21"/>
      <c r="L27" s="21" t="s">
        <v>69</v>
      </c>
      <c r="M27" s="21"/>
      <c r="N27" s="21" t="s">
        <v>69</v>
      </c>
      <c r="O27" s="21"/>
      <c r="P27" s="21" t="s">
        <v>69</v>
      </c>
      <c r="Q27" s="21"/>
      <c r="R27" s="21"/>
      <c r="S27" s="21"/>
      <c r="T27" s="21" t="s">
        <v>69</v>
      </c>
      <c r="U27" s="21"/>
      <c r="V27" s="22"/>
      <c r="W27" s="23" t="str">
        <f t="shared" si="4"/>
        <v>OK</v>
      </c>
    </row>
    <row r="28" spans="1:23" ht="20.100000000000001" customHeight="1" x14ac:dyDescent="0.25">
      <c r="A28" s="18" t="s">
        <v>308</v>
      </c>
      <c r="B28" s="19" t="s">
        <v>68</v>
      </c>
      <c r="C28" s="20">
        <v>4</v>
      </c>
      <c r="D28" s="20">
        <v>5</v>
      </c>
      <c r="E28" s="20">
        <f t="shared" si="3"/>
        <v>1</v>
      </c>
      <c r="F28" s="21" t="s">
        <v>69</v>
      </c>
      <c r="G28" s="21"/>
      <c r="H28" s="21"/>
      <c r="I28" s="21"/>
      <c r="J28" s="21"/>
      <c r="K28" s="21"/>
      <c r="L28" s="21" t="s">
        <v>69</v>
      </c>
      <c r="M28" s="21"/>
      <c r="N28" s="21" t="s">
        <v>69</v>
      </c>
      <c r="O28" s="21"/>
      <c r="P28" s="21" t="s">
        <v>69</v>
      </c>
      <c r="Q28" s="21"/>
      <c r="R28" s="21"/>
      <c r="S28" s="21"/>
      <c r="T28" s="21" t="s">
        <v>69</v>
      </c>
      <c r="U28" s="21"/>
      <c r="V28" s="22"/>
      <c r="W28" s="23" t="str">
        <f t="shared" si="4"/>
        <v>OK</v>
      </c>
    </row>
    <row r="29" spans="1:23" ht="20.100000000000001" customHeight="1" x14ac:dyDescent="0.25">
      <c r="A29" s="18" t="s">
        <v>308</v>
      </c>
      <c r="B29" s="19" t="s">
        <v>68</v>
      </c>
      <c r="C29" s="20">
        <v>5</v>
      </c>
      <c r="D29" s="20">
        <v>6</v>
      </c>
      <c r="E29" s="20">
        <f t="shared" si="3"/>
        <v>1</v>
      </c>
      <c r="F29" s="21" t="s">
        <v>69</v>
      </c>
      <c r="G29" s="21"/>
      <c r="H29" s="21"/>
      <c r="I29" s="21"/>
      <c r="J29" s="21"/>
      <c r="K29" s="21"/>
      <c r="L29" s="21" t="s">
        <v>69</v>
      </c>
      <c r="M29" s="21"/>
      <c r="N29" s="21" t="s">
        <v>69</v>
      </c>
      <c r="O29" s="21"/>
      <c r="P29" s="21" t="s">
        <v>69</v>
      </c>
      <c r="Q29" s="21"/>
      <c r="R29" s="21"/>
      <c r="S29" s="21"/>
      <c r="T29" s="21" t="s">
        <v>69</v>
      </c>
      <c r="U29" s="21"/>
      <c r="V29" s="22"/>
      <c r="W29" s="23" t="str">
        <f t="shared" si="4"/>
        <v>OK</v>
      </c>
    </row>
    <row r="30" spans="1:23" ht="20.100000000000001" customHeight="1" x14ac:dyDescent="0.25">
      <c r="A30" s="18" t="s">
        <v>308</v>
      </c>
      <c r="B30" s="19" t="s">
        <v>68</v>
      </c>
      <c r="C30" s="20">
        <v>6</v>
      </c>
      <c r="D30" s="20">
        <v>7</v>
      </c>
      <c r="E30" s="20">
        <f t="shared" si="3"/>
        <v>1</v>
      </c>
      <c r="F30" s="21"/>
      <c r="G30" s="21"/>
      <c r="H30" s="21"/>
      <c r="I30" s="21" t="s">
        <v>69</v>
      </c>
      <c r="J30" s="21"/>
      <c r="K30" s="21"/>
      <c r="L30" s="21" t="s">
        <v>69</v>
      </c>
      <c r="M30" s="21"/>
      <c r="N30" s="21" t="s">
        <v>69</v>
      </c>
      <c r="O30" s="21"/>
      <c r="P30" s="21" t="s">
        <v>69</v>
      </c>
      <c r="Q30" s="21"/>
      <c r="R30" s="21"/>
      <c r="S30" s="21"/>
      <c r="T30" s="21" t="s">
        <v>69</v>
      </c>
      <c r="U30" s="21"/>
      <c r="V30" s="22"/>
      <c r="W30" s="23" t="str">
        <f t="shared" si="4"/>
        <v>OK</v>
      </c>
    </row>
    <row r="31" spans="1:23" ht="20.100000000000001" customHeight="1" x14ac:dyDescent="0.25">
      <c r="A31" s="18" t="s">
        <v>308</v>
      </c>
      <c r="B31" s="19" t="s">
        <v>68</v>
      </c>
      <c r="C31" s="20">
        <v>7</v>
      </c>
      <c r="D31" s="20">
        <v>8</v>
      </c>
      <c r="E31" s="20">
        <f t="shared" si="3"/>
        <v>1</v>
      </c>
      <c r="F31" s="21"/>
      <c r="G31" s="21"/>
      <c r="H31" s="21"/>
      <c r="I31" s="21" t="s">
        <v>69</v>
      </c>
      <c r="J31" s="21"/>
      <c r="K31" s="21"/>
      <c r="L31" s="21" t="s">
        <v>69</v>
      </c>
      <c r="M31" s="21"/>
      <c r="N31" s="21" t="s">
        <v>69</v>
      </c>
      <c r="O31" s="21"/>
      <c r="P31" s="21" t="s">
        <v>69</v>
      </c>
      <c r="Q31" s="21"/>
      <c r="R31" s="21"/>
      <c r="S31" s="21"/>
      <c r="T31" s="21" t="s">
        <v>69</v>
      </c>
      <c r="U31" s="21"/>
      <c r="V31" s="22"/>
      <c r="W31" s="23" t="str">
        <f t="shared" si="4"/>
        <v>OK</v>
      </c>
    </row>
    <row r="32" spans="1:23" ht="20.100000000000001" customHeight="1" x14ac:dyDescent="0.25">
      <c r="A32" s="18" t="s">
        <v>308</v>
      </c>
      <c r="B32" s="19" t="s">
        <v>68</v>
      </c>
      <c r="C32" s="20">
        <v>8</v>
      </c>
      <c r="D32" s="20">
        <v>9</v>
      </c>
      <c r="E32" s="20">
        <f t="shared" si="3"/>
        <v>1</v>
      </c>
      <c r="F32" s="21"/>
      <c r="G32" s="21"/>
      <c r="H32" s="21"/>
      <c r="I32" s="21" t="s">
        <v>69</v>
      </c>
      <c r="J32" s="21"/>
      <c r="K32" s="21"/>
      <c r="L32" s="21" t="s">
        <v>69</v>
      </c>
      <c r="M32" s="21"/>
      <c r="N32" s="21" t="s">
        <v>69</v>
      </c>
      <c r="O32" s="21"/>
      <c r="P32" s="21" t="s">
        <v>69</v>
      </c>
      <c r="Q32" s="21"/>
      <c r="R32" s="21"/>
      <c r="S32" s="21"/>
      <c r="T32" s="21" t="s">
        <v>69</v>
      </c>
      <c r="U32" s="21"/>
      <c r="V32" s="22"/>
      <c r="W32" s="23" t="str">
        <f t="shared" si="4"/>
        <v>OK</v>
      </c>
    </row>
    <row r="33" spans="1:23" ht="20.100000000000001" customHeight="1" x14ac:dyDescent="0.25">
      <c r="A33" s="18" t="s">
        <v>308</v>
      </c>
      <c r="B33" s="19" t="s">
        <v>68</v>
      </c>
      <c r="C33" s="20">
        <v>9</v>
      </c>
      <c r="D33" s="20">
        <v>10</v>
      </c>
      <c r="E33" s="20">
        <f t="shared" si="3"/>
        <v>1</v>
      </c>
      <c r="F33" s="21" t="s">
        <v>69</v>
      </c>
      <c r="G33" s="21"/>
      <c r="H33" s="21"/>
      <c r="I33" s="21"/>
      <c r="J33" s="21"/>
      <c r="K33" s="21"/>
      <c r="L33" s="21" t="s">
        <v>69</v>
      </c>
      <c r="M33" s="21"/>
      <c r="N33" s="21" t="s">
        <v>69</v>
      </c>
      <c r="O33" s="21"/>
      <c r="P33" s="21" t="s">
        <v>69</v>
      </c>
      <c r="Q33" s="21"/>
      <c r="R33" s="21"/>
      <c r="S33" s="21"/>
      <c r="T33" s="21" t="s">
        <v>69</v>
      </c>
      <c r="U33" s="21"/>
      <c r="V33" s="22"/>
      <c r="W33" s="23" t="str">
        <f t="shared" si="4"/>
        <v>OK</v>
      </c>
    </row>
    <row r="34" spans="1:23" ht="20.100000000000001" customHeight="1" x14ac:dyDescent="0.25">
      <c r="A34" s="18" t="s">
        <v>308</v>
      </c>
      <c r="B34" s="19" t="s">
        <v>68</v>
      </c>
      <c r="C34" s="20">
        <v>10</v>
      </c>
      <c r="D34" s="20">
        <v>11</v>
      </c>
      <c r="E34" s="20">
        <f t="shared" si="3"/>
        <v>1</v>
      </c>
      <c r="F34" s="21" t="s">
        <v>69</v>
      </c>
      <c r="G34" s="21"/>
      <c r="H34" s="21"/>
      <c r="I34" s="21"/>
      <c r="J34" s="21"/>
      <c r="K34" s="21"/>
      <c r="L34" s="21" t="s">
        <v>69</v>
      </c>
      <c r="M34" s="21"/>
      <c r="N34" s="21" t="s">
        <v>69</v>
      </c>
      <c r="O34" s="21"/>
      <c r="P34" s="21" t="s">
        <v>69</v>
      </c>
      <c r="Q34" s="21"/>
      <c r="R34" s="21"/>
      <c r="S34" s="21"/>
      <c r="T34" s="21"/>
      <c r="U34" s="21" t="s">
        <v>69</v>
      </c>
      <c r="V34" s="22"/>
      <c r="W34" s="23" t="str">
        <f t="shared" si="4"/>
        <v>OK</v>
      </c>
    </row>
    <row r="35" spans="1:23" ht="20.100000000000001" customHeight="1" x14ac:dyDescent="0.25">
      <c r="A35" s="12" t="s">
        <v>308</v>
      </c>
      <c r="B35" s="13" t="s">
        <v>68</v>
      </c>
      <c r="C35" s="14">
        <v>11</v>
      </c>
      <c r="D35" s="14">
        <v>11.085450052100001</v>
      </c>
      <c r="E35" s="14">
        <f t="shared" si="3"/>
        <v>8.5450052100000562E-2</v>
      </c>
      <c r="F35" s="15" t="s">
        <v>69</v>
      </c>
      <c r="G35" s="15"/>
      <c r="H35" s="15"/>
      <c r="I35" s="15"/>
      <c r="J35" s="15"/>
      <c r="K35" s="15"/>
      <c r="L35" s="15" t="s">
        <v>69</v>
      </c>
      <c r="M35" s="15"/>
      <c r="N35" s="15" t="s">
        <v>69</v>
      </c>
      <c r="O35" s="15"/>
      <c r="P35" s="15" t="s">
        <v>69</v>
      </c>
      <c r="Q35" s="15"/>
      <c r="R35" s="15"/>
      <c r="S35" s="15"/>
      <c r="T35" s="15"/>
      <c r="U35" s="15" t="s">
        <v>69</v>
      </c>
      <c r="V35" s="16"/>
      <c r="W35" s="17" t="str">
        <f t="shared" si="4"/>
        <v>OK</v>
      </c>
    </row>
    <row r="37" spans="1:23" x14ac:dyDescent="0.25">
      <c r="A37" s="40" t="s">
        <v>78</v>
      </c>
      <c r="B37" s="28"/>
      <c r="C37" s="28"/>
      <c r="D37" s="28"/>
      <c r="E37" s="28"/>
      <c r="G37" s="40" t="s">
        <v>78</v>
      </c>
      <c r="H37" s="28"/>
      <c r="I37" s="28"/>
      <c r="J37" s="28"/>
      <c r="K37" s="28"/>
    </row>
    <row r="38" spans="1:23" x14ac:dyDescent="0.25">
      <c r="A38" s="44" t="s">
        <v>79</v>
      </c>
      <c r="B38" s="28"/>
      <c r="C38" s="28"/>
      <c r="D38" s="28"/>
      <c r="E38" s="28"/>
      <c r="G38" s="44" t="s">
        <v>80</v>
      </c>
      <c r="H38" s="28"/>
      <c r="I38" s="28"/>
      <c r="J38" s="28"/>
      <c r="K38" s="28"/>
    </row>
    <row r="40" spans="1:23" x14ac:dyDescent="0.25">
      <c r="A40" s="41" t="s">
        <v>81</v>
      </c>
      <c r="B40" s="28"/>
      <c r="C40" s="28"/>
      <c r="D40" s="28"/>
      <c r="E40" s="28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</row>
    <row r="41" spans="1:23" x14ac:dyDescent="0.25">
      <c r="A41" s="43" t="s">
        <v>82</v>
      </c>
      <c r="B41" s="28"/>
      <c r="C41" s="28"/>
      <c r="D41" s="28"/>
      <c r="E41" s="28"/>
      <c r="F41" s="9">
        <f t="shared" ref="F41:U41" si="5">SUMIF(F$9:F$35,"X",$E$9:$E$35)</f>
        <v>21.997735133300001</v>
      </c>
      <c r="G41" s="9">
        <f t="shared" si="5"/>
        <v>0</v>
      </c>
      <c r="H41" s="9">
        <f t="shared" si="5"/>
        <v>0</v>
      </c>
      <c r="I41" s="9">
        <f t="shared" si="5"/>
        <v>3</v>
      </c>
      <c r="J41" s="9">
        <f t="shared" si="5"/>
        <v>0</v>
      </c>
      <c r="K41" s="9">
        <f t="shared" si="5"/>
        <v>0</v>
      </c>
      <c r="L41" s="9">
        <f t="shared" si="5"/>
        <v>24.997735133300001</v>
      </c>
      <c r="M41" s="9">
        <f t="shared" si="5"/>
        <v>0</v>
      </c>
      <c r="N41" s="9">
        <f t="shared" si="5"/>
        <v>24.997735133300001</v>
      </c>
      <c r="O41" s="9">
        <f t="shared" si="5"/>
        <v>0</v>
      </c>
      <c r="P41" s="9">
        <f t="shared" si="5"/>
        <v>24.997735133300001</v>
      </c>
      <c r="Q41" s="9">
        <f t="shared" si="5"/>
        <v>0</v>
      </c>
      <c r="R41" s="9">
        <f t="shared" si="5"/>
        <v>0</v>
      </c>
      <c r="S41" s="9">
        <f t="shared" si="5"/>
        <v>0</v>
      </c>
      <c r="T41" s="9">
        <f t="shared" si="5"/>
        <v>23.9122850812</v>
      </c>
      <c r="U41" s="9">
        <f t="shared" si="5"/>
        <v>1.0854500521000006</v>
      </c>
    </row>
    <row r="42" spans="1:23" x14ac:dyDescent="0.25">
      <c r="A42" s="43" t="s">
        <v>83</v>
      </c>
      <c r="B42" s="28"/>
      <c r="C42" s="28"/>
      <c r="D42" s="28"/>
      <c r="E42" s="28"/>
      <c r="F42" s="25">
        <f t="shared" ref="F42:U42" si="6">IF($R44=0,0,F41/$R44)</f>
        <v>0.87998912765486348</v>
      </c>
      <c r="G42" s="25">
        <f t="shared" si="6"/>
        <v>0</v>
      </c>
      <c r="H42" s="25">
        <f t="shared" si="6"/>
        <v>0</v>
      </c>
      <c r="I42" s="25">
        <f t="shared" si="6"/>
        <v>0.12001087234513649</v>
      </c>
      <c r="J42" s="25">
        <f t="shared" si="6"/>
        <v>0</v>
      </c>
      <c r="K42" s="25">
        <f t="shared" si="6"/>
        <v>0</v>
      </c>
      <c r="L42" s="25">
        <f t="shared" si="6"/>
        <v>1</v>
      </c>
      <c r="M42" s="25">
        <f t="shared" si="6"/>
        <v>0</v>
      </c>
      <c r="N42" s="25">
        <f t="shared" si="6"/>
        <v>1</v>
      </c>
      <c r="O42" s="25">
        <f t="shared" si="6"/>
        <v>0</v>
      </c>
      <c r="P42" s="25">
        <f t="shared" si="6"/>
        <v>1</v>
      </c>
      <c r="Q42" s="25">
        <f t="shared" si="6"/>
        <v>0</v>
      </c>
      <c r="R42" s="25">
        <f t="shared" si="6"/>
        <v>0</v>
      </c>
      <c r="S42" s="25">
        <f t="shared" si="6"/>
        <v>0</v>
      </c>
      <c r="T42" s="25">
        <f t="shared" si="6"/>
        <v>0.95657806412013502</v>
      </c>
      <c r="U42" s="25">
        <f t="shared" si="6"/>
        <v>4.3421935879864974E-2</v>
      </c>
    </row>
    <row r="43" spans="1:23" x14ac:dyDescent="0.25">
      <c r="A43" s="43" t="s">
        <v>84</v>
      </c>
      <c r="B43" s="28"/>
      <c r="C43" s="28"/>
      <c r="D43" s="28"/>
      <c r="E43" s="28"/>
      <c r="F43" s="42" t="str">
        <f>IF(SUM(F41:J41)=0,"— não preenchido",IF(ROUND(SUM(F41:J41)-$R44,3)=0,"OK — "&amp;ROUND(SUM(F41:J41),3)&amp;" km","ERRO — dif. de "&amp;ROUND(SUM(F41:J41)-$R44,3)&amp;" km"))</f>
        <v>OK — 24,998 km</v>
      </c>
      <c r="G43" s="33"/>
      <c r="H43" s="33"/>
      <c r="I43" s="33"/>
      <c r="J43" s="34"/>
      <c r="K43" s="42" t="str">
        <f>IF(SUM(K41:L41)=0,"— não preenchido",IF(ROUND(SUM(K41:L41)-$R44,3)=0,"OK — "&amp;ROUND(SUM(K41:L41),3)&amp;" km","ERRO — dif. de "&amp;ROUND(SUM(K41:L41)-$R44,3)&amp;" km"))</f>
        <v>OK — 24,998 km</v>
      </c>
      <c r="L43" s="34"/>
      <c r="M43" s="42" t="str">
        <f>IF(SUM(M41:O41)=0,"— não preenchido",IF(ROUND(SUM(M41:O41)-$R44,3)=0,"OK — "&amp;ROUND(SUM(M41:O41),3)&amp;" km","ERRO — dif. de "&amp;ROUND(SUM(M41:O41)-$R44,3)&amp;" km"))</f>
        <v>OK — 24,998 km</v>
      </c>
      <c r="N43" s="33"/>
      <c r="O43" s="34"/>
      <c r="P43" s="42" t="str">
        <f>IF(SUM(P41:R41)=0,"— não preenchido",IF(ROUND(SUM(P41:R41)-$R44,3)=0,"OK — "&amp;ROUND(SUM(P41:R41),3)&amp;" km","ERRO — dif. de "&amp;ROUND(SUM(P41:R41)-$R44,3)&amp;" km"))</f>
        <v>OK — 24,998 km</v>
      </c>
      <c r="Q43" s="33"/>
      <c r="R43" s="34"/>
      <c r="S43" s="42" t="str">
        <f>IF(SUM(S41:U41)=0,"— não preenchido",IF(ROUND(SUM(S41:U41)-$R44,3)=0,"OK — "&amp;ROUND(SUM(S41:U41),3)&amp;" km","ERRO — dif. de "&amp;ROUND(SUM(S41:U41)-$R44,3)&amp;" km"))</f>
        <v>OK — 24,998 km</v>
      </c>
      <c r="T43" s="33"/>
      <c r="U43" s="34"/>
    </row>
    <row r="44" spans="1:23" x14ac:dyDescent="0.25">
      <c r="A44" s="43" t="s">
        <v>85</v>
      </c>
      <c r="B44" s="28"/>
      <c r="C44" s="28"/>
      <c r="D44" s="28"/>
      <c r="E44" s="28"/>
      <c r="R44" s="26">
        <f>SUM(E9:E35)</f>
        <v>24.997735133300001</v>
      </c>
      <c r="V44" s="8" t="str">
        <f>COUNTIF(W9:W35,"OK")&amp;" de "&amp;COUNT($E$9:$E$35)&amp;" linhas conferidas"</f>
        <v>26 de 26 linhas conferidas</v>
      </c>
    </row>
    <row r="46" spans="1:23" x14ac:dyDescent="0.25">
      <c r="A46" s="37" t="s">
        <v>86</v>
      </c>
      <c r="B46" s="28"/>
      <c r="C46" s="28"/>
      <c r="D46" s="28"/>
      <c r="E46" s="28"/>
    </row>
    <row r="47" spans="1:23" x14ac:dyDescent="0.25">
      <c r="A47" s="43" t="s">
        <v>87</v>
      </c>
      <c r="B47" s="28"/>
      <c r="C47" s="28"/>
      <c r="D47" s="28"/>
      <c r="E47" s="31" t="s">
        <v>88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3" x14ac:dyDescent="0.25">
      <c r="A48" s="43" t="s">
        <v>89</v>
      </c>
      <c r="B48" s="28"/>
      <c r="C48" s="28"/>
      <c r="D48" s="28"/>
      <c r="E48" s="31" t="s">
        <v>90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43" t="s">
        <v>91</v>
      </c>
      <c r="B49" s="28"/>
      <c r="C49" s="28"/>
      <c r="D49" s="28"/>
      <c r="E49" s="31" t="s">
        <v>92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43" t="s">
        <v>93</v>
      </c>
      <c r="B50" s="28"/>
      <c r="C50" s="28"/>
      <c r="D50" s="28"/>
      <c r="E50" s="31" t="s">
        <v>94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43" t="s">
        <v>95</v>
      </c>
      <c r="B51" s="28"/>
      <c r="C51" s="28"/>
      <c r="D51" s="28"/>
      <c r="E51" s="31" t="s">
        <v>96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43" t="s">
        <v>60</v>
      </c>
      <c r="B52" s="28"/>
      <c r="C52" s="28"/>
      <c r="D52" s="28"/>
      <c r="E52" s="31" t="s">
        <v>97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43" t="s">
        <v>98</v>
      </c>
      <c r="B53" s="28"/>
      <c r="C53" s="28"/>
      <c r="D53" s="28"/>
      <c r="E53" s="31" t="s">
        <v>99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43" t="s">
        <v>100</v>
      </c>
      <c r="B54" s="28"/>
      <c r="C54" s="28"/>
      <c r="D54" s="28"/>
      <c r="E54" s="31" t="s">
        <v>101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43" t="s">
        <v>11</v>
      </c>
      <c r="B55" s="28"/>
      <c r="C55" s="28"/>
      <c r="D55" s="28"/>
      <c r="E55" s="31" t="s">
        <v>102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</sheetData>
  <sheetProtection sheet="1" formatCells="0"/>
  <mergeCells count="58">
    <mergeCell ref="A50:D50"/>
    <mergeCell ref="E55:V55"/>
    <mergeCell ref="A55:D55"/>
    <mergeCell ref="R2:V2"/>
    <mergeCell ref="A3:S3"/>
    <mergeCell ref="E52:V52"/>
    <mergeCell ref="C6:C7"/>
    <mergeCell ref="E48:V48"/>
    <mergeCell ref="K6:L6"/>
    <mergeCell ref="D6:D7"/>
    <mergeCell ref="A40:E40"/>
    <mergeCell ref="P6:R6"/>
    <mergeCell ref="A51:D51"/>
    <mergeCell ref="K43:L43"/>
    <mergeCell ref="E54:V54"/>
    <mergeCell ref="A48:D48"/>
    <mergeCell ref="A1:V1"/>
    <mergeCell ref="A42:E42"/>
    <mergeCell ref="A54:D54"/>
    <mergeCell ref="T3:V3"/>
    <mergeCell ref="A44:E44"/>
    <mergeCell ref="M43:O43"/>
    <mergeCell ref="E53:V53"/>
    <mergeCell ref="E47:V47"/>
    <mergeCell ref="S43:U43"/>
    <mergeCell ref="E50:V50"/>
    <mergeCell ref="F43:J43"/>
    <mergeCell ref="A43:E43"/>
    <mergeCell ref="A38:E38"/>
    <mergeCell ref="E49:V49"/>
    <mergeCell ref="A49:D49"/>
    <mergeCell ref="N2:O2"/>
    <mergeCell ref="A46:E46"/>
    <mergeCell ref="P43:R43"/>
    <mergeCell ref="B6:B7"/>
    <mergeCell ref="G38:K38"/>
    <mergeCell ref="A41:E41"/>
    <mergeCell ref="S6:U6"/>
    <mergeCell ref="W6:W7"/>
    <mergeCell ref="A37:E37"/>
    <mergeCell ref="E6:E7"/>
    <mergeCell ref="G37:K37"/>
    <mergeCell ref="K2:M2"/>
    <mergeCell ref="P2:Q2"/>
    <mergeCell ref="E51:V51"/>
    <mergeCell ref="A53:D53"/>
    <mergeCell ref="G2:H2"/>
    <mergeCell ref="I2:J2"/>
    <mergeCell ref="A23:V23"/>
    <mergeCell ref="A8:V8"/>
    <mergeCell ref="A52:D52"/>
    <mergeCell ref="A6:A7"/>
    <mergeCell ref="F6:J6"/>
    <mergeCell ref="M6:O6"/>
    <mergeCell ref="V6:V7"/>
    <mergeCell ref="A4:V4"/>
    <mergeCell ref="A47:D47"/>
    <mergeCell ref="A2:F2"/>
  </mergeCells>
  <conditionalFormatting sqref="F9:J35">
    <cfRule type="expression" dxfId="26" priority="1">
      <formula>AND(F9&lt;&gt;"",COUNTIF($F9:$J9,"X")&gt;1)</formula>
    </cfRule>
  </conditionalFormatting>
  <conditionalFormatting sqref="F43:U43">
    <cfRule type="expression" dxfId="25" priority="8">
      <formula>LEFT(F43,4)="ERRO"</formula>
    </cfRule>
    <cfRule type="expression" dxfId="24" priority="9">
      <formula>LEFT(F43,2)="OK"</formula>
    </cfRule>
  </conditionalFormatting>
  <conditionalFormatting sqref="K9:L35">
    <cfRule type="expression" dxfId="23" priority="2">
      <formula>AND(K9&lt;&gt;"",COUNTIF($K9:$L9,"X")&gt;1)</formula>
    </cfRule>
  </conditionalFormatting>
  <conditionalFormatting sqref="M9:O35">
    <cfRule type="expression" dxfId="22" priority="3">
      <formula>AND(M9&lt;&gt;"",COUNTIF($M9:$O9,"X")&gt;1)</formula>
    </cfRule>
  </conditionalFormatting>
  <conditionalFormatting sqref="P9:R35">
    <cfRule type="expression" dxfId="21" priority="4">
      <formula>AND(P9&lt;&gt;"",COUNTIF($P9:$R9,"X")&gt;1)</formula>
    </cfRule>
  </conditionalFormatting>
  <conditionalFormatting sqref="S9:U35">
    <cfRule type="expression" dxfId="20" priority="5">
      <formula>AND(S9&lt;&gt;"",COUNTIF($S9:$U9,"X")&gt;1)</formula>
    </cfRule>
  </conditionalFormatting>
  <conditionalFormatting sqref="W9:W35">
    <cfRule type="expression" dxfId="19" priority="6">
      <formula>AND(W9&lt;&gt;"OK",W9&lt;&gt;"")</formula>
    </cfRule>
    <cfRule type="expression" dxfId="1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5" xr:uid="{00000000-0002-0000-1A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5" xr:uid="{00000000-0002-0000-1A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5" xr:uid="{00000000-0002-0000-1A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5" xr:uid="{00000000-0002-0000-1A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5" xr:uid="{00000000-0002-0000-1A00-000004000000}">
      <formula1>AND(UPPER(S9)="X",COUNTIF($S9:$U9,"X")&lt;=1)</formula1>
    </dataValidation>
    <dataValidation type="list" showErrorMessage="1" errorTitle="Sentido inválido" error="Use C (crescente) ou D (decrescente)." sqref="B9:B35" xr:uid="{00000000-0002-0000-1A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35</oddHeader>
    <oddFooter>&amp;L&amp;7 RTA / MSI — Programa de Manutenção Rodoviária&amp;C&amp;7 Página &amp;P de &amp;N&amp;R&amp;7 Impresso em &amp;D</oddFooter>
  </headerFooter>
  <rowBreaks count="1" manualBreakCount="1">
    <brk id="38" max="16383" man="1"/>
  </rowBreak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  <pageSetUpPr fitToPage="1"/>
  </sheetPr>
  <dimension ref="A1:AN36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IF(F22=0,NA(),F22)</f>
        <v>6.2442192621799997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6.2442192621799997</v>
      </c>
      <c r="AF2" s="2" t="e">
        <f t="shared" si="0"/>
        <v>#N/A</v>
      </c>
      <c r="AG2" s="2">
        <f t="shared" si="0"/>
        <v>6.2442192621799997</v>
      </c>
      <c r="AH2" s="2" t="e">
        <f t="shared" si="0"/>
        <v>#N/A</v>
      </c>
      <c r="AI2" s="2">
        <f t="shared" si="0"/>
        <v>6.2442192621799997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6.2442192621799997</v>
      </c>
      <c r="AN2" s="2" t="e">
        <f t="shared" si="0"/>
        <v>#N/A</v>
      </c>
    </row>
    <row r="3" spans="1:40" ht="15" customHeight="1" x14ac:dyDescent="0.25">
      <c r="A3" s="49" t="s">
        <v>309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310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311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312</v>
      </c>
      <c r="B9" s="19" t="s">
        <v>68</v>
      </c>
      <c r="C9" s="20">
        <v>0</v>
      </c>
      <c r="D9" s="20">
        <v>1</v>
      </c>
      <c r="E9" s="20">
        <f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/>
      <c r="T9" s="21" t="s">
        <v>69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312</v>
      </c>
      <c r="B10" s="19" t="s">
        <v>68</v>
      </c>
      <c r="C10" s="20">
        <v>1</v>
      </c>
      <c r="D10" s="20">
        <v>2</v>
      </c>
      <c r="E10" s="20">
        <f>D10-C10</f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/>
      <c r="T10" s="21" t="s">
        <v>69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312</v>
      </c>
      <c r="B11" s="13" t="s">
        <v>68</v>
      </c>
      <c r="C11" s="14">
        <v>2</v>
      </c>
      <c r="D11" s="14">
        <v>2.3264889275699998</v>
      </c>
      <c r="E11" s="14">
        <f>D11-C11</f>
        <v>0.32648892756999981</v>
      </c>
      <c r="F11" s="15" t="s">
        <v>69</v>
      </c>
      <c r="G11" s="15"/>
      <c r="H11" s="15"/>
      <c r="I11" s="15"/>
      <c r="J11" s="15"/>
      <c r="K11" s="15"/>
      <c r="L11" s="15" t="s">
        <v>69</v>
      </c>
      <c r="M11" s="15"/>
      <c r="N11" s="15" t="s">
        <v>69</v>
      </c>
      <c r="O11" s="15"/>
      <c r="P11" s="15" t="s">
        <v>69</v>
      </c>
      <c r="Q11" s="15"/>
      <c r="R11" s="15"/>
      <c r="S11" s="15"/>
      <c r="T11" s="15" t="s">
        <v>69</v>
      </c>
      <c r="U11" s="15"/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15.95" customHeight="1" x14ac:dyDescent="0.25">
      <c r="A12" s="35" t="s">
        <v>313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4"/>
      <c r="W12" s="4"/>
    </row>
    <row r="13" spans="1:40" ht="20.100000000000001" customHeight="1" x14ac:dyDescent="0.25">
      <c r="A13" s="18" t="s">
        <v>314</v>
      </c>
      <c r="B13" s="19" t="s">
        <v>68</v>
      </c>
      <c r="C13" s="20">
        <v>0</v>
      </c>
      <c r="D13" s="20">
        <v>1</v>
      </c>
      <c r="E13" s="20">
        <f>D13-C13</f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 t="s">
        <v>69</v>
      </c>
      <c r="Q13" s="21"/>
      <c r="R13" s="21"/>
      <c r="S13" s="21"/>
      <c r="T13" s="21" t="s">
        <v>69</v>
      </c>
      <c r="U13" s="21"/>
      <c r="V13" s="22"/>
      <c r="W13" s="23" t="str">
        <f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20.100000000000001" customHeight="1" x14ac:dyDescent="0.25">
      <c r="A14" s="18" t="s">
        <v>314</v>
      </c>
      <c r="B14" s="19" t="s">
        <v>68</v>
      </c>
      <c r="C14" s="20">
        <v>1</v>
      </c>
      <c r="D14" s="20">
        <v>2</v>
      </c>
      <c r="E14" s="20">
        <f>D14-C14</f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 t="s">
        <v>69</v>
      </c>
      <c r="Q14" s="21"/>
      <c r="R14" s="21"/>
      <c r="S14" s="21"/>
      <c r="T14" s="21" t="s">
        <v>69</v>
      </c>
      <c r="U14" s="21"/>
      <c r="V14" s="22"/>
      <c r="W14" s="23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8" t="s">
        <v>314</v>
      </c>
      <c r="B15" s="19" t="s">
        <v>68</v>
      </c>
      <c r="C15" s="20">
        <v>2</v>
      </c>
      <c r="D15" s="20">
        <v>3</v>
      </c>
      <c r="E15" s="20">
        <f>D15-C15</f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 t="s">
        <v>69</v>
      </c>
      <c r="Q15" s="21"/>
      <c r="R15" s="21"/>
      <c r="S15" s="21"/>
      <c r="T15" s="21" t="s">
        <v>69</v>
      </c>
      <c r="U15" s="21"/>
      <c r="V15" s="22"/>
      <c r="W15" s="23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2" t="s">
        <v>314</v>
      </c>
      <c r="B16" s="13" t="s">
        <v>68</v>
      </c>
      <c r="C16" s="14">
        <v>3</v>
      </c>
      <c r="D16" s="14">
        <v>3.9177303346099999</v>
      </c>
      <c r="E16" s="14">
        <f>D16-C16</f>
        <v>0.91773033460999986</v>
      </c>
      <c r="F16" s="15" t="s">
        <v>69</v>
      </c>
      <c r="G16" s="15"/>
      <c r="H16" s="15"/>
      <c r="I16" s="15"/>
      <c r="J16" s="15"/>
      <c r="K16" s="15"/>
      <c r="L16" s="15" t="s">
        <v>69</v>
      </c>
      <c r="M16" s="15"/>
      <c r="N16" s="15" t="s">
        <v>69</v>
      </c>
      <c r="O16" s="15"/>
      <c r="P16" s="15" t="s">
        <v>69</v>
      </c>
      <c r="Q16" s="15"/>
      <c r="R16" s="15"/>
      <c r="S16" s="15"/>
      <c r="T16" s="15" t="s">
        <v>69</v>
      </c>
      <c r="U16" s="15"/>
      <c r="V16" s="16"/>
      <c r="W16" s="17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8" spans="1:22" x14ac:dyDescent="0.25">
      <c r="A18" s="40" t="s">
        <v>78</v>
      </c>
      <c r="B18" s="28"/>
      <c r="C18" s="28"/>
      <c r="D18" s="28"/>
      <c r="E18" s="28"/>
      <c r="G18" s="40" t="s">
        <v>78</v>
      </c>
      <c r="H18" s="28"/>
      <c r="I18" s="28"/>
      <c r="J18" s="28"/>
      <c r="K18" s="28"/>
    </row>
    <row r="19" spans="1:22" x14ac:dyDescent="0.25">
      <c r="A19" s="44" t="s">
        <v>79</v>
      </c>
      <c r="B19" s="28"/>
      <c r="C19" s="28"/>
      <c r="D19" s="28"/>
      <c r="E19" s="28"/>
      <c r="G19" s="44" t="s">
        <v>80</v>
      </c>
      <c r="H19" s="28"/>
      <c r="I19" s="28"/>
      <c r="J19" s="28"/>
      <c r="K19" s="28"/>
    </row>
    <row r="21" spans="1:22" x14ac:dyDescent="0.25">
      <c r="A21" s="41" t="s">
        <v>81</v>
      </c>
      <c r="B21" s="28"/>
      <c r="C21" s="28"/>
      <c r="D21" s="28"/>
      <c r="E21" s="28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x14ac:dyDescent="0.25">
      <c r="A22" s="43" t="s">
        <v>82</v>
      </c>
      <c r="B22" s="28"/>
      <c r="C22" s="28"/>
      <c r="D22" s="28"/>
      <c r="E22" s="28"/>
      <c r="F22" s="9">
        <f t="shared" ref="F22:U22" si="1">SUMIF(F$9:F$16,"X",$E$9:$E$16)</f>
        <v>6.2442192621799997</v>
      </c>
      <c r="G22" s="9">
        <f t="shared" si="1"/>
        <v>0</v>
      </c>
      <c r="H22" s="9">
        <f t="shared" si="1"/>
        <v>0</v>
      </c>
      <c r="I22" s="9">
        <f t="shared" si="1"/>
        <v>0</v>
      </c>
      <c r="J22" s="9">
        <f t="shared" si="1"/>
        <v>0</v>
      </c>
      <c r="K22" s="9">
        <f t="shared" si="1"/>
        <v>0</v>
      </c>
      <c r="L22" s="9">
        <f t="shared" si="1"/>
        <v>6.2442192621799997</v>
      </c>
      <c r="M22" s="9">
        <f t="shared" si="1"/>
        <v>0</v>
      </c>
      <c r="N22" s="9">
        <f t="shared" si="1"/>
        <v>6.2442192621799997</v>
      </c>
      <c r="O22" s="9">
        <f t="shared" si="1"/>
        <v>0</v>
      </c>
      <c r="P22" s="9">
        <f t="shared" si="1"/>
        <v>6.2442192621799997</v>
      </c>
      <c r="Q22" s="9">
        <f t="shared" si="1"/>
        <v>0</v>
      </c>
      <c r="R22" s="9">
        <f t="shared" si="1"/>
        <v>0</v>
      </c>
      <c r="S22" s="9">
        <f t="shared" si="1"/>
        <v>0</v>
      </c>
      <c r="T22" s="9">
        <f t="shared" si="1"/>
        <v>6.2442192621799997</v>
      </c>
      <c r="U22" s="9">
        <f t="shared" si="1"/>
        <v>0</v>
      </c>
    </row>
    <row r="23" spans="1:22" x14ac:dyDescent="0.25">
      <c r="A23" s="43" t="s">
        <v>83</v>
      </c>
      <c r="B23" s="28"/>
      <c r="C23" s="28"/>
      <c r="D23" s="28"/>
      <c r="E23" s="28"/>
      <c r="F23" s="25">
        <f t="shared" ref="F23:U23" si="2">IF($R25=0,0,F22/$R25)</f>
        <v>1</v>
      </c>
      <c r="G23" s="25">
        <f t="shared" si="2"/>
        <v>0</v>
      </c>
      <c r="H23" s="25">
        <f t="shared" si="2"/>
        <v>0</v>
      </c>
      <c r="I23" s="25">
        <f t="shared" si="2"/>
        <v>0</v>
      </c>
      <c r="J23" s="25">
        <f t="shared" si="2"/>
        <v>0</v>
      </c>
      <c r="K23" s="25">
        <f t="shared" si="2"/>
        <v>0</v>
      </c>
      <c r="L23" s="25">
        <f t="shared" si="2"/>
        <v>1</v>
      </c>
      <c r="M23" s="25">
        <f t="shared" si="2"/>
        <v>0</v>
      </c>
      <c r="N23" s="25">
        <f t="shared" si="2"/>
        <v>1</v>
      </c>
      <c r="O23" s="25">
        <f t="shared" si="2"/>
        <v>0</v>
      </c>
      <c r="P23" s="25">
        <f t="shared" si="2"/>
        <v>1</v>
      </c>
      <c r="Q23" s="25">
        <f t="shared" si="2"/>
        <v>0</v>
      </c>
      <c r="R23" s="25">
        <f t="shared" si="2"/>
        <v>0</v>
      </c>
      <c r="S23" s="25">
        <f t="shared" si="2"/>
        <v>0</v>
      </c>
      <c r="T23" s="25">
        <f t="shared" si="2"/>
        <v>1</v>
      </c>
      <c r="U23" s="25">
        <f t="shared" si="2"/>
        <v>0</v>
      </c>
    </row>
    <row r="24" spans="1:22" x14ac:dyDescent="0.25">
      <c r="A24" s="43" t="s">
        <v>84</v>
      </c>
      <c r="B24" s="28"/>
      <c r="C24" s="28"/>
      <c r="D24" s="28"/>
      <c r="E24" s="28"/>
      <c r="F24" s="42" t="str">
        <f>IF(SUM(F22:J22)=0,"— não preenchido",IF(ROUND(SUM(F22:J22)-$R25,3)=0,"OK — "&amp;ROUND(SUM(F22:J22),3)&amp;" km","ERRO — dif. de "&amp;ROUND(SUM(F22:J22)-$R25,3)&amp;" km"))</f>
        <v>OK — 6,244 km</v>
      </c>
      <c r="G24" s="33"/>
      <c r="H24" s="33"/>
      <c r="I24" s="33"/>
      <c r="J24" s="34"/>
      <c r="K24" s="42" t="str">
        <f>IF(SUM(K22:L22)=0,"— não preenchido",IF(ROUND(SUM(K22:L22)-$R25,3)=0,"OK — "&amp;ROUND(SUM(K22:L22),3)&amp;" km","ERRO — dif. de "&amp;ROUND(SUM(K22:L22)-$R25,3)&amp;" km"))</f>
        <v>OK — 6,244 km</v>
      </c>
      <c r="L24" s="34"/>
      <c r="M24" s="42" t="str">
        <f>IF(SUM(M22:O22)=0,"— não preenchido",IF(ROUND(SUM(M22:O22)-$R25,3)=0,"OK — "&amp;ROUND(SUM(M22:O22),3)&amp;" km","ERRO — dif. de "&amp;ROUND(SUM(M22:O22)-$R25,3)&amp;" km"))</f>
        <v>OK — 6,244 km</v>
      </c>
      <c r="N24" s="33"/>
      <c r="O24" s="34"/>
      <c r="P24" s="42" t="str">
        <f>IF(SUM(P22:R22)=0,"— não preenchido",IF(ROUND(SUM(P22:R22)-$R25,3)=0,"OK — "&amp;ROUND(SUM(P22:R22),3)&amp;" km","ERRO — dif. de "&amp;ROUND(SUM(P22:R22)-$R25,3)&amp;" km"))</f>
        <v>OK — 6,244 km</v>
      </c>
      <c r="Q24" s="33"/>
      <c r="R24" s="34"/>
      <c r="S24" s="42" t="str">
        <f>IF(SUM(S22:U22)=0,"— não preenchido",IF(ROUND(SUM(S22:U22)-$R25,3)=0,"OK — "&amp;ROUND(SUM(S22:U22),3)&amp;" km","ERRO — dif. de "&amp;ROUND(SUM(S22:U22)-$R25,3)&amp;" km"))</f>
        <v>OK — 6,244 km</v>
      </c>
      <c r="T24" s="33"/>
      <c r="U24" s="34"/>
    </row>
    <row r="25" spans="1:22" x14ac:dyDescent="0.25">
      <c r="A25" s="43" t="s">
        <v>85</v>
      </c>
      <c r="B25" s="28"/>
      <c r="C25" s="28"/>
      <c r="D25" s="28"/>
      <c r="E25" s="28"/>
      <c r="R25" s="26">
        <f>SUM(E9:E16)</f>
        <v>6.2442192621799997</v>
      </c>
      <c r="V25" s="8" t="str">
        <f>COUNTIF(W9:W16,"OK")&amp;" de "&amp;COUNT($E$9:$E$16)&amp;" linhas conferidas"</f>
        <v>7 de 7 linhas conferidas</v>
      </c>
    </row>
    <row r="27" spans="1:22" x14ac:dyDescent="0.25">
      <c r="A27" s="37" t="s">
        <v>86</v>
      </c>
      <c r="B27" s="28"/>
      <c r="C27" s="28"/>
      <c r="D27" s="28"/>
      <c r="E27" s="28"/>
    </row>
    <row r="28" spans="1:22" x14ac:dyDescent="0.25">
      <c r="A28" s="43" t="s">
        <v>87</v>
      </c>
      <c r="B28" s="28"/>
      <c r="C28" s="28"/>
      <c r="D28" s="28"/>
      <c r="E28" s="31" t="s">
        <v>88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43" t="s">
        <v>89</v>
      </c>
      <c r="B29" s="28"/>
      <c r="C29" s="28"/>
      <c r="D29" s="28"/>
      <c r="E29" s="31" t="s">
        <v>90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43" t="s">
        <v>91</v>
      </c>
      <c r="B30" s="28"/>
      <c r="C30" s="28"/>
      <c r="D30" s="28"/>
      <c r="E30" s="31" t="s">
        <v>92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x14ac:dyDescent="0.25">
      <c r="A31" s="43" t="s">
        <v>93</v>
      </c>
      <c r="B31" s="28"/>
      <c r="C31" s="28"/>
      <c r="D31" s="28"/>
      <c r="E31" s="31" t="s">
        <v>94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x14ac:dyDescent="0.25">
      <c r="A32" s="43" t="s">
        <v>95</v>
      </c>
      <c r="B32" s="28"/>
      <c r="C32" s="28"/>
      <c r="D32" s="28"/>
      <c r="E32" s="31" t="s">
        <v>96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43" t="s">
        <v>60</v>
      </c>
      <c r="B33" s="28"/>
      <c r="C33" s="28"/>
      <c r="D33" s="28"/>
      <c r="E33" s="31" t="s">
        <v>97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43" t="s">
        <v>98</v>
      </c>
      <c r="B34" s="28"/>
      <c r="C34" s="28"/>
      <c r="D34" s="28"/>
      <c r="E34" s="31" t="s">
        <v>99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43" t="s">
        <v>100</v>
      </c>
      <c r="B35" s="28"/>
      <c r="C35" s="28"/>
      <c r="D35" s="28"/>
      <c r="E35" s="31" t="s">
        <v>101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43" t="s">
        <v>11</v>
      </c>
      <c r="B36" s="28"/>
      <c r="C36" s="28"/>
      <c r="D36" s="28"/>
      <c r="E36" s="31" t="s">
        <v>102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</sheetData>
  <sheetProtection sheet="1" formatCells="0"/>
  <mergeCells count="58">
    <mergeCell ref="A1:V1"/>
    <mergeCell ref="E32:V32"/>
    <mergeCell ref="T3:V3"/>
    <mergeCell ref="A23:E23"/>
    <mergeCell ref="A22:E22"/>
    <mergeCell ref="A19:E19"/>
    <mergeCell ref="R2:V2"/>
    <mergeCell ref="A3:S3"/>
    <mergeCell ref="C6:C7"/>
    <mergeCell ref="K6:L6"/>
    <mergeCell ref="D6:D7"/>
    <mergeCell ref="A12:V12"/>
    <mergeCell ref="P6:R6"/>
    <mergeCell ref="A2:F2"/>
    <mergeCell ref="S6:U6"/>
    <mergeCell ref="K2:M2"/>
    <mergeCell ref="W6:W7"/>
    <mergeCell ref="E36:V36"/>
    <mergeCell ref="G19:K19"/>
    <mergeCell ref="E6:E7"/>
    <mergeCell ref="B6:B7"/>
    <mergeCell ref="M24:O24"/>
    <mergeCell ref="A18:E18"/>
    <mergeCell ref="G18:K18"/>
    <mergeCell ref="A27:E27"/>
    <mergeCell ref="A36:D36"/>
    <mergeCell ref="A21:E21"/>
    <mergeCell ref="P24:R24"/>
    <mergeCell ref="E33:V33"/>
    <mergeCell ref="A33:D33"/>
    <mergeCell ref="E31:V31"/>
    <mergeCell ref="E34:V34"/>
    <mergeCell ref="A34:D34"/>
    <mergeCell ref="A25:E25"/>
    <mergeCell ref="N2:O2"/>
    <mergeCell ref="A30:D30"/>
    <mergeCell ref="P2:Q2"/>
    <mergeCell ref="E30:V30"/>
    <mergeCell ref="A31:D31"/>
    <mergeCell ref="A32:D32"/>
    <mergeCell ref="F24:J24"/>
    <mergeCell ref="S24:U24"/>
    <mergeCell ref="E35:V35"/>
    <mergeCell ref="A24:E24"/>
    <mergeCell ref="E29:V29"/>
    <mergeCell ref="G2:H2"/>
    <mergeCell ref="K24:L24"/>
    <mergeCell ref="A35:D35"/>
    <mergeCell ref="I2:J2"/>
    <mergeCell ref="A8:V8"/>
    <mergeCell ref="E28:V28"/>
    <mergeCell ref="A29:D29"/>
    <mergeCell ref="A6:A7"/>
    <mergeCell ref="F6:J6"/>
    <mergeCell ref="M6:O6"/>
    <mergeCell ref="A28:D28"/>
    <mergeCell ref="V6:V7"/>
    <mergeCell ref="A4:V4"/>
  </mergeCells>
  <conditionalFormatting sqref="F9:J16">
    <cfRule type="expression" dxfId="17" priority="1">
      <formula>AND(F9&lt;&gt;"",COUNTIF($F9:$J9,"X")&gt;1)</formula>
    </cfRule>
  </conditionalFormatting>
  <conditionalFormatting sqref="F24:U24">
    <cfRule type="expression" dxfId="16" priority="8">
      <formula>LEFT(F24,4)="ERRO"</formula>
    </cfRule>
    <cfRule type="expression" dxfId="15" priority="9">
      <formula>LEFT(F24,2)="OK"</formula>
    </cfRule>
  </conditionalFormatting>
  <conditionalFormatting sqref="K9:L16">
    <cfRule type="expression" dxfId="14" priority="2">
      <formula>AND(K9&lt;&gt;"",COUNTIF($K9:$L9,"X")&gt;1)</formula>
    </cfRule>
  </conditionalFormatting>
  <conditionalFormatting sqref="M9:O16">
    <cfRule type="expression" dxfId="13" priority="3">
      <formula>AND(M9&lt;&gt;"",COUNTIF($M9:$O9,"X")&gt;1)</formula>
    </cfRule>
  </conditionalFormatting>
  <conditionalFormatting sqref="P9:R16">
    <cfRule type="expression" dxfId="12" priority="4">
      <formula>AND(P9&lt;&gt;"",COUNTIF($P9:$R9,"X")&gt;1)</formula>
    </cfRule>
  </conditionalFormatting>
  <conditionalFormatting sqref="S9:U16">
    <cfRule type="expression" dxfId="11" priority="5">
      <formula>AND(S9&lt;&gt;"",COUNTIF($S9:$U9,"X")&gt;1)</formula>
    </cfRule>
  </conditionalFormatting>
  <conditionalFormatting sqref="W9:W16">
    <cfRule type="expression" dxfId="10" priority="6">
      <formula>AND(W9&lt;&gt;"OK",W9&lt;&gt;"")</formula>
    </cfRule>
    <cfRule type="expression" dxfId="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6" xr:uid="{00000000-0002-0000-1B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6" xr:uid="{00000000-0002-0000-1B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6" xr:uid="{00000000-0002-0000-1B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6" xr:uid="{00000000-0002-0000-1B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6" xr:uid="{00000000-0002-0000-1B00-000004000000}">
      <formula1>AND(UPPER(S9)="X",COUNTIF($S9:$U9,"X")&lt;=1)</formula1>
    </dataValidation>
    <dataValidation type="list" showErrorMessage="1" errorTitle="Sentido inválido" error="Use C (crescente) ou D (decrescente)." sqref="B9:B16" xr:uid="{00000000-0002-0000-1B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36</oddHeader>
    <oddFooter>&amp;L&amp;7 RTA / MSI — Programa de Manutenção Rodoviária&amp;C&amp;7 Página &amp;P de &amp;N&amp;R&amp;7 Impresso em &amp;D</oddFooter>
  </headerFooter>
  <rowBreaks count="1" manualBreakCount="1">
    <brk id="19" max="16383" man="1"/>
  </rowBreak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  <pageSetUpPr fitToPage="1"/>
  </sheetPr>
  <dimension ref="A1:AN38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6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2" t="s">
        <v>52</v>
      </c>
      <c r="B2" s="28"/>
      <c r="C2" s="28"/>
      <c r="D2" s="28"/>
      <c r="E2" s="28"/>
      <c r="F2" s="28"/>
      <c r="G2" s="36" t="s">
        <v>53</v>
      </c>
      <c r="H2" s="28"/>
      <c r="I2" s="45">
        <f>IF('1'!I2="","",'1'!I2)</f>
        <v>46266</v>
      </c>
      <c r="J2" s="39"/>
      <c r="K2" s="36" t="s">
        <v>54</v>
      </c>
      <c r="L2" s="28"/>
      <c r="M2" s="28"/>
      <c r="N2" s="38" t="str">
        <f>IF('1'!N2="","",'1'!N2)</f>
        <v/>
      </c>
      <c r="O2" s="39"/>
      <c r="P2" s="36" t="s">
        <v>55</v>
      </c>
      <c r="Q2" s="28"/>
      <c r="R2" s="47" t="s">
        <v>324</v>
      </c>
      <c r="S2" s="48"/>
      <c r="T2" s="48"/>
      <c r="U2" s="48"/>
      <c r="V2" s="39"/>
      <c r="Y2" s="2">
        <f t="shared" ref="Y2:AN2" si="0">IF(F24=0,NA(),F24)</f>
        <v>1</v>
      </c>
      <c r="Z2" s="2">
        <f t="shared" si="0"/>
        <v>7.0232805681299997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8.0232805681299997</v>
      </c>
      <c r="AF2" s="2" t="e">
        <f t="shared" si="0"/>
        <v>#N/A</v>
      </c>
      <c r="AG2" s="2">
        <f t="shared" si="0"/>
        <v>8.0232805681299997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8.0232805681299997</v>
      </c>
      <c r="AL2" s="2" t="e">
        <f t="shared" si="0"/>
        <v>#N/A</v>
      </c>
      <c r="AM2" s="2" t="e">
        <f t="shared" si="0"/>
        <v>#N/A</v>
      </c>
      <c r="AN2" s="2">
        <f t="shared" si="0"/>
        <v>8.0232805681299997</v>
      </c>
    </row>
    <row r="3" spans="1:40" ht="15" customHeight="1" x14ac:dyDescent="0.25">
      <c r="A3" s="49" t="s">
        <v>315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316</v>
      </c>
      <c r="U3" s="28"/>
      <c r="V3" s="28"/>
    </row>
    <row r="4" spans="1:40" ht="20.100000000000001" customHeight="1" x14ac:dyDescent="0.25">
      <c r="A4" s="27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</v>
      </c>
      <c r="G6" s="33"/>
      <c r="H6" s="33"/>
      <c r="I6" s="33"/>
      <c r="J6" s="34"/>
      <c r="K6" s="29" t="s">
        <v>7</v>
      </c>
      <c r="L6" s="34"/>
      <c r="M6" s="29" t="s">
        <v>8</v>
      </c>
      <c r="N6" s="33"/>
      <c r="O6" s="34"/>
      <c r="P6" s="29" t="s">
        <v>9</v>
      </c>
      <c r="Q6" s="33"/>
      <c r="R6" s="34"/>
      <c r="S6" s="29" t="s">
        <v>10</v>
      </c>
      <c r="T6" s="33"/>
      <c r="U6" s="34"/>
      <c r="V6" s="29" t="s">
        <v>64</v>
      </c>
      <c r="W6" s="29" t="s">
        <v>65</v>
      </c>
    </row>
    <row r="7" spans="1:40" ht="20.100000000000001" customHeight="1" x14ac:dyDescent="0.25">
      <c r="A7" s="30"/>
      <c r="B7" s="30"/>
      <c r="C7" s="30"/>
      <c r="D7" s="30"/>
      <c r="E7" s="30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30"/>
      <c r="W7" s="30"/>
    </row>
    <row r="8" spans="1:40" ht="15.95" customHeight="1" x14ac:dyDescent="0.25">
      <c r="A8" s="35" t="s">
        <v>317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8" t="s">
        <v>318</v>
      </c>
      <c r="B9" s="19" t="s">
        <v>68</v>
      </c>
      <c r="C9" s="20">
        <v>0</v>
      </c>
      <c r="D9" s="20">
        <v>1</v>
      </c>
      <c r="E9" s="20">
        <f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/>
      <c r="Q9" s="21"/>
      <c r="R9" s="21" t="s">
        <v>69</v>
      </c>
      <c r="S9" s="21"/>
      <c r="T9" s="21"/>
      <c r="U9" s="21" t="s">
        <v>69</v>
      </c>
      <c r="V9" s="22" t="s">
        <v>328</v>
      </c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318</v>
      </c>
      <c r="B10" s="19" t="s">
        <v>68</v>
      </c>
      <c r="C10" s="20">
        <v>1</v>
      </c>
      <c r="D10" s="20">
        <v>2</v>
      </c>
      <c r="E10" s="20">
        <f>D10-C10</f>
        <v>1</v>
      </c>
      <c r="F10" s="21"/>
      <c r="G10" s="21" t="s">
        <v>69</v>
      </c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/>
      <c r="Q10" s="21"/>
      <c r="R10" s="21" t="s">
        <v>69</v>
      </c>
      <c r="S10" s="21"/>
      <c r="T10" s="21"/>
      <c r="U10" s="21" t="s">
        <v>69</v>
      </c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8" t="s">
        <v>318</v>
      </c>
      <c r="B11" s="19" t="s">
        <v>68</v>
      </c>
      <c r="C11" s="20">
        <v>2</v>
      </c>
      <c r="D11" s="20">
        <v>3</v>
      </c>
      <c r="E11" s="20">
        <f>D11-C11</f>
        <v>1</v>
      </c>
      <c r="F11" s="21"/>
      <c r="G11" s="21" t="s">
        <v>69</v>
      </c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/>
      <c r="Q11" s="21"/>
      <c r="R11" s="21" t="s">
        <v>69</v>
      </c>
      <c r="S11" s="21"/>
      <c r="T11" s="21"/>
      <c r="U11" s="21" t="s">
        <v>69</v>
      </c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2" t="s">
        <v>318</v>
      </c>
      <c r="B12" s="13" t="s">
        <v>68</v>
      </c>
      <c r="C12" s="14">
        <v>3</v>
      </c>
      <c r="D12" s="14">
        <v>3.7562933373199998</v>
      </c>
      <c r="E12" s="14">
        <f>D12-C12</f>
        <v>0.75629333731999981</v>
      </c>
      <c r="F12" s="15"/>
      <c r="G12" s="15" t="s">
        <v>69</v>
      </c>
      <c r="H12" s="15"/>
      <c r="I12" s="15"/>
      <c r="J12" s="15"/>
      <c r="K12" s="15"/>
      <c r="L12" s="15" t="s">
        <v>69</v>
      </c>
      <c r="M12" s="15"/>
      <c r="N12" s="15" t="s">
        <v>69</v>
      </c>
      <c r="O12" s="15"/>
      <c r="P12" s="15"/>
      <c r="Q12" s="15"/>
      <c r="R12" s="15" t="s">
        <v>69</v>
      </c>
      <c r="S12" s="15"/>
      <c r="T12" s="15"/>
      <c r="U12" s="15" t="s">
        <v>69</v>
      </c>
      <c r="V12" s="16"/>
      <c r="W12" s="17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35" t="s">
        <v>319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4"/>
      <c r="W13" s="4"/>
    </row>
    <row r="14" spans="1:40" ht="20.100000000000001" customHeight="1" x14ac:dyDescent="0.25">
      <c r="A14" s="18" t="s">
        <v>320</v>
      </c>
      <c r="B14" s="19" t="s">
        <v>68</v>
      </c>
      <c r="C14" s="20">
        <v>0</v>
      </c>
      <c r="D14" s="20">
        <v>1</v>
      </c>
      <c r="E14" s="20">
        <f>D14-C14</f>
        <v>1</v>
      </c>
      <c r="F14" s="21"/>
      <c r="G14" s="21" t="s">
        <v>69</v>
      </c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/>
      <c r="Q14" s="21"/>
      <c r="R14" s="21" t="s">
        <v>69</v>
      </c>
      <c r="S14" s="21"/>
      <c r="T14" s="21"/>
      <c r="U14" s="21" t="s">
        <v>69</v>
      </c>
      <c r="V14" s="22"/>
      <c r="W14" s="23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8" t="s">
        <v>320</v>
      </c>
      <c r="B15" s="19" t="s">
        <v>68</v>
      </c>
      <c r="C15" s="20">
        <v>1</v>
      </c>
      <c r="D15" s="20">
        <v>2</v>
      </c>
      <c r="E15" s="20">
        <f>D15-C15</f>
        <v>1</v>
      </c>
      <c r="F15" s="21"/>
      <c r="G15" s="21" t="s">
        <v>69</v>
      </c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/>
      <c r="Q15" s="21"/>
      <c r="R15" s="21" t="s">
        <v>69</v>
      </c>
      <c r="S15" s="21"/>
      <c r="T15" s="21"/>
      <c r="U15" s="21" t="s">
        <v>69</v>
      </c>
      <c r="V15" s="22"/>
      <c r="W15" s="23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8" t="s">
        <v>320</v>
      </c>
      <c r="B16" s="19" t="s">
        <v>68</v>
      </c>
      <c r="C16" s="20">
        <v>2</v>
      </c>
      <c r="D16" s="20">
        <v>3</v>
      </c>
      <c r="E16" s="20">
        <f>D16-C16</f>
        <v>1</v>
      </c>
      <c r="F16" s="21"/>
      <c r="G16" s="21" t="s">
        <v>69</v>
      </c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/>
      <c r="Q16" s="21"/>
      <c r="R16" s="21" t="s">
        <v>69</v>
      </c>
      <c r="S16" s="21"/>
      <c r="T16" s="21"/>
      <c r="U16" s="21" t="s">
        <v>69</v>
      </c>
      <c r="V16" s="22"/>
      <c r="W16" s="23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20.100000000000001" customHeight="1" x14ac:dyDescent="0.25">
      <c r="A17" s="18" t="s">
        <v>320</v>
      </c>
      <c r="B17" s="19" t="s">
        <v>68</v>
      </c>
      <c r="C17" s="20">
        <v>3</v>
      </c>
      <c r="D17" s="20">
        <v>4</v>
      </c>
      <c r="E17" s="20">
        <f>D17-C17</f>
        <v>1</v>
      </c>
      <c r="F17" s="21"/>
      <c r="G17" s="21" t="s">
        <v>69</v>
      </c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/>
      <c r="Q17" s="21"/>
      <c r="R17" s="21" t="s">
        <v>69</v>
      </c>
      <c r="S17" s="21"/>
      <c r="T17" s="21"/>
      <c r="U17" s="21" t="s">
        <v>69</v>
      </c>
      <c r="V17" s="22"/>
      <c r="W17" s="23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2" t="s">
        <v>320</v>
      </c>
      <c r="B18" s="13" t="s">
        <v>68</v>
      </c>
      <c r="C18" s="14">
        <v>4</v>
      </c>
      <c r="D18" s="14">
        <v>4.2669872308099999</v>
      </c>
      <c r="E18" s="14">
        <f>D18-C18</f>
        <v>0.26698723080999986</v>
      </c>
      <c r="F18" s="15"/>
      <c r="G18" s="15" t="s">
        <v>69</v>
      </c>
      <c r="H18" s="15"/>
      <c r="I18" s="15"/>
      <c r="J18" s="15"/>
      <c r="K18" s="15"/>
      <c r="L18" s="15" t="s">
        <v>69</v>
      </c>
      <c r="M18" s="15"/>
      <c r="N18" s="15" t="s">
        <v>69</v>
      </c>
      <c r="O18" s="15"/>
      <c r="P18" s="15"/>
      <c r="Q18" s="15"/>
      <c r="R18" s="15" t="s">
        <v>69</v>
      </c>
      <c r="S18" s="15"/>
      <c r="T18" s="15"/>
      <c r="U18" s="15" t="s">
        <v>69</v>
      </c>
      <c r="V18" s="16"/>
      <c r="W18" s="17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20" spans="1:23" x14ac:dyDescent="0.25">
      <c r="A20" s="40" t="s">
        <v>78</v>
      </c>
      <c r="B20" s="28"/>
      <c r="C20" s="28"/>
      <c r="D20" s="28"/>
      <c r="E20" s="28"/>
      <c r="G20" s="40" t="s">
        <v>78</v>
      </c>
      <c r="H20" s="28"/>
      <c r="I20" s="28"/>
      <c r="J20" s="28"/>
      <c r="K20" s="28"/>
    </row>
    <row r="21" spans="1:23" x14ac:dyDescent="0.25">
      <c r="A21" s="44" t="s">
        <v>79</v>
      </c>
      <c r="B21" s="28"/>
      <c r="C21" s="28"/>
      <c r="D21" s="28"/>
      <c r="E21" s="28"/>
      <c r="G21" s="44" t="s">
        <v>80</v>
      </c>
      <c r="H21" s="28"/>
      <c r="I21" s="28"/>
      <c r="J21" s="28"/>
      <c r="K21" s="28"/>
    </row>
    <row r="23" spans="1:23" x14ac:dyDescent="0.25">
      <c r="A23" s="41" t="s">
        <v>81</v>
      </c>
      <c r="B23" s="28"/>
      <c r="C23" s="28"/>
      <c r="D23" s="28"/>
      <c r="E23" s="28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spans="1:23" x14ac:dyDescent="0.25">
      <c r="A24" s="43" t="s">
        <v>82</v>
      </c>
      <c r="B24" s="28"/>
      <c r="C24" s="28"/>
      <c r="D24" s="28"/>
      <c r="E24" s="28"/>
      <c r="F24" s="9">
        <f t="shared" ref="F24:U24" si="1">SUMIF(F$9:F$18,"X",$E$9:$E$18)</f>
        <v>1</v>
      </c>
      <c r="G24" s="9">
        <f t="shared" si="1"/>
        <v>7.0232805681299997</v>
      </c>
      <c r="H24" s="9">
        <f t="shared" si="1"/>
        <v>0</v>
      </c>
      <c r="I24" s="9">
        <f t="shared" si="1"/>
        <v>0</v>
      </c>
      <c r="J24" s="9">
        <f t="shared" si="1"/>
        <v>0</v>
      </c>
      <c r="K24" s="9">
        <f t="shared" si="1"/>
        <v>0</v>
      </c>
      <c r="L24" s="9">
        <f t="shared" si="1"/>
        <v>8.0232805681299997</v>
      </c>
      <c r="M24" s="9">
        <f t="shared" si="1"/>
        <v>0</v>
      </c>
      <c r="N24" s="9">
        <f t="shared" si="1"/>
        <v>8.0232805681299997</v>
      </c>
      <c r="O24" s="9">
        <f t="shared" si="1"/>
        <v>0</v>
      </c>
      <c r="P24" s="9">
        <f t="shared" si="1"/>
        <v>0</v>
      </c>
      <c r="Q24" s="9">
        <f t="shared" si="1"/>
        <v>0</v>
      </c>
      <c r="R24" s="9">
        <f t="shared" si="1"/>
        <v>8.0232805681299997</v>
      </c>
      <c r="S24" s="9">
        <f t="shared" si="1"/>
        <v>0</v>
      </c>
      <c r="T24" s="9">
        <f t="shared" si="1"/>
        <v>0</v>
      </c>
      <c r="U24" s="9">
        <f t="shared" si="1"/>
        <v>8.0232805681299997</v>
      </c>
    </row>
    <row r="25" spans="1:23" x14ac:dyDescent="0.25">
      <c r="A25" s="43" t="s">
        <v>83</v>
      </c>
      <c r="B25" s="28"/>
      <c r="C25" s="28"/>
      <c r="D25" s="28"/>
      <c r="E25" s="28"/>
      <c r="F25" s="25">
        <f t="shared" ref="F25:U25" si="2">IF($R27=0,0,F24/$R27)</f>
        <v>0.12463729661557527</v>
      </c>
      <c r="G25" s="25">
        <f t="shared" si="2"/>
        <v>0.87536270338442479</v>
      </c>
      <c r="H25" s="25">
        <f t="shared" si="2"/>
        <v>0</v>
      </c>
      <c r="I25" s="25">
        <f t="shared" si="2"/>
        <v>0</v>
      </c>
      <c r="J25" s="25">
        <f t="shared" si="2"/>
        <v>0</v>
      </c>
      <c r="K25" s="25">
        <f t="shared" si="2"/>
        <v>0</v>
      </c>
      <c r="L25" s="25">
        <f t="shared" si="2"/>
        <v>1</v>
      </c>
      <c r="M25" s="25">
        <f t="shared" si="2"/>
        <v>0</v>
      </c>
      <c r="N25" s="25">
        <f t="shared" si="2"/>
        <v>1</v>
      </c>
      <c r="O25" s="25">
        <f t="shared" si="2"/>
        <v>0</v>
      </c>
      <c r="P25" s="25">
        <f t="shared" si="2"/>
        <v>0</v>
      </c>
      <c r="Q25" s="25">
        <f t="shared" si="2"/>
        <v>0</v>
      </c>
      <c r="R25" s="25">
        <f t="shared" si="2"/>
        <v>1</v>
      </c>
      <c r="S25" s="25">
        <f t="shared" si="2"/>
        <v>0</v>
      </c>
      <c r="T25" s="25">
        <f t="shared" si="2"/>
        <v>0</v>
      </c>
      <c r="U25" s="25">
        <f t="shared" si="2"/>
        <v>1</v>
      </c>
    </row>
    <row r="26" spans="1:23" x14ac:dyDescent="0.25">
      <c r="A26" s="43" t="s">
        <v>84</v>
      </c>
      <c r="B26" s="28"/>
      <c r="C26" s="28"/>
      <c r="D26" s="28"/>
      <c r="E26" s="28"/>
      <c r="F26" s="42" t="str">
        <f>IF(SUM(F24:J24)=0,"— não preenchido",IF(ROUND(SUM(F24:J24)-$R27,3)=0,"OK — "&amp;ROUND(SUM(F24:J24),3)&amp;" km","ERRO — dif. de "&amp;ROUND(SUM(F24:J24)-$R27,3)&amp;" km"))</f>
        <v>OK — 8,023 km</v>
      </c>
      <c r="G26" s="33"/>
      <c r="H26" s="33"/>
      <c r="I26" s="33"/>
      <c r="J26" s="34"/>
      <c r="K26" s="42" t="str">
        <f>IF(SUM(K24:L24)=0,"— não preenchido",IF(ROUND(SUM(K24:L24)-$R27,3)=0,"OK — "&amp;ROUND(SUM(K24:L24),3)&amp;" km","ERRO — dif. de "&amp;ROUND(SUM(K24:L24)-$R27,3)&amp;" km"))</f>
        <v>OK — 8,023 km</v>
      </c>
      <c r="L26" s="34"/>
      <c r="M26" s="42" t="str">
        <f>IF(SUM(M24:O24)=0,"— não preenchido",IF(ROUND(SUM(M24:O24)-$R27,3)=0,"OK — "&amp;ROUND(SUM(M24:O24),3)&amp;" km","ERRO — dif. de "&amp;ROUND(SUM(M24:O24)-$R27,3)&amp;" km"))</f>
        <v>OK — 8,023 km</v>
      </c>
      <c r="N26" s="33"/>
      <c r="O26" s="34"/>
      <c r="P26" s="42" t="str">
        <f>IF(SUM(P24:R24)=0,"— não preenchido",IF(ROUND(SUM(P24:R24)-$R27,3)=0,"OK — "&amp;ROUND(SUM(P24:R24),3)&amp;" km","ERRO — dif. de "&amp;ROUND(SUM(P24:R24)-$R27,3)&amp;" km"))</f>
        <v>OK — 8,023 km</v>
      </c>
      <c r="Q26" s="33"/>
      <c r="R26" s="34"/>
      <c r="S26" s="42" t="str">
        <f>IF(SUM(S24:U24)=0,"— não preenchido",IF(ROUND(SUM(S24:U24)-$R27,3)=0,"OK — "&amp;ROUND(SUM(S24:U24),3)&amp;" km","ERRO — dif. de "&amp;ROUND(SUM(S24:U24)-$R27,3)&amp;" km"))</f>
        <v>OK — 8,023 km</v>
      </c>
      <c r="T26" s="33"/>
      <c r="U26" s="34"/>
    </row>
    <row r="27" spans="1:23" x14ac:dyDescent="0.25">
      <c r="A27" s="43" t="s">
        <v>85</v>
      </c>
      <c r="B27" s="28"/>
      <c r="C27" s="28"/>
      <c r="D27" s="28"/>
      <c r="E27" s="28"/>
      <c r="R27" s="26">
        <f>SUM(E9:E18)</f>
        <v>8.0232805681299997</v>
      </c>
      <c r="V27" s="8" t="str">
        <f>COUNTIF(W9:W18,"OK")&amp;" de "&amp;COUNT($E$9:$E$18)&amp;" linhas conferidas"</f>
        <v>9 de 9 linhas conferidas</v>
      </c>
    </row>
    <row r="29" spans="1:23" x14ac:dyDescent="0.25">
      <c r="A29" s="37" t="s">
        <v>86</v>
      </c>
      <c r="B29" s="28"/>
      <c r="C29" s="28"/>
      <c r="D29" s="28"/>
      <c r="E29" s="28"/>
    </row>
    <row r="30" spans="1:23" x14ac:dyDescent="0.25">
      <c r="A30" s="43" t="s">
        <v>87</v>
      </c>
      <c r="B30" s="28"/>
      <c r="C30" s="28"/>
      <c r="D30" s="28"/>
      <c r="E30" s="31" t="s">
        <v>88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3" x14ac:dyDescent="0.25">
      <c r="A31" s="43" t="s">
        <v>89</v>
      </c>
      <c r="B31" s="28"/>
      <c r="C31" s="28"/>
      <c r="D31" s="28"/>
      <c r="E31" s="31" t="s">
        <v>90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3" x14ac:dyDescent="0.25">
      <c r="A32" s="43" t="s">
        <v>91</v>
      </c>
      <c r="B32" s="28"/>
      <c r="C32" s="28"/>
      <c r="D32" s="28"/>
      <c r="E32" s="31" t="s">
        <v>92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43" t="s">
        <v>93</v>
      </c>
      <c r="B33" s="28"/>
      <c r="C33" s="28"/>
      <c r="D33" s="28"/>
      <c r="E33" s="31" t="s">
        <v>94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43" t="s">
        <v>95</v>
      </c>
      <c r="B34" s="28"/>
      <c r="C34" s="28"/>
      <c r="D34" s="28"/>
      <c r="E34" s="31" t="s">
        <v>96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43" t="s">
        <v>60</v>
      </c>
      <c r="B35" s="28"/>
      <c r="C35" s="28"/>
      <c r="D35" s="28"/>
      <c r="E35" s="31" t="s">
        <v>97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43" t="s">
        <v>98</v>
      </c>
      <c r="B36" s="28"/>
      <c r="C36" s="28"/>
      <c r="D36" s="28"/>
      <c r="E36" s="31" t="s">
        <v>99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43" t="s">
        <v>100</v>
      </c>
      <c r="B37" s="28"/>
      <c r="C37" s="28"/>
      <c r="D37" s="28"/>
      <c r="E37" s="31" t="s">
        <v>101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43" t="s">
        <v>11</v>
      </c>
      <c r="B38" s="28"/>
      <c r="C38" s="28"/>
      <c r="D38" s="28"/>
      <c r="E38" s="31" t="s">
        <v>102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</sheetData>
  <sheetProtection sheet="1" formatCells="0"/>
  <mergeCells count="58">
    <mergeCell ref="E37:V37"/>
    <mergeCell ref="P26:R26"/>
    <mergeCell ref="A37:D37"/>
    <mergeCell ref="A29:E29"/>
    <mergeCell ref="A20:E20"/>
    <mergeCell ref="G20:K20"/>
    <mergeCell ref="E33:V33"/>
    <mergeCell ref="A33:D33"/>
    <mergeCell ref="A34:D34"/>
    <mergeCell ref="K26:L26"/>
    <mergeCell ref="A1:V1"/>
    <mergeCell ref="E32:V32"/>
    <mergeCell ref="S26:U26"/>
    <mergeCell ref="T3:V3"/>
    <mergeCell ref="A23:E23"/>
    <mergeCell ref="R2:V2"/>
    <mergeCell ref="A3:S3"/>
    <mergeCell ref="C6:C7"/>
    <mergeCell ref="K6:L6"/>
    <mergeCell ref="D6:D7"/>
    <mergeCell ref="P6:R6"/>
    <mergeCell ref="A2:F2"/>
    <mergeCell ref="K2:M2"/>
    <mergeCell ref="A25:E25"/>
    <mergeCell ref="N2:O2"/>
    <mergeCell ref="A30:D30"/>
    <mergeCell ref="W6:W7"/>
    <mergeCell ref="E36:V36"/>
    <mergeCell ref="E6:E7"/>
    <mergeCell ref="M26:O26"/>
    <mergeCell ref="B6:B7"/>
    <mergeCell ref="F26:J26"/>
    <mergeCell ref="A27:E27"/>
    <mergeCell ref="A36:D36"/>
    <mergeCell ref="A21:E21"/>
    <mergeCell ref="A26:E26"/>
    <mergeCell ref="E34:V34"/>
    <mergeCell ref="S6:U6"/>
    <mergeCell ref="E30:V30"/>
    <mergeCell ref="A31:D31"/>
    <mergeCell ref="A13:V13"/>
    <mergeCell ref="A32:D32"/>
    <mergeCell ref="P2:Q2"/>
    <mergeCell ref="E35:V35"/>
    <mergeCell ref="E38:V38"/>
    <mergeCell ref="G21:K21"/>
    <mergeCell ref="A24:E24"/>
    <mergeCell ref="G2:H2"/>
    <mergeCell ref="A35:D35"/>
    <mergeCell ref="I2:J2"/>
    <mergeCell ref="A38:D38"/>
    <mergeCell ref="A8:V8"/>
    <mergeCell ref="A6:A7"/>
    <mergeCell ref="F6:J6"/>
    <mergeCell ref="M6:O6"/>
    <mergeCell ref="E31:V31"/>
    <mergeCell ref="A4:V4"/>
    <mergeCell ref="V6:V7"/>
  </mergeCells>
  <conditionalFormatting sqref="F9:J18">
    <cfRule type="expression" dxfId="8" priority="1">
      <formula>AND(F9&lt;&gt;"",COUNTIF($F9:$J9,"X")&gt;1)</formula>
    </cfRule>
  </conditionalFormatting>
  <conditionalFormatting sqref="F26:U26">
    <cfRule type="expression" dxfId="7" priority="8">
      <formula>LEFT(F26,4)="ERRO"</formula>
    </cfRule>
    <cfRule type="expression" dxfId="6" priority="9">
      <formula>LEFT(F26,2)="OK"</formula>
    </cfRule>
  </conditionalFormatting>
  <conditionalFormatting sqref="K9:L18">
    <cfRule type="expression" dxfId="5" priority="2">
      <formula>AND(K9&lt;&gt;"",COUNTIF($K9:$L9,"X")&gt;1)</formula>
    </cfRule>
  </conditionalFormatting>
  <conditionalFormatting sqref="M9:O18">
    <cfRule type="expression" dxfId="4" priority="3">
      <formula>AND(M9&lt;&gt;"",COUNTIF($M9:$O9,"X")&gt;1)</formula>
    </cfRule>
  </conditionalFormatting>
  <conditionalFormatting sqref="P9:R18">
    <cfRule type="expression" dxfId="3" priority="4">
      <formula>AND(P9&lt;&gt;"",COUNTIF($P9:$R9,"X")&gt;1)</formula>
    </cfRule>
  </conditionalFormatting>
  <conditionalFormatting sqref="S9:U18">
    <cfRule type="expression" dxfId="2" priority="5">
      <formula>AND(S9&lt;&gt;"",COUNTIF($S9:$U9,"X")&gt;1)</formula>
    </cfRule>
  </conditionalFormatting>
  <conditionalFormatting sqref="W9:W18">
    <cfRule type="expression" dxfId="1" priority="6">
      <formula>AND(W9&lt;&gt;"OK",W9&lt;&gt;"")</formula>
    </cfRule>
    <cfRule type="expression" dxfId="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8" xr:uid="{00000000-0002-0000-1C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8" xr:uid="{00000000-0002-0000-1C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8" xr:uid="{00000000-0002-0000-1C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8" xr:uid="{00000000-0002-0000-1C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8" xr:uid="{00000000-0002-0000-1C00-000004000000}">
      <formula1>AND(UPPER(S9)="X",COUNTIF($S9:$U9,"X")&lt;=1)</formula1>
    </dataValidation>
    <dataValidation type="list" showErrorMessage="1" errorTitle="Sentido inválido" error="Use C (crescente) ou D (decrescente)." sqref="B9:B18" xr:uid="{00000000-0002-0000-1C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38</oddHeader>
    <oddFooter>&amp;L&amp;7 RTA / MSI — Programa de Manutenção Rodoviária&amp;C&amp;7 Página &amp;P de &amp;N&amp;R&amp;7 Impresso em &amp;D</oddFooter>
  </headerFooter>
  <rowBreaks count="1" manualBreakCount="1">
    <brk id="21" max="16383" man="1"/>
  </rowBreak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321</v>
      </c>
    </row>
    <row r="2" spans="1:1" x14ac:dyDescent="0.25">
      <c r="A2" t="s">
        <v>322</v>
      </c>
    </row>
    <row r="3" spans="1:1" x14ac:dyDescent="0.25">
      <c r="A3" t="s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30</vt:i4>
      </vt:variant>
      <vt:variant>
        <vt:lpstr>Intervalos Nomeados</vt:lpstr>
      </vt:variant>
      <vt:variant>
        <vt:i4>57</vt:i4>
      </vt:variant>
    </vt:vector>
  </HeadingPairs>
  <TitlesOfParts>
    <vt:vector size="87" baseType="lpstr">
      <vt:lpstr>RESUMO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13</vt:lpstr>
      <vt:lpstr>14</vt:lpstr>
      <vt:lpstr>15</vt:lpstr>
      <vt:lpstr>16</vt:lpstr>
      <vt:lpstr>17</vt:lpstr>
      <vt:lpstr>18</vt:lpstr>
      <vt:lpstr>19</vt:lpstr>
      <vt:lpstr>23</vt:lpstr>
      <vt:lpstr>24</vt:lpstr>
      <vt:lpstr>25</vt:lpstr>
      <vt:lpstr>28</vt:lpstr>
      <vt:lpstr>29</vt:lpstr>
      <vt:lpstr>30</vt:lpstr>
      <vt:lpstr>32</vt:lpstr>
      <vt:lpstr>35</vt:lpstr>
      <vt:lpstr>36</vt:lpstr>
      <vt:lpstr>38</vt:lpstr>
      <vt:lpstr>LISTAS</vt:lpstr>
      <vt:lpstr>'1'!Area_de_impressao</vt:lpstr>
      <vt:lpstr>'10'!Area_de_impressao</vt:lpstr>
      <vt:lpstr>'11'!Area_de_impressao</vt:lpstr>
      <vt:lpstr>'13'!Area_de_impressao</vt:lpstr>
      <vt:lpstr>'14'!Area_de_impressao</vt:lpstr>
      <vt:lpstr>'15'!Area_de_impressao</vt:lpstr>
      <vt:lpstr>'16'!Area_de_impressao</vt:lpstr>
      <vt:lpstr>'17'!Area_de_impressao</vt:lpstr>
      <vt:lpstr>'18'!Area_de_impressao</vt:lpstr>
      <vt:lpstr>'19'!Area_de_impressao</vt:lpstr>
      <vt:lpstr>'2'!Area_de_impressao</vt:lpstr>
      <vt:lpstr>'23'!Area_de_impressao</vt:lpstr>
      <vt:lpstr>'24'!Area_de_impressao</vt:lpstr>
      <vt:lpstr>'25'!Area_de_impressao</vt:lpstr>
      <vt:lpstr>'28'!Area_de_impressao</vt:lpstr>
      <vt:lpstr>'29'!Area_de_impressao</vt:lpstr>
      <vt:lpstr>'3'!Area_de_impressao</vt:lpstr>
      <vt:lpstr>'30'!Area_de_impressao</vt:lpstr>
      <vt:lpstr>'32'!Area_de_impressao</vt:lpstr>
      <vt:lpstr>'35'!Area_de_impressao</vt:lpstr>
      <vt:lpstr>'36'!Area_de_impressao</vt:lpstr>
      <vt:lpstr>'38'!Area_de_impressao</vt:lpstr>
      <vt:lpstr>'4'!Area_de_impressao</vt:lpstr>
      <vt:lpstr>'5'!Area_de_impressao</vt:lpstr>
      <vt:lpstr>'6'!Area_de_impressao</vt:lpstr>
      <vt:lpstr>'7'!Area_de_impressao</vt:lpstr>
      <vt:lpstr>'8'!Area_de_impressao</vt:lpstr>
      <vt:lpstr>'9'!Area_de_impressao</vt:lpstr>
      <vt:lpstr>RESUMO!Area_de_impressao</vt:lpstr>
      <vt:lpstr>'1'!Titulos_de_impressao</vt:lpstr>
      <vt:lpstr>'10'!Titulos_de_impressao</vt:lpstr>
      <vt:lpstr>'11'!Titulos_de_impressao</vt:lpstr>
      <vt:lpstr>'13'!Titulos_de_impressao</vt:lpstr>
      <vt:lpstr>'14'!Titulos_de_impressao</vt:lpstr>
      <vt:lpstr>'15'!Titulos_de_impressao</vt:lpstr>
      <vt:lpstr>'16'!Titulos_de_impressao</vt:lpstr>
      <vt:lpstr>'17'!Titulos_de_impressao</vt:lpstr>
      <vt:lpstr>'18'!Titulos_de_impressao</vt:lpstr>
      <vt:lpstr>'19'!Titulos_de_impressao</vt:lpstr>
      <vt:lpstr>'2'!Titulos_de_impressao</vt:lpstr>
      <vt:lpstr>'23'!Titulos_de_impressao</vt:lpstr>
      <vt:lpstr>'24'!Titulos_de_impressao</vt:lpstr>
      <vt:lpstr>'25'!Titulos_de_impressao</vt:lpstr>
      <vt:lpstr>'28'!Titulos_de_impressao</vt:lpstr>
      <vt:lpstr>'29'!Titulos_de_impressao</vt:lpstr>
      <vt:lpstr>'3'!Titulos_de_impressao</vt:lpstr>
      <vt:lpstr>'30'!Titulos_de_impressao</vt:lpstr>
      <vt:lpstr>'32'!Titulos_de_impressao</vt:lpstr>
      <vt:lpstr>'35'!Titulos_de_impressao</vt:lpstr>
      <vt:lpstr>'36'!Titulos_de_impressao</vt:lpstr>
      <vt:lpstr>'38'!Titulos_de_impressao</vt:lpstr>
      <vt:lpstr>'4'!Titulos_de_impressao</vt:lpstr>
      <vt:lpstr>'5'!Titulos_de_impressao</vt:lpstr>
      <vt:lpstr>'6'!Titulos_de_impressao</vt:lpstr>
      <vt:lpstr>'7'!Titulos_de_impressao</vt:lpstr>
      <vt:lpstr>'8'!Titulos_de_impressao</vt:lpstr>
      <vt:lpstr>'9'!Titulos_de_impressao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2026-08-17T14:11:59Z</dcterms:created>
  <dcterms:modified xsi:type="dcterms:W3CDTF">2026-10-05T19:47:08Z</dcterms:modified>
</cp:coreProperties>
</file>