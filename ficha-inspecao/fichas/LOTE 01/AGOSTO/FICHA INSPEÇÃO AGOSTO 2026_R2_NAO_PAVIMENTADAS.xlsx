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3108FDB5-6323-4E49-A242-88DC443E8A76}" xr6:coauthVersionLast="47" xr6:coauthVersionMax="47" xr10:uidLastSave="{00000000-0000-0000-0000-000000000000}"/>
  <bookViews>
    <workbookView xWindow="5115" yWindow="2460" windowWidth="15375" windowHeight="7875" xr2:uid="{00000000-000D-0000-FFFF-FFFF00000000}"/>
  </bookViews>
  <sheets>
    <sheet name="RESUMO" sheetId="1" r:id="rId1"/>
    <sheet name="46" sheetId="2" r:id="rId2"/>
    <sheet name="47" sheetId="3" r:id="rId3"/>
    <sheet name="48" sheetId="4" r:id="rId4"/>
    <sheet name="49" sheetId="5" r:id="rId5"/>
    <sheet name="59" sheetId="6" r:id="rId6"/>
    <sheet name="60" sheetId="7" r:id="rId7"/>
    <sheet name="62" sheetId="8" r:id="rId8"/>
    <sheet name="64" sheetId="9" r:id="rId9"/>
    <sheet name="65" sheetId="10" r:id="rId10"/>
    <sheet name="66" sheetId="11" r:id="rId11"/>
    <sheet name="LISTAS" sheetId="12" state="hidden" r:id="rId12"/>
  </sheets>
  <definedNames>
    <definedName name="_xlnm.Print_Area" localSheetId="1">'46'!$A$1:$M$57</definedName>
    <definedName name="_xlnm.Print_Area" localSheetId="2">'47'!$A$1:$M$75</definedName>
    <definedName name="_xlnm.Print_Area" localSheetId="3">'48'!$A$1:$M$124</definedName>
    <definedName name="_xlnm.Print_Area" localSheetId="4">'49'!$A$1:$M$124</definedName>
    <definedName name="_xlnm.Print_Area" localSheetId="5">'59'!$A$1:$M$73</definedName>
    <definedName name="_xlnm.Print_Area" localSheetId="6">'60'!$A$1:$M$59</definedName>
    <definedName name="_xlnm.Print_Area" localSheetId="7">'62'!$A$1:$M$45</definedName>
    <definedName name="_xlnm.Print_Area" localSheetId="8">'64'!$A$1:$M$46</definedName>
    <definedName name="_xlnm.Print_Area" localSheetId="9">'65'!$A$1:$M$46</definedName>
    <definedName name="_xlnm.Print_Area" localSheetId="10">'66'!$A$1:$M$62</definedName>
    <definedName name="_xlnm.Print_Area" localSheetId="0">RESUMO!$A$1:$K$17</definedName>
    <definedName name="_xlnm.Print_Titles" localSheetId="1">'46'!$6:$7</definedName>
    <definedName name="_xlnm.Print_Titles" localSheetId="2">'47'!$6:$7</definedName>
    <definedName name="_xlnm.Print_Titles" localSheetId="3">'48'!$6:$7</definedName>
    <definedName name="_xlnm.Print_Titles" localSheetId="4">'49'!$6:$7</definedName>
    <definedName name="_xlnm.Print_Titles" localSheetId="5">'59'!$6:$7</definedName>
    <definedName name="_xlnm.Print_Titles" localSheetId="6">'60'!$6:$7</definedName>
    <definedName name="_xlnm.Print_Titles" localSheetId="7">'62'!$6:$7</definedName>
    <definedName name="_xlnm.Print_Titles" localSheetId="8">'64'!$6:$7</definedName>
    <definedName name="_xlnm.Print_Titles" localSheetId="9">'65'!$6:$7</definedName>
    <definedName name="_xlnm.Print_Titles" localSheetId="10">'66'!$6:$7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1" l="1"/>
  <c r="J47" i="11"/>
  <c r="I47" i="11"/>
  <c r="S2" i="11" s="1"/>
  <c r="H47" i="11"/>
  <c r="F47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T2" i="11"/>
  <c r="P2" i="11"/>
  <c r="K2" i="11"/>
  <c r="I2" i="11"/>
  <c r="F2" i="11"/>
  <c r="L31" i="10"/>
  <c r="K31" i="10"/>
  <c r="U2" i="10" s="1"/>
  <c r="I31" i="10"/>
  <c r="S2" i="10" s="1"/>
  <c r="H31" i="10"/>
  <c r="R2" i="10" s="1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J31" i="10" s="1"/>
  <c r="N9" i="10"/>
  <c r="E9" i="10"/>
  <c r="V2" i="10"/>
  <c r="K2" i="10"/>
  <c r="I2" i="10"/>
  <c r="F2" i="10"/>
  <c r="L31" i="9"/>
  <c r="V2" i="9" s="1"/>
  <c r="K31" i="9"/>
  <c r="U2" i="9" s="1"/>
  <c r="I31" i="9"/>
  <c r="G13" i="1" s="1"/>
  <c r="H31" i="9"/>
  <c r="R2" i="9" s="1"/>
  <c r="N25" i="9"/>
  <c r="E25" i="9"/>
  <c r="N24" i="9"/>
  <c r="E24" i="9"/>
  <c r="N23" i="9"/>
  <c r="E23" i="9"/>
  <c r="N22" i="9"/>
  <c r="E22" i="9"/>
  <c r="G31" i="9" s="1"/>
  <c r="Q2" i="9" s="1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N9" i="9"/>
  <c r="E9" i="9"/>
  <c r="S2" i="9"/>
  <c r="K2" i="9"/>
  <c r="I2" i="9"/>
  <c r="F2" i="9"/>
  <c r="L30" i="8"/>
  <c r="I30" i="8"/>
  <c r="S2" i="8" s="1"/>
  <c r="F30" i="8"/>
  <c r="N24" i="8"/>
  <c r="E24" i="8"/>
  <c r="N23" i="8"/>
  <c r="E23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G30" i="8" s="1"/>
  <c r="E12" i="1" s="1"/>
  <c r="N10" i="8"/>
  <c r="E10" i="8"/>
  <c r="I33" i="8" s="1"/>
  <c r="N9" i="8"/>
  <c r="E9" i="8"/>
  <c r="J30" i="8" s="1"/>
  <c r="V2" i="8"/>
  <c r="K2" i="8"/>
  <c r="I2" i="8"/>
  <c r="F2" i="8"/>
  <c r="L44" i="7"/>
  <c r="J11" i="1" s="1"/>
  <c r="K44" i="7"/>
  <c r="U2" i="7" s="1"/>
  <c r="I44" i="7"/>
  <c r="S2" i="7" s="1"/>
  <c r="H44" i="7"/>
  <c r="F11" i="1" s="1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G44" i="7" s="1"/>
  <c r="N12" i="7"/>
  <c r="E12" i="7"/>
  <c r="N11" i="7"/>
  <c r="E11" i="7"/>
  <c r="N10" i="7"/>
  <c r="E10" i="7"/>
  <c r="N9" i="7"/>
  <c r="E9" i="7"/>
  <c r="V2" i="7"/>
  <c r="R2" i="7"/>
  <c r="K2" i="7"/>
  <c r="I2" i="7"/>
  <c r="F2" i="7"/>
  <c r="L58" i="6"/>
  <c r="J58" i="6"/>
  <c r="T2" i="6" s="1"/>
  <c r="I58" i="6"/>
  <c r="H58" i="6"/>
  <c r="R2" i="6" s="1"/>
  <c r="F58" i="6"/>
  <c r="P2" i="6" s="1"/>
  <c r="N52" i="6"/>
  <c r="E52" i="6"/>
  <c r="N51" i="6"/>
  <c r="E51" i="6"/>
  <c r="N50" i="6"/>
  <c r="E50" i="6"/>
  <c r="N49" i="6"/>
  <c r="E49" i="6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V2" i="6"/>
  <c r="K2" i="6"/>
  <c r="I2" i="6"/>
  <c r="F2" i="6"/>
  <c r="L109" i="5"/>
  <c r="V2" i="5" s="1"/>
  <c r="J109" i="5"/>
  <c r="T2" i="5" s="1"/>
  <c r="I109" i="5"/>
  <c r="S2" i="5" s="1"/>
  <c r="H109" i="5"/>
  <c r="R2" i="5" s="1"/>
  <c r="F109" i="5"/>
  <c r="D9" i="1" s="1"/>
  <c r="N103" i="5"/>
  <c r="E103" i="5"/>
  <c r="N102" i="5"/>
  <c r="E102" i="5"/>
  <c r="N101" i="5"/>
  <c r="E101" i="5"/>
  <c r="N100" i="5"/>
  <c r="E100" i="5"/>
  <c r="N99" i="5"/>
  <c r="E99" i="5"/>
  <c r="N98" i="5"/>
  <c r="E98" i="5"/>
  <c r="N97" i="5"/>
  <c r="E97" i="5"/>
  <c r="N96" i="5"/>
  <c r="E96" i="5"/>
  <c r="N95" i="5"/>
  <c r="E95" i="5"/>
  <c r="N94" i="5"/>
  <c r="E94" i="5"/>
  <c r="N93" i="5"/>
  <c r="E93" i="5"/>
  <c r="N92" i="5"/>
  <c r="E92" i="5"/>
  <c r="N91" i="5"/>
  <c r="E91" i="5"/>
  <c r="N90" i="5"/>
  <c r="E90" i="5"/>
  <c r="N89" i="5"/>
  <c r="E89" i="5"/>
  <c r="N88" i="5"/>
  <c r="E88" i="5"/>
  <c r="N87" i="5"/>
  <c r="E87" i="5"/>
  <c r="N86" i="5"/>
  <c r="E86" i="5"/>
  <c r="N85" i="5"/>
  <c r="E85" i="5"/>
  <c r="N84" i="5"/>
  <c r="E84" i="5"/>
  <c r="N83" i="5"/>
  <c r="E83" i="5"/>
  <c r="N82" i="5"/>
  <c r="E82" i="5"/>
  <c r="N81" i="5"/>
  <c r="E81" i="5"/>
  <c r="N80" i="5"/>
  <c r="E80" i="5"/>
  <c r="N79" i="5"/>
  <c r="E79" i="5"/>
  <c r="N78" i="5"/>
  <c r="E78" i="5"/>
  <c r="N77" i="5"/>
  <c r="E77" i="5"/>
  <c r="N76" i="5"/>
  <c r="E76" i="5"/>
  <c r="N75" i="5"/>
  <c r="E75" i="5"/>
  <c r="N74" i="5"/>
  <c r="E74" i="5"/>
  <c r="N73" i="5"/>
  <c r="E73" i="5"/>
  <c r="N72" i="5"/>
  <c r="E72" i="5"/>
  <c r="N71" i="5"/>
  <c r="E71" i="5"/>
  <c r="N70" i="5"/>
  <c r="E70" i="5"/>
  <c r="N69" i="5"/>
  <c r="E69" i="5"/>
  <c r="N68" i="5"/>
  <c r="E68" i="5"/>
  <c r="N65" i="5"/>
  <c r="E65" i="5"/>
  <c r="N64" i="5"/>
  <c r="E64" i="5"/>
  <c r="N63" i="5"/>
  <c r="E63" i="5"/>
  <c r="N62" i="5"/>
  <c r="E62" i="5"/>
  <c r="N61" i="5"/>
  <c r="E61" i="5"/>
  <c r="N60" i="5"/>
  <c r="E60" i="5"/>
  <c r="N59" i="5"/>
  <c r="E59" i="5"/>
  <c r="N58" i="5"/>
  <c r="E58" i="5"/>
  <c r="N57" i="5"/>
  <c r="E57" i="5"/>
  <c r="N56" i="5"/>
  <c r="E56" i="5"/>
  <c r="N55" i="5"/>
  <c r="E55" i="5"/>
  <c r="N54" i="5"/>
  <c r="E54" i="5"/>
  <c r="N53" i="5"/>
  <c r="E53" i="5"/>
  <c r="N52" i="5"/>
  <c r="E52" i="5"/>
  <c r="N51" i="5"/>
  <c r="E51" i="5"/>
  <c r="N50" i="5"/>
  <c r="E50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5" i="5"/>
  <c r="E35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P2" i="5"/>
  <c r="K2" i="5"/>
  <c r="I2" i="5"/>
  <c r="F2" i="5"/>
  <c r="L109" i="4"/>
  <c r="J8" i="1" s="1"/>
  <c r="J109" i="4"/>
  <c r="I109" i="4"/>
  <c r="F109" i="4"/>
  <c r="N103" i="4"/>
  <c r="E103" i="4"/>
  <c r="N102" i="4"/>
  <c r="E102" i="4"/>
  <c r="N101" i="4"/>
  <c r="E101" i="4"/>
  <c r="N100" i="4"/>
  <c r="E100" i="4"/>
  <c r="N99" i="4"/>
  <c r="E99" i="4"/>
  <c r="N98" i="4"/>
  <c r="E98" i="4"/>
  <c r="N97" i="4"/>
  <c r="E97" i="4"/>
  <c r="N96" i="4"/>
  <c r="E96" i="4"/>
  <c r="N95" i="4"/>
  <c r="E95" i="4"/>
  <c r="N94" i="4"/>
  <c r="E94" i="4"/>
  <c r="N93" i="4"/>
  <c r="E93" i="4"/>
  <c r="N92" i="4"/>
  <c r="E92" i="4"/>
  <c r="N91" i="4"/>
  <c r="E91" i="4"/>
  <c r="N90" i="4"/>
  <c r="E90" i="4"/>
  <c r="N89" i="4"/>
  <c r="E89" i="4"/>
  <c r="N88" i="4"/>
  <c r="E88" i="4"/>
  <c r="N87" i="4"/>
  <c r="E87" i="4"/>
  <c r="N86" i="4"/>
  <c r="E86" i="4"/>
  <c r="N85" i="4"/>
  <c r="E85" i="4"/>
  <c r="N84" i="4"/>
  <c r="E84" i="4"/>
  <c r="N83" i="4"/>
  <c r="E83" i="4"/>
  <c r="N82" i="4"/>
  <c r="E82" i="4"/>
  <c r="N81" i="4"/>
  <c r="E81" i="4"/>
  <c r="N80" i="4"/>
  <c r="E80" i="4"/>
  <c r="N79" i="4"/>
  <c r="E79" i="4"/>
  <c r="N78" i="4"/>
  <c r="E78" i="4"/>
  <c r="N77" i="4"/>
  <c r="E77" i="4"/>
  <c r="N76" i="4"/>
  <c r="E76" i="4"/>
  <c r="N75" i="4"/>
  <c r="E75" i="4"/>
  <c r="N74" i="4"/>
  <c r="E74" i="4"/>
  <c r="N73" i="4"/>
  <c r="E73" i="4"/>
  <c r="N72" i="4"/>
  <c r="E72" i="4"/>
  <c r="N71" i="4"/>
  <c r="E71" i="4"/>
  <c r="N70" i="4"/>
  <c r="E70" i="4"/>
  <c r="N69" i="4"/>
  <c r="E69" i="4"/>
  <c r="N68" i="4"/>
  <c r="E68" i="4"/>
  <c r="N67" i="4"/>
  <c r="E67" i="4"/>
  <c r="N66" i="4"/>
  <c r="E66" i="4"/>
  <c r="N65" i="4"/>
  <c r="E65" i="4"/>
  <c r="N64" i="4"/>
  <c r="E64" i="4"/>
  <c r="N63" i="4"/>
  <c r="E63" i="4"/>
  <c r="N60" i="4"/>
  <c r="E60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H109" i="4" s="1"/>
  <c r="R2" i="4" s="1"/>
  <c r="N14" i="4"/>
  <c r="E14" i="4"/>
  <c r="N13" i="4"/>
  <c r="E13" i="4"/>
  <c r="N12" i="4"/>
  <c r="E12" i="4"/>
  <c r="N11" i="4"/>
  <c r="E11" i="4"/>
  <c r="N10" i="4"/>
  <c r="E10" i="4"/>
  <c r="I112" i="4" s="1"/>
  <c r="N9" i="4"/>
  <c r="E9" i="4"/>
  <c r="S2" i="4"/>
  <c r="K2" i="4"/>
  <c r="I2" i="4"/>
  <c r="F2" i="4"/>
  <c r="L60" i="3"/>
  <c r="J7" i="1" s="1"/>
  <c r="J60" i="3"/>
  <c r="T2" i="3" s="1"/>
  <c r="I60" i="3"/>
  <c r="S2" i="3" s="1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H60" i="3" s="1"/>
  <c r="F7" i="1" s="1"/>
  <c r="N11" i="3"/>
  <c r="E11" i="3"/>
  <c r="N10" i="3"/>
  <c r="E10" i="3"/>
  <c r="N9" i="3"/>
  <c r="E9" i="3"/>
  <c r="K2" i="3"/>
  <c r="I2" i="3"/>
  <c r="F2" i="3"/>
  <c r="L42" i="2"/>
  <c r="J6" i="1" s="1"/>
  <c r="J42" i="2"/>
  <c r="I42" i="2"/>
  <c r="G6" i="1" s="1"/>
  <c r="H42" i="2"/>
  <c r="R2" i="2" s="1"/>
  <c r="F42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T2" i="2"/>
  <c r="P2" i="2"/>
  <c r="H15" i="1"/>
  <c r="G15" i="1"/>
  <c r="D15" i="1"/>
  <c r="J14" i="1"/>
  <c r="I14" i="1"/>
  <c r="G14" i="1"/>
  <c r="J13" i="1"/>
  <c r="I13" i="1"/>
  <c r="J12" i="1"/>
  <c r="D12" i="1"/>
  <c r="I11" i="1"/>
  <c r="J10" i="1"/>
  <c r="H10" i="1"/>
  <c r="F10" i="1"/>
  <c r="D10" i="1"/>
  <c r="G9" i="1"/>
  <c r="G8" i="1"/>
  <c r="H6" i="1"/>
  <c r="D6" i="1"/>
  <c r="E11" i="1" l="1"/>
  <c r="Q2" i="7"/>
  <c r="F14" i="1"/>
  <c r="G7" i="1"/>
  <c r="I45" i="2"/>
  <c r="H7" i="1"/>
  <c r="G31" i="10"/>
  <c r="E13" i="1"/>
  <c r="M47" i="7"/>
  <c r="H43" i="2"/>
  <c r="J43" i="2"/>
  <c r="M112" i="5"/>
  <c r="F6" i="1"/>
  <c r="H9" i="1"/>
  <c r="F13" i="1"/>
  <c r="V2" i="4"/>
  <c r="G12" i="1"/>
  <c r="F60" i="3"/>
  <c r="M34" i="10"/>
  <c r="I34" i="10"/>
  <c r="G32" i="10" s="1"/>
  <c r="M50" i="11"/>
  <c r="V2" i="2"/>
  <c r="J9" i="1"/>
  <c r="F8" i="1"/>
  <c r="F9" i="1"/>
  <c r="S2" i="2"/>
  <c r="M45" i="2"/>
  <c r="G42" i="2"/>
  <c r="Q2" i="2" s="1"/>
  <c r="K42" i="2"/>
  <c r="U2" i="2" s="1"/>
  <c r="M63" i="3"/>
  <c r="Q2" i="8"/>
  <c r="K30" i="8"/>
  <c r="I12" i="1" s="1"/>
  <c r="J110" i="4"/>
  <c r="F110" i="4"/>
  <c r="I110" i="4"/>
  <c r="C8" i="1"/>
  <c r="H110" i="4"/>
  <c r="L110" i="4"/>
  <c r="T2" i="10"/>
  <c r="H14" i="1"/>
  <c r="P2" i="4"/>
  <c r="S2" i="6"/>
  <c r="G10" i="1"/>
  <c r="T2" i="8"/>
  <c r="J31" i="8"/>
  <c r="F31" i="8"/>
  <c r="I31" i="8"/>
  <c r="L31" i="8"/>
  <c r="I6" i="1"/>
  <c r="I43" i="2"/>
  <c r="C6" i="1"/>
  <c r="I34" i="9"/>
  <c r="J31" i="9"/>
  <c r="F31" i="9"/>
  <c r="V2" i="11"/>
  <c r="J15" i="1"/>
  <c r="J16" i="1" s="1"/>
  <c r="S2" i="1" s="1"/>
  <c r="F43" i="2"/>
  <c r="K58" i="6"/>
  <c r="M33" i="8"/>
  <c r="G31" i="8"/>
  <c r="M34" i="9"/>
  <c r="R2" i="11"/>
  <c r="F15" i="1"/>
  <c r="T2" i="4"/>
  <c r="M112" i="4"/>
  <c r="J32" i="10"/>
  <c r="G109" i="4"/>
  <c r="K109" i="4"/>
  <c r="J111" i="4" s="1"/>
  <c r="P2" i="8"/>
  <c r="H8" i="1"/>
  <c r="V2" i="3"/>
  <c r="D8" i="1"/>
  <c r="G11" i="1"/>
  <c r="C12" i="1"/>
  <c r="H12" i="1"/>
  <c r="L43" i="2"/>
  <c r="R2" i="3"/>
  <c r="K60" i="3"/>
  <c r="G60" i="3"/>
  <c r="I63" i="3"/>
  <c r="K109" i="5"/>
  <c r="G109" i="5"/>
  <c r="I112" i="5"/>
  <c r="M61" i="6"/>
  <c r="I47" i="7"/>
  <c r="H30" i="8"/>
  <c r="H31" i="8" s="1"/>
  <c r="F31" i="10"/>
  <c r="K32" i="10"/>
  <c r="K47" i="11"/>
  <c r="G47" i="11"/>
  <c r="I50" i="11"/>
  <c r="I61" i="6"/>
  <c r="F44" i="7"/>
  <c r="J44" i="7"/>
  <c r="G58" i="6"/>
  <c r="J33" i="10" l="1"/>
  <c r="Q2" i="10"/>
  <c r="E14" i="1"/>
  <c r="L32" i="10"/>
  <c r="E6" i="1"/>
  <c r="C14" i="1"/>
  <c r="U2" i="8"/>
  <c r="F32" i="8"/>
  <c r="K110" i="4"/>
  <c r="K31" i="8"/>
  <c r="G43" i="2"/>
  <c r="I32" i="10"/>
  <c r="K43" i="2"/>
  <c r="J32" i="8"/>
  <c r="J44" i="2"/>
  <c r="F44" i="2"/>
  <c r="H32" i="10"/>
  <c r="F32" i="10"/>
  <c r="G16" i="1"/>
  <c r="P2" i="1" s="1"/>
  <c r="P2" i="3"/>
  <c r="D7" i="1"/>
  <c r="Q2" i="11"/>
  <c r="F49" i="11"/>
  <c r="E15" i="1"/>
  <c r="Q2" i="3"/>
  <c r="E7" i="1"/>
  <c r="F62" i="3"/>
  <c r="P2" i="7"/>
  <c r="F46" i="7"/>
  <c r="D11" i="1"/>
  <c r="Q2" i="5"/>
  <c r="E9" i="1"/>
  <c r="F111" i="5"/>
  <c r="L59" i="6"/>
  <c r="H59" i="6"/>
  <c r="K59" i="6"/>
  <c r="G59" i="6"/>
  <c r="C10" i="1"/>
  <c r="F59" i="6"/>
  <c r="I59" i="6"/>
  <c r="J59" i="6"/>
  <c r="L45" i="7"/>
  <c r="H45" i="7"/>
  <c r="K45" i="7"/>
  <c r="G45" i="7"/>
  <c r="I45" i="7"/>
  <c r="F45" i="7"/>
  <c r="J45" i="7"/>
  <c r="C11" i="1"/>
  <c r="U2" i="5"/>
  <c r="I9" i="1"/>
  <c r="J111" i="5"/>
  <c r="D13" i="1"/>
  <c r="P2" i="9"/>
  <c r="F33" i="9"/>
  <c r="T2" i="7"/>
  <c r="J46" i="7"/>
  <c r="H11" i="1"/>
  <c r="L110" i="5"/>
  <c r="H110" i="5"/>
  <c r="K110" i="5"/>
  <c r="G110" i="5"/>
  <c r="I110" i="5"/>
  <c r="C9" i="1"/>
  <c r="F110" i="5"/>
  <c r="J110" i="5"/>
  <c r="E8" i="1"/>
  <c r="K8" i="1" s="1"/>
  <c r="Q2" i="4"/>
  <c r="L32" i="9"/>
  <c r="H32" i="9"/>
  <c r="K32" i="9"/>
  <c r="G32" i="9"/>
  <c r="J32" i="9"/>
  <c r="F32" i="9"/>
  <c r="C13" i="1"/>
  <c r="I32" i="9"/>
  <c r="U2" i="11"/>
  <c r="J49" i="11"/>
  <c r="I15" i="1"/>
  <c r="R2" i="8"/>
  <c r="F12" i="1"/>
  <c r="U2" i="3"/>
  <c r="J62" i="3"/>
  <c r="I7" i="1"/>
  <c r="K6" i="1"/>
  <c r="E10" i="1"/>
  <c r="K10" i="1" s="1"/>
  <c r="F60" i="6"/>
  <c r="Q2" i="6"/>
  <c r="L48" i="11"/>
  <c r="H48" i="11"/>
  <c r="K48" i="11"/>
  <c r="G48" i="11"/>
  <c r="J48" i="11"/>
  <c r="F48" i="11"/>
  <c r="I48" i="11"/>
  <c r="C15" i="1"/>
  <c r="P2" i="10"/>
  <c r="F33" i="10"/>
  <c r="D14" i="1"/>
  <c r="K14" i="1" s="1"/>
  <c r="L61" i="3"/>
  <c r="H61" i="3"/>
  <c r="K61" i="3"/>
  <c r="G61" i="3"/>
  <c r="J61" i="3"/>
  <c r="C7" i="1"/>
  <c r="F61" i="3"/>
  <c r="I61" i="3"/>
  <c r="I8" i="1"/>
  <c r="U2" i="4"/>
  <c r="J60" i="6"/>
  <c r="I10" i="1"/>
  <c r="U2" i="6"/>
  <c r="H13" i="1"/>
  <c r="J33" i="9"/>
  <c r="T2" i="9"/>
  <c r="F111" i="4"/>
  <c r="G110" i="4"/>
  <c r="C16" i="1" l="1"/>
  <c r="D16" i="1"/>
  <c r="M2" i="1" s="1"/>
  <c r="I16" i="1"/>
  <c r="R2" i="1" s="1"/>
  <c r="K15" i="1"/>
  <c r="K9" i="1"/>
  <c r="H16" i="1"/>
  <c r="Q2" i="1" s="1"/>
  <c r="K11" i="1"/>
  <c r="E16" i="1"/>
  <c r="N2" i="1" s="1"/>
  <c r="F16" i="1"/>
  <c r="O2" i="1" s="1"/>
  <c r="K12" i="1"/>
  <c r="K13" i="1"/>
  <c r="K7" i="1"/>
  <c r="D17" i="1" l="1"/>
</calcChain>
</file>

<file path=xl/sharedStrings.xml><?xml version="1.0" encoding="utf-8"?>
<sst xmlns="http://schemas.openxmlformats.org/spreadsheetml/2006/main" count="2259" uniqueCount="125">
  <si>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</si>
  <si>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</si>
  <si>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</si>
  <si>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</si>
  <si>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</si>
  <si>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</si>
  <si>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</si>
  <si>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</si>
  <si>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</si>
  <si>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</si>
  <si>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</si>
  <si>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</si>
  <si>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</si>
  <si>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</si>
  <si>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</si>
  <si>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</si>
  <si>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TO-164 - TRECHO ENTR. TO-226 - POVOADO DEZENOVE - BERNARDO SAYÃO</t>
  </si>
  <si>
    <t>RODOVIA TO-164 - TRECHO MURICILÂNDIA - ENTR. TO-226</t>
  </si>
  <si>
    <t>RODOVIA TO-165 - TRECHO SANTA FÉ DO ARAGUAIA - ENTR. TO-226 - ARAPOEMA</t>
  </si>
  <si>
    <t>RODOVIA TO-166 - TRECHO ENTR. TO-222 - ENTR. TO-226 - ARAPOEMA</t>
  </si>
  <si>
    <t>RODOVIA TO-418 - TRECHO ENTR. BR-153 - ENTR. TO-164</t>
  </si>
  <si>
    <t>RODOVIA TO-419 - TRECHO POVOADO BARRA DA GROTA - ENTR. TO-222</t>
  </si>
  <si>
    <t>RODOVIA TO-421 - TRECHO ARAGUAÍNA - POVOADO GROTÃO</t>
  </si>
  <si>
    <t>RODOVIA TO-429 - TRECHO ENTR. TO-230 (ARAPOEMA) - POVOADO ARACAJI</t>
  </si>
  <si>
    <t>RODOVIA TO-430 - TRECHO POVOADO CORIOLANDO (ENTR. TO-230 - ARAPOEMA) - ENTR. TO-164</t>
  </si>
  <si>
    <t>RODOVIA TO-433 - TRECHO ENTR. TO-230 (POVOADO BRASILENE) - BERNARDO SAYÃO (ENTR. TO-164)</t>
  </si>
  <si>
    <t>TOTAL PERCORRIDO NO MÊS</t>
  </si>
  <si>
    <t>% DA EXTENSÃO DA MALHA (406.88 km)</t>
  </si>
  <si>
    <t>(soma do grupo 'CONDIÇÃO DA PLATAFORMA' dividida pela malha)</t>
  </si>
  <si>
    <t>PROGRAMA DE MANUTENÇÃO RODOVIÁRIA — FICHA DE INSPEÇÃO — RODOVIAS NÃO PAVIMENTADAS</t>
  </si>
  <si>
    <t>REGIÃO:  2 — ARAGUAÍNA I</t>
  </si>
  <si>
    <t>MÊS / ANO:</t>
  </si>
  <si>
    <t>DATA:</t>
  </si>
  <si>
    <t>TÉCNICO:</t>
  </si>
  <si>
    <t>TRECHO 46 — RODOVIA TO-164 - TRECHO ENTR. TO-226 - POVOADO DEZENOVE - BERNARDO SAYÃO</t>
  </si>
  <si>
    <t>EXTENSÃO: 27,974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</si>
  <si>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</si>
  <si>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</si>
  <si>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</si>
  <si>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</si>
  <si>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</si>
  <si>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</si>
  <si>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</si>
  <si>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</si>
  <si>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164ETO0190   |   ENTR. TO-226 (B) - ENTR. TO-230   |   EOP · Estadual · 27.974 km  ·  início: -7.640594, -48.792035</t>
  </si>
  <si>
    <t>164ETO0190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</si>
  <si>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</si>
  <si>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</si>
  <si>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</si>
  <si>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</si>
  <si>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</si>
  <si>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</si>
  <si>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</si>
  <si>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</si>
  <si>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</si>
  <si>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</si>
  <si>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</si>
  <si>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</si>
  <si>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</si>
  <si>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</si>
  <si>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</si>
  <si>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</si>
  <si>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</si>
  <si>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</si>
  <si>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</si>
  <si>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</si>
  <si>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</si>
  <si>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</si>
  <si>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</si>
  <si>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</si>
  <si>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</si>
  <si>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</si>
  <si>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47 — RODOVIA TO-164 - TRECHO MURICILÂNDIA - ENTR. TO-226</t>
  </si>
  <si>
    <t>EXTENSÃO: 43,322 km  ·  2 S.R.E.</t>
  </si>
  <si>
    <t>S.R.E. 164ETO0160   |   MURICILÃNDIA  * TRECHO URBANO* - COCALANDIA   |   EOP · Estadual · 9.009 km  ·  início: -7.154833, -48.609922</t>
  </si>
  <si>
    <t>164ETO0160</t>
  </si>
  <si>
    <t>S.R.E. 164ETO0170   |   COCALANDIA - ENTR. TO-226 (A)   |   EOP · Estadual · 34.313 km  ·  início: -7.223845, -48.622338</t>
  </si>
  <si>
    <t>164ETO0170</t>
  </si>
  <si>
    <t>TRECHO 48 — RODOVIA TO-165 - TRECHO SANTA FÉ DO ARAGUAIA - ENTR. TO-226 - ARAPOEMA</t>
  </si>
  <si>
    <t>EXTENSÃO: 92,523 km  ·  2 S.R.E.</t>
  </si>
  <si>
    <t>S.R.E. 165ETO0100   |   SANTA FÉ DO ARAGUAIA *TRECHO URBANO* - ENTR. TO-226   |   LEN · Estadual · 51.534 km  ·  início: -7.154445, -48.697131</t>
  </si>
  <si>
    <t>165ETO0100</t>
  </si>
  <si>
    <t>▲ AQUI HÁ 1.015 km FORA DO ESCOPO DO CONTRATO (perímetro urbano de jurisdição municipal). Você passa por ele, mas NÃO preenche.</t>
  </si>
  <si>
    <t>S.R.E. 165ETO0120   |   ENTR. TO-226 (B) - ARAPOEMA *TRECHO URBANO*   |   LEN · Estadual · 40.989 km  ·  início: -7.372855, -48.940008</t>
  </si>
  <si>
    <t>165ETO0120</t>
  </si>
  <si>
    <t>TRECHO 49 — RODOVIA TO-166 - TRECHO ENTR. TO-222 - ENTR. TO-226 - ARAPOEMA</t>
  </si>
  <si>
    <t>EXTENSÃO: 91,537 km  ·  2 S.R.E.</t>
  </si>
  <si>
    <t>S.R.E. 166ETO0100   |   ENTR. TO-222 - ENTR.TO-226 (A)   |   LEN · Estadual · 56.531 km  ·  início: -7.008066, -48.963547</t>
  </si>
  <si>
    <t>166ETO0100</t>
  </si>
  <si>
    <t>▲ AQUI HÁ 1.588 km FORA DO ESCOPO DO CONTRATO (perímetro urbano de jurisdição municipal). Você passa por ele, mas NÃO preenche.</t>
  </si>
  <si>
    <t>S.R.E. 166ETO0120   |   ENTR. TO-226 - ARAPOEMA *TRECHO URBANO*   |   LEN · Estadual · 35.005 km  ·  início: -7.379367, -49.070044</t>
  </si>
  <si>
    <t>166ETO0120</t>
  </si>
  <si>
    <t>TRECHO 59 — RODOVIA TO-418 - TRECHO ENTR. BR-153 - ENTR. TO-164</t>
  </si>
  <si>
    <t>EXTENSÃO: 43,087 km  ·  1 S.R.E.</t>
  </si>
  <si>
    <t>S.R.E. 418ETO0010   |   ENTR. TO-164 (XAMBIOAZINHO) - ENTR. BR-153   |   LEN · Estadual · 43.087 km  ·  início: -6.615803, -48.358511</t>
  </si>
  <si>
    <t>418ETO0010</t>
  </si>
  <si>
    <t>TRECHO 60 — RODOVIA TO-419 - TRECHO POVOADO BARRA DA GROTA - ENTR. TO-222</t>
  </si>
  <si>
    <t>EXTENSÃO: 29,116 km  ·  1 S.R.E.</t>
  </si>
  <si>
    <t>S.R.E. 419ETO0010   |   ENTR. TO-222 (BARRA DA GROTA) - ENTR. TO-222 (BRITADOR)   |   LEN · Estadual · 29.116 km  ·  início: -7.208771, -48.302157</t>
  </si>
  <si>
    <t>419ETO0010</t>
  </si>
  <si>
    <t>TRECHO 62 — RODOVIA TO-421 - TRECHO ARAGUAÍNA - POVOADO GROTÃO</t>
  </si>
  <si>
    <t>EXTENSÃO: 13,554 km  ·  2 S.R.E.</t>
  </si>
  <si>
    <t>S.R.E. 421ETO0020   |   ARAGUAÍNA *TRECHO URBANO* - GROTÃO   |   LEN · Estadual · 12.296 km  ·  início: -7.135099, -48.203317</t>
  </si>
  <si>
    <t>421ETO0020</t>
  </si>
  <si>
    <t>S.R.E. 421ETO0040   |   GROTÃO - ÁGUA AMARELA   |   LEN · Estadual · 1.258 km  ·  início: -7.123129, -48.271206</t>
  </si>
  <si>
    <t>421ETO0040</t>
  </si>
  <si>
    <t>TRECHO 64 — RODOVIA TO-429 - TRECHO ENTR. TO-230 (ARAPOEMA) - POVOADO ARACAJI</t>
  </si>
  <si>
    <t>EXTENSÃO: 16,853 km  ·  1 S.R.E.</t>
  </si>
  <si>
    <t>S.R.E. 429ETO0010   |   ENTR. TO-230 - DIV TO-PA (ARACAJI)   |   LEN · Estadual · 16.853 km  ·  início: -7.710589, -49.263028</t>
  </si>
  <si>
    <t>429ETO0010</t>
  </si>
  <si>
    <t>TRECHO 65 — RODOVIA TO-430 - TRECHO POVOADO CORIOLANDO (ENTR. TO-230 - ARAPOEMA) - ENTR. TO-164</t>
  </si>
  <si>
    <t>EXTENSÃO: 16,640 km  ·  1 S.R.E.</t>
  </si>
  <si>
    <t>S.R.E. 430ETO0010   |   ENTR. TO-230 - ENTR. TO-164   |   LEN · Estadual · 16.640 km  ·  início: -7.762422, -48.945893</t>
  </si>
  <si>
    <t>430ETO0010</t>
  </si>
  <si>
    <t>TRECHO 66 — RODOVIA TO-433 - TRECHO ENTR. TO-230 (POVOADO BRASILENE) - BERNARDO SAYÃO (ENTR. TO-164)</t>
  </si>
  <si>
    <t>EXTENSÃO: 32,280 km  ·  1 S.R.E.</t>
  </si>
  <si>
    <t>S.R.E. 433ETO0010   |   ENTR. TO-230 (BRASILENE) - ENTR. TO-164   |   LEN · Estadual · 32.280 km  ·  início: -7.856551, -48.899867</t>
  </si>
  <si>
    <t>433ETO0010</t>
  </si>
  <si>
    <t>TÉCNICOS</t>
  </si>
  <si>
    <t>ENG. VINÍCIUS RODRIGUES FERREIRA DE OLIVEIRA</t>
  </si>
  <si>
    <t>LABORATORISTA CLAUDIOMIRO VIEIRA LOPES</t>
  </si>
  <si>
    <t>ENG. VINICIUS RODRIGUES FERREIRA DE OLIVEIRA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</si>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</sst>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5" fillId="4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2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12-4184-995B-02DABD55AFF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12-4184-995B-02DABD55AFF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12-4184-995B-02DABD55AFF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512-4184-995B-02DABD55AF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54.6079874136</c:v>
                </c:pt>
                <c:pt idx="1">
                  <c:v>324.72250235538002</c:v>
                </c:pt>
                <c:pt idx="2">
                  <c:v>27.554416368129999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12-4184-995B-02DABD55AF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9D-4749-B3C7-BA7F8A3B49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9D-4749-B3C7-BA7F8A3B49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9D-4749-B3C7-BA7F8A3B495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62.6079874136</c:v>
                </c:pt>
                <c:pt idx="1">
                  <c:v>344.27691872350999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9D-4749-B3C7-BA7F8A3B49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91-4DA4-8041-11BA2583649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91-4DA4-8041-11BA2583649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91-4DA4-8041-11BA2583649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391-4DA4-8041-11BA258364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27.9739821549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91-4DA4-8041-11BA258364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ED-4E21-9C37-48C0E3423E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ED-4E21-9C37-48C0E3423E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ED-4E21-9C37-48C0E3423E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27.9739821549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ED-4E21-9C37-48C0E3423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67-48D0-AA19-509D0D85E60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67-48D0-AA19-509D0D85E60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67-48D0-AA19-509D0D85E60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67-48D0-AA19-509D0D85E60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'47'!$P$2:$S$2</c:f>
              <c:numCache>
                <c:formatCode>#,##0.00</c:formatCode>
                <c:ptCount val="4"/>
                <c:pt idx="0">
                  <c:v>5</c:v>
                </c:pt>
                <c:pt idx="1">
                  <c:v>33.321832719680003</c:v>
                </c:pt>
                <c:pt idx="2">
                  <c:v>5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67-48D0-AA19-509D0D85E6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DB-4272-9768-ABE547E895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DB-4272-9768-ABE547E895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DB-4272-9768-ABE547E895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43.321832719680003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DB-4272-9768-ABE547E895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0E-4205-BF6A-D43A18804B7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0E-4205-BF6A-D43A18804B7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0E-4205-BF6A-D43A18804B7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0E-4205-BF6A-D43A18804B7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80.523276156099996</c:v>
                </c:pt>
                <c:pt idx="2">
                  <c:v>12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0E-4205-BF6A-D43A18804B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8B-413A-8DE9-677AF5B978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8B-413A-8DE9-677AF5B978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8B-413A-8DE9-677AF5B9783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'48'!$T$2:$V$2</c:f>
              <c:numCache>
                <c:formatCode>#,##0.00</c:formatCode>
                <c:ptCount val="3"/>
                <c:pt idx="0">
                  <c:v>#N/A</c:v>
                </c:pt>
                <c:pt idx="1">
                  <c:v>92.523276156099996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8B-413A-8DE9-677AF5B978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3-4C04-964C-3887D805D8F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23-4C04-964C-3887D805D8F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23-4C04-964C-3887D805D8F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23-4C04-964C-3887D805D8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'49'!$P$2:$S$2</c:f>
              <c:numCache>
                <c:formatCode>#,##0.00</c:formatCode>
                <c:ptCount val="4"/>
                <c:pt idx="0">
                  <c:v>#N/A</c:v>
                </c:pt>
                <c:pt idx="1">
                  <c:v>91.536749372300008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23-4C04-964C-3887D805D8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AC-43DD-A744-E1DB73DED90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AC-43DD-A744-E1DB73DED90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5AC-43DD-A744-E1DB73DED90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91.536749372300008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AC-43DD-A744-E1DB73DED9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4E-42AE-8D6F-9216ECB70FB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4E-42AE-8D6F-9216ECB70FB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4E-42AE-8D6F-9216ECB70FB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4E-42AE-8D6F-9216ECB70FB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'59'!$P$2:$S$2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43.086791463899999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4E-42AE-8D6F-9216ECB70F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88-412E-B902-4ECF850353C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88-412E-B902-4ECF850353C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88-412E-B902-4ECF850353C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'59'!$T$2:$V$2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43.086791463899999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88-412E-B902-4ECF85035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25-4230-AF7A-31ECF1046AB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25-4230-AF7A-31ECF1046AB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25-4230-AF7A-31ECF1046AB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25-4230-AF7A-31ECF1046AB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'60'!$P$2:$S$2</c:f>
              <c:numCache>
                <c:formatCode>#,##0.00</c:formatCode>
                <c:ptCount val="4"/>
                <c:pt idx="0">
                  <c:v>23.115564879200001</c:v>
                </c:pt>
                <c:pt idx="1">
                  <c:v>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25-4230-AF7A-31ECF1046A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15-4BDD-9808-61DD06D3D4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15-4BDD-9808-61DD06D3D4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15-4BDD-9808-61DD06D3D4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'60'!$T$2:$V$2</c:f>
              <c:numCache>
                <c:formatCode>#,##0.00</c:formatCode>
                <c:ptCount val="3"/>
                <c:pt idx="0">
                  <c:v>29.115564879200001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15-4BDD-9808-61DD06D3D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65-40D8-BC61-7D03A38DEA4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65-40D8-BC61-7D03A38DEA4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65-40D8-BC61-7D03A38DEA4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565-40D8-BC61-7D03A38DEA4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</c:v>
                </c:pt>
                <c:pt idx="2">
                  <c:v>10.554416368129999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65-40D8-BC61-7D03A38DE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47-4158-8059-CCA6E1A5CA1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47-4158-8059-CCA6E1A5CA1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47-4158-8059-CCA6E1A5CA1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13.554416368129999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47-4158-8059-CCA6E1A5CA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38-4B25-BF75-38C60FEAE14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38-4B25-BF75-38C60FEAE14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E38-4B25-BF75-38C60FEAE14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E38-4B25-BF75-38C60FEAE14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'64'!$P$2:$S$2</c:f>
              <c:numCache>
                <c:formatCode>#,##0.00</c:formatCode>
                <c:ptCount val="4"/>
                <c:pt idx="0">
                  <c:v>12.852537210800001</c:v>
                </c:pt>
                <c:pt idx="1">
                  <c:v>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38-4B25-BF75-38C60FEAE1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5E-4D40-A57E-C34E6223902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5E-4D40-A57E-C34E6223902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5E-4D40-A57E-C34E6223902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'64'!$T$2:$V$2</c:f>
              <c:numCache>
                <c:formatCode>#,##0.00</c:formatCode>
                <c:ptCount val="3"/>
                <c:pt idx="0">
                  <c:v>16.852537210800001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E-4D40-A57E-C34E622390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74-46D5-AC65-BB9DA812FAF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74-46D5-AC65-BB9DA812FAF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74-46D5-AC65-BB9DA812FAF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74-46D5-AC65-BB9DA812FA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'65'!$P$2:$S$2</c:f>
              <c:numCache>
                <c:formatCode>#,##0.00</c:formatCode>
                <c:ptCount val="4"/>
                <c:pt idx="0">
                  <c:v>13.639885323600001</c:v>
                </c:pt>
                <c:pt idx="1">
                  <c:v>3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74-46D5-AC65-BB9DA812FA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86-4DEA-9E44-6EA864C40A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86-4DEA-9E44-6EA864C40A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86-4DEA-9E44-6EA864C40A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'65'!$T$2:$V$2</c:f>
              <c:numCache>
                <c:formatCode>#,##0.00</c:formatCode>
                <c:ptCount val="3"/>
                <c:pt idx="0">
                  <c:v>16.639885323600001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86-4DEA-9E44-6EA864C40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9C-4582-99F4-9AE7AD8E7D8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9C-4582-99F4-9AE7AD8E7D8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9C-4582-99F4-9AE7AD8E7D8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9C-4582-99F4-9AE7AD8E7D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32.279870488500002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9C-4582-99F4-9AE7AD8E7D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00-4293-BD88-D0D69BE4EE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00-4293-BD88-D0D69BE4EE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00-4293-BD88-D0D69BE4EE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32.279870488500002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00-4293-BD88-D0D69BE4E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M1" s="1" t="s">
        <v>1</v>
      </c>
    </row>
    <row r="2" spans="1:19" ht="20.100000000000001" customHeight="1" x14ac:dyDescent="0.25">
      <c r="A2" s="37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M2" s="2">
        <f t="shared" ref="M2:S2" si="0">IF(D16=0,NA(),D16)</f>
        <v>54.6079874136</v>
      </c>
      <c r="N2" s="2">
        <f t="shared" si="0"/>
        <v>324.72250235538002</v>
      </c>
      <c r="O2" s="2">
        <f t="shared" si="0"/>
        <v>27.554416368129999</v>
      </c>
      <c r="P2" s="2" t="e">
        <f t="shared" si="0"/>
        <v>#N/A</v>
      </c>
      <c r="Q2" s="2">
        <f t="shared" si="0"/>
        <v>62.6079874136</v>
      </c>
      <c r="R2" s="2">
        <f t="shared" si="0"/>
        <v>344.27691872350999</v>
      </c>
      <c r="S2" s="2" t="e">
        <f t="shared" si="0"/>
        <v>#N/A</v>
      </c>
    </row>
    <row r="4" spans="1:19" ht="26.1" customHeight="1" x14ac:dyDescent="0.25">
      <c r="A4" s="33" t="s">
        <v>3</v>
      </c>
      <c r="B4" s="33" t="s">
        <v>4</v>
      </c>
      <c r="C4" s="33" t="s">
        <v>5</v>
      </c>
      <c r="D4" s="33" t="s">
        <v>6</v>
      </c>
      <c r="E4" s="34"/>
      <c r="F4" s="34"/>
      <c r="G4" s="35"/>
      <c r="H4" s="33" t="s">
        <v>7</v>
      </c>
      <c r="I4" s="34"/>
      <c r="J4" s="35"/>
      <c r="K4" s="33" t="s">
        <v>8</v>
      </c>
    </row>
    <row r="5" spans="1:19" ht="18" customHeight="1" x14ac:dyDescent="0.25">
      <c r="A5" s="36"/>
      <c r="B5" s="36"/>
      <c r="C5" s="36"/>
      <c r="D5" s="3" t="s">
        <v>9</v>
      </c>
      <c r="E5" s="3" t="s">
        <v>122</v>
      </c>
      <c r="F5" s="3" t="s">
        <v>123</v>
      </c>
      <c r="G5" s="3" t="s">
        <v>124</v>
      </c>
      <c r="H5" s="3" t="s">
        <v>13</v>
      </c>
      <c r="I5" s="3" t="s">
        <v>14</v>
      </c>
      <c r="J5" s="3" t="s">
        <v>15</v>
      </c>
      <c r="K5" s="36"/>
    </row>
    <row r="6" spans="1:19" x14ac:dyDescent="0.25">
      <c r="A6" s="5">
        <v>46</v>
      </c>
      <c r="B6" s="6" t="s">
        <v>16</v>
      </c>
      <c r="C6" s="7">
        <f>'46'!I45</f>
        <v>27.9739821549</v>
      </c>
      <c r="D6" s="7">
        <f>'46'!F42</f>
        <v>0</v>
      </c>
      <c r="E6" s="7">
        <f>'46'!G42</f>
        <v>27.9739821549</v>
      </c>
      <c r="F6" s="7">
        <f>'46'!H42</f>
        <v>0</v>
      </c>
      <c r="G6" s="7">
        <f>'46'!I42</f>
        <v>0</v>
      </c>
      <c r="H6" s="7">
        <f>'46'!J42</f>
        <v>0</v>
      </c>
      <c r="I6" s="7">
        <f>'46'!K42</f>
        <v>27.9739821549</v>
      </c>
      <c r="J6" s="7">
        <f>'46'!L42</f>
        <v>0</v>
      </c>
      <c r="K6" s="5" t="str">
        <f t="shared" ref="K6:K15" si="1">IF(SUM(D6:G6)=0,"— não preenchido",IF(ROUND(SUM(D6:G6)-C6,3)=0,"OK","ERRO — dif. de "&amp;ROUND(SUM(D6:G6)-C6,3)&amp;" km"))</f>
        <v>OK</v>
      </c>
    </row>
    <row r="7" spans="1:19" x14ac:dyDescent="0.25">
      <c r="A7" s="5">
        <v>47</v>
      </c>
      <c r="B7" s="6" t="s">
        <v>17</v>
      </c>
      <c r="C7" s="7">
        <f>'47'!I63</f>
        <v>43.321832719680003</v>
      </c>
      <c r="D7" s="7">
        <f>'47'!F60</f>
        <v>5</v>
      </c>
      <c r="E7" s="7">
        <f>'47'!G60</f>
        <v>33.321832719680003</v>
      </c>
      <c r="F7" s="7">
        <f>'47'!H60</f>
        <v>5</v>
      </c>
      <c r="G7" s="7">
        <f>'47'!I60</f>
        <v>0</v>
      </c>
      <c r="H7" s="7">
        <f>'47'!J60</f>
        <v>0</v>
      </c>
      <c r="I7" s="7">
        <f>'47'!K60</f>
        <v>43.321832719680003</v>
      </c>
      <c r="J7" s="7">
        <f>'47'!L60</f>
        <v>0</v>
      </c>
      <c r="K7" s="5" t="str">
        <f t="shared" si="1"/>
        <v>OK</v>
      </c>
    </row>
    <row r="8" spans="1:19" x14ac:dyDescent="0.25">
      <c r="A8" s="5">
        <v>48</v>
      </c>
      <c r="B8" s="6" t="s">
        <v>18</v>
      </c>
      <c r="C8" s="7">
        <f>'48'!I112</f>
        <v>92.523276156099996</v>
      </c>
      <c r="D8" s="7">
        <f>'48'!F109</f>
        <v>0</v>
      </c>
      <c r="E8" s="7">
        <f>'48'!G109</f>
        <v>80.523276156099996</v>
      </c>
      <c r="F8" s="7">
        <f>'48'!H109</f>
        <v>12</v>
      </c>
      <c r="G8" s="7">
        <f>'48'!I109</f>
        <v>0</v>
      </c>
      <c r="H8" s="7">
        <f>'48'!J109</f>
        <v>0</v>
      </c>
      <c r="I8" s="7">
        <f>'48'!K109</f>
        <v>92.523276156099996</v>
      </c>
      <c r="J8" s="7">
        <f>'48'!L109</f>
        <v>0</v>
      </c>
      <c r="K8" s="5" t="str">
        <f t="shared" si="1"/>
        <v>OK</v>
      </c>
    </row>
    <row r="9" spans="1:19" x14ac:dyDescent="0.25">
      <c r="A9" s="5">
        <v>49</v>
      </c>
      <c r="B9" s="6" t="s">
        <v>19</v>
      </c>
      <c r="C9" s="7">
        <f>'49'!I112</f>
        <v>91.536749372300008</v>
      </c>
      <c r="D9" s="7">
        <f>'49'!F109</f>
        <v>0</v>
      </c>
      <c r="E9" s="7">
        <f>'49'!G109</f>
        <v>91.536749372300008</v>
      </c>
      <c r="F9" s="7">
        <f>'49'!H109</f>
        <v>0</v>
      </c>
      <c r="G9" s="7">
        <f>'49'!I109</f>
        <v>0</v>
      </c>
      <c r="H9" s="7">
        <f>'49'!J109</f>
        <v>0</v>
      </c>
      <c r="I9" s="7">
        <f>'49'!K109</f>
        <v>91.536749372300008</v>
      </c>
      <c r="J9" s="7">
        <f>'49'!L109</f>
        <v>0</v>
      </c>
      <c r="K9" s="5" t="str">
        <f t="shared" si="1"/>
        <v>OK</v>
      </c>
    </row>
    <row r="10" spans="1:19" x14ac:dyDescent="0.25">
      <c r="A10" s="5">
        <v>59</v>
      </c>
      <c r="B10" s="6" t="s">
        <v>20</v>
      </c>
      <c r="C10" s="7">
        <f>'59'!I61</f>
        <v>43.086791463899999</v>
      </c>
      <c r="D10" s="7">
        <f>'59'!F58</f>
        <v>0</v>
      </c>
      <c r="E10" s="7">
        <f>'59'!G58</f>
        <v>43.086791463899999</v>
      </c>
      <c r="F10" s="7">
        <f>'59'!H58</f>
        <v>0</v>
      </c>
      <c r="G10" s="7">
        <f>'59'!I58</f>
        <v>0</v>
      </c>
      <c r="H10" s="7">
        <f>'59'!J58</f>
        <v>0</v>
      </c>
      <c r="I10" s="7">
        <f>'59'!K58</f>
        <v>43.086791463899999</v>
      </c>
      <c r="J10" s="7">
        <f>'59'!L58</f>
        <v>0</v>
      </c>
      <c r="K10" s="5" t="str">
        <f t="shared" si="1"/>
        <v>OK</v>
      </c>
    </row>
    <row r="11" spans="1:19" x14ac:dyDescent="0.25">
      <c r="A11" s="5">
        <v>60</v>
      </c>
      <c r="B11" s="6" t="s">
        <v>21</v>
      </c>
      <c r="C11" s="7">
        <f>'60'!I47</f>
        <v>29.115564879200001</v>
      </c>
      <c r="D11" s="7">
        <f>'60'!F44</f>
        <v>23.115564879200001</v>
      </c>
      <c r="E11" s="7">
        <f>'60'!G44</f>
        <v>6</v>
      </c>
      <c r="F11" s="7">
        <f>'60'!H44</f>
        <v>0</v>
      </c>
      <c r="G11" s="7">
        <f>'60'!I44</f>
        <v>0</v>
      </c>
      <c r="H11" s="7">
        <f>'60'!J44</f>
        <v>29.115564879200001</v>
      </c>
      <c r="I11" s="7">
        <f>'60'!K44</f>
        <v>0</v>
      </c>
      <c r="J11" s="7">
        <f>'60'!L44</f>
        <v>0</v>
      </c>
      <c r="K11" s="5" t="str">
        <f t="shared" si="1"/>
        <v>OK</v>
      </c>
    </row>
    <row r="12" spans="1:19" x14ac:dyDescent="0.25">
      <c r="A12" s="5">
        <v>62</v>
      </c>
      <c r="B12" s="6" t="s">
        <v>22</v>
      </c>
      <c r="C12" s="7">
        <f>'62'!I33</f>
        <v>13.554416368129999</v>
      </c>
      <c r="D12" s="7">
        <f>'62'!F30</f>
        <v>0</v>
      </c>
      <c r="E12" s="7">
        <f>'62'!G30</f>
        <v>3</v>
      </c>
      <c r="F12" s="7">
        <f>'62'!H30</f>
        <v>10.554416368129999</v>
      </c>
      <c r="G12" s="7">
        <f>'62'!I30</f>
        <v>0</v>
      </c>
      <c r="H12" s="7">
        <f>'62'!J30</f>
        <v>0</v>
      </c>
      <c r="I12" s="7">
        <f>'62'!K30</f>
        <v>13.554416368129999</v>
      </c>
      <c r="J12" s="7">
        <f>'62'!L30</f>
        <v>0</v>
      </c>
      <c r="K12" s="5" t="str">
        <f t="shared" si="1"/>
        <v>OK</v>
      </c>
    </row>
    <row r="13" spans="1:19" x14ac:dyDescent="0.25">
      <c r="A13" s="5">
        <v>64</v>
      </c>
      <c r="B13" s="6" t="s">
        <v>23</v>
      </c>
      <c r="C13" s="7">
        <f>'64'!I34</f>
        <v>16.852537210800001</v>
      </c>
      <c r="D13" s="7">
        <f>'64'!F31</f>
        <v>12.852537210800001</v>
      </c>
      <c r="E13" s="7">
        <f>'64'!G31</f>
        <v>4</v>
      </c>
      <c r="F13" s="7">
        <f>'64'!H31</f>
        <v>0</v>
      </c>
      <c r="G13" s="7">
        <f>'64'!I31</f>
        <v>0</v>
      </c>
      <c r="H13" s="7">
        <f>'64'!J31</f>
        <v>16.852537210800001</v>
      </c>
      <c r="I13" s="7">
        <f>'64'!K31</f>
        <v>0</v>
      </c>
      <c r="J13" s="7">
        <f>'64'!L31</f>
        <v>0</v>
      </c>
      <c r="K13" s="5" t="str">
        <f t="shared" si="1"/>
        <v>OK</v>
      </c>
    </row>
    <row r="14" spans="1:19" x14ac:dyDescent="0.25">
      <c r="A14" s="5">
        <v>65</v>
      </c>
      <c r="B14" s="6" t="s">
        <v>24</v>
      </c>
      <c r="C14" s="7">
        <f>'65'!I34</f>
        <v>16.639885323600001</v>
      </c>
      <c r="D14" s="7">
        <f>'65'!F31</f>
        <v>13.639885323600001</v>
      </c>
      <c r="E14" s="7">
        <f>'65'!G31</f>
        <v>3</v>
      </c>
      <c r="F14" s="7">
        <f>'65'!H31</f>
        <v>0</v>
      </c>
      <c r="G14" s="7">
        <f>'65'!I31</f>
        <v>0</v>
      </c>
      <c r="H14" s="7">
        <f>'65'!J31</f>
        <v>16.639885323600001</v>
      </c>
      <c r="I14" s="7">
        <f>'65'!K31</f>
        <v>0</v>
      </c>
      <c r="J14" s="7">
        <f>'65'!L31</f>
        <v>0</v>
      </c>
      <c r="K14" s="5" t="str">
        <f t="shared" si="1"/>
        <v>OK</v>
      </c>
    </row>
    <row r="15" spans="1:19" x14ac:dyDescent="0.25">
      <c r="A15" s="5">
        <v>66</v>
      </c>
      <c r="B15" s="6" t="s">
        <v>25</v>
      </c>
      <c r="C15" s="7">
        <f>'66'!I50</f>
        <v>32.279870488500002</v>
      </c>
      <c r="D15" s="7">
        <f>'66'!F47</f>
        <v>0</v>
      </c>
      <c r="E15" s="7">
        <f>'66'!G47</f>
        <v>32.279870488500002</v>
      </c>
      <c r="F15" s="7">
        <f>'66'!H47</f>
        <v>0</v>
      </c>
      <c r="G15" s="7">
        <f>'66'!I47</f>
        <v>0</v>
      </c>
      <c r="H15" s="7">
        <f>'66'!J47</f>
        <v>0</v>
      </c>
      <c r="I15" s="7">
        <f>'66'!K47</f>
        <v>32.279870488500002</v>
      </c>
      <c r="J15" s="7">
        <f>'66'!L47</f>
        <v>0</v>
      </c>
      <c r="K15" s="5" t="str">
        <f t="shared" si="1"/>
        <v>OK</v>
      </c>
    </row>
    <row r="16" spans="1:19" x14ac:dyDescent="0.25">
      <c r="B16" s="8" t="s">
        <v>26</v>
      </c>
      <c r="C16" s="9">
        <f t="shared" ref="C16:J16" si="2">SUM(C6:C15)</f>
        <v>406.88490613711002</v>
      </c>
      <c r="D16" s="9">
        <f t="shared" si="2"/>
        <v>54.6079874136</v>
      </c>
      <c r="E16" s="9">
        <f t="shared" si="2"/>
        <v>324.72250235538002</v>
      </c>
      <c r="F16" s="9">
        <f t="shared" si="2"/>
        <v>27.554416368129999</v>
      </c>
      <c r="G16" s="9">
        <f t="shared" si="2"/>
        <v>0</v>
      </c>
      <c r="H16" s="9">
        <f t="shared" si="2"/>
        <v>62.6079874136</v>
      </c>
      <c r="I16" s="9">
        <f t="shared" si="2"/>
        <v>344.27691872350999</v>
      </c>
      <c r="J16" s="9">
        <f t="shared" si="2"/>
        <v>0</v>
      </c>
    </row>
    <row r="17" spans="2:8" x14ac:dyDescent="0.25">
      <c r="B17" s="8" t="s">
        <v>27</v>
      </c>
      <c r="D17" s="10">
        <f>SUM(D16:G16)/406.88</f>
        <v>1.000012057946102</v>
      </c>
      <c r="H17" s="11" t="s">
        <v>28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5">
    <cfRule type="expression" dxfId="61" priority="1">
      <formula>LEFT(K6,4)="ERRO"</formula>
    </cfRule>
    <cfRule type="expression" dxfId="60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V57"/>
  <sheetViews>
    <sheetView showGridLines="0" zoomScale="89" zoomScaleNormal="89" workbookViewId="0">
      <pane xSplit="5" ySplit="7" topLeftCell="F8" activePane="bottomRight" state="frozen"/>
      <selection activeCell="G11" sqref="G11"/>
      <selection pane="topRight" activeCell="G11" sqref="G11"/>
      <selection pane="bottomLeft" activeCell="G11" sqref="G11"/>
      <selection pane="bottomRight" activeCell="G11" sqref="G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v>46235</v>
      </c>
      <c r="G2" s="46" t="s">
        <v>32</v>
      </c>
      <c r="H2" s="32"/>
      <c r="I2" s="14"/>
      <c r="J2" s="12" t="s">
        <v>33</v>
      </c>
      <c r="K2" s="48" t="s">
        <v>121</v>
      </c>
      <c r="L2" s="49"/>
      <c r="M2" s="50"/>
      <c r="P2" s="2" t="e">
        <f t="shared" ref="P2:V2" si="0">IF(F42=0,NA(),F42)</f>
        <v>#N/A</v>
      </c>
      <c r="Q2" s="2">
        <f t="shared" si="0"/>
        <v>27.9739821549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27.9739821549</v>
      </c>
      <c r="V2" s="2" t="e">
        <f t="shared" si="0"/>
        <v>#N/A</v>
      </c>
    </row>
    <row r="3" spans="1:22" ht="15" customHeight="1" x14ac:dyDescent="0.25">
      <c r="A3" s="51" t="s">
        <v>34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35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44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45</v>
      </c>
      <c r="B9" s="16" t="s">
        <v>46</v>
      </c>
      <c r="C9" s="17">
        <v>0</v>
      </c>
      <c r="D9" s="17">
        <v>1</v>
      </c>
      <c r="E9" s="17">
        <f t="shared" ref="E9:E36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36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45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45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45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45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45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45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45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45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45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45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45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45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45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45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45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45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45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45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45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45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45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45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45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45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45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45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21" t="s">
        <v>45</v>
      </c>
      <c r="B36" s="22" t="s">
        <v>46</v>
      </c>
      <c r="C36" s="23">
        <v>27</v>
      </c>
      <c r="D36" s="23">
        <v>27.9739821549</v>
      </c>
      <c r="E36" s="23">
        <f t="shared" si="1"/>
        <v>0.97398215489999984</v>
      </c>
      <c r="F36" s="24"/>
      <c r="G36" s="24" t="s">
        <v>47</v>
      </c>
      <c r="H36" s="24"/>
      <c r="I36" s="24"/>
      <c r="J36" s="24"/>
      <c r="K36" s="24" t="s">
        <v>47</v>
      </c>
      <c r="L36" s="24"/>
      <c r="M36" s="25"/>
      <c r="N36" s="26" t="str">
        <f t="shared" si="2"/>
        <v>OK</v>
      </c>
    </row>
    <row r="38" spans="1:14" x14ac:dyDescent="0.25">
      <c r="A38" s="38" t="s">
        <v>48</v>
      </c>
      <c r="B38" s="32"/>
      <c r="C38" s="32"/>
      <c r="D38" s="32"/>
      <c r="E38" s="32"/>
      <c r="G38" s="38" t="s">
        <v>48</v>
      </c>
      <c r="H38" s="32"/>
      <c r="I38" s="32"/>
      <c r="J38" s="32"/>
      <c r="K38" s="32"/>
    </row>
    <row r="39" spans="1:14" x14ac:dyDescent="0.25">
      <c r="A39" s="43" t="s">
        <v>49</v>
      </c>
      <c r="B39" s="32"/>
      <c r="C39" s="32"/>
      <c r="D39" s="32"/>
      <c r="E39" s="32"/>
      <c r="G39" s="43" t="s">
        <v>50</v>
      </c>
      <c r="H39" s="32"/>
      <c r="I39" s="32"/>
      <c r="J39" s="32"/>
      <c r="K39" s="32"/>
    </row>
    <row r="41" spans="1:14" x14ac:dyDescent="0.25">
      <c r="A41" s="41" t="s">
        <v>51</v>
      </c>
      <c r="B41" s="32"/>
      <c r="C41" s="32"/>
      <c r="D41" s="32"/>
      <c r="E41" s="32"/>
      <c r="F41" s="27"/>
      <c r="G41" s="27"/>
      <c r="H41" s="27"/>
      <c r="I41" s="27"/>
      <c r="J41" s="27"/>
      <c r="K41" s="27"/>
      <c r="L41" s="27"/>
      <c r="M41" s="27"/>
    </row>
    <row r="42" spans="1:14" x14ac:dyDescent="0.25">
      <c r="A42" s="39" t="s">
        <v>52</v>
      </c>
      <c r="B42" s="32"/>
      <c r="C42" s="32"/>
      <c r="D42" s="32"/>
      <c r="E42" s="32"/>
      <c r="F42" s="9">
        <f t="shared" ref="F42:L42" si="3">SUMIF(F$9:F$36,"X",$E$9:$E$36)</f>
        <v>0</v>
      </c>
      <c r="G42" s="9">
        <f t="shared" si="3"/>
        <v>27.9739821549</v>
      </c>
      <c r="H42" s="9">
        <f t="shared" si="3"/>
        <v>0</v>
      </c>
      <c r="I42" s="9">
        <f t="shared" si="3"/>
        <v>0</v>
      </c>
      <c r="J42" s="9">
        <f t="shared" si="3"/>
        <v>0</v>
      </c>
      <c r="K42" s="9">
        <f t="shared" si="3"/>
        <v>27.9739821549</v>
      </c>
      <c r="L42" s="9">
        <f t="shared" si="3"/>
        <v>0</v>
      </c>
    </row>
    <row r="43" spans="1:14" x14ac:dyDescent="0.25">
      <c r="A43" s="39" t="s">
        <v>53</v>
      </c>
      <c r="B43" s="32"/>
      <c r="C43" s="32"/>
      <c r="D43" s="32"/>
      <c r="E43" s="32"/>
      <c r="F43" s="28">
        <f t="shared" ref="F43:L43" si="4">IF($I45=0,0,F42/$I45)</f>
        <v>0</v>
      </c>
      <c r="G43" s="28">
        <f t="shared" si="4"/>
        <v>1</v>
      </c>
      <c r="H43" s="28">
        <f t="shared" si="4"/>
        <v>0</v>
      </c>
      <c r="I43" s="28">
        <f t="shared" si="4"/>
        <v>0</v>
      </c>
      <c r="J43" s="28">
        <f t="shared" si="4"/>
        <v>0</v>
      </c>
      <c r="K43" s="28">
        <f t="shared" si="4"/>
        <v>1</v>
      </c>
      <c r="L43" s="28">
        <f t="shared" si="4"/>
        <v>0</v>
      </c>
    </row>
    <row r="44" spans="1:14" x14ac:dyDescent="0.25">
      <c r="A44" s="39" t="s">
        <v>54</v>
      </c>
      <c r="B44" s="32"/>
      <c r="C44" s="32"/>
      <c r="D44" s="32"/>
      <c r="E44" s="32"/>
      <c r="F44" s="42" t="str">
        <f>IF(SUM(F42:I42)=0,"— não preenchido",IF(ROUND(SUM(F42:I42)-$I45,3)=0,"OK — "&amp;ROUND(SUM(F42:I42),3)&amp;" km","ERRO — dif. de "&amp;ROUND(SUM(F42:I42)-$I45,3)&amp;" km"))</f>
        <v>OK — 27,974 km</v>
      </c>
      <c r="G44" s="34"/>
      <c r="H44" s="34"/>
      <c r="I44" s="35"/>
      <c r="J44" s="42" t="str">
        <f>IF(SUM(J42:L42)=0,"— não preenchido",IF(ROUND(SUM(J42:L42)-$I45,3)=0,"OK — "&amp;ROUND(SUM(J42:L42),3)&amp;" km","ERRO — dif. de "&amp;ROUND(SUM(J42:L42)-$I45,3)&amp;" km"))</f>
        <v>OK — 27,974 km</v>
      </c>
      <c r="K44" s="34"/>
      <c r="L44" s="35"/>
    </row>
    <row r="45" spans="1:14" x14ac:dyDescent="0.25">
      <c r="A45" s="39" t="s">
        <v>55</v>
      </c>
      <c r="B45" s="32"/>
      <c r="C45" s="32"/>
      <c r="D45" s="32"/>
      <c r="E45" s="32"/>
      <c r="I45" s="29">
        <f>SUM(E9:E36)</f>
        <v>27.9739821549</v>
      </c>
      <c r="M45" s="8" t="str">
        <f>COUNTIF(N9:N36,"OK")&amp;" de "&amp;COUNT($E$9:$E$36)&amp;" linhas conferidas"</f>
        <v>28 de 28 linhas conferidas</v>
      </c>
    </row>
    <row r="47" spans="1:14" x14ac:dyDescent="0.25">
      <c r="A47" s="45" t="s">
        <v>56</v>
      </c>
      <c r="B47" s="32"/>
      <c r="C47" s="32"/>
      <c r="D47" s="32"/>
      <c r="E47" s="32"/>
    </row>
    <row r="48" spans="1:14" x14ac:dyDescent="0.25">
      <c r="A48" s="39" t="s">
        <v>10</v>
      </c>
      <c r="B48" s="32"/>
      <c r="C48" s="32"/>
      <c r="D48" s="32"/>
      <c r="E48" s="40" t="s">
        <v>57</v>
      </c>
      <c r="F48" s="32"/>
      <c r="G48" s="32"/>
      <c r="H48" s="32"/>
      <c r="I48" s="32"/>
      <c r="J48" s="32"/>
      <c r="K48" s="32"/>
      <c r="L48" s="32"/>
      <c r="M48" s="32"/>
    </row>
    <row r="49" spans="1:13" x14ac:dyDescent="0.25">
      <c r="A49" s="39" t="s">
        <v>11</v>
      </c>
      <c r="B49" s="32"/>
      <c r="C49" s="32"/>
      <c r="D49" s="32"/>
      <c r="E49" s="40" t="s">
        <v>58</v>
      </c>
      <c r="F49" s="32"/>
      <c r="G49" s="32"/>
      <c r="H49" s="32"/>
      <c r="I49" s="32"/>
      <c r="J49" s="32"/>
      <c r="K49" s="32"/>
      <c r="L49" s="32"/>
      <c r="M49" s="32"/>
    </row>
    <row r="50" spans="1:13" x14ac:dyDescent="0.25">
      <c r="A50" s="39" t="s">
        <v>12</v>
      </c>
      <c r="B50" s="32"/>
      <c r="C50" s="32"/>
      <c r="D50" s="32"/>
      <c r="E50" s="40" t="s">
        <v>59</v>
      </c>
      <c r="F50" s="32"/>
      <c r="G50" s="32"/>
      <c r="H50" s="32"/>
      <c r="I50" s="32"/>
      <c r="J50" s="32"/>
      <c r="K50" s="32"/>
      <c r="L50" s="32"/>
      <c r="M50" s="32"/>
    </row>
    <row r="51" spans="1:13" x14ac:dyDescent="0.25">
      <c r="A51" s="39" t="s">
        <v>60</v>
      </c>
      <c r="B51" s="32"/>
      <c r="C51" s="32"/>
      <c r="D51" s="32"/>
      <c r="E51" s="40" t="s">
        <v>61</v>
      </c>
      <c r="F51" s="32"/>
      <c r="G51" s="32"/>
      <c r="H51" s="32"/>
      <c r="I51" s="32"/>
      <c r="J51" s="32"/>
      <c r="K51" s="32"/>
      <c r="L51" s="32"/>
      <c r="M51" s="32"/>
    </row>
    <row r="52" spans="1:13" x14ac:dyDescent="0.25">
      <c r="A52" s="39" t="s">
        <v>62</v>
      </c>
      <c r="B52" s="32"/>
      <c r="C52" s="32"/>
      <c r="D52" s="32"/>
      <c r="E52" s="40" t="s">
        <v>63</v>
      </c>
      <c r="F52" s="32"/>
      <c r="G52" s="32"/>
      <c r="H52" s="32"/>
      <c r="I52" s="32"/>
      <c r="J52" s="32"/>
      <c r="K52" s="32"/>
      <c r="L52" s="32"/>
      <c r="M52" s="32"/>
    </row>
    <row r="53" spans="1:13" x14ac:dyDescent="0.25">
      <c r="A53" s="39" t="s">
        <v>64</v>
      </c>
      <c r="B53" s="32"/>
      <c r="C53" s="32"/>
      <c r="D53" s="32"/>
      <c r="E53" s="40" t="s">
        <v>65</v>
      </c>
      <c r="F53" s="32"/>
      <c r="G53" s="32"/>
      <c r="H53" s="32"/>
      <c r="I53" s="32"/>
      <c r="J53" s="32"/>
      <c r="K53" s="32"/>
      <c r="L53" s="32"/>
      <c r="M53" s="32"/>
    </row>
    <row r="54" spans="1:13" x14ac:dyDescent="0.25">
      <c r="A54" s="39" t="s">
        <v>38</v>
      </c>
      <c r="B54" s="32"/>
      <c r="C54" s="32"/>
      <c r="D54" s="32"/>
      <c r="E54" s="40" t="s">
        <v>66</v>
      </c>
      <c r="F54" s="32"/>
      <c r="G54" s="32"/>
      <c r="H54" s="32"/>
      <c r="I54" s="32"/>
      <c r="J54" s="32"/>
      <c r="K54" s="32"/>
      <c r="L54" s="32"/>
      <c r="M54" s="32"/>
    </row>
    <row r="55" spans="1:13" x14ac:dyDescent="0.25">
      <c r="A55" s="39" t="s">
        <v>67</v>
      </c>
      <c r="B55" s="32"/>
      <c r="C55" s="32"/>
      <c r="D55" s="32"/>
      <c r="E55" s="40" t="s">
        <v>68</v>
      </c>
      <c r="F55" s="32"/>
      <c r="G55" s="32"/>
      <c r="H55" s="32"/>
      <c r="I55" s="32"/>
      <c r="J55" s="32"/>
      <c r="K55" s="32"/>
      <c r="L55" s="32"/>
      <c r="M55" s="32"/>
    </row>
    <row r="56" spans="1:13" x14ac:dyDescent="0.25">
      <c r="A56" s="39" t="s">
        <v>69</v>
      </c>
      <c r="B56" s="32"/>
      <c r="C56" s="32"/>
      <c r="D56" s="32"/>
      <c r="E56" s="40" t="s">
        <v>70</v>
      </c>
      <c r="F56" s="32"/>
      <c r="G56" s="32"/>
      <c r="H56" s="32"/>
      <c r="I56" s="32"/>
      <c r="J56" s="32"/>
      <c r="K56" s="32"/>
      <c r="L56" s="32"/>
      <c r="M56" s="32"/>
    </row>
    <row r="57" spans="1:13" x14ac:dyDescent="0.25">
      <c r="A57" s="39" t="s">
        <v>8</v>
      </c>
      <c r="B57" s="32"/>
      <c r="C57" s="32"/>
      <c r="D57" s="32"/>
      <c r="E57" s="40" t="s">
        <v>71</v>
      </c>
      <c r="F57" s="32"/>
      <c r="G57" s="32"/>
      <c r="H57" s="32"/>
      <c r="I57" s="32"/>
      <c r="J57" s="32"/>
      <c r="K57" s="32"/>
      <c r="L57" s="32"/>
      <c r="M57" s="32"/>
    </row>
  </sheetData>
  <sheetProtection formatCells="0"/>
  <mergeCells count="50">
    <mergeCell ref="N6:N7"/>
    <mergeCell ref="E53:M53"/>
    <mergeCell ref="K3:M3"/>
    <mergeCell ref="E50:M50"/>
    <mergeCell ref="J44:L44"/>
    <mergeCell ref="A43:E43"/>
    <mergeCell ref="A38:E38"/>
    <mergeCell ref="A50:D50"/>
    <mergeCell ref="A3:J3"/>
    <mergeCell ref="E52:M52"/>
    <mergeCell ref="E48:M48"/>
    <mergeCell ref="C6:C7"/>
    <mergeCell ref="A44:E44"/>
    <mergeCell ref="D6:D7"/>
    <mergeCell ref="E51:M51"/>
    <mergeCell ref="E49:M49"/>
    <mergeCell ref="E56:M56"/>
    <mergeCell ref="E55:M55"/>
    <mergeCell ref="A56:D56"/>
    <mergeCell ref="A55:D55"/>
    <mergeCell ref="A51:D51"/>
    <mergeCell ref="A45:E45"/>
    <mergeCell ref="A6:A7"/>
    <mergeCell ref="A1:M1"/>
    <mergeCell ref="A42:E42"/>
    <mergeCell ref="A54:D54"/>
    <mergeCell ref="A47:E47"/>
    <mergeCell ref="B6:B7"/>
    <mergeCell ref="G2:H2"/>
    <mergeCell ref="A4:M4"/>
    <mergeCell ref="G39:K39"/>
    <mergeCell ref="A2:C2"/>
    <mergeCell ref="K2:M2"/>
    <mergeCell ref="D2:E2"/>
    <mergeCell ref="G38:K38"/>
    <mergeCell ref="A48:D48"/>
    <mergeCell ref="E57:M57"/>
    <mergeCell ref="F6:I6"/>
    <mergeCell ref="E54:M54"/>
    <mergeCell ref="A57:D57"/>
    <mergeCell ref="A41:E41"/>
    <mergeCell ref="F44:I44"/>
    <mergeCell ref="M6:M7"/>
    <mergeCell ref="E6:E7"/>
    <mergeCell ref="A49:D49"/>
    <mergeCell ref="A39:E39"/>
    <mergeCell ref="J6:L6"/>
    <mergeCell ref="A53:D53"/>
    <mergeCell ref="A8:M8"/>
    <mergeCell ref="A52:D52"/>
  </mergeCells>
  <conditionalFormatting sqref="F9:I36">
    <cfRule type="expression" dxfId="59" priority="1">
      <formula>AND(F9&lt;&gt;"",COUNTIF($F9:$I9,"X")&gt;1)</formula>
    </cfRule>
  </conditionalFormatting>
  <conditionalFormatting sqref="F44:L44">
    <cfRule type="expression" dxfId="58" priority="5">
      <formula>LEFT(F44,4)="ERRO"</formula>
    </cfRule>
    <cfRule type="expression" dxfId="57" priority="6">
      <formula>LEFT(F44,2)="OK"</formula>
    </cfRule>
  </conditionalFormatting>
  <conditionalFormatting sqref="J9:L36">
    <cfRule type="expression" dxfId="56" priority="2">
      <formula>AND(J9&lt;&gt;"",COUNTIF($J9:$L9,"X")&gt;1)</formula>
    </cfRule>
  </conditionalFormatting>
  <conditionalFormatting sqref="N9:N36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6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6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36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46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V75"/>
  <sheetViews>
    <sheetView showGridLines="0" workbookViewId="0">
      <pane xSplit="5" ySplit="7" topLeftCell="F8" activePane="bottomRight" state="frozen"/>
      <selection activeCell="G11" sqref="G11"/>
      <selection pane="topRight" activeCell="G11" sqref="G11"/>
      <selection pane="bottomLeft" activeCell="G11" sqref="G11"/>
      <selection pane="bottomRight" activeCell="G11" sqref="G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>
        <f t="shared" ref="P2:V2" si="0">IF(F60=0,NA(),F60)</f>
        <v>5</v>
      </c>
      <c r="Q2" s="2">
        <f t="shared" si="0"/>
        <v>33.321832719680003</v>
      </c>
      <c r="R2" s="2">
        <f t="shared" si="0"/>
        <v>5</v>
      </c>
      <c r="S2" s="2" t="e">
        <f t="shared" si="0"/>
        <v>#N/A</v>
      </c>
      <c r="T2" s="2" t="e">
        <f t="shared" si="0"/>
        <v>#N/A</v>
      </c>
      <c r="U2" s="2">
        <f t="shared" si="0"/>
        <v>43.321832719680003</v>
      </c>
      <c r="V2" s="2" t="e">
        <f t="shared" si="0"/>
        <v>#N/A</v>
      </c>
    </row>
    <row r="3" spans="1:22" ht="15" customHeight="1" x14ac:dyDescent="0.25">
      <c r="A3" s="51" t="s">
        <v>72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73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74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75</v>
      </c>
      <c r="B9" s="16" t="s">
        <v>46</v>
      </c>
      <c r="C9" s="17">
        <v>0</v>
      </c>
      <c r="D9" s="17">
        <v>1</v>
      </c>
      <c r="E9" s="17">
        <f t="shared" ref="E9:E18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1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75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75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75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47</v>
      </c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75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75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75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75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75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21" t="s">
        <v>75</v>
      </c>
      <c r="B18" s="22" t="s">
        <v>46</v>
      </c>
      <c r="C18" s="23">
        <v>9</v>
      </c>
      <c r="D18" s="23">
        <v>9.0092407100800003</v>
      </c>
      <c r="E18" s="23">
        <f t="shared" si="1"/>
        <v>9.2407100800002695E-3</v>
      </c>
      <c r="F18" s="24"/>
      <c r="G18" s="24" t="s">
        <v>47</v>
      </c>
      <c r="H18" s="24"/>
      <c r="I18" s="24"/>
      <c r="J18" s="24"/>
      <c r="K18" s="24" t="s">
        <v>47</v>
      </c>
      <c r="L18" s="24"/>
      <c r="M18" s="25"/>
      <c r="N18" s="26" t="str">
        <f t="shared" si="2"/>
        <v>OK</v>
      </c>
    </row>
    <row r="19" spans="1:14" ht="15.95" customHeight="1" x14ac:dyDescent="0.25">
      <c r="A19" s="44" t="s">
        <v>76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4"/>
    </row>
    <row r="20" spans="1:14" ht="20.100000000000001" customHeight="1" x14ac:dyDescent="0.25">
      <c r="A20" s="15" t="s">
        <v>77</v>
      </c>
      <c r="B20" s="16" t="s">
        <v>46</v>
      </c>
      <c r="C20" s="17">
        <v>0</v>
      </c>
      <c r="D20" s="17">
        <v>1</v>
      </c>
      <c r="E20" s="17">
        <f t="shared" ref="E20:E54" si="3">D20-C20</f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ref="N20:N54" si="4">IF(COUNTA(F20:L20)=0,"— não preenchido",IF(COUNTIF(F20:I20,"X")&lt;&gt;1,"FALTA/DUPLA: CONDIÇÃO DA PLATAFORMA",IF(COUNTIF(J20:L20,"X")&lt;&gt;1,"FALTA/DUPLA: DRENAGEM SUPERFICIAL","OK")))</f>
        <v>OK</v>
      </c>
    </row>
    <row r="21" spans="1:14" ht="20.100000000000001" customHeight="1" x14ac:dyDescent="0.25">
      <c r="A21" s="15" t="s">
        <v>77</v>
      </c>
      <c r="B21" s="16" t="s">
        <v>46</v>
      </c>
      <c r="C21" s="17">
        <v>1</v>
      </c>
      <c r="D21" s="17">
        <v>2</v>
      </c>
      <c r="E21" s="17">
        <f t="shared" si="3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4"/>
        <v>OK</v>
      </c>
    </row>
    <row r="22" spans="1:14" ht="20.100000000000001" customHeight="1" x14ac:dyDescent="0.25">
      <c r="A22" s="15" t="s">
        <v>77</v>
      </c>
      <c r="B22" s="16" t="s">
        <v>46</v>
      </c>
      <c r="C22" s="17">
        <v>2</v>
      </c>
      <c r="D22" s="17">
        <v>3</v>
      </c>
      <c r="E22" s="17">
        <f t="shared" si="3"/>
        <v>1</v>
      </c>
      <c r="F22" s="18"/>
      <c r="G22" s="18"/>
      <c r="H22" s="18" t="s">
        <v>47</v>
      </c>
      <c r="I22" s="18"/>
      <c r="J22" s="18"/>
      <c r="K22" s="18" t="s">
        <v>47</v>
      </c>
      <c r="L22" s="18"/>
      <c r="M22" s="19"/>
      <c r="N22" s="20" t="str">
        <f t="shared" si="4"/>
        <v>OK</v>
      </c>
    </row>
    <row r="23" spans="1:14" ht="20.100000000000001" customHeight="1" x14ac:dyDescent="0.25">
      <c r="A23" s="15" t="s">
        <v>77</v>
      </c>
      <c r="B23" s="16" t="s">
        <v>46</v>
      </c>
      <c r="C23" s="17">
        <v>3</v>
      </c>
      <c r="D23" s="17">
        <v>4</v>
      </c>
      <c r="E23" s="17">
        <f t="shared" si="3"/>
        <v>1</v>
      </c>
      <c r="F23" s="18"/>
      <c r="G23" s="18"/>
      <c r="H23" s="18" t="s">
        <v>47</v>
      </c>
      <c r="I23" s="18"/>
      <c r="J23" s="18"/>
      <c r="K23" s="18" t="s">
        <v>47</v>
      </c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77</v>
      </c>
      <c r="B24" s="16" t="s">
        <v>46</v>
      </c>
      <c r="C24" s="17">
        <v>4</v>
      </c>
      <c r="D24" s="17">
        <v>5</v>
      </c>
      <c r="E24" s="17">
        <f t="shared" si="3"/>
        <v>1</v>
      </c>
      <c r="F24" s="18"/>
      <c r="G24" s="18"/>
      <c r="H24" s="18" t="s">
        <v>47</v>
      </c>
      <c r="I24" s="18"/>
      <c r="J24" s="18"/>
      <c r="K24" s="18" t="s">
        <v>47</v>
      </c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77</v>
      </c>
      <c r="B25" s="16" t="s">
        <v>46</v>
      </c>
      <c r="C25" s="17">
        <v>5</v>
      </c>
      <c r="D25" s="17">
        <v>6</v>
      </c>
      <c r="E25" s="17">
        <f t="shared" si="3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77</v>
      </c>
      <c r="B26" s="16" t="s">
        <v>46</v>
      </c>
      <c r="C26" s="17">
        <v>6</v>
      </c>
      <c r="D26" s="17">
        <v>7</v>
      </c>
      <c r="E26" s="17">
        <f t="shared" si="3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77</v>
      </c>
      <c r="B27" s="16" t="s">
        <v>46</v>
      </c>
      <c r="C27" s="17">
        <v>7</v>
      </c>
      <c r="D27" s="17">
        <v>8</v>
      </c>
      <c r="E27" s="17">
        <f t="shared" si="3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77</v>
      </c>
      <c r="B28" s="16" t="s">
        <v>46</v>
      </c>
      <c r="C28" s="17">
        <v>8</v>
      </c>
      <c r="D28" s="17">
        <v>9</v>
      </c>
      <c r="E28" s="17">
        <f t="shared" si="3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77</v>
      </c>
      <c r="B29" s="16" t="s">
        <v>46</v>
      </c>
      <c r="C29" s="17">
        <v>9</v>
      </c>
      <c r="D29" s="17">
        <v>10</v>
      </c>
      <c r="E29" s="17">
        <f t="shared" si="3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77</v>
      </c>
      <c r="B30" s="16" t="s">
        <v>46</v>
      </c>
      <c r="C30" s="17">
        <v>10</v>
      </c>
      <c r="D30" s="17">
        <v>11</v>
      </c>
      <c r="E30" s="17">
        <f t="shared" si="3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77</v>
      </c>
      <c r="B31" s="16" t="s">
        <v>46</v>
      </c>
      <c r="C31" s="17">
        <v>11</v>
      </c>
      <c r="D31" s="17">
        <v>12</v>
      </c>
      <c r="E31" s="17">
        <f t="shared" si="3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77</v>
      </c>
      <c r="B32" s="16" t="s">
        <v>46</v>
      </c>
      <c r="C32" s="17">
        <v>12</v>
      </c>
      <c r="D32" s="17">
        <v>13</v>
      </c>
      <c r="E32" s="17">
        <f t="shared" si="3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77</v>
      </c>
      <c r="B33" s="16" t="s">
        <v>46</v>
      </c>
      <c r="C33" s="17">
        <v>13</v>
      </c>
      <c r="D33" s="17">
        <v>14</v>
      </c>
      <c r="E33" s="17">
        <f t="shared" si="3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77</v>
      </c>
      <c r="B34" s="16" t="s">
        <v>46</v>
      </c>
      <c r="C34" s="17">
        <v>14</v>
      </c>
      <c r="D34" s="17">
        <v>15</v>
      </c>
      <c r="E34" s="17">
        <f t="shared" si="3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77</v>
      </c>
      <c r="B35" s="16" t="s">
        <v>46</v>
      </c>
      <c r="C35" s="17">
        <v>15</v>
      </c>
      <c r="D35" s="17">
        <v>16</v>
      </c>
      <c r="E35" s="17">
        <f t="shared" si="3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77</v>
      </c>
      <c r="B36" s="16" t="s">
        <v>46</v>
      </c>
      <c r="C36" s="17">
        <v>16</v>
      </c>
      <c r="D36" s="17">
        <v>17</v>
      </c>
      <c r="E36" s="17">
        <f t="shared" si="3"/>
        <v>1</v>
      </c>
      <c r="F36" s="18" t="s">
        <v>47</v>
      </c>
      <c r="G36" s="18"/>
      <c r="H36" s="18"/>
      <c r="I36" s="18"/>
      <c r="J36" s="18"/>
      <c r="K36" s="18" t="s">
        <v>47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77</v>
      </c>
      <c r="B37" s="16" t="s">
        <v>46</v>
      </c>
      <c r="C37" s="17">
        <v>17</v>
      </c>
      <c r="D37" s="17">
        <v>18</v>
      </c>
      <c r="E37" s="17">
        <f t="shared" si="3"/>
        <v>1</v>
      </c>
      <c r="F37" s="18" t="s">
        <v>47</v>
      </c>
      <c r="G37" s="18"/>
      <c r="H37" s="18"/>
      <c r="I37" s="18"/>
      <c r="J37" s="18"/>
      <c r="K37" s="18" t="s">
        <v>47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77</v>
      </c>
      <c r="B38" s="16" t="s">
        <v>46</v>
      </c>
      <c r="C38" s="17">
        <v>18</v>
      </c>
      <c r="D38" s="17">
        <v>19</v>
      </c>
      <c r="E38" s="17">
        <f t="shared" si="3"/>
        <v>1</v>
      </c>
      <c r="F38" s="18" t="s">
        <v>47</v>
      </c>
      <c r="G38" s="18"/>
      <c r="H38" s="18"/>
      <c r="I38" s="18"/>
      <c r="J38" s="18"/>
      <c r="K38" s="18" t="s">
        <v>47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77</v>
      </c>
      <c r="B39" s="16" t="s">
        <v>46</v>
      </c>
      <c r="C39" s="17">
        <v>19</v>
      </c>
      <c r="D39" s="17">
        <v>20</v>
      </c>
      <c r="E39" s="17">
        <f t="shared" si="3"/>
        <v>1</v>
      </c>
      <c r="F39" s="18" t="s">
        <v>47</v>
      </c>
      <c r="G39" s="18"/>
      <c r="H39" s="18"/>
      <c r="I39" s="18"/>
      <c r="J39" s="18"/>
      <c r="K39" s="18" t="s">
        <v>47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77</v>
      </c>
      <c r="B40" s="16" t="s">
        <v>46</v>
      </c>
      <c r="C40" s="17">
        <v>20</v>
      </c>
      <c r="D40" s="17">
        <v>21</v>
      </c>
      <c r="E40" s="17">
        <f t="shared" si="3"/>
        <v>1</v>
      </c>
      <c r="F40" s="18" t="s">
        <v>47</v>
      </c>
      <c r="G40" s="18"/>
      <c r="H40" s="18"/>
      <c r="I40" s="18"/>
      <c r="J40" s="18"/>
      <c r="K40" s="18" t="s">
        <v>47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77</v>
      </c>
      <c r="B41" s="16" t="s">
        <v>46</v>
      </c>
      <c r="C41" s="17">
        <v>21</v>
      </c>
      <c r="D41" s="17">
        <v>22</v>
      </c>
      <c r="E41" s="17">
        <f t="shared" si="3"/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77</v>
      </c>
      <c r="B42" s="16" t="s">
        <v>46</v>
      </c>
      <c r="C42" s="17">
        <v>22</v>
      </c>
      <c r="D42" s="17">
        <v>23</v>
      </c>
      <c r="E42" s="17">
        <f t="shared" si="3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77</v>
      </c>
      <c r="B43" s="16" t="s">
        <v>46</v>
      </c>
      <c r="C43" s="17">
        <v>23</v>
      </c>
      <c r="D43" s="17">
        <v>24</v>
      </c>
      <c r="E43" s="17">
        <f t="shared" si="3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77</v>
      </c>
      <c r="B44" s="16" t="s">
        <v>46</v>
      </c>
      <c r="C44" s="17">
        <v>24</v>
      </c>
      <c r="D44" s="17">
        <v>25</v>
      </c>
      <c r="E44" s="17">
        <f t="shared" si="3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77</v>
      </c>
      <c r="B45" s="16" t="s">
        <v>46</v>
      </c>
      <c r="C45" s="17">
        <v>25</v>
      </c>
      <c r="D45" s="17">
        <v>26</v>
      </c>
      <c r="E45" s="17">
        <f t="shared" si="3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77</v>
      </c>
      <c r="B46" s="16" t="s">
        <v>46</v>
      </c>
      <c r="C46" s="17">
        <v>26</v>
      </c>
      <c r="D46" s="17">
        <v>27</v>
      </c>
      <c r="E46" s="17">
        <f t="shared" si="3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77</v>
      </c>
      <c r="B47" s="16" t="s">
        <v>46</v>
      </c>
      <c r="C47" s="17">
        <v>27</v>
      </c>
      <c r="D47" s="17">
        <v>28</v>
      </c>
      <c r="E47" s="17">
        <f t="shared" si="3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77</v>
      </c>
      <c r="B48" s="16" t="s">
        <v>46</v>
      </c>
      <c r="C48" s="17">
        <v>28</v>
      </c>
      <c r="D48" s="17">
        <v>29</v>
      </c>
      <c r="E48" s="17">
        <f t="shared" si="3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77</v>
      </c>
      <c r="B49" s="16" t="s">
        <v>46</v>
      </c>
      <c r="C49" s="17">
        <v>29</v>
      </c>
      <c r="D49" s="17">
        <v>30</v>
      </c>
      <c r="E49" s="17">
        <f t="shared" si="3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77</v>
      </c>
      <c r="B50" s="16" t="s">
        <v>46</v>
      </c>
      <c r="C50" s="17">
        <v>30</v>
      </c>
      <c r="D50" s="17">
        <v>31</v>
      </c>
      <c r="E50" s="17">
        <f t="shared" si="3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77</v>
      </c>
      <c r="B51" s="16" t="s">
        <v>46</v>
      </c>
      <c r="C51" s="17">
        <v>31</v>
      </c>
      <c r="D51" s="17">
        <v>32</v>
      </c>
      <c r="E51" s="17">
        <f t="shared" si="3"/>
        <v>1</v>
      </c>
      <c r="F51" s="18"/>
      <c r="G51" s="18"/>
      <c r="H51" s="18" t="s">
        <v>47</v>
      </c>
      <c r="I51" s="18"/>
      <c r="J51" s="18"/>
      <c r="K51" s="18" t="s">
        <v>47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77</v>
      </c>
      <c r="B52" s="16" t="s">
        <v>46</v>
      </c>
      <c r="C52" s="17">
        <v>32</v>
      </c>
      <c r="D52" s="17">
        <v>33</v>
      </c>
      <c r="E52" s="17">
        <f t="shared" si="3"/>
        <v>1</v>
      </c>
      <c r="F52" s="18"/>
      <c r="G52" s="18" t="s">
        <v>47</v>
      </c>
      <c r="H52" s="18"/>
      <c r="I52" s="18"/>
      <c r="J52" s="18"/>
      <c r="K52" s="18" t="s">
        <v>47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77</v>
      </c>
      <c r="B53" s="16" t="s">
        <v>46</v>
      </c>
      <c r="C53" s="17">
        <v>33</v>
      </c>
      <c r="D53" s="17">
        <v>34</v>
      </c>
      <c r="E53" s="17">
        <f t="shared" si="3"/>
        <v>1</v>
      </c>
      <c r="F53" s="18"/>
      <c r="G53" s="18" t="s">
        <v>47</v>
      </c>
      <c r="H53" s="18"/>
      <c r="I53" s="18"/>
      <c r="J53" s="18"/>
      <c r="K53" s="18" t="s">
        <v>47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21" t="s">
        <v>77</v>
      </c>
      <c r="B54" s="22" t="s">
        <v>46</v>
      </c>
      <c r="C54" s="23">
        <v>34</v>
      </c>
      <c r="D54" s="23">
        <v>34.312592009600003</v>
      </c>
      <c r="E54" s="23">
        <f t="shared" si="3"/>
        <v>0.312592009600003</v>
      </c>
      <c r="F54" s="24"/>
      <c r="G54" s="24" t="s">
        <v>47</v>
      </c>
      <c r="H54" s="24"/>
      <c r="I54" s="24"/>
      <c r="J54" s="24"/>
      <c r="K54" s="24" t="s">
        <v>47</v>
      </c>
      <c r="L54" s="24"/>
      <c r="M54" s="25"/>
      <c r="N54" s="26" t="str">
        <f t="shared" si="4"/>
        <v>OK</v>
      </c>
    </row>
    <row r="56" spans="1:14" x14ac:dyDescent="0.25">
      <c r="A56" s="38" t="s">
        <v>48</v>
      </c>
      <c r="B56" s="32"/>
      <c r="C56" s="32"/>
      <c r="D56" s="32"/>
      <c r="E56" s="32"/>
      <c r="G56" s="38" t="s">
        <v>48</v>
      </c>
      <c r="H56" s="32"/>
      <c r="I56" s="32"/>
      <c r="J56" s="32"/>
      <c r="K56" s="32"/>
    </row>
    <row r="57" spans="1:14" x14ac:dyDescent="0.25">
      <c r="A57" s="43" t="s">
        <v>49</v>
      </c>
      <c r="B57" s="32"/>
      <c r="C57" s="32"/>
      <c r="D57" s="32"/>
      <c r="E57" s="32"/>
      <c r="G57" s="43" t="s">
        <v>50</v>
      </c>
      <c r="H57" s="32"/>
      <c r="I57" s="32"/>
      <c r="J57" s="32"/>
      <c r="K57" s="32"/>
    </row>
    <row r="59" spans="1:14" x14ac:dyDescent="0.25">
      <c r="A59" s="41" t="s">
        <v>51</v>
      </c>
      <c r="B59" s="32"/>
      <c r="C59" s="32"/>
      <c r="D59" s="32"/>
      <c r="E59" s="32"/>
      <c r="F59" s="27"/>
      <c r="G59" s="27"/>
      <c r="H59" s="27"/>
      <c r="I59" s="27"/>
      <c r="J59" s="27"/>
      <c r="K59" s="27"/>
      <c r="L59" s="27"/>
      <c r="M59" s="27"/>
    </row>
    <row r="60" spans="1:14" x14ac:dyDescent="0.25">
      <c r="A60" s="39" t="s">
        <v>52</v>
      </c>
      <c r="B60" s="32"/>
      <c r="C60" s="32"/>
      <c r="D60" s="32"/>
      <c r="E60" s="32"/>
      <c r="F60" s="9">
        <f t="shared" ref="F60:L60" si="5">SUMIF(F$9:F$54,"X",$E$9:$E$54)</f>
        <v>5</v>
      </c>
      <c r="G60" s="9">
        <f t="shared" si="5"/>
        <v>33.321832719680003</v>
      </c>
      <c r="H60" s="9">
        <f t="shared" si="5"/>
        <v>5</v>
      </c>
      <c r="I60" s="9">
        <f t="shared" si="5"/>
        <v>0</v>
      </c>
      <c r="J60" s="9">
        <f t="shared" si="5"/>
        <v>0</v>
      </c>
      <c r="K60" s="9">
        <f t="shared" si="5"/>
        <v>43.321832719680003</v>
      </c>
      <c r="L60" s="9">
        <f t="shared" si="5"/>
        <v>0</v>
      </c>
    </row>
    <row r="61" spans="1:14" x14ac:dyDescent="0.25">
      <c r="A61" s="39" t="s">
        <v>53</v>
      </c>
      <c r="B61" s="32"/>
      <c r="C61" s="32"/>
      <c r="D61" s="32"/>
      <c r="E61" s="32"/>
      <c r="F61" s="28">
        <f t="shared" ref="F61:L61" si="6">IF($I63=0,0,F60/$I63)</f>
        <v>0.11541524644982593</v>
      </c>
      <c r="G61" s="28">
        <f t="shared" si="6"/>
        <v>0.76916950710034815</v>
      </c>
      <c r="H61" s="28">
        <f t="shared" si="6"/>
        <v>0.11541524644982593</v>
      </c>
      <c r="I61" s="28">
        <f t="shared" si="6"/>
        <v>0</v>
      </c>
      <c r="J61" s="28">
        <f t="shared" si="6"/>
        <v>0</v>
      </c>
      <c r="K61" s="28">
        <f t="shared" si="6"/>
        <v>1</v>
      </c>
      <c r="L61" s="28">
        <f t="shared" si="6"/>
        <v>0</v>
      </c>
    </row>
    <row r="62" spans="1:14" x14ac:dyDescent="0.25">
      <c r="A62" s="39" t="s">
        <v>54</v>
      </c>
      <c r="B62" s="32"/>
      <c r="C62" s="32"/>
      <c r="D62" s="32"/>
      <c r="E62" s="32"/>
      <c r="F62" s="42" t="str">
        <f>IF(SUM(F60:I60)=0,"— não preenchido",IF(ROUND(SUM(F60:I60)-$I63,3)=0,"OK — "&amp;ROUND(SUM(F60:I60),3)&amp;" km","ERRO — dif. de "&amp;ROUND(SUM(F60:I60)-$I63,3)&amp;" km"))</f>
        <v>OK — 43,322 km</v>
      </c>
      <c r="G62" s="34"/>
      <c r="H62" s="34"/>
      <c r="I62" s="35"/>
      <c r="J62" s="42" t="str">
        <f>IF(SUM(J60:L60)=0,"— não preenchido",IF(ROUND(SUM(J60:L60)-$I63,3)=0,"OK — "&amp;ROUND(SUM(J60:L60),3)&amp;" km","ERRO — dif. de "&amp;ROUND(SUM(J60:L60)-$I63,3)&amp;" km"))</f>
        <v>OK — 43,322 km</v>
      </c>
      <c r="K62" s="34"/>
      <c r="L62" s="35"/>
    </row>
    <row r="63" spans="1:14" x14ac:dyDescent="0.25">
      <c r="A63" s="39" t="s">
        <v>55</v>
      </c>
      <c r="B63" s="32"/>
      <c r="C63" s="32"/>
      <c r="D63" s="32"/>
      <c r="E63" s="32"/>
      <c r="I63" s="29">
        <f>SUM(E9:E54)</f>
        <v>43.321832719680003</v>
      </c>
      <c r="M63" s="8" t="str">
        <f>COUNTIF(N9:N54,"OK")&amp;" de "&amp;COUNT($E$9:$E$54)&amp;" linhas conferidas"</f>
        <v>45 de 45 linhas conferidas</v>
      </c>
    </row>
    <row r="65" spans="1:13" x14ac:dyDescent="0.25">
      <c r="A65" s="45" t="s">
        <v>56</v>
      </c>
      <c r="B65" s="32"/>
      <c r="C65" s="32"/>
      <c r="D65" s="32"/>
      <c r="E65" s="32"/>
    </row>
    <row r="66" spans="1:13" x14ac:dyDescent="0.25">
      <c r="A66" s="39" t="s">
        <v>10</v>
      </c>
      <c r="B66" s="32"/>
      <c r="C66" s="32"/>
      <c r="D66" s="32"/>
      <c r="E66" s="40" t="s">
        <v>57</v>
      </c>
      <c r="F66" s="32"/>
      <c r="G66" s="32"/>
      <c r="H66" s="32"/>
      <c r="I66" s="32"/>
      <c r="J66" s="32"/>
      <c r="K66" s="32"/>
      <c r="L66" s="32"/>
      <c r="M66" s="32"/>
    </row>
    <row r="67" spans="1:13" x14ac:dyDescent="0.25">
      <c r="A67" s="39" t="s">
        <v>11</v>
      </c>
      <c r="B67" s="32"/>
      <c r="C67" s="32"/>
      <c r="D67" s="32"/>
      <c r="E67" s="40" t="s">
        <v>58</v>
      </c>
      <c r="F67" s="32"/>
      <c r="G67" s="32"/>
      <c r="H67" s="32"/>
      <c r="I67" s="32"/>
      <c r="J67" s="32"/>
      <c r="K67" s="32"/>
      <c r="L67" s="32"/>
      <c r="M67" s="32"/>
    </row>
    <row r="68" spans="1:13" x14ac:dyDescent="0.25">
      <c r="A68" s="39" t="s">
        <v>12</v>
      </c>
      <c r="B68" s="32"/>
      <c r="C68" s="32"/>
      <c r="D68" s="32"/>
      <c r="E68" s="40" t="s">
        <v>59</v>
      </c>
      <c r="F68" s="32"/>
      <c r="G68" s="32"/>
      <c r="H68" s="32"/>
      <c r="I68" s="32"/>
      <c r="J68" s="32"/>
      <c r="K68" s="32"/>
      <c r="L68" s="32"/>
      <c r="M68" s="32"/>
    </row>
    <row r="69" spans="1:13" x14ac:dyDescent="0.25">
      <c r="A69" s="39" t="s">
        <v>60</v>
      </c>
      <c r="B69" s="32"/>
      <c r="C69" s="32"/>
      <c r="D69" s="32"/>
      <c r="E69" s="40" t="s">
        <v>61</v>
      </c>
      <c r="F69" s="32"/>
      <c r="G69" s="32"/>
      <c r="H69" s="32"/>
      <c r="I69" s="32"/>
      <c r="J69" s="32"/>
      <c r="K69" s="32"/>
      <c r="L69" s="32"/>
      <c r="M69" s="32"/>
    </row>
    <row r="70" spans="1:13" x14ac:dyDescent="0.25">
      <c r="A70" s="39" t="s">
        <v>62</v>
      </c>
      <c r="B70" s="32"/>
      <c r="C70" s="32"/>
      <c r="D70" s="32"/>
      <c r="E70" s="40" t="s">
        <v>63</v>
      </c>
      <c r="F70" s="32"/>
      <c r="G70" s="32"/>
      <c r="H70" s="32"/>
      <c r="I70" s="32"/>
      <c r="J70" s="32"/>
      <c r="K70" s="32"/>
      <c r="L70" s="32"/>
      <c r="M70" s="32"/>
    </row>
    <row r="71" spans="1:13" x14ac:dyDescent="0.25">
      <c r="A71" s="39" t="s">
        <v>64</v>
      </c>
      <c r="B71" s="32"/>
      <c r="C71" s="32"/>
      <c r="D71" s="32"/>
      <c r="E71" s="40" t="s">
        <v>65</v>
      </c>
      <c r="F71" s="32"/>
      <c r="G71" s="32"/>
      <c r="H71" s="32"/>
      <c r="I71" s="32"/>
      <c r="J71" s="32"/>
      <c r="K71" s="32"/>
      <c r="L71" s="32"/>
      <c r="M71" s="32"/>
    </row>
    <row r="72" spans="1:13" x14ac:dyDescent="0.25">
      <c r="A72" s="39" t="s">
        <v>38</v>
      </c>
      <c r="B72" s="32"/>
      <c r="C72" s="32"/>
      <c r="D72" s="32"/>
      <c r="E72" s="40" t="s">
        <v>66</v>
      </c>
      <c r="F72" s="32"/>
      <c r="G72" s="32"/>
      <c r="H72" s="32"/>
      <c r="I72" s="32"/>
      <c r="J72" s="32"/>
      <c r="K72" s="32"/>
      <c r="L72" s="32"/>
      <c r="M72" s="32"/>
    </row>
    <row r="73" spans="1:13" x14ac:dyDescent="0.25">
      <c r="A73" s="39" t="s">
        <v>67</v>
      </c>
      <c r="B73" s="32"/>
      <c r="C73" s="32"/>
      <c r="D73" s="32"/>
      <c r="E73" s="40" t="s">
        <v>68</v>
      </c>
      <c r="F73" s="32"/>
      <c r="G73" s="32"/>
      <c r="H73" s="32"/>
      <c r="I73" s="32"/>
      <c r="J73" s="32"/>
      <c r="K73" s="32"/>
      <c r="L73" s="32"/>
      <c r="M73" s="32"/>
    </row>
    <row r="74" spans="1:13" x14ac:dyDescent="0.25">
      <c r="A74" s="39" t="s">
        <v>69</v>
      </c>
      <c r="B74" s="32"/>
      <c r="C74" s="32"/>
      <c r="D74" s="32"/>
      <c r="E74" s="40" t="s">
        <v>70</v>
      </c>
      <c r="F74" s="32"/>
      <c r="G74" s="32"/>
      <c r="H74" s="32"/>
      <c r="I74" s="32"/>
      <c r="J74" s="32"/>
      <c r="K74" s="32"/>
      <c r="L74" s="32"/>
      <c r="M74" s="32"/>
    </row>
    <row r="75" spans="1:13" x14ac:dyDescent="0.25">
      <c r="A75" s="39" t="s">
        <v>8</v>
      </c>
      <c r="B75" s="32"/>
      <c r="C75" s="32"/>
      <c r="D75" s="32"/>
      <c r="E75" s="40" t="s">
        <v>71</v>
      </c>
      <c r="F75" s="32"/>
      <c r="G75" s="32"/>
      <c r="H75" s="32"/>
      <c r="I75" s="32"/>
      <c r="J75" s="32"/>
      <c r="K75" s="32"/>
      <c r="L75" s="32"/>
      <c r="M75" s="32"/>
    </row>
  </sheetData>
  <sheetProtection formatCells="0"/>
  <mergeCells count="51">
    <mergeCell ref="N6:N7"/>
    <mergeCell ref="K3:M3"/>
    <mergeCell ref="A66:D66"/>
    <mergeCell ref="A75:D75"/>
    <mergeCell ref="E68:M68"/>
    <mergeCell ref="A62:E62"/>
    <mergeCell ref="E71:M71"/>
    <mergeCell ref="A74:D74"/>
    <mergeCell ref="E67:M67"/>
    <mergeCell ref="A3:J3"/>
    <mergeCell ref="A63:E63"/>
    <mergeCell ref="F62:I62"/>
    <mergeCell ref="C6:C7"/>
    <mergeCell ref="A71:D71"/>
    <mergeCell ref="D6:D7"/>
    <mergeCell ref="E73:M73"/>
    <mergeCell ref="A1:M1"/>
    <mergeCell ref="A57:E57"/>
    <mergeCell ref="J62:L62"/>
    <mergeCell ref="A69:D69"/>
    <mergeCell ref="E75:M75"/>
    <mergeCell ref="E66:M66"/>
    <mergeCell ref="E74:M74"/>
    <mergeCell ref="A2:C2"/>
    <mergeCell ref="A68:D68"/>
    <mergeCell ref="A19:M19"/>
    <mergeCell ref="K2:M2"/>
    <mergeCell ref="A65:E65"/>
    <mergeCell ref="A67:D67"/>
    <mergeCell ref="D2:E2"/>
    <mergeCell ref="M6:M7"/>
    <mergeCell ref="G57:K57"/>
    <mergeCell ref="A73:D73"/>
    <mergeCell ref="B6:B7"/>
    <mergeCell ref="A56:E56"/>
    <mergeCell ref="F6:I6"/>
    <mergeCell ref="A60:E60"/>
    <mergeCell ref="G2:H2"/>
    <mergeCell ref="A8:M8"/>
    <mergeCell ref="A4:M4"/>
    <mergeCell ref="A72:D72"/>
    <mergeCell ref="E69:M69"/>
    <mergeCell ref="A6:A7"/>
    <mergeCell ref="A61:E61"/>
    <mergeCell ref="A70:D70"/>
    <mergeCell ref="E72:M72"/>
    <mergeCell ref="G56:K56"/>
    <mergeCell ref="J6:L6"/>
    <mergeCell ref="A59:E59"/>
    <mergeCell ref="E6:E7"/>
    <mergeCell ref="E70:M70"/>
  </mergeCells>
  <conditionalFormatting sqref="F9:I54">
    <cfRule type="expression" dxfId="53" priority="1">
      <formula>AND(F9&lt;&gt;"",COUNTIF($F9:$I9,"X")&gt;1)</formula>
    </cfRule>
  </conditionalFormatting>
  <conditionalFormatting sqref="F62:L62">
    <cfRule type="expression" dxfId="52" priority="5">
      <formula>LEFT(F62,4)="ERRO"</formula>
    </cfRule>
    <cfRule type="expression" dxfId="51" priority="6">
      <formula>LEFT(F62,2)="OK"</formula>
    </cfRule>
  </conditionalFormatting>
  <conditionalFormatting sqref="J9:L54">
    <cfRule type="expression" dxfId="50" priority="2">
      <formula>AND(J9&lt;&gt;"",COUNTIF($J9:$L9,"X")&gt;1)</formula>
    </cfRule>
  </conditionalFormatting>
  <conditionalFormatting sqref="N9:N54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4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4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54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47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V12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F6" sqref="F6:I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 t="e">
        <f t="shared" ref="P2:V2" si="0">IF(F109=0,NA(),F109)</f>
        <v>#N/A</v>
      </c>
      <c r="Q2" s="2">
        <f t="shared" si="0"/>
        <v>80.523276156099996</v>
      </c>
      <c r="R2" s="2">
        <f t="shared" si="0"/>
        <v>12</v>
      </c>
      <c r="S2" s="2" t="e">
        <f t="shared" si="0"/>
        <v>#N/A</v>
      </c>
      <c r="T2" s="2" t="e">
        <f t="shared" si="0"/>
        <v>#N/A</v>
      </c>
      <c r="U2" s="2">
        <f t="shared" si="0"/>
        <v>92.523276156099996</v>
      </c>
      <c r="V2" s="2" t="e">
        <f t="shared" si="0"/>
        <v>#N/A</v>
      </c>
    </row>
    <row r="3" spans="1:22" ht="15" customHeight="1" x14ac:dyDescent="0.25">
      <c r="A3" s="51" t="s">
        <v>78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79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80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81</v>
      </c>
      <c r="B9" s="16" t="s">
        <v>46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81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81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81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81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81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81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47</v>
      </c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81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47</v>
      </c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81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81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81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81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81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81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81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81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81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47</v>
      </c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81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47</v>
      </c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81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81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81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30"/>
      <c r="H29" s="18" t="s">
        <v>47</v>
      </c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81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81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30"/>
      <c r="H31" s="18" t="s">
        <v>47</v>
      </c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81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81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81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81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81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81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81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81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81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81</v>
      </c>
      <c r="B41" s="16" t="s">
        <v>46</v>
      </c>
      <c r="C41" s="17">
        <v>32</v>
      </c>
      <c r="D41" s="17">
        <v>33</v>
      </c>
      <c r="E41" s="17">
        <f t="shared" ref="E41:E60" si="3">D41-C41</f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ref="N41:N60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81</v>
      </c>
      <c r="B42" s="16" t="s">
        <v>46</v>
      </c>
      <c r="C42" s="17">
        <v>33</v>
      </c>
      <c r="D42" s="17">
        <v>34</v>
      </c>
      <c r="E42" s="17">
        <f t="shared" si="3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81</v>
      </c>
      <c r="B43" s="16" t="s">
        <v>46</v>
      </c>
      <c r="C43" s="17">
        <v>34</v>
      </c>
      <c r="D43" s="17">
        <v>35</v>
      </c>
      <c r="E43" s="17">
        <f t="shared" si="3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81</v>
      </c>
      <c r="B44" s="16" t="s">
        <v>46</v>
      </c>
      <c r="C44" s="17">
        <v>35</v>
      </c>
      <c r="D44" s="17">
        <v>36</v>
      </c>
      <c r="E44" s="17">
        <f t="shared" si="3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81</v>
      </c>
      <c r="B45" s="16" t="s">
        <v>46</v>
      </c>
      <c r="C45" s="17">
        <v>36</v>
      </c>
      <c r="D45" s="17">
        <v>37</v>
      </c>
      <c r="E45" s="17">
        <f t="shared" si="3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81</v>
      </c>
      <c r="B46" s="16" t="s">
        <v>46</v>
      </c>
      <c r="C46" s="17">
        <v>37</v>
      </c>
      <c r="D46" s="17">
        <v>38</v>
      </c>
      <c r="E46" s="17">
        <f t="shared" si="3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81</v>
      </c>
      <c r="B47" s="16" t="s">
        <v>46</v>
      </c>
      <c r="C47" s="17">
        <v>38</v>
      </c>
      <c r="D47" s="17">
        <v>39</v>
      </c>
      <c r="E47" s="17">
        <f t="shared" si="3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81</v>
      </c>
      <c r="B48" s="16" t="s">
        <v>46</v>
      </c>
      <c r="C48" s="17">
        <v>39</v>
      </c>
      <c r="D48" s="17">
        <v>40</v>
      </c>
      <c r="E48" s="17">
        <f t="shared" si="3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81</v>
      </c>
      <c r="B49" s="16" t="s">
        <v>46</v>
      </c>
      <c r="C49" s="17">
        <v>40</v>
      </c>
      <c r="D49" s="17">
        <v>41</v>
      </c>
      <c r="E49" s="17">
        <f t="shared" si="3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81</v>
      </c>
      <c r="B50" s="16" t="s">
        <v>46</v>
      </c>
      <c r="C50" s="17">
        <v>41</v>
      </c>
      <c r="D50" s="17">
        <v>42</v>
      </c>
      <c r="E50" s="17">
        <f t="shared" si="3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81</v>
      </c>
      <c r="B51" s="16" t="s">
        <v>46</v>
      </c>
      <c r="C51" s="17">
        <v>42</v>
      </c>
      <c r="D51" s="17">
        <v>43</v>
      </c>
      <c r="E51" s="17">
        <f t="shared" si="3"/>
        <v>1</v>
      </c>
      <c r="F51" s="18"/>
      <c r="G51" s="18" t="s">
        <v>47</v>
      </c>
      <c r="H51" s="18"/>
      <c r="I51" s="18"/>
      <c r="J51" s="18"/>
      <c r="K51" s="18" t="s">
        <v>47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81</v>
      </c>
      <c r="B52" s="16" t="s">
        <v>46</v>
      </c>
      <c r="C52" s="17">
        <v>43</v>
      </c>
      <c r="D52" s="17">
        <v>44</v>
      </c>
      <c r="E52" s="17">
        <f t="shared" si="3"/>
        <v>1</v>
      </c>
      <c r="F52" s="18"/>
      <c r="G52" s="18" t="s">
        <v>47</v>
      </c>
      <c r="H52" s="18"/>
      <c r="I52" s="18"/>
      <c r="J52" s="18"/>
      <c r="K52" s="18" t="s">
        <v>47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81</v>
      </c>
      <c r="B53" s="16" t="s">
        <v>46</v>
      </c>
      <c r="C53" s="17">
        <v>44</v>
      </c>
      <c r="D53" s="17">
        <v>45</v>
      </c>
      <c r="E53" s="17">
        <f t="shared" si="3"/>
        <v>1</v>
      </c>
      <c r="F53" s="18"/>
      <c r="G53" s="18" t="s">
        <v>47</v>
      </c>
      <c r="H53" s="18"/>
      <c r="I53" s="18"/>
      <c r="J53" s="18"/>
      <c r="K53" s="18" t="s">
        <v>47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81</v>
      </c>
      <c r="B54" s="16" t="s">
        <v>46</v>
      </c>
      <c r="C54" s="17">
        <v>45</v>
      </c>
      <c r="D54" s="17">
        <v>46</v>
      </c>
      <c r="E54" s="17">
        <f t="shared" si="3"/>
        <v>1</v>
      </c>
      <c r="F54" s="18"/>
      <c r="G54" s="18" t="s">
        <v>47</v>
      </c>
      <c r="H54" s="18"/>
      <c r="I54" s="18"/>
      <c r="J54" s="18"/>
      <c r="K54" s="18" t="s">
        <v>47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81</v>
      </c>
      <c r="B55" s="16" t="s">
        <v>46</v>
      </c>
      <c r="C55" s="17">
        <v>46</v>
      </c>
      <c r="D55" s="17">
        <v>47</v>
      </c>
      <c r="E55" s="17">
        <f t="shared" si="3"/>
        <v>1</v>
      </c>
      <c r="F55" s="18"/>
      <c r="G55" s="18" t="s">
        <v>47</v>
      </c>
      <c r="H55" s="18"/>
      <c r="I55" s="18"/>
      <c r="J55" s="18"/>
      <c r="K55" s="18" t="s">
        <v>47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81</v>
      </c>
      <c r="B56" s="16" t="s">
        <v>46</v>
      </c>
      <c r="C56" s="17">
        <v>47</v>
      </c>
      <c r="D56" s="17">
        <v>48</v>
      </c>
      <c r="E56" s="17">
        <f t="shared" si="3"/>
        <v>1</v>
      </c>
      <c r="F56" s="18"/>
      <c r="G56" s="18" t="s">
        <v>47</v>
      </c>
      <c r="H56" s="18"/>
      <c r="I56" s="18"/>
      <c r="J56" s="18"/>
      <c r="K56" s="18" t="s">
        <v>47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81</v>
      </c>
      <c r="B57" s="16" t="s">
        <v>46</v>
      </c>
      <c r="C57" s="17">
        <v>48</v>
      </c>
      <c r="D57" s="17">
        <v>49</v>
      </c>
      <c r="E57" s="17">
        <f t="shared" si="3"/>
        <v>1</v>
      </c>
      <c r="F57" s="18"/>
      <c r="G57" s="18" t="s">
        <v>47</v>
      </c>
      <c r="H57" s="18"/>
      <c r="I57" s="18"/>
      <c r="J57" s="18"/>
      <c r="K57" s="18" t="s">
        <v>47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81</v>
      </c>
      <c r="B58" s="16" t="s">
        <v>46</v>
      </c>
      <c r="C58" s="17">
        <v>49</v>
      </c>
      <c r="D58" s="17">
        <v>50</v>
      </c>
      <c r="E58" s="17">
        <f t="shared" si="3"/>
        <v>1</v>
      </c>
      <c r="F58" s="18"/>
      <c r="G58" s="18" t="s">
        <v>47</v>
      </c>
      <c r="H58" s="18"/>
      <c r="I58" s="18"/>
      <c r="J58" s="18"/>
      <c r="K58" s="18" t="s">
        <v>47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81</v>
      </c>
      <c r="B59" s="16" t="s">
        <v>46</v>
      </c>
      <c r="C59" s="17">
        <v>50</v>
      </c>
      <c r="D59" s="17">
        <v>51</v>
      </c>
      <c r="E59" s="17">
        <f t="shared" si="3"/>
        <v>1</v>
      </c>
      <c r="F59" s="18"/>
      <c r="G59" s="18" t="s">
        <v>47</v>
      </c>
      <c r="H59" s="18"/>
      <c r="I59" s="18"/>
      <c r="J59" s="18"/>
      <c r="K59" s="18" t="s">
        <v>47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21" t="s">
        <v>81</v>
      </c>
      <c r="B60" s="22" t="s">
        <v>46</v>
      </c>
      <c r="C60" s="23">
        <v>51</v>
      </c>
      <c r="D60" s="23">
        <v>51.5343878045</v>
      </c>
      <c r="E60" s="23">
        <f t="shared" si="3"/>
        <v>0.53438780449999967</v>
      </c>
      <c r="F60" s="24"/>
      <c r="G60" s="24" t="s">
        <v>47</v>
      </c>
      <c r="H60" s="24"/>
      <c r="I60" s="24"/>
      <c r="J60" s="24"/>
      <c r="K60" s="24" t="s">
        <v>47</v>
      </c>
      <c r="L60" s="24"/>
      <c r="M60" s="25"/>
      <c r="N60" s="26" t="str">
        <f t="shared" si="4"/>
        <v>OK</v>
      </c>
    </row>
    <row r="61" spans="1:14" ht="15" customHeight="1" x14ac:dyDescent="0.25">
      <c r="A61" s="52" t="s">
        <v>82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5"/>
      <c r="N61" s="4"/>
    </row>
    <row r="62" spans="1:14" ht="15.95" customHeight="1" x14ac:dyDescent="0.25">
      <c r="A62" s="44" t="s">
        <v>83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5"/>
      <c r="N62" s="4"/>
    </row>
    <row r="63" spans="1:14" ht="20.100000000000001" customHeight="1" x14ac:dyDescent="0.25">
      <c r="A63" s="15" t="s">
        <v>84</v>
      </c>
      <c r="B63" s="16" t="s">
        <v>46</v>
      </c>
      <c r="C63" s="17">
        <v>0</v>
      </c>
      <c r="D63" s="17">
        <v>1</v>
      </c>
      <c r="E63" s="17">
        <f t="shared" ref="E63:E103" si="5">D63-C63</f>
        <v>1</v>
      </c>
      <c r="F63" s="18"/>
      <c r="G63" s="18" t="s">
        <v>47</v>
      </c>
      <c r="H63" s="18"/>
      <c r="I63" s="18"/>
      <c r="J63" s="18"/>
      <c r="K63" s="18" t="s">
        <v>47</v>
      </c>
      <c r="L63" s="18"/>
      <c r="M63" s="19"/>
      <c r="N63" s="20" t="str">
        <f t="shared" ref="N63:N103" si="6">IF(COUNTA(F63:L63)=0,"— não preenchido",IF(COUNTIF(F63:I63,"X")&lt;&gt;1,"FALTA/DUPLA: CONDIÇÃO DA PLATAFORMA",IF(COUNTIF(J63:L63,"X")&lt;&gt;1,"FALTA/DUPLA: DRENAGEM SUPERFICIAL","OK")))</f>
        <v>OK</v>
      </c>
    </row>
    <row r="64" spans="1:14" ht="20.100000000000001" customHeight="1" x14ac:dyDescent="0.25">
      <c r="A64" s="15" t="s">
        <v>84</v>
      </c>
      <c r="B64" s="16" t="s">
        <v>46</v>
      </c>
      <c r="C64" s="17">
        <v>1</v>
      </c>
      <c r="D64" s="17">
        <v>2</v>
      </c>
      <c r="E64" s="17">
        <f t="shared" si="5"/>
        <v>1</v>
      </c>
      <c r="F64" s="18"/>
      <c r="G64" s="18" t="s">
        <v>47</v>
      </c>
      <c r="H64" s="18"/>
      <c r="I64" s="18"/>
      <c r="J64" s="18"/>
      <c r="K64" s="18" t="s">
        <v>47</v>
      </c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84</v>
      </c>
      <c r="B65" s="16" t="s">
        <v>46</v>
      </c>
      <c r="C65" s="17">
        <v>2</v>
      </c>
      <c r="D65" s="17">
        <v>3</v>
      </c>
      <c r="E65" s="17">
        <f t="shared" si="5"/>
        <v>1</v>
      </c>
      <c r="F65" s="18"/>
      <c r="G65" s="18" t="s">
        <v>47</v>
      </c>
      <c r="H65" s="18"/>
      <c r="I65" s="18"/>
      <c r="J65" s="18"/>
      <c r="K65" s="18" t="s">
        <v>47</v>
      </c>
      <c r="L65" s="18"/>
      <c r="M65" s="19"/>
      <c r="N65" s="20" t="str">
        <f t="shared" si="6"/>
        <v>OK</v>
      </c>
    </row>
    <row r="66" spans="1:14" ht="20.100000000000001" customHeight="1" x14ac:dyDescent="0.25">
      <c r="A66" s="15" t="s">
        <v>84</v>
      </c>
      <c r="B66" s="16" t="s">
        <v>46</v>
      </c>
      <c r="C66" s="17">
        <v>3</v>
      </c>
      <c r="D66" s="17">
        <v>4</v>
      </c>
      <c r="E66" s="17">
        <f t="shared" si="5"/>
        <v>1</v>
      </c>
      <c r="F66" s="18"/>
      <c r="G66" s="18" t="s">
        <v>47</v>
      </c>
      <c r="H66" s="18"/>
      <c r="I66" s="18"/>
      <c r="J66" s="18"/>
      <c r="K66" s="18" t="s">
        <v>47</v>
      </c>
      <c r="L66" s="18"/>
      <c r="M66" s="19"/>
      <c r="N66" s="20" t="str">
        <f t="shared" si="6"/>
        <v>OK</v>
      </c>
    </row>
    <row r="67" spans="1:14" ht="20.100000000000001" customHeight="1" x14ac:dyDescent="0.25">
      <c r="A67" s="15" t="s">
        <v>84</v>
      </c>
      <c r="B67" s="16" t="s">
        <v>46</v>
      </c>
      <c r="C67" s="17">
        <v>4</v>
      </c>
      <c r="D67" s="17">
        <v>5</v>
      </c>
      <c r="E67" s="17">
        <f t="shared" si="5"/>
        <v>1</v>
      </c>
      <c r="F67" s="18"/>
      <c r="G67" s="18" t="s">
        <v>47</v>
      </c>
      <c r="H67" s="18"/>
      <c r="I67" s="18"/>
      <c r="J67" s="18"/>
      <c r="K67" s="18" t="s">
        <v>47</v>
      </c>
      <c r="L67" s="18"/>
      <c r="M67" s="19"/>
      <c r="N67" s="20" t="str">
        <f t="shared" si="6"/>
        <v>OK</v>
      </c>
    </row>
    <row r="68" spans="1:14" ht="20.100000000000001" customHeight="1" x14ac:dyDescent="0.25">
      <c r="A68" s="15" t="s">
        <v>84</v>
      </c>
      <c r="B68" s="16" t="s">
        <v>46</v>
      </c>
      <c r="C68" s="17">
        <v>5</v>
      </c>
      <c r="D68" s="17">
        <v>6</v>
      </c>
      <c r="E68" s="17">
        <f t="shared" si="5"/>
        <v>1</v>
      </c>
      <c r="F68" s="18"/>
      <c r="G68" s="18"/>
      <c r="H68" s="18" t="s">
        <v>47</v>
      </c>
      <c r="I68" s="18"/>
      <c r="J68" s="18"/>
      <c r="K68" s="18" t="s">
        <v>47</v>
      </c>
      <c r="L68" s="18"/>
      <c r="M68" s="19"/>
      <c r="N68" s="20" t="str">
        <f t="shared" si="6"/>
        <v>OK</v>
      </c>
    </row>
    <row r="69" spans="1:14" ht="20.100000000000001" customHeight="1" x14ac:dyDescent="0.25">
      <c r="A69" s="15" t="s">
        <v>84</v>
      </c>
      <c r="B69" s="16" t="s">
        <v>46</v>
      </c>
      <c r="C69" s="17">
        <v>6</v>
      </c>
      <c r="D69" s="17">
        <v>7</v>
      </c>
      <c r="E69" s="17">
        <f t="shared" si="5"/>
        <v>1</v>
      </c>
      <c r="F69" s="18"/>
      <c r="G69" s="18"/>
      <c r="H69" s="18" t="s">
        <v>47</v>
      </c>
      <c r="I69" s="18"/>
      <c r="J69" s="18"/>
      <c r="K69" s="18" t="s">
        <v>47</v>
      </c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84</v>
      </c>
      <c r="B70" s="16" t="s">
        <v>46</v>
      </c>
      <c r="C70" s="17">
        <v>7</v>
      </c>
      <c r="D70" s="17">
        <v>8</v>
      </c>
      <c r="E70" s="17">
        <f t="shared" si="5"/>
        <v>1</v>
      </c>
      <c r="F70" s="18"/>
      <c r="G70" s="18" t="s">
        <v>47</v>
      </c>
      <c r="H70" s="18"/>
      <c r="I70" s="18"/>
      <c r="J70" s="18"/>
      <c r="K70" s="18" t="s">
        <v>47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84</v>
      </c>
      <c r="B71" s="16" t="s">
        <v>46</v>
      </c>
      <c r="C71" s="17">
        <v>8</v>
      </c>
      <c r="D71" s="17">
        <v>9</v>
      </c>
      <c r="E71" s="17">
        <f t="shared" si="5"/>
        <v>1</v>
      </c>
      <c r="F71" s="18"/>
      <c r="G71" s="18" t="s">
        <v>47</v>
      </c>
      <c r="H71" s="18"/>
      <c r="I71" s="18"/>
      <c r="J71" s="18"/>
      <c r="K71" s="18" t="s">
        <v>47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84</v>
      </c>
      <c r="B72" s="16" t="s">
        <v>46</v>
      </c>
      <c r="C72" s="17">
        <v>9</v>
      </c>
      <c r="D72" s="17">
        <v>10</v>
      </c>
      <c r="E72" s="17">
        <f t="shared" si="5"/>
        <v>1</v>
      </c>
      <c r="F72" s="18"/>
      <c r="G72" s="18" t="s">
        <v>47</v>
      </c>
      <c r="H72" s="18"/>
      <c r="I72" s="18"/>
      <c r="J72" s="18"/>
      <c r="K72" s="18" t="s">
        <v>47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84</v>
      </c>
      <c r="B73" s="16" t="s">
        <v>46</v>
      </c>
      <c r="C73" s="17">
        <v>10</v>
      </c>
      <c r="D73" s="17">
        <v>11</v>
      </c>
      <c r="E73" s="17">
        <f t="shared" si="5"/>
        <v>1</v>
      </c>
      <c r="F73" s="18"/>
      <c r="G73" s="18" t="s">
        <v>47</v>
      </c>
      <c r="H73" s="18"/>
      <c r="I73" s="18"/>
      <c r="J73" s="18"/>
      <c r="K73" s="18" t="s">
        <v>47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84</v>
      </c>
      <c r="B74" s="16" t="s">
        <v>46</v>
      </c>
      <c r="C74" s="17">
        <v>11</v>
      </c>
      <c r="D74" s="17">
        <v>12</v>
      </c>
      <c r="E74" s="17">
        <f t="shared" si="5"/>
        <v>1</v>
      </c>
      <c r="F74" s="18"/>
      <c r="G74" s="18" t="s">
        <v>47</v>
      </c>
      <c r="H74" s="18"/>
      <c r="I74" s="18"/>
      <c r="J74" s="18"/>
      <c r="K74" s="18" t="s">
        <v>47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84</v>
      </c>
      <c r="B75" s="16" t="s">
        <v>46</v>
      </c>
      <c r="C75" s="17">
        <v>12</v>
      </c>
      <c r="D75" s="17">
        <v>13</v>
      </c>
      <c r="E75" s="17">
        <f t="shared" si="5"/>
        <v>1</v>
      </c>
      <c r="F75" s="18"/>
      <c r="G75" s="18" t="s">
        <v>47</v>
      </c>
      <c r="H75" s="18"/>
      <c r="I75" s="18"/>
      <c r="J75" s="18"/>
      <c r="K75" s="18" t="s">
        <v>47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84</v>
      </c>
      <c r="B76" s="16" t="s">
        <v>46</v>
      </c>
      <c r="C76" s="17">
        <v>13</v>
      </c>
      <c r="D76" s="17">
        <v>14</v>
      </c>
      <c r="E76" s="17">
        <f t="shared" si="5"/>
        <v>1</v>
      </c>
      <c r="F76" s="18"/>
      <c r="G76" s="30"/>
      <c r="H76" s="18" t="s">
        <v>47</v>
      </c>
      <c r="I76" s="18"/>
      <c r="J76" s="18"/>
      <c r="K76" s="18" t="s">
        <v>47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84</v>
      </c>
      <c r="B77" s="16" t="s">
        <v>46</v>
      </c>
      <c r="C77" s="17">
        <v>14</v>
      </c>
      <c r="D77" s="17">
        <v>15</v>
      </c>
      <c r="E77" s="17">
        <f t="shared" si="5"/>
        <v>1</v>
      </c>
      <c r="F77" s="18"/>
      <c r="G77" s="18" t="s">
        <v>47</v>
      </c>
      <c r="H77" s="18"/>
      <c r="I77" s="18"/>
      <c r="J77" s="18"/>
      <c r="K77" s="18" t="s">
        <v>47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84</v>
      </c>
      <c r="B78" s="16" t="s">
        <v>46</v>
      </c>
      <c r="C78" s="17">
        <v>15</v>
      </c>
      <c r="D78" s="17">
        <v>16</v>
      </c>
      <c r="E78" s="17">
        <f t="shared" si="5"/>
        <v>1</v>
      </c>
      <c r="F78" s="18"/>
      <c r="G78" s="18" t="s">
        <v>47</v>
      </c>
      <c r="H78" s="18"/>
      <c r="I78" s="18"/>
      <c r="J78" s="18"/>
      <c r="K78" s="18" t="s">
        <v>47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84</v>
      </c>
      <c r="B79" s="16" t="s">
        <v>46</v>
      </c>
      <c r="C79" s="17">
        <v>16</v>
      </c>
      <c r="D79" s="17">
        <v>17</v>
      </c>
      <c r="E79" s="17">
        <f t="shared" si="5"/>
        <v>1</v>
      </c>
      <c r="F79" s="18"/>
      <c r="G79" s="18" t="s">
        <v>47</v>
      </c>
      <c r="H79" s="18"/>
      <c r="I79" s="18"/>
      <c r="J79" s="18"/>
      <c r="K79" s="18" t="s">
        <v>47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84</v>
      </c>
      <c r="B80" s="16" t="s">
        <v>46</v>
      </c>
      <c r="C80" s="17">
        <v>17</v>
      </c>
      <c r="D80" s="17">
        <v>18</v>
      </c>
      <c r="E80" s="17">
        <f t="shared" si="5"/>
        <v>1</v>
      </c>
      <c r="F80" s="18"/>
      <c r="G80" s="18" t="s">
        <v>47</v>
      </c>
      <c r="H80" s="18"/>
      <c r="I80" s="18"/>
      <c r="J80" s="18"/>
      <c r="K80" s="18" t="s">
        <v>47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84</v>
      </c>
      <c r="B81" s="16" t="s">
        <v>46</v>
      </c>
      <c r="C81" s="17">
        <v>18</v>
      </c>
      <c r="D81" s="17">
        <v>19</v>
      </c>
      <c r="E81" s="17">
        <f t="shared" si="5"/>
        <v>1</v>
      </c>
      <c r="F81" s="18"/>
      <c r="G81" s="18" t="s">
        <v>47</v>
      </c>
      <c r="H81" s="18"/>
      <c r="I81" s="18"/>
      <c r="J81" s="18"/>
      <c r="K81" s="18" t="s">
        <v>47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84</v>
      </c>
      <c r="B82" s="16" t="s">
        <v>46</v>
      </c>
      <c r="C82" s="17">
        <v>19</v>
      </c>
      <c r="D82" s="17">
        <v>20</v>
      </c>
      <c r="E82" s="17">
        <f t="shared" si="5"/>
        <v>1</v>
      </c>
      <c r="F82" s="18"/>
      <c r="G82" s="18" t="s">
        <v>47</v>
      </c>
      <c r="H82" s="18"/>
      <c r="I82" s="18"/>
      <c r="J82" s="18"/>
      <c r="K82" s="18" t="s">
        <v>47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84</v>
      </c>
      <c r="B83" s="16" t="s">
        <v>46</v>
      </c>
      <c r="C83" s="17">
        <v>20</v>
      </c>
      <c r="D83" s="17">
        <v>21</v>
      </c>
      <c r="E83" s="17">
        <f t="shared" si="5"/>
        <v>1</v>
      </c>
      <c r="F83" s="18"/>
      <c r="G83" s="18" t="s">
        <v>47</v>
      </c>
      <c r="H83" s="18"/>
      <c r="I83" s="18"/>
      <c r="J83" s="18"/>
      <c r="K83" s="18" t="s">
        <v>47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84</v>
      </c>
      <c r="B84" s="16" t="s">
        <v>46</v>
      </c>
      <c r="C84" s="17">
        <v>21</v>
      </c>
      <c r="D84" s="17">
        <v>22</v>
      </c>
      <c r="E84" s="17">
        <f t="shared" si="5"/>
        <v>1</v>
      </c>
      <c r="F84" s="18"/>
      <c r="G84" s="18" t="s">
        <v>47</v>
      </c>
      <c r="H84" s="18"/>
      <c r="I84" s="18"/>
      <c r="J84" s="18"/>
      <c r="K84" s="18" t="s">
        <v>47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84</v>
      </c>
      <c r="B85" s="16" t="s">
        <v>46</v>
      </c>
      <c r="C85" s="17">
        <v>22</v>
      </c>
      <c r="D85" s="17">
        <v>23</v>
      </c>
      <c r="E85" s="17">
        <f t="shared" si="5"/>
        <v>1</v>
      </c>
      <c r="F85" s="18"/>
      <c r="G85" s="18" t="s">
        <v>47</v>
      </c>
      <c r="H85" s="18"/>
      <c r="I85" s="18"/>
      <c r="J85" s="18"/>
      <c r="K85" s="18" t="s">
        <v>47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84</v>
      </c>
      <c r="B86" s="16" t="s">
        <v>46</v>
      </c>
      <c r="C86" s="17">
        <v>23</v>
      </c>
      <c r="D86" s="17">
        <v>24</v>
      </c>
      <c r="E86" s="17">
        <f t="shared" si="5"/>
        <v>1</v>
      </c>
      <c r="F86" s="18"/>
      <c r="G86" s="18" t="s">
        <v>47</v>
      </c>
      <c r="H86" s="18"/>
      <c r="I86" s="18"/>
      <c r="J86" s="18"/>
      <c r="K86" s="18" t="s">
        <v>47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84</v>
      </c>
      <c r="B87" s="16" t="s">
        <v>46</v>
      </c>
      <c r="C87" s="17">
        <v>24</v>
      </c>
      <c r="D87" s="17">
        <v>25</v>
      </c>
      <c r="E87" s="17">
        <f t="shared" si="5"/>
        <v>1</v>
      </c>
      <c r="F87" s="18"/>
      <c r="G87" s="18" t="s">
        <v>47</v>
      </c>
      <c r="H87" s="18"/>
      <c r="I87" s="18"/>
      <c r="J87" s="18"/>
      <c r="K87" s="18" t="s">
        <v>47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84</v>
      </c>
      <c r="B88" s="16" t="s">
        <v>46</v>
      </c>
      <c r="C88" s="17">
        <v>25</v>
      </c>
      <c r="D88" s="17">
        <v>26</v>
      </c>
      <c r="E88" s="17">
        <f t="shared" si="5"/>
        <v>1</v>
      </c>
      <c r="F88" s="18"/>
      <c r="G88" s="18" t="s">
        <v>47</v>
      </c>
      <c r="H88" s="18"/>
      <c r="I88" s="18"/>
      <c r="J88" s="18"/>
      <c r="K88" s="18" t="s">
        <v>47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84</v>
      </c>
      <c r="B89" s="16" t="s">
        <v>46</v>
      </c>
      <c r="C89" s="17">
        <v>26</v>
      </c>
      <c r="D89" s="17">
        <v>27</v>
      </c>
      <c r="E89" s="17">
        <f t="shared" si="5"/>
        <v>1</v>
      </c>
      <c r="F89" s="18"/>
      <c r="G89" s="18" t="s">
        <v>47</v>
      </c>
      <c r="H89" s="18"/>
      <c r="I89" s="18"/>
      <c r="J89" s="18"/>
      <c r="K89" s="18" t="s">
        <v>47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84</v>
      </c>
      <c r="B90" s="16" t="s">
        <v>46</v>
      </c>
      <c r="C90" s="17">
        <v>27</v>
      </c>
      <c r="D90" s="17">
        <v>28</v>
      </c>
      <c r="E90" s="17">
        <f t="shared" si="5"/>
        <v>1</v>
      </c>
      <c r="F90" s="18"/>
      <c r="G90" s="18" t="s">
        <v>47</v>
      </c>
      <c r="H90" s="18"/>
      <c r="I90" s="18"/>
      <c r="J90" s="18"/>
      <c r="K90" s="18" t="s">
        <v>47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84</v>
      </c>
      <c r="B91" s="16" t="s">
        <v>46</v>
      </c>
      <c r="C91" s="17">
        <v>28</v>
      </c>
      <c r="D91" s="17">
        <v>29</v>
      </c>
      <c r="E91" s="17">
        <f t="shared" si="5"/>
        <v>1</v>
      </c>
      <c r="F91" s="18"/>
      <c r="G91" s="18" t="s">
        <v>47</v>
      </c>
      <c r="H91" s="18"/>
      <c r="I91" s="18"/>
      <c r="J91" s="18"/>
      <c r="K91" s="18" t="s">
        <v>47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84</v>
      </c>
      <c r="B92" s="16" t="s">
        <v>46</v>
      </c>
      <c r="C92" s="17">
        <v>29</v>
      </c>
      <c r="D92" s="17">
        <v>30</v>
      </c>
      <c r="E92" s="17">
        <f t="shared" si="5"/>
        <v>1</v>
      </c>
      <c r="F92" s="18"/>
      <c r="G92" s="18" t="s">
        <v>47</v>
      </c>
      <c r="H92" s="18"/>
      <c r="I92" s="18"/>
      <c r="J92" s="18"/>
      <c r="K92" s="18" t="s">
        <v>47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84</v>
      </c>
      <c r="B93" s="16" t="s">
        <v>46</v>
      </c>
      <c r="C93" s="17">
        <v>30</v>
      </c>
      <c r="D93" s="17">
        <v>31</v>
      </c>
      <c r="E93" s="17">
        <f t="shared" si="5"/>
        <v>1</v>
      </c>
      <c r="F93" s="18"/>
      <c r="G93" s="18" t="s">
        <v>47</v>
      </c>
      <c r="H93" s="18"/>
      <c r="I93" s="18"/>
      <c r="J93" s="18"/>
      <c r="K93" s="18" t="s">
        <v>47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84</v>
      </c>
      <c r="B94" s="16" t="s">
        <v>46</v>
      </c>
      <c r="C94" s="17">
        <v>31</v>
      </c>
      <c r="D94" s="17">
        <v>32</v>
      </c>
      <c r="E94" s="17">
        <f t="shared" si="5"/>
        <v>1</v>
      </c>
      <c r="F94" s="18"/>
      <c r="G94" s="18" t="s">
        <v>47</v>
      </c>
      <c r="H94" s="18"/>
      <c r="I94" s="18"/>
      <c r="J94" s="18"/>
      <c r="K94" s="18" t="s">
        <v>47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84</v>
      </c>
      <c r="B95" s="16" t="s">
        <v>46</v>
      </c>
      <c r="C95" s="17">
        <v>32</v>
      </c>
      <c r="D95" s="17">
        <v>33</v>
      </c>
      <c r="E95" s="17">
        <f t="shared" si="5"/>
        <v>1</v>
      </c>
      <c r="F95" s="18"/>
      <c r="G95" s="18" t="s">
        <v>47</v>
      </c>
      <c r="H95" s="18"/>
      <c r="I95" s="18"/>
      <c r="J95" s="18"/>
      <c r="K95" s="18" t="s">
        <v>47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84</v>
      </c>
      <c r="B96" s="16" t="s">
        <v>46</v>
      </c>
      <c r="C96" s="17">
        <v>33</v>
      </c>
      <c r="D96" s="17">
        <v>34</v>
      </c>
      <c r="E96" s="17">
        <f t="shared" si="5"/>
        <v>1</v>
      </c>
      <c r="F96" s="18"/>
      <c r="G96" s="18" t="s">
        <v>47</v>
      </c>
      <c r="H96" s="18"/>
      <c r="I96" s="18"/>
      <c r="J96" s="18"/>
      <c r="K96" s="18" t="s">
        <v>47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84</v>
      </c>
      <c r="B97" s="16" t="s">
        <v>46</v>
      </c>
      <c r="C97" s="17">
        <v>34</v>
      </c>
      <c r="D97" s="17">
        <v>35</v>
      </c>
      <c r="E97" s="17">
        <f t="shared" si="5"/>
        <v>1</v>
      </c>
      <c r="F97" s="18"/>
      <c r="G97" s="18"/>
      <c r="H97" s="18" t="s">
        <v>47</v>
      </c>
      <c r="I97" s="18"/>
      <c r="J97" s="18"/>
      <c r="K97" s="18" t="s">
        <v>47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84</v>
      </c>
      <c r="B98" s="16" t="s">
        <v>46</v>
      </c>
      <c r="C98" s="17">
        <v>35</v>
      </c>
      <c r="D98" s="17">
        <v>36</v>
      </c>
      <c r="E98" s="17">
        <f t="shared" si="5"/>
        <v>1</v>
      </c>
      <c r="F98" s="18"/>
      <c r="G98" s="18"/>
      <c r="H98" s="18" t="s">
        <v>47</v>
      </c>
      <c r="I98" s="18"/>
      <c r="J98" s="18"/>
      <c r="K98" s="18" t="s">
        <v>47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84</v>
      </c>
      <c r="B99" s="16" t="s">
        <v>46</v>
      </c>
      <c r="C99" s="17">
        <v>36</v>
      </c>
      <c r="D99" s="17">
        <v>37</v>
      </c>
      <c r="E99" s="17">
        <f t="shared" si="5"/>
        <v>1</v>
      </c>
      <c r="F99" s="18"/>
      <c r="G99" s="18"/>
      <c r="H99" s="18" t="s">
        <v>47</v>
      </c>
      <c r="I99" s="18"/>
      <c r="J99" s="18"/>
      <c r="K99" s="18" t="s">
        <v>47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84</v>
      </c>
      <c r="B100" s="16" t="s">
        <v>46</v>
      </c>
      <c r="C100" s="17">
        <v>37</v>
      </c>
      <c r="D100" s="17">
        <v>38</v>
      </c>
      <c r="E100" s="17">
        <f t="shared" si="5"/>
        <v>1</v>
      </c>
      <c r="F100" s="18"/>
      <c r="G100" s="18" t="s">
        <v>47</v>
      </c>
      <c r="H100" s="18"/>
      <c r="I100" s="18"/>
      <c r="J100" s="18"/>
      <c r="K100" s="18" t="s">
        <v>47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84</v>
      </c>
      <c r="B101" s="16" t="s">
        <v>46</v>
      </c>
      <c r="C101" s="17">
        <v>38</v>
      </c>
      <c r="D101" s="17">
        <v>39</v>
      </c>
      <c r="E101" s="17">
        <f t="shared" si="5"/>
        <v>1</v>
      </c>
      <c r="F101" s="18"/>
      <c r="G101" s="18" t="s">
        <v>47</v>
      </c>
      <c r="H101" s="18"/>
      <c r="I101" s="18"/>
      <c r="J101" s="18"/>
      <c r="K101" s="18" t="s">
        <v>47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84</v>
      </c>
      <c r="B102" s="16" t="s">
        <v>46</v>
      </c>
      <c r="C102" s="17">
        <v>39</v>
      </c>
      <c r="D102" s="17">
        <v>40</v>
      </c>
      <c r="E102" s="17">
        <f t="shared" si="5"/>
        <v>1</v>
      </c>
      <c r="F102" s="18"/>
      <c r="G102" s="18" t="s">
        <v>47</v>
      </c>
      <c r="H102" s="18"/>
      <c r="I102" s="18"/>
      <c r="J102" s="18"/>
      <c r="K102" s="18" t="s">
        <v>47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21" t="s">
        <v>84</v>
      </c>
      <c r="B103" s="22" t="s">
        <v>46</v>
      </c>
      <c r="C103" s="23">
        <v>40</v>
      </c>
      <c r="D103" s="23">
        <v>40.988888351600004</v>
      </c>
      <c r="E103" s="23">
        <f t="shared" si="5"/>
        <v>0.98888835160000355</v>
      </c>
      <c r="F103" s="24"/>
      <c r="G103" s="24" t="s">
        <v>47</v>
      </c>
      <c r="H103" s="24"/>
      <c r="I103" s="24"/>
      <c r="J103" s="24"/>
      <c r="K103" s="24" t="s">
        <v>47</v>
      </c>
      <c r="L103" s="24"/>
      <c r="M103" s="25"/>
      <c r="N103" s="26" t="str">
        <f t="shared" si="6"/>
        <v>OK</v>
      </c>
    </row>
    <row r="105" spans="1:14" x14ac:dyDescent="0.25">
      <c r="A105" s="38" t="s">
        <v>48</v>
      </c>
      <c r="B105" s="32"/>
      <c r="C105" s="32"/>
      <c r="D105" s="32"/>
      <c r="E105" s="32"/>
      <c r="G105" s="38" t="s">
        <v>48</v>
      </c>
      <c r="H105" s="32"/>
      <c r="I105" s="32"/>
      <c r="J105" s="32"/>
      <c r="K105" s="32"/>
    </row>
    <row r="106" spans="1:14" x14ac:dyDescent="0.25">
      <c r="A106" s="43" t="s">
        <v>49</v>
      </c>
      <c r="B106" s="32"/>
      <c r="C106" s="32"/>
      <c r="D106" s="32"/>
      <c r="E106" s="32"/>
      <c r="G106" s="43" t="s">
        <v>50</v>
      </c>
      <c r="H106" s="32"/>
      <c r="I106" s="32"/>
      <c r="J106" s="32"/>
      <c r="K106" s="32"/>
    </row>
    <row r="108" spans="1:14" x14ac:dyDescent="0.25">
      <c r="A108" s="41" t="s">
        <v>51</v>
      </c>
      <c r="B108" s="32"/>
      <c r="C108" s="32"/>
      <c r="D108" s="32"/>
      <c r="E108" s="32"/>
      <c r="F108" s="27"/>
      <c r="G108" s="27"/>
      <c r="H108" s="27"/>
      <c r="I108" s="27"/>
      <c r="J108" s="27"/>
      <c r="K108" s="27"/>
      <c r="L108" s="27"/>
      <c r="M108" s="27"/>
    </row>
    <row r="109" spans="1:14" x14ac:dyDescent="0.25">
      <c r="A109" s="39" t="s">
        <v>52</v>
      </c>
      <c r="B109" s="32"/>
      <c r="C109" s="32"/>
      <c r="D109" s="32"/>
      <c r="E109" s="32"/>
      <c r="F109" s="9">
        <f t="shared" ref="F109:L109" si="7">SUMIF(F$9:F$103,"X",$E$9:$E$103)</f>
        <v>0</v>
      </c>
      <c r="G109" s="9">
        <f t="shared" si="7"/>
        <v>80.523276156099996</v>
      </c>
      <c r="H109" s="9">
        <f t="shared" si="7"/>
        <v>12</v>
      </c>
      <c r="I109" s="9">
        <f t="shared" si="7"/>
        <v>0</v>
      </c>
      <c r="J109" s="9">
        <f t="shared" si="7"/>
        <v>0</v>
      </c>
      <c r="K109" s="9">
        <f t="shared" si="7"/>
        <v>92.523276156099996</v>
      </c>
      <c r="L109" s="9">
        <f t="shared" si="7"/>
        <v>0</v>
      </c>
    </row>
    <row r="110" spans="1:14" x14ac:dyDescent="0.25">
      <c r="A110" s="39" t="s">
        <v>53</v>
      </c>
      <c r="B110" s="32"/>
      <c r="C110" s="32"/>
      <c r="D110" s="32"/>
      <c r="E110" s="32"/>
      <c r="F110" s="28">
        <f t="shared" ref="F110:L110" si="8">IF($I112=0,0,F109/$I112)</f>
        <v>0</v>
      </c>
      <c r="G110" s="28">
        <f t="shared" si="8"/>
        <v>0.87030290648426367</v>
      </c>
      <c r="H110" s="28">
        <f t="shared" si="8"/>
        <v>0.12969709351573636</v>
      </c>
      <c r="I110" s="28">
        <f t="shared" si="8"/>
        <v>0</v>
      </c>
      <c r="J110" s="28">
        <f t="shared" si="8"/>
        <v>0</v>
      </c>
      <c r="K110" s="28">
        <f t="shared" si="8"/>
        <v>1</v>
      </c>
      <c r="L110" s="28">
        <f t="shared" si="8"/>
        <v>0</v>
      </c>
    </row>
    <row r="111" spans="1:14" x14ac:dyDescent="0.25">
      <c r="A111" s="39" t="s">
        <v>54</v>
      </c>
      <c r="B111" s="32"/>
      <c r="C111" s="32"/>
      <c r="D111" s="32"/>
      <c r="E111" s="32"/>
      <c r="F111" s="42" t="str">
        <f>IF(SUM(F109:I109)=0,"— não preenchido",IF(ROUND(SUM(F109:I109)-$I112,3)=0,"OK — "&amp;ROUND(SUM(F109:I109),3)&amp;" km","ERRO — dif. de "&amp;ROUND(SUM(F109:I109)-$I112,3)&amp;" km"))</f>
        <v>OK — 92,523 km</v>
      </c>
      <c r="G111" s="34"/>
      <c r="H111" s="34"/>
      <c r="I111" s="35"/>
      <c r="J111" s="42" t="str">
        <f>IF(SUM(J109:L109)=0,"— não preenchido",IF(ROUND(SUM(J109:L109)-$I112,3)=0,"OK — "&amp;ROUND(SUM(J109:L109),3)&amp;" km","ERRO — dif. de "&amp;ROUND(SUM(J109:L109)-$I112,3)&amp;" km"))</f>
        <v>OK — 92,523 km</v>
      </c>
      <c r="K111" s="34"/>
      <c r="L111" s="35"/>
    </row>
    <row r="112" spans="1:14" x14ac:dyDescent="0.25">
      <c r="A112" s="39" t="s">
        <v>55</v>
      </c>
      <c r="B112" s="32"/>
      <c r="C112" s="32"/>
      <c r="D112" s="32"/>
      <c r="E112" s="32"/>
      <c r="I112" s="29">
        <f>SUM(E9:E103)</f>
        <v>92.523276156099996</v>
      </c>
      <c r="M112" s="8" t="str">
        <f>COUNTIF(N9:N103,"OK")&amp;" de "&amp;COUNT($E$9:$E$103)&amp;" linhas conferidas"</f>
        <v>93 de 93 linhas conferidas</v>
      </c>
    </row>
    <row r="114" spans="1:13" x14ac:dyDescent="0.25">
      <c r="A114" s="45" t="s">
        <v>56</v>
      </c>
      <c r="B114" s="32"/>
      <c r="C114" s="32"/>
      <c r="D114" s="32"/>
      <c r="E114" s="32"/>
    </row>
    <row r="115" spans="1:13" x14ac:dyDescent="0.25">
      <c r="A115" s="39" t="s">
        <v>10</v>
      </c>
      <c r="B115" s="32"/>
      <c r="C115" s="32"/>
      <c r="D115" s="32"/>
      <c r="E115" s="40" t="s">
        <v>57</v>
      </c>
      <c r="F115" s="32"/>
      <c r="G115" s="32"/>
      <c r="H115" s="32"/>
      <c r="I115" s="32"/>
      <c r="J115" s="32"/>
      <c r="K115" s="32"/>
      <c r="L115" s="32"/>
      <c r="M115" s="32"/>
    </row>
    <row r="116" spans="1:13" x14ac:dyDescent="0.25">
      <c r="A116" s="39" t="s">
        <v>11</v>
      </c>
      <c r="B116" s="32"/>
      <c r="C116" s="32"/>
      <c r="D116" s="32"/>
      <c r="E116" s="40" t="s">
        <v>58</v>
      </c>
      <c r="F116" s="32"/>
      <c r="G116" s="32"/>
      <c r="H116" s="32"/>
      <c r="I116" s="32"/>
      <c r="J116" s="32"/>
      <c r="K116" s="32"/>
      <c r="L116" s="32"/>
      <c r="M116" s="32"/>
    </row>
    <row r="117" spans="1:13" x14ac:dyDescent="0.25">
      <c r="A117" s="39" t="s">
        <v>12</v>
      </c>
      <c r="B117" s="32"/>
      <c r="C117" s="32"/>
      <c r="D117" s="32"/>
      <c r="E117" s="40" t="s">
        <v>59</v>
      </c>
      <c r="F117" s="32"/>
      <c r="G117" s="32"/>
      <c r="H117" s="32"/>
      <c r="I117" s="32"/>
      <c r="J117" s="32"/>
      <c r="K117" s="32"/>
      <c r="L117" s="32"/>
      <c r="M117" s="32"/>
    </row>
    <row r="118" spans="1:13" x14ac:dyDescent="0.25">
      <c r="A118" s="39" t="s">
        <v>60</v>
      </c>
      <c r="B118" s="32"/>
      <c r="C118" s="32"/>
      <c r="D118" s="32"/>
      <c r="E118" s="40" t="s">
        <v>61</v>
      </c>
      <c r="F118" s="32"/>
      <c r="G118" s="32"/>
      <c r="H118" s="32"/>
      <c r="I118" s="32"/>
      <c r="J118" s="32"/>
      <c r="K118" s="32"/>
      <c r="L118" s="32"/>
      <c r="M118" s="32"/>
    </row>
    <row r="119" spans="1:13" x14ac:dyDescent="0.25">
      <c r="A119" s="39" t="s">
        <v>62</v>
      </c>
      <c r="B119" s="32"/>
      <c r="C119" s="32"/>
      <c r="D119" s="32"/>
      <c r="E119" s="40" t="s">
        <v>63</v>
      </c>
      <c r="F119" s="32"/>
      <c r="G119" s="32"/>
      <c r="H119" s="32"/>
      <c r="I119" s="32"/>
      <c r="J119" s="32"/>
      <c r="K119" s="32"/>
      <c r="L119" s="32"/>
      <c r="M119" s="32"/>
    </row>
    <row r="120" spans="1:13" x14ac:dyDescent="0.25">
      <c r="A120" s="39" t="s">
        <v>64</v>
      </c>
      <c r="B120" s="32"/>
      <c r="C120" s="32"/>
      <c r="D120" s="32"/>
      <c r="E120" s="40" t="s">
        <v>65</v>
      </c>
      <c r="F120" s="32"/>
      <c r="G120" s="32"/>
      <c r="H120" s="32"/>
      <c r="I120" s="32"/>
      <c r="J120" s="32"/>
      <c r="K120" s="32"/>
      <c r="L120" s="32"/>
      <c r="M120" s="32"/>
    </row>
    <row r="121" spans="1:13" x14ac:dyDescent="0.25">
      <c r="A121" s="39" t="s">
        <v>38</v>
      </c>
      <c r="B121" s="32"/>
      <c r="C121" s="32"/>
      <c r="D121" s="32"/>
      <c r="E121" s="40" t="s">
        <v>66</v>
      </c>
      <c r="F121" s="32"/>
      <c r="G121" s="32"/>
      <c r="H121" s="32"/>
      <c r="I121" s="32"/>
      <c r="J121" s="32"/>
      <c r="K121" s="32"/>
      <c r="L121" s="32"/>
      <c r="M121" s="32"/>
    </row>
    <row r="122" spans="1:13" x14ac:dyDescent="0.25">
      <c r="A122" s="39" t="s">
        <v>67</v>
      </c>
      <c r="B122" s="32"/>
      <c r="C122" s="32"/>
      <c r="D122" s="32"/>
      <c r="E122" s="40" t="s">
        <v>68</v>
      </c>
      <c r="F122" s="32"/>
      <c r="G122" s="32"/>
      <c r="H122" s="32"/>
      <c r="I122" s="32"/>
      <c r="J122" s="32"/>
      <c r="K122" s="32"/>
      <c r="L122" s="32"/>
      <c r="M122" s="32"/>
    </row>
    <row r="123" spans="1:13" x14ac:dyDescent="0.25">
      <c r="A123" s="39" t="s">
        <v>69</v>
      </c>
      <c r="B123" s="32"/>
      <c r="C123" s="32"/>
      <c r="D123" s="32"/>
      <c r="E123" s="40" t="s">
        <v>70</v>
      </c>
      <c r="F123" s="32"/>
      <c r="G123" s="32"/>
      <c r="H123" s="32"/>
      <c r="I123" s="32"/>
      <c r="J123" s="32"/>
      <c r="K123" s="32"/>
      <c r="L123" s="32"/>
      <c r="M123" s="32"/>
    </row>
    <row r="124" spans="1:13" x14ac:dyDescent="0.25">
      <c r="A124" s="39" t="s">
        <v>8</v>
      </c>
      <c r="B124" s="32"/>
      <c r="C124" s="32"/>
      <c r="D124" s="32"/>
      <c r="E124" s="40" t="s">
        <v>71</v>
      </c>
      <c r="F124" s="32"/>
      <c r="G124" s="32"/>
      <c r="H124" s="32"/>
      <c r="I124" s="32"/>
      <c r="J124" s="32"/>
      <c r="K124" s="32"/>
      <c r="L124" s="32"/>
      <c r="M124" s="32"/>
    </row>
  </sheetData>
  <sheetProtection formatCells="0"/>
  <mergeCells count="52">
    <mergeCell ref="N6:N7"/>
    <mergeCell ref="K3:M3"/>
    <mergeCell ref="J111:L111"/>
    <mergeCell ref="E121:M121"/>
    <mergeCell ref="A106:E106"/>
    <mergeCell ref="A118:D118"/>
    <mergeCell ref="A109:E109"/>
    <mergeCell ref="A120:D120"/>
    <mergeCell ref="E117:M117"/>
    <mergeCell ref="A112:E112"/>
    <mergeCell ref="A3:J3"/>
    <mergeCell ref="C6:C7"/>
    <mergeCell ref="A111:E111"/>
    <mergeCell ref="G106:K106"/>
    <mergeCell ref="D6:D7"/>
    <mergeCell ref="A116:D116"/>
    <mergeCell ref="A1:M1"/>
    <mergeCell ref="A119:D119"/>
    <mergeCell ref="A61:M61"/>
    <mergeCell ref="A124:D124"/>
    <mergeCell ref="E115:M115"/>
    <mergeCell ref="E122:M122"/>
    <mergeCell ref="E123:M123"/>
    <mergeCell ref="M6:M7"/>
    <mergeCell ref="E116:M116"/>
    <mergeCell ref="E6:E7"/>
    <mergeCell ref="E124:M124"/>
    <mergeCell ref="B6:B7"/>
    <mergeCell ref="E120:M120"/>
    <mergeCell ref="A123:D123"/>
    <mergeCell ref="F6:I6"/>
    <mergeCell ref="A105:E105"/>
    <mergeCell ref="G2:H2"/>
    <mergeCell ref="A8:M8"/>
    <mergeCell ref="A4:M4"/>
    <mergeCell ref="A62:M62"/>
    <mergeCell ref="E118:M118"/>
    <mergeCell ref="A6:A7"/>
    <mergeCell ref="A117:D117"/>
    <mergeCell ref="A115:D115"/>
    <mergeCell ref="A110:E110"/>
    <mergeCell ref="A2:C2"/>
    <mergeCell ref="K2:M2"/>
    <mergeCell ref="D2:E2"/>
    <mergeCell ref="A108:E108"/>
    <mergeCell ref="A114:E114"/>
    <mergeCell ref="J6:L6"/>
    <mergeCell ref="F111:I111"/>
    <mergeCell ref="G105:K105"/>
    <mergeCell ref="A122:D122"/>
    <mergeCell ref="A121:D121"/>
    <mergeCell ref="E119:M119"/>
  </mergeCells>
  <conditionalFormatting sqref="F9:I28 F29 H29:I29 F30:I30 F31 H31:I31 F32:I75 F76 H76:I76 F77:I103">
    <cfRule type="expression" dxfId="47" priority="1">
      <formula>AND(F9&lt;&gt;"",COUNTIF($F9:$I9,"X")&gt;1)</formula>
    </cfRule>
  </conditionalFormatting>
  <conditionalFormatting sqref="F111:L111">
    <cfRule type="expression" dxfId="46" priority="5">
      <formula>LEFT(F111,4)="ERRO"</formula>
    </cfRule>
    <cfRule type="expression" dxfId="45" priority="6">
      <formula>LEFT(F111,2)="OK"</formula>
    </cfRule>
  </conditionalFormatting>
  <conditionalFormatting sqref="J9:L103">
    <cfRule type="expression" dxfId="44" priority="2">
      <formula>AND(J9&lt;&gt;"",COUNTIF($J9:$L9,"X")&gt;1)</formula>
    </cfRule>
  </conditionalFormatting>
  <conditionalFormatting sqref="N9:N103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DRENAGEM SUPERFICIAL" sqref="J9:L103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103" xr:uid="{00000000-0002-0000-0300-000002000000}">
      <formula1>"C,D"</formula1>
    </dataValidation>
    <dataValidation type="custom" allowBlank="1" showErrorMessage="1" errorTitle="Marcação inválida" error="Digite apenas X, e apenas uma X por grupo nesta linha._x000a_Grupo: CONDIÇÃO DA PLATAFORMA" sqref="F9:I24 F25:F26 H25:I26 F27:I28 F29 H29:I29 F30:I30 F31 H31:I31 F32:I75 F76 H76:I76 F97:F99 H97:I99 F77:I96 F100:I103" xr:uid="{00000000-0002-0000-0300-000000000000}">
      <formula1>AND(UPPER(F9)="X",COUNTIF($F9:$I9,"X")&lt;=1)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48</oddHeader>
    <oddFooter>&amp;L&amp;7 RTA / MSI — Programa de Manutenção Rodoviária&amp;C&amp;7 Página &amp;P de &amp;N&amp;R&amp;7 Impresso em &amp;D</oddFooter>
  </headerFooter>
  <rowBreaks count="1" manualBreakCount="1">
    <brk id="10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V12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G14" sqref="G1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 t="e">
        <f t="shared" ref="P2:V2" si="0">IF(F109=0,NA(),F109)</f>
        <v>#N/A</v>
      </c>
      <c r="Q2" s="2">
        <f t="shared" si="0"/>
        <v>91.536749372300008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91.536749372300008</v>
      </c>
      <c r="V2" s="2" t="e">
        <f t="shared" si="0"/>
        <v>#N/A</v>
      </c>
    </row>
    <row r="3" spans="1:22" ht="15" customHeight="1" x14ac:dyDescent="0.25">
      <c r="A3" s="51" t="s">
        <v>85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86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87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88</v>
      </c>
      <c r="B9" s="16" t="s">
        <v>46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88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88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88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88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88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88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88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88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88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88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88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88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88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88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88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88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88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88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88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88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88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88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88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88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88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88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88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88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88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88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88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88</v>
      </c>
      <c r="B41" s="16" t="s">
        <v>46</v>
      </c>
      <c r="C41" s="17">
        <v>32</v>
      </c>
      <c r="D41" s="17">
        <v>33</v>
      </c>
      <c r="E41" s="17">
        <f t="shared" ref="E41:E65" si="3">D41-C41</f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ref="N41:N65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88</v>
      </c>
      <c r="B42" s="16" t="s">
        <v>46</v>
      </c>
      <c r="C42" s="17">
        <v>33</v>
      </c>
      <c r="D42" s="17">
        <v>34</v>
      </c>
      <c r="E42" s="17">
        <f t="shared" si="3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88</v>
      </c>
      <c r="B43" s="16" t="s">
        <v>46</v>
      </c>
      <c r="C43" s="17">
        <v>34</v>
      </c>
      <c r="D43" s="17">
        <v>35</v>
      </c>
      <c r="E43" s="17">
        <f t="shared" si="3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88</v>
      </c>
      <c r="B44" s="16" t="s">
        <v>46</v>
      </c>
      <c r="C44" s="17">
        <v>35</v>
      </c>
      <c r="D44" s="17">
        <v>36</v>
      </c>
      <c r="E44" s="17">
        <f t="shared" si="3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88</v>
      </c>
      <c r="B45" s="16" t="s">
        <v>46</v>
      </c>
      <c r="C45" s="17">
        <v>36</v>
      </c>
      <c r="D45" s="17">
        <v>37</v>
      </c>
      <c r="E45" s="17">
        <f t="shared" si="3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88</v>
      </c>
      <c r="B46" s="16" t="s">
        <v>46</v>
      </c>
      <c r="C46" s="17">
        <v>37</v>
      </c>
      <c r="D46" s="17">
        <v>38</v>
      </c>
      <c r="E46" s="17">
        <f t="shared" si="3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88</v>
      </c>
      <c r="B47" s="16" t="s">
        <v>46</v>
      </c>
      <c r="C47" s="17">
        <v>38</v>
      </c>
      <c r="D47" s="17">
        <v>39</v>
      </c>
      <c r="E47" s="17">
        <f t="shared" si="3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88</v>
      </c>
      <c r="B48" s="16" t="s">
        <v>46</v>
      </c>
      <c r="C48" s="17">
        <v>39</v>
      </c>
      <c r="D48" s="17">
        <v>40</v>
      </c>
      <c r="E48" s="17">
        <f t="shared" si="3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88</v>
      </c>
      <c r="B49" s="16" t="s">
        <v>46</v>
      </c>
      <c r="C49" s="17">
        <v>40</v>
      </c>
      <c r="D49" s="17">
        <v>41</v>
      </c>
      <c r="E49" s="17">
        <f t="shared" si="3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88</v>
      </c>
      <c r="B50" s="16" t="s">
        <v>46</v>
      </c>
      <c r="C50" s="17">
        <v>41</v>
      </c>
      <c r="D50" s="17">
        <v>42</v>
      </c>
      <c r="E50" s="17">
        <f t="shared" si="3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88</v>
      </c>
      <c r="B51" s="16" t="s">
        <v>46</v>
      </c>
      <c r="C51" s="17">
        <v>42</v>
      </c>
      <c r="D51" s="17">
        <v>43</v>
      </c>
      <c r="E51" s="17">
        <f t="shared" si="3"/>
        <v>1</v>
      </c>
      <c r="F51" s="18"/>
      <c r="G51" s="18" t="s">
        <v>47</v>
      </c>
      <c r="H51" s="18"/>
      <c r="I51" s="18"/>
      <c r="J51" s="18"/>
      <c r="K51" s="18" t="s">
        <v>47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88</v>
      </c>
      <c r="B52" s="16" t="s">
        <v>46</v>
      </c>
      <c r="C52" s="17">
        <v>43</v>
      </c>
      <c r="D52" s="17">
        <v>44</v>
      </c>
      <c r="E52" s="17">
        <f t="shared" si="3"/>
        <v>1</v>
      </c>
      <c r="F52" s="18"/>
      <c r="G52" s="18" t="s">
        <v>47</v>
      </c>
      <c r="H52" s="18"/>
      <c r="I52" s="18"/>
      <c r="J52" s="18"/>
      <c r="K52" s="18" t="s">
        <v>47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88</v>
      </c>
      <c r="B53" s="16" t="s">
        <v>46</v>
      </c>
      <c r="C53" s="17">
        <v>44</v>
      </c>
      <c r="D53" s="17">
        <v>45</v>
      </c>
      <c r="E53" s="17">
        <f t="shared" si="3"/>
        <v>1</v>
      </c>
      <c r="F53" s="18"/>
      <c r="G53" s="18" t="s">
        <v>47</v>
      </c>
      <c r="H53" s="18"/>
      <c r="I53" s="18"/>
      <c r="J53" s="18"/>
      <c r="K53" s="18" t="s">
        <v>47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88</v>
      </c>
      <c r="B54" s="16" t="s">
        <v>46</v>
      </c>
      <c r="C54" s="17">
        <v>45</v>
      </c>
      <c r="D54" s="17">
        <v>46</v>
      </c>
      <c r="E54" s="17">
        <f t="shared" si="3"/>
        <v>1</v>
      </c>
      <c r="F54" s="18"/>
      <c r="G54" s="18" t="s">
        <v>47</v>
      </c>
      <c r="H54" s="18"/>
      <c r="I54" s="18"/>
      <c r="J54" s="18"/>
      <c r="K54" s="18" t="s">
        <v>47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88</v>
      </c>
      <c r="B55" s="16" t="s">
        <v>46</v>
      </c>
      <c r="C55" s="17">
        <v>46</v>
      </c>
      <c r="D55" s="17">
        <v>47</v>
      </c>
      <c r="E55" s="17">
        <f t="shared" si="3"/>
        <v>1</v>
      </c>
      <c r="F55" s="18"/>
      <c r="G55" s="18" t="s">
        <v>47</v>
      </c>
      <c r="H55" s="18"/>
      <c r="I55" s="18"/>
      <c r="J55" s="18"/>
      <c r="K55" s="18" t="s">
        <v>47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88</v>
      </c>
      <c r="B56" s="16" t="s">
        <v>46</v>
      </c>
      <c r="C56" s="17">
        <v>47</v>
      </c>
      <c r="D56" s="17">
        <v>48</v>
      </c>
      <c r="E56" s="17">
        <f t="shared" si="3"/>
        <v>1</v>
      </c>
      <c r="F56" s="18"/>
      <c r="G56" s="18" t="s">
        <v>47</v>
      </c>
      <c r="H56" s="18"/>
      <c r="I56" s="18"/>
      <c r="J56" s="18"/>
      <c r="K56" s="18" t="s">
        <v>47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88</v>
      </c>
      <c r="B57" s="16" t="s">
        <v>46</v>
      </c>
      <c r="C57" s="17">
        <v>48</v>
      </c>
      <c r="D57" s="17">
        <v>49</v>
      </c>
      <c r="E57" s="17">
        <f t="shared" si="3"/>
        <v>1</v>
      </c>
      <c r="F57" s="18"/>
      <c r="G57" s="18" t="s">
        <v>47</v>
      </c>
      <c r="H57" s="18"/>
      <c r="I57" s="18"/>
      <c r="J57" s="18"/>
      <c r="K57" s="18" t="s">
        <v>47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88</v>
      </c>
      <c r="B58" s="16" t="s">
        <v>46</v>
      </c>
      <c r="C58" s="17">
        <v>49</v>
      </c>
      <c r="D58" s="17">
        <v>50</v>
      </c>
      <c r="E58" s="17">
        <f t="shared" si="3"/>
        <v>1</v>
      </c>
      <c r="F58" s="18"/>
      <c r="G58" s="18" t="s">
        <v>47</v>
      </c>
      <c r="H58" s="18"/>
      <c r="I58" s="18"/>
      <c r="J58" s="18"/>
      <c r="K58" s="18" t="s">
        <v>47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88</v>
      </c>
      <c r="B59" s="16" t="s">
        <v>46</v>
      </c>
      <c r="C59" s="17">
        <v>50</v>
      </c>
      <c r="D59" s="17">
        <v>51</v>
      </c>
      <c r="E59" s="17">
        <f t="shared" si="3"/>
        <v>1</v>
      </c>
      <c r="F59" s="18"/>
      <c r="G59" s="18" t="s">
        <v>47</v>
      </c>
      <c r="H59" s="18"/>
      <c r="I59" s="18"/>
      <c r="J59" s="18"/>
      <c r="K59" s="18" t="s">
        <v>47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88</v>
      </c>
      <c r="B60" s="16" t="s">
        <v>46</v>
      </c>
      <c r="C60" s="17">
        <v>51</v>
      </c>
      <c r="D60" s="17">
        <v>52</v>
      </c>
      <c r="E60" s="17">
        <f t="shared" si="3"/>
        <v>1</v>
      </c>
      <c r="F60" s="18"/>
      <c r="G60" s="18" t="s">
        <v>47</v>
      </c>
      <c r="H60" s="18"/>
      <c r="I60" s="18"/>
      <c r="J60" s="18"/>
      <c r="K60" s="18" t="s">
        <v>47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88</v>
      </c>
      <c r="B61" s="16" t="s">
        <v>46</v>
      </c>
      <c r="C61" s="17">
        <v>52</v>
      </c>
      <c r="D61" s="17">
        <v>53</v>
      </c>
      <c r="E61" s="17">
        <f t="shared" si="3"/>
        <v>1</v>
      </c>
      <c r="F61" s="18"/>
      <c r="G61" s="18" t="s">
        <v>47</v>
      </c>
      <c r="H61" s="18"/>
      <c r="I61" s="18"/>
      <c r="J61" s="18"/>
      <c r="K61" s="18" t="s">
        <v>47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88</v>
      </c>
      <c r="B62" s="16" t="s">
        <v>46</v>
      </c>
      <c r="C62" s="17">
        <v>53</v>
      </c>
      <c r="D62" s="17">
        <v>54</v>
      </c>
      <c r="E62" s="17">
        <f t="shared" si="3"/>
        <v>1</v>
      </c>
      <c r="F62" s="18"/>
      <c r="G62" s="18" t="s">
        <v>47</v>
      </c>
      <c r="H62" s="18"/>
      <c r="I62" s="18"/>
      <c r="J62" s="18"/>
      <c r="K62" s="18" t="s">
        <v>47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88</v>
      </c>
      <c r="B63" s="16" t="s">
        <v>46</v>
      </c>
      <c r="C63" s="17">
        <v>54</v>
      </c>
      <c r="D63" s="17">
        <v>55</v>
      </c>
      <c r="E63" s="17">
        <f t="shared" si="3"/>
        <v>1</v>
      </c>
      <c r="F63" s="18"/>
      <c r="G63" s="18" t="s">
        <v>47</v>
      </c>
      <c r="H63" s="18"/>
      <c r="I63" s="18"/>
      <c r="J63" s="18"/>
      <c r="K63" s="18" t="s">
        <v>47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88</v>
      </c>
      <c r="B64" s="16" t="s">
        <v>46</v>
      </c>
      <c r="C64" s="17">
        <v>55</v>
      </c>
      <c r="D64" s="17">
        <v>56</v>
      </c>
      <c r="E64" s="17">
        <f t="shared" si="3"/>
        <v>1</v>
      </c>
      <c r="F64" s="18"/>
      <c r="G64" s="18" t="s">
        <v>47</v>
      </c>
      <c r="H64" s="18"/>
      <c r="I64" s="18"/>
      <c r="J64" s="18"/>
      <c r="K64" s="18" t="s">
        <v>47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21" t="s">
        <v>88</v>
      </c>
      <c r="B65" s="22" t="s">
        <v>46</v>
      </c>
      <c r="C65" s="23">
        <v>56</v>
      </c>
      <c r="D65" s="23">
        <v>56.5312585629</v>
      </c>
      <c r="E65" s="23">
        <f t="shared" si="3"/>
        <v>0.53125856289999973</v>
      </c>
      <c r="F65" s="24"/>
      <c r="G65" s="24" t="s">
        <v>47</v>
      </c>
      <c r="H65" s="24"/>
      <c r="I65" s="24"/>
      <c r="J65" s="24"/>
      <c r="K65" s="24" t="s">
        <v>47</v>
      </c>
      <c r="L65" s="24"/>
      <c r="M65" s="25"/>
      <c r="N65" s="26" t="str">
        <f t="shared" si="4"/>
        <v>OK</v>
      </c>
    </row>
    <row r="66" spans="1:14" ht="15" customHeight="1" x14ac:dyDescent="0.25">
      <c r="A66" s="52" t="s">
        <v>89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5"/>
      <c r="N66" s="4"/>
    </row>
    <row r="67" spans="1:14" ht="15.95" customHeight="1" x14ac:dyDescent="0.25">
      <c r="A67" s="44" t="s">
        <v>90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5"/>
      <c r="N67" s="4"/>
    </row>
    <row r="68" spans="1:14" ht="20.100000000000001" customHeight="1" x14ac:dyDescent="0.25">
      <c r="A68" s="15" t="s">
        <v>91</v>
      </c>
      <c r="B68" s="16" t="s">
        <v>46</v>
      </c>
      <c r="C68" s="17">
        <v>0</v>
      </c>
      <c r="D68" s="17">
        <v>1</v>
      </c>
      <c r="E68" s="17">
        <f t="shared" ref="E68:E103" si="5">D68-C68</f>
        <v>1</v>
      </c>
      <c r="F68" s="18"/>
      <c r="G68" s="18" t="s">
        <v>47</v>
      </c>
      <c r="H68" s="18"/>
      <c r="I68" s="18"/>
      <c r="J68" s="18"/>
      <c r="K68" s="18" t="s">
        <v>47</v>
      </c>
      <c r="L68" s="18"/>
      <c r="M68" s="19"/>
      <c r="N68" s="20" t="str">
        <f t="shared" ref="N68:N103" si="6">IF(COUNTA(F68:L68)=0,"— não preenchido",IF(COUNTIF(F68:I68,"X")&lt;&gt;1,"FALTA/DUPLA: CONDIÇÃO DA PLATAFORMA",IF(COUNTIF(J68:L68,"X")&lt;&gt;1,"FALTA/DUPLA: DRENAGEM SUPERFICIAL","OK")))</f>
        <v>OK</v>
      </c>
    </row>
    <row r="69" spans="1:14" ht="20.100000000000001" customHeight="1" x14ac:dyDescent="0.25">
      <c r="A69" s="15" t="s">
        <v>91</v>
      </c>
      <c r="B69" s="16" t="s">
        <v>46</v>
      </c>
      <c r="C69" s="17">
        <v>1</v>
      </c>
      <c r="D69" s="17">
        <v>2</v>
      </c>
      <c r="E69" s="17">
        <f t="shared" si="5"/>
        <v>1</v>
      </c>
      <c r="F69" s="18"/>
      <c r="G69" s="18" t="s">
        <v>47</v>
      </c>
      <c r="H69" s="18"/>
      <c r="I69" s="18"/>
      <c r="J69" s="18"/>
      <c r="K69" s="18" t="s">
        <v>47</v>
      </c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91</v>
      </c>
      <c r="B70" s="16" t="s">
        <v>46</v>
      </c>
      <c r="C70" s="17">
        <v>2</v>
      </c>
      <c r="D70" s="17">
        <v>3</v>
      </c>
      <c r="E70" s="17">
        <f t="shared" si="5"/>
        <v>1</v>
      </c>
      <c r="F70" s="18"/>
      <c r="G70" s="18" t="s">
        <v>47</v>
      </c>
      <c r="H70" s="18"/>
      <c r="I70" s="18"/>
      <c r="J70" s="18"/>
      <c r="K70" s="18" t="s">
        <v>47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91</v>
      </c>
      <c r="B71" s="16" t="s">
        <v>46</v>
      </c>
      <c r="C71" s="17">
        <v>3</v>
      </c>
      <c r="D71" s="17">
        <v>4</v>
      </c>
      <c r="E71" s="17">
        <f t="shared" si="5"/>
        <v>1</v>
      </c>
      <c r="F71" s="18"/>
      <c r="G71" s="18" t="s">
        <v>47</v>
      </c>
      <c r="H71" s="18"/>
      <c r="I71" s="18"/>
      <c r="J71" s="18"/>
      <c r="K71" s="18" t="s">
        <v>47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91</v>
      </c>
      <c r="B72" s="16" t="s">
        <v>46</v>
      </c>
      <c r="C72" s="17">
        <v>4</v>
      </c>
      <c r="D72" s="17">
        <v>5</v>
      </c>
      <c r="E72" s="17">
        <f t="shared" si="5"/>
        <v>1</v>
      </c>
      <c r="F72" s="18"/>
      <c r="G72" s="18" t="s">
        <v>47</v>
      </c>
      <c r="H72" s="18"/>
      <c r="I72" s="18"/>
      <c r="J72" s="18"/>
      <c r="K72" s="18" t="s">
        <v>47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91</v>
      </c>
      <c r="B73" s="16" t="s">
        <v>46</v>
      </c>
      <c r="C73" s="17">
        <v>5</v>
      </c>
      <c r="D73" s="17">
        <v>6</v>
      </c>
      <c r="E73" s="17">
        <f t="shared" si="5"/>
        <v>1</v>
      </c>
      <c r="F73" s="18"/>
      <c r="G73" s="18" t="s">
        <v>47</v>
      </c>
      <c r="H73" s="18"/>
      <c r="I73" s="18"/>
      <c r="J73" s="18"/>
      <c r="K73" s="18" t="s">
        <v>47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91</v>
      </c>
      <c r="B74" s="16" t="s">
        <v>46</v>
      </c>
      <c r="C74" s="17">
        <v>6</v>
      </c>
      <c r="D74" s="17">
        <v>7</v>
      </c>
      <c r="E74" s="17">
        <f t="shared" si="5"/>
        <v>1</v>
      </c>
      <c r="F74" s="18"/>
      <c r="G74" s="18" t="s">
        <v>47</v>
      </c>
      <c r="H74" s="18"/>
      <c r="I74" s="18"/>
      <c r="J74" s="18"/>
      <c r="K74" s="18" t="s">
        <v>47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91</v>
      </c>
      <c r="B75" s="16" t="s">
        <v>46</v>
      </c>
      <c r="C75" s="17">
        <v>7</v>
      </c>
      <c r="D75" s="17">
        <v>8</v>
      </c>
      <c r="E75" s="17">
        <f t="shared" si="5"/>
        <v>1</v>
      </c>
      <c r="F75" s="18"/>
      <c r="G75" s="18" t="s">
        <v>47</v>
      </c>
      <c r="H75" s="18"/>
      <c r="I75" s="18"/>
      <c r="J75" s="18"/>
      <c r="K75" s="18" t="s">
        <v>47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91</v>
      </c>
      <c r="B76" s="16" t="s">
        <v>46</v>
      </c>
      <c r="C76" s="17">
        <v>8</v>
      </c>
      <c r="D76" s="17">
        <v>9</v>
      </c>
      <c r="E76" s="17">
        <f t="shared" si="5"/>
        <v>1</v>
      </c>
      <c r="F76" s="18"/>
      <c r="G76" s="18" t="s">
        <v>47</v>
      </c>
      <c r="H76" s="18"/>
      <c r="I76" s="18"/>
      <c r="J76" s="18"/>
      <c r="K76" s="18" t="s">
        <v>47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91</v>
      </c>
      <c r="B77" s="16" t="s">
        <v>46</v>
      </c>
      <c r="C77" s="17">
        <v>9</v>
      </c>
      <c r="D77" s="17">
        <v>10</v>
      </c>
      <c r="E77" s="17">
        <f t="shared" si="5"/>
        <v>1</v>
      </c>
      <c r="F77" s="18"/>
      <c r="G77" s="18" t="s">
        <v>47</v>
      </c>
      <c r="H77" s="18"/>
      <c r="I77" s="18"/>
      <c r="J77" s="18"/>
      <c r="K77" s="18" t="s">
        <v>47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91</v>
      </c>
      <c r="B78" s="16" t="s">
        <v>46</v>
      </c>
      <c r="C78" s="17">
        <v>10</v>
      </c>
      <c r="D78" s="17">
        <v>11</v>
      </c>
      <c r="E78" s="17">
        <f t="shared" si="5"/>
        <v>1</v>
      </c>
      <c r="F78" s="18"/>
      <c r="G78" s="18" t="s">
        <v>47</v>
      </c>
      <c r="H78" s="18"/>
      <c r="I78" s="18"/>
      <c r="J78" s="18"/>
      <c r="K78" s="18" t="s">
        <v>47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91</v>
      </c>
      <c r="B79" s="16" t="s">
        <v>46</v>
      </c>
      <c r="C79" s="17">
        <v>11</v>
      </c>
      <c r="D79" s="17">
        <v>12</v>
      </c>
      <c r="E79" s="17">
        <f t="shared" si="5"/>
        <v>1</v>
      </c>
      <c r="F79" s="18"/>
      <c r="G79" s="18" t="s">
        <v>47</v>
      </c>
      <c r="H79" s="18"/>
      <c r="I79" s="18"/>
      <c r="J79" s="18"/>
      <c r="K79" s="18" t="s">
        <v>47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91</v>
      </c>
      <c r="B80" s="16" t="s">
        <v>46</v>
      </c>
      <c r="C80" s="17">
        <v>12</v>
      </c>
      <c r="D80" s="17">
        <v>13</v>
      </c>
      <c r="E80" s="17">
        <f t="shared" si="5"/>
        <v>1</v>
      </c>
      <c r="F80" s="18"/>
      <c r="G80" s="18" t="s">
        <v>47</v>
      </c>
      <c r="H80" s="18"/>
      <c r="I80" s="18"/>
      <c r="J80" s="18"/>
      <c r="K80" s="18" t="s">
        <v>47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91</v>
      </c>
      <c r="B81" s="16" t="s">
        <v>46</v>
      </c>
      <c r="C81" s="17">
        <v>13</v>
      </c>
      <c r="D81" s="17">
        <v>14</v>
      </c>
      <c r="E81" s="17">
        <f t="shared" si="5"/>
        <v>1</v>
      </c>
      <c r="F81" s="18"/>
      <c r="G81" s="18" t="s">
        <v>47</v>
      </c>
      <c r="H81" s="18"/>
      <c r="I81" s="18"/>
      <c r="J81" s="18"/>
      <c r="K81" s="18" t="s">
        <v>47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91</v>
      </c>
      <c r="B82" s="16" t="s">
        <v>46</v>
      </c>
      <c r="C82" s="17">
        <v>14</v>
      </c>
      <c r="D82" s="17">
        <v>15</v>
      </c>
      <c r="E82" s="17">
        <f t="shared" si="5"/>
        <v>1</v>
      </c>
      <c r="F82" s="18"/>
      <c r="G82" s="18" t="s">
        <v>47</v>
      </c>
      <c r="H82" s="18"/>
      <c r="I82" s="18"/>
      <c r="J82" s="18"/>
      <c r="K82" s="18" t="s">
        <v>47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91</v>
      </c>
      <c r="B83" s="16" t="s">
        <v>46</v>
      </c>
      <c r="C83" s="17">
        <v>15</v>
      </c>
      <c r="D83" s="17">
        <v>16</v>
      </c>
      <c r="E83" s="17">
        <f t="shared" si="5"/>
        <v>1</v>
      </c>
      <c r="F83" s="18"/>
      <c r="G83" s="18" t="s">
        <v>47</v>
      </c>
      <c r="H83" s="18"/>
      <c r="I83" s="18"/>
      <c r="J83" s="18"/>
      <c r="K83" s="18" t="s">
        <v>47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91</v>
      </c>
      <c r="B84" s="16" t="s">
        <v>46</v>
      </c>
      <c r="C84" s="17">
        <v>16</v>
      </c>
      <c r="D84" s="17">
        <v>17</v>
      </c>
      <c r="E84" s="17">
        <f t="shared" si="5"/>
        <v>1</v>
      </c>
      <c r="F84" s="18"/>
      <c r="G84" s="18" t="s">
        <v>47</v>
      </c>
      <c r="H84" s="18"/>
      <c r="I84" s="18"/>
      <c r="J84" s="18"/>
      <c r="K84" s="18" t="s">
        <v>47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91</v>
      </c>
      <c r="B85" s="16" t="s">
        <v>46</v>
      </c>
      <c r="C85" s="17">
        <v>17</v>
      </c>
      <c r="D85" s="17">
        <v>18</v>
      </c>
      <c r="E85" s="17">
        <f t="shared" si="5"/>
        <v>1</v>
      </c>
      <c r="F85" s="18"/>
      <c r="G85" s="18" t="s">
        <v>47</v>
      </c>
      <c r="H85" s="18"/>
      <c r="I85" s="18"/>
      <c r="J85" s="18"/>
      <c r="K85" s="18" t="s">
        <v>47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91</v>
      </c>
      <c r="B86" s="16" t="s">
        <v>46</v>
      </c>
      <c r="C86" s="17">
        <v>18</v>
      </c>
      <c r="D86" s="17">
        <v>19</v>
      </c>
      <c r="E86" s="17">
        <f t="shared" si="5"/>
        <v>1</v>
      </c>
      <c r="F86" s="18"/>
      <c r="G86" s="18" t="s">
        <v>47</v>
      </c>
      <c r="H86" s="18"/>
      <c r="I86" s="18"/>
      <c r="J86" s="18"/>
      <c r="K86" s="18" t="s">
        <v>47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91</v>
      </c>
      <c r="B87" s="16" t="s">
        <v>46</v>
      </c>
      <c r="C87" s="17">
        <v>19</v>
      </c>
      <c r="D87" s="17">
        <v>20</v>
      </c>
      <c r="E87" s="17">
        <f t="shared" si="5"/>
        <v>1</v>
      </c>
      <c r="F87" s="18"/>
      <c r="G87" s="18" t="s">
        <v>47</v>
      </c>
      <c r="H87" s="18"/>
      <c r="I87" s="18"/>
      <c r="J87" s="18"/>
      <c r="K87" s="18" t="s">
        <v>47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91</v>
      </c>
      <c r="B88" s="16" t="s">
        <v>46</v>
      </c>
      <c r="C88" s="17">
        <v>20</v>
      </c>
      <c r="D88" s="17">
        <v>21</v>
      </c>
      <c r="E88" s="17">
        <f t="shared" si="5"/>
        <v>1</v>
      </c>
      <c r="F88" s="18"/>
      <c r="G88" s="18" t="s">
        <v>47</v>
      </c>
      <c r="H88" s="18"/>
      <c r="I88" s="18"/>
      <c r="J88" s="18"/>
      <c r="K88" s="18" t="s">
        <v>47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91</v>
      </c>
      <c r="B89" s="16" t="s">
        <v>46</v>
      </c>
      <c r="C89" s="17">
        <v>21</v>
      </c>
      <c r="D89" s="17">
        <v>22</v>
      </c>
      <c r="E89" s="17">
        <f t="shared" si="5"/>
        <v>1</v>
      </c>
      <c r="F89" s="18"/>
      <c r="G89" s="18" t="s">
        <v>47</v>
      </c>
      <c r="H89" s="18"/>
      <c r="I89" s="18"/>
      <c r="J89" s="18"/>
      <c r="K89" s="18" t="s">
        <v>47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91</v>
      </c>
      <c r="B90" s="16" t="s">
        <v>46</v>
      </c>
      <c r="C90" s="17">
        <v>22</v>
      </c>
      <c r="D90" s="17">
        <v>23</v>
      </c>
      <c r="E90" s="17">
        <f t="shared" si="5"/>
        <v>1</v>
      </c>
      <c r="F90" s="18"/>
      <c r="G90" s="18" t="s">
        <v>47</v>
      </c>
      <c r="H90" s="18"/>
      <c r="I90" s="18"/>
      <c r="J90" s="18"/>
      <c r="K90" s="18" t="s">
        <v>47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91</v>
      </c>
      <c r="B91" s="16" t="s">
        <v>46</v>
      </c>
      <c r="C91" s="17">
        <v>23</v>
      </c>
      <c r="D91" s="17">
        <v>24</v>
      </c>
      <c r="E91" s="17">
        <f t="shared" si="5"/>
        <v>1</v>
      </c>
      <c r="F91" s="18"/>
      <c r="G91" s="18" t="s">
        <v>47</v>
      </c>
      <c r="H91" s="18"/>
      <c r="I91" s="18"/>
      <c r="J91" s="18"/>
      <c r="K91" s="18" t="s">
        <v>47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91</v>
      </c>
      <c r="B92" s="16" t="s">
        <v>46</v>
      </c>
      <c r="C92" s="17">
        <v>24</v>
      </c>
      <c r="D92" s="17">
        <v>25</v>
      </c>
      <c r="E92" s="17">
        <f t="shared" si="5"/>
        <v>1</v>
      </c>
      <c r="F92" s="18"/>
      <c r="G92" s="18" t="s">
        <v>47</v>
      </c>
      <c r="H92" s="18"/>
      <c r="I92" s="18"/>
      <c r="J92" s="18"/>
      <c r="K92" s="18" t="s">
        <v>47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91</v>
      </c>
      <c r="B93" s="16" t="s">
        <v>46</v>
      </c>
      <c r="C93" s="17">
        <v>25</v>
      </c>
      <c r="D93" s="17">
        <v>26</v>
      </c>
      <c r="E93" s="17">
        <f t="shared" si="5"/>
        <v>1</v>
      </c>
      <c r="F93" s="18"/>
      <c r="G93" s="18" t="s">
        <v>47</v>
      </c>
      <c r="H93" s="18"/>
      <c r="I93" s="18"/>
      <c r="J93" s="18"/>
      <c r="K93" s="18" t="s">
        <v>47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91</v>
      </c>
      <c r="B94" s="16" t="s">
        <v>46</v>
      </c>
      <c r="C94" s="17">
        <v>26</v>
      </c>
      <c r="D94" s="17">
        <v>27</v>
      </c>
      <c r="E94" s="17">
        <f t="shared" si="5"/>
        <v>1</v>
      </c>
      <c r="F94" s="18"/>
      <c r="G94" s="18" t="s">
        <v>47</v>
      </c>
      <c r="H94" s="18"/>
      <c r="I94" s="18"/>
      <c r="J94" s="18"/>
      <c r="K94" s="18" t="s">
        <v>47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91</v>
      </c>
      <c r="B95" s="16" t="s">
        <v>46</v>
      </c>
      <c r="C95" s="17">
        <v>27</v>
      </c>
      <c r="D95" s="17">
        <v>28</v>
      </c>
      <c r="E95" s="17">
        <f t="shared" si="5"/>
        <v>1</v>
      </c>
      <c r="F95" s="18"/>
      <c r="G95" s="18" t="s">
        <v>47</v>
      </c>
      <c r="H95" s="18"/>
      <c r="I95" s="18"/>
      <c r="J95" s="18"/>
      <c r="K95" s="18" t="s">
        <v>47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91</v>
      </c>
      <c r="B96" s="16" t="s">
        <v>46</v>
      </c>
      <c r="C96" s="17">
        <v>28</v>
      </c>
      <c r="D96" s="17">
        <v>29</v>
      </c>
      <c r="E96" s="17">
        <f t="shared" si="5"/>
        <v>1</v>
      </c>
      <c r="F96" s="18"/>
      <c r="G96" s="18" t="s">
        <v>47</v>
      </c>
      <c r="H96" s="18"/>
      <c r="I96" s="18"/>
      <c r="J96" s="18"/>
      <c r="K96" s="18" t="s">
        <v>47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91</v>
      </c>
      <c r="B97" s="16" t="s">
        <v>46</v>
      </c>
      <c r="C97" s="17">
        <v>29</v>
      </c>
      <c r="D97" s="17">
        <v>30</v>
      </c>
      <c r="E97" s="17">
        <f t="shared" si="5"/>
        <v>1</v>
      </c>
      <c r="F97" s="18"/>
      <c r="G97" s="18" t="s">
        <v>47</v>
      </c>
      <c r="H97" s="18"/>
      <c r="I97" s="18"/>
      <c r="J97" s="18"/>
      <c r="K97" s="18" t="s">
        <v>47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91</v>
      </c>
      <c r="B98" s="16" t="s">
        <v>46</v>
      </c>
      <c r="C98" s="17">
        <v>30</v>
      </c>
      <c r="D98" s="17">
        <v>31</v>
      </c>
      <c r="E98" s="17">
        <f t="shared" si="5"/>
        <v>1</v>
      </c>
      <c r="F98" s="18"/>
      <c r="G98" s="18" t="s">
        <v>47</v>
      </c>
      <c r="H98" s="18"/>
      <c r="I98" s="18"/>
      <c r="J98" s="18"/>
      <c r="K98" s="18" t="s">
        <v>47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91</v>
      </c>
      <c r="B99" s="16" t="s">
        <v>46</v>
      </c>
      <c r="C99" s="17">
        <v>31</v>
      </c>
      <c r="D99" s="17">
        <v>32</v>
      </c>
      <c r="E99" s="17">
        <f t="shared" si="5"/>
        <v>1</v>
      </c>
      <c r="F99" s="18"/>
      <c r="G99" s="18" t="s">
        <v>47</v>
      </c>
      <c r="H99" s="18"/>
      <c r="I99" s="18"/>
      <c r="J99" s="18"/>
      <c r="K99" s="18" t="s">
        <v>47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91</v>
      </c>
      <c r="B100" s="16" t="s">
        <v>46</v>
      </c>
      <c r="C100" s="17">
        <v>32</v>
      </c>
      <c r="D100" s="17">
        <v>33</v>
      </c>
      <c r="E100" s="17">
        <f t="shared" si="5"/>
        <v>1</v>
      </c>
      <c r="F100" s="18"/>
      <c r="G100" s="18" t="s">
        <v>47</v>
      </c>
      <c r="H100" s="18"/>
      <c r="I100" s="18"/>
      <c r="J100" s="18"/>
      <c r="K100" s="18" t="s">
        <v>47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91</v>
      </c>
      <c r="B101" s="16" t="s">
        <v>46</v>
      </c>
      <c r="C101" s="17">
        <v>33</v>
      </c>
      <c r="D101" s="17">
        <v>34</v>
      </c>
      <c r="E101" s="17">
        <f t="shared" si="5"/>
        <v>1</v>
      </c>
      <c r="F101" s="18"/>
      <c r="G101" s="18" t="s">
        <v>47</v>
      </c>
      <c r="H101" s="18"/>
      <c r="I101" s="18"/>
      <c r="J101" s="18"/>
      <c r="K101" s="18" t="s">
        <v>47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91</v>
      </c>
      <c r="B102" s="16" t="s">
        <v>46</v>
      </c>
      <c r="C102" s="17">
        <v>34</v>
      </c>
      <c r="D102" s="17">
        <v>35</v>
      </c>
      <c r="E102" s="17">
        <f t="shared" si="5"/>
        <v>1</v>
      </c>
      <c r="F102" s="18"/>
      <c r="G102" s="18" t="s">
        <v>47</v>
      </c>
      <c r="H102" s="18"/>
      <c r="I102" s="18"/>
      <c r="J102" s="18"/>
      <c r="K102" s="18" t="s">
        <v>47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21" t="s">
        <v>91</v>
      </c>
      <c r="B103" s="22" t="s">
        <v>46</v>
      </c>
      <c r="C103" s="23">
        <v>35</v>
      </c>
      <c r="D103" s="23">
        <v>35.005490809400001</v>
      </c>
      <c r="E103" s="23">
        <f t="shared" si="5"/>
        <v>5.4908094000012397E-3</v>
      </c>
      <c r="F103" s="24"/>
      <c r="G103" s="24" t="s">
        <v>47</v>
      </c>
      <c r="H103" s="24"/>
      <c r="I103" s="24"/>
      <c r="J103" s="24"/>
      <c r="K103" s="24" t="s">
        <v>47</v>
      </c>
      <c r="L103" s="24"/>
      <c r="M103" s="25"/>
      <c r="N103" s="26" t="str">
        <f t="shared" si="6"/>
        <v>OK</v>
      </c>
    </row>
    <row r="105" spans="1:14" x14ac:dyDescent="0.25">
      <c r="A105" s="38" t="s">
        <v>48</v>
      </c>
      <c r="B105" s="32"/>
      <c r="C105" s="32"/>
      <c r="D105" s="32"/>
      <c r="E105" s="32"/>
      <c r="G105" s="38" t="s">
        <v>48</v>
      </c>
      <c r="H105" s="32"/>
      <c r="I105" s="32"/>
      <c r="J105" s="32"/>
      <c r="K105" s="32"/>
    </row>
    <row r="106" spans="1:14" x14ac:dyDescent="0.25">
      <c r="A106" s="43" t="s">
        <v>49</v>
      </c>
      <c r="B106" s="32"/>
      <c r="C106" s="32"/>
      <c r="D106" s="32"/>
      <c r="E106" s="32"/>
      <c r="G106" s="43" t="s">
        <v>50</v>
      </c>
      <c r="H106" s="32"/>
      <c r="I106" s="32"/>
      <c r="J106" s="32"/>
      <c r="K106" s="32"/>
    </row>
    <row r="108" spans="1:14" x14ac:dyDescent="0.25">
      <c r="A108" s="41" t="s">
        <v>51</v>
      </c>
      <c r="B108" s="32"/>
      <c r="C108" s="32"/>
      <c r="D108" s="32"/>
      <c r="E108" s="32"/>
      <c r="F108" s="27"/>
      <c r="G108" s="27"/>
      <c r="H108" s="27"/>
      <c r="I108" s="27"/>
      <c r="J108" s="27"/>
      <c r="K108" s="27"/>
      <c r="L108" s="27"/>
      <c r="M108" s="27"/>
    </row>
    <row r="109" spans="1:14" x14ac:dyDescent="0.25">
      <c r="A109" s="39" t="s">
        <v>52</v>
      </c>
      <c r="B109" s="32"/>
      <c r="C109" s="32"/>
      <c r="D109" s="32"/>
      <c r="E109" s="32"/>
      <c r="F109" s="9">
        <f t="shared" ref="F109:L109" si="7">SUMIF(F$9:F$103,"X",$E$9:$E$103)</f>
        <v>0</v>
      </c>
      <c r="G109" s="9">
        <f t="shared" si="7"/>
        <v>91.536749372300008</v>
      </c>
      <c r="H109" s="9">
        <f t="shared" si="7"/>
        <v>0</v>
      </c>
      <c r="I109" s="9">
        <f t="shared" si="7"/>
        <v>0</v>
      </c>
      <c r="J109" s="9">
        <f t="shared" si="7"/>
        <v>0</v>
      </c>
      <c r="K109" s="9">
        <f t="shared" si="7"/>
        <v>91.536749372300008</v>
      </c>
      <c r="L109" s="9">
        <f t="shared" si="7"/>
        <v>0</v>
      </c>
    </row>
    <row r="110" spans="1:14" x14ac:dyDescent="0.25">
      <c r="A110" s="39" t="s">
        <v>53</v>
      </c>
      <c r="B110" s="32"/>
      <c r="C110" s="32"/>
      <c r="D110" s="32"/>
      <c r="E110" s="32"/>
      <c r="F110" s="28">
        <f t="shared" ref="F110:L110" si="8">IF($I112=0,0,F109/$I112)</f>
        <v>0</v>
      </c>
      <c r="G110" s="28">
        <f t="shared" si="8"/>
        <v>1</v>
      </c>
      <c r="H110" s="28">
        <f t="shared" si="8"/>
        <v>0</v>
      </c>
      <c r="I110" s="28">
        <f t="shared" si="8"/>
        <v>0</v>
      </c>
      <c r="J110" s="28">
        <f t="shared" si="8"/>
        <v>0</v>
      </c>
      <c r="K110" s="28">
        <f t="shared" si="8"/>
        <v>1</v>
      </c>
      <c r="L110" s="28">
        <f t="shared" si="8"/>
        <v>0</v>
      </c>
    </row>
    <row r="111" spans="1:14" x14ac:dyDescent="0.25">
      <c r="A111" s="39" t="s">
        <v>54</v>
      </c>
      <c r="B111" s="32"/>
      <c r="C111" s="32"/>
      <c r="D111" s="32"/>
      <c r="E111" s="32"/>
      <c r="F111" s="42" t="str">
        <f>IF(SUM(F109:I109)=0,"— não preenchido",IF(ROUND(SUM(F109:I109)-$I112,3)=0,"OK — "&amp;ROUND(SUM(F109:I109),3)&amp;" km","ERRO — dif. de "&amp;ROUND(SUM(F109:I109)-$I112,3)&amp;" km"))</f>
        <v>OK — 91,537 km</v>
      </c>
      <c r="G111" s="34"/>
      <c r="H111" s="34"/>
      <c r="I111" s="35"/>
      <c r="J111" s="42" t="str">
        <f>IF(SUM(J109:L109)=0,"— não preenchido",IF(ROUND(SUM(J109:L109)-$I112,3)=0,"OK — "&amp;ROUND(SUM(J109:L109),3)&amp;" km","ERRO — dif. de "&amp;ROUND(SUM(J109:L109)-$I112,3)&amp;" km"))</f>
        <v>OK — 91,537 km</v>
      </c>
      <c r="K111" s="34"/>
      <c r="L111" s="35"/>
    </row>
    <row r="112" spans="1:14" x14ac:dyDescent="0.25">
      <c r="A112" s="39" t="s">
        <v>55</v>
      </c>
      <c r="B112" s="32"/>
      <c r="C112" s="32"/>
      <c r="D112" s="32"/>
      <c r="E112" s="32"/>
      <c r="I112" s="29">
        <f>SUM(E9:E103)</f>
        <v>91.536749372300008</v>
      </c>
      <c r="M112" s="8" t="str">
        <f>COUNTIF(N9:N103,"OK")&amp;" de "&amp;COUNT($E$9:$E$103)&amp;" linhas conferidas"</f>
        <v>93 de 93 linhas conferidas</v>
      </c>
    </row>
    <row r="114" spans="1:13" x14ac:dyDescent="0.25">
      <c r="A114" s="45" t="s">
        <v>56</v>
      </c>
      <c r="B114" s="32"/>
      <c r="C114" s="32"/>
      <c r="D114" s="32"/>
      <c r="E114" s="32"/>
    </row>
    <row r="115" spans="1:13" x14ac:dyDescent="0.25">
      <c r="A115" s="39" t="s">
        <v>10</v>
      </c>
      <c r="B115" s="32"/>
      <c r="C115" s="32"/>
      <c r="D115" s="32"/>
      <c r="E115" s="40" t="s">
        <v>57</v>
      </c>
      <c r="F115" s="32"/>
      <c r="G115" s="32"/>
      <c r="H115" s="32"/>
      <c r="I115" s="32"/>
      <c r="J115" s="32"/>
      <c r="K115" s="32"/>
      <c r="L115" s="32"/>
      <c r="M115" s="32"/>
    </row>
    <row r="116" spans="1:13" x14ac:dyDescent="0.25">
      <c r="A116" s="39" t="s">
        <v>11</v>
      </c>
      <c r="B116" s="32"/>
      <c r="C116" s="32"/>
      <c r="D116" s="32"/>
      <c r="E116" s="40" t="s">
        <v>58</v>
      </c>
      <c r="F116" s="32"/>
      <c r="G116" s="32"/>
      <c r="H116" s="32"/>
      <c r="I116" s="32"/>
      <c r="J116" s="32"/>
      <c r="K116" s="32"/>
      <c r="L116" s="32"/>
      <c r="M116" s="32"/>
    </row>
    <row r="117" spans="1:13" x14ac:dyDescent="0.25">
      <c r="A117" s="39" t="s">
        <v>12</v>
      </c>
      <c r="B117" s="32"/>
      <c r="C117" s="32"/>
      <c r="D117" s="32"/>
      <c r="E117" s="40" t="s">
        <v>59</v>
      </c>
      <c r="F117" s="32"/>
      <c r="G117" s="32"/>
      <c r="H117" s="32"/>
      <c r="I117" s="32"/>
      <c r="J117" s="32"/>
      <c r="K117" s="32"/>
      <c r="L117" s="32"/>
      <c r="M117" s="32"/>
    </row>
    <row r="118" spans="1:13" x14ac:dyDescent="0.25">
      <c r="A118" s="39" t="s">
        <v>60</v>
      </c>
      <c r="B118" s="32"/>
      <c r="C118" s="32"/>
      <c r="D118" s="32"/>
      <c r="E118" s="40" t="s">
        <v>61</v>
      </c>
      <c r="F118" s="32"/>
      <c r="G118" s="32"/>
      <c r="H118" s="32"/>
      <c r="I118" s="32"/>
      <c r="J118" s="32"/>
      <c r="K118" s="32"/>
      <c r="L118" s="32"/>
      <c r="M118" s="32"/>
    </row>
    <row r="119" spans="1:13" x14ac:dyDescent="0.25">
      <c r="A119" s="39" t="s">
        <v>62</v>
      </c>
      <c r="B119" s="32"/>
      <c r="C119" s="32"/>
      <c r="D119" s="32"/>
      <c r="E119" s="40" t="s">
        <v>63</v>
      </c>
      <c r="F119" s="32"/>
      <c r="G119" s="32"/>
      <c r="H119" s="32"/>
      <c r="I119" s="32"/>
      <c r="J119" s="32"/>
      <c r="K119" s="32"/>
      <c r="L119" s="32"/>
      <c r="M119" s="32"/>
    </row>
    <row r="120" spans="1:13" x14ac:dyDescent="0.25">
      <c r="A120" s="39" t="s">
        <v>64</v>
      </c>
      <c r="B120" s="32"/>
      <c r="C120" s="32"/>
      <c r="D120" s="32"/>
      <c r="E120" s="40" t="s">
        <v>65</v>
      </c>
      <c r="F120" s="32"/>
      <c r="G120" s="32"/>
      <c r="H120" s="32"/>
      <c r="I120" s="32"/>
      <c r="J120" s="32"/>
      <c r="K120" s="32"/>
      <c r="L120" s="32"/>
      <c r="M120" s="32"/>
    </row>
    <row r="121" spans="1:13" x14ac:dyDescent="0.25">
      <c r="A121" s="39" t="s">
        <v>38</v>
      </c>
      <c r="B121" s="32"/>
      <c r="C121" s="32"/>
      <c r="D121" s="32"/>
      <c r="E121" s="40" t="s">
        <v>66</v>
      </c>
      <c r="F121" s="32"/>
      <c r="G121" s="32"/>
      <c r="H121" s="32"/>
      <c r="I121" s="32"/>
      <c r="J121" s="32"/>
      <c r="K121" s="32"/>
      <c r="L121" s="32"/>
      <c r="M121" s="32"/>
    </row>
    <row r="122" spans="1:13" x14ac:dyDescent="0.25">
      <c r="A122" s="39" t="s">
        <v>67</v>
      </c>
      <c r="B122" s="32"/>
      <c r="C122" s="32"/>
      <c r="D122" s="32"/>
      <c r="E122" s="40" t="s">
        <v>68</v>
      </c>
      <c r="F122" s="32"/>
      <c r="G122" s="32"/>
      <c r="H122" s="32"/>
      <c r="I122" s="32"/>
      <c r="J122" s="32"/>
      <c r="K122" s="32"/>
      <c r="L122" s="32"/>
      <c r="M122" s="32"/>
    </row>
    <row r="123" spans="1:13" x14ac:dyDescent="0.25">
      <c r="A123" s="39" t="s">
        <v>69</v>
      </c>
      <c r="B123" s="32"/>
      <c r="C123" s="32"/>
      <c r="D123" s="32"/>
      <c r="E123" s="40" t="s">
        <v>70</v>
      </c>
      <c r="F123" s="32"/>
      <c r="G123" s="32"/>
      <c r="H123" s="32"/>
      <c r="I123" s="32"/>
      <c r="J123" s="32"/>
      <c r="K123" s="32"/>
      <c r="L123" s="32"/>
      <c r="M123" s="32"/>
    </row>
    <row r="124" spans="1:13" x14ac:dyDescent="0.25">
      <c r="A124" s="39" t="s">
        <v>8</v>
      </c>
      <c r="B124" s="32"/>
      <c r="C124" s="32"/>
      <c r="D124" s="32"/>
      <c r="E124" s="40" t="s">
        <v>71</v>
      </c>
      <c r="F124" s="32"/>
      <c r="G124" s="32"/>
      <c r="H124" s="32"/>
      <c r="I124" s="32"/>
      <c r="J124" s="32"/>
      <c r="K124" s="32"/>
      <c r="L124" s="32"/>
      <c r="M124" s="32"/>
    </row>
  </sheetData>
  <sheetProtection formatCells="0"/>
  <mergeCells count="52">
    <mergeCell ref="A3:J3"/>
    <mergeCell ref="E123:M123"/>
    <mergeCell ref="C6:C7"/>
    <mergeCell ref="A111:E111"/>
    <mergeCell ref="G106:K106"/>
    <mergeCell ref="D6:D7"/>
    <mergeCell ref="M6:M7"/>
    <mergeCell ref="E116:M116"/>
    <mergeCell ref="E6:E7"/>
    <mergeCell ref="A1:M1"/>
    <mergeCell ref="A119:D119"/>
    <mergeCell ref="A124:D124"/>
    <mergeCell ref="E115:M115"/>
    <mergeCell ref="N6:N7"/>
    <mergeCell ref="K3:M3"/>
    <mergeCell ref="J111:L111"/>
    <mergeCell ref="E121:M121"/>
    <mergeCell ref="A106:E106"/>
    <mergeCell ref="A118:D118"/>
    <mergeCell ref="A109:E109"/>
    <mergeCell ref="A66:M66"/>
    <mergeCell ref="A120:D120"/>
    <mergeCell ref="E122:M122"/>
    <mergeCell ref="E117:M117"/>
    <mergeCell ref="A112:E112"/>
    <mergeCell ref="E124:M124"/>
    <mergeCell ref="B6:B7"/>
    <mergeCell ref="E120:M120"/>
    <mergeCell ref="A123:D123"/>
    <mergeCell ref="F6:I6"/>
    <mergeCell ref="A105:E105"/>
    <mergeCell ref="A122:D122"/>
    <mergeCell ref="A121:D121"/>
    <mergeCell ref="E119:M119"/>
    <mergeCell ref="F111:I111"/>
    <mergeCell ref="G105:K105"/>
    <mergeCell ref="G2:H2"/>
    <mergeCell ref="A8:M8"/>
    <mergeCell ref="A4:M4"/>
    <mergeCell ref="E118:M118"/>
    <mergeCell ref="A6:A7"/>
    <mergeCell ref="A117:D117"/>
    <mergeCell ref="A115:D115"/>
    <mergeCell ref="A110:E110"/>
    <mergeCell ref="A2:C2"/>
    <mergeCell ref="K2:M2"/>
    <mergeCell ref="D2:E2"/>
    <mergeCell ref="A67:M67"/>
    <mergeCell ref="A108:E108"/>
    <mergeCell ref="A116:D116"/>
    <mergeCell ref="A114:E114"/>
    <mergeCell ref="J6:L6"/>
  </mergeCells>
  <conditionalFormatting sqref="F9:I103">
    <cfRule type="expression" dxfId="41" priority="1">
      <formula>AND(F9&lt;&gt;"",COUNTIF($F9:$I9,"X")&gt;1)</formula>
    </cfRule>
  </conditionalFormatting>
  <conditionalFormatting sqref="F111:L111">
    <cfRule type="expression" dxfId="40" priority="5">
      <formula>LEFT(F111,4)="ERRO"</formula>
    </cfRule>
    <cfRule type="expression" dxfId="39" priority="6">
      <formula>LEFT(F111,2)="OK"</formula>
    </cfRule>
  </conditionalFormatting>
  <conditionalFormatting sqref="J9:L103">
    <cfRule type="expression" dxfId="38" priority="2">
      <formula>AND(J9&lt;&gt;"",COUNTIF($J9:$L9,"X")&gt;1)</formula>
    </cfRule>
  </conditionalFormatting>
  <conditionalFormatting sqref="N9:N103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3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3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103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49</oddHeader>
    <oddFooter>&amp;L&amp;7 RTA / MSI — Programa de Manutenção Rodoviária&amp;C&amp;7 Página &amp;P de &amp;N&amp;R&amp;7 Impresso em &amp;D</oddFooter>
  </headerFooter>
  <rowBreaks count="1" manualBreakCount="1">
    <brk id="10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V7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H11" sqref="H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 t="e">
        <f t="shared" ref="P2:V2" si="0">IF(F58=0,NA(),F58)</f>
        <v>#N/A</v>
      </c>
      <c r="Q2" s="2">
        <f t="shared" si="0"/>
        <v>43.086791463899999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43.086791463899999</v>
      </c>
      <c r="V2" s="2" t="e">
        <f t="shared" si="0"/>
        <v>#N/A</v>
      </c>
    </row>
    <row r="3" spans="1:22" ht="15" customHeight="1" x14ac:dyDescent="0.25">
      <c r="A3" s="51" t="s">
        <v>92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93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94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95</v>
      </c>
      <c r="B9" s="16" t="s">
        <v>46</v>
      </c>
      <c r="C9" s="17">
        <v>0</v>
      </c>
      <c r="D9" s="17">
        <v>1</v>
      </c>
      <c r="E9" s="17">
        <f t="shared" ref="E9:E52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5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95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95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95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95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95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95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95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95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95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95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95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95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95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95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95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95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95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95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95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95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95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95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95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95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95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95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95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95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95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95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95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95</v>
      </c>
      <c r="B41" s="16" t="s">
        <v>46</v>
      </c>
      <c r="C41" s="17">
        <v>32</v>
      </c>
      <c r="D41" s="17">
        <v>33</v>
      </c>
      <c r="E41" s="17">
        <f t="shared" si="1"/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95</v>
      </c>
      <c r="B42" s="16" t="s">
        <v>46</v>
      </c>
      <c r="C42" s="17">
        <v>33</v>
      </c>
      <c r="D42" s="17">
        <v>34</v>
      </c>
      <c r="E42" s="17">
        <f t="shared" si="1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95</v>
      </c>
      <c r="B43" s="16" t="s">
        <v>46</v>
      </c>
      <c r="C43" s="17">
        <v>34</v>
      </c>
      <c r="D43" s="17">
        <v>35</v>
      </c>
      <c r="E43" s="17">
        <f t="shared" si="1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95</v>
      </c>
      <c r="B44" s="16" t="s">
        <v>46</v>
      </c>
      <c r="C44" s="17">
        <v>35</v>
      </c>
      <c r="D44" s="17">
        <v>36</v>
      </c>
      <c r="E44" s="17">
        <f t="shared" si="1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95</v>
      </c>
      <c r="B45" s="16" t="s">
        <v>46</v>
      </c>
      <c r="C45" s="17">
        <v>36</v>
      </c>
      <c r="D45" s="17">
        <v>37</v>
      </c>
      <c r="E45" s="17">
        <f t="shared" si="1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95</v>
      </c>
      <c r="B46" s="16" t="s">
        <v>46</v>
      </c>
      <c r="C46" s="17">
        <v>37</v>
      </c>
      <c r="D46" s="17">
        <v>38</v>
      </c>
      <c r="E46" s="17">
        <f t="shared" si="1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95</v>
      </c>
      <c r="B47" s="16" t="s">
        <v>46</v>
      </c>
      <c r="C47" s="17">
        <v>38</v>
      </c>
      <c r="D47" s="17">
        <v>39</v>
      </c>
      <c r="E47" s="17">
        <f t="shared" si="1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95</v>
      </c>
      <c r="B48" s="16" t="s">
        <v>46</v>
      </c>
      <c r="C48" s="17">
        <v>39</v>
      </c>
      <c r="D48" s="17">
        <v>40</v>
      </c>
      <c r="E48" s="17">
        <f t="shared" si="1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95</v>
      </c>
      <c r="B49" s="16" t="s">
        <v>46</v>
      </c>
      <c r="C49" s="17">
        <v>40</v>
      </c>
      <c r="D49" s="17">
        <v>41</v>
      </c>
      <c r="E49" s="17">
        <f t="shared" si="1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95</v>
      </c>
      <c r="B50" s="16" t="s">
        <v>46</v>
      </c>
      <c r="C50" s="17">
        <v>41</v>
      </c>
      <c r="D50" s="17">
        <v>42</v>
      </c>
      <c r="E50" s="17">
        <f t="shared" si="1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2"/>
        <v>OK</v>
      </c>
    </row>
    <row r="51" spans="1:14" ht="20.100000000000001" customHeight="1" x14ac:dyDescent="0.25">
      <c r="A51" s="15" t="s">
        <v>95</v>
      </c>
      <c r="B51" s="16" t="s">
        <v>46</v>
      </c>
      <c r="C51" s="17">
        <v>42</v>
      </c>
      <c r="D51" s="17">
        <v>43</v>
      </c>
      <c r="E51" s="17">
        <f t="shared" si="1"/>
        <v>1</v>
      </c>
      <c r="F51" s="18"/>
      <c r="G51" s="18" t="s">
        <v>47</v>
      </c>
      <c r="H51" s="18"/>
      <c r="I51" s="18"/>
      <c r="J51" s="18"/>
      <c r="K51" s="18" t="s">
        <v>47</v>
      </c>
      <c r="L51" s="18"/>
      <c r="M51" s="19"/>
      <c r="N51" s="20" t="str">
        <f t="shared" si="2"/>
        <v>OK</v>
      </c>
    </row>
    <row r="52" spans="1:14" ht="20.100000000000001" customHeight="1" x14ac:dyDescent="0.25">
      <c r="A52" s="21" t="s">
        <v>95</v>
      </c>
      <c r="B52" s="22" t="s">
        <v>46</v>
      </c>
      <c r="C52" s="23">
        <v>43</v>
      </c>
      <c r="D52" s="23">
        <v>43.086791463899999</v>
      </c>
      <c r="E52" s="23">
        <f t="shared" si="1"/>
        <v>8.6791463899999144E-2</v>
      </c>
      <c r="F52" s="24"/>
      <c r="G52" s="24" t="s">
        <v>47</v>
      </c>
      <c r="H52" s="24"/>
      <c r="I52" s="24"/>
      <c r="J52" s="24"/>
      <c r="K52" s="24" t="s">
        <v>47</v>
      </c>
      <c r="L52" s="24"/>
      <c r="M52" s="25"/>
      <c r="N52" s="26" t="str">
        <f t="shared" si="2"/>
        <v>OK</v>
      </c>
    </row>
    <row r="54" spans="1:14" x14ac:dyDescent="0.25">
      <c r="A54" s="38" t="s">
        <v>48</v>
      </c>
      <c r="B54" s="32"/>
      <c r="C54" s="32"/>
      <c r="D54" s="32"/>
      <c r="E54" s="32"/>
      <c r="G54" s="38" t="s">
        <v>48</v>
      </c>
      <c r="H54" s="32"/>
      <c r="I54" s="32"/>
      <c r="J54" s="32"/>
      <c r="K54" s="32"/>
    </row>
    <row r="55" spans="1:14" x14ac:dyDescent="0.25">
      <c r="A55" s="43" t="s">
        <v>49</v>
      </c>
      <c r="B55" s="32"/>
      <c r="C55" s="32"/>
      <c r="D55" s="32"/>
      <c r="E55" s="32"/>
      <c r="G55" s="43" t="s">
        <v>50</v>
      </c>
      <c r="H55" s="32"/>
      <c r="I55" s="32"/>
      <c r="J55" s="32"/>
      <c r="K55" s="32"/>
    </row>
    <row r="57" spans="1:14" x14ac:dyDescent="0.25">
      <c r="A57" s="41" t="s">
        <v>51</v>
      </c>
      <c r="B57" s="32"/>
      <c r="C57" s="32"/>
      <c r="D57" s="32"/>
      <c r="E57" s="32"/>
      <c r="F57" s="27"/>
      <c r="G57" s="27"/>
      <c r="H57" s="27"/>
      <c r="I57" s="27"/>
      <c r="J57" s="27"/>
      <c r="K57" s="27"/>
      <c r="L57" s="27"/>
      <c r="M57" s="27"/>
    </row>
    <row r="58" spans="1:14" x14ac:dyDescent="0.25">
      <c r="A58" s="39" t="s">
        <v>52</v>
      </c>
      <c r="B58" s="32"/>
      <c r="C58" s="32"/>
      <c r="D58" s="32"/>
      <c r="E58" s="32"/>
      <c r="F58" s="9">
        <f t="shared" ref="F58:L58" si="3">SUMIF(F$9:F$52,"X",$E$9:$E$52)</f>
        <v>0</v>
      </c>
      <c r="G58" s="9">
        <f t="shared" si="3"/>
        <v>43.086791463899999</v>
      </c>
      <c r="H58" s="9">
        <f t="shared" si="3"/>
        <v>0</v>
      </c>
      <c r="I58" s="9">
        <f t="shared" si="3"/>
        <v>0</v>
      </c>
      <c r="J58" s="9">
        <f t="shared" si="3"/>
        <v>0</v>
      </c>
      <c r="K58" s="9">
        <f t="shared" si="3"/>
        <v>43.086791463899999</v>
      </c>
      <c r="L58" s="9">
        <f t="shared" si="3"/>
        <v>0</v>
      </c>
    </row>
    <row r="59" spans="1:14" x14ac:dyDescent="0.25">
      <c r="A59" s="39" t="s">
        <v>53</v>
      </c>
      <c r="B59" s="32"/>
      <c r="C59" s="32"/>
      <c r="D59" s="32"/>
      <c r="E59" s="32"/>
      <c r="F59" s="28">
        <f t="shared" ref="F59:L59" si="4">IF($I61=0,0,F58/$I61)</f>
        <v>0</v>
      </c>
      <c r="G59" s="28">
        <f t="shared" si="4"/>
        <v>1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1</v>
      </c>
      <c r="L59" s="28">
        <f t="shared" si="4"/>
        <v>0</v>
      </c>
    </row>
    <row r="60" spans="1:14" x14ac:dyDescent="0.25">
      <c r="A60" s="39" t="s">
        <v>54</v>
      </c>
      <c r="B60" s="32"/>
      <c r="C60" s="32"/>
      <c r="D60" s="32"/>
      <c r="E60" s="32"/>
      <c r="F60" s="42" t="str">
        <f>IF(SUM(F58:I58)=0,"— não preenchido",IF(ROUND(SUM(F58:I58)-$I61,3)=0,"OK — "&amp;ROUND(SUM(F58:I58),3)&amp;" km","ERRO — dif. de "&amp;ROUND(SUM(F58:I58)-$I61,3)&amp;" km"))</f>
        <v>OK — 43,087 km</v>
      </c>
      <c r="G60" s="34"/>
      <c r="H60" s="34"/>
      <c r="I60" s="35"/>
      <c r="J60" s="42" t="str">
        <f>IF(SUM(J58:L58)=0,"— não preenchido",IF(ROUND(SUM(J58:L58)-$I61,3)=0,"OK — "&amp;ROUND(SUM(J58:L58),3)&amp;" km","ERRO — dif. de "&amp;ROUND(SUM(J58:L58)-$I61,3)&amp;" km"))</f>
        <v>OK — 43,087 km</v>
      </c>
      <c r="K60" s="34"/>
      <c r="L60" s="35"/>
    </row>
    <row r="61" spans="1:14" x14ac:dyDescent="0.25">
      <c r="A61" s="39" t="s">
        <v>55</v>
      </c>
      <c r="B61" s="32"/>
      <c r="C61" s="32"/>
      <c r="D61" s="32"/>
      <c r="E61" s="32"/>
      <c r="I61" s="29">
        <f>SUM(E9:E52)</f>
        <v>43.086791463899999</v>
      </c>
      <c r="M61" s="8" t="str">
        <f>COUNTIF(N9:N52,"OK")&amp;" de "&amp;COUNT($E$9:$E$52)&amp;" linhas conferidas"</f>
        <v>44 de 44 linhas conferidas</v>
      </c>
    </row>
    <row r="63" spans="1:14" x14ac:dyDescent="0.25">
      <c r="A63" s="45" t="s">
        <v>56</v>
      </c>
      <c r="B63" s="32"/>
      <c r="C63" s="32"/>
      <c r="D63" s="32"/>
      <c r="E63" s="32"/>
    </row>
    <row r="64" spans="1:14" x14ac:dyDescent="0.25">
      <c r="A64" s="39" t="s">
        <v>10</v>
      </c>
      <c r="B64" s="32"/>
      <c r="C64" s="32"/>
      <c r="D64" s="32"/>
      <c r="E64" s="40" t="s">
        <v>57</v>
      </c>
      <c r="F64" s="32"/>
      <c r="G64" s="32"/>
      <c r="H64" s="32"/>
      <c r="I64" s="32"/>
      <c r="J64" s="32"/>
      <c r="K64" s="32"/>
      <c r="L64" s="32"/>
      <c r="M64" s="32"/>
    </row>
    <row r="65" spans="1:13" x14ac:dyDescent="0.25">
      <c r="A65" s="39" t="s">
        <v>11</v>
      </c>
      <c r="B65" s="32"/>
      <c r="C65" s="32"/>
      <c r="D65" s="32"/>
      <c r="E65" s="40" t="s">
        <v>58</v>
      </c>
      <c r="F65" s="32"/>
      <c r="G65" s="32"/>
      <c r="H65" s="32"/>
      <c r="I65" s="32"/>
      <c r="J65" s="32"/>
      <c r="K65" s="32"/>
      <c r="L65" s="32"/>
      <c r="M65" s="32"/>
    </row>
    <row r="66" spans="1:13" x14ac:dyDescent="0.25">
      <c r="A66" s="39" t="s">
        <v>12</v>
      </c>
      <c r="B66" s="32"/>
      <c r="C66" s="32"/>
      <c r="D66" s="32"/>
      <c r="E66" s="40" t="s">
        <v>59</v>
      </c>
      <c r="F66" s="32"/>
      <c r="G66" s="32"/>
      <c r="H66" s="32"/>
      <c r="I66" s="32"/>
      <c r="J66" s="32"/>
      <c r="K66" s="32"/>
      <c r="L66" s="32"/>
      <c r="M66" s="32"/>
    </row>
    <row r="67" spans="1:13" x14ac:dyDescent="0.25">
      <c r="A67" s="39" t="s">
        <v>60</v>
      </c>
      <c r="B67" s="32"/>
      <c r="C67" s="32"/>
      <c r="D67" s="32"/>
      <c r="E67" s="40" t="s">
        <v>61</v>
      </c>
      <c r="F67" s="32"/>
      <c r="G67" s="32"/>
      <c r="H67" s="32"/>
      <c r="I67" s="32"/>
      <c r="J67" s="32"/>
      <c r="K67" s="32"/>
      <c r="L67" s="32"/>
      <c r="M67" s="32"/>
    </row>
    <row r="68" spans="1:13" x14ac:dyDescent="0.25">
      <c r="A68" s="39" t="s">
        <v>62</v>
      </c>
      <c r="B68" s="32"/>
      <c r="C68" s="32"/>
      <c r="D68" s="32"/>
      <c r="E68" s="40" t="s">
        <v>63</v>
      </c>
      <c r="F68" s="32"/>
      <c r="G68" s="32"/>
      <c r="H68" s="32"/>
      <c r="I68" s="32"/>
      <c r="J68" s="32"/>
      <c r="K68" s="32"/>
      <c r="L68" s="32"/>
      <c r="M68" s="32"/>
    </row>
    <row r="69" spans="1:13" x14ac:dyDescent="0.25">
      <c r="A69" s="39" t="s">
        <v>64</v>
      </c>
      <c r="B69" s="32"/>
      <c r="C69" s="32"/>
      <c r="D69" s="32"/>
      <c r="E69" s="40" t="s">
        <v>65</v>
      </c>
      <c r="F69" s="32"/>
      <c r="G69" s="32"/>
      <c r="H69" s="32"/>
      <c r="I69" s="32"/>
      <c r="J69" s="32"/>
      <c r="K69" s="32"/>
      <c r="L69" s="32"/>
      <c r="M69" s="32"/>
    </row>
    <row r="70" spans="1:13" x14ac:dyDescent="0.25">
      <c r="A70" s="39" t="s">
        <v>38</v>
      </c>
      <c r="B70" s="32"/>
      <c r="C70" s="32"/>
      <c r="D70" s="32"/>
      <c r="E70" s="40" t="s">
        <v>66</v>
      </c>
      <c r="F70" s="32"/>
      <c r="G70" s="32"/>
      <c r="H70" s="32"/>
      <c r="I70" s="32"/>
      <c r="J70" s="32"/>
      <c r="K70" s="32"/>
      <c r="L70" s="32"/>
      <c r="M70" s="32"/>
    </row>
    <row r="71" spans="1:13" x14ac:dyDescent="0.25">
      <c r="A71" s="39" t="s">
        <v>67</v>
      </c>
      <c r="B71" s="32"/>
      <c r="C71" s="32"/>
      <c r="D71" s="32"/>
      <c r="E71" s="40" t="s">
        <v>68</v>
      </c>
      <c r="F71" s="32"/>
      <c r="G71" s="32"/>
      <c r="H71" s="32"/>
      <c r="I71" s="32"/>
      <c r="J71" s="32"/>
      <c r="K71" s="32"/>
      <c r="L71" s="32"/>
      <c r="M71" s="32"/>
    </row>
    <row r="72" spans="1:13" x14ac:dyDescent="0.25">
      <c r="A72" s="39" t="s">
        <v>69</v>
      </c>
      <c r="B72" s="32"/>
      <c r="C72" s="32"/>
      <c r="D72" s="32"/>
      <c r="E72" s="40" t="s">
        <v>70</v>
      </c>
      <c r="F72" s="32"/>
      <c r="G72" s="32"/>
      <c r="H72" s="32"/>
      <c r="I72" s="32"/>
      <c r="J72" s="32"/>
      <c r="K72" s="32"/>
      <c r="L72" s="32"/>
      <c r="M72" s="32"/>
    </row>
    <row r="73" spans="1:13" x14ac:dyDescent="0.25">
      <c r="A73" s="39" t="s">
        <v>8</v>
      </c>
      <c r="B73" s="32"/>
      <c r="C73" s="32"/>
      <c r="D73" s="32"/>
      <c r="E73" s="40" t="s">
        <v>71</v>
      </c>
      <c r="F73" s="32"/>
      <c r="G73" s="32"/>
      <c r="H73" s="32"/>
      <c r="I73" s="32"/>
      <c r="J73" s="32"/>
      <c r="K73" s="32"/>
      <c r="L73" s="32"/>
      <c r="M73" s="32"/>
    </row>
  </sheetData>
  <sheetProtection formatCells="0"/>
  <mergeCells count="50">
    <mergeCell ref="N6:N7"/>
    <mergeCell ref="K3:M3"/>
    <mergeCell ref="G55:K55"/>
    <mergeCell ref="A66:D66"/>
    <mergeCell ref="E68:M68"/>
    <mergeCell ref="E67:M67"/>
    <mergeCell ref="G54:K54"/>
    <mergeCell ref="A3:J3"/>
    <mergeCell ref="J60:L60"/>
    <mergeCell ref="A63:E63"/>
    <mergeCell ref="C6:C7"/>
    <mergeCell ref="E64:M64"/>
    <mergeCell ref="D6:D7"/>
    <mergeCell ref="A1:M1"/>
    <mergeCell ref="A57:E57"/>
    <mergeCell ref="A69:D69"/>
    <mergeCell ref="E66:M66"/>
    <mergeCell ref="A65:D65"/>
    <mergeCell ref="A4:M4"/>
    <mergeCell ref="F60:I60"/>
    <mergeCell ref="A67:D67"/>
    <mergeCell ref="A54:E54"/>
    <mergeCell ref="A64:D64"/>
    <mergeCell ref="M6:M7"/>
    <mergeCell ref="G2:H2"/>
    <mergeCell ref="A2:C2"/>
    <mergeCell ref="K2:M2"/>
    <mergeCell ref="D2:E2"/>
    <mergeCell ref="A73:D73"/>
    <mergeCell ref="B6:B7"/>
    <mergeCell ref="F6:I6"/>
    <mergeCell ref="A55:E55"/>
    <mergeCell ref="A70:D70"/>
    <mergeCell ref="E72:M72"/>
    <mergeCell ref="E71:M71"/>
    <mergeCell ref="A71:D71"/>
    <mergeCell ref="E73:M73"/>
    <mergeCell ref="A60:E60"/>
    <mergeCell ref="A72:D72"/>
    <mergeCell ref="E69:M69"/>
    <mergeCell ref="A6:A7"/>
    <mergeCell ref="A61:E61"/>
    <mergeCell ref="E65:M65"/>
    <mergeCell ref="A68:D68"/>
    <mergeCell ref="E70:M70"/>
    <mergeCell ref="E6:E7"/>
    <mergeCell ref="J6:L6"/>
    <mergeCell ref="A59:E59"/>
    <mergeCell ref="A58:E58"/>
    <mergeCell ref="A8:M8"/>
  </mergeCells>
  <conditionalFormatting sqref="F9:I52">
    <cfRule type="expression" dxfId="35" priority="1">
      <formula>AND(F9&lt;&gt;"",COUNTIF($F9:$I9,"X")&gt;1)</formula>
    </cfRule>
  </conditionalFormatting>
  <conditionalFormatting sqref="F60:L60">
    <cfRule type="expression" dxfId="34" priority="5">
      <formula>LEFT(F60,4)="ERRO"</formula>
    </cfRule>
    <cfRule type="expression" dxfId="33" priority="6">
      <formula>LEFT(F60,2)="OK"</formula>
    </cfRule>
  </conditionalFormatting>
  <conditionalFormatting sqref="J9:L52">
    <cfRule type="expression" dxfId="32" priority="2">
      <formula>AND(J9&lt;&gt;"",COUNTIF($J9:$L9,"X")&gt;1)</formula>
    </cfRule>
  </conditionalFormatting>
  <conditionalFormatting sqref="N9:N52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2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2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52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59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V59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>
        <f t="shared" ref="P2:V2" si="0">IF(F44=0,NA(),F44)</f>
        <v>23.115564879200001</v>
      </c>
      <c r="Q2" s="2">
        <f t="shared" si="0"/>
        <v>6</v>
      </c>
      <c r="R2" s="2" t="e">
        <f t="shared" si="0"/>
        <v>#N/A</v>
      </c>
      <c r="S2" s="2" t="e">
        <f t="shared" si="0"/>
        <v>#N/A</v>
      </c>
      <c r="T2" s="2">
        <f t="shared" si="0"/>
        <v>29.115564879200001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1" t="s">
        <v>96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97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98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99</v>
      </c>
      <c r="B9" s="16" t="s">
        <v>46</v>
      </c>
      <c r="C9" s="17">
        <v>0</v>
      </c>
      <c r="D9" s="17">
        <v>1</v>
      </c>
      <c r="E9" s="17">
        <f t="shared" ref="E9:E38" si="1">D9-C9</f>
        <v>1</v>
      </c>
      <c r="F9" s="18" t="s">
        <v>47</v>
      </c>
      <c r="G9" s="18"/>
      <c r="H9" s="18"/>
      <c r="I9" s="18"/>
      <c r="J9" s="18" t="s">
        <v>47</v>
      </c>
      <c r="K9" s="18"/>
      <c r="L9" s="18"/>
      <c r="M9" s="19"/>
      <c r="N9" s="20" t="str">
        <f t="shared" ref="N9:N3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99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 t="s">
        <v>47</v>
      </c>
      <c r="G10" s="18"/>
      <c r="H10" s="18"/>
      <c r="I10" s="18"/>
      <c r="J10" s="18" t="s">
        <v>47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99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 t="s">
        <v>47</v>
      </c>
      <c r="G11" s="18"/>
      <c r="H11" s="18"/>
      <c r="I11" s="18"/>
      <c r="J11" s="18" t="s">
        <v>47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99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 t="s">
        <v>47</v>
      </c>
      <c r="G12" s="18"/>
      <c r="H12" s="18"/>
      <c r="I12" s="18"/>
      <c r="J12" s="18" t="s">
        <v>47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99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 t="s">
        <v>47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99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 t="s">
        <v>47</v>
      </c>
      <c r="G14" s="18"/>
      <c r="H14" s="18"/>
      <c r="I14" s="18"/>
      <c r="J14" s="18" t="s">
        <v>47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99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 t="s">
        <v>47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99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 t="s">
        <v>47</v>
      </c>
      <c r="G16" s="18"/>
      <c r="H16" s="18"/>
      <c r="I16" s="18"/>
      <c r="J16" s="18" t="s">
        <v>47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99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 t="s">
        <v>47</v>
      </c>
      <c r="G17" s="18"/>
      <c r="H17" s="18"/>
      <c r="I17" s="18"/>
      <c r="J17" s="18" t="s">
        <v>47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99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 t="s">
        <v>47</v>
      </c>
      <c r="G18" s="18"/>
      <c r="H18" s="18"/>
      <c r="I18" s="18"/>
      <c r="J18" s="18" t="s">
        <v>47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99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 t="s">
        <v>47</v>
      </c>
      <c r="G19" s="18"/>
      <c r="H19" s="18"/>
      <c r="I19" s="18"/>
      <c r="J19" s="18" t="s">
        <v>47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99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 t="s">
        <v>47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99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 t="s">
        <v>47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99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 t="s">
        <v>47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99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 t="s">
        <v>47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99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 t="s">
        <v>47</v>
      </c>
      <c r="G24" s="18"/>
      <c r="H24" s="18"/>
      <c r="I24" s="18"/>
      <c r="J24" s="18" t="s">
        <v>47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99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 t="s">
        <v>47</v>
      </c>
      <c r="G25" s="18"/>
      <c r="H25" s="18"/>
      <c r="I25" s="18"/>
      <c r="J25" s="18" t="s">
        <v>47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99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 t="s">
        <v>47</v>
      </c>
      <c r="G26" s="18"/>
      <c r="H26" s="18"/>
      <c r="I26" s="18"/>
      <c r="J26" s="18" t="s">
        <v>47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99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 t="s">
        <v>47</v>
      </c>
      <c r="G27" s="18"/>
      <c r="H27" s="18"/>
      <c r="I27" s="18"/>
      <c r="J27" s="18" t="s">
        <v>47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99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 t="s">
        <v>47</v>
      </c>
      <c r="G28" s="18"/>
      <c r="H28" s="18"/>
      <c r="I28" s="18"/>
      <c r="J28" s="18" t="s">
        <v>47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99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 t="s">
        <v>47</v>
      </c>
      <c r="G29" s="18"/>
      <c r="H29" s="18"/>
      <c r="I29" s="18"/>
      <c r="J29" s="18" t="s">
        <v>47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99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 t="s">
        <v>47</v>
      </c>
      <c r="G30" s="18"/>
      <c r="H30" s="18"/>
      <c r="I30" s="18"/>
      <c r="J30" s="18" t="s">
        <v>47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99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 t="s">
        <v>47</v>
      </c>
      <c r="G31" s="18"/>
      <c r="H31" s="18"/>
      <c r="I31" s="18"/>
      <c r="J31" s="18" t="s">
        <v>47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99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 t="s">
        <v>47</v>
      </c>
      <c r="G32" s="18"/>
      <c r="H32" s="18"/>
      <c r="I32" s="18"/>
      <c r="J32" s="18" t="s">
        <v>47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99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 t="s">
        <v>47</v>
      </c>
      <c r="G33" s="18"/>
      <c r="H33" s="18"/>
      <c r="I33" s="18"/>
      <c r="J33" s="18" t="s">
        <v>47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99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 t="s">
        <v>47</v>
      </c>
      <c r="G34" s="18"/>
      <c r="H34" s="18"/>
      <c r="I34" s="18"/>
      <c r="J34" s="18" t="s">
        <v>47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99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 t="s">
        <v>47</v>
      </c>
      <c r="G35" s="18"/>
      <c r="H35" s="18"/>
      <c r="I35" s="18"/>
      <c r="J35" s="18" t="s">
        <v>47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99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 t="s">
        <v>47</v>
      </c>
      <c r="G36" s="18"/>
      <c r="H36" s="18"/>
      <c r="I36" s="18"/>
      <c r="J36" s="18" t="s">
        <v>47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99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 t="s">
        <v>47</v>
      </c>
      <c r="G37" s="18"/>
      <c r="H37" s="18"/>
      <c r="I37" s="18"/>
      <c r="J37" s="18" t="s">
        <v>47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21" t="s">
        <v>99</v>
      </c>
      <c r="B38" s="22" t="s">
        <v>46</v>
      </c>
      <c r="C38" s="23">
        <v>29</v>
      </c>
      <c r="D38" s="23">
        <v>29.115564879200001</v>
      </c>
      <c r="E38" s="23">
        <f t="shared" si="1"/>
        <v>0.1155648792000008</v>
      </c>
      <c r="F38" s="24" t="s">
        <v>47</v>
      </c>
      <c r="G38" s="24"/>
      <c r="H38" s="24"/>
      <c r="I38" s="24"/>
      <c r="J38" s="24" t="s">
        <v>47</v>
      </c>
      <c r="K38" s="24"/>
      <c r="L38" s="24"/>
      <c r="M38" s="25"/>
      <c r="N38" s="26" t="str">
        <f t="shared" si="2"/>
        <v>OK</v>
      </c>
    </row>
    <row r="40" spans="1:14" x14ac:dyDescent="0.25">
      <c r="A40" s="38" t="s">
        <v>48</v>
      </c>
      <c r="B40" s="32"/>
      <c r="C40" s="32"/>
      <c r="D40" s="32"/>
      <c r="E40" s="32"/>
      <c r="G40" s="38" t="s">
        <v>48</v>
      </c>
      <c r="H40" s="32"/>
      <c r="I40" s="32"/>
      <c r="J40" s="32"/>
      <c r="K40" s="32"/>
    </row>
    <row r="41" spans="1:14" x14ac:dyDescent="0.25">
      <c r="A41" s="43" t="s">
        <v>49</v>
      </c>
      <c r="B41" s="32"/>
      <c r="C41" s="32"/>
      <c r="D41" s="32"/>
      <c r="E41" s="32"/>
      <c r="G41" s="43" t="s">
        <v>50</v>
      </c>
      <c r="H41" s="32"/>
      <c r="I41" s="32"/>
      <c r="J41" s="32"/>
      <c r="K41" s="32"/>
    </row>
    <row r="43" spans="1:14" x14ac:dyDescent="0.25">
      <c r="A43" s="41" t="s">
        <v>51</v>
      </c>
      <c r="B43" s="32"/>
      <c r="C43" s="32"/>
      <c r="D43" s="32"/>
      <c r="E43" s="32"/>
      <c r="F43" s="27"/>
      <c r="G43" s="27"/>
      <c r="H43" s="27"/>
      <c r="I43" s="27"/>
      <c r="J43" s="27"/>
      <c r="K43" s="27"/>
      <c r="L43" s="27"/>
      <c r="M43" s="27"/>
    </row>
    <row r="44" spans="1:14" x14ac:dyDescent="0.25">
      <c r="A44" s="39" t="s">
        <v>52</v>
      </c>
      <c r="B44" s="32"/>
      <c r="C44" s="32"/>
      <c r="D44" s="32"/>
      <c r="E44" s="32"/>
      <c r="F44" s="9">
        <f t="shared" ref="F44:L44" si="3">SUMIF(F$9:F$38,"X",$E$9:$E$38)</f>
        <v>23.115564879200001</v>
      </c>
      <c r="G44" s="9">
        <f t="shared" si="3"/>
        <v>6</v>
      </c>
      <c r="H44" s="9">
        <f t="shared" si="3"/>
        <v>0</v>
      </c>
      <c r="I44" s="9">
        <f t="shared" si="3"/>
        <v>0</v>
      </c>
      <c r="J44" s="9">
        <f t="shared" si="3"/>
        <v>29.115564879200001</v>
      </c>
      <c r="K44" s="9">
        <f t="shared" si="3"/>
        <v>0</v>
      </c>
      <c r="L44" s="9">
        <f t="shared" si="3"/>
        <v>0</v>
      </c>
    </row>
    <row r="45" spans="1:14" x14ac:dyDescent="0.25">
      <c r="A45" s="39" t="s">
        <v>53</v>
      </c>
      <c r="B45" s="32"/>
      <c r="C45" s="32"/>
      <c r="D45" s="32"/>
      <c r="E45" s="32"/>
      <c r="F45" s="28">
        <f t="shared" ref="F45:L45" si="4">IF($I47=0,0,F44/$I47)</f>
        <v>0.79392465765668974</v>
      </c>
      <c r="G45" s="28">
        <f t="shared" si="4"/>
        <v>0.20607534234331024</v>
      </c>
      <c r="H45" s="28">
        <f t="shared" si="4"/>
        <v>0</v>
      </c>
      <c r="I45" s="28">
        <f t="shared" si="4"/>
        <v>0</v>
      </c>
      <c r="J45" s="28">
        <f t="shared" si="4"/>
        <v>1</v>
      </c>
      <c r="K45" s="28">
        <f t="shared" si="4"/>
        <v>0</v>
      </c>
      <c r="L45" s="28">
        <f t="shared" si="4"/>
        <v>0</v>
      </c>
    </row>
    <row r="46" spans="1:14" x14ac:dyDescent="0.25">
      <c r="A46" s="39" t="s">
        <v>54</v>
      </c>
      <c r="B46" s="32"/>
      <c r="C46" s="32"/>
      <c r="D46" s="32"/>
      <c r="E46" s="32"/>
      <c r="F46" s="42" t="str">
        <f>IF(SUM(F44:I44)=0,"— não preenchido",IF(ROUND(SUM(F44:I44)-$I47,3)=0,"OK — "&amp;ROUND(SUM(F44:I44),3)&amp;" km","ERRO — dif. de "&amp;ROUND(SUM(F44:I44)-$I47,3)&amp;" km"))</f>
        <v>OK — 29,116 km</v>
      </c>
      <c r="G46" s="34"/>
      <c r="H46" s="34"/>
      <c r="I46" s="35"/>
      <c r="J46" s="42" t="str">
        <f>IF(SUM(J44:L44)=0,"— não preenchido",IF(ROUND(SUM(J44:L44)-$I47,3)=0,"OK — "&amp;ROUND(SUM(J44:L44),3)&amp;" km","ERRO — dif. de "&amp;ROUND(SUM(J44:L44)-$I47,3)&amp;" km"))</f>
        <v>OK — 29,116 km</v>
      </c>
      <c r="K46" s="34"/>
      <c r="L46" s="35"/>
    </row>
    <row r="47" spans="1:14" x14ac:dyDescent="0.25">
      <c r="A47" s="39" t="s">
        <v>55</v>
      </c>
      <c r="B47" s="32"/>
      <c r="C47" s="32"/>
      <c r="D47" s="32"/>
      <c r="E47" s="32"/>
      <c r="I47" s="29">
        <f>SUM(E9:E38)</f>
        <v>29.115564879200001</v>
      </c>
      <c r="M47" s="8" t="str">
        <f>COUNTIF(N9:N38,"OK")&amp;" de "&amp;COUNT($E$9:$E$38)&amp;" linhas conferidas"</f>
        <v>30 de 30 linhas conferidas</v>
      </c>
    </row>
    <row r="49" spans="1:13" x14ac:dyDescent="0.25">
      <c r="A49" s="45" t="s">
        <v>56</v>
      </c>
      <c r="B49" s="32"/>
      <c r="C49" s="32"/>
      <c r="D49" s="32"/>
      <c r="E49" s="32"/>
    </row>
    <row r="50" spans="1:13" x14ac:dyDescent="0.25">
      <c r="A50" s="39" t="s">
        <v>10</v>
      </c>
      <c r="B50" s="32"/>
      <c r="C50" s="32"/>
      <c r="D50" s="32"/>
      <c r="E50" s="40" t="s">
        <v>57</v>
      </c>
      <c r="F50" s="32"/>
      <c r="G50" s="32"/>
      <c r="H50" s="32"/>
      <c r="I50" s="32"/>
      <c r="J50" s="32"/>
      <c r="K50" s="32"/>
      <c r="L50" s="32"/>
      <c r="M50" s="32"/>
    </row>
    <row r="51" spans="1:13" x14ac:dyDescent="0.25">
      <c r="A51" s="39" t="s">
        <v>11</v>
      </c>
      <c r="B51" s="32"/>
      <c r="C51" s="32"/>
      <c r="D51" s="32"/>
      <c r="E51" s="40" t="s">
        <v>58</v>
      </c>
      <c r="F51" s="32"/>
      <c r="G51" s="32"/>
      <c r="H51" s="32"/>
      <c r="I51" s="32"/>
      <c r="J51" s="32"/>
      <c r="K51" s="32"/>
      <c r="L51" s="32"/>
      <c r="M51" s="32"/>
    </row>
    <row r="52" spans="1:13" x14ac:dyDescent="0.25">
      <c r="A52" s="39" t="s">
        <v>12</v>
      </c>
      <c r="B52" s="32"/>
      <c r="C52" s="32"/>
      <c r="D52" s="32"/>
      <c r="E52" s="40" t="s">
        <v>59</v>
      </c>
      <c r="F52" s="32"/>
      <c r="G52" s="32"/>
      <c r="H52" s="32"/>
      <c r="I52" s="32"/>
      <c r="J52" s="32"/>
      <c r="K52" s="32"/>
      <c r="L52" s="32"/>
      <c r="M52" s="32"/>
    </row>
    <row r="53" spans="1:13" x14ac:dyDescent="0.25">
      <c r="A53" s="39" t="s">
        <v>60</v>
      </c>
      <c r="B53" s="32"/>
      <c r="C53" s="32"/>
      <c r="D53" s="32"/>
      <c r="E53" s="40" t="s">
        <v>61</v>
      </c>
      <c r="F53" s="32"/>
      <c r="G53" s="32"/>
      <c r="H53" s="32"/>
      <c r="I53" s="32"/>
      <c r="J53" s="32"/>
      <c r="K53" s="32"/>
      <c r="L53" s="32"/>
      <c r="M53" s="32"/>
    </row>
    <row r="54" spans="1:13" x14ac:dyDescent="0.25">
      <c r="A54" s="39" t="s">
        <v>62</v>
      </c>
      <c r="B54" s="32"/>
      <c r="C54" s="32"/>
      <c r="D54" s="32"/>
      <c r="E54" s="40" t="s">
        <v>63</v>
      </c>
      <c r="F54" s="32"/>
      <c r="G54" s="32"/>
      <c r="H54" s="32"/>
      <c r="I54" s="32"/>
      <c r="J54" s="32"/>
      <c r="K54" s="32"/>
      <c r="L54" s="32"/>
      <c r="M54" s="32"/>
    </row>
    <row r="55" spans="1:13" x14ac:dyDescent="0.25">
      <c r="A55" s="39" t="s">
        <v>64</v>
      </c>
      <c r="B55" s="32"/>
      <c r="C55" s="32"/>
      <c r="D55" s="32"/>
      <c r="E55" s="40" t="s">
        <v>65</v>
      </c>
      <c r="F55" s="32"/>
      <c r="G55" s="32"/>
      <c r="H55" s="32"/>
      <c r="I55" s="32"/>
      <c r="J55" s="32"/>
      <c r="K55" s="32"/>
      <c r="L55" s="32"/>
      <c r="M55" s="32"/>
    </row>
    <row r="56" spans="1:13" x14ac:dyDescent="0.25">
      <c r="A56" s="39" t="s">
        <v>38</v>
      </c>
      <c r="B56" s="32"/>
      <c r="C56" s="32"/>
      <c r="D56" s="32"/>
      <c r="E56" s="40" t="s">
        <v>66</v>
      </c>
      <c r="F56" s="32"/>
      <c r="G56" s="32"/>
      <c r="H56" s="32"/>
      <c r="I56" s="32"/>
      <c r="J56" s="32"/>
      <c r="K56" s="32"/>
      <c r="L56" s="32"/>
      <c r="M56" s="32"/>
    </row>
    <row r="57" spans="1:13" x14ac:dyDescent="0.25">
      <c r="A57" s="39" t="s">
        <v>67</v>
      </c>
      <c r="B57" s="32"/>
      <c r="C57" s="32"/>
      <c r="D57" s="32"/>
      <c r="E57" s="40" t="s">
        <v>68</v>
      </c>
      <c r="F57" s="32"/>
      <c r="G57" s="32"/>
      <c r="H57" s="32"/>
      <c r="I57" s="32"/>
      <c r="J57" s="32"/>
      <c r="K57" s="32"/>
      <c r="L57" s="32"/>
      <c r="M57" s="32"/>
    </row>
    <row r="58" spans="1:13" x14ac:dyDescent="0.25">
      <c r="A58" s="39" t="s">
        <v>69</v>
      </c>
      <c r="B58" s="32"/>
      <c r="C58" s="32"/>
      <c r="D58" s="32"/>
      <c r="E58" s="40" t="s">
        <v>70</v>
      </c>
      <c r="F58" s="32"/>
      <c r="G58" s="32"/>
      <c r="H58" s="32"/>
      <c r="I58" s="32"/>
      <c r="J58" s="32"/>
      <c r="K58" s="32"/>
      <c r="L58" s="32"/>
      <c r="M58" s="32"/>
    </row>
    <row r="59" spans="1:13" x14ac:dyDescent="0.25">
      <c r="A59" s="39" t="s">
        <v>8</v>
      </c>
      <c r="B59" s="32"/>
      <c r="C59" s="32"/>
      <c r="D59" s="32"/>
      <c r="E59" s="40" t="s">
        <v>71</v>
      </c>
      <c r="F59" s="32"/>
      <c r="G59" s="32"/>
      <c r="H59" s="32"/>
      <c r="I59" s="32"/>
      <c r="J59" s="32"/>
      <c r="K59" s="32"/>
      <c r="L59" s="32"/>
      <c r="M59" s="32"/>
    </row>
  </sheetData>
  <sheetProtection formatCells="0"/>
  <mergeCells count="50">
    <mergeCell ref="E58:M58"/>
    <mergeCell ref="E55:M55"/>
    <mergeCell ref="A56:D56"/>
    <mergeCell ref="A43:E43"/>
    <mergeCell ref="A50:D50"/>
    <mergeCell ref="E52:M52"/>
    <mergeCell ref="A55:D55"/>
    <mergeCell ref="A57:D57"/>
    <mergeCell ref="A44:E44"/>
    <mergeCell ref="F46:I46"/>
    <mergeCell ref="A1:M1"/>
    <mergeCell ref="A54:D54"/>
    <mergeCell ref="A47:E47"/>
    <mergeCell ref="E56:M56"/>
    <mergeCell ref="N6:N7"/>
    <mergeCell ref="E53:M53"/>
    <mergeCell ref="K3:M3"/>
    <mergeCell ref="E50:M50"/>
    <mergeCell ref="A3:J3"/>
    <mergeCell ref="G41:K41"/>
    <mergeCell ref="C6:C7"/>
    <mergeCell ref="D6:D7"/>
    <mergeCell ref="A40:E40"/>
    <mergeCell ref="G40:K40"/>
    <mergeCell ref="J6:L6"/>
    <mergeCell ref="A53:D53"/>
    <mergeCell ref="E59:M59"/>
    <mergeCell ref="K2:M2"/>
    <mergeCell ref="D2:E2"/>
    <mergeCell ref="A58:D58"/>
    <mergeCell ref="A41:E41"/>
    <mergeCell ref="E51:M51"/>
    <mergeCell ref="M6:M7"/>
    <mergeCell ref="A59:D59"/>
    <mergeCell ref="A46:E46"/>
    <mergeCell ref="E6:E7"/>
    <mergeCell ref="A51:D51"/>
    <mergeCell ref="B6:B7"/>
    <mergeCell ref="E57:M57"/>
    <mergeCell ref="F6:I6"/>
    <mergeCell ref="E54:M54"/>
    <mergeCell ref="J46:L46"/>
    <mergeCell ref="G2:H2"/>
    <mergeCell ref="A8:M8"/>
    <mergeCell ref="A4:M4"/>
    <mergeCell ref="A49:E49"/>
    <mergeCell ref="A52:D52"/>
    <mergeCell ref="A45:E45"/>
    <mergeCell ref="A6:A7"/>
    <mergeCell ref="A2:C2"/>
  </mergeCells>
  <conditionalFormatting sqref="F9:I38">
    <cfRule type="expression" dxfId="29" priority="1">
      <formula>AND(F9&lt;&gt;"",COUNTIF($F9:$I9,"X")&gt;1)</formula>
    </cfRule>
  </conditionalFormatting>
  <conditionalFormatting sqref="F46:L46">
    <cfRule type="expression" dxfId="28" priority="5">
      <formula>LEFT(F46,4)="ERRO"</formula>
    </cfRule>
    <cfRule type="expression" dxfId="27" priority="6">
      <formula>LEFT(F46,2)="OK"</formula>
    </cfRule>
  </conditionalFormatting>
  <conditionalFormatting sqref="J9:L38">
    <cfRule type="expression" dxfId="26" priority="2">
      <formula>AND(J9&lt;&gt;"",COUNTIF($J9:$L9,"X")&gt;1)</formula>
    </cfRule>
  </conditionalFormatting>
  <conditionalFormatting sqref="N9:N38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8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8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8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60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V45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 t="e">
        <f t="shared" ref="P2:V2" si="0">IF(F30=0,NA(),F30)</f>
        <v>#N/A</v>
      </c>
      <c r="Q2" s="2">
        <f t="shared" si="0"/>
        <v>3</v>
      </c>
      <c r="R2" s="2">
        <f t="shared" si="0"/>
        <v>10.554416368129999</v>
      </c>
      <c r="S2" s="2" t="e">
        <f t="shared" si="0"/>
        <v>#N/A</v>
      </c>
      <c r="T2" s="2" t="e">
        <f t="shared" si="0"/>
        <v>#N/A</v>
      </c>
      <c r="U2" s="2">
        <f t="shared" si="0"/>
        <v>13.554416368129999</v>
      </c>
      <c r="V2" s="2" t="e">
        <f t="shared" si="0"/>
        <v>#N/A</v>
      </c>
    </row>
    <row r="3" spans="1:22" ht="15" customHeight="1" x14ac:dyDescent="0.25">
      <c r="A3" s="51" t="s">
        <v>100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101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102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103</v>
      </c>
      <c r="B9" s="16" t="s">
        <v>46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 t="s">
        <v>47</v>
      </c>
      <c r="I9" s="18"/>
      <c r="J9" s="18"/>
      <c r="K9" s="18" t="s">
        <v>47</v>
      </c>
      <c r="L9" s="18"/>
      <c r="M9" s="19"/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103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47</v>
      </c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103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103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47</v>
      </c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103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47</v>
      </c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103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47</v>
      </c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103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47</v>
      </c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103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47</v>
      </c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103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103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47</v>
      </c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103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47</v>
      </c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103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103</v>
      </c>
      <c r="B21" s="22" t="s">
        <v>46</v>
      </c>
      <c r="C21" s="23">
        <v>12</v>
      </c>
      <c r="D21" s="23">
        <v>12.296031151999999</v>
      </c>
      <c r="E21" s="23">
        <f t="shared" si="1"/>
        <v>0.29603115199999941</v>
      </c>
      <c r="F21" s="24"/>
      <c r="G21" s="24"/>
      <c r="H21" s="24" t="s">
        <v>47</v>
      </c>
      <c r="I21" s="24"/>
      <c r="J21" s="24"/>
      <c r="K21" s="24" t="s">
        <v>47</v>
      </c>
      <c r="L21" s="24"/>
      <c r="M21" s="25"/>
      <c r="N21" s="26" t="str">
        <f t="shared" si="2"/>
        <v>OK</v>
      </c>
    </row>
    <row r="22" spans="1:14" ht="15.95" customHeight="1" x14ac:dyDescent="0.25">
      <c r="A22" s="44" t="s">
        <v>104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4"/>
    </row>
    <row r="23" spans="1:14" ht="20.100000000000001" customHeight="1" x14ac:dyDescent="0.25">
      <c r="A23" s="15" t="s">
        <v>105</v>
      </c>
      <c r="B23" s="16" t="s">
        <v>46</v>
      </c>
      <c r="C23" s="17">
        <v>0</v>
      </c>
      <c r="D23" s="17">
        <v>1</v>
      </c>
      <c r="E23" s="17">
        <f>D23-C23</f>
        <v>1</v>
      </c>
      <c r="F23" s="18"/>
      <c r="G23" s="18"/>
      <c r="H23" s="18" t="s">
        <v>47</v>
      </c>
      <c r="I23" s="18"/>
      <c r="J23" s="18"/>
      <c r="K23" s="18" t="s">
        <v>47</v>
      </c>
      <c r="L23" s="18"/>
      <c r="M23" s="19"/>
      <c r="N23" s="20" t="str">
        <f>IF(COUNTA(F23:L23)=0,"— não preenchido",IF(COUNTIF(F23:I23,"X")&lt;&gt;1,"FALTA/DUPLA: CONDIÇÃO DA PLATAFORMA",IF(COUNTIF(J23:L23,"X")&lt;&gt;1,"FALTA/DUPLA: DRENAGEM SUPERFICIAL","OK")))</f>
        <v>OK</v>
      </c>
    </row>
    <row r="24" spans="1:14" ht="20.100000000000001" customHeight="1" x14ac:dyDescent="0.25">
      <c r="A24" s="21" t="s">
        <v>105</v>
      </c>
      <c r="B24" s="22" t="s">
        <v>46</v>
      </c>
      <c r="C24" s="23">
        <v>1</v>
      </c>
      <c r="D24" s="23">
        <v>1.25838521613</v>
      </c>
      <c r="E24" s="23">
        <f>D24-C24</f>
        <v>0.25838521612999998</v>
      </c>
      <c r="F24" s="24"/>
      <c r="G24" s="24"/>
      <c r="H24" s="24" t="s">
        <v>47</v>
      </c>
      <c r="I24" s="24"/>
      <c r="J24" s="24"/>
      <c r="K24" s="24" t="s">
        <v>47</v>
      </c>
      <c r="L24" s="24"/>
      <c r="M24" s="25"/>
      <c r="N24" s="26" t="str">
        <f>IF(COUNTA(F24:L24)=0,"— não preenchido",IF(COUNTIF(F24:I24,"X")&lt;&gt;1,"FALTA/DUPLA: CONDIÇÃO DA PLATAFORMA",IF(COUNTIF(J24:L24,"X")&lt;&gt;1,"FALTA/DUPLA: DRENAGEM SUPERFICIAL","OK")))</f>
        <v>OK</v>
      </c>
    </row>
    <row r="26" spans="1:14" x14ac:dyDescent="0.25">
      <c r="A26" s="38" t="s">
        <v>48</v>
      </c>
      <c r="B26" s="32"/>
      <c r="C26" s="32"/>
      <c r="D26" s="32"/>
      <c r="E26" s="32"/>
      <c r="G26" s="38" t="s">
        <v>48</v>
      </c>
      <c r="H26" s="32"/>
      <c r="I26" s="32"/>
      <c r="J26" s="32"/>
      <c r="K26" s="32"/>
    </row>
    <row r="27" spans="1:14" x14ac:dyDescent="0.25">
      <c r="A27" s="43" t="s">
        <v>49</v>
      </c>
      <c r="B27" s="32"/>
      <c r="C27" s="32"/>
      <c r="D27" s="32"/>
      <c r="E27" s="32"/>
      <c r="G27" s="43" t="s">
        <v>50</v>
      </c>
      <c r="H27" s="32"/>
      <c r="I27" s="32"/>
      <c r="J27" s="32"/>
      <c r="K27" s="32"/>
    </row>
    <row r="29" spans="1:14" x14ac:dyDescent="0.25">
      <c r="A29" s="41" t="s">
        <v>51</v>
      </c>
      <c r="B29" s="32"/>
      <c r="C29" s="32"/>
      <c r="D29" s="32"/>
      <c r="E29" s="32"/>
      <c r="F29" s="27"/>
      <c r="G29" s="27"/>
      <c r="H29" s="27"/>
      <c r="I29" s="27"/>
      <c r="J29" s="27"/>
      <c r="K29" s="27"/>
      <c r="L29" s="27"/>
      <c r="M29" s="27"/>
    </row>
    <row r="30" spans="1:14" x14ac:dyDescent="0.25">
      <c r="A30" s="39" t="s">
        <v>52</v>
      </c>
      <c r="B30" s="32"/>
      <c r="C30" s="32"/>
      <c r="D30" s="32"/>
      <c r="E30" s="32"/>
      <c r="F30" s="9">
        <f t="shared" ref="F30:L30" si="3">SUMIF(F$9:F$24,"X",$E$9:$E$24)</f>
        <v>0</v>
      </c>
      <c r="G30" s="9">
        <f t="shared" si="3"/>
        <v>3</v>
      </c>
      <c r="H30" s="9">
        <f t="shared" si="3"/>
        <v>10.554416368129999</v>
      </c>
      <c r="I30" s="9">
        <f t="shared" si="3"/>
        <v>0</v>
      </c>
      <c r="J30" s="9">
        <f t="shared" si="3"/>
        <v>0</v>
      </c>
      <c r="K30" s="9">
        <f t="shared" si="3"/>
        <v>13.554416368129999</v>
      </c>
      <c r="L30" s="9">
        <f t="shared" si="3"/>
        <v>0</v>
      </c>
    </row>
    <row r="31" spans="1:14" x14ac:dyDescent="0.25">
      <c r="A31" s="39" t="s">
        <v>53</v>
      </c>
      <c r="B31" s="32"/>
      <c r="C31" s="32"/>
      <c r="D31" s="32"/>
      <c r="E31" s="32"/>
      <c r="F31" s="28">
        <f t="shared" ref="F31:L31" si="4">IF($I33=0,0,F30/$I33)</f>
        <v>0</v>
      </c>
      <c r="G31" s="28">
        <f t="shared" si="4"/>
        <v>0.22133007563894744</v>
      </c>
      <c r="H31" s="28">
        <f t="shared" si="4"/>
        <v>0.77866992436105253</v>
      </c>
      <c r="I31" s="28">
        <f t="shared" si="4"/>
        <v>0</v>
      </c>
      <c r="J31" s="28">
        <f t="shared" si="4"/>
        <v>0</v>
      </c>
      <c r="K31" s="28">
        <f t="shared" si="4"/>
        <v>1</v>
      </c>
      <c r="L31" s="28">
        <f t="shared" si="4"/>
        <v>0</v>
      </c>
    </row>
    <row r="32" spans="1:14" x14ac:dyDescent="0.25">
      <c r="A32" s="39" t="s">
        <v>54</v>
      </c>
      <c r="B32" s="32"/>
      <c r="C32" s="32"/>
      <c r="D32" s="32"/>
      <c r="E32" s="32"/>
      <c r="F32" s="42" t="str">
        <f>IF(SUM(F30:I30)=0,"— não preenchido",IF(ROUND(SUM(F30:I30)-$I33,3)=0,"OK — "&amp;ROUND(SUM(F30:I30),3)&amp;" km","ERRO — dif. de "&amp;ROUND(SUM(F30:I30)-$I33,3)&amp;" km"))</f>
        <v>OK — 13,554 km</v>
      </c>
      <c r="G32" s="34"/>
      <c r="H32" s="34"/>
      <c r="I32" s="35"/>
      <c r="J32" s="42" t="str">
        <f>IF(SUM(J30:L30)=0,"— não preenchido",IF(ROUND(SUM(J30:L30)-$I33,3)=0,"OK — "&amp;ROUND(SUM(J30:L30),3)&amp;" km","ERRO — dif. de "&amp;ROUND(SUM(J30:L30)-$I33,3)&amp;" km"))</f>
        <v>OK — 13,554 km</v>
      </c>
      <c r="K32" s="34"/>
      <c r="L32" s="35"/>
    </row>
    <row r="33" spans="1:13" x14ac:dyDescent="0.25">
      <c r="A33" s="39" t="s">
        <v>55</v>
      </c>
      <c r="B33" s="32"/>
      <c r="C33" s="32"/>
      <c r="D33" s="32"/>
      <c r="E33" s="32"/>
      <c r="I33" s="29">
        <f>SUM(E9:E24)</f>
        <v>13.554416368129999</v>
      </c>
      <c r="M33" s="8" t="str">
        <f>COUNTIF(N9:N24,"OK")&amp;" de "&amp;COUNT($E$9:$E$24)&amp;" linhas conferidas"</f>
        <v>15 de 15 linhas conferidas</v>
      </c>
    </row>
    <row r="35" spans="1:13" x14ac:dyDescent="0.25">
      <c r="A35" s="45" t="s">
        <v>56</v>
      </c>
      <c r="B35" s="32"/>
      <c r="C35" s="32"/>
      <c r="D35" s="32"/>
      <c r="E35" s="32"/>
    </row>
    <row r="36" spans="1:13" x14ac:dyDescent="0.25">
      <c r="A36" s="39" t="s">
        <v>10</v>
      </c>
      <c r="B36" s="32"/>
      <c r="C36" s="32"/>
      <c r="D36" s="32"/>
      <c r="E36" s="40" t="s">
        <v>57</v>
      </c>
      <c r="F36" s="32"/>
      <c r="G36" s="32"/>
      <c r="H36" s="32"/>
      <c r="I36" s="32"/>
      <c r="J36" s="32"/>
      <c r="K36" s="32"/>
      <c r="L36" s="32"/>
      <c r="M36" s="32"/>
    </row>
    <row r="37" spans="1:13" x14ac:dyDescent="0.25">
      <c r="A37" s="39" t="s">
        <v>11</v>
      </c>
      <c r="B37" s="32"/>
      <c r="C37" s="32"/>
      <c r="D37" s="32"/>
      <c r="E37" s="40" t="s">
        <v>58</v>
      </c>
      <c r="F37" s="32"/>
      <c r="G37" s="32"/>
      <c r="H37" s="32"/>
      <c r="I37" s="32"/>
      <c r="J37" s="32"/>
      <c r="K37" s="32"/>
      <c r="L37" s="32"/>
      <c r="M37" s="32"/>
    </row>
    <row r="38" spans="1:13" x14ac:dyDescent="0.25">
      <c r="A38" s="39" t="s">
        <v>12</v>
      </c>
      <c r="B38" s="32"/>
      <c r="C38" s="32"/>
      <c r="D38" s="32"/>
      <c r="E38" s="40" t="s">
        <v>59</v>
      </c>
      <c r="F38" s="32"/>
      <c r="G38" s="32"/>
      <c r="H38" s="32"/>
      <c r="I38" s="32"/>
      <c r="J38" s="32"/>
      <c r="K38" s="32"/>
      <c r="L38" s="32"/>
      <c r="M38" s="32"/>
    </row>
    <row r="39" spans="1:13" x14ac:dyDescent="0.25">
      <c r="A39" s="39" t="s">
        <v>60</v>
      </c>
      <c r="B39" s="32"/>
      <c r="C39" s="32"/>
      <c r="D39" s="32"/>
      <c r="E39" s="40" t="s">
        <v>61</v>
      </c>
      <c r="F39" s="32"/>
      <c r="G39" s="32"/>
      <c r="H39" s="32"/>
      <c r="I39" s="32"/>
      <c r="J39" s="32"/>
      <c r="K39" s="32"/>
      <c r="L39" s="32"/>
      <c r="M39" s="32"/>
    </row>
    <row r="40" spans="1:13" x14ac:dyDescent="0.25">
      <c r="A40" s="39" t="s">
        <v>62</v>
      </c>
      <c r="B40" s="32"/>
      <c r="C40" s="32"/>
      <c r="D40" s="32"/>
      <c r="E40" s="40" t="s">
        <v>63</v>
      </c>
      <c r="F40" s="32"/>
      <c r="G40" s="32"/>
      <c r="H40" s="32"/>
      <c r="I40" s="32"/>
      <c r="J40" s="32"/>
      <c r="K40" s="32"/>
      <c r="L40" s="32"/>
      <c r="M40" s="32"/>
    </row>
    <row r="41" spans="1:13" x14ac:dyDescent="0.25">
      <c r="A41" s="39" t="s">
        <v>64</v>
      </c>
      <c r="B41" s="32"/>
      <c r="C41" s="32"/>
      <c r="D41" s="32"/>
      <c r="E41" s="40" t="s">
        <v>65</v>
      </c>
      <c r="F41" s="32"/>
      <c r="G41" s="32"/>
      <c r="H41" s="32"/>
      <c r="I41" s="32"/>
      <c r="J41" s="32"/>
      <c r="K41" s="32"/>
      <c r="L41" s="32"/>
      <c r="M41" s="32"/>
    </row>
    <row r="42" spans="1:13" x14ac:dyDescent="0.25">
      <c r="A42" s="39" t="s">
        <v>38</v>
      </c>
      <c r="B42" s="32"/>
      <c r="C42" s="32"/>
      <c r="D42" s="32"/>
      <c r="E42" s="40" t="s">
        <v>66</v>
      </c>
      <c r="F42" s="32"/>
      <c r="G42" s="32"/>
      <c r="H42" s="32"/>
      <c r="I42" s="32"/>
      <c r="J42" s="32"/>
      <c r="K42" s="32"/>
      <c r="L42" s="32"/>
      <c r="M42" s="32"/>
    </row>
    <row r="43" spans="1:13" x14ac:dyDescent="0.25">
      <c r="A43" s="39" t="s">
        <v>67</v>
      </c>
      <c r="B43" s="32"/>
      <c r="C43" s="32"/>
      <c r="D43" s="32"/>
      <c r="E43" s="40" t="s">
        <v>68</v>
      </c>
      <c r="F43" s="32"/>
      <c r="G43" s="32"/>
      <c r="H43" s="32"/>
      <c r="I43" s="32"/>
      <c r="J43" s="32"/>
      <c r="K43" s="32"/>
      <c r="L43" s="32"/>
      <c r="M43" s="32"/>
    </row>
    <row r="44" spans="1:13" x14ac:dyDescent="0.25">
      <c r="A44" s="39" t="s">
        <v>69</v>
      </c>
      <c r="B44" s="32"/>
      <c r="C44" s="32"/>
      <c r="D44" s="32"/>
      <c r="E44" s="40" t="s">
        <v>70</v>
      </c>
      <c r="F44" s="32"/>
      <c r="G44" s="32"/>
      <c r="H44" s="32"/>
      <c r="I44" s="32"/>
      <c r="J44" s="32"/>
      <c r="K44" s="32"/>
      <c r="L44" s="32"/>
      <c r="M44" s="32"/>
    </row>
    <row r="45" spans="1:13" x14ac:dyDescent="0.25">
      <c r="A45" s="39" t="s">
        <v>8</v>
      </c>
      <c r="B45" s="32"/>
      <c r="C45" s="32"/>
      <c r="D45" s="32"/>
      <c r="E45" s="40" t="s">
        <v>71</v>
      </c>
      <c r="F45" s="32"/>
      <c r="G45" s="32"/>
      <c r="H45" s="32"/>
      <c r="I45" s="32"/>
      <c r="J45" s="32"/>
      <c r="K45" s="32"/>
      <c r="L45" s="32"/>
      <c r="M45" s="32"/>
    </row>
  </sheetData>
  <sheetProtection formatCells="0"/>
  <mergeCells count="51">
    <mergeCell ref="N6:N7"/>
    <mergeCell ref="A32:E32"/>
    <mergeCell ref="K3:M3"/>
    <mergeCell ref="A41:D41"/>
    <mergeCell ref="E43:M43"/>
    <mergeCell ref="G26:K26"/>
    <mergeCell ref="F32:I32"/>
    <mergeCell ref="A37:D37"/>
    <mergeCell ref="A29:E29"/>
    <mergeCell ref="A35:E35"/>
    <mergeCell ref="E42:M42"/>
    <mergeCell ref="A3:J3"/>
    <mergeCell ref="E39:M39"/>
    <mergeCell ref="C6:C7"/>
    <mergeCell ref="A31:E31"/>
    <mergeCell ref="D6:D7"/>
    <mergeCell ref="A1:M1"/>
    <mergeCell ref="A26:E26"/>
    <mergeCell ref="E41:M41"/>
    <mergeCell ref="E37:M37"/>
    <mergeCell ref="A33:E33"/>
    <mergeCell ref="E38:M38"/>
    <mergeCell ref="K2:M2"/>
    <mergeCell ref="D2:E2"/>
    <mergeCell ref="A4:M4"/>
    <mergeCell ref="G27:K27"/>
    <mergeCell ref="E40:M40"/>
    <mergeCell ref="E45:M45"/>
    <mergeCell ref="E36:M36"/>
    <mergeCell ref="A39:D39"/>
    <mergeCell ref="M6:M7"/>
    <mergeCell ref="E6:E7"/>
    <mergeCell ref="B6:B7"/>
    <mergeCell ref="A27:E27"/>
    <mergeCell ref="F6:I6"/>
    <mergeCell ref="A36:D36"/>
    <mergeCell ref="A45:D45"/>
    <mergeCell ref="A42:D42"/>
    <mergeCell ref="A44:D44"/>
    <mergeCell ref="A40:D40"/>
    <mergeCell ref="J32:L32"/>
    <mergeCell ref="E44:M44"/>
    <mergeCell ref="A38:D38"/>
    <mergeCell ref="A43:D43"/>
    <mergeCell ref="A6:A7"/>
    <mergeCell ref="A30:E30"/>
    <mergeCell ref="J6:L6"/>
    <mergeCell ref="G2:H2"/>
    <mergeCell ref="A8:M8"/>
    <mergeCell ref="A22:M22"/>
    <mergeCell ref="A2:C2"/>
  </mergeCells>
  <conditionalFormatting sqref="F9:I24">
    <cfRule type="expression" dxfId="23" priority="1">
      <formula>AND(F9&lt;&gt;"",COUNTIF($F9:$I9,"X")&gt;1)</formula>
    </cfRule>
  </conditionalFormatting>
  <conditionalFormatting sqref="F32:L32">
    <cfRule type="expression" dxfId="22" priority="5">
      <formula>LEFT(F32,4)="ERRO"</formula>
    </cfRule>
    <cfRule type="expression" dxfId="21" priority="6">
      <formula>LEFT(F32,2)="OK"</formula>
    </cfRule>
  </conditionalFormatting>
  <conditionalFormatting sqref="J9:L24">
    <cfRule type="expression" dxfId="20" priority="2">
      <formula>AND(J9&lt;&gt;"",COUNTIF($J9:$L9,"X")&gt;1)</formula>
    </cfRule>
  </conditionalFormatting>
  <conditionalFormatting sqref="N9:N24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4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4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24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62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V46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>
        <f t="shared" ref="P2:V2" si="0">IF(F31=0,NA(),F31)</f>
        <v>12.852537210800001</v>
      </c>
      <c r="Q2" s="2">
        <f t="shared" si="0"/>
        <v>4</v>
      </c>
      <c r="R2" s="2" t="e">
        <f t="shared" si="0"/>
        <v>#N/A</v>
      </c>
      <c r="S2" s="2" t="e">
        <f t="shared" si="0"/>
        <v>#N/A</v>
      </c>
      <c r="T2" s="2">
        <f t="shared" si="0"/>
        <v>16.852537210800001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1" t="s">
        <v>106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107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108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109</v>
      </c>
      <c r="B9" s="16" t="s">
        <v>46</v>
      </c>
      <c r="C9" s="17">
        <v>0</v>
      </c>
      <c r="D9" s="17">
        <v>1</v>
      </c>
      <c r="E9" s="17">
        <f t="shared" ref="E9:E25" si="1">D9-C9</f>
        <v>1</v>
      </c>
      <c r="F9" s="18" t="s">
        <v>47</v>
      </c>
      <c r="G9" s="18"/>
      <c r="H9" s="18"/>
      <c r="I9" s="18"/>
      <c r="J9" s="18" t="s">
        <v>47</v>
      </c>
      <c r="K9" s="18"/>
      <c r="L9" s="18"/>
      <c r="M9" s="19"/>
      <c r="N9" s="20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109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 t="s">
        <v>47</v>
      </c>
      <c r="G10" s="18"/>
      <c r="H10" s="18"/>
      <c r="I10" s="18"/>
      <c r="J10" s="18" t="s">
        <v>47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109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 t="s">
        <v>47</v>
      </c>
      <c r="G11" s="18"/>
      <c r="H11" s="18"/>
      <c r="I11" s="18"/>
      <c r="J11" s="18" t="s">
        <v>47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109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 t="s">
        <v>47</v>
      </c>
      <c r="G12" s="18"/>
      <c r="H12" s="18"/>
      <c r="I12" s="18"/>
      <c r="J12" s="18" t="s">
        <v>47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109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 t="s">
        <v>47</v>
      </c>
      <c r="G13" s="18"/>
      <c r="H13" s="18"/>
      <c r="I13" s="18"/>
      <c r="J13" s="18" t="s">
        <v>47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109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 t="s">
        <v>47</v>
      </c>
      <c r="G14" s="18"/>
      <c r="H14" s="18"/>
      <c r="I14" s="18"/>
      <c r="J14" s="18" t="s">
        <v>47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109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 t="s">
        <v>47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109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 t="s">
        <v>47</v>
      </c>
      <c r="G16" s="18"/>
      <c r="H16" s="18"/>
      <c r="I16" s="18"/>
      <c r="J16" s="18" t="s">
        <v>47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109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 t="s">
        <v>47</v>
      </c>
      <c r="G17" s="18"/>
      <c r="H17" s="18"/>
      <c r="I17" s="18"/>
      <c r="J17" s="18" t="s">
        <v>47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109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 t="s">
        <v>47</v>
      </c>
      <c r="G18" s="18"/>
      <c r="H18" s="18"/>
      <c r="I18" s="18"/>
      <c r="J18" s="18" t="s">
        <v>47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109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 t="s">
        <v>47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109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 t="s">
        <v>47</v>
      </c>
      <c r="G20" s="18"/>
      <c r="H20" s="18"/>
      <c r="I20" s="18"/>
      <c r="J20" s="18" t="s">
        <v>47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109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 t="s">
        <v>47</v>
      </c>
      <c r="G21" s="18"/>
      <c r="H21" s="18"/>
      <c r="I21" s="18"/>
      <c r="J21" s="18" t="s">
        <v>47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109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 t="s">
        <v>47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109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 t="s">
        <v>47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109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 t="s">
        <v>47</v>
      </c>
      <c r="G24" s="18"/>
      <c r="H24" s="18"/>
      <c r="I24" s="18"/>
      <c r="J24" s="18" t="s">
        <v>47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21" t="s">
        <v>109</v>
      </c>
      <c r="B25" s="22" t="s">
        <v>46</v>
      </c>
      <c r="C25" s="23">
        <v>16</v>
      </c>
      <c r="D25" s="23">
        <v>16.852537210800001</v>
      </c>
      <c r="E25" s="23">
        <f t="shared" si="1"/>
        <v>0.85253721080000133</v>
      </c>
      <c r="F25" s="24" t="s">
        <v>47</v>
      </c>
      <c r="G25" s="24"/>
      <c r="H25" s="24"/>
      <c r="I25" s="24"/>
      <c r="J25" s="24" t="s">
        <v>47</v>
      </c>
      <c r="K25" s="24"/>
      <c r="L25" s="24"/>
      <c r="M25" s="25"/>
      <c r="N25" s="26" t="str">
        <f t="shared" si="2"/>
        <v>OK</v>
      </c>
    </row>
    <row r="27" spans="1:14" x14ac:dyDescent="0.25">
      <c r="A27" s="38" t="s">
        <v>48</v>
      </c>
      <c r="B27" s="32"/>
      <c r="C27" s="32"/>
      <c r="D27" s="32"/>
      <c r="E27" s="32"/>
      <c r="G27" s="38" t="s">
        <v>48</v>
      </c>
      <c r="H27" s="32"/>
      <c r="I27" s="32"/>
      <c r="J27" s="32"/>
      <c r="K27" s="32"/>
    </row>
    <row r="28" spans="1:14" x14ac:dyDescent="0.25">
      <c r="A28" s="43" t="s">
        <v>49</v>
      </c>
      <c r="B28" s="32"/>
      <c r="C28" s="32"/>
      <c r="D28" s="32"/>
      <c r="E28" s="32"/>
      <c r="G28" s="43" t="s">
        <v>50</v>
      </c>
      <c r="H28" s="32"/>
      <c r="I28" s="32"/>
      <c r="J28" s="32"/>
      <c r="K28" s="32"/>
    </row>
    <row r="30" spans="1:14" x14ac:dyDescent="0.25">
      <c r="A30" s="41" t="s">
        <v>51</v>
      </c>
      <c r="B30" s="32"/>
      <c r="C30" s="32"/>
      <c r="D30" s="32"/>
      <c r="E30" s="32"/>
      <c r="F30" s="27"/>
      <c r="G30" s="27"/>
      <c r="H30" s="27"/>
      <c r="I30" s="27"/>
      <c r="J30" s="27"/>
      <c r="K30" s="27"/>
      <c r="L30" s="27"/>
      <c r="M30" s="27"/>
    </row>
    <row r="31" spans="1:14" x14ac:dyDescent="0.25">
      <c r="A31" s="39" t="s">
        <v>52</v>
      </c>
      <c r="B31" s="32"/>
      <c r="C31" s="32"/>
      <c r="D31" s="32"/>
      <c r="E31" s="32"/>
      <c r="F31" s="9">
        <f t="shared" ref="F31:L31" si="3">SUMIF(F$9:F$25,"X",$E$9:$E$25)</f>
        <v>12.852537210800001</v>
      </c>
      <c r="G31" s="9">
        <f t="shared" si="3"/>
        <v>4</v>
      </c>
      <c r="H31" s="9">
        <f t="shared" si="3"/>
        <v>0</v>
      </c>
      <c r="I31" s="9">
        <f t="shared" si="3"/>
        <v>0</v>
      </c>
      <c r="J31" s="9">
        <f t="shared" si="3"/>
        <v>16.852537210800001</v>
      </c>
      <c r="K31" s="9">
        <f t="shared" si="3"/>
        <v>0</v>
      </c>
      <c r="L31" s="9">
        <f t="shared" si="3"/>
        <v>0</v>
      </c>
    </row>
    <row r="32" spans="1:14" x14ac:dyDescent="0.25">
      <c r="A32" s="39" t="s">
        <v>53</v>
      </c>
      <c r="B32" s="32"/>
      <c r="C32" s="32"/>
      <c r="D32" s="32"/>
      <c r="E32" s="32"/>
      <c r="F32" s="28">
        <f t="shared" ref="F32:L32" si="4">IF($I34=0,0,F31/$I34)</f>
        <v>0.762647015700604</v>
      </c>
      <c r="G32" s="28">
        <f t="shared" si="4"/>
        <v>0.23735298429939602</v>
      </c>
      <c r="H32" s="28">
        <f t="shared" si="4"/>
        <v>0</v>
      </c>
      <c r="I32" s="28">
        <f t="shared" si="4"/>
        <v>0</v>
      </c>
      <c r="J32" s="28">
        <f t="shared" si="4"/>
        <v>1</v>
      </c>
      <c r="K32" s="28">
        <f t="shared" si="4"/>
        <v>0</v>
      </c>
      <c r="L32" s="28">
        <f t="shared" si="4"/>
        <v>0</v>
      </c>
    </row>
    <row r="33" spans="1:13" x14ac:dyDescent="0.25">
      <c r="A33" s="39" t="s">
        <v>54</v>
      </c>
      <c r="B33" s="32"/>
      <c r="C33" s="32"/>
      <c r="D33" s="32"/>
      <c r="E33" s="32"/>
      <c r="F33" s="42" t="str">
        <f>IF(SUM(F31:I31)=0,"— não preenchido",IF(ROUND(SUM(F31:I31)-$I34,3)=0,"OK — "&amp;ROUND(SUM(F31:I31),3)&amp;" km","ERRO — dif. de "&amp;ROUND(SUM(F31:I31)-$I34,3)&amp;" km"))</f>
        <v>OK — 16,853 km</v>
      </c>
      <c r="G33" s="34"/>
      <c r="H33" s="34"/>
      <c r="I33" s="35"/>
      <c r="J33" s="42" t="str">
        <f>IF(SUM(J31:L31)=0,"— não preenchido",IF(ROUND(SUM(J31:L31)-$I34,3)=0,"OK — "&amp;ROUND(SUM(J31:L31),3)&amp;" km","ERRO — dif. de "&amp;ROUND(SUM(J31:L31)-$I34,3)&amp;" km"))</f>
        <v>OK — 16,853 km</v>
      </c>
      <c r="K33" s="34"/>
      <c r="L33" s="35"/>
    </row>
    <row r="34" spans="1:13" x14ac:dyDescent="0.25">
      <c r="A34" s="39" t="s">
        <v>55</v>
      </c>
      <c r="B34" s="32"/>
      <c r="C34" s="32"/>
      <c r="D34" s="32"/>
      <c r="E34" s="32"/>
      <c r="I34" s="29">
        <f>SUM(E9:E25)</f>
        <v>16.852537210800001</v>
      </c>
      <c r="M34" s="8" t="str">
        <f>COUNTIF(N9:N25,"OK")&amp;" de "&amp;COUNT($E$9:$E$25)&amp;" linhas conferidas"</f>
        <v>17 de 17 linhas conferidas</v>
      </c>
    </row>
    <row r="36" spans="1:13" x14ac:dyDescent="0.25">
      <c r="A36" s="45" t="s">
        <v>56</v>
      </c>
      <c r="B36" s="32"/>
      <c r="C36" s="32"/>
      <c r="D36" s="32"/>
      <c r="E36" s="32"/>
    </row>
    <row r="37" spans="1:13" x14ac:dyDescent="0.25">
      <c r="A37" s="39" t="s">
        <v>10</v>
      </c>
      <c r="B37" s="32"/>
      <c r="C37" s="32"/>
      <c r="D37" s="32"/>
      <c r="E37" s="40" t="s">
        <v>57</v>
      </c>
      <c r="F37" s="32"/>
      <c r="G37" s="32"/>
      <c r="H37" s="32"/>
      <c r="I37" s="32"/>
      <c r="J37" s="32"/>
      <c r="K37" s="32"/>
      <c r="L37" s="32"/>
      <c r="M37" s="32"/>
    </row>
    <row r="38" spans="1:13" x14ac:dyDescent="0.25">
      <c r="A38" s="39" t="s">
        <v>11</v>
      </c>
      <c r="B38" s="32"/>
      <c r="C38" s="32"/>
      <c r="D38" s="32"/>
      <c r="E38" s="40" t="s">
        <v>58</v>
      </c>
      <c r="F38" s="32"/>
      <c r="G38" s="32"/>
      <c r="H38" s="32"/>
      <c r="I38" s="32"/>
      <c r="J38" s="32"/>
      <c r="K38" s="32"/>
      <c r="L38" s="32"/>
      <c r="M38" s="32"/>
    </row>
    <row r="39" spans="1:13" x14ac:dyDescent="0.25">
      <c r="A39" s="39" t="s">
        <v>12</v>
      </c>
      <c r="B39" s="32"/>
      <c r="C39" s="32"/>
      <c r="D39" s="32"/>
      <c r="E39" s="40" t="s">
        <v>59</v>
      </c>
      <c r="F39" s="32"/>
      <c r="G39" s="32"/>
      <c r="H39" s="32"/>
      <c r="I39" s="32"/>
      <c r="J39" s="32"/>
      <c r="K39" s="32"/>
      <c r="L39" s="32"/>
      <c r="M39" s="32"/>
    </row>
    <row r="40" spans="1:13" x14ac:dyDescent="0.25">
      <c r="A40" s="39" t="s">
        <v>60</v>
      </c>
      <c r="B40" s="32"/>
      <c r="C40" s="32"/>
      <c r="D40" s="32"/>
      <c r="E40" s="40" t="s">
        <v>61</v>
      </c>
      <c r="F40" s="32"/>
      <c r="G40" s="32"/>
      <c r="H40" s="32"/>
      <c r="I40" s="32"/>
      <c r="J40" s="32"/>
      <c r="K40" s="32"/>
      <c r="L40" s="32"/>
      <c r="M40" s="32"/>
    </row>
    <row r="41" spans="1:13" x14ac:dyDescent="0.25">
      <c r="A41" s="39" t="s">
        <v>62</v>
      </c>
      <c r="B41" s="32"/>
      <c r="C41" s="32"/>
      <c r="D41" s="32"/>
      <c r="E41" s="40" t="s">
        <v>63</v>
      </c>
      <c r="F41" s="32"/>
      <c r="G41" s="32"/>
      <c r="H41" s="32"/>
      <c r="I41" s="32"/>
      <c r="J41" s="32"/>
      <c r="K41" s="32"/>
      <c r="L41" s="32"/>
      <c r="M41" s="32"/>
    </row>
    <row r="42" spans="1:13" x14ac:dyDescent="0.25">
      <c r="A42" s="39" t="s">
        <v>64</v>
      </c>
      <c r="B42" s="32"/>
      <c r="C42" s="32"/>
      <c r="D42" s="32"/>
      <c r="E42" s="40" t="s">
        <v>65</v>
      </c>
      <c r="F42" s="32"/>
      <c r="G42" s="32"/>
      <c r="H42" s="32"/>
      <c r="I42" s="32"/>
      <c r="J42" s="32"/>
      <c r="K42" s="32"/>
      <c r="L42" s="32"/>
      <c r="M42" s="32"/>
    </row>
    <row r="43" spans="1:13" x14ac:dyDescent="0.25">
      <c r="A43" s="39" t="s">
        <v>38</v>
      </c>
      <c r="B43" s="32"/>
      <c r="C43" s="32"/>
      <c r="D43" s="32"/>
      <c r="E43" s="40" t="s">
        <v>66</v>
      </c>
      <c r="F43" s="32"/>
      <c r="G43" s="32"/>
      <c r="H43" s="32"/>
      <c r="I43" s="32"/>
      <c r="J43" s="32"/>
      <c r="K43" s="32"/>
      <c r="L43" s="32"/>
      <c r="M43" s="32"/>
    </row>
    <row r="44" spans="1:13" x14ac:dyDescent="0.25">
      <c r="A44" s="39" t="s">
        <v>67</v>
      </c>
      <c r="B44" s="32"/>
      <c r="C44" s="32"/>
      <c r="D44" s="32"/>
      <c r="E44" s="40" t="s">
        <v>68</v>
      </c>
      <c r="F44" s="32"/>
      <c r="G44" s="32"/>
      <c r="H44" s="32"/>
      <c r="I44" s="32"/>
      <c r="J44" s="32"/>
      <c r="K44" s="32"/>
      <c r="L44" s="32"/>
      <c r="M44" s="32"/>
    </row>
    <row r="45" spans="1:13" x14ac:dyDescent="0.25">
      <c r="A45" s="39" t="s">
        <v>69</v>
      </c>
      <c r="B45" s="32"/>
      <c r="C45" s="32"/>
      <c r="D45" s="32"/>
      <c r="E45" s="40" t="s">
        <v>70</v>
      </c>
      <c r="F45" s="32"/>
      <c r="G45" s="32"/>
      <c r="H45" s="32"/>
      <c r="I45" s="32"/>
      <c r="J45" s="32"/>
      <c r="K45" s="32"/>
      <c r="L45" s="32"/>
      <c r="M45" s="32"/>
    </row>
    <row r="46" spans="1:13" x14ac:dyDescent="0.25">
      <c r="A46" s="39" t="s">
        <v>8</v>
      </c>
      <c r="B46" s="32"/>
      <c r="C46" s="32"/>
      <c r="D46" s="32"/>
      <c r="E46" s="40" t="s">
        <v>71</v>
      </c>
      <c r="F46" s="32"/>
      <c r="G46" s="32"/>
      <c r="H46" s="32"/>
      <c r="I46" s="32"/>
      <c r="J46" s="32"/>
      <c r="K46" s="32"/>
      <c r="L46" s="32"/>
      <c r="M46" s="32"/>
    </row>
  </sheetData>
  <sheetProtection formatCells="0"/>
  <mergeCells count="50">
    <mergeCell ref="A46:D46"/>
    <mergeCell ref="A37:D37"/>
    <mergeCell ref="E42:M42"/>
    <mergeCell ref="A28:E28"/>
    <mergeCell ref="A3:J3"/>
    <mergeCell ref="E39:M39"/>
    <mergeCell ref="C6:C7"/>
    <mergeCell ref="A31:E31"/>
    <mergeCell ref="D6:D7"/>
    <mergeCell ref="A42:D42"/>
    <mergeCell ref="E38:M38"/>
    <mergeCell ref="A44:D44"/>
    <mergeCell ref="E46:M46"/>
    <mergeCell ref="E44:M44"/>
    <mergeCell ref="E45:M45"/>
    <mergeCell ref="B6:B7"/>
    <mergeCell ref="N6:N7"/>
    <mergeCell ref="A32:E32"/>
    <mergeCell ref="K3:M3"/>
    <mergeCell ref="A41:D41"/>
    <mergeCell ref="F33:I33"/>
    <mergeCell ref="A40:D40"/>
    <mergeCell ref="A39:D39"/>
    <mergeCell ref="G28:K28"/>
    <mergeCell ref="M6:M7"/>
    <mergeCell ref="E6:E7"/>
    <mergeCell ref="A45:D45"/>
    <mergeCell ref="J33:L33"/>
    <mergeCell ref="A38:D38"/>
    <mergeCell ref="A1:M1"/>
    <mergeCell ref="E41:M41"/>
    <mergeCell ref="E37:M37"/>
    <mergeCell ref="A33:E33"/>
    <mergeCell ref="K2:M2"/>
    <mergeCell ref="D2:E2"/>
    <mergeCell ref="E40:M40"/>
    <mergeCell ref="A43:D43"/>
    <mergeCell ref="A36:E36"/>
    <mergeCell ref="A6:A7"/>
    <mergeCell ref="E43:M43"/>
    <mergeCell ref="A30:E30"/>
    <mergeCell ref="J6:L6"/>
    <mergeCell ref="A34:E34"/>
    <mergeCell ref="A27:E27"/>
    <mergeCell ref="F6:I6"/>
    <mergeCell ref="G2:H2"/>
    <mergeCell ref="A8:M8"/>
    <mergeCell ref="A2:C2"/>
    <mergeCell ref="A4:M4"/>
    <mergeCell ref="G27:K27"/>
  </mergeCells>
  <conditionalFormatting sqref="F9:I25">
    <cfRule type="expression" dxfId="17" priority="1">
      <formula>AND(F9&lt;&gt;"",COUNTIF($F9:$I9,"X")&gt;1)</formula>
    </cfRule>
  </conditionalFormatting>
  <conditionalFormatting sqref="F33:L33">
    <cfRule type="expression" dxfId="16" priority="5">
      <formula>LEFT(F33,4)="ERRO"</formula>
    </cfRule>
    <cfRule type="expression" dxfId="15" priority="6">
      <formula>LEFT(F33,2)="OK"</formula>
    </cfRule>
  </conditionalFormatting>
  <conditionalFormatting sqref="J9:L25">
    <cfRule type="expression" dxfId="14" priority="2">
      <formula>AND(J9&lt;&gt;"",COUNTIF($J9:$L9,"X")&gt;1)</formula>
    </cfRule>
  </conditionalFormatting>
  <conditionalFormatting sqref="N9:N25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5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5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5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64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V46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>
        <f t="shared" ref="P2:V2" si="0">IF(F31=0,NA(),F31)</f>
        <v>13.639885323600001</v>
      </c>
      <c r="Q2" s="2">
        <f t="shared" si="0"/>
        <v>3</v>
      </c>
      <c r="R2" s="2" t="e">
        <f t="shared" si="0"/>
        <v>#N/A</v>
      </c>
      <c r="S2" s="2" t="e">
        <f t="shared" si="0"/>
        <v>#N/A</v>
      </c>
      <c r="T2" s="2">
        <f t="shared" si="0"/>
        <v>16.639885323600001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1" t="s">
        <v>110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111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112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113</v>
      </c>
      <c r="B9" s="16" t="s">
        <v>46</v>
      </c>
      <c r="C9" s="17">
        <v>0</v>
      </c>
      <c r="D9" s="17">
        <v>1</v>
      </c>
      <c r="E9" s="17">
        <f t="shared" ref="E9:E25" si="1">D9-C9</f>
        <v>1</v>
      </c>
      <c r="F9" s="18" t="s">
        <v>47</v>
      </c>
      <c r="G9" s="18"/>
      <c r="H9" s="18"/>
      <c r="I9" s="18"/>
      <c r="J9" s="18" t="s">
        <v>47</v>
      </c>
      <c r="K9" s="18"/>
      <c r="L9" s="18"/>
      <c r="M9" s="19"/>
      <c r="N9" s="20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113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 t="s">
        <v>47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113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 t="s">
        <v>47</v>
      </c>
      <c r="G11" s="18"/>
      <c r="H11" s="18"/>
      <c r="I11" s="18"/>
      <c r="J11" s="18" t="s">
        <v>47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113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 t="s">
        <v>47</v>
      </c>
      <c r="G12" s="18"/>
      <c r="H12" s="18"/>
      <c r="I12" s="18"/>
      <c r="J12" s="18" t="s">
        <v>47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113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 t="s">
        <v>47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113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 t="s">
        <v>47</v>
      </c>
      <c r="G14" s="18"/>
      <c r="H14" s="18"/>
      <c r="I14" s="18"/>
      <c r="J14" s="18" t="s">
        <v>47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113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 t="s">
        <v>47</v>
      </c>
      <c r="G15" s="18"/>
      <c r="H15" s="18"/>
      <c r="I15" s="18"/>
      <c r="J15" s="18" t="s">
        <v>47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113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 t="s">
        <v>47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113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 t="s">
        <v>47</v>
      </c>
      <c r="G17" s="18"/>
      <c r="H17" s="18"/>
      <c r="I17" s="18"/>
      <c r="J17" s="18" t="s">
        <v>47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113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 t="s">
        <v>47</v>
      </c>
      <c r="G18" s="18"/>
      <c r="H18" s="18"/>
      <c r="I18" s="18"/>
      <c r="J18" s="18" t="s">
        <v>47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113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 t="s">
        <v>47</v>
      </c>
      <c r="G19" s="18"/>
      <c r="H19" s="18"/>
      <c r="I19" s="18"/>
      <c r="J19" s="18" t="s">
        <v>47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113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 t="s">
        <v>47</v>
      </c>
      <c r="G20" s="18"/>
      <c r="H20" s="18"/>
      <c r="I20" s="18"/>
      <c r="J20" s="18" t="s">
        <v>47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113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 t="s">
        <v>47</v>
      </c>
      <c r="G21" s="18"/>
      <c r="H21" s="18"/>
      <c r="I21" s="18"/>
      <c r="J21" s="18" t="s">
        <v>47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113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 t="s">
        <v>47</v>
      </c>
      <c r="G22" s="18"/>
      <c r="H22" s="18"/>
      <c r="I22" s="18"/>
      <c r="J22" s="18" t="s">
        <v>47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113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 t="s">
        <v>47</v>
      </c>
      <c r="G23" s="18"/>
      <c r="H23" s="18"/>
      <c r="I23" s="18"/>
      <c r="J23" s="18" t="s">
        <v>47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113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 t="s">
        <v>47</v>
      </c>
      <c r="G24" s="18"/>
      <c r="H24" s="18"/>
      <c r="I24" s="18"/>
      <c r="J24" s="18" t="s">
        <v>47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21" t="s">
        <v>113</v>
      </c>
      <c r="B25" s="22" t="s">
        <v>46</v>
      </c>
      <c r="C25" s="23">
        <v>16</v>
      </c>
      <c r="D25" s="23">
        <v>16.639885323600001</v>
      </c>
      <c r="E25" s="23">
        <f t="shared" si="1"/>
        <v>0.6398853236000015</v>
      </c>
      <c r="F25" s="24" t="s">
        <v>47</v>
      </c>
      <c r="G25" s="24"/>
      <c r="H25" s="24"/>
      <c r="I25" s="24"/>
      <c r="J25" s="24" t="s">
        <v>47</v>
      </c>
      <c r="K25" s="24"/>
      <c r="L25" s="24"/>
      <c r="M25" s="25"/>
      <c r="N25" s="26" t="str">
        <f t="shared" si="2"/>
        <v>OK</v>
      </c>
    </row>
    <row r="27" spans="1:14" x14ac:dyDescent="0.25">
      <c r="A27" s="38" t="s">
        <v>48</v>
      </c>
      <c r="B27" s="32"/>
      <c r="C27" s="32"/>
      <c r="D27" s="32"/>
      <c r="E27" s="32"/>
      <c r="G27" s="38" t="s">
        <v>48</v>
      </c>
      <c r="H27" s="32"/>
      <c r="I27" s="32"/>
      <c r="J27" s="32"/>
      <c r="K27" s="32"/>
    </row>
    <row r="28" spans="1:14" x14ac:dyDescent="0.25">
      <c r="A28" s="43" t="s">
        <v>49</v>
      </c>
      <c r="B28" s="32"/>
      <c r="C28" s="32"/>
      <c r="D28" s="32"/>
      <c r="E28" s="32"/>
      <c r="G28" s="43" t="s">
        <v>50</v>
      </c>
      <c r="H28" s="32"/>
      <c r="I28" s="32"/>
      <c r="J28" s="32"/>
      <c r="K28" s="32"/>
    </row>
    <row r="30" spans="1:14" x14ac:dyDescent="0.25">
      <c r="A30" s="41" t="s">
        <v>51</v>
      </c>
      <c r="B30" s="32"/>
      <c r="C30" s="32"/>
      <c r="D30" s="32"/>
      <c r="E30" s="32"/>
      <c r="F30" s="27"/>
      <c r="G30" s="27"/>
      <c r="H30" s="27"/>
      <c r="I30" s="27"/>
      <c r="J30" s="27"/>
      <c r="K30" s="27"/>
      <c r="L30" s="27"/>
      <c r="M30" s="27"/>
    </row>
    <row r="31" spans="1:14" x14ac:dyDescent="0.25">
      <c r="A31" s="39" t="s">
        <v>52</v>
      </c>
      <c r="B31" s="32"/>
      <c r="C31" s="32"/>
      <c r="D31" s="32"/>
      <c r="E31" s="32"/>
      <c r="F31" s="9">
        <f t="shared" ref="F31:L31" si="3">SUMIF(F$9:F$25,"X",$E$9:$E$25)</f>
        <v>13.639885323600001</v>
      </c>
      <c r="G31" s="9">
        <f t="shared" si="3"/>
        <v>3</v>
      </c>
      <c r="H31" s="9">
        <f t="shared" si="3"/>
        <v>0</v>
      </c>
      <c r="I31" s="9">
        <f t="shared" si="3"/>
        <v>0</v>
      </c>
      <c r="J31" s="9">
        <f t="shared" si="3"/>
        <v>16.639885323600001</v>
      </c>
      <c r="K31" s="9">
        <f t="shared" si="3"/>
        <v>0</v>
      </c>
      <c r="L31" s="9">
        <f t="shared" si="3"/>
        <v>0</v>
      </c>
    </row>
    <row r="32" spans="1:14" x14ac:dyDescent="0.25">
      <c r="A32" s="39" t="s">
        <v>53</v>
      </c>
      <c r="B32" s="32"/>
      <c r="C32" s="32"/>
      <c r="D32" s="32"/>
      <c r="E32" s="32"/>
      <c r="F32" s="28">
        <f t="shared" ref="F32:L32" si="4">IF($I34=0,0,F31/$I34)</f>
        <v>0.81971029597510736</v>
      </c>
      <c r="G32" s="28">
        <f t="shared" si="4"/>
        <v>0.18028970402489269</v>
      </c>
      <c r="H32" s="28">
        <f t="shared" si="4"/>
        <v>0</v>
      </c>
      <c r="I32" s="28">
        <f t="shared" si="4"/>
        <v>0</v>
      </c>
      <c r="J32" s="28">
        <f t="shared" si="4"/>
        <v>1</v>
      </c>
      <c r="K32" s="28">
        <f t="shared" si="4"/>
        <v>0</v>
      </c>
      <c r="L32" s="28">
        <f t="shared" si="4"/>
        <v>0</v>
      </c>
    </row>
    <row r="33" spans="1:13" x14ac:dyDescent="0.25">
      <c r="A33" s="39" t="s">
        <v>54</v>
      </c>
      <c r="B33" s="32"/>
      <c r="C33" s="32"/>
      <c r="D33" s="32"/>
      <c r="E33" s="32"/>
      <c r="F33" s="42" t="str">
        <f>IF(SUM(F31:I31)=0,"— não preenchido",IF(ROUND(SUM(F31:I31)-$I34,3)=0,"OK — "&amp;ROUND(SUM(F31:I31),3)&amp;" km","ERRO — dif. de "&amp;ROUND(SUM(F31:I31)-$I34,3)&amp;" km"))</f>
        <v>OK — 16,64 km</v>
      </c>
      <c r="G33" s="34"/>
      <c r="H33" s="34"/>
      <c r="I33" s="35"/>
      <c r="J33" s="42" t="str">
        <f>IF(SUM(J31:L31)=0,"— não preenchido",IF(ROUND(SUM(J31:L31)-$I34,3)=0,"OK — "&amp;ROUND(SUM(J31:L31),3)&amp;" km","ERRO — dif. de "&amp;ROUND(SUM(J31:L31)-$I34,3)&amp;" km"))</f>
        <v>OK — 16,64 km</v>
      </c>
      <c r="K33" s="34"/>
      <c r="L33" s="35"/>
    </row>
    <row r="34" spans="1:13" x14ac:dyDescent="0.25">
      <c r="A34" s="39" t="s">
        <v>55</v>
      </c>
      <c r="B34" s="32"/>
      <c r="C34" s="32"/>
      <c r="D34" s="32"/>
      <c r="E34" s="32"/>
      <c r="I34" s="29">
        <f>SUM(E9:E25)</f>
        <v>16.639885323600001</v>
      </c>
      <c r="M34" s="8" t="str">
        <f>COUNTIF(N9:N25,"OK")&amp;" de "&amp;COUNT($E$9:$E$25)&amp;" linhas conferidas"</f>
        <v>17 de 17 linhas conferidas</v>
      </c>
    </row>
    <row r="36" spans="1:13" x14ac:dyDescent="0.25">
      <c r="A36" s="45" t="s">
        <v>56</v>
      </c>
      <c r="B36" s="32"/>
      <c r="C36" s="32"/>
      <c r="D36" s="32"/>
      <c r="E36" s="32"/>
    </row>
    <row r="37" spans="1:13" x14ac:dyDescent="0.25">
      <c r="A37" s="39" t="s">
        <v>10</v>
      </c>
      <c r="B37" s="32"/>
      <c r="C37" s="32"/>
      <c r="D37" s="32"/>
      <c r="E37" s="40" t="s">
        <v>57</v>
      </c>
      <c r="F37" s="32"/>
      <c r="G37" s="32"/>
      <c r="H37" s="32"/>
      <c r="I37" s="32"/>
      <c r="J37" s="32"/>
      <c r="K37" s="32"/>
      <c r="L37" s="32"/>
      <c r="M37" s="32"/>
    </row>
    <row r="38" spans="1:13" x14ac:dyDescent="0.25">
      <c r="A38" s="39" t="s">
        <v>11</v>
      </c>
      <c r="B38" s="32"/>
      <c r="C38" s="32"/>
      <c r="D38" s="32"/>
      <c r="E38" s="40" t="s">
        <v>58</v>
      </c>
      <c r="F38" s="32"/>
      <c r="G38" s="32"/>
      <c r="H38" s="32"/>
      <c r="I38" s="32"/>
      <c r="J38" s="32"/>
      <c r="K38" s="32"/>
      <c r="L38" s="32"/>
      <c r="M38" s="32"/>
    </row>
    <row r="39" spans="1:13" x14ac:dyDescent="0.25">
      <c r="A39" s="39" t="s">
        <v>12</v>
      </c>
      <c r="B39" s="32"/>
      <c r="C39" s="32"/>
      <c r="D39" s="32"/>
      <c r="E39" s="40" t="s">
        <v>59</v>
      </c>
      <c r="F39" s="32"/>
      <c r="G39" s="32"/>
      <c r="H39" s="32"/>
      <c r="I39" s="32"/>
      <c r="J39" s="32"/>
      <c r="K39" s="32"/>
      <c r="L39" s="32"/>
      <c r="M39" s="32"/>
    </row>
    <row r="40" spans="1:13" x14ac:dyDescent="0.25">
      <c r="A40" s="39" t="s">
        <v>60</v>
      </c>
      <c r="B40" s="32"/>
      <c r="C40" s="32"/>
      <c r="D40" s="32"/>
      <c r="E40" s="40" t="s">
        <v>61</v>
      </c>
      <c r="F40" s="32"/>
      <c r="G40" s="32"/>
      <c r="H40" s="32"/>
      <c r="I40" s="32"/>
      <c r="J40" s="32"/>
      <c r="K40" s="32"/>
      <c r="L40" s="32"/>
      <c r="M40" s="32"/>
    </row>
    <row r="41" spans="1:13" x14ac:dyDescent="0.25">
      <c r="A41" s="39" t="s">
        <v>62</v>
      </c>
      <c r="B41" s="32"/>
      <c r="C41" s="32"/>
      <c r="D41" s="32"/>
      <c r="E41" s="40" t="s">
        <v>63</v>
      </c>
      <c r="F41" s="32"/>
      <c r="G41" s="32"/>
      <c r="H41" s="32"/>
      <c r="I41" s="32"/>
      <c r="J41" s="32"/>
      <c r="K41" s="32"/>
      <c r="L41" s="32"/>
      <c r="M41" s="32"/>
    </row>
    <row r="42" spans="1:13" x14ac:dyDescent="0.25">
      <c r="A42" s="39" t="s">
        <v>64</v>
      </c>
      <c r="B42" s="32"/>
      <c r="C42" s="32"/>
      <c r="D42" s="32"/>
      <c r="E42" s="40" t="s">
        <v>65</v>
      </c>
      <c r="F42" s="32"/>
      <c r="G42" s="32"/>
      <c r="H42" s="32"/>
      <c r="I42" s="32"/>
      <c r="J42" s="32"/>
      <c r="K42" s="32"/>
      <c r="L42" s="32"/>
      <c r="M42" s="32"/>
    </row>
    <row r="43" spans="1:13" x14ac:dyDescent="0.25">
      <c r="A43" s="39" t="s">
        <v>38</v>
      </c>
      <c r="B43" s="32"/>
      <c r="C43" s="32"/>
      <c r="D43" s="32"/>
      <c r="E43" s="40" t="s">
        <v>66</v>
      </c>
      <c r="F43" s="32"/>
      <c r="G43" s="32"/>
      <c r="H43" s="32"/>
      <c r="I43" s="32"/>
      <c r="J43" s="32"/>
      <c r="K43" s="32"/>
      <c r="L43" s="32"/>
      <c r="M43" s="32"/>
    </row>
    <row r="44" spans="1:13" x14ac:dyDescent="0.25">
      <c r="A44" s="39" t="s">
        <v>67</v>
      </c>
      <c r="B44" s="32"/>
      <c r="C44" s="32"/>
      <c r="D44" s="32"/>
      <c r="E44" s="40" t="s">
        <v>68</v>
      </c>
      <c r="F44" s="32"/>
      <c r="G44" s="32"/>
      <c r="H44" s="32"/>
      <c r="I44" s="32"/>
      <c r="J44" s="32"/>
      <c r="K44" s="32"/>
      <c r="L44" s="32"/>
      <c r="M44" s="32"/>
    </row>
    <row r="45" spans="1:13" x14ac:dyDescent="0.25">
      <c r="A45" s="39" t="s">
        <v>69</v>
      </c>
      <c r="B45" s="32"/>
      <c r="C45" s="32"/>
      <c r="D45" s="32"/>
      <c r="E45" s="40" t="s">
        <v>70</v>
      </c>
      <c r="F45" s="32"/>
      <c r="G45" s="32"/>
      <c r="H45" s="32"/>
      <c r="I45" s="32"/>
      <c r="J45" s="32"/>
      <c r="K45" s="32"/>
      <c r="L45" s="32"/>
      <c r="M45" s="32"/>
    </row>
    <row r="46" spans="1:13" x14ac:dyDescent="0.25">
      <c r="A46" s="39" t="s">
        <v>8</v>
      </c>
      <c r="B46" s="32"/>
      <c r="C46" s="32"/>
      <c r="D46" s="32"/>
      <c r="E46" s="40" t="s">
        <v>71</v>
      </c>
      <c r="F46" s="32"/>
      <c r="G46" s="32"/>
      <c r="H46" s="32"/>
      <c r="I46" s="32"/>
      <c r="J46" s="32"/>
      <c r="K46" s="32"/>
      <c r="L46" s="32"/>
      <c r="M46" s="32"/>
    </row>
  </sheetData>
  <sheetProtection formatCells="0"/>
  <mergeCells count="50">
    <mergeCell ref="A46:D46"/>
    <mergeCell ref="A37:D37"/>
    <mergeCell ref="E42:M42"/>
    <mergeCell ref="A28:E28"/>
    <mergeCell ref="A3:J3"/>
    <mergeCell ref="E39:M39"/>
    <mergeCell ref="C6:C7"/>
    <mergeCell ref="A31:E31"/>
    <mergeCell ref="D6:D7"/>
    <mergeCell ref="A42:D42"/>
    <mergeCell ref="E38:M38"/>
    <mergeCell ref="A44:D44"/>
    <mergeCell ref="E46:M46"/>
    <mergeCell ref="E44:M44"/>
    <mergeCell ref="E45:M45"/>
    <mergeCell ref="B6:B7"/>
    <mergeCell ref="N6:N7"/>
    <mergeCell ref="A32:E32"/>
    <mergeCell ref="K3:M3"/>
    <mergeCell ref="A41:D41"/>
    <mergeCell ref="F33:I33"/>
    <mergeCell ref="A40:D40"/>
    <mergeCell ref="A39:D39"/>
    <mergeCell ref="G28:K28"/>
    <mergeCell ref="M6:M7"/>
    <mergeCell ref="E6:E7"/>
    <mergeCell ref="A45:D45"/>
    <mergeCell ref="J33:L33"/>
    <mergeCell ref="A38:D38"/>
    <mergeCell ref="A1:M1"/>
    <mergeCell ref="E41:M41"/>
    <mergeCell ref="E37:M37"/>
    <mergeCell ref="A33:E33"/>
    <mergeCell ref="K2:M2"/>
    <mergeCell ref="D2:E2"/>
    <mergeCell ref="E40:M40"/>
    <mergeCell ref="A43:D43"/>
    <mergeCell ref="A36:E36"/>
    <mergeCell ref="A6:A7"/>
    <mergeCell ref="E43:M43"/>
    <mergeCell ref="A30:E30"/>
    <mergeCell ref="J6:L6"/>
    <mergeCell ref="A34:E34"/>
    <mergeCell ref="A27:E27"/>
    <mergeCell ref="F6:I6"/>
    <mergeCell ref="G2:H2"/>
    <mergeCell ref="A8:M8"/>
    <mergeCell ref="A2:C2"/>
    <mergeCell ref="A4:M4"/>
    <mergeCell ref="G27:K27"/>
  </mergeCells>
  <conditionalFormatting sqref="F9:I25">
    <cfRule type="expression" dxfId="11" priority="1">
      <formula>AND(F9&lt;&gt;"",COUNTIF($F9:$I9,"X")&gt;1)</formula>
    </cfRule>
  </conditionalFormatting>
  <conditionalFormatting sqref="F33:L33">
    <cfRule type="expression" dxfId="10" priority="5">
      <formula>LEFT(F33,4)="ERRO"</formula>
    </cfRule>
    <cfRule type="expression" dxfId="9" priority="6">
      <formula>LEFT(F33,2)="OK"</formula>
    </cfRule>
  </conditionalFormatting>
  <conditionalFormatting sqref="J9:L25">
    <cfRule type="expression" dxfId="8" priority="2">
      <formula>AND(J9&lt;&gt;"",COUNTIF($J9:$L9,"X")&gt;1)</formula>
    </cfRule>
  </conditionalFormatting>
  <conditionalFormatting sqref="N9:N25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5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5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25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65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V62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7" t="s">
        <v>30</v>
      </c>
      <c r="B2" s="32"/>
      <c r="C2" s="32"/>
      <c r="D2" s="46" t="s">
        <v>31</v>
      </c>
      <c r="E2" s="32"/>
      <c r="F2" s="13">
        <f>IF('46'!F2="","",'46'!F2)</f>
        <v>46235</v>
      </c>
      <c r="G2" s="46" t="s">
        <v>32</v>
      </c>
      <c r="H2" s="32"/>
      <c r="I2" s="14" t="str">
        <f>IF('46'!I2="","",'46'!I2)</f>
        <v/>
      </c>
      <c r="J2" s="12" t="s">
        <v>33</v>
      </c>
      <c r="K2" s="48" t="str">
        <f>IF('46'!K2="","",'46'!K2)</f>
        <v>ENG. VINICIUS RODRIGUES FERREIRA DE OLIVEIRA</v>
      </c>
      <c r="L2" s="49"/>
      <c r="M2" s="50"/>
      <c r="P2" s="2" t="e">
        <f t="shared" ref="P2:V2" si="0">IF(F47=0,NA(),F47)</f>
        <v>#N/A</v>
      </c>
      <c r="Q2" s="2">
        <f t="shared" si="0"/>
        <v>32.279870488500002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32.279870488500002</v>
      </c>
      <c r="V2" s="2" t="e">
        <f t="shared" si="0"/>
        <v>#N/A</v>
      </c>
    </row>
    <row r="3" spans="1:22" ht="15" customHeight="1" x14ac:dyDescent="0.25">
      <c r="A3" s="51" t="s">
        <v>114</v>
      </c>
      <c r="B3" s="32"/>
      <c r="C3" s="32"/>
      <c r="D3" s="32"/>
      <c r="E3" s="32"/>
      <c r="F3" s="32"/>
      <c r="G3" s="32"/>
      <c r="H3" s="32"/>
      <c r="I3" s="32"/>
      <c r="J3" s="32"/>
      <c r="K3" s="46" t="s">
        <v>115</v>
      </c>
      <c r="L3" s="32"/>
      <c r="M3" s="32"/>
    </row>
    <row r="4" spans="1:22" ht="20.100000000000001" customHeight="1" x14ac:dyDescent="0.25">
      <c r="A4" s="37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37</v>
      </c>
      <c r="B6" s="33" t="s">
        <v>38</v>
      </c>
      <c r="C6" s="33" t="s">
        <v>39</v>
      </c>
      <c r="D6" s="33" t="s">
        <v>40</v>
      </c>
      <c r="E6" s="33" t="s">
        <v>41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42</v>
      </c>
      <c r="N6" s="33" t="s">
        <v>43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122</v>
      </c>
      <c r="H7" s="3" t="s">
        <v>123</v>
      </c>
      <c r="I7" s="3" t="s">
        <v>124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4" t="s">
        <v>116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117</v>
      </c>
      <c r="B9" s="16" t="s">
        <v>46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117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117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117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117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117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117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117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117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117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117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117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117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117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117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117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117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117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117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117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117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117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117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117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117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117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117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117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117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117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117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117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117</v>
      </c>
      <c r="B41" s="22" t="s">
        <v>46</v>
      </c>
      <c r="C41" s="23">
        <v>32</v>
      </c>
      <c r="D41" s="23">
        <v>32.279870488500002</v>
      </c>
      <c r="E41" s="23">
        <f t="shared" si="1"/>
        <v>0.27987048850000207</v>
      </c>
      <c r="F41" s="24"/>
      <c r="G41" s="24" t="s">
        <v>47</v>
      </c>
      <c r="H41" s="24"/>
      <c r="I41" s="24"/>
      <c r="J41" s="24"/>
      <c r="K41" s="24" t="s">
        <v>47</v>
      </c>
      <c r="L41" s="24"/>
      <c r="M41" s="25"/>
      <c r="N41" s="26" t="str">
        <f t="shared" si="2"/>
        <v>OK</v>
      </c>
    </row>
    <row r="43" spans="1:14" x14ac:dyDescent="0.25">
      <c r="A43" s="38" t="s">
        <v>48</v>
      </c>
      <c r="B43" s="32"/>
      <c r="C43" s="32"/>
      <c r="D43" s="32"/>
      <c r="E43" s="32"/>
      <c r="G43" s="38" t="s">
        <v>48</v>
      </c>
      <c r="H43" s="32"/>
      <c r="I43" s="32"/>
      <c r="J43" s="32"/>
      <c r="K43" s="32"/>
    </row>
    <row r="44" spans="1:14" x14ac:dyDescent="0.25">
      <c r="A44" s="43" t="s">
        <v>49</v>
      </c>
      <c r="B44" s="32"/>
      <c r="C44" s="32"/>
      <c r="D44" s="32"/>
      <c r="E44" s="32"/>
      <c r="G44" s="43" t="s">
        <v>50</v>
      </c>
      <c r="H44" s="32"/>
      <c r="I44" s="32"/>
      <c r="J44" s="32"/>
      <c r="K44" s="32"/>
    </row>
    <row r="46" spans="1:14" x14ac:dyDescent="0.25">
      <c r="A46" s="41" t="s">
        <v>51</v>
      </c>
      <c r="B46" s="32"/>
      <c r="C46" s="32"/>
      <c r="D46" s="32"/>
      <c r="E46" s="32"/>
      <c r="F46" s="27"/>
      <c r="G46" s="27"/>
      <c r="H46" s="27"/>
      <c r="I46" s="27"/>
      <c r="J46" s="27"/>
      <c r="K46" s="27"/>
      <c r="L46" s="27"/>
      <c r="M46" s="27"/>
    </row>
    <row r="47" spans="1:14" x14ac:dyDescent="0.25">
      <c r="A47" s="39" t="s">
        <v>52</v>
      </c>
      <c r="B47" s="32"/>
      <c r="C47" s="32"/>
      <c r="D47" s="32"/>
      <c r="E47" s="32"/>
      <c r="F47" s="9">
        <f t="shared" ref="F47:L47" si="3">SUMIF(F$9:F$41,"X",$E$9:$E$41)</f>
        <v>0</v>
      </c>
      <c r="G47" s="9">
        <f t="shared" si="3"/>
        <v>32.279870488500002</v>
      </c>
      <c r="H47" s="9">
        <f t="shared" si="3"/>
        <v>0</v>
      </c>
      <c r="I47" s="9">
        <f t="shared" si="3"/>
        <v>0</v>
      </c>
      <c r="J47" s="9">
        <f t="shared" si="3"/>
        <v>0</v>
      </c>
      <c r="K47" s="9">
        <f t="shared" si="3"/>
        <v>32.279870488500002</v>
      </c>
      <c r="L47" s="9">
        <f t="shared" si="3"/>
        <v>0</v>
      </c>
    </row>
    <row r="48" spans="1:14" x14ac:dyDescent="0.25">
      <c r="A48" s="39" t="s">
        <v>53</v>
      </c>
      <c r="B48" s="32"/>
      <c r="C48" s="32"/>
      <c r="D48" s="32"/>
      <c r="E48" s="32"/>
      <c r="F48" s="28">
        <f t="shared" ref="F48:L48" si="4">IF($I50=0,0,F47/$I50)</f>
        <v>0</v>
      </c>
      <c r="G48" s="28">
        <f t="shared" si="4"/>
        <v>1</v>
      </c>
      <c r="H48" s="28">
        <f t="shared" si="4"/>
        <v>0</v>
      </c>
      <c r="I48" s="28">
        <f t="shared" si="4"/>
        <v>0</v>
      </c>
      <c r="J48" s="28">
        <f t="shared" si="4"/>
        <v>0</v>
      </c>
      <c r="K48" s="28">
        <f t="shared" si="4"/>
        <v>1</v>
      </c>
      <c r="L48" s="28">
        <f t="shared" si="4"/>
        <v>0</v>
      </c>
    </row>
    <row r="49" spans="1:13" x14ac:dyDescent="0.25">
      <c r="A49" s="39" t="s">
        <v>54</v>
      </c>
      <c r="B49" s="32"/>
      <c r="C49" s="32"/>
      <c r="D49" s="32"/>
      <c r="E49" s="32"/>
      <c r="F49" s="42" t="str">
        <f>IF(SUM(F47:I47)=0,"— não preenchido",IF(ROUND(SUM(F47:I47)-$I50,3)=0,"OK — "&amp;ROUND(SUM(F47:I47),3)&amp;" km","ERRO — dif. de "&amp;ROUND(SUM(F47:I47)-$I50,3)&amp;" km"))</f>
        <v>OK — 32,28 km</v>
      </c>
      <c r="G49" s="34"/>
      <c r="H49" s="34"/>
      <c r="I49" s="35"/>
      <c r="J49" s="42" t="str">
        <f>IF(SUM(J47:L47)=0,"— não preenchido",IF(ROUND(SUM(J47:L47)-$I50,3)=0,"OK — "&amp;ROUND(SUM(J47:L47),3)&amp;" km","ERRO — dif. de "&amp;ROUND(SUM(J47:L47)-$I50,3)&amp;" km"))</f>
        <v>OK — 32,28 km</v>
      </c>
      <c r="K49" s="34"/>
      <c r="L49" s="35"/>
    </row>
    <row r="50" spans="1:13" x14ac:dyDescent="0.25">
      <c r="A50" s="39" t="s">
        <v>55</v>
      </c>
      <c r="B50" s="32"/>
      <c r="C50" s="32"/>
      <c r="D50" s="32"/>
      <c r="E50" s="32"/>
      <c r="I50" s="29">
        <f>SUM(E9:E41)</f>
        <v>32.279870488500002</v>
      </c>
      <c r="M50" s="8" t="str">
        <f>COUNTIF(N9:N41,"OK")&amp;" de "&amp;COUNT($E$9:$E$41)&amp;" linhas conferidas"</f>
        <v>33 de 33 linhas conferidas</v>
      </c>
    </row>
    <row r="52" spans="1:13" x14ac:dyDescent="0.25">
      <c r="A52" s="45" t="s">
        <v>56</v>
      </c>
      <c r="B52" s="32"/>
      <c r="C52" s="32"/>
      <c r="D52" s="32"/>
      <c r="E52" s="32"/>
    </row>
    <row r="53" spans="1:13" x14ac:dyDescent="0.25">
      <c r="A53" s="39" t="s">
        <v>10</v>
      </c>
      <c r="B53" s="32"/>
      <c r="C53" s="32"/>
      <c r="D53" s="32"/>
      <c r="E53" s="40" t="s">
        <v>57</v>
      </c>
      <c r="F53" s="32"/>
      <c r="G53" s="32"/>
      <c r="H53" s="32"/>
      <c r="I53" s="32"/>
      <c r="J53" s="32"/>
      <c r="K53" s="32"/>
      <c r="L53" s="32"/>
      <c r="M53" s="32"/>
    </row>
    <row r="54" spans="1:13" x14ac:dyDescent="0.25">
      <c r="A54" s="39" t="s">
        <v>11</v>
      </c>
      <c r="B54" s="32"/>
      <c r="C54" s="32"/>
      <c r="D54" s="32"/>
      <c r="E54" s="40" t="s">
        <v>58</v>
      </c>
      <c r="F54" s="32"/>
      <c r="G54" s="32"/>
      <c r="H54" s="32"/>
      <c r="I54" s="32"/>
      <c r="J54" s="32"/>
      <c r="K54" s="32"/>
      <c r="L54" s="32"/>
      <c r="M54" s="32"/>
    </row>
    <row r="55" spans="1:13" x14ac:dyDescent="0.25">
      <c r="A55" s="39" t="s">
        <v>12</v>
      </c>
      <c r="B55" s="32"/>
      <c r="C55" s="32"/>
      <c r="D55" s="32"/>
      <c r="E55" s="40" t="s">
        <v>59</v>
      </c>
      <c r="F55" s="32"/>
      <c r="G55" s="32"/>
      <c r="H55" s="32"/>
      <c r="I55" s="32"/>
      <c r="J55" s="32"/>
      <c r="K55" s="32"/>
      <c r="L55" s="32"/>
      <c r="M55" s="32"/>
    </row>
    <row r="56" spans="1:13" x14ac:dyDescent="0.25">
      <c r="A56" s="39" t="s">
        <v>60</v>
      </c>
      <c r="B56" s="32"/>
      <c r="C56" s="32"/>
      <c r="D56" s="32"/>
      <c r="E56" s="40" t="s">
        <v>61</v>
      </c>
      <c r="F56" s="32"/>
      <c r="G56" s="32"/>
      <c r="H56" s="32"/>
      <c r="I56" s="32"/>
      <c r="J56" s="32"/>
      <c r="K56" s="32"/>
      <c r="L56" s="32"/>
      <c r="M56" s="32"/>
    </row>
    <row r="57" spans="1:13" x14ac:dyDescent="0.25">
      <c r="A57" s="39" t="s">
        <v>62</v>
      </c>
      <c r="B57" s="32"/>
      <c r="C57" s="32"/>
      <c r="D57" s="32"/>
      <c r="E57" s="40" t="s">
        <v>63</v>
      </c>
      <c r="F57" s="32"/>
      <c r="G57" s="32"/>
      <c r="H57" s="32"/>
      <c r="I57" s="32"/>
      <c r="J57" s="32"/>
      <c r="K57" s="32"/>
      <c r="L57" s="32"/>
      <c r="M57" s="32"/>
    </row>
    <row r="58" spans="1:13" x14ac:dyDescent="0.25">
      <c r="A58" s="39" t="s">
        <v>64</v>
      </c>
      <c r="B58" s="32"/>
      <c r="C58" s="32"/>
      <c r="D58" s="32"/>
      <c r="E58" s="40" t="s">
        <v>65</v>
      </c>
      <c r="F58" s="32"/>
      <c r="G58" s="32"/>
      <c r="H58" s="32"/>
      <c r="I58" s="32"/>
      <c r="J58" s="32"/>
      <c r="K58" s="32"/>
      <c r="L58" s="32"/>
      <c r="M58" s="32"/>
    </row>
    <row r="59" spans="1:13" x14ac:dyDescent="0.25">
      <c r="A59" s="39" t="s">
        <v>38</v>
      </c>
      <c r="B59" s="32"/>
      <c r="C59" s="32"/>
      <c r="D59" s="32"/>
      <c r="E59" s="40" t="s">
        <v>66</v>
      </c>
      <c r="F59" s="32"/>
      <c r="G59" s="32"/>
      <c r="H59" s="32"/>
      <c r="I59" s="32"/>
      <c r="J59" s="32"/>
      <c r="K59" s="32"/>
      <c r="L59" s="32"/>
      <c r="M59" s="32"/>
    </row>
    <row r="60" spans="1:13" x14ac:dyDescent="0.25">
      <c r="A60" s="39" t="s">
        <v>67</v>
      </c>
      <c r="B60" s="32"/>
      <c r="C60" s="32"/>
      <c r="D60" s="32"/>
      <c r="E60" s="40" t="s">
        <v>68</v>
      </c>
      <c r="F60" s="32"/>
      <c r="G60" s="32"/>
      <c r="H60" s="32"/>
      <c r="I60" s="32"/>
      <c r="J60" s="32"/>
      <c r="K60" s="32"/>
      <c r="L60" s="32"/>
      <c r="M60" s="32"/>
    </row>
    <row r="61" spans="1:13" x14ac:dyDescent="0.25">
      <c r="A61" s="39" t="s">
        <v>69</v>
      </c>
      <c r="B61" s="32"/>
      <c r="C61" s="32"/>
      <c r="D61" s="32"/>
      <c r="E61" s="40" t="s">
        <v>70</v>
      </c>
      <c r="F61" s="32"/>
      <c r="G61" s="32"/>
      <c r="H61" s="32"/>
      <c r="I61" s="32"/>
      <c r="J61" s="32"/>
      <c r="K61" s="32"/>
      <c r="L61" s="32"/>
      <c r="M61" s="32"/>
    </row>
    <row r="62" spans="1:13" x14ac:dyDescent="0.25">
      <c r="A62" s="39" t="s">
        <v>8</v>
      </c>
      <c r="B62" s="32"/>
      <c r="C62" s="32"/>
      <c r="D62" s="32"/>
      <c r="E62" s="40" t="s">
        <v>71</v>
      </c>
      <c r="F62" s="32"/>
      <c r="G62" s="32"/>
      <c r="H62" s="32"/>
      <c r="I62" s="32"/>
      <c r="J62" s="32"/>
      <c r="K62" s="32"/>
      <c r="L62" s="32"/>
      <c r="M62" s="32"/>
    </row>
  </sheetData>
  <sheetProtection formatCells="0"/>
  <mergeCells count="50">
    <mergeCell ref="E62:M62"/>
    <mergeCell ref="A43:E43"/>
    <mergeCell ref="A52:E52"/>
    <mergeCell ref="A3:J3"/>
    <mergeCell ref="A55:D55"/>
    <mergeCell ref="G44:K44"/>
    <mergeCell ref="A57:D57"/>
    <mergeCell ref="C6:C7"/>
    <mergeCell ref="A44:E44"/>
    <mergeCell ref="D6:D7"/>
    <mergeCell ref="A62:D62"/>
    <mergeCell ref="A6:A7"/>
    <mergeCell ref="E61:M61"/>
    <mergeCell ref="N6:N7"/>
    <mergeCell ref="E53:M53"/>
    <mergeCell ref="K3:M3"/>
    <mergeCell ref="E58:M58"/>
    <mergeCell ref="E55:M55"/>
    <mergeCell ref="F49:I49"/>
    <mergeCell ref="A1:M1"/>
    <mergeCell ref="A61:D61"/>
    <mergeCell ref="A54:D54"/>
    <mergeCell ref="A47:E47"/>
    <mergeCell ref="E56:M56"/>
    <mergeCell ref="A56:D56"/>
    <mergeCell ref="E57:M57"/>
    <mergeCell ref="A60:D60"/>
    <mergeCell ref="F6:I6"/>
    <mergeCell ref="E54:M54"/>
    <mergeCell ref="A50:E50"/>
    <mergeCell ref="G2:H2"/>
    <mergeCell ref="A8:M8"/>
    <mergeCell ref="A4:M4"/>
    <mergeCell ref="A49:E49"/>
    <mergeCell ref="E60:M60"/>
    <mergeCell ref="A2:C2"/>
    <mergeCell ref="E59:M59"/>
    <mergeCell ref="K2:M2"/>
    <mergeCell ref="D2:E2"/>
    <mergeCell ref="A58:D58"/>
    <mergeCell ref="M6:M7"/>
    <mergeCell ref="A59:D59"/>
    <mergeCell ref="J6:L6"/>
    <mergeCell ref="A48:E48"/>
    <mergeCell ref="J49:L49"/>
    <mergeCell ref="G43:K43"/>
    <mergeCell ref="A53:D53"/>
    <mergeCell ref="A46:E46"/>
    <mergeCell ref="E6:E7"/>
    <mergeCell ref="B6:B7"/>
  </mergeCells>
  <conditionalFormatting sqref="F9:I41">
    <cfRule type="expression" dxfId="5" priority="1">
      <formula>AND(F9&lt;&gt;"",COUNTIF($F9:$I9,"X")&gt;1)</formula>
    </cfRule>
  </conditionalFormatting>
  <conditionalFormatting sqref="F49:L49">
    <cfRule type="expression" dxfId="4" priority="5">
      <formula>LEFT(F49,4)="ERRO"</formula>
    </cfRule>
    <cfRule type="expression" dxfId="3" priority="6">
      <formula>LEFT(F49,2)="OK"</formula>
    </cfRule>
  </conditionalFormatting>
  <conditionalFormatting sqref="J9:L41">
    <cfRule type="expression" dxfId="2" priority="2">
      <formula>AND(J9&lt;&gt;"",COUNTIF($J9:$L9,"X")&gt;1)</formula>
    </cfRule>
  </conditionalFormatting>
  <conditionalFormatting sqref="N9:N41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1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1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1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66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118</v>
      </c>
    </row>
    <row r="2" spans="1:1" x14ac:dyDescent="0.25">
      <c r="A2" t="s">
        <v>119</v>
      </c>
    </row>
    <row r="3" spans="1:1" x14ac:dyDescent="0.25">
      <c r="A3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21</vt:i4>
      </vt:variant>
    </vt:vector>
  </HeadingPairs>
  <TitlesOfParts>
    <vt:vector size="33" baseType="lpstr">
      <vt:lpstr>RESUMO</vt:lpstr>
      <vt:lpstr>46</vt:lpstr>
      <vt:lpstr>47</vt:lpstr>
      <vt:lpstr>48</vt:lpstr>
      <vt:lpstr>49</vt:lpstr>
      <vt:lpstr>59</vt:lpstr>
      <vt:lpstr>60</vt:lpstr>
      <vt:lpstr>62</vt:lpstr>
      <vt:lpstr>64</vt:lpstr>
      <vt:lpstr>65</vt:lpstr>
      <vt:lpstr>66</vt:lpstr>
      <vt:lpstr>LISTAS</vt:lpstr>
      <vt:lpstr>'46'!Area_de_impressao</vt:lpstr>
      <vt:lpstr>'47'!Area_de_impressao</vt:lpstr>
      <vt:lpstr>'48'!Area_de_impressao</vt:lpstr>
      <vt:lpstr>'49'!Area_de_impressao</vt:lpstr>
      <vt:lpstr>'59'!Area_de_impressao</vt:lpstr>
      <vt:lpstr>'60'!Area_de_impressao</vt:lpstr>
      <vt:lpstr>'62'!Area_de_impressao</vt:lpstr>
      <vt:lpstr>'64'!Area_de_impressao</vt:lpstr>
      <vt:lpstr>'65'!Area_de_impressao</vt:lpstr>
      <vt:lpstr>'66'!Area_de_impressao</vt:lpstr>
      <vt:lpstr>RESUMO!Area_de_impressao</vt:lpstr>
      <vt:lpstr>'46'!Titulos_de_impressao</vt:lpstr>
      <vt:lpstr>'47'!Titulos_de_impressao</vt:lpstr>
      <vt:lpstr>'48'!Titulos_de_impressao</vt:lpstr>
      <vt:lpstr>'49'!Titulos_de_impressao</vt:lpstr>
      <vt:lpstr>'59'!Titulos_de_impressao</vt:lpstr>
      <vt:lpstr>'60'!Titulos_de_impressao</vt:lpstr>
      <vt:lpstr>'62'!Titulos_de_impressao</vt:lpstr>
      <vt:lpstr>'64'!Titulos_de_impressao</vt:lpstr>
      <vt:lpstr>'65'!Titulos_de_impressao</vt:lpstr>
      <vt:lpstr>'66'!Titulos_de_impressao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2026-08-17T14:12:07Z</dcterms:created>
  <dcterms:modified xsi:type="dcterms:W3CDTF">2026-08-31T12:30:55Z</dcterms:modified>
</cp:coreProperties>
</file>