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D4EA6BE0-37DA-4D95-9824-BD3C1C3EFBAF}" xr6:coauthVersionLast="47" xr6:coauthVersionMax="47" xr10:uidLastSave="{00000000-0000-0000-0000-000000000000}"/>
  <bookViews>
    <workbookView xWindow="5115" yWindow="2460" windowWidth="15375" windowHeight="7875" firstSheet="1" activeTab="1" xr2:uid="{00000000-000D-0000-FFFF-FFFF00000000}"/>
  </bookViews>
  <sheets>
    <sheet name="RESUMO" sheetId="1" r:id="rId1"/>
    <sheet name="68" sheetId="2" r:id="rId2"/>
    <sheet name="70" sheetId="3" r:id="rId3"/>
    <sheet name="71" sheetId="4" r:id="rId4"/>
    <sheet name="73" sheetId="5" r:id="rId5"/>
    <sheet name="74" sheetId="6" r:id="rId6"/>
    <sheet name="75" sheetId="7" r:id="rId7"/>
    <sheet name="77" sheetId="8" r:id="rId8"/>
    <sheet name="78" sheetId="9" r:id="rId9"/>
    <sheet name="80" sheetId="10" r:id="rId10"/>
    <sheet name="LISTAS" sheetId="11" state="hidden" r:id="rId11"/>
  </sheets>
  <definedNames>
    <definedName name="_xlnm.Print_Area" localSheetId="1">'68'!$A$1:$V$106</definedName>
    <definedName name="_xlnm.Print_Area" localSheetId="2">'70'!$A$1:$V$83</definedName>
    <definedName name="_xlnm.Print_Area" localSheetId="3">'71'!$A$1:$V$36</definedName>
    <definedName name="_xlnm.Print_Area" localSheetId="4">'73'!$A$1:$V$81</definedName>
    <definedName name="_xlnm.Print_Area" localSheetId="5">'74'!$A$1:$V$139</definedName>
    <definedName name="_xlnm.Print_Area" localSheetId="6">'75'!$A$1:$V$31</definedName>
    <definedName name="_xlnm.Print_Area" localSheetId="7">'77'!$A$1:$V$130</definedName>
    <definedName name="_xlnm.Print_Area" localSheetId="8">'78'!$A$1:$V$36</definedName>
    <definedName name="_xlnm.Print_Area" localSheetId="9">'80'!$A$1:$V$69</definedName>
    <definedName name="_xlnm.Print_Area" localSheetId="0">RESUMO!$A$1:$T$16</definedName>
    <definedName name="_xlnm.Print_Titles" localSheetId="1">'68'!$6:$7</definedName>
    <definedName name="_xlnm.Print_Titles" localSheetId="2">'70'!$6:$7</definedName>
    <definedName name="_xlnm.Print_Titles" localSheetId="3">'71'!$6:$7</definedName>
    <definedName name="_xlnm.Print_Titles" localSheetId="4">'73'!$6:$7</definedName>
    <definedName name="_xlnm.Print_Titles" localSheetId="5">'74'!$6:$7</definedName>
    <definedName name="_xlnm.Print_Titles" localSheetId="6">'75'!$6:$7</definedName>
    <definedName name="_xlnm.Print_Titles" localSheetId="7">'77'!$6:$7</definedName>
    <definedName name="_xlnm.Print_Titles" localSheetId="8">'78'!$6:$7</definedName>
    <definedName name="_xlnm.Print_Titles" localSheetId="9">'80'!$6:$7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5" i="10" l="1"/>
  <c r="S55" i="10"/>
  <c r="R55" i="10"/>
  <c r="P14" i="1" s="1"/>
  <c r="P55" i="10"/>
  <c r="AI2" i="10" s="1"/>
  <c r="O55" i="10"/>
  <c r="AH2" i="10" s="1"/>
  <c r="M55" i="10"/>
  <c r="L55" i="10"/>
  <c r="J55" i="10"/>
  <c r="H14" i="1" s="1"/>
  <c r="I55" i="10"/>
  <c r="H55" i="10"/>
  <c r="W49" i="10"/>
  <c r="E49" i="10"/>
  <c r="W48" i="10"/>
  <c r="E48" i="10"/>
  <c r="W47" i="10"/>
  <c r="E47" i="10"/>
  <c r="W46" i="10"/>
  <c r="E46" i="10"/>
  <c r="W45" i="10"/>
  <c r="E45" i="10"/>
  <c r="W44" i="10"/>
  <c r="E44" i="10"/>
  <c r="W43" i="10"/>
  <c r="E43" i="10"/>
  <c r="W42" i="10"/>
  <c r="E42" i="10"/>
  <c r="W41" i="10"/>
  <c r="E41" i="10"/>
  <c r="W40" i="10"/>
  <c r="E40" i="10"/>
  <c r="W39" i="10"/>
  <c r="E39" i="10"/>
  <c r="W37" i="10"/>
  <c r="E37" i="10"/>
  <c r="W36" i="10"/>
  <c r="E36" i="10"/>
  <c r="W35" i="10"/>
  <c r="E35" i="10"/>
  <c r="W34" i="10"/>
  <c r="E34" i="10"/>
  <c r="W33" i="10"/>
  <c r="E33" i="10"/>
  <c r="W32" i="10"/>
  <c r="E32" i="10"/>
  <c r="W31" i="10"/>
  <c r="E31" i="10"/>
  <c r="W30" i="10"/>
  <c r="E30" i="10"/>
  <c r="W29" i="10"/>
  <c r="E29" i="10"/>
  <c r="W27" i="10"/>
  <c r="E27" i="10"/>
  <c r="W26" i="10"/>
  <c r="E26" i="10"/>
  <c r="W25" i="10"/>
  <c r="E25" i="10"/>
  <c r="W24" i="10"/>
  <c r="E24" i="10"/>
  <c r="W22" i="10"/>
  <c r="E22" i="10"/>
  <c r="W21" i="10"/>
  <c r="E21" i="10"/>
  <c r="W20" i="10"/>
  <c r="E20" i="10"/>
  <c r="W19" i="10"/>
  <c r="E19" i="10"/>
  <c r="W18" i="10"/>
  <c r="E18" i="10"/>
  <c r="W17" i="10"/>
  <c r="E17" i="10"/>
  <c r="W16" i="10"/>
  <c r="E16" i="10"/>
  <c r="W15" i="10"/>
  <c r="E15" i="10"/>
  <c r="W14" i="10"/>
  <c r="E14" i="10"/>
  <c r="W13" i="10"/>
  <c r="E13" i="10"/>
  <c r="W12" i="10"/>
  <c r="E12" i="10"/>
  <c r="W11" i="10"/>
  <c r="E11" i="10"/>
  <c r="W10" i="10"/>
  <c r="E10" i="10"/>
  <c r="W9" i="10"/>
  <c r="E9" i="10"/>
  <c r="AN2" i="10"/>
  <c r="AK2" i="10"/>
  <c r="AF2" i="10"/>
  <c r="AE2" i="10"/>
  <c r="AB2" i="10"/>
  <c r="AA2" i="10"/>
  <c r="N2" i="10"/>
  <c r="I2" i="10"/>
  <c r="U22" i="9"/>
  <c r="AN2" i="9" s="1"/>
  <c r="T22" i="9"/>
  <c r="R13" i="1" s="1"/>
  <c r="R22" i="9"/>
  <c r="AK2" i="9" s="1"/>
  <c r="P22" i="9"/>
  <c r="N13" i="1" s="1"/>
  <c r="O22" i="9"/>
  <c r="M22" i="9"/>
  <c r="K22" i="9"/>
  <c r="AD2" i="9" s="1"/>
  <c r="J22" i="9"/>
  <c r="I22" i="9"/>
  <c r="AB2" i="9" s="1"/>
  <c r="H22" i="9"/>
  <c r="AA2" i="9" s="1"/>
  <c r="G22" i="9"/>
  <c r="Z2" i="9" s="1"/>
  <c r="W16" i="9"/>
  <c r="E16" i="9"/>
  <c r="W15" i="9"/>
  <c r="E15" i="9"/>
  <c r="W14" i="9"/>
  <c r="E14" i="9"/>
  <c r="W13" i="9"/>
  <c r="E13" i="9"/>
  <c r="W12" i="9"/>
  <c r="E12" i="9"/>
  <c r="W11" i="9"/>
  <c r="E11" i="9"/>
  <c r="W10" i="9"/>
  <c r="E10" i="9"/>
  <c r="W9" i="9"/>
  <c r="E9" i="9"/>
  <c r="AI2" i="9"/>
  <c r="AH2" i="9"/>
  <c r="AC2" i="9"/>
  <c r="N2" i="9"/>
  <c r="I2" i="9"/>
  <c r="S116" i="8"/>
  <c r="AL2" i="8" s="1"/>
  <c r="R116" i="8"/>
  <c r="O116" i="8"/>
  <c r="M12" i="1" s="1"/>
  <c r="L116" i="8"/>
  <c r="J116" i="8"/>
  <c r="AC2" i="8" s="1"/>
  <c r="W110" i="8"/>
  <c r="E110" i="8"/>
  <c r="W108" i="8"/>
  <c r="E108" i="8"/>
  <c r="W106" i="8"/>
  <c r="E106" i="8"/>
  <c r="W105" i="8"/>
  <c r="E105" i="8"/>
  <c r="W104" i="8"/>
  <c r="E104" i="8"/>
  <c r="W103" i="8"/>
  <c r="E103" i="8"/>
  <c r="W102" i="8"/>
  <c r="E102" i="8"/>
  <c r="W101" i="8"/>
  <c r="E101" i="8"/>
  <c r="W100" i="8"/>
  <c r="E100" i="8"/>
  <c r="W99" i="8"/>
  <c r="E99" i="8"/>
  <c r="W98" i="8"/>
  <c r="E98" i="8"/>
  <c r="W97" i="8"/>
  <c r="E97" i="8"/>
  <c r="W96" i="8"/>
  <c r="E96" i="8"/>
  <c r="W95" i="8"/>
  <c r="E95" i="8"/>
  <c r="W94" i="8"/>
  <c r="E94" i="8"/>
  <c r="W93" i="8"/>
  <c r="E93" i="8"/>
  <c r="W92" i="8"/>
  <c r="E92" i="8"/>
  <c r="W91" i="8"/>
  <c r="E91" i="8"/>
  <c r="W90" i="8"/>
  <c r="E90" i="8"/>
  <c r="W89" i="8"/>
  <c r="E89" i="8"/>
  <c r="W88" i="8"/>
  <c r="E88" i="8"/>
  <c r="W87" i="8"/>
  <c r="E87" i="8"/>
  <c r="W86" i="8"/>
  <c r="E86" i="8"/>
  <c r="W85" i="8"/>
  <c r="E85" i="8"/>
  <c r="W84" i="8"/>
  <c r="E84" i="8"/>
  <c r="W83" i="8"/>
  <c r="E83" i="8"/>
  <c r="W82" i="8"/>
  <c r="E82" i="8"/>
  <c r="W80" i="8"/>
  <c r="E80" i="8"/>
  <c r="W79" i="8"/>
  <c r="E79" i="8"/>
  <c r="W78" i="8"/>
  <c r="E78" i="8"/>
  <c r="W77" i="8"/>
  <c r="E77" i="8"/>
  <c r="W76" i="8"/>
  <c r="E76" i="8"/>
  <c r="W75" i="8"/>
  <c r="E75" i="8"/>
  <c r="W74" i="8"/>
  <c r="E74" i="8"/>
  <c r="W73" i="8"/>
  <c r="E73" i="8"/>
  <c r="W72" i="8"/>
  <c r="E72" i="8"/>
  <c r="W71" i="8"/>
  <c r="E71" i="8"/>
  <c r="W70" i="8"/>
  <c r="E70" i="8"/>
  <c r="W69" i="8"/>
  <c r="E69" i="8"/>
  <c r="W68" i="8"/>
  <c r="E68" i="8"/>
  <c r="W67" i="8"/>
  <c r="E67" i="8"/>
  <c r="W66" i="8"/>
  <c r="E66" i="8"/>
  <c r="W65" i="8"/>
  <c r="E65" i="8"/>
  <c r="W64" i="8"/>
  <c r="E64" i="8"/>
  <c r="W63" i="8"/>
  <c r="E63" i="8"/>
  <c r="W61" i="8"/>
  <c r="E61" i="8"/>
  <c r="W60" i="8"/>
  <c r="E60" i="8"/>
  <c r="W59" i="8"/>
  <c r="E59" i="8"/>
  <c r="W58" i="8"/>
  <c r="E58" i="8"/>
  <c r="W57" i="8"/>
  <c r="E57" i="8"/>
  <c r="W56" i="8"/>
  <c r="E56" i="8"/>
  <c r="W55" i="8"/>
  <c r="E55" i="8"/>
  <c r="W54" i="8"/>
  <c r="E54" i="8"/>
  <c r="W53" i="8"/>
  <c r="E53" i="8"/>
  <c r="W52" i="8"/>
  <c r="E52" i="8"/>
  <c r="W51" i="8"/>
  <c r="E51" i="8"/>
  <c r="W50" i="8"/>
  <c r="E50" i="8"/>
  <c r="W49" i="8"/>
  <c r="E49" i="8"/>
  <c r="W48" i="8"/>
  <c r="E48" i="8"/>
  <c r="W47" i="8"/>
  <c r="E47" i="8"/>
  <c r="W46" i="8"/>
  <c r="E46" i="8"/>
  <c r="W45" i="8"/>
  <c r="E45" i="8"/>
  <c r="W44" i="8"/>
  <c r="E44" i="8"/>
  <c r="W43" i="8"/>
  <c r="E43" i="8"/>
  <c r="W42" i="8"/>
  <c r="E42" i="8"/>
  <c r="W41" i="8"/>
  <c r="E41" i="8"/>
  <c r="W40" i="8"/>
  <c r="E40" i="8"/>
  <c r="W39" i="8"/>
  <c r="E39" i="8"/>
  <c r="W38" i="8"/>
  <c r="E38" i="8"/>
  <c r="W37" i="8"/>
  <c r="E37" i="8"/>
  <c r="W36" i="8"/>
  <c r="E36" i="8"/>
  <c r="W35" i="8"/>
  <c r="E35" i="8"/>
  <c r="W34" i="8"/>
  <c r="E34" i="8"/>
  <c r="W33" i="8"/>
  <c r="E33" i="8"/>
  <c r="W32" i="8"/>
  <c r="E32" i="8"/>
  <c r="W31" i="8"/>
  <c r="E31" i="8"/>
  <c r="W30" i="8"/>
  <c r="E30" i="8"/>
  <c r="W29" i="8"/>
  <c r="E29" i="8"/>
  <c r="W28" i="8"/>
  <c r="E28" i="8"/>
  <c r="W27" i="8"/>
  <c r="E27" i="8"/>
  <c r="W26" i="8"/>
  <c r="E26" i="8"/>
  <c r="W25" i="8"/>
  <c r="E25" i="8"/>
  <c r="W24" i="8"/>
  <c r="E24" i="8"/>
  <c r="W22" i="8"/>
  <c r="E22" i="8"/>
  <c r="W21" i="8"/>
  <c r="E21" i="8"/>
  <c r="W20" i="8"/>
  <c r="E20" i="8"/>
  <c r="W19" i="8"/>
  <c r="E19" i="8"/>
  <c r="W18" i="8"/>
  <c r="E18" i="8"/>
  <c r="W17" i="8"/>
  <c r="E17" i="8"/>
  <c r="W16" i="8"/>
  <c r="E16" i="8"/>
  <c r="W15" i="8"/>
  <c r="E15" i="8"/>
  <c r="W14" i="8"/>
  <c r="E14" i="8"/>
  <c r="W13" i="8"/>
  <c r="E13" i="8"/>
  <c r="W12" i="8"/>
  <c r="E12" i="8"/>
  <c r="W10" i="8"/>
  <c r="E10" i="8"/>
  <c r="W9" i="8"/>
  <c r="E9" i="8"/>
  <c r="M116" i="8" s="1"/>
  <c r="AK2" i="8"/>
  <c r="AE2" i="8"/>
  <c r="N2" i="8"/>
  <c r="I2" i="8"/>
  <c r="T17" i="7"/>
  <c r="P17" i="7"/>
  <c r="AI2" i="7" s="1"/>
  <c r="O17" i="7"/>
  <c r="AH2" i="7" s="1"/>
  <c r="J17" i="7"/>
  <c r="AC2" i="7" s="1"/>
  <c r="I17" i="7"/>
  <c r="G11" i="1" s="1"/>
  <c r="H17" i="7"/>
  <c r="AA2" i="7" s="1"/>
  <c r="F17" i="7"/>
  <c r="Y2" i="7" s="1"/>
  <c r="W11" i="7"/>
  <c r="E11" i="7"/>
  <c r="W10" i="7"/>
  <c r="E10" i="7"/>
  <c r="K17" i="7" s="1"/>
  <c r="AD2" i="7" s="1"/>
  <c r="W9" i="7"/>
  <c r="E9" i="7"/>
  <c r="M17" i="7" s="1"/>
  <c r="AF2" i="7" s="1"/>
  <c r="N2" i="7"/>
  <c r="I2" i="7"/>
  <c r="U125" i="6"/>
  <c r="S125" i="6"/>
  <c r="R125" i="6"/>
  <c r="AK2" i="6" s="1"/>
  <c r="Q125" i="6"/>
  <c r="AJ2" i="6" s="1"/>
  <c r="O125" i="6"/>
  <c r="M10" i="1" s="1"/>
  <c r="M125" i="6"/>
  <c r="AF2" i="6" s="1"/>
  <c r="W119" i="6"/>
  <c r="E119" i="6"/>
  <c r="W118" i="6"/>
  <c r="E118" i="6"/>
  <c r="W117" i="6"/>
  <c r="E117" i="6"/>
  <c r="W116" i="6"/>
  <c r="E116" i="6"/>
  <c r="W115" i="6"/>
  <c r="E115" i="6"/>
  <c r="W114" i="6"/>
  <c r="E114" i="6"/>
  <c r="W113" i="6"/>
  <c r="E113" i="6"/>
  <c r="W112" i="6"/>
  <c r="E112" i="6"/>
  <c r="W111" i="6"/>
  <c r="E111" i="6"/>
  <c r="W110" i="6"/>
  <c r="E110" i="6"/>
  <c r="W109" i="6"/>
  <c r="E109" i="6"/>
  <c r="W108" i="6"/>
  <c r="E108" i="6"/>
  <c r="W107" i="6"/>
  <c r="E107" i="6"/>
  <c r="W106" i="6"/>
  <c r="E106" i="6"/>
  <c r="W105" i="6"/>
  <c r="E105" i="6"/>
  <c r="W104" i="6"/>
  <c r="E104" i="6"/>
  <c r="W103" i="6"/>
  <c r="E103" i="6"/>
  <c r="W102" i="6"/>
  <c r="E102" i="6"/>
  <c r="W101" i="6"/>
  <c r="E101" i="6"/>
  <c r="W100" i="6"/>
  <c r="E100" i="6"/>
  <c r="W99" i="6"/>
  <c r="E99" i="6"/>
  <c r="W98" i="6"/>
  <c r="E98" i="6"/>
  <c r="W97" i="6"/>
  <c r="E97" i="6"/>
  <c r="W96" i="6"/>
  <c r="E96" i="6"/>
  <c r="W95" i="6"/>
  <c r="E95" i="6"/>
  <c r="W94" i="6"/>
  <c r="E94" i="6"/>
  <c r="W93" i="6"/>
  <c r="E93" i="6"/>
  <c r="W90" i="6"/>
  <c r="E90" i="6"/>
  <c r="W89" i="6"/>
  <c r="E89" i="6"/>
  <c r="W88" i="6"/>
  <c r="E88" i="6"/>
  <c r="W87" i="6"/>
  <c r="E87" i="6"/>
  <c r="W86" i="6"/>
  <c r="E86" i="6"/>
  <c r="W85" i="6"/>
  <c r="E85" i="6"/>
  <c r="W84" i="6"/>
  <c r="E84" i="6"/>
  <c r="W83" i="6"/>
  <c r="E83" i="6"/>
  <c r="W82" i="6"/>
  <c r="E82" i="6"/>
  <c r="W81" i="6"/>
  <c r="E81" i="6"/>
  <c r="W80" i="6"/>
  <c r="E80" i="6"/>
  <c r="W79" i="6"/>
  <c r="E79" i="6"/>
  <c r="W78" i="6"/>
  <c r="E78" i="6"/>
  <c r="W77" i="6"/>
  <c r="E77" i="6"/>
  <c r="W76" i="6"/>
  <c r="E76" i="6"/>
  <c r="W75" i="6"/>
  <c r="E75" i="6"/>
  <c r="W74" i="6"/>
  <c r="E74" i="6"/>
  <c r="W72" i="6"/>
  <c r="E72" i="6"/>
  <c r="W71" i="6"/>
  <c r="E71" i="6"/>
  <c r="W70" i="6"/>
  <c r="E70" i="6"/>
  <c r="W69" i="6"/>
  <c r="E69" i="6"/>
  <c r="W68" i="6"/>
  <c r="E68" i="6"/>
  <c r="W67" i="6"/>
  <c r="E67" i="6"/>
  <c r="W66" i="6"/>
  <c r="E66" i="6"/>
  <c r="W65" i="6"/>
  <c r="E65" i="6"/>
  <c r="W64" i="6"/>
  <c r="E64" i="6"/>
  <c r="W61" i="6"/>
  <c r="E61" i="6"/>
  <c r="W60" i="6"/>
  <c r="E60" i="6"/>
  <c r="W59" i="6"/>
  <c r="E59" i="6"/>
  <c r="W58" i="6"/>
  <c r="E58" i="6"/>
  <c r="W57" i="6"/>
  <c r="E57" i="6"/>
  <c r="W56" i="6"/>
  <c r="E56" i="6"/>
  <c r="W55" i="6"/>
  <c r="E55" i="6"/>
  <c r="W54" i="6"/>
  <c r="E54" i="6"/>
  <c r="W53" i="6"/>
  <c r="E53" i="6"/>
  <c r="W52" i="6"/>
  <c r="E52" i="6"/>
  <c r="W51" i="6"/>
  <c r="E51" i="6"/>
  <c r="W50" i="6"/>
  <c r="E50" i="6"/>
  <c r="W49" i="6"/>
  <c r="E49" i="6"/>
  <c r="W48" i="6"/>
  <c r="E48" i="6"/>
  <c r="W47" i="6"/>
  <c r="E47" i="6"/>
  <c r="W46" i="6"/>
  <c r="E46" i="6"/>
  <c r="W45" i="6"/>
  <c r="E45" i="6"/>
  <c r="W44" i="6"/>
  <c r="E44" i="6"/>
  <c r="W43" i="6"/>
  <c r="E43" i="6"/>
  <c r="W42" i="6"/>
  <c r="E42" i="6"/>
  <c r="W41" i="6"/>
  <c r="E41" i="6"/>
  <c r="W39" i="6"/>
  <c r="E39" i="6"/>
  <c r="W38" i="6"/>
  <c r="E38" i="6"/>
  <c r="W37" i="6"/>
  <c r="E37" i="6"/>
  <c r="W36" i="6"/>
  <c r="E36" i="6"/>
  <c r="W35" i="6"/>
  <c r="E35" i="6"/>
  <c r="W34" i="6"/>
  <c r="E34" i="6"/>
  <c r="W33" i="6"/>
  <c r="E33" i="6"/>
  <c r="W32" i="6"/>
  <c r="E32" i="6"/>
  <c r="W31" i="6"/>
  <c r="E31" i="6"/>
  <c r="W30" i="6"/>
  <c r="E30" i="6"/>
  <c r="W29" i="6"/>
  <c r="E29" i="6"/>
  <c r="W28" i="6"/>
  <c r="E28" i="6"/>
  <c r="W27" i="6"/>
  <c r="E27" i="6"/>
  <c r="W26" i="6"/>
  <c r="E26" i="6"/>
  <c r="W25" i="6"/>
  <c r="E25" i="6"/>
  <c r="W24" i="6"/>
  <c r="E24" i="6"/>
  <c r="G125" i="6" s="1"/>
  <c r="W23" i="6"/>
  <c r="E23" i="6"/>
  <c r="W22" i="6"/>
  <c r="E22" i="6"/>
  <c r="W21" i="6"/>
  <c r="E21" i="6"/>
  <c r="W20" i="6"/>
  <c r="E20" i="6"/>
  <c r="W19" i="6"/>
  <c r="E19" i="6"/>
  <c r="W18" i="6"/>
  <c r="E18" i="6"/>
  <c r="W16" i="6"/>
  <c r="E16" i="6"/>
  <c r="W15" i="6"/>
  <c r="E15" i="6"/>
  <c r="W14" i="6"/>
  <c r="E14" i="6"/>
  <c r="W13" i="6"/>
  <c r="E13" i="6"/>
  <c r="W12" i="6"/>
  <c r="E12" i="6"/>
  <c r="W11" i="6"/>
  <c r="E11" i="6"/>
  <c r="W10" i="6"/>
  <c r="E10" i="6"/>
  <c r="W9" i="6"/>
  <c r="E9" i="6"/>
  <c r="T125" i="6" s="1"/>
  <c r="AM2" i="6" s="1"/>
  <c r="AN2" i="6"/>
  <c r="AL2" i="6"/>
  <c r="AH2" i="6"/>
  <c r="N2" i="6"/>
  <c r="I2" i="6"/>
  <c r="U67" i="5"/>
  <c r="S9" i="1" s="1"/>
  <c r="Q67" i="5"/>
  <c r="AJ2" i="5" s="1"/>
  <c r="O67" i="5"/>
  <c r="M9" i="1" s="1"/>
  <c r="H67" i="5"/>
  <c r="F9" i="1" s="1"/>
  <c r="G67" i="5"/>
  <c r="Z2" i="5" s="1"/>
  <c r="W61" i="5"/>
  <c r="E61" i="5"/>
  <c r="W60" i="5"/>
  <c r="E60" i="5"/>
  <c r="W59" i="5"/>
  <c r="E59" i="5"/>
  <c r="W58" i="5"/>
  <c r="E58" i="5"/>
  <c r="W57" i="5"/>
  <c r="E57" i="5"/>
  <c r="W56" i="5"/>
  <c r="E56" i="5"/>
  <c r="W55" i="5"/>
  <c r="E55" i="5"/>
  <c r="W54" i="5"/>
  <c r="E54" i="5"/>
  <c r="W53" i="5"/>
  <c r="E53" i="5"/>
  <c r="W52" i="5"/>
  <c r="E52" i="5"/>
  <c r="W51" i="5"/>
  <c r="E51" i="5"/>
  <c r="W50" i="5"/>
  <c r="E50" i="5"/>
  <c r="W49" i="5"/>
  <c r="E49" i="5"/>
  <c r="W48" i="5"/>
  <c r="E48" i="5"/>
  <c r="W47" i="5"/>
  <c r="E47" i="5"/>
  <c r="W46" i="5"/>
  <c r="E46" i="5"/>
  <c r="W45" i="5"/>
  <c r="E45" i="5"/>
  <c r="W44" i="5"/>
  <c r="E44" i="5"/>
  <c r="M67" i="5" s="1"/>
  <c r="AF2" i="5" s="1"/>
  <c r="W43" i="5"/>
  <c r="E43" i="5"/>
  <c r="W42" i="5"/>
  <c r="E42" i="5"/>
  <c r="W41" i="5"/>
  <c r="E41" i="5"/>
  <c r="W39" i="5"/>
  <c r="E39" i="5"/>
  <c r="W38" i="5"/>
  <c r="E38" i="5"/>
  <c r="W37" i="5"/>
  <c r="E37" i="5"/>
  <c r="W36" i="5"/>
  <c r="E36" i="5"/>
  <c r="I67" i="5" s="1"/>
  <c r="G9" i="1" s="1"/>
  <c r="W34" i="5"/>
  <c r="E34" i="5"/>
  <c r="W33" i="5"/>
  <c r="E33" i="5"/>
  <c r="W32" i="5"/>
  <c r="E32" i="5"/>
  <c r="W31" i="5"/>
  <c r="E31" i="5"/>
  <c r="W30" i="5"/>
  <c r="E30" i="5"/>
  <c r="W29" i="5"/>
  <c r="E29" i="5"/>
  <c r="W28" i="5"/>
  <c r="E28" i="5"/>
  <c r="W27" i="5"/>
  <c r="E27" i="5"/>
  <c r="W26" i="5"/>
  <c r="E26" i="5"/>
  <c r="W25" i="5"/>
  <c r="E25" i="5"/>
  <c r="W24" i="5"/>
  <c r="E24" i="5"/>
  <c r="W23" i="5"/>
  <c r="E23" i="5"/>
  <c r="W22" i="5"/>
  <c r="E22" i="5"/>
  <c r="W21" i="5"/>
  <c r="E21" i="5"/>
  <c r="W20" i="5"/>
  <c r="E20" i="5"/>
  <c r="W19" i="5"/>
  <c r="E19" i="5"/>
  <c r="W18" i="5"/>
  <c r="E18" i="5"/>
  <c r="W17" i="5"/>
  <c r="E17" i="5"/>
  <c r="W16" i="5"/>
  <c r="E16" i="5"/>
  <c r="W15" i="5"/>
  <c r="E15" i="5"/>
  <c r="W14" i="5"/>
  <c r="E14" i="5"/>
  <c r="W13" i="5"/>
  <c r="E13" i="5"/>
  <c r="W12" i="5"/>
  <c r="E12" i="5"/>
  <c r="W11" i="5"/>
  <c r="E11" i="5"/>
  <c r="W10" i="5"/>
  <c r="E10" i="5"/>
  <c r="W9" i="5"/>
  <c r="E9" i="5"/>
  <c r="N67" i="5" s="1"/>
  <c r="AG2" i="5" s="1"/>
  <c r="AN2" i="5"/>
  <c r="AA2" i="5"/>
  <c r="N2" i="5"/>
  <c r="I2" i="5"/>
  <c r="S22" i="4"/>
  <c r="AL2" i="4" s="1"/>
  <c r="P22" i="4"/>
  <c r="AI2" i="4" s="1"/>
  <c r="O22" i="4"/>
  <c r="AH2" i="4" s="1"/>
  <c r="K22" i="4"/>
  <c r="AD2" i="4" s="1"/>
  <c r="J22" i="4"/>
  <c r="I22" i="4"/>
  <c r="H22" i="4"/>
  <c r="F8" i="1" s="1"/>
  <c r="G22" i="4"/>
  <c r="Z2" i="4" s="1"/>
  <c r="W16" i="4"/>
  <c r="E16" i="4"/>
  <c r="W15" i="4"/>
  <c r="E15" i="4"/>
  <c r="W14" i="4"/>
  <c r="E14" i="4"/>
  <c r="W11" i="4"/>
  <c r="E11" i="4"/>
  <c r="W10" i="4"/>
  <c r="E10" i="4"/>
  <c r="W9" i="4"/>
  <c r="E9" i="4"/>
  <c r="AB2" i="4"/>
  <c r="AA2" i="4"/>
  <c r="N2" i="4"/>
  <c r="I2" i="4"/>
  <c r="U69" i="3"/>
  <c r="AN2" i="3" s="1"/>
  <c r="T69" i="3"/>
  <c r="AM2" i="3" s="1"/>
  <c r="R69" i="3"/>
  <c r="Q69" i="3"/>
  <c r="O7" i="1" s="1"/>
  <c r="O69" i="3"/>
  <c r="AH2" i="3" s="1"/>
  <c r="H69" i="3"/>
  <c r="G69" i="3"/>
  <c r="Z2" i="3" s="1"/>
  <c r="W63" i="3"/>
  <c r="E63" i="3"/>
  <c r="W62" i="3"/>
  <c r="E62" i="3"/>
  <c r="W61" i="3"/>
  <c r="E61" i="3"/>
  <c r="M69" i="3" s="1"/>
  <c r="K7" i="1" s="1"/>
  <c r="W60" i="3"/>
  <c r="E60" i="3"/>
  <c r="W59" i="3"/>
  <c r="E59" i="3"/>
  <c r="W58" i="3"/>
  <c r="E58" i="3"/>
  <c r="W57" i="3"/>
  <c r="E57" i="3"/>
  <c r="W56" i="3"/>
  <c r="E56" i="3"/>
  <c r="W55" i="3"/>
  <c r="E55" i="3"/>
  <c r="W54" i="3"/>
  <c r="E54" i="3"/>
  <c r="W53" i="3"/>
  <c r="E53" i="3"/>
  <c r="W52" i="3"/>
  <c r="E52" i="3"/>
  <c r="W51" i="3"/>
  <c r="E51" i="3"/>
  <c r="W50" i="3"/>
  <c r="E50" i="3"/>
  <c r="W49" i="3"/>
  <c r="E49" i="3"/>
  <c r="W48" i="3"/>
  <c r="E48" i="3"/>
  <c r="W47" i="3"/>
  <c r="E47" i="3"/>
  <c r="W46" i="3"/>
  <c r="E46" i="3"/>
  <c r="W45" i="3"/>
  <c r="E45" i="3"/>
  <c r="W44" i="3"/>
  <c r="E44" i="3"/>
  <c r="W43" i="3"/>
  <c r="E43" i="3"/>
  <c r="W42" i="3"/>
  <c r="E42" i="3"/>
  <c r="W41" i="3"/>
  <c r="E41" i="3"/>
  <c r="W40" i="3"/>
  <c r="E40" i="3"/>
  <c r="W39" i="3"/>
  <c r="E39" i="3"/>
  <c r="W38" i="3"/>
  <c r="E38" i="3"/>
  <c r="W37" i="3"/>
  <c r="E37" i="3"/>
  <c r="W36" i="3"/>
  <c r="E36" i="3"/>
  <c r="W35" i="3"/>
  <c r="E35" i="3"/>
  <c r="W34" i="3"/>
  <c r="E34" i="3"/>
  <c r="W33" i="3"/>
  <c r="E33" i="3"/>
  <c r="W32" i="3"/>
  <c r="E32" i="3"/>
  <c r="W31" i="3"/>
  <c r="E31" i="3"/>
  <c r="W30" i="3"/>
  <c r="E30" i="3"/>
  <c r="W29" i="3"/>
  <c r="E29" i="3"/>
  <c r="W28" i="3"/>
  <c r="E28" i="3"/>
  <c r="W27" i="3"/>
  <c r="E27" i="3"/>
  <c r="W26" i="3"/>
  <c r="E26" i="3"/>
  <c r="W25" i="3"/>
  <c r="E25" i="3"/>
  <c r="W24" i="3"/>
  <c r="E24" i="3"/>
  <c r="W23" i="3"/>
  <c r="E23" i="3"/>
  <c r="I69" i="3" s="1"/>
  <c r="W22" i="3"/>
  <c r="E22" i="3"/>
  <c r="W21" i="3"/>
  <c r="E21" i="3"/>
  <c r="W20" i="3"/>
  <c r="E20" i="3"/>
  <c r="W19" i="3"/>
  <c r="E19" i="3"/>
  <c r="W18" i="3"/>
  <c r="E18" i="3"/>
  <c r="W17" i="3"/>
  <c r="E17" i="3"/>
  <c r="W16" i="3"/>
  <c r="E16" i="3"/>
  <c r="W15" i="3"/>
  <c r="E15" i="3"/>
  <c r="J69" i="3" s="1"/>
  <c r="AC2" i="3" s="1"/>
  <c r="W14" i="3"/>
  <c r="E14" i="3"/>
  <c r="W13" i="3"/>
  <c r="E13" i="3"/>
  <c r="W12" i="3"/>
  <c r="E12" i="3"/>
  <c r="W11" i="3"/>
  <c r="E11" i="3"/>
  <c r="W10" i="3"/>
  <c r="E10" i="3"/>
  <c r="W9" i="3"/>
  <c r="E9" i="3"/>
  <c r="P69" i="3" s="1"/>
  <c r="AI2" i="3" s="1"/>
  <c r="AK2" i="3"/>
  <c r="AJ2" i="3"/>
  <c r="AA2" i="3"/>
  <c r="N2" i="3"/>
  <c r="I2" i="3"/>
  <c r="U92" i="2"/>
  <c r="S92" i="2"/>
  <c r="R92" i="2"/>
  <c r="Q92" i="2"/>
  <c r="O6" i="1" s="1"/>
  <c r="O92" i="2"/>
  <c r="AH2" i="2" s="1"/>
  <c r="M92" i="2"/>
  <c r="AF2" i="2" s="1"/>
  <c r="K92" i="2"/>
  <c r="AD2" i="2" s="1"/>
  <c r="J92" i="2"/>
  <c r="H6" i="1" s="1"/>
  <c r="H92" i="2"/>
  <c r="F6" i="1" s="1"/>
  <c r="G92" i="2"/>
  <c r="Z2" i="2" s="1"/>
  <c r="W86" i="2"/>
  <c r="E86" i="2"/>
  <c r="W85" i="2"/>
  <c r="E85" i="2"/>
  <c r="W84" i="2"/>
  <c r="E84" i="2"/>
  <c r="W83" i="2"/>
  <c r="E83" i="2"/>
  <c r="W82" i="2"/>
  <c r="E82" i="2"/>
  <c r="W81" i="2"/>
  <c r="E81" i="2"/>
  <c r="W80" i="2"/>
  <c r="E80" i="2"/>
  <c r="W79" i="2"/>
  <c r="E79" i="2"/>
  <c r="W78" i="2"/>
  <c r="E78" i="2"/>
  <c r="W77" i="2"/>
  <c r="E77" i="2"/>
  <c r="W76" i="2"/>
  <c r="E76" i="2"/>
  <c r="W75" i="2"/>
  <c r="E75" i="2"/>
  <c r="W74" i="2"/>
  <c r="E74" i="2"/>
  <c r="W73" i="2"/>
  <c r="E73" i="2"/>
  <c r="W72" i="2"/>
  <c r="E72" i="2"/>
  <c r="W70" i="2"/>
  <c r="E70" i="2"/>
  <c r="W69" i="2"/>
  <c r="E69" i="2"/>
  <c r="W68" i="2"/>
  <c r="E68" i="2"/>
  <c r="W67" i="2"/>
  <c r="E67" i="2"/>
  <c r="W66" i="2"/>
  <c r="E66" i="2"/>
  <c r="W65" i="2"/>
  <c r="E65" i="2"/>
  <c r="W64" i="2"/>
  <c r="E64" i="2"/>
  <c r="W63" i="2"/>
  <c r="E63" i="2"/>
  <c r="W62" i="2"/>
  <c r="E62" i="2"/>
  <c r="W61" i="2"/>
  <c r="E61" i="2"/>
  <c r="W60" i="2"/>
  <c r="E60" i="2"/>
  <c r="W59" i="2"/>
  <c r="E59" i="2"/>
  <c r="W58" i="2"/>
  <c r="E58" i="2"/>
  <c r="W57" i="2"/>
  <c r="E57" i="2"/>
  <c r="W56" i="2"/>
  <c r="E56" i="2"/>
  <c r="W55" i="2"/>
  <c r="E55" i="2"/>
  <c r="W54" i="2"/>
  <c r="E54" i="2"/>
  <c r="W53" i="2"/>
  <c r="E53" i="2"/>
  <c r="W52" i="2"/>
  <c r="E52" i="2"/>
  <c r="W51" i="2"/>
  <c r="E51" i="2"/>
  <c r="W50" i="2"/>
  <c r="E50" i="2"/>
  <c r="W49" i="2"/>
  <c r="E49" i="2"/>
  <c r="W48" i="2"/>
  <c r="E48" i="2"/>
  <c r="W47" i="2"/>
  <c r="E47" i="2"/>
  <c r="W46" i="2"/>
  <c r="E46" i="2"/>
  <c r="W45" i="2"/>
  <c r="E45" i="2"/>
  <c r="W43" i="2"/>
  <c r="E43" i="2"/>
  <c r="W42" i="2"/>
  <c r="E42" i="2"/>
  <c r="W41" i="2"/>
  <c r="E41" i="2"/>
  <c r="W40" i="2"/>
  <c r="E40" i="2"/>
  <c r="W39" i="2"/>
  <c r="E39" i="2"/>
  <c r="W38" i="2"/>
  <c r="E38" i="2"/>
  <c r="W37" i="2"/>
  <c r="E37" i="2"/>
  <c r="W36" i="2"/>
  <c r="E36" i="2"/>
  <c r="W35" i="2"/>
  <c r="E35" i="2"/>
  <c r="W34" i="2"/>
  <c r="E34" i="2"/>
  <c r="W33" i="2"/>
  <c r="E33" i="2"/>
  <c r="W32" i="2"/>
  <c r="E32" i="2"/>
  <c r="W30" i="2"/>
  <c r="E30" i="2"/>
  <c r="W29" i="2"/>
  <c r="E29" i="2"/>
  <c r="W28" i="2"/>
  <c r="E28" i="2"/>
  <c r="W27" i="2"/>
  <c r="E27" i="2"/>
  <c r="W26" i="2"/>
  <c r="E26" i="2"/>
  <c r="W25" i="2"/>
  <c r="E25" i="2"/>
  <c r="W24" i="2"/>
  <c r="E24" i="2"/>
  <c r="W23" i="2"/>
  <c r="E23" i="2"/>
  <c r="W22" i="2"/>
  <c r="E22" i="2"/>
  <c r="W21" i="2"/>
  <c r="E21" i="2"/>
  <c r="W19" i="2"/>
  <c r="E19" i="2"/>
  <c r="W18" i="2"/>
  <c r="E18" i="2"/>
  <c r="W17" i="2"/>
  <c r="E17" i="2"/>
  <c r="W16" i="2"/>
  <c r="E16" i="2"/>
  <c r="W15" i="2"/>
  <c r="E15" i="2"/>
  <c r="W14" i="2"/>
  <c r="E14" i="2"/>
  <c r="W13" i="2"/>
  <c r="E13" i="2"/>
  <c r="W12" i="2"/>
  <c r="E12" i="2"/>
  <c r="W11" i="2"/>
  <c r="E11" i="2"/>
  <c r="W10" i="2"/>
  <c r="E10" i="2"/>
  <c r="N92" i="2" s="1"/>
  <c r="W9" i="2"/>
  <c r="E9" i="2"/>
  <c r="AN2" i="2"/>
  <c r="AJ2" i="2"/>
  <c r="AA2" i="2"/>
  <c r="S14" i="1"/>
  <c r="Q14" i="1"/>
  <c r="M14" i="1"/>
  <c r="K14" i="1"/>
  <c r="J14" i="1"/>
  <c r="G14" i="1"/>
  <c r="F14" i="1"/>
  <c r="S13" i="1"/>
  <c r="M13" i="1"/>
  <c r="I13" i="1"/>
  <c r="H13" i="1"/>
  <c r="G13" i="1"/>
  <c r="F13" i="1"/>
  <c r="E13" i="1"/>
  <c r="P12" i="1"/>
  <c r="J12" i="1"/>
  <c r="N11" i="1"/>
  <c r="M11" i="1"/>
  <c r="F11" i="1"/>
  <c r="S10" i="1"/>
  <c r="Q10" i="1"/>
  <c r="P10" i="1"/>
  <c r="O10" i="1"/>
  <c r="O9" i="1"/>
  <c r="E9" i="1"/>
  <c r="Q8" i="1"/>
  <c r="N8" i="1"/>
  <c r="M8" i="1"/>
  <c r="I8" i="1"/>
  <c r="G8" i="1"/>
  <c r="S7" i="1"/>
  <c r="P7" i="1"/>
  <c r="F7" i="1"/>
  <c r="E7" i="1"/>
  <c r="S6" i="1"/>
  <c r="M6" i="1"/>
  <c r="K6" i="1"/>
  <c r="I6" i="1"/>
  <c r="Z2" i="6" l="1"/>
  <c r="E10" i="1"/>
  <c r="AF2" i="8"/>
  <c r="K12" i="1"/>
  <c r="K69" i="3"/>
  <c r="K67" i="5"/>
  <c r="I9" i="1" s="1"/>
  <c r="AB2" i="7"/>
  <c r="G116" i="8"/>
  <c r="E12" i="1" s="1"/>
  <c r="Q116" i="8"/>
  <c r="O12" i="1" s="1"/>
  <c r="AC2" i="10"/>
  <c r="H7" i="1"/>
  <c r="N14" i="1"/>
  <c r="AH2" i="5"/>
  <c r="R67" i="5"/>
  <c r="S67" i="5"/>
  <c r="Q9" i="1" s="1"/>
  <c r="J67" i="5"/>
  <c r="AC2" i="5" s="1"/>
  <c r="H125" i="6"/>
  <c r="AA2" i="6" s="1"/>
  <c r="I125" i="6"/>
  <c r="D11" i="1"/>
  <c r="I92" i="2"/>
  <c r="AB2" i="2" s="1"/>
  <c r="U22" i="4"/>
  <c r="AN2" i="4" s="1"/>
  <c r="R119" i="8"/>
  <c r="H117" i="8" s="1"/>
  <c r="AH2" i="8"/>
  <c r="AJ2" i="8"/>
  <c r="K9" i="1"/>
  <c r="AB2" i="5"/>
  <c r="AF2" i="3"/>
  <c r="E6" i="1"/>
  <c r="AB2" i="6"/>
  <c r="G10" i="1"/>
  <c r="G7" i="1"/>
  <c r="AB2" i="3"/>
  <c r="K10" i="1"/>
  <c r="H11" i="1"/>
  <c r="P13" i="1"/>
  <c r="AC2" i="2"/>
  <c r="R72" i="3"/>
  <c r="R70" i="3" s="1"/>
  <c r="V25" i="9"/>
  <c r="E8" i="1"/>
  <c r="L9" i="1"/>
  <c r="L69" i="3"/>
  <c r="J7" i="1" s="1"/>
  <c r="I11" i="1"/>
  <c r="Q12" i="1"/>
  <c r="S69" i="3"/>
  <c r="AL2" i="3" s="1"/>
  <c r="P125" i="6"/>
  <c r="P127" i="6" s="1"/>
  <c r="H116" i="8"/>
  <c r="AA2" i="8" s="1"/>
  <c r="I116" i="8"/>
  <c r="G12" i="1" s="1"/>
  <c r="F55" i="10"/>
  <c r="D14" i="1" s="1"/>
  <c r="U17" i="7"/>
  <c r="AM2" i="9"/>
  <c r="L6" i="1"/>
  <c r="AG2" i="2"/>
  <c r="Z2" i="8"/>
  <c r="AL2" i="2"/>
  <c r="J70" i="3"/>
  <c r="Q70" i="3"/>
  <c r="G70" i="3"/>
  <c r="M70" i="3"/>
  <c r="K70" i="3"/>
  <c r="H70" i="3"/>
  <c r="AM2" i="7"/>
  <c r="R11" i="1"/>
  <c r="L117" i="8"/>
  <c r="R117" i="8"/>
  <c r="M117" i="8"/>
  <c r="G117" i="8"/>
  <c r="Q117" i="8"/>
  <c r="J117" i="8"/>
  <c r="C12" i="1"/>
  <c r="S8" i="1"/>
  <c r="N10" i="1"/>
  <c r="R10" i="1"/>
  <c r="AD2" i="5"/>
  <c r="AI2" i="6"/>
  <c r="R128" i="6"/>
  <c r="S127" i="6" s="1"/>
  <c r="L125" i="6"/>
  <c r="K125" i="6"/>
  <c r="N17" i="7"/>
  <c r="R20" i="7"/>
  <c r="G17" i="7"/>
  <c r="Q17" i="7"/>
  <c r="L17" i="7"/>
  <c r="P116" i="8"/>
  <c r="P117" i="8" s="1"/>
  <c r="U116" i="8"/>
  <c r="K116" i="8"/>
  <c r="K117" i="8" s="1"/>
  <c r="N116" i="8"/>
  <c r="M118" i="8" s="1"/>
  <c r="F116" i="8"/>
  <c r="F117" i="8" s="1"/>
  <c r="O117" i="8"/>
  <c r="C7" i="1"/>
  <c r="K11" i="1"/>
  <c r="O70" i="3"/>
  <c r="AL2" i="5"/>
  <c r="V128" i="6"/>
  <c r="V20" i="7"/>
  <c r="V119" i="8"/>
  <c r="Q6" i="1"/>
  <c r="M7" i="1"/>
  <c r="M15" i="1" s="1"/>
  <c r="AE2" i="1" s="1"/>
  <c r="F10" i="1"/>
  <c r="K13" i="1"/>
  <c r="P6" i="1"/>
  <c r="AK2" i="2"/>
  <c r="P70" i="3"/>
  <c r="L22" i="4"/>
  <c r="K24" i="4" s="1"/>
  <c r="R25" i="4"/>
  <c r="N22" i="4"/>
  <c r="R22" i="4"/>
  <c r="Q22" i="4"/>
  <c r="M22" i="4"/>
  <c r="F22" i="4"/>
  <c r="AC2" i="4"/>
  <c r="H8" i="1"/>
  <c r="S17" i="7"/>
  <c r="AF2" i="9"/>
  <c r="S22" i="9"/>
  <c r="Q22" i="9"/>
  <c r="L22" i="9"/>
  <c r="R25" i="9"/>
  <c r="T92" i="2"/>
  <c r="P92" i="2"/>
  <c r="L92" i="2"/>
  <c r="F92" i="2"/>
  <c r="V72" i="3"/>
  <c r="P71" i="3"/>
  <c r="V25" i="4"/>
  <c r="V70" i="5"/>
  <c r="R17" i="7"/>
  <c r="N22" i="9"/>
  <c r="T55" i="10"/>
  <c r="R58" i="10"/>
  <c r="Q55" i="10"/>
  <c r="N55" i="10"/>
  <c r="AL2" i="10"/>
  <c r="N7" i="1"/>
  <c r="R7" i="1"/>
  <c r="H12" i="1"/>
  <c r="V95" i="2"/>
  <c r="R95" i="2"/>
  <c r="F69" i="3"/>
  <c r="K71" i="3"/>
  <c r="F67" i="5"/>
  <c r="R70" i="5"/>
  <c r="M69" i="5" s="1"/>
  <c r="V58" i="10"/>
  <c r="G55" i="10"/>
  <c r="K55" i="10"/>
  <c r="N69" i="3"/>
  <c r="T22" i="4"/>
  <c r="T67" i="5"/>
  <c r="P67" i="5"/>
  <c r="N125" i="6"/>
  <c r="J125" i="6"/>
  <c r="T116" i="8"/>
  <c r="L67" i="5"/>
  <c r="F125" i="6"/>
  <c r="F22" i="9"/>
  <c r="K69" i="5" l="1"/>
  <c r="F12" i="1"/>
  <c r="I70" i="3"/>
  <c r="S117" i="8"/>
  <c r="U70" i="3"/>
  <c r="T70" i="3"/>
  <c r="G6" i="1"/>
  <c r="AK2" i="5"/>
  <c r="P9" i="1"/>
  <c r="F15" i="1"/>
  <c r="X2" i="1" s="1"/>
  <c r="S71" i="3"/>
  <c r="H9" i="1"/>
  <c r="M19" i="7"/>
  <c r="AD2" i="3"/>
  <c r="I7" i="1"/>
  <c r="Y2" i="10"/>
  <c r="S118" i="8"/>
  <c r="AB2" i="8"/>
  <c r="L70" i="3"/>
  <c r="AE2" i="3"/>
  <c r="Q7" i="1"/>
  <c r="S70" i="3"/>
  <c r="G15" i="1"/>
  <c r="Y2" i="1" s="1"/>
  <c r="F57" i="10"/>
  <c r="I117" i="8"/>
  <c r="AN2" i="7"/>
  <c r="S11" i="1"/>
  <c r="F24" i="9"/>
  <c r="Y2" i="9"/>
  <c r="D13" i="1"/>
  <c r="AM2" i="10"/>
  <c r="R14" i="1"/>
  <c r="F94" i="2"/>
  <c r="D6" i="1"/>
  <c r="Y2" i="2"/>
  <c r="AK2" i="4"/>
  <c r="P8" i="1"/>
  <c r="AG2" i="3"/>
  <c r="L7" i="1"/>
  <c r="M71" i="3"/>
  <c r="S57" i="10"/>
  <c r="R23" i="9"/>
  <c r="N23" i="9"/>
  <c r="J23" i="9"/>
  <c r="F23" i="9"/>
  <c r="S23" i="9"/>
  <c r="M23" i="9"/>
  <c r="H23" i="9"/>
  <c r="U23" i="9"/>
  <c r="O23" i="9"/>
  <c r="G23" i="9"/>
  <c r="T23" i="9"/>
  <c r="L23" i="9"/>
  <c r="Q23" i="9"/>
  <c r="P23" i="9"/>
  <c r="K23" i="9"/>
  <c r="I23" i="9"/>
  <c r="C13" i="1"/>
  <c r="AN2" i="8"/>
  <c r="S12" i="1"/>
  <c r="S15" i="1" s="1"/>
  <c r="AK2" i="1" s="1"/>
  <c r="P19" i="7"/>
  <c r="O11" i="1"/>
  <c r="AJ2" i="7"/>
  <c r="K127" i="6"/>
  <c r="AD2" i="6"/>
  <c r="I10" i="1"/>
  <c r="N70" i="3"/>
  <c r="F127" i="6"/>
  <c r="Y2" i="6"/>
  <c r="D10" i="1"/>
  <c r="AM2" i="8"/>
  <c r="R12" i="1"/>
  <c r="N9" i="1"/>
  <c r="AI2" i="5"/>
  <c r="P69" i="5"/>
  <c r="AD2" i="10"/>
  <c r="K57" i="10"/>
  <c r="I14" i="1"/>
  <c r="F71" i="3"/>
  <c r="Y2" i="3"/>
  <c r="D7" i="1"/>
  <c r="T7" i="1" s="1"/>
  <c r="L14" i="1"/>
  <c r="AG2" i="10"/>
  <c r="AG2" i="9"/>
  <c r="L13" i="1"/>
  <c r="J6" i="1"/>
  <c r="K94" i="2"/>
  <c r="AE2" i="2"/>
  <c r="AE2" i="9"/>
  <c r="J13" i="1"/>
  <c r="K24" i="9"/>
  <c r="F24" i="4"/>
  <c r="Y2" i="4"/>
  <c r="D8" i="1"/>
  <c r="L8" i="1"/>
  <c r="AG2" i="4"/>
  <c r="D12" i="1"/>
  <c r="T12" i="1" s="1"/>
  <c r="Y2" i="8"/>
  <c r="F118" i="8"/>
  <c r="AI2" i="8"/>
  <c r="P118" i="8"/>
  <c r="N12" i="1"/>
  <c r="Z2" i="7"/>
  <c r="E11" i="1"/>
  <c r="AE2" i="6"/>
  <c r="J10" i="1"/>
  <c r="T117" i="8"/>
  <c r="AE2" i="5"/>
  <c r="J9" i="1"/>
  <c r="AC2" i="6"/>
  <c r="H10" i="1"/>
  <c r="AM2" i="5"/>
  <c r="R9" i="1"/>
  <c r="Z2" i="10"/>
  <c r="E14" i="1"/>
  <c r="T68" i="5"/>
  <c r="P68" i="5"/>
  <c r="L68" i="5"/>
  <c r="H68" i="5"/>
  <c r="R68" i="5"/>
  <c r="M68" i="5"/>
  <c r="G68" i="5"/>
  <c r="U68" i="5"/>
  <c r="N68" i="5"/>
  <c r="F68" i="5"/>
  <c r="S68" i="5"/>
  <c r="K68" i="5"/>
  <c r="Q68" i="5"/>
  <c r="O68" i="5"/>
  <c r="C9" i="1"/>
  <c r="J68" i="5"/>
  <c r="I68" i="5"/>
  <c r="T93" i="2"/>
  <c r="P93" i="2"/>
  <c r="L93" i="2"/>
  <c r="H93" i="2"/>
  <c r="Q93" i="2"/>
  <c r="K93" i="2"/>
  <c r="F93" i="2"/>
  <c r="U93" i="2"/>
  <c r="O93" i="2"/>
  <c r="J93" i="2"/>
  <c r="S93" i="2"/>
  <c r="I93" i="2"/>
  <c r="R93" i="2"/>
  <c r="G93" i="2"/>
  <c r="N93" i="2"/>
  <c r="C6" i="1"/>
  <c r="M93" i="2"/>
  <c r="P57" i="10"/>
  <c r="AJ2" i="10"/>
  <c r="O14" i="1"/>
  <c r="F19" i="7"/>
  <c r="AI2" i="2"/>
  <c r="P94" i="2"/>
  <c r="N6" i="1"/>
  <c r="AJ2" i="9"/>
  <c r="O13" i="1"/>
  <c r="P24" i="9"/>
  <c r="S19" i="7"/>
  <c r="AL2" i="7"/>
  <c r="Q11" i="1"/>
  <c r="M24" i="4"/>
  <c r="AF2" i="4"/>
  <c r="K8" i="1"/>
  <c r="K15" i="1" s="1"/>
  <c r="AC2" i="1" s="1"/>
  <c r="T23" i="4"/>
  <c r="P23" i="4"/>
  <c r="L23" i="4"/>
  <c r="H23" i="4"/>
  <c r="Q23" i="4"/>
  <c r="K23" i="4"/>
  <c r="F23" i="4"/>
  <c r="R23" i="4"/>
  <c r="J23" i="4"/>
  <c r="O23" i="4"/>
  <c r="I23" i="4"/>
  <c r="N23" i="4"/>
  <c r="M23" i="4"/>
  <c r="U23" i="4"/>
  <c r="G23" i="4"/>
  <c r="C8" i="1"/>
  <c r="S23" i="4"/>
  <c r="M24" i="9"/>
  <c r="S69" i="5"/>
  <c r="AG2" i="8"/>
  <c r="L12" i="1"/>
  <c r="N117" i="8"/>
  <c r="R18" i="7"/>
  <c r="N18" i="7"/>
  <c r="J18" i="7"/>
  <c r="F18" i="7"/>
  <c r="U18" i="7"/>
  <c r="P18" i="7"/>
  <c r="K18" i="7"/>
  <c r="O18" i="7"/>
  <c r="H18" i="7"/>
  <c r="T18" i="7"/>
  <c r="M18" i="7"/>
  <c r="G18" i="7"/>
  <c r="Q18" i="7"/>
  <c r="C11" i="1"/>
  <c r="L18" i="7"/>
  <c r="I18" i="7"/>
  <c r="S18" i="7"/>
  <c r="R126" i="6"/>
  <c r="N126" i="6"/>
  <c r="J126" i="6"/>
  <c r="F126" i="6"/>
  <c r="U126" i="6"/>
  <c r="P126" i="6"/>
  <c r="K126" i="6"/>
  <c r="O126" i="6"/>
  <c r="H126" i="6"/>
  <c r="T126" i="6"/>
  <c r="M126" i="6"/>
  <c r="G126" i="6"/>
  <c r="L126" i="6"/>
  <c r="I126" i="6"/>
  <c r="S126" i="6"/>
  <c r="C10" i="1"/>
  <c r="Q126" i="6"/>
  <c r="F70" i="3"/>
  <c r="S94" i="2"/>
  <c r="M57" i="10"/>
  <c r="AG2" i="6"/>
  <c r="L10" i="1"/>
  <c r="M127" i="6"/>
  <c r="AM2" i="4"/>
  <c r="S24" i="4"/>
  <c r="R8" i="1"/>
  <c r="Y2" i="5"/>
  <c r="D9" i="1"/>
  <c r="F69" i="5"/>
  <c r="T56" i="10"/>
  <c r="P56" i="10"/>
  <c r="L56" i="10"/>
  <c r="H56" i="10"/>
  <c r="Q56" i="10"/>
  <c r="K56" i="10"/>
  <c r="F56" i="10"/>
  <c r="U56" i="10"/>
  <c r="O56" i="10"/>
  <c r="J56" i="10"/>
  <c r="N56" i="10"/>
  <c r="M56" i="10"/>
  <c r="C14" i="1"/>
  <c r="S56" i="10"/>
  <c r="R56" i="10"/>
  <c r="I56" i="10"/>
  <c r="G56" i="10"/>
  <c r="AK2" i="7"/>
  <c r="P11" i="1"/>
  <c r="AM2" i="2"/>
  <c r="R6" i="1"/>
  <c r="S24" i="9"/>
  <c r="Q13" i="1"/>
  <c r="AL2" i="9"/>
  <c r="P24" i="4"/>
  <c r="AJ2" i="4"/>
  <c r="O8" i="1"/>
  <c r="AE2" i="4"/>
  <c r="J8" i="1"/>
  <c r="M94" i="2"/>
  <c r="U117" i="8"/>
  <c r="K118" i="8"/>
  <c r="AD2" i="8"/>
  <c r="I12" i="1"/>
  <c r="AE2" i="7"/>
  <c r="K19" i="7"/>
  <c r="J11" i="1"/>
  <c r="AG2" i="7"/>
  <c r="L11" i="1"/>
  <c r="T14" i="1" l="1"/>
  <c r="H15" i="1"/>
  <c r="Z2" i="1" s="1"/>
  <c r="Q15" i="1"/>
  <c r="AI2" i="1" s="1"/>
  <c r="L15" i="1"/>
  <c r="AD2" i="1" s="1"/>
  <c r="P15" i="1"/>
  <c r="AH2" i="1" s="1"/>
  <c r="T9" i="1"/>
  <c r="T8" i="1"/>
  <c r="T10" i="1"/>
  <c r="T6" i="1"/>
  <c r="D15" i="1"/>
  <c r="N15" i="1"/>
  <c r="AF2" i="1" s="1"/>
  <c r="C15" i="1"/>
  <c r="E15" i="1"/>
  <c r="W2" i="1" s="1"/>
  <c r="T11" i="1"/>
  <c r="R15" i="1"/>
  <c r="AJ2" i="1" s="1"/>
  <c r="J15" i="1"/>
  <c r="AB2" i="1" s="1"/>
  <c r="I15" i="1"/>
  <c r="AA2" i="1" s="1"/>
  <c r="T13" i="1"/>
  <c r="O15" i="1"/>
  <c r="AG2" i="1" s="1"/>
  <c r="D16" i="1" l="1"/>
  <c r="V2" i="1"/>
</calcChain>
</file>

<file path=xl/sharedStrings.xml><?xml version="1.0" encoding="utf-8"?>
<sst xmlns="http://schemas.openxmlformats.org/spreadsheetml/2006/main" count="3730" uniqueCount="164">
  <si>
    <t>RESUMO CONSOLIDADO — REGIÃO 1 — RODOVIAS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</si>
  <si>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</si>
  <si>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</si>
  <si>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</si>
  <si>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</si>
  <si>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</si>
  <si>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DO PAVIMENTO</t>
  </si>
  <si>
    <t>VEGETAÇÃO</t>
  </si>
  <si>
    <t>ELEM. DE DRENAGEM</t>
  </si>
  <si>
    <t>SIN. HORIZ.</t>
  </si>
  <si>
    <t>SIN. VERTICAL</t>
  </si>
  <si>
    <t>CONFERÊNCIA</t>
  </si>
  <si>
    <t>BOM</t>
  </si>
  <si>
    <t>REM. I.</t>
  </si>
  <si>
    <t>REM. L.</t>
  </si>
  <si>
    <t>BUR. I.</t>
  </si>
  <si>
    <t>BUR. L.</t>
  </si>
  <si>
    <t>ADEQ.</t>
  </si>
  <si>
    <t>INAD.</t>
  </si>
  <si>
    <t>REG.</t>
  </si>
  <si>
    <t>RODOVIA TO-010 - TRECHO PALMEIRANTE - ENTR. TO-222 (POVOADO BIELÂNDIA)</t>
  </si>
  <si>
    <t>RODOVIA TO-010 - TRECHO BABAÇULÂNDIA - WANDERLÂNDIA</t>
  </si>
  <si>
    <t>RODOVIA TO-020 - TRECHO RECURSOLÂNDIA - CAMPOS LINDOS</t>
  </si>
  <si>
    <t>RODOVIA TO-130 - TRECHO ENTR. TO-010 - TRECHO BARRA DO OURO - ENTR. BR-010 (POVOADO MORRO GRANDE)</t>
  </si>
  <si>
    <t>RODOVIA TO-222 - TRECHO ARAGUAÍNA - FILADÉLFIA</t>
  </si>
  <si>
    <t>RODOVIA TO-226 - TRECHO NOVA OLINDA - ENTR. TO-010</t>
  </si>
  <si>
    <t>RODOVIA TO-226 - TRECHO GOIATINS - CAMPOS LINDOS - DIV TO-MA</t>
  </si>
  <si>
    <t>RODOVIA TO-422 - TRECHO ENTR. BR-153 - TRECHO DISTRITO AGROINDUSTRIAL DE ARAGUAÍNA</t>
  </si>
  <si>
    <t>RODOVIA TO-424 - TRECHO ENTR. TO-222 (PLAT. MULTI-MODAL) - BABAÇULÂNDIA</t>
  </si>
  <si>
    <t>TOTAL PERCORRIDO NO MÊS</t>
  </si>
  <si>
    <t>% DA EXTENSÃO DA MALHA (422.10 km)</t>
  </si>
  <si>
    <t>(soma do grupo 'CONDIÇÃO DO PAVIMENTO' dividida pela malha)</t>
  </si>
  <si>
    <t>PROGRAMA DE MANUTENÇÃO RODOVIÁRIA — FICHA DE INSPEÇÃO — RODOVIAS PAVIMENTADAS</t>
  </si>
  <si>
    <t>REGIÃO:  3 — ARAGUAÍNA II</t>
  </si>
  <si>
    <t>MÊS / ANO:</t>
  </si>
  <si>
    <t>DATA:</t>
  </si>
  <si>
    <t>TÉCNICO:</t>
  </si>
  <si>
    <t>TRECHO 68 — RODOVIA TO-010 - TRECHO PALMEIRANTE - ENTR. TO-222 (POVOADO BIELÂNDIA)</t>
  </si>
  <si>
    <t>EXTENSÃO: 72,432 km  ·  5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</si>
  <si>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</si>
  <si>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</si>
  <si>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</si>
  <si>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</si>
  <si>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</si>
  <si>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</si>
  <si>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</si>
  <si>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</si>
  <si>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010ETO0320   |   PALMERANTE *TRECHO URBANO* - ENTR. TO-335   |   PPS · Estadual · 11.000 km  ·  início: -7.865427, -47.939469</t>
  </si>
  <si>
    <t>010ETO0320</t>
  </si>
  <si>
    <t>C</t>
  </si>
  <si>
    <t>X</t>
  </si>
  <si>
    <t>S.R.E. 010ETO0330   |   ENTR.TO-335 - TRECHO ENTR.TO-226   |   PPS · Estadual · 9.147 km  ·  início: -7.847064, -48.019678</t>
  </si>
  <si>
    <t>010ETO0330</t>
  </si>
  <si>
    <t>S.R.E. 010ETO0340   |   ENTR. TO-226 - TRECHO POV. CICILÃNDIA   |   PPS · Estadual · 11.531 km  ·  início: -7.788551, -48.071722</t>
  </si>
  <si>
    <t>010ETO0340</t>
  </si>
  <si>
    <t>S.R.E. 010ETO0350   |   POV. CICILÃNDIA - ENTR. TO-130   |   PPS · Estadual · 25.891 km  ·  início: -7.697572, -48.027112</t>
  </si>
  <si>
    <t>010ETO0350</t>
  </si>
  <si>
    <t>S.R.E. 010ETO0360   |   ENTR. TO-130 - TRECHO BIELÂNDIA   |   PPS · Estadual · 14.862 km  ·  início: -7.604511, -47.842373</t>
  </si>
  <si>
    <t>010ETO0360</t>
  </si>
  <si>
    <t>14,86 km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</si>
  <si>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</si>
  <si>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</si>
  <si>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</si>
  <si>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</si>
  <si>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</si>
  <si>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</si>
  <si>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</si>
  <si>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</si>
  <si>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</si>
  <si>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REM. I. / REM. L.</t>
  </si>
  <si>
    <t>Remendos isolados (até 10 por km) · Remendos ao longo (mais de 10 por km)</t>
  </si>
  <si>
    <t>BUR. I. / BUR. L.</t>
  </si>
  <si>
    <t>Buracos isolados (até 5 por km) · Buracos ao longo (mais de 5 por km)</t>
  </si>
  <si>
    <t>SIT.</t>
  </si>
  <si>
    <t>PPS = pista simples · PSU = simples urbana · PDU = duplicada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</si>
  <si>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</si>
  <si>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</si>
  <si>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</si>
  <si>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</si>
  <si>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</si>
  <si>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</si>
  <si>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</si>
  <si>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</si>
  <si>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</si>
  <si>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</si>
  <si>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70 — RODOVIA TO-010 - TRECHO BABAÇULÂNDIA - WANDERLÂNDIA</t>
  </si>
  <si>
    <t>EXTENSÃO: 54,573 km  ·  1 S.R.E.</t>
  </si>
  <si>
    <t>S.R.E. 010ETO0420   |   BABAÇULÂNDIA *TRECHO URBANO* - WANDERLÂNDIA *TRECHO URBANO*   |   PPS · Estadual · 54.573 km  ·  início: -7.191051, -47.784852</t>
  </si>
  <si>
    <t>010ETO0420</t>
  </si>
  <si>
    <t>TRECHO 71 — RODOVIA TO-020 - TRECHO RECURSOLÂNDIA - CAMPOS LINDOS</t>
  </si>
  <si>
    <t>EXTENSÃO: 5,607 km  ·  2 S.R.E.</t>
  </si>
  <si>
    <t>S.R.E. 020ETO0200   |   RECURSOLÂNDIA *TRECHO URBANO* - FIM PAVIMENTAÇÃO   |   PPS · Estadual · 2.898 km  ·  sem coordenada no shape</t>
  </si>
  <si>
    <t>020ETO0200</t>
  </si>
  <si>
    <t>▲ AQUI HÁ 148.408 km FORA DO ESCOPO DO CONTRATO (perímetro urbano de jurisdição municipal). Você passa por ele, mas NÃO preenche.</t>
  </si>
  <si>
    <t>S.R.E. 020ETO0215   |   NICIO PAVIMENTACAO (CAMPOS LINDOS) - ENTR. TO-226   |   PPS · Estadual · 2.709 km  ·  início: -7.965561, -46.809144</t>
  </si>
  <si>
    <t>020ETO0215</t>
  </si>
  <si>
    <t>TRECHO 73 — RODOVIA TO-130 - TRECHO ENTR. TO-010 - TRECHO BARRA DO OURO - ENTR. BR-010 (POVOADO MORRO GRANDE)</t>
  </si>
  <si>
    <t>EXTENSÃO: 48,964 km  ·  3 S.R.E.</t>
  </si>
  <si>
    <t>S.R.E. 130ETO0040   |   ENTR. TO-010 - TRECHO BARRA DO OURO   |   PPS · Estadual · 25.200 km  ·  início: -7.604511, -47.842373</t>
  </si>
  <si>
    <t>130ETO0040</t>
  </si>
  <si>
    <t>S.R.E. 130ETO0060   |   BARRA DO OURO - ENTR. TO-425   |   PPS · Estadual · 3.752 km  ·  início: -7.713372, -47.65921</t>
  </si>
  <si>
    <t>130ETO0060</t>
  </si>
  <si>
    <t>S.R.E. 130ETO0070   |   ENTR. TO-425 - TRECHO MORRO GRANDE *TRECHO URBANO*   |   PPS · Estadual · 20.012 km  ·  início: -7.719866, -47.641908</t>
  </si>
  <si>
    <t>130ETO0070</t>
  </si>
  <si>
    <t>TRECHO 74 — RODOVIA TO-222 - TRECHO ARAGUAÍNA - FILADÉLFIA</t>
  </si>
  <si>
    <t>EXTENSÃO: 101,045 km  ·  6 S.R.E.</t>
  </si>
  <si>
    <t>S.R.E. 222ETO0010   |   FILADÉLFIA *TRECHO URBANO* - ENTR. TO-424   |   PPS · Estadual · 7.661 km  ·  início: -7.340161, -47.505605</t>
  </si>
  <si>
    <t>222ETO0010</t>
  </si>
  <si>
    <t>S.R.E. 222ETO0020   |   ENTR. TO-424 - TRECHO ENTR. TO-130   |   PPS · Estadual · 21.662 km  ·  início: -7.354362, -47.566302</t>
  </si>
  <si>
    <t>222ETO0020</t>
  </si>
  <si>
    <t>S.R.E. 222ETO0030   |   ENTR. TO-130 (A) - ENTR. TO-130 (B) - TO-010 POV. BIELANDIA   |   PPS · Estadual · 20.249 km  ·  sem coordenada no shape</t>
  </si>
  <si>
    <t>222ETO0030</t>
  </si>
  <si>
    <t>▲ AQUI HÁ 26.227 km FORA DO ESCOPO DO CONTRATO (perímetro urbano de jurisdição municipal). Você passa por ele, mas NÃO preenche.</t>
  </si>
  <si>
    <t>S.R.E. 222ETO0060   |   FARTURÃO - ENTR. TO-424   |   PPS · Estadual · 8.371 km  ·  início: -7.329008, -48.068862</t>
  </si>
  <si>
    <t>222ETO0060</t>
  </si>
  <si>
    <t>S.R.E. 222ETO0070   |   ENTR. TO-424 - TRECHO ARAGUAINA *TRECHO URBANO*   |   PPS · Estadual · 16.875 km  ·  início: -7.325036, -48.073224</t>
  </si>
  <si>
    <t>222ETO0070</t>
  </si>
  <si>
    <t>▲ AQUI HÁ 327.226 km FORA DO ESCOPO DO CONTRATO (perímetro urbano de jurisdição municipal). Você passa por ele, mas NÃO preenche.</t>
  </si>
  <si>
    <t>S.R.E. 010ETO0370   |   ENTR. TO-222(BIELÂNDIA) - POV. FARTURÃO   |   PPS · Estadual · 26.227 km  ·  início: -7.365975, -48.010799</t>
  </si>
  <si>
    <t>010ETO0370</t>
  </si>
  <si>
    <t>TRECHO 75 — RODOVIA TO-226 - TRECHO NOVA OLINDA - ENTR. TO-010</t>
  </si>
  <si>
    <t>EXTENSÃO: 2,154 km  ·  1 S.R.E.</t>
  </si>
  <si>
    <t>S.R.E. 226ETO0201   |   NOVA OLINDA *TRECHO URBANO*   |   PSU · Municipal · 2.154 km  ·  início: -7.638734, -48.416054</t>
  </si>
  <si>
    <t>226ETO0201</t>
  </si>
  <si>
    <t>TRECHO 77 — RODOVIA TO-226 - TRECHO GOIATINS - CAMPOS LINDOS - DIV TO-MA</t>
  </si>
  <si>
    <t>EXTENSÃO: 92,048 km  ·  7 S.R.E.</t>
  </si>
  <si>
    <t>S.R.E. 226ETO0010   |   DIV TO-MA - ENTR. TO-020 (CAMPOS LINDOS)   |   PPS · Estadual · 1.691 km  ·  início: -7.952226, -46.811001</t>
  </si>
  <si>
    <t>226ETO0010</t>
  </si>
  <si>
    <t>S.R.E. 226ETO0020   |   ENTR. TO-020 (CAMPOS LINDOS) - ENTR. TO-428   |   PPS · Estadual · 10.299 km  ·  início: -7.980143, -46.805589</t>
  </si>
  <si>
    <t>226ETO0020</t>
  </si>
  <si>
    <t>S.R.E. 226ETO0030   |   ENTR. TO-428 - TRECHO BARRA DA ESTIVA   |   PPS · Estadual · 37.295 km  ·  início: -8.039994, -46.848628</t>
  </si>
  <si>
    <t>226ETO0030</t>
  </si>
  <si>
    <t>S.R.E. 226ETO0040   |   BARRA DA ESTIVA - ENTR. TO-426 (CRAOLÂNDIA)   |   PPS · Estadual · 17.639 km  ·  início: -7.989164, -47.110107</t>
  </si>
  <si>
    <t>226ETO0040</t>
  </si>
  <si>
    <t>S.R.E. 226ETO0050   |   ENTR. TO-426 (CRAOLÂNDIA) - GOIATINS *TRECHO URBANO*   |   PPS · Estadual · 24.573 km  ·  início: -7.890953, -47.216955</t>
  </si>
  <si>
    <t>226ETO0050</t>
  </si>
  <si>
    <t>S.R.E. 226ETO0051   |   GOIATINS *TRECHO URBANO*   |   PSU · Municipal · 0.104 km  ·  início: -7.718146, -47.318668</t>
  </si>
  <si>
    <t>226ETO0051</t>
  </si>
  <si>
    <t>S.R.E. 226ETO0052   |   GOIATINS *TRECHO URBANO*   |   PSU · Municipal · 0.448 km  ·  início: -7.715605, -47.320189</t>
  </si>
  <si>
    <t>226ETO0052</t>
  </si>
  <si>
    <t>TRECHO 78 — RODOVIA TO-422 - TRECHO ENTR. BR-153 - TRECHO DISTRITO AGROINDUSTRIAL DE ARAGUAÍNA</t>
  </si>
  <si>
    <t>EXTENSÃO: 7,778 km  ·  1 S.R.E.</t>
  </si>
  <si>
    <t>S.R.E. 422ETO0010D   |   ENTR. BR-153 - TRECHO ZONA DE PROCESSAMENTO DE EXPORTAÇÃO  (código antigo: 422ETO0010)   |   PPS · Estadual · 7.778 km  ·  início: -7.269117, -48.264192</t>
  </si>
  <si>
    <t>422ETO0010D</t>
  </si>
  <si>
    <t>TRECHO 80 — RODOVIA TO-424 - TRECHO ENTR. TO-222 (PLAT. MULTI-MODAL) - BABAÇULÂNDIA</t>
  </si>
  <si>
    <t>EXTENSÃO: 37,496 km  ·  4 S.R.E.</t>
  </si>
  <si>
    <t>S.R.E. 424ETO0050   |   ENTR. TO-010 (BABAÇULÂNDIA *TRECHO URBANO*) - VILA CORRENTE   |   PPS · Estadual · 13.990 km  ·  início: -7.191051, -47.784852</t>
  </si>
  <si>
    <t>424ETO0050</t>
  </si>
  <si>
    <t>deformações plásticas</t>
  </si>
  <si>
    <t>S.R.E. 424ETO0060   |   VILA CORRENTE - BARRO PRETO   |   PPS · Estadual · 3.668 km  ·  início: -7.211893, -47.901791</t>
  </si>
  <si>
    <t>424ETO0060</t>
  </si>
  <si>
    <t>S.R.E. 424ETO0070   |   BARRO PRETO - ENTR. TO-423   |   PPS · Estadual · 8.944 km  ·  início: -7.229118, -47.929202</t>
  </si>
  <si>
    <t>424ETO0070</t>
  </si>
  <si>
    <t>S.R.E. 424ETO0080   |   ENTR. TO-423 - TRECHO ENTR. TO-222   |   PPS · Estadual · 10.895 km  ·  início: -7.272753, -47.993519</t>
  </si>
  <si>
    <t>424ETO0080</t>
  </si>
  <si>
    <t>TÉCNICOS</t>
  </si>
  <si>
    <t>ENG. VINÍCIUS RODRIGUES FERREIRA DE OLIVEIRA</t>
  </si>
  <si>
    <t>LABORATORISTA CLAUDIOMIRO VIEIRA LOPES</t>
  </si>
  <si>
    <t>ENG. VINICIUS RODRIGUES FERREIRA DE OLIVEIRA</t>
  </si>
  <si>
    <t>LIMPOS</t>
  </si>
  <si>
    <t>SUJOS</t>
  </si>
  <si>
    <t>DAN.</t>
  </si>
  <si>
    <t>INEXIST.</t>
  </si>
  <si>
    <t>POUCAS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</si>
</sst>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mmm\/yyyy;@"/>
    <numFmt numFmtId="166" formatCode="0.0%"/>
    <numFmt numFmtId="167" formatCode="#,##0.000&quot; km&quot;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7.5"/>
      <color rgb="FF000000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3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6" fillId="5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0" xfId="0"/>
    <xf numFmtId="0" fontId="0" fillId="0" borderId="4" xfId="0" applyBorder="1"/>
    <xf numFmtId="0" fontId="5" fillId="4" borderId="0" xfId="0" applyFont="1" applyFill="1" applyAlignment="1">
      <alignment vertical="center" wrapText="1"/>
    </xf>
    <xf numFmtId="0" fontId="7" fillId="6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right" vertical="center"/>
    </xf>
    <xf numFmtId="0" fontId="2" fillId="0" borderId="0" xfId="0" applyFont="1" applyAlignment="1">
      <alignment horizontal="left" vertical="center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4" fillId="0" borderId="0" xfId="0" applyFont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85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BDF-400E-AB95-EDE04A3C161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BDF-400E-AB95-EDE04A3C161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BDF-400E-AB95-EDE04A3C1619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BDF-400E-AB95-EDE04A3C1619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BDF-400E-AB95-EDE04A3C161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RESUMO!$D$5:$H$5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RESUMO!$V$2:$Z$2</c:f>
              <c:numCache>
                <c:formatCode>#,##0.00</c:formatCode>
                <c:ptCount val="5"/>
                <c:pt idx="0">
                  <c:v>339.16627626633601</c:v>
                </c:pt>
                <c:pt idx="1">
                  <c:v>27.81150842465</c:v>
                </c:pt>
                <c:pt idx="2">
                  <c:v>14.96076562397</c:v>
                </c:pt>
                <c:pt idx="3">
                  <c:v>35.147414005190001</c:v>
                </c:pt>
                <c:pt idx="4">
                  <c:v>5.0115949071999992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BDF-400E-AB95-EDE04A3C16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B1F-4FE3-B4F6-FA593A93CFC4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B1F-4FE3-B4F6-FA593A93CFC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RESUMO!$I$5:$J$5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RESUMO!$AA$2:$AB$2</c:f>
              <c:numCache>
                <c:formatCode>#,##0.00</c:formatCode>
                <c:ptCount val="2"/>
                <c:pt idx="0">
                  <c:v>307.66766433386601</c:v>
                </c:pt>
                <c:pt idx="1">
                  <c:v>114.42989489348003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1F-4FE3-B4F6-FA593A93CF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135-4150-AD4F-32D54D85472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135-4150-AD4F-32D54D85472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135-4150-AD4F-32D54D85472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RESUMO!$K$5:$M$5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RESUMO!$AC$2:$AE$2</c:f>
              <c:numCache>
                <c:formatCode>#,##0.00</c:formatCode>
                <c:ptCount val="3"/>
                <c:pt idx="0">
                  <c:v>22.553915915019999</c:v>
                </c:pt>
                <c:pt idx="1">
                  <c:v>392.24882469912603</c:v>
                </c:pt>
                <c:pt idx="2">
                  <c:v>7.2948186132000004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35-4150-AD4F-32D54D8547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246-49C2-A882-9BEA8D23684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246-49C2-A882-9BEA8D23684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246-49C2-A882-9BEA8D23684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RESUMO!$N$5:$P$5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RESUMO!$AF$2:$AH$2</c:f>
              <c:numCache>
                <c:formatCode>#,##0.00</c:formatCode>
                <c:ptCount val="3"/>
                <c:pt idx="0">
                  <c:v>342.17145743506603</c:v>
                </c:pt>
                <c:pt idx="1">
                  <c:v>50.673607764150006</c:v>
                </c:pt>
                <c:pt idx="2">
                  <c:v>29.252494028129998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46-49C2-A882-9BEA8D2368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525-4DE2-8802-B323BDCBA6F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525-4DE2-8802-B323BDCBA6F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525-4DE2-8802-B323BDCBA6F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RESUMO!$Q$5:$S$5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RESUMO!$AI$2:$AK$2</c:f>
              <c:numCache>
                <c:formatCode>#,##0.00</c:formatCode>
                <c:ptCount val="3"/>
                <c:pt idx="0">
                  <c:v>87.114530622190003</c:v>
                </c:pt>
                <c:pt idx="1">
                  <c:v>282.50656519533004</c:v>
                </c:pt>
                <c:pt idx="2">
                  <c:v>52.476463409825996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25-4DE2-8802-B323BDCBA6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A6A-4E1D-A033-525DD37CBF1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A6A-4E1D-A033-525DD37CBF1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A6A-4E1D-A033-525DD37CBF1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A6A-4E1D-A033-525DD37CBF1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A6A-4E1D-A033-525DD37CBF1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'68'!$Y$2:$AC$2</c:f>
              <c:numCache>
                <c:formatCode>#,##0.00</c:formatCode>
                <c:ptCount val="5"/>
                <c:pt idx="0">
                  <c:v>53.284366740599999</c:v>
                </c:pt>
                <c:pt idx="1">
                  <c:v>#N/A</c:v>
                </c:pt>
                <c:pt idx="2">
                  <c:v>#N/A</c:v>
                </c:pt>
                <c:pt idx="3">
                  <c:v>19.147414005190001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A6A-4E1D-A033-525DD37CBF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7FC-40BD-B53D-1A94630087E5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7FC-40BD-B53D-1A94630087E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'68'!$AD$2:$AE$2</c:f>
              <c:numCache>
                <c:formatCode>#,##0.00</c:formatCode>
                <c:ptCount val="2"/>
                <c:pt idx="0">
                  <c:v>72.431780745790007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FC-40BD-B53D-1A94630087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56-46DD-BF0F-ADE76D7AA42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56-46DD-BF0F-ADE76D7AA42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56-46DD-BF0F-ADE76D7AA42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'68'!$AF$2:$AH$2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72.431780745790007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56-46DD-BF0F-ADE76D7AA4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17-4386-B2C8-3BE77EEB9EF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117-4386-B2C8-3BE77EEB9EF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117-4386-B2C8-3BE77EEB9EF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'68'!$AI$2:$AK$2</c:f>
              <c:numCache>
                <c:formatCode>#,##0.00</c:formatCode>
                <c:ptCount val="3"/>
                <c:pt idx="0">
                  <c:v>72.431780745790007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17-4386-B2C8-3BE77EEB9E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015-40CC-8F91-4216BBCCE5E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015-40CC-8F91-4216BBCCE5E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015-40CC-8F91-4216BBCCE5E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'68'!$AL$2:$AN$2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72.431780745790007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15-40CC-8F91-4216BBCCE5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43A-47D6-B206-16C33317FCE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43A-47D6-B206-16C33317FCE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43A-47D6-B206-16C33317FCEB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43A-47D6-B206-16C33317FCEB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43A-47D6-B206-16C33317FCE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'70'!$Y$2:$AC$2</c:f>
              <c:numCache>
                <c:formatCode>#,##0.00</c:formatCode>
                <c:ptCount val="5"/>
                <c:pt idx="0">
                  <c:v>50.5732999871</c:v>
                </c:pt>
                <c:pt idx="1">
                  <c:v>#N/A</c:v>
                </c:pt>
                <c:pt idx="2">
                  <c:v>#N/A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43A-47D6-B206-16C33317FC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53-42AA-A8F3-89F7F18DA23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53-42AA-A8F3-89F7F18DA23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'70'!$AD$2:$AE$2</c:f>
              <c:numCache>
                <c:formatCode>#,##0.00</c:formatCode>
                <c:ptCount val="2"/>
                <c:pt idx="0">
                  <c:v>54.5732999871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53-42AA-A8F3-89F7F18DA2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F7-4CD1-84CA-112232644C8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6F7-4CD1-84CA-112232644C8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6F7-4CD1-84CA-112232644C8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'70'!$M$7:$O$7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'70'!$AF$2:$AH$2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54.5732999871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F7-4CD1-84CA-112232644C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1A-42AE-8BBB-F6B01A3A6A4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E1A-42AE-8BBB-F6B01A3A6A4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E1A-42AE-8BBB-F6B01A3A6A4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'70'!$AI$2:$AK$2</c:f>
              <c:numCache>
                <c:formatCode>#,##0.00</c:formatCode>
                <c:ptCount val="3"/>
                <c:pt idx="0">
                  <c:v>54.5732999871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1A-42AE-8BBB-F6B01A3A6A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72D-4724-A34F-0623E7B1344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72D-4724-A34F-0623E7B1344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72D-4724-A34F-0623E7B1344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'70'!$S$7:$U$7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'70'!$AL$2:$AN$2</c:f>
              <c:numCache>
                <c:formatCode>#,##0.00</c:formatCode>
                <c:ptCount val="3"/>
                <c:pt idx="0">
                  <c:v>54.5732999871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2D-4724-A34F-0623E7B134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6D1-4345-8A68-C7B1F4353A4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6D1-4345-8A68-C7B1F4353A4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6D1-4345-8A68-C7B1F4353A4F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6D1-4345-8A68-C7B1F4353A4F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6D1-4345-8A68-C7B1F4353A4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'71'!$Y$2:$AC$2</c:f>
              <c:numCache>
                <c:formatCode>#,##0.00</c:formatCode>
                <c:ptCount val="5"/>
                <c:pt idx="0">
                  <c:v>5.6069209862099996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D1-4345-8A68-C7B1F4353A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A3E-46BF-B309-55982217C4B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A3E-46BF-B309-55982217C4B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'71'!$AD$2:$AE$2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5.6069209862099996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3E-46BF-B309-55982217C4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455-4856-B558-B62F8FFED39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455-4856-B558-B62F8FFED39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455-4856-B558-B62F8FFED39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'71'!$M$7:$O$7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'71'!$AF$2:$AH$2</c:f>
              <c:numCache>
                <c:formatCode>#,##0.00</c:formatCode>
                <c:ptCount val="3"/>
                <c:pt idx="0">
                  <c:v>2.70876802039</c:v>
                </c:pt>
                <c:pt idx="1">
                  <c:v>2.89815296582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55-4856-B558-B62F8FFED3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1C-42D3-9873-0D2149FA0CA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1C-42D3-9873-0D2149FA0CA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11C-42D3-9873-0D2149FA0CA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'71'!$AI$2:$AK$2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2.70876802039</c:v>
                </c:pt>
                <c:pt idx="2">
                  <c:v>2.89815296582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1C-42D3-9873-0D2149FA0C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B9A-47B6-81DD-55DEECC81DC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B9A-47B6-81DD-55DEECC81DC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B9A-47B6-81DD-55DEECC81DC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'71'!$S$7:$U$7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'71'!$AL$2:$AN$2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2.70876802039</c:v>
                </c:pt>
                <c:pt idx="2">
                  <c:v>2.89815296582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9A-47B6-81DD-55DEECC81D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882-4BD5-A7BD-70A234778CD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882-4BD5-A7BD-70A234778CD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882-4BD5-A7BD-70A234778CDF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882-4BD5-A7BD-70A234778CDF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882-4BD5-A7BD-70A234778CD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'73'!$Y$2:$AC$2</c:f>
              <c:numCache>
                <c:formatCode>#,##0.00</c:formatCode>
                <c:ptCount val="5"/>
                <c:pt idx="0">
                  <c:v>34.951989122949996</c:v>
                </c:pt>
                <c:pt idx="1">
                  <c:v>#N/A</c:v>
                </c:pt>
                <c:pt idx="2">
                  <c:v>#N/A</c:v>
                </c:pt>
                <c:pt idx="3">
                  <c:v>10</c:v>
                </c:pt>
                <c:pt idx="4">
                  <c:v>4.0115949071999992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882-4BD5-A7BD-70A234778C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A64-4AD0-BFFB-8191BFE4116C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A64-4AD0-BFFB-8191BFE4116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'73'!$AD$2:$AE$2</c:f>
              <c:numCache>
                <c:formatCode>#,##0.00</c:formatCode>
                <c:ptCount val="2"/>
                <c:pt idx="0">
                  <c:v>48.963584030149995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64-4AD0-BFFB-8191BFE411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CD5-4AA4-B0CF-186BE4E037A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CD5-4AA4-B0CF-186BE4E037A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CD5-4AA4-B0CF-186BE4E037A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'73'!$M$7:$O$7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'73'!$AF$2:$AH$2</c:f>
              <c:numCache>
                <c:formatCode>#,##0.00</c:formatCode>
                <c:ptCount val="3"/>
                <c:pt idx="0">
                  <c:v>10</c:v>
                </c:pt>
                <c:pt idx="1">
                  <c:v>38.963584030149995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D5-4AA4-B0CF-186BE4E037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9FE-44AF-845E-7B41E5A04E8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9FE-44AF-845E-7B41E5A04E8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9FE-44AF-845E-7B41E5A04E8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'73'!$AI$2:$AK$2</c:f>
              <c:numCache>
                <c:formatCode>#,##0.00</c:formatCode>
                <c:ptCount val="3"/>
                <c:pt idx="0">
                  <c:v>23.763619988849999</c:v>
                </c:pt>
                <c:pt idx="1">
                  <c:v>#N/A</c:v>
                </c:pt>
                <c:pt idx="2">
                  <c:v>25.199964041299999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FE-44AF-845E-7B41E5A04E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A95-48F3-91E4-B37EAD6A975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A95-48F3-91E4-B37EAD6A975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A95-48F3-91E4-B37EAD6A975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'73'!$S$7:$U$7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'73'!$AL$2:$AN$2</c:f>
              <c:numCache>
                <c:formatCode>#,##0.00</c:formatCode>
                <c:ptCount val="3"/>
                <c:pt idx="0">
                  <c:v>23.763619988849999</c:v>
                </c:pt>
                <c:pt idx="1">
                  <c:v>25.199964041299999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95-48F3-91E4-B37EAD6A97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BB2-4C07-8834-677CFE31EC6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BB2-4C07-8834-677CFE31EC6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BB2-4C07-8834-677CFE31EC60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BB2-4C07-8834-677CFE31EC60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BB2-4C07-8834-677CFE31EC6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'74'!$Y$2:$AC$2</c:f>
              <c:numCache>
                <c:formatCode>#,##0.00</c:formatCode>
                <c:ptCount val="5"/>
                <c:pt idx="0">
                  <c:v>93.384097455160003</c:v>
                </c:pt>
                <c:pt idx="1">
                  <c:v>2</c:v>
                </c:pt>
                <c:pt idx="2">
                  <c:v>2.6612658058700003</c:v>
                </c:pt>
                <c:pt idx="3">
                  <c:v>3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BB2-4C07-8834-677CFE31EC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D3F-4809-A351-C26D399DCA42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D3F-4809-A351-C26D399DCA4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'74'!$AD$2:$AE$2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101.04536326103002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3F-4809-A351-C26D399DCA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DAB-480E-9050-65849875E28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DAB-480E-9050-65849875E28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DAB-480E-9050-65849875E28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'74'!$AF$2:$AH$2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101.04536326103002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AB-480E-9050-65849875E2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A46-4524-AC94-3FAA4D1B521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A46-4524-AC94-3FAA4D1B521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A46-4524-AC94-3FAA4D1B521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'74'!$AI$2:$AK$2</c:f>
              <c:numCache>
                <c:formatCode>#,##0.00</c:formatCode>
                <c:ptCount val="3"/>
                <c:pt idx="0">
                  <c:v>101.04536326103002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46-4524-AC94-3FAA4D1B52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FE-40E8-A7B4-43651088E0B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EFE-40E8-A7B4-43651088E0B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EFE-40E8-A7B4-43651088E0B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101.04536326103002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FE-40E8-A7B4-43651088E0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750-44A2-A06E-EECCFE3D240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750-44A2-A06E-EECCFE3D240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750-44A2-A06E-EECCFE3D240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750-44A2-A06E-EECCFE3D240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750-44A2-A06E-EECCFE3D240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'75'!$Y$2:$AC$2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2.1543770210100002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750-44A2-A06E-EECCFE3D24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44A-4853-B24D-6D1DDF15E51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44A-4853-B24D-6D1DDF15E51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'75'!$AD$2:$AE$2</c:f>
              <c:numCache>
                <c:formatCode>#,##0.00</c:formatCode>
                <c:ptCount val="2"/>
                <c:pt idx="0">
                  <c:v>2.1543770210100002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4A-4853-B24D-6D1DDF15E5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0C-4956-A10A-3A6B067FCCF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80C-4956-A10A-3A6B067FCCF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80C-4956-A10A-3A6B067FCCF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'75'!$AF$2:$AH$2</c:f>
              <c:numCache>
                <c:formatCode>#,##0.00</c:formatCode>
                <c:ptCount val="3"/>
                <c:pt idx="0">
                  <c:v>2.1543770210100002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0C-4956-A10A-3A6B067FCC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FF-4C8B-97E6-887ADDF9EAE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5FF-4C8B-97E6-887ADDF9EAE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5FF-4C8B-97E6-887ADDF9EAE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'75'!$AI$2:$AK$2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</c:v>
                </c:pt>
                <c:pt idx="2">
                  <c:v>1.1543770210100002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FF-4C8B-97E6-887ADDF9EA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AC-4AF8-8458-FDAFEE5FD08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AC-4AF8-8458-FDAFEE5FD08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9AC-4AF8-8458-FDAFEE5FD08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'75'!$AL$2:$AN$2</c:f>
              <c:numCache>
                <c:formatCode>#,##0.00</c:formatCode>
                <c:ptCount val="3"/>
                <c:pt idx="0">
                  <c:v>1</c:v>
                </c:pt>
                <c:pt idx="1">
                  <c:v>#N/A</c:v>
                </c:pt>
                <c:pt idx="2">
                  <c:v>1.1543770210100002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AC-4AF8-8458-FDAFEE5FD0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D0-42F3-A03E-EBA74997285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D0-42F3-A03E-EBA74997285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9D0-42F3-A03E-EBA74997285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9D0-42F3-A03E-EBA74997285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9D0-42F3-A03E-EBA74997285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'77'!$Y$2:$AC$2</c:f>
              <c:numCache>
                <c:formatCode>#,##0.00</c:formatCode>
                <c:ptCount val="5"/>
                <c:pt idx="0">
                  <c:v>72.748664507816002</c:v>
                </c:pt>
                <c:pt idx="1">
                  <c:v>7</c:v>
                </c:pt>
                <c:pt idx="2">
                  <c:v>12.299499818099999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D0-42F3-A03E-EBA7499728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CA2-4931-8D5C-65A4764CDBF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CA2-4931-8D5C-65A4764CDBF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'77'!$AD$2:$AE$2</c:f>
              <c:numCache>
                <c:formatCode>#,##0.00</c:formatCode>
                <c:ptCount val="2"/>
                <c:pt idx="0">
                  <c:v>92.048164325916005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A2-4931-8D5C-65A4764CDB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AA4-439B-8E07-FA4989AB536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AA4-439B-8E07-FA4989AB536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AA4-439B-8E07-FA4989AB536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'77'!$M$7:$O$7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'77'!$AF$2:$AH$2</c:f>
              <c:numCache>
                <c:formatCode>#,##0.00</c:formatCode>
                <c:ptCount val="3"/>
                <c:pt idx="0">
                  <c:v>7.69077087362</c:v>
                </c:pt>
                <c:pt idx="1">
                  <c:v>77.062574839096001</c:v>
                </c:pt>
                <c:pt idx="2">
                  <c:v>7.2948186132000004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A4-439B-8E07-FA4989AB53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6D6-4564-9060-CFBC6A2CB4E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6D6-4564-9060-CFBC6A2CB4E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6D6-4564-9060-CFBC6A2CB4E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'77'!$AI$2:$AK$2</c:f>
              <c:numCache>
                <c:formatCode>#,##0.00</c:formatCode>
                <c:ptCount val="3"/>
                <c:pt idx="0">
                  <c:v>90.357393452295995</c:v>
                </c:pt>
                <c:pt idx="1">
                  <c:v>1.69077087362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D6-4564-9060-CFBC6A2CB4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306-4EF2-90EB-B6B79EE87D0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306-4EF2-90EB-B6B79EE87D0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306-4EF2-90EB-B6B79EE87D0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'77'!$S$7:$U$7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'77'!$AL$2:$AN$2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43.624230902919997</c:v>
                </c:pt>
                <c:pt idx="2">
                  <c:v>48.423933422995994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06-4EF2-90EB-B6B79EE87D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6AF-4BD4-A6FD-E66A4D421B2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6AF-4BD4-A6FD-E66A4D421B2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6AF-4BD4-A6FD-E66A4D421B27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6AF-4BD4-A6FD-E66A4D421B27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6AF-4BD4-A6FD-E66A4D421B2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'78'!$Y$2:$AC$2</c:f>
              <c:numCache>
                <c:formatCode>#,##0.00</c:formatCode>
                <c:ptCount val="5"/>
                <c:pt idx="0">
                  <c:v>7.7776106462400003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AF-4BD4-A6FD-E66A4D421B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FB-4EB6-A87A-7734663D3312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FB-4EB6-A87A-7734663D331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'78'!$AD$2:$AE$2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7.7776106462400003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FB-4EB6-A87A-7734663D33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B2-40BE-8F5E-B2A61D5407D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B2-40BE-8F5E-B2A61D5407D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B2-40BE-8F5E-B2A61D5407D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7.7776106462400003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B2-40BE-8F5E-B2A61D5407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1C-49C3-A61B-BC9C4CAD436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1C-49C3-A61B-BC9C4CAD436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41C-49C3-A61B-BC9C4CAD436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'78'!$AI$2:$AK$2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7.7776106462400003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1C-49C3-A61B-BC9C4CAD43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B52-4178-BA8C-8BBE341CC07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B52-4178-BA8C-8BBE341CC07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B52-4178-BA8C-8BBE341CC07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'78'!$AL$2:$AN$2</c:f>
              <c:numCache>
                <c:formatCode>#,##0.00</c:formatCode>
                <c:ptCount val="3"/>
                <c:pt idx="0">
                  <c:v>7.7776106462400003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52-4178-BA8C-8BBE341CC0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7CE-454A-90B3-F34C5AA67C0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7CE-454A-90B3-F34C5AA67C0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7CE-454A-90B3-F34C5AA67C0C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7CE-454A-90B3-F34C5AA67C0C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7CE-454A-90B3-F34C5AA67C0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'80'!$Y$2:$AC$2</c:f>
              <c:numCache>
                <c:formatCode>#,##0.00</c:formatCode>
                <c:ptCount val="5"/>
                <c:pt idx="0">
                  <c:v>20.839326820260002</c:v>
                </c:pt>
                <c:pt idx="1">
                  <c:v>16.657131403640001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CE-454A-90B3-F34C5AA67C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F4A-4BAA-B0F1-86F36B7B925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F4A-4BAA-B0F1-86F36B7B925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'80'!$AD$2:$AE$2</c:f>
              <c:numCache>
                <c:formatCode>#,##0.00</c:formatCode>
                <c:ptCount val="2"/>
                <c:pt idx="0">
                  <c:v>37.496458223900007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4A-4BAA-B0F1-86F36B7B92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244-4EA5-BF0D-E13B1F83ADC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244-4EA5-BF0D-E13B1F83ADC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244-4EA5-BF0D-E13B1F83ADC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'80'!$AF$2:$AH$2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37.496458223900007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44-4EA5-BF0D-E13B1F83AD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787-4C44-A141-EB9619FB571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787-4C44-A141-EB9619FB571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787-4C44-A141-EB9619FB571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'80'!$AI$2:$AK$2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37.496458223900007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87-4C44-A141-EB9619FB57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8F4-4323-8293-7B05827E2CE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8F4-4323-8293-7B05827E2CE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8F4-4323-8293-7B05827E2CE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'80'!$AL$2:$AN$2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37.496458223900007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F4-4323-8293-7B05827E2C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27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27</xdr:col>
      <xdr:colOff>0</xdr:colOff>
      <xdr:row>19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21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6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9" width="9.42578125" customWidth="1"/>
    <col min="20" max="20" width="26" customWidth="1"/>
  </cols>
  <sheetData>
    <row r="1" spans="1:37" ht="20.100000000000001" customHeight="1" x14ac:dyDescent="0.25">
      <c r="A1" s="39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V1" s="1" t="s">
        <v>1</v>
      </c>
    </row>
    <row r="2" spans="1:37" ht="20.100000000000001" customHeight="1" x14ac:dyDescent="0.25">
      <c r="A2" s="33" t="s">
        <v>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V2" s="2">
        <f t="shared" ref="V2:AK2" si="0">IF(D15=0,NA(),D15)</f>
        <v>339.16627626633601</v>
      </c>
      <c r="W2" s="2">
        <f t="shared" si="0"/>
        <v>27.81150842465</v>
      </c>
      <c r="X2" s="2">
        <f t="shared" si="0"/>
        <v>14.96076562397</v>
      </c>
      <c r="Y2" s="2">
        <f t="shared" si="0"/>
        <v>35.147414005190001</v>
      </c>
      <c r="Z2" s="2">
        <f t="shared" si="0"/>
        <v>5.0115949071999992</v>
      </c>
      <c r="AA2" s="2">
        <f t="shared" si="0"/>
        <v>307.66766433386601</v>
      </c>
      <c r="AB2" s="2">
        <f t="shared" si="0"/>
        <v>114.42989489348003</v>
      </c>
      <c r="AC2" s="2">
        <f t="shared" si="0"/>
        <v>22.553915915019999</v>
      </c>
      <c r="AD2" s="2">
        <f t="shared" si="0"/>
        <v>392.24882469912603</v>
      </c>
      <c r="AE2" s="2">
        <f t="shared" si="0"/>
        <v>7.2948186132000004</v>
      </c>
      <c r="AF2" s="2">
        <f t="shared" si="0"/>
        <v>342.17145743506603</v>
      </c>
      <c r="AG2" s="2">
        <f t="shared" si="0"/>
        <v>50.673607764150006</v>
      </c>
      <c r="AH2" s="2">
        <f t="shared" si="0"/>
        <v>29.252494028129998</v>
      </c>
      <c r="AI2" s="2">
        <f t="shared" si="0"/>
        <v>87.114530622190003</v>
      </c>
      <c r="AJ2" s="2">
        <f t="shared" si="0"/>
        <v>282.50656519533004</v>
      </c>
      <c r="AK2" s="2">
        <f t="shared" si="0"/>
        <v>52.476463409825996</v>
      </c>
    </row>
    <row r="4" spans="1:37" ht="26.1" customHeight="1" x14ac:dyDescent="0.25">
      <c r="A4" s="27" t="s">
        <v>3</v>
      </c>
      <c r="B4" s="27" t="s">
        <v>4</v>
      </c>
      <c r="C4" s="27" t="s">
        <v>5</v>
      </c>
      <c r="D4" s="27" t="s">
        <v>6</v>
      </c>
      <c r="E4" s="28"/>
      <c r="F4" s="28"/>
      <c r="G4" s="28"/>
      <c r="H4" s="29"/>
      <c r="I4" s="27" t="s">
        <v>7</v>
      </c>
      <c r="J4" s="29"/>
      <c r="K4" s="27" t="s">
        <v>8</v>
      </c>
      <c r="L4" s="28"/>
      <c r="M4" s="29"/>
      <c r="N4" s="27" t="s">
        <v>9</v>
      </c>
      <c r="O4" s="28"/>
      <c r="P4" s="29"/>
      <c r="Q4" s="27" t="s">
        <v>10</v>
      </c>
      <c r="R4" s="28"/>
      <c r="S4" s="29"/>
      <c r="T4" s="27" t="s">
        <v>11</v>
      </c>
    </row>
    <row r="5" spans="1:37" ht="18" customHeight="1" x14ac:dyDescent="0.25">
      <c r="A5" s="32"/>
      <c r="B5" s="32"/>
      <c r="C5" s="32"/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159</v>
      </c>
      <c r="L5" s="3" t="s">
        <v>160</v>
      </c>
      <c r="M5" s="3" t="s">
        <v>161</v>
      </c>
      <c r="N5" s="3" t="s">
        <v>12</v>
      </c>
      <c r="O5" s="3" t="s">
        <v>19</v>
      </c>
      <c r="P5" s="3" t="s">
        <v>162</v>
      </c>
      <c r="Q5" s="3" t="s">
        <v>12</v>
      </c>
      <c r="R5" s="3" t="s">
        <v>163</v>
      </c>
      <c r="S5" s="3" t="s">
        <v>162</v>
      </c>
      <c r="T5" s="32"/>
    </row>
    <row r="6" spans="1:37" x14ac:dyDescent="0.25">
      <c r="A6" s="5">
        <v>68</v>
      </c>
      <c r="B6" s="6" t="s">
        <v>20</v>
      </c>
      <c r="C6" s="7">
        <f>'68'!R95</f>
        <v>72.431780745790007</v>
      </c>
      <c r="D6" s="7">
        <f>'68'!F92</f>
        <v>53.284366740599999</v>
      </c>
      <c r="E6" s="7">
        <f>'68'!G92</f>
        <v>0</v>
      </c>
      <c r="F6" s="7">
        <f>'68'!H92</f>
        <v>0</v>
      </c>
      <c r="G6" s="7">
        <f>'68'!I92</f>
        <v>19.147414005190001</v>
      </c>
      <c r="H6" s="7">
        <f>'68'!J92</f>
        <v>0</v>
      </c>
      <c r="I6" s="7">
        <f>'68'!K92</f>
        <v>72.431780745790007</v>
      </c>
      <c r="J6" s="7">
        <f>'68'!L92</f>
        <v>0</v>
      </c>
      <c r="K6" s="7">
        <f>'68'!M92</f>
        <v>0</v>
      </c>
      <c r="L6" s="7">
        <f>'68'!N92</f>
        <v>72.431780745790007</v>
      </c>
      <c r="M6" s="7">
        <f>'68'!O92</f>
        <v>0</v>
      </c>
      <c r="N6" s="7">
        <f>'68'!P92</f>
        <v>72.431780745790007</v>
      </c>
      <c r="O6" s="7">
        <f>'68'!Q92</f>
        <v>0</v>
      </c>
      <c r="P6" s="7">
        <f>'68'!R92</f>
        <v>0</v>
      </c>
      <c r="Q6" s="7">
        <f>'68'!S92</f>
        <v>0</v>
      </c>
      <c r="R6" s="7">
        <f>'68'!T92</f>
        <v>72.431780745790007</v>
      </c>
      <c r="S6" s="7">
        <f>'68'!U92</f>
        <v>0</v>
      </c>
      <c r="T6" s="5" t="str">
        <f t="shared" ref="T6:T14" si="1">IF(SUM(D6:H6)=0,"— não preenchido",IF(ROUND(SUM(D6:H6)-C6,3)=0,"OK","ERRO — dif. de "&amp;ROUND(SUM(D6:H6)-C6,3)&amp;" km"))</f>
        <v>OK</v>
      </c>
    </row>
    <row r="7" spans="1:37" x14ac:dyDescent="0.25">
      <c r="A7" s="5">
        <v>70</v>
      </c>
      <c r="B7" s="6" t="s">
        <v>21</v>
      </c>
      <c r="C7" s="7">
        <f>'70'!R72</f>
        <v>54.5732999871</v>
      </c>
      <c r="D7" s="7">
        <f>'70'!F69</f>
        <v>50.5732999871</v>
      </c>
      <c r="E7" s="7">
        <f>'70'!G69</f>
        <v>0</v>
      </c>
      <c r="F7" s="7">
        <f>'70'!H69</f>
        <v>0</v>
      </c>
      <c r="G7" s="7">
        <f>'70'!I69</f>
        <v>3</v>
      </c>
      <c r="H7" s="7">
        <f>'70'!J69</f>
        <v>1</v>
      </c>
      <c r="I7" s="7">
        <f>'70'!K69</f>
        <v>54.5732999871</v>
      </c>
      <c r="J7" s="7">
        <f>'70'!L69</f>
        <v>0</v>
      </c>
      <c r="K7" s="7">
        <f>'70'!M69</f>
        <v>0</v>
      </c>
      <c r="L7" s="7">
        <f>'70'!N69</f>
        <v>54.5732999871</v>
      </c>
      <c r="M7" s="7">
        <f>'70'!O69</f>
        <v>0</v>
      </c>
      <c r="N7" s="7">
        <f>'70'!P69</f>
        <v>54.5732999871</v>
      </c>
      <c r="O7" s="7">
        <f>'70'!Q69</f>
        <v>0</v>
      </c>
      <c r="P7" s="7">
        <f>'70'!R69</f>
        <v>0</v>
      </c>
      <c r="Q7" s="7">
        <f>'70'!S69</f>
        <v>54.5732999871</v>
      </c>
      <c r="R7" s="7">
        <f>'70'!T69</f>
        <v>0</v>
      </c>
      <c r="S7" s="7">
        <f>'70'!U69</f>
        <v>0</v>
      </c>
      <c r="T7" s="5" t="str">
        <f t="shared" si="1"/>
        <v>OK</v>
      </c>
    </row>
    <row r="8" spans="1:37" x14ac:dyDescent="0.25">
      <c r="A8" s="5">
        <v>71</v>
      </c>
      <c r="B8" s="6" t="s">
        <v>22</v>
      </c>
      <c r="C8" s="7">
        <f>'71'!R25</f>
        <v>5.6069209862099996</v>
      </c>
      <c r="D8" s="7">
        <f>'71'!F22</f>
        <v>5.6069209862099996</v>
      </c>
      <c r="E8" s="7">
        <f>'71'!G22</f>
        <v>0</v>
      </c>
      <c r="F8" s="7">
        <f>'71'!H22</f>
        <v>0</v>
      </c>
      <c r="G8" s="7">
        <f>'71'!I22</f>
        <v>0</v>
      </c>
      <c r="H8" s="7">
        <f>'71'!J22</f>
        <v>0</v>
      </c>
      <c r="I8" s="7">
        <f>'71'!K22</f>
        <v>0</v>
      </c>
      <c r="J8" s="7">
        <f>'71'!L22</f>
        <v>5.6069209862099996</v>
      </c>
      <c r="K8" s="7">
        <f>'71'!M22</f>
        <v>2.70876802039</v>
      </c>
      <c r="L8" s="7">
        <f>'71'!N22</f>
        <v>2.89815296582</v>
      </c>
      <c r="M8" s="7">
        <f>'71'!O22</f>
        <v>0</v>
      </c>
      <c r="N8" s="7">
        <f>'71'!P22</f>
        <v>0</v>
      </c>
      <c r="O8" s="7">
        <f>'71'!Q22</f>
        <v>2.70876802039</v>
      </c>
      <c r="P8" s="7">
        <f>'71'!R22</f>
        <v>2.89815296582</v>
      </c>
      <c r="Q8" s="7">
        <f>'71'!S22</f>
        <v>0</v>
      </c>
      <c r="R8" s="7">
        <f>'71'!T22</f>
        <v>2.70876802039</v>
      </c>
      <c r="S8" s="7">
        <f>'71'!U22</f>
        <v>2.89815296582</v>
      </c>
      <c r="T8" s="5" t="str">
        <f t="shared" si="1"/>
        <v>OK</v>
      </c>
    </row>
    <row r="9" spans="1:37" x14ac:dyDescent="0.25">
      <c r="A9" s="5">
        <v>73</v>
      </c>
      <c r="B9" s="6" t="s">
        <v>23</v>
      </c>
      <c r="C9" s="7">
        <f>'73'!R70</f>
        <v>48.963584030149995</v>
      </c>
      <c r="D9" s="7">
        <f>'73'!F67</f>
        <v>34.951989122949996</v>
      </c>
      <c r="E9" s="7">
        <f>'73'!G67</f>
        <v>0</v>
      </c>
      <c r="F9" s="7">
        <f>'73'!H67</f>
        <v>0</v>
      </c>
      <c r="G9" s="7">
        <f>'73'!I67</f>
        <v>10</v>
      </c>
      <c r="H9" s="7">
        <f>'73'!J67</f>
        <v>4.0115949071999992</v>
      </c>
      <c r="I9" s="7">
        <f>'73'!K67</f>
        <v>48.963584030149995</v>
      </c>
      <c r="J9" s="7">
        <f>'73'!L67</f>
        <v>0</v>
      </c>
      <c r="K9" s="7">
        <f>'73'!M67</f>
        <v>10</v>
      </c>
      <c r="L9" s="7">
        <f>'73'!N67</f>
        <v>38.963584030149995</v>
      </c>
      <c r="M9" s="7">
        <f>'73'!O67</f>
        <v>0</v>
      </c>
      <c r="N9" s="7">
        <f>'73'!P67</f>
        <v>23.763619988849999</v>
      </c>
      <c r="O9" s="7">
        <f>'73'!Q67</f>
        <v>0</v>
      </c>
      <c r="P9" s="7">
        <f>'73'!R67</f>
        <v>25.199964041299999</v>
      </c>
      <c r="Q9" s="7">
        <f>'73'!S67</f>
        <v>23.763619988849999</v>
      </c>
      <c r="R9" s="7">
        <f>'73'!T67</f>
        <v>25.199964041299999</v>
      </c>
      <c r="S9" s="7">
        <f>'73'!U67</f>
        <v>0</v>
      </c>
      <c r="T9" s="5" t="str">
        <f t="shared" si="1"/>
        <v>OK</v>
      </c>
    </row>
    <row r="10" spans="1:37" x14ac:dyDescent="0.25">
      <c r="A10" s="5">
        <v>74</v>
      </c>
      <c r="B10" s="6" t="s">
        <v>24</v>
      </c>
      <c r="C10" s="7">
        <f>'74'!R128</f>
        <v>101.04536326103002</v>
      </c>
      <c r="D10" s="7">
        <f>'74'!F125</f>
        <v>93.384097455160003</v>
      </c>
      <c r="E10" s="7">
        <f>'74'!G125</f>
        <v>2</v>
      </c>
      <c r="F10" s="7">
        <f>'74'!H125</f>
        <v>2.6612658058700003</v>
      </c>
      <c r="G10" s="7">
        <f>'74'!I125</f>
        <v>3</v>
      </c>
      <c r="H10" s="7">
        <f>'74'!J125</f>
        <v>0</v>
      </c>
      <c r="I10" s="7">
        <f>'74'!K125</f>
        <v>0</v>
      </c>
      <c r="J10" s="7">
        <f>'74'!L125</f>
        <v>101.04536326103002</v>
      </c>
      <c r="K10" s="7">
        <f>'74'!M125</f>
        <v>0</v>
      </c>
      <c r="L10" s="7">
        <f>'74'!N125</f>
        <v>101.04536326103002</v>
      </c>
      <c r="M10" s="7">
        <f>'74'!O125</f>
        <v>0</v>
      </c>
      <c r="N10" s="7">
        <f>'74'!P125</f>
        <v>101.04536326103002</v>
      </c>
      <c r="O10" s="7">
        <f>'74'!Q125</f>
        <v>0</v>
      </c>
      <c r="P10" s="7">
        <f>'74'!R125</f>
        <v>0</v>
      </c>
      <c r="Q10" s="7">
        <f>'74'!S125</f>
        <v>0</v>
      </c>
      <c r="R10" s="7">
        <f>'74'!T125</f>
        <v>101.04536326103002</v>
      </c>
      <c r="S10" s="7">
        <f>'74'!U125</f>
        <v>0</v>
      </c>
      <c r="T10" s="5" t="str">
        <f t="shared" si="1"/>
        <v>OK</v>
      </c>
    </row>
    <row r="11" spans="1:37" x14ac:dyDescent="0.25">
      <c r="A11" s="5">
        <v>75</v>
      </c>
      <c r="B11" s="6" t="s">
        <v>25</v>
      </c>
      <c r="C11" s="7">
        <f>'75'!R20</f>
        <v>2.1543770210100002</v>
      </c>
      <c r="D11" s="7">
        <f>'75'!F17</f>
        <v>0</v>
      </c>
      <c r="E11" s="7">
        <f>'75'!G17</f>
        <v>2.1543770210100002</v>
      </c>
      <c r="F11" s="7">
        <f>'75'!H17</f>
        <v>0</v>
      </c>
      <c r="G11" s="7">
        <f>'75'!I17</f>
        <v>0</v>
      </c>
      <c r="H11" s="7">
        <f>'75'!J17</f>
        <v>0</v>
      </c>
      <c r="I11" s="7">
        <f>'75'!K17</f>
        <v>2.1543770210100002</v>
      </c>
      <c r="J11" s="7">
        <f>'75'!L17</f>
        <v>0</v>
      </c>
      <c r="K11" s="7">
        <f>'75'!M17</f>
        <v>2.1543770210100002</v>
      </c>
      <c r="L11" s="7">
        <f>'75'!N17</f>
        <v>0</v>
      </c>
      <c r="M11" s="7">
        <f>'75'!O17</f>
        <v>0</v>
      </c>
      <c r="N11" s="7">
        <f>'75'!P17</f>
        <v>0</v>
      </c>
      <c r="O11" s="7">
        <f>'75'!Q17</f>
        <v>1</v>
      </c>
      <c r="P11" s="7">
        <f>'75'!R17</f>
        <v>1.1543770210100002</v>
      </c>
      <c r="Q11" s="7">
        <f>'75'!S17</f>
        <v>1</v>
      </c>
      <c r="R11" s="7">
        <f>'75'!T17</f>
        <v>0</v>
      </c>
      <c r="S11" s="7">
        <f>'75'!U17</f>
        <v>1.1543770210100002</v>
      </c>
      <c r="T11" s="5" t="str">
        <f t="shared" si="1"/>
        <v>OK</v>
      </c>
    </row>
    <row r="12" spans="1:37" x14ac:dyDescent="0.25">
      <c r="A12" s="5">
        <v>77</v>
      </c>
      <c r="B12" s="6" t="s">
        <v>26</v>
      </c>
      <c r="C12" s="7">
        <f>'77'!R119</f>
        <v>92.048164325916005</v>
      </c>
      <c r="D12" s="7">
        <f>'77'!F116</f>
        <v>72.748664507816002</v>
      </c>
      <c r="E12" s="7">
        <f>'77'!G116</f>
        <v>7</v>
      </c>
      <c r="F12" s="7">
        <f>'77'!H116</f>
        <v>12.299499818099999</v>
      </c>
      <c r="G12" s="7">
        <f>'77'!I116</f>
        <v>0</v>
      </c>
      <c r="H12" s="7">
        <f>'77'!J116</f>
        <v>0</v>
      </c>
      <c r="I12" s="7">
        <f>'77'!K116</f>
        <v>92.048164325916005</v>
      </c>
      <c r="J12" s="7">
        <f>'77'!L116</f>
        <v>0</v>
      </c>
      <c r="K12" s="7">
        <f>'77'!M116</f>
        <v>7.69077087362</v>
      </c>
      <c r="L12" s="7">
        <f>'77'!N116</f>
        <v>77.062574839096001</v>
      </c>
      <c r="M12" s="7">
        <f>'77'!O116</f>
        <v>7.2948186132000004</v>
      </c>
      <c r="N12" s="7">
        <f>'77'!P116</f>
        <v>90.357393452295995</v>
      </c>
      <c r="O12" s="7">
        <f>'77'!Q116</f>
        <v>1.69077087362</v>
      </c>
      <c r="P12" s="7">
        <f>'77'!R116</f>
        <v>0</v>
      </c>
      <c r="Q12" s="7">
        <f>'77'!S116</f>
        <v>0</v>
      </c>
      <c r="R12" s="7">
        <f>'77'!T116</f>
        <v>43.624230902919997</v>
      </c>
      <c r="S12" s="7">
        <f>'77'!U116</f>
        <v>48.423933422995994</v>
      </c>
      <c r="T12" s="5" t="str">
        <f t="shared" si="1"/>
        <v>OK</v>
      </c>
    </row>
    <row r="13" spans="1:37" x14ac:dyDescent="0.25">
      <c r="A13" s="5">
        <v>78</v>
      </c>
      <c r="B13" s="6" t="s">
        <v>27</v>
      </c>
      <c r="C13" s="7">
        <f>'78'!R25</f>
        <v>7.7776106462400003</v>
      </c>
      <c r="D13" s="7">
        <f>'78'!F22</f>
        <v>7.7776106462400003</v>
      </c>
      <c r="E13" s="7">
        <f>'78'!G22</f>
        <v>0</v>
      </c>
      <c r="F13" s="7">
        <f>'78'!H22</f>
        <v>0</v>
      </c>
      <c r="G13" s="7">
        <f>'78'!I22</f>
        <v>0</v>
      </c>
      <c r="H13" s="7">
        <f>'78'!J22</f>
        <v>0</v>
      </c>
      <c r="I13" s="7">
        <f>'78'!K22</f>
        <v>0</v>
      </c>
      <c r="J13" s="7">
        <f>'78'!L22</f>
        <v>7.7776106462400003</v>
      </c>
      <c r="K13" s="7">
        <f>'78'!M22</f>
        <v>0</v>
      </c>
      <c r="L13" s="7">
        <f>'78'!N22</f>
        <v>7.7776106462400003</v>
      </c>
      <c r="M13" s="7">
        <f>'78'!O22</f>
        <v>0</v>
      </c>
      <c r="N13" s="7">
        <f>'78'!P22</f>
        <v>0</v>
      </c>
      <c r="O13" s="7">
        <f>'78'!Q22</f>
        <v>7.7776106462400003</v>
      </c>
      <c r="P13" s="7">
        <f>'78'!R22</f>
        <v>0</v>
      </c>
      <c r="Q13" s="7">
        <f>'78'!S22</f>
        <v>7.7776106462400003</v>
      </c>
      <c r="R13" s="7">
        <f>'78'!T22</f>
        <v>0</v>
      </c>
      <c r="S13" s="7">
        <f>'78'!U22</f>
        <v>0</v>
      </c>
      <c r="T13" s="5" t="str">
        <f t="shared" si="1"/>
        <v>OK</v>
      </c>
    </row>
    <row r="14" spans="1:37" x14ac:dyDescent="0.25">
      <c r="A14" s="5">
        <v>80</v>
      </c>
      <c r="B14" s="6" t="s">
        <v>28</v>
      </c>
      <c r="C14" s="7">
        <f>'80'!R58</f>
        <v>37.496458223900007</v>
      </c>
      <c r="D14" s="7">
        <f>'80'!F55</f>
        <v>20.839326820260002</v>
      </c>
      <c r="E14" s="7">
        <f>'80'!G55</f>
        <v>16.657131403640001</v>
      </c>
      <c r="F14" s="7">
        <f>'80'!H55</f>
        <v>0</v>
      </c>
      <c r="G14" s="7">
        <f>'80'!I55</f>
        <v>0</v>
      </c>
      <c r="H14" s="7">
        <f>'80'!J55</f>
        <v>0</v>
      </c>
      <c r="I14" s="7">
        <f>'80'!K55</f>
        <v>37.496458223900007</v>
      </c>
      <c r="J14" s="7">
        <f>'80'!L55</f>
        <v>0</v>
      </c>
      <c r="K14" s="7">
        <f>'80'!M55</f>
        <v>0</v>
      </c>
      <c r="L14" s="7">
        <f>'80'!N55</f>
        <v>37.496458223900007</v>
      </c>
      <c r="M14" s="7">
        <f>'80'!O55</f>
        <v>0</v>
      </c>
      <c r="N14" s="7">
        <f>'80'!P55</f>
        <v>0</v>
      </c>
      <c r="O14" s="7">
        <f>'80'!Q55</f>
        <v>37.496458223900007</v>
      </c>
      <c r="P14" s="7">
        <f>'80'!R55</f>
        <v>0</v>
      </c>
      <c r="Q14" s="7">
        <f>'80'!S55</f>
        <v>0</v>
      </c>
      <c r="R14" s="7">
        <f>'80'!T55</f>
        <v>37.496458223900007</v>
      </c>
      <c r="S14" s="7">
        <f>'80'!U55</f>
        <v>0</v>
      </c>
      <c r="T14" s="5" t="str">
        <f t="shared" si="1"/>
        <v>OK</v>
      </c>
    </row>
    <row r="15" spans="1:37" x14ac:dyDescent="0.25">
      <c r="B15" s="8" t="s">
        <v>29</v>
      </c>
      <c r="C15" s="9">
        <f t="shared" ref="C15:S15" si="2">SUM(C6:C14)</f>
        <v>422.09755922734604</v>
      </c>
      <c r="D15" s="9">
        <f t="shared" si="2"/>
        <v>339.16627626633601</v>
      </c>
      <c r="E15" s="9">
        <f t="shared" si="2"/>
        <v>27.81150842465</v>
      </c>
      <c r="F15" s="9">
        <f t="shared" si="2"/>
        <v>14.96076562397</v>
      </c>
      <c r="G15" s="9">
        <f t="shared" si="2"/>
        <v>35.147414005190001</v>
      </c>
      <c r="H15" s="9">
        <f t="shared" si="2"/>
        <v>5.0115949071999992</v>
      </c>
      <c r="I15" s="9">
        <f t="shared" si="2"/>
        <v>307.66766433386601</v>
      </c>
      <c r="J15" s="9">
        <f t="shared" si="2"/>
        <v>114.42989489348003</v>
      </c>
      <c r="K15" s="9">
        <f t="shared" si="2"/>
        <v>22.553915915019999</v>
      </c>
      <c r="L15" s="9">
        <f t="shared" si="2"/>
        <v>392.24882469912603</v>
      </c>
      <c r="M15" s="9">
        <f t="shared" si="2"/>
        <v>7.2948186132000004</v>
      </c>
      <c r="N15" s="9">
        <f t="shared" si="2"/>
        <v>342.17145743506603</v>
      </c>
      <c r="O15" s="9">
        <f t="shared" si="2"/>
        <v>50.673607764150006</v>
      </c>
      <c r="P15" s="9">
        <f t="shared" si="2"/>
        <v>29.252494028129998</v>
      </c>
      <c r="Q15" s="9">
        <f t="shared" si="2"/>
        <v>87.114530622190003</v>
      </c>
      <c r="R15" s="9">
        <f t="shared" si="2"/>
        <v>282.50656519533004</v>
      </c>
      <c r="S15" s="9">
        <f t="shared" si="2"/>
        <v>52.476463409825996</v>
      </c>
    </row>
    <row r="16" spans="1:37" x14ac:dyDescent="0.25">
      <c r="B16" s="8" t="s">
        <v>30</v>
      </c>
      <c r="D16" s="10">
        <f>SUM(D15:H15)/422.1</f>
        <v>0.99999421754879414</v>
      </c>
      <c r="I16" s="11" t="s">
        <v>31</v>
      </c>
    </row>
  </sheetData>
  <mergeCells count="11">
    <mergeCell ref="A1:T1"/>
    <mergeCell ref="I4:J4"/>
    <mergeCell ref="B4:B5"/>
    <mergeCell ref="C4:C5"/>
    <mergeCell ref="A4:A5"/>
    <mergeCell ref="K4:M4"/>
    <mergeCell ref="T4:T5"/>
    <mergeCell ref="Q4:S4"/>
    <mergeCell ref="A2:T2"/>
    <mergeCell ref="N4:P4"/>
    <mergeCell ref="D4:H4"/>
  </mergeCells>
  <conditionalFormatting sqref="T6:T14">
    <cfRule type="expression" dxfId="84" priority="1">
      <formula>LEFT(T6,4)="ERRO"</formula>
    </cfRule>
    <cfRule type="expression" dxfId="83" priority="2">
      <formula>T6="OK"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N106"/>
  <sheetViews>
    <sheetView showGridLines="0" tabSelected="1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39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Y1" s="1" t="s">
        <v>1</v>
      </c>
    </row>
    <row r="2" spans="1:40" ht="17.100000000000001" customHeight="1" x14ac:dyDescent="0.25">
      <c r="A2" s="43" t="s">
        <v>33</v>
      </c>
      <c r="B2" s="31"/>
      <c r="C2" s="31"/>
      <c r="D2" s="31"/>
      <c r="E2" s="31"/>
      <c r="F2" s="31"/>
      <c r="G2" s="40" t="s">
        <v>34</v>
      </c>
      <c r="H2" s="31"/>
      <c r="I2" s="46">
        <v>46235</v>
      </c>
      <c r="J2" s="45"/>
      <c r="K2" s="40" t="s">
        <v>35</v>
      </c>
      <c r="L2" s="31"/>
      <c r="M2" s="31"/>
      <c r="N2" s="44"/>
      <c r="O2" s="45"/>
      <c r="P2" s="40" t="s">
        <v>36</v>
      </c>
      <c r="Q2" s="31"/>
      <c r="R2" s="47" t="s">
        <v>158</v>
      </c>
      <c r="S2" s="48"/>
      <c r="T2" s="48"/>
      <c r="U2" s="48"/>
      <c r="V2" s="45"/>
      <c r="Y2" s="2">
        <f t="shared" ref="Y2:AN2" si="0">IF(F92=0,NA(),F92)</f>
        <v>53.284366740599999</v>
      </c>
      <c r="Z2" s="2" t="e">
        <f t="shared" si="0"/>
        <v>#N/A</v>
      </c>
      <c r="AA2" s="2" t="e">
        <f t="shared" si="0"/>
        <v>#N/A</v>
      </c>
      <c r="AB2" s="2">
        <f t="shared" si="0"/>
        <v>19.147414005190001</v>
      </c>
      <c r="AC2" s="2" t="e">
        <f t="shared" si="0"/>
        <v>#N/A</v>
      </c>
      <c r="AD2" s="2">
        <f t="shared" si="0"/>
        <v>72.431780745790007</v>
      </c>
      <c r="AE2" s="2" t="e">
        <f t="shared" si="0"/>
        <v>#N/A</v>
      </c>
      <c r="AF2" s="2" t="e">
        <f t="shared" si="0"/>
        <v>#N/A</v>
      </c>
      <c r="AG2" s="2">
        <f t="shared" si="0"/>
        <v>72.431780745790007</v>
      </c>
      <c r="AH2" s="2" t="e">
        <f t="shared" si="0"/>
        <v>#N/A</v>
      </c>
      <c r="AI2" s="2">
        <f t="shared" si="0"/>
        <v>72.431780745790007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72.431780745790007</v>
      </c>
      <c r="AN2" s="2" t="e">
        <f t="shared" si="0"/>
        <v>#N/A</v>
      </c>
    </row>
    <row r="3" spans="1:40" ht="15" customHeight="1" x14ac:dyDescent="0.25">
      <c r="A3" s="49" t="s">
        <v>37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0" t="s">
        <v>38</v>
      </c>
      <c r="U3" s="31"/>
      <c r="V3" s="31"/>
    </row>
    <row r="4" spans="1:40" ht="20.100000000000001" customHeight="1" x14ac:dyDescent="0.25">
      <c r="A4" s="33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6" spans="1:40" ht="21.95" customHeight="1" x14ac:dyDescent="0.25">
      <c r="A6" s="27" t="s">
        <v>40</v>
      </c>
      <c r="B6" s="27" t="s">
        <v>41</v>
      </c>
      <c r="C6" s="27" t="s">
        <v>42</v>
      </c>
      <c r="D6" s="27" t="s">
        <v>43</v>
      </c>
      <c r="E6" s="27" t="s">
        <v>44</v>
      </c>
      <c r="F6" s="27" t="s">
        <v>6</v>
      </c>
      <c r="G6" s="28"/>
      <c r="H6" s="28"/>
      <c r="I6" s="28"/>
      <c r="J6" s="29"/>
      <c r="K6" s="27" t="s">
        <v>7</v>
      </c>
      <c r="L6" s="29"/>
      <c r="M6" s="27" t="s">
        <v>8</v>
      </c>
      <c r="N6" s="28"/>
      <c r="O6" s="29"/>
      <c r="P6" s="27" t="s">
        <v>9</v>
      </c>
      <c r="Q6" s="28"/>
      <c r="R6" s="29"/>
      <c r="S6" s="27" t="s">
        <v>10</v>
      </c>
      <c r="T6" s="28"/>
      <c r="U6" s="29"/>
      <c r="V6" s="27" t="s">
        <v>45</v>
      </c>
      <c r="W6" s="27" t="s">
        <v>46</v>
      </c>
    </row>
    <row r="7" spans="1:40" ht="20.100000000000001" customHeight="1" x14ac:dyDescent="0.25">
      <c r="A7" s="32"/>
      <c r="B7" s="32"/>
      <c r="C7" s="32"/>
      <c r="D7" s="32"/>
      <c r="E7" s="3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159</v>
      </c>
      <c r="N7" s="3" t="s">
        <v>160</v>
      </c>
      <c r="O7" s="3" t="s">
        <v>161</v>
      </c>
      <c r="P7" s="3" t="s">
        <v>12</v>
      </c>
      <c r="Q7" s="3" t="s">
        <v>19</v>
      </c>
      <c r="R7" s="3" t="s">
        <v>162</v>
      </c>
      <c r="S7" s="3" t="s">
        <v>12</v>
      </c>
      <c r="T7" s="3" t="s">
        <v>163</v>
      </c>
      <c r="U7" s="3" t="s">
        <v>162</v>
      </c>
      <c r="V7" s="32"/>
      <c r="W7" s="32"/>
    </row>
    <row r="8" spans="1:40" ht="15.95" customHeight="1" x14ac:dyDescent="0.25">
      <c r="A8" s="34" t="s">
        <v>47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9"/>
      <c r="W8" s="4"/>
    </row>
    <row r="9" spans="1:40" ht="20.100000000000001" customHeight="1" x14ac:dyDescent="0.25">
      <c r="A9" s="12" t="s">
        <v>48</v>
      </c>
      <c r="B9" s="13" t="s">
        <v>49</v>
      </c>
      <c r="C9" s="14">
        <v>0</v>
      </c>
      <c r="D9" s="14">
        <v>1</v>
      </c>
      <c r="E9" s="14">
        <f t="shared" ref="E9:E19" si="1">D9-C9</f>
        <v>1</v>
      </c>
      <c r="F9" s="15" t="s">
        <v>50</v>
      </c>
      <c r="G9" s="15"/>
      <c r="H9" s="15"/>
      <c r="I9" s="15"/>
      <c r="J9" s="15"/>
      <c r="K9" s="15" t="s">
        <v>50</v>
      </c>
      <c r="L9" s="15"/>
      <c r="M9" s="15"/>
      <c r="N9" s="15" t="s">
        <v>50</v>
      </c>
      <c r="O9" s="15"/>
      <c r="P9" s="15" t="s">
        <v>50</v>
      </c>
      <c r="Q9" s="15"/>
      <c r="R9" s="15"/>
      <c r="S9" s="15"/>
      <c r="T9" s="15" t="s">
        <v>50</v>
      </c>
      <c r="U9" s="15"/>
      <c r="V9" s="16"/>
      <c r="W9" s="17" t="str">
        <f t="shared" ref="W9:W19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48</v>
      </c>
      <c r="B10" s="13" t="s">
        <v>49</v>
      </c>
      <c r="C10" s="14">
        <v>1</v>
      </c>
      <c r="D10" s="14">
        <v>2</v>
      </c>
      <c r="E10" s="14">
        <f t="shared" si="1"/>
        <v>1</v>
      </c>
      <c r="F10" s="15" t="s">
        <v>50</v>
      </c>
      <c r="G10" s="15"/>
      <c r="H10" s="15"/>
      <c r="I10" s="15"/>
      <c r="J10" s="15"/>
      <c r="K10" s="15" t="s">
        <v>50</v>
      </c>
      <c r="L10" s="15"/>
      <c r="M10" s="15"/>
      <c r="N10" s="15" t="s">
        <v>50</v>
      </c>
      <c r="O10" s="15"/>
      <c r="P10" s="15" t="s">
        <v>50</v>
      </c>
      <c r="Q10" s="15"/>
      <c r="R10" s="15"/>
      <c r="S10" s="15"/>
      <c r="T10" s="15" t="s">
        <v>50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48</v>
      </c>
      <c r="B11" s="13" t="s">
        <v>49</v>
      </c>
      <c r="C11" s="14">
        <v>2</v>
      </c>
      <c r="D11" s="14">
        <v>3</v>
      </c>
      <c r="E11" s="14">
        <f t="shared" si="1"/>
        <v>1</v>
      </c>
      <c r="F11" s="15" t="s">
        <v>50</v>
      </c>
      <c r="G11" s="15"/>
      <c r="H11" s="15"/>
      <c r="I11" s="15"/>
      <c r="J11" s="15"/>
      <c r="K11" s="15" t="s">
        <v>50</v>
      </c>
      <c r="L11" s="15"/>
      <c r="M11" s="15"/>
      <c r="N11" s="15" t="s">
        <v>50</v>
      </c>
      <c r="O11" s="15"/>
      <c r="P11" s="15" t="s">
        <v>50</v>
      </c>
      <c r="Q11" s="15"/>
      <c r="R11" s="15"/>
      <c r="S11" s="15"/>
      <c r="T11" s="15" t="s">
        <v>50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48</v>
      </c>
      <c r="B12" s="13" t="s">
        <v>49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/>
      <c r="I12" s="15" t="s">
        <v>50</v>
      </c>
      <c r="J12" s="15"/>
      <c r="K12" s="15" t="s">
        <v>50</v>
      </c>
      <c r="L12" s="15"/>
      <c r="M12" s="15"/>
      <c r="N12" s="15" t="s">
        <v>50</v>
      </c>
      <c r="O12" s="15"/>
      <c r="P12" s="15" t="s">
        <v>50</v>
      </c>
      <c r="Q12" s="15"/>
      <c r="R12" s="15"/>
      <c r="S12" s="15"/>
      <c r="T12" s="15" t="s">
        <v>50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48</v>
      </c>
      <c r="B13" s="13" t="s">
        <v>49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/>
      <c r="I13" s="15" t="s">
        <v>50</v>
      </c>
      <c r="J13" s="15"/>
      <c r="K13" s="15" t="s">
        <v>50</v>
      </c>
      <c r="L13" s="15"/>
      <c r="M13" s="15"/>
      <c r="N13" s="15" t="s">
        <v>50</v>
      </c>
      <c r="O13" s="15"/>
      <c r="P13" s="15" t="s">
        <v>50</v>
      </c>
      <c r="Q13" s="15"/>
      <c r="R13" s="15"/>
      <c r="S13" s="15"/>
      <c r="T13" s="15" t="s">
        <v>50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48</v>
      </c>
      <c r="B14" s="13" t="s">
        <v>49</v>
      </c>
      <c r="C14" s="14">
        <v>5</v>
      </c>
      <c r="D14" s="14">
        <v>6</v>
      </c>
      <c r="E14" s="14">
        <f t="shared" si="1"/>
        <v>1</v>
      </c>
      <c r="F14" s="15" t="s">
        <v>50</v>
      </c>
      <c r="G14" s="15"/>
      <c r="H14" s="15"/>
      <c r="I14" s="15"/>
      <c r="J14" s="15"/>
      <c r="K14" s="15" t="s">
        <v>50</v>
      </c>
      <c r="L14" s="15"/>
      <c r="M14" s="15"/>
      <c r="N14" s="15" t="s">
        <v>50</v>
      </c>
      <c r="O14" s="15"/>
      <c r="P14" s="15" t="s">
        <v>50</v>
      </c>
      <c r="Q14" s="15"/>
      <c r="R14" s="15"/>
      <c r="S14" s="15"/>
      <c r="T14" s="15" t="s">
        <v>50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48</v>
      </c>
      <c r="B15" s="13" t="s">
        <v>49</v>
      </c>
      <c r="C15" s="14">
        <v>6</v>
      </c>
      <c r="D15" s="14">
        <v>7</v>
      </c>
      <c r="E15" s="14">
        <f t="shared" si="1"/>
        <v>1</v>
      </c>
      <c r="F15" s="15" t="s">
        <v>50</v>
      </c>
      <c r="G15" s="15"/>
      <c r="H15" s="15"/>
      <c r="I15" s="15"/>
      <c r="J15" s="15"/>
      <c r="K15" s="15" t="s">
        <v>50</v>
      </c>
      <c r="L15" s="15"/>
      <c r="M15" s="15"/>
      <c r="N15" s="15" t="s">
        <v>50</v>
      </c>
      <c r="O15" s="15"/>
      <c r="P15" s="15" t="s">
        <v>50</v>
      </c>
      <c r="Q15" s="15"/>
      <c r="R15" s="15"/>
      <c r="S15" s="15"/>
      <c r="T15" s="15" t="s">
        <v>50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48</v>
      </c>
      <c r="B16" s="13" t="s">
        <v>49</v>
      </c>
      <c r="C16" s="14">
        <v>7</v>
      </c>
      <c r="D16" s="14">
        <v>8</v>
      </c>
      <c r="E16" s="14">
        <f t="shared" si="1"/>
        <v>1</v>
      </c>
      <c r="F16" s="15" t="s">
        <v>50</v>
      </c>
      <c r="G16" s="15"/>
      <c r="H16" s="15"/>
      <c r="I16" s="15"/>
      <c r="J16" s="15"/>
      <c r="K16" s="15" t="s">
        <v>50</v>
      </c>
      <c r="L16" s="15"/>
      <c r="M16" s="15"/>
      <c r="N16" s="15" t="s">
        <v>50</v>
      </c>
      <c r="O16" s="15"/>
      <c r="P16" s="15" t="s">
        <v>50</v>
      </c>
      <c r="Q16" s="15"/>
      <c r="R16" s="15"/>
      <c r="S16" s="15"/>
      <c r="T16" s="15" t="s">
        <v>50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48</v>
      </c>
      <c r="B17" s="13" t="s">
        <v>49</v>
      </c>
      <c r="C17" s="14">
        <v>8</v>
      </c>
      <c r="D17" s="14">
        <v>9</v>
      </c>
      <c r="E17" s="14">
        <f t="shared" si="1"/>
        <v>1</v>
      </c>
      <c r="F17" s="15" t="s">
        <v>50</v>
      </c>
      <c r="G17" s="15"/>
      <c r="H17" s="15"/>
      <c r="I17" s="15"/>
      <c r="J17" s="15"/>
      <c r="K17" s="15" t="s">
        <v>50</v>
      </c>
      <c r="L17" s="15"/>
      <c r="M17" s="15"/>
      <c r="N17" s="15" t="s">
        <v>50</v>
      </c>
      <c r="O17" s="15"/>
      <c r="P17" s="15" t="s">
        <v>50</v>
      </c>
      <c r="Q17" s="15"/>
      <c r="R17" s="15"/>
      <c r="S17" s="15"/>
      <c r="T17" s="15" t="s">
        <v>50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48</v>
      </c>
      <c r="B18" s="13" t="s">
        <v>49</v>
      </c>
      <c r="C18" s="14">
        <v>9</v>
      </c>
      <c r="D18" s="14">
        <v>10</v>
      </c>
      <c r="E18" s="14">
        <f t="shared" si="1"/>
        <v>1</v>
      </c>
      <c r="F18" s="15" t="s">
        <v>50</v>
      </c>
      <c r="G18" s="15"/>
      <c r="H18" s="15"/>
      <c r="I18" s="15"/>
      <c r="J18" s="15"/>
      <c r="K18" s="15" t="s">
        <v>50</v>
      </c>
      <c r="L18" s="15"/>
      <c r="M18" s="15"/>
      <c r="N18" s="15" t="s">
        <v>50</v>
      </c>
      <c r="O18" s="15"/>
      <c r="P18" s="15" t="s">
        <v>50</v>
      </c>
      <c r="Q18" s="15"/>
      <c r="R18" s="15"/>
      <c r="S18" s="15"/>
      <c r="T18" s="15" t="s">
        <v>50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8" t="s">
        <v>48</v>
      </c>
      <c r="B19" s="19" t="s">
        <v>49</v>
      </c>
      <c r="C19" s="20">
        <v>10</v>
      </c>
      <c r="D19" s="20">
        <v>10.9998039687</v>
      </c>
      <c r="E19" s="20">
        <f t="shared" si="1"/>
        <v>0.99980396870000021</v>
      </c>
      <c r="F19" s="21" t="s">
        <v>50</v>
      </c>
      <c r="G19" s="21"/>
      <c r="H19" s="21"/>
      <c r="I19" s="21"/>
      <c r="J19" s="21"/>
      <c r="K19" s="21" t="s">
        <v>50</v>
      </c>
      <c r="L19" s="21"/>
      <c r="M19" s="21"/>
      <c r="N19" s="21" t="s">
        <v>50</v>
      </c>
      <c r="O19" s="21"/>
      <c r="P19" s="21" t="s">
        <v>50</v>
      </c>
      <c r="Q19" s="21"/>
      <c r="R19" s="21"/>
      <c r="S19" s="21"/>
      <c r="T19" s="21" t="s">
        <v>50</v>
      </c>
      <c r="U19" s="21"/>
      <c r="V19" s="22"/>
      <c r="W19" s="23" t="str">
        <f t="shared" si="2"/>
        <v>OK</v>
      </c>
    </row>
    <row r="20" spans="1:23" ht="15.95" customHeight="1" x14ac:dyDescent="0.25">
      <c r="A20" s="34" t="s">
        <v>51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9"/>
      <c r="W20" s="4"/>
    </row>
    <row r="21" spans="1:23" ht="20.100000000000001" customHeight="1" x14ac:dyDescent="0.25">
      <c r="A21" s="12" t="s">
        <v>52</v>
      </c>
      <c r="B21" s="13" t="s">
        <v>49</v>
      </c>
      <c r="C21" s="14">
        <v>0</v>
      </c>
      <c r="D21" s="14">
        <v>1</v>
      </c>
      <c r="E21" s="14">
        <f t="shared" ref="E21:E30" si="3">D21-C21</f>
        <v>1</v>
      </c>
      <c r="F21" s="15"/>
      <c r="G21" s="15"/>
      <c r="H21" s="15"/>
      <c r="I21" s="15" t="s">
        <v>50</v>
      </c>
      <c r="J21" s="15"/>
      <c r="K21" s="15" t="s">
        <v>50</v>
      </c>
      <c r="L21" s="15"/>
      <c r="M21" s="15"/>
      <c r="N21" s="15" t="s">
        <v>50</v>
      </c>
      <c r="O21" s="15"/>
      <c r="P21" s="15" t="s">
        <v>50</v>
      </c>
      <c r="Q21" s="15"/>
      <c r="R21" s="15"/>
      <c r="S21" s="15"/>
      <c r="T21" s="15" t="s">
        <v>50</v>
      </c>
      <c r="U21" s="15"/>
      <c r="V21" s="16"/>
      <c r="W21" s="17" t="str">
        <f t="shared" ref="W21:W30" si="4">IF(COUNTA(F21:U21)=0,"— não preenchido",IF(COUNTIF(F21:J21,"X")&lt;&gt;1,"FALTA/DUPLA: CONDIÇÃO DO PAVIMENTO",IF(COUNTIF(K21:L21,"X")&lt;&gt;1,"FALTA/DUPLA: VEGETAÇÃO",IF(COUNTIF(M21:O21,"X")&lt;&gt;1,"FALTA/DUPLA: ELEM. DE DRENAGEM",IF(COUNTIF(P21:R21,"X")&lt;&gt;1,"FALTA/DUPLA: SIN. HORIZ.",IF(COUNTIF(S21:U21,"X")&lt;&gt;1,"FALTA/DUPLA: SIN. VERTICAL","OK"))))))</f>
        <v>OK</v>
      </c>
    </row>
    <row r="22" spans="1:23" ht="20.100000000000001" customHeight="1" x14ac:dyDescent="0.25">
      <c r="A22" s="12" t="s">
        <v>52</v>
      </c>
      <c r="B22" s="13" t="s">
        <v>49</v>
      </c>
      <c r="C22" s="14">
        <v>1</v>
      </c>
      <c r="D22" s="14">
        <v>2</v>
      </c>
      <c r="E22" s="14">
        <f t="shared" si="3"/>
        <v>1</v>
      </c>
      <c r="F22" s="15" t="s">
        <v>50</v>
      </c>
      <c r="G22" s="15"/>
      <c r="H22" s="15"/>
      <c r="I22" s="15"/>
      <c r="J22" s="15"/>
      <c r="K22" s="15" t="s">
        <v>50</v>
      </c>
      <c r="L22" s="15"/>
      <c r="M22" s="15"/>
      <c r="N22" s="15" t="s">
        <v>50</v>
      </c>
      <c r="O22" s="15"/>
      <c r="P22" s="15" t="s">
        <v>50</v>
      </c>
      <c r="Q22" s="15"/>
      <c r="R22" s="15"/>
      <c r="S22" s="15"/>
      <c r="T22" s="15" t="s">
        <v>50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52</v>
      </c>
      <c r="B23" s="13" t="s">
        <v>49</v>
      </c>
      <c r="C23" s="14">
        <v>2</v>
      </c>
      <c r="D23" s="14">
        <v>3</v>
      </c>
      <c r="E23" s="14">
        <f t="shared" si="3"/>
        <v>1</v>
      </c>
      <c r="F23" s="15" t="s">
        <v>50</v>
      </c>
      <c r="G23" s="15"/>
      <c r="H23" s="15"/>
      <c r="I23" s="15"/>
      <c r="J23" s="15"/>
      <c r="K23" s="15" t="s">
        <v>50</v>
      </c>
      <c r="L23" s="15"/>
      <c r="M23" s="15"/>
      <c r="N23" s="15" t="s">
        <v>50</v>
      </c>
      <c r="O23" s="15"/>
      <c r="P23" s="15" t="s">
        <v>50</v>
      </c>
      <c r="Q23" s="15"/>
      <c r="R23" s="15"/>
      <c r="S23" s="15"/>
      <c r="T23" s="15" t="s">
        <v>50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52</v>
      </c>
      <c r="B24" s="13" t="s">
        <v>49</v>
      </c>
      <c r="C24" s="14">
        <v>3</v>
      </c>
      <c r="D24" s="14">
        <v>4</v>
      </c>
      <c r="E24" s="14">
        <f t="shared" si="3"/>
        <v>1</v>
      </c>
      <c r="F24" s="15" t="s">
        <v>50</v>
      </c>
      <c r="G24" s="15"/>
      <c r="H24" s="15"/>
      <c r="I24" s="15"/>
      <c r="J24" s="15"/>
      <c r="K24" s="15" t="s">
        <v>50</v>
      </c>
      <c r="L24" s="15"/>
      <c r="M24" s="15"/>
      <c r="N24" s="15" t="s">
        <v>50</v>
      </c>
      <c r="O24" s="15"/>
      <c r="P24" s="15" t="s">
        <v>50</v>
      </c>
      <c r="Q24" s="15"/>
      <c r="R24" s="15"/>
      <c r="S24" s="15"/>
      <c r="T24" s="15" t="s">
        <v>50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52</v>
      </c>
      <c r="B25" s="13" t="s">
        <v>49</v>
      </c>
      <c r="C25" s="14">
        <v>4</v>
      </c>
      <c r="D25" s="14">
        <v>5</v>
      </c>
      <c r="E25" s="14">
        <f t="shared" si="3"/>
        <v>1</v>
      </c>
      <c r="F25" s="15" t="s">
        <v>50</v>
      </c>
      <c r="G25" s="15"/>
      <c r="H25" s="15"/>
      <c r="I25" s="15"/>
      <c r="J25" s="15"/>
      <c r="K25" s="15" t="s">
        <v>50</v>
      </c>
      <c r="L25" s="15"/>
      <c r="M25" s="15"/>
      <c r="N25" s="15" t="s">
        <v>50</v>
      </c>
      <c r="O25" s="15"/>
      <c r="P25" s="15" t="s">
        <v>50</v>
      </c>
      <c r="Q25" s="15"/>
      <c r="R25" s="15"/>
      <c r="S25" s="15"/>
      <c r="T25" s="15" t="s">
        <v>50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52</v>
      </c>
      <c r="B26" s="13" t="s">
        <v>49</v>
      </c>
      <c r="C26" s="14">
        <v>5</v>
      </c>
      <c r="D26" s="14">
        <v>6</v>
      </c>
      <c r="E26" s="14">
        <f t="shared" si="3"/>
        <v>1</v>
      </c>
      <c r="F26" s="15" t="s">
        <v>50</v>
      </c>
      <c r="G26" s="15"/>
      <c r="H26" s="15"/>
      <c r="I26" s="15"/>
      <c r="J26" s="15"/>
      <c r="K26" s="15" t="s">
        <v>50</v>
      </c>
      <c r="L26" s="15"/>
      <c r="M26" s="15"/>
      <c r="N26" s="15" t="s">
        <v>50</v>
      </c>
      <c r="O26" s="15"/>
      <c r="P26" s="15" t="s">
        <v>50</v>
      </c>
      <c r="Q26" s="15"/>
      <c r="R26" s="15"/>
      <c r="S26" s="15"/>
      <c r="T26" s="15" t="s">
        <v>50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52</v>
      </c>
      <c r="B27" s="13" t="s">
        <v>49</v>
      </c>
      <c r="C27" s="14">
        <v>6</v>
      </c>
      <c r="D27" s="14">
        <v>7</v>
      </c>
      <c r="E27" s="14">
        <f t="shared" si="3"/>
        <v>1</v>
      </c>
      <c r="F27" s="15"/>
      <c r="G27" s="15"/>
      <c r="H27" s="15"/>
      <c r="I27" s="15" t="s">
        <v>50</v>
      </c>
      <c r="J27" s="15"/>
      <c r="K27" s="15" t="s">
        <v>50</v>
      </c>
      <c r="L27" s="15"/>
      <c r="M27" s="15"/>
      <c r="N27" s="15" t="s">
        <v>50</v>
      </c>
      <c r="O27" s="15"/>
      <c r="P27" s="15" t="s">
        <v>50</v>
      </c>
      <c r="Q27" s="15"/>
      <c r="R27" s="15"/>
      <c r="S27" s="15"/>
      <c r="T27" s="15" t="s">
        <v>50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52</v>
      </c>
      <c r="B28" s="13" t="s">
        <v>49</v>
      </c>
      <c r="C28" s="14">
        <v>7</v>
      </c>
      <c r="D28" s="14">
        <v>8</v>
      </c>
      <c r="E28" s="14">
        <f t="shared" si="3"/>
        <v>1</v>
      </c>
      <c r="F28" s="15"/>
      <c r="G28" s="15"/>
      <c r="H28" s="15"/>
      <c r="I28" s="15" t="s">
        <v>50</v>
      </c>
      <c r="J28" s="15"/>
      <c r="K28" s="15" t="s">
        <v>50</v>
      </c>
      <c r="L28" s="15"/>
      <c r="M28" s="15"/>
      <c r="N28" s="15" t="s">
        <v>50</v>
      </c>
      <c r="O28" s="15"/>
      <c r="P28" s="15" t="s">
        <v>50</v>
      </c>
      <c r="Q28" s="15"/>
      <c r="R28" s="15"/>
      <c r="S28" s="15"/>
      <c r="T28" s="15" t="s">
        <v>50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52</v>
      </c>
      <c r="B29" s="13" t="s">
        <v>49</v>
      </c>
      <c r="C29" s="14">
        <v>8</v>
      </c>
      <c r="D29" s="14">
        <v>9</v>
      </c>
      <c r="E29" s="14">
        <f t="shared" si="3"/>
        <v>1</v>
      </c>
      <c r="F29" s="15"/>
      <c r="G29" s="15"/>
      <c r="H29" s="15"/>
      <c r="I29" s="15" t="s">
        <v>50</v>
      </c>
      <c r="J29" s="15"/>
      <c r="K29" s="15" t="s">
        <v>50</v>
      </c>
      <c r="L29" s="15"/>
      <c r="M29" s="15"/>
      <c r="N29" s="15" t="s">
        <v>50</v>
      </c>
      <c r="O29" s="15"/>
      <c r="P29" s="15" t="s">
        <v>50</v>
      </c>
      <c r="Q29" s="15"/>
      <c r="R29" s="15"/>
      <c r="S29" s="15"/>
      <c r="T29" s="15" t="s">
        <v>50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8" t="s">
        <v>52</v>
      </c>
      <c r="B30" s="19" t="s">
        <v>49</v>
      </c>
      <c r="C30" s="20">
        <v>9</v>
      </c>
      <c r="D30" s="20">
        <v>9.1474140051900008</v>
      </c>
      <c r="E30" s="20">
        <f t="shared" si="3"/>
        <v>0.14741400519000081</v>
      </c>
      <c r="F30" s="21"/>
      <c r="G30" s="21"/>
      <c r="H30" s="21"/>
      <c r="I30" s="21" t="s">
        <v>50</v>
      </c>
      <c r="J30" s="21"/>
      <c r="K30" s="21" t="s">
        <v>50</v>
      </c>
      <c r="L30" s="21"/>
      <c r="M30" s="21"/>
      <c r="N30" s="21" t="s">
        <v>50</v>
      </c>
      <c r="O30" s="21"/>
      <c r="P30" s="21" t="s">
        <v>50</v>
      </c>
      <c r="Q30" s="21"/>
      <c r="R30" s="21"/>
      <c r="S30" s="21"/>
      <c r="T30" s="21" t="s">
        <v>50</v>
      </c>
      <c r="U30" s="21"/>
      <c r="V30" s="22"/>
      <c r="W30" s="23" t="str">
        <f t="shared" si="4"/>
        <v>OK</v>
      </c>
    </row>
    <row r="31" spans="1:23" ht="15.95" customHeight="1" x14ac:dyDescent="0.25">
      <c r="A31" s="34" t="s">
        <v>53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9"/>
      <c r="W31" s="4"/>
    </row>
    <row r="32" spans="1:23" ht="20.100000000000001" customHeight="1" x14ac:dyDescent="0.25">
      <c r="A32" s="12" t="s">
        <v>54</v>
      </c>
      <c r="B32" s="13" t="s">
        <v>49</v>
      </c>
      <c r="C32" s="14">
        <v>0</v>
      </c>
      <c r="D32" s="14">
        <v>1</v>
      </c>
      <c r="E32" s="14">
        <f t="shared" ref="E32:E43" si="5">D32-C32</f>
        <v>1</v>
      </c>
      <c r="F32" s="15" t="s">
        <v>50</v>
      </c>
      <c r="G32" s="15"/>
      <c r="H32" s="15"/>
      <c r="I32" s="15"/>
      <c r="J32" s="15"/>
      <c r="K32" s="15" t="s">
        <v>50</v>
      </c>
      <c r="L32" s="15"/>
      <c r="M32" s="15"/>
      <c r="N32" s="15" t="s">
        <v>50</v>
      </c>
      <c r="O32" s="15"/>
      <c r="P32" s="15" t="s">
        <v>50</v>
      </c>
      <c r="Q32" s="15"/>
      <c r="R32" s="15"/>
      <c r="S32" s="15"/>
      <c r="T32" s="15" t="s">
        <v>50</v>
      </c>
      <c r="U32" s="15"/>
      <c r="V32" s="16"/>
      <c r="W32" s="17" t="str">
        <f t="shared" ref="W32:W43" si="6">IF(COUNTA(F32:U32)=0,"— não preenchido",IF(COUNTIF(F32:J32,"X")&lt;&gt;1,"FALTA/DUPLA: CONDIÇÃO DO PAVIMENTO",IF(COUNTIF(K32:L32,"X")&lt;&gt;1,"FALTA/DUPLA: VEGETAÇÃO",IF(COUNTIF(M32:O32,"X")&lt;&gt;1,"FALTA/DUPLA: ELEM. DE DRENAGEM",IF(COUNTIF(P32:R32,"X")&lt;&gt;1,"FALTA/DUPLA: SIN. HORIZ.",IF(COUNTIF(S32:U32,"X")&lt;&gt;1,"FALTA/DUPLA: SIN. VERTICAL","OK"))))))</f>
        <v>OK</v>
      </c>
    </row>
    <row r="33" spans="1:23" ht="20.100000000000001" customHeight="1" x14ac:dyDescent="0.25">
      <c r="A33" s="12" t="s">
        <v>54</v>
      </c>
      <c r="B33" s="13" t="s">
        <v>49</v>
      </c>
      <c r="C33" s="14">
        <v>1</v>
      </c>
      <c r="D33" s="14">
        <v>2</v>
      </c>
      <c r="E33" s="14">
        <f t="shared" si="5"/>
        <v>1</v>
      </c>
      <c r="F33" s="15" t="s">
        <v>50</v>
      </c>
      <c r="G33" s="15"/>
      <c r="H33" s="15"/>
      <c r="I33" s="15"/>
      <c r="J33" s="15"/>
      <c r="K33" s="15" t="s">
        <v>50</v>
      </c>
      <c r="L33" s="15"/>
      <c r="M33" s="15"/>
      <c r="N33" s="15" t="s">
        <v>50</v>
      </c>
      <c r="O33" s="15"/>
      <c r="P33" s="15" t="s">
        <v>50</v>
      </c>
      <c r="Q33" s="15"/>
      <c r="R33" s="15"/>
      <c r="S33" s="15"/>
      <c r="T33" s="15" t="s">
        <v>50</v>
      </c>
      <c r="U33" s="15"/>
      <c r="V33" s="16"/>
      <c r="W33" s="17" t="str">
        <f t="shared" si="6"/>
        <v>OK</v>
      </c>
    </row>
    <row r="34" spans="1:23" ht="20.100000000000001" customHeight="1" x14ac:dyDescent="0.25">
      <c r="A34" s="12" t="s">
        <v>54</v>
      </c>
      <c r="B34" s="13" t="s">
        <v>49</v>
      </c>
      <c r="C34" s="14">
        <v>2</v>
      </c>
      <c r="D34" s="14">
        <v>3</v>
      </c>
      <c r="E34" s="14">
        <f t="shared" si="5"/>
        <v>1</v>
      </c>
      <c r="F34" s="15" t="s">
        <v>50</v>
      </c>
      <c r="G34" s="15"/>
      <c r="H34" s="15"/>
      <c r="I34" s="15"/>
      <c r="J34" s="15"/>
      <c r="K34" s="15" t="s">
        <v>50</v>
      </c>
      <c r="L34" s="15"/>
      <c r="M34" s="15"/>
      <c r="N34" s="15" t="s">
        <v>50</v>
      </c>
      <c r="O34" s="15"/>
      <c r="P34" s="15" t="s">
        <v>50</v>
      </c>
      <c r="Q34" s="15"/>
      <c r="R34" s="15"/>
      <c r="S34" s="15"/>
      <c r="T34" s="15" t="s">
        <v>50</v>
      </c>
      <c r="U34" s="15"/>
      <c r="V34" s="16"/>
      <c r="W34" s="17" t="str">
        <f t="shared" si="6"/>
        <v>OK</v>
      </c>
    </row>
    <row r="35" spans="1:23" ht="20.100000000000001" customHeight="1" x14ac:dyDescent="0.25">
      <c r="A35" s="12" t="s">
        <v>54</v>
      </c>
      <c r="B35" s="13" t="s">
        <v>49</v>
      </c>
      <c r="C35" s="14">
        <v>3</v>
      </c>
      <c r="D35" s="14">
        <v>4</v>
      </c>
      <c r="E35" s="14">
        <f t="shared" si="5"/>
        <v>1</v>
      </c>
      <c r="F35" s="15"/>
      <c r="G35" s="15"/>
      <c r="H35" s="15"/>
      <c r="I35" s="15" t="s">
        <v>50</v>
      </c>
      <c r="J35" s="15"/>
      <c r="K35" s="15" t="s">
        <v>50</v>
      </c>
      <c r="L35" s="15"/>
      <c r="M35" s="15"/>
      <c r="N35" s="15" t="s">
        <v>50</v>
      </c>
      <c r="O35" s="15"/>
      <c r="P35" s="15" t="s">
        <v>50</v>
      </c>
      <c r="Q35" s="15"/>
      <c r="R35" s="15"/>
      <c r="S35" s="15"/>
      <c r="T35" s="15" t="s">
        <v>50</v>
      </c>
      <c r="U35" s="15"/>
      <c r="V35" s="16"/>
      <c r="W35" s="17" t="str">
        <f t="shared" si="6"/>
        <v>OK</v>
      </c>
    </row>
    <row r="36" spans="1:23" ht="20.100000000000001" customHeight="1" x14ac:dyDescent="0.25">
      <c r="A36" s="12" t="s">
        <v>54</v>
      </c>
      <c r="B36" s="13" t="s">
        <v>49</v>
      </c>
      <c r="C36" s="14">
        <v>4</v>
      </c>
      <c r="D36" s="14">
        <v>5</v>
      </c>
      <c r="E36" s="14">
        <f t="shared" si="5"/>
        <v>1</v>
      </c>
      <c r="F36" s="15"/>
      <c r="G36" s="15"/>
      <c r="H36" s="15"/>
      <c r="I36" s="15" t="s">
        <v>50</v>
      </c>
      <c r="J36" s="15"/>
      <c r="K36" s="15" t="s">
        <v>50</v>
      </c>
      <c r="L36" s="15"/>
      <c r="M36" s="15"/>
      <c r="N36" s="15" t="s">
        <v>50</v>
      </c>
      <c r="O36" s="15"/>
      <c r="P36" s="15" t="s">
        <v>50</v>
      </c>
      <c r="Q36" s="15"/>
      <c r="R36" s="15"/>
      <c r="S36" s="15"/>
      <c r="T36" s="15" t="s">
        <v>50</v>
      </c>
      <c r="U36" s="15"/>
      <c r="V36" s="16"/>
      <c r="W36" s="17" t="str">
        <f t="shared" si="6"/>
        <v>OK</v>
      </c>
    </row>
    <row r="37" spans="1:23" ht="20.100000000000001" customHeight="1" x14ac:dyDescent="0.25">
      <c r="A37" s="12" t="s">
        <v>54</v>
      </c>
      <c r="B37" s="13" t="s">
        <v>49</v>
      </c>
      <c r="C37" s="14">
        <v>5</v>
      </c>
      <c r="D37" s="14">
        <v>6</v>
      </c>
      <c r="E37" s="14">
        <f t="shared" si="5"/>
        <v>1</v>
      </c>
      <c r="F37" s="15"/>
      <c r="G37" s="15"/>
      <c r="H37" s="15"/>
      <c r="I37" s="15" t="s">
        <v>50</v>
      </c>
      <c r="J37" s="15"/>
      <c r="K37" s="15" t="s">
        <v>50</v>
      </c>
      <c r="L37" s="15"/>
      <c r="M37" s="15"/>
      <c r="N37" s="15" t="s">
        <v>50</v>
      </c>
      <c r="O37" s="15"/>
      <c r="P37" s="15" t="s">
        <v>50</v>
      </c>
      <c r="Q37" s="15"/>
      <c r="R37" s="15"/>
      <c r="S37" s="15"/>
      <c r="T37" s="15" t="s">
        <v>50</v>
      </c>
      <c r="U37" s="15"/>
      <c r="V37" s="16"/>
      <c r="W37" s="17" t="str">
        <f t="shared" si="6"/>
        <v>OK</v>
      </c>
    </row>
    <row r="38" spans="1:23" ht="20.100000000000001" customHeight="1" x14ac:dyDescent="0.25">
      <c r="A38" s="12" t="s">
        <v>54</v>
      </c>
      <c r="B38" s="13" t="s">
        <v>49</v>
      </c>
      <c r="C38" s="14">
        <v>6</v>
      </c>
      <c r="D38" s="14">
        <v>7</v>
      </c>
      <c r="E38" s="14">
        <f t="shared" si="5"/>
        <v>1</v>
      </c>
      <c r="F38" s="15" t="s">
        <v>50</v>
      </c>
      <c r="G38" s="15"/>
      <c r="H38" s="15"/>
      <c r="I38" s="15"/>
      <c r="J38" s="15"/>
      <c r="K38" s="15" t="s">
        <v>50</v>
      </c>
      <c r="L38" s="15"/>
      <c r="M38" s="15"/>
      <c r="N38" s="15" t="s">
        <v>50</v>
      </c>
      <c r="O38" s="15"/>
      <c r="P38" s="15" t="s">
        <v>50</v>
      </c>
      <c r="Q38" s="15"/>
      <c r="R38" s="15"/>
      <c r="S38" s="15"/>
      <c r="T38" s="15" t="s">
        <v>50</v>
      </c>
      <c r="U38" s="15"/>
      <c r="V38" s="16"/>
      <c r="W38" s="17" t="str">
        <f t="shared" si="6"/>
        <v>OK</v>
      </c>
    </row>
    <row r="39" spans="1:23" ht="20.100000000000001" customHeight="1" x14ac:dyDescent="0.25">
      <c r="A39" s="12" t="s">
        <v>54</v>
      </c>
      <c r="B39" s="13" t="s">
        <v>49</v>
      </c>
      <c r="C39" s="14">
        <v>7</v>
      </c>
      <c r="D39" s="14">
        <v>8</v>
      </c>
      <c r="E39" s="14">
        <f t="shared" si="5"/>
        <v>1</v>
      </c>
      <c r="F39" s="15" t="s">
        <v>50</v>
      </c>
      <c r="G39" s="15"/>
      <c r="H39" s="15"/>
      <c r="I39" s="15"/>
      <c r="J39" s="15"/>
      <c r="K39" s="15" t="s">
        <v>50</v>
      </c>
      <c r="L39" s="15"/>
      <c r="M39" s="15"/>
      <c r="N39" s="15" t="s">
        <v>50</v>
      </c>
      <c r="O39" s="15"/>
      <c r="P39" s="15" t="s">
        <v>50</v>
      </c>
      <c r="Q39" s="15"/>
      <c r="R39" s="15"/>
      <c r="S39" s="15"/>
      <c r="T39" s="15" t="s">
        <v>50</v>
      </c>
      <c r="U39" s="15"/>
      <c r="V39" s="16"/>
      <c r="W39" s="17" t="str">
        <f t="shared" si="6"/>
        <v>OK</v>
      </c>
    </row>
    <row r="40" spans="1:23" ht="20.100000000000001" customHeight="1" x14ac:dyDescent="0.25">
      <c r="A40" s="12" t="s">
        <v>54</v>
      </c>
      <c r="B40" s="13" t="s">
        <v>49</v>
      </c>
      <c r="C40" s="14">
        <v>8</v>
      </c>
      <c r="D40" s="14">
        <v>9</v>
      </c>
      <c r="E40" s="14">
        <f t="shared" si="5"/>
        <v>1</v>
      </c>
      <c r="F40" s="15" t="s">
        <v>50</v>
      </c>
      <c r="G40" s="15"/>
      <c r="H40" s="15"/>
      <c r="I40" s="15"/>
      <c r="J40" s="15"/>
      <c r="K40" s="15" t="s">
        <v>50</v>
      </c>
      <c r="L40" s="15"/>
      <c r="M40" s="15"/>
      <c r="N40" s="15" t="s">
        <v>50</v>
      </c>
      <c r="O40" s="15"/>
      <c r="P40" s="15" t="s">
        <v>50</v>
      </c>
      <c r="Q40" s="15"/>
      <c r="R40" s="15"/>
      <c r="S40" s="15"/>
      <c r="T40" s="15" t="s">
        <v>50</v>
      </c>
      <c r="U40" s="15"/>
      <c r="V40" s="16"/>
      <c r="W40" s="17" t="str">
        <f t="shared" si="6"/>
        <v>OK</v>
      </c>
    </row>
    <row r="41" spans="1:23" ht="20.100000000000001" customHeight="1" x14ac:dyDescent="0.25">
      <c r="A41" s="12" t="s">
        <v>54</v>
      </c>
      <c r="B41" s="13" t="s">
        <v>49</v>
      </c>
      <c r="C41" s="14">
        <v>9</v>
      </c>
      <c r="D41" s="14">
        <v>10</v>
      </c>
      <c r="E41" s="14">
        <f t="shared" si="5"/>
        <v>1</v>
      </c>
      <c r="F41" s="15" t="s">
        <v>50</v>
      </c>
      <c r="G41" s="15"/>
      <c r="H41" s="15"/>
      <c r="I41" s="15"/>
      <c r="J41" s="15"/>
      <c r="K41" s="15" t="s">
        <v>50</v>
      </c>
      <c r="L41" s="15"/>
      <c r="M41" s="15"/>
      <c r="N41" s="15" t="s">
        <v>50</v>
      </c>
      <c r="O41" s="15"/>
      <c r="P41" s="15" t="s">
        <v>50</v>
      </c>
      <c r="Q41" s="15"/>
      <c r="R41" s="15"/>
      <c r="S41" s="15"/>
      <c r="T41" s="15" t="s">
        <v>50</v>
      </c>
      <c r="U41" s="15"/>
      <c r="V41" s="16"/>
      <c r="W41" s="17" t="str">
        <f t="shared" si="6"/>
        <v>OK</v>
      </c>
    </row>
    <row r="42" spans="1:23" ht="20.100000000000001" customHeight="1" x14ac:dyDescent="0.25">
      <c r="A42" s="12" t="s">
        <v>54</v>
      </c>
      <c r="B42" s="13" t="s">
        <v>49</v>
      </c>
      <c r="C42" s="14">
        <v>10</v>
      </c>
      <c r="D42" s="14">
        <v>11</v>
      </c>
      <c r="E42" s="14">
        <f t="shared" si="5"/>
        <v>1</v>
      </c>
      <c r="F42" s="15" t="s">
        <v>50</v>
      </c>
      <c r="G42" s="15"/>
      <c r="H42" s="15"/>
      <c r="I42" s="15"/>
      <c r="J42" s="15"/>
      <c r="K42" s="15" t="s">
        <v>50</v>
      </c>
      <c r="L42" s="15"/>
      <c r="M42" s="15"/>
      <c r="N42" s="15" t="s">
        <v>50</v>
      </c>
      <c r="O42" s="15"/>
      <c r="P42" s="15" t="s">
        <v>50</v>
      </c>
      <c r="Q42" s="15"/>
      <c r="R42" s="15"/>
      <c r="S42" s="15"/>
      <c r="T42" s="15" t="s">
        <v>50</v>
      </c>
      <c r="U42" s="15"/>
      <c r="V42" s="16"/>
      <c r="W42" s="17" t="str">
        <f t="shared" si="6"/>
        <v>OK</v>
      </c>
    </row>
    <row r="43" spans="1:23" ht="20.100000000000001" customHeight="1" x14ac:dyDescent="0.25">
      <c r="A43" s="18" t="s">
        <v>54</v>
      </c>
      <c r="B43" s="19" t="s">
        <v>49</v>
      </c>
      <c r="C43" s="20">
        <v>11</v>
      </c>
      <c r="D43" s="20">
        <v>11.5312658001</v>
      </c>
      <c r="E43" s="20">
        <f t="shared" si="5"/>
        <v>0.53126580009999991</v>
      </c>
      <c r="F43" s="21" t="s">
        <v>50</v>
      </c>
      <c r="G43" s="21"/>
      <c r="H43" s="21"/>
      <c r="I43" s="21"/>
      <c r="J43" s="21"/>
      <c r="K43" s="21" t="s">
        <v>50</v>
      </c>
      <c r="L43" s="21"/>
      <c r="M43" s="21"/>
      <c r="N43" s="21" t="s">
        <v>50</v>
      </c>
      <c r="O43" s="21"/>
      <c r="P43" s="21" t="s">
        <v>50</v>
      </c>
      <c r="Q43" s="21"/>
      <c r="R43" s="21"/>
      <c r="S43" s="21"/>
      <c r="T43" s="21" t="s">
        <v>50</v>
      </c>
      <c r="U43" s="21"/>
      <c r="V43" s="22"/>
      <c r="W43" s="23" t="str">
        <f t="shared" si="6"/>
        <v>OK</v>
      </c>
    </row>
    <row r="44" spans="1:23" ht="15.95" customHeight="1" x14ac:dyDescent="0.25">
      <c r="A44" s="34" t="s">
        <v>55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9"/>
      <c r="W44" s="4"/>
    </row>
    <row r="45" spans="1:23" ht="20.100000000000001" customHeight="1" x14ac:dyDescent="0.25">
      <c r="A45" s="12" t="s">
        <v>56</v>
      </c>
      <c r="B45" s="13" t="s">
        <v>49</v>
      </c>
      <c r="C45" s="14">
        <v>0</v>
      </c>
      <c r="D45" s="14">
        <v>1</v>
      </c>
      <c r="E45" s="14">
        <f t="shared" ref="E45:E70" si="7">D45-C45</f>
        <v>1</v>
      </c>
      <c r="F45" s="15" t="s">
        <v>50</v>
      </c>
      <c r="G45" s="15"/>
      <c r="H45" s="15"/>
      <c r="I45" s="15"/>
      <c r="J45" s="15"/>
      <c r="K45" s="15" t="s">
        <v>50</v>
      </c>
      <c r="L45" s="15"/>
      <c r="M45" s="15"/>
      <c r="N45" s="15" t="s">
        <v>50</v>
      </c>
      <c r="O45" s="15"/>
      <c r="P45" s="15" t="s">
        <v>50</v>
      </c>
      <c r="Q45" s="15"/>
      <c r="R45" s="15"/>
      <c r="S45" s="15"/>
      <c r="T45" s="15" t="s">
        <v>50</v>
      </c>
      <c r="U45" s="15"/>
      <c r="V45" s="16"/>
      <c r="W45" s="17" t="str">
        <f t="shared" ref="W45:W70" si="8">IF(COUNTA(F45:U45)=0,"— não preenchido",IF(COUNTIF(F45:J45,"X")&lt;&gt;1,"FALTA/DUPLA: CONDIÇÃO DO PAVIMENTO",IF(COUNTIF(K45:L45,"X")&lt;&gt;1,"FALTA/DUPLA: VEGETAÇÃO",IF(COUNTIF(M45:O45,"X")&lt;&gt;1,"FALTA/DUPLA: ELEM. DE DRENAGEM",IF(COUNTIF(P45:R45,"X")&lt;&gt;1,"FALTA/DUPLA: SIN. HORIZ.",IF(COUNTIF(S45:U45,"X")&lt;&gt;1,"FALTA/DUPLA: SIN. VERTICAL","OK"))))))</f>
        <v>OK</v>
      </c>
    </row>
    <row r="46" spans="1:23" ht="20.100000000000001" customHeight="1" x14ac:dyDescent="0.25">
      <c r="A46" s="12" t="s">
        <v>56</v>
      </c>
      <c r="B46" s="13" t="s">
        <v>49</v>
      </c>
      <c r="C46" s="14">
        <v>1</v>
      </c>
      <c r="D46" s="14">
        <v>2</v>
      </c>
      <c r="E46" s="14">
        <f t="shared" si="7"/>
        <v>1</v>
      </c>
      <c r="F46" s="15" t="s">
        <v>50</v>
      </c>
      <c r="G46" s="15"/>
      <c r="H46" s="15"/>
      <c r="I46" s="15"/>
      <c r="J46" s="15"/>
      <c r="K46" s="15" t="s">
        <v>50</v>
      </c>
      <c r="L46" s="15"/>
      <c r="M46" s="15"/>
      <c r="N46" s="15" t="s">
        <v>50</v>
      </c>
      <c r="O46" s="15"/>
      <c r="P46" s="15" t="s">
        <v>50</v>
      </c>
      <c r="Q46" s="15"/>
      <c r="R46" s="15"/>
      <c r="S46" s="15"/>
      <c r="T46" s="15" t="s">
        <v>50</v>
      </c>
      <c r="U46" s="15"/>
      <c r="V46" s="16"/>
      <c r="W46" s="17" t="str">
        <f t="shared" si="8"/>
        <v>OK</v>
      </c>
    </row>
    <row r="47" spans="1:23" ht="20.100000000000001" customHeight="1" x14ac:dyDescent="0.25">
      <c r="A47" s="12" t="s">
        <v>56</v>
      </c>
      <c r="B47" s="13" t="s">
        <v>49</v>
      </c>
      <c r="C47" s="14">
        <v>2</v>
      </c>
      <c r="D47" s="14">
        <v>3</v>
      </c>
      <c r="E47" s="14">
        <f t="shared" si="7"/>
        <v>1</v>
      </c>
      <c r="F47" s="15" t="s">
        <v>50</v>
      </c>
      <c r="G47" s="15"/>
      <c r="H47" s="15"/>
      <c r="I47" s="15"/>
      <c r="J47" s="15"/>
      <c r="K47" s="15" t="s">
        <v>50</v>
      </c>
      <c r="L47" s="15"/>
      <c r="M47" s="15"/>
      <c r="N47" s="15" t="s">
        <v>50</v>
      </c>
      <c r="O47" s="15"/>
      <c r="P47" s="15" t="s">
        <v>50</v>
      </c>
      <c r="Q47" s="15"/>
      <c r="R47" s="15"/>
      <c r="S47" s="15"/>
      <c r="T47" s="15" t="s">
        <v>50</v>
      </c>
      <c r="U47" s="15"/>
      <c r="V47" s="16"/>
      <c r="W47" s="17" t="str">
        <f t="shared" si="8"/>
        <v>OK</v>
      </c>
    </row>
    <row r="48" spans="1:23" ht="20.100000000000001" customHeight="1" x14ac:dyDescent="0.25">
      <c r="A48" s="12" t="s">
        <v>56</v>
      </c>
      <c r="B48" s="13" t="s">
        <v>49</v>
      </c>
      <c r="C48" s="14">
        <v>3</v>
      </c>
      <c r="D48" s="14">
        <v>4</v>
      </c>
      <c r="E48" s="14">
        <f t="shared" si="7"/>
        <v>1</v>
      </c>
      <c r="F48" s="15" t="s">
        <v>50</v>
      </c>
      <c r="G48" s="15"/>
      <c r="H48" s="15"/>
      <c r="I48" s="15"/>
      <c r="J48" s="15"/>
      <c r="K48" s="15" t="s">
        <v>50</v>
      </c>
      <c r="L48" s="15"/>
      <c r="M48" s="15"/>
      <c r="N48" s="15" t="s">
        <v>50</v>
      </c>
      <c r="O48" s="15"/>
      <c r="P48" s="15" t="s">
        <v>50</v>
      </c>
      <c r="Q48" s="15"/>
      <c r="R48" s="15"/>
      <c r="S48" s="15"/>
      <c r="T48" s="15" t="s">
        <v>50</v>
      </c>
      <c r="U48" s="15"/>
      <c r="V48" s="16"/>
      <c r="W48" s="17" t="str">
        <f t="shared" si="8"/>
        <v>OK</v>
      </c>
    </row>
    <row r="49" spans="1:23" ht="20.100000000000001" customHeight="1" x14ac:dyDescent="0.25">
      <c r="A49" s="12" t="s">
        <v>56</v>
      </c>
      <c r="B49" s="13" t="s">
        <v>49</v>
      </c>
      <c r="C49" s="14">
        <v>4</v>
      </c>
      <c r="D49" s="14">
        <v>5</v>
      </c>
      <c r="E49" s="14">
        <f t="shared" si="7"/>
        <v>1</v>
      </c>
      <c r="F49" s="15" t="s">
        <v>50</v>
      </c>
      <c r="G49" s="15"/>
      <c r="H49" s="15"/>
      <c r="I49" s="15"/>
      <c r="J49" s="15"/>
      <c r="K49" s="15" t="s">
        <v>50</v>
      </c>
      <c r="L49" s="15"/>
      <c r="M49" s="15"/>
      <c r="N49" s="15" t="s">
        <v>50</v>
      </c>
      <c r="O49" s="15"/>
      <c r="P49" s="15" t="s">
        <v>50</v>
      </c>
      <c r="Q49" s="15"/>
      <c r="R49" s="15"/>
      <c r="S49" s="15"/>
      <c r="T49" s="15" t="s">
        <v>50</v>
      </c>
      <c r="U49" s="15"/>
      <c r="V49" s="16"/>
      <c r="W49" s="17" t="str">
        <f t="shared" si="8"/>
        <v>OK</v>
      </c>
    </row>
    <row r="50" spans="1:23" ht="20.100000000000001" customHeight="1" x14ac:dyDescent="0.25">
      <c r="A50" s="12" t="s">
        <v>56</v>
      </c>
      <c r="B50" s="13" t="s">
        <v>49</v>
      </c>
      <c r="C50" s="14">
        <v>5</v>
      </c>
      <c r="D50" s="14">
        <v>6</v>
      </c>
      <c r="E50" s="14">
        <f t="shared" si="7"/>
        <v>1</v>
      </c>
      <c r="F50" s="15" t="s">
        <v>50</v>
      </c>
      <c r="G50" s="15"/>
      <c r="H50" s="15"/>
      <c r="I50" s="15"/>
      <c r="J50" s="15"/>
      <c r="K50" s="15" t="s">
        <v>50</v>
      </c>
      <c r="L50" s="15"/>
      <c r="M50" s="15"/>
      <c r="N50" s="15" t="s">
        <v>50</v>
      </c>
      <c r="O50" s="15"/>
      <c r="P50" s="15" t="s">
        <v>50</v>
      </c>
      <c r="Q50" s="15"/>
      <c r="R50" s="15"/>
      <c r="S50" s="15"/>
      <c r="T50" s="15" t="s">
        <v>50</v>
      </c>
      <c r="U50" s="15"/>
      <c r="V50" s="16"/>
      <c r="W50" s="17" t="str">
        <f t="shared" si="8"/>
        <v>OK</v>
      </c>
    </row>
    <row r="51" spans="1:23" ht="20.100000000000001" customHeight="1" x14ac:dyDescent="0.25">
      <c r="A51" s="12" t="s">
        <v>56</v>
      </c>
      <c r="B51" s="13" t="s">
        <v>49</v>
      </c>
      <c r="C51" s="14">
        <v>6</v>
      </c>
      <c r="D51" s="14">
        <v>7</v>
      </c>
      <c r="E51" s="14">
        <f t="shared" si="7"/>
        <v>1</v>
      </c>
      <c r="F51" s="15" t="s">
        <v>50</v>
      </c>
      <c r="G51" s="15"/>
      <c r="H51" s="15"/>
      <c r="I51" s="15"/>
      <c r="J51" s="15"/>
      <c r="K51" s="15" t="s">
        <v>50</v>
      </c>
      <c r="L51" s="15"/>
      <c r="M51" s="15"/>
      <c r="N51" s="15" t="s">
        <v>50</v>
      </c>
      <c r="O51" s="15"/>
      <c r="P51" s="15" t="s">
        <v>50</v>
      </c>
      <c r="Q51" s="15"/>
      <c r="R51" s="15"/>
      <c r="S51" s="15"/>
      <c r="T51" s="15" t="s">
        <v>50</v>
      </c>
      <c r="U51" s="15"/>
      <c r="V51" s="16"/>
      <c r="W51" s="17" t="str">
        <f t="shared" si="8"/>
        <v>OK</v>
      </c>
    </row>
    <row r="52" spans="1:23" ht="20.100000000000001" customHeight="1" x14ac:dyDescent="0.25">
      <c r="A52" s="12" t="s">
        <v>56</v>
      </c>
      <c r="B52" s="13" t="s">
        <v>49</v>
      </c>
      <c r="C52" s="14">
        <v>7</v>
      </c>
      <c r="D52" s="14">
        <v>8</v>
      </c>
      <c r="E52" s="14">
        <f t="shared" si="7"/>
        <v>1</v>
      </c>
      <c r="F52" s="15" t="s">
        <v>50</v>
      </c>
      <c r="G52" s="15"/>
      <c r="H52" s="15"/>
      <c r="I52" s="15"/>
      <c r="J52" s="15"/>
      <c r="K52" s="15" t="s">
        <v>50</v>
      </c>
      <c r="L52" s="15"/>
      <c r="M52" s="15"/>
      <c r="N52" s="15" t="s">
        <v>50</v>
      </c>
      <c r="O52" s="15"/>
      <c r="P52" s="15" t="s">
        <v>50</v>
      </c>
      <c r="Q52" s="15"/>
      <c r="R52" s="15"/>
      <c r="S52" s="15"/>
      <c r="T52" s="15" t="s">
        <v>50</v>
      </c>
      <c r="U52" s="15"/>
      <c r="V52" s="16"/>
      <c r="W52" s="17" t="str">
        <f t="shared" si="8"/>
        <v>OK</v>
      </c>
    </row>
    <row r="53" spans="1:23" ht="20.100000000000001" customHeight="1" x14ac:dyDescent="0.25">
      <c r="A53" s="12" t="s">
        <v>56</v>
      </c>
      <c r="B53" s="13" t="s">
        <v>49</v>
      </c>
      <c r="C53" s="14">
        <v>8</v>
      </c>
      <c r="D53" s="14">
        <v>9</v>
      </c>
      <c r="E53" s="14">
        <f t="shared" si="7"/>
        <v>1</v>
      </c>
      <c r="F53" s="15"/>
      <c r="G53" s="15"/>
      <c r="H53" s="15"/>
      <c r="I53" s="15" t="s">
        <v>50</v>
      </c>
      <c r="J53" s="15"/>
      <c r="K53" s="15" t="s">
        <v>50</v>
      </c>
      <c r="L53" s="15"/>
      <c r="M53" s="15"/>
      <c r="N53" s="15" t="s">
        <v>50</v>
      </c>
      <c r="O53" s="15"/>
      <c r="P53" s="15" t="s">
        <v>50</v>
      </c>
      <c r="Q53" s="15"/>
      <c r="R53" s="15"/>
      <c r="S53" s="15"/>
      <c r="T53" s="15" t="s">
        <v>50</v>
      </c>
      <c r="U53" s="15"/>
      <c r="V53" s="16"/>
      <c r="W53" s="17" t="str">
        <f t="shared" si="8"/>
        <v>OK</v>
      </c>
    </row>
    <row r="54" spans="1:23" ht="20.100000000000001" customHeight="1" x14ac:dyDescent="0.25">
      <c r="A54" s="12" t="s">
        <v>56</v>
      </c>
      <c r="B54" s="13" t="s">
        <v>49</v>
      </c>
      <c r="C54" s="14">
        <v>9</v>
      </c>
      <c r="D54" s="14">
        <v>10</v>
      </c>
      <c r="E54" s="14">
        <f t="shared" si="7"/>
        <v>1</v>
      </c>
      <c r="F54" s="15"/>
      <c r="G54" s="15"/>
      <c r="H54" s="15"/>
      <c r="I54" s="15" t="s">
        <v>50</v>
      </c>
      <c r="J54" s="15"/>
      <c r="K54" s="15" t="s">
        <v>50</v>
      </c>
      <c r="L54" s="15"/>
      <c r="M54" s="15"/>
      <c r="N54" s="15" t="s">
        <v>50</v>
      </c>
      <c r="O54" s="15"/>
      <c r="P54" s="15" t="s">
        <v>50</v>
      </c>
      <c r="Q54" s="15"/>
      <c r="R54" s="15"/>
      <c r="S54" s="15"/>
      <c r="T54" s="15" t="s">
        <v>50</v>
      </c>
      <c r="U54" s="15"/>
      <c r="V54" s="16"/>
      <c r="W54" s="17" t="str">
        <f t="shared" si="8"/>
        <v>OK</v>
      </c>
    </row>
    <row r="55" spans="1:23" ht="20.100000000000001" customHeight="1" x14ac:dyDescent="0.25">
      <c r="A55" s="12" t="s">
        <v>56</v>
      </c>
      <c r="B55" s="13" t="s">
        <v>49</v>
      </c>
      <c r="C55" s="14">
        <v>10</v>
      </c>
      <c r="D55" s="14">
        <v>11</v>
      </c>
      <c r="E55" s="14">
        <f t="shared" si="7"/>
        <v>1</v>
      </c>
      <c r="F55" s="15"/>
      <c r="G55" s="15"/>
      <c r="H55" s="15"/>
      <c r="I55" s="15" t="s">
        <v>50</v>
      </c>
      <c r="J55" s="15"/>
      <c r="K55" s="15" t="s">
        <v>50</v>
      </c>
      <c r="L55" s="15"/>
      <c r="M55" s="15"/>
      <c r="N55" s="15" t="s">
        <v>50</v>
      </c>
      <c r="O55" s="15"/>
      <c r="P55" s="15" t="s">
        <v>50</v>
      </c>
      <c r="Q55" s="15"/>
      <c r="R55" s="15"/>
      <c r="S55" s="15"/>
      <c r="T55" s="15" t="s">
        <v>50</v>
      </c>
      <c r="U55" s="15"/>
      <c r="V55" s="16"/>
      <c r="W55" s="17" t="str">
        <f t="shared" si="8"/>
        <v>OK</v>
      </c>
    </row>
    <row r="56" spans="1:23" ht="20.100000000000001" customHeight="1" x14ac:dyDescent="0.25">
      <c r="A56" s="12" t="s">
        <v>56</v>
      </c>
      <c r="B56" s="13" t="s">
        <v>49</v>
      </c>
      <c r="C56" s="14">
        <v>11</v>
      </c>
      <c r="D56" s="14">
        <v>12</v>
      </c>
      <c r="E56" s="14">
        <f t="shared" si="7"/>
        <v>1</v>
      </c>
      <c r="F56" s="15" t="s">
        <v>50</v>
      </c>
      <c r="G56" s="15"/>
      <c r="H56" s="15"/>
      <c r="I56" s="15"/>
      <c r="J56" s="15"/>
      <c r="K56" s="15" t="s">
        <v>50</v>
      </c>
      <c r="L56" s="15"/>
      <c r="M56" s="15"/>
      <c r="N56" s="15" t="s">
        <v>50</v>
      </c>
      <c r="O56" s="15"/>
      <c r="P56" s="15" t="s">
        <v>50</v>
      </c>
      <c r="Q56" s="15"/>
      <c r="R56" s="15"/>
      <c r="S56" s="15"/>
      <c r="T56" s="15" t="s">
        <v>50</v>
      </c>
      <c r="U56" s="15"/>
      <c r="V56" s="16"/>
      <c r="W56" s="17" t="str">
        <f t="shared" si="8"/>
        <v>OK</v>
      </c>
    </row>
    <row r="57" spans="1:23" ht="20.100000000000001" customHeight="1" x14ac:dyDescent="0.25">
      <c r="A57" s="12" t="s">
        <v>56</v>
      </c>
      <c r="B57" s="13" t="s">
        <v>49</v>
      </c>
      <c r="C57" s="14">
        <v>12</v>
      </c>
      <c r="D57" s="14">
        <v>13</v>
      </c>
      <c r="E57" s="14">
        <f t="shared" si="7"/>
        <v>1</v>
      </c>
      <c r="F57" s="15" t="s">
        <v>50</v>
      </c>
      <c r="G57" s="15"/>
      <c r="H57" s="15"/>
      <c r="I57" s="15"/>
      <c r="J57" s="15"/>
      <c r="K57" s="15" t="s">
        <v>50</v>
      </c>
      <c r="L57" s="15"/>
      <c r="M57" s="15"/>
      <c r="N57" s="15" t="s">
        <v>50</v>
      </c>
      <c r="O57" s="15"/>
      <c r="P57" s="15" t="s">
        <v>50</v>
      </c>
      <c r="Q57" s="15"/>
      <c r="R57" s="15"/>
      <c r="S57" s="15"/>
      <c r="T57" s="15" t="s">
        <v>50</v>
      </c>
      <c r="U57" s="15"/>
      <c r="V57" s="16"/>
      <c r="W57" s="17" t="str">
        <f t="shared" si="8"/>
        <v>OK</v>
      </c>
    </row>
    <row r="58" spans="1:23" ht="20.100000000000001" customHeight="1" x14ac:dyDescent="0.25">
      <c r="A58" s="12" t="s">
        <v>56</v>
      </c>
      <c r="B58" s="13" t="s">
        <v>49</v>
      </c>
      <c r="C58" s="14">
        <v>13</v>
      </c>
      <c r="D58" s="14">
        <v>14</v>
      </c>
      <c r="E58" s="14">
        <f t="shared" si="7"/>
        <v>1</v>
      </c>
      <c r="F58" s="15" t="s">
        <v>50</v>
      </c>
      <c r="G58" s="15"/>
      <c r="H58" s="15"/>
      <c r="I58" s="15"/>
      <c r="J58" s="15"/>
      <c r="K58" s="15" t="s">
        <v>50</v>
      </c>
      <c r="L58" s="15"/>
      <c r="M58" s="15"/>
      <c r="N58" s="15" t="s">
        <v>50</v>
      </c>
      <c r="O58" s="15"/>
      <c r="P58" s="15" t="s">
        <v>50</v>
      </c>
      <c r="Q58" s="15"/>
      <c r="R58" s="15"/>
      <c r="S58" s="15"/>
      <c r="T58" s="15" t="s">
        <v>50</v>
      </c>
      <c r="U58" s="15"/>
      <c r="V58" s="16"/>
      <c r="W58" s="17" t="str">
        <f t="shared" si="8"/>
        <v>OK</v>
      </c>
    </row>
    <row r="59" spans="1:23" ht="20.100000000000001" customHeight="1" x14ac:dyDescent="0.25">
      <c r="A59" s="12" t="s">
        <v>56</v>
      </c>
      <c r="B59" s="13" t="s">
        <v>49</v>
      </c>
      <c r="C59" s="14">
        <v>14</v>
      </c>
      <c r="D59" s="14">
        <v>15</v>
      </c>
      <c r="E59" s="14">
        <f t="shared" si="7"/>
        <v>1</v>
      </c>
      <c r="F59" s="15" t="s">
        <v>50</v>
      </c>
      <c r="G59" s="15"/>
      <c r="H59" s="15"/>
      <c r="I59" s="15"/>
      <c r="J59" s="15"/>
      <c r="K59" s="15" t="s">
        <v>50</v>
      </c>
      <c r="L59" s="15"/>
      <c r="M59" s="15"/>
      <c r="N59" s="15" t="s">
        <v>50</v>
      </c>
      <c r="O59" s="15"/>
      <c r="P59" s="15" t="s">
        <v>50</v>
      </c>
      <c r="Q59" s="15"/>
      <c r="R59" s="15"/>
      <c r="S59" s="15"/>
      <c r="T59" s="15" t="s">
        <v>50</v>
      </c>
      <c r="U59" s="15"/>
      <c r="V59" s="16"/>
      <c r="W59" s="17" t="str">
        <f t="shared" si="8"/>
        <v>OK</v>
      </c>
    </row>
    <row r="60" spans="1:23" ht="20.100000000000001" customHeight="1" x14ac:dyDescent="0.25">
      <c r="A60" s="12" t="s">
        <v>56</v>
      </c>
      <c r="B60" s="13" t="s">
        <v>49</v>
      </c>
      <c r="C60" s="14">
        <v>15</v>
      </c>
      <c r="D60" s="14">
        <v>16</v>
      </c>
      <c r="E60" s="14">
        <f t="shared" si="7"/>
        <v>1</v>
      </c>
      <c r="F60" s="15" t="s">
        <v>50</v>
      </c>
      <c r="G60" s="15"/>
      <c r="H60" s="15"/>
      <c r="I60" s="15"/>
      <c r="J60" s="15"/>
      <c r="K60" s="15" t="s">
        <v>50</v>
      </c>
      <c r="L60" s="15"/>
      <c r="M60" s="15"/>
      <c r="N60" s="15" t="s">
        <v>50</v>
      </c>
      <c r="O60" s="15"/>
      <c r="P60" s="15" t="s">
        <v>50</v>
      </c>
      <c r="Q60" s="15"/>
      <c r="R60" s="15"/>
      <c r="S60" s="15"/>
      <c r="T60" s="15" t="s">
        <v>50</v>
      </c>
      <c r="U60" s="15"/>
      <c r="V60" s="16"/>
      <c r="W60" s="17" t="str">
        <f t="shared" si="8"/>
        <v>OK</v>
      </c>
    </row>
    <row r="61" spans="1:23" ht="20.100000000000001" customHeight="1" x14ac:dyDescent="0.25">
      <c r="A61" s="12" t="s">
        <v>56</v>
      </c>
      <c r="B61" s="13" t="s">
        <v>49</v>
      </c>
      <c r="C61" s="14">
        <v>16</v>
      </c>
      <c r="D61" s="14">
        <v>17</v>
      </c>
      <c r="E61" s="14">
        <f t="shared" si="7"/>
        <v>1</v>
      </c>
      <c r="F61" s="15" t="s">
        <v>50</v>
      </c>
      <c r="G61" s="15"/>
      <c r="H61" s="15"/>
      <c r="I61" s="15"/>
      <c r="J61" s="15"/>
      <c r="K61" s="15" t="s">
        <v>50</v>
      </c>
      <c r="L61" s="15"/>
      <c r="M61" s="15"/>
      <c r="N61" s="15" t="s">
        <v>50</v>
      </c>
      <c r="O61" s="15"/>
      <c r="P61" s="15" t="s">
        <v>50</v>
      </c>
      <c r="Q61" s="15"/>
      <c r="R61" s="15"/>
      <c r="S61" s="15"/>
      <c r="T61" s="15" t="s">
        <v>50</v>
      </c>
      <c r="U61" s="15"/>
      <c r="V61" s="16"/>
      <c r="W61" s="17" t="str">
        <f t="shared" si="8"/>
        <v>OK</v>
      </c>
    </row>
    <row r="62" spans="1:23" ht="20.100000000000001" customHeight="1" x14ac:dyDescent="0.25">
      <c r="A62" s="12" t="s">
        <v>56</v>
      </c>
      <c r="B62" s="13" t="s">
        <v>49</v>
      </c>
      <c r="C62" s="14">
        <v>17</v>
      </c>
      <c r="D62" s="14">
        <v>18</v>
      </c>
      <c r="E62" s="14">
        <f t="shared" si="7"/>
        <v>1</v>
      </c>
      <c r="F62" s="15"/>
      <c r="G62" s="15"/>
      <c r="H62" s="15"/>
      <c r="I62" s="15" t="s">
        <v>50</v>
      </c>
      <c r="J62" s="15"/>
      <c r="K62" s="15" t="s">
        <v>50</v>
      </c>
      <c r="L62" s="15"/>
      <c r="M62" s="15"/>
      <c r="N62" s="15" t="s">
        <v>50</v>
      </c>
      <c r="O62" s="15"/>
      <c r="P62" s="15" t="s">
        <v>50</v>
      </c>
      <c r="Q62" s="15"/>
      <c r="R62" s="15"/>
      <c r="S62" s="15"/>
      <c r="T62" s="15" t="s">
        <v>50</v>
      </c>
      <c r="U62" s="15"/>
      <c r="V62" s="16"/>
      <c r="W62" s="17" t="str">
        <f t="shared" si="8"/>
        <v>OK</v>
      </c>
    </row>
    <row r="63" spans="1:23" ht="20.100000000000001" customHeight="1" x14ac:dyDescent="0.25">
      <c r="A63" s="12" t="s">
        <v>56</v>
      </c>
      <c r="B63" s="13" t="s">
        <v>49</v>
      </c>
      <c r="C63" s="14">
        <v>18</v>
      </c>
      <c r="D63" s="14">
        <v>19</v>
      </c>
      <c r="E63" s="14">
        <f t="shared" si="7"/>
        <v>1</v>
      </c>
      <c r="F63" s="15"/>
      <c r="G63" s="15"/>
      <c r="H63" s="15"/>
      <c r="I63" s="15" t="s">
        <v>50</v>
      </c>
      <c r="J63" s="15"/>
      <c r="K63" s="15" t="s">
        <v>50</v>
      </c>
      <c r="L63" s="15"/>
      <c r="M63" s="15"/>
      <c r="N63" s="15" t="s">
        <v>50</v>
      </c>
      <c r="O63" s="15"/>
      <c r="P63" s="15" t="s">
        <v>50</v>
      </c>
      <c r="Q63" s="15"/>
      <c r="R63" s="15"/>
      <c r="S63" s="15"/>
      <c r="T63" s="15" t="s">
        <v>50</v>
      </c>
      <c r="U63" s="15"/>
      <c r="V63" s="16"/>
      <c r="W63" s="17" t="str">
        <f t="shared" si="8"/>
        <v>OK</v>
      </c>
    </row>
    <row r="64" spans="1:23" ht="20.100000000000001" customHeight="1" x14ac:dyDescent="0.25">
      <c r="A64" s="12" t="s">
        <v>56</v>
      </c>
      <c r="B64" s="13" t="s">
        <v>49</v>
      </c>
      <c r="C64" s="14">
        <v>19</v>
      </c>
      <c r="D64" s="14">
        <v>20</v>
      </c>
      <c r="E64" s="14">
        <f t="shared" si="7"/>
        <v>1</v>
      </c>
      <c r="F64" s="15"/>
      <c r="G64" s="15"/>
      <c r="H64" s="15"/>
      <c r="I64" s="15" t="s">
        <v>50</v>
      </c>
      <c r="J64" s="15"/>
      <c r="K64" s="15" t="s">
        <v>50</v>
      </c>
      <c r="L64" s="15"/>
      <c r="M64" s="15"/>
      <c r="N64" s="15" t="s">
        <v>50</v>
      </c>
      <c r="O64" s="15"/>
      <c r="P64" s="15" t="s">
        <v>50</v>
      </c>
      <c r="Q64" s="15"/>
      <c r="R64" s="15"/>
      <c r="S64" s="15"/>
      <c r="T64" s="15" t="s">
        <v>50</v>
      </c>
      <c r="U64" s="15"/>
      <c r="V64" s="16"/>
      <c r="W64" s="17" t="str">
        <f t="shared" si="8"/>
        <v>OK</v>
      </c>
    </row>
    <row r="65" spans="1:23" ht="20.100000000000001" customHeight="1" x14ac:dyDescent="0.25">
      <c r="A65" s="12" t="s">
        <v>56</v>
      </c>
      <c r="B65" s="13" t="s">
        <v>49</v>
      </c>
      <c r="C65" s="14">
        <v>20</v>
      </c>
      <c r="D65" s="14">
        <v>21</v>
      </c>
      <c r="E65" s="14">
        <f t="shared" si="7"/>
        <v>1</v>
      </c>
      <c r="F65" s="15"/>
      <c r="G65" s="15"/>
      <c r="H65" s="15"/>
      <c r="I65" s="15" t="s">
        <v>50</v>
      </c>
      <c r="J65" s="15"/>
      <c r="K65" s="15" t="s">
        <v>50</v>
      </c>
      <c r="L65" s="15"/>
      <c r="M65" s="15"/>
      <c r="N65" s="15" t="s">
        <v>50</v>
      </c>
      <c r="O65" s="15"/>
      <c r="P65" s="15" t="s">
        <v>50</v>
      </c>
      <c r="Q65" s="15"/>
      <c r="R65" s="15"/>
      <c r="S65" s="15"/>
      <c r="T65" s="15" t="s">
        <v>50</v>
      </c>
      <c r="U65" s="15"/>
      <c r="V65" s="16"/>
      <c r="W65" s="17" t="str">
        <f t="shared" si="8"/>
        <v>OK</v>
      </c>
    </row>
    <row r="66" spans="1:23" ht="20.100000000000001" customHeight="1" x14ac:dyDescent="0.25">
      <c r="A66" s="12" t="s">
        <v>56</v>
      </c>
      <c r="B66" s="13" t="s">
        <v>49</v>
      </c>
      <c r="C66" s="14">
        <v>21</v>
      </c>
      <c r="D66" s="14">
        <v>22</v>
      </c>
      <c r="E66" s="14">
        <f t="shared" si="7"/>
        <v>1</v>
      </c>
      <c r="F66" s="15" t="s">
        <v>50</v>
      </c>
      <c r="G66" s="15"/>
      <c r="H66" s="15"/>
      <c r="I66" s="15"/>
      <c r="J66" s="15"/>
      <c r="K66" s="15" t="s">
        <v>50</v>
      </c>
      <c r="L66" s="15"/>
      <c r="M66" s="15"/>
      <c r="N66" s="15" t="s">
        <v>50</v>
      </c>
      <c r="O66" s="15"/>
      <c r="P66" s="15" t="s">
        <v>50</v>
      </c>
      <c r="Q66" s="15"/>
      <c r="R66" s="15"/>
      <c r="S66" s="15"/>
      <c r="T66" s="15" t="s">
        <v>50</v>
      </c>
      <c r="U66" s="15"/>
      <c r="V66" s="16"/>
      <c r="W66" s="17" t="str">
        <f t="shared" si="8"/>
        <v>OK</v>
      </c>
    </row>
    <row r="67" spans="1:23" ht="20.100000000000001" customHeight="1" x14ac:dyDescent="0.25">
      <c r="A67" s="12" t="s">
        <v>56</v>
      </c>
      <c r="B67" s="13" t="s">
        <v>49</v>
      </c>
      <c r="C67" s="14">
        <v>22</v>
      </c>
      <c r="D67" s="14">
        <v>23</v>
      </c>
      <c r="E67" s="14">
        <f t="shared" si="7"/>
        <v>1</v>
      </c>
      <c r="F67" s="15" t="s">
        <v>50</v>
      </c>
      <c r="G67" s="15"/>
      <c r="H67" s="15"/>
      <c r="I67" s="15"/>
      <c r="J67" s="15"/>
      <c r="K67" s="15" t="s">
        <v>50</v>
      </c>
      <c r="L67" s="15"/>
      <c r="M67" s="15"/>
      <c r="N67" s="15" t="s">
        <v>50</v>
      </c>
      <c r="O67" s="15"/>
      <c r="P67" s="15" t="s">
        <v>50</v>
      </c>
      <c r="Q67" s="15"/>
      <c r="R67" s="15"/>
      <c r="S67" s="15"/>
      <c r="T67" s="15" t="s">
        <v>50</v>
      </c>
      <c r="U67" s="15"/>
      <c r="V67" s="16"/>
      <c r="W67" s="17" t="str">
        <f t="shared" si="8"/>
        <v>OK</v>
      </c>
    </row>
    <row r="68" spans="1:23" ht="20.100000000000001" customHeight="1" x14ac:dyDescent="0.25">
      <c r="A68" s="12" t="s">
        <v>56</v>
      </c>
      <c r="B68" s="13" t="s">
        <v>49</v>
      </c>
      <c r="C68" s="14">
        <v>23</v>
      </c>
      <c r="D68" s="14">
        <v>24</v>
      </c>
      <c r="E68" s="14">
        <f t="shared" si="7"/>
        <v>1</v>
      </c>
      <c r="F68" s="15" t="s">
        <v>50</v>
      </c>
      <c r="G68" s="15"/>
      <c r="H68" s="15"/>
      <c r="I68" s="15"/>
      <c r="J68" s="15"/>
      <c r="K68" s="15" t="s">
        <v>50</v>
      </c>
      <c r="L68" s="15"/>
      <c r="M68" s="15"/>
      <c r="N68" s="15" t="s">
        <v>50</v>
      </c>
      <c r="O68" s="15"/>
      <c r="P68" s="15" t="s">
        <v>50</v>
      </c>
      <c r="Q68" s="15"/>
      <c r="R68" s="15"/>
      <c r="S68" s="15"/>
      <c r="T68" s="15" t="s">
        <v>50</v>
      </c>
      <c r="U68" s="15"/>
      <c r="V68" s="16"/>
      <c r="W68" s="17" t="str">
        <f t="shared" si="8"/>
        <v>OK</v>
      </c>
    </row>
    <row r="69" spans="1:23" ht="20.100000000000001" customHeight="1" x14ac:dyDescent="0.25">
      <c r="A69" s="12" t="s">
        <v>56</v>
      </c>
      <c r="B69" s="13" t="s">
        <v>49</v>
      </c>
      <c r="C69" s="14">
        <v>24</v>
      </c>
      <c r="D69" s="14">
        <v>25</v>
      </c>
      <c r="E69" s="14">
        <f t="shared" si="7"/>
        <v>1</v>
      </c>
      <c r="F69" s="15" t="s">
        <v>50</v>
      </c>
      <c r="G69" s="15"/>
      <c r="H69" s="15"/>
      <c r="I69" s="15"/>
      <c r="J69" s="15"/>
      <c r="K69" s="15" t="s">
        <v>50</v>
      </c>
      <c r="L69" s="15"/>
      <c r="M69" s="15"/>
      <c r="N69" s="15" t="s">
        <v>50</v>
      </c>
      <c r="O69" s="15"/>
      <c r="P69" s="15" t="s">
        <v>50</v>
      </c>
      <c r="Q69" s="15"/>
      <c r="R69" s="15"/>
      <c r="S69" s="15"/>
      <c r="T69" s="15" t="s">
        <v>50</v>
      </c>
      <c r="U69" s="15"/>
      <c r="V69" s="16"/>
      <c r="W69" s="17" t="str">
        <f t="shared" si="8"/>
        <v>OK</v>
      </c>
    </row>
    <row r="70" spans="1:23" ht="20.100000000000001" customHeight="1" x14ac:dyDescent="0.25">
      <c r="A70" s="18" t="s">
        <v>56</v>
      </c>
      <c r="B70" s="19" t="s">
        <v>49</v>
      </c>
      <c r="C70" s="20">
        <v>25</v>
      </c>
      <c r="D70" s="20">
        <v>25.891158516899999</v>
      </c>
      <c r="E70" s="20">
        <f t="shared" si="7"/>
        <v>0.89115851689999914</v>
      </c>
      <c r="F70" s="21" t="s">
        <v>50</v>
      </c>
      <c r="G70" s="21"/>
      <c r="H70" s="21"/>
      <c r="I70" s="21"/>
      <c r="J70" s="21"/>
      <c r="K70" s="21" t="s">
        <v>50</v>
      </c>
      <c r="L70" s="21"/>
      <c r="M70" s="21"/>
      <c r="N70" s="21" t="s">
        <v>50</v>
      </c>
      <c r="O70" s="21"/>
      <c r="P70" s="21" t="s">
        <v>50</v>
      </c>
      <c r="Q70" s="21"/>
      <c r="R70" s="21"/>
      <c r="S70" s="21"/>
      <c r="T70" s="21" t="s">
        <v>50</v>
      </c>
      <c r="U70" s="21"/>
      <c r="V70" s="22"/>
      <c r="W70" s="23" t="str">
        <f t="shared" si="8"/>
        <v>OK</v>
      </c>
    </row>
    <row r="71" spans="1:23" ht="15.95" customHeight="1" x14ac:dyDescent="0.25">
      <c r="A71" s="34" t="s">
        <v>57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9"/>
      <c r="W71" s="4"/>
    </row>
    <row r="72" spans="1:23" ht="20.100000000000001" customHeight="1" x14ac:dyDescent="0.25">
      <c r="A72" s="12" t="s">
        <v>58</v>
      </c>
      <c r="B72" s="13" t="s">
        <v>49</v>
      </c>
      <c r="C72" s="14">
        <v>0</v>
      </c>
      <c r="D72" s="14">
        <v>1</v>
      </c>
      <c r="E72" s="14">
        <f t="shared" ref="E72:E86" si="9">D72-C72</f>
        <v>1</v>
      </c>
      <c r="F72" s="15" t="s">
        <v>50</v>
      </c>
      <c r="G72" s="15"/>
      <c r="H72" s="15"/>
      <c r="I72" s="15"/>
      <c r="J72" s="15"/>
      <c r="K72" s="15" t="s">
        <v>50</v>
      </c>
      <c r="L72" s="15"/>
      <c r="M72" s="15"/>
      <c r="N72" s="15" t="s">
        <v>50</v>
      </c>
      <c r="O72" s="15"/>
      <c r="P72" s="15" t="s">
        <v>50</v>
      </c>
      <c r="Q72" s="15"/>
      <c r="R72" s="15"/>
      <c r="S72" s="15"/>
      <c r="T72" s="15" t="s">
        <v>50</v>
      </c>
      <c r="U72" s="15"/>
      <c r="V72" s="16" t="s">
        <v>59</v>
      </c>
      <c r="W72" s="17" t="str">
        <f t="shared" ref="W72:W86" si="10">IF(COUNTA(F72:U72)=0,"— não preenchido",IF(COUNTIF(F72:J72,"X")&lt;&gt;1,"FALTA/DUPLA: CONDIÇÃO DO PAVIMENTO",IF(COUNTIF(K72:L72,"X")&lt;&gt;1,"FALTA/DUPLA: VEGETAÇÃO",IF(COUNTIF(M72:O72,"X")&lt;&gt;1,"FALTA/DUPLA: ELEM. DE DRENAGEM",IF(COUNTIF(P72:R72,"X")&lt;&gt;1,"FALTA/DUPLA: SIN. HORIZ.",IF(COUNTIF(S72:U72,"X")&lt;&gt;1,"FALTA/DUPLA: SIN. VERTICAL","OK"))))))</f>
        <v>OK</v>
      </c>
    </row>
    <row r="73" spans="1:23" ht="20.100000000000001" customHeight="1" x14ac:dyDescent="0.25">
      <c r="A73" s="12" t="s">
        <v>58</v>
      </c>
      <c r="B73" s="13" t="s">
        <v>49</v>
      </c>
      <c r="C73" s="14">
        <v>1</v>
      </c>
      <c r="D73" s="14">
        <v>2</v>
      </c>
      <c r="E73" s="14">
        <f t="shared" si="9"/>
        <v>1</v>
      </c>
      <c r="F73" s="15" t="s">
        <v>50</v>
      </c>
      <c r="G73" s="15"/>
      <c r="H73" s="15"/>
      <c r="I73" s="15"/>
      <c r="J73" s="15"/>
      <c r="K73" s="15" t="s">
        <v>50</v>
      </c>
      <c r="L73" s="15"/>
      <c r="M73" s="15"/>
      <c r="N73" s="15" t="s">
        <v>50</v>
      </c>
      <c r="O73" s="15"/>
      <c r="P73" s="15" t="s">
        <v>50</v>
      </c>
      <c r="Q73" s="15"/>
      <c r="R73" s="15"/>
      <c r="S73" s="15"/>
      <c r="T73" s="15" t="s">
        <v>50</v>
      </c>
      <c r="U73" s="15"/>
      <c r="V73" s="16"/>
      <c r="W73" s="17" t="str">
        <f t="shared" si="10"/>
        <v>OK</v>
      </c>
    </row>
    <row r="74" spans="1:23" ht="20.100000000000001" customHeight="1" x14ac:dyDescent="0.25">
      <c r="A74" s="12" t="s">
        <v>58</v>
      </c>
      <c r="B74" s="13" t="s">
        <v>49</v>
      </c>
      <c r="C74" s="14">
        <v>2</v>
      </c>
      <c r="D74" s="14">
        <v>3</v>
      </c>
      <c r="E74" s="14">
        <f t="shared" si="9"/>
        <v>1</v>
      </c>
      <c r="F74" s="15" t="s">
        <v>50</v>
      </c>
      <c r="G74" s="15"/>
      <c r="H74" s="15"/>
      <c r="I74" s="15"/>
      <c r="J74" s="15"/>
      <c r="K74" s="15" t="s">
        <v>50</v>
      </c>
      <c r="L74" s="15"/>
      <c r="M74" s="15"/>
      <c r="N74" s="15" t="s">
        <v>50</v>
      </c>
      <c r="O74" s="15"/>
      <c r="P74" s="15" t="s">
        <v>50</v>
      </c>
      <c r="Q74" s="15"/>
      <c r="R74" s="15"/>
      <c r="S74" s="15"/>
      <c r="T74" s="15" t="s">
        <v>50</v>
      </c>
      <c r="U74" s="15"/>
      <c r="V74" s="16"/>
      <c r="W74" s="17" t="str">
        <f t="shared" si="10"/>
        <v>OK</v>
      </c>
    </row>
    <row r="75" spans="1:23" ht="20.100000000000001" customHeight="1" x14ac:dyDescent="0.25">
      <c r="A75" s="12" t="s">
        <v>58</v>
      </c>
      <c r="B75" s="13" t="s">
        <v>49</v>
      </c>
      <c r="C75" s="14">
        <v>3</v>
      </c>
      <c r="D75" s="14">
        <v>4</v>
      </c>
      <c r="E75" s="14">
        <f t="shared" si="9"/>
        <v>1</v>
      </c>
      <c r="F75" s="15" t="s">
        <v>50</v>
      </c>
      <c r="G75" s="15"/>
      <c r="H75" s="15"/>
      <c r="I75" s="15"/>
      <c r="J75" s="15"/>
      <c r="K75" s="15" t="s">
        <v>50</v>
      </c>
      <c r="L75" s="15"/>
      <c r="M75" s="15"/>
      <c r="N75" s="15" t="s">
        <v>50</v>
      </c>
      <c r="O75" s="15"/>
      <c r="P75" s="15" t="s">
        <v>50</v>
      </c>
      <c r="Q75" s="15"/>
      <c r="R75" s="15"/>
      <c r="S75" s="15"/>
      <c r="T75" s="15" t="s">
        <v>50</v>
      </c>
      <c r="U75" s="15"/>
      <c r="V75" s="16"/>
      <c r="W75" s="17" t="str">
        <f t="shared" si="10"/>
        <v>OK</v>
      </c>
    </row>
    <row r="76" spans="1:23" ht="20.100000000000001" customHeight="1" x14ac:dyDescent="0.25">
      <c r="A76" s="12" t="s">
        <v>58</v>
      </c>
      <c r="B76" s="13" t="s">
        <v>49</v>
      </c>
      <c r="C76" s="14">
        <v>4</v>
      </c>
      <c r="D76" s="14">
        <v>5</v>
      </c>
      <c r="E76" s="14">
        <f t="shared" si="9"/>
        <v>1</v>
      </c>
      <c r="F76" s="15" t="s">
        <v>50</v>
      </c>
      <c r="G76" s="15"/>
      <c r="H76" s="15"/>
      <c r="I76" s="15"/>
      <c r="J76" s="15"/>
      <c r="K76" s="15" t="s">
        <v>50</v>
      </c>
      <c r="L76" s="15"/>
      <c r="M76" s="15"/>
      <c r="N76" s="15" t="s">
        <v>50</v>
      </c>
      <c r="O76" s="15"/>
      <c r="P76" s="15" t="s">
        <v>50</v>
      </c>
      <c r="Q76" s="15"/>
      <c r="R76" s="15"/>
      <c r="S76" s="15"/>
      <c r="T76" s="15" t="s">
        <v>50</v>
      </c>
      <c r="U76" s="15"/>
      <c r="V76" s="16"/>
      <c r="W76" s="17" t="str">
        <f t="shared" si="10"/>
        <v>OK</v>
      </c>
    </row>
    <row r="77" spans="1:23" ht="20.100000000000001" customHeight="1" x14ac:dyDescent="0.25">
      <c r="A77" s="12" t="s">
        <v>58</v>
      </c>
      <c r="B77" s="13" t="s">
        <v>49</v>
      </c>
      <c r="C77" s="14">
        <v>5</v>
      </c>
      <c r="D77" s="14">
        <v>6</v>
      </c>
      <c r="E77" s="14">
        <f t="shared" si="9"/>
        <v>1</v>
      </c>
      <c r="F77" s="15" t="s">
        <v>50</v>
      </c>
      <c r="G77" s="15"/>
      <c r="H77" s="15"/>
      <c r="I77" s="15"/>
      <c r="J77" s="15"/>
      <c r="K77" s="15" t="s">
        <v>50</v>
      </c>
      <c r="L77" s="15"/>
      <c r="M77" s="15"/>
      <c r="N77" s="15" t="s">
        <v>50</v>
      </c>
      <c r="O77" s="15"/>
      <c r="P77" s="15" t="s">
        <v>50</v>
      </c>
      <c r="Q77" s="15"/>
      <c r="R77" s="15"/>
      <c r="S77" s="15"/>
      <c r="T77" s="15" t="s">
        <v>50</v>
      </c>
      <c r="U77" s="15"/>
      <c r="V77" s="16"/>
      <c r="W77" s="17" t="str">
        <f t="shared" si="10"/>
        <v>OK</v>
      </c>
    </row>
    <row r="78" spans="1:23" ht="20.100000000000001" customHeight="1" x14ac:dyDescent="0.25">
      <c r="A78" s="12" t="s">
        <v>58</v>
      </c>
      <c r="B78" s="13" t="s">
        <v>49</v>
      </c>
      <c r="C78" s="14">
        <v>6</v>
      </c>
      <c r="D78" s="14">
        <v>7</v>
      </c>
      <c r="E78" s="14">
        <f t="shared" si="9"/>
        <v>1</v>
      </c>
      <c r="F78" s="15" t="s">
        <v>50</v>
      </c>
      <c r="G78" s="15"/>
      <c r="H78" s="15"/>
      <c r="I78" s="15"/>
      <c r="J78" s="15"/>
      <c r="K78" s="15" t="s">
        <v>50</v>
      </c>
      <c r="L78" s="15"/>
      <c r="M78" s="15"/>
      <c r="N78" s="15" t="s">
        <v>50</v>
      </c>
      <c r="O78" s="15"/>
      <c r="P78" s="15" t="s">
        <v>50</v>
      </c>
      <c r="Q78" s="15"/>
      <c r="R78" s="15"/>
      <c r="S78" s="15"/>
      <c r="T78" s="15" t="s">
        <v>50</v>
      </c>
      <c r="U78" s="15"/>
      <c r="V78" s="16"/>
      <c r="W78" s="17" t="str">
        <f t="shared" si="10"/>
        <v>OK</v>
      </c>
    </row>
    <row r="79" spans="1:23" ht="20.100000000000001" customHeight="1" x14ac:dyDescent="0.25">
      <c r="A79" s="12" t="s">
        <v>58</v>
      </c>
      <c r="B79" s="13" t="s">
        <v>49</v>
      </c>
      <c r="C79" s="14">
        <v>7</v>
      </c>
      <c r="D79" s="14">
        <v>8</v>
      </c>
      <c r="E79" s="14">
        <f t="shared" si="9"/>
        <v>1</v>
      </c>
      <c r="F79" s="15" t="s">
        <v>50</v>
      </c>
      <c r="G79" s="15"/>
      <c r="H79" s="15"/>
      <c r="I79" s="15"/>
      <c r="J79" s="15"/>
      <c r="K79" s="15" t="s">
        <v>50</v>
      </c>
      <c r="L79" s="15"/>
      <c r="M79" s="15"/>
      <c r="N79" s="15" t="s">
        <v>50</v>
      </c>
      <c r="O79" s="15"/>
      <c r="P79" s="15" t="s">
        <v>50</v>
      </c>
      <c r="Q79" s="15"/>
      <c r="R79" s="15"/>
      <c r="S79" s="15"/>
      <c r="T79" s="15" t="s">
        <v>50</v>
      </c>
      <c r="U79" s="15"/>
      <c r="V79" s="16"/>
      <c r="W79" s="17" t="str">
        <f t="shared" si="10"/>
        <v>OK</v>
      </c>
    </row>
    <row r="80" spans="1:23" ht="20.100000000000001" customHeight="1" x14ac:dyDescent="0.25">
      <c r="A80" s="12" t="s">
        <v>58</v>
      </c>
      <c r="B80" s="13" t="s">
        <v>49</v>
      </c>
      <c r="C80" s="14">
        <v>8</v>
      </c>
      <c r="D80" s="14">
        <v>9</v>
      </c>
      <c r="E80" s="14">
        <f t="shared" si="9"/>
        <v>1</v>
      </c>
      <c r="F80" s="15" t="s">
        <v>50</v>
      </c>
      <c r="G80" s="15"/>
      <c r="H80" s="15"/>
      <c r="I80" s="15"/>
      <c r="J80" s="15"/>
      <c r="K80" s="15" t="s">
        <v>50</v>
      </c>
      <c r="L80" s="15"/>
      <c r="M80" s="15"/>
      <c r="N80" s="15" t="s">
        <v>50</v>
      </c>
      <c r="O80" s="15"/>
      <c r="P80" s="15" t="s">
        <v>50</v>
      </c>
      <c r="Q80" s="15"/>
      <c r="R80" s="15"/>
      <c r="S80" s="15"/>
      <c r="T80" s="15" t="s">
        <v>50</v>
      </c>
      <c r="U80" s="15"/>
      <c r="V80" s="16"/>
      <c r="W80" s="17" t="str">
        <f t="shared" si="10"/>
        <v>OK</v>
      </c>
    </row>
    <row r="81" spans="1:23" ht="20.100000000000001" customHeight="1" x14ac:dyDescent="0.25">
      <c r="A81" s="12" t="s">
        <v>58</v>
      </c>
      <c r="B81" s="13" t="s">
        <v>49</v>
      </c>
      <c r="C81" s="14">
        <v>9</v>
      </c>
      <c r="D81" s="14">
        <v>10</v>
      </c>
      <c r="E81" s="14">
        <f t="shared" si="9"/>
        <v>1</v>
      </c>
      <c r="F81" s="15" t="s">
        <v>50</v>
      </c>
      <c r="G81" s="15"/>
      <c r="H81" s="15"/>
      <c r="I81" s="15"/>
      <c r="J81" s="15"/>
      <c r="K81" s="15" t="s">
        <v>50</v>
      </c>
      <c r="L81" s="15"/>
      <c r="M81" s="15"/>
      <c r="N81" s="15" t="s">
        <v>50</v>
      </c>
      <c r="O81" s="15"/>
      <c r="P81" s="15" t="s">
        <v>50</v>
      </c>
      <c r="Q81" s="15"/>
      <c r="R81" s="15"/>
      <c r="S81" s="15"/>
      <c r="T81" s="15" t="s">
        <v>50</v>
      </c>
      <c r="U81" s="15"/>
      <c r="V81" s="16"/>
      <c r="W81" s="17" t="str">
        <f t="shared" si="10"/>
        <v>OK</v>
      </c>
    </row>
    <row r="82" spans="1:23" ht="20.100000000000001" customHeight="1" x14ac:dyDescent="0.25">
      <c r="A82" s="12" t="s">
        <v>58</v>
      </c>
      <c r="B82" s="13" t="s">
        <v>49</v>
      </c>
      <c r="C82" s="14">
        <v>10</v>
      </c>
      <c r="D82" s="14">
        <v>11</v>
      </c>
      <c r="E82" s="14">
        <f t="shared" si="9"/>
        <v>1</v>
      </c>
      <c r="F82" s="15"/>
      <c r="G82" s="15"/>
      <c r="H82" s="15"/>
      <c r="I82" s="15" t="s">
        <v>50</v>
      </c>
      <c r="J82" s="15"/>
      <c r="K82" s="15" t="s">
        <v>50</v>
      </c>
      <c r="L82" s="15"/>
      <c r="M82" s="15"/>
      <c r="N82" s="15" t="s">
        <v>50</v>
      </c>
      <c r="O82" s="15"/>
      <c r="P82" s="15" t="s">
        <v>50</v>
      </c>
      <c r="Q82" s="15"/>
      <c r="R82" s="15"/>
      <c r="S82" s="15"/>
      <c r="T82" s="15" t="s">
        <v>50</v>
      </c>
      <c r="U82" s="15"/>
      <c r="V82" s="16"/>
      <c r="W82" s="17" t="str">
        <f t="shared" si="10"/>
        <v>OK</v>
      </c>
    </row>
    <row r="83" spans="1:23" ht="20.100000000000001" customHeight="1" x14ac:dyDescent="0.25">
      <c r="A83" s="12" t="s">
        <v>58</v>
      </c>
      <c r="B83" s="13" t="s">
        <v>49</v>
      </c>
      <c r="C83" s="14">
        <v>11</v>
      </c>
      <c r="D83" s="14">
        <v>12</v>
      </c>
      <c r="E83" s="14">
        <f t="shared" si="9"/>
        <v>1</v>
      </c>
      <c r="F83" s="15"/>
      <c r="G83" s="15"/>
      <c r="H83" s="15"/>
      <c r="I83" s="15" t="s">
        <v>50</v>
      </c>
      <c r="J83" s="15"/>
      <c r="K83" s="15" t="s">
        <v>50</v>
      </c>
      <c r="L83" s="15"/>
      <c r="M83" s="15"/>
      <c r="N83" s="15" t="s">
        <v>50</v>
      </c>
      <c r="O83" s="15"/>
      <c r="P83" s="15" t="s">
        <v>50</v>
      </c>
      <c r="Q83" s="15"/>
      <c r="R83" s="15"/>
      <c r="S83" s="15"/>
      <c r="T83" s="15" t="s">
        <v>50</v>
      </c>
      <c r="U83" s="15"/>
      <c r="V83" s="16"/>
      <c r="W83" s="17" t="str">
        <f t="shared" si="10"/>
        <v>OK</v>
      </c>
    </row>
    <row r="84" spans="1:23" ht="20.100000000000001" customHeight="1" x14ac:dyDescent="0.25">
      <c r="A84" s="12" t="s">
        <v>58</v>
      </c>
      <c r="B84" s="13" t="s">
        <v>49</v>
      </c>
      <c r="C84" s="14">
        <v>12</v>
      </c>
      <c r="D84" s="14">
        <v>13</v>
      </c>
      <c r="E84" s="14">
        <f t="shared" si="9"/>
        <v>1</v>
      </c>
      <c r="F84" s="15"/>
      <c r="G84" s="15"/>
      <c r="H84" s="15"/>
      <c r="I84" s="15" t="s">
        <v>50</v>
      </c>
      <c r="J84" s="15"/>
      <c r="K84" s="15" t="s">
        <v>50</v>
      </c>
      <c r="L84" s="15"/>
      <c r="M84" s="15"/>
      <c r="N84" s="15" t="s">
        <v>50</v>
      </c>
      <c r="O84" s="15"/>
      <c r="P84" s="15" t="s">
        <v>50</v>
      </c>
      <c r="Q84" s="15"/>
      <c r="R84" s="15"/>
      <c r="S84" s="15"/>
      <c r="T84" s="15" t="s">
        <v>50</v>
      </c>
      <c r="U84" s="15"/>
      <c r="V84" s="16"/>
      <c r="W84" s="17" t="str">
        <f t="shared" si="10"/>
        <v>OK</v>
      </c>
    </row>
    <row r="85" spans="1:23" ht="20.100000000000001" customHeight="1" x14ac:dyDescent="0.25">
      <c r="A85" s="12" t="s">
        <v>58</v>
      </c>
      <c r="B85" s="13" t="s">
        <v>49</v>
      </c>
      <c r="C85" s="14">
        <v>13</v>
      </c>
      <c r="D85" s="14">
        <v>14</v>
      </c>
      <c r="E85" s="14">
        <f t="shared" si="9"/>
        <v>1</v>
      </c>
      <c r="F85" s="15" t="s">
        <v>50</v>
      </c>
      <c r="G85" s="15"/>
      <c r="H85" s="15"/>
      <c r="I85" s="15"/>
      <c r="J85" s="15"/>
      <c r="K85" s="15" t="s">
        <v>50</v>
      </c>
      <c r="L85" s="15"/>
      <c r="M85" s="15"/>
      <c r="N85" s="15" t="s">
        <v>50</v>
      </c>
      <c r="O85" s="15"/>
      <c r="P85" s="15" t="s">
        <v>50</v>
      </c>
      <c r="Q85" s="15"/>
      <c r="R85" s="15"/>
      <c r="S85" s="15"/>
      <c r="T85" s="15" t="s">
        <v>50</v>
      </c>
      <c r="U85" s="15"/>
      <c r="V85" s="16"/>
      <c r="W85" s="17" t="str">
        <f t="shared" si="10"/>
        <v>OK</v>
      </c>
    </row>
    <row r="86" spans="1:23" ht="20.100000000000001" customHeight="1" x14ac:dyDescent="0.25">
      <c r="A86" s="18" t="s">
        <v>58</v>
      </c>
      <c r="B86" s="19" t="s">
        <v>49</v>
      </c>
      <c r="C86" s="20">
        <v>14</v>
      </c>
      <c r="D86" s="20">
        <v>14.8621384549</v>
      </c>
      <c r="E86" s="20">
        <f t="shared" si="9"/>
        <v>0.86213845490000018</v>
      </c>
      <c r="F86" s="21" t="s">
        <v>50</v>
      </c>
      <c r="G86" s="21"/>
      <c r="H86" s="21"/>
      <c r="I86" s="21"/>
      <c r="J86" s="21"/>
      <c r="K86" s="21" t="s">
        <v>50</v>
      </c>
      <c r="L86" s="21"/>
      <c r="M86" s="21"/>
      <c r="N86" s="21" t="s">
        <v>50</v>
      </c>
      <c r="O86" s="21"/>
      <c r="P86" s="21" t="s">
        <v>50</v>
      </c>
      <c r="Q86" s="21"/>
      <c r="R86" s="21"/>
      <c r="S86" s="21"/>
      <c r="T86" s="21" t="s">
        <v>50</v>
      </c>
      <c r="U86" s="21"/>
      <c r="V86" s="22"/>
      <c r="W86" s="23" t="str">
        <f t="shared" si="10"/>
        <v>OK</v>
      </c>
    </row>
    <row r="88" spans="1:23" x14ac:dyDescent="0.25">
      <c r="A88" s="30" t="s">
        <v>60</v>
      </c>
      <c r="B88" s="31"/>
      <c r="C88" s="31"/>
      <c r="D88" s="31"/>
      <c r="E88" s="31"/>
      <c r="G88" s="30" t="s">
        <v>60</v>
      </c>
      <c r="H88" s="31"/>
      <c r="I88" s="31"/>
      <c r="J88" s="31"/>
      <c r="K88" s="31"/>
    </row>
    <row r="89" spans="1:23" x14ac:dyDescent="0.25">
      <c r="A89" s="38" t="s">
        <v>61</v>
      </c>
      <c r="B89" s="31"/>
      <c r="C89" s="31"/>
      <c r="D89" s="31"/>
      <c r="E89" s="31"/>
      <c r="G89" s="38" t="s">
        <v>62</v>
      </c>
      <c r="H89" s="31"/>
      <c r="I89" s="31"/>
      <c r="J89" s="31"/>
      <c r="K89" s="31"/>
    </row>
    <row r="91" spans="1:23" x14ac:dyDescent="0.25">
      <c r="A91" s="42" t="s">
        <v>63</v>
      </c>
      <c r="B91" s="31"/>
      <c r="C91" s="31"/>
      <c r="D91" s="31"/>
      <c r="E91" s="31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</row>
    <row r="92" spans="1:23" x14ac:dyDescent="0.25">
      <c r="A92" s="36" t="s">
        <v>64</v>
      </c>
      <c r="B92" s="31"/>
      <c r="C92" s="31"/>
      <c r="D92" s="31"/>
      <c r="E92" s="31"/>
      <c r="F92" s="9">
        <f t="shared" ref="F92:U92" si="11">SUMIF(F$9:F$86,"X",$E$9:$E$86)</f>
        <v>53.284366740599999</v>
      </c>
      <c r="G92" s="9">
        <f t="shared" si="11"/>
        <v>0</v>
      </c>
      <c r="H92" s="9">
        <f t="shared" si="11"/>
        <v>0</v>
      </c>
      <c r="I92" s="9">
        <f t="shared" si="11"/>
        <v>19.147414005190001</v>
      </c>
      <c r="J92" s="9">
        <f t="shared" si="11"/>
        <v>0</v>
      </c>
      <c r="K92" s="9">
        <f t="shared" si="11"/>
        <v>72.431780745790007</v>
      </c>
      <c r="L92" s="9">
        <f t="shared" si="11"/>
        <v>0</v>
      </c>
      <c r="M92" s="9">
        <f t="shared" si="11"/>
        <v>0</v>
      </c>
      <c r="N92" s="9">
        <f t="shared" si="11"/>
        <v>72.431780745790007</v>
      </c>
      <c r="O92" s="9">
        <f t="shared" si="11"/>
        <v>0</v>
      </c>
      <c r="P92" s="9">
        <f t="shared" si="11"/>
        <v>72.431780745790007</v>
      </c>
      <c r="Q92" s="9">
        <f t="shared" si="11"/>
        <v>0</v>
      </c>
      <c r="R92" s="9">
        <f t="shared" si="11"/>
        <v>0</v>
      </c>
      <c r="S92" s="9">
        <f t="shared" si="11"/>
        <v>0</v>
      </c>
      <c r="T92" s="9">
        <f t="shared" si="11"/>
        <v>72.431780745790007</v>
      </c>
      <c r="U92" s="9">
        <f t="shared" si="11"/>
        <v>0</v>
      </c>
    </row>
    <row r="93" spans="1:23" x14ac:dyDescent="0.25">
      <c r="A93" s="36" t="s">
        <v>65</v>
      </c>
      <c r="B93" s="31"/>
      <c r="C93" s="31"/>
      <c r="D93" s="31"/>
      <c r="E93" s="31"/>
      <c r="F93" s="25">
        <f t="shared" ref="F93:U93" si="12">IF($R95=0,0,F92/$R95)</f>
        <v>0.73564899539898554</v>
      </c>
      <c r="G93" s="25">
        <f t="shared" si="12"/>
        <v>0</v>
      </c>
      <c r="H93" s="25">
        <f t="shared" si="12"/>
        <v>0</v>
      </c>
      <c r="I93" s="25">
        <f t="shared" si="12"/>
        <v>0.26435100460101441</v>
      </c>
      <c r="J93" s="25">
        <f t="shared" si="12"/>
        <v>0</v>
      </c>
      <c r="K93" s="25">
        <f t="shared" si="12"/>
        <v>1</v>
      </c>
      <c r="L93" s="25">
        <f t="shared" si="12"/>
        <v>0</v>
      </c>
      <c r="M93" s="25">
        <f t="shared" si="12"/>
        <v>0</v>
      </c>
      <c r="N93" s="25">
        <f t="shared" si="12"/>
        <v>1</v>
      </c>
      <c r="O93" s="25">
        <f t="shared" si="12"/>
        <v>0</v>
      </c>
      <c r="P93" s="25">
        <f t="shared" si="12"/>
        <v>1</v>
      </c>
      <c r="Q93" s="25">
        <f t="shared" si="12"/>
        <v>0</v>
      </c>
      <c r="R93" s="25">
        <f t="shared" si="12"/>
        <v>0</v>
      </c>
      <c r="S93" s="25">
        <f t="shared" si="12"/>
        <v>0</v>
      </c>
      <c r="T93" s="25">
        <f t="shared" si="12"/>
        <v>1</v>
      </c>
      <c r="U93" s="25">
        <f t="shared" si="12"/>
        <v>0</v>
      </c>
    </row>
    <row r="94" spans="1:23" x14ac:dyDescent="0.25">
      <c r="A94" s="36" t="s">
        <v>66</v>
      </c>
      <c r="B94" s="31"/>
      <c r="C94" s="31"/>
      <c r="D94" s="31"/>
      <c r="E94" s="31"/>
      <c r="F94" s="37" t="str">
        <f>IF(SUM(F92:J92)=0,"— não preenchido",IF(ROUND(SUM(F92:J92)-$R95,3)=0,"OK — "&amp;ROUND(SUM(F92:J92),3)&amp;" km","ERRO — dif. de "&amp;ROUND(SUM(F92:J92)-$R95,3)&amp;" km"))</f>
        <v>OK — 72,432 km</v>
      </c>
      <c r="G94" s="28"/>
      <c r="H94" s="28"/>
      <c r="I94" s="28"/>
      <c r="J94" s="29"/>
      <c r="K94" s="37" t="str">
        <f>IF(SUM(K92:L92)=0,"— não preenchido",IF(ROUND(SUM(K92:L92)-$R95,3)=0,"OK — "&amp;ROUND(SUM(K92:L92),3)&amp;" km","ERRO — dif. de "&amp;ROUND(SUM(K92:L92)-$R95,3)&amp;" km"))</f>
        <v>OK — 72,432 km</v>
      </c>
      <c r="L94" s="29"/>
      <c r="M94" s="37" t="str">
        <f>IF(SUM(M92:O92)=0,"— não preenchido",IF(ROUND(SUM(M92:O92)-$R95,3)=0,"OK — "&amp;ROUND(SUM(M92:O92),3)&amp;" km","ERRO — dif. de "&amp;ROUND(SUM(M92:O92)-$R95,3)&amp;" km"))</f>
        <v>OK — 72,432 km</v>
      </c>
      <c r="N94" s="28"/>
      <c r="O94" s="29"/>
      <c r="P94" s="37" t="str">
        <f>IF(SUM(P92:R92)=0,"— não preenchido",IF(ROUND(SUM(P92:R92)-$R95,3)=0,"OK — "&amp;ROUND(SUM(P92:R92),3)&amp;" km","ERRO — dif. de "&amp;ROUND(SUM(P92:R92)-$R95,3)&amp;" km"))</f>
        <v>OK — 72,432 km</v>
      </c>
      <c r="Q94" s="28"/>
      <c r="R94" s="29"/>
      <c r="S94" s="37" t="str">
        <f>IF(SUM(S92:U92)=0,"— não preenchido",IF(ROUND(SUM(S92:U92)-$R95,3)=0,"OK — "&amp;ROUND(SUM(S92:U92),3)&amp;" km","ERRO — dif. de "&amp;ROUND(SUM(S92:U92)-$R95,3)&amp;" km"))</f>
        <v>OK — 72,432 km</v>
      </c>
      <c r="T94" s="28"/>
      <c r="U94" s="29"/>
    </row>
    <row r="95" spans="1:23" x14ac:dyDescent="0.25">
      <c r="A95" s="36" t="s">
        <v>67</v>
      </c>
      <c r="B95" s="31"/>
      <c r="C95" s="31"/>
      <c r="D95" s="31"/>
      <c r="E95" s="31"/>
      <c r="R95" s="26">
        <f>SUM(E9:E86)</f>
        <v>72.431780745790007</v>
      </c>
      <c r="V95" s="8" t="str">
        <f>COUNTIF(W9:W86,"OK")&amp;" de "&amp;COUNT($E$9:$E$86)&amp;" linhas conferidas"</f>
        <v>74 de 74 linhas conferidas</v>
      </c>
    </row>
    <row r="97" spans="1:22" x14ac:dyDescent="0.25">
      <c r="A97" s="41" t="s">
        <v>68</v>
      </c>
      <c r="B97" s="31"/>
      <c r="C97" s="31"/>
      <c r="D97" s="31"/>
      <c r="E97" s="31"/>
    </row>
    <row r="98" spans="1:22" x14ac:dyDescent="0.25">
      <c r="A98" s="36" t="s">
        <v>69</v>
      </c>
      <c r="B98" s="31"/>
      <c r="C98" s="31"/>
      <c r="D98" s="31"/>
      <c r="E98" s="35" t="s">
        <v>70</v>
      </c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</row>
    <row r="99" spans="1:22" x14ac:dyDescent="0.25">
      <c r="A99" s="36" t="s">
        <v>71</v>
      </c>
      <c r="B99" s="31"/>
      <c r="C99" s="31"/>
      <c r="D99" s="31"/>
      <c r="E99" s="35" t="s">
        <v>72</v>
      </c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</row>
    <row r="100" spans="1:22" x14ac:dyDescent="0.25">
      <c r="A100" s="36" t="s">
        <v>73</v>
      </c>
      <c r="B100" s="31"/>
      <c r="C100" s="31"/>
      <c r="D100" s="31"/>
      <c r="E100" s="35" t="s">
        <v>74</v>
      </c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</row>
    <row r="101" spans="1:22" x14ac:dyDescent="0.25">
      <c r="A101" s="36" t="s">
        <v>75</v>
      </c>
      <c r="B101" s="31"/>
      <c r="C101" s="31"/>
      <c r="D101" s="31"/>
      <c r="E101" s="35" t="s">
        <v>76</v>
      </c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</row>
    <row r="102" spans="1:22" x14ac:dyDescent="0.25">
      <c r="A102" s="36" t="s">
        <v>77</v>
      </c>
      <c r="B102" s="31"/>
      <c r="C102" s="31"/>
      <c r="D102" s="31"/>
      <c r="E102" s="35" t="s">
        <v>78</v>
      </c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</row>
    <row r="103" spans="1:22" x14ac:dyDescent="0.25">
      <c r="A103" s="36" t="s">
        <v>41</v>
      </c>
      <c r="B103" s="31"/>
      <c r="C103" s="31"/>
      <c r="D103" s="31"/>
      <c r="E103" s="35" t="s">
        <v>79</v>
      </c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</row>
    <row r="104" spans="1:22" x14ac:dyDescent="0.25">
      <c r="A104" s="36" t="s">
        <v>80</v>
      </c>
      <c r="B104" s="31"/>
      <c r="C104" s="31"/>
      <c r="D104" s="31"/>
      <c r="E104" s="35" t="s">
        <v>81</v>
      </c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</row>
    <row r="105" spans="1:22" x14ac:dyDescent="0.25">
      <c r="A105" s="36" t="s">
        <v>82</v>
      </c>
      <c r="B105" s="31"/>
      <c r="C105" s="31"/>
      <c r="D105" s="31"/>
      <c r="E105" s="35" t="s">
        <v>83</v>
      </c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</row>
    <row r="106" spans="1:22" x14ac:dyDescent="0.25">
      <c r="A106" s="36" t="s">
        <v>11</v>
      </c>
      <c r="B106" s="31"/>
      <c r="C106" s="31"/>
      <c r="D106" s="31"/>
      <c r="E106" s="35" t="s">
        <v>84</v>
      </c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</row>
  </sheetData>
  <sheetProtection formatCells="0"/>
  <mergeCells count="61">
    <mergeCell ref="R2:V2"/>
    <mergeCell ref="A3:S3"/>
    <mergeCell ref="A93:E93"/>
    <mergeCell ref="C6:C7"/>
    <mergeCell ref="E98:V98"/>
    <mergeCell ref="K6:L6"/>
    <mergeCell ref="D6:D7"/>
    <mergeCell ref="P6:R6"/>
    <mergeCell ref="A92:E92"/>
    <mergeCell ref="A1:V1"/>
    <mergeCell ref="G89:K89"/>
    <mergeCell ref="T3:V3"/>
    <mergeCell ref="A99:D99"/>
    <mergeCell ref="A97:E97"/>
    <mergeCell ref="G88:K88"/>
    <mergeCell ref="A91:E91"/>
    <mergeCell ref="P94:R94"/>
    <mergeCell ref="A2:F2"/>
    <mergeCell ref="K2:M2"/>
    <mergeCell ref="N2:O2"/>
    <mergeCell ref="P2:Q2"/>
    <mergeCell ref="G2:H2"/>
    <mergeCell ref="I2:J2"/>
    <mergeCell ref="A6:A7"/>
    <mergeCell ref="F6:J6"/>
    <mergeCell ref="W6:W7"/>
    <mergeCell ref="F94:J94"/>
    <mergeCell ref="E6:E7"/>
    <mergeCell ref="A89:E89"/>
    <mergeCell ref="E101:V101"/>
    <mergeCell ref="B6:B7"/>
    <mergeCell ref="A98:D98"/>
    <mergeCell ref="E100:V100"/>
    <mergeCell ref="A95:E95"/>
    <mergeCell ref="S94:U94"/>
    <mergeCell ref="S6:U6"/>
    <mergeCell ref="E99:V99"/>
    <mergeCell ref="A44:V44"/>
    <mergeCell ref="K94:L94"/>
    <mergeCell ref="A31:V31"/>
    <mergeCell ref="A8:V8"/>
    <mergeCell ref="E102:V102"/>
    <mergeCell ref="A105:D105"/>
    <mergeCell ref="M94:O94"/>
    <mergeCell ref="A106:D106"/>
    <mergeCell ref="A71:V71"/>
    <mergeCell ref="A100:D100"/>
    <mergeCell ref="E103:V103"/>
    <mergeCell ref="A94:E94"/>
    <mergeCell ref="E106:V106"/>
    <mergeCell ref="A101:D101"/>
    <mergeCell ref="A104:D104"/>
    <mergeCell ref="A102:D102"/>
    <mergeCell ref="E105:V105"/>
    <mergeCell ref="E104:V104"/>
    <mergeCell ref="A103:D103"/>
    <mergeCell ref="M6:O6"/>
    <mergeCell ref="A88:E88"/>
    <mergeCell ref="V6:V7"/>
    <mergeCell ref="A4:V4"/>
    <mergeCell ref="A20:V20"/>
  </mergeCells>
  <conditionalFormatting sqref="F9:J86">
    <cfRule type="expression" dxfId="82" priority="1">
      <formula>AND(F9&lt;&gt;"",COUNTIF($F9:$J9,"X")&gt;1)</formula>
    </cfRule>
  </conditionalFormatting>
  <conditionalFormatting sqref="F94:U94">
    <cfRule type="expression" dxfId="81" priority="8">
      <formula>LEFT(F94,4)="ERRO"</formula>
    </cfRule>
    <cfRule type="expression" dxfId="80" priority="9">
      <formula>LEFT(F94,2)="OK"</formula>
    </cfRule>
  </conditionalFormatting>
  <conditionalFormatting sqref="K9:L86">
    <cfRule type="expression" dxfId="79" priority="2">
      <formula>AND(K9&lt;&gt;"",COUNTIF($K9:$L9,"X")&gt;1)</formula>
    </cfRule>
  </conditionalFormatting>
  <conditionalFormatting sqref="M9:O86">
    <cfRule type="expression" dxfId="78" priority="3">
      <formula>AND(M9&lt;&gt;"",COUNTIF($M9:$O9,"X")&gt;1)</formula>
    </cfRule>
  </conditionalFormatting>
  <conditionalFormatting sqref="P9:R86">
    <cfRule type="expression" dxfId="77" priority="4">
      <formula>AND(P9&lt;&gt;"",COUNTIF($P9:$R9,"X")&gt;1)</formula>
    </cfRule>
  </conditionalFormatting>
  <conditionalFormatting sqref="S9:U86">
    <cfRule type="expression" dxfId="76" priority="5">
      <formula>AND(S9&lt;&gt;"",COUNTIF($S9:$U9,"X")&gt;1)</formula>
    </cfRule>
  </conditionalFormatting>
  <conditionalFormatting sqref="W9:W86">
    <cfRule type="expression" dxfId="75" priority="6">
      <formula>AND(W9&lt;&gt;"OK",W9&lt;&gt;"")</formula>
    </cfRule>
    <cfRule type="expression" dxfId="7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86" xr:uid="{00000000-0002-0000-0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86" xr:uid="{00000000-0002-0000-0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86" xr:uid="{00000000-0002-0000-0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86" xr:uid="{00000000-0002-0000-0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86" xr:uid="{00000000-0002-0000-0100-000004000000}">
      <formula1>AND(UPPER(S9)="X",COUNTIF($S9:$U9,"X")&lt;=1)</formula1>
    </dataValidation>
    <dataValidation type="list" showErrorMessage="1" errorTitle="Sentido inválido" error="Use C (crescente) ou D (decrescente)." sqref="B9:B86" xr:uid="{00000000-0002-0000-0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68</oddHeader>
    <oddFooter>&amp;L&amp;7 RTA / MSI — Programa de Manutenção Rodoviária&amp;C&amp;7 Página &amp;P de &amp;N&amp;R&amp;7 Impresso em &amp;D</oddFooter>
  </headerFooter>
  <rowBreaks count="1" manualBreakCount="1">
    <brk id="89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N83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39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Y1" s="1" t="s">
        <v>1</v>
      </c>
    </row>
    <row r="2" spans="1:40" ht="17.100000000000001" customHeight="1" x14ac:dyDescent="0.25">
      <c r="A2" s="43" t="s">
        <v>33</v>
      </c>
      <c r="B2" s="31"/>
      <c r="C2" s="31"/>
      <c r="D2" s="31"/>
      <c r="E2" s="31"/>
      <c r="F2" s="31"/>
      <c r="G2" s="40" t="s">
        <v>34</v>
      </c>
      <c r="H2" s="31"/>
      <c r="I2" s="46">
        <f>IF('68'!I2="","",'68'!I2)</f>
        <v>46235</v>
      </c>
      <c r="J2" s="45"/>
      <c r="K2" s="40" t="s">
        <v>35</v>
      </c>
      <c r="L2" s="31"/>
      <c r="M2" s="31"/>
      <c r="N2" s="44" t="str">
        <f>IF('68'!N2="","",'68'!N2)</f>
        <v/>
      </c>
      <c r="O2" s="45"/>
      <c r="P2" s="40" t="s">
        <v>36</v>
      </c>
      <c r="Q2" s="31"/>
      <c r="R2" s="47" t="s">
        <v>158</v>
      </c>
      <c r="S2" s="48"/>
      <c r="T2" s="48"/>
      <c r="U2" s="48"/>
      <c r="V2" s="45"/>
      <c r="Y2" s="2">
        <f t="shared" ref="Y2:AN2" si="0">IF(F69=0,NA(),F69)</f>
        <v>50.5732999871</v>
      </c>
      <c r="Z2" s="2" t="e">
        <f t="shared" si="0"/>
        <v>#N/A</v>
      </c>
      <c r="AA2" s="2" t="e">
        <f t="shared" si="0"/>
        <v>#N/A</v>
      </c>
      <c r="AB2" s="2">
        <f t="shared" si="0"/>
        <v>3</v>
      </c>
      <c r="AC2" s="2">
        <f t="shared" si="0"/>
        <v>1</v>
      </c>
      <c r="AD2" s="2">
        <f t="shared" si="0"/>
        <v>54.5732999871</v>
      </c>
      <c r="AE2" s="2" t="e">
        <f t="shared" si="0"/>
        <v>#N/A</v>
      </c>
      <c r="AF2" s="2" t="e">
        <f t="shared" si="0"/>
        <v>#N/A</v>
      </c>
      <c r="AG2" s="2">
        <f t="shared" si="0"/>
        <v>54.5732999871</v>
      </c>
      <c r="AH2" s="2" t="e">
        <f t="shared" si="0"/>
        <v>#N/A</v>
      </c>
      <c r="AI2" s="2">
        <f t="shared" si="0"/>
        <v>54.5732999871</v>
      </c>
      <c r="AJ2" s="2" t="e">
        <f t="shared" si="0"/>
        <v>#N/A</v>
      </c>
      <c r="AK2" s="2" t="e">
        <f t="shared" si="0"/>
        <v>#N/A</v>
      </c>
      <c r="AL2" s="2">
        <f t="shared" si="0"/>
        <v>54.5732999871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49" t="s">
        <v>85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0" t="s">
        <v>86</v>
      </c>
      <c r="U3" s="31"/>
      <c r="V3" s="31"/>
    </row>
    <row r="4" spans="1:40" ht="20.100000000000001" customHeight="1" x14ac:dyDescent="0.25">
      <c r="A4" s="33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6" spans="1:40" ht="21.95" customHeight="1" x14ac:dyDescent="0.25">
      <c r="A6" s="27" t="s">
        <v>40</v>
      </c>
      <c r="B6" s="27" t="s">
        <v>41</v>
      </c>
      <c r="C6" s="27" t="s">
        <v>42</v>
      </c>
      <c r="D6" s="27" t="s">
        <v>43</v>
      </c>
      <c r="E6" s="27" t="s">
        <v>44</v>
      </c>
      <c r="F6" s="27" t="s">
        <v>6</v>
      </c>
      <c r="G6" s="28"/>
      <c r="H6" s="28"/>
      <c r="I6" s="28"/>
      <c r="J6" s="29"/>
      <c r="K6" s="27" t="s">
        <v>7</v>
      </c>
      <c r="L6" s="29"/>
      <c r="M6" s="27" t="s">
        <v>8</v>
      </c>
      <c r="N6" s="28"/>
      <c r="O6" s="29"/>
      <c r="P6" s="27" t="s">
        <v>9</v>
      </c>
      <c r="Q6" s="28"/>
      <c r="R6" s="29"/>
      <c r="S6" s="27" t="s">
        <v>10</v>
      </c>
      <c r="T6" s="28"/>
      <c r="U6" s="29"/>
      <c r="V6" s="27" t="s">
        <v>45</v>
      </c>
      <c r="W6" s="27" t="s">
        <v>46</v>
      </c>
    </row>
    <row r="7" spans="1:40" ht="20.100000000000001" customHeight="1" x14ac:dyDescent="0.25">
      <c r="A7" s="32"/>
      <c r="B7" s="32"/>
      <c r="C7" s="32"/>
      <c r="D7" s="32"/>
      <c r="E7" s="3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159</v>
      </c>
      <c r="N7" s="3" t="s">
        <v>160</v>
      </c>
      <c r="O7" s="3" t="s">
        <v>161</v>
      </c>
      <c r="P7" s="3" t="s">
        <v>12</v>
      </c>
      <c r="Q7" s="3" t="s">
        <v>19</v>
      </c>
      <c r="R7" s="3" t="s">
        <v>162</v>
      </c>
      <c r="S7" s="3" t="s">
        <v>12</v>
      </c>
      <c r="T7" s="3" t="s">
        <v>163</v>
      </c>
      <c r="U7" s="3" t="s">
        <v>162</v>
      </c>
      <c r="V7" s="32"/>
      <c r="W7" s="32"/>
    </row>
    <row r="8" spans="1:40" ht="15.95" customHeight="1" x14ac:dyDescent="0.25">
      <c r="A8" s="34" t="s">
        <v>87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9"/>
      <c r="W8" s="4"/>
    </row>
    <row r="9" spans="1:40" ht="20.100000000000001" customHeight="1" x14ac:dyDescent="0.25">
      <c r="A9" s="12" t="s">
        <v>88</v>
      </c>
      <c r="B9" s="13" t="s">
        <v>49</v>
      </c>
      <c r="C9" s="14">
        <v>0</v>
      </c>
      <c r="D9" s="14">
        <v>1</v>
      </c>
      <c r="E9" s="14">
        <f t="shared" ref="E9:E40" si="1">D9-C9</f>
        <v>1</v>
      </c>
      <c r="F9" s="15" t="s">
        <v>50</v>
      </c>
      <c r="G9" s="15"/>
      <c r="H9" s="15"/>
      <c r="I9" s="15"/>
      <c r="J9" s="15"/>
      <c r="K9" s="15" t="s">
        <v>50</v>
      </c>
      <c r="L9" s="15"/>
      <c r="M9" s="15"/>
      <c r="N9" s="15" t="s">
        <v>50</v>
      </c>
      <c r="O9" s="15"/>
      <c r="P9" s="15" t="s">
        <v>50</v>
      </c>
      <c r="Q9" s="15"/>
      <c r="R9" s="15"/>
      <c r="S9" s="15" t="s">
        <v>50</v>
      </c>
      <c r="T9" s="15"/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88</v>
      </c>
      <c r="B10" s="13" t="s">
        <v>49</v>
      </c>
      <c r="C10" s="14">
        <v>1</v>
      </c>
      <c r="D10" s="14">
        <v>2</v>
      </c>
      <c r="E10" s="14">
        <f t="shared" si="1"/>
        <v>1</v>
      </c>
      <c r="F10" s="15" t="s">
        <v>50</v>
      </c>
      <c r="G10" s="15"/>
      <c r="H10" s="15"/>
      <c r="I10" s="15"/>
      <c r="J10" s="15"/>
      <c r="K10" s="15" t="s">
        <v>50</v>
      </c>
      <c r="L10" s="15"/>
      <c r="M10" s="15"/>
      <c r="N10" s="15" t="s">
        <v>50</v>
      </c>
      <c r="O10" s="15"/>
      <c r="P10" s="15" t="s">
        <v>50</v>
      </c>
      <c r="Q10" s="15"/>
      <c r="R10" s="15"/>
      <c r="S10" s="15" t="s">
        <v>50</v>
      </c>
      <c r="T10" s="15"/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88</v>
      </c>
      <c r="B11" s="13" t="s">
        <v>49</v>
      </c>
      <c r="C11" s="14">
        <v>2</v>
      </c>
      <c r="D11" s="14">
        <v>3</v>
      </c>
      <c r="E11" s="14">
        <f t="shared" si="1"/>
        <v>1</v>
      </c>
      <c r="F11" s="15" t="s">
        <v>50</v>
      </c>
      <c r="G11" s="15"/>
      <c r="H11" s="15"/>
      <c r="I11" s="15"/>
      <c r="J11" s="15"/>
      <c r="K11" s="15" t="s">
        <v>50</v>
      </c>
      <c r="L11" s="15"/>
      <c r="M11" s="15"/>
      <c r="N11" s="15" t="s">
        <v>50</v>
      </c>
      <c r="O11" s="15"/>
      <c r="P11" s="15" t="s">
        <v>50</v>
      </c>
      <c r="Q11" s="15"/>
      <c r="R11" s="15"/>
      <c r="S11" s="15" t="s">
        <v>50</v>
      </c>
      <c r="T11" s="15"/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88</v>
      </c>
      <c r="B12" s="13" t="s">
        <v>49</v>
      </c>
      <c r="C12" s="14">
        <v>3</v>
      </c>
      <c r="D12" s="14">
        <v>4</v>
      </c>
      <c r="E12" s="14">
        <f t="shared" si="1"/>
        <v>1</v>
      </c>
      <c r="F12" s="15" t="s">
        <v>50</v>
      </c>
      <c r="G12" s="15"/>
      <c r="H12" s="15"/>
      <c r="I12" s="15"/>
      <c r="J12" s="15"/>
      <c r="K12" s="15" t="s">
        <v>50</v>
      </c>
      <c r="L12" s="15"/>
      <c r="M12" s="15"/>
      <c r="N12" s="15" t="s">
        <v>50</v>
      </c>
      <c r="O12" s="15"/>
      <c r="P12" s="15" t="s">
        <v>50</v>
      </c>
      <c r="Q12" s="15"/>
      <c r="R12" s="15"/>
      <c r="S12" s="15" t="s">
        <v>50</v>
      </c>
      <c r="T12" s="15"/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88</v>
      </c>
      <c r="B13" s="13" t="s">
        <v>49</v>
      </c>
      <c r="C13" s="14">
        <v>4</v>
      </c>
      <c r="D13" s="14">
        <v>5</v>
      </c>
      <c r="E13" s="14">
        <f t="shared" si="1"/>
        <v>1</v>
      </c>
      <c r="F13" s="15" t="s">
        <v>50</v>
      </c>
      <c r="G13" s="15"/>
      <c r="H13" s="15"/>
      <c r="I13" s="15"/>
      <c r="J13" s="15"/>
      <c r="K13" s="15" t="s">
        <v>50</v>
      </c>
      <c r="L13" s="15"/>
      <c r="M13" s="15"/>
      <c r="N13" s="15" t="s">
        <v>50</v>
      </c>
      <c r="O13" s="15"/>
      <c r="P13" s="15" t="s">
        <v>50</v>
      </c>
      <c r="Q13" s="15"/>
      <c r="R13" s="15"/>
      <c r="S13" s="15" t="s">
        <v>50</v>
      </c>
      <c r="T13" s="15"/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88</v>
      </c>
      <c r="B14" s="13" t="s">
        <v>49</v>
      </c>
      <c r="C14" s="14">
        <v>5</v>
      </c>
      <c r="D14" s="14">
        <v>6</v>
      </c>
      <c r="E14" s="14">
        <f t="shared" si="1"/>
        <v>1</v>
      </c>
      <c r="F14" s="15" t="s">
        <v>50</v>
      </c>
      <c r="G14" s="15"/>
      <c r="H14" s="15"/>
      <c r="I14" s="15"/>
      <c r="J14" s="15"/>
      <c r="K14" s="15" t="s">
        <v>50</v>
      </c>
      <c r="L14" s="15"/>
      <c r="M14" s="15"/>
      <c r="N14" s="15" t="s">
        <v>50</v>
      </c>
      <c r="O14" s="15"/>
      <c r="P14" s="15" t="s">
        <v>50</v>
      </c>
      <c r="Q14" s="15"/>
      <c r="R14" s="15"/>
      <c r="S14" s="15" t="s">
        <v>50</v>
      </c>
      <c r="T14" s="15"/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88</v>
      </c>
      <c r="B15" s="13" t="s">
        <v>49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/>
      <c r="I15" s="15"/>
      <c r="J15" s="15" t="s">
        <v>50</v>
      </c>
      <c r="K15" s="15" t="s">
        <v>50</v>
      </c>
      <c r="L15" s="15"/>
      <c r="M15" s="15"/>
      <c r="N15" s="15" t="s">
        <v>50</v>
      </c>
      <c r="O15" s="15"/>
      <c r="P15" s="15" t="s">
        <v>50</v>
      </c>
      <c r="Q15" s="15"/>
      <c r="R15" s="15"/>
      <c r="S15" s="15" t="s">
        <v>50</v>
      </c>
      <c r="T15" s="15"/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88</v>
      </c>
      <c r="B16" s="13" t="s">
        <v>49</v>
      </c>
      <c r="C16" s="14">
        <v>7</v>
      </c>
      <c r="D16" s="14">
        <v>8</v>
      </c>
      <c r="E16" s="14">
        <f t="shared" si="1"/>
        <v>1</v>
      </c>
      <c r="F16" s="15" t="s">
        <v>50</v>
      </c>
      <c r="G16" s="15"/>
      <c r="H16" s="15"/>
      <c r="I16" s="15"/>
      <c r="J16" s="15"/>
      <c r="K16" s="15" t="s">
        <v>50</v>
      </c>
      <c r="L16" s="15"/>
      <c r="M16" s="15"/>
      <c r="N16" s="15" t="s">
        <v>50</v>
      </c>
      <c r="O16" s="15"/>
      <c r="P16" s="15" t="s">
        <v>50</v>
      </c>
      <c r="Q16" s="15"/>
      <c r="R16" s="15"/>
      <c r="S16" s="15" t="s">
        <v>50</v>
      </c>
      <c r="T16" s="15"/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88</v>
      </c>
      <c r="B17" s="13" t="s">
        <v>49</v>
      </c>
      <c r="C17" s="14">
        <v>8</v>
      </c>
      <c r="D17" s="14">
        <v>9</v>
      </c>
      <c r="E17" s="14">
        <f t="shared" si="1"/>
        <v>1</v>
      </c>
      <c r="F17" s="15" t="s">
        <v>50</v>
      </c>
      <c r="G17" s="15"/>
      <c r="H17" s="15"/>
      <c r="I17" s="15"/>
      <c r="J17" s="15"/>
      <c r="K17" s="15" t="s">
        <v>50</v>
      </c>
      <c r="L17" s="15"/>
      <c r="M17" s="15"/>
      <c r="N17" s="15" t="s">
        <v>50</v>
      </c>
      <c r="O17" s="15"/>
      <c r="P17" s="15" t="s">
        <v>50</v>
      </c>
      <c r="Q17" s="15"/>
      <c r="R17" s="15"/>
      <c r="S17" s="15" t="s">
        <v>50</v>
      </c>
      <c r="T17" s="15"/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88</v>
      </c>
      <c r="B18" s="13" t="s">
        <v>49</v>
      </c>
      <c r="C18" s="14">
        <v>9</v>
      </c>
      <c r="D18" s="14">
        <v>10</v>
      </c>
      <c r="E18" s="14">
        <f t="shared" si="1"/>
        <v>1</v>
      </c>
      <c r="F18" s="15" t="s">
        <v>50</v>
      </c>
      <c r="G18" s="15"/>
      <c r="H18" s="15"/>
      <c r="I18" s="15"/>
      <c r="J18" s="15"/>
      <c r="K18" s="15" t="s">
        <v>50</v>
      </c>
      <c r="L18" s="15"/>
      <c r="M18" s="15"/>
      <c r="N18" s="15" t="s">
        <v>50</v>
      </c>
      <c r="O18" s="15"/>
      <c r="P18" s="15" t="s">
        <v>50</v>
      </c>
      <c r="Q18" s="15"/>
      <c r="R18" s="15"/>
      <c r="S18" s="15" t="s">
        <v>50</v>
      </c>
      <c r="T18" s="15"/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88</v>
      </c>
      <c r="B19" s="13" t="s">
        <v>49</v>
      </c>
      <c r="C19" s="14">
        <v>10</v>
      </c>
      <c r="D19" s="14">
        <v>11</v>
      </c>
      <c r="E19" s="14">
        <f t="shared" si="1"/>
        <v>1</v>
      </c>
      <c r="F19" s="15" t="s">
        <v>50</v>
      </c>
      <c r="G19" s="15"/>
      <c r="H19" s="15"/>
      <c r="I19" s="15"/>
      <c r="J19" s="15"/>
      <c r="K19" s="15" t="s">
        <v>50</v>
      </c>
      <c r="L19" s="15"/>
      <c r="M19" s="15"/>
      <c r="N19" s="15" t="s">
        <v>50</v>
      </c>
      <c r="O19" s="15"/>
      <c r="P19" s="15" t="s">
        <v>50</v>
      </c>
      <c r="Q19" s="15"/>
      <c r="R19" s="15"/>
      <c r="S19" s="15" t="s">
        <v>50</v>
      </c>
      <c r="T19" s="15"/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88</v>
      </c>
      <c r="B20" s="13" t="s">
        <v>49</v>
      </c>
      <c r="C20" s="14">
        <v>11</v>
      </c>
      <c r="D20" s="14">
        <v>12</v>
      </c>
      <c r="E20" s="14">
        <f t="shared" si="1"/>
        <v>1</v>
      </c>
      <c r="F20" s="15" t="s">
        <v>50</v>
      </c>
      <c r="G20" s="15"/>
      <c r="H20" s="15"/>
      <c r="I20" s="15"/>
      <c r="J20" s="15"/>
      <c r="K20" s="15" t="s">
        <v>50</v>
      </c>
      <c r="L20" s="15"/>
      <c r="M20" s="15"/>
      <c r="N20" s="15" t="s">
        <v>50</v>
      </c>
      <c r="O20" s="15"/>
      <c r="P20" s="15" t="s">
        <v>50</v>
      </c>
      <c r="Q20" s="15"/>
      <c r="R20" s="15"/>
      <c r="S20" s="15" t="s">
        <v>50</v>
      </c>
      <c r="T20" s="15"/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88</v>
      </c>
      <c r="B21" s="13" t="s">
        <v>49</v>
      </c>
      <c r="C21" s="14">
        <v>12</v>
      </c>
      <c r="D21" s="14">
        <v>13</v>
      </c>
      <c r="E21" s="14">
        <f t="shared" si="1"/>
        <v>1</v>
      </c>
      <c r="F21" s="15" t="s">
        <v>50</v>
      </c>
      <c r="G21" s="15"/>
      <c r="H21" s="15"/>
      <c r="I21" s="15"/>
      <c r="J21" s="15"/>
      <c r="K21" s="15" t="s">
        <v>50</v>
      </c>
      <c r="L21" s="15"/>
      <c r="M21" s="15"/>
      <c r="N21" s="15" t="s">
        <v>50</v>
      </c>
      <c r="O21" s="15"/>
      <c r="P21" s="15" t="s">
        <v>50</v>
      </c>
      <c r="Q21" s="15"/>
      <c r="R21" s="15"/>
      <c r="S21" s="15" t="s">
        <v>50</v>
      </c>
      <c r="T21" s="15"/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88</v>
      </c>
      <c r="B22" s="13" t="s">
        <v>49</v>
      </c>
      <c r="C22" s="14">
        <v>13</v>
      </c>
      <c r="D22" s="14">
        <v>14</v>
      </c>
      <c r="E22" s="14">
        <f t="shared" si="1"/>
        <v>1</v>
      </c>
      <c r="F22" s="15" t="s">
        <v>50</v>
      </c>
      <c r="G22" s="15"/>
      <c r="H22" s="15"/>
      <c r="I22" s="15"/>
      <c r="J22" s="15"/>
      <c r="K22" s="15" t="s">
        <v>50</v>
      </c>
      <c r="L22" s="15"/>
      <c r="M22" s="15"/>
      <c r="N22" s="15" t="s">
        <v>50</v>
      </c>
      <c r="O22" s="15"/>
      <c r="P22" s="15" t="s">
        <v>50</v>
      </c>
      <c r="Q22" s="15"/>
      <c r="R22" s="15"/>
      <c r="S22" s="15" t="s">
        <v>50</v>
      </c>
      <c r="T22" s="15"/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88</v>
      </c>
      <c r="B23" s="13" t="s">
        <v>49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/>
      <c r="I23" s="15" t="s">
        <v>50</v>
      </c>
      <c r="J23" s="15"/>
      <c r="K23" s="15" t="s">
        <v>50</v>
      </c>
      <c r="L23" s="15"/>
      <c r="M23" s="15"/>
      <c r="N23" s="15" t="s">
        <v>50</v>
      </c>
      <c r="O23" s="15"/>
      <c r="P23" s="15" t="s">
        <v>50</v>
      </c>
      <c r="Q23" s="15"/>
      <c r="R23" s="15"/>
      <c r="S23" s="15" t="s">
        <v>50</v>
      </c>
      <c r="T23" s="15"/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88</v>
      </c>
      <c r="B24" s="13" t="s">
        <v>49</v>
      </c>
      <c r="C24" s="14">
        <v>15</v>
      </c>
      <c r="D24" s="14">
        <v>16</v>
      </c>
      <c r="E24" s="14">
        <f t="shared" si="1"/>
        <v>1</v>
      </c>
      <c r="F24" s="15" t="s">
        <v>50</v>
      </c>
      <c r="G24" s="15"/>
      <c r="H24" s="15"/>
      <c r="I24" s="15"/>
      <c r="J24" s="15"/>
      <c r="K24" s="15" t="s">
        <v>50</v>
      </c>
      <c r="L24" s="15"/>
      <c r="M24" s="15"/>
      <c r="N24" s="15" t="s">
        <v>50</v>
      </c>
      <c r="O24" s="15"/>
      <c r="P24" s="15" t="s">
        <v>50</v>
      </c>
      <c r="Q24" s="15"/>
      <c r="R24" s="15"/>
      <c r="S24" s="15" t="s">
        <v>50</v>
      </c>
      <c r="T24" s="15"/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88</v>
      </c>
      <c r="B25" s="13" t="s">
        <v>49</v>
      </c>
      <c r="C25" s="14">
        <v>16</v>
      </c>
      <c r="D25" s="14">
        <v>17</v>
      </c>
      <c r="E25" s="14">
        <f t="shared" si="1"/>
        <v>1</v>
      </c>
      <c r="F25" s="15" t="s">
        <v>50</v>
      </c>
      <c r="G25" s="15"/>
      <c r="H25" s="15"/>
      <c r="I25" s="15"/>
      <c r="J25" s="15"/>
      <c r="K25" s="15" t="s">
        <v>50</v>
      </c>
      <c r="L25" s="15"/>
      <c r="M25" s="15"/>
      <c r="N25" s="15" t="s">
        <v>50</v>
      </c>
      <c r="O25" s="15"/>
      <c r="P25" s="15" t="s">
        <v>50</v>
      </c>
      <c r="Q25" s="15"/>
      <c r="R25" s="15"/>
      <c r="S25" s="15" t="s">
        <v>50</v>
      </c>
      <c r="T25" s="15"/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88</v>
      </c>
      <c r="B26" s="13" t="s">
        <v>49</v>
      </c>
      <c r="C26" s="14">
        <v>17</v>
      </c>
      <c r="D26" s="14">
        <v>18</v>
      </c>
      <c r="E26" s="14">
        <f t="shared" si="1"/>
        <v>1</v>
      </c>
      <c r="F26" s="15" t="s">
        <v>50</v>
      </c>
      <c r="G26" s="15"/>
      <c r="H26" s="15"/>
      <c r="I26" s="15"/>
      <c r="J26" s="15"/>
      <c r="K26" s="15" t="s">
        <v>50</v>
      </c>
      <c r="L26" s="15"/>
      <c r="M26" s="15"/>
      <c r="N26" s="15" t="s">
        <v>50</v>
      </c>
      <c r="O26" s="15"/>
      <c r="P26" s="15" t="s">
        <v>50</v>
      </c>
      <c r="Q26" s="15"/>
      <c r="R26" s="15"/>
      <c r="S26" s="15" t="s">
        <v>50</v>
      </c>
      <c r="T26" s="15"/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88</v>
      </c>
      <c r="B27" s="13" t="s">
        <v>49</v>
      </c>
      <c r="C27" s="14">
        <v>18</v>
      </c>
      <c r="D27" s="14">
        <v>19</v>
      </c>
      <c r="E27" s="14">
        <f t="shared" si="1"/>
        <v>1</v>
      </c>
      <c r="F27" s="15" t="s">
        <v>50</v>
      </c>
      <c r="G27" s="15"/>
      <c r="H27" s="15"/>
      <c r="I27" s="15"/>
      <c r="J27" s="15"/>
      <c r="K27" s="15" t="s">
        <v>50</v>
      </c>
      <c r="L27" s="15"/>
      <c r="M27" s="15"/>
      <c r="N27" s="15" t="s">
        <v>50</v>
      </c>
      <c r="O27" s="15"/>
      <c r="P27" s="15" t="s">
        <v>50</v>
      </c>
      <c r="Q27" s="15"/>
      <c r="R27" s="15"/>
      <c r="S27" s="15" t="s">
        <v>50</v>
      </c>
      <c r="T27" s="15"/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88</v>
      </c>
      <c r="B28" s="13" t="s">
        <v>49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/>
      <c r="I28" s="15" t="s">
        <v>50</v>
      </c>
      <c r="J28" s="15"/>
      <c r="K28" s="15" t="s">
        <v>50</v>
      </c>
      <c r="L28" s="15"/>
      <c r="M28" s="15"/>
      <c r="N28" s="15" t="s">
        <v>50</v>
      </c>
      <c r="O28" s="15"/>
      <c r="P28" s="15" t="s">
        <v>50</v>
      </c>
      <c r="Q28" s="15"/>
      <c r="R28" s="15"/>
      <c r="S28" s="15" t="s">
        <v>50</v>
      </c>
      <c r="T28" s="15"/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88</v>
      </c>
      <c r="B29" s="13" t="s">
        <v>49</v>
      </c>
      <c r="C29" s="14">
        <v>20</v>
      </c>
      <c r="D29" s="14">
        <v>21</v>
      </c>
      <c r="E29" s="14">
        <f t="shared" si="1"/>
        <v>1</v>
      </c>
      <c r="F29" s="15" t="s">
        <v>50</v>
      </c>
      <c r="G29" s="15"/>
      <c r="H29" s="15"/>
      <c r="I29" s="15"/>
      <c r="J29" s="15"/>
      <c r="K29" s="15" t="s">
        <v>50</v>
      </c>
      <c r="L29" s="15"/>
      <c r="M29" s="15"/>
      <c r="N29" s="15" t="s">
        <v>50</v>
      </c>
      <c r="O29" s="15"/>
      <c r="P29" s="15" t="s">
        <v>50</v>
      </c>
      <c r="Q29" s="15"/>
      <c r="R29" s="15"/>
      <c r="S29" s="15" t="s">
        <v>50</v>
      </c>
      <c r="T29" s="15"/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88</v>
      </c>
      <c r="B30" s="13" t="s">
        <v>49</v>
      </c>
      <c r="C30" s="14">
        <v>21</v>
      </c>
      <c r="D30" s="14">
        <v>22</v>
      </c>
      <c r="E30" s="14">
        <f t="shared" si="1"/>
        <v>1</v>
      </c>
      <c r="F30" s="15" t="s">
        <v>50</v>
      </c>
      <c r="G30" s="15"/>
      <c r="H30" s="15"/>
      <c r="I30" s="15"/>
      <c r="J30" s="15"/>
      <c r="K30" s="15" t="s">
        <v>50</v>
      </c>
      <c r="L30" s="15"/>
      <c r="M30" s="15"/>
      <c r="N30" s="15" t="s">
        <v>50</v>
      </c>
      <c r="O30" s="15"/>
      <c r="P30" s="15" t="s">
        <v>50</v>
      </c>
      <c r="Q30" s="15"/>
      <c r="R30" s="15"/>
      <c r="S30" s="15" t="s">
        <v>50</v>
      </c>
      <c r="T30" s="15"/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88</v>
      </c>
      <c r="B31" s="13" t="s">
        <v>49</v>
      </c>
      <c r="C31" s="14">
        <v>22</v>
      </c>
      <c r="D31" s="14">
        <v>23</v>
      </c>
      <c r="E31" s="14">
        <f t="shared" si="1"/>
        <v>1</v>
      </c>
      <c r="F31" s="15" t="s">
        <v>50</v>
      </c>
      <c r="G31" s="15"/>
      <c r="H31" s="15"/>
      <c r="I31" s="15"/>
      <c r="J31" s="15"/>
      <c r="K31" s="15" t="s">
        <v>50</v>
      </c>
      <c r="L31" s="15"/>
      <c r="M31" s="15"/>
      <c r="N31" s="15" t="s">
        <v>50</v>
      </c>
      <c r="O31" s="15"/>
      <c r="P31" s="15" t="s">
        <v>50</v>
      </c>
      <c r="Q31" s="15"/>
      <c r="R31" s="15"/>
      <c r="S31" s="15" t="s">
        <v>50</v>
      </c>
      <c r="T31" s="15"/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88</v>
      </c>
      <c r="B32" s="13" t="s">
        <v>49</v>
      </c>
      <c r="C32" s="14">
        <v>23</v>
      </c>
      <c r="D32" s="14">
        <v>24</v>
      </c>
      <c r="E32" s="14">
        <f t="shared" si="1"/>
        <v>1</v>
      </c>
      <c r="F32" s="15" t="s">
        <v>50</v>
      </c>
      <c r="G32" s="15"/>
      <c r="H32" s="15"/>
      <c r="I32" s="15"/>
      <c r="J32" s="15"/>
      <c r="K32" s="15" t="s">
        <v>50</v>
      </c>
      <c r="L32" s="15"/>
      <c r="M32" s="15"/>
      <c r="N32" s="15" t="s">
        <v>50</v>
      </c>
      <c r="O32" s="15"/>
      <c r="P32" s="15" t="s">
        <v>50</v>
      </c>
      <c r="Q32" s="15"/>
      <c r="R32" s="15"/>
      <c r="S32" s="15" t="s">
        <v>50</v>
      </c>
      <c r="T32" s="15"/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88</v>
      </c>
      <c r="B33" s="13" t="s">
        <v>49</v>
      </c>
      <c r="C33" s="14">
        <v>24</v>
      </c>
      <c r="D33" s="14">
        <v>25</v>
      </c>
      <c r="E33" s="14">
        <f t="shared" si="1"/>
        <v>1</v>
      </c>
      <c r="F33" s="15" t="s">
        <v>50</v>
      </c>
      <c r="G33" s="15"/>
      <c r="H33" s="15"/>
      <c r="I33" s="15"/>
      <c r="J33" s="15"/>
      <c r="K33" s="15" t="s">
        <v>50</v>
      </c>
      <c r="L33" s="15"/>
      <c r="M33" s="15"/>
      <c r="N33" s="15" t="s">
        <v>50</v>
      </c>
      <c r="O33" s="15"/>
      <c r="P33" s="15" t="s">
        <v>50</v>
      </c>
      <c r="Q33" s="15"/>
      <c r="R33" s="15"/>
      <c r="S33" s="15" t="s">
        <v>50</v>
      </c>
      <c r="T33" s="15"/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88</v>
      </c>
      <c r="B34" s="13" t="s">
        <v>49</v>
      </c>
      <c r="C34" s="14">
        <v>25</v>
      </c>
      <c r="D34" s="14">
        <v>26</v>
      </c>
      <c r="E34" s="14">
        <f t="shared" si="1"/>
        <v>1</v>
      </c>
      <c r="F34" s="15" t="s">
        <v>50</v>
      </c>
      <c r="G34" s="15"/>
      <c r="H34" s="15"/>
      <c r="I34" s="15"/>
      <c r="J34" s="15"/>
      <c r="K34" s="15" t="s">
        <v>50</v>
      </c>
      <c r="L34" s="15"/>
      <c r="M34" s="15"/>
      <c r="N34" s="15" t="s">
        <v>50</v>
      </c>
      <c r="O34" s="15"/>
      <c r="P34" s="15" t="s">
        <v>50</v>
      </c>
      <c r="Q34" s="15"/>
      <c r="R34" s="15"/>
      <c r="S34" s="15" t="s">
        <v>50</v>
      </c>
      <c r="T34" s="15"/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88</v>
      </c>
      <c r="B35" s="13" t="s">
        <v>49</v>
      </c>
      <c r="C35" s="14">
        <v>26</v>
      </c>
      <c r="D35" s="14">
        <v>27</v>
      </c>
      <c r="E35" s="14">
        <f t="shared" si="1"/>
        <v>1</v>
      </c>
      <c r="F35" s="15" t="s">
        <v>50</v>
      </c>
      <c r="G35" s="15"/>
      <c r="H35" s="15"/>
      <c r="I35" s="15"/>
      <c r="J35" s="15"/>
      <c r="K35" s="15" t="s">
        <v>50</v>
      </c>
      <c r="L35" s="15"/>
      <c r="M35" s="15"/>
      <c r="N35" s="15" t="s">
        <v>50</v>
      </c>
      <c r="O35" s="15"/>
      <c r="P35" s="15" t="s">
        <v>50</v>
      </c>
      <c r="Q35" s="15"/>
      <c r="R35" s="15"/>
      <c r="S35" s="15" t="s">
        <v>50</v>
      </c>
      <c r="T35" s="15"/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88</v>
      </c>
      <c r="B36" s="13" t="s">
        <v>49</v>
      </c>
      <c r="C36" s="14">
        <v>27</v>
      </c>
      <c r="D36" s="14">
        <v>28</v>
      </c>
      <c r="E36" s="14">
        <f t="shared" si="1"/>
        <v>1</v>
      </c>
      <c r="F36" s="15" t="s">
        <v>50</v>
      </c>
      <c r="G36" s="15"/>
      <c r="H36" s="15"/>
      <c r="I36" s="15"/>
      <c r="J36" s="15"/>
      <c r="K36" s="15" t="s">
        <v>50</v>
      </c>
      <c r="L36" s="15"/>
      <c r="M36" s="15"/>
      <c r="N36" s="15" t="s">
        <v>50</v>
      </c>
      <c r="O36" s="15"/>
      <c r="P36" s="15" t="s">
        <v>50</v>
      </c>
      <c r="Q36" s="15"/>
      <c r="R36" s="15"/>
      <c r="S36" s="15" t="s">
        <v>50</v>
      </c>
      <c r="T36" s="15"/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88</v>
      </c>
      <c r="B37" s="13" t="s">
        <v>49</v>
      </c>
      <c r="C37" s="14">
        <v>28</v>
      </c>
      <c r="D37" s="14">
        <v>29</v>
      </c>
      <c r="E37" s="14">
        <f t="shared" si="1"/>
        <v>1</v>
      </c>
      <c r="F37" s="15" t="s">
        <v>50</v>
      </c>
      <c r="G37" s="15"/>
      <c r="H37" s="15"/>
      <c r="I37" s="15"/>
      <c r="J37" s="15"/>
      <c r="K37" s="15" t="s">
        <v>50</v>
      </c>
      <c r="L37" s="15"/>
      <c r="M37" s="15"/>
      <c r="N37" s="15" t="s">
        <v>50</v>
      </c>
      <c r="O37" s="15"/>
      <c r="P37" s="15" t="s">
        <v>50</v>
      </c>
      <c r="Q37" s="15"/>
      <c r="R37" s="15"/>
      <c r="S37" s="15" t="s">
        <v>50</v>
      </c>
      <c r="T37" s="15"/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88</v>
      </c>
      <c r="B38" s="13" t="s">
        <v>49</v>
      </c>
      <c r="C38" s="14">
        <v>29</v>
      </c>
      <c r="D38" s="14">
        <v>30</v>
      </c>
      <c r="E38" s="14">
        <f t="shared" si="1"/>
        <v>1</v>
      </c>
      <c r="F38" s="15" t="s">
        <v>50</v>
      </c>
      <c r="G38" s="15"/>
      <c r="H38" s="15"/>
      <c r="I38" s="15"/>
      <c r="J38" s="15"/>
      <c r="K38" s="15" t="s">
        <v>50</v>
      </c>
      <c r="L38" s="15"/>
      <c r="M38" s="15"/>
      <c r="N38" s="15" t="s">
        <v>50</v>
      </c>
      <c r="O38" s="15"/>
      <c r="P38" s="15" t="s">
        <v>50</v>
      </c>
      <c r="Q38" s="15"/>
      <c r="R38" s="15"/>
      <c r="S38" s="15" t="s">
        <v>50</v>
      </c>
      <c r="T38" s="15"/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88</v>
      </c>
      <c r="B39" s="13" t="s">
        <v>49</v>
      </c>
      <c r="C39" s="14">
        <v>30</v>
      </c>
      <c r="D39" s="14">
        <v>31</v>
      </c>
      <c r="E39" s="14">
        <f t="shared" si="1"/>
        <v>1</v>
      </c>
      <c r="F39" s="15" t="s">
        <v>50</v>
      </c>
      <c r="G39" s="15"/>
      <c r="H39" s="15"/>
      <c r="I39" s="15"/>
      <c r="J39" s="15"/>
      <c r="K39" s="15" t="s">
        <v>50</v>
      </c>
      <c r="L39" s="15"/>
      <c r="M39" s="15"/>
      <c r="N39" s="15" t="s">
        <v>50</v>
      </c>
      <c r="O39" s="15"/>
      <c r="P39" s="15" t="s">
        <v>50</v>
      </c>
      <c r="Q39" s="15"/>
      <c r="R39" s="15"/>
      <c r="S39" s="15" t="s">
        <v>50</v>
      </c>
      <c r="T39" s="15"/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88</v>
      </c>
      <c r="B40" s="13" t="s">
        <v>49</v>
      </c>
      <c r="C40" s="14">
        <v>31</v>
      </c>
      <c r="D40" s="14">
        <v>32</v>
      </c>
      <c r="E40" s="14">
        <f t="shared" si="1"/>
        <v>1</v>
      </c>
      <c r="F40" s="15" t="s">
        <v>50</v>
      </c>
      <c r="G40" s="15"/>
      <c r="H40" s="15"/>
      <c r="I40" s="15"/>
      <c r="J40" s="15"/>
      <c r="K40" s="15" t="s">
        <v>50</v>
      </c>
      <c r="L40" s="15"/>
      <c r="M40" s="15"/>
      <c r="N40" s="15" t="s">
        <v>50</v>
      </c>
      <c r="O40" s="15"/>
      <c r="P40" s="15" t="s">
        <v>50</v>
      </c>
      <c r="Q40" s="15"/>
      <c r="R40" s="15"/>
      <c r="S40" s="15" t="s">
        <v>50</v>
      </c>
      <c r="T40" s="15"/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88</v>
      </c>
      <c r="B41" s="13" t="s">
        <v>49</v>
      </c>
      <c r="C41" s="14">
        <v>32</v>
      </c>
      <c r="D41" s="14">
        <v>33</v>
      </c>
      <c r="E41" s="14">
        <f t="shared" ref="E41:E63" si="3">D41-C41</f>
        <v>1</v>
      </c>
      <c r="F41" s="15" t="s">
        <v>50</v>
      </c>
      <c r="G41" s="15"/>
      <c r="H41" s="15"/>
      <c r="I41" s="15"/>
      <c r="J41" s="15"/>
      <c r="K41" s="15" t="s">
        <v>50</v>
      </c>
      <c r="L41" s="15"/>
      <c r="M41" s="15"/>
      <c r="N41" s="15" t="s">
        <v>50</v>
      </c>
      <c r="O41" s="15"/>
      <c r="P41" s="15" t="s">
        <v>50</v>
      </c>
      <c r="Q41" s="15"/>
      <c r="R41" s="15"/>
      <c r="S41" s="15" t="s">
        <v>50</v>
      </c>
      <c r="T41" s="15"/>
      <c r="U41" s="15"/>
      <c r="V41" s="16"/>
      <c r="W41" s="17" t="str">
        <f t="shared" ref="W41:W63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88</v>
      </c>
      <c r="B42" s="13" t="s">
        <v>49</v>
      </c>
      <c r="C42" s="14">
        <v>33</v>
      </c>
      <c r="D42" s="14">
        <v>34</v>
      </c>
      <c r="E42" s="14">
        <f t="shared" si="3"/>
        <v>1</v>
      </c>
      <c r="F42" s="15" t="s">
        <v>50</v>
      </c>
      <c r="G42" s="15"/>
      <c r="H42" s="15"/>
      <c r="I42" s="15"/>
      <c r="J42" s="15"/>
      <c r="K42" s="15" t="s">
        <v>50</v>
      </c>
      <c r="L42" s="15"/>
      <c r="M42" s="15"/>
      <c r="N42" s="15" t="s">
        <v>50</v>
      </c>
      <c r="O42" s="15"/>
      <c r="P42" s="15" t="s">
        <v>50</v>
      </c>
      <c r="Q42" s="15"/>
      <c r="R42" s="15"/>
      <c r="S42" s="15" t="s">
        <v>50</v>
      </c>
      <c r="T42" s="15"/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88</v>
      </c>
      <c r="B43" s="13" t="s">
        <v>49</v>
      </c>
      <c r="C43" s="14">
        <v>34</v>
      </c>
      <c r="D43" s="14">
        <v>35</v>
      </c>
      <c r="E43" s="14">
        <f t="shared" si="3"/>
        <v>1</v>
      </c>
      <c r="F43" s="15"/>
      <c r="G43" s="15"/>
      <c r="H43" s="15"/>
      <c r="I43" s="15" t="s">
        <v>50</v>
      </c>
      <c r="J43" s="15"/>
      <c r="K43" s="15" t="s">
        <v>50</v>
      </c>
      <c r="L43" s="15"/>
      <c r="M43" s="15"/>
      <c r="N43" s="15" t="s">
        <v>50</v>
      </c>
      <c r="O43" s="15"/>
      <c r="P43" s="15" t="s">
        <v>50</v>
      </c>
      <c r="Q43" s="15"/>
      <c r="R43" s="15"/>
      <c r="S43" s="15" t="s">
        <v>50</v>
      </c>
      <c r="T43" s="15"/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88</v>
      </c>
      <c r="B44" s="13" t="s">
        <v>49</v>
      </c>
      <c r="C44" s="14">
        <v>35</v>
      </c>
      <c r="D44" s="14">
        <v>36</v>
      </c>
      <c r="E44" s="14">
        <f t="shared" si="3"/>
        <v>1</v>
      </c>
      <c r="F44" s="15" t="s">
        <v>50</v>
      </c>
      <c r="G44" s="15"/>
      <c r="H44" s="15"/>
      <c r="I44" s="15"/>
      <c r="J44" s="15"/>
      <c r="K44" s="15" t="s">
        <v>50</v>
      </c>
      <c r="L44" s="15"/>
      <c r="M44" s="15"/>
      <c r="N44" s="15" t="s">
        <v>50</v>
      </c>
      <c r="O44" s="15"/>
      <c r="P44" s="15" t="s">
        <v>50</v>
      </c>
      <c r="Q44" s="15"/>
      <c r="R44" s="15"/>
      <c r="S44" s="15" t="s">
        <v>50</v>
      </c>
      <c r="T44" s="15"/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88</v>
      </c>
      <c r="B45" s="13" t="s">
        <v>49</v>
      </c>
      <c r="C45" s="14">
        <v>36</v>
      </c>
      <c r="D45" s="14">
        <v>37</v>
      </c>
      <c r="E45" s="14">
        <f t="shared" si="3"/>
        <v>1</v>
      </c>
      <c r="F45" s="15" t="s">
        <v>50</v>
      </c>
      <c r="G45" s="15"/>
      <c r="H45" s="15"/>
      <c r="I45" s="15"/>
      <c r="J45" s="15"/>
      <c r="K45" s="15" t="s">
        <v>50</v>
      </c>
      <c r="L45" s="15"/>
      <c r="M45" s="15"/>
      <c r="N45" s="15" t="s">
        <v>50</v>
      </c>
      <c r="O45" s="15"/>
      <c r="P45" s="15" t="s">
        <v>50</v>
      </c>
      <c r="Q45" s="15"/>
      <c r="R45" s="15"/>
      <c r="S45" s="15" t="s">
        <v>50</v>
      </c>
      <c r="T45" s="15"/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88</v>
      </c>
      <c r="B46" s="13" t="s">
        <v>49</v>
      </c>
      <c r="C46" s="14">
        <v>37</v>
      </c>
      <c r="D46" s="14">
        <v>38</v>
      </c>
      <c r="E46" s="14">
        <f t="shared" si="3"/>
        <v>1</v>
      </c>
      <c r="F46" s="15" t="s">
        <v>50</v>
      </c>
      <c r="G46" s="15"/>
      <c r="H46" s="15"/>
      <c r="I46" s="15"/>
      <c r="J46" s="15"/>
      <c r="K46" s="15" t="s">
        <v>50</v>
      </c>
      <c r="L46" s="15"/>
      <c r="M46" s="15"/>
      <c r="N46" s="15" t="s">
        <v>50</v>
      </c>
      <c r="O46" s="15"/>
      <c r="P46" s="15" t="s">
        <v>50</v>
      </c>
      <c r="Q46" s="15"/>
      <c r="R46" s="15"/>
      <c r="S46" s="15" t="s">
        <v>50</v>
      </c>
      <c r="T46" s="15"/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88</v>
      </c>
      <c r="B47" s="13" t="s">
        <v>49</v>
      </c>
      <c r="C47" s="14">
        <v>38</v>
      </c>
      <c r="D47" s="14">
        <v>39</v>
      </c>
      <c r="E47" s="14">
        <f t="shared" si="3"/>
        <v>1</v>
      </c>
      <c r="F47" s="15" t="s">
        <v>50</v>
      </c>
      <c r="G47" s="15"/>
      <c r="H47" s="15"/>
      <c r="I47" s="15"/>
      <c r="J47" s="15"/>
      <c r="K47" s="15" t="s">
        <v>50</v>
      </c>
      <c r="L47" s="15"/>
      <c r="M47" s="15"/>
      <c r="N47" s="15" t="s">
        <v>50</v>
      </c>
      <c r="O47" s="15"/>
      <c r="P47" s="15" t="s">
        <v>50</v>
      </c>
      <c r="Q47" s="15"/>
      <c r="R47" s="15"/>
      <c r="S47" s="15" t="s">
        <v>50</v>
      </c>
      <c r="T47" s="15"/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88</v>
      </c>
      <c r="B48" s="13" t="s">
        <v>49</v>
      </c>
      <c r="C48" s="14">
        <v>39</v>
      </c>
      <c r="D48" s="14">
        <v>40</v>
      </c>
      <c r="E48" s="14">
        <f t="shared" si="3"/>
        <v>1</v>
      </c>
      <c r="F48" s="15" t="s">
        <v>50</v>
      </c>
      <c r="G48" s="15"/>
      <c r="H48" s="15"/>
      <c r="I48" s="15"/>
      <c r="J48" s="15"/>
      <c r="K48" s="15" t="s">
        <v>50</v>
      </c>
      <c r="L48" s="15"/>
      <c r="M48" s="15"/>
      <c r="N48" s="15" t="s">
        <v>50</v>
      </c>
      <c r="O48" s="15"/>
      <c r="P48" s="15" t="s">
        <v>50</v>
      </c>
      <c r="Q48" s="15"/>
      <c r="R48" s="15"/>
      <c r="S48" s="15" t="s">
        <v>50</v>
      </c>
      <c r="T48" s="15"/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88</v>
      </c>
      <c r="B49" s="13" t="s">
        <v>49</v>
      </c>
      <c r="C49" s="14">
        <v>40</v>
      </c>
      <c r="D49" s="14">
        <v>41</v>
      </c>
      <c r="E49" s="14">
        <f t="shared" si="3"/>
        <v>1</v>
      </c>
      <c r="F49" s="15" t="s">
        <v>50</v>
      </c>
      <c r="G49" s="15"/>
      <c r="H49" s="15"/>
      <c r="I49" s="15"/>
      <c r="J49" s="15"/>
      <c r="K49" s="15" t="s">
        <v>50</v>
      </c>
      <c r="L49" s="15"/>
      <c r="M49" s="15"/>
      <c r="N49" s="15" t="s">
        <v>50</v>
      </c>
      <c r="O49" s="15"/>
      <c r="P49" s="15" t="s">
        <v>50</v>
      </c>
      <c r="Q49" s="15"/>
      <c r="R49" s="15"/>
      <c r="S49" s="15" t="s">
        <v>50</v>
      </c>
      <c r="T49" s="15"/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88</v>
      </c>
      <c r="B50" s="13" t="s">
        <v>49</v>
      </c>
      <c r="C50" s="14">
        <v>41</v>
      </c>
      <c r="D50" s="14">
        <v>42</v>
      </c>
      <c r="E50" s="14">
        <f t="shared" si="3"/>
        <v>1</v>
      </c>
      <c r="F50" s="15" t="s">
        <v>50</v>
      </c>
      <c r="G50" s="15"/>
      <c r="H50" s="15"/>
      <c r="I50" s="15"/>
      <c r="J50" s="15"/>
      <c r="K50" s="15" t="s">
        <v>50</v>
      </c>
      <c r="L50" s="15"/>
      <c r="M50" s="15"/>
      <c r="N50" s="15" t="s">
        <v>50</v>
      </c>
      <c r="O50" s="15"/>
      <c r="P50" s="15" t="s">
        <v>50</v>
      </c>
      <c r="Q50" s="15"/>
      <c r="R50" s="15"/>
      <c r="S50" s="15" t="s">
        <v>50</v>
      </c>
      <c r="T50" s="15"/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88</v>
      </c>
      <c r="B51" s="13" t="s">
        <v>49</v>
      </c>
      <c r="C51" s="14">
        <v>42</v>
      </c>
      <c r="D51" s="14">
        <v>43</v>
      </c>
      <c r="E51" s="14">
        <f t="shared" si="3"/>
        <v>1</v>
      </c>
      <c r="F51" s="15" t="s">
        <v>50</v>
      </c>
      <c r="G51" s="15"/>
      <c r="H51" s="15"/>
      <c r="I51" s="15"/>
      <c r="J51" s="15"/>
      <c r="K51" s="15" t="s">
        <v>50</v>
      </c>
      <c r="L51" s="15"/>
      <c r="M51" s="15"/>
      <c r="N51" s="15" t="s">
        <v>50</v>
      </c>
      <c r="O51" s="15"/>
      <c r="P51" s="15" t="s">
        <v>50</v>
      </c>
      <c r="Q51" s="15"/>
      <c r="R51" s="15"/>
      <c r="S51" s="15" t="s">
        <v>50</v>
      </c>
      <c r="T51" s="15"/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88</v>
      </c>
      <c r="B52" s="13" t="s">
        <v>49</v>
      </c>
      <c r="C52" s="14">
        <v>43</v>
      </c>
      <c r="D52" s="14">
        <v>44</v>
      </c>
      <c r="E52" s="14">
        <f t="shared" si="3"/>
        <v>1</v>
      </c>
      <c r="F52" s="15" t="s">
        <v>50</v>
      </c>
      <c r="G52" s="15"/>
      <c r="H52" s="15"/>
      <c r="I52" s="15"/>
      <c r="J52" s="15"/>
      <c r="K52" s="15" t="s">
        <v>50</v>
      </c>
      <c r="L52" s="15"/>
      <c r="M52" s="15"/>
      <c r="N52" s="15" t="s">
        <v>50</v>
      </c>
      <c r="O52" s="15"/>
      <c r="P52" s="15" t="s">
        <v>50</v>
      </c>
      <c r="Q52" s="15"/>
      <c r="R52" s="15"/>
      <c r="S52" s="15" t="s">
        <v>50</v>
      </c>
      <c r="T52" s="15"/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88</v>
      </c>
      <c r="B53" s="13" t="s">
        <v>49</v>
      </c>
      <c r="C53" s="14">
        <v>44</v>
      </c>
      <c r="D53" s="14">
        <v>45</v>
      </c>
      <c r="E53" s="14">
        <f t="shared" si="3"/>
        <v>1</v>
      </c>
      <c r="F53" s="15" t="s">
        <v>50</v>
      </c>
      <c r="G53" s="15"/>
      <c r="H53" s="15"/>
      <c r="I53" s="15"/>
      <c r="J53" s="15"/>
      <c r="K53" s="15" t="s">
        <v>50</v>
      </c>
      <c r="L53" s="15"/>
      <c r="M53" s="15"/>
      <c r="N53" s="15" t="s">
        <v>50</v>
      </c>
      <c r="O53" s="15"/>
      <c r="P53" s="15" t="s">
        <v>50</v>
      </c>
      <c r="Q53" s="15"/>
      <c r="R53" s="15"/>
      <c r="S53" s="15" t="s">
        <v>50</v>
      </c>
      <c r="T53" s="15"/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88</v>
      </c>
      <c r="B54" s="13" t="s">
        <v>49</v>
      </c>
      <c r="C54" s="14">
        <v>45</v>
      </c>
      <c r="D54" s="14">
        <v>46</v>
      </c>
      <c r="E54" s="14">
        <f t="shared" si="3"/>
        <v>1</v>
      </c>
      <c r="F54" s="15" t="s">
        <v>50</v>
      </c>
      <c r="G54" s="15"/>
      <c r="H54" s="15"/>
      <c r="I54" s="15"/>
      <c r="J54" s="15"/>
      <c r="K54" s="15" t="s">
        <v>50</v>
      </c>
      <c r="L54" s="15"/>
      <c r="M54" s="15"/>
      <c r="N54" s="15" t="s">
        <v>50</v>
      </c>
      <c r="O54" s="15"/>
      <c r="P54" s="15" t="s">
        <v>50</v>
      </c>
      <c r="Q54" s="15"/>
      <c r="R54" s="15"/>
      <c r="S54" s="15" t="s">
        <v>50</v>
      </c>
      <c r="T54" s="15"/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88</v>
      </c>
      <c r="B55" s="13" t="s">
        <v>49</v>
      </c>
      <c r="C55" s="14">
        <v>46</v>
      </c>
      <c r="D55" s="14">
        <v>47</v>
      </c>
      <c r="E55" s="14">
        <f t="shared" si="3"/>
        <v>1</v>
      </c>
      <c r="F55" s="15" t="s">
        <v>50</v>
      </c>
      <c r="G55" s="15"/>
      <c r="H55" s="15"/>
      <c r="I55" s="15"/>
      <c r="J55" s="15"/>
      <c r="K55" s="15" t="s">
        <v>50</v>
      </c>
      <c r="L55" s="15"/>
      <c r="M55" s="15"/>
      <c r="N55" s="15" t="s">
        <v>50</v>
      </c>
      <c r="O55" s="15"/>
      <c r="P55" s="15" t="s">
        <v>50</v>
      </c>
      <c r="Q55" s="15"/>
      <c r="R55" s="15"/>
      <c r="S55" s="15" t="s">
        <v>50</v>
      </c>
      <c r="T55" s="15"/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88</v>
      </c>
      <c r="B56" s="13" t="s">
        <v>49</v>
      </c>
      <c r="C56" s="14">
        <v>47</v>
      </c>
      <c r="D56" s="14">
        <v>48</v>
      </c>
      <c r="E56" s="14">
        <f t="shared" si="3"/>
        <v>1</v>
      </c>
      <c r="F56" s="15" t="s">
        <v>50</v>
      </c>
      <c r="G56" s="15"/>
      <c r="H56" s="15"/>
      <c r="I56" s="15"/>
      <c r="J56" s="15"/>
      <c r="K56" s="15" t="s">
        <v>50</v>
      </c>
      <c r="L56" s="15"/>
      <c r="M56" s="15"/>
      <c r="N56" s="15" t="s">
        <v>50</v>
      </c>
      <c r="O56" s="15"/>
      <c r="P56" s="15" t="s">
        <v>50</v>
      </c>
      <c r="Q56" s="15"/>
      <c r="R56" s="15"/>
      <c r="S56" s="15" t="s">
        <v>50</v>
      </c>
      <c r="T56" s="15"/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88</v>
      </c>
      <c r="B57" s="13" t="s">
        <v>49</v>
      </c>
      <c r="C57" s="14">
        <v>48</v>
      </c>
      <c r="D57" s="14">
        <v>49</v>
      </c>
      <c r="E57" s="14">
        <f t="shared" si="3"/>
        <v>1</v>
      </c>
      <c r="F57" s="15" t="s">
        <v>50</v>
      </c>
      <c r="G57" s="15"/>
      <c r="H57" s="15"/>
      <c r="I57" s="15"/>
      <c r="J57" s="15"/>
      <c r="K57" s="15" t="s">
        <v>50</v>
      </c>
      <c r="L57" s="15"/>
      <c r="M57" s="15"/>
      <c r="N57" s="15" t="s">
        <v>50</v>
      </c>
      <c r="O57" s="15"/>
      <c r="P57" s="15" t="s">
        <v>50</v>
      </c>
      <c r="Q57" s="15"/>
      <c r="R57" s="15"/>
      <c r="S57" s="15" t="s">
        <v>50</v>
      </c>
      <c r="T57" s="15"/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88</v>
      </c>
      <c r="B58" s="13" t="s">
        <v>49</v>
      </c>
      <c r="C58" s="14">
        <v>49</v>
      </c>
      <c r="D58" s="14">
        <v>50</v>
      </c>
      <c r="E58" s="14">
        <f t="shared" si="3"/>
        <v>1</v>
      </c>
      <c r="F58" s="15" t="s">
        <v>50</v>
      </c>
      <c r="G58" s="15"/>
      <c r="H58" s="15"/>
      <c r="I58" s="15"/>
      <c r="J58" s="15"/>
      <c r="K58" s="15" t="s">
        <v>50</v>
      </c>
      <c r="L58" s="15"/>
      <c r="M58" s="15"/>
      <c r="N58" s="15" t="s">
        <v>50</v>
      </c>
      <c r="O58" s="15"/>
      <c r="P58" s="15" t="s">
        <v>50</v>
      </c>
      <c r="Q58" s="15"/>
      <c r="R58" s="15"/>
      <c r="S58" s="15" t="s">
        <v>50</v>
      </c>
      <c r="T58" s="15"/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88</v>
      </c>
      <c r="B59" s="13" t="s">
        <v>49</v>
      </c>
      <c r="C59" s="14">
        <v>50</v>
      </c>
      <c r="D59" s="14">
        <v>51</v>
      </c>
      <c r="E59" s="14">
        <f t="shared" si="3"/>
        <v>1</v>
      </c>
      <c r="F59" s="15" t="s">
        <v>50</v>
      </c>
      <c r="G59" s="15"/>
      <c r="H59" s="15"/>
      <c r="I59" s="15"/>
      <c r="J59" s="15"/>
      <c r="K59" s="15" t="s">
        <v>50</v>
      </c>
      <c r="L59" s="15"/>
      <c r="M59" s="15"/>
      <c r="N59" s="15" t="s">
        <v>50</v>
      </c>
      <c r="O59" s="15"/>
      <c r="P59" s="15" t="s">
        <v>50</v>
      </c>
      <c r="Q59" s="15"/>
      <c r="R59" s="15"/>
      <c r="S59" s="15" t="s">
        <v>50</v>
      </c>
      <c r="T59" s="15"/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88</v>
      </c>
      <c r="B60" s="13" t="s">
        <v>49</v>
      </c>
      <c r="C60" s="14">
        <v>51</v>
      </c>
      <c r="D60" s="14">
        <v>52</v>
      </c>
      <c r="E60" s="14">
        <f t="shared" si="3"/>
        <v>1</v>
      </c>
      <c r="F60" s="15" t="s">
        <v>50</v>
      </c>
      <c r="G60" s="15"/>
      <c r="H60" s="15"/>
      <c r="I60" s="15"/>
      <c r="J60" s="15"/>
      <c r="K60" s="15" t="s">
        <v>50</v>
      </c>
      <c r="L60" s="15"/>
      <c r="M60" s="15"/>
      <c r="N60" s="15" t="s">
        <v>50</v>
      </c>
      <c r="O60" s="15"/>
      <c r="P60" s="15" t="s">
        <v>50</v>
      </c>
      <c r="Q60" s="15"/>
      <c r="R60" s="15"/>
      <c r="S60" s="15" t="s">
        <v>50</v>
      </c>
      <c r="T60" s="15"/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88</v>
      </c>
      <c r="B61" s="13" t="s">
        <v>49</v>
      </c>
      <c r="C61" s="14">
        <v>52</v>
      </c>
      <c r="D61" s="14">
        <v>53</v>
      </c>
      <c r="E61" s="14">
        <f t="shared" si="3"/>
        <v>1</v>
      </c>
      <c r="F61" s="15" t="s">
        <v>50</v>
      </c>
      <c r="G61" s="15"/>
      <c r="H61" s="15"/>
      <c r="I61" s="15"/>
      <c r="J61" s="15"/>
      <c r="K61" s="15" t="s">
        <v>50</v>
      </c>
      <c r="L61" s="15"/>
      <c r="M61" s="15"/>
      <c r="N61" s="15" t="s">
        <v>50</v>
      </c>
      <c r="O61" s="15"/>
      <c r="P61" s="15" t="s">
        <v>50</v>
      </c>
      <c r="Q61" s="15"/>
      <c r="R61" s="15"/>
      <c r="S61" s="15" t="s">
        <v>50</v>
      </c>
      <c r="T61" s="15"/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88</v>
      </c>
      <c r="B62" s="13" t="s">
        <v>49</v>
      </c>
      <c r="C62" s="14">
        <v>53</v>
      </c>
      <c r="D62" s="14">
        <v>54</v>
      </c>
      <c r="E62" s="14">
        <f t="shared" si="3"/>
        <v>1</v>
      </c>
      <c r="F62" s="15" t="s">
        <v>50</v>
      </c>
      <c r="G62" s="15"/>
      <c r="H62" s="15"/>
      <c r="I62" s="15"/>
      <c r="J62" s="15"/>
      <c r="K62" s="15" t="s">
        <v>50</v>
      </c>
      <c r="L62" s="15"/>
      <c r="M62" s="15"/>
      <c r="N62" s="15" t="s">
        <v>50</v>
      </c>
      <c r="O62" s="15"/>
      <c r="P62" s="15" t="s">
        <v>50</v>
      </c>
      <c r="Q62" s="15"/>
      <c r="R62" s="15"/>
      <c r="S62" s="15" t="s">
        <v>50</v>
      </c>
      <c r="T62" s="15"/>
      <c r="U62" s="15"/>
      <c r="V62" s="16"/>
      <c r="W62" s="17" t="str">
        <f t="shared" si="4"/>
        <v>OK</v>
      </c>
    </row>
    <row r="63" spans="1:23" ht="20.100000000000001" customHeight="1" x14ac:dyDescent="0.25">
      <c r="A63" s="18" t="s">
        <v>88</v>
      </c>
      <c r="B63" s="19" t="s">
        <v>49</v>
      </c>
      <c r="C63" s="20">
        <v>54</v>
      </c>
      <c r="D63" s="20">
        <v>54.5732999871</v>
      </c>
      <c r="E63" s="20">
        <f t="shared" si="3"/>
        <v>0.57329998710000041</v>
      </c>
      <c r="F63" s="21" t="s">
        <v>50</v>
      </c>
      <c r="G63" s="21"/>
      <c r="H63" s="21"/>
      <c r="I63" s="21"/>
      <c r="J63" s="21"/>
      <c r="K63" s="21" t="s">
        <v>50</v>
      </c>
      <c r="L63" s="21"/>
      <c r="M63" s="21"/>
      <c r="N63" s="15" t="s">
        <v>50</v>
      </c>
      <c r="O63" s="21"/>
      <c r="P63" s="21" t="s">
        <v>50</v>
      </c>
      <c r="Q63" s="21"/>
      <c r="R63" s="21"/>
      <c r="S63" s="21" t="s">
        <v>50</v>
      </c>
      <c r="T63" s="21"/>
      <c r="U63" s="21"/>
      <c r="V63" s="22"/>
      <c r="W63" s="23" t="str">
        <f t="shared" si="4"/>
        <v>OK</v>
      </c>
    </row>
    <row r="65" spans="1:22" x14ac:dyDescent="0.25">
      <c r="A65" s="30" t="s">
        <v>60</v>
      </c>
      <c r="B65" s="31"/>
      <c r="C65" s="31"/>
      <c r="D65" s="31"/>
      <c r="E65" s="31"/>
      <c r="G65" s="30" t="s">
        <v>60</v>
      </c>
      <c r="H65" s="31"/>
      <c r="I65" s="31"/>
      <c r="J65" s="31"/>
      <c r="K65" s="31"/>
    </row>
    <row r="66" spans="1:22" x14ac:dyDescent="0.25">
      <c r="A66" s="38" t="s">
        <v>61</v>
      </c>
      <c r="B66" s="31"/>
      <c r="C66" s="31"/>
      <c r="D66" s="31"/>
      <c r="E66" s="31"/>
      <c r="G66" s="38" t="s">
        <v>62</v>
      </c>
      <c r="H66" s="31"/>
      <c r="I66" s="31"/>
      <c r="J66" s="31"/>
      <c r="K66" s="31"/>
    </row>
    <row r="68" spans="1:22" x14ac:dyDescent="0.25">
      <c r="A68" s="42" t="s">
        <v>63</v>
      </c>
      <c r="B68" s="31"/>
      <c r="C68" s="31"/>
      <c r="D68" s="31"/>
      <c r="E68" s="31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</row>
    <row r="69" spans="1:22" x14ac:dyDescent="0.25">
      <c r="A69" s="36" t="s">
        <v>64</v>
      </c>
      <c r="B69" s="31"/>
      <c r="C69" s="31"/>
      <c r="D69" s="31"/>
      <c r="E69" s="31"/>
      <c r="F69" s="9">
        <f t="shared" ref="F69:U69" si="5">SUMIF(F$9:F$63,"X",$E$9:$E$63)</f>
        <v>50.5732999871</v>
      </c>
      <c r="G69" s="9">
        <f t="shared" si="5"/>
        <v>0</v>
      </c>
      <c r="H69" s="9">
        <f t="shared" si="5"/>
        <v>0</v>
      </c>
      <c r="I69" s="9">
        <f t="shared" si="5"/>
        <v>3</v>
      </c>
      <c r="J69" s="9">
        <f t="shared" si="5"/>
        <v>1</v>
      </c>
      <c r="K69" s="9">
        <f t="shared" si="5"/>
        <v>54.5732999871</v>
      </c>
      <c r="L69" s="9">
        <f t="shared" si="5"/>
        <v>0</v>
      </c>
      <c r="M69" s="9">
        <f t="shared" si="5"/>
        <v>0</v>
      </c>
      <c r="N69" s="9">
        <f t="shared" si="5"/>
        <v>54.5732999871</v>
      </c>
      <c r="O69" s="9">
        <f t="shared" si="5"/>
        <v>0</v>
      </c>
      <c r="P69" s="9">
        <f t="shared" si="5"/>
        <v>54.5732999871</v>
      </c>
      <c r="Q69" s="9">
        <f t="shared" si="5"/>
        <v>0</v>
      </c>
      <c r="R69" s="9">
        <f t="shared" si="5"/>
        <v>0</v>
      </c>
      <c r="S69" s="9">
        <f t="shared" si="5"/>
        <v>54.5732999871</v>
      </c>
      <c r="T69" s="9">
        <f t="shared" si="5"/>
        <v>0</v>
      </c>
      <c r="U69" s="9">
        <f t="shared" si="5"/>
        <v>0</v>
      </c>
    </row>
    <row r="70" spans="1:22" x14ac:dyDescent="0.25">
      <c r="A70" s="36" t="s">
        <v>65</v>
      </c>
      <c r="B70" s="31"/>
      <c r="C70" s="31"/>
      <c r="D70" s="31"/>
      <c r="E70" s="31"/>
      <c r="F70" s="25">
        <f t="shared" ref="F70:U70" si="6">IF($R72=0,0,F69/$R72)</f>
        <v>0.92670408421434081</v>
      </c>
      <c r="G70" s="25">
        <f t="shared" si="6"/>
        <v>0</v>
      </c>
      <c r="H70" s="25">
        <f t="shared" si="6"/>
        <v>0</v>
      </c>
      <c r="I70" s="25">
        <f t="shared" si="6"/>
        <v>5.497193683924443E-2</v>
      </c>
      <c r="J70" s="25">
        <f t="shared" si="6"/>
        <v>1.8323978946414809E-2</v>
      </c>
      <c r="K70" s="25">
        <f t="shared" si="6"/>
        <v>1</v>
      </c>
      <c r="L70" s="25">
        <f t="shared" si="6"/>
        <v>0</v>
      </c>
      <c r="M70" s="25">
        <f t="shared" si="6"/>
        <v>0</v>
      </c>
      <c r="N70" s="25">
        <f t="shared" si="6"/>
        <v>1</v>
      </c>
      <c r="O70" s="25">
        <f t="shared" si="6"/>
        <v>0</v>
      </c>
      <c r="P70" s="25">
        <f t="shared" si="6"/>
        <v>1</v>
      </c>
      <c r="Q70" s="25">
        <f t="shared" si="6"/>
        <v>0</v>
      </c>
      <c r="R70" s="25">
        <f t="shared" si="6"/>
        <v>0</v>
      </c>
      <c r="S70" s="25">
        <f t="shared" si="6"/>
        <v>1</v>
      </c>
      <c r="T70" s="25">
        <f t="shared" si="6"/>
        <v>0</v>
      </c>
      <c r="U70" s="25">
        <f t="shared" si="6"/>
        <v>0</v>
      </c>
    </row>
    <row r="71" spans="1:22" x14ac:dyDescent="0.25">
      <c r="A71" s="36" t="s">
        <v>66</v>
      </c>
      <c r="B71" s="31"/>
      <c r="C71" s="31"/>
      <c r="D71" s="31"/>
      <c r="E71" s="31"/>
      <c r="F71" s="37" t="str">
        <f>IF(SUM(F69:J69)=0,"— não preenchido",IF(ROUND(SUM(F69:J69)-$R72,3)=0,"OK — "&amp;ROUND(SUM(F69:J69),3)&amp;" km","ERRO — dif. de "&amp;ROUND(SUM(F69:J69)-$R72,3)&amp;" km"))</f>
        <v>OK — 54,573 km</v>
      </c>
      <c r="G71" s="28"/>
      <c r="H71" s="28"/>
      <c r="I71" s="28"/>
      <c r="J71" s="29"/>
      <c r="K71" s="37" t="str">
        <f>IF(SUM(K69:L69)=0,"— não preenchido",IF(ROUND(SUM(K69:L69)-$R72,3)=0,"OK — "&amp;ROUND(SUM(K69:L69),3)&amp;" km","ERRO — dif. de "&amp;ROUND(SUM(K69:L69)-$R72,3)&amp;" km"))</f>
        <v>OK — 54,573 km</v>
      </c>
      <c r="L71" s="29"/>
      <c r="M71" s="37" t="str">
        <f>IF(SUM(M69:O69)=0,"— não preenchido",IF(ROUND(SUM(M69:O69)-$R72,3)=0,"OK — "&amp;ROUND(SUM(M69:O69),3)&amp;" km","ERRO — dif. de "&amp;ROUND(SUM(M69:O69)-$R72,3)&amp;" km"))</f>
        <v>OK — 54,573 km</v>
      </c>
      <c r="N71" s="28"/>
      <c r="O71" s="29"/>
      <c r="P71" s="37" t="str">
        <f>IF(SUM(P69:R69)=0,"— não preenchido",IF(ROUND(SUM(P69:R69)-$R72,3)=0,"OK — "&amp;ROUND(SUM(P69:R69),3)&amp;" km","ERRO — dif. de "&amp;ROUND(SUM(P69:R69)-$R72,3)&amp;" km"))</f>
        <v>OK — 54,573 km</v>
      </c>
      <c r="Q71" s="28"/>
      <c r="R71" s="29"/>
      <c r="S71" s="37" t="str">
        <f>IF(SUM(S69:U69)=0,"— não preenchido",IF(ROUND(SUM(S69:U69)-$R72,3)=0,"OK — "&amp;ROUND(SUM(S69:U69),3)&amp;" km","ERRO — dif. de "&amp;ROUND(SUM(S69:U69)-$R72,3)&amp;" km"))</f>
        <v>OK — 54,573 km</v>
      </c>
      <c r="T71" s="28"/>
      <c r="U71" s="29"/>
    </row>
    <row r="72" spans="1:22" x14ac:dyDescent="0.25">
      <c r="A72" s="36" t="s">
        <v>67</v>
      </c>
      <c r="B72" s="31"/>
      <c r="C72" s="31"/>
      <c r="D72" s="31"/>
      <c r="E72" s="31"/>
      <c r="R72" s="26">
        <f>SUM(E9:E63)</f>
        <v>54.5732999871</v>
      </c>
      <c r="V72" s="8" t="str">
        <f>COUNTIF(W9:W63,"OK")&amp;" de "&amp;COUNT($E$9:$E$63)&amp;" linhas conferidas"</f>
        <v>55 de 55 linhas conferidas</v>
      </c>
    </row>
    <row r="74" spans="1:22" x14ac:dyDescent="0.25">
      <c r="A74" s="41" t="s">
        <v>68</v>
      </c>
      <c r="B74" s="31"/>
      <c r="C74" s="31"/>
      <c r="D74" s="31"/>
      <c r="E74" s="31"/>
    </row>
    <row r="75" spans="1:22" x14ac:dyDescent="0.25">
      <c r="A75" s="36" t="s">
        <v>69</v>
      </c>
      <c r="B75" s="31"/>
      <c r="C75" s="31"/>
      <c r="D75" s="31"/>
      <c r="E75" s="35" t="s">
        <v>70</v>
      </c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</row>
    <row r="76" spans="1:22" x14ac:dyDescent="0.25">
      <c r="A76" s="36" t="s">
        <v>71</v>
      </c>
      <c r="B76" s="31"/>
      <c r="C76" s="31"/>
      <c r="D76" s="31"/>
      <c r="E76" s="35" t="s">
        <v>72</v>
      </c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</row>
    <row r="77" spans="1:22" x14ac:dyDescent="0.25">
      <c r="A77" s="36" t="s">
        <v>73</v>
      </c>
      <c r="B77" s="31"/>
      <c r="C77" s="31"/>
      <c r="D77" s="31"/>
      <c r="E77" s="35" t="s">
        <v>74</v>
      </c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</row>
    <row r="78" spans="1:22" x14ac:dyDescent="0.25">
      <c r="A78" s="36" t="s">
        <v>75</v>
      </c>
      <c r="B78" s="31"/>
      <c r="C78" s="31"/>
      <c r="D78" s="31"/>
      <c r="E78" s="35" t="s">
        <v>76</v>
      </c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</row>
    <row r="79" spans="1:22" x14ac:dyDescent="0.25">
      <c r="A79" s="36" t="s">
        <v>77</v>
      </c>
      <c r="B79" s="31"/>
      <c r="C79" s="31"/>
      <c r="D79" s="31"/>
      <c r="E79" s="35" t="s">
        <v>78</v>
      </c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</row>
    <row r="80" spans="1:22" x14ac:dyDescent="0.25">
      <c r="A80" s="36" t="s">
        <v>41</v>
      </c>
      <c r="B80" s="31"/>
      <c r="C80" s="31"/>
      <c r="D80" s="31"/>
      <c r="E80" s="35" t="s">
        <v>79</v>
      </c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</row>
    <row r="81" spans="1:22" x14ac:dyDescent="0.25">
      <c r="A81" s="36" t="s">
        <v>80</v>
      </c>
      <c r="B81" s="31"/>
      <c r="C81" s="31"/>
      <c r="D81" s="31"/>
      <c r="E81" s="35" t="s">
        <v>81</v>
      </c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</row>
    <row r="82" spans="1:22" x14ac:dyDescent="0.25">
      <c r="A82" s="36" t="s">
        <v>82</v>
      </c>
      <c r="B82" s="31"/>
      <c r="C82" s="31"/>
      <c r="D82" s="31"/>
      <c r="E82" s="35" t="s">
        <v>83</v>
      </c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</row>
    <row r="83" spans="1:22" x14ac:dyDescent="0.25">
      <c r="A83" s="36" t="s">
        <v>11</v>
      </c>
      <c r="B83" s="31"/>
      <c r="C83" s="31"/>
      <c r="D83" s="31"/>
      <c r="E83" s="35" t="s">
        <v>84</v>
      </c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</row>
  </sheetData>
  <sheetProtection formatCells="0"/>
  <mergeCells count="57">
    <mergeCell ref="A1:V1"/>
    <mergeCell ref="A78:D78"/>
    <mergeCell ref="E81:V81"/>
    <mergeCell ref="A71:E71"/>
    <mergeCell ref="M71:O71"/>
    <mergeCell ref="K71:L71"/>
    <mergeCell ref="T3:V3"/>
    <mergeCell ref="E75:V75"/>
    <mergeCell ref="G65:K65"/>
    <mergeCell ref="F71:J71"/>
    <mergeCell ref="A80:D80"/>
    <mergeCell ref="A75:D75"/>
    <mergeCell ref="A72:E72"/>
    <mergeCell ref="S71:U71"/>
    <mergeCell ref="A68:E68"/>
    <mergeCell ref="R2:V2"/>
    <mergeCell ref="W6:W7"/>
    <mergeCell ref="E6:E7"/>
    <mergeCell ref="A66:E66"/>
    <mergeCell ref="B6:B7"/>
    <mergeCell ref="A74:E74"/>
    <mergeCell ref="P71:R71"/>
    <mergeCell ref="C6:C7"/>
    <mergeCell ref="K6:L6"/>
    <mergeCell ref="D6:D7"/>
    <mergeCell ref="P6:R6"/>
    <mergeCell ref="A65:E65"/>
    <mergeCell ref="A83:D83"/>
    <mergeCell ref="E77:V77"/>
    <mergeCell ref="N2:O2"/>
    <mergeCell ref="E80:V80"/>
    <mergeCell ref="P2:Q2"/>
    <mergeCell ref="G66:K66"/>
    <mergeCell ref="A82:D82"/>
    <mergeCell ref="A79:D79"/>
    <mergeCell ref="E76:V76"/>
    <mergeCell ref="A3:S3"/>
    <mergeCell ref="A76:D76"/>
    <mergeCell ref="E83:V83"/>
    <mergeCell ref="E79:V79"/>
    <mergeCell ref="E82:V82"/>
    <mergeCell ref="G2:H2"/>
    <mergeCell ref="I2:J2"/>
    <mergeCell ref="A8:V8"/>
    <mergeCell ref="A81:D81"/>
    <mergeCell ref="A6:A7"/>
    <mergeCell ref="F6:J6"/>
    <mergeCell ref="E78:V78"/>
    <mergeCell ref="M6:O6"/>
    <mergeCell ref="V6:V7"/>
    <mergeCell ref="A4:V4"/>
    <mergeCell ref="A70:E70"/>
    <mergeCell ref="A2:F2"/>
    <mergeCell ref="S6:U6"/>
    <mergeCell ref="A69:E69"/>
    <mergeCell ref="K2:M2"/>
    <mergeCell ref="A77:D77"/>
  </mergeCells>
  <conditionalFormatting sqref="F9:J63">
    <cfRule type="expression" dxfId="73" priority="1">
      <formula>AND(F9&lt;&gt;"",COUNTIF($F9:$J9,"X")&gt;1)</formula>
    </cfRule>
  </conditionalFormatting>
  <conditionalFormatting sqref="F71:U71">
    <cfRule type="expression" dxfId="72" priority="8">
      <formula>LEFT(F71,4)="ERRO"</formula>
    </cfRule>
    <cfRule type="expression" dxfId="71" priority="9">
      <formula>LEFT(F71,2)="OK"</formula>
    </cfRule>
  </conditionalFormatting>
  <conditionalFormatting sqref="K9:L63">
    <cfRule type="expression" dxfId="70" priority="2">
      <formula>AND(K9&lt;&gt;"",COUNTIF($K9:$L9,"X")&gt;1)</formula>
    </cfRule>
  </conditionalFormatting>
  <conditionalFormatting sqref="M9:O63">
    <cfRule type="expression" dxfId="69" priority="3">
      <formula>AND(M9&lt;&gt;"",COUNTIF($M9:$O9,"X")&gt;1)</formula>
    </cfRule>
  </conditionalFormatting>
  <conditionalFormatting sqref="P9:R63">
    <cfRule type="expression" dxfId="68" priority="4">
      <formula>AND(P9&lt;&gt;"",COUNTIF($P9:$R9,"X")&gt;1)</formula>
    </cfRule>
  </conditionalFormatting>
  <conditionalFormatting sqref="S9:U63">
    <cfRule type="expression" dxfId="67" priority="5">
      <formula>AND(S9&lt;&gt;"",COUNTIF($S9:$U9,"X")&gt;1)</formula>
    </cfRule>
  </conditionalFormatting>
  <conditionalFormatting sqref="W9:W63">
    <cfRule type="expression" dxfId="66" priority="6">
      <formula>AND(W9&lt;&gt;"OK",W9&lt;&gt;"")</formula>
    </cfRule>
    <cfRule type="expression" dxfId="6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3" xr:uid="{00000000-0002-0000-0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3" xr:uid="{00000000-0002-0000-0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3" xr:uid="{00000000-0002-0000-0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3" xr:uid="{00000000-0002-0000-0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3" xr:uid="{00000000-0002-0000-0200-000004000000}">
      <formula1>AND(UPPER(S9)="X",COUNTIF($S9:$U9,"X")&lt;=1)</formula1>
    </dataValidation>
    <dataValidation type="list" showErrorMessage="1" errorTitle="Sentido inválido" error="Use C (crescente) ou D (decrescente)." sqref="B9:B63" xr:uid="{00000000-0002-0000-0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70</oddHeader>
    <oddFooter>&amp;L&amp;7 RTA / MSI — Programa de Manutenção Rodoviária&amp;C&amp;7 Página &amp;P de &amp;N&amp;R&amp;7 Impresso em &amp;D</oddFooter>
  </headerFooter>
  <rowBreaks count="1" manualBreakCount="1">
    <brk id="66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AN36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39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Y1" s="1" t="s">
        <v>1</v>
      </c>
    </row>
    <row r="2" spans="1:40" ht="17.100000000000001" customHeight="1" x14ac:dyDescent="0.25">
      <c r="A2" s="43" t="s">
        <v>33</v>
      </c>
      <c r="B2" s="31"/>
      <c r="C2" s="31"/>
      <c r="D2" s="31"/>
      <c r="E2" s="31"/>
      <c r="F2" s="31"/>
      <c r="G2" s="40" t="s">
        <v>34</v>
      </c>
      <c r="H2" s="31"/>
      <c r="I2" s="46">
        <f>IF('68'!I2="","",'68'!I2)</f>
        <v>46235</v>
      </c>
      <c r="J2" s="45"/>
      <c r="K2" s="40" t="s">
        <v>35</v>
      </c>
      <c r="L2" s="31"/>
      <c r="M2" s="31"/>
      <c r="N2" s="44" t="str">
        <f>IF('68'!N2="","",'68'!N2)</f>
        <v/>
      </c>
      <c r="O2" s="45"/>
      <c r="P2" s="40" t="s">
        <v>36</v>
      </c>
      <c r="Q2" s="31"/>
      <c r="R2" s="47" t="s">
        <v>158</v>
      </c>
      <c r="S2" s="48"/>
      <c r="T2" s="48"/>
      <c r="U2" s="48"/>
      <c r="V2" s="45"/>
      <c r="Y2" s="2">
        <f t="shared" ref="Y2:AN2" si="0">IF(F22=0,NA(),F22)</f>
        <v>5.6069209862099996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5.6069209862099996</v>
      </c>
      <c r="AF2" s="2">
        <f t="shared" si="0"/>
        <v>2.70876802039</v>
      </c>
      <c r="AG2" s="2">
        <f t="shared" si="0"/>
        <v>2.89815296582</v>
      </c>
      <c r="AH2" s="2" t="e">
        <f t="shared" si="0"/>
        <v>#N/A</v>
      </c>
      <c r="AI2" s="2" t="e">
        <f t="shared" si="0"/>
        <v>#N/A</v>
      </c>
      <c r="AJ2" s="2">
        <f t="shared" si="0"/>
        <v>2.70876802039</v>
      </c>
      <c r="AK2" s="2">
        <f t="shared" si="0"/>
        <v>2.89815296582</v>
      </c>
      <c r="AL2" s="2" t="e">
        <f t="shared" si="0"/>
        <v>#N/A</v>
      </c>
      <c r="AM2" s="2">
        <f t="shared" si="0"/>
        <v>2.70876802039</v>
      </c>
      <c r="AN2" s="2">
        <f t="shared" si="0"/>
        <v>2.89815296582</v>
      </c>
    </row>
    <row r="3" spans="1:40" ht="15" customHeight="1" x14ac:dyDescent="0.25">
      <c r="A3" s="49" t="s">
        <v>89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0" t="s">
        <v>90</v>
      </c>
      <c r="U3" s="31"/>
      <c r="V3" s="31"/>
    </row>
    <row r="4" spans="1:40" ht="20.100000000000001" customHeight="1" x14ac:dyDescent="0.25">
      <c r="A4" s="33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6" spans="1:40" ht="21.95" customHeight="1" x14ac:dyDescent="0.25">
      <c r="A6" s="27" t="s">
        <v>40</v>
      </c>
      <c r="B6" s="27" t="s">
        <v>41</v>
      </c>
      <c r="C6" s="27" t="s">
        <v>42</v>
      </c>
      <c r="D6" s="27" t="s">
        <v>43</v>
      </c>
      <c r="E6" s="27" t="s">
        <v>44</v>
      </c>
      <c r="F6" s="27" t="s">
        <v>6</v>
      </c>
      <c r="G6" s="28"/>
      <c r="H6" s="28"/>
      <c r="I6" s="28"/>
      <c r="J6" s="29"/>
      <c r="K6" s="27" t="s">
        <v>7</v>
      </c>
      <c r="L6" s="29"/>
      <c r="M6" s="27" t="s">
        <v>8</v>
      </c>
      <c r="N6" s="28"/>
      <c r="O6" s="29"/>
      <c r="P6" s="27" t="s">
        <v>9</v>
      </c>
      <c r="Q6" s="28"/>
      <c r="R6" s="29"/>
      <c r="S6" s="27" t="s">
        <v>10</v>
      </c>
      <c r="T6" s="28"/>
      <c r="U6" s="29"/>
      <c r="V6" s="27" t="s">
        <v>45</v>
      </c>
      <c r="W6" s="27" t="s">
        <v>46</v>
      </c>
    </row>
    <row r="7" spans="1:40" ht="20.100000000000001" customHeight="1" x14ac:dyDescent="0.25">
      <c r="A7" s="32"/>
      <c r="B7" s="32"/>
      <c r="C7" s="32"/>
      <c r="D7" s="32"/>
      <c r="E7" s="3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159</v>
      </c>
      <c r="N7" s="3" t="s">
        <v>160</v>
      </c>
      <c r="O7" s="3" t="s">
        <v>161</v>
      </c>
      <c r="P7" s="3" t="s">
        <v>12</v>
      </c>
      <c r="Q7" s="3" t="s">
        <v>19</v>
      </c>
      <c r="R7" s="3" t="s">
        <v>162</v>
      </c>
      <c r="S7" s="3" t="s">
        <v>12</v>
      </c>
      <c r="T7" s="3" t="s">
        <v>163</v>
      </c>
      <c r="U7" s="3" t="s">
        <v>162</v>
      </c>
      <c r="V7" s="32"/>
      <c r="W7" s="32"/>
    </row>
    <row r="8" spans="1:40" ht="15.95" customHeight="1" x14ac:dyDescent="0.25">
      <c r="A8" s="34" t="s">
        <v>91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9"/>
      <c r="W8" s="4"/>
    </row>
    <row r="9" spans="1:40" ht="20.100000000000001" customHeight="1" x14ac:dyDescent="0.25">
      <c r="A9" s="12" t="s">
        <v>92</v>
      </c>
      <c r="B9" s="13" t="s">
        <v>49</v>
      </c>
      <c r="C9" s="14">
        <v>0</v>
      </c>
      <c r="D9" s="14">
        <v>1</v>
      </c>
      <c r="E9" s="14">
        <f>D9-C9</f>
        <v>1</v>
      </c>
      <c r="F9" s="15" t="s">
        <v>50</v>
      </c>
      <c r="G9" s="15"/>
      <c r="H9" s="15"/>
      <c r="I9" s="15"/>
      <c r="J9" s="15"/>
      <c r="K9" s="15"/>
      <c r="L9" s="15" t="s">
        <v>50</v>
      </c>
      <c r="M9" s="15"/>
      <c r="N9" s="15" t="s">
        <v>50</v>
      </c>
      <c r="O9" s="15"/>
      <c r="P9" s="15"/>
      <c r="Q9" s="15"/>
      <c r="R9" s="15" t="s">
        <v>50</v>
      </c>
      <c r="S9" s="15"/>
      <c r="T9" s="15"/>
      <c r="U9" s="15" t="s">
        <v>50</v>
      </c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92</v>
      </c>
      <c r="B10" s="13" t="s">
        <v>49</v>
      </c>
      <c r="C10" s="14">
        <v>1</v>
      </c>
      <c r="D10" s="14">
        <v>2</v>
      </c>
      <c r="E10" s="14">
        <f>D10-C10</f>
        <v>1</v>
      </c>
      <c r="F10" s="15" t="s">
        <v>50</v>
      </c>
      <c r="G10" s="15"/>
      <c r="H10" s="15"/>
      <c r="I10" s="15"/>
      <c r="J10" s="15"/>
      <c r="K10" s="15"/>
      <c r="L10" s="15" t="s">
        <v>50</v>
      </c>
      <c r="M10" s="15"/>
      <c r="N10" s="15" t="s">
        <v>50</v>
      </c>
      <c r="O10" s="15"/>
      <c r="P10" s="15"/>
      <c r="Q10" s="15"/>
      <c r="R10" s="15" t="s">
        <v>50</v>
      </c>
      <c r="S10" s="15"/>
      <c r="T10" s="15"/>
      <c r="U10" s="15" t="s">
        <v>50</v>
      </c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8" t="s">
        <v>92</v>
      </c>
      <c r="B11" s="19" t="s">
        <v>49</v>
      </c>
      <c r="C11" s="20">
        <v>2</v>
      </c>
      <c r="D11" s="20">
        <v>2.89815296582</v>
      </c>
      <c r="E11" s="20">
        <f>D11-C11</f>
        <v>0.89815296582000004</v>
      </c>
      <c r="F11" s="21" t="s">
        <v>50</v>
      </c>
      <c r="G11" s="21"/>
      <c r="H11" s="21"/>
      <c r="I11" s="21"/>
      <c r="J11" s="21"/>
      <c r="K11" s="21"/>
      <c r="L11" s="21" t="s">
        <v>50</v>
      </c>
      <c r="M11" s="21"/>
      <c r="N11" s="21" t="s">
        <v>50</v>
      </c>
      <c r="O11" s="21"/>
      <c r="P11" s="21"/>
      <c r="Q11" s="21"/>
      <c r="R11" s="21" t="s">
        <v>50</v>
      </c>
      <c r="S11" s="21"/>
      <c r="T11" s="21"/>
      <c r="U11" s="21" t="s">
        <v>50</v>
      </c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15" customHeight="1" x14ac:dyDescent="0.25">
      <c r="A12" s="50" t="s">
        <v>93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9"/>
      <c r="W12" s="4"/>
    </row>
    <row r="13" spans="1:40" ht="15.95" customHeight="1" x14ac:dyDescent="0.25">
      <c r="A13" s="34" t="s">
        <v>94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9"/>
      <c r="W13" s="4"/>
    </row>
    <row r="14" spans="1:40" ht="20.100000000000001" customHeight="1" x14ac:dyDescent="0.25">
      <c r="A14" s="12" t="s">
        <v>95</v>
      </c>
      <c r="B14" s="13" t="s">
        <v>49</v>
      </c>
      <c r="C14" s="14">
        <v>0</v>
      </c>
      <c r="D14" s="14">
        <v>1</v>
      </c>
      <c r="E14" s="14">
        <f>D14-C14</f>
        <v>1</v>
      </c>
      <c r="F14" s="15" t="s">
        <v>50</v>
      </c>
      <c r="G14" s="15"/>
      <c r="H14" s="15"/>
      <c r="I14" s="15"/>
      <c r="J14" s="15"/>
      <c r="K14" s="15"/>
      <c r="L14" s="15" t="s">
        <v>50</v>
      </c>
      <c r="M14" s="15" t="s">
        <v>50</v>
      </c>
      <c r="N14" s="15"/>
      <c r="O14" s="15"/>
      <c r="P14" s="15"/>
      <c r="Q14" s="15" t="s">
        <v>50</v>
      </c>
      <c r="R14" s="15"/>
      <c r="S14" s="15"/>
      <c r="T14" s="15" t="s">
        <v>50</v>
      </c>
      <c r="U14" s="15"/>
      <c r="V14" s="16"/>
      <c r="W14" s="17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95</v>
      </c>
      <c r="B15" s="13" t="s">
        <v>49</v>
      </c>
      <c r="C15" s="14">
        <v>1</v>
      </c>
      <c r="D15" s="14">
        <v>2</v>
      </c>
      <c r="E15" s="14">
        <f>D15-C15</f>
        <v>1</v>
      </c>
      <c r="F15" s="15" t="s">
        <v>50</v>
      </c>
      <c r="G15" s="15"/>
      <c r="H15" s="15"/>
      <c r="I15" s="15"/>
      <c r="J15" s="15"/>
      <c r="K15" s="15"/>
      <c r="L15" s="15" t="s">
        <v>50</v>
      </c>
      <c r="M15" s="15" t="s">
        <v>50</v>
      </c>
      <c r="N15" s="15"/>
      <c r="O15" s="15"/>
      <c r="P15" s="15"/>
      <c r="Q15" s="15" t="s">
        <v>50</v>
      </c>
      <c r="R15" s="15"/>
      <c r="S15" s="15"/>
      <c r="T15" s="15" t="s">
        <v>50</v>
      </c>
      <c r="U15" s="15"/>
      <c r="V15" s="16"/>
      <c r="W15" s="17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8" t="s">
        <v>95</v>
      </c>
      <c r="B16" s="19" t="s">
        <v>49</v>
      </c>
      <c r="C16" s="20">
        <v>2</v>
      </c>
      <c r="D16" s="20">
        <v>2.70876802039</v>
      </c>
      <c r="E16" s="20">
        <f>D16-C16</f>
        <v>0.70876802038999998</v>
      </c>
      <c r="F16" s="21" t="s">
        <v>50</v>
      </c>
      <c r="G16" s="21"/>
      <c r="H16" s="21"/>
      <c r="I16" s="21"/>
      <c r="J16" s="21"/>
      <c r="K16" s="21"/>
      <c r="L16" s="21" t="s">
        <v>50</v>
      </c>
      <c r="M16" s="21" t="s">
        <v>50</v>
      </c>
      <c r="N16" s="21"/>
      <c r="O16" s="21"/>
      <c r="P16" s="21"/>
      <c r="Q16" s="21" t="s">
        <v>50</v>
      </c>
      <c r="R16" s="21"/>
      <c r="S16" s="21"/>
      <c r="T16" s="21" t="s">
        <v>50</v>
      </c>
      <c r="U16" s="21"/>
      <c r="V16" s="22"/>
      <c r="W16" s="23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8" spans="1:22" x14ac:dyDescent="0.25">
      <c r="A18" s="30" t="s">
        <v>60</v>
      </c>
      <c r="B18" s="31"/>
      <c r="C18" s="31"/>
      <c r="D18" s="31"/>
      <c r="E18" s="31"/>
      <c r="G18" s="30" t="s">
        <v>60</v>
      </c>
      <c r="H18" s="31"/>
      <c r="I18" s="31"/>
      <c r="J18" s="31"/>
      <c r="K18" s="31"/>
    </row>
    <row r="19" spans="1:22" x14ac:dyDescent="0.25">
      <c r="A19" s="38" t="s">
        <v>61</v>
      </c>
      <c r="B19" s="31"/>
      <c r="C19" s="31"/>
      <c r="D19" s="31"/>
      <c r="E19" s="31"/>
      <c r="G19" s="38" t="s">
        <v>62</v>
      </c>
      <c r="H19" s="31"/>
      <c r="I19" s="31"/>
      <c r="J19" s="31"/>
      <c r="K19" s="31"/>
    </row>
    <row r="21" spans="1:22" x14ac:dyDescent="0.25">
      <c r="A21" s="42" t="s">
        <v>63</v>
      </c>
      <c r="B21" s="31"/>
      <c r="C21" s="31"/>
      <c r="D21" s="31"/>
      <c r="E21" s="31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x14ac:dyDescent="0.25">
      <c r="A22" s="36" t="s">
        <v>64</v>
      </c>
      <c r="B22" s="31"/>
      <c r="C22" s="31"/>
      <c r="D22" s="31"/>
      <c r="E22" s="31"/>
      <c r="F22" s="9">
        <f t="shared" ref="F22:U22" si="1">SUMIF(F$9:F$16,"X",$E$9:$E$16)</f>
        <v>5.6069209862099996</v>
      </c>
      <c r="G22" s="9">
        <f t="shared" si="1"/>
        <v>0</v>
      </c>
      <c r="H22" s="9">
        <f t="shared" si="1"/>
        <v>0</v>
      </c>
      <c r="I22" s="9">
        <f t="shared" si="1"/>
        <v>0</v>
      </c>
      <c r="J22" s="9">
        <f t="shared" si="1"/>
        <v>0</v>
      </c>
      <c r="K22" s="9">
        <f t="shared" si="1"/>
        <v>0</v>
      </c>
      <c r="L22" s="9">
        <f t="shared" si="1"/>
        <v>5.6069209862099996</v>
      </c>
      <c r="M22" s="9">
        <f t="shared" si="1"/>
        <v>2.70876802039</v>
      </c>
      <c r="N22" s="9">
        <f t="shared" si="1"/>
        <v>2.89815296582</v>
      </c>
      <c r="O22" s="9">
        <f t="shared" si="1"/>
        <v>0</v>
      </c>
      <c r="P22" s="9">
        <f t="shared" si="1"/>
        <v>0</v>
      </c>
      <c r="Q22" s="9">
        <f t="shared" si="1"/>
        <v>2.70876802039</v>
      </c>
      <c r="R22" s="9">
        <f t="shared" si="1"/>
        <v>2.89815296582</v>
      </c>
      <c r="S22" s="9">
        <f t="shared" si="1"/>
        <v>0</v>
      </c>
      <c r="T22" s="9">
        <f t="shared" si="1"/>
        <v>2.70876802039</v>
      </c>
      <c r="U22" s="9">
        <f t="shared" si="1"/>
        <v>2.89815296582</v>
      </c>
    </row>
    <row r="23" spans="1:22" x14ac:dyDescent="0.25">
      <c r="A23" s="36" t="s">
        <v>65</v>
      </c>
      <c r="B23" s="31"/>
      <c r="C23" s="31"/>
      <c r="D23" s="31"/>
      <c r="E23" s="31"/>
      <c r="F23" s="25">
        <f t="shared" ref="F23:U23" si="2">IF($R25=0,0,F22/$R25)</f>
        <v>1</v>
      </c>
      <c r="G23" s="25">
        <f t="shared" si="2"/>
        <v>0</v>
      </c>
      <c r="H23" s="25">
        <f t="shared" si="2"/>
        <v>0</v>
      </c>
      <c r="I23" s="25">
        <f t="shared" si="2"/>
        <v>0</v>
      </c>
      <c r="J23" s="25">
        <f t="shared" si="2"/>
        <v>0</v>
      </c>
      <c r="K23" s="25">
        <f t="shared" si="2"/>
        <v>0</v>
      </c>
      <c r="L23" s="25">
        <f t="shared" si="2"/>
        <v>1</v>
      </c>
      <c r="M23" s="25">
        <f t="shared" si="2"/>
        <v>0.48311150220452681</v>
      </c>
      <c r="N23" s="25">
        <f t="shared" si="2"/>
        <v>0.5168884977954733</v>
      </c>
      <c r="O23" s="25">
        <f t="shared" si="2"/>
        <v>0</v>
      </c>
      <c r="P23" s="25">
        <f t="shared" si="2"/>
        <v>0</v>
      </c>
      <c r="Q23" s="25">
        <f t="shared" si="2"/>
        <v>0.48311150220452681</v>
      </c>
      <c r="R23" s="25">
        <f t="shared" si="2"/>
        <v>0.5168884977954733</v>
      </c>
      <c r="S23" s="25">
        <f t="shared" si="2"/>
        <v>0</v>
      </c>
      <c r="T23" s="25">
        <f t="shared" si="2"/>
        <v>0.48311150220452681</v>
      </c>
      <c r="U23" s="25">
        <f t="shared" si="2"/>
        <v>0.5168884977954733</v>
      </c>
    </row>
    <row r="24" spans="1:22" x14ac:dyDescent="0.25">
      <c r="A24" s="36" t="s">
        <v>66</v>
      </c>
      <c r="B24" s="31"/>
      <c r="C24" s="31"/>
      <c r="D24" s="31"/>
      <c r="E24" s="31"/>
      <c r="F24" s="37" t="str">
        <f>IF(SUM(F22:J22)=0,"— não preenchido",IF(ROUND(SUM(F22:J22)-$R25,3)=0,"OK — "&amp;ROUND(SUM(F22:J22),3)&amp;" km","ERRO — dif. de "&amp;ROUND(SUM(F22:J22)-$R25,3)&amp;" km"))</f>
        <v>OK — 5,607 km</v>
      </c>
      <c r="G24" s="28"/>
      <c r="H24" s="28"/>
      <c r="I24" s="28"/>
      <c r="J24" s="29"/>
      <c r="K24" s="37" t="str">
        <f>IF(SUM(K22:L22)=0,"— não preenchido",IF(ROUND(SUM(K22:L22)-$R25,3)=0,"OK — "&amp;ROUND(SUM(K22:L22),3)&amp;" km","ERRO — dif. de "&amp;ROUND(SUM(K22:L22)-$R25,3)&amp;" km"))</f>
        <v>OK — 5,607 km</v>
      </c>
      <c r="L24" s="29"/>
      <c r="M24" s="37" t="str">
        <f>IF(SUM(M22:O22)=0,"— não preenchido",IF(ROUND(SUM(M22:O22)-$R25,3)=0,"OK — "&amp;ROUND(SUM(M22:O22),3)&amp;" km","ERRO — dif. de "&amp;ROUND(SUM(M22:O22)-$R25,3)&amp;" km"))</f>
        <v>OK — 5,607 km</v>
      </c>
      <c r="N24" s="28"/>
      <c r="O24" s="29"/>
      <c r="P24" s="37" t="str">
        <f>IF(SUM(P22:R22)=0,"— não preenchido",IF(ROUND(SUM(P22:R22)-$R25,3)=0,"OK — "&amp;ROUND(SUM(P22:R22),3)&amp;" km","ERRO — dif. de "&amp;ROUND(SUM(P22:R22)-$R25,3)&amp;" km"))</f>
        <v>OK — 5,607 km</v>
      </c>
      <c r="Q24" s="28"/>
      <c r="R24" s="29"/>
      <c r="S24" s="37" t="str">
        <f>IF(SUM(S22:U22)=0,"— não preenchido",IF(ROUND(SUM(S22:U22)-$R25,3)=0,"OK — "&amp;ROUND(SUM(S22:U22),3)&amp;" km","ERRO — dif. de "&amp;ROUND(SUM(S22:U22)-$R25,3)&amp;" km"))</f>
        <v>OK — 5,607 km</v>
      </c>
      <c r="T24" s="28"/>
      <c r="U24" s="29"/>
    </row>
    <row r="25" spans="1:22" x14ac:dyDescent="0.25">
      <c r="A25" s="36" t="s">
        <v>67</v>
      </c>
      <c r="B25" s="31"/>
      <c r="C25" s="31"/>
      <c r="D25" s="31"/>
      <c r="E25" s="31"/>
      <c r="R25" s="26">
        <f>SUM(E9:E16)</f>
        <v>5.6069209862099996</v>
      </c>
      <c r="V25" s="8" t="str">
        <f>COUNTIF(W9:W16,"OK")&amp;" de "&amp;COUNT($E$9:$E$16)&amp;" linhas conferidas"</f>
        <v>6 de 6 linhas conferidas</v>
      </c>
    </row>
    <row r="27" spans="1:22" x14ac:dyDescent="0.25">
      <c r="A27" s="41" t="s">
        <v>68</v>
      </c>
      <c r="B27" s="31"/>
      <c r="C27" s="31"/>
      <c r="D27" s="31"/>
      <c r="E27" s="31"/>
    </row>
    <row r="28" spans="1:22" x14ac:dyDescent="0.25">
      <c r="A28" s="36" t="s">
        <v>69</v>
      </c>
      <c r="B28" s="31"/>
      <c r="C28" s="31"/>
      <c r="D28" s="31"/>
      <c r="E28" s="35" t="s">
        <v>70</v>
      </c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</row>
    <row r="29" spans="1:22" x14ac:dyDescent="0.25">
      <c r="A29" s="36" t="s">
        <v>71</v>
      </c>
      <c r="B29" s="31"/>
      <c r="C29" s="31"/>
      <c r="D29" s="31"/>
      <c r="E29" s="35" t="s">
        <v>72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x14ac:dyDescent="0.25">
      <c r="A30" s="36" t="s">
        <v>73</v>
      </c>
      <c r="B30" s="31"/>
      <c r="C30" s="31"/>
      <c r="D30" s="31"/>
      <c r="E30" s="35" t="s">
        <v>74</v>
      </c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</row>
    <row r="31" spans="1:22" x14ac:dyDescent="0.25">
      <c r="A31" s="36" t="s">
        <v>75</v>
      </c>
      <c r="B31" s="31"/>
      <c r="C31" s="31"/>
      <c r="D31" s="31"/>
      <c r="E31" s="35" t="s">
        <v>76</v>
      </c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x14ac:dyDescent="0.25">
      <c r="A32" s="36" t="s">
        <v>77</v>
      </c>
      <c r="B32" s="31"/>
      <c r="C32" s="31"/>
      <c r="D32" s="31"/>
      <c r="E32" s="35" t="s">
        <v>78</v>
      </c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</row>
    <row r="33" spans="1:22" x14ac:dyDescent="0.25">
      <c r="A33" s="36" t="s">
        <v>41</v>
      </c>
      <c r="B33" s="31"/>
      <c r="C33" s="31"/>
      <c r="D33" s="31"/>
      <c r="E33" s="35" t="s">
        <v>79</v>
      </c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  <row r="34" spans="1:22" x14ac:dyDescent="0.25">
      <c r="A34" s="36" t="s">
        <v>80</v>
      </c>
      <c r="B34" s="31"/>
      <c r="C34" s="31"/>
      <c r="D34" s="31"/>
      <c r="E34" s="35" t="s">
        <v>81</v>
      </c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</row>
    <row r="35" spans="1:22" x14ac:dyDescent="0.25">
      <c r="A35" s="36" t="s">
        <v>82</v>
      </c>
      <c r="B35" s="31"/>
      <c r="C35" s="31"/>
      <c r="D35" s="31"/>
      <c r="E35" s="35" t="s">
        <v>83</v>
      </c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</row>
    <row r="36" spans="1:22" x14ac:dyDescent="0.25">
      <c r="A36" s="36" t="s">
        <v>11</v>
      </c>
      <c r="B36" s="31"/>
      <c r="C36" s="31"/>
      <c r="D36" s="31"/>
      <c r="E36" s="35" t="s">
        <v>84</v>
      </c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</row>
  </sheetData>
  <sheetProtection formatCells="0"/>
  <mergeCells count="59">
    <mergeCell ref="A1:V1"/>
    <mergeCell ref="E32:V32"/>
    <mergeCell ref="T3:V3"/>
    <mergeCell ref="A23:E23"/>
    <mergeCell ref="A22:E22"/>
    <mergeCell ref="A19:E19"/>
    <mergeCell ref="R2:V2"/>
    <mergeCell ref="A3:S3"/>
    <mergeCell ref="C6:C7"/>
    <mergeCell ref="K6:L6"/>
    <mergeCell ref="D6:D7"/>
    <mergeCell ref="A12:V12"/>
    <mergeCell ref="P6:R6"/>
    <mergeCell ref="A2:F2"/>
    <mergeCell ref="S6:U6"/>
    <mergeCell ref="K2:M2"/>
    <mergeCell ref="W6:W7"/>
    <mergeCell ref="E36:V36"/>
    <mergeCell ref="G19:K19"/>
    <mergeCell ref="E6:E7"/>
    <mergeCell ref="B6:B7"/>
    <mergeCell ref="M24:O24"/>
    <mergeCell ref="A18:E18"/>
    <mergeCell ref="G18:K18"/>
    <mergeCell ref="A27:E27"/>
    <mergeCell ref="A36:D36"/>
    <mergeCell ref="A21:E21"/>
    <mergeCell ref="P24:R24"/>
    <mergeCell ref="E33:V33"/>
    <mergeCell ref="A33:D33"/>
    <mergeCell ref="E31:V31"/>
    <mergeCell ref="E34:V34"/>
    <mergeCell ref="A34:D34"/>
    <mergeCell ref="A25:E25"/>
    <mergeCell ref="N2:O2"/>
    <mergeCell ref="A30:D30"/>
    <mergeCell ref="P2:Q2"/>
    <mergeCell ref="E30:V30"/>
    <mergeCell ref="A31:D31"/>
    <mergeCell ref="A13:V13"/>
    <mergeCell ref="A32:D32"/>
    <mergeCell ref="F24:J24"/>
    <mergeCell ref="S24:U24"/>
    <mergeCell ref="E35:V35"/>
    <mergeCell ref="A24:E24"/>
    <mergeCell ref="E29:V29"/>
    <mergeCell ref="G2:H2"/>
    <mergeCell ref="K24:L24"/>
    <mergeCell ref="A35:D35"/>
    <mergeCell ref="I2:J2"/>
    <mergeCell ref="A8:V8"/>
    <mergeCell ref="E28:V28"/>
    <mergeCell ref="A29:D29"/>
    <mergeCell ref="A6:A7"/>
    <mergeCell ref="F6:J6"/>
    <mergeCell ref="M6:O6"/>
    <mergeCell ref="A28:D28"/>
    <mergeCell ref="V6:V7"/>
    <mergeCell ref="A4:V4"/>
  </mergeCells>
  <conditionalFormatting sqref="F9:J16">
    <cfRule type="expression" dxfId="64" priority="1">
      <formula>AND(F9&lt;&gt;"",COUNTIF($F9:$J9,"X")&gt;1)</formula>
    </cfRule>
  </conditionalFormatting>
  <conditionalFormatting sqref="F24:U24">
    <cfRule type="expression" dxfId="63" priority="8">
      <formula>LEFT(F24,4)="ERRO"</formula>
    </cfRule>
    <cfRule type="expression" dxfId="62" priority="9">
      <formula>LEFT(F24,2)="OK"</formula>
    </cfRule>
  </conditionalFormatting>
  <conditionalFormatting sqref="K9:L16">
    <cfRule type="expression" dxfId="61" priority="2">
      <formula>AND(K9&lt;&gt;"",COUNTIF($K9:$L9,"X")&gt;1)</formula>
    </cfRule>
  </conditionalFormatting>
  <conditionalFormatting sqref="M9:O16">
    <cfRule type="expression" dxfId="60" priority="3">
      <formula>AND(M9&lt;&gt;"",COUNTIF($M9:$O9,"X")&gt;1)</formula>
    </cfRule>
  </conditionalFormatting>
  <conditionalFormatting sqref="P9:R16">
    <cfRule type="expression" dxfId="59" priority="4">
      <formula>AND(P9&lt;&gt;"",COUNTIF($P9:$R9,"X")&gt;1)</formula>
    </cfRule>
  </conditionalFormatting>
  <conditionalFormatting sqref="S9:U16">
    <cfRule type="expression" dxfId="58" priority="5">
      <formula>AND(S9&lt;&gt;"",COUNTIF($S9:$U9,"X")&gt;1)</formula>
    </cfRule>
  </conditionalFormatting>
  <conditionalFormatting sqref="W9:W16">
    <cfRule type="expression" dxfId="57" priority="6">
      <formula>AND(W9&lt;&gt;"OK",W9&lt;&gt;"")</formula>
    </cfRule>
    <cfRule type="expression" dxfId="5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6" xr:uid="{00000000-0002-0000-0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6" xr:uid="{00000000-0002-0000-0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6" xr:uid="{00000000-0002-0000-0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6" xr:uid="{00000000-0002-0000-0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6" xr:uid="{00000000-0002-0000-0300-000004000000}">
      <formula1>AND(UPPER(S9)="X",COUNTIF($S9:$U9,"X")&lt;=1)</formula1>
    </dataValidation>
    <dataValidation type="list" showErrorMessage="1" errorTitle="Sentido inválido" error="Use C (crescente) ou D (decrescente)." sqref="B9:B16" xr:uid="{00000000-0002-0000-0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71</oddHeader>
    <oddFooter>&amp;L&amp;7 RTA / MSI — Programa de Manutenção Rodoviária&amp;C&amp;7 Página &amp;P de &amp;N&amp;R&amp;7 Impresso em &amp;D</oddFooter>
  </headerFooter>
  <rowBreaks count="1" manualBreakCount="1">
    <brk id="19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N81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39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Y1" s="1" t="s">
        <v>1</v>
      </c>
    </row>
    <row r="2" spans="1:40" ht="17.100000000000001" customHeight="1" x14ac:dyDescent="0.25">
      <c r="A2" s="43" t="s">
        <v>33</v>
      </c>
      <c r="B2" s="31"/>
      <c r="C2" s="31"/>
      <c r="D2" s="31"/>
      <c r="E2" s="31"/>
      <c r="F2" s="31"/>
      <c r="G2" s="40" t="s">
        <v>34</v>
      </c>
      <c r="H2" s="31"/>
      <c r="I2" s="46">
        <f>IF('68'!I2="","",'68'!I2)</f>
        <v>46235</v>
      </c>
      <c r="J2" s="45"/>
      <c r="K2" s="40" t="s">
        <v>35</v>
      </c>
      <c r="L2" s="31"/>
      <c r="M2" s="31"/>
      <c r="N2" s="44" t="str">
        <f>IF('68'!N2="","",'68'!N2)</f>
        <v/>
      </c>
      <c r="O2" s="45"/>
      <c r="P2" s="40" t="s">
        <v>36</v>
      </c>
      <c r="Q2" s="31"/>
      <c r="R2" s="47" t="s">
        <v>158</v>
      </c>
      <c r="S2" s="48"/>
      <c r="T2" s="48"/>
      <c r="U2" s="48"/>
      <c r="V2" s="45"/>
      <c r="Y2" s="2">
        <f t="shared" ref="Y2:AN2" si="0">IF(F67=0,NA(),F67)</f>
        <v>34.951989122949996</v>
      </c>
      <c r="Z2" s="2" t="e">
        <f t="shared" si="0"/>
        <v>#N/A</v>
      </c>
      <c r="AA2" s="2" t="e">
        <f t="shared" si="0"/>
        <v>#N/A</v>
      </c>
      <c r="AB2" s="2">
        <f t="shared" si="0"/>
        <v>10</v>
      </c>
      <c r="AC2" s="2">
        <f t="shared" si="0"/>
        <v>4.0115949071999992</v>
      </c>
      <c r="AD2" s="2">
        <f t="shared" si="0"/>
        <v>48.963584030149995</v>
      </c>
      <c r="AE2" s="2" t="e">
        <f t="shared" si="0"/>
        <v>#N/A</v>
      </c>
      <c r="AF2" s="2">
        <f t="shared" si="0"/>
        <v>10</v>
      </c>
      <c r="AG2" s="2">
        <f t="shared" si="0"/>
        <v>38.963584030149995</v>
      </c>
      <c r="AH2" s="2" t="e">
        <f t="shared" si="0"/>
        <v>#N/A</v>
      </c>
      <c r="AI2" s="2">
        <f t="shared" si="0"/>
        <v>23.763619988849999</v>
      </c>
      <c r="AJ2" s="2" t="e">
        <f t="shared" si="0"/>
        <v>#N/A</v>
      </c>
      <c r="AK2" s="2">
        <f t="shared" si="0"/>
        <v>25.199964041299999</v>
      </c>
      <c r="AL2" s="2">
        <f t="shared" si="0"/>
        <v>23.763619988849999</v>
      </c>
      <c r="AM2" s="2">
        <f t="shared" si="0"/>
        <v>25.199964041299999</v>
      </c>
      <c r="AN2" s="2" t="e">
        <f t="shared" si="0"/>
        <v>#N/A</v>
      </c>
    </row>
    <row r="3" spans="1:40" ht="15" customHeight="1" x14ac:dyDescent="0.25">
      <c r="A3" s="49" t="s">
        <v>96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0" t="s">
        <v>97</v>
      </c>
      <c r="U3" s="31"/>
      <c r="V3" s="31"/>
    </row>
    <row r="4" spans="1:40" ht="20.100000000000001" customHeight="1" x14ac:dyDescent="0.25">
      <c r="A4" s="33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6" spans="1:40" ht="21.95" customHeight="1" x14ac:dyDescent="0.25">
      <c r="A6" s="27" t="s">
        <v>40</v>
      </c>
      <c r="B6" s="27" t="s">
        <v>41</v>
      </c>
      <c r="C6" s="27" t="s">
        <v>42</v>
      </c>
      <c r="D6" s="27" t="s">
        <v>43</v>
      </c>
      <c r="E6" s="27" t="s">
        <v>44</v>
      </c>
      <c r="F6" s="27" t="s">
        <v>6</v>
      </c>
      <c r="G6" s="28"/>
      <c r="H6" s="28"/>
      <c r="I6" s="28"/>
      <c r="J6" s="29"/>
      <c r="K6" s="27" t="s">
        <v>7</v>
      </c>
      <c r="L6" s="29"/>
      <c r="M6" s="27" t="s">
        <v>8</v>
      </c>
      <c r="N6" s="28"/>
      <c r="O6" s="29"/>
      <c r="P6" s="27" t="s">
        <v>9</v>
      </c>
      <c r="Q6" s="28"/>
      <c r="R6" s="29"/>
      <c r="S6" s="27" t="s">
        <v>10</v>
      </c>
      <c r="T6" s="28"/>
      <c r="U6" s="29"/>
      <c r="V6" s="27" t="s">
        <v>45</v>
      </c>
      <c r="W6" s="27" t="s">
        <v>46</v>
      </c>
    </row>
    <row r="7" spans="1:40" ht="20.100000000000001" customHeight="1" x14ac:dyDescent="0.25">
      <c r="A7" s="32"/>
      <c r="B7" s="32"/>
      <c r="C7" s="32"/>
      <c r="D7" s="32"/>
      <c r="E7" s="3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159</v>
      </c>
      <c r="N7" s="3" t="s">
        <v>160</v>
      </c>
      <c r="O7" s="3" t="s">
        <v>161</v>
      </c>
      <c r="P7" s="3" t="s">
        <v>12</v>
      </c>
      <c r="Q7" s="3" t="s">
        <v>19</v>
      </c>
      <c r="R7" s="3" t="s">
        <v>162</v>
      </c>
      <c r="S7" s="3" t="s">
        <v>12</v>
      </c>
      <c r="T7" s="3" t="s">
        <v>163</v>
      </c>
      <c r="U7" s="3" t="s">
        <v>162</v>
      </c>
      <c r="V7" s="32"/>
      <c r="W7" s="32"/>
    </row>
    <row r="8" spans="1:40" ht="15.95" customHeight="1" x14ac:dyDescent="0.25">
      <c r="A8" s="34" t="s">
        <v>98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9"/>
      <c r="W8" s="4"/>
    </row>
    <row r="9" spans="1:40" ht="20.100000000000001" customHeight="1" x14ac:dyDescent="0.25">
      <c r="A9" s="12" t="s">
        <v>99</v>
      </c>
      <c r="B9" s="13" t="s">
        <v>49</v>
      </c>
      <c r="C9" s="14">
        <v>0</v>
      </c>
      <c r="D9" s="14">
        <v>1</v>
      </c>
      <c r="E9" s="14">
        <f t="shared" ref="E9:E34" si="1">D9-C9</f>
        <v>1</v>
      </c>
      <c r="F9" s="15" t="s">
        <v>50</v>
      </c>
      <c r="G9" s="15"/>
      <c r="H9" s="15"/>
      <c r="I9" s="15"/>
      <c r="J9" s="15"/>
      <c r="K9" s="15" t="s">
        <v>50</v>
      </c>
      <c r="L9" s="15"/>
      <c r="M9" s="15"/>
      <c r="N9" s="15" t="s">
        <v>50</v>
      </c>
      <c r="O9" s="15"/>
      <c r="P9" s="15"/>
      <c r="Q9" s="15"/>
      <c r="R9" s="15" t="s">
        <v>50</v>
      </c>
      <c r="S9" s="15"/>
      <c r="T9" s="15" t="s">
        <v>50</v>
      </c>
      <c r="U9" s="15"/>
      <c r="V9" s="16"/>
      <c r="W9" s="17" t="str">
        <f t="shared" ref="W9:W3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99</v>
      </c>
      <c r="B10" s="13" t="s">
        <v>49</v>
      </c>
      <c r="C10" s="14">
        <v>1</v>
      </c>
      <c r="D10" s="14">
        <v>2</v>
      </c>
      <c r="E10" s="14">
        <f t="shared" si="1"/>
        <v>1</v>
      </c>
      <c r="F10" s="15" t="s">
        <v>50</v>
      </c>
      <c r="G10" s="15"/>
      <c r="H10" s="15"/>
      <c r="I10" s="15"/>
      <c r="J10" s="15"/>
      <c r="K10" s="15" t="s">
        <v>50</v>
      </c>
      <c r="L10" s="15"/>
      <c r="M10" s="15"/>
      <c r="N10" s="15" t="s">
        <v>50</v>
      </c>
      <c r="O10" s="15"/>
      <c r="P10" s="15"/>
      <c r="Q10" s="15"/>
      <c r="R10" s="15" t="s">
        <v>50</v>
      </c>
      <c r="S10" s="15"/>
      <c r="T10" s="15" t="s">
        <v>50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99</v>
      </c>
      <c r="B11" s="13" t="s">
        <v>49</v>
      </c>
      <c r="C11" s="14">
        <v>2</v>
      </c>
      <c r="D11" s="14">
        <v>3</v>
      </c>
      <c r="E11" s="14">
        <f t="shared" si="1"/>
        <v>1</v>
      </c>
      <c r="F11" s="15" t="s">
        <v>50</v>
      </c>
      <c r="G11" s="15"/>
      <c r="H11" s="15"/>
      <c r="I11" s="15"/>
      <c r="J11" s="15"/>
      <c r="K11" s="15" t="s">
        <v>50</v>
      </c>
      <c r="L11" s="15"/>
      <c r="M11" s="15"/>
      <c r="N11" s="15" t="s">
        <v>50</v>
      </c>
      <c r="O11" s="15"/>
      <c r="P11" s="15"/>
      <c r="Q11" s="15"/>
      <c r="R11" s="15" t="s">
        <v>50</v>
      </c>
      <c r="S11" s="15"/>
      <c r="T11" s="15" t="s">
        <v>50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99</v>
      </c>
      <c r="B12" s="13" t="s">
        <v>49</v>
      </c>
      <c r="C12" s="14">
        <v>3</v>
      </c>
      <c r="D12" s="14">
        <v>4</v>
      </c>
      <c r="E12" s="14">
        <f t="shared" si="1"/>
        <v>1</v>
      </c>
      <c r="F12" s="15" t="s">
        <v>50</v>
      </c>
      <c r="G12" s="15"/>
      <c r="H12" s="15"/>
      <c r="I12" s="15"/>
      <c r="J12" s="15"/>
      <c r="K12" s="15" t="s">
        <v>50</v>
      </c>
      <c r="L12" s="15"/>
      <c r="M12" s="15"/>
      <c r="N12" s="15" t="s">
        <v>50</v>
      </c>
      <c r="O12" s="15"/>
      <c r="P12" s="15"/>
      <c r="Q12" s="15"/>
      <c r="R12" s="15" t="s">
        <v>50</v>
      </c>
      <c r="S12" s="15"/>
      <c r="T12" s="15" t="s">
        <v>50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99</v>
      </c>
      <c r="B13" s="13" t="s">
        <v>49</v>
      </c>
      <c r="C13" s="14">
        <v>4</v>
      </c>
      <c r="D13" s="14">
        <v>5</v>
      </c>
      <c r="E13" s="14">
        <f t="shared" si="1"/>
        <v>1</v>
      </c>
      <c r="F13" s="15" t="s">
        <v>50</v>
      </c>
      <c r="G13" s="15"/>
      <c r="H13" s="15"/>
      <c r="I13" s="15"/>
      <c r="J13" s="15"/>
      <c r="K13" s="15" t="s">
        <v>50</v>
      </c>
      <c r="L13" s="15"/>
      <c r="M13" s="15"/>
      <c r="N13" s="15" t="s">
        <v>50</v>
      </c>
      <c r="O13" s="15"/>
      <c r="P13" s="15"/>
      <c r="Q13" s="15"/>
      <c r="R13" s="15" t="s">
        <v>50</v>
      </c>
      <c r="S13" s="15"/>
      <c r="T13" s="15" t="s">
        <v>50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99</v>
      </c>
      <c r="B14" s="13" t="s">
        <v>49</v>
      </c>
      <c r="C14" s="14">
        <v>5</v>
      </c>
      <c r="D14" s="14">
        <v>6</v>
      </c>
      <c r="E14" s="14">
        <f t="shared" si="1"/>
        <v>1</v>
      </c>
      <c r="F14" s="15" t="s">
        <v>50</v>
      </c>
      <c r="G14" s="15"/>
      <c r="H14" s="15"/>
      <c r="I14" s="15"/>
      <c r="J14" s="15"/>
      <c r="K14" s="15" t="s">
        <v>50</v>
      </c>
      <c r="L14" s="15"/>
      <c r="M14" s="15"/>
      <c r="N14" s="15" t="s">
        <v>50</v>
      </c>
      <c r="O14" s="15"/>
      <c r="P14" s="15"/>
      <c r="Q14" s="15"/>
      <c r="R14" s="15" t="s">
        <v>50</v>
      </c>
      <c r="S14" s="15"/>
      <c r="T14" s="15" t="s">
        <v>50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99</v>
      </c>
      <c r="B15" s="13" t="s">
        <v>49</v>
      </c>
      <c r="C15" s="14">
        <v>6</v>
      </c>
      <c r="D15" s="14">
        <v>7</v>
      </c>
      <c r="E15" s="14">
        <f t="shared" si="1"/>
        <v>1</v>
      </c>
      <c r="F15" s="15" t="s">
        <v>50</v>
      </c>
      <c r="G15" s="15"/>
      <c r="H15" s="15"/>
      <c r="I15" s="15"/>
      <c r="J15" s="15"/>
      <c r="K15" s="15" t="s">
        <v>50</v>
      </c>
      <c r="L15" s="15"/>
      <c r="M15" s="15"/>
      <c r="N15" s="15" t="s">
        <v>50</v>
      </c>
      <c r="O15" s="15"/>
      <c r="P15" s="15"/>
      <c r="Q15" s="15"/>
      <c r="R15" s="15" t="s">
        <v>50</v>
      </c>
      <c r="S15" s="15"/>
      <c r="T15" s="15" t="s">
        <v>50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99</v>
      </c>
      <c r="B16" s="13" t="s">
        <v>49</v>
      </c>
      <c r="C16" s="14">
        <v>7</v>
      </c>
      <c r="D16" s="14">
        <v>8</v>
      </c>
      <c r="E16" s="14">
        <f t="shared" si="1"/>
        <v>1</v>
      </c>
      <c r="F16" s="15" t="s">
        <v>50</v>
      </c>
      <c r="G16" s="15"/>
      <c r="H16" s="15"/>
      <c r="I16" s="15"/>
      <c r="J16" s="15"/>
      <c r="K16" s="15" t="s">
        <v>50</v>
      </c>
      <c r="L16" s="15"/>
      <c r="M16" s="15"/>
      <c r="N16" s="15" t="s">
        <v>50</v>
      </c>
      <c r="O16" s="15"/>
      <c r="P16" s="15"/>
      <c r="Q16" s="15"/>
      <c r="R16" s="15" t="s">
        <v>50</v>
      </c>
      <c r="S16" s="15"/>
      <c r="T16" s="15" t="s">
        <v>50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99</v>
      </c>
      <c r="B17" s="13" t="s">
        <v>49</v>
      </c>
      <c r="C17" s="14">
        <v>8</v>
      </c>
      <c r="D17" s="14">
        <v>9</v>
      </c>
      <c r="E17" s="14">
        <f t="shared" si="1"/>
        <v>1</v>
      </c>
      <c r="F17" s="15" t="s">
        <v>50</v>
      </c>
      <c r="G17" s="15"/>
      <c r="H17" s="15"/>
      <c r="I17" s="15"/>
      <c r="J17" s="15"/>
      <c r="K17" s="15" t="s">
        <v>50</v>
      </c>
      <c r="L17" s="15"/>
      <c r="M17" s="15"/>
      <c r="N17" s="15" t="s">
        <v>50</v>
      </c>
      <c r="O17" s="15"/>
      <c r="P17" s="15"/>
      <c r="Q17" s="15"/>
      <c r="R17" s="15" t="s">
        <v>50</v>
      </c>
      <c r="S17" s="15"/>
      <c r="T17" s="15" t="s">
        <v>50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99</v>
      </c>
      <c r="B18" s="13" t="s">
        <v>49</v>
      </c>
      <c r="C18" s="14">
        <v>9</v>
      </c>
      <c r="D18" s="14">
        <v>10</v>
      </c>
      <c r="E18" s="14">
        <f t="shared" si="1"/>
        <v>1</v>
      </c>
      <c r="F18" s="15" t="s">
        <v>50</v>
      </c>
      <c r="G18" s="15"/>
      <c r="H18" s="15"/>
      <c r="I18" s="15"/>
      <c r="J18" s="15"/>
      <c r="K18" s="15" t="s">
        <v>50</v>
      </c>
      <c r="L18" s="15"/>
      <c r="M18" s="15"/>
      <c r="N18" s="15" t="s">
        <v>50</v>
      </c>
      <c r="O18" s="15"/>
      <c r="P18" s="15"/>
      <c r="Q18" s="15"/>
      <c r="R18" s="15" t="s">
        <v>50</v>
      </c>
      <c r="S18" s="15"/>
      <c r="T18" s="15" t="s">
        <v>50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99</v>
      </c>
      <c r="B19" s="13" t="s">
        <v>49</v>
      </c>
      <c r="C19" s="14">
        <v>10</v>
      </c>
      <c r="D19" s="14">
        <v>11</v>
      </c>
      <c r="E19" s="14">
        <f t="shared" si="1"/>
        <v>1</v>
      </c>
      <c r="F19" s="15" t="s">
        <v>50</v>
      </c>
      <c r="G19" s="15"/>
      <c r="H19" s="15"/>
      <c r="I19" s="15"/>
      <c r="J19" s="15"/>
      <c r="K19" s="15" t="s">
        <v>50</v>
      </c>
      <c r="L19" s="15"/>
      <c r="M19" s="15"/>
      <c r="N19" s="15" t="s">
        <v>50</v>
      </c>
      <c r="O19" s="15"/>
      <c r="P19" s="15"/>
      <c r="Q19" s="15"/>
      <c r="R19" s="15" t="s">
        <v>50</v>
      </c>
      <c r="S19" s="15"/>
      <c r="T19" s="15" t="s">
        <v>50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99</v>
      </c>
      <c r="B20" s="13" t="s">
        <v>49</v>
      </c>
      <c r="C20" s="14">
        <v>11</v>
      </c>
      <c r="D20" s="14">
        <v>12</v>
      </c>
      <c r="E20" s="14">
        <f t="shared" si="1"/>
        <v>1</v>
      </c>
      <c r="F20" s="15" t="s">
        <v>50</v>
      </c>
      <c r="G20" s="15"/>
      <c r="H20" s="15"/>
      <c r="I20" s="15"/>
      <c r="J20" s="15"/>
      <c r="K20" s="15" t="s">
        <v>50</v>
      </c>
      <c r="L20" s="15"/>
      <c r="M20" s="15"/>
      <c r="N20" s="15" t="s">
        <v>50</v>
      </c>
      <c r="O20" s="15"/>
      <c r="P20" s="15"/>
      <c r="Q20" s="15"/>
      <c r="R20" s="15" t="s">
        <v>50</v>
      </c>
      <c r="S20" s="15"/>
      <c r="T20" s="15" t="s">
        <v>50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99</v>
      </c>
      <c r="B21" s="13" t="s">
        <v>49</v>
      </c>
      <c r="C21" s="14">
        <v>12</v>
      </c>
      <c r="D21" s="14">
        <v>13</v>
      </c>
      <c r="E21" s="14">
        <f t="shared" si="1"/>
        <v>1</v>
      </c>
      <c r="F21" s="15" t="s">
        <v>50</v>
      </c>
      <c r="G21" s="15"/>
      <c r="H21" s="15"/>
      <c r="I21" s="15"/>
      <c r="J21" s="15"/>
      <c r="K21" s="15" t="s">
        <v>50</v>
      </c>
      <c r="L21" s="15"/>
      <c r="M21" s="15"/>
      <c r="N21" s="15" t="s">
        <v>50</v>
      </c>
      <c r="O21" s="15"/>
      <c r="P21" s="15"/>
      <c r="Q21" s="15"/>
      <c r="R21" s="15" t="s">
        <v>50</v>
      </c>
      <c r="S21" s="15"/>
      <c r="T21" s="15" t="s">
        <v>50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99</v>
      </c>
      <c r="B22" s="13" t="s">
        <v>49</v>
      </c>
      <c r="C22" s="14">
        <v>13</v>
      </c>
      <c r="D22" s="14">
        <v>14</v>
      </c>
      <c r="E22" s="14">
        <f t="shared" si="1"/>
        <v>1</v>
      </c>
      <c r="F22" s="15" t="s">
        <v>50</v>
      </c>
      <c r="G22" s="15"/>
      <c r="H22" s="15"/>
      <c r="I22" s="15"/>
      <c r="J22" s="15"/>
      <c r="K22" s="15" t="s">
        <v>50</v>
      </c>
      <c r="L22" s="15"/>
      <c r="M22" s="15"/>
      <c r="N22" s="15" t="s">
        <v>50</v>
      </c>
      <c r="O22" s="15"/>
      <c r="P22" s="15"/>
      <c r="Q22" s="15"/>
      <c r="R22" s="15" t="s">
        <v>50</v>
      </c>
      <c r="S22" s="15"/>
      <c r="T22" s="15" t="s">
        <v>50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99</v>
      </c>
      <c r="B23" s="13" t="s">
        <v>49</v>
      </c>
      <c r="C23" s="14">
        <v>14</v>
      </c>
      <c r="D23" s="14">
        <v>15</v>
      </c>
      <c r="E23" s="14">
        <f t="shared" si="1"/>
        <v>1</v>
      </c>
      <c r="F23" s="15" t="s">
        <v>50</v>
      </c>
      <c r="G23" s="15"/>
      <c r="H23" s="15"/>
      <c r="I23" s="15"/>
      <c r="J23" s="15"/>
      <c r="K23" s="15" t="s">
        <v>50</v>
      </c>
      <c r="L23" s="15"/>
      <c r="M23" s="15"/>
      <c r="N23" s="15" t="s">
        <v>50</v>
      </c>
      <c r="O23" s="15"/>
      <c r="P23" s="15"/>
      <c r="Q23" s="15"/>
      <c r="R23" s="15" t="s">
        <v>50</v>
      </c>
      <c r="S23" s="15"/>
      <c r="T23" s="15" t="s">
        <v>50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99</v>
      </c>
      <c r="B24" s="13" t="s">
        <v>49</v>
      </c>
      <c r="C24" s="14">
        <v>15</v>
      </c>
      <c r="D24" s="14">
        <v>16</v>
      </c>
      <c r="E24" s="14">
        <f t="shared" si="1"/>
        <v>1</v>
      </c>
      <c r="F24" s="15" t="s">
        <v>50</v>
      </c>
      <c r="G24" s="15"/>
      <c r="H24" s="15"/>
      <c r="I24" s="15"/>
      <c r="J24" s="15"/>
      <c r="K24" s="15" t="s">
        <v>50</v>
      </c>
      <c r="L24" s="15"/>
      <c r="M24" s="15"/>
      <c r="N24" s="15" t="s">
        <v>50</v>
      </c>
      <c r="O24" s="15"/>
      <c r="P24" s="15"/>
      <c r="Q24" s="15"/>
      <c r="R24" s="15" t="s">
        <v>50</v>
      </c>
      <c r="S24" s="15"/>
      <c r="T24" s="15" t="s">
        <v>50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99</v>
      </c>
      <c r="B25" s="13" t="s">
        <v>49</v>
      </c>
      <c r="C25" s="14">
        <v>16</v>
      </c>
      <c r="D25" s="14">
        <v>17</v>
      </c>
      <c r="E25" s="14">
        <f t="shared" si="1"/>
        <v>1</v>
      </c>
      <c r="F25" s="15" t="s">
        <v>50</v>
      </c>
      <c r="G25" s="15"/>
      <c r="H25" s="15"/>
      <c r="I25" s="15"/>
      <c r="J25" s="15"/>
      <c r="K25" s="15" t="s">
        <v>50</v>
      </c>
      <c r="L25" s="15"/>
      <c r="M25" s="15"/>
      <c r="N25" s="15" t="s">
        <v>50</v>
      </c>
      <c r="O25" s="15"/>
      <c r="P25" s="15"/>
      <c r="Q25" s="15"/>
      <c r="R25" s="15" t="s">
        <v>50</v>
      </c>
      <c r="S25" s="15"/>
      <c r="T25" s="15" t="s">
        <v>50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99</v>
      </c>
      <c r="B26" s="13" t="s">
        <v>49</v>
      </c>
      <c r="C26" s="14">
        <v>17</v>
      </c>
      <c r="D26" s="14">
        <v>18</v>
      </c>
      <c r="E26" s="14">
        <f t="shared" si="1"/>
        <v>1</v>
      </c>
      <c r="F26" s="15" t="s">
        <v>50</v>
      </c>
      <c r="G26" s="15"/>
      <c r="H26" s="15"/>
      <c r="I26" s="15"/>
      <c r="J26" s="15"/>
      <c r="K26" s="15" t="s">
        <v>50</v>
      </c>
      <c r="L26" s="15"/>
      <c r="M26" s="15"/>
      <c r="N26" s="15" t="s">
        <v>50</v>
      </c>
      <c r="O26" s="15"/>
      <c r="P26" s="15"/>
      <c r="Q26" s="15"/>
      <c r="R26" s="15" t="s">
        <v>50</v>
      </c>
      <c r="S26" s="15"/>
      <c r="T26" s="15" t="s">
        <v>50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99</v>
      </c>
      <c r="B27" s="13" t="s">
        <v>49</v>
      </c>
      <c r="C27" s="14">
        <v>18</v>
      </c>
      <c r="D27" s="14">
        <v>19</v>
      </c>
      <c r="E27" s="14">
        <f t="shared" si="1"/>
        <v>1</v>
      </c>
      <c r="F27" s="15" t="s">
        <v>50</v>
      </c>
      <c r="G27" s="15"/>
      <c r="H27" s="15"/>
      <c r="I27" s="15"/>
      <c r="J27" s="15"/>
      <c r="K27" s="15" t="s">
        <v>50</v>
      </c>
      <c r="L27" s="15"/>
      <c r="M27" s="15"/>
      <c r="N27" s="15" t="s">
        <v>50</v>
      </c>
      <c r="O27" s="15"/>
      <c r="P27" s="15"/>
      <c r="Q27" s="15"/>
      <c r="R27" s="15" t="s">
        <v>50</v>
      </c>
      <c r="S27" s="15"/>
      <c r="T27" s="15" t="s">
        <v>50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99</v>
      </c>
      <c r="B28" s="13" t="s">
        <v>49</v>
      </c>
      <c r="C28" s="14">
        <v>19</v>
      </c>
      <c r="D28" s="14">
        <v>20</v>
      </c>
      <c r="E28" s="14">
        <f t="shared" si="1"/>
        <v>1</v>
      </c>
      <c r="F28" s="15" t="s">
        <v>50</v>
      </c>
      <c r="G28" s="15"/>
      <c r="H28" s="15"/>
      <c r="I28" s="15"/>
      <c r="J28" s="15"/>
      <c r="K28" s="15" t="s">
        <v>50</v>
      </c>
      <c r="L28" s="15"/>
      <c r="M28" s="15"/>
      <c r="N28" s="15" t="s">
        <v>50</v>
      </c>
      <c r="O28" s="15"/>
      <c r="P28" s="15"/>
      <c r="Q28" s="15"/>
      <c r="R28" s="15" t="s">
        <v>50</v>
      </c>
      <c r="S28" s="15"/>
      <c r="T28" s="15" t="s">
        <v>50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99</v>
      </c>
      <c r="B29" s="13" t="s">
        <v>49</v>
      </c>
      <c r="C29" s="14">
        <v>20</v>
      </c>
      <c r="D29" s="14">
        <v>21</v>
      </c>
      <c r="E29" s="14">
        <f t="shared" si="1"/>
        <v>1</v>
      </c>
      <c r="F29" s="15" t="s">
        <v>50</v>
      </c>
      <c r="G29" s="15"/>
      <c r="H29" s="15"/>
      <c r="I29" s="15"/>
      <c r="J29" s="15"/>
      <c r="K29" s="15" t="s">
        <v>50</v>
      </c>
      <c r="L29" s="15"/>
      <c r="M29" s="15"/>
      <c r="N29" s="15" t="s">
        <v>50</v>
      </c>
      <c r="O29" s="15"/>
      <c r="P29" s="15"/>
      <c r="Q29" s="15"/>
      <c r="R29" s="15" t="s">
        <v>50</v>
      </c>
      <c r="S29" s="15"/>
      <c r="T29" s="15" t="s">
        <v>50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99</v>
      </c>
      <c r="B30" s="13" t="s">
        <v>49</v>
      </c>
      <c r="C30" s="14">
        <v>21</v>
      </c>
      <c r="D30" s="14">
        <v>22</v>
      </c>
      <c r="E30" s="14">
        <f t="shared" si="1"/>
        <v>1</v>
      </c>
      <c r="F30" s="15" t="s">
        <v>50</v>
      </c>
      <c r="G30" s="15"/>
      <c r="H30" s="15"/>
      <c r="I30" s="15"/>
      <c r="J30" s="15"/>
      <c r="K30" s="15" t="s">
        <v>50</v>
      </c>
      <c r="L30" s="15"/>
      <c r="M30" s="15"/>
      <c r="N30" s="15" t="s">
        <v>50</v>
      </c>
      <c r="O30" s="15"/>
      <c r="P30" s="15"/>
      <c r="Q30" s="15"/>
      <c r="R30" s="15" t="s">
        <v>50</v>
      </c>
      <c r="S30" s="15"/>
      <c r="T30" s="15" t="s">
        <v>50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99</v>
      </c>
      <c r="B31" s="13" t="s">
        <v>49</v>
      </c>
      <c r="C31" s="14">
        <v>22</v>
      </c>
      <c r="D31" s="14">
        <v>23</v>
      </c>
      <c r="E31" s="14">
        <f t="shared" si="1"/>
        <v>1</v>
      </c>
      <c r="F31" s="15" t="s">
        <v>50</v>
      </c>
      <c r="G31" s="15"/>
      <c r="H31" s="15"/>
      <c r="I31" s="15"/>
      <c r="J31" s="15"/>
      <c r="K31" s="15" t="s">
        <v>50</v>
      </c>
      <c r="L31" s="15"/>
      <c r="M31" s="15"/>
      <c r="N31" s="15" t="s">
        <v>50</v>
      </c>
      <c r="O31" s="15"/>
      <c r="P31" s="15"/>
      <c r="Q31" s="15"/>
      <c r="R31" s="15" t="s">
        <v>50</v>
      </c>
      <c r="S31" s="15"/>
      <c r="T31" s="15" t="s">
        <v>50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99</v>
      </c>
      <c r="B32" s="13" t="s">
        <v>49</v>
      </c>
      <c r="C32" s="14">
        <v>23</v>
      </c>
      <c r="D32" s="14">
        <v>24</v>
      </c>
      <c r="E32" s="14">
        <f t="shared" si="1"/>
        <v>1</v>
      </c>
      <c r="F32" s="15" t="s">
        <v>50</v>
      </c>
      <c r="G32" s="15"/>
      <c r="H32" s="15"/>
      <c r="I32" s="15"/>
      <c r="J32" s="15"/>
      <c r="K32" s="15" t="s">
        <v>50</v>
      </c>
      <c r="L32" s="15"/>
      <c r="M32" s="15"/>
      <c r="N32" s="15" t="s">
        <v>50</v>
      </c>
      <c r="O32" s="15"/>
      <c r="P32" s="15"/>
      <c r="Q32" s="15"/>
      <c r="R32" s="15" t="s">
        <v>50</v>
      </c>
      <c r="S32" s="15"/>
      <c r="T32" s="15" t="s">
        <v>50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99</v>
      </c>
      <c r="B33" s="13" t="s">
        <v>49</v>
      </c>
      <c r="C33" s="14">
        <v>24</v>
      </c>
      <c r="D33" s="14">
        <v>25</v>
      </c>
      <c r="E33" s="14">
        <f t="shared" si="1"/>
        <v>1</v>
      </c>
      <c r="F33" s="15" t="s">
        <v>50</v>
      </c>
      <c r="G33" s="15"/>
      <c r="H33" s="15"/>
      <c r="I33" s="15"/>
      <c r="J33" s="15"/>
      <c r="K33" s="15" t="s">
        <v>50</v>
      </c>
      <c r="L33" s="15"/>
      <c r="M33" s="15"/>
      <c r="N33" s="15" t="s">
        <v>50</v>
      </c>
      <c r="O33" s="15"/>
      <c r="P33" s="15"/>
      <c r="Q33" s="15"/>
      <c r="R33" s="15" t="s">
        <v>50</v>
      </c>
      <c r="S33" s="15"/>
      <c r="T33" s="15" t="s">
        <v>50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8" t="s">
        <v>99</v>
      </c>
      <c r="B34" s="19" t="s">
        <v>49</v>
      </c>
      <c r="C34" s="20">
        <v>25</v>
      </c>
      <c r="D34" s="20">
        <v>25.199964041299999</v>
      </c>
      <c r="E34" s="20">
        <f t="shared" si="1"/>
        <v>0.19996404129999945</v>
      </c>
      <c r="F34" s="21" t="s">
        <v>50</v>
      </c>
      <c r="G34" s="21"/>
      <c r="H34" s="21"/>
      <c r="I34" s="21"/>
      <c r="J34" s="21"/>
      <c r="K34" s="21" t="s">
        <v>50</v>
      </c>
      <c r="L34" s="21"/>
      <c r="M34" s="21"/>
      <c r="N34" s="21" t="s">
        <v>50</v>
      </c>
      <c r="O34" s="21"/>
      <c r="P34" s="21"/>
      <c r="Q34" s="21"/>
      <c r="R34" s="21" t="s">
        <v>50</v>
      </c>
      <c r="S34" s="21"/>
      <c r="T34" s="21" t="s">
        <v>50</v>
      </c>
      <c r="U34" s="21"/>
      <c r="V34" s="22"/>
      <c r="W34" s="23" t="str">
        <f t="shared" si="2"/>
        <v>OK</v>
      </c>
    </row>
    <row r="35" spans="1:23" ht="15.95" customHeight="1" x14ac:dyDescent="0.25">
      <c r="A35" s="34" t="s">
        <v>100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9"/>
      <c r="W35" s="4"/>
    </row>
    <row r="36" spans="1:23" ht="20.100000000000001" customHeight="1" x14ac:dyDescent="0.25">
      <c r="A36" s="12" t="s">
        <v>101</v>
      </c>
      <c r="B36" s="13" t="s">
        <v>49</v>
      </c>
      <c r="C36" s="14">
        <v>0</v>
      </c>
      <c r="D36" s="14">
        <v>1</v>
      </c>
      <c r="E36" s="14">
        <f>D36-C36</f>
        <v>1</v>
      </c>
      <c r="F36" s="15"/>
      <c r="G36" s="15"/>
      <c r="H36" s="15"/>
      <c r="I36" s="15" t="s">
        <v>50</v>
      </c>
      <c r="J36" s="15"/>
      <c r="K36" s="15" t="s">
        <v>50</v>
      </c>
      <c r="L36" s="15"/>
      <c r="M36" s="15"/>
      <c r="N36" s="15" t="s">
        <v>50</v>
      </c>
      <c r="O36" s="15"/>
      <c r="P36" s="15" t="s">
        <v>50</v>
      </c>
      <c r="Q36" s="15"/>
      <c r="R36" s="15"/>
      <c r="S36" s="15" t="s">
        <v>50</v>
      </c>
      <c r="T36" s="15"/>
      <c r="U36" s="15"/>
      <c r="V36" s="16"/>
      <c r="W36" s="17" t="str">
        <f>IF(COUNTA(F36:U36)=0,"— não preenchido",IF(COUNTIF(F36:J36,"X")&lt;&gt;1,"FALTA/DUPLA: CONDIÇÃO DO PAVIMENTO",IF(COUNTIF(K36:L36,"X")&lt;&gt;1,"FALTA/DUPLA: VEGETAÇÃO",IF(COUNTIF(M36:O36,"X")&lt;&gt;1,"FALTA/DUPLA: ELEM. DE DRENAGEM",IF(COUNTIF(P36:R36,"X")&lt;&gt;1,"FALTA/DUPLA: SIN. HORIZ.",IF(COUNTIF(S36:U36,"X")&lt;&gt;1,"FALTA/DUPLA: SIN. VERTICAL","OK"))))))</f>
        <v>OK</v>
      </c>
    </row>
    <row r="37" spans="1:23" ht="20.100000000000001" customHeight="1" x14ac:dyDescent="0.25">
      <c r="A37" s="12" t="s">
        <v>101</v>
      </c>
      <c r="B37" s="13" t="s">
        <v>49</v>
      </c>
      <c r="C37" s="14">
        <v>1</v>
      </c>
      <c r="D37" s="14">
        <v>2</v>
      </c>
      <c r="E37" s="14">
        <f>D37-C37</f>
        <v>1</v>
      </c>
      <c r="F37" s="15"/>
      <c r="G37" s="15"/>
      <c r="H37" s="15"/>
      <c r="I37" s="15" t="s">
        <v>50</v>
      </c>
      <c r="J37" s="15"/>
      <c r="K37" s="15" t="s">
        <v>50</v>
      </c>
      <c r="L37" s="15"/>
      <c r="M37" s="15"/>
      <c r="N37" s="15" t="s">
        <v>50</v>
      </c>
      <c r="O37" s="15"/>
      <c r="P37" s="15" t="s">
        <v>50</v>
      </c>
      <c r="Q37" s="15"/>
      <c r="R37" s="15"/>
      <c r="S37" s="15" t="s">
        <v>50</v>
      </c>
      <c r="T37" s="15"/>
      <c r="U37" s="15"/>
      <c r="V37" s="16"/>
      <c r="W37" s="17" t="str">
        <f>IF(COUNTA(F37:U37)=0,"— não preenchido",IF(COUNTIF(F37:J37,"X")&lt;&gt;1,"FALTA/DUPLA: CONDIÇÃO DO PAVIMENTO",IF(COUNTIF(K37:L37,"X")&lt;&gt;1,"FALTA/DUPLA: VEGETAÇÃO",IF(COUNTIF(M37:O37,"X")&lt;&gt;1,"FALTA/DUPLA: ELEM. DE DRENAGEM",IF(COUNTIF(P37:R37,"X")&lt;&gt;1,"FALTA/DUPLA: SIN. HORIZ.",IF(COUNTIF(S37:U37,"X")&lt;&gt;1,"FALTA/DUPLA: SIN. VERTICAL","OK"))))))</f>
        <v>OK</v>
      </c>
    </row>
    <row r="38" spans="1:23" ht="20.100000000000001" customHeight="1" x14ac:dyDescent="0.25">
      <c r="A38" s="12" t="s">
        <v>101</v>
      </c>
      <c r="B38" s="13" t="s">
        <v>49</v>
      </c>
      <c r="C38" s="14">
        <v>2</v>
      </c>
      <c r="D38" s="14">
        <v>3</v>
      </c>
      <c r="E38" s="14">
        <f>D38-C38</f>
        <v>1</v>
      </c>
      <c r="F38" s="15" t="s">
        <v>50</v>
      </c>
      <c r="G38" s="15"/>
      <c r="H38" s="15"/>
      <c r="I38" s="15"/>
      <c r="J38" s="15"/>
      <c r="K38" s="15" t="s">
        <v>50</v>
      </c>
      <c r="L38" s="15"/>
      <c r="M38" s="15"/>
      <c r="N38" s="15" t="s">
        <v>50</v>
      </c>
      <c r="O38" s="15"/>
      <c r="P38" s="15" t="s">
        <v>50</v>
      </c>
      <c r="Q38" s="15"/>
      <c r="R38" s="15"/>
      <c r="S38" s="15" t="s">
        <v>50</v>
      </c>
      <c r="T38" s="15"/>
      <c r="U38" s="15"/>
      <c r="V38" s="16"/>
      <c r="W38" s="17" t="str">
        <f>IF(COUNTA(F38:U38)=0,"— não preenchido",IF(COUNTIF(F38:J38,"X")&lt;&gt;1,"FALTA/DUPLA: CONDIÇÃO DO PAVIMENTO",IF(COUNTIF(K38:L38,"X")&lt;&gt;1,"FALTA/DUPLA: VEGETAÇÃO",IF(COUNTIF(M38:O38,"X")&lt;&gt;1,"FALTA/DUPLA: ELEM. DE DRENAGEM",IF(COUNTIF(P38:R38,"X")&lt;&gt;1,"FALTA/DUPLA: SIN. HORIZ.",IF(COUNTIF(S38:U38,"X")&lt;&gt;1,"FALTA/DUPLA: SIN. VERTICAL","OK"))))))</f>
        <v>OK</v>
      </c>
    </row>
    <row r="39" spans="1:23" ht="20.100000000000001" customHeight="1" x14ac:dyDescent="0.25">
      <c r="A39" s="18" t="s">
        <v>101</v>
      </c>
      <c r="B39" s="19" t="s">
        <v>49</v>
      </c>
      <c r="C39" s="20">
        <v>3</v>
      </c>
      <c r="D39" s="20">
        <v>3.7520250816499998</v>
      </c>
      <c r="E39" s="20">
        <f>D39-C39</f>
        <v>0.75202508164999982</v>
      </c>
      <c r="F39" s="21" t="s">
        <v>50</v>
      </c>
      <c r="G39" s="21"/>
      <c r="H39" s="21"/>
      <c r="I39" s="21"/>
      <c r="J39" s="21"/>
      <c r="K39" s="21" t="s">
        <v>50</v>
      </c>
      <c r="L39" s="21"/>
      <c r="M39" s="21"/>
      <c r="N39" s="21" t="s">
        <v>50</v>
      </c>
      <c r="O39" s="21"/>
      <c r="P39" s="21" t="s">
        <v>50</v>
      </c>
      <c r="Q39" s="21"/>
      <c r="R39" s="21"/>
      <c r="S39" s="21" t="s">
        <v>50</v>
      </c>
      <c r="T39" s="21"/>
      <c r="U39" s="21"/>
      <c r="V39" s="22"/>
      <c r="W39" s="23" t="str">
        <f>IF(COUNTA(F39:U39)=0,"— não preenchido",IF(COUNTIF(F39:J39,"X")&lt;&gt;1,"FALTA/DUPLA: CONDIÇÃO DO PAVIMENTO",IF(COUNTIF(K39:L39,"X")&lt;&gt;1,"FALTA/DUPLA: VEGETAÇÃO",IF(COUNTIF(M39:O39,"X")&lt;&gt;1,"FALTA/DUPLA: ELEM. DE DRENAGEM",IF(COUNTIF(P39:R39,"X")&lt;&gt;1,"FALTA/DUPLA: SIN. HORIZ.",IF(COUNTIF(S39:U39,"X")&lt;&gt;1,"FALTA/DUPLA: SIN. VERTICAL","OK"))))))</f>
        <v>OK</v>
      </c>
    </row>
    <row r="40" spans="1:23" ht="15.95" customHeight="1" x14ac:dyDescent="0.25">
      <c r="A40" s="34" t="s">
        <v>102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9"/>
      <c r="W40" s="4"/>
    </row>
    <row r="41" spans="1:23" ht="20.100000000000001" customHeight="1" x14ac:dyDescent="0.25">
      <c r="A41" s="12" t="s">
        <v>103</v>
      </c>
      <c r="B41" s="13" t="s">
        <v>49</v>
      </c>
      <c r="C41" s="14">
        <v>0</v>
      </c>
      <c r="D41" s="14">
        <v>1</v>
      </c>
      <c r="E41" s="14">
        <f t="shared" ref="E41:E61" si="3">D41-C41</f>
        <v>1</v>
      </c>
      <c r="F41" s="15" t="s">
        <v>50</v>
      </c>
      <c r="G41" s="15"/>
      <c r="H41" s="15"/>
      <c r="I41" s="15"/>
      <c r="J41" s="15"/>
      <c r="K41" s="15" t="s">
        <v>50</v>
      </c>
      <c r="L41" s="15"/>
      <c r="M41" s="15"/>
      <c r="N41" s="15" t="s">
        <v>50</v>
      </c>
      <c r="O41" s="15"/>
      <c r="P41" s="15" t="s">
        <v>50</v>
      </c>
      <c r="Q41" s="15"/>
      <c r="R41" s="15"/>
      <c r="S41" s="15" t="s">
        <v>50</v>
      </c>
      <c r="T41" s="15"/>
      <c r="U41" s="15"/>
      <c r="V41" s="16"/>
      <c r="W41" s="17" t="str">
        <f t="shared" ref="W41:W61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103</v>
      </c>
      <c r="B42" s="13" t="s">
        <v>49</v>
      </c>
      <c r="C42" s="14">
        <v>1</v>
      </c>
      <c r="D42" s="14">
        <v>2</v>
      </c>
      <c r="E42" s="14">
        <f t="shared" si="3"/>
        <v>1</v>
      </c>
      <c r="F42" s="15"/>
      <c r="G42" s="15"/>
      <c r="H42" s="15"/>
      <c r="I42" s="15" t="s">
        <v>50</v>
      </c>
      <c r="J42" s="15"/>
      <c r="K42" s="15" t="s">
        <v>50</v>
      </c>
      <c r="L42" s="15"/>
      <c r="M42" s="15"/>
      <c r="N42" s="15" t="s">
        <v>50</v>
      </c>
      <c r="O42" s="15"/>
      <c r="P42" s="15" t="s">
        <v>50</v>
      </c>
      <c r="Q42" s="15"/>
      <c r="R42" s="15"/>
      <c r="S42" s="15" t="s">
        <v>50</v>
      </c>
      <c r="T42" s="15"/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103</v>
      </c>
      <c r="B43" s="13" t="s">
        <v>49</v>
      </c>
      <c r="C43" s="14">
        <v>2</v>
      </c>
      <c r="D43" s="14">
        <v>3</v>
      </c>
      <c r="E43" s="14">
        <f t="shared" si="3"/>
        <v>1</v>
      </c>
      <c r="F43" s="15"/>
      <c r="G43" s="15"/>
      <c r="H43" s="15"/>
      <c r="I43" s="15" t="s">
        <v>50</v>
      </c>
      <c r="J43" s="15"/>
      <c r="K43" s="15" t="s">
        <v>50</v>
      </c>
      <c r="L43" s="15"/>
      <c r="M43" s="15"/>
      <c r="N43" s="15" t="s">
        <v>50</v>
      </c>
      <c r="O43" s="15"/>
      <c r="P43" s="15" t="s">
        <v>50</v>
      </c>
      <c r="Q43" s="15"/>
      <c r="R43" s="15"/>
      <c r="S43" s="15" t="s">
        <v>50</v>
      </c>
      <c r="T43" s="15"/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103</v>
      </c>
      <c r="B44" s="13" t="s">
        <v>49</v>
      </c>
      <c r="C44" s="14">
        <v>3</v>
      </c>
      <c r="D44" s="14">
        <v>4</v>
      </c>
      <c r="E44" s="14">
        <f t="shared" si="3"/>
        <v>1</v>
      </c>
      <c r="F44" s="15"/>
      <c r="G44" s="15"/>
      <c r="H44" s="15"/>
      <c r="I44" s="15" t="s">
        <v>50</v>
      </c>
      <c r="J44" s="15"/>
      <c r="K44" s="15" t="s">
        <v>50</v>
      </c>
      <c r="L44" s="15"/>
      <c r="M44" s="15" t="s">
        <v>50</v>
      </c>
      <c r="N44" s="15"/>
      <c r="O44" s="15"/>
      <c r="P44" s="15" t="s">
        <v>50</v>
      </c>
      <c r="Q44" s="15"/>
      <c r="R44" s="15"/>
      <c r="S44" s="15" t="s">
        <v>50</v>
      </c>
      <c r="T44" s="15"/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103</v>
      </c>
      <c r="B45" s="13" t="s">
        <v>49</v>
      </c>
      <c r="C45" s="14">
        <v>4</v>
      </c>
      <c r="D45" s="14">
        <v>5</v>
      </c>
      <c r="E45" s="14">
        <f t="shared" si="3"/>
        <v>1</v>
      </c>
      <c r="F45" s="15"/>
      <c r="G45" s="15"/>
      <c r="H45" s="15"/>
      <c r="I45" s="15"/>
      <c r="J45" s="15" t="s">
        <v>50</v>
      </c>
      <c r="K45" s="15" t="s">
        <v>50</v>
      </c>
      <c r="L45" s="15"/>
      <c r="M45" s="15" t="s">
        <v>50</v>
      </c>
      <c r="N45" s="15"/>
      <c r="O45" s="15"/>
      <c r="P45" s="15" t="s">
        <v>50</v>
      </c>
      <c r="Q45" s="15"/>
      <c r="R45" s="15"/>
      <c r="S45" s="15" t="s">
        <v>50</v>
      </c>
      <c r="T45" s="15"/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103</v>
      </c>
      <c r="B46" s="13" t="s">
        <v>49</v>
      </c>
      <c r="C46" s="14">
        <v>5</v>
      </c>
      <c r="D46" s="14">
        <v>6</v>
      </c>
      <c r="E46" s="14">
        <f t="shared" si="3"/>
        <v>1</v>
      </c>
      <c r="F46" s="15"/>
      <c r="G46" s="15"/>
      <c r="H46" s="15"/>
      <c r="I46" s="15"/>
      <c r="J46" s="15" t="s">
        <v>50</v>
      </c>
      <c r="K46" s="15" t="s">
        <v>50</v>
      </c>
      <c r="L46" s="15"/>
      <c r="M46" s="15" t="s">
        <v>50</v>
      </c>
      <c r="N46" s="15"/>
      <c r="O46" s="15"/>
      <c r="P46" s="15" t="s">
        <v>50</v>
      </c>
      <c r="Q46" s="15"/>
      <c r="R46" s="15"/>
      <c r="S46" s="15" t="s">
        <v>50</v>
      </c>
      <c r="T46" s="15"/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103</v>
      </c>
      <c r="B47" s="13" t="s">
        <v>49</v>
      </c>
      <c r="C47" s="14">
        <v>6</v>
      </c>
      <c r="D47" s="14">
        <v>7</v>
      </c>
      <c r="E47" s="14">
        <f t="shared" si="3"/>
        <v>1</v>
      </c>
      <c r="F47" s="15"/>
      <c r="G47" s="15"/>
      <c r="H47" s="15"/>
      <c r="I47" s="15" t="s">
        <v>50</v>
      </c>
      <c r="J47" s="15"/>
      <c r="K47" s="15" t="s">
        <v>50</v>
      </c>
      <c r="L47" s="15"/>
      <c r="M47" s="15" t="s">
        <v>50</v>
      </c>
      <c r="N47" s="15"/>
      <c r="O47" s="15"/>
      <c r="P47" s="15" t="s">
        <v>50</v>
      </c>
      <c r="Q47" s="15"/>
      <c r="R47" s="15"/>
      <c r="S47" s="15" t="s">
        <v>50</v>
      </c>
      <c r="T47" s="15"/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103</v>
      </c>
      <c r="B48" s="13" t="s">
        <v>49</v>
      </c>
      <c r="C48" s="14">
        <v>7</v>
      </c>
      <c r="D48" s="14">
        <v>8</v>
      </c>
      <c r="E48" s="14">
        <f t="shared" si="3"/>
        <v>1</v>
      </c>
      <c r="F48" s="15" t="s">
        <v>50</v>
      </c>
      <c r="G48" s="15"/>
      <c r="H48" s="15"/>
      <c r="I48" s="15"/>
      <c r="J48" s="15"/>
      <c r="K48" s="15" t="s">
        <v>50</v>
      </c>
      <c r="L48" s="15"/>
      <c r="M48" s="15" t="s">
        <v>50</v>
      </c>
      <c r="N48" s="15"/>
      <c r="O48" s="15"/>
      <c r="P48" s="15" t="s">
        <v>50</v>
      </c>
      <c r="Q48" s="15"/>
      <c r="R48" s="15"/>
      <c r="S48" s="15" t="s">
        <v>50</v>
      </c>
      <c r="T48" s="15"/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103</v>
      </c>
      <c r="B49" s="13" t="s">
        <v>49</v>
      </c>
      <c r="C49" s="14">
        <v>8</v>
      </c>
      <c r="D49" s="14">
        <v>9</v>
      </c>
      <c r="E49" s="14">
        <f t="shared" si="3"/>
        <v>1</v>
      </c>
      <c r="F49" s="15" t="s">
        <v>50</v>
      </c>
      <c r="G49" s="15"/>
      <c r="H49" s="15"/>
      <c r="I49" s="15"/>
      <c r="J49" s="15"/>
      <c r="K49" s="15" t="s">
        <v>50</v>
      </c>
      <c r="L49" s="15"/>
      <c r="M49" s="15" t="s">
        <v>50</v>
      </c>
      <c r="N49" s="15"/>
      <c r="O49" s="15"/>
      <c r="P49" s="15" t="s">
        <v>50</v>
      </c>
      <c r="Q49" s="15"/>
      <c r="R49" s="15"/>
      <c r="S49" s="15" t="s">
        <v>50</v>
      </c>
      <c r="T49" s="15"/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103</v>
      </c>
      <c r="B50" s="13" t="s">
        <v>49</v>
      </c>
      <c r="C50" s="14">
        <v>9</v>
      </c>
      <c r="D50" s="14">
        <v>10</v>
      </c>
      <c r="E50" s="14">
        <f t="shared" si="3"/>
        <v>1</v>
      </c>
      <c r="F50" s="15" t="s">
        <v>50</v>
      </c>
      <c r="G50" s="15"/>
      <c r="H50" s="15"/>
      <c r="I50" s="15"/>
      <c r="J50" s="15"/>
      <c r="K50" s="15" t="s">
        <v>50</v>
      </c>
      <c r="L50" s="15"/>
      <c r="M50" s="15" t="s">
        <v>50</v>
      </c>
      <c r="N50" s="15"/>
      <c r="O50" s="15"/>
      <c r="P50" s="15" t="s">
        <v>50</v>
      </c>
      <c r="Q50" s="15"/>
      <c r="R50" s="15"/>
      <c r="S50" s="15" t="s">
        <v>50</v>
      </c>
      <c r="T50" s="15"/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103</v>
      </c>
      <c r="B51" s="13" t="s">
        <v>49</v>
      </c>
      <c r="C51" s="14">
        <v>10</v>
      </c>
      <c r="D51" s="14">
        <v>11</v>
      </c>
      <c r="E51" s="14">
        <f t="shared" si="3"/>
        <v>1</v>
      </c>
      <c r="F51" s="15" t="s">
        <v>50</v>
      </c>
      <c r="G51" s="15"/>
      <c r="H51" s="15"/>
      <c r="I51" s="15"/>
      <c r="J51" s="15"/>
      <c r="K51" s="15" t="s">
        <v>50</v>
      </c>
      <c r="L51" s="15"/>
      <c r="M51" s="15" t="s">
        <v>50</v>
      </c>
      <c r="N51" s="15"/>
      <c r="O51" s="15"/>
      <c r="P51" s="15" t="s">
        <v>50</v>
      </c>
      <c r="Q51" s="15"/>
      <c r="R51" s="15"/>
      <c r="S51" s="15" t="s">
        <v>50</v>
      </c>
      <c r="T51" s="15"/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103</v>
      </c>
      <c r="B52" s="13" t="s">
        <v>49</v>
      </c>
      <c r="C52" s="14">
        <v>11</v>
      </c>
      <c r="D52" s="14">
        <v>12</v>
      </c>
      <c r="E52" s="14">
        <f t="shared" si="3"/>
        <v>1</v>
      </c>
      <c r="F52" s="15" t="s">
        <v>50</v>
      </c>
      <c r="G52" s="15"/>
      <c r="H52" s="15"/>
      <c r="I52" s="15"/>
      <c r="J52" s="15"/>
      <c r="K52" s="15" t="s">
        <v>50</v>
      </c>
      <c r="L52" s="15"/>
      <c r="M52" s="15" t="s">
        <v>50</v>
      </c>
      <c r="N52" s="15"/>
      <c r="O52" s="15"/>
      <c r="P52" s="15" t="s">
        <v>50</v>
      </c>
      <c r="Q52" s="15"/>
      <c r="R52" s="15"/>
      <c r="S52" s="15" t="s">
        <v>50</v>
      </c>
      <c r="T52" s="15"/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103</v>
      </c>
      <c r="B53" s="13" t="s">
        <v>49</v>
      </c>
      <c r="C53" s="14">
        <v>12</v>
      </c>
      <c r="D53" s="14">
        <v>13</v>
      </c>
      <c r="E53" s="14">
        <f t="shared" si="3"/>
        <v>1</v>
      </c>
      <c r="F53" s="15" t="s">
        <v>50</v>
      </c>
      <c r="G53" s="15"/>
      <c r="H53" s="15"/>
      <c r="I53" s="15"/>
      <c r="J53" s="15"/>
      <c r="K53" s="15" t="s">
        <v>50</v>
      </c>
      <c r="L53" s="15"/>
      <c r="M53" s="15" t="s">
        <v>50</v>
      </c>
      <c r="N53" s="15"/>
      <c r="O53" s="15"/>
      <c r="P53" s="15" t="s">
        <v>50</v>
      </c>
      <c r="Q53" s="15"/>
      <c r="R53" s="15"/>
      <c r="S53" s="15" t="s">
        <v>50</v>
      </c>
      <c r="T53" s="15"/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103</v>
      </c>
      <c r="B54" s="13" t="s">
        <v>49</v>
      </c>
      <c r="C54" s="14">
        <v>13</v>
      </c>
      <c r="D54" s="14">
        <v>14</v>
      </c>
      <c r="E54" s="14">
        <f t="shared" si="3"/>
        <v>1</v>
      </c>
      <c r="F54" s="15" t="s">
        <v>50</v>
      </c>
      <c r="G54" s="15"/>
      <c r="H54" s="15"/>
      <c r="I54" s="15"/>
      <c r="J54" s="15"/>
      <c r="K54" s="15" t="s">
        <v>50</v>
      </c>
      <c r="L54" s="15"/>
      <c r="M54" s="15"/>
      <c r="N54" s="15" t="s">
        <v>50</v>
      </c>
      <c r="O54" s="15"/>
      <c r="P54" s="15" t="s">
        <v>50</v>
      </c>
      <c r="Q54" s="15"/>
      <c r="R54" s="15"/>
      <c r="S54" s="15" t="s">
        <v>50</v>
      </c>
      <c r="T54" s="15"/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103</v>
      </c>
      <c r="B55" s="13" t="s">
        <v>49</v>
      </c>
      <c r="C55" s="14">
        <v>14</v>
      </c>
      <c r="D55" s="14">
        <v>15</v>
      </c>
      <c r="E55" s="14">
        <f t="shared" si="3"/>
        <v>1</v>
      </c>
      <c r="F55" s="15"/>
      <c r="G55" s="15"/>
      <c r="H55" s="15"/>
      <c r="I55" s="15"/>
      <c r="J55" s="15" t="s">
        <v>50</v>
      </c>
      <c r="K55" s="15" t="s">
        <v>50</v>
      </c>
      <c r="L55" s="15"/>
      <c r="M55" s="15"/>
      <c r="N55" s="15" t="s">
        <v>50</v>
      </c>
      <c r="O55" s="15"/>
      <c r="P55" s="15" t="s">
        <v>50</v>
      </c>
      <c r="Q55" s="15"/>
      <c r="R55" s="15"/>
      <c r="S55" s="15" t="s">
        <v>50</v>
      </c>
      <c r="T55" s="15"/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103</v>
      </c>
      <c r="B56" s="13" t="s">
        <v>49</v>
      </c>
      <c r="C56" s="14">
        <v>15</v>
      </c>
      <c r="D56" s="14">
        <v>16</v>
      </c>
      <c r="E56" s="14">
        <f t="shared" si="3"/>
        <v>1</v>
      </c>
      <c r="F56" s="15"/>
      <c r="G56" s="15"/>
      <c r="H56" s="15"/>
      <c r="I56" s="15"/>
      <c r="J56" s="15" t="s">
        <v>50</v>
      </c>
      <c r="K56" s="15" t="s">
        <v>50</v>
      </c>
      <c r="L56" s="15"/>
      <c r="M56" s="15"/>
      <c r="N56" s="15" t="s">
        <v>50</v>
      </c>
      <c r="O56" s="15"/>
      <c r="P56" s="15" t="s">
        <v>50</v>
      </c>
      <c r="Q56" s="15"/>
      <c r="R56" s="15"/>
      <c r="S56" s="15" t="s">
        <v>50</v>
      </c>
      <c r="T56" s="15"/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103</v>
      </c>
      <c r="B57" s="13" t="s">
        <v>49</v>
      </c>
      <c r="C57" s="14">
        <v>16</v>
      </c>
      <c r="D57" s="14">
        <v>17</v>
      </c>
      <c r="E57" s="14">
        <f t="shared" si="3"/>
        <v>1</v>
      </c>
      <c r="F57" s="15"/>
      <c r="G57" s="15"/>
      <c r="H57" s="15"/>
      <c r="I57" s="15" t="s">
        <v>50</v>
      </c>
      <c r="J57" s="15"/>
      <c r="K57" s="15" t="s">
        <v>50</v>
      </c>
      <c r="L57" s="15"/>
      <c r="M57" s="15"/>
      <c r="N57" s="15" t="s">
        <v>50</v>
      </c>
      <c r="O57" s="15"/>
      <c r="P57" s="15" t="s">
        <v>50</v>
      </c>
      <c r="Q57" s="15"/>
      <c r="R57" s="15"/>
      <c r="S57" s="15" t="s">
        <v>50</v>
      </c>
      <c r="T57" s="15"/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103</v>
      </c>
      <c r="B58" s="13" t="s">
        <v>49</v>
      </c>
      <c r="C58" s="14">
        <v>17</v>
      </c>
      <c r="D58" s="14">
        <v>18</v>
      </c>
      <c r="E58" s="14">
        <f t="shared" si="3"/>
        <v>1</v>
      </c>
      <c r="F58" s="15"/>
      <c r="G58" s="15"/>
      <c r="H58" s="15"/>
      <c r="I58" s="15" t="s">
        <v>50</v>
      </c>
      <c r="J58" s="15"/>
      <c r="K58" s="15" t="s">
        <v>50</v>
      </c>
      <c r="L58" s="15"/>
      <c r="M58" s="15"/>
      <c r="N58" s="15" t="s">
        <v>50</v>
      </c>
      <c r="O58" s="15"/>
      <c r="P58" s="15" t="s">
        <v>50</v>
      </c>
      <c r="Q58" s="15"/>
      <c r="R58" s="15"/>
      <c r="S58" s="15" t="s">
        <v>50</v>
      </c>
      <c r="T58" s="15"/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103</v>
      </c>
      <c r="B59" s="13" t="s">
        <v>49</v>
      </c>
      <c r="C59" s="14">
        <v>18</v>
      </c>
      <c r="D59" s="14">
        <v>19</v>
      </c>
      <c r="E59" s="14">
        <f t="shared" si="3"/>
        <v>1</v>
      </c>
      <c r="F59" s="15"/>
      <c r="G59" s="15"/>
      <c r="H59" s="15"/>
      <c r="I59" s="15" t="s">
        <v>50</v>
      </c>
      <c r="J59" s="15"/>
      <c r="K59" s="15" t="s">
        <v>50</v>
      </c>
      <c r="L59" s="15"/>
      <c r="M59" s="15"/>
      <c r="N59" s="15" t="s">
        <v>50</v>
      </c>
      <c r="O59" s="15"/>
      <c r="P59" s="15" t="s">
        <v>50</v>
      </c>
      <c r="Q59" s="15"/>
      <c r="R59" s="15"/>
      <c r="S59" s="15" t="s">
        <v>50</v>
      </c>
      <c r="T59" s="15"/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103</v>
      </c>
      <c r="B60" s="13" t="s">
        <v>49</v>
      </c>
      <c r="C60" s="14">
        <v>19</v>
      </c>
      <c r="D60" s="14">
        <v>20</v>
      </c>
      <c r="E60" s="14">
        <f t="shared" si="3"/>
        <v>1</v>
      </c>
      <c r="F60" s="15"/>
      <c r="G60" s="15"/>
      <c r="H60" s="15"/>
      <c r="I60" s="15" t="s">
        <v>50</v>
      </c>
      <c r="J60" s="15"/>
      <c r="K60" s="15" t="s">
        <v>50</v>
      </c>
      <c r="L60" s="15"/>
      <c r="M60" s="15"/>
      <c r="N60" s="15" t="s">
        <v>50</v>
      </c>
      <c r="O60" s="15"/>
      <c r="P60" s="15" t="s">
        <v>50</v>
      </c>
      <c r="Q60" s="15"/>
      <c r="R60" s="15"/>
      <c r="S60" s="15" t="s">
        <v>50</v>
      </c>
      <c r="T60" s="15"/>
      <c r="U60" s="15"/>
      <c r="V60" s="16"/>
      <c r="W60" s="17" t="str">
        <f t="shared" si="4"/>
        <v>OK</v>
      </c>
    </row>
    <row r="61" spans="1:23" ht="20.100000000000001" customHeight="1" x14ac:dyDescent="0.25">
      <c r="A61" s="18" t="s">
        <v>103</v>
      </c>
      <c r="B61" s="19" t="s">
        <v>49</v>
      </c>
      <c r="C61" s="20">
        <v>20</v>
      </c>
      <c r="D61" s="20">
        <v>20.011594907199999</v>
      </c>
      <c r="E61" s="20">
        <f t="shared" si="3"/>
        <v>1.1594907199999227E-2</v>
      </c>
      <c r="F61" s="21"/>
      <c r="G61" s="21"/>
      <c r="H61" s="21"/>
      <c r="I61" s="21"/>
      <c r="J61" s="21" t="s">
        <v>50</v>
      </c>
      <c r="K61" s="21" t="s">
        <v>50</v>
      </c>
      <c r="L61" s="21"/>
      <c r="M61" s="21"/>
      <c r="N61" s="21" t="s">
        <v>50</v>
      </c>
      <c r="O61" s="21"/>
      <c r="P61" s="21" t="s">
        <v>50</v>
      </c>
      <c r="Q61" s="21"/>
      <c r="R61" s="21"/>
      <c r="S61" s="21" t="s">
        <v>50</v>
      </c>
      <c r="T61" s="21"/>
      <c r="U61" s="21"/>
      <c r="V61" s="22"/>
      <c r="W61" s="23" t="str">
        <f t="shared" si="4"/>
        <v>OK</v>
      </c>
    </row>
    <row r="63" spans="1:23" x14ac:dyDescent="0.25">
      <c r="A63" s="30" t="s">
        <v>60</v>
      </c>
      <c r="B63" s="31"/>
      <c r="C63" s="31"/>
      <c r="D63" s="31"/>
      <c r="E63" s="31"/>
      <c r="G63" s="30" t="s">
        <v>60</v>
      </c>
      <c r="H63" s="31"/>
      <c r="I63" s="31"/>
      <c r="J63" s="31"/>
      <c r="K63" s="31"/>
    </row>
    <row r="64" spans="1:23" x14ac:dyDescent="0.25">
      <c r="A64" s="38" t="s">
        <v>61</v>
      </c>
      <c r="B64" s="31"/>
      <c r="C64" s="31"/>
      <c r="D64" s="31"/>
      <c r="E64" s="31"/>
      <c r="G64" s="38" t="s">
        <v>62</v>
      </c>
      <c r="H64" s="31"/>
      <c r="I64" s="31"/>
      <c r="J64" s="31"/>
      <c r="K64" s="31"/>
    </row>
    <row r="66" spans="1:22" x14ac:dyDescent="0.25">
      <c r="A66" s="42" t="s">
        <v>63</v>
      </c>
      <c r="B66" s="31"/>
      <c r="C66" s="31"/>
      <c r="D66" s="31"/>
      <c r="E66" s="31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</row>
    <row r="67" spans="1:22" x14ac:dyDescent="0.25">
      <c r="A67" s="36" t="s">
        <v>64</v>
      </c>
      <c r="B67" s="31"/>
      <c r="C67" s="31"/>
      <c r="D67" s="31"/>
      <c r="E67" s="31"/>
      <c r="F67" s="9">
        <f t="shared" ref="F67:U67" si="5">SUMIF(F$9:F$61,"X",$E$9:$E$61)</f>
        <v>34.951989122949996</v>
      </c>
      <c r="G67" s="9">
        <f t="shared" si="5"/>
        <v>0</v>
      </c>
      <c r="H67" s="9">
        <f t="shared" si="5"/>
        <v>0</v>
      </c>
      <c r="I67" s="9">
        <f t="shared" si="5"/>
        <v>10</v>
      </c>
      <c r="J67" s="9">
        <f t="shared" si="5"/>
        <v>4.0115949071999992</v>
      </c>
      <c r="K67" s="9">
        <f t="shared" si="5"/>
        <v>48.963584030149995</v>
      </c>
      <c r="L67" s="9">
        <f t="shared" si="5"/>
        <v>0</v>
      </c>
      <c r="M67" s="9">
        <f t="shared" si="5"/>
        <v>10</v>
      </c>
      <c r="N67" s="9">
        <f t="shared" si="5"/>
        <v>38.963584030149995</v>
      </c>
      <c r="O67" s="9">
        <f t="shared" si="5"/>
        <v>0</v>
      </c>
      <c r="P67" s="9">
        <f t="shared" si="5"/>
        <v>23.763619988849999</v>
      </c>
      <c r="Q67" s="9">
        <f t="shared" si="5"/>
        <v>0</v>
      </c>
      <c r="R67" s="9">
        <f t="shared" si="5"/>
        <v>25.199964041299999</v>
      </c>
      <c r="S67" s="9">
        <f t="shared" si="5"/>
        <v>23.763619988849999</v>
      </c>
      <c r="T67" s="9">
        <f t="shared" si="5"/>
        <v>25.199964041299999</v>
      </c>
      <c r="U67" s="9">
        <f t="shared" si="5"/>
        <v>0</v>
      </c>
    </row>
    <row r="68" spans="1:22" x14ac:dyDescent="0.25">
      <c r="A68" s="36" t="s">
        <v>65</v>
      </c>
      <c r="B68" s="31"/>
      <c r="C68" s="31"/>
      <c r="D68" s="31"/>
      <c r="E68" s="31"/>
      <c r="F68" s="25">
        <f t="shared" ref="F68:U68" si="6">IF($R70=0,0,F67/$R70)</f>
        <v>0.71383641159576539</v>
      </c>
      <c r="G68" s="25">
        <f t="shared" si="6"/>
        <v>0</v>
      </c>
      <c r="H68" s="25">
        <f t="shared" si="6"/>
        <v>0</v>
      </c>
      <c r="I68" s="25">
        <f t="shared" si="6"/>
        <v>0.20423341546734738</v>
      </c>
      <c r="J68" s="25">
        <f t="shared" si="6"/>
        <v>8.193017293688723E-2</v>
      </c>
      <c r="K68" s="25">
        <f t="shared" si="6"/>
        <v>1</v>
      </c>
      <c r="L68" s="25">
        <f t="shared" si="6"/>
        <v>0</v>
      </c>
      <c r="M68" s="25">
        <f t="shared" si="6"/>
        <v>0.20423341546734738</v>
      </c>
      <c r="N68" s="25">
        <f t="shared" si="6"/>
        <v>0.79576658453265259</v>
      </c>
      <c r="O68" s="25">
        <f t="shared" si="6"/>
        <v>0</v>
      </c>
      <c r="P68" s="25">
        <f t="shared" si="6"/>
        <v>0.48533252741909633</v>
      </c>
      <c r="Q68" s="25">
        <f t="shared" si="6"/>
        <v>0</v>
      </c>
      <c r="R68" s="25">
        <f t="shared" si="6"/>
        <v>0.51466747258090373</v>
      </c>
      <c r="S68" s="25">
        <f t="shared" si="6"/>
        <v>0.48533252741909633</v>
      </c>
      <c r="T68" s="25">
        <f t="shared" si="6"/>
        <v>0.51466747258090373</v>
      </c>
      <c r="U68" s="25">
        <f t="shared" si="6"/>
        <v>0</v>
      </c>
    </row>
    <row r="69" spans="1:22" x14ac:dyDescent="0.25">
      <c r="A69" s="36" t="s">
        <v>66</v>
      </c>
      <c r="B69" s="31"/>
      <c r="C69" s="31"/>
      <c r="D69" s="31"/>
      <c r="E69" s="31"/>
      <c r="F69" s="37" t="str">
        <f>IF(SUM(F67:J67)=0,"— não preenchido",IF(ROUND(SUM(F67:J67)-$R70,3)=0,"OK — "&amp;ROUND(SUM(F67:J67),3)&amp;" km","ERRO — dif. de "&amp;ROUND(SUM(F67:J67)-$R70,3)&amp;" km"))</f>
        <v>OK — 48,964 km</v>
      </c>
      <c r="G69" s="28"/>
      <c r="H69" s="28"/>
      <c r="I69" s="28"/>
      <c r="J69" s="29"/>
      <c r="K69" s="37" t="str">
        <f>IF(SUM(K67:L67)=0,"— não preenchido",IF(ROUND(SUM(K67:L67)-$R70,3)=0,"OK — "&amp;ROUND(SUM(K67:L67),3)&amp;" km","ERRO — dif. de "&amp;ROUND(SUM(K67:L67)-$R70,3)&amp;" km"))</f>
        <v>OK — 48,964 km</v>
      </c>
      <c r="L69" s="29"/>
      <c r="M69" s="37" t="str">
        <f>IF(SUM(M67:O67)=0,"— não preenchido",IF(ROUND(SUM(M67:O67)-$R70,3)=0,"OK — "&amp;ROUND(SUM(M67:O67),3)&amp;" km","ERRO — dif. de "&amp;ROUND(SUM(M67:O67)-$R70,3)&amp;" km"))</f>
        <v>OK — 48,964 km</v>
      </c>
      <c r="N69" s="28"/>
      <c r="O69" s="29"/>
      <c r="P69" s="37" t="str">
        <f>IF(SUM(P67:R67)=0,"— não preenchido",IF(ROUND(SUM(P67:R67)-$R70,3)=0,"OK — "&amp;ROUND(SUM(P67:R67),3)&amp;" km","ERRO — dif. de "&amp;ROUND(SUM(P67:R67)-$R70,3)&amp;" km"))</f>
        <v>OK — 48,964 km</v>
      </c>
      <c r="Q69" s="28"/>
      <c r="R69" s="29"/>
      <c r="S69" s="37" t="str">
        <f>IF(SUM(S67:U67)=0,"— não preenchido",IF(ROUND(SUM(S67:U67)-$R70,3)=0,"OK — "&amp;ROUND(SUM(S67:U67),3)&amp;" km","ERRO — dif. de "&amp;ROUND(SUM(S67:U67)-$R70,3)&amp;" km"))</f>
        <v>OK — 48,964 km</v>
      </c>
      <c r="T69" s="28"/>
      <c r="U69" s="29"/>
    </row>
    <row r="70" spans="1:22" x14ac:dyDescent="0.25">
      <c r="A70" s="36" t="s">
        <v>67</v>
      </c>
      <c r="B70" s="31"/>
      <c r="C70" s="31"/>
      <c r="D70" s="31"/>
      <c r="E70" s="31"/>
      <c r="R70" s="26">
        <f>SUM(E9:E61)</f>
        <v>48.963584030149995</v>
      </c>
      <c r="V70" s="8" t="str">
        <f>COUNTIF(W9:W61,"OK")&amp;" de "&amp;COUNT($E$9:$E$61)&amp;" linhas conferidas"</f>
        <v>51 de 51 linhas conferidas</v>
      </c>
    </row>
    <row r="72" spans="1:22" x14ac:dyDescent="0.25">
      <c r="A72" s="41" t="s">
        <v>68</v>
      </c>
      <c r="B72" s="31"/>
      <c r="C72" s="31"/>
      <c r="D72" s="31"/>
      <c r="E72" s="31"/>
    </row>
    <row r="73" spans="1:22" x14ac:dyDescent="0.25">
      <c r="A73" s="36" t="s">
        <v>69</v>
      </c>
      <c r="B73" s="31"/>
      <c r="C73" s="31"/>
      <c r="D73" s="31"/>
      <c r="E73" s="35" t="s">
        <v>70</v>
      </c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</row>
    <row r="74" spans="1:22" x14ac:dyDescent="0.25">
      <c r="A74" s="36" t="s">
        <v>71</v>
      </c>
      <c r="B74" s="31"/>
      <c r="C74" s="31"/>
      <c r="D74" s="31"/>
      <c r="E74" s="35" t="s">
        <v>72</v>
      </c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</row>
    <row r="75" spans="1:22" x14ac:dyDescent="0.25">
      <c r="A75" s="36" t="s">
        <v>73</v>
      </c>
      <c r="B75" s="31"/>
      <c r="C75" s="31"/>
      <c r="D75" s="31"/>
      <c r="E75" s="35" t="s">
        <v>74</v>
      </c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</row>
    <row r="76" spans="1:22" x14ac:dyDescent="0.25">
      <c r="A76" s="36" t="s">
        <v>75</v>
      </c>
      <c r="B76" s="31"/>
      <c r="C76" s="31"/>
      <c r="D76" s="31"/>
      <c r="E76" s="35" t="s">
        <v>76</v>
      </c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</row>
    <row r="77" spans="1:22" x14ac:dyDescent="0.25">
      <c r="A77" s="36" t="s">
        <v>77</v>
      </c>
      <c r="B77" s="31"/>
      <c r="C77" s="31"/>
      <c r="D77" s="31"/>
      <c r="E77" s="35" t="s">
        <v>78</v>
      </c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</row>
    <row r="78" spans="1:22" x14ac:dyDescent="0.25">
      <c r="A78" s="36" t="s">
        <v>41</v>
      </c>
      <c r="B78" s="31"/>
      <c r="C78" s="31"/>
      <c r="D78" s="31"/>
      <c r="E78" s="35" t="s">
        <v>79</v>
      </c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</row>
    <row r="79" spans="1:22" x14ac:dyDescent="0.25">
      <c r="A79" s="36" t="s">
        <v>80</v>
      </c>
      <c r="B79" s="31"/>
      <c r="C79" s="31"/>
      <c r="D79" s="31"/>
      <c r="E79" s="35" t="s">
        <v>81</v>
      </c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</row>
    <row r="80" spans="1:22" x14ac:dyDescent="0.25">
      <c r="A80" s="36" t="s">
        <v>82</v>
      </c>
      <c r="B80" s="31"/>
      <c r="C80" s="31"/>
      <c r="D80" s="31"/>
      <c r="E80" s="35" t="s">
        <v>83</v>
      </c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</row>
    <row r="81" spans="1:22" x14ac:dyDescent="0.25">
      <c r="A81" s="36" t="s">
        <v>11</v>
      </c>
      <c r="B81" s="31"/>
      <c r="C81" s="31"/>
      <c r="D81" s="31"/>
      <c r="E81" s="35" t="s">
        <v>84</v>
      </c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</row>
  </sheetData>
  <sheetProtection formatCells="0"/>
  <mergeCells count="59">
    <mergeCell ref="A1:V1"/>
    <mergeCell ref="A78:D78"/>
    <mergeCell ref="E81:V81"/>
    <mergeCell ref="E75:V75"/>
    <mergeCell ref="E79:V79"/>
    <mergeCell ref="T3:V3"/>
    <mergeCell ref="G64:K64"/>
    <mergeCell ref="A80:D80"/>
    <mergeCell ref="A75:D75"/>
    <mergeCell ref="A74:D74"/>
    <mergeCell ref="A72:E72"/>
    <mergeCell ref="G63:K63"/>
    <mergeCell ref="A68:E68"/>
    <mergeCell ref="A63:E63"/>
    <mergeCell ref="R2:V2"/>
    <mergeCell ref="A81:D81"/>
    <mergeCell ref="W6:W7"/>
    <mergeCell ref="A40:V40"/>
    <mergeCell ref="E6:E7"/>
    <mergeCell ref="A73:D73"/>
    <mergeCell ref="A66:E66"/>
    <mergeCell ref="B6:B7"/>
    <mergeCell ref="P69:R69"/>
    <mergeCell ref="C6:C7"/>
    <mergeCell ref="A6:A7"/>
    <mergeCell ref="F6:J6"/>
    <mergeCell ref="K6:L6"/>
    <mergeCell ref="D6:D7"/>
    <mergeCell ref="K69:L69"/>
    <mergeCell ref="P6:R6"/>
    <mergeCell ref="A67:E67"/>
    <mergeCell ref="E80:V80"/>
    <mergeCell ref="A79:D79"/>
    <mergeCell ref="M69:O69"/>
    <mergeCell ref="E73:V73"/>
    <mergeCell ref="F69:J69"/>
    <mergeCell ref="E78:V78"/>
    <mergeCell ref="S69:U69"/>
    <mergeCell ref="A70:E70"/>
    <mergeCell ref="A69:E69"/>
    <mergeCell ref="E74:V74"/>
    <mergeCell ref="A77:D77"/>
    <mergeCell ref="E77:V77"/>
    <mergeCell ref="A76:D76"/>
    <mergeCell ref="E76:V76"/>
    <mergeCell ref="G2:H2"/>
    <mergeCell ref="A64:E64"/>
    <mergeCell ref="I2:J2"/>
    <mergeCell ref="A8:V8"/>
    <mergeCell ref="A4:V4"/>
    <mergeCell ref="A2:F2"/>
    <mergeCell ref="K2:M2"/>
    <mergeCell ref="N2:O2"/>
    <mergeCell ref="P2:Q2"/>
    <mergeCell ref="A3:S3"/>
    <mergeCell ref="M6:O6"/>
    <mergeCell ref="V6:V7"/>
    <mergeCell ref="A35:V35"/>
    <mergeCell ref="S6:U6"/>
  </mergeCells>
  <conditionalFormatting sqref="F9:J61">
    <cfRule type="expression" dxfId="55" priority="1">
      <formula>AND(F9&lt;&gt;"",COUNTIF($F9:$J9,"X")&gt;1)</formula>
    </cfRule>
  </conditionalFormatting>
  <conditionalFormatting sqref="F69:U69">
    <cfRule type="expression" dxfId="54" priority="8">
      <formula>LEFT(F69,4)="ERRO"</formula>
    </cfRule>
    <cfRule type="expression" dxfId="53" priority="9">
      <formula>LEFT(F69,2)="OK"</formula>
    </cfRule>
  </conditionalFormatting>
  <conditionalFormatting sqref="K9:L61">
    <cfRule type="expression" dxfId="52" priority="2">
      <formula>AND(K9&lt;&gt;"",COUNTIF($K9:$L9,"X")&gt;1)</formula>
    </cfRule>
  </conditionalFormatting>
  <conditionalFormatting sqref="M9:O61">
    <cfRule type="expression" dxfId="51" priority="3">
      <formula>AND(M9&lt;&gt;"",COUNTIF($M9:$O9,"X")&gt;1)</formula>
    </cfRule>
  </conditionalFormatting>
  <conditionalFormatting sqref="P9:R61">
    <cfRule type="expression" dxfId="50" priority="4">
      <formula>AND(P9&lt;&gt;"",COUNTIF($P9:$R9,"X")&gt;1)</formula>
    </cfRule>
  </conditionalFormatting>
  <conditionalFormatting sqref="S9:U61">
    <cfRule type="expression" dxfId="49" priority="5">
      <formula>AND(S9&lt;&gt;"",COUNTIF($S9:$U9,"X")&gt;1)</formula>
    </cfRule>
  </conditionalFormatting>
  <conditionalFormatting sqref="W9:W61">
    <cfRule type="expression" dxfId="48" priority="6">
      <formula>AND(W9&lt;&gt;"OK",W9&lt;&gt;"")</formula>
    </cfRule>
    <cfRule type="expression" dxfId="4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1" xr:uid="{00000000-0002-0000-0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1" xr:uid="{00000000-0002-0000-0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1" xr:uid="{00000000-0002-0000-0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1" xr:uid="{00000000-0002-0000-0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1" xr:uid="{00000000-0002-0000-0400-000004000000}">
      <formula1>AND(UPPER(S9)="X",COUNTIF($S9:$U9,"X")&lt;=1)</formula1>
    </dataValidation>
    <dataValidation type="list" showErrorMessage="1" errorTitle="Sentido inválido" error="Use C (crescente) ou D (decrescente)." sqref="B9:B61" xr:uid="{00000000-0002-0000-0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73</oddHeader>
    <oddFooter>&amp;L&amp;7 RTA / MSI — Programa de Manutenção Rodoviária&amp;C&amp;7 Página &amp;P de &amp;N&amp;R&amp;7 Impresso em &amp;D</oddFooter>
  </headerFooter>
  <rowBreaks count="1" manualBreakCount="1">
    <brk id="64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AN139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39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Y1" s="1" t="s">
        <v>1</v>
      </c>
    </row>
    <row r="2" spans="1:40" ht="17.100000000000001" customHeight="1" x14ac:dyDescent="0.25">
      <c r="A2" s="43" t="s">
        <v>33</v>
      </c>
      <c r="B2" s="31"/>
      <c r="C2" s="31"/>
      <c r="D2" s="31"/>
      <c r="E2" s="31"/>
      <c r="F2" s="31"/>
      <c r="G2" s="40" t="s">
        <v>34</v>
      </c>
      <c r="H2" s="31"/>
      <c r="I2" s="46">
        <f>IF('68'!I2="","",'68'!I2)</f>
        <v>46235</v>
      </c>
      <c r="J2" s="45"/>
      <c r="K2" s="40" t="s">
        <v>35</v>
      </c>
      <c r="L2" s="31"/>
      <c r="M2" s="31"/>
      <c r="N2" s="44" t="str">
        <f>IF('68'!N2="","",'68'!N2)</f>
        <v/>
      </c>
      <c r="O2" s="45"/>
      <c r="P2" s="40" t="s">
        <v>36</v>
      </c>
      <c r="Q2" s="31"/>
      <c r="R2" s="47" t="s">
        <v>158</v>
      </c>
      <c r="S2" s="48"/>
      <c r="T2" s="48"/>
      <c r="U2" s="48"/>
      <c r="V2" s="45"/>
      <c r="Y2" s="2">
        <f t="shared" ref="Y2:AN2" si="0">IF(F125=0,NA(),F125)</f>
        <v>93.384097455160003</v>
      </c>
      <c r="Z2" s="2">
        <f t="shared" si="0"/>
        <v>2</v>
      </c>
      <c r="AA2" s="2">
        <f t="shared" si="0"/>
        <v>2.6612658058700003</v>
      </c>
      <c r="AB2" s="2">
        <f t="shared" si="0"/>
        <v>3</v>
      </c>
      <c r="AC2" s="2" t="e">
        <f t="shared" si="0"/>
        <v>#N/A</v>
      </c>
      <c r="AD2" s="2" t="e">
        <f t="shared" si="0"/>
        <v>#N/A</v>
      </c>
      <c r="AE2" s="2">
        <f t="shared" si="0"/>
        <v>101.04536326103002</v>
      </c>
      <c r="AF2" s="2" t="e">
        <f t="shared" si="0"/>
        <v>#N/A</v>
      </c>
      <c r="AG2" s="2">
        <f t="shared" si="0"/>
        <v>101.04536326103002</v>
      </c>
      <c r="AH2" s="2" t="e">
        <f t="shared" si="0"/>
        <v>#N/A</v>
      </c>
      <c r="AI2" s="2">
        <f t="shared" si="0"/>
        <v>101.04536326103002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101.04536326103002</v>
      </c>
      <c r="AN2" s="2" t="e">
        <f t="shared" si="0"/>
        <v>#N/A</v>
      </c>
    </row>
    <row r="3" spans="1:40" ht="15" customHeight="1" x14ac:dyDescent="0.25">
      <c r="A3" s="49" t="s">
        <v>104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0" t="s">
        <v>105</v>
      </c>
      <c r="U3" s="31"/>
      <c r="V3" s="31"/>
    </row>
    <row r="4" spans="1:40" ht="20.100000000000001" customHeight="1" x14ac:dyDescent="0.25">
      <c r="A4" s="33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6" spans="1:40" ht="21.95" customHeight="1" x14ac:dyDescent="0.25">
      <c r="A6" s="27" t="s">
        <v>40</v>
      </c>
      <c r="B6" s="27" t="s">
        <v>41</v>
      </c>
      <c r="C6" s="27" t="s">
        <v>42</v>
      </c>
      <c r="D6" s="27" t="s">
        <v>43</v>
      </c>
      <c r="E6" s="27" t="s">
        <v>44</v>
      </c>
      <c r="F6" s="27" t="s">
        <v>6</v>
      </c>
      <c r="G6" s="28"/>
      <c r="H6" s="28"/>
      <c r="I6" s="28"/>
      <c r="J6" s="29"/>
      <c r="K6" s="27" t="s">
        <v>7</v>
      </c>
      <c r="L6" s="29"/>
      <c r="M6" s="27" t="s">
        <v>8</v>
      </c>
      <c r="N6" s="28"/>
      <c r="O6" s="29"/>
      <c r="P6" s="27" t="s">
        <v>9</v>
      </c>
      <c r="Q6" s="28"/>
      <c r="R6" s="29"/>
      <c r="S6" s="27" t="s">
        <v>10</v>
      </c>
      <c r="T6" s="28"/>
      <c r="U6" s="29"/>
      <c r="V6" s="27" t="s">
        <v>45</v>
      </c>
      <c r="W6" s="27" t="s">
        <v>46</v>
      </c>
    </row>
    <row r="7" spans="1:40" ht="20.100000000000001" customHeight="1" x14ac:dyDescent="0.25">
      <c r="A7" s="32"/>
      <c r="B7" s="32"/>
      <c r="C7" s="32"/>
      <c r="D7" s="32"/>
      <c r="E7" s="3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159</v>
      </c>
      <c r="N7" s="3" t="s">
        <v>160</v>
      </c>
      <c r="O7" s="3" t="s">
        <v>161</v>
      </c>
      <c r="P7" s="3" t="s">
        <v>12</v>
      </c>
      <c r="Q7" s="3" t="s">
        <v>19</v>
      </c>
      <c r="R7" s="3" t="s">
        <v>162</v>
      </c>
      <c r="S7" s="3" t="s">
        <v>12</v>
      </c>
      <c r="T7" s="3" t="s">
        <v>163</v>
      </c>
      <c r="U7" s="3" t="s">
        <v>162</v>
      </c>
      <c r="V7" s="32"/>
      <c r="W7" s="32"/>
    </row>
    <row r="8" spans="1:40" ht="15.95" customHeight="1" x14ac:dyDescent="0.25">
      <c r="A8" s="34" t="s">
        <v>106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9"/>
      <c r="W8" s="4"/>
    </row>
    <row r="9" spans="1:40" ht="20.100000000000001" customHeight="1" x14ac:dyDescent="0.25">
      <c r="A9" s="12" t="s">
        <v>107</v>
      </c>
      <c r="B9" s="13" t="s">
        <v>49</v>
      </c>
      <c r="C9" s="14">
        <v>0</v>
      </c>
      <c r="D9" s="14">
        <v>1</v>
      </c>
      <c r="E9" s="14">
        <f t="shared" ref="E9:E16" si="1">D9-C9</f>
        <v>1</v>
      </c>
      <c r="F9" s="15" t="s">
        <v>50</v>
      </c>
      <c r="G9" s="15"/>
      <c r="H9" s="15"/>
      <c r="I9" s="15"/>
      <c r="J9" s="15"/>
      <c r="K9" s="15"/>
      <c r="L9" s="15" t="s">
        <v>50</v>
      </c>
      <c r="M9" s="15"/>
      <c r="N9" s="15" t="s">
        <v>50</v>
      </c>
      <c r="O9" s="15"/>
      <c r="P9" s="15" t="s">
        <v>50</v>
      </c>
      <c r="Q9" s="15"/>
      <c r="R9" s="15"/>
      <c r="S9" s="15"/>
      <c r="T9" s="15" t="s">
        <v>50</v>
      </c>
      <c r="U9" s="15"/>
      <c r="V9" s="16"/>
      <c r="W9" s="17" t="str">
        <f t="shared" ref="W9:W1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107</v>
      </c>
      <c r="B10" s="13" t="s">
        <v>49</v>
      </c>
      <c r="C10" s="14">
        <v>1</v>
      </c>
      <c r="D10" s="14">
        <v>2</v>
      </c>
      <c r="E10" s="14">
        <f t="shared" si="1"/>
        <v>1</v>
      </c>
      <c r="F10" s="15" t="s">
        <v>50</v>
      </c>
      <c r="G10" s="15"/>
      <c r="H10" s="15"/>
      <c r="I10" s="15"/>
      <c r="J10" s="15"/>
      <c r="K10" s="15"/>
      <c r="L10" s="15" t="s">
        <v>50</v>
      </c>
      <c r="M10" s="15"/>
      <c r="N10" s="15" t="s">
        <v>50</v>
      </c>
      <c r="O10" s="15"/>
      <c r="P10" s="15" t="s">
        <v>50</v>
      </c>
      <c r="Q10" s="15"/>
      <c r="R10" s="15"/>
      <c r="S10" s="15"/>
      <c r="T10" s="15" t="s">
        <v>50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107</v>
      </c>
      <c r="B11" s="13" t="s">
        <v>49</v>
      </c>
      <c r="C11" s="14">
        <v>2</v>
      </c>
      <c r="D11" s="14">
        <v>3</v>
      </c>
      <c r="E11" s="14">
        <f t="shared" si="1"/>
        <v>1</v>
      </c>
      <c r="F11" s="15" t="s">
        <v>50</v>
      </c>
      <c r="G11" s="15"/>
      <c r="H11" s="15"/>
      <c r="I11" s="15"/>
      <c r="J11" s="15"/>
      <c r="K11" s="15"/>
      <c r="L11" s="15" t="s">
        <v>50</v>
      </c>
      <c r="M11" s="15"/>
      <c r="N11" s="15" t="s">
        <v>50</v>
      </c>
      <c r="O11" s="15"/>
      <c r="P11" s="15" t="s">
        <v>50</v>
      </c>
      <c r="Q11" s="15"/>
      <c r="R11" s="15"/>
      <c r="S11" s="15"/>
      <c r="T11" s="15" t="s">
        <v>50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107</v>
      </c>
      <c r="B12" s="13" t="s">
        <v>49</v>
      </c>
      <c r="C12" s="14">
        <v>3</v>
      </c>
      <c r="D12" s="14">
        <v>4</v>
      </c>
      <c r="E12" s="14">
        <f t="shared" si="1"/>
        <v>1</v>
      </c>
      <c r="F12" s="15" t="s">
        <v>50</v>
      </c>
      <c r="G12" s="15"/>
      <c r="H12" s="15"/>
      <c r="I12" s="15"/>
      <c r="J12" s="15"/>
      <c r="K12" s="15"/>
      <c r="L12" s="15" t="s">
        <v>50</v>
      </c>
      <c r="M12" s="15"/>
      <c r="N12" s="15" t="s">
        <v>50</v>
      </c>
      <c r="O12" s="15"/>
      <c r="P12" s="15" t="s">
        <v>50</v>
      </c>
      <c r="Q12" s="15"/>
      <c r="R12" s="15"/>
      <c r="S12" s="15"/>
      <c r="T12" s="15" t="s">
        <v>50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107</v>
      </c>
      <c r="B13" s="13" t="s">
        <v>49</v>
      </c>
      <c r="C13" s="14">
        <v>4</v>
      </c>
      <c r="D13" s="14">
        <v>5</v>
      </c>
      <c r="E13" s="14">
        <f t="shared" si="1"/>
        <v>1</v>
      </c>
      <c r="F13" s="15" t="s">
        <v>50</v>
      </c>
      <c r="G13" s="15"/>
      <c r="H13" s="15"/>
      <c r="I13" s="15"/>
      <c r="J13" s="15"/>
      <c r="K13" s="15"/>
      <c r="L13" s="15" t="s">
        <v>50</v>
      </c>
      <c r="M13" s="15"/>
      <c r="N13" s="15" t="s">
        <v>50</v>
      </c>
      <c r="O13" s="15"/>
      <c r="P13" s="15" t="s">
        <v>50</v>
      </c>
      <c r="Q13" s="15"/>
      <c r="R13" s="15"/>
      <c r="S13" s="15"/>
      <c r="T13" s="15" t="s">
        <v>50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107</v>
      </c>
      <c r="B14" s="13" t="s">
        <v>49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50</v>
      </c>
      <c r="I14" s="15"/>
      <c r="J14" s="15"/>
      <c r="K14" s="15"/>
      <c r="L14" s="15" t="s">
        <v>50</v>
      </c>
      <c r="M14" s="15"/>
      <c r="N14" s="15" t="s">
        <v>50</v>
      </c>
      <c r="O14" s="15"/>
      <c r="P14" s="15" t="s">
        <v>50</v>
      </c>
      <c r="Q14" s="15"/>
      <c r="R14" s="15"/>
      <c r="S14" s="15"/>
      <c r="T14" s="15" t="s">
        <v>50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107</v>
      </c>
      <c r="B15" s="13" t="s">
        <v>49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 t="s">
        <v>50</v>
      </c>
      <c r="I15" s="15"/>
      <c r="J15" s="15"/>
      <c r="K15" s="15"/>
      <c r="L15" s="15" t="s">
        <v>50</v>
      </c>
      <c r="M15" s="15"/>
      <c r="N15" s="15" t="s">
        <v>50</v>
      </c>
      <c r="O15" s="15"/>
      <c r="P15" s="15" t="s">
        <v>50</v>
      </c>
      <c r="Q15" s="15"/>
      <c r="R15" s="15"/>
      <c r="S15" s="15"/>
      <c r="T15" s="15" t="s">
        <v>50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8" t="s">
        <v>107</v>
      </c>
      <c r="B16" s="19" t="s">
        <v>49</v>
      </c>
      <c r="C16" s="20">
        <v>7</v>
      </c>
      <c r="D16" s="20">
        <v>7.6612658058700003</v>
      </c>
      <c r="E16" s="20">
        <f t="shared" si="1"/>
        <v>0.66126580587000028</v>
      </c>
      <c r="F16" s="21"/>
      <c r="G16" s="21"/>
      <c r="H16" s="21" t="s">
        <v>50</v>
      </c>
      <c r="I16" s="21"/>
      <c r="J16" s="21"/>
      <c r="K16" s="21"/>
      <c r="L16" s="21" t="s">
        <v>50</v>
      </c>
      <c r="M16" s="21"/>
      <c r="N16" s="21" t="s">
        <v>50</v>
      </c>
      <c r="O16" s="21"/>
      <c r="P16" s="21" t="s">
        <v>50</v>
      </c>
      <c r="Q16" s="21"/>
      <c r="R16" s="21"/>
      <c r="S16" s="21"/>
      <c r="T16" s="21" t="s">
        <v>50</v>
      </c>
      <c r="U16" s="21"/>
      <c r="V16" s="22"/>
      <c r="W16" s="23" t="str">
        <f t="shared" si="2"/>
        <v>OK</v>
      </c>
    </row>
    <row r="17" spans="1:23" ht="15.95" customHeight="1" x14ac:dyDescent="0.25">
      <c r="A17" s="34" t="s">
        <v>108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9"/>
      <c r="W17" s="4"/>
    </row>
    <row r="18" spans="1:23" ht="20.100000000000001" customHeight="1" x14ac:dyDescent="0.25">
      <c r="A18" s="12" t="s">
        <v>109</v>
      </c>
      <c r="B18" s="13" t="s">
        <v>49</v>
      </c>
      <c r="C18" s="14">
        <v>0</v>
      </c>
      <c r="D18" s="14">
        <v>1</v>
      </c>
      <c r="E18" s="14">
        <f t="shared" ref="E18:E39" si="3">D18-C18</f>
        <v>1</v>
      </c>
      <c r="F18" s="15" t="s">
        <v>50</v>
      </c>
      <c r="G18" s="15"/>
      <c r="H18" s="15"/>
      <c r="I18" s="15"/>
      <c r="J18" s="15"/>
      <c r="K18" s="15"/>
      <c r="L18" s="15" t="s">
        <v>50</v>
      </c>
      <c r="M18" s="15"/>
      <c r="N18" s="15" t="s">
        <v>50</v>
      </c>
      <c r="O18" s="15"/>
      <c r="P18" s="15" t="s">
        <v>50</v>
      </c>
      <c r="Q18" s="15"/>
      <c r="R18" s="15"/>
      <c r="S18" s="15"/>
      <c r="T18" s="15" t="s">
        <v>50</v>
      </c>
      <c r="U18" s="15"/>
      <c r="V18" s="16"/>
      <c r="W18" s="17" t="str">
        <f t="shared" ref="W18:W39" si="4"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2" t="s">
        <v>109</v>
      </c>
      <c r="B19" s="13" t="s">
        <v>49</v>
      </c>
      <c r="C19" s="14">
        <v>1</v>
      </c>
      <c r="D19" s="14">
        <v>2</v>
      </c>
      <c r="E19" s="14">
        <f t="shared" si="3"/>
        <v>1</v>
      </c>
      <c r="F19" s="15" t="s">
        <v>50</v>
      </c>
      <c r="G19" s="15"/>
      <c r="H19" s="15"/>
      <c r="I19" s="15"/>
      <c r="J19" s="15"/>
      <c r="K19" s="15"/>
      <c r="L19" s="15" t="s">
        <v>50</v>
      </c>
      <c r="M19" s="15"/>
      <c r="N19" s="15" t="s">
        <v>50</v>
      </c>
      <c r="O19" s="15"/>
      <c r="P19" s="15" t="s">
        <v>50</v>
      </c>
      <c r="Q19" s="15"/>
      <c r="R19" s="15"/>
      <c r="S19" s="15"/>
      <c r="T19" s="15" t="s">
        <v>50</v>
      </c>
      <c r="U19" s="15"/>
      <c r="V19" s="16"/>
      <c r="W19" s="17" t="str">
        <f t="shared" si="4"/>
        <v>OK</v>
      </c>
    </row>
    <row r="20" spans="1:23" ht="20.100000000000001" customHeight="1" x14ac:dyDescent="0.25">
      <c r="A20" s="12" t="s">
        <v>109</v>
      </c>
      <c r="B20" s="13" t="s">
        <v>49</v>
      </c>
      <c r="C20" s="14">
        <v>2</v>
      </c>
      <c r="D20" s="14">
        <v>3</v>
      </c>
      <c r="E20" s="14">
        <f t="shared" si="3"/>
        <v>1</v>
      </c>
      <c r="F20" s="15" t="s">
        <v>50</v>
      </c>
      <c r="G20" s="15"/>
      <c r="H20" s="15"/>
      <c r="I20" s="15"/>
      <c r="J20" s="15"/>
      <c r="K20" s="15"/>
      <c r="L20" s="15" t="s">
        <v>50</v>
      </c>
      <c r="M20" s="15"/>
      <c r="N20" s="15" t="s">
        <v>50</v>
      </c>
      <c r="O20" s="15"/>
      <c r="P20" s="15" t="s">
        <v>50</v>
      </c>
      <c r="Q20" s="15"/>
      <c r="R20" s="15"/>
      <c r="S20" s="15"/>
      <c r="T20" s="15" t="s">
        <v>50</v>
      </c>
      <c r="U20" s="15"/>
      <c r="V20" s="16"/>
      <c r="W20" s="17" t="str">
        <f t="shared" si="4"/>
        <v>OK</v>
      </c>
    </row>
    <row r="21" spans="1:23" ht="20.100000000000001" customHeight="1" x14ac:dyDescent="0.25">
      <c r="A21" s="12" t="s">
        <v>109</v>
      </c>
      <c r="B21" s="13" t="s">
        <v>49</v>
      </c>
      <c r="C21" s="14">
        <v>3</v>
      </c>
      <c r="D21" s="14">
        <v>4</v>
      </c>
      <c r="E21" s="14">
        <f t="shared" si="3"/>
        <v>1</v>
      </c>
      <c r="F21" s="15" t="s">
        <v>50</v>
      </c>
      <c r="G21" s="15"/>
      <c r="H21" s="15"/>
      <c r="I21" s="15"/>
      <c r="J21" s="15"/>
      <c r="K21" s="15"/>
      <c r="L21" s="15" t="s">
        <v>50</v>
      </c>
      <c r="M21" s="15"/>
      <c r="N21" s="15" t="s">
        <v>50</v>
      </c>
      <c r="O21" s="15"/>
      <c r="P21" s="15" t="s">
        <v>50</v>
      </c>
      <c r="Q21" s="15"/>
      <c r="R21" s="15"/>
      <c r="S21" s="15"/>
      <c r="T21" s="15" t="s">
        <v>50</v>
      </c>
      <c r="U21" s="15"/>
      <c r="V21" s="16"/>
      <c r="W21" s="17" t="str">
        <f t="shared" si="4"/>
        <v>OK</v>
      </c>
    </row>
    <row r="22" spans="1:23" ht="20.100000000000001" customHeight="1" x14ac:dyDescent="0.25">
      <c r="A22" s="12" t="s">
        <v>109</v>
      </c>
      <c r="B22" s="13" t="s">
        <v>49</v>
      </c>
      <c r="C22" s="14">
        <v>4</v>
      </c>
      <c r="D22" s="14">
        <v>5</v>
      </c>
      <c r="E22" s="14">
        <f t="shared" si="3"/>
        <v>1</v>
      </c>
      <c r="F22" s="15" t="s">
        <v>50</v>
      </c>
      <c r="G22" s="15"/>
      <c r="H22" s="15"/>
      <c r="I22" s="15"/>
      <c r="J22" s="15"/>
      <c r="K22" s="15"/>
      <c r="L22" s="15" t="s">
        <v>50</v>
      </c>
      <c r="M22" s="15"/>
      <c r="N22" s="15" t="s">
        <v>50</v>
      </c>
      <c r="O22" s="15"/>
      <c r="P22" s="15" t="s">
        <v>50</v>
      </c>
      <c r="Q22" s="15"/>
      <c r="R22" s="15"/>
      <c r="S22" s="15"/>
      <c r="T22" s="15" t="s">
        <v>50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109</v>
      </c>
      <c r="B23" s="13" t="s">
        <v>49</v>
      </c>
      <c r="C23" s="14">
        <v>5</v>
      </c>
      <c r="D23" s="14">
        <v>6</v>
      </c>
      <c r="E23" s="14">
        <f t="shared" si="3"/>
        <v>1</v>
      </c>
      <c r="F23" s="15" t="s">
        <v>50</v>
      </c>
      <c r="G23" s="15"/>
      <c r="H23" s="15"/>
      <c r="I23" s="15"/>
      <c r="J23" s="15"/>
      <c r="K23" s="15"/>
      <c r="L23" s="15" t="s">
        <v>50</v>
      </c>
      <c r="M23" s="15"/>
      <c r="N23" s="15" t="s">
        <v>50</v>
      </c>
      <c r="O23" s="15"/>
      <c r="P23" s="15" t="s">
        <v>50</v>
      </c>
      <c r="Q23" s="15"/>
      <c r="R23" s="15"/>
      <c r="S23" s="15"/>
      <c r="T23" s="15" t="s">
        <v>50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109</v>
      </c>
      <c r="B24" s="13" t="s">
        <v>49</v>
      </c>
      <c r="C24" s="14">
        <v>6</v>
      </c>
      <c r="D24" s="14">
        <v>7</v>
      </c>
      <c r="E24" s="14">
        <f t="shared" si="3"/>
        <v>1</v>
      </c>
      <c r="F24" s="15"/>
      <c r="G24" s="15" t="s">
        <v>50</v>
      </c>
      <c r="H24" s="15"/>
      <c r="I24" s="15"/>
      <c r="J24" s="15"/>
      <c r="K24" s="15"/>
      <c r="L24" s="15" t="s">
        <v>50</v>
      </c>
      <c r="M24" s="15"/>
      <c r="N24" s="15" t="s">
        <v>50</v>
      </c>
      <c r="O24" s="15"/>
      <c r="P24" s="15" t="s">
        <v>50</v>
      </c>
      <c r="Q24" s="15"/>
      <c r="R24" s="15"/>
      <c r="S24" s="15"/>
      <c r="T24" s="15" t="s">
        <v>50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109</v>
      </c>
      <c r="B25" s="13" t="s">
        <v>49</v>
      </c>
      <c r="C25" s="14">
        <v>7</v>
      </c>
      <c r="D25" s="14">
        <v>8</v>
      </c>
      <c r="E25" s="14">
        <f t="shared" si="3"/>
        <v>1</v>
      </c>
      <c r="F25" s="15" t="s">
        <v>50</v>
      </c>
      <c r="G25" s="15"/>
      <c r="H25" s="15"/>
      <c r="I25" s="15"/>
      <c r="J25" s="15"/>
      <c r="K25" s="15"/>
      <c r="L25" s="15" t="s">
        <v>50</v>
      </c>
      <c r="M25" s="15"/>
      <c r="N25" s="15" t="s">
        <v>50</v>
      </c>
      <c r="O25" s="15"/>
      <c r="P25" s="15" t="s">
        <v>50</v>
      </c>
      <c r="Q25" s="15"/>
      <c r="R25" s="15"/>
      <c r="S25" s="15"/>
      <c r="T25" s="15" t="s">
        <v>50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109</v>
      </c>
      <c r="B26" s="13" t="s">
        <v>49</v>
      </c>
      <c r="C26" s="14">
        <v>8</v>
      </c>
      <c r="D26" s="14">
        <v>9</v>
      </c>
      <c r="E26" s="14">
        <f t="shared" si="3"/>
        <v>1</v>
      </c>
      <c r="F26" s="15" t="s">
        <v>50</v>
      </c>
      <c r="G26" s="15"/>
      <c r="H26" s="15"/>
      <c r="I26" s="15"/>
      <c r="J26" s="15"/>
      <c r="K26" s="15"/>
      <c r="L26" s="15" t="s">
        <v>50</v>
      </c>
      <c r="M26" s="15"/>
      <c r="N26" s="15" t="s">
        <v>50</v>
      </c>
      <c r="O26" s="15"/>
      <c r="P26" s="15" t="s">
        <v>50</v>
      </c>
      <c r="Q26" s="15"/>
      <c r="R26" s="15"/>
      <c r="S26" s="15"/>
      <c r="T26" s="15" t="s">
        <v>50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109</v>
      </c>
      <c r="B27" s="13" t="s">
        <v>49</v>
      </c>
      <c r="C27" s="14">
        <v>9</v>
      </c>
      <c r="D27" s="14">
        <v>10</v>
      </c>
      <c r="E27" s="14">
        <f t="shared" si="3"/>
        <v>1</v>
      </c>
      <c r="F27" s="15" t="s">
        <v>50</v>
      </c>
      <c r="G27" s="15"/>
      <c r="H27" s="15"/>
      <c r="I27" s="15"/>
      <c r="J27" s="15"/>
      <c r="K27" s="15"/>
      <c r="L27" s="15" t="s">
        <v>50</v>
      </c>
      <c r="M27" s="15"/>
      <c r="N27" s="15" t="s">
        <v>50</v>
      </c>
      <c r="O27" s="15"/>
      <c r="P27" s="15" t="s">
        <v>50</v>
      </c>
      <c r="Q27" s="15"/>
      <c r="R27" s="15"/>
      <c r="S27" s="15"/>
      <c r="T27" s="15" t="s">
        <v>50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109</v>
      </c>
      <c r="B28" s="13" t="s">
        <v>49</v>
      </c>
      <c r="C28" s="14">
        <v>10</v>
      </c>
      <c r="D28" s="14">
        <v>11</v>
      </c>
      <c r="E28" s="14">
        <f t="shared" si="3"/>
        <v>1</v>
      </c>
      <c r="F28" s="15" t="s">
        <v>50</v>
      </c>
      <c r="G28" s="15"/>
      <c r="H28" s="15"/>
      <c r="I28" s="15"/>
      <c r="J28" s="15"/>
      <c r="K28" s="15"/>
      <c r="L28" s="15" t="s">
        <v>50</v>
      </c>
      <c r="M28" s="15"/>
      <c r="N28" s="15" t="s">
        <v>50</v>
      </c>
      <c r="O28" s="15"/>
      <c r="P28" s="15" t="s">
        <v>50</v>
      </c>
      <c r="Q28" s="15"/>
      <c r="R28" s="15"/>
      <c r="S28" s="15"/>
      <c r="T28" s="15" t="s">
        <v>50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109</v>
      </c>
      <c r="B29" s="13" t="s">
        <v>49</v>
      </c>
      <c r="C29" s="14">
        <v>11</v>
      </c>
      <c r="D29" s="14">
        <v>12</v>
      </c>
      <c r="E29" s="14">
        <f t="shared" si="3"/>
        <v>1</v>
      </c>
      <c r="F29" s="15" t="s">
        <v>50</v>
      </c>
      <c r="G29" s="15"/>
      <c r="H29" s="15"/>
      <c r="I29" s="15"/>
      <c r="J29" s="15"/>
      <c r="K29" s="15"/>
      <c r="L29" s="15" t="s">
        <v>50</v>
      </c>
      <c r="M29" s="15"/>
      <c r="N29" s="15" t="s">
        <v>50</v>
      </c>
      <c r="O29" s="15"/>
      <c r="P29" s="15" t="s">
        <v>50</v>
      </c>
      <c r="Q29" s="15"/>
      <c r="R29" s="15"/>
      <c r="S29" s="15"/>
      <c r="T29" s="15" t="s">
        <v>50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109</v>
      </c>
      <c r="B30" s="13" t="s">
        <v>49</v>
      </c>
      <c r="C30" s="14">
        <v>12</v>
      </c>
      <c r="D30" s="14">
        <v>13</v>
      </c>
      <c r="E30" s="14">
        <f t="shared" si="3"/>
        <v>1</v>
      </c>
      <c r="F30" s="15" t="s">
        <v>50</v>
      </c>
      <c r="G30" s="15"/>
      <c r="H30" s="15"/>
      <c r="I30" s="15"/>
      <c r="J30" s="15"/>
      <c r="K30" s="15"/>
      <c r="L30" s="15" t="s">
        <v>50</v>
      </c>
      <c r="M30" s="15"/>
      <c r="N30" s="15" t="s">
        <v>50</v>
      </c>
      <c r="O30" s="15"/>
      <c r="P30" s="15" t="s">
        <v>50</v>
      </c>
      <c r="Q30" s="15"/>
      <c r="R30" s="15"/>
      <c r="S30" s="15"/>
      <c r="T30" s="15" t="s">
        <v>50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109</v>
      </c>
      <c r="B31" s="13" t="s">
        <v>49</v>
      </c>
      <c r="C31" s="14">
        <v>13</v>
      </c>
      <c r="D31" s="14">
        <v>14</v>
      </c>
      <c r="E31" s="14">
        <f t="shared" si="3"/>
        <v>1</v>
      </c>
      <c r="F31" s="15"/>
      <c r="G31" s="15" t="s">
        <v>50</v>
      </c>
      <c r="H31" s="15"/>
      <c r="I31" s="15"/>
      <c r="J31" s="15"/>
      <c r="K31" s="15"/>
      <c r="L31" s="15" t="s">
        <v>50</v>
      </c>
      <c r="M31" s="15"/>
      <c r="N31" s="15" t="s">
        <v>50</v>
      </c>
      <c r="O31" s="15"/>
      <c r="P31" s="15" t="s">
        <v>50</v>
      </c>
      <c r="Q31" s="15"/>
      <c r="R31" s="15"/>
      <c r="S31" s="15"/>
      <c r="T31" s="15" t="s">
        <v>50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109</v>
      </c>
      <c r="B32" s="13" t="s">
        <v>49</v>
      </c>
      <c r="C32" s="14">
        <v>14</v>
      </c>
      <c r="D32" s="14">
        <v>15</v>
      </c>
      <c r="E32" s="14">
        <f t="shared" si="3"/>
        <v>1</v>
      </c>
      <c r="F32" s="15" t="s">
        <v>50</v>
      </c>
      <c r="G32" s="15"/>
      <c r="H32" s="15"/>
      <c r="I32" s="15"/>
      <c r="J32" s="15"/>
      <c r="K32" s="15"/>
      <c r="L32" s="15" t="s">
        <v>50</v>
      </c>
      <c r="M32" s="15"/>
      <c r="N32" s="15" t="s">
        <v>50</v>
      </c>
      <c r="O32" s="15"/>
      <c r="P32" s="15" t="s">
        <v>50</v>
      </c>
      <c r="Q32" s="15"/>
      <c r="R32" s="15"/>
      <c r="S32" s="15"/>
      <c r="T32" s="15" t="s">
        <v>50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109</v>
      </c>
      <c r="B33" s="13" t="s">
        <v>49</v>
      </c>
      <c r="C33" s="14">
        <v>15</v>
      </c>
      <c r="D33" s="14">
        <v>16</v>
      </c>
      <c r="E33" s="14">
        <f t="shared" si="3"/>
        <v>1</v>
      </c>
      <c r="F33" s="15" t="s">
        <v>50</v>
      </c>
      <c r="G33" s="15"/>
      <c r="H33" s="15"/>
      <c r="I33" s="15"/>
      <c r="J33" s="15"/>
      <c r="K33" s="15"/>
      <c r="L33" s="15" t="s">
        <v>50</v>
      </c>
      <c r="M33" s="15"/>
      <c r="N33" s="15" t="s">
        <v>50</v>
      </c>
      <c r="O33" s="15"/>
      <c r="P33" s="15" t="s">
        <v>50</v>
      </c>
      <c r="Q33" s="15"/>
      <c r="R33" s="15"/>
      <c r="S33" s="15"/>
      <c r="T33" s="15" t="s">
        <v>50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109</v>
      </c>
      <c r="B34" s="13" t="s">
        <v>49</v>
      </c>
      <c r="C34" s="14">
        <v>16</v>
      </c>
      <c r="D34" s="14">
        <v>17</v>
      </c>
      <c r="E34" s="14">
        <f t="shared" si="3"/>
        <v>1</v>
      </c>
      <c r="F34" s="15" t="s">
        <v>50</v>
      </c>
      <c r="G34" s="15"/>
      <c r="H34" s="15"/>
      <c r="I34" s="15"/>
      <c r="J34" s="15"/>
      <c r="K34" s="15"/>
      <c r="L34" s="15" t="s">
        <v>50</v>
      </c>
      <c r="M34" s="15"/>
      <c r="N34" s="15" t="s">
        <v>50</v>
      </c>
      <c r="O34" s="15"/>
      <c r="P34" s="15" t="s">
        <v>50</v>
      </c>
      <c r="Q34" s="15"/>
      <c r="R34" s="15"/>
      <c r="S34" s="15"/>
      <c r="T34" s="15" t="s">
        <v>50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109</v>
      </c>
      <c r="B35" s="13" t="s">
        <v>49</v>
      </c>
      <c r="C35" s="14">
        <v>17</v>
      </c>
      <c r="D35" s="14">
        <v>18</v>
      </c>
      <c r="E35" s="14">
        <f t="shared" si="3"/>
        <v>1</v>
      </c>
      <c r="F35" s="15" t="s">
        <v>50</v>
      </c>
      <c r="G35" s="15"/>
      <c r="H35" s="15"/>
      <c r="I35" s="15"/>
      <c r="J35" s="15"/>
      <c r="K35" s="15"/>
      <c r="L35" s="15" t="s">
        <v>50</v>
      </c>
      <c r="M35" s="15"/>
      <c r="N35" s="15" t="s">
        <v>50</v>
      </c>
      <c r="O35" s="15"/>
      <c r="P35" s="15" t="s">
        <v>50</v>
      </c>
      <c r="Q35" s="15"/>
      <c r="R35" s="15"/>
      <c r="S35" s="15"/>
      <c r="T35" s="15" t="s">
        <v>50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109</v>
      </c>
      <c r="B36" s="13" t="s">
        <v>49</v>
      </c>
      <c r="C36" s="14">
        <v>18</v>
      </c>
      <c r="D36" s="14">
        <v>19</v>
      </c>
      <c r="E36" s="14">
        <f t="shared" si="3"/>
        <v>1</v>
      </c>
      <c r="F36" s="15" t="s">
        <v>50</v>
      </c>
      <c r="G36" s="15"/>
      <c r="H36" s="15"/>
      <c r="I36" s="15"/>
      <c r="J36" s="15"/>
      <c r="K36" s="15"/>
      <c r="L36" s="15" t="s">
        <v>50</v>
      </c>
      <c r="M36" s="15"/>
      <c r="N36" s="15" t="s">
        <v>50</v>
      </c>
      <c r="O36" s="15"/>
      <c r="P36" s="15" t="s">
        <v>50</v>
      </c>
      <c r="Q36" s="15"/>
      <c r="R36" s="15"/>
      <c r="S36" s="15"/>
      <c r="T36" s="15" t="s">
        <v>50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109</v>
      </c>
      <c r="B37" s="13" t="s">
        <v>49</v>
      </c>
      <c r="C37" s="14">
        <v>19</v>
      </c>
      <c r="D37" s="14">
        <v>20</v>
      </c>
      <c r="E37" s="14">
        <f t="shared" si="3"/>
        <v>1</v>
      </c>
      <c r="F37" s="15" t="s">
        <v>50</v>
      </c>
      <c r="G37" s="15"/>
      <c r="H37" s="15"/>
      <c r="I37" s="15"/>
      <c r="J37" s="15"/>
      <c r="K37" s="15"/>
      <c r="L37" s="15" t="s">
        <v>50</v>
      </c>
      <c r="M37" s="15"/>
      <c r="N37" s="15" t="s">
        <v>50</v>
      </c>
      <c r="O37" s="15"/>
      <c r="P37" s="15" t="s">
        <v>50</v>
      </c>
      <c r="Q37" s="15"/>
      <c r="R37" s="15"/>
      <c r="S37" s="15"/>
      <c r="T37" s="15" t="s">
        <v>50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109</v>
      </c>
      <c r="B38" s="13" t="s">
        <v>49</v>
      </c>
      <c r="C38" s="14">
        <v>20</v>
      </c>
      <c r="D38" s="14">
        <v>21</v>
      </c>
      <c r="E38" s="14">
        <f t="shared" si="3"/>
        <v>1</v>
      </c>
      <c r="F38" s="15" t="s">
        <v>50</v>
      </c>
      <c r="G38" s="15"/>
      <c r="H38" s="15"/>
      <c r="I38" s="15"/>
      <c r="J38" s="15"/>
      <c r="K38" s="15"/>
      <c r="L38" s="15" t="s">
        <v>50</v>
      </c>
      <c r="M38" s="15"/>
      <c r="N38" s="15" t="s">
        <v>50</v>
      </c>
      <c r="O38" s="15"/>
      <c r="P38" s="15" t="s">
        <v>50</v>
      </c>
      <c r="Q38" s="15"/>
      <c r="R38" s="15"/>
      <c r="S38" s="15"/>
      <c r="T38" s="15" t="s">
        <v>50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8" t="s">
        <v>109</v>
      </c>
      <c r="B39" s="19" t="s">
        <v>49</v>
      </c>
      <c r="C39" s="20">
        <v>21</v>
      </c>
      <c r="D39" s="20">
        <v>21.6621356323</v>
      </c>
      <c r="E39" s="20">
        <f t="shared" si="3"/>
        <v>0.66213563230000005</v>
      </c>
      <c r="F39" s="21" t="s">
        <v>50</v>
      </c>
      <c r="G39" s="21"/>
      <c r="H39" s="21"/>
      <c r="I39" s="21"/>
      <c r="J39" s="21"/>
      <c r="K39" s="21"/>
      <c r="L39" s="21" t="s">
        <v>50</v>
      </c>
      <c r="M39" s="21"/>
      <c r="N39" s="21" t="s">
        <v>50</v>
      </c>
      <c r="O39" s="21"/>
      <c r="P39" s="21" t="s">
        <v>50</v>
      </c>
      <c r="Q39" s="21"/>
      <c r="R39" s="21"/>
      <c r="S39" s="21"/>
      <c r="T39" s="21" t="s">
        <v>50</v>
      </c>
      <c r="U39" s="21"/>
      <c r="V39" s="22"/>
      <c r="W39" s="23" t="str">
        <f t="shared" si="4"/>
        <v>OK</v>
      </c>
    </row>
    <row r="40" spans="1:23" ht="15.95" customHeight="1" x14ac:dyDescent="0.25">
      <c r="A40" s="34" t="s">
        <v>110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9"/>
      <c r="W40" s="4"/>
    </row>
    <row r="41" spans="1:23" ht="20.100000000000001" customHeight="1" x14ac:dyDescent="0.25">
      <c r="A41" s="12" t="s">
        <v>111</v>
      </c>
      <c r="B41" s="13" t="s">
        <v>49</v>
      </c>
      <c r="C41" s="14">
        <v>0</v>
      </c>
      <c r="D41" s="14">
        <v>1</v>
      </c>
      <c r="E41" s="14">
        <f t="shared" ref="E41:E61" si="5">D41-C41</f>
        <v>1</v>
      </c>
      <c r="F41" s="15" t="s">
        <v>50</v>
      </c>
      <c r="G41" s="15"/>
      <c r="H41" s="15"/>
      <c r="I41" s="15"/>
      <c r="J41" s="15"/>
      <c r="K41" s="15"/>
      <c r="L41" s="15" t="s">
        <v>50</v>
      </c>
      <c r="M41" s="15"/>
      <c r="N41" s="15" t="s">
        <v>50</v>
      </c>
      <c r="O41" s="15"/>
      <c r="P41" s="15" t="s">
        <v>50</v>
      </c>
      <c r="Q41" s="15"/>
      <c r="R41" s="15"/>
      <c r="S41" s="15"/>
      <c r="T41" s="15" t="s">
        <v>50</v>
      </c>
      <c r="U41" s="15"/>
      <c r="V41" s="16"/>
      <c r="W41" s="17" t="str">
        <f t="shared" ref="W41:W61" si="6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111</v>
      </c>
      <c r="B42" s="13" t="s">
        <v>49</v>
      </c>
      <c r="C42" s="14">
        <v>1</v>
      </c>
      <c r="D42" s="14">
        <v>2</v>
      </c>
      <c r="E42" s="14">
        <f t="shared" si="5"/>
        <v>1</v>
      </c>
      <c r="F42" s="15" t="s">
        <v>50</v>
      </c>
      <c r="G42" s="15"/>
      <c r="H42" s="15"/>
      <c r="I42" s="15"/>
      <c r="J42" s="15"/>
      <c r="K42" s="15"/>
      <c r="L42" s="15" t="s">
        <v>50</v>
      </c>
      <c r="M42" s="15"/>
      <c r="N42" s="15" t="s">
        <v>50</v>
      </c>
      <c r="O42" s="15"/>
      <c r="P42" s="15" t="s">
        <v>50</v>
      </c>
      <c r="Q42" s="15"/>
      <c r="R42" s="15"/>
      <c r="S42" s="15"/>
      <c r="T42" s="15" t="s">
        <v>50</v>
      </c>
      <c r="U42" s="15"/>
      <c r="V42" s="16"/>
      <c r="W42" s="17" t="str">
        <f t="shared" si="6"/>
        <v>OK</v>
      </c>
    </row>
    <row r="43" spans="1:23" ht="20.100000000000001" customHeight="1" thickBot="1" x14ac:dyDescent="0.3">
      <c r="A43" s="12" t="s">
        <v>111</v>
      </c>
      <c r="B43" s="13" t="s">
        <v>49</v>
      </c>
      <c r="C43" s="14">
        <v>2</v>
      </c>
      <c r="D43" s="14">
        <v>3</v>
      </c>
      <c r="E43" s="14">
        <f t="shared" si="5"/>
        <v>1</v>
      </c>
      <c r="F43" s="15" t="s">
        <v>50</v>
      </c>
      <c r="G43" s="15"/>
      <c r="H43" s="15"/>
      <c r="I43" s="15"/>
      <c r="J43" s="15"/>
      <c r="K43" s="15"/>
      <c r="L43" s="21" t="s">
        <v>50</v>
      </c>
      <c r="M43" s="15"/>
      <c r="N43" s="15" t="s">
        <v>50</v>
      </c>
      <c r="O43" s="15"/>
      <c r="P43" s="15" t="s">
        <v>50</v>
      </c>
      <c r="Q43" s="15"/>
      <c r="R43" s="15"/>
      <c r="S43" s="15"/>
      <c r="T43" s="15" t="s">
        <v>50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111</v>
      </c>
      <c r="B44" s="13" t="s">
        <v>49</v>
      </c>
      <c r="C44" s="14">
        <v>3</v>
      </c>
      <c r="D44" s="14">
        <v>4</v>
      </c>
      <c r="E44" s="14">
        <f t="shared" si="5"/>
        <v>1</v>
      </c>
      <c r="F44" s="15" t="s">
        <v>50</v>
      </c>
      <c r="G44" s="15"/>
      <c r="H44" s="15"/>
      <c r="I44" s="15"/>
      <c r="J44" s="15"/>
      <c r="K44" s="15"/>
      <c r="L44" s="15" t="s">
        <v>50</v>
      </c>
      <c r="M44" s="15"/>
      <c r="N44" s="15" t="s">
        <v>50</v>
      </c>
      <c r="O44" s="15"/>
      <c r="P44" s="15" t="s">
        <v>50</v>
      </c>
      <c r="Q44" s="15"/>
      <c r="R44" s="15"/>
      <c r="S44" s="15"/>
      <c r="T44" s="15" t="s">
        <v>50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111</v>
      </c>
      <c r="B45" s="13" t="s">
        <v>49</v>
      </c>
      <c r="C45" s="14">
        <v>4</v>
      </c>
      <c r="D45" s="14">
        <v>5</v>
      </c>
      <c r="E45" s="14">
        <f t="shared" si="5"/>
        <v>1</v>
      </c>
      <c r="F45" s="15" t="s">
        <v>50</v>
      </c>
      <c r="G45" s="15"/>
      <c r="H45" s="15"/>
      <c r="I45" s="15"/>
      <c r="J45" s="15"/>
      <c r="K45" s="15"/>
      <c r="L45" s="15" t="s">
        <v>50</v>
      </c>
      <c r="M45" s="15"/>
      <c r="N45" s="15" t="s">
        <v>50</v>
      </c>
      <c r="O45" s="15"/>
      <c r="P45" s="15" t="s">
        <v>50</v>
      </c>
      <c r="Q45" s="15"/>
      <c r="R45" s="15"/>
      <c r="S45" s="15"/>
      <c r="T45" s="15" t="s">
        <v>50</v>
      </c>
      <c r="U45" s="15"/>
      <c r="V45" s="16"/>
      <c r="W45" s="17" t="str">
        <f t="shared" si="6"/>
        <v>OK</v>
      </c>
    </row>
    <row r="46" spans="1:23" ht="20.100000000000001" customHeight="1" thickBot="1" x14ac:dyDescent="0.3">
      <c r="A46" s="12" t="s">
        <v>111</v>
      </c>
      <c r="B46" s="13" t="s">
        <v>49</v>
      </c>
      <c r="C46" s="14">
        <v>5</v>
      </c>
      <c r="D46" s="14">
        <v>6</v>
      </c>
      <c r="E46" s="14">
        <f t="shared" si="5"/>
        <v>1</v>
      </c>
      <c r="F46" s="15" t="s">
        <v>50</v>
      </c>
      <c r="G46" s="15"/>
      <c r="H46" s="15"/>
      <c r="I46" s="15"/>
      <c r="J46" s="15"/>
      <c r="K46" s="15"/>
      <c r="L46" s="21" t="s">
        <v>50</v>
      </c>
      <c r="M46" s="15"/>
      <c r="N46" s="15" t="s">
        <v>50</v>
      </c>
      <c r="O46" s="15"/>
      <c r="P46" s="15" t="s">
        <v>50</v>
      </c>
      <c r="Q46" s="15"/>
      <c r="R46" s="15"/>
      <c r="S46" s="15"/>
      <c r="T46" s="15" t="s">
        <v>50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111</v>
      </c>
      <c r="B47" s="13" t="s">
        <v>49</v>
      </c>
      <c r="C47" s="14">
        <v>6</v>
      </c>
      <c r="D47" s="14">
        <v>7</v>
      </c>
      <c r="E47" s="14">
        <f t="shared" si="5"/>
        <v>1</v>
      </c>
      <c r="F47" s="15" t="s">
        <v>50</v>
      </c>
      <c r="G47" s="15"/>
      <c r="H47" s="15"/>
      <c r="I47" s="15"/>
      <c r="J47" s="15"/>
      <c r="K47" s="15"/>
      <c r="L47" s="15" t="s">
        <v>50</v>
      </c>
      <c r="M47" s="15"/>
      <c r="N47" s="15" t="s">
        <v>50</v>
      </c>
      <c r="O47" s="15"/>
      <c r="P47" s="15" t="s">
        <v>50</v>
      </c>
      <c r="Q47" s="15"/>
      <c r="R47" s="15"/>
      <c r="S47" s="15"/>
      <c r="T47" s="15" t="s">
        <v>50</v>
      </c>
      <c r="U47" s="15"/>
      <c r="V47" s="16"/>
      <c r="W47" s="17" t="str">
        <f t="shared" si="6"/>
        <v>OK</v>
      </c>
    </row>
    <row r="48" spans="1:23" ht="20.100000000000001" customHeight="1" x14ac:dyDescent="0.25">
      <c r="A48" s="12" t="s">
        <v>111</v>
      </c>
      <c r="B48" s="13" t="s">
        <v>49</v>
      </c>
      <c r="C48" s="14">
        <v>7</v>
      </c>
      <c r="D48" s="14">
        <v>8</v>
      </c>
      <c r="E48" s="14">
        <f t="shared" si="5"/>
        <v>1</v>
      </c>
      <c r="F48" s="15" t="s">
        <v>50</v>
      </c>
      <c r="G48" s="15"/>
      <c r="H48" s="15"/>
      <c r="I48" s="15"/>
      <c r="J48" s="15"/>
      <c r="K48" s="15"/>
      <c r="L48" s="15" t="s">
        <v>50</v>
      </c>
      <c r="M48" s="15"/>
      <c r="N48" s="15" t="s">
        <v>50</v>
      </c>
      <c r="O48" s="15"/>
      <c r="P48" s="15" t="s">
        <v>50</v>
      </c>
      <c r="Q48" s="15"/>
      <c r="R48" s="15"/>
      <c r="S48" s="15"/>
      <c r="T48" s="15" t="s">
        <v>50</v>
      </c>
      <c r="U48" s="15"/>
      <c r="V48" s="16"/>
      <c r="W48" s="17" t="str">
        <f t="shared" si="6"/>
        <v>OK</v>
      </c>
    </row>
    <row r="49" spans="1:23" ht="20.100000000000001" customHeight="1" thickBot="1" x14ac:dyDescent="0.3">
      <c r="A49" s="12" t="s">
        <v>111</v>
      </c>
      <c r="B49" s="13" t="s">
        <v>49</v>
      </c>
      <c r="C49" s="14">
        <v>8</v>
      </c>
      <c r="D49" s="14">
        <v>9</v>
      </c>
      <c r="E49" s="14">
        <f t="shared" si="5"/>
        <v>1</v>
      </c>
      <c r="F49" s="15" t="s">
        <v>50</v>
      </c>
      <c r="G49" s="15"/>
      <c r="H49" s="15"/>
      <c r="I49" s="15"/>
      <c r="J49" s="15"/>
      <c r="K49" s="15"/>
      <c r="L49" s="21" t="s">
        <v>50</v>
      </c>
      <c r="M49" s="15"/>
      <c r="N49" s="15" t="s">
        <v>50</v>
      </c>
      <c r="O49" s="15"/>
      <c r="P49" s="15" t="s">
        <v>50</v>
      </c>
      <c r="Q49" s="15"/>
      <c r="R49" s="15"/>
      <c r="S49" s="15"/>
      <c r="T49" s="15" t="s">
        <v>50</v>
      </c>
      <c r="U49" s="15"/>
      <c r="V49" s="16"/>
      <c r="W49" s="17" t="str">
        <f t="shared" si="6"/>
        <v>OK</v>
      </c>
    </row>
    <row r="50" spans="1:23" ht="20.100000000000001" customHeight="1" x14ac:dyDescent="0.25">
      <c r="A50" s="12" t="s">
        <v>111</v>
      </c>
      <c r="B50" s="13" t="s">
        <v>49</v>
      </c>
      <c r="C50" s="14">
        <v>9</v>
      </c>
      <c r="D50" s="14">
        <v>10</v>
      </c>
      <c r="E50" s="14">
        <f t="shared" si="5"/>
        <v>1</v>
      </c>
      <c r="F50" s="15" t="s">
        <v>50</v>
      </c>
      <c r="G50" s="15"/>
      <c r="H50" s="15"/>
      <c r="I50" s="15"/>
      <c r="J50" s="15"/>
      <c r="K50" s="15"/>
      <c r="L50" s="15" t="s">
        <v>50</v>
      </c>
      <c r="M50" s="15"/>
      <c r="N50" s="15" t="s">
        <v>50</v>
      </c>
      <c r="O50" s="15"/>
      <c r="P50" s="15" t="s">
        <v>50</v>
      </c>
      <c r="Q50" s="15"/>
      <c r="R50" s="15"/>
      <c r="S50" s="15"/>
      <c r="T50" s="15" t="s">
        <v>50</v>
      </c>
      <c r="U50" s="15"/>
      <c r="V50" s="16"/>
      <c r="W50" s="17" t="str">
        <f t="shared" si="6"/>
        <v>OK</v>
      </c>
    </row>
    <row r="51" spans="1:23" ht="20.100000000000001" customHeight="1" x14ac:dyDescent="0.25">
      <c r="A51" s="12" t="s">
        <v>111</v>
      </c>
      <c r="B51" s="13" t="s">
        <v>49</v>
      </c>
      <c r="C51" s="14">
        <v>10</v>
      </c>
      <c r="D51" s="14">
        <v>11</v>
      </c>
      <c r="E51" s="14">
        <f t="shared" si="5"/>
        <v>1</v>
      </c>
      <c r="F51" s="15" t="s">
        <v>50</v>
      </c>
      <c r="G51" s="15"/>
      <c r="H51" s="15"/>
      <c r="I51" s="15"/>
      <c r="J51" s="15"/>
      <c r="K51" s="15"/>
      <c r="L51" s="15" t="s">
        <v>50</v>
      </c>
      <c r="M51" s="15"/>
      <c r="N51" s="15" t="s">
        <v>50</v>
      </c>
      <c r="O51" s="15"/>
      <c r="P51" s="15" t="s">
        <v>50</v>
      </c>
      <c r="Q51" s="15"/>
      <c r="R51" s="15"/>
      <c r="S51" s="15"/>
      <c r="T51" s="15" t="s">
        <v>50</v>
      </c>
      <c r="U51" s="15"/>
      <c r="V51" s="16"/>
      <c r="W51" s="17" t="str">
        <f t="shared" si="6"/>
        <v>OK</v>
      </c>
    </row>
    <row r="52" spans="1:23" ht="20.100000000000001" customHeight="1" thickBot="1" x14ac:dyDescent="0.3">
      <c r="A52" s="12" t="s">
        <v>111</v>
      </c>
      <c r="B52" s="13" t="s">
        <v>49</v>
      </c>
      <c r="C52" s="14">
        <v>11</v>
      </c>
      <c r="D52" s="14">
        <v>12</v>
      </c>
      <c r="E52" s="14">
        <f t="shared" si="5"/>
        <v>1</v>
      </c>
      <c r="F52" s="15" t="s">
        <v>50</v>
      </c>
      <c r="G52" s="15"/>
      <c r="H52" s="15"/>
      <c r="I52" s="15"/>
      <c r="J52" s="15"/>
      <c r="K52" s="15"/>
      <c r="L52" s="21" t="s">
        <v>50</v>
      </c>
      <c r="M52" s="15"/>
      <c r="N52" s="21" t="s">
        <v>50</v>
      </c>
      <c r="O52" s="15"/>
      <c r="P52" s="15" t="s">
        <v>50</v>
      </c>
      <c r="Q52" s="15"/>
      <c r="R52" s="15"/>
      <c r="S52" s="15"/>
      <c r="T52" s="15" t="s">
        <v>50</v>
      </c>
      <c r="U52" s="15"/>
      <c r="V52" s="16"/>
      <c r="W52" s="17" t="str">
        <f t="shared" si="6"/>
        <v>OK</v>
      </c>
    </row>
    <row r="53" spans="1:23" ht="20.100000000000001" customHeight="1" x14ac:dyDescent="0.25">
      <c r="A53" s="12" t="s">
        <v>111</v>
      </c>
      <c r="B53" s="13" t="s">
        <v>49</v>
      </c>
      <c r="C53" s="14">
        <v>12</v>
      </c>
      <c r="D53" s="14">
        <v>13</v>
      </c>
      <c r="E53" s="14">
        <f t="shared" si="5"/>
        <v>1</v>
      </c>
      <c r="F53" s="15" t="s">
        <v>50</v>
      </c>
      <c r="G53" s="15"/>
      <c r="H53" s="15"/>
      <c r="I53" s="15"/>
      <c r="J53" s="15"/>
      <c r="K53" s="15"/>
      <c r="L53" s="15" t="s">
        <v>50</v>
      </c>
      <c r="M53" s="15"/>
      <c r="N53" s="15" t="s">
        <v>50</v>
      </c>
      <c r="O53" s="15"/>
      <c r="P53" s="15" t="s">
        <v>50</v>
      </c>
      <c r="Q53" s="15"/>
      <c r="R53" s="15"/>
      <c r="S53" s="15"/>
      <c r="T53" s="15" t="s">
        <v>50</v>
      </c>
      <c r="U53" s="15"/>
      <c r="V53" s="16"/>
      <c r="W53" s="17" t="str">
        <f t="shared" si="6"/>
        <v>OK</v>
      </c>
    </row>
    <row r="54" spans="1:23" ht="20.100000000000001" customHeight="1" thickBot="1" x14ac:dyDescent="0.3">
      <c r="A54" s="12" t="s">
        <v>111</v>
      </c>
      <c r="B54" s="13" t="s">
        <v>49</v>
      </c>
      <c r="C54" s="14">
        <v>13</v>
      </c>
      <c r="D54" s="14">
        <v>14</v>
      </c>
      <c r="E54" s="14">
        <f t="shared" si="5"/>
        <v>1</v>
      </c>
      <c r="F54" s="15" t="s">
        <v>50</v>
      </c>
      <c r="G54" s="15"/>
      <c r="H54" s="15"/>
      <c r="I54" s="15"/>
      <c r="J54" s="15"/>
      <c r="K54" s="15"/>
      <c r="L54" s="15" t="s">
        <v>50</v>
      </c>
      <c r="M54" s="15"/>
      <c r="N54" s="21" t="s">
        <v>50</v>
      </c>
      <c r="O54" s="15"/>
      <c r="P54" s="15" t="s">
        <v>50</v>
      </c>
      <c r="Q54" s="15"/>
      <c r="R54" s="15"/>
      <c r="S54" s="15"/>
      <c r="T54" s="15" t="s">
        <v>50</v>
      </c>
      <c r="U54" s="15"/>
      <c r="V54" s="16"/>
      <c r="W54" s="17" t="str">
        <f t="shared" si="6"/>
        <v>OK</v>
      </c>
    </row>
    <row r="55" spans="1:23" ht="20.100000000000001" customHeight="1" thickBot="1" x14ac:dyDescent="0.3">
      <c r="A55" s="12" t="s">
        <v>111</v>
      </c>
      <c r="B55" s="13" t="s">
        <v>49</v>
      </c>
      <c r="C55" s="14">
        <v>14</v>
      </c>
      <c r="D55" s="14">
        <v>15</v>
      </c>
      <c r="E55" s="14">
        <f t="shared" si="5"/>
        <v>1</v>
      </c>
      <c r="F55" s="15" t="s">
        <v>50</v>
      </c>
      <c r="G55" s="15"/>
      <c r="H55" s="15"/>
      <c r="I55" s="15"/>
      <c r="J55" s="15"/>
      <c r="K55" s="15"/>
      <c r="L55" s="21" t="s">
        <v>50</v>
      </c>
      <c r="M55" s="15"/>
      <c r="N55" s="15" t="s">
        <v>50</v>
      </c>
      <c r="O55" s="15"/>
      <c r="P55" s="15" t="s">
        <v>50</v>
      </c>
      <c r="Q55" s="15"/>
      <c r="R55" s="15"/>
      <c r="S55" s="15"/>
      <c r="T55" s="15" t="s">
        <v>50</v>
      </c>
      <c r="U55" s="15"/>
      <c r="V55" s="16"/>
      <c r="W55" s="17" t="str">
        <f t="shared" si="6"/>
        <v>OK</v>
      </c>
    </row>
    <row r="56" spans="1:23" ht="20.100000000000001" customHeight="1" thickBot="1" x14ac:dyDescent="0.3">
      <c r="A56" s="12" t="s">
        <v>111</v>
      </c>
      <c r="B56" s="13" t="s">
        <v>49</v>
      </c>
      <c r="C56" s="14">
        <v>15</v>
      </c>
      <c r="D56" s="14">
        <v>16</v>
      </c>
      <c r="E56" s="14">
        <f t="shared" si="5"/>
        <v>1</v>
      </c>
      <c r="F56" s="15" t="s">
        <v>50</v>
      </c>
      <c r="G56" s="15"/>
      <c r="H56" s="15"/>
      <c r="I56" s="15"/>
      <c r="J56" s="15"/>
      <c r="K56" s="15"/>
      <c r="L56" s="15" t="s">
        <v>50</v>
      </c>
      <c r="M56" s="15"/>
      <c r="N56" s="21" t="s">
        <v>50</v>
      </c>
      <c r="O56" s="15"/>
      <c r="P56" s="15" t="s">
        <v>50</v>
      </c>
      <c r="Q56" s="15"/>
      <c r="R56" s="15"/>
      <c r="S56" s="15"/>
      <c r="T56" s="15" t="s">
        <v>50</v>
      </c>
      <c r="U56" s="15"/>
      <c r="V56" s="16"/>
      <c r="W56" s="17" t="str">
        <f t="shared" si="6"/>
        <v>OK</v>
      </c>
    </row>
    <row r="57" spans="1:23" ht="20.100000000000001" customHeight="1" x14ac:dyDescent="0.25">
      <c r="A57" s="12" t="s">
        <v>111</v>
      </c>
      <c r="B57" s="13" t="s">
        <v>49</v>
      </c>
      <c r="C57" s="14">
        <v>16</v>
      </c>
      <c r="D57" s="14">
        <v>17</v>
      </c>
      <c r="E57" s="14">
        <f t="shared" si="5"/>
        <v>1</v>
      </c>
      <c r="F57" s="15" t="s">
        <v>50</v>
      </c>
      <c r="G57" s="15"/>
      <c r="H57" s="15"/>
      <c r="I57" s="15"/>
      <c r="J57" s="15"/>
      <c r="K57" s="15"/>
      <c r="L57" s="15" t="s">
        <v>50</v>
      </c>
      <c r="M57" s="15"/>
      <c r="N57" s="15" t="s">
        <v>50</v>
      </c>
      <c r="O57" s="15"/>
      <c r="P57" s="15" t="s">
        <v>50</v>
      </c>
      <c r="Q57" s="15"/>
      <c r="R57" s="15"/>
      <c r="S57" s="15"/>
      <c r="T57" s="15" t="s">
        <v>50</v>
      </c>
      <c r="U57" s="15"/>
      <c r="V57" s="16"/>
      <c r="W57" s="17" t="str">
        <f t="shared" si="6"/>
        <v>OK</v>
      </c>
    </row>
    <row r="58" spans="1:23" ht="20.100000000000001" customHeight="1" thickBot="1" x14ac:dyDescent="0.3">
      <c r="A58" s="12" t="s">
        <v>111</v>
      </c>
      <c r="B58" s="13" t="s">
        <v>49</v>
      </c>
      <c r="C58" s="14">
        <v>17</v>
      </c>
      <c r="D58" s="14">
        <v>18</v>
      </c>
      <c r="E58" s="14">
        <f t="shared" si="5"/>
        <v>1</v>
      </c>
      <c r="F58" s="15" t="s">
        <v>50</v>
      </c>
      <c r="G58" s="15"/>
      <c r="H58" s="15"/>
      <c r="I58" s="15"/>
      <c r="J58" s="15"/>
      <c r="K58" s="15"/>
      <c r="L58" s="21" t="s">
        <v>50</v>
      </c>
      <c r="M58" s="15"/>
      <c r="N58" s="21" t="s">
        <v>50</v>
      </c>
      <c r="O58" s="15"/>
      <c r="P58" s="15" t="s">
        <v>50</v>
      </c>
      <c r="Q58" s="15"/>
      <c r="R58" s="15"/>
      <c r="S58" s="15"/>
      <c r="T58" s="15" t="s">
        <v>50</v>
      </c>
      <c r="U58" s="15"/>
      <c r="V58" s="16"/>
      <c r="W58" s="17" t="str">
        <f t="shared" si="6"/>
        <v>OK</v>
      </c>
    </row>
    <row r="59" spans="1:23" ht="20.100000000000001" customHeight="1" x14ac:dyDescent="0.25">
      <c r="A59" s="12" t="s">
        <v>111</v>
      </c>
      <c r="B59" s="13" t="s">
        <v>49</v>
      </c>
      <c r="C59" s="14">
        <v>18</v>
      </c>
      <c r="D59" s="14">
        <v>19</v>
      </c>
      <c r="E59" s="14">
        <f t="shared" si="5"/>
        <v>1</v>
      </c>
      <c r="F59" s="15" t="s">
        <v>50</v>
      </c>
      <c r="G59" s="15"/>
      <c r="H59" s="15"/>
      <c r="I59" s="15"/>
      <c r="J59" s="15"/>
      <c r="K59" s="15"/>
      <c r="L59" s="15" t="s">
        <v>50</v>
      </c>
      <c r="M59" s="15"/>
      <c r="N59" s="15" t="s">
        <v>50</v>
      </c>
      <c r="O59" s="15"/>
      <c r="P59" s="15" t="s">
        <v>50</v>
      </c>
      <c r="Q59" s="15"/>
      <c r="R59" s="15"/>
      <c r="S59" s="15"/>
      <c r="T59" s="15" t="s">
        <v>50</v>
      </c>
      <c r="U59" s="15"/>
      <c r="V59" s="16"/>
      <c r="W59" s="17" t="str">
        <f t="shared" si="6"/>
        <v>OK</v>
      </c>
    </row>
    <row r="60" spans="1:23" ht="20.100000000000001" customHeight="1" thickBot="1" x14ac:dyDescent="0.3">
      <c r="A60" s="12" t="s">
        <v>111</v>
      </c>
      <c r="B60" s="13" t="s">
        <v>49</v>
      </c>
      <c r="C60" s="14">
        <v>19</v>
      </c>
      <c r="D60" s="14">
        <v>20</v>
      </c>
      <c r="E60" s="14">
        <f t="shared" si="5"/>
        <v>1</v>
      </c>
      <c r="F60" s="15" t="s">
        <v>50</v>
      </c>
      <c r="G60" s="15"/>
      <c r="H60" s="15"/>
      <c r="I60" s="15"/>
      <c r="J60" s="15"/>
      <c r="K60" s="15"/>
      <c r="L60" s="15" t="s">
        <v>50</v>
      </c>
      <c r="M60" s="15"/>
      <c r="N60" s="21" t="s">
        <v>50</v>
      </c>
      <c r="O60" s="15"/>
      <c r="P60" s="15" t="s">
        <v>50</v>
      </c>
      <c r="Q60" s="15"/>
      <c r="R60" s="15"/>
      <c r="S60" s="15"/>
      <c r="T60" s="15" t="s">
        <v>50</v>
      </c>
      <c r="U60" s="15"/>
      <c r="V60" s="16"/>
      <c r="W60" s="17" t="str">
        <f t="shared" si="6"/>
        <v>OK</v>
      </c>
    </row>
    <row r="61" spans="1:23" ht="20.100000000000001" customHeight="1" thickBot="1" x14ac:dyDescent="0.3">
      <c r="A61" s="18" t="s">
        <v>111</v>
      </c>
      <c r="B61" s="19" t="s">
        <v>49</v>
      </c>
      <c r="C61" s="20">
        <v>20</v>
      </c>
      <c r="D61" s="20">
        <v>20.248566508100001</v>
      </c>
      <c r="E61" s="20">
        <f t="shared" si="5"/>
        <v>0.24856650810000147</v>
      </c>
      <c r="F61" s="21" t="s">
        <v>50</v>
      </c>
      <c r="G61" s="21"/>
      <c r="H61" s="21"/>
      <c r="I61" s="21"/>
      <c r="J61" s="21"/>
      <c r="K61" s="21"/>
      <c r="L61" s="21" t="s">
        <v>50</v>
      </c>
      <c r="M61" s="21"/>
      <c r="N61" s="15" t="s">
        <v>50</v>
      </c>
      <c r="O61" s="21"/>
      <c r="P61" s="21" t="s">
        <v>50</v>
      </c>
      <c r="Q61" s="21"/>
      <c r="R61" s="21"/>
      <c r="S61" s="21"/>
      <c r="T61" s="21" t="s">
        <v>50</v>
      </c>
      <c r="U61" s="21"/>
      <c r="V61" s="22"/>
      <c r="W61" s="23" t="str">
        <f t="shared" si="6"/>
        <v>OK</v>
      </c>
    </row>
    <row r="62" spans="1:23" ht="15" customHeight="1" x14ac:dyDescent="0.25">
      <c r="A62" s="50" t="s">
        <v>112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9"/>
      <c r="W62" s="4"/>
    </row>
    <row r="63" spans="1:23" ht="15.95" customHeight="1" x14ac:dyDescent="0.25">
      <c r="A63" s="34" t="s">
        <v>113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9"/>
      <c r="W63" s="4"/>
    </row>
    <row r="64" spans="1:23" ht="20.100000000000001" customHeight="1" x14ac:dyDescent="0.25">
      <c r="A64" s="12" t="s">
        <v>114</v>
      </c>
      <c r="B64" s="13" t="s">
        <v>49</v>
      </c>
      <c r="C64" s="14">
        <v>0</v>
      </c>
      <c r="D64" s="14">
        <v>1</v>
      </c>
      <c r="E64" s="14">
        <f t="shared" ref="E64:E72" si="7">D64-C64</f>
        <v>1</v>
      </c>
      <c r="F64" s="15" t="s">
        <v>50</v>
      </c>
      <c r="G64" s="15"/>
      <c r="H64" s="15"/>
      <c r="I64" s="15"/>
      <c r="J64" s="15"/>
      <c r="K64" s="15"/>
      <c r="L64" s="15" t="s">
        <v>50</v>
      </c>
      <c r="M64" s="15"/>
      <c r="N64" s="15" t="s">
        <v>50</v>
      </c>
      <c r="O64" s="15"/>
      <c r="P64" s="15" t="s">
        <v>50</v>
      </c>
      <c r="Q64" s="15"/>
      <c r="R64" s="15"/>
      <c r="S64" s="15"/>
      <c r="T64" s="15" t="s">
        <v>50</v>
      </c>
      <c r="U64" s="15"/>
      <c r="V64" s="16"/>
      <c r="W64" s="17" t="str">
        <f t="shared" ref="W64:W72" si="8">IF(COUNTA(F64:U64)=0,"— não preenchido",IF(COUNTIF(F64:J64,"X")&lt;&gt;1,"FALTA/DUPLA: CONDIÇÃO DO PAVIMENTO",IF(COUNTIF(K64:L64,"X")&lt;&gt;1,"FALTA/DUPLA: VEGETAÇÃO",IF(COUNTIF(M64:O64,"X")&lt;&gt;1,"FALTA/DUPLA: ELEM. DE DRENAGEM",IF(COUNTIF(P64:R64,"X")&lt;&gt;1,"FALTA/DUPLA: SIN. HORIZ.",IF(COUNTIF(S64:U64,"X")&lt;&gt;1,"FALTA/DUPLA: SIN. VERTICAL","OK"))))))</f>
        <v>OK</v>
      </c>
    </row>
    <row r="65" spans="1:23" ht="20.100000000000001" customHeight="1" x14ac:dyDescent="0.25">
      <c r="A65" s="12" t="s">
        <v>114</v>
      </c>
      <c r="B65" s="13" t="s">
        <v>49</v>
      </c>
      <c r="C65" s="14">
        <v>1</v>
      </c>
      <c r="D65" s="14">
        <v>2</v>
      </c>
      <c r="E65" s="14">
        <f t="shared" si="7"/>
        <v>1</v>
      </c>
      <c r="F65" s="15" t="s">
        <v>50</v>
      </c>
      <c r="G65" s="15"/>
      <c r="H65" s="15"/>
      <c r="I65" s="15"/>
      <c r="J65" s="15"/>
      <c r="K65" s="15"/>
      <c r="L65" s="15" t="s">
        <v>50</v>
      </c>
      <c r="M65" s="15"/>
      <c r="N65" s="15" t="s">
        <v>50</v>
      </c>
      <c r="O65" s="15"/>
      <c r="P65" s="15" t="s">
        <v>50</v>
      </c>
      <c r="Q65" s="15"/>
      <c r="R65" s="15"/>
      <c r="S65" s="15"/>
      <c r="T65" s="15" t="s">
        <v>50</v>
      </c>
      <c r="U65" s="15"/>
      <c r="V65" s="16"/>
      <c r="W65" s="17" t="str">
        <f t="shared" si="8"/>
        <v>OK</v>
      </c>
    </row>
    <row r="66" spans="1:23" ht="20.100000000000001" customHeight="1" thickBot="1" x14ac:dyDescent="0.3">
      <c r="A66" s="12" t="s">
        <v>114</v>
      </c>
      <c r="B66" s="13" t="s">
        <v>49</v>
      </c>
      <c r="C66" s="14">
        <v>2</v>
      </c>
      <c r="D66" s="14">
        <v>3</v>
      </c>
      <c r="E66" s="14">
        <f t="shared" si="7"/>
        <v>1</v>
      </c>
      <c r="F66" s="15" t="s">
        <v>50</v>
      </c>
      <c r="G66" s="15"/>
      <c r="H66" s="15"/>
      <c r="I66" s="15"/>
      <c r="J66" s="15"/>
      <c r="K66" s="15"/>
      <c r="L66" s="21" t="s">
        <v>50</v>
      </c>
      <c r="M66" s="15"/>
      <c r="N66" s="21" t="s">
        <v>50</v>
      </c>
      <c r="O66" s="15"/>
      <c r="P66" s="15" t="s">
        <v>50</v>
      </c>
      <c r="Q66" s="15"/>
      <c r="R66" s="15"/>
      <c r="S66" s="15"/>
      <c r="T66" s="15" t="s">
        <v>50</v>
      </c>
      <c r="U66" s="15"/>
      <c r="V66" s="16"/>
      <c r="W66" s="17" t="str">
        <f t="shared" si="8"/>
        <v>OK</v>
      </c>
    </row>
    <row r="67" spans="1:23" ht="20.100000000000001" customHeight="1" x14ac:dyDescent="0.25">
      <c r="A67" s="12" t="s">
        <v>114</v>
      </c>
      <c r="B67" s="13" t="s">
        <v>49</v>
      </c>
      <c r="C67" s="14">
        <v>3</v>
      </c>
      <c r="D67" s="14">
        <v>4</v>
      </c>
      <c r="E67" s="14">
        <f t="shared" si="7"/>
        <v>1</v>
      </c>
      <c r="F67" s="15" t="s">
        <v>50</v>
      </c>
      <c r="G67" s="15"/>
      <c r="H67" s="15"/>
      <c r="I67" s="15"/>
      <c r="J67" s="15"/>
      <c r="K67" s="15"/>
      <c r="L67" s="15" t="s">
        <v>50</v>
      </c>
      <c r="M67" s="15"/>
      <c r="N67" s="15" t="s">
        <v>50</v>
      </c>
      <c r="O67" s="15"/>
      <c r="P67" s="15" t="s">
        <v>50</v>
      </c>
      <c r="Q67" s="15"/>
      <c r="R67" s="15"/>
      <c r="S67" s="15"/>
      <c r="T67" s="15" t="s">
        <v>50</v>
      </c>
      <c r="U67" s="15"/>
      <c r="V67" s="16"/>
      <c r="W67" s="17" t="str">
        <f t="shared" si="8"/>
        <v>OK</v>
      </c>
    </row>
    <row r="68" spans="1:23" ht="20.100000000000001" customHeight="1" x14ac:dyDescent="0.25">
      <c r="A68" s="12" t="s">
        <v>114</v>
      </c>
      <c r="B68" s="13" t="s">
        <v>49</v>
      </c>
      <c r="C68" s="14">
        <v>4</v>
      </c>
      <c r="D68" s="14">
        <v>5</v>
      </c>
      <c r="E68" s="14">
        <f t="shared" si="7"/>
        <v>1</v>
      </c>
      <c r="F68" s="15" t="s">
        <v>50</v>
      </c>
      <c r="G68" s="15"/>
      <c r="H68" s="15"/>
      <c r="I68" s="15"/>
      <c r="J68" s="15"/>
      <c r="K68" s="15"/>
      <c r="L68" s="15" t="s">
        <v>50</v>
      </c>
      <c r="M68" s="15"/>
      <c r="N68" s="15" t="s">
        <v>50</v>
      </c>
      <c r="O68" s="15"/>
      <c r="P68" s="15" t="s">
        <v>50</v>
      </c>
      <c r="Q68" s="15"/>
      <c r="R68" s="15"/>
      <c r="S68" s="15"/>
      <c r="T68" s="15" t="s">
        <v>50</v>
      </c>
      <c r="U68" s="15"/>
      <c r="V68" s="16"/>
      <c r="W68" s="17" t="str">
        <f t="shared" si="8"/>
        <v>OK</v>
      </c>
    </row>
    <row r="69" spans="1:23" ht="20.100000000000001" customHeight="1" x14ac:dyDescent="0.25">
      <c r="A69" s="12" t="s">
        <v>114</v>
      </c>
      <c r="B69" s="13" t="s">
        <v>49</v>
      </c>
      <c r="C69" s="14">
        <v>5</v>
      </c>
      <c r="D69" s="14">
        <v>6</v>
      </c>
      <c r="E69" s="14">
        <f t="shared" si="7"/>
        <v>1</v>
      </c>
      <c r="F69" s="15" t="s">
        <v>50</v>
      </c>
      <c r="G69" s="15"/>
      <c r="H69" s="15"/>
      <c r="I69" s="15"/>
      <c r="J69" s="15"/>
      <c r="K69" s="15"/>
      <c r="L69" s="15" t="s">
        <v>50</v>
      </c>
      <c r="M69" s="15"/>
      <c r="N69" s="15" t="s">
        <v>50</v>
      </c>
      <c r="O69" s="15"/>
      <c r="P69" s="15" t="s">
        <v>50</v>
      </c>
      <c r="Q69" s="15"/>
      <c r="R69" s="15"/>
      <c r="S69" s="15"/>
      <c r="T69" s="15" t="s">
        <v>50</v>
      </c>
      <c r="U69" s="15"/>
      <c r="V69" s="16"/>
      <c r="W69" s="17" t="str">
        <f t="shared" si="8"/>
        <v>OK</v>
      </c>
    </row>
    <row r="70" spans="1:23" ht="20.100000000000001" customHeight="1" x14ac:dyDescent="0.25">
      <c r="A70" s="12" t="s">
        <v>114</v>
      </c>
      <c r="B70" s="13" t="s">
        <v>49</v>
      </c>
      <c r="C70" s="14">
        <v>6</v>
      </c>
      <c r="D70" s="14">
        <v>7</v>
      </c>
      <c r="E70" s="14">
        <f t="shared" si="7"/>
        <v>1</v>
      </c>
      <c r="F70" s="15" t="s">
        <v>50</v>
      </c>
      <c r="G70" s="15"/>
      <c r="H70" s="15"/>
      <c r="I70" s="15"/>
      <c r="J70" s="15"/>
      <c r="K70" s="15"/>
      <c r="L70" s="15" t="s">
        <v>50</v>
      </c>
      <c r="M70" s="15"/>
      <c r="N70" s="15" t="s">
        <v>50</v>
      </c>
      <c r="O70" s="15"/>
      <c r="P70" s="15" t="s">
        <v>50</v>
      </c>
      <c r="Q70" s="15"/>
      <c r="R70" s="15"/>
      <c r="S70" s="15"/>
      <c r="T70" s="15" t="s">
        <v>50</v>
      </c>
      <c r="U70" s="15"/>
      <c r="V70" s="16"/>
      <c r="W70" s="17" t="str">
        <f t="shared" si="8"/>
        <v>OK</v>
      </c>
    </row>
    <row r="71" spans="1:23" ht="20.100000000000001" customHeight="1" x14ac:dyDescent="0.25">
      <c r="A71" s="12" t="s">
        <v>114</v>
      </c>
      <c r="B71" s="13" t="s">
        <v>49</v>
      </c>
      <c r="C71" s="14">
        <v>7</v>
      </c>
      <c r="D71" s="14">
        <v>8</v>
      </c>
      <c r="E71" s="14">
        <f t="shared" si="7"/>
        <v>1</v>
      </c>
      <c r="F71" s="15" t="s">
        <v>50</v>
      </c>
      <c r="G71" s="15"/>
      <c r="H71" s="15"/>
      <c r="I71" s="15"/>
      <c r="J71" s="15"/>
      <c r="K71" s="15"/>
      <c r="L71" s="15" t="s">
        <v>50</v>
      </c>
      <c r="M71" s="15"/>
      <c r="N71" s="15" t="s">
        <v>50</v>
      </c>
      <c r="O71" s="15"/>
      <c r="P71" s="15" t="s">
        <v>50</v>
      </c>
      <c r="Q71" s="15"/>
      <c r="R71" s="15"/>
      <c r="S71" s="15"/>
      <c r="T71" s="15" t="s">
        <v>50</v>
      </c>
      <c r="U71" s="15"/>
      <c r="V71" s="16"/>
      <c r="W71" s="17" t="str">
        <f t="shared" si="8"/>
        <v>OK</v>
      </c>
    </row>
    <row r="72" spans="1:23" ht="20.100000000000001" customHeight="1" thickBot="1" x14ac:dyDescent="0.3">
      <c r="A72" s="18" t="s">
        <v>114</v>
      </c>
      <c r="B72" s="19" t="s">
        <v>49</v>
      </c>
      <c r="C72" s="20">
        <v>8</v>
      </c>
      <c r="D72" s="20">
        <v>8.3712251020600004</v>
      </c>
      <c r="E72" s="20">
        <f t="shared" si="7"/>
        <v>0.37122510206000037</v>
      </c>
      <c r="F72" s="21" t="s">
        <v>50</v>
      </c>
      <c r="G72" s="21"/>
      <c r="H72" s="21"/>
      <c r="I72" s="21"/>
      <c r="J72" s="21"/>
      <c r="K72" s="21"/>
      <c r="L72" s="15" t="s">
        <v>50</v>
      </c>
      <c r="M72" s="21"/>
      <c r="N72" s="15" t="s">
        <v>50</v>
      </c>
      <c r="O72" s="21"/>
      <c r="P72" s="21" t="s">
        <v>50</v>
      </c>
      <c r="Q72" s="21"/>
      <c r="R72" s="21"/>
      <c r="S72" s="21"/>
      <c r="T72" s="21" t="s">
        <v>50</v>
      </c>
      <c r="U72" s="21"/>
      <c r="V72" s="22"/>
      <c r="W72" s="23" t="str">
        <f t="shared" si="8"/>
        <v>OK</v>
      </c>
    </row>
    <row r="73" spans="1:23" ht="15.95" customHeight="1" x14ac:dyDescent="0.25">
      <c r="A73" s="34" t="s">
        <v>115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9"/>
      <c r="W73" s="4"/>
    </row>
    <row r="74" spans="1:23" ht="20.100000000000001" customHeight="1" x14ac:dyDescent="0.25">
      <c r="A74" s="12" t="s">
        <v>116</v>
      </c>
      <c r="B74" s="13" t="s">
        <v>49</v>
      </c>
      <c r="C74" s="14">
        <v>0</v>
      </c>
      <c r="D74" s="14">
        <v>1</v>
      </c>
      <c r="E74" s="14">
        <f t="shared" ref="E74:E90" si="9">D74-C74</f>
        <v>1</v>
      </c>
      <c r="F74" s="15" t="s">
        <v>50</v>
      </c>
      <c r="G74" s="15"/>
      <c r="H74" s="15"/>
      <c r="I74" s="15"/>
      <c r="J74" s="15"/>
      <c r="K74" s="15"/>
      <c r="L74" s="15" t="s">
        <v>50</v>
      </c>
      <c r="M74" s="15"/>
      <c r="N74" s="15" t="s">
        <v>50</v>
      </c>
      <c r="O74" s="15"/>
      <c r="P74" s="15" t="s">
        <v>50</v>
      </c>
      <c r="Q74" s="15"/>
      <c r="R74" s="15"/>
      <c r="S74" s="15"/>
      <c r="T74" s="15" t="s">
        <v>50</v>
      </c>
      <c r="U74" s="15"/>
      <c r="V74" s="16"/>
      <c r="W74" s="17" t="str">
        <f t="shared" ref="W74:W90" si="10">IF(COUNTA(F74:U74)=0,"— não preenchido",IF(COUNTIF(F74:J74,"X")&lt;&gt;1,"FALTA/DUPLA: CONDIÇÃO DO PAVIMENTO",IF(COUNTIF(K74:L74,"X")&lt;&gt;1,"FALTA/DUPLA: VEGETAÇÃO",IF(COUNTIF(M74:O74,"X")&lt;&gt;1,"FALTA/DUPLA: ELEM. DE DRENAGEM",IF(COUNTIF(P74:R74,"X")&lt;&gt;1,"FALTA/DUPLA: SIN. HORIZ.",IF(COUNTIF(S74:U74,"X")&lt;&gt;1,"FALTA/DUPLA: SIN. VERTICAL","OK"))))))</f>
        <v>OK</v>
      </c>
    </row>
    <row r="75" spans="1:23" ht="20.100000000000001" customHeight="1" x14ac:dyDescent="0.25">
      <c r="A75" s="12" t="s">
        <v>116</v>
      </c>
      <c r="B75" s="13" t="s">
        <v>49</v>
      </c>
      <c r="C75" s="14">
        <v>1</v>
      </c>
      <c r="D75" s="14">
        <v>2</v>
      </c>
      <c r="E75" s="14">
        <f t="shared" si="9"/>
        <v>1</v>
      </c>
      <c r="F75" s="15" t="s">
        <v>50</v>
      </c>
      <c r="G75" s="15"/>
      <c r="H75" s="15"/>
      <c r="I75" s="15"/>
      <c r="J75" s="15"/>
      <c r="K75" s="15"/>
      <c r="L75" s="15" t="s">
        <v>50</v>
      </c>
      <c r="M75" s="15"/>
      <c r="N75" s="15" t="s">
        <v>50</v>
      </c>
      <c r="O75" s="15"/>
      <c r="P75" s="15" t="s">
        <v>50</v>
      </c>
      <c r="Q75" s="15"/>
      <c r="R75" s="15"/>
      <c r="S75" s="15"/>
      <c r="T75" s="15" t="s">
        <v>50</v>
      </c>
      <c r="U75" s="15"/>
      <c r="V75" s="16"/>
      <c r="W75" s="17" t="str">
        <f t="shared" si="10"/>
        <v>OK</v>
      </c>
    </row>
    <row r="76" spans="1:23" ht="20.100000000000001" customHeight="1" x14ac:dyDescent="0.25">
      <c r="A76" s="12" t="s">
        <v>116</v>
      </c>
      <c r="B76" s="13" t="s">
        <v>49</v>
      </c>
      <c r="C76" s="14">
        <v>2</v>
      </c>
      <c r="D76" s="14">
        <v>3</v>
      </c>
      <c r="E76" s="14">
        <f t="shared" si="9"/>
        <v>1</v>
      </c>
      <c r="F76" s="15" t="s">
        <v>50</v>
      </c>
      <c r="G76" s="15"/>
      <c r="H76" s="15"/>
      <c r="I76" s="15"/>
      <c r="J76" s="15"/>
      <c r="K76" s="15"/>
      <c r="L76" s="15" t="s">
        <v>50</v>
      </c>
      <c r="M76" s="15"/>
      <c r="N76" s="15" t="s">
        <v>50</v>
      </c>
      <c r="O76" s="15"/>
      <c r="P76" s="15" t="s">
        <v>50</v>
      </c>
      <c r="Q76" s="15"/>
      <c r="R76" s="15"/>
      <c r="S76" s="15"/>
      <c r="T76" s="15" t="s">
        <v>50</v>
      </c>
      <c r="U76" s="15"/>
      <c r="V76" s="16"/>
      <c r="W76" s="17" t="str">
        <f t="shared" si="10"/>
        <v>OK</v>
      </c>
    </row>
    <row r="77" spans="1:23" ht="20.100000000000001" customHeight="1" x14ac:dyDescent="0.25">
      <c r="A77" s="12" t="s">
        <v>116</v>
      </c>
      <c r="B77" s="13" t="s">
        <v>49</v>
      </c>
      <c r="C77" s="14">
        <v>3</v>
      </c>
      <c r="D77" s="14">
        <v>4</v>
      </c>
      <c r="E77" s="14">
        <f t="shared" si="9"/>
        <v>1</v>
      </c>
      <c r="F77" s="15" t="s">
        <v>50</v>
      </c>
      <c r="G77" s="15"/>
      <c r="H77" s="15"/>
      <c r="I77" s="15"/>
      <c r="J77" s="15"/>
      <c r="K77" s="15"/>
      <c r="L77" s="15" t="s">
        <v>50</v>
      </c>
      <c r="M77" s="15"/>
      <c r="N77" s="15" t="s">
        <v>50</v>
      </c>
      <c r="O77" s="15"/>
      <c r="P77" s="15" t="s">
        <v>50</v>
      </c>
      <c r="Q77" s="15"/>
      <c r="R77" s="15"/>
      <c r="S77" s="15"/>
      <c r="T77" s="15" t="s">
        <v>50</v>
      </c>
      <c r="U77" s="15"/>
      <c r="V77" s="16"/>
      <c r="W77" s="17" t="str">
        <f t="shared" si="10"/>
        <v>OK</v>
      </c>
    </row>
    <row r="78" spans="1:23" ht="20.100000000000001" customHeight="1" x14ac:dyDescent="0.25">
      <c r="A78" s="12" t="s">
        <v>116</v>
      </c>
      <c r="B78" s="13" t="s">
        <v>49</v>
      </c>
      <c r="C78" s="14">
        <v>4</v>
      </c>
      <c r="D78" s="14">
        <v>5</v>
      </c>
      <c r="E78" s="14">
        <f t="shared" si="9"/>
        <v>1</v>
      </c>
      <c r="F78" s="15" t="s">
        <v>50</v>
      </c>
      <c r="G78" s="15"/>
      <c r="H78" s="15"/>
      <c r="I78" s="15"/>
      <c r="J78" s="15"/>
      <c r="K78" s="15"/>
      <c r="L78" s="15" t="s">
        <v>50</v>
      </c>
      <c r="M78" s="15"/>
      <c r="N78" s="15" t="s">
        <v>50</v>
      </c>
      <c r="O78" s="15"/>
      <c r="P78" s="15" t="s">
        <v>50</v>
      </c>
      <c r="Q78" s="15"/>
      <c r="R78" s="15"/>
      <c r="S78" s="15"/>
      <c r="T78" s="15" t="s">
        <v>50</v>
      </c>
      <c r="U78" s="15"/>
      <c r="V78" s="16"/>
      <c r="W78" s="17" t="str">
        <f t="shared" si="10"/>
        <v>OK</v>
      </c>
    </row>
    <row r="79" spans="1:23" ht="20.100000000000001" customHeight="1" x14ac:dyDescent="0.25">
      <c r="A79" s="12" t="s">
        <v>116</v>
      </c>
      <c r="B79" s="13" t="s">
        <v>49</v>
      </c>
      <c r="C79" s="14">
        <v>5</v>
      </c>
      <c r="D79" s="14">
        <v>6</v>
      </c>
      <c r="E79" s="14">
        <f t="shared" si="9"/>
        <v>1</v>
      </c>
      <c r="F79" s="15" t="s">
        <v>50</v>
      </c>
      <c r="G79" s="15"/>
      <c r="H79" s="15"/>
      <c r="I79" s="15"/>
      <c r="J79" s="15"/>
      <c r="K79" s="15"/>
      <c r="L79" s="15" t="s">
        <v>50</v>
      </c>
      <c r="M79" s="15"/>
      <c r="N79" s="15" t="s">
        <v>50</v>
      </c>
      <c r="O79" s="15"/>
      <c r="P79" s="15" t="s">
        <v>50</v>
      </c>
      <c r="Q79" s="15"/>
      <c r="R79" s="15"/>
      <c r="S79" s="15"/>
      <c r="T79" s="15" t="s">
        <v>50</v>
      </c>
      <c r="U79" s="15"/>
      <c r="V79" s="16"/>
      <c r="W79" s="17" t="str">
        <f t="shared" si="10"/>
        <v>OK</v>
      </c>
    </row>
    <row r="80" spans="1:23" ht="20.100000000000001" customHeight="1" x14ac:dyDescent="0.25">
      <c r="A80" s="12" t="s">
        <v>116</v>
      </c>
      <c r="B80" s="13" t="s">
        <v>49</v>
      </c>
      <c r="C80" s="14">
        <v>6</v>
      </c>
      <c r="D80" s="14">
        <v>7</v>
      </c>
      <c r="E80" s="14">
        <f t="shared" si="9"/>
        <v>1</v>
      </c>
      <c r="F80" s="15" t="s">
        <v>50</v>
      </c>
      <c r="G80" s="15"/>
      <c r="H80" s="15"/>
      <c r="I80" s="15"/>
      <c r="J80" s="15"/>
      <c r="K80" s="15"/>
      <c r="L80" s="15" t="s">
        <v>50</v>
      </c>
      <c r="M80" s="15"/>
      <c r="N80" s="15" t="s">
        <v>50</v>
      </c>
      <c r="O80" s="15"/>
      <c r="P80" s="15" t="s">
        <v>50</v>
      </c>
      <c r="Q80" s="15"/>
      <c r="R80" s="15"/>
      <c r="S80" s="15"/>
      <c r="T80" s="15" t="s">
        <v>50</v>
      </c>
      <c r="U80" s="15"/>
      <c r="V80" s="16"/>
      <c r="W80" s="17" t="str">
        <f t="shared" si="10"/>
        <v>OK</v>
      </c>
    </row>
    <row r="81" spans="1:23" ht="20.100000000000001" customHeight="1" x14ac:dyDescent="0.25">
      <c r="A81" s="12" t="s">
        <v>116</v>
      </c>
      <c r="B81" s="13" t="s">
        <v>49</v>
      </c>
      <c r="C81" s="14">
        <v>7</v>
      </c>
      <c r="D81" s="14">
        <v>8</v>
      </c>
      <c r="E81" s="14">
        <f t="shared" si="9"/>
        <v>1</v>
      </c>
      <c r="F81" s="15" t="s">
        <v>50</v>
      </c>
      <c r="G81" s="15"/>
      <c r="H81" s="15"/>
      <c r="I81" s="15"/>
      <c r="J81" s="15"/>
      <c r="K81" s="15"/>
      <c r="L81" s="15" t="s">
        <v>50</v>
      </c>
      <c r="M81" s="15"/>
      <c r="N81" s="15" t="s">
        <v>50</v>
      </c>
      <c r="O81" s="15"/>
      <c r="P81" s="15" t="s">
        <v>50</v>
      </c>
      <c r="Q81" s="15"/>
      <c r="R81" s="15"/>
      <c r="S81" s="15"/>
      <c r="T81" s="15" t="s">
        <v>50</v>
      </c>
      <c r="U81" s="15"/>
      <c r="V81" s="16"/>
      <c r="W81" s="17" t="str">
        <f t="shared" si="10"/>
        <v>OK</v>
      </c>
    </row>
    <row r="82" spans="1:23" ht="20.100000000000001" customHeight="1" x14ac:dyDescent="0.25">
      <c r="A82" s="12" t="s">
        <v>116</v>
      </c>
      <c r="B82" s="13" t="s">
        <v>49</v>
      </c>
      <c r="C82" s="14">
        <v>8</v>
      </c>
      <c r="D82" s="14">
        <v>9</v>
      </c>
      <c r="E82" s="14">
        <f t="shared" si="9"/>
        <v>1</v>
      </c>
      <c r="F82" s="15" t="s">
        <v>50</v>
      </c>
      <c r="G82" s="15"/>
      <c r="H82" s="15"/>
      <c r="I82" s="15"/>
      <c r="J82" s="15"/>
      <c r="K82" s="15"/>
      <c r="L82" s="15" t="s">
        <v>50</v>
      </c>
      <c r="M82" s="15"/>
      <c r="N82" s="15" t="s">
        <v>50</v>
      </c>
      <c r="O82" s="15"/>
      <c r="P82" s="15" t="s">
        <v>50</v>
      </c>
      <c r="Q82" s="15"/>
      <c r="R82" s="15"/>
      <c r="S82" s="15"/>
      <c r="T82" s="15" t="s">
        <v>50</v>
      </c>
      <c r="U82" s="15"/>
      <c r="V82" s="16"/>
      <c r="W82" s="17" t="str">
        <f t="shared" si="10"/>
        <v>OK</v>
      </c>
    </row>
    <row r="83" spans="1:23" ht="20.100000000000001" customHeight="1" x14ac:dyDescent="0.25">
      <c r="A83" s="12" t="s">
        <v>116</v>
      </c>
      <c r="B83" s="13" t="s">
        <v>49</v>
      </c>
      <c r="C83" s="14">
        <v>9</v>
      </c>
      <c r="D83" s="14">
        <v>10</v>
      </c>
      <c r="E83" s="14">
        <f t="shared" si="9"/>
        <v>1</v>
      </c>
      <c r="F83" s="15" t="s">
        <v>50</v>
      </c>
      <c r="G83" s="15"/>
      <c r="H83" s="15"/>
      <c r="I83" s="15"/>
      <c r="J83" s="15"/>
      <c r="K83" s="15"/>
      <c r="L83" s="15" t="s">
        <v>50</v>
      </c>
      <c r="M83" s="15"/>
      <c r="N83" s="15" t="s">
        <v>50</v>
      </c>
      <c r="O83" s="15"/>
      <c r="P83" s="15" t="s">
        <v>50</v>
      </c>
      <c r="Q83" s="15"/>
      <c r="R83" s="15"/>
      <c r="S83" s="15"/>
      <c r="T83" s="15" t="s">
        <v>50</v>
      </c>
      <c r="U83" s="15"/>
      <c r="V83" s="16"/>
      <c r="W83" s="17" t="str">
        <f t="shared" si="10"/>
        <v>OK</v>
      </c>
    </row>
    <row r="84" spans="1:23" ht="20.100000000000001" customHeight="1" x14ac:dyDescent="0.25">
      <c r="A84" s="12" t="s">
        <v>116</v>
      </c>
      <c r="B84" s="13" t="s">
        <v>49</v>
      </c>
      <c r="C84" s="14">
        <v>10</v>
      </c>
      <c r="D84" s="14">
        <v>11</v>
      </c>
      <c r="E84" s="14">
        <f t="shared" si="9"/>
        <v>1</v>
      </c>
      <c r="F84" s="15" t="s">
        <v>50</v>
      </c>
      <c r="G84" s="15"/>
      <c r="H84" s="15"/>
      <c r="I84" s="15"/>
      <c r="J84" s="15"/>
      <c r="K84" s="15"/>
      <c r="L84" s="15" t="s">
        <v>50</v>
      </c>
      <c r="M84" s="15"/>
      <c r="N84" s="15" t="s">
        <v>50</v>
      </c>
      <c r="O84" s="15"/>
      <c r="P84" s="15" t="s">
        <v>50</v>
      </c>
      <c r="Q84" s="15"/>
      <c r="R84" s="15"/>
      <c r="S84" s="15"/>
      <c r="T84" s="15" t="s">
        <v>50</v>
      </c>
      <c r="U84" s="15"/>
      <c r="V84" s="16"/>
      <c r="W84" s="17" t="str">
        <f t="shared" si="10"/>
        <v>OK</v>
      </c>
    </row>
    <row r="85" spans="1:23" ht="20.100000000000001" customHeight="1" x14ac:dyDescent="0.25">
      <c r="A85" s="12" t="s">
        <v>116</v>
      </c>
      <c r="B85" s="13" t="s">
        <v>49</v>
      </c>
      <c r="C85" s="14">
        <v>11</v>
      </c>
      <c r="D85" s="14">
        <v>12</v>
      </c>
      <c r="E85" s="14">
        <f t="shared" si="9"/>
        <v>1</v>
      </c>
      <c r="F85" s="15" t="s">
        <v>50</v>
      </c>
      <c r="G85" s="15"/>
      <c r="H85" s="15"/>
      <c r="I85" s="15"/>
      <c r="J85" s="15"/>
      <c r="K85" s="15"/>
      <c r="L85" s="15" t="s">
        <v>50</v>
      </c>
      <c r="M85" s="15"/>
      <c r="N85" s="15" t="s">
        <v>50</v>
      </c>
      <c r="O85" s="15"/>
      <c r="P85" s="15" t="s">
        <v>50</v>
      </c>
      <c r="Q85" s="15"/>
      <c r="R85" s="15"/>
      <c r="S85" s="15"/>
      <c r="T85" s="15" t="s">
        <v>50</v>
      </c>
      <c r="U85" s="15"/>
      <c r="V85" s="16"/>
      <c r="W85" s="17" t="str">
        <f t="shared" si="10"/>
        <v>OK</v>
      </c>
    </row>
    <row r="86" spans="1:23" ht="20.100000000000001" customHeight="1" x14ac:dyDescent="0.25">
      <c r="A86" s="12" t="s">
        <v>116</v>
      </c>
      <c r="B86" s="13" t="s">
        <v>49</v>
      </c>
      <c r="C86" s="14">
        <v>12</v>
      </c>
      <c r="D86" s="14">
        <v>13</v>
      </c>
      <c r="E86" s="14">
        <f t="shared" si="9"/>
        <v>1</v>
      </c>
      <c r="F86" s="15" t="s">
        <v>50</v>
      </c>
      <c r="G86" s="15"/>
      <c r="H86" s="15"/>
      <c r="I86" s="15"/>
      <c r="J86" s="15"/>
      <c r="K86" s="15"/>
      <c r="L86" s="15" t="s">
        <v>50</v>
      </c>
      <c r="M86" s="15"/>
      <c r="N86" s="15" t="s">
        <v>50</v>
      </c>
      <c r="O86" s="15"/>
      <c r="P86" s="15" t="s">
        <v>50</v>
      </c>
      <c r="Q86" s="15"/>
      <c r="R86" s="15"/>
      <c r="S86" s="15"/>
      <c r="T86" s="15" t="s">
        <v>50</v>
      </c>
      <c r="U86" s="15"/>
      <c r="V86" s="16"/>
      <c r="W86" s="17" t="str">
        <f t="shared" si="10"/>
        <v>OK</v>
      </c>
    </row>
    <row r="87" spans="1:23" ht="20.100000000000001" customHeight="1" x14ac:dyDescent="0.25">
      <c r="A87" s="12" t="s">
        <v>116</v>
      </c>
      <c r="B87" s="13" t="s">
        <v>49</v>
      </c>
      <c r="C87" s="14">
        <v>13</v>
      </c>
      <c r="D87" s="14">
        <v>14</v>
      </c>
      <c r="E87" s="14">
        <f t="shared" si="9"/>
        <v>1</v>
      </c>
      <c r="F87" s="15" t="s">
        <v>50</v>
      </c>
      <c r="G87" s="15"/>
      <c r="H87" s="15"/>
      <c r="I87" s="15"/>
      <c r="J87" s="15"/>
      <c r="K87" s="15"/>
      <c r="L87" s="15" t="s">
        <v>50</v>
      </c>
      <c r="M87" s="15"/>
      <c r="N87" s="15" t="s">
        <v>50</v>
      </c>
      <c r="O87" s="15"/>
      <c r="P87" s="15" t="s">
        <v>50</v>
      </c>
      <c r="Q87" s="15"/>
      <c r="R87" s="15"/>
      <c r="S87" s="15"/>
      <c r="T87" s="15" t="s">
        <v>50</v>
      </c>
      <c r="U87" s="15"/>
      <c r="V87" s="16"/>
      <c r="W87" s="17" t="str">
        <f t="shared" si="10"/>
        <v>OK</v>
      </c>
    </row>
    <row r="88" spans="1:23" ht="20.100000000000001" customHeight="1" x14ac:dyDescent="0.25">
      <c r="A88" s="12" t="s">
        <v>116</v>
      </c>
      <c r="B88" s="13" t="s">
        <v>49</v>
      </c>
      <c r="C88" s="14">
        <v>14</v>
      </c>
      <c r="D88" s="14">
        <v>15</v>
      </c>
      <c r="E88" s="14">
        <f t="shared" si="9"/>
        <v>1</v>
      </c>
      <c r="F88" s="15" t="s">
        <v>50</v>
      </c>
      <c r="G88" s="15"/>
      <c r="H88" s="15"/>
      <c r="I88" s="15"/>
      <c r="J88" s="15"/>
      <c r="K88" s="15"/>
      <c r="L88" s="15" t="s">
        <v>50</v>
      </c>
      <c r="M88" s="15"/>
      <c r="N88" s="15" t="s">
        <v>50</v>
      </c>
      <c r="O88" s="15"/>
      <c r="P88" s="15" t="s">
        <v>50</v>
      </c>
      <c r="Q88" s="15"/>
      <c r="R88" s="15"/>
      <c r="S88" s="15"/>
      <c r="T88" s="15" t="s">
        <v>50</v>
      </c>
      <c r="U88" s="15"/>
      <c r="V88" s="16"/>
      <c r="W88" s="17" t="str">
        <f t="shared" si="10"/>
        <v>OK</v>
      </c>
    </row>
    <row r="89" spans="1:23" ht="20.100000000000001" customHeight="1" x14ac:dyDescent="0.25">
      <c r="A89" s="12" t="s">
        <v>116</v>
      </c>
      <c r="B89" s="13" t="s">
        <v>49</v>
      </c>
      <c r="C89" s="14">
        <v>15</v>
      </c>
      <c r="D89" s="14">
        <v>16</v>
      </c>
      <c r="E89" s="14">
        <f t="shared" si="9"/>
        <v>1</v>
      </c>
      <c r="F89" s="15" t="s">
        <v>50</v>
      </c>
      <c r="G89" s="15"/>
      <c r="H89" s="15"/>
      <c r="I89" s="15"/>
      <c r="J89" s="15"/>
      <c r="K89" s="15"/>
      <c r="L89" s="15" t="s">
        <v>50</v>
      </c>
      <c r="M89" s="15"/>
      <c r="N89" s="15" t="s">
        <v>50</v>
      </c>
      <c r="O89" s="15"/>
      <c r="P89" s="15" t="s">
        <v>50</v>
      </c>
      <c r="Q89" s="15"/>
      <c r="R89" s="15"/>
      <c r="S89" s="15"/>
      <c r="T89" s="15" t="s">
        <v>50</v>
      </c>
      <c r="U89" s="15"/>
      <c r="V89" s="16"/>
      <c r="W89" s="17" t="str">
        <f t="shared" si="10"/>
        <v>OK</v>
      </c>
    </row>
    <row r="90" spans="1:23" ht="20.100000000000001" customHeight="1" thickBot="1" x14ac:dyDescent="0.3">
      <c r="A90" s="18" t="s">
        <v>116</v>
      </c>
      <c r="B90" s="19" t="s">
        <v>49</v>
      </c>
      <c r="C90" s="20">
        <v>16</v>
      </c>
      <c r="D90" s="20">
        <v>16.874871228300002</v>
      </c>
      <c r="E90" s="20">
        <f t="shared" si="9"/>
        <v>0.87487122830000175</v>
      </c>
      <c r="F90" s="21" t="s">
        <v>50</v>
      </c>
      <c r="G90" s="21"/>
      <c r="H90" s="21"/>
      <c r="I90" s="21"/>
      <c r="J90" s="21"/>
      <c r="K90" s="21"/>
      <c r="L90" s="15" t="s">
        <v>50</v>
      </c>
      <c r="M90" s="21"/>
      <c r="N90" s="15" t="s">
        <v>50</v>
      </c>
      <c r="O90" s="21"/>
      <c r="P90" s="21" t="s">
        <v>50</v>
      </c>
      <c r="Q90" s="21"/>
      <c r="R90" s="21"/>
      <c r="S90" s="21"/>
      <c r="T90" s="21" t="s">
        <v>50</v>
      </c>
      <c r="U90" s="21"/>
      <c r="V90" s="22"/>
      <c r="W90" s="23" t="str">
        <f t="shared" si="10"/>
        <v>OK</v>
      </c>
    </row>
    <row r="91" spans="1:23" ht="15" customHeight="1" x14ac:dyDescent="0.25">
      <c r="A91" s="50" t="s">
        <v>117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9"/>
      <c r="W91" s="4"/>
    </row>
    <row r="92" spans="1:23" ht="15.95" customHeight="1" x14ac:dyDescent="0.25">
      <c r="A92" s="34" t="s">
        <v>118</v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9"/>
      <c r="W92" s="4"/>
    </row>
    <row r="93" spans="1:23" ht="20.100000000000001" customHeight="1" x14ac:dyDescent="0.25">
      <c r="A93" s="12" t="s">
        <v>119</v>
      </c>
      <c r="B93" s="13" t="s">
        <v>49</v>
      </c>
      <c r="C93" s="14">
        <v>0</v>
      </c>
      <c r="D93" s="14">
        <v>1</v>
      </c>
      <c r="E93" s="14">
        <f t="shared" ref="E93:E119" si="11">D93-C93</f>
        <v>1</v>
      </c>
      <c r="F93" s="15" t="s">
        <v>50</v>
      </c>
      <c r="G93" s="15"/>
      <c r="H93" s="15"/>
      <c r="I93" s="15"/>
      <c r="J93" s="15"/>
      <c r="K93" s="15"/>
      <c r="L93" s="15" t="s">
        <v>50</v>
      </c>
      <c r="M93" s="15"/>
      <c r="N93" s="15" t="s">
        <v>50</v>
      </c>
      <c r="O93" s="15"/>
      <c r="P93" s="15" t="s">
        <v>50</v>
      </c>
      <c r="Q93" s="15"/>
      <c r="R93" s="15"/>
      <c r="S93" s="15"/>
      <c r="T93" s="15" t="s">
        <v>50</v>
      </c>
      <c r="U93" s="15"/>
      <c r="V93" s="16"/>
      <c r="W93" s="17" t="str">
        <f t="shared" ref="W93:W119" si="12">IF(COUNTA(F93:U93)=0,"— não preenchido",IF(COUNTIF(F93:J93,"X")&lt;&gt;1,"FALTA/DUPLA: CONDIÇÃO DO PAVIMENTO",IF(COUNTIF(K93:L93,"X")&lt;&gt;1,"FALTA/DUPLA: VEGETAÇÃO",IF(COUNTIF(M93:O93,"X")&lt;&gt;1,"FALTA/DUPLA: ELEM. DE DRENAGEM",IF(COUNTIF(P93:R93,"X")&lt;&gt;1,"FALTA/DUPLA: SIN. HORIZ.",IF(COUNTIF(S93:U93,"X")&lt;&gt;1,"FALTA/DUPLA: SIN. VERTICAL","OK"))))))</f>
        <v>OK</v>
      </c>
    </row>
    <row r="94" spans="1:23" ht="20.100000000000001" customHeight="1" x14ac:dyDescent="0.25">
      <c r="A94" s="12" t="s">
        <v>119</v>
      </c>
      <c r="B94" s="13" t="s">
        <v>49</v>
      </c>
      <c r="C94" s="14">
        <v>1</v>
      </c>
      <c r="D94" s="14">
        <v>2</v>
      </c>
      <c r="E94" s="14">
        <f t="shared" si="11"/>
        <v>1</v>
      </c>
      <c r="F94" s="15"/>
      <c r="G94" s="15"/>
      <c r="H94" s="15"/>
      <c r="I94" s="15" t="s">
        <v>50</v>
      </c>
      <c r="J94" s="15"/>
      <c r="K94" s="15"/>
      <c r="L94" s="15" t="s">
        <v>50</v>
      </c>
      <c r="M94" s="15"/>
      <c r="N94" s="15" t="s">
        <v>50</v>
      </c>
      <c r="O94" s="15"/>
      <c r="P94" s="15" t="s">
        <v>50</v>
      </c>
      <c r="Q94" s="15"/>
      <c r="R94" s="15"/>
      <c r="S94" s="15"/>
      <c r="T94" s="15" t="s">
        <v>50</v>
      </c>
      <c r="U94" s="15"/>
      <c r="V94" s="16"/>
      <c r="W94" s="17" t="str">
        <f t="shared" si="12"/>
        <v>OK</v>
      </c>
    </row>
    <row r="95" spans="1:23" ht="20.100000000000001" customHeight="1" x14ac:dyDescent="0.25">
      <c r="A95" s="12" t="s">
        <v>119</v>
      </c>
      <c r="B95" s="13" t="s">
        <v>49</v>
      </c>
      <c r="C95" s="14">
        <v>2</v>
      </c>
      <c r="D95" s="14">
        <v>3</v>
      </c>
      <c r="E95" s="14">
        <f t="shared" si="11"/>
        <v>1</v>
      </c>
      <c r="F95" s="15"/>
      <c r="G95" s="15"/>
      <c r="H95" s="15"/>
      <c r="I95" s="15" t="s">
        <v>50</v>
      </c>
      <c r="J95" s="15"/>
      <c r="K95" s="15"/>
      <c r="L95" s="15" t="s">
        <v>50</v>
      </c>
      <c r="M95" s="15"/>
      <c r="N95" s="15" t="s">
        <v>50</v>
      </c>
      <c r="O95" s="15"/>
      <c r="P95" s="15" t="s">
        <v>50</v>
      </c>
      <c r="Q95" s="15"/>
      <c r="R95" s="15"/>
      <c r="S95" s="15"/>
      <c r="T95" s="15" t="s">
        <v>50</v>
      </c>
      <c r="U95" s="15"/>
      <c r="V95" s="16"/>
      <c r="W95" s="17" t="str">
        <f t="shared" si="12"/>
        <v>OK</v>
      </c>
    </row>
    <row r="96" spans="1:23" ht="20.100000000000001" customHeight="1" x14ac:dyDescent="0.25">
      <c r="A96" s="12" t="s">
        <v>119</v>
      </c>
      <c r="B96" s="13" t="s">
        <v>49</v>
      </c>
      <c r="C96" s="14">
        <v>3</v>
      </c>
      <c r="D96" s="14">
        <v>4</v>
      </c>
      <c r="E96" s="14">
        <f t="shared" si="11"/>
        <v>1</v>
      </c>
      <c r="F96" s="15"/>
      <c r="G96" s="15"/>
      <c r="H96" s="15"/>
      <c r="I96" s="15" t="s">
        <v>50</v>
      </c>
      <c r="J96" s="15"/>
      <c r="K96" s="15"/>
      <c r="L96" s="15" t="s">
        <v>50</v>
      </c>
      <c r="M96" s="15"/>
      <c r="N96" s="15" t="s">
        <v>50</v>
      </c>
      <c r="O96" s="15"/>
      <c r="P96" s="15" t="s">
        <v>50</v>
      </c>
      <c r="Q96" s="15"/>
      <c r="R96" s="15"/>
      <c r="S96" s="15"/>
      <c r="T96" s="15" t="s">
        <v>50</v>
      </c>
      <c r="U96" s="15"/>
      <c r="V96" s="16"/>
      <c r="W96" s="17" t="str">
        <f t="shared" si="12"/>
        <v>OK</v>
      </c>
    </row>
    <row r="97" spans="1:23" ht="20.100000000000001" customHeight="1" x14ac:dyDescent="0.25">
      <c r="A97" s="12" t="s">
        <v>119</v>
      </c>
      <c r="B97" s="13" t="s">
        <v>49</v>
      </c>
      <c r="C97" s="14">
        <v>4</v>
      </c>
      <c r="D97" s="14">
        <v>5</v>
      </c>
      <c r="E97" s="14">
        <f t="shared" si="11"/>
        <v>1</v>
      </c>
      <c r="F97" s="15" t="s">
        <v>50</v>
      </c>
      <c r="G97" s="15"/>
      <c r="H97" s="15"/>
      <c r="I97" s="15"/>
      <c r="J97" s="15"/>
      <c r="K97" s="15"/>
      <c r="L97" s="15" t="s">
        <v>50</v>
      </c>
      <c r="M97" s="15"/>
      <c r="N97" s="15" t="s">
        <v>50</v>
      </c>
      <c r="O97" s="15"/>
      <c r="P97" s="15" t="s">
        <v>50</v>
      </c>
      <c r="Q97" s="15"/>
      <c r="R97" s="15"/>
      <c r="S97" s="15"/>
      <c r="T97" s="15" t="s">
        <v>50</v>
      </c>
      <c r="U97" s="15"/>
      <c r="V97" s="16"/>
      <c r="W97" s="17" t="str">
        <f t="shared" si="12"/>
        <v>OK</v>
      </c>
    </row>
    <row r="98" spans="1:23" ht="20.100000000000001" customHeight="1" x14ac:dyDescent="0.25">
      <c r="A98" s="12" t="s">
        <v>119</v>
      </c>
      <c r="B98" s="13" t="s">
        <v>49</v>
      </c>
      <c r="C98" s="14">
        <v>5</v>
      </c>
      <c r="D98" s="14">
        <v>6</v>
      </c>
      <c r="E98" s="14">
        <f t="shared" si="11"/>
        <v>1</v>
      </c>
      <c r="F98" s="15" t="s">
        <v>50</v>
      </c>
      <c r="G98" s="15"/>
      <c r="H98" s="15"/>
      <c r="I98" s="15"/>
      <c r="J98" s="15"/>
      <c r="K98" s="15"/>
      <c r="L98" s="15" t="s">
        <v>50</v>
      </c>
      <c r="M98" s="15"/>
      <c r="N98" s="15" t="s">
        <v>50</v>
      </c>
      <c r="O98" s="15"/>
      <c r="P98" s="15" t="s">
        <v>50</v>
      </c>
      <c r="Q98" s="15"/>
      <c r="R98" s="15"/>
      <c r="S98" s="15"/>
      <c r="T98" s="15" t="s">
        <v>50</v>
      </c>
      <c r="U98" s="15"/>
      <c r="V98" s="16"/>
      <c r="W98" s="17" t="str">
        <f t="shared" si="12"/>
        <v>OK</v>
      </c>
    </row>
    <row r="99" spans="1:23" ht="20.100000000000001" customHeight="1" x14ac:dyDescent="0.25">
      <c r="A99" s="12" t="s">
        <v>119</v>
      </c>
      <c r="B99" s="13" t="s">
        <v>49</v>
      </c>
      <c r="C99" s="14">
        <v>6</v>
      </c>
      <c r="D99" s="14">
        <v>7</v>
      </c>
      <c r="E99" s="14">
        <f t="shared" si="11"/>
        <v>1</v>
      </c>
      <c r="F99" s="15" t="s">
        <v>50</v>
      </c>
      <c r="G99" s="15"/>
      <c r="H99" s="15"/>
      <c r="I99" s="15"/>
      <c r="J99" s="15"/>
      <c r="K99" s="15"/>
      <c r="L99" s="15" t="s">
        <v>50</v>
      </c>
      <c r="M99" s="15"/>
      <c r="N99" s="15" t="s">
        <v>50</v>
      </c>
      <c r="O99" s="15"/>
      <c r="P99" s="15" t="s">
        <v>50</v>
      </c>
      <c r="Q99" s="15"/>
      <c r="R99" s="15"/>
      <c r="S99" s="15"/>
      <c r="T99" s="15" t="s">
        <v>50</v>
      </c>
      <c r="U99" s="15"/>
      <c r="V99" s="16"/>
      <c r="W99" s="17" t="str">
        <f t="shared" si="12"/>
        <v>OK</v>
      </c>
    </row>
    <row r="100" spans="1:23" ht="20.100000000000001" customHeight="1" x14ac:dyDescent="0.25">
      <c r="A100" s="12" t="s">
        <v>119</v>
      </c>
      <c r="B100" s="13" t="s">
        <v>49</v>
      </c>
      <c r="C100" s="14">
        <v>7</v>
      </c>
      <c r="D100" s="14">
        <v>8</v>
      </c>
      <c r="E100" s="14">
        <f t="shared" si="11"/>
        <v>1</v>
      </c>
      <c r="F100" s="15" t="s">
        <v>50</v>
      </c>
      <c r="G100" s="15"/>
      <c r="H100" s="15"/>
      <c r="I100" s="15"/>
      <c r="J100" s="15"/>
      <c r="K100" s="15"/>
      <c r="L100" s="15" t="s">
        <v>50</v>
      </c>
      <c r="M100" s="15"/>
      <c r="N100" s="15" t="s">
        <v>50</v>
      </c>
      <c r="O100" s="15"/>
      <c r="P100" s="15" t="s">
        <v>50</v>
      </c>
      <c r="Q100" s="15"/>
      <c r="R100" s="15"/>
      <c r="S100" s="15"/>
      <c r="T100" s="15" t="s">
        <v>50</v>
      </c>
      <c r="U100" s="15"/>
      <c r="V100" s="16"/>
      <c r="W100" s="17" t="str">
        <f t="shared" si="12"/>
        <v>OK</v>
      </c>
    </row>
    <row r="101" spans="1:23" ht="20.100000000000001" customHeight="1" x14ac:dyDescent="0.25">
      <c r="A101" s="12" t="s">
        <v>119</v>
      </c>
      <c r="B101" s="13" t="s">
        <v>49</v>
      </c>
      <c r="C101" s="14">
        <v>8</v>
      </c>
      <c r="D101" s="14">
        <v>9</v>
      </c>
      <c r="E101" s="14">
        <f t="shared" si="11"/>
        <v>1</v>
      </c>
      <c r="F101" s="15" t="s">
        <v>50</v>
      </c>
      <c r="G101" s="15"/>
      <c r="H101" s="15"/>
      <c r="I101" s="15"/>
      <c r="J101" s="15"/>
      <c r="K101" s="15"/>
      <c r="L101" s="15" t="s">
        <v>50</v>
      </c>
      <c r="M101" s="15"/>
      <c r="N101" s="15" t="s">
        <v>50</v>
      </c>
      <c r="O101" s="15"/>
      <c r="P101" s="15" t="s">
        <v>50</v>
      </c>
      <c r="Q101" s="15"/>
      <c r="R101" s="15"/>
      <c r="S101" s="15"/>
      <c r="T101" s="15" t="s">
        <v>50</v>
      </c>
      <c r="U101" s="15"/>
      <c r="V101" s="16"/>
      <c r="W101" s="17" t="str">
        <f t="shared" si="12"/>
        <v>OK</v>
      </c>
    </row>
    <row r="102" spans="1:23" ht="20.100000000000001" customHeight="1" x14ac:dyDescent="0.25">
      <c r="A102" s="12" t="s">
        <v>119</v>
      </c>
      <c r="B102" s="13" t="s">
        <v>49</v>
      </c>
      <c r="C102" s="14">
        <v>9</v>
      </c>
      <c r="D102" s="14">
        <v>10</v>
      </c>
      <c r="E102" s="14">
        <f t="shared" si="11"/>
        <v>1</v>
      </c>
      <c r="F102" s="15" t="s">
        <v>50</v>
      </c>
      <c r="G102" s="15"/>
      <c r="H102" s="15"/>
      <c r="I102" s="15"/>
      <c r="J102" s="15"/>
      <c r="K102" s="15"/>
      <c r="L102" s="15" t="s">
        <v>50</v>
      </c>
      <c r="M102" s="15"/>
      <c r="N102" s="15" t="s">
        <v>50</v>
      </c>
      <c r="O102" s="15"/>
      <c r="P102" s="15" t="s">
        <v>50</v>
      </c>
      <c r="Q102" s="15"/>
      <c r="R102" s="15"/>
      <c r="S102" s="15"/>
      <c r="T102" s="15" t="s">
        <v>50</v>
      </c>
      <c r="U102" s="15"/>
      <c r="V102" s="16"/>
      <c r="W102" s="17" t="str">
        <f t="shared" si="12"/>
        <v>OK</v>
      </c>
    </row>
    <row r="103" spans="1:23" ht="20.100000000000001" customHeight="1" x14ac:dyDescent="0.25">
      <c r="A103" s="12" t="s">
        <v>119</v>
      </c>
      <c r="B103" s="13" t="s">
        <v>49</v>
      </c>
      <c r="C103" s="14">
        <v>10</v>
      </c>
      <c r="D103" s="14">
        <v>11</v>
      </c>
      <c r="E103" s="14">
        <f t="shared" si="11"/>
        <v>1</v>
      </c>
      <c r="F103" s="15" t="s">
        <v>50</v>
      </c>
      <c r="G103" s="15"/>
      <c r="H103" s="15"/>
      <c r="I103" s="15"/>
      <c r="J103" s="15"/>
      <c r="K103" s="15"/>
      <c r="L103" s="15" t="s">
        <v>50</v>
      </c>
      <c r="M103" s="15"/>
      <c r="N103" s="15" t="s">
        <v>50</v>
      </c>
      <c r="O103" s="15"/>
      <c r="P103" s="15" t="s">
        <v>50</v>
      </c>
      <c r="Q103" s="15"/>
      <c r="R103" s="15"/>
      <c r="S103" s="15"/>
      <c r="T103" s="15" t="s">
        <v>50</v>
      </c>
      <c r="U103" s="15"/>
      <c r="V103" s="16"/>
      <c r="W103" s="17" t="str">
        <f t="shared" si="12"/>
        <v>OK</v>
      </c>
    </row>
    <row r="104" spans="1:23" ht="20.100000000000001" customHeight="1" x14ac:dyDescent="0.25">
      <c r="A104" s="12" t="s">
        <v>119</v>
      </c>
      <c r="B104" s="13" t="s">
        <v>49</v>
      </c>
      <c r="C104" s="14">
        <v>11</v>
      </c>
      <c r="D104" s="14">
        <v>12</v>
      </c>
      <c r="E104" s="14">
        <f t="shared" si="11"/>
        <v>1</v>
      </c>
      <c r="F104" s="15" t="s">
        <v>50</v>
      </c>
      <c r="G104" s="15"/>
      <c r="H104" s="15"/>
      <c r="I104" s="15"/>
      <c r="J104" s="15"/>
      <c r="K104" s="15"/>
      <c r="L104" s="15" t="s">
        <v>50</v>
      </c>
      <c r="M104" s="15"/>
      <c r="N104" s="15" t="s">
        <v>50</v>
      </c>
      <c r="O104" s="15"/>
      <c r="P104" s="15" t="s">
        <v>50</v>
      </c>
      <c r="Q104" s="15"/>
      <c r="R104" s="15"/>
      <c r="S104" s="15"/>
      <c r="T104" s="15" t="s">
        <v>50</v>
      </c>
      <c r="U104" s="15"/>
      <c r="V104" s="16"/>
      <c r="W104" s="17" t="str">
        <f t="shared" si="12"/>
        <v>OK</v>
      </c>
    </row>
    <row r="105" spans="1:23" ht="20.100000000000001" customHeight="1" x14ac:dyDescent="0.25">
      <c r="A105" s="12" t="s">
        <v>119</v>
      </c>
      <c r="B105" s="13" t="s">
        <v>49</v>
      </c>
      <c r="C105" s="14">
        <v>12</v>
      </c>
      <c r="D105" s="14">
        <v>13</v>
      </c>
      <c r="E105" s="14">
        <f t="shared" si="11"/>
        <v>1</v>
      </c>
      <c r="F105" s="15" t="s">
        <v>50</v>
      </c>
      <c r="G105" s="15"/>
      <c r="H105" s="15"/>
      <c r="I105" s="15"/>
      <c r="J105" s="15"/>
      <c r="K105" s="15"/>
      <c r="L105" s="15" t="s">
        <v>50</v>
      </c>
      <c r="M105" s="15"/>
      <c r="N105" s="15" t="s">
        <v>50</v>
      </c>
      <c r="O105" s="15"/>
      <c r="P105" s="15" t="s">
        <v>50</v>
      </c>
      <c r="Q105" s="15"/>
      <c r="R105" s="15"/>
      <c r="S105" s="15"/>
      <c r="T105" s="15" t="s">
        <v>50</v>
      </c>
      <c r="U105" s="15"/>
      <c r="V105" s="16"/>
      <c r="W105" s="17" t="str">
        <f t="shared" si="12"/>
        <v>OK</v>
      </c>
    </row>
    <row r="106" spans="1:23" ht="20.100000000000001" customHeight="1" x14ac:dyDescent="0.25">
      <c r="A106" s="12" t="s">
        <v>119</v>
      </c>
      <c r="B106" s="13" t="s">
        <v>49</v>
      </c>
      <c r="C106" s="14">
        <v>13</v>
      </c>
      <c r="D106" s="14">
        <v>14</v>
      </c>
      <c r="E106" s="14">
        <f t="shared" si="11"/>
        <v>1</v>
      </c>
      <c r="F106" s="15" t="s">
        <v>50</v>
      </c>
      <c r="G106" s="15"/>
      <c r="H106" s="15"/>
      <c r="I106" s="15"/>
      <c r="J106" s="15"/>
      <c r="K106" s="15"/>
      <c r="L106" s="15" t="s">
        <v>50</v>
      </c>
      <c r="M106" s="15"/>
      <c r="N106" s="15" t="s">
        <v>50</v>
      </c>
      <c r="O106" s="15"/>
      <c r="P106" s="15" t="s">
        <v>50</v>
      </c>
      <c r="Q106" s="15"/>
      <c r="R106" s="15"/>
      <c r="S106" s="15"/>
      <c r="T106" s="15" t="s">
        <v>50</v>
      </c>
      <c r="U106" s="15"/>
      <c r="V106" s="16"/>
      <c r="W106" s="17" t="str">
        <f t="shared" si="12"/>
        <v>OK</v>
      </c>
    </row>
    <row r="107" spans="1:23" ht="20.100000000000001" customHeight="1" x14ac:dyDescent="0.25">
      <c r="A107" s="12" t="s">
        <v>119</v>
      </c>
      <c r="B107" s="13" t="s">
        <v>49</v>
      </c>
      <c r="C107" s="14">
        <v>14</v>
      </c>
      <c r="D107" s="14">
        <v>15</v>
      </c>
      <c r="E107" s="14">
        <f t="shared" si="11"/>
        <v>1</v>
      </c>
      <c r="F107" s="15" t="s">
        <v>50</v>
      </c>
      <c r="G107" s="15"/>
      <c r="H107" s="15"/>
      <c r="I107" s="15"/>
      <c r="J107" s="15"/>
      <c r="K107" s="15"/>
      <c r="L107" s="15" t="s">
        <v>50</v>
      </c>
      <c r="M107" s="15"/>
      <c r="N107" s="15" t="s">
        <v>50</v>
      </c>
      <c r="O107" s="15"/>
      <c r="P107" s="15" t="s">
        <v>50</v>
      </c>
      <c r="Q107" s="15"/>
      <c r="R107" s="15"/>
      <c r="S107" s="15"/>
      <c r="T107" s="15" t="s">
        <v>50</v>
      </c>
      <c r="U107" s="15"/>
      <c r="V107" s="16"/>
      <c r="W107" s="17" t="str">
        <f t="shared" si="12"/>
        <v>OK</v>
      </c>
    </row>
    <row r="108" spans="1:23" ht="20.100000000000001" customHeight="1" x14ac:dyDescent="0.25">
      <c r="A108" s="12" t="s">
        <v>119</v>
      </c>
      <c r="B108" s="13" t="s">
        <v>49</v>
      </c>
      <c r="C108" s="14">
        <v>15</v>
      </c>
      <c r="D108" s="14">
        <v>16</v>
      </c>
      <c r="E108" s="14">
        <f t="shared" si="11"/>
        <v>1</v>
      </c>
      <c r="F108" s="15" t="s">
        <v>50</v>
      </c>
      <c r="G108" s="15"/>
      <c r="H108" s="15"/>
      <c r="I108" s="15"/>
      <c r="J108" s="15"/>
      <c r="K108" s="15"/>
      <c r="L108" s="15" t="s">
        <v>50</v>
      </c>
      <c r="M108" s="15"/>
      <c r="N108" s="15" t="s">
        <v>50</v>
      </c>
      <c r="O108" s="15"/>
      <c r="P108" s="15" t="s">
        <v>50</v>
      </c>
      <c r="Q108" s="15"/>
      <c r="R108" s="15"/>
      <c r="S108" s="15"/>
      <c r="T108" s="15" t="s">
        <v>50</v>
      </c>
      <c r="U108" s="15"/>
      <c r="V108" s="16"/>
      <c r="W108" s="17" t="str">
        <f t="shared" si="12"/>
        <v>OK</v>
      </c>
    </row>
    <row r="109" spans="1:23" ht="20.100000000000001" customHeight="1" x14ac:dyDescent="0.25">
      <c r="A109" s="12" t="s">
        <v>119</v>
      </c>
      <c r="B109" s="13" t="s">
        <v>49</v>
      </c>
      <c r="C109" s="14">
        <v>16</v>
      </c>
      <c r="D109" s="14">
        <v>17</v>
      </c>
      <c r="E109" s="14">
        <f t="shared" si="11"/>
        <v>1</v>
      </c>
      <c r="F109" s="15" t="s">
        <v>50</v>
      </c>
      <c r="G109" s="15"/>
      <c r="H109" s="15"/>
      <c r="I109" s="15"/>
      <c r="J109" s="15"/>
      <c r="K109" s="15"/>
      <c r="L109" s="15" t="s">
        <v>50</v>
      </c>
      <c r="M109" s="15"/>
      <c r="N109" s="15" t="s">
        <v>50</v>
      </c>
      <c r="O109" s="15"/>
      <c r="P109" s="15" t="s">
        <v>50</v>
      </c>
      <c r="Q109" s="15"/>
      <c r="R109" s="15"/>
      <c r="S109" s="15"/>
      <c r="T109" s="15" t="s">
        <v>50</v>
      </c>
      <c r="U109" s="15"/>
      <c r="V109" s="16"/>
      <c r="W109" s="17" t="str">
        <f t="shared" si="12"/>
        <v>OK</v>
      </c>
    </row>
    <row r="110" spans="1:23" ht="20.100000000000001" customHeight="1" x14ac:dyDescent="0.25">
      <c r="A110" s="12" t="s">
        <v>119</v>
      </c>
      <c r="B110" s="13" t="s">
        <v>49</v>
      </c>
      <c r="C110" s="14">
        <v>17</v>
      </c>
      <c r="D110" s="14">
        <v>18</v>
      </c>
      <c r="E110" s="14">
        <f t="shared" si="11"/>
        <v>1</v>
      </c>
      <c r="F110" s="15" t="s">
        <v>50</v>
      </c>
      <c r="G110" s="15"/>
      <c r="H110" s="15"/>
      <c r="I110" s="15"/>
      <c r="J110" s="15"/>
      <c r="K110" s="15"/>
      <c r="L110" s="15" t="s">
        <v>50</v>
      </c>
      <c r="M110" s="15"/>
      <c r="N110" s="15" t="s">
        <v>50</v>
      </c>
      <c r="O110" s="15"/>
      <c r="P110" s="15" t="s">
        <v>50</v>
      </c>
      <c r="Q110" s="15"/>
      <c r="R110" s="15"/>
      <c r="S110" s="15"/>
      <c r="T110" s="15" t="s">
        <v>50</v>
      </c>
      <c r="U110" s="15"/>
      <c r="V110" s="16"/>
      <c r="W110" s="17" t="str">
        <f t="shared" si="12"/>
        <v>OK</v>
      </c>
    </row>
    <row r="111" spans="1:23" ht="20.100000000000001" customHeight="1" x14ac:dyDescent="0.25">
      <c r="A111" s="12" t="s">
        <v>119</v>
      </c>
      <c r="B111" s="13" t="s">
        <v>49</v>
      </c>
      <c r="C111" s="14">
        <v>18</v>
      </c>
      <c r="D111" s="14">
        <v>19</v>
      </c>
      <c r="E111" s="14">
        <f t="shared" si="11"/>
        <v>1</v>
      </c>
      <c r="F111" s="15" t="s">
        <v>50</v>
      </c>
      <c r="G111" s="15"/>
      <c r="H111" s="15"/>
      <c r="I111" s="15"/>
      <c r="J111" s="15"/>
      <c r="K111" s="15"/>
      <c r="L111" s="15" t="s">
        <v>50</v>
      </c>
      <c r="M111" s="15"/>
      <c r="N111" s="15" t="s">
        <v>50</v>
      </c>
      <c r="O111" s="15"/>
      <c r="P111" s="15" t="s">
        <v>50</v>
      </c>
      <c r="Q111" s="15"/>
      <c r="R111" s="15"/>
      <c r="S111" s="15"/>
      <c r="T111" s="15" t="s">
        <v>50</v>
      </c>
      <c r="U111" s="15"/>
      <c r="V111" s="16"/>
      <c r="W111" s="17" t="str">
        <f t="shared" si="12"/>
        <v>OK</v>
      </c>
    </row>
    <row r="112" spans="1:23" ht="20.100000000000001" customHeight="1" x14ac:dyDescent="0.25">
      <c r="A112" s="12" t="s">
        <v>119</v>
      </c>
      <c r="B112" s="13" t="s">
        <v>49</v>
      </c>
      <c r="C112" s="14">
        <v>19</v>
      </c>
      <c r="D112" s="14">
        <v>20</v>
      </c>
      <c r="E112" s="14">
        <f t="shared" si="11"/>
        <v>1</v>
      </c>
      <c r="F112" s="15" t="s">
        <v>50</v>
      </c>
      <c r="G112" s="15"/>
      <c r="H112" s="15"/>
      <c r="I112" s="15"/>
      <c r="J112" s="15"/>
      <c r="K112" s="15"/>
      <c r="L112" s="15" t="s">
        <v>50</v>
      </c>
      <c r="M112" s="15"/>
      <c r="N112" s="15" t="s">
        <v>50</v>
      </c>
      <c r="O112" s="15"/>
      <c r="P112" s="15" t="s">
        <v>50</v>
      </c>
      <c r="Q112" s="15"/>
      <c r="R112" s="15"/>
      <c r="S112" s="15"/>
      <c r="T112" s="15" t="s">
        <v>50</v>
      </c>
      <c r="U112" s="15"/>
      <c r="V112" s="16"/>
      <c r="W112" s="17" t="str">
        <f t="shared" si="12"/>
        <v>OK</v>
      </c>
    </row>
    <row r="113" spans="1:23" ht="20.100000000000001" customHeight="1" x14ac:dyDescent="0.25">
      <c r="A113" s="12" t="s">
        <v>119</v>
      </c>
      <c r="B113" s="13" t="s">
        <v>49</v>
      </c>
      <c r="C113" s="14">
        <v>20</v>
      </c>
      <c r="D113" s="14">
        <v>21</v>
      </c>
      <c r="E113" s="14">
        <f t="shared" si="11"/>
        <v>1</v>
      </c>
      <c r="F113" s="15" t="s">
        <v>50</v>
      </c>
      <c r="G113" s="15"/>
      <c r="H113" s="15"/>
      <c r="I113" s="15"/>
      <c r="J113" s="15"/>
      <c r="K113" s="15"/>
      <c r="L113" s="15" t="s">
        <v>50</v>
      </c>
      <c r="M113" s="15"/>
      <c r="N113" s="15" t="s">
        <v>50</v>
      </c>
      <c r="O113" s="15"/>
      <c r="P113" s="15" t="s">
        <v>50</v>
      </c>
      <c r="Q113" s="15"/>
      <c r="R113" s="15"/>
      <c r="S113" s="15"/>
      <c r="T113" s="15" t="s">
        <v>50</v>
      </c>
      <c r="U113" s="15"/>
      <c r="V113" s="16"/>
      <c r="W113" s="17" t="str">
        <f t="shared" si="12"/>
        <v>OK</v>
      </c>
    </row>
    <row r="114" spans="1:23" ht="20.100000000000001" customHeight="1" x14ac:dyDescent="0.25">
      <c r="A114" s="12" t="s">
        <v>119</v>
      </c>
      <c r="B114" s="13" t="s">
        <v>49</v>
      </c>
      <c r="C114" s="14">
        <v>21</v>
      </c>
      <c r="D114" s="14">
        <v>22</v>
      </c>
      <c r="E114" s="14">
        <f t="shared" si="11"/>
        <v>1</v>
      </c>
      <c r="F114" s="15" t="s">
        <v>50</v>
      </c>
      <c r="G114" s="15"/>
      <c r="H114" s="15"/>
      <c r="I114" s="15"/>
      <c r="J114" s="15"/>
      <c r="K114" s="15"/>
      <c r="L114" s="15" t="s">
        <v>50</v>
      </c>
      <c r="M114" s="15"/>
      <c r="N114" s="15" t="s">
        <v>50</v>
      </c>
      <c r="O114" s="15"/>
      <c r="P114" s="15" t="s">
        <v>50</v>
      </c>
      <c r="Q114" s="15"/>
      <c r="R114" s="15"/>
      <c r="S114" s="15"/>
      <c r="T114" s="15" t="s">
        <v>50</v>
      </c>
      <c r="U114" s="15"/>
      <c r="V114" s="16"/>
      <c r="W114" s="17" t="str">
        <f t="shared" si="12"/>
        <v>OK</v>
      </c>
    </row>
    <row r="115" spans="1:23" ht="20.100000000000001" customHeight="1" x14ac:dyDescent="0.25">
      <c r="A115" s="12" t="s">
        <v>119</v>
      </c>
      <c r="B115" s="13" t="s">
        <v>49</v>
      </c>
      <c r="C115" s="14">
        <v>22</v>
      </c>
      <c r="D115" s="14">
        <v>23</v>
      </c>
      <c r="E115" s="14">
        <f t="shared" si="11"/>
        <v>1</v>
      </c>
      <c r="F115" s="15" t="s">
        <v>50</v>
      </c>
      <c r="G115" s="15"/>
      <c r="H115" s="15"/>
      <c r="I115" s="15"/>
      <c r="J115" s="15"/>
      <c r="K115" s="15"/>
      <c r="L115" s="15" t="s">
        <v>50</v>
      </c>
      <c r="M115" s="15"/>
      <c r="N115" s="15" t="s">
        <v>50</v>
      </c>
      <c r="O115" s="15"/>
      <c r="P115" s="15" t="s">
        <v>50</v>
      </c>
      <c r="Q115" s="15"/>
      <c r="R115" s="15"/>
      <c r="S115" s="15"/>
      <c r="T115" s="15" t="s">
        <v>50</v>
      </c>
      <c r="U115" s="15"/>
      <c r="V115" s="16"/>
      <c r="W115" s="17" t="str">
        <f t="shared" si="12"/>
        <v>OK</v>
      </c>
    </row>
    <row r="116" spans="1:23" ht="20.100000000000001" customHeight="1" x14ac:dyDescent="0.25">
      <c r="A116" s="12" t="s">
        <v>119</v>
      </c>
      <c r="B116" s="13" t="s">
        <v>49</v>
      </c>
      <c r="C116" s="14">
        <v>23</v>
      </c>
      <c r="D116" s="14">
        <v>24</v>
      </c>
      <c r="E116" s="14">
        <f t="shared" si="11"/>
        <v>1</v>
      </c>
      <c r="F116" s="15" t="s">
        <v>50</v>
      </c>
      <c r="G116" s="15"/>
      <c r="H116" s="15"/>
      <c r="I116" s="15"/>
      <c r="J116" s="15"/>
      <c r="K116" s="15"/>
      <c r="L116" s="15" t="s">
        <v>50</v>
      </c>
      <c r="M116" s="15"/>
      <c r="N116" s="15" t="s">
        <v>50</v>
      </c>
      <c r="O116" s="15"/>
      <c r="P116" s="15" t="s">
        <v>50</v>
      </c>
      <c r="Q116" s="15"/>
      <c r="R116" s="15"/>
      <c r="S116" s="15"/>
      <c r="T116" s="15" t="s">
        <v>50</v>
      </c>
      <c r="U116" s="15"/>
      <c r="V116" s="16"/>
      <c r="W116" s="17" t="str">
        <f t="shared" si="12"/>
        <v>OK</v>
      </c>
    </row>
    <row r="117" spans="1:23" ht="20.100000000000001" customHeight="1" x14ac:dyDescent="0.25">
      <c r="A117" s="12" t="s">
        <v>119</v>
      </c>
      <c r="B117" s="13" t="s">
        <v>49</v>
      </c>
      <c r="C117" s="14">
        <v>24</v>
      </c>
      <c r="D117" s="14">
        <v>25</v>
      </c>
      <c r="E117" s="14">
        <f t="shared" si="11"/>
        <v>1</v>
      </c>
      <c r="F117" s="15" t="s">
        <v>50</v>
      </c>
      <c r="G117" s="15"/>
      <c r="H117" s="15"/>
      <c r="I117" s="15"/>
      <c r="J117" s="15"/>
      <c r="K117" s="15"/>
      <c r="L117" s="15" t="s">
        <v>50</v>
      </c>
      <c r="M117" s="15"/>
      <c r="N117" s="15" t="s">
        <v>50</v>
      </c>
      <c r="O117" s="15"/>
      <c r="P117" s="15" t="s">
        <v>50</v>
      </c>
      <c r="Q117" s="15"/>
      <c r="R117" s="15"/>
      <c r="S117" s="15"/>
      <c r="T117" s="15" t="s">
        <v>50</v>
      </c>
      <c r="U117" s="15"/>
      <c r="V117" s="16"/>
      <c r="W117" s="17" t="str">
        <f t="shared" si="12"/>
        <v>OK</v>
      </c>
    </row>
    <row r="118" spans="1:23" ht="20.100000000000001" customHeight="1" x14ac:dyDescent="0.25">
      <c r="A118" s="12" t="s">
        <v>119</v>
      </c>
      <c r="B118" s="13" t="s">
        <v>49</v>
      </c>
      <c r="C118" s="14">
        <v>25</v>
      </c>
      <c r="D118" s="14">
        <v>26</v>
      </c>
      <c r="E118" s="14">
        <f t="shared" si="11"/>
        <v>1</v>
      </c>
      <c r="F118" s="15" t="s">
        <v>50</v>
      </c>
      <c r="G118" s="15"/>
      <c r="H118" s="15"/>
      <c r="I118" s="15"/>
      <c r="J118" s="15"/>
      <c r="K118" s="15"/>
      <c r="L118" s="15" t="s">
        <v>50</v>
      </c>
      <c r="M118" s="15"/>
      <c r="N118" s="15" t="s">
        <v>50</v>
      </c>
      <c r="O118" s="15"/>
      <c r="P118" s="15" t="s">
        <v>50</v>
      </c>
      <c r="Q118" s="15"/>
      <c r="R118" s="15"/>
      <c r="S118" s="15"/>
      <c r="T118" s="15" t="s">
        <v>50</v>
      </c>
      <c r="U118" s="15"/>
      <c r="V118" s="16"/>
      <c r="W118" s="17" t="str">
        <f t="shared" si="12"/>
        <v>OK</v>
      </c>
    </row>
    <row r="119" spans="1:23" ht="20.100000000000001" customHeight="1" x14ac:dyDescent="0.25">
      <c r="A119" s="18" t="s">
        <v>119</v>
      </c>
      <c r="B119" s="19" t="s">
        <v>49</v>
      </c>
      <c r="C119" s="20">
        <v>26</v>
      </c>
      <c r="D119" s="20">
        <v>26.227298984400001</v>
      </c>
      <c r="E119" s="20">
        <f t="shared" si="11"/>
        <v>0.22729898440000085</v>
      </c>
      <c r="F119" s="21" t="s">
        <v>50</v>
      </c>
      <c r="G119" s="21"/>
      <c r="H119" s="21"/>
      <c r="I119" s="21"/>
      <c r="J119" s="21"/>
      <c r="K119" s="21"/>
      <c r="L119" s="21" t="s">
        <v>50</v>
      </c>
      <c r="M119" s="21"/>
      <c r="N119" s="21" t="s">
        <v>50</v>
      </c>
      <c r="O119" s="21"/>
      <c r="P119" s="21" t="s">
        <v>50</v>
      </c>
      <c r="Q119" s="21"/>
      <c r="R119" s="21"/>
      <c r="S119" s="21"/>
      <c r="T119" s="21" t="s">
        <v>50</v>
      </c>
      <c r="U119" s="21"/>
      <c r="V119" s="22"/>
      <c r="W119" s="23" t="str">
        <f t="shared" si="12"/>
        <v>OK</v>
      </c>
    </row>
    <row r="121" spans="1:23" x14ac:dyDescent="0.25">
      <c r="A121" s="30" t="s">
        <v>60</v>
      </c>
      <c r="B121" s="31"/>
      <c r="C121" s="31"/>
      <c r="D121" s="31"/>
      <c r="E121" s="31"/>
      <c r="G121" s="30" t="s">
        <v>60</v>
      </c>
      <c r="H121" s="31"/>
      <c r="I121" s="31"/>
      <c r="J121" s="31"/>
      <c r="K121" s="31"/>
    </row>
    <row r="122" spans="1:23" x14ac:dyDescent="0.25">
      <c r="A122" s="38" t="s">
        <v>61</v>
      </c>
      <c r="B122" s="31"/>
      <c r="C122" s="31"/>
      <c r="D122" s="31"/>
      <c r="E122" s="31"/>
      <c r="G122" s="38" t="s">
        <v>62</v>
      </c>
      <c r="H122" s="31"/>
      <c r="I122" s="31"/>
      <c r="J122" s="31"/>
      <c r="K122" s="31"/>
    </row>
    <row r="124" spans="1:23" x14ac:dyDescent="0.25">
      <c r="A124" s="42" t="s">
        <v>63</v>
      </c>
      <c r="B124" s="31"/>
      <c r="C124" s="31"/>
      <c r="D124" s="31"/>
      <c r="E124" s="31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</row>
    <row r="125" spans="1:23" x14ac:dyDescent="0.25">
      <c r="A125" s="36" t="s">
        <v>64</v>
      </c>
      <c r="B125" s="31"/>
      <c r="C125" s="31"/>
      <c r="D125" s="31"/>
      <c r="E125" s="31"/>
      <c r="F125" s="9">
        <f t="shared" ref="F125:U125" si="13">SUMIF(F$9:F$119,"X",$E$9:$E$119)</f>
        <v>93.384097455160003</v>
      </c>
      <c r="G125" s="9">
        <f t="shared" si="13"/>
        <v>2</v>
      </c>
      <c r="H125" s="9">
        <f t="shared" si="13"/>
        <v>2.6612658058700003</v>
      </c>
      <c r="I125" s="9">
        <f t="shared" si="13"/>
        <v>3</v>
      </c>
      <c r="J125" s="9">
        <f t="shared" si="13"/>
        <v>0</v>
      </c>
      <c r="K125" s="9">
        <f t="shared" si="13"/>
        <v>0</v>
      </c>
      <c r="L125" s="9">
        <f t="shared" si="13"/>
        <v>101.04536326103002</v>
      </c>
      <c r="M125" s="9">
        <f t="shared" si="13"/>
        <v>0</v>
      </c>
      <c r="N125" s="9">
        <f t="shared" si="13"/>
        <v>101.04536326103002</v>
      </c>
      <c r="O125" s="9">
        <f t="shared" si="13"/>
        <v>0</v>
      </c>
      <c r="P125" s="9">
        <f t="shared" si="13"/>
        <v>101.04536326103002</v>
      </c>
      <c r="Q125" s="9">
        <f t="shared" si="13"/>
        <v>0</v>
      </c>
      <c r="R125" s="9">
        <f t="shared" si="13"/>
        <v>0</v>
      </c>
      <c r="S125" s="9">
        <f t="shared" si="13"/>
        <v>0</v>
      </c>
      <c r="T125" s="9">
        <f t="shared" si="13"/>
        <v>101.04536326103002</v>
      </c>
      <c r="U125" s="9">
        <f t="shared" si="13"/>
        <v>0</v>
      </c>
    </row>
    <row r="126" spans="1:23" x14ac:dyDescent="0.25">
      <c r="A126" s="36" t="s">
        <v>65</v>
      </c>
      <c r="B126" s="31"/>
      <c r="C126" s="31"/>
      <c r="D126" s="31"/>
      <c r="E126" s="31"/>
      <c r="F126" s="25">
        <f t="shared" ref="F126:U126" si="14">IF($R128=0,0,F125/$R128)</f>
        <v>0.92417993702413936</v>
      </c>
      <c r="G126" s="25">
        <f t="shared" si="14"/>
        <v>1.9793090305721493E-2</v>
      </c>
      <c r="H126" s="25">
        <f t="shared" si="14"/>
        <v>2.6337337211556799E-2</v>
      </c>
      <c r="I126" s="25">
        <f t="shared" si="14"/>
        <v>2.9689635458582241E-2</v>
      </c>
      <c r="J126" s="25">
        <f t="shared" si="14"/>
        <v>0</v>
      </c>
      <c r="K126" s="25">
        <f t="shared" si="14"/>
        <v>0</v>
      </c>
      <c r="L126" s="25">
        <f t="shared" si="14"/>
        <v>1</v>
      </c>
      <c r="M126" s="25">
        <f t="shared" si="14"/>
        <v>0</v>
      </c>
      <c r="N126" s="25">
        <f t="shared" si="14"/>
        <v>1</v>
      </c>
      <c r="O126" s="25">
        <f t="shared" si="14"/>
        <v>0</v>
      </c>
      <c r="P126" s="25">
        <f t="shared" si="14"/>
        <v>1</v>
      </c>
      <c r="Q126" s="25">
        <f t="shared" si="14"/>
        <v>0</v>
      </c>
      <c r="R126" s="25">
        <f t="shared" si="14"/>
        <v>0</v>
      </c>
      <c r="S126" s="25">
        <f t="shared" si="14"/>
        <v>0</v>
      </c>
      <c r="T126" s="25">
        <f t="shared" si="14"/>
        <v>1</v>
      </c>
      <c r="U126" s="25">
        <f t="shared" si="14"/>
        <v>0</v>
      </c>
    </row>
    <row r="127" spans="1:23" x14ac:dyDescent="0.25">
      <c r="A127" s="36" t="s">
        <v>66</v>
      </c>
      <c r="B127" s="31"/>
      <c r="C127" s="31"/>
      <c r="D127" s="31"/>
      <c r="E127" s="31"/>
      <c r="F127" s="37" t="str">
        <f>IF(SUM(F125:J125)=0,"— não preenchido",IF(ROUND(SUM(F125:J125)-$R128,3)=0,"OK — "&amp;ROUND(SUM(F125:J125),3)&amp;" km","ERRO — dif. de "&amp;ROUND(SUM(F125:J125)-$R128,3)&amp;" km"))</f>
        <v>OK — 101,045 km</v>
      </c>
      <c r="G127" s="28"/>
      <c r="H127" s="28"/>
      <c r="I127" s="28"/>
      <c r="J127" s="29"/>
      <c r="K127" s="37" t="str">
        <f>IF(SUM(K125:L125)=0,"— não preenchido",IF(ROUND(SUM(K125:L125)-$R128,3)=0,"OK — "&amp;ROUND(SUM(K125:L125),3)&amp;" km","ERRO — dif. de "&amp;ROUND(SUM(K125:L125)-$R128,3)&amp;" km"))</f>
        <v>OK — 101,045 km</v>
      </c>
      <c r="L127" s="29"/>
      <c r="M127" s="37" t="str">
        <f>IF(SUM(M125:O125)=0,"— não preenchido",IF(ROUND(SUM(M125:O125)-$R128,3)=0,"OK — "&amp;ROUND(SUM(M125:O125),3)&amp;" km","ERRO — dif. de "&amp;ROUND(SUM(M125:O125)-$R128,3)&amp;" km"))</f>
        <v>OK — 101,045 km</v>
      </c>
      <c r="N127" s="28"/>
      <c r="O127" s="29"/>
      <c r="P127" s="37" t="str">
        <f>IF(SUM(P125:R125)=0,"— não preenchido",IF(ROUND(SUM(P125:R125)-$R128,3)=0,"OK — "&amp;ROUND(SUM(P125:R125),3)&amp;" km","ERRO — dif. de "&amp;ROUND(SUM(P125:R125)-$R128,3)&amp;" km"))</f>
        <v>OK — 101,045 km</v>
      </c>
      <c r="Q127" s="28"/>
      <c r="R127" s="29"/>
      <c r="S127" s="37" t="str">
        <f>IF(SUM(S125:U125)=0,"— não preenchido",IF(ROUND(SUM(S125:U125)-$R128,3)=0,"OK — "&amp;ROUND(SUM(S125:U125),3)&amp;" km","ERRO — dif. de "&amp;ROUND(SUM(S125:U125)-$R128,3)&amp;" km"))</f>
        <v>OK — 101,045 km</v>
      </c>
      <c r="T127" s="28"/>
      <c r="U127" s="29"/>
    </row>
    <row r="128" spans="1:23" x14ac:dyDescent="0.25">
      <c r="A128" s="36" t="s">
        <v>67</v>
      </c>
      <c r="B128" s="31"/>
      <c r="C128" s="31"/>
      <c r="D128" s="31"/>
      <c r="E128" s="31"/>
      <c r="R128" s="26">
        <f>SUM(E9:E119)</f>
        <v>101.04536326103002</v>
      </c>
      <c r="V128" s="8" t="str">
        <f>COUNTIF(W9:W119,"OK")&amp;" de "&amp;COUNT($E$9:$E$119)&amp;" linhas conferidas"</f>
        <v>104 de 104 linhas conferidas</v>
      </c>
    </row>
    <row r="130" spans="1:22" x14ac:dyDescent="0.25">
      <c r="A130" s="41" t="s">
        <v>68</v>
      </c>
      <c r="B130" s="31"/>
      <c r="C130" s="31"/>
      <c r="D130" s="31"/>
      <c r="E130" s="31"/>
    </row>
    <row r="131" spans="1:22" x14ac:dyDescent="0.25">
      <c r="A131" s="36" t="s">
        <v>69</v>
      </c>
      <c r="B131" s="31"/>
      <c r="C131" s="31"/>
      <c r="D131" s="31"/>
      <c r="E131" s="35" t="s">
        <v>70</v>
      </c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</row>
    <row r="132" spans="1:22" x14ac:dyDescent="0.25">
      <c r="A132" s="36" t="s">
        <v>71</v>
      </c>
      <c r="B132" s="31"/>
      <c r="C132" s="31"/>
      <c r="D132" s="31"/>
      <c r="E132" s="35" t="s">
        <v>72</v>
      </c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</row>
    <row r="133" spans="1:22" x14ac:dyDescent="0.25">
      <c r="A133" s="36" t="s">
        <v>73</v>
      </c>
      <c r="B133" s="31"/>
      <c r="C133" s="31"/>
      <c r="D133" s="31"/>
      <c r="E133" s="35" t="s">
        <v>74</v>
      </c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</row>
    <row r="134" spans="1:22" x14ac:dyDescent="0.25">
      <c r="A134" s="36" t="s">
        <v>75</v>
      </c>
      <c r="B134" s="31"/>
      <c r="C134" s="31"/>
      <c r="D134" s="31"/>
      <c r="E134" s="35" t="s">
        <v>76</v>
      </c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</row>
    <row r="135" spans="1:22" x14ac:dyDescent="0.25">
      <c r="A135" s="36" t="s">
        <v>77</v>
      </c>
      <c r="B135" s="31"/>
      <c r="C135" s="31"/>
      <c r="D135" s="31"/>
      <c r="E135" s="35" t="s">
        <v>78</v>
      </c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</row>
    <row r="136" spans="1:22" x14ac:dyDescent="0.25">
      <c r="A136" s="36" t="s">
        <v>41</v>
      </c>
      <c r="B136" s="31"/>
      <c r="C136" s="31"/>
      <c r="D136" s="31"/>
      <c r="E136" s="35" t="s">
        <v>79</v>
      </c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</row>
    <row r="137" spans="1:22" x14ac:dyDescent="0.25">
      <c r="A137" s="36" t="s">
        <v>80</v>
      </c>
      <c r="B137" s="31"/>
      <c r="C137" s="31"/>
      <c r="D137" s="31"/>
      <c r="E137" s="35" t="s">
        <v>81</v>
      </c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</row>
    <row r="138" spans="1:22" x14ac:dyDescent="0.25">
      <c r="A138" s="36" t="s">
        <v>82</v>
      </c>
      <c r="B138" s="31"/>
      <c r="C138" s="31"/>
      <c r="D138" s="31"/>
      <c r="E138" s="35" t="s">
        <v>83</v>
      </c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</row>
    <row r="139" spans="1:22" x14ac:dyDescent="0.25">
      <c r="A139" s="36" t="s">
        <v>11</v>
      </c>
      <c r="B139" s="31"/>
      <c r="C139" s="31"/>
      <c r="D139" s="31"/>
      <c r="E139" s="35" t="s">
        <v>84</v>
      </c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</row>
  </sheetData>
  <sheetProtection formatCells="0"/>
  <mergeCells count="64">
    <mergeCell ref="E139:V139"/>
    <mergeCell ref="A136:D136"/>
    <mergeCell ref="A125:E125"/>
    <mergeCell ref="A139:D139"/>
    <mergeCell ref="A121:E121"/>
    <mergeCell ref="E132:V132"/>
    <mergeCell ref="A127:E127"/>
    <mergeCell ref="K127:L127"/>
    <mergeCell ref="E135:V135"/>
    <mergeCell ref="A130:E130"/>
    <mergeCell ref="A138:D138"/>
    <mergeCell ref="E136:V136"/>
    <mergeCell ref="A137:D137"/>
    <mergeCell ref="E133:V133"/>
    <mergeCell ref="E131:V131"/>
    <mergeCell ref="A135:D135"/>
    <mergeCell ref="A132:D132"/>
    <mergeCell ref="G121:K121"/>
    <mergeCell ref="A1:V1"/>
    <mergeCell ref="E134:V134"/>
    <mergeCell ref="P127:R127"/>
    <mergeCell ref="T3:V3"/>
    <mergeCell ref="M127:O127"/>
    <mergeCell ref="A133:D133"/>
    <mergeCell ref="A126:E126"/>
    <mergeCell ref="A122:E122"/>
    <mergeCell ref="R2:V2"/>
    <mergeCell ref="A3:S3"/>
    <mergeCell ref="A128:E128"/>
    <mergeCell ref="S127:U127"/>
    <mergeCell ref="P2:Q2"/>
    <mergeCell ref="W6:W7"/>
    <mergeCell ref="A40:V40"/>
    <mergeCell ref="E6:E7"/>
    <mergeCell ref="A92:V92"/>
    <mergeCell ref="B6:B7"/>
    <mergeCell ref="C6:C7"/>
    <mergeCell ref="K6:L6"/>
    <mergeCell ref="D6:D7"/>
    <mergeCell ref="P6:R6"/>
    <mergeCell ref="A73:V73"/>
    <mergeCell ref="A2:F2"/>
    <mergeCell ref="S6:U6"/>
    <mergeCell ref="K2:M2"/>
    <mergeCell ref="G122:K122"/>
    <mergeCell ref="A63:V63"/>
    <mergeCell ref="N2:O2"/>
    <mergeCell ref="G2:H2"/>
    <mergeCell ref="A131:D131"/>
    <mergeCell ref="E138:V138"/>
    <mergeCell ref="I2:J2"/>
    <mergeCell ref="A8:V8"/>
    <mergeCell ref="A134:D134"/>
    <mergeCell ref="A17:V17"/>
    <mergeCell ref="E137:V137"/>
    <mergeCell ref="A62:V62"/>
    <mergeCell ref="A6:A7"/>
    <mergeCell ref="F6:J6"/>
    <mergeCell ref="A91:V91"/>
    <mergeCell ref="M6:O6"/>
    <mergeCell ref="V6:V7"/>
    <mergeCell ref="A4:V4"/>
    <mergeCell ref="F127:J127"/>
    <mergeCell ref="A124:E124"/>
  </mergeCells>
  <conditionalFormatting sqref="F9:J119">
    <cfRule type="expression" dxfId="46" priority="6">
      <formula>AND(F9&lt;&gt;"",COUNTIF($F9:$J9,"X")&gt;1)</formula>
    </cfRule>
  </conditionalFormatting>
  <conditionalFormatting sqref="F127:U127">
    <cfRule type="expression" dxfId="45" priority="13">
      <formula>LEFT(F127,4)="ERRO"</formula>
    </cfRule>
    <cfRule type="expression" dxfId="44" priority="14">
      <formula>LEFT(F127,2)="OK"</formula>
    </cfRule>
  </conditionalFormatting>
  <conditionalFormatting sqref="K9:L119">
    <cfRule type="expression" dxfId="43" priority="7">
      <formula>AND(K9&lt;&gt;"",COUNTIF($K9:$L9,"X")&gt;1)</formula>
    </cfRule>
  </conditionalFormatting>
  <conditionalFormatting sqref="M9:O63 M64:M72 O64:O72 M73:O73 M74:M90 O74:O90 M91:O119">
    <cfRule type="expression" dxfId="42" priority="8">
      <formula>AND(M9&lt;&gt;"",COUNTIF($M9:$O9,"X")&gt;1)</formula>
    </cfRule>
  </conditionalFormatting>
  <conditionalFormatting sqref="N64:N72">
    <cfRule type="expression" dxfId="41" priority="2">
      <formula>AND(N64&lt;&gt;"",COUNTIF($K64:$L64,"X")&gt;1)</formula>
    </cfRule>
  </conditionalFormatting>
  <conditionalFormatting sqref="N74:N90">
    <cfRule type="expression" dxfId="40" priority="1">
      <formula>AND(N74&lt;&gt;"",COUNTIF($K74:$L74,"X")&gt;1)</formula>
    </cfRule>
  </conditionalFormatting>
  <conditionalFormatting sqref="P9:R119">
    <cfRule type="expression" dxfId="39" priority="9">
      <formula>AND(P9&lt;&gt;"",COUNTIF($P9:$R9,"X")&gt;1)</formula>
    </cfRule>
  </conditionalFormatting>
  <conditionalFormatting sqref="S9:U119">
    <cfRule type="expression" dxfId="38" priority="10">
      <formula>AND(S9&lt;&gt;"",COUNTIF($S9:$U9,"X")&gt;1)</formula>
    </cfRule>
  </conditionalFormatting>
  <conditionalFormatting sqref="W9:W119">
    <cfRule type="expression" dxfId="37" priority="11">
      <formula>AND(W9&lt;&gt;"OK",W9&lt;&gt;"")</formula>
    </cfRule>
    <cfRule type="expression" dxfId="36" priority="12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19" xr:uid="{00000000-0002-0000-05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19" xr:uid="{00000000-0002-0000-05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19" xr:uid="{00000000-0002-0000-05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19" xr:uid="{00000000-0002-0000-05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19" xr:uid="{00000000-0002-0000-0500-000004000000}">
      <formula1>AND(UPPER(S9)="X",COUNTIF($S9:$U9,"X")&lt;=1)</formula1>
    </dataValidation>
    <dataValidation type="list" showErrorMessage="1" errorTitle="Sentido inválido" error="Use C (crescente) ou D (decrescente)." sqref="B9:B119" xr:uid="{00000000-0002-0000-05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74</oddHeader>
    <oddFooter>&amp;L&amp;7 RTA / MSI — Programa de Manutenção Rodoviária&amp;C&amp;7 Página &amp;P de &amp;N&amp;R&amp;7 Impresso em &amp;D</oddFooter>
  </headerFooter>
  <rowBreaks count="1" manualBreakCount="1">
    <brk id="122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AN31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39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Y1" s="1" t="s">
        <v>1</v>
      </c>
    </row>
    <row r="2" spans="1:40" ht="17.100000000000001" customHeight="1" x14ac:dyDescent="0.25">
      <c r="A2" s="43" t="s">
        <v>33</v>
      </c>
      <c r="B2" s="31"/>
      <c r="C2" s="31"/>
      <c r="D2" s="31"/>
      <c r="E2" s="31"/>
      <c r="F2" s="31"/>
      <c r="G2" s="40" t="s">
        <v>34</v>
      </c>
      <c r="H2" s="31"/>
      <c r="I2" s="46">
        <f>IF('68'!I2="","",'68'!I2)</f>
        <v>46235</v>
      </c>
      <c r="J2" s="45"/>
      <c r="K2" s="40" t="s">
        <v>35</v>
      </c>
      <c r="L2" s="31"/>
      <c r="M2" s="31"/>
      <c r="N2" s="44" t="str">
        <f>IF('68'!N2="","",'68'!N2)</f>
        <v/>
      </c>
      <c r="O2" s="45"/>
      <c r="P2" s="40" t="s">
        <v>36</v>
      </c>
      <c r="Q2" s="31"/>
      <c r="R2" s="47" t="s">
        <v>158</v>
      </c>
      <c r="S2" s="48"/>
      <c r="T2" s="48"/>
      <c r="U2" s="48"/>
      <c r="V2" s="45"/>
      <c r="Y2" s="2" t="e">
        <f t="shared" ref="Y2:AN2" si="0">IF(F17=0,NA(),F17)</f>
        <v>#N/A</v>
      </c>
      <c r="Z2" s="2">
        <f t="shared" si="0"/>
        <v>2.1543770210100002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2.1543770210100002</v>
      </c>
      <c r="AE2" s="2" t="e">
        <f t="shared" si="0"/>
        <v>#N/A</v>
      </c>
      <c r="AF2" s="2">
        <f t="shared" si="0"/>
        <v>2.1543770210100002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1</v>
      </c>
      <c r="AK2" s="2">
        <f t="shared" si="0"/>
        <v>1.1543770210100002</v>
      </c>
      <c r="AL2" s="2">
        <f t="shared" si="0"/>
        <v>1</v>
      </c>
      <c r="AM2" s="2" t="e">
        <f t="shared" si="0"/>
        <v>#N/A</v>
      </c>
      <c r="AN2" s="2">
        <f t="shared" si="0"/>
        <v>1.1543770210100002</v>
      </c>
    </row>
    <row r="3" spans="1:40" ht="15" customHeight="1" x14ac:dyDescent="0.25">
      <c r="A3" s="49" t="s">
        <v>120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0" t="s">
        <v>121</v>
      </c>
      <c r="U3" s="31"/>
      <c r="V3" s="31"/>
    </row>
    <row r="4" spans="1:40" ht="20.100000000000001" customHeight="1" x14ac:dyDescent="0.25">
      <c r="A4" s="33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6" spans="1:40" ht="21.95" customHeight="1" x14ac:dyDescent="0.25">
      <c r="A6" s="27" t="s">
        <v>40</v>
      </c>
      <c r="B6" s="27" t="s">
        <v>41</v>
      </c>
      <c r="C6" s="27" t="s">
        <v>42</v>
      </c>
      <c r="D6" s="27" t="s">
        <v>43</v>
      </c>
      <c r="E6" s="27" t="s">
        <v>44</v>
      </c>
      <c r="F6" s="27" t="s">
        <v>6</v>
      </c>
      <c r="G6" s="28"/>
      <c r="H6" s="28"/>
      <c r="I6" s="28"/>
      <c r="J6" s="29"/>
      <c r="K6" s="27" t="s">
        <v>7</v>
      </c>
      <c r="L6" s="29"/>
      <c r="M6" s="27" t="s">
        <v>8</v>
      </c>
      <c r="N6" s="28"/>
      <c r="O6" s="29"/>
      <c r="P6" s="27" t="s">
        <v>9</v>
      </c>
      <c r="Q6" s="28"/>
      <c r="R6" s="29"/>
      <c r="S6" s="27" t="s">
        <v>10</v>
      </c>
      <c r="T6" s="28"/>
      <c r="U6" s="29"/>
      <c r="V6" s="27" t="s">
        <v>45</v>
      </c>
      <c r="W6" s="27" t="s">
        <v>46</v>
      </c>
    </row>
    <row r="7" spans="1:40" ht="20.100000000000001" customHeight="1" x14ac:dyDescent="0.25">
      <c r="A7" s="32"/>
      <c r="B7" s="32"/>
      <c r="C7" s="32"/>
      <c r="D7" s="32"/>
      <c r="E7" s="3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159</v>
      </c>
      <c r="N7" s="3" t="s">
        <v>160</v>
      </c>
      <c r="O7" s="3" t="s">
        <v>161</v>
      </c>
      <c r="P7" s="3" t="s">
        <v>12</v>
      </c>
      <c r="Q7" s="3" t="s">
        <v>19</v>
      </c>
      <c r="R7" s="3" t="s">
        <v>162</v>
      </c>
      <c r="S7" s="3" t="s">
        <v>12</v>
      </c>
      <c r="T7" s="3" t="s">
        <v>163</v>
      </c>
      <c r="U7" s="3" t="s">
        <v>162</v>
      </c>
      <c r="V7" s="32"/>
      <c r="W7" s="32"/>
    </row>
    <row r="8" spans="1:40" ht="15.95" customHeight="1" x14ac:dyDescent="0.25">
      <c r="A8" s="34" t="s">
        <v>122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9"/>
      <c r="W8" s="4"/>
    </row>
    <row r="9" spans="1:40" ht="20.100000000000001" customHeight="1" x14ac:dyDescent="0.25">
      <c r="A9" s="12" t="s">
        <v>123</v>
      </c>
      <c r="B9" s="13" t="s">
        <v>49</v>
      </c>
      <c r="C9" s="14">
        <v>0</v>
      </c>
      <c r="D9" s="14">
        <v>1</v>
      </c>
      <c r="E9" s="14">
        <f>D9-C9</f>
        <v>1</v>
      </c>
      <c r="F9" s="15"/>
      <c r="G9" s="15" t="s">
        <v>50</v>
      </c>
      <c r="H9" s="15"/>
      <c r="I9" s="15"/>
      <c r="J9" s="15"/>
      <c r="K9" s="15" t="s">
        <v>50</v>
      </c>
      <c r="L9" s="15"/>
      <c r="M9" s="15" t="s">
        <v>50</v>
      </c>
      <c r="N9" s="15"/>
      <c r="O9" s="15"/>
      <c r="P9" s="15"/>
      <c r="Q9" s="15" t="s">
        <v>50</v>
      </c>
      <c r="R9" s="15"/>
      <c r="S9" s="15" t="s">
        <v>50</v>
      </c>
      <c r="T9" s="15"/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123</v>
      </c>
      <c r="B10" s="13" t="s">
        <v>49</v>
      </c>
      <c r="C10" s="14">
        <v>1</v>
      </c>
      <c r="D10" s="14">
        <v>2</v>
      </c>
      <c r="E10" s="14">
        <f>D10-C10</f>
        <v>1</v>
      </c>
      <c r="F10" s="15"/>
      <c r="G10" s="15" t="s">
        <v>50</v>
      </c>
      <c r="H10" s="15"/>
      <c r="I10" s="15"/>
      <c r="J10" s="15"/>
      <c r="K10" s="15" t="s">
        <v>50</v>
      </c>
      <c r="L10" s="15"/>
      <c r="M10" s="15" t="s">
        <v>50</v>
      </c>
      <c r="N10" s="15"/>
      <c r="O10" s="15"/>
      <c r="P10" s="15"/>
      <c r="Q10" s="15"/>
      <c r="R10" s="15" t="s">
        <v>50</v>
      </c>
      <c r="S10" s="15"/>
      <c r="T10" s="15"/>
      <c r="U10" s="15" t="s">
        <v>50</v>
      </c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8" t="s">
        <v>123</v>
      </c>
      <c r="B11" s="19" t="s">
        <v>49</v>
      </c>
      <c r="C11" s="20">
        <v>2</v>
      </c>
      <c r="D11" s="20">
        <v>2.1543770210100002</v>
      </c>
      <c r="E11" s="20">
        <f>D11-C11</f>
        <v>0.15437702101000017</v>
      </c>
      <c r="F11" s="21"/>
      <c r="G11" s="21" t="s">
        <v>50</v>
      </c>
      <c r="H11" s="21"/>
      <c r="I11" s="21"/>
      <c r="J11" s="21"/>
      <c r="K11" s="21" t="s">
        <v>50</v>
      </c>
      <c r="L11" s="21"/>
      <c r="M11" s="21" t="s">
        <v>50</v>
      </c>
      <c r="N11" s="21"/>
      <c r="O11" s="21"/>
      <c r="P11" s="21"/>
      <c r="Q11" s="21"/>
      <c r="R11" s="21" t="s">
        <v>50</v>
      </c>
      <c r="S11" s="21"/>
      <c r="T11" s="21"/>
      <c r="U11" s="21" t="s">
        <v>50</v>
      </c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3" spans="1:40" x14ac:dyDescent="0.25">
      <c r="A13" s="30" t="s">
        <v>60</v>
      </c>
      <c r="B13" s="31"/>
      <c r="C13" s="31"/>
      <c r="D13" s="31"/>
      <c r="E13" s="31"/>
      <c r="G13" s="30" t="s">
        <v>60</v>
      </c>
      <c r="H13" s="31"/>
      <c r="I13" s="31"/>
      <c r="J13" s="31"/>
      <c r="K13" s="31"/>
    </row>
    <row r="14" spans="1:40" x14ac:dyDescent="0.25">
      <c r="A14" s="38" t="s">
        <v>61</v>
      </c>
      <c r="B14" s="31"/>
      <c r="C14" s="31"/>
      <c r="D14" s="31"/>
      <c r="E14" s="31"/>
      <c r="G14" s="38" t="s">
        <v>62</v>
      </c>
      <c r="H14" s="31"/>
      <c r="I14" s="31"/>
      <c r="J14" s="31"/>
      <c r="K14" s="31"/>
    </row>
    <row r="16" spans="1:40" x14ac:dyDescent="0.25">
      <c r="A16" s="42" t="s">
        <v>63</v>
      </c>
      <c r="B16" s="31"/>
      <c r="C16" s="31"/>
      <c r="D16" s="31"/>
      <c r="E16" s="31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2" x14ac:dyDescent="0.25">
      <c r="A17" s="36" t="s">
        <v>64</v>
      </c>
      <c r="B17" s="31"/>
      <c r="C17" s="31"/>
      <c r="D17" s="31"/>
      <c r="E17" s="31"/>
      <c r="F17" s="9">
        <f t="shared" ref="F17:U17" si="1">SUMIF(F$9:F$11,"X",$E$9:$E$11)</f>
        <v>0</v>
      </c>
      <c r="G17" s="9">
        <f t="shared" si="1"/>
        <v>2.1543770210100002</v>
      </c>
      <c r="H17" s="9">
        <f t="shared" si="1"/>
        <v>0</v>
      </c>
      <c r="I17" s="9">
        <f t="shared" si="1"/>
        <v>0</v>
      </c>
      <c r="J17" s="9">
        <f t="shared" si="1"/>
        <v>0</v>
      </c>
      <c r="K17" s="9">
        <f t="shared" si="1"/>
        <v>2.1543770210100002</v>
      </c>
      <c r="L17" s="9">
        <f t="shared" si="1"/>
        <v>0</v>
      </c>
      <c r="M17" s="9">
        <f t="shared" si="1"/>
        <v>2.1543770210100002</v>
      </c>
      <c r="N17" s="9">
        <f t="shared" si="1"/>
        <v>0</v>
      </c>
      <c r="O17" s="9">
        <f t="shared" si="1"/>
        <v>0</v>
      </c>
      <c r="P17" s="9">
        <f t="shared" si="1"/>
        <v>0</v>
      </c>
      <c r="Q17" s="9">
        <f t="shared" si="1"/>
        <v>1</v>
      </c>
      <c r="R17" s="9">
        <f t="shared" si="1"/>
        <v>1.1543770210100002</v>
      </c>
      <c r="S17" s="9">
        <f t="shared" si="1"/>
        <v>1</v>
      </c>
      <c r="T17" s="9">
        <f t="shared" si="1"/>
        <v>0</v>
      </c>
      <c r="U17" s="9">
        <f t="shared" si="1"/>
        <v>1.1543770210100002</v>
      </c>
    </row>
    <row r="18" spans="1:22" x14ac:dyDescent="0.25">
      <c r="A18" s="36" t="s">
        <v>65</v>
      </c>
      <c r="B18" s="31"/>
      <c r="C18" s="31"/>
      <c r="D18" s="31"/>
      <c r="E18" s="31"/>
      <c r="F18" s="25">
        <f t="shared" ref="F18:U18" si="2">IF($R20=0,0,F17/$R20)</f>
        <v>0</v>
      </c>
      <c r="G18" s="25">
        <f t="shared" si="2"/>
        <v>1</v>
      </c>
      <c r="H18" s="25">
        <f t="shared" si="2"/>
        <v>0</v>
      </c>
      <c r="I18" s="25">
        <f t="shared" si="2"/>
        <v>0</v>
      </c>
      <c r="J18" s="25">
        <f t="shared" si="2"/>
        <v>0</v>
      </c>
      <c r="K18" s="25">
        <f t="shared" si="2"/>
        <v>1</v>
      </c>
      <c r="L18" s="25">
        <f t="shared" si="2"/>
        <v>0</v>
      </c>
      <c r="M18" s="25">
        <f t="shared" si="2"/>
        <v>1</v>
      </c>
      <c r="N18" s="25">
        <f t="shared" si="2"/>
        <v>0</v>
      </c>
      <c r="O18" s="25">
        <f t="shared" si="2"/>
        <v>0</v>
      </c>
      <c r="P18" s="25">
        <f t="shared" si="2"/>
        <v>0</v>
      </c>
      <c r="Q18" s="25">
        <f t="shared" si="2"/>
        <v>0.46417130810798701</v>
      </c>
      <c r="R18" s="25">
        <f t="shared" si="2"/>
        <v>0.53582869189201299</v>
      </c>
      <c r="S18" s="25">
        <f t="shared" si="2"/>
        <v>0.46417130810798701</v>
      </c>
      <c r="T18" s="25">
        <f t="shared" si="2"/>
        <v>0</v>
      </c>
      <c r="U18" s="25">
        <f t="shared" si="2"/>
        <v>0.53582869189201299</v>
      </c>
    </row>
    <row r="19" spans="1:22" x14ac:dyDescent="0.25">
      <c r="A19" s="36" t="s">
        <v>66</v>
      </c>
      <c r="B19" s="31"/>
      <c r="C19" s="31"/>
      <c r="D19" s="31"/>
      <c r="E19" s="31"/>
      <c r="F19" s="37" t="str">
        <f>IF(SUM(F17:J17)=0,"— não preenchido",IF(ROUND(SUM(F17:J17)-$R20,3)=0,"OK — "&amp;ROUND(SUM(F17:J17),3)&amp;" km","ERRO — dif. de "&amp;ROUND(SUM(F17:J17)-$R20,3)&amp;" km"))</f>
        <v>OK — 2,154 km</v>
      </c>
      <c r="G19" s="28"/>
      <c r="H19" s="28"/>
      <c r="I19" s="28"/>
      <c r="J19" s="29"/>
      <c r="K19" s="37" t="str">
        <f>IF(SUM(K17:L17)=0,"— não preenchido",IF(ROUND(SUM(K17:L17)-$R20,3)=0,"OK — "&amp;ROUND(SUM(K17:L17),3)&amp;" km","ERRO — dif. de "&amp;ROUND(SUM(K17:L17)-$R20,3)&amp;" km"))</f>
        <v>OK — 2,154 km</v>
      </c>
      <c r="L19" s="29"/>
      <c r="M19" s="37" t="str">
        <f>IF(SUM(M17:O17)=0,"— não preenchido",IF(ROUND(SUM(M17:O17)-$R20,3)=0,"OK — "&amp;ROUND(SUM(M17:O17),3)&amp;" km","ERRO — dif. de "&amp;ROUND(SUM(M17:O17)-$R20,3)&amp;" km"))</f>
        <v>OK — 2,154 km</v>
      </c>
      <c r="N19" s="28"/>
      <c r="O19" s="29"/>
      <c r="P19" s="37" t="str">
        <f>IF(SUM(P17:R17)=0,"— não preenchido",IF(ROUND(SUM(P17:R17)-$R20,3)=0,"OK — "&amp;ROUND(SUM(P17:R17),3)&amp;" km","ERRO — dif. de "&amp;ROUND(SUM(P17:R17)-$R20,3)&amp;" km"))</f>
        <v>OK — 2,154 km</v>
      </c>
      <c r="Q19" s="28"/>
      <c r="R19" s="29"/>
      <c r="S19" s="37" t="str">
        <f>IF(SUM(S17:U17)=0,"— não preenchido",IF(ROUND(SUM(S17:U17)-$R20,3)=0,"OK — "&amp;ROUND(SUM(S17:U17),3)&amp;" km","ERRO — dif. de "&amp;ROUND(SUM(S17:U17)-$R20,3)&amp;" km"))</f>
        <v>OK — 2,154 km</v>
      </c>
      <c r="T19" s="28"/>
      <c r="U19" s="29"/>
    </row>
    <row r="20" spans="1:22" x14ac:dyDescent="0.25">
      <c r="A20" s="36" t="s">
        <v>67</v>
      </c>
      <c r="B20" s="31"/>
      <c r="C20" s="31"/>
      <c r="D20" s="31"/>
      <c r="E20" s="31"/>
      <c r="R20" s="26">
        <f>SUM(E9:E11)</f>
        <v>2.1543770210100002</v>
      </c>
      <c r="V20" s="8" t="str">
        <f>COUNTIF(W9:W11,"OK")&amp;" de "&amp;COUNT($E$9:$E$11)&amp;" linhas conferidas"</f>
        <v>3 de 3 linhas conferidas</v>
      </c>
    </row>
    <row r="22" spans="1:22" x14ac:dyDescent="0.25">
      <c r="A22" s="41" t="s">
        <v>68</v>
      </c>
      <c r="B22" s="31"/>
      <c r="C22" s="31"/>
      <c r="D22" s="31"/>
      <c r="E22" s="31"/>
    </row>
    <row r="23" spans="1:22" x14ac:dyDescent="0.25">
      <c r="A23" s="36" t="s">
        <v>69</v>
      </c>
      <c r="B23" s="31"/>
      <c r="C23" s="31"/>
      <c r="D23" s="31"/>
      <c r="E23" s="35" t="s">
        <v>70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spans="1:22" x14ac:dyDescent="0.25">
      <c r="A24" s="36" t="s">
        <v>71</v>
      </c>
      <c r="B24" s="31"/>
      <c r="C24" s="31"/>
      <c r="D24" s="31"/>
      <c r="E24" s="35" t="s">
        <v>72</v>
      </c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</row>
    <row r="25" spans="1:22" x14ac:dyDescent="0.25">
      <c r="A25" s="36" t="s">
        <v>73</v>
      </c>
      <c r="B25" s="31"/>
      <c r="C25" s="31"/>
      <c r="D25" s="31"/>
      <c r="E25" s="35" t="s">
        <v>74</v>
      </c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spans="1:22" x14ac:dyDescent="0.25">
      <c r="A26" s="36" t="s">
        <v>75</v>
      </c>
      <c r="B26" s="31"/>
      <c r="C26" s="31"/>
      <c r="D26" s="31"/>
      <c r="E26" s="35" t="s">
        <v>76</v>
      </c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</row>
    <row r="27" spans="1:22" x14ac:dyDescent="0.25">
      <c r="A27" s="36" t="s">
        <v>77</v>
      </c>
      <c r="B27" s="31"/>
      <c r="C27" s="31"/>
      <c r="D27" s="31"/>
      <c r="E27" s="35" t="s">
        <v>78</v>
      </c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spans="1:22" x14ac:dyDescent="0.25">
      <c r="A28" s="36" t="s">
        <v>41</v>
      </c>
      <c r="B28" s="31"/>
      <c r="C28" s="31"/>
      <c r="D28" s="31"/>
      <c r="E28" s="35" t="s">
        <v>79</v>
      </c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</row>
    <row r="29" spans="1:22" x14ac:dyDescent="0.25">
      <c r="A29" s="36" t="s">
        <v>80</v>
      </c>
      <c r="B29" s="31"/>
      <c r="C29" s="31"/>
      <c r="D29" s="31"/>
      <c r="E29" s="35" t="s">
        <v>81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x14ac:dyDescent="0.25">
      <c r="A30" s="36" t="s">
        <v>82</v>
      </c>
      <c r="B30" s="31"/>
      <c r="C30" s="31"/>
      <c r="D30" s="31"/>
      <c r="E30" s="35" t="s">
        <v>83</v>
      </c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</row>
    <row r="31" spans="1:22" x14ac:dyDescent="0.25">
      <c r="A31" s="36" t="s">
        <v>11</v>
      </c>
      <c r="B31" s="31"/>
      <c r="C31" s="31"/>
      <c r="D31" s="31"/>
      <c r="E31" s="35" t="s">
        <v>84</v>
      </c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</sheetData>
  <sheetProtection formatCells="0"/>
  <mergeCells count="57">
    <mergeCell ref="A1:V1"/>
    <mergeCell ref="G14:K14"/>
    <mergeCell ref="T3:V3"/>
    <mergeCell ref="A25:D25"/>
    <mergeCell ref="A14:E14"/>
    <mergeCell ref="A22:E22"/>
    <mergeCell ref="A17:E17"/>
    <mergeCell ref="A20:E20"/>
    <mergeCell ref="A19:E19"/>
    <mergeCell ref="E24:V24"/>
    <mergeCell ref="K19:L19"/>
    <mergeCell ref="R2:V2"/>
    <mergeCell ref="A3:S3"/>
    <mergeCell ref="C6:C7"/>
    <mergeCell ref="A13:E13"/>
    <mergeCell ref="K6:L6"/>
    <mergeCell ref="W6:W7"/>
    <mergeCell ref="G13:K13"/>
    <mergeCell ref="E6:E7"/>
    <mergeCell ref="A24:D24"/>
    <mergeCell ref="E26:V26"/>
    <mergeCell ref="B6:B7"/>
    <mergeCell ref="A18:E18"/>
    <mergeCell ref="M19:O19"/>
    <mergeCell ref="E25:V25"/>
    <mergeCell ref="A26:D26"/>
    <mergeCell ref="D6:D7"/>
    <mergeCell ref="P6:R6"/>
    <mergeCell ref="E31:V31"/>
    <mergeCell ref="A2:F2"/>
    <mergeCell ref="S6:U6"/>
    <mergeCell ref="K2:M2"/>
    <mergeCell ref="S19:U19"/>
    <mergeCell ref="E30:V30"/>
    <mergeCell ref="A31:D31"/>
    <mergeCell ref="A16:E16"/>
    <mergeCell ref="P19:R19"/>
    <mergeCell ref="N2:O2"/>
    <mergeCell ref="A30:D30"/>
    <mergeCell ref="E27:V27"/>
    <mergeCell ref="P2:Q2"/>
    <mergeCell ref="A27:D27"/>
    <mergeCell ref="A23:D23"/>
    <mergeCell ref="E29:V29"/>
    <mergeCell ref="G2:H2"/>
    <mergeCell ref="I2:J2"/>
    <mergeCell ref="E23:V23"/>
    <mergeCell ref="A8:V8"/>
    <mergeCell ref="E28:V28"/>
    <mergeCell ref="F19:J19"/>
    <mergeCell ref="V6:V7"/>
    <mergeCell ref="A4:V4"/>
    <mergeCell ref="A29:D29"/>
    <mergeCell ref="A6:A7"/>
    <mergeCell ref="F6:J6"/>
    <mergeCell ref="M6:O6"/>
    <mergeCell ref="A28:D28"/>
  </mergeCells>
  <conditionalFormatting sqref="F9:J11">
    <cfRule type="expression" dxfId="35" priority="1">
      <formula>AND(F9&lt;&gt;"",COUNTIF($F9:$J9,"X")&gt;1)</formula>
    </cfRule>
  </conditionalFormatting>
  <conditionalFormatting sqref="F19:U19">
    <cfRule type="expression" dxfId="34" priority="8">
      <formula>LEFT(F19,4)="ERRO"</formula>
    </cfRule>
    <cfRule type="expression" dxfId="33" priority="9">
      <formula>LEFT(F19,2)="OK"</formula>
    </cfRule>
  </conditionalFormatting>
  <conditionalFormatting sqref="K9:L11">
    <cfRule type="expression" dxfId="32" priority="2">
      <formula>AND(K9&lt;&gt;"",COUNTIF($K9:$L9,"X")&gt;1)</formula>
    </cfRule>
  </conditionalFormatting>
  <conditionalFormatting sqref="M9:O11">
    <cfRule type="expression" dxfId="31" priority="3">
      <formula>AND(M9&lt;&gt;"",COUNTIF($M9:$O9,"X")&gt;1)</formula>
    </cfRule>
  </conditionalFormatting>
  <conditionalFormatting sqref="P9:R11">
    <cfRule type="expression" dxfId="30" priority="4">
      <formula>AND(P9&lt;&gt;"",COUNTIF($P9:$R9,"X")&gt;1)</formula>
    </cfRule>
  </conditionalFormatting>
  <conditionalFormatting sqref="S9:U11">
    <cfRule type="expression" dxfId="29" priority="5">
      <formula>AND(S9&lt;&gt;"",COUNTIF($S9:$U9,"X")&gt;1)</formula>
    </cfRule>
  </conditionalFormatting>
  <conditionalFormatting sqref="W9:W11">
    <cfRule type="expression" dxfId="28" priority="6">
      <formula>AND(W9&lt;&gt;"OK",W9&lt;&gt;"")</formula>
    </cfRule>
    <cfRule type="expression" dxfId="2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1" xr:uid="{00000000-0002-0000-06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1" xr:uid="{00000000-0002-0000-06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1" xr:uid="{00000000-0002-0000-06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1" xr:uid="{00000000-0002-0000-06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1" xr:uid="{00000000-0002-0000-0600-000004000000}">
      <formula1>AND(UPPER(S9)="X",COUNTIF($S9:$U9,"X")&lt;=1)</formula1>
    </dataValidation>
    <dataValidation type="list" showErrorMessage="1" errorTitle="Sentido inválido" error="Use C (crescente) ou D (decrescente)." sqref="B9:B11" xr:uid="{00000000-0002-0000-06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75</oddHeader>
    <oddFooter>&amp;L&amp;7 RTA / MSI — Programa de Manutenção Rodoviária&amp;C&amp;7 Página &amp;P de &amp;N&amp;R&amp;7 Impresso em &amp;D</oddFooter>
  </headerFooter>
  <rowBreaks count="1" manualBreakCount="1">
    <brk id="14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AN130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39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Y1" s="1" t="s">
        <v>1</v>
      </c>
    </row>
    <row r="2" spans="1:40" ht="17.100000000000001" customHeight="1" x14ac:dyDescent="0.25">
      <c r="A2" s="43" t="s">
        <v>33</v>
      </c>
      <c r="B2" s="31"/>
      <c r="C2" s="31"/>
      <c r="D2" s="31"/>
      <c r="E2" s="31"/>
      <c r="F2" s="31"/>
      <c r="G2" s="40" t="s">
        <v>34</v>
      </c>
      <c r="H2" s="31"/>
      <c r="I2" s="46">
        <f>IF('68'!I2="","",'68'!I2)</f>
        <v>46235</v>
      </c>
      <c r="J2" s="45"/>
      <c r="K2" s="40" t="s">
        <v>35</v>
      </c>
      <c r="L2" s="31"/>
      <c r="M2" s="31"/>
      <c r="N2" s="44" t="str">
        <f>IF('68'!N2="","",'68'!N2)</f>
        <v/>
      </c>
      <c r="O2" s="45"/>
      <c r="P2" s="40" t="s">
        <v>36</v>
      </c>
      <c r="Q2" s="31"/>
      <c r="R2" s="47" t="s">
        <v>158</v>
      </c>
      <c r="S2" s="48"/>
      <c r="T2" s="48"/>
      <c r="U2" s="48"/>
      <c r="V2" s="45"/>
      <c r="Y2" s="2">
        <f t="shared" ref="Y2:AN2" si="0">IF(F116=0,NA(),F116)</f>
        <v>72.748664507816002</v>
      </c>
      <c r="Z2" s="2">
        <f t="shared" si="0"/>
        <v>7</v>
      </c>
      <c r="AA2" s="2">
        <f t="shared" si="0"/>
        <v>12.299499818099999</v>
      </c>
      <c r="AB2" s="2" t="e">
        <f t="shared" si="0"/>
        <v>#N/A</v>
      </c>
      <c r="AC2" s="2" t="e">
        <f t="shared" si="0"/>
        <v>#N/A</v>
      </c>
      <c r="AD2" s="2">
        <f t="shared" si="0"/>
        <v>92.048164325916005</v>
      </c>
      <c r="AE2" s="2" t="e">
        <f t="shared" si="0"/>
        <v>#N/A</v>
      </c>
      <c r="AF2" s="2">
        <f t="shared" si="0"/>
        <v>7.69077087362</v>
      </c>
      <c r="AG2" s="2">
        <f t="shared" si="0"/>
        <v>77.062574839096001</v>
      </c>
      <c r="AH2" s="2">
        <f t="shared" si="0"/>
        <v>7.2948186132000004</v>
      </c>
      <c r="AI2" s="2">
        <f t="shared" si="0"/>
        <v>90.357393452295995</v>
      </c>
      <c r="AJ2" s="2">
        <f t="shared" si="0"/>
        <v>1.69077087362</v>
      </c>
      <c r="AK2" s="2" t="e">
        <f t="shared" si="0"/>
        <v>#N/A</v>
      </c>
      <c r="AL2" s="2" t="e">
        <f t="shared" si="0"/>
        <v>#N/A</v>
      </c>
      <c r="AM2" s="2">
        <f t="shared" si="0"/>
        <v>43.624230902919997</v>
      </c>
      <c r="AN2" s="2">
        <f t="shared" si="0"/>
        <v>48.423933422995994</v>
      </c>
    </row>
    <row r="3" spans="1:40" ht="15" customHeight="1" x14ac:dyDescent="0.25">
      <c r="A3" s="49" t="s">
        <v>124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0" t="s">
        <v>125</v>
      </c>
      <c r="U3" s="31"/>
      <c r="V3" s="31"/>
    </row>
    <row r="4" spans="1:40" ht="20.100000000000001" customHeight="1" x14ac:dyDescent="0.25">
      <c r="A4" s="33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6" spans="1:40" ht="21.95" customHeight="1" x14ac:dyDescent="0.25">
      <c r="A6" s="27" t="s">
        <v>40</v>
      </c>
      <c r="B6" s="27" t="s">
        <v>41</v>
      </c>
      <c r="C6" s="27" t="s">
        <v>42</v>
      </c>
      <c r="D6" s="27" t="s">
        <v>43</v>
      </c>
      <c r="E6" s="27" t="s">
        <v>44</v>
      </c>
      <c r="F6" s="27" t="s">
        <v>6</v>
      </c>
      <c r="G6" s="28"/>
      <c r="H6" s="28"/>
      <c r="I6" s="28"/>
      <c r="J6" s="29"/>
      <c r="K6" s="27" t="s">
        <v>7</v>
      </c>
      <c r="L6" s="29"/>
      <c r="M6" s="27" t="s">
        <v>8</v>
      </c>
      <c r="N6" s="28"/>
      <c r="O6" s="29"/>
      <c r="P6" s="27" t="s">
        <v>9</v>
      </c>
      <c r="Q6" s="28"/>
      <c r="R6" s="29"/>
      <c r="S6" s="27" t="s">
        <v>10</v>
      </c>
      <c r="T6" s="28"/>
      <c r="U6" s="29"/>
      <c r="V6" s="27" t="s">
        <v>45</v>
      </c>
      <c r="W6" s="27" t="s">
        <v>46</v>
      </c>
    </row>
    <row r="7" spans="1:40" ht="20.100000000000001" customHeight="1" x14ac:dyDescent="0.25">
      <c r="A7" s="32"/>
      <c r="B7" s="32"/>
      <c r="C7" s="32"/>
      <c r="D7" s="32"/>
      <c r="E7" s="3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159</v>
      </c>
      <c r="N7" s="3" t="s">
        <v>160</v>
      </c>
      <c r="O7" s="3" t="s">
        <v>161</v>
      </c>
      <c r="P7" s="3" t="s">
        <v>12</v>
      </c>
      <c r="Q7" s="3" t="s">
        <v>19</v>
      </c>
      <c r="R7" s="3" t="s">
        <v>162</v>
      </c>
      <c r="S7" s="3" t="s">
        <v>12</v>
      </c>
      <c r="T7" s="3" t="s">
        <v>163</v>
      </c>
      <c r="U7" s="3" t="s">
        <v>162</v>
      </c>
      <c r="V7" s="32"/>
      <c r="W7" s="32"/>
    </row>
    <row r="8" spans="1:40" ht="15.95" customHeight="1" x14ac:dyDescent="0.25">
      <c r="A8" s="34" t="s">
        <v>126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9"/>
      <c r="W8" s="4"/>
    </row>
    <row r="9" spans="1:40" ht="20.100000000000001" customHeight="1" x14ac:dyDescent="0.25">
      <c r="A9" s="12" t="s">
        <v>127</v>
      </c>
      <c r="B9" s="13" t="s">
        <v>49</v>
      </c>
      <c r="C9" s="14">
        <v>0</v>
      </c>
      <c r="D9" s="14">
        <v>1</v>
      </c>
      <c r="E9" s="14">
        <f>D9-C9</f>
        <v>1</v>
      </c>
      <c r="F9" s="15" t="s">
        <v>50</v>
      </c>
      <c r="G9" s="15"/>
      <c r="H9" s="15"/>
      <c r="I9" s="15"/>
      <c r="J9" s="15"/>
      <c r="K9" s="15" t="s">
        <v>50</v>
      </c>
      <c r="L9" s="15"/>
      <c r="M9" s="15" t="s">
        <v>50</v>
      </c>
      <c r="N9" s="15"/>
      <c r="O9" s="15"/>
      <c r="P9" s="15"/>
      <c r="Q9" s="15" t="s">
        <v>50</v>
      </c>
      <c r="R9" s="15"/>
      <c r="S9" s="15"/>
      <c r="T9" s="15" t="s">
        <v>50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127</v>
      </c>
      <c r="B10" s="19" t="s">
        <v>49</v>
      </c>
      <c r="C10" s="20">
        <v>1</v>
      </c>
      <c r="D10" s="20">
        <v>1.69077087362</v>
      </c>
      <c r="E10" s="20">
        <f>D10-C10</f>
        <v>0.69077087362</v>
      </c>
      <c r="F10" s="21" t="s">
        <v>50</v>
      </c>
      <c r="G10" s="21"/>
      <c r="H10" s="21"/>
      <c r="I10" s="21"/>
      <c r="J10" s="21"/>
      <c r="K10" s="21" t="s">
        <v>50</v>
      </c>
      <c r="L10" s="21"/>
      <c r="M10" s="21" t="s">
        <v>50</v>
      </c>
      <c r="N10" s="21"/>
      <c r="O10" s="21"/>
      <c r="P10" s="21"/>
      <c r="Q10" s="21" t="s">
        <v>50</v>
      </c>
      <c r="R10" s="21"/>
      <c r="S10" s="21"/>
      <c r="T10" s="21" t="s">
        <v>50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34" t="s">
        <v>128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9"/>
      <c r="W11" s="4"/>
    </row>
    <row r="12" spans="1:40" ht="20.100000000000001" customHeight="1" x14ac:dyDescent="0.25">
      <c r="A12" s="12" t="s">
        <v>129</v>
      </c>
      <c r="B12" s="13" t="s">
        <v>49</v>
      </c>
      <c r="C12" s="14">
        <v>0</v>
      </c>
      <c r="D12" s="14">
        <v>1</v>
      </c>
      <c r="E12" s="14">
        <f t="shared" ref="E12:E22" si="1">D12-C12</f>
        <v>1</v>
      </c>
      <c r="F12" s="15" t="s">
        <v>50</v>
      </c>
      <c r="G12" s="15"/>
      <c r="H12" s="15"/>
      <c r="I12" s="15"/>
      <c r="J12" s="15"/>
      <c r="K12" s="15" t="s">
        <v>50</v>
      </c>
      <c r="L12" s="15"/>
      <c r="M12" s="15"/>
      <c r="N12" s="15" t="s">
        <v>50</v>
      </c>
      <c r="O12" s="15"/>
      <c r="P12" s="15" t="s">
        <v>50</v>
      </c>
      <c r="Q12" s="15"/>
      <c r="R12" s="15"/>
      <c r="S12" s="15"/>
      <c r="T12" s="15"/>
      <c r="U12" s="15" t="s">
        <v>50</v>
      </c>
      <c r="V12" s="16"/>
      <c r="W12" s="17" t="str">
        <f t="shared" ref="W12:W22" si="2"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2" t="s">
        <v>129</v>
      </c>
      <c r="B13" s="13" t="s">
        <v>49</v>
      </c>
      <c r="C13" s="14">
        <v>1</v>
      </c>
      <c r="D13" s="14">
        <v>2</v>
      </c>
      <c r="E13" s="14">
        <f t="shared" si="1"/>
        <v>1</v>
      </c>
      <c r="F13" s="15" t="s">
        <v>50</v>
      </c>
      <c r="G13" s="15"/>
      <c r="H13" s="15"/>
      <c r="I13" s="15"/>
      <c r="J13" s="15"/>
      <c r="K13" s="15" t="s">
        <v>50</v>
      </c>
      <c r="L13" s="15"/>
      <c r="M13" s="15" t="s">
        <v>50</v>
      </c>
      <c r="N13" s="15"/>
      <c r="O13" s="15"/>
      <c r="P13" s="15" t="s">
        <v>50</v>
      </c>
      <c r="Q13" s="15"/>
      <c r="R13" s="15"/>
      <c r="S13" s="15"/>
      <c r="T13" s="15"/>
      <c r="U13" s="15" t="s">
        <v>50</v>
      </c>
      <c r="V13" s="16"/>
      <c r="W13" s="17" t="str">
        <f t="shared" si="2"/>
        <v>OK</v>
      </c>
    </row>
    <row r="14" spans="1:40" ht="20.100000000000001" customHeight="1" x14ac:dyDescent="0.25">
      <c r="A14" s="12" t="s">
        <v>129</v>
      </c>
      <c r="B14" s="13" t="s">
        <v>49</v>
      </c>
      <c r="C14" s="14">
        <v>2</v>
      </c>
      <c r="D14" s="14">
        <v>3</v>
      </c>
      <c r="E14" s="14">
        <f t="shared" si="1"/>
        <v>1</v>
      </c>
      <c r="F14" s="15" t="s">
        <v>50</v>
      </c>
      <c r="G14" s="15"/>
      <c r="H14" s="15"/>
      <c r="I14" s="15"/>
      <c r="J14" s="15"/>
      <c r="K14" s="15" t="s">
        <v>50</v>
      </c>
      <c r="L14" s="15"/>
      <c r="M14" s="15" t="s">
        <v>50</v>
      </c>
      <c r="N14" s="15"/>
      <c r="O14" s="15"/>
      <c r="P14" s="15" t="s">
        <v>50</v>
      </c>
      <c r="Q14" s="15"/>
      <c r="R14" s="15"/>
      <c r="S14" s="15"/>
      <c r="T14" s="15"/>
      <c r="U14" s="15" t="s">
        <v>50</v>
      </c>
      <c r="V14" s="16"/>
      <c r="W14" s="17" t="str">
        <f t="shared" si="2"/>
        <v>OK</v>
      </c>
    </row>
    <row r="15" spans="1:40" ht="20.100000000000001" customHeight="1" x14ac:dyDescent="0.25">
      <c r="A15" s="12" t="s">
        <v>129</v>
      </c>
      <c r="B15" s="13" t="s">
        <v>49</v>
      </c>
      <c r="C15" s="14">
        <v>3</v>
      </c>
      <c r="D15" s="14">
        <v>4</v>
      </c>
      <c r="E15" s="14">
        <f t="shared" si="1"/>
        <v>1</v>
      </c>
      <c r="F15" s="15" t="s">
        <v>50</v>
      </c>
      <c r="G15" s="15"/>
      <c r="H15" s="15"/>
      <c r="I15" s="15"/>
      <c r="J15" s="15"/>
      <c r="K15" s="15" t="s">
        <v>50</v>
      </c>
      <c r="L15" s="15"/>
      <c r="M15" s="15" t="s">
        <v>50</v>
      </c>
      <c r="N15" s="15"/>
      <c r="O15" s="15"/>
      <c r="P15" s="15" t="s">
        <v>50</v>
      </c>
      <c r="Q15" s="15"/>
      <c r="R15" s="15"/>
      <c r="S15" s="15"/>
      <c r="T15" s="15"/>
      <c r="U15" s="15" t="s">
        <v>50</v>
      </c>
      <c r="V15" s="16"/>
      <c r="W15" s="17" t="str">
        <f t="shared" si="2"/>
        <v>OK</v>
      </c>
    </row>
    <row r="16" spans="1:40" ht="20.100000000000001" customHeight="1" x14ac:dyDescent="0.25">
      <c r="A16" s="12" t="s">
        <v>129</v>
      </c>
      <c r="B16" s="13" t="s">
        <v>49</v>
      </c>
      <c r="C16" s="14">
        <v>4</v>
      </c>
      <c r="D16" s="14">
        <v>5</v>
      </c>
      <c r="E16" s="14">
        <f t="shared" si="1"/>
        <v>1</v>
      </c>
      <c r="F16" s="15" t="s">
        <v>50</v>
      </c>
      <c r="G16" s="15"/>
      <c r="H16" s="15"/>
      <c r="I16" s="15"/>
      <c r="J16" s="15"/>
      <c r="K16" s="15" t="s">
        <v>50</v>
      </c>
      <c r="L16" s="15"/>
      <c r="M16" s="15" t="s">
        <v>50</v>
      </c>
      <c r="N16" s="15"/>
      <c r="O16" s="15"/>
      <c r="P16" s="15" t="s">
        <v>50</v>
      </c>
      <c r="Q16" s="15"/>
      <c r="R16" s="15"/>
      <c r="S16" s="15"/>
      <c r="T16" s="15"/>
      <c r="U16" s="15" t="s">
        <v>50</v>
      </c>
      <c r="V16" s="16"/>
      <c r="W16" s="17" t="str">
        <f t="shared" si="2"/>
        <v>OK</v>
      </c>
    </row>
    <row r="17" spans="1:23" ht="20.100000000000001" customHeight="1" x14ac:dyDescent="0.25">
      <c r="A17" s="12" t="s">
        <v>129</v>
      </c>
      <c r="B17" s="13" t="s">
        <v>49</v>
      </c>
      <c r="C17" s="14">
        <v>5</v>
      </c>
      <c r="D17" s="14">
        <v>6</v>
      </c>
      <c r="E17" s="14">
        <f t="shared" si="1"/>
        <v>1</v>
      </c>
      <c r="F17" s="15" t="s">
        <v>50</v>
      </c>
      <c r="G17" s="15"/>
      <c r="H17" s="15"/>
      <c r="I17" s="15"/>
      <c r="J17" s="15"/>
      <c r="K17" s="15" t="s">
        <v>50</v>
      </c>
      <c r="L17" s="15"/>
      <c r="M17" s="15" t="s">
        <v>50</v>
      </c>
      <c r="N17" s="15"/>
      <c r="O17" s="15"/>
      <c r="P17" s="15" t="s">
        <v>50</v>
      </c>
      <c r="Q17" s="15"/>
      <c r="R17" s="15"/>
      <c r="S17" s="15"/>
      <c r="T17" s="15"/>
      <c r="U17" s="15" t="s">
        <v>50</v>
      </c>
      <c r="V17" s="16"/>
      <c r="W17" s="17" t="str">
        <f t="shared" si="2"/>
        <v>OK</v>
      </c>
    </row>
    <row r="18" spans="1:23" ht="20.100000000000001" customHeight="1" x14ac:dyDescent="0.25">
      <c r="A18" s="12" t="s">
        <v>129</v>
      </c>
      <c r="B18" s="13" t="s">
        <v>49</v>
      </c>
      <c r="C18" s="14">
        <v>6</v>
      </c>
      <c r="D18" s="14">
        <v>7</v>
      </c>
      <c r="E18" s="14">
        <f t="shared" si="1"/>
        <v>1</v>
      </c>
      <c r="F18" s="15" t="s">
        <v>50</v>
      </c>
      <c r="G18" s="15"/>
      <c r="H18" s="15"/>
      <c r="I18" s="15"/>
      <c r="J18" s="15"/>
      <c r="K18" s="15" t="s">
        <v>50</v>
      </c>
      <c r="L18" s="15"/>
      <c r="M18" s="15" t="s">
        <v>50</v>
      </c>
      <c r="N18" s="15"/>
      <c r="O18" s="15"/>
      <c r="P18" s="15" t="s">
        <v>50</v>
      </c>
      <c r="Q18" s="15"/>
      <c r="R18" s="15"/>
      <c r="S18" s="15"/>
      <c r="T18" s="15"/>
      <c r="U18" s="15" t="s">
        <v>50</v>
      </c>
      <c r="V18" s="16"/>
      <c r="W18" s="17" t="str">
        <f t="shared" si="2"/>
        <v>OK</v>
      </c>
    </row>
    <row r="19" spans="1:23" ht="20.100000000000001" customHeight="1" x14ac:dyDescent="0.25">
      <c r="A19" s="12" t="s">
        <v>129</v>
      </c>
      <c r="B19" s="13" t="s">
        <v>49</v>
      </c>
      <c r="C19" s="14">
        <v>7</v>
      </c>
      <c r="D19" s="14">
        <v>8</v>
      </c>
      <c r="E19" s="14">
        <f t="shared" si="1"/>
        <v>1</v>
      </c>
      <c r="F19" s="15" t="s">
        <v>50</v>
      </c>
      <c r="G19" s="15"/>
      <c r="H19" s="15"/>
      <c r="I19" s="15"/>
      <c r="J19" s="15"/>
      <c r="K19" s="15" t="s">
        <v>50</v>
      </c>
      <c r="L19" s="15"/>
      <c r="M19" s="15"/>
      <c r="N19" s="15" t="s">
        <v>50</v>
      </c>
      <c r="O19" s="15"/>
      <c r="P19" s="15" t="s">
        <v>50</v>
      </c>
      <c r="Q19" s="15"/>
      <c r="R19" s="15"/>
      <c r="S19" s="15"/>
      <c r="T19" s="15"/>
      <c r="U19" s="15" t="s">
        <v>50</v>
      </c>
      <c r="V19" s="16"/>
      <c r="W19" s="17" t="str">
        <f t="shared" si="2"/>
        <v>OK</v>
      </c>
    </row>
    <row r="20" spans="1:23" ht="20.100000000000001" customHeight="1" x14ac:dyDescent="0.25">
      <c r="A20" s="12" t="s">
        <v>129</v>
      </c>
      <c r="B20" s="13" t="s">
        <v>49</v>
      </c>
      <c r="C20" s="14">
        <v>8</v>
      </c>
      <c r="D20" s="14">
        <v>9</v>
      </c>
      <c r="E20" s="14">
        <f t="shared" si="1"/>
        <v>1</v>
      </c>
      <c r="F20" s="15"/>
      <c r="G20" s="15"/>
      <c r="H20" s="15" t="s">
        <v>50</v>
      </c>
      <c r="I20" s="15"/>
      <c r="J20" s="15"/>
      <c r="K20" s="15" t="s">
        <v>50</v>
      </c>
      <c r="L20" s="15"/>
      <c r="M20" s="15"/>
      <c r="N20" s="15" t="s">
        <v>50</v>
      </c>
      <c r="O20" s="15"/>
      <c r="P20" s="15" t="s">
        <v>50</v>
      </c>
      <c r="Q20" s="15"/>
      <c r="R20" s="15"/>
      <c r="S20" s="15"/>
      <c r="T20" s="15"/>
      <c r="U20" s="15" t="s">
        <v>50</v>
      </c>
      <c r="V20" s="16"/>
      <c r="W20" s="17" t="str">
        <f t="shared" si="2"/>
        <v>OK</v>
      </c>
    </row>
    <row r="21" spans="1:23" ht="20.100000000000001" customHeight="1" x14ac:dyDescent="0.25">
      <c r="A21" s="12" t="s">
        <v>129</v>
      </c>
      <c r="B21" s="13" t="s">
        <v>49</v>
      </c>
      <c r="C21" s="14">
        <v>9</v>
      </c>
      <c r="D21" s="14">
        <v>10</v>
      </c>
      <c r="E21" s="14">
        <f t="shared" si="1"/>
        <v>1</v>
      </c>
      <c r="F21" s="15"/>
      <c r="G21" s="15"/>
      <c r="H21" s="15" t="s">
        <v>50</v>
      </c>
      <c r="I21" s="15"/>
      <c r="J21" s="15"/>
      <c r="K21" s="15" t="s">
        <v>50</v>
      </c>
      <c r="L21" s="15"/>
      <c r="M21" s="15"/>
      <c r="N21" s="15" t="s">
        <v>50</v>
      </c>
      <c r="O21" s="15"/>
      <c r="P21" s="15" t="s">
        <v>50</v>
      </c>
      <c r="Q21" s="15"/>
      <c r="R21" s="15"/>
      <c r="S21" s="15"/>
      <c r="T21" s="15"/>
      <c r="U21" s="15" t="s">
        <v>50</v>
      </c>
      <c r="V21" s="16"/>
      <c r="W21" s="17" t="str">
        <f t="shared" si="2"/>
        <v>OK</v>
      </c>
    </row>
    <row r="22" spans="1:23" ht="20.100000000000001" customHeight="1" x14ac:dyDescent="0.25">
      <c r="A22" s="18" t="s">
        <v>129</v>
      </c>
      <c r="B22" s="19" t="s">
        <v>49</v>
      </c>
      <c r="C22" s="20">
        <v>10</v>
      </c>
      <c r="D22" s="20">
        <v>10.299499818099999</v>
      </c>
      <c r="E22" s="20">
        <f t="shared" si="1"/>
        <v>0.29949981809999926</v>
      </c>
      <c r="F22" s="21"/>
      <c r="G22" s="21"/>
      <c r="H22" s="21" t="s">
        <v>50</v>
      </c>
      <c r="I22" s="21"/>
      <c r="J22" s="21"/>
      <c r="K22" s="21" t="s">
        <v>50</v>
      </c>
      <c r="L22" s="21"/>
      <c r="M22" s="21"/>
      <c r="N22" s="21" t="s">
        <v>50</v>
      </c>
      <c r="O22" s="21"/>
      <c r="P22" s="21" t="s">
        <v>50</v>
      </c>
      <c r="Q22" s="21"/>
      <c r="R22" s="21"/>
      <c r="S22" s="21"/>
      <c r="T22" s="21"/>
      <c r="U22" s="21" t="s">
        <v>50</v>
      </c>
      <c r="V22" s="22"/>
      <c r="W22" s="23" t="str">
        <f t="shared" si="2"/>
        <v>OK</v>
      </c>
    </row>
    <row r="23" spans="1:23" ht="15.95" customHeight="1" x14ac:dyDescent="0.25">
      <c r="A23" s="34" t="s">
        <v>130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9"/>
      <c r="W23" s="4"/>
    </row>
    <row r="24" spans="1:23" ht="20.100000000000001" customHeight="1" x14ac:dyDescent="0.25">
      <c r="A24" s="12" t="s">
        <v>131</v>
      </c>
      <c r="B24" s="13" t="s">
        <v>49</v>
      </c>
      <c r="C24" s="14">
        <v>0</v>
      </c>
      <c r="D24" s="14">
        <v>1</v>
      </c>
      <c r="E24" s="14">
        <f t="shared" ref="E24:E61" si="3">D24-C24</f>
        <v>1</v>
      </c>
      <c r="F24" s="15" t="s">
        <v>50</v>
      </c>
      <c r="G24" s="15"/>
      <c r="H24" s="15"/>
      <c r="I24" s="15"/>
      <c r="J24" s="15"/>
      <c r="K24" s="15" t="s">
        <v>50</v>
      </c>
      <c r="L24" s="15"/>
      <c r="M24" s="15"/>
      <c r="N24" s="15" t="s">
        <v>50</v>
      </c>
      <c r="O24" s="15"/>
      <c r="P24" s="15" t="s">
        <v>50</v>
      </c>
      <c r="Q24" s="15"/>
      <c r="R24" s="15"/>
      <c r="S24" s="15"/>
      <c r="T24" s="15" t="s">
        <v>50</v>
      </c>
      <c r="U24" s="15"/>
      <c r="V24" s="16"/>
      <c r="W24" s="17" t="str">
        <f t="shared" ref="W24:W61" si="4">IF(COUNTA(F24:U24)=0,"— não preenchido",IF(COUNTIF(F24:J24,"X")&lt;&gt;1,"FALTA/DUPLA: CONDIÇÃO DO PAVIMENTO",IF(COUNTIF(K24:L24,"X")&lt;&gt;1,"FALTA/DUPLA: VEGETAÇÃO",IF(COUNTIF(M24:O24,"X")&lt;&gt;1,"FALTA/DUPLA: ELEM. DE DRENAGEM",IF(COUNTIF(P24:R24,"X")&lt;&gt;1,"FALTA/DUPLA: SIN. HORIZ.",IF(COUNTIF(S24:U24,"X")&lt;&gt;1,"FALTA/DUPLA: SIN. VERTICAL","OK"))))))</f>
        <v>OK</v>
      </c>
    </row>
    <row r="25" spans="1:23" ht="20.100000000000001" customHeight="1" x14ac:dyDescent="0.25">
      <c r="A25" s="12" t="s">
        <v>131</v>
      </c>
      <c r="B25" s="13" t="s">
        <v>49</v>
      </c>
      <c r="C25" s="14">
        <v>1</v>
      </c>
      <c r="D25" s="14">
        <v>2</v>
      </c>
      <c r="E25" s="14">
        <f t="shared" si="3"/>
        <v>1</v>
      </c>
      <c r="F25" s="15" t="s">
        <v>50</v>
      </c>
      <c r="G25" s="15"/>
      <c r="H25" s="15"/>
      <c r="I25" s="15"/>
      <c r="J25" s="15"/>
      <c r="K25" s="15" t="s">
        <v>50</v>
      </c>
      <c r="L25" s="15"/>
      <c r="M25" s="15"/>
      <c r="N25" s="15" t="s">
        <v>50</v>
      </c>
      <c r="O25" s="15"/>
      <c r="P25" s="15" t="s">
        <v>50</v>
      </c>
      <c r="Q25" s="15"/>
      <c r="R25" s="15"/>
      <c r="S25" s="15"/>
      <c r="T25" s="15" t="s">
        <v>50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131</v>
      </c>
      <c r="B26" s="13" t="s">
        <v>49</v>
      </c>
      <c r="C26" s="14">
        <v>2</v>
      </c>
      <c r="D26" s="14">
        <v>3</v>
      </c>
      <c r="E26" s="14">
        <f t="shared" si="3"/>
        <v>1</v>
      </c>
      <c r="F26" s="15" t="s">
        <v>50</v>
      </c>
      <c r="G26" s="15"/>
      <c r="H26" s="15"/>
      <c r="I26" s="15"/>
      <c r="J26" s="15"/>
      <c r="K26" s="15" t="s">
        <v>50</v>
      </c>
      <c r="L26" s="15"/>
      <c r="M26" s="15"/>
      <c r="N26" s="15" t="s">
        <v>50</v>
      </c>
      <c r="O26" s="15"/>
      <c r="P26" s="15" t="s">
        <v>50</v>
      </c>
      <c r="Q26" s="15"/>
      <c r="R26" s="15"/>
      <c r="S26" s="15"/>
      <c r="T26" s="15" t="s">
        <v>50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131</v>
      </c>
      <c r="B27" s="13" t="s">
        <v>49</v>
      </c>
      <c r="C27" s="14">
        <v>3</v>
      </c>
      <c r="D27" s="14">
        <v>4</v>
      </c>
      <c r="E27" s="14">
        <f t="shared" si="3"/>
        <v>1</v>
      </c>
      <c r="F27" s="15" t="s">
        <v>50</v>
      </c>
      <c r="G27" s="15"/>
      <c r="H27" s="15"/>
      <c r="I27" s="15"/>
      <c r="J27" s="15"/>
      <c r="K27" s="15" t="s">
        <v>50</v>
      </c>
      <c r="L27" s="15"/>
      <c r="M27" s="15"/>
      <c r="N27" s="15" t="s">
        <v>50</v>
      </c>
      <c r="O27" s="15"/>
      <c r="P27" s="15" t="s">
        <v>50</v>
      </c>
      <c r="Q27" s="15"/>
      <c r="R27" s="15"/>
      <c r="S27" s="15"/>
      <c r="T27" s="15" t="s">
        <v>50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131</v>
      </c>
      <c r="B28" s="13" t="s">
        <v>49</v>
      </c>
      <c r="C28" s="14">
        <v>4</v>
      </c>
      <c r="D28" s="14">
        <v>5</v>
      </c>
      <c r="E28" s="14">
        <f t="shared" si="3"/>
        <v>1</v>
      </c>
      <c r="F28" s="15" t="s">
        <v>50</v>
      </c>
      <c r="G28" s="15"/>
      <c r="H28" s="15"/>
      <c r="I28" s="15"/>
      <c r="J28" s="15"/>
      <c r="K28" s="15" t="s">
        <v>50</v>
      </c>
      <c r="L28" s="15"/>
      <c r="M28" s="15"/>
      <c r="N28" s="15" t="s">
        <v>50</v>
      </c>
      <c r="O28" s="15"/>
      <c r="P28" s="15" t="s">
        <v>50</v>
      </c>
      <c r="Q28" s="15"/>
      <c r="R28" s="15"/>
      <c r="S28" s="15"/>
      <c r="T28" s="15" t="s">
        <v>50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131</v>
      </c>
      <c r="B29" s="13" t="s">
        <v>49</v>
      </c>
      <c r="C29" s="14">
        <v>5</v>
      </c>
      <c r="D29" s="14">
        <v>6</v>
      </c>
      <c r="E29" s="14">
        <f t="shared" si="3"/>
        <v>1</v>
      </c>
      <c r="F29" s="15"/>
      <c r="G29" s="15" t="s">
        <v>50</v>
      </c>
      <c r="H29" s="15"/>
      <c r="I29" s="15"/>
      <c r="J29" s="15"/>
      <c r="K29" s="15" t="s">
        <v>50</v>
      </c>
      <c r="L29" s="15"/>
      <c r="M29" s="15"/>
      <c r="N29" s="15" t="s">
        <v>50</v>
      </c>
      <c r="O29" s="15"/>
      <c r="P29" s="15" t="s">
        <v>50</v>
      </c>
      <c r="Q29" s="15"/>
      <c r="R29" s="15"/>
      <c r="S29" s="15"/>
      <c r="T29" s="15" t="s">
        <v>50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131</v>
      </c>
      <c r="B30" s="13" t="s">
        <v>49</v>
      </c>
      <c r="C30" s="14">
        <v>6</v>
      </c>
      <c r="D30" s="14">
        <v>7</v>
      </c>
      <c r="E30" s="14">
        <f t="shared" si="3"/>
        <v>1</v>
      </c>
      <c r="F30" s="15"/>
      <c r="G30" s="15" t="s">
        <v>50</v>
      </c>
      <c r="H30" s="15"/>
      <c r="I30" s="15"/>
      <c r="J30" s="15"/>
      <c r="K30" s="15" t="s">
        <v>50</v>
      </c>
      <c r="L30" s="15"/>
      <c r="M30" s="15"/>
      <c r="N30" s="15" t="s">
        <v>50</v>
      </c>
      <c r="O30" s="15"/>
      <c r="P30" s="15" t="s">
        <v>50</v>
      </c>
      <c r="Q30" s="15"/>
      <c r="R30" s="15"/>
      <c r="S30" s="15"/>
      <c r="T30" s="15" t="s">
        <v>50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131</v>
      </c>
      <c r="B31" s="13" t="s">
        <v>49</v>
      </c>
      <c r="C31" s="14">
        <v>7</v>
      </c>
      <c r="D31" s="14">
        <v>8</v>
      </c>
      <c r="E31" s="14">
        <f t="shared" si="3"/>
        <v>1</v>
      </c>
      <c r="F31" s="15"/>
      <c r="G31" s="15" t="s">
        <v>50</v>
      </c>
      <c r="H31" s="15"/>
      <c r="I31" s="15"/>
      <c r="J31" s="15"/>
      <c r="K31" s="15" t="s">
        <v>50</v>
      </c>
      <c r="L31" s="15"/>
      <c r="M31" s="15"/>
      <c r="N31" s="15" t="s">
        <v>50</v>
      </c>
      <c r="O31" s="15"/>
      <c r="P31" s="15" t="s">
        <v>50</v>
      </c>
      <c r="Q31" s="15"/>
      <c r="R31" s="15"/>
      <c r="S31" s="15"/>
      <c r="T31" s="15" t="s">
        <v>50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131</v>
      </c>
      <c r="B32" s="13" t="s">
        <v>49</v>
      </c>
      <c r="C32" s="14">
        <v>8</v>
      </c>
      <c r="D32" s="14">
        <v>9</v>
      </c>
      <c r="E32" s="14">
        <f t="shared" si="3"/>
        <v>1</v>
      </c>
      <c r="F32" s="15"/>
      <c r="G32" s="15" t="s">
        <v>50</v>
      </c>
      <c r="H32" s="15"/>
      <c r="I32" s="15"/>
      <c r="J32" s="15"/>
      <c r="K32" s="15" t="s">
        <v>50</v>
      </c>
      <c r="L32" s="15"/>
      <c r="M32" s="15"/>
      <c r="N32" s="15" t="s">
        <v>50</v>
      </c>
      <c r="O32" s="15"/>
      <c r="P32" s="15" t="s">
        <v>50</v>
      </c>
      <c r="Q32" s="15"/>
      <c r="R32" s="15"/>
      <c r="S32" s="15"/>
      <c r="T32" s="15" t="s">
        <v>50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131</v>
      </c>
      <c r="B33" s="13" t="s">
        <v>49</v>
      </c>
      <c r="C33" s="14">
        <v>9</v>
      </c>
      <c r="D33" s="14">
        <v>10</v>
      </c>
      <c r="E33" s="14">
        <f t="shared" si="3"/>
        <v>1</v>
      </c>
      <c r="F33" s="15"/>
      <c r="G33" s="15" t="s">
        <v>50</v>
      </c>
      <c r="H33" s="15"/>
      <c r="I33" s="15"/>
      <c r="J33" s="15"/>
      <c r="K33" s="15" t="s">
        <v>50</v>
      </c>
      <c r="L33" s="15"/>
      <c r="M33" s="15"/>
      <c r="N33" s="15" t="s">
        <v>50</v>
      </c>
      <c r="O33" s="15"/>
      <c r="P33" s="15" t="s">
        <v>50</v>
      </c>
      <c r="Q33" s="15"/>
      <c r="R33" s="15"/>
      <c r="S33" s="15"/>
      <c r="T33" s="15" t="s">
        <v>50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131</v>
      </c>
      <c r="B34" s="13" t="s">
        <v>49</v>
      </c>
      <c r="C34" s="14">
        <v>10</v>
      </c>
      <c r="D34" s="14">
        <v>11</v>
      </c>
      <c r="E34" s="14">
        <f t="shared" si="3"/>
        <v>1</v>
      </c>
      <c r="F34" s="15" t="s">
        <v>50</v>
      </c>
      <c r="G34" s="15"/>
      <c r="H34" s="15"/>
      <c r="I34" s="15"/>
      <c r="J34" s="15"/>
      <c r="K34" s="15" t="s">
        <v>50</v>
      </c>
      <c r="L34" s="15"/>
      <c r="M34" s="15"/>
      <c r="N34" s="15" t="s">
        <v>50</v>
      </c>
      <c r="O34" s="15"/>
      <c r="P34" s="15" t="s">
        <v>50</v>
      </c>
      <c r="Q34" s="15"/>
      <c r="R34" s="15"/>
      <c r="S34" s="15"/>
      <c r="T34" s="15" t="s">
        <v>50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131</v>
      </c>
      <c r="B35" s="13" t="s">
        <v>49</v>
      </c>
      <c r="C35" s="14">
        <v>11</v>
      </c>
      <c r="D35" s="14">
        <v>12</v>
      </c>
      <c r="E35" s="14">
        <f t="shared" si="3"/>
        <v>1</v>
      </c>
      <c r="F35" s="15" t="s">
        <v>50</v>
      </c>
      <c r="G35" s="15"/>
      <c r="H35" s="15"/>
      <c r="I35" s="15"/>
      <c r="J35" s="15"/>
      <c r="K35" s="15" t="s">
        <v>50</v>
      </c>
      <c r="L35" s="15"/>
      <c r="M35" s="15"/>
      <c r="N35" s="15" t="s">
        <v>50</v>
      </c>
      <c r="O35" s="15"/>
      <c r="P35" s="15" t="s">
        <v>50</v>
      </c>
      <c r="Q35" s="15"/>
      <c r="R35" s="15"/>
      <c r="S35" s="15"/>
      <c r="T35" s="15" t="s">
        <v>50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131</v>
      </c>
      <c r="B36" s="13" t="s">
        <v>49</v>
      </c>
      <c r="C36" s="14">
        <v>12</v>
      </c>
      <c r="D36" s="14">
        <v>13</v>
      </c>
      <c r="E36" s="14">
        <f t="shared" si="3"/>
        <v>1</v>
      </c>
      <c r="F36" s="15" t="s">
        <v>50</v>
      </c>
      <c r="G36" s="15"/>
      <c r="H36" s="15"/>
      <c r="I36" s="15"/>
      <c r="J36" s="15"/>
      <c r="K36" s="15" t="s">
        <v>50</v>
      </c>
      <c r="L36" s="15"/>
      <c r="M36" s="15"/>
      <c r="N36" s="15" t="s">
        <v>50</v>
      </c>
      <c r="O36" s="15"/>
      <c r="P36" s="15" t="s">
        <v>50</v>
      </c>
      <c r="Q36" s="15"/>
      <c r="R36" s="15"/>
      <c r="S36" s="15"/>
      <c r="T36" s="15" t="s">
        <v>50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131</v>
      </c>
      <c r="B37" s="13" t="s">
        <v>49</v>
      </c>
      <c r="C37" s="14">
        <v>13</v>
      </c>
      <c r="D37" s="14">
        <v>14</v>
      </c>
      <c r="E37" s="14">
        <f t="shared" si="3"/>
        <v>1</v>
      </c>
      <c r="F37" s="15" t="s">
        <v>50</v>
      </c>
      <c r="G37" s="15"/>
      <c r="H37" s="15"/>
      <c r="I37" s="15"/>
      <c r="J37" s="15"/>
      <c r="K37" s="15" t="s">
        <v>50</v>
      </c>
      <c r="L37" s="15"/>
      <c r="M37" s="15"/>
      <c r="N37" s="15" t="s">
        <v>50</v>
      </c>
      <c r="O37" s="15"/>
      <c r="P37" s="15" t="s">
        <v>50</v>
      </c>
      <c r="Q37" s="15"/>
      <c r="R37" s="15"/>
      <c r="S37" s="15"/>
      <c r="T37" s="15" t="s">
        <v>50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131</v>
      </c>
      <c r="B38" s="13" t="s">
        <v>49</v>
      </c>
      <c r="C38" s="14">
        <v>14</v>
      </c>
      <c r="D38" s="14">
        <v>15</v>
      </c>
      <c r="E38" s="14">
        <f t="shared" si="3"/>
        <v>1</v>
      </c>
      <c r="F38" s="15" t="s">
        <v>50</v>
      </c>
      <c r="G38" s="15"/>
      <c r="H38" s="15"/>
      <c r="I38" s="15"/>
      <c r="J38" s="15"/>
      <c r="K38" s="15" t="s">
        <v>50</v>
      </c>
      <c r="L38" s="15"/>
      <c r="M38" s="15"/>
      <c r="N38" s="15" t="s">
        <v>50</v>
      </c>
      <c r="O38" s="15"/>
      <c r="P38" s="15" t="s">
        <v>50</v>
      </c>
      <c r="Q38" s="15"/>
      <c r="R38" s="15"/>
      <c r="S38" s="15"/>
      <c r="T38" s="15" t="s">
        <v>50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131</v>
      </c>
      <c r="B39" s="13" t="s">
        <v>49</v>
      </c>
      <c r="C39" s="14">
        <v>15</v>
      </c>
      <c r="D39" s="14">
        <v>16</v>
      </c>
      <c r="E39" s="14">
        <f t="shared" si="3"/>
        <v>1</v>
      </c>
      <c r="F39" s="15" t="s">
        <v>50</v>
      </c>
      <c r="G39" s="15"/>
      <c r="H39" s="15"/>
      <c r="I39" s="15"/>
      <c r="J39" s="15"/>
      <c r="K39" s="15" t="s">
        <v>50</v>
      </c>
      <c r="L39" s="15"/>
      <c r="M39" s="15"/>
      <c r="N39" s="15" t="s">
        <v>50</v>
      </c>
      <c r="O39" s="15"/>
      <c r="P39" s="15" t="s">
        <v>50</v>
      </c>
      <c r="Q39" s="15"/>
      <c r="R39" s="15"/>
      <c r="S39" s="15"/>
      <c r="T39" s="15" t="s">
        <v>50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131</v>
      </c>
      <c r="B40" s="13" t="s">
        <v>49</v>
      </c>
      <c r="C40" s="14">
        <v>16</v>
      </c>
      <c r="D40" s="14">
        <v>17</v>
      </c>
      <c r="E40" s="14">
        <f t="shared" si="3"/>
        <v>1</v>
      </c>
      <c r="F40" s="15" t="s">
        <v>50</v>
      </c>
      <c r="G40" s="15"/>
      <c r="H40" s="15"/>
      <c r="I40" s="15"/>
      <c r="J40" s="15"/>
      <c r="K40" s="15" t="s">
        <v>50</v>
      </c>
      <c r="L40" s="15"/>
      <c r="M40" s="15"/>
      <c r="N40" s="15" t="s">
        <v>50</v>
      </c>
      <c r="O40" s="15"/>
      <c r="P40" s="15" t="s">
        <v>50</v>
      </c>
      <c r="Q40" s="15"/>
      <c r="R40" s="15"/>
      <c r="S40" s="15"/>
      <c r="T40" s="15"/>
      <c r="U40" s="15" t="s">
        <v>50</v>
      </c>
      <c r="V40" s="16"/>
      <c r="W40" s="17" t="str">
        <f t="shared" si="4"/>
        <v>OK</v>
      </c>
    </row>
    <row r="41" spans="1:23" ht="20.100000000000001" customHeight="1" x14ac:dyDescent="0.25">
      <c r="A41" s="12" t="s">
        <v>131</v>
      </c>
      <c r="B41" s="13" t="s">
        <v>49</v>
      </c>
      <c r="C41" s="14">
        <v>17</v>
      </c>
      <c r="D41" s="14">
        <v>18</v>
      </c>
      <c r="E41" s="14">
        <f t="shared" si="3"/>
        <v>1</v>
      </c>
      <c r="F41" s="15" t="s">
        <v>50</v>
      </c>
      <c r="G41" s="15"/>
      <c r="H41" s="15"/>
      <c r="I41" s="15"/>
      <c r="J41" s="15"/>
      <c r="K41" s="15" t="s">
        <v>50</v>
      </c>
      <c r="L41" s="15"/>
      <c r="M41" s="15"/>
      <c r="N41" s="15" t="s">
        <v>50</v>
      </c>
      <c r="O41" s="15"/>
      <c r="P41" s="15" t="s">
        <v>50</v>
      </c>
      <c r="Q41" s="15"/>
      <c r="R41" s="15"/>
      <c r="S41" s="15"/>
      <c r="T41" s="15"/>
      <c r="U41" s="15" t="s">
        <v>50</v>
      </c>
      <c r="V41" s="16"/>
      <c r="W41" s="17" t="str">
        <f t="shared" si="4"/>
        <v>OK</v>
      </c>
    </row>
    <row r="42" spans="1:23" ht="20.100000000000001" customHeight="1" x14ac:dyDescent="0.25">
      <c r="A42" s="12" t="s">
        <v>131</v>
      </c>
      <c r="B42" s="13" t="s">
        <v>49</v>
      </c>
      <c r="C42" s="14">
        <v>18</v>
      </c>
      <c r="D42" s="14">
        <v>19</v>
      </c>
      <c r="E42" s="14">
        <f t="shared" si="3"/>
        <v>1</v>
      </c>
      <c r="F42" s="15" t="s">
        <v>50</v>
      </c>
      <c r="G42" s="15"/>
      <c r="H42" s="15"/>
      <c r="I42" s="15"/>
      <c r="J42" s="15"/>
      <c r="K42" s="15" t="s">
        <v>50</v>
      </c>
      <c r="L42" s="15"/>
      <c r="M42" s="15"/>
      <c r="N42" s="15" t="s">
        <v>50</v>
      </c>
      <c r="O42" s="15"/>
      <c r="P42" s="15" t="s">
        <v>50</v>
      </c>
      <c r="Q42" s="15"/>
      <c r="R42" s="15"/>
      <c r="S42" s="15"/>
      <c r="T42" s="15"/>
      <c r="U42" s="15" t="s">
        <v>50</v>
      </c>
      <c r="V42" s="16"/>
      <c r="W42" s="17" t="str">
        <f t="shared" si="4"/>
        <v>OK</v>
      </c>
    </row>
    <row r="43" spans="1:23" ht="20.100000000000001" customHeight="1" x14ac:dyDescent="0.25">
      <c r="A43" s="12" t="s">
        <v>131</v>
      </c>
      <c r="B43" s="13" t="s">
        <v>49</v>
      </c>
      <c r="C43" s="14">
        <v>19</v>
      </c>
      <c r="D43" s="14">
        <v>20</v>
      </c>
      <c r="E43" s="14">
        <f t="shared" si="3"/>
        <v>1</v>
      </c>
      <c r="F43" s="15" t="s">
        <v>50</v>
      </c>
      <c r="G43" s="15"/>
      <c r="H43" s="15"/>
      <c r="I43" s="15"/>
      <c r="J43" s="15"/>
      <c r="K43" s="15" t="s">
        <v>50</v>
      </c>
      <c r="L43" s="15"/>
      <c r="M43" s="15"/>
      <c r="N43" s="15" t="s">
        <v>50</v>
      </c>
      <c r="O43" s="15"/>
      <c r="P43" s="15" t="s">
        <v>50</v>
      </c>
      <c r="Q43" s="15"/>
      <c r="R43" s="15"/>
      <c r="S43" s="15"/>
      <c r="T43" s="15"/>
      <c r="U43" s="15" t="s">
        <v>50</v>
      </c>
      <c r="V43" s="16"/>
      <c r="W43" s="17" t="str">
        <f t="shared" si="4"/>
        <v>OK</v>
      </c>
    </row>
    <row r="44" spans="1:23" ht="20.100000000000001" customHeight="1" x14ac:dyDescent="0.25">
      <c r="A44" s="12" t="s">
        <v>131</v>
      </c>
      <c r="B44" s="13" t="s">
        <v>49</v>
      </c>
      <c r="C44" s="14">
        <v>20</v>
      </c>
      <c r="D44" s="14">
        <v>21</v>
      </c>
      <c r="E44" s="14">
        <f t="shared" si="3"/>
        <v>1</v>
      </c>
      <c r="F44" s="15" t="s">
        <v>50</v>
      </c>
      <c r="G44" s="15"/>
      <c r="H44" s="15"/>
      <c r="I44" s="15"/>
      <c r="J44" s="15"/>
      <c r="K44" s="15" t="s">
        <v>50</v>
      </c>
      <c r="L44" s="15"/>
      <c r="M44" s="15"/>
      <c r="N44" s="15" t="s">
        <v>50</v>
      </c>
      <c r="O44" s="15"/>
      <c r="P44" s="15" t="s">
        <v>50</v>
      </c>
      <c r="Q44" s="15"/>
      <c r="R44" s="15"/>
      <c r="S44" s="15"/>
      <c r="T44" s="15"/>
      <c r="U44" s="15" t="s">
        <v>50</v>
      </c>
      <c r="V44" s="16"/>
      <c r="W44" s="17" t="str">
        <f t="shared" si="4"/>
        <v>OK</v>
      </c>
    </row>
    <row r="45" spans="1:23" ht="20.100000000000001" customHeight="1" x14ac:dyDescent="0.25">
      <c r="A45" s="12" t="s">
        <v>131</v>
      </c>
      <c r="B45" s="13" t="s">
        <v>49</v>
      </c>
      <c r="C45" s="14">
        <v>21</v>
      </c>
      <c r="D45" s="14">
        <v>22</v>
      </c>
      <c r="E45" s="14">
        <f t="shared" si="3"/>
        <v>1</v>
      </c>
      <c r="F45" s="15" t="s">
        <v>50</v>
      </c>
      <c r="G45" s="15"/>
      <c r="H45" s="15"/>
      <c r="I45" s="15"/>
      <c r="J45" s="15"/>
      <c r="K45" s="15" t="s">
        <v>50</v>
      </c>
      <c r="L45" s="15"/>
      <c r="M45" s="15"/>
      <c r="N45" s="15" t="s">
        <v>50</v>
      </c>
      <c r="O45" s="15"/>
      <c r="P45" s="15" t="s">
        <v>50</v>
      </c>
      <c r="Q45" s="15"/>
      <c r="R45" s="15"/>
      <c r="S45" s="15"/>
      <c r="T45" s="15"/>
      <c r="U45" s="15" t="s">
        <v>50</v>
      </c>
      <c r="V45" s="16"/>
      <c r="W45" s="17" t="str">
        <f t="shared" si="4"/>
        <v>OK</v>
      </c>
    </row>
    <row r="46" spans="1:23" ht="20.100000000000001" customHeight="1" x14ac:dyDescent="0.25">
      <c r="A46" s="12" t="s">
        <v>131</v>
      </c>
      <c r="B46" s="13" t="s">
        <v>49</v>
      </c>
      <c r="C46" s="14">
        <v>22</v>
      </c>
      <c r="D46" s="14">
        <v>23</v>
      </c>
      <c r="E46" s="14">
        <f t="shared" si="3"/>
        <v>1</v>
      </c>
      <c r="F46" s="15" t="s">
        <v>50</v>
      </c>
      <c r="G46" s="15"/>
      <c r="H46" s="15"/>
      <c r="I46" s="15"/>
      <c r="J46" s="15"/>
      <c r="K46" s="15" t="s">
        <v>50</v>
      </c>
      <c r="L46" s="15"/>
      <c r="M46" s="15"/>
      <c r="N46" s="15" t="s">
        <v>50</v>
      </c>
      <c r="O46" s="15"/>
      <c r="P46" s="15" t="s">
        <v>50</v>
      </c>
      <c r="Q46" s="15"/>
      <c r="R46" s="15"/>
      <c r="S46" s="15"/>
      <c r="T46" s="15" t="s">
        <v>50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131</v>
      </c>
      <c r="B47" s="13" t="s">
        <v>49</v>
      </c>
      <c r="C47" s="14">
        <v>23</v>
      </c>
      <c r="D47" s="14">
        <v>24</v>
      </c>
      <c r="E47" s="14">
        <f t="shared" si="3"/>
        <v>1</v>
      </c>
      <c r="F47" s="15" t="s">
        <v>50</v>
      </c>
      <c r="G47" s="15"/>
      <c r="H47" s="15"/>
      <c r="I47" s="15"/>
      <c r="J47" s="15"/>
      <c r="K47" s="15" t="s">
        <v>50</v>
      </c>
      <c r="L47" s="15"/>
      <c r="M47" s="15"/>
      <c r="N47" s="15" t="s">
        <v>50</v>
      </c>
      <c r="O47" s="15"/>
      <c r="P47" s="15" t="s">
        <v>50</v>
      </c>
      <c r="Q47" s="15"/>
      <c r="R47" s="15"/>
      <c r="S47" s="15"/>
      <c r="T47" s="15" t="s">
        <v>50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131</v>
      </c>
      <c r="B48" s="13" t="s">
        <v>49</v>
      </c>
      <c r="C48" s="14">
        <v>24</v>
      </c>
      <c r="D48" s="14">
        <v>25</v>
      </c>
      <c r="E48" s="14">
        <f t="shared" si="3"/>
        <v>1</v>
      </c>
      <c r="F48" s="15" t="s">
        <v>50</v>
      </c>
      <c r="G48" s="15"/>
      <c r="H48" s="15"/>
      <c r="I48" s="15"/>
      <c r="J48" s="15"/>
      <c r="K48" s="15" t="s">
        <v>50</v>
      </c>
      <c r="L48" s="15"/>
      <c r="M48" s="15"/>
      <c r="N48" s="15" t="s">
        <v>50</v>
      </c>
      <c r="O48" s="15"/>
      <c r="P48" s="15" t="s">
        <v>50</v>
      </c>
      <c r="Q48" s="15"/>
      <c r="R48" s="15"/>
      <c r="S48" s="15"/>
      <c r="T48" s="15" t="s">
        <v>50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131</v>
      </c>
      <c r="B49" s="13" t="s">
        <v>49</v>
      </c>
      <c r="C49" s="14">
        <v>25</v>
      </c>
      <c r="D49" s="14">
        <v>26</v>
      </c>
      <c r="E49" s="14">
        <f t="shared" si="3"/>
        <v>1</v>
      </c>
      <c r="F49" s="15" t="s">
        <v>50</v>
      </c>
      <c r="G49" s="15"/>
      <c r="H49" s="15"/>
      <c r="I49" s="15"/>
      <c r="J49" s="15"/>
      <c r="K49" s="15" t="s">
        <v>50</v>
      </c>
      <c r="L49" s="15"/>
      <c r="M49" s="15"/>
      <c r="N49" s="15" t="s">
        <v>50</v>
      </c>
      <c r="O49" s="15"/>
      <c r="P49" s="15" t="s">
        <v>50</v>
      </c>
      <c r="Q49" s="15"/>
      <c r="R49" s="15"/>
      <c r="S49" s="15"/>
      <c r="T49" s="15" t="s">
        <v>50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131</v>
      </c>
      <c r="B50" s="13" t="s">
        <v>49</v>
      </c>
      <c r="C50" s="14">
        <v>26</v>
      </c>
      <c r="D50" s="14">
        <v>27</v>
      </c>
      <c r="E50" s="14">
        <f t="shared" si="3"/>
        <v>1</v>
      </c>
      <c r="F50" s="15" t="s">
        <v>50</v>
      </c>
      <c r="G50" s="15"/>
      <c r="H50" s="15"/>
      <c r="I50" s="15"/>
      <c r="J50" s="15"/>
      <c r="K50" s="15" t="s">
        <v>50</v>
      </c>
      <c r="L50" s="15"/>
      <c r="M50" s="15"/>
      <c r="N50" s="15" t="s">
        <v>50</v>
      </c>
      <c r="O50" s="15"/>
      <c r="P50" s="15" t="s">
        <v>50</v>
      </c>
      <c r="Q50" s="15"/>
      <c r="R50" s="15"/>
      <c r="S50" s="15"/>
      <c r="T50" s="15" t="s">
        <v>50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131</v>
      </c>
      <c r="B51" s="13" t="s">
        <v>49</v>
      </c>
      <c r="C51" s="14">
        <v>27</v>
      </c>
      <c r="D51" s="14">
        <v>28</v>
      </c>
      <c r="E51" s="14">
        <f t="shared" si="3"/>
        <v>1</v>
      </c>
      <c r="F51" s="15" t="s">
        <v>50</v>
      </c>
      <c r="G51" s="15"/>
      <c r="H51" s="15"/>
      <c r="I51" s="15"/>
      <c r="J51" s="15"/>
      <c r="K51" s="15" t="s">
        <v>50</v>
      </c>
      <c r="L51" s="15"/>
      <c r="M51" s="15"/>
      <c r="N51" s="15" t="s">
        <v>50</v>
      </c>
      <c r="O51" s="15"/>
      <c r="P51" s="15" t="s">
        <v>50</v>
      </c>
      <c r="Q51" s="15"/>
      <c r="R51" s="15"/>
      <c r="S51" s="15"/>
      <c r="T51" s="15" t="s">
        <v>50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131</v>
      </c>
      <c r="B52" s="13" t="s">
        <v>49</v>
      </c>
      <c r="C52" s="14">
        <v>28</v>
      </c>
      <c r="D52" s="14">
        <v>29</v>
      </c>
      <c r="E52" s="14">
        <f t="shared" si="3"/>
        <v>1</v>
      </c>
      <c r="F52" s="15" t="s">
        <v>50</v>
      </c>
      <c r="G52" s="15"/>
      <c r="H52" s="15"/>
      <c r="I52" s="15"/>
      <c r="J52" s="15"/>
      <c r="K52" s="15" t="s">
        <v>50</v>
      </c>
      <c r="L52" s="15"/>
      <c r="M52" s="15"/>
      <c r="N52" s="15" t="s">
        <v>50</v>
      </c>
      <c r="O52" s="15"/>
      <c r="P52" s="15" t="s">
        <v>50</v>
      </c>
      <c r="Q52" s="15"/>
      <c r="R52" s="15"/>
      <c r="S52" s="15"/>
      <c r="T52" s="15" t="s">
        <v>50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131</v>
      </c>
      <c r="B53" s="13" t="s">
        <v>49</v>
      </c>
      <c r="C53" s="14">
        <v>29</v>
      </c>
      <c r="D53" s="14">
        <v>30</v>
      </c>
      <c r="E53" s="14">
        <f t="shared" si="3"/>
        <v>1</v>
      </c>
      <c r="F53" s="15" t="s">
        <v>50</v>
      </c>
      <c r="G53" s="15"/>
      <c r="H53" s="15"/>
      <c r="I53" s="15"/>
      <c r="J53" s="15"/>
      <c r="K53" s="15" t="s">
        <v>50</v>
      </c>
      <c r="L53" s="15"/>
      <c r="M53" s="15"/>
      <c r="N53" s="15" t="s">
        <v>50</v>
      </c>
      <c r="O53" s="15"/>
      <c r="P53" s="15" t="s">
        <v>50</v>
      </c>
      <c r="Q53" s="15"/>
      <c r="R53" s="15"/>
      <c r="S53" s="15"/>
      <c r="T53" s="15" t="s">
        <v>50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131</v>
      </c>
      <c r="B54" s="13" t="s">
        <v>49</v>
      </c>
      <c r="C54" s="14">
        <v>30</v>
      </c>
      <c r="D54" s="14">
        <v>31</v>
      </c>
      <c r="E54" s="14">
        <f t="shared" si="3"/>
        <v>1</v>
      </c>
      <c r="F54" s="15" t="s">
        <v>50</v>
      </c>
      <c r="G54" s="15"/>
      <c r="H54" s="15"/>
      <c r="I54" s="15"/>
      <c r="J54" s="15"/>
      <c r="K54" s="15" t="s">
        <v>50</v>
      </c>
      <c r="L54" s="15"/>
      <c r="M54" s="15"/>
      <c r="N54" s="15" t="s">
        <v>50</v>
      </c>
      <c r="O54" s="15"/>
      <c r="P54" s="15" t="s">
        <v>50</v>
      </c>
      <c r="Q54" s="15"/>
      <c r="R54" s="15"/>
      <c r="S54" s="15"/>
      <c r="T54" s="15" t="s">
        <v>50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131</v>
      </c>
      <c r="B55" s="13" t="s">
        <v>49</v>
      </c>
      <c r="C55" s="14">
        <v>31</v>
      </c>
      <c r="D55" s="14">
        <v>32</v>
      </c>
      <c r="E55" s="14">
        <f t="shared" si="3"/>
        <v>1</v>
      </c>
      <c r="F55" s="15" t="s">
        <v>50</v>
      </c>
      <c r="G55" s="15"/>
      <c r="H55" s="15"/>
      <c r="I55" s="15"/>
      <c r="J55" s="15"/>
      <c r="K55" s="15" t="s">
        <v>50</v>
      </c>
      <c r="L55" s="15"/>
      <c r="M55" s="15"/>
      <c r="N55" s="15" t="s">
        <v>50</v>
      </c>
      <c r="O55" s="15"/>
      <c r="P55" s="15" t="s">
        <v>50</v>
      </c>
      <c r="Q55" s="15"/>
      <c r="R55" s="15"/>
      <c r="S55" s="15"/>
      <c r="T55" s="15" t="s">
        <v>50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131</v>
      </c>
      <c r="B56" s="13" t="s">
        <v>49</v>
      </c>
      <c r="C56" s="14">
        <v>32</v>
      </c>
      <c r="D56" s="14">
        <v>33</v>
      </c>
      <c r="E56" s="14">
        <f t="shared" si="3"/>
        <v>1</v>
      </c>
      <c r="F56" s="15" t="s">
        <v>50</v>
      </c>
      <c r="G56" s="15"/>
      <c r="H56" s="15"/>
      <c r="I56" s="15"/>
      <c r="J56" s="15"/>
      <c r="K56" s="15" t="s">
        <v>50</v>
      </c>
      <c r="L56" s="15"/>
      <c r="M56" s="15"/>
      <c r="N56" s="15" t="s">
        <v>50</v>
      </c>
      <c r="O56" s="15"/>
      <c r="P56" s="15" t="s">
        <v>50</v>
      </c>
      <c r="Q56" s="15"/>
      <c r="R56" s="15"/>
      <c r="S56" s="15"/>
      <c r="T56" s="15" t="s">
        <v>50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131</v>
      </c>
      <c r="B57" s="13" t="s">
        <v>49</v>
      </c>
      <c r="C57" s="14">
        <v>33</v>
      </c>
      <c r="D57" s="14">
        <v>34</v>
      </c>
      <c r="E57" s="14">
        <f t="shared" si="3"/>
        <v>1</v>
      </c>
      <c r="F57" s="15"/>
      <c r="G57" s="15"/>
      <c r="H57" s="15" t="s">
        <v>50</v>
      </c>
      <c r="I57" s="15"/>
      <c r="J57" s="15"/>
      <c r="K57" s="15" t="s">
        <v>50</v>
      </c>
      <c r="L57" s="15"/>
      <c r="M57" s="15"/>
      <c r="N57" s="15" t="s">
        <v>50</v>
      </c>
      <c r="O57" s="15"/>
      <c r="P57" s="15" t="s">
        <v>50</v>
      </c>
      <c r="Q57" s="15"/>
      <c r="R57" s="15"/>
      <c r="S57" s="15"/>
      <c r="T57" s="15" t="s">
        <v>50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131</v>
      </c>
      <c r="B58" s="13" t="s">
        <v>49</v>
      </c>
      <c r="C58" s="14">
        <v>34</v>
      </c>
      <c r="D58" s="14">
        <v>35</v>
      </c>
      <c r="E58" s="14">
        <f t="shared" si="3"/>
        <v>1</v>
      </c>
      <c r="F58" s="15" t="s">
        <v>50</v>
      </c>
      <c r="G58" s="15"/>
      <c r="H58" s="15"/>
      <c r="I58" s="15"/>
      <c r="J58" s="15"/>
      <c r="K58" s="15" t="s">
        <v>50</v>
      </c>
      <c r="L58" s="15"/>
      <c r="M58" s="15"/>
      <c r="N58" s="15" t="s">
        <v>50</v>
      </c>
      <c r="O58" s="15"/>
      <c r="P58" s="15" t="s">
        <v>50</v>
      </c>
      <c r="Q58" s="15"/>
      <c r="R58" s="15"/>
      <c r="S58" s="15"/>
      <c r="T58" s="15" t="s">
        <v>50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131</v>
      </c>
      <c r="B59" s="13" t="s">
        <v>49</v>
      </c>
      <c r="C59" s="14">
        <v>35</v>
      </c>
      <c r="D59" s="14">
        <v>36</v>
      </c>
      <c r="E59" s="14">
        <f t="shared" si="3"/>
        <v>1</v>
      </c>
      <c r="F59" s="15" t="s">
        <v>50</v>
      </c>
      <c r="G59" s="15"/>
      <c r="H59" s="15"/>
      <c r="I59" s="15"/>
      <c r="J59" s="15"/>
      <c r="K59" s="15" t="s">
        <v>50</v>
      </c>
      <c r="L59" s="15"/>
      <c r="M59" s="15"/>
      <c r="N59" s="15" t="s">
        <v>50</v>
      </c>
      <c r="O59" s="15"/>
      <c r="P59" s="15" t="s">
        <v>50</v>
      </c>
      <c r="Q59" s="15"/>
      <c r="R59" s="15"/>
      <c r="S59" s="15"/>
      <c r="T59" s="15" t="s">
        <v>50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131</v>
      </c>
      <c r="B60" s="13" t="s">
        <v>49</v>
      </c>
      <c r="C60" s="14">
        <v>36</v>
      </c>
      <c r="D60" s="14">
        <v>37</v>
      </c>
      <c r="E60" s="14">
        <f t="shared" si="3"/>
        <v>1</v>
      </c>
      <c r="F60" s="15" t="s">
        <v>50</v>
      </c>
      <c r="G60" s="15"/>
      <c r="H60" s="15"/>
      <c r="I60" s="15"/>
      <c r="J60" s="15"/>
      <c r="K60" s="15" t="s">
        <v>50</v>
      </c>
      <c r="L60" s="15"/>
      <c r="M60" s="15"/>
      <c r="N60" s="15" t="s">
        <v>50</v>
      </c>
      <c r="O60" s="15"/>
      <c r="P60" s="15" t="s">
        <v>50</v>
      </c>
      <c r="Q60" s="15"/>
      <c r="R60" s="15"/>
      <c r="S60" s="15"/>
      <c r="T60" s="15" t="s">
        <v>50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8" t="s">
        <v>131</v>
      </c>
      <c r="B61" s="19" t="s">
        <v>49</v>
      </c>
      <c r="C61" s="20">
        <v>37</v>
      </c>
      <c r="D61" s="20">
        <v>37.2948186132</v>
      </c>
      <c r="E61" s="20">
        <f t="shared" si="3"/>
        <v>0.29481861320000036</v>
      </c>
      <c r="F61" s="21" t="s">
        <v>50</v>
      </c>
      <c r="G61" s="21"/>
      <c r="H61" s="21"/>
      <c r="I61" s="21"/>
      <c r="J61" s="21"/>
      <c r="K61" s="21" t="s">
        <v>50</v>
      </c>
      <c r="L61" s="21"/>
      <c r="M61" s="21"/>
      <c r="N61" s="21"/>
      <c r="O61" s="21" t="s">
        <v>50</v>
      </c>
      <c r="P61" s="21" t="s">
        <v>50</v>
      </c>
      <c r="Q61" s="21"/>
      <c r="R61" s="21"/>
      <c r="S61" s="21"/>
      <c r="T61" s="21" t="s">
        <v>50</v>
      </c>
      <c r="U61" s="21"/>
      <c r="V61" s="22"/>
      <c r="W61" s="23" t="str">
        <f t="shared" si="4"/>
        <v>OK</v>
      </c>
    </row>
    <row r="62" spans="1:23" ht="15.95" customHeight="1" x14ac:dyDescent="0.25">
      <c r="A62" s="34" t="s">
        <v>132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9"/>
      <c r="W62" s="4"/>
    </row>
    <row r="63" spans="1:23" ht="20.100000000000001" customHeight="1" x14ac:dyDescent="0.25">
      <c r="A63" s="12" t="s">
        <v>133</v>
      </c>
      <c r="B63" s="13" t="s">
        <v>49</v>
      </c>
      <c r="C63" s="14">
        <v>0</v>
      </c>
      <c r="D63" s="14">
        <v>1</v>
      </c>
      <c r="E63" s="14">
        <f t="shared" ref="E63:E80" si="5">D63-C63</f>
        <v>1</v>
      </c>
      <c r="F63" s="15" t="s">
        <v>50</v>
      </c>
      <c r="G63" s="15"/>
      <c r="H63" s="15"/>
      <c r="I63" s="15"/>
      <c r="J63" s="15"/>
      <c r="K63" s="15" t="s">
        <v>50</v>
      </c>
      <c r="L63" s="15"/>
      <c r="M63" s="15"/>
      <c r="N63" s="15" t="s">
        <v>50</v>
      </c>
      <c r="O63" s="15"/>
      <c r="P63" s="15" t="s">
        <v>50</v>
      </c>
      <c r="Q63" s="15"/>
      <c r="R63" s="15"/>
      <c r="S63" s="15"/>
      <c r="T63" s="15" t="s">
        <v>50</v>
      </c>
      <c r="U63" s="15"/>
      <c r="V63" s="16"/>
      <c r="W63" s="17" t="str">
        <f t="shared" ref="W63:W80" si="6">IF(COUNTA(F63:U63)=0,"— não preenchido",IF(COUNTIF(F63:J63,"X")&lt;&gt;1,"FALTA/DUPLA: CONDIÇÃO DO PAVIMENTO",IF(COUNTIF(K63:L63,"X")&lt;&gt;1,"FALTA/DUPLA: VEGETAÇÃO",IF(COUNTIF(M63:O63,"X")&lt;&gt;1,"FALTA/DUPLA: ELEM. DE DRENAGEM",IF(COUNTIF(P63:R63,"X")&lt;&gt;1,"FALTA/DUPLA: SIN. HORIZ.",IF(COUNTIF(S63:U63,"X")&lt;&gt;1,"FALTA/DUPLA: SIN. VERTICAL","OK"))))))</f>
        <v>OK</v>
      </c>
    </row>
    <row r="64" spans="1:23" ht="20.100000000000001" customHeight="1" x14ac:dyDescent="0.25">
      <c r="A64" s="12" t="s">
        <v>133</v>
      </c>
      <c r="B64" s="13" t="s">
        <v>49</v>
      </c>
      <c r="C64" s="14">
        <v>1</v>
      </c>
      <c r="D64" s="14">
        <v>2</v>
      </c>
      <c r="E64" s="14">
        <f t="shared" si="5"/>
        <v>1</v>
      </c>
      <c r="F64" s="15" t="s">
        <v>50</v>
      </c>
      <c r="G64" s="15"/>
      <c r="H64" s="15"/>
      <c r="I64" s="15"/>
      <c r="J64" s="15"/>
      <c r="K64" s="15" t="s">
        <v>50</v>
      </c>
      <c r="L64" s="15"/>
      <c r="M64" s="15"/>
      <c r="N64" s="15" t="s">
        <v>50</v>
      </c>
      <c r="O64" s="15"/>
      <c r="P64" s="15" t="s">
        <v>50</v>
      </c>
      <c r="Q64" s="15"/>
      <c r="R64" s="15"/>
      <c r="S64" s="15"/>
      <c r="T64" s="15" t="s">
        <v>50</v>
      </c>
      <c r="U64" s="15"/>
      <c r="V64" s="16"/>
      <c r="W64" s="17" t="str">
        <f t="shared" si="6"/>
        <v>OK</v>
      </c>
    </row>
    <row r="65" spans="1:23" ht="20.100000000000001" customHeight="1" x14ac:dyDescent="0.25">
      <c r="A65" s="12" t="s">
        <v>133</v>
      </c>
      <c r="B65" s="13" t="s">
        <v>49</v>
      </c>
      <c r="C65" s="14">
        <v>2</v>
      </c>
      <c r="D65" s="14">
        <v>3</v>
      </c>
      <c r="E65" s="14">
        <f t="shared" si="5"/>
        <v>1</v>
      </c>
      <c r="F65" s="15" t="s">
        <v>50</v>
      </c>
      <c r="G65" s="15"/>
      <c r="H65" s="15"/>
      <c r="I65" s="15"/>
      <c r="J65" s="15"/>
      <c r="K65" s="15" t="s">
        <v>50</v>
      </c>
      <c r="L65" s="15"/>
      <c r="M65" s="15"/>
      <c r="N65" s="15" t="s">
        <v>50</v>
      </c>
      <c r="O65" s="15"/>
      <c r="P65" s="15" t="s">
        <v>50</v>
      </c>
      <c r="Q65" s="15"/>
      <c r="R65" s="15"/>
      <c r="S65" s="15"/>
      <c r="T65" s="15" t="s">
        <v>50</v>
      </c>
      <c r="U65" s="15"/>
      <c r="V65" s="16"/>
      <c r="W65" s="17" t="str">
        <f t="shared" si="6"/>
        <v>OK</v>
      </c>
    </row>
    <row r="66" spans="1:23" ht="20.100000000000001" customHeight="1" x14ac:dyDescent="0.25">
      <c r="A66" s="12" t="s">
        <v>133</v>
      </c>
      <c r="B66" s="13" t="s">
        <v>49</v>
      </c>
      <c r="C66" s="14">
        <v>3</v>
      </c>
      <c r="D66" s="14">
        <v>4</v>
      </c>
      <c r="E66" s="14">
        <f t="shared" si="5"/>
        <v>1</v>
      </c>
      <c r="F66" s="15" t="s">
        <v>50</v>
      </c>
      <c r="G66" s="15"/>
      <c r="H66" s="15"/>
      <c r="I66" s="15"/>
      <c r="J66" s="15"/>
      <c r="K66" s="15" t="s">
        <v>50</v>
      </c>
      <c r="L66" s="15"/>
      <c r="M66" s="15"/>
      <c r="N66" s="15" t="s">
        <v>50</v>
      </c>
      <c r="O66" s="15"/>
      <c r="P66" s="15" t="s">
        <v>50</v>
      </c>
      <c r="Q66" s="15"/>
      <c r="R66" s="15"/>
      <c r="S66" s="15"/>
      <c r="T66" s="15" t="s">
        <v>50</v>
      </c>
      <c r="U66" s="15"/>
      <c r="V66" s="16"/>
      <c r="W66" s="17" t="str">
        <f t="shared" si="6"/>
        <v>OK</v>
      </c>
    </row>
    <row r="67" spans="1:23" ht="20.100000000000001" customHeight="1" x14ac:dyDescent="0.25">
      <c r="A67" s="12" t="s">
        <v>133</v>
      </c>
      <c r="B67" s="13" t="s">
        <v>49</v>
      </c>
      <c r="C67" s="14">
        <v>4</v>
      </c>
      <c r="D67" s="14">
        <v>5</v>
      </c>
      <c r="E67" s="14">
        <f t="shared" si="5"/>
        <v>1</v>
      </c>
      <c r="F67" s="15" t="s">
        <v>50</v>
      </c>
      <c r="G67" s="15"/>
      <c r="H67" s="15"/>
      <c r="I67" s="15"/>
      <c r="J67" s="15"/>
      <c r="K67" s="15" t="s">
        <v>50</v>
      </c>
      <c r="L67" s="15"/>
      <c r="M67" s="15"/>
      <c r="N67" s="15" t="s">
        <v>50</v>
      </c>
      <c r="O67" s="15"/>
      <c r="P67" s="15" t="s">
        <v>50</v>
      </c>
      <c r="Q67" s="15"/>
      <c r="R67" s="15"/>
      <c r="S67" s="15"/>
      <c r="T67" s="15"/>
      <c r="U67" s="15" t="s">
        <v>50</v>
      </c>
      <c r="V67" s="16"/>
      <c r="W67" s="17" t="str">
        <f t="shared" si="6"/>
        <v>OK</v>
      </c>
    </row>
    <row r="68" spans="1:23" ht="20.100000000000001" customHeight="1" x14ac:dyDescent="0.25">
      <c r="A68" s="12" t="s">
        <v>133</v>
      </c>
      <c r="B68" s="13" t="s">
        <v>49</v>
      </c>
      <c r="C68" s="14">
        <v>5</v>
      </c>
      <c r="D68" s="14">
        <v>6</v>
      </c>
      <c r="E68" s="14">
        <f t="shared" si="5"/>
        <v>1</v>
      </c>
      <c r="F68" s="15" t="s">
        <v>50</v>
      </c>
      <c r="G68" s="15"/>
      <c r="H68" s="15"/>
      <c r="I68" s="15"/>
      <c r="J68" s="15"/>
      <c r="K68" s="15" t="s">
        <v>50</v>
      </c>
      <c r="L68" s="15"/>
      <c r="M68" s="15"/>
      <c r="N68" s="15" t="s">
        <v>50</v>
      </c>
      <c r="O68" s="15"/>
      <c r="P68" s="15" t="s">
        <v>50</v>
      </c>
      <c r="Q68" s="15"/>
      <c r="R68" s="15"/>
      <c r="S68" s="15"/>
      <c r="T68" s="15"/>
      <c r="U68" s="15" t="s">
        <v>50</v>
      </c>
      <c r="V68" s="16"/>
      <c r="W68" s="17" t="str">
        <f t="shared" si="6"/>
        <v>OK</v>
      </c>
    </row>
    <row r="69" spans="1:23" ht="20.100000000000001" customHeight="1" x14ac:dyDescent="0.25">
      <c r="A69" s="12" t="s">
        <v>133</v>
      </c>
      <c r="B69" s="13" t="s">
        <v>49</v>
      </c>
      <c r="C69" s="14">
        <v>6</v>
      </c>
      <c r="D69" s="14">
        <v>7</v>
      </c>
      <c r="E69" s="14">
        <f t="shared" si="5"/>
        <v>1</v>
      </c>
      <c r="F69" s="15" t="s">
        <v>50</v>
      </c>
      <c r="G69" s="15"/>
      <c r="H69" s="15"/>
      <c r="I69" s="15"/>
      <c r="J69" s="15"/>
      <c r="K69" s="15" t="s">
        <v>50</v>
      </c>
      <c r="L69" s="15"/>
      <c r="M69" s="15"/>
      <c r="N69" s="15"/>
      <c r="O69" s="15" t="s">
        <v>50</v>
      </c>
      <c r="P69" s="15" t="s">
        <v>50</v>
      </c>
      <c r="Q69" s="15"/>
      <c r="R69" s="15"/>
      <c r="S69" s="15"/>
      <c r="T69" s="15"/>
      <c r="U69" s="15" t="s">
        <v>50</v>
      </c>
      <c r="V69" s="16"/>
      <c r="W69" s="17" t="str">
        <f t="shared" si="6"/>
        <v>OK</v>
      </c>
    </row>
    <row r="70" spans="1:23" ht="20.100000000000001" customHeight="1" x14ac:dyDescent="0.25">
      <c r="A70" s="12" t="s">
        <v>133</v>
      </c>
      <c r="B70" s="13" t="s">
        <v>49</v>
      </c>
      <c r="C70" s="14">
        <v>7</v>
      </c>
      <c r="D70" s="14">
        <v>8</v>
      </c>
      <c r="E70" s="14">
        <f t="shared" si="5"/>
        <v>1</v>
      </c>
      <c r="F70" s="15" t="s">
        <v>50</v>
      </c>
      <c r="G70" s="15"/>
      <c r="H70" s="15"/>
      <c r="I70" s="15"/>
      <c r="J70" s="15"/>
      <c r="K70" s="15" t="s">
        <v>50</v>
      </c>
      <c r="L70" s="15"/>
      <c r="M70" s="15"/>
      <c r="N70" s="15"/>
      <c r="O70" s="15" t="s">
        <v>50</v>
      </c>
      <c r="P70" s="15" t="s">
        <v>50</v>
      </c>
      <c r="Q70" s="15"/>
      <c r="R70" s="15"/>
      <c r="S70" s="15"/>
      <c r="T70" s="15"/>
      <c r="U70" s="15" t="s">
        <v>50</v>
      </c>
      <c r="V70" s="16"/>
      <c r="W70" s="17" t="str">
        <f t="shared" si="6"/>
        <v>OK</v>
      </c>
    </row>
    <row r="71" spans="1:23" ht="20.100000000000001" customHeight="1" x14ac:dyDescent="0.25">
      <c r="A71" s="12" t="s">
        <v>133</v>
      </c>
      <c r="B71" s="13" t="s">
        <v>49</v>
      </c>
      <c r="C71" s="14">
        <v>8</v>
      </c>
      <c r="D71" s="14">
        <v>9</v>
      </c>
      <c r="E71" s="14">
        <f t="shared" si="5"/>
        <v>1</v>
      </c>
      <c r="F71" s="15" t="s">
        <v>50</v>
      </c>
      <c r="G71" s="15"/>
      <c r="H71" s="15"/>
      <c r="I71" s="15"/>
      <c r="J71" s="15"/>
      <c r="K71" s="15" t="s">
        <v>50</v>
      </c>
      <c r="L71" s="15"/>
      <c r="M71" s="15"/>
      <c r="N71" s="15" t="s">
        <v>50</v>
      </c>
      <c r="O71" s="15"/>
      <c r="P71" s="15" t="s">
        <v>50</v>
      </c>
      <c r="Q71" s="15"/>
      <c r="R71" s="15"/>
      <c r="S71" s="15"/>
      <c r="T71" s="15"/>
      <c r="U71" s="15" t="s">
        <v>50</v>
      </c>
      <c r="V71" s="16"/>
      <c r="W71" s="17" t="str">
        <f t="shared" si="6"/>
        <v>OK</v>
      </c>
    </row>
    <row r="72" spans="1:23" ht="20.100000000000001" customHeight="1" x14ac:dyDescent="0.25">
      <c r="A72" s="12" t="s">
        <v>133</v>
      </c>
      <c r="B72" s="13" t="s">
        <v>49</v>
      </c>
      <c r="C72" s="14">
        <v>9</v>
      </c>
      <c r="D72" s="14">
        <v>10</v>
      </c>
      <c r="E72" s="14">
        <f t="shared" si="5"/>
        <v>1</v>
      </c>
      <c r="F72" s="15" t="s">
        <v>50</v>
      </c>
      <c r="G72" s="15"/>
      <c r="H72" s="15"/>
      <c r="I72" s="15"/>
      <c r="J72" s="15"/>
      <c r="K72" s="15" t="s">
        <v>50</v>
      </c>
      <c r="L72" s="15"/>
      <c r="M72" s="15"/>
      <c r="N72" s="15" t="s">
        <v>50</v>
      </c>
      <c r="O72" s="15"/>
      <c r="P72" s="15" t="s">
        <v>50</v>
      </c>
      <c r="Q72" s="15"/>
      <c r="R72" s="15"/>
      <c r="S72" s="15"/>
      <c r="T72" s="15"/>
      <c r="U72" s="15" t="s">
        <v>50</v>
      </c>
      <c r="V72" s="16"/>
      <c r="W72" s="17" t="str">
        <f t="shared" si="6"/>
        <v>OK</v>
      </c>
    </row>
    <row r="73" spans="1:23" ht="20.100000000000001" customHeight="1" x14ac:dyDescent="0.25">
      <c r="A73" s="12" t="s">
        <v>133</v>
      </c>
      <c r="B73" s="13" t="s">
        <v>49</v>
      </c>
      <c r="C73" s="14">
        <v>10</v>
      </c>
      <c r="D73" s="14">
        <v>11</v>
      </c>
      <c r="E73" s="14">
        <f t="shared" si="5"/>
        <v>1</v>
      </c>
      <c r="F73" s="15" t="s">
        <v>50</v>
      </c>
      <c r="G73" s="15"/>
      <c r="H73" s="15"/>
      <c r="I73" s="15"/>
      <c r="J73" s="15"/>
      <c r="K73" s="15" t="s">
        <v>50</v>
      </c>
      <c r="L73" s="15"/>
      <c r="M73" s="15"/>
      <c r="N73" s="15"/>
      <c r="O73" s="15" t="s">
        <v>50</v>
      </c>
      <c r="P73" s="15" t="s">
        <v>50</v>
      </c>
      <c r="Q73" s="15"/>
      <c r="R73" s="15"/>
      <c r="S73" s="15"/>
      <c r="T73" s="15"/>
      <c r="U73" s="15" t="s">
        <v>50</v>
      </c>
      <c r="V73" s="16"/>
      <c r="W73" s="17" t="str">
        <f t="shared" si="6"/>
        <v>OK</v>
      </c>
    </row>
    <row r="74" spans="1:23" ht="20.100000000000001" customHeight="1" x14ac:dyDescent="0.25">
      <c r="A74" s="12" t="s">
        <v>133</v>
      </c>
      <c r="B74" s="13" t="s">
        <v>49</v>
      </c>
      <c r="C74" s="14">
        <v>11</v>
      </c>
      <c r="D74" s="14">
        <v>12</v>
      </c>
      <c r="E74" s="14">
        <f t="shared" si="5"/>
        <v>1</v>
      </c>
      <c r="F74" s="15" t="s">
        <v>50</v>
      </c>
      <c r="G74" s="15"/>
      <c r="H74" s="15"/>
      <c r="I74" s="15"/>
      <c r="J74" s="15"/>
      <c r="K74" s="15" t="s">
        <v>50</v>
      </c>
      <c r="L74" s="15"/>
      <c r="M74" s="15"/>
      <c r="N74" s="15"/>
      <c r="O74" s="15" t="s">
        <v>50</v>
      </c>
      <c r="P74" s="15" t="s">
        <v>50</v>
      </c>
      <c r="Q74" s="15"/>
      <c r="R74" s="15"/>
      <c r="S74" s="15"/>
      <c r="T74" s="15" t="s">
        <v>50</v>
      </c>
      <c r="U74" s="15"/>
      <c r="V74" s="16"/>
      <c r="W74" s="17" t="str">
        <f t="shared" si="6"/>
        <v>OK</v>
      </c>
    </row>
    <row r="75" spans="1:23" ht="20.100000000000001" customHeight="1" x14ac:dyDescent="0.25">
      <c r="A75" s="12" t="s">
        <v>133</v>
      </c>
      <c r="B75" s="13" t="s">
        <v>49</v>
      </c>
      <c r="C75" s="14">
        <v>12</v>
      </c>
      <c r="D75" s="14">
        <v>13</v>
      </c>
      <c r="E75" s="14">
        <f t="shared" si="5"/>
        <v>1</v>
      </c>
      <c r="F75" s="15" t="s">
        <v>50</v>
      </c>
      <c r="G75" s="15"/>
      <c r="H75" s="15"/>
      <c r="I75" s="15"/>
      <c r="J75" s="15"/>
      <c r="K75" s="15" t="s">
        <v>50</v>
      </c>
      <c r="L75" s="15"/>
      <c r="M75" s="15"/>
      <c r="N75" s="15"/>
      <c r="O75" s="15" t="s">
        <v>50</v>
      </c>
      <c r="P75" s="15" t="s">
        <v>50</v>
      </c>
      <c r="Q75" s="15"/>
      <c r="R75" s="15"/>
      <c r="S75" s="15"/>
      <c r="T75" s="15" t="s">
        <v>50</v>
      </c>
      <c r="U75" s="15"/>
      <c r="V75" s="16"/>
      <c r="W75" s="17" t="str">
        <f t="shared" si="6"/>
        <v>OK</v>
      </c>
    </row>
    <row r="76" spans="1:23" ht="20.100000000000001" customHeight="1" x14ac:dyDescent="0.25">
      <c r="A76" s="12" t="s">
        <v>133</v>
      </c>
      <c r="B76" s="13" t="s">
        <v>49</v>
      </c>
      <c r="C76" s="14">
        <v>13</v>
      </c>
      <c r="D76" s="14">
        <v>14</v>
      </c>
      <c r="E76" s="14">
        <f t="shared" si="5"/>
        <v>1</v>
      </c>
      <c r="F76" s="15" t="s">
        <v>50</v>
      </c>
      <c r="G76" s="15"/>
      <c r="H76" s="15"/>
      <c r="I76" s="15"/>
      <c r="J76" s="15"/>
      <c r="K76" s="15" t="s">
        <v>50</v>
      </c>
      <c r="L76" s="15"/>
      <c r="M76" s="15"/>
      <c r="N76" s="15" t="s">
        <v>50</v>
      </c>
      <c r="O76" s="15"/>
      <c r="P76" s="15" t="s">
        <v>50</v>
      </c>
      <c r="Q76" s="15"/>
      <c r="R76" s="15"/>
      <c r="S76" s="15"/>
      <c r="T76" s="15" t="s">
        <v>50</v>
      </c>
      <c r="U76" s="15"/>
      <c r="V76" s="16"/>
      <c r="W76" s="17" t="str">
        <f t="shared" si="6"/>
        <v>OK</v>
      </c>
    </row>
    <row r="77" spans="1:23" ht="20.100000000000001" customHeight="1" x14ac:dyDescent="0.25">
      <c r="A77" s="12" t="s">
        <v>133</v>
      </c>
      <c r="B77" s="13" t="s">
        <v>49</v>
      </c>
      <c r="C77" s="14">
        <v>14</v>
      </c>
      <c r="D77" s="14">
        <v>15</v>
      </c>
      <c r="E77" s="14">
        <f t="shared" si="5"/>
        <v>1</v>
      </c>
      <c r="F77" s="15" t="s">
        <v>50</v>
      </c>
      <c r="G77" s="15"/>
      <c r="H77" s="15"/>
      <c r="I77" s="15"/>
      <c r="J77" s="15"/>
      <c r="K77" s="15" t="s">
        <v>50</v>
      </c>
      <c r="L77" s="15"/>
      <c r="M77" s="15"/>
      <c r="N77" s="15" t="s">
        <v>50</v>
      </c>
      <c r="O77" s="15"/>
      <c r="P77" s="15" t="s">
        <v>50</v>
      </c>
      <c r="Q77" s="15"/>
      <c r="R77" s="15"/>
      <c r="S77" s="15"/>
      <c r="T77" s="15" t="s">
        <v>50</v>
      </c>
      <c r="U77" s="15"/>
      <c r="V77" s="16"/>
      <c r="W77" s="17" t="str">
        <f t="shared" si="6"/>
        <v>OK</v>
      </c>
    </row>
    <row r="78" spans="1:23" ht="20.100000000000001" customHeight="1" x14ac:dyDescent="0.25">
      <c r="A78" s="12" t="s">
        <v>133</v>
      </c>
      <c r="B78" s="13" t="s">
        <v>49</v>
      </c>
      <c r="C78" s="14">
        <v>15</v>
      </c>
      <c r="D78" s="14">
        <v>16</v>
      </c>
      <c r="E78" s="14">
        <f t="shared" si="5"/>
        <v>1</v>
      </c>
      <c r="F78" s="15" t="s">
        <v>50</v>
      </c>
      <c r="G78" s="15"/>
      <c r="H78" s="15"/>
      <c r="I78" s="15"/>
      <c r="J78" s="15"/>
      <c r="K78" s="15" t="s">
        <v>50</v>
      </c>
      <c r="L78" s="15"/>
      <c r="M78" s="15"/>
      <c r="N78" s="15"/>
      <c r="O78" s="15" t="s">
        <v>50</v>
      </c>
      <c r="P78" s="15" t="s">
        <v>50</v>
      </c>
      <c r="Q78" s="15"/>
      <c r="R78" s="15"/>
      <c r="S78" s="15"/>
      <c r="T78" s="15" t="s">
        <v>50</v>
      </c>
      <c r="U78" s="15"/>
      <c r="V78" s="16"/>
      <c r="W78" s="17" t="str">
        <f t="shared" si="6"/>
        <v>OK</v>
      </c>
    </row>
    <row r="79" spans="1:23" ht="20.100000000000001" customHeight="1" x14ac:dyDescent="0.25">
      <c r="A79" s="12" t="s">
        <v>133</v>
      </c>
      <c r="B79" s="13" t="s">
        <v>49</v>
      </c>
      <c r="C79" s="14">
        <v>16</v>
      </c>
      <c r="D79" s="14">
        <v>17</v>
      </c>
      <c r="E79" s="14">
        <f t="shared" si="5"/>
        <v>1</v>
      </c>
      <c r="F79" s="15" t="s">
        <v>50</v>
      </c>
      <c r="G79" s="15"/>
      <c r="H79" s="15"/>
      <c r="I79" s="15"/>
      <c r="J79" s="15"/>
      <c r="K79" s="15" t="s">
        <v>50</v>
      </c>
      <c r="L79" s="15"/>
      <c r="M79" s="15"/>
      <c r="N79" s="15"/>
      <c r="O79" s="15" t="s">
        <v>50</v>
      </c>
      <c r="P79" s="15" t="s">
        <v>50</v>
      </c>
      <c r="Q79" s="15"/>
      <c r="R79" s="15"/>
      <c r="S79" s="15"/>
      <c r="T79" s="15" t="s">
        <v>50</v>
      </c>
      <c r="U79" s="15"/>
      <c r="V79" s="16"/>
      <c r="W79" s="17" t="str">
        <f t="shared" si="6"/>
        <v>OK</v>
      </c>
    </row>
    <row r="80" spans="1:23" ht="20.100000000000001" customHeight="1" x14ac:dyDescent="0.25">
      <c r="A80" s="18" t="s">
        <v>133</v>
      </c>
      <c r="B80" s="19" t="s">
        <v>49</v>
      </c>
      <c r="C80" s="20">
        <v>17</v>
      </c>
      <c r="D80" s="20">
        <v>17.6386414161</v>
      </c>
      <c r="E80" s="20">
        <f t="shared" si="5"/>
        <v>0.63864141610000047</v>
      </c>
      <c r="F80" s="21" t="s">
        <v>50</v>
      </c>
      <c r="G80" s="21"/>
      <c r="H80" s="21"/>
      <c r="I80" s="21"/>
      <c r="J80" s="21"/>
      <c r="K80" s="21" t="s">
        <v>50</v>
      </c>
      <c r="L80" s="21"/>
      <c r="M80" s="21"/>
      <c r="N80" s="21" t="s">
        <v>50</v>
      </c>
      <c r="O80" s="21"/>
      <c r="P80" s="21" t="s">
        <v>50</v>
      </c>
      <c r="Q80" s="21"/>
      <c r="R80" s="21"/>
      <c r="S80" s="21"/>
      <c r="T80" s="21" t="s">
        <v>50</v>
      </c>
      <c r="U80" s="21"/>
      <c r="V80" s="22"/>
      <c r="W80" s="23" t="str">
        <f t="shared" si="6"/>
        <v>OK</v>
      </c>
    </row>
    <row r="81" spans="1:23" ht="15.95" customHeight="1" x14ac:dyDescent="0.25">
      <c r="A81" s="34" t="s">
        <v>134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9"/>
      <c r="W81" s="4"/>
    </row>
    <row r="82" spans="1:23" ht="20.100000000000001" customHeight="1" thickBot="1" x14ac:dyDescent="0.3">
      <c r="A82" s="12" t="s">
        <v>135</v>
      </c>
      <c r="B82" s="13" t="s">
        <v>49</v>
      </c>
      <c r="C82" s="14">
        <v>0</v>
      </c>
      <c r="D82" s="14">
        <v>1</v>
      </c>
      <c r="E82" s="14">
        <f t="shared" ref="E82:E106" si="7">D82-C82</f>
        <v>1</v>
      </c>
      <c r="F82" s="15"/>
      <c r="G82" s="15"/>
      <c r="H82" s="15" t="s">
        <v>50</v>
      </c>
      <c r="I82" s="15"/>
      <c r="J82" s="15"/>
      <c r="K82" s="15" t="s">
        <v>50</v>
      </c>
      <c r="L82" s="15"/>
      <c r="M82" s="15"/>
      <c r="N82" s="21" t="s">
        <v>50</v>
      </c>
      <c r="O82" s="15"/>
      <c r="P82" s="15" t="s">
        <v>50</v>
      </c>
      <c r="Q82" s="15"/>
      <c r="R82" s="15"/>
      <c r="S82" s="15"/>
      <c r="T82" s="15"/>
      <c r="U82" s="15" t="s">
        <v>50</v>
      </c>
      <c r="V82" s="16"/>
      <c r="W82" s="17" t="str">
        <f t="shared" ref="W82:W106" si="8">IF(COUNTA(F82:U82)=0,"— não preenchido",IF(COUNTIF(F82:J82,"X")&lt;&gt;1,"FALTA/DUPLA: CONDIÇÃO DO PAVIMENTO",IF(COUNTIF(K82:L82,"X")&lt;&gt;1,"FALTA/DUPLA: VEGETAÇÃO",IF(COUNTIF(M82:O82,"X")&lt;&gt;1,"FALTA/DUPLA: ELEM. DE DRENAGEM",IF(COUNTIF(P82:R82,"X")&lt;&gt;1,"FALTA/DUPLA: SIN. HORIZ.",IF(COUNTIF(S82:U82,"X")&lt;&gt;1,"FALTA/DUPLA: SIN. VERTICAL","OK"))))))</f>
        <v>OK</v>
      </c>
    </row>
    <row r="83" spans="1:23" ht="20.100000000000001" customHeight="1" thickBot="1" x14ac:dyDescent="0.3">
      <c r="A83" s="12" t="s">
        <v>135</v>
      </c>
      <c r="B83" s="13" t="s">
        <v>49</v>
      </c>
      <c r="C83" s="14">
        <v>1</v>
      </c>
      <c r="D83" s="14">
        <v>2</v>
      </c>
      <c r="E83" s="14">
        <f t="shared" si="7"/>
        <v>1</v>
      </c>
      <c r="F83" s="15"/>
      <c r="G83" s="15"/>
      <c r="H83" s="15" t="s">
        <v>50</v>
      </c>
      <c r="I83" s="15"/>
      <c r="J83" s="15"/>
      <c r="K83" s="15" t="s">
        <v>50</v>
      </c>
      <c r="L83" s="15"/>
      <c r="M83" s="15"/>
      <c r="N83" s="21" t="s">
        <v>50</v>
      </c>
      <c r="O83" s="15"/>
      <c r="P83" s="15" t="s">
        <v>50</v>
      </c>
      <c r="Q83" s="15"/>
      <c r="R83" s="15"/>
      <c r="S83" s="15"/>
      <c r="T83" s="15"/>
      <c r="U83" s="15" t="s">
        <v>50</v>
      </c>
      <c r="V83" s="16"/>
      <c r="W83" s="17" t="str">
        <f t="shared" si="8"/>
        <v>OK</v>
      </c>
    </row>
    <row r="84" spans="1:23" ht="20.100000000000001" customHeight="1" thickBot="1" x14ac:dyDescent="0.3">
      <c r="A84" s="12" t="s">
        <v>135</v>
      </c>
      <c r="B84" s="13" t="s">
        <v>49</v>
      </c>
      <c r="C84" s="14">
        <v>2</v>
      </c>
      <c r="D84" s="14">
        <v>3</v>
      </c>
      <c r="E84" s="14">
        <f t="shared" si="7"/>
        <v>1</v>
      </c>
      <c r="F84" s="15"/>
      <c r="G84" s="15" t="s">
        <v>50</v>
      </c>
      <c r="H84" s="15"/>
      <c r="I84" s="15"/>
      <c r="J84" s="15"/>
      <c r="K84" s="15" t="s">
        <v>50</v>
      </c>
      <c r="L84" s="15"/>
      <c r="M84" s="15"/>
      <c r="N84" s="21" t="s">
        <v>50</v>
      </c>
      <c r="O84" s="15"/>
      <c r="P84" s="15" t="s">
        <v>50</v>
      </c>
      <c r="Q84" s="15"/>
      <c r="R84" s="15"/>
      <c r="S84" s="15"/>
      <c r="T84" s="15"/>
      <c r="U84" s="15" t="s">
        <v>50</v>
      </c>
      <c r="V84" s="16"/>
      <c r="W84" s="17" t="str">
        <f t="shared" si="8"/>
        <v>OK</v>
      </c>
    </row>
    <row r="85" spans="1:23" ht="20.100000000000001" customHeight="1" thickBot="1" x14ac:dyDescent="0.3">
      <c r="A85" s="12" t="s">
        <v>135</v>
      </c>
      <c r="B85" s="13" t="s">
        <v>49</v>
      </c>
      <c r="C85" s="14">
        <v>3</v>
      </c>
      <c r="D85" s="14">
        <v>4</v>
      </c>
      <c r="E85" s="14">
        <f t="shared" si="7"/>
        <v>1</v>
      </c>
      <c r="F85" s="15"/>
      <c r="G85" s="15"/>
      <c r="H85" s="15" t="s">
        <v>50</v>
      </c>
      <c r="I85" s="15"/>
      <c r="J85" s="15"/>
      <c r="K85" s="15" t="s">
        <v>50</v>
      </c>
      <c r="L85" s="15"/>
      <c r="M85" s="15"/>
      <c r="N85" s="21" t="s">
        <v>50</v>
      </c>
      <c r="O85" s="15"/>
      <c r="P85" s="15" t="s">
        <v>50</v>
      </c>
      <c r="Q85" s="15"/>
      <c r="R85" s="15"/>
      <c r="S85" s="15"/>
      <c r="T85" s="15"/>
      <c r="U85" s="15" t="s">
        <v>50</v>
      </c>
      <c r="V85" s="16"/>
      <c r="W85" s="17" t="str">
        <f t="shared" si="8"/>
        <v>OK</v>
      </c>
    </row>
    <row r="86" spans="1:23" ht="20.100000000000001" customHeight="1" thickBot="1" x14ac:dyDescent="0.3">
      <c r="A86" s="12" t="s">
        <v>135</v>
      </c>
      <c r="B86" s="13" t="s">
        <v>49</v>
      </c>
      <c r="C86" s="14">
        <v>4</v>
      </c>
      <c r="D86" s="14">
        <v>5</v>
      </c>
      <c r="E86" s="14">
        <f t="shared" si="7"/>
        <v>1</v>
      </c>
      <c r="F86" s="15"/>
      <c r="G86" s="15"/>
      <c r="H86" s="15" t="s">
        <v>50</v>
      </c>
      <c r="I86" s="15"/>
      <c r="J86" s="15"/>
      <c r="K86" s="15" t="s">
        <v>50</v>
      </c>
      <c r="L86" s="15"/>
      <c r="M86" s="15"/>
      <c r="N86" s="21" t="s">
        <v>50</v>
      </c>
      <c r="O86" s="15"/>
      <c r="P86" s="15" t="s">
        <v>50</v>
      </c>
      <c r="Q86" s="15"/>
      <c r="R86" s="15"/>
      <c r="S86" s="15"/>
      <c r="T86" s="15"/>
      <c r="U86" s="15" t="s">
        <v>50</v>
      </c>
      <c r="V86" s="16"/>
      <c r="W86" s="17" t="str">
        <f t="shared" si="8"/>
        <v>OK</v>
      </c>
    </row>
    <row r="87" spans="1:23" ht="20.100000000000001" customHeight="1" thickBot="1" x14ac:dyDescent="0.3">
      <c r="A87" s="12" t="s">
        <v>135</v>
      </c>
      <c r="B87" s="13" t="s">
        <v>49</v>
      </c>
      <c r="C87" s="14">
        <v>5</v>
      </c>
      <c r="D87" s="14">
        <v>6</v>
      </c>
      <c r="E87" s="14">
        <f t="shared" si="7"/>
        <v>1</v>
      </c>
      <c r="F87" s="15" t="s">
        <v>50</v>
      </c>
      <c r="G87" s="15"/>
      <c r="H87" s="15"/>
      <c r="I87" s="15"/>
      <c r="J87" s="15"/>
      <c r="K87" s="15" t="s">
        <v>50</v>
      </c>
      <c r="L87" s="15"/>
      <c r="M87" s="15"/>
      <c r="N87" s="21" t="s">
        <v>50</v>
      </c>
      <c r="O87" s="15"/>
      <c r="P87" s="15" t="s">
        <v>50</v>
      </c>
      <c r="Q87" s="15"/>
      <c r="R87" s="15"/>
      <c r="S87" s="15"/>
      <c r="T87" s="15"/>
      <c r="U87" s="15" t="s">
        <v>50</v>
      </c>
      <c r="V87" s="16"/>
      <c r="W87" s="17" t="str">
        <f t="shared" si="8"/>
        <v>OK</v>
      </c>
    </row>
    <row r="88" spans="1:23" ht="20.100000000000001" customHeight="1" thickBot="1" x14ac:dyDescent="0.3">
      <c r="A88" s="12" t="s">
        <v>135</v>
      </c>
      <c r="B88" s="13" t="s">
        <v>49</v>
      </c>
      <c r="C88" s="14">
        <v>6</v>
      </c>
      <c r="D88" s="14">
        <v>7</v>
      </c>
      <c r="E88" s="14">
        <f t="shared" si="7"/>
        <v>1</v>
      </c>
      <c r="F88" s="15"/>
      <c r="G88" s="15"/>
      <c r="H88" s="15" t="s">
        <v>50</v>
      </c>
      <c r="I88" s="15"/>
      <c r="J88" s="15"/>
      <c r="K88" s="15" t="s">
        <v>50</v>
      </c>
      <c r="L88" s="15"/>
      <c r="M88" s="15"/>
      <c r="N88" s="21" t="s">
        <v>50</v>
      </c>
      <c r="O88" s="15"/>
      <c r="P88" s="15" t="s">
        <v>50</v>
      </c>
      <c r="Q88" s="15"/>
      <c r="R88" s="15"/>
      <c r="S88" s="15"/>
      <c r="T88" s="15"/>
      <c r="U88" s="15" t="s">
        <v>50</v>
      </c>
      <c r="V88" s="16"/>
      <c r="W88" s="17" t="str">
        <f t="shared" si="8"/>
        <v>OK</v>
      </c>
    </row>
    <row r="89" spans="1:23" ht="20.100000000000001" customHeight="1" thickBot="1" x14ac:dyDescent="0.3">
      <c r="A89" s="12" t="s">
        <v>135</v>
      </c>
      <c r="B89" s="13" t="s">
        <v>49</v>
      </c>
      <c r="C89" s="14">
        <v>7</v>
      </c>
      <c r="D89" s="14">
        <v>8</v>
      </c>
      <c r="E89" s="14">
        <f t="shared" si="7"/>
        <v>1</v>
      </c>
      <c r="F89" s="15"/>
      <c r="G89" s="15"/>
      <c r="H89" s="15" t="s">
        <v>50</v>
      </c>
      <c r="I89" s="15"/>
      <c r="J89" s="15"/>
      <c r="K89" s="15" t="s">
        <v>50</v>
      </c>
      <c r="L89" s="15"/>
      <c r="M89" s="15"/>
      <c r="N89" s="21" t="s">
        <v>50</v>
      </c>
      <c r="O89" s="15"/>
      <c r="P89" s="15" t="s">
        <v>50</v>
      </c>
      <c r="Q89" s="15"/>
      <c r="R89" s="15"/>
      <c r="S89" s="15"/>
      <c r="T89" s="15"/>
      <c r="U89" s="15" t="s">
        <v>50</v>
      </c>
      <c r="V89" s="16"/>
      <c r="W89" s="17" t="str">
        <f t="shared" si="8"/>
        <v>OK</v>
      </c>
    </row>
    <row r="90" spans="1:23" ht="20.100000000000001" customHeight="1" thickBot="1" x14ac:dyDescent="0.3">
      <c r="A90" s="12" t="s">
        <v>135</v>
      </c>
      <c r="B90" s="13" t="s">
        <v>49</v>
      </c>
      <c r="C90" s="14">
        <v>8</v>
      </c>
      <c r="D90" s="14">
        <v>9</v>
      </c>
      <c r="E90" s="14">
        <f t="shared" si="7"/>
        <v>1</v>
      </c>
      <c r="F90" s="15"/>
      <c r="G90" s="15"/>
      <c r="H90" s="15" t="s">
        <v>50</v>
      </c>
      <c r="I90" s="15"/>
      <c r="J90" s="15"/>
      <c r="K90" s="15" t="s">
        <v>50</v>
      </c>
      <c r="L90" s="15"/>
      <c r="M90" s="15"/>
      <c r="N90" s="21" t="s">
        <v>50</v>
      </c>
      <c r="O90" s="15"/>
      <c r="P90" s="15" t="s">
        <v>50</v>
      </c>
      <c r="Q90" s="15"/>
      <c r="R90" s="15"/>
      <c r="S90" s="15"/>
      <c r="T90" s="15"/>
      <c r="U90" s="15" t="s">
        <v>50</v>
      </c>
      <c r="V90" s="16"/>
      <c r="W90" s="17" t="str">
        <f t="shared" si="8"/>
        <v>OK</v>
      </c>
    </row>
    <row r="91" spans="1:23" ht="20.100000000000001" customHeight="1" thickBot="1" x14ac:dyDescent="0.3">
      <c r="A91" s="12" t="s">
        <v>135</v>
      </c>
      <c r="B91" s="13" t="s">
        <v>49</v>
      </c>
      <c r="C91" s="14">
        <v>9</v>
      </c>
      <c r="D91" s="14">
        <v>10</v>
      </c>
      <c r="E91" s="14">
        <f t="shared" si="7"/>
        <v>1</v>
      </c>
      <c r="F91" s="15" t="s">
        <v>50</v>
      </c>
      <c r="G91" s="15"/>
      <c r="H91" s="15"/>
      <c r="I91" s="15"/>
      <c r="J91" s="15"/>
      <c r="K91" s="15" t="s">
        <v>50</v>
      </c>
      <c r="L91" s="15"/>
      <c r="M91" s="15"/>
      <c r="N91" s="21" t="s">
        <v>50</v>
      </c>
      <c r="O91" s="15"/>
      <c r="P91" s="15" t="s">
        <v>50</v>
      </c>
      <c r="Q91" s="15"/>
      <c r="R91" s="15"/>
      <c r="S91" s="15"/>
      <c r="T91" s="15"/>
      <c r="U91" s="15" t="s">
        <v>50</v>
      </c>
      <c r="V91" s="16"/>
      <c r="W91" s="17" t="str">
        <f t="shared" si="8"/>
        <v>OK</v>
      </c>
    </row>
    <row r="92" spans="1:23" ht="20.100000000000001" customHeight="1" thickBot="1" x14ac:dyDescent="0.3">
      <c r="A92" s="12" t="s">
        <v>135</v>
      </c>
      <c r="B92" s="13" t="s">
        <v>49</v>
      </c>
      <c r="C92" s="14">
        <v>10</v>
      </c>
      <c r="D92" s="14">
        <v>11</v>
      </c>
      <c r="E92" s="14">
        <f t="shared" si="7"/>
        <v>1</v>
      </c>
      <c r="F92" s="15" t="s">
        <v>50</v>
      </c>
      <c r="G92" s="15"/>
      <c r="H92" s="15"/>
      <c r="I92" s="15"/>
      <c r="J92" s="15"/>
      <c r="K92" s="15" t="s">
        <v>50</v>
      </c>
      <c r="L92" s="15"/>
      <c r="M92" s="15"/>
      <c r="N92" s="21" t="s">
        <v>50</v>
      </c>
      <c r="O92" s="15"/>
      <c r="P92" s="15" t="s">
        <v>50</v>
      </c>
      <c r="Q92" s="15"/>
      <c r="R92" s="15"/>
      <c r="S92" s="15"/>
      <c r="T92" s="15"/>
      <c r="U92" s="15" t="s">
        <v>50</v>
      </c>
      <c r="V92" s="16"/>
      <c r="W92" s="17" t="str">
        <f t="shared" si="8"/>
        <v>OK</v>
      </c>
    </row>
    <row r="93" spans="1:23" ht="20.100000000000001" customHeight="1" thickBot="1" x14ac:dyDescent="0.3">
      <c r="A93" s="12" t="s">
        <v>135</v>
      </c>
      <c r="B93" s="13" t="s">
        <v>49</v>
      </c>
      <c r="C93" s="14">
        <v>11</v>
      </c>
      <c r="D93" s="14">
        <v>12</v>
      </c>
      <c r="E93" s="14">
        <f t="shared" si="7"/>
        <v>1</v>
      </c>
      <c r="F93" s="15" t="s">
        <v>50</v>
      </c>
      <c r="G93" s="15"/>
      <c r="H93" s="15"/>
      <c r="I93" s="15"/>
      <c r="J93" s="15"/>
      <c r="K93" s="15" t="s">
        <v>50</v>
      </c>
      <c r="L93" s="15"/>
      <c r="M93" s="15"/>
      <c r="N93" s="21" t="s">
        <v>50</v>
      </c>
      <c r="O93" s="15"/>
      <c r="P93" s="15" t="s">
        <v>50</v>
      </c>
      <c r="Q93" s="15"/>
      <c r="R93" s="15"/>
      <c r="S93" s="15"/>
      <c r="T93" s="15"/>
      <c r="U93" s="15" t="s">
        <v>50</v>
      </c>
      <c r="V93" s="16"/>
      <c r="W93" s="17" t="str">
        <f t="shared" si="8"/>
        <v>OK</v>
      </c>
    </row>
    <row r="94" spans="1:23" ht="20.100000000000001" customHeight="1" thickBot="1" x14ac:dyDescent="0.3">
      <c r="A94" s="12" t="s">
        <v>135</v>
      </c>
      <c r="B94" s="13" t="s">
        <v>49</v>
      </c>
      <c r="C94" s="14">
        <v>12</v>
      </c>
      <c r="D94" s="14">
        <v>13</v>
      </c>
      <c r="E94" s="14">
        <f t="shared" si="7"/>
        <v>1</v>
      </c>
      <c r="F94" s="15" t="s">
        <v>50</v>
      </c>
      <c r="G94" s="15"/>
      <c r="H94" s="15"/>
      <c r="I94" s="15"/>
      <c r="J94" s="15"/>
      <c r="K94" s="15" t="s">
        <v>50</v>
      </c>
      <c r="L94" s="15"/>
      <c r="M94" s="15"/>
      <c r="N94" s="21" t="s">
        <v>50</v>
      </c>
      <c r="O94" s="15"/>
      <c r="P94" s="15" t="s">
        <v>50</v>
      </c>
      <c r="Q94" s="15"/>
      <c r="R94" s="15"/>
      <c r="S94" s="15"/>
      <c r="T94" s="15"/>
      <c r="U94" s="15" t="s">
        <v>50</v>
      </c>
      <c r="V94" s="16"/>
      <c r="W94" s="17" t="str">
        <f t="shared" si="8"/>
        <v>OK</v>
      </c>
    </row>
    <row r="95" spans="1:23" ht="20.100000000000001" customHeight="1" thickBot="1" x14ac:dyDescent="0.3">
      <c r="A95" s="12" t="s">
        <v>135</v>
      </c>
      <c r="B95" s="13" t="s">
        <v>49</v>
      </c>
      <c r="C95" s="14">
        <v>13</v>
      </c>
      <c r="D95" s="14">
        <v>14</v>
      </c>
      <c r="E95" s="14">
        <f t="shared" si="7"/>
        <v>1</v>
      </c>
      <c r="F95" s="15"/>
      <c r="G95" s="15" t="s">
        <v>50</v>
      </c>
      <c r="H95" s="15"/>
      <c r="I95" s="15"/>
      <c r="J95" s="15"/>
      <c r="K95" s="15" t="s">
        <v>50</v>
      </c>
      <c r="L95" s="15"/>
      <c r="M95" s="15"/>
      <c r="N95" s="21" t="s">
        <v>50</v>
      </c>
      <c r="O95" s="15"/>
      <c r="P95" s="15" t="s">
        <v>50</v>
      </c>
      <c r="Q95" s="15"/>
      <c r="R95" s="15"/>
      <c r="S95" s="15"/>
      <c r="T95" s="15"/>
      <c r="U95" s="15" t="s">
        <v>50</v>
      </c>
      <c r="V95" s="16"/>
      <c r="W95" s="17" t="str">
        <f t="shared" si="8"/>
        <v>OK</v>
      </c>
    </row>
    <row r="96" spans="1:23" ht="20.100000000000001" customHeight="1" thickBot="1" x14ac:dyDescent="0.3">
      <c r="A96" s="12" t="s">
        <v>135</v>
      </c>
      <c r="B96" s="13" t="s">
        <v>49</v>
      </c>
      <c r="C96" s="14">
        <v>14</v>
      </c>
      <c r="D96" s="14">
        <v>15</v>
      </c>
      <c r="E96" s="14">
        <f t="shared" si="7"/>
        <v>1</v>
      </c>
      <c r="F96" s="15" t="s">
        <v>50</v>
      </c>
      <c r="G96" s="15"/>
      <c r="H96" s="15"/>
      <c r="I96" s="15"/>
      <c r="J96" s="15"/>
      <c r="K96" s="15" t="s">
        <v>50</v>
      </c>
      <c r="L96" s="15"/>
      <c r="M96" s="15"/>
      <c r="N96" s="21" t="s">
        <v>50</v>
      </c>
      <c r="O96" s="15"/>
      <c r="P96" s="15" t="s">
        <v>50</v>
      </c>
      <c r="Q96" s="15"/>
      <c r="R96" s="15"/>
      <c r="S96" s="15"/>
      <c r="T96" s="15"/>
      <c r="U96" s="15" t="s">
        <v>50</v>
      </c>
      <c r="V96" s="16"/>
      <c r="W96" s="17" t="str">
        <f t="shared" si="8"/>
        <v>OK</v>
      </c>
    </row>
    <row r="97" spans="1:23" ht="20.100000000000001" customHeight="1" thickBot="1" x14ac:dyDescent="0.3">
      <c r="A97" s="12" t="s">
        <v>135</v>
      </c>
      <c r="B97" s="13" t="s">
        <v>49</v>
      </c>
      <c r="C97" s="14">
        <v>15</v>
      </c>
      <c r="D97" s="14">
        <v>16</v>
      </c>
      <c r="E97" s="14">
        <f t="shared" si="7"/>
        <v>1</v>
      </c>
      <c r="F97" s="15" t="s">
        <v>50</v>
      </c>
      <c r="G97" s="15"/>
      <c r="H97" s="15"/>
      <c r="I97" s="15"/>
      <c r="J97" s="15"/>
      <c r="K97" s="15" t="s">
        <v>50</v>
      </c>
      <c r="L97" s="15"/>
      <c r="M97" s="15"/>
      <c r="N97" s="21" t="s">
        <v>50</v>
      </c>
      <c r="O97" s="15"/>
      <c r="P97" s="15" t="s">
        <v>50</v>
      </c>
      <c r="Q97" s="15"/>
      <c r="R97" s="15"/>
      <c r="S97" s="15"/>
      <c r="T97" s="15"/>
      <c r="U97" s="15" t="s">
        <v>50</v>
      </c>
      <c r="V97" s="16"/>
      <c r="W97" s="17" t="str">
        <f t="shared" si="8"/>
        <v>OK</v>
      </c>
    </row>
    <row r="98" spans="1:23" ht="20.100000000000001" customHeight="1" thickBot="1" x14ac:dyDescent="0.3">
      <c r="A98" s="12" t="s">
        <v>135</v>
      </c>
      <c r="B98" s="13" t="s">
        <v>49</v>
      </c>
      <c r="C98" s="14">
        <v>16</v>
      </c>
      <c r="D98" s="14">
        <v>17</v>
      </c>
      <c r="E98" s="14">
        <f t="shared" si="7"/>
        <v>1</v>
      </c>
      <c r="F98" s="15" t="s">
        <v>50</v>
      </c>
      <c r="G98" s="15"/>
      <c r="H98" s="15"/>
      <c r="I98" s="15"/>
      <c r="J98" s="15"/>
      <c r="K98" s="15" t="s">
        <v>50</v>
      </c>
      <c r="L98" s="15"/>
      <c r="M98" s="15"/>
      <c r="N98" s="21" t="s">
        <v>50</v>
      </c>
      <c r="O98" s="15"/>
      <c r="P98" s="15" t="s">
        <v>50</v>
      </c>
      <c r="Q98" s="15"/>
      <c r="R98" s="15"/>
      <c r="S98" s="15"/>
      <c r="T98" s="15"/>
      <c r="U98" s="15" t="s">
        <v>50</v>
      </c>
      <c r="V98" s="16"/>
      <c r="W98" s="17" t="str">
        <f t="shared" si="8"/>
        <v>OK</v>
      </c>
    </row>
    <row r="99" spans="1:23" ht="20.100000000000001" customHeight="1" thickBot="1" x14ac:dyDescent="0.3">
      <c r="A99" s="12" t="s">
        <v>135</v>
      </c>
      <c r="B99" s="13" t="s">
        <v>49</v>
      </c>
      <c r="C99" s="14">
        <v>17</v>
      </c>
      <c r="D99" s="14">
        <v>18</v>
      </c>
      <c r="E99" s="14">
        <f t="shared" si="7"/>
        <v>1</v>
      </c>
      <c r="F99" s="15"/>
      <c r="G99" s="15"/>
      <c r="H99" s="15" t="s">
        <v>50</v>
      </c>
      <c r="I99" s="15"/>
      <c r="J99" s="15"/>
      <c r="K99" s="15" t="s">
        <v>50</v>
      </c>
      <c r="L99" s="15"/>
      <c r="M99" s="15"/>
      <c r="N99" s="21" t="s">
        <v>50</v>
      </c>
      <c r="O99" s="15"/>
      <c r="P99" s="15" t="s">
        <v>50</v>
      </c>
      <c r="Q99" s="15"/>
      <c r="R99" s="15"/>
      <c r="S99" s="15"/>
      <c r="T99" s="15"/>
      <c r="U99" s="15" t="s">
        <v>50</v>
      </c>
      <c r="V99" s="16"/>
      <c r="W99" s="17" t="str">
        <f t="shared" si="8"/>
        <v>OK</v>
      </c>
    </row>
    <row r="100" spans="1:23" ht="20.100000000000001" customHeight="1" thickBot="1" x14ac:dyDescent="0.3">
      <c r="A100" s="12" t="s">
        <v>135</v>
      </c>
      <c r="B100" s="13" t="s">
        <v>49</v>
      </c>
      <c r="C100" s="14">
        <v>18</v>
      </c>
      <c r="D100" s="14">
        <v>19</v>
      </c>
      <c r="E100" s="14">
        <f t="shared" si="7"/>
        <v>1</v>
      </c>
      <c r="F100" s="15" t="s">
        <v>50</v>
      </c>
      <c r="G100" s="15"/>
      <c r="H100" s="15"/>
      <c r="I100" s="15"/>
      <c r="J100" s="15"/>
      <c r="K100" s="15" t="s">
        <v>50</v>
      </c>
      <c r="L100" s="15"/>
      <c r="M100" s="15"/>
      <c r="N100" s="21" t="s">
        <v>50</v>
      </c>
      <c r="O100" s="15"/>
      <c r="P100" s="15" t="s">
        <v>50</v>
      </c>
      <c r="Q100" s="15"/>
      <c r="R100" s="15"/>
      <c r="S100" s="15"/>
      <c r="T100" s="15"/>
      <c r="U100" s="15" t="s">
        <v>50</v>
      </c>
      <c r="V100" s="16"/>
      <c r="W100" s="17" t="str">
        <f t="shared" si="8"/>
        <v>OK</v>
      </c>
    </row>
    <row r="101" spans="1:23" ht="20.100000000000001" customHeight="1" thickBot="1" x14ac:dyDescent="0.3">
      <c r="A101" s="12" t="s">
        <v>135</v>
      </c>
      <c r="B101" s="13" t="s">
        <v>49</v>
      </c>
      <c r="C101" s="14">
        <v>19</v>
      </c>
      <c r="D101" s="14">
        <v>20</v>
      </c>
      <c r="E101" s="14">
        <f t="shared" si="7"/>
        <v>1</v>
      </c>
      <c r="F101" s="15"/>
      <c r="G101" s="15"/>
      <c r="H101" s="15" t="s">
        <v>50</v>
      </c>
      <c r="I101" s="15"/>
      <c r="J101" s="15"/>
      <c r="K101" s="15" t="s">
        <v>50</v>
      </c>
      <c r="L101" s="15"/>
      <c r="M101" s="15"/>
      <c r="N101" s="21" t="s">
        <v>50</v>
      </c>
      <c r="O101" s="15"/>
      <c r="P101" s="15" t="s">
        <v>50</v>
      </c>
      <c r="Q101" s="15"/>
      <c r="R101" s="15"/>
      <c r="S101" s="15"/>
      <c r="T101" s="15"/>
      <c r="U101" s="15" t="s">
        <v>50</v>
      </c>
      <c r="V101" s="16"/>
      <c r="W101" s="17" t="str">
        <f t="shared" si="8"/>
        <v>OK</v>
      </c>
    </row>
    <row r="102" spans="1:23" ht="20.100000000000001" customHeight="1" thickBot="1" x14ac:dyDescent="0.3">
      <c r="A102" s="12" t="s">
        <v>135</v>
      </c>
      <c r="B102" s="13" t="s">
        <v>49</v>
      </c>
      <c r="C102" s="14">
        <v>20</v>
      </c>
      <c r="D102" s="14">
        <v>21</v>
      </c>
      <c r="E102" s="14">
        <f t="shared" si="7"/>
        <v>1</v>
      </c>
      <c r="F102" s="15" t="s">
        <v>50</v>
      </c>
      <c r="G102" s="15"/>
      <c r="H102" s="15"/>
      <c r="I102" s="15"/>
      <c r="J102" s="15"/>
      <c r="K102" s="15" t="s">
        <v>50</v>
      </c>
      <c r="L102" s="15"/>
      <c r="M102" s="15"/>
      <c r="N102" s="21" t="s">
        <v>50</v>
      </c>
      <c r="O102" s="15"/>
      <c r="P102" s="15" t="s">
        <v>50</v>
      </c>
      <c r="Q102" s="15"/>
      <c r="R102" s="15"/>
      <c r="S102" s="15"/>
      <c r="T102" s="15"/>
      <c r="U102" s="15" t="s">
        <v>50</v>
      </c>
      <c r="V102" s="16"/>
      <c r="W102" s="17" t="str">
        <f t="shared" si="8"/>
        <v>OK</v>
      </c>
    </row>
    <row r="103" spans="1:23" ht="20.100000000000001" customHeight="1" thickBot="1" x14ac:dyDescent="0.3">
      <c r="A103" s="12" t="s">
        <v>135</v>
      </c>
      <c r="B103" s="13" t="s">
        <v>49</v>
      </c>
      <c r="C103" s="14">
        <v>21</v>
      </c>
      <c r="D103" s="14">
        <v>22</v>
      </c>
      <c r="E103" s="14">
        <f t="shared" si="7"/>
        <v>1</v>
      </c>
      <c r="F103" s="15" t="s">
        <v>50</v>
      </c>
      <c r="G103" s="15"/>
      <c r="H103" s="15"/>
      <c r="I103" s="15"/>
      <c r="J103" s="15"/>
      <c r="K103" s="15" t="s">
        <v>50</v>
      </c>
      <c r="L103" s="15"/>
      <c r="M103" s="15"/>
      <c r="N103" s="21" t="s">
        <v>50</v>
      </c>
      <c r="O103" s="15"/>
      <c r="P103" s="15" t="s">
        <v>50</v>
      </c>
      <c r="Q103" s="15"/>
      <c r="R103" s="15"/>
      <c r="S103" s="15"/>
      <c r="T103" s="15"/>
      <c r="U103" s="15" t="s">
        <v>50</v>
      </c>
      <c r="V103" s="16"/>
      <c r="W103" s="17" t="str">
        <f t="shared" si="8"/>
        <v>OK</v>
      </c>
    </row>
    <row r="104" spans="1:23" ht="20.100000000000001" customHeight="1" thickBot="1" x14ac:dyDescent="0.3">
      <c r="A104" s="12" t="s">
        <v>135</v>
      </c>
      <c r="B104" s="13" t="s">
        <v>49</v>
      </c>
      <c r="C104" s="14">
        <v>22</v>
      </c>
      <c r="D104" s="14">
        <v>23</v>
      </c>
      <c r="E104" s="14">
        <f t="shared" si="7"/>
        <v>1</v>
      </c>
      <c r="F104" s="15" t="s">
        <v>50</v>
      </c>
      <c r="G104" s="15"/>
      <c r="H104" s="15"/>
      <c r="I104" s="15"/>
      <c r="J104" s="15"/>
      <c r="K104" s="15" t="s">
        <v>50</v>
      </c>
      <c r="L104" s="15"/>
      <c r="M104" s="15"/>
      <c r="N104" s="21" t="s">
        <v>50</v>
      </c>
      <c r="O104" s="15"/>
      <c r="P104" s="15" t="s">
        <v>50</v>
      </c>
      <c r="Q104" s="15"/>
      <c r="R104" s="15"/>
      <c r="S104" s="15"/>
      <c r="T104" s="15"/>
      <c r="U104" s="15" t="s">
        <v>50</v>
      </c>
      <c r="V104" s="16"/>
      <c r="W104" s="17" t="str">
        <f t="shared" si="8"/>
        <v>OK</v>
      </c>
    </row>
    <row r="105" spans="1:23" ht="20.100000000000001" customHeight="1" thickBot="1" x14ac:dyDescent="0.3">
      <c r="A105" s="12" t="s">
        <v>135</v>
      </c>
      <c r="B105" s="13" t="s">
        <v>49</v>
      </c>
      <c r="C105" s="14">
        <v>23</v>
      </c>
      <c r="D105" s="14">
        <v>24</v>
      </c>
      <c r="E105" s="14">
        <f t="shared" si="7"/>
        <v>1</v>
      </c>
      <c r="F105" s="15" t="s">
        <v>50</v>
      </c>
      <c r="G105" s="15"/>
      <c r="H105" s="15"/>
      <c r="I105" s="15"/>
      <c r="J105" s="15"/>
      <c r="K105" s="15" t="s">
        <v>50</v>
      </c>
      <c r="L105" s="15"/>
      <c r="M105" s="15"/>
      <c r="N105" s="21" t="s">
        <v>50</v>
      </c>
      <c r="O105" s="15"/>
      <c r="P105" s="15" t="s">
        <v>50</v>
      </c>
      <c r="Q105" s="15"/>
      <c r="R105" s="15"/>
      <c r="S105" s="15"/>
      <c r="T105" s="15"/>
      <c r="U105" s="15" t="s">
        <v>50</v>
      </c>
      <c r="V105" s="16"/>
      <c r="W105" s="17" t="str">
        <f t="shared" si="8"/>
        <v>OK</v>
      </c>
    </row>
    <row r="106" spans="1:23" ht="20.100000000000001" customHeight="1" thickBot="1" x14ac:dyDescent="0.3">
      <c r="A106" s="18" t="s">
        <v>135</v>
      </c>
      <c r="B106" s="19" t="s">
        <v>49</v>
      </c>
      <c r="C106" s="20">
        <v>24</v>
      </c>
      <c r="D106" s="20">
        <v>24.572676973499998</v>
      </c>
      <c r="E106" s="20">
        <f t="shared" si="7"/>
        <v>0.57267697349999835</v>
      </c>
      <c r="F106" s="21" t="s">
        <v>50</v>
      </c>
      <c r="G106" s="21"/>
      <c r="H106" s="21"/>
      <c r="I106" s="21"/>
      <c r="J106" s="21"/>
      <c r="K106" s="21" t="s">
        <v>50</v>
      </c>
      <c r="L106" s="21"/>
      <c r="M106" s="21"/>
      <c r="N106" s="21" t="s">
        <v>50</v>
      </c>
      <c r="O106" s="21"/>
      <c r="P106" s="21" t="s">
        <v>50</v>
      </c>
      <c r="Q106" s="21"/>
      <c r="R106" s="21"/>
      <c r="S106" s="21"/>
      <c r="T106" s="21"/>
      <c r="U106" s="21" t="s">
        <v>50</v>
      </c>
      <c r="V106" s="22"/>
      <c r="W106" s="23" t="str">
        <f t="shared" si="8"/>
        <v>OK</v>
      </c>
    </row>
    <row r="107" spans="1:23" ht="15.95" customHeight="1" x14ac:dyDescent="0.25">
      <c r="A107" s="34" t="s">
        <v>136</v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9"/>
      <c r="W107" s="4"/>
    </row>
    <row r="108" spans="1:23" ht="20.100000000000001" customHeight="1" x14ac:dyDescent="0.25">
      <c r="A108" s="18" t="s">
        <v>137</v>
      </c>
      <c r="B108" s="19" t="s">
        <v>49</v>
      </c>
      <c r="C108" s="20">
        <v>0</v>
      </c>
      <c r="D108" s="20">
        <v>0.10420990593399999</v>
      </c>
      <c r="E108" s="20">
        <f>D108-C108</f>
        <v>0.10420990593399999</v>
      </c>
      <c r="F108" s="21" t="s">
        <v>50</v>
      </c>
      <c r="G108" s="21"/>
      <c r="H108" s="21"/>
      <c r="I108" s="21"/>
      <c r="J108" s="21"/>
      <c r="K108" s="21" t="s">
        <v>50</v>
      </c>
      <c r="L108" s="21"/>
      <c r="M108" s="21"/>
      <c r="N108" s="21" t="s">
        <v>50</v>
      </c>
      <c r="O108" s="21"/>
      <c r="P108" s="21" t="s">
        <v>50</v>
      </c>
      <c r="Q108" s="21"/>
      <c r="R108" s="21"/>
      <c r="S108" s="21"/>
      <c r="T108" s="21"/>
      <c r="U108" s="21" t="s">
        <v>50</v>
      </c>
      <c r="V108" s="22"/>
      <c r="W108" s="23" t="str">
        <f>IF(COUNTA(F108:U108)=0,"— não preenchido",IF(COUNTIF(F108:J108,"X")&lt;&gt;1,"FALTA/DUPLA: CONDIÇÃO DO PAVIMENTO",IF(COUNTIF(K108:L108,"X")&lt;&gt;1,"FALTA/DUPLA: VEGETAÇÃO",IF(COUNTIF(M108:O108,"X")&lt;&gt;1,"FALTA/DUPLA: ELEM. DE DRENAGEM",IF(COUNTIF(P108:R108,"X")&lt;&gt;1,"FALTA/DUPLA: SIN. HORIZ.",IF(COUNTIF(S108:U108,"X")&lt;&gt;1,"FALTA/DUPLA: SIN. VERTICAL","OK"))))))</f>
        <v>OK</v>
      </c>
    </row>
    <row r="109" spans="1:23" ht="15.95" customHeight="1" x14ac:dyDescent="0.25">
      <c r="A109" s="34" t="s">
        <v>138</v>
      </c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9"/>
      <c r="W109" s="4"/>
    </row>
    <row r="110" spans="1:23" ht="20.100000000000001" customHeight="1" x14ac:dyDescent="0.25">
      <c r="A110" s="18" t="s">
        <v>139</v>
      </c>
      <c r="B110" s="19" t="s">
        <v>49</v>
      </c>
      <c r="C110" s="20">
        <v>0</v>
      </c>
      <c r="D110" s="20">
        <v>0.44754672546199997</v>
      </c>
      <c r="E110" s="20">
        <f>D110-C110</f>
        <v>0.44754672546199997</v>
      </c>
      <c r="F110" s="21" t="s">
        <v>50</v>
      </c>
      <c r="G110" s="21"/>
      <c r="H110" s="21"/>
      <c r="I110" s="21"/>
      <c r="J110" s="21"/>
      <c r="K110" s="21" t="s">
        <v>50</v>
      </c>
      <c r="L110" s="21"/>
      <c r="M110" s="21"/>
      <c r="N110" s="21" t="s">
        <v>50</v>
      </c>
      <c r="O110" s="21"/>
      <c r="P110" s="21" t="s">
        <v>50</v>
      </c>
      <c r="Q110" s="21"/>
      <c r="R110" s="21"/>
      <c r="S110" s="21"/>
      <c r="T110" s="21"/>
      <c r="U110" s="21" t="s">
        <v>50</v>
      </c>
      <c r="V110" s="22"/>
      <c r="W110" s="23" t="str">
        <f>IF(COUNTA(F110:U110)=0,"— não preenchido",IF(COUNTIF(F110:J110,"X")&lt;&gt;1,"FALTA/DUPLA: CONDIÇÃO DO PAVIMENTO",IF(COUNTIF(K110:L110,"X")&lt;&gt;1,"FALTA/DUPLA: VEGETAÇÃO",IF(COUNTIF(M110:O110,"X")&lt;&gt;1,"FALTA/DUPLA: ELEM. DE DRENAGEM",IF(COUNTIF(P110:R110,"X")&lt;&gt;1,"FALTA/DUPLA: SIN. HORIZ.",IF(COUNTIF(S110:U110,"X")&lt;&gt;1,"FALTA/DUPLA: SIN. VERTICAL","OK"))))))</f>
        <v>OK</v>
      </c>
    </row>
    <row r="112" spans="1:23" x14ac:dyDescent="0.25">
      <c r="A112" s="30" t="s">
        <v>60</v>
      </c>
      <c r="B112" s="31"/>
      <c r="C112" s="31"/>
      <c r="D112" s="31"/>
      <c r="E112" s="31"/>
      <c r="G112" s="30" t="s">
        <v>60</v>
      </c>
      <c r="H112" s="31"/>
      <c r="I112" s="31"/>
      <c r="J112" s="31"/>
      <c r="K112" s="31"/>
    </row>
    <row r="113" spans="1:22" x14ac:dyDescent="0.25">
      <c r="A113" s="38" t="s">
        <v>61</v>
      </c>
      <c r="B113" s="31"/>
      <c r="C113" s="31"/>
      <c r="D113" s="31"/>
      <c r="E113" s="31"/>
      <c r="G113" s="38" t="s">
        <v>62</v>
      </c>
      <c r="H113" s="31"/>
      <c r="I113" s="31"/>
      <c r="J113" s="31"/>
      <c r="K113" s="31"/>
    </row>
    <row r="115" spans="1:22" x14ac:dyDescent="0.25">
      <c r="A115" s="42" t="s">
        <v>63</v>
      </c>
      <c r="B115" s="31"/>
      <c r="C115" s="31"/>
      <c r="D115" s="31"/>
      <c r="E115" s="31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</row>
    <row r="116" spans="1:22" x14ac:dyDescent="0.25">
      <c r="A116" s="36" t="s">
        <v>64</v>
      </c>
      <c r="B116" s="31"/>
      <c r="C116" s="31"/>
      <c r="D116" s="31"/>
      <c r="E116" s="31"/>
      <c r="F116" s="9">
        <f t="shared" ref="F116:U116" si="9">SUMIF(F$9:F$110,"X",$E$9:$E$110)</f>
        <v>72.748664507816002</v>
      </c>
      <c r="G116" s="9">
        <f t="shared" si="9"/>
        <v>7</v>
      </c>
      <c r="H116" s="9">
        <f t="shared" si="9"/>
        <v>12.299499818099999</v>
      </c>
      <c r="I116" s="9">
        <f t="shared" si="9"/>
        <v>0</v>
      </c>
      <c r="J116" s="9">
        <f t="shared" si="9"/>
        <v>0</v>
      </c>
      <c r="K116" s="9">
        <f t="shared" si="9"/>
        <v>92.048164325916005</v>
      </c>
      <c r="L116" s="9">
        <f t="shared" si="9"/>
        <v>0</v>
      </c>
      <c r="M116" s="9">
        <f t="shared" si="9"/>
        <v>7.69077087362</v>
      </c>
      <c r="N116" s="9">
        <f t="shared" si="9"/>
        <v>77.062574839096001</v>
      </c>
      <c r="O116" s="9">
        <f t="shared" si="9"/>
        <v>7.2948186132000004</v>
      </c>
      <c r="P116" s="9">
        <f t="shared" si="9"/>
        <v>90.357393452295995</v>
      </c>
      <c r="Q116" s="9">
        <f t="shared" si="9"/>
        <v>1.69077087362</v>
      </c>
      <c r="R116" s="9">
        <f t="shared" si="9"/>
        <v>0</v>
      </c>
      <c r="S116" s="9">
        <f t="shared" si="9"/>
        <v>0</v>
      </c>
      <c r="T116" s="9">
        <f t="shared" si="9"/>
        <v>43.624230902919997</v>
      </c>
      <c r="U116" s="9">
        <f t="shared" si="9"/>
        <v>48.423933422995994</v>
      </c>
    </row>
    <row r="117" spans="1:22" x14ac:dyDescent="0.25">
      <c r="A117" s="36" t="s">
        <v>65</v>
      </c>
      <c r="B117" s="31"/>
      <c r="C117" s="31"/>
      <c r="D117" s="31"/>
      <c r="E117" s="31"/>
      <c r="F117" s="25">
        <f t="shared" ref="F117:U117" si="10">IF($R119=0,0,F116/$R119)</f>
        <v>0.79033259425178715</v>
      </c>
      <c r="G117" s="25">
        <f t="shared" si="10"/>
        <v>7.6047143919296623E-2</v>
      </c>
      <c r="H117" s="25">
        <f t="shared" si="10"/>
        <v>0.13362026182891618</v>
      </c>
      <c r="I117" s="25">
        <f t="shared" si="10"/>
        <v>0</v>
      </c>
      <c r="J117" s="25">
        <f t="shared" si="10"/>
        <v>0</v>
      </c>
      <c r="K117" s="25">
        <f t="shared" si="10"/>
        <v>1</v>
      </c>
      <c r="L117" s="25">
        <f t="shared" si="10"/>
        <v>0</v>
      </c>
      <c r="M117" s="25">
        <f t="shared" si="10"/>
        <v>8.3551594210930683E-2</v>
      </c>
      <c r="N117" s="25">
        <f t="shared" si="10"/>
        <v>0.83719838851147155</v>
      </c>
      <c r="O117" s="25">
        <f t="shared" si="10"/>
        <v>7.9250017277597756E-2</v>
      </c>
      <c r="P117" s="25">
        <f t="shared" si="10"/>
        <v>0.98163167200560919</v>
      </c>
      <c r="Q117" s="25">
        <f t="shared" si="10"/>
        <v>1.8368327994390719E-2</v>
      </c>
      <c r="R117" s="25">
        <f t="shared" si="10"/>
        <v>0</v>
      </c>
      <c r="S117" s="25">
        <f t="shared" si="10"/>
        <v>0</v>
      </c>
      <c r="T117" s="25">
        <f t="shared" si="10"/>
        <v>0.47392830940614061</v>
      </c>
      <c r="U117" s="25">
        <f t="shared" si="10"/>
        <v>0.52607169059385916</v>
      </c>
    </row>
    <row r="118" spans="1:22" x14ac:dyDescent="0.25">
      <c r="A118" s="36" t="s">
        <v>66</v>
      </c>
      <c r="B118" s="31"/>
      <c r="C118" s="31"/>
      <c r="D118" s="31"/>
      <c r="E118" s="31"/>
      <c r="F118" s="37" t="str">
        <f>IF(SUM(F116:J116)=0,"— não preenchido",IF(ROUND(SUM(F116:J116)-$R119,3)=0,"OK — "&amp;ROUND(SUM(F116:J116),3)&amp;" km","ERRO — dif. de "&amp;ROUND(SUM(F116:J116)-$R119,3)&amp;" km"))</f>
        <v>OK — 92,048 km</v>
      </c>
      <c r="G118" s="28"/>
      <c r="H118" s="28"/>
      <c r="I118" s="28"/>
      <c r="J118" s="29"/>
      <c r="K118" s="37" t="str">
        <f>IF(SUM(K116:L116)=0,"— não preenchido",IF(ROUND(SUM(K116:L116)-$R119,3)=0,"OK — "&amp;ROUND(SUM(K116:L116),3)&amp;" km","ERRO — dif. de "&amp;ROUND(SUM(K116:L116)-$R119,3)&amp;" km"))</f>
        <v>OK — 92,048 km</v>
      </c>
      <c r="L118" s="29"/>
      <c r="M118" s="37" t="str">
        <f>IF(SUM(M116:O116)=0,"— não preenchido",IF(ROUND(SUM(M116:O116)-$R119,3)=0,"OK — "&amp;ROUND(SUM(M116:O116),3)&amp;" km","ERRO — dif. de "&amp;ROUND(SUM(M116:O116)-$R119,3)&amp;" km"))</f>
        <v>OK — 92,048 km</v>
      </c>
      <c r="N118" s="28"/>
      <c r="O118" s="29"/>
      <c r="P118" s="37" t="str">
        <f>IF(SUM(P116:R116)=0,"— não preenchido",IF(ROUND(SUM(P116:R116)-$R119,3)=0,"OK — "&amp;ROUND(SUM(P116:R116),3)&amp;" km","ERRO — dif. de "&amp;ROUND(SUM(P116:R116)-$R119,3)&amp;" km"))</f>
        <v>OK — 92,048 km</v>
      </c>
      <c r="Q118" s="28"/>
      <c r="R118" s="29"/>
      <c r="S118" s="37" t="str">
        <f>IF(SUM(S116:U116)=0,"— não preenchido",IF(ROUND(SUM(S116:U116)-$R119,3)=0,"OK — "&amp;ROUND(SUM(S116:U116),3)&amp;" km","ERRO — dif. de "&amp;ROUND(SUM(S116:U116)-$R119,3)&amp;" km"))</f>
        <v>OK — 92,048 km</v>
      </c>
      <c r="T118" s="28"/>
      <c r="U118" s="29"/>
    </row>
    <row r="119" spans="1:22" x14ac:dyDescent="0.25">
      <c r="A119" s="36" t="s">
        <v>67</v>
      </c>
      <c r="B119" s="31"/>
      <c r="C119" s="31"/>
      <c r="D119" s="31"/>
      <c r="E119" s="31"/>
      <c r="R119" s="26">
        <f>SUM(E9:E110)</f>
        <v>92.048164325916005</v>
      </c>
      <c r="V119" s="8" t="str">
        <f>COUNTIF(W9:W110,"OK")&amp;" de "&amp;COUNT($E$9:$E$110)&amp;" linhas conferidas"</f>
        <v>96 de 96 linhas conferidas</v>
      </c>
    </row>
    <row r="121" spans="1:22" x14ac:dyDescent="0.25">
      <c r="A121" s="41" t="s">
        <v>68</v>
      </c>
      <c r="B121" s="31"/>
      <c r="C121" s="31"/>
      <c r="D121" s="31"/>
      <c r="E121" s="31"/>
    </row>
    <row r="122" spans="1:22" x14ac:dyDescent="0.25">
      <c r="A122" s="36" t="s">
        <v>69</v>
      </c>
      <c r="B122" s="31"/>
      <c r="C122" s="31"/>
      <c r="D122" s="31"/>
      <c r="E122" s="35" t="s">
        <v>70</v>
      </c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</row>
    <row r="123" spans="1:22" x14ac:dyDescent="0.25">
      <c r="A123" s="36" t="s">
        <v>71</v>
      </c>
      <c r="B123" s="31"/>
      <c r="C123" s="31"/>
      <c r="D123" s="31"/>
      <c r="E123" s="35" t="s">
        <v>72</v>
      </c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</row>
    <row r="124" spans="1:22" x14ac:dyDescent="0.25">
      <c r="A124" s="36" t="s">
        <v>73</v>
      </c>
      <c r="B124" s="31"/>
      <c r="C124" s="31"/>
      <c r="D124" s="31"/>
      <c r="E124" s="35" t="s">
        <v>74</v>
      </c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</row>
    <row r="125" spans="1:22" x14ac:dyDescent="0.25">
      <c r="A125" s="36" t="s">
        <v>75</v>
      </c>
      <c r="B125" s="31"/>
      <c r="C125" s="31"/>
      <c r="D125" s="31"/>
      <c r="E125" s="35" t="s">
        <v>76</v>
      </c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</row>
    <row r="126" spans="1:22" x14ac:dyDescent="0.25">
      <c r="A126" s="36" t="s">
        <v>77</v>
      </c>
      <c r="B126" s="31"/>
      <c r="C126" s="31"/>
      <c r="D126" s="31"/>
      <c r="E126" s="35" t="s">
        <v>78</v>
      </c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</row>
    <row r="127" spans="1:22" x14ac:dyDescent="0.25">
      <c r="A127" s="36" t="s">
        <v>41</v>
      </c>
      <c r="B127" s="31"/>
      <c r="C127" s="31"/>
      <c r="D127" s="31"/>
      <c r="E127" s="35" t="s">
        <v>79</v>
      </c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</row>
    <row r="128" spans="1:22" x14ac:dyDescent="0.25">
      <c r="A128" s="36" t="s">
        <v>80</v>
      </c>
      <c r="B128" s="31"/>
      <c r="C128" s="31"/>
      <c r="D128" s="31"/>
      <c r="E128" s="35" t="s">
        <v>81</v>
      </c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</row>
    <row r="129" spans="1:22" x14ac:dyDescent="0.25">
      <c r="A129" s="36" t="s">
        <v>82</v>
      </c>
      <c r="B129" s="31"/>
      <c r="C129" s="31"/>
      <c r="D129" s="31"/>
      <c r="E129" s="35" t="s">
        <v>83</v>
      </c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</row>
    <row r="130" spans="1:22" x14ac:dyDescent="0.25">
      <c r="A130" s="36" t="s">
        <v>11</v>
      </c>
      <c r="B130" s="31"/>
      <c r="C130" s="31"/>
      <c r="D130" s="31"/>
      <c r="E130" s="35" t="s">
        <v>84</v>
      </c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</row>
  </sheetData>
  <sheetProtection formatCells="0"/>
  <mergeCells count="63">
    <mergeCell ref="A1:V1"/>
    <mergeCell ref="A124:D124"/>
    <mergeCell ref="E125:V125"/>
    <mergeCell ref="A116:E116"/>
    <mergeCell ref="T3:V3"/>
    <mergeCell ref="M118:O118"/>
    <mergeCell ref="G113:K113"/>
    <mergeCell ref="E122:V122"/>
    <mergeCell ref="A112:E112"/>
    <mergeCell ref="A121:E121"/>
    <mergeCell ref="R2:V2"/>
    <mergeCell ref="A3:S3"/>
    <mergeCell ref="A115:E115"/>
    <mergeCell ref="C6:C7"/>
    <mergeCell ref="A130:D130"/>
    <mergeCell ref="P2:Q2"/>
    <mergeCell ref="G112:K112"/>
    <mergeCell ref="E124:V124"/>
    <mergeCell ref="A128:D128"/>
    <mergeCell ref="E130:V130"/>
    <mergeCell ref="E129:V129"/>
    <mergeCell ref="E128:V128"/>
    <mergeCell ref="A125:D125"/>
    <mergeCell ref="V6:V7"/>
    <mergeCell ref="A109:V109"/>
    <mergeCell ref="A81:V81"/>
    <mergeCell ref="S6:U6"/>
    <mergeCell ref="A127:D127"/>
    <mergeCell ref="E127:V127"/>
    <mergeCell ref="A129:D129"/>
    <mergeCell ref="W6:W7"/>
    <mergeCell ref="A118:E118"/>
    <mergeCell ref="E6:E7"/>
    <mergeCell ref="B6:B7"/>
    <mergeCell ref="A123:D123"/>
    <mergeCell ref="A113:E113"/>
    <mergeCell ref="A11:V11"/>
    <mergeCell ref="A107:V107"/>
    <mergeCell ref="P118:R118"/>
    <mergeCell ref="A8:V8"/>
    <mergeCell ref="A62:V62"/>
    <mergeCell ref="A6:A7"/>
    <mergeCell ref="F6:J6"/>
    <mergeCell ref="F118:J118"/>
    <mergeCell ref="A119:E119"/>
    <mergeCell ref="M6:O6"/>
    <mergeCell ref="S118:U118"/>
    <mergeCell ref="D6:D7"/>
    <mergeCell ref="K118:L118"/>
    <mergeCell ref="A126:D126"/>
    <mergeCell ref="A122:D122"/>
    <mergeCell ref="E126:V126"/>
    <mergeCell ref="E123:V123"/>
    <mergeCell ref="A117:E117"/>
    <mergeCell ref="K6:L6"/>
    <mergeCell ref="G2:H2"/>
    <mergeCell ref="I2:J2"/>
    <mergeCell ref="A23:V23"/>
    <mergeCell ref="A4:V4"/>
    <mergeCell ref="A2:F2"/>
    <mergeCell ref="K2:M2"/>
    <mergeCell ref="N2:O2"/>
    <mergeCell ref="P6:R6"/>
  </mergeCells>
  <conditionalFormatting sqref="F9:J110">
    <cfRule type="expression" dxfId="26" priority="1">
      <formula>AND(F9&lt;&gt;"",COUNTIF($F9:$J9,"X")&gt;1)</formula>
    </cfRule>
  </conditionalFormatting>
  <conditionalFormatting sqref="F118:U118">
    <cfRule type="expression" dxfId="25" priority="8">
      <formula>LEFT(F118,4)="ERRO"</formula>
    </cfRule>
    <cfRule type="expression" dxfId="24" priority="9">
      <formula>LEFT(F118,2)="OK"</formula>
    </cfRule>
  </conditionalFormatting>
  <conditionalFormatting sqref="K9:L110">
    <cfRule type="expression" dxfId="23" priority="2">
      <formula>AND(K9&lt;&gt;"",COUNTIF($K9:$L9,"X")&gt;1)</formula>
    </cfRule>
  </conditionalFormatting>
  <conditionalFormatting sqref="M9:O110">
    <cfRule type="expression" dxfId="22" priority="3">
      <formula>AND(M9&lt;&gt;"",COUNTIF($M9:$O9,"X")&gt;1)</formula>
    </cfRule>
  </conditionalFormatting>
  <conditionalFormatting sqref="P9:R110">
    <cfRule type="expression" dxfId="21" priority="4">
      <formula>AND(P9&lt;&gt;"",COUNTIF($P9:$R9,"X")&gt;1)</formula>
    </cfRule>
  </conditionalFormatting>
  <conditionalFormatting sqref="S9:U110">
    <cfRule type="expression" dxfId="20" priority="5">
      <formula>AND(S9&lt;&gt;"",COUNTIF($S9:$U9,"X")&gt;1)</formula>
    </cfRule>
  </conditionalFormatting>
  <conditionalFormatting sqref="W9:W110">
    <cfRule type="expression" dxfId="19" priority="6">
      <formula>AND(W9&lt;&gt;"OK",W9&lt;&gt;"")</formula>
    </cfRule>
    <cfRule type="expression" dxfId="1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10" xr:uid="{00000000-0002-0000-07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10" xr:uid="{00000000-0002-0000-07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10" xr:uid="{00000000-0002-0000-07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10" xr:uid="{00000000-0002-0000-07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10" xr:uid="{00000000-0002-0000-0700-000004000000}">
      <formula1>AND(UPPER(S9)="X",COUNTIF($S9:$U9,"X")&lt;=1)</formula1>
    </dataValidation>
    <dataValidation type="list" showErrorMessage="1" errorTitle="Sentido inválido" error="Use C (crescente) ou D (decrescente)." sqref="B9:B110" xr:uid="{00000000-0002-0000-07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77</oddHeader>
    <oddFooter>&amp;L&amp;7 RTA / MSI — Programa de Manutenção Rodoviária&amp;C&amp;7 Página &amp;P de &amp;N&amp;R&amp;7 Impresso em &amp;D</oddFooter>
  </headerFooter>
  <rowBreaks count="1" manualBreakCount="1">
    <brk id="113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AN36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39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Y1" s="1" t="s">
        <v>1</v>
      </c>
    </row>
    <row r="2" spans="1:40" ht="17.100000000000001" customHeight="1" x14ac:dyDescent="0.25">
      <c r="A2" s="43" t="s">
        <v>33</v>
      </c>
      <c r="B2" s="31"/>
      <c r="C2" s="31"/>
      <c r="D2" s="31"/>
      <c r="E2" s="31"/>
      <c r="F2" s="31"/>
      <c r="G2" s="40" t="s">
        <v>34</v>
      </c>
      <c r="H2" s="31"/>
      <c r="I2" s="46">
        <f>IF('68'!I2="","",'68'!I2)</f>
        <v>46235</v>
      </c>
      <c r="J2" s="45"/>
      <c r="K2" s="40" t="s">
        <v>35</v>
      </c>
      <c r="L2" s="31"/>
      <c r="M2" s="31"/>
      <c r="N2" s="44" t="str">
        <f>IF('68'!N2="","",'68'!N2)</f>
        <v/>
      </c>
      <c r="O2" s="45"/>
      <c r="P2" s="40" t="s">
        <v>36</v>
      </c>
      <c r="Q2" s="31"/>
      <c r="R2" s="47" t="s">
        <v>158</v>
      </c>
      <c r="S2" s="48"/>
      <c r="T2" s="48"/>
      <c r="U2" s="48"/>
      <c r="V2" s="45"/>
      <c r="Y2" s="2">
        <f t="shared" ref="Y2:AN2" si="0">IF(F22=0,NA(),F22)</f>
        <v>7.7776106462400003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7.7776106462400003</v>
      </c>
      <c r="AF2" s="2" t="e">
        <f t="shared" si="0"/>
        <v>#N/A</v>
      </c>
      <c r="AG2" s="2">
        <f t="shared" si="0"/>
        <v>7.7776106462400003</v>
      </c>
      <c r="AH2" s="2" t="e">
        <f t="shared" si="0"/>
        <v>#N/A</v>
      </c>
      <c r="AI2" s="2" t="e">
        <f t="shared" si="0"/>
        <v>#N/A</v>
      </c>
      <c r="AJ2" s="2">
        <f t="shared" si="0"/>
        <v>7.7776106462400003</v>
      </c>
      <c r="AK2" s="2" t="e">
        <f t="shared" si="0"/>
        <v>#N/A</v>
      </c>
      <c r="AL2" s="2">
        <f t="shared" si="0"/>
        <v>7.7776106462400003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49" t="s">
        <v>140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0" t="s">
        <v>141</v>
      </c>
      <c r="U3" s="31"/>
      <c r="V3" s="31"/>
    </row>
    <row r="4" spans="1:40" ht="20.100000000000001" customHeight="1" x14ac:dyDescent="0.25">
      <c r="A4" s="33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6" spans="1:40" ht="21.95" customHeight="1" x14ac:dyDescent="0.25">
      <c r="A6" s="27" t="s">
        <v>40</v>
      </c>
      <c r="B6" s="27" t="s">
        <v>41</v>
      </c>
      <c r="C6" s="27" t="s">
        <v>42</v>
      </c>
      <c r="D6" s="27" t="s">
        <v>43</v>
      </c>
      <c r="E6" s="27" t="s">
        <v>44</v>
      </c>
      <c r="F6" s="27" t="s">
        <v>6</v>
      </c>
      <c r="G6" s="28"/>
      <c r="H6" s="28"/>
      <c r="I6" s="28"/>
      <c r="J6" s="29"/>
      <c r="K6" s="27" t="s">
        <v>7</v>
      </c>
      <c r="L6" s="29"/>
      <c r="M6" s="27" t="s">
        <v>8</v>
      </c>
      <c r="N6" s="28"/>
      <c r="O6" s="29"/>
      <c r="P6" s="27" t="s">
        <v>9</v>
      </c>
      <c r="Q6" s="28"/>
      <c r="R6" s="29"/>
      <c r="S6" s="27" t="s">
        <v>10</v>
      </c>
      <c r="T6" s="28"/>
      <c r="U6" s="29"/>
      <c r="V6" s="27" t="s">
        <v>45</v>
      </c>
      <c r="W6" s="27" t="s">
        <v>46</v>
      </c>
    </row>
    <row r="7" spans="1:40" ht="20.100000000000001" customHeight="1" x14ac:dyDescent="0.25">
      <c r="A7" s="32"/>
      <c r="B7" s="32"/>
      <c r="C7" s="32"/>
      <c r="D7" s="32"/>
      <c r="E7" s="3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159</v>
      </c>
      <c r="N7" s="3" t="s">
        <v>160</v>
      </c>
      <c r="O7" s="3" t="s">
        <v>161</v>
      </c>
      <c r="P7" s="3" t="s">
        <v>12</v>
      </c>
      <c r="Q7" s="3" t="s">
        <v>19</v>
      </c>
      <c r="R7" s="3" t="s">
        <v>162</v>
      </c>
      <c r="S7" s="3" t="s">
        <v>12</v>
      </c>
      <c r="T7" s="3" t="s">
        <v>163</v>
      </c>
      <c r="U7" s="3" t="s">
        <v>162</v>
      </c>
      <c r="V7" s="32"/>
      <c r="W7" s="32"/>
    </row>
    <row r="8" spans="1:40" ht="15.95" customHeight="1" x14ac:dyDescent="0.25">
      <c r="A8" s="34" t="s">
        <v>142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9"/>
      <c r="W8" s="4"/>
    </row>
    <row r="9" spans="1:40" ht="20.100000000000001" customHeight="1" x14ac:dyDescent="0.25">
      <c r="A9" s="12" t="s">
        <v>143</v>
      </c>
      <c r="B9" s="13" t="s">
        <v>49</v>
      </c>
      <c r="C9" s="14">
        <v>0</v>
      </c>
      <c r="D9" s="14">
        <v>1</v>
      </c>
      <c r="E9" s="14">
        <f t="shared" ref="E9:E16" si="1">D9-C9</f>
        <v>1</v>
      </c>
      <c r="F9" s="15" t="s">
        <v>50</v>
      </c>
      <c r="G9" s="15"/>
      <c r="H9" s="15"/>
      <c r="I9" s="15"/>
      <c r="J9" s="15"/>
      <c r="K9" s="15"/>
      <c r="L9" s="15" t="s">
        <v>50</v>
      </c>
      <c r="M9" s="15"/>
      <c r="N9" s="15" t="s">
        <v>50</v>
      </c>
      <c r="O9" s="15"/>
      <c r="P9" s="15"/>
      <c r="Q9" s="15" t="s">
        <v>50</v>
      </c>
      <c r="R9" s="15"/>
      <c r="S9" s="15" t="s">
        <v>50</v>
      </c>
      <c r="T9" s="15"/>
      <c r="U9" s="15"/>
      <c r="V9" s="16"/>
      <c r="W9" s="17" t="str">
        <f t="shared" ref="W9:W1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143</v>
      </c>
      <c r="B10" s="13" t="s">
        <v>49</v>
      </c>
      <c r="C10" s="14">
        <v>1</v>
      </c>
      <c r="D10" s="14">
        <v>2</v>
      </c>
      <c r="E10" s="14">
        <f t="shared" si="1"/>
        <v>1</v>
      </c>
      <c r="F10" s="15" t="s">
        <v>50</v>
      </c>
      <c r="G10" s="15"/>
      <c r="H10" s="15"/>
      <c r="I10" s="15"/>
      <c r="J10" s="15"/>
      <c r="K10" s="15"/>
      <c r="L10" s="15" t="s">
        <v>50</v>
      </c>
      <c r="M10" s="15"/>
      <c r="N10" s="15" t="s">
        <v>50</v>
      </c>
      <c r="O10" s="15"/>
      <c r="P10" s="15"/>
      <c r="Q10" s="15" t="s">
        <v>50</v>
      </c>
      <c r="R10" s="15"/>
      <c r="S10" s="15" t="s">
        <v>50</v>
      </c>
      <c r="T10" s="15"/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143</v>
      </c>
      <c r="B11" s="13" t="s">
        <v>49</v>
      </c>
      <c r="C11" s="14">
        <v>2</v>
      </c>
      <c r="D11" s="14">
        <v>3</v>
      </c>
      <c r="E11" s="14">
        <f t="shared" si="1"/>
        <v>1</v>
      </c>
      <c r="F11" s="15" t="s">
        <v>50</v>
      </c>
      <c r="G11" s="15"/>
      <c r="H11" s="15"/>
      <c r="I11" s="15"/>
      <c r="J11" s="15"/>
      <c r="K11" s="15"/>
      <c r="L11" s="15" t="s">
        <v>50</v>
      </c>
      <c r="M11" s="15"/>
      <c r="N11" s="15" t="s">
        <v>50</v>
      </c>
      <c r="O11" s="15"/>
      <c r="P11" s="15"/>
      <c r="Q11" s="15" t="s">
        <v>50</v>
      </c>
      <c r="R11" s="15"/>
      <c r="S11" s="15" t="s">
        <v>50</v>
      </c>
      <c r="T11" s="15"/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143</v>
      </c>
      <c r="B12" s="13" t="s">
        <v>49</v>
      </c>
      <c r="C12" s="14">
        <v>3</v>
      </c>
      <c r="D12" s="14">
        <v>4</v>
      </c>
      <c r="E12" s="14">
        <f t="shared" si="1"/>
        <v>1</v>
      </c>
      <c r="F12" s="15" t="s">
        <v>50</v>
      </c>
      <c r="G12" s="15"/>
      <c r="H12" s="15"/>
      <c r="I12" s="15"/>
      <c r="J12" s="15"/>
      <c r="K12" s="15"/>
      <c r="L12" s="15" t="s">
        <v>50</v>
      </c>
      <c r="M12" s="15"/>
      <c r="N12" s="15" t="s">
        <v>50</v>
      </c>
      <c r="O12" s="15"/>
      <c r="P12" s="15"/>
      <c r="Q12" s="15" t="s">
        <v>50</v>
      </c>
      <c r="R12" s="15"/>
      <c r="S12" s="15" t="s">
        <v>50</v>
      </c>
      <c r="T12" s="15"/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143</v>
      </c>
      <c r="B13" s="13" t="s">
        <v>49</v>
      </c>
      <c r="C13" s="14">
        <v>4</v>
      </c>
      <c r="D13" s="14">
        <v>5</v>
      </c>
      <c r="E13" s="14">
        <f t="shared" si="1"/>
        <v>1</v>
      </c>
      <c r="F13" s="15" t="s">
        <v>50</v>
      </c>
      <c r="G13" s="15"/>
      <c r="H13" s="15"/>
      <c r="I13" s="15"/>
      <c r="J13" s="15"/>
      <c r="K13" s="15"/>
      <c r="L13" s="15" t="s">
        <v>50</v>
      </c>
      <c r="M13" s="15"/>
      <c r="N13" s="15" t="s">
        <v>50</v>
      </c>
      <c r="O13" s="15"/>
      <c r="P13" s="15"/>
      <c r="Q13" s="15" t="s">
        <v>50</v>
      </c>
      <c r="R13" s="15"/>
      <c r="S13" s="15" t="s">
        <v>50</v>
      </c>
      <c r="T13" s="15"/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143</v>
      </c>
      <c r="B14" s="13" t="s">
        <v>49</v>
      </c>
      <c r="C14" s="14">
        <v>5</v>
      </c>
      <c r="D14" s="14">
        <v>6</v>
      </c>
      <c r="E14" s="14">
        <f t="shared" si="1"/>
        <v>1</v>
      </c>
      <c r="F14" s="15" t="s">
        <v>50</v>
      </c>
      <c r="G14" s="15"/>
      <c r="H14" s="15"/>
      <c r="I14" s="15"/>
      <c r="J14" s="15"/>
      <c r="K14" s="15"/>
      <c r="L14" s="15" t="s">
        <v>50</v>
      </c>
      <c r="M14" s="15"/>
      <c r="N14" s="15" t="s">
        <v>50</v>
      </c>
      <c r="O14" s="15"/>
      <c r="P14" s="15"/>
      <c r="Q14" s="15" t="s">
        <v>50</v>
      </c>
      <c r="R14" s="15"/>
      <c r="S14" s="15" t="s">
        <v>50</v>
      </c>
      <c r="T14" s="15"/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143</v>
      </c>
      <c r="B15" s="13" t="s">
        <v>49</v>
      </c>
      <c r="C15" s="14">
        <v>6</v>
      </c>
      <c r="D15" s="14">
        <v>7</v>
      </c>
      <c r="E15" s="14">
        <f t="shared" si="1"/>
        <v>1</v>
      </c>
      <c r="F15" s="15" t="s">
        <v>50</v>
      </c>
      <c r="G15" s="15"/>
      <c r="H15" s="15"/>
      <c r="I15" s="15"/>
      <c r="J15" s="15"/>
      <c r="K15" s="15"/>
      <c r="L15" s="15" t="s">
        <v>50</v>
      </c>
      <c r="M15" s="15"/>
      <c r="N15" s="15" t="s">
        <v>50</v>
      </c>
      <c r="O15" s="15"/>
      <c r="P15" s="15"/>
      <c r="Q15" s="15" t="s">
        <v>50</v>
      </c>
      <c r="R15" s="15"/>
      <c r="S15" s="15" t="s">
        <v>50</v>
      </c>
      <c r="T15" s="15"/>
      <c r="U15" s="15"/>
      <c r="V15" s="16"/>
      <c r="W15" s="17" t="str">
        <f t="shared" si="2"/>
        <v>OK</v>
      </c>
    </row>
    <row r="16" spans="1:40" ht="20.100000000000001" customHeight="1" x14ac:dyDescent="0.25">
      <c r="A16" s="18" t="s">
        <v>143</v>
      </c>
      <c r="B16" s="19" t="s">
        <v>49</v>
      </c>
      <c r="C16" s="20">
        <v>7</v>
      </c>
      <c r="D16" s="20">
        <v>7.7776106462400003</v>
      </c>
      <c r="E16" s="20">
        <f t="shared" si="1"/>
        <v>0.77761064624000031</v>
      </c>
      <c r="F16" s="21" t="s">
        <v>50</v>
      </c>
      <c r="G16" s="21"/>
      <c r="H16" s="21"/>
      <c r="I16" s="21"/>
      <c r="J16" s="21"/>
      <c r="K16" s="21"/>
      <c r="L16" s="21" t="s">
        <v>50</v>
      </c>
      <c r="M16" s="21"/>
      <c r="N16" s="21" t="s">
        <v>50</v>
      </c>
      <c r="O16" s="21"/>
      <c r="P16" s="21"/>
      <c r="Q16" s="21" t="s">
        <v>50</v>
      </c>
      <c r="R16" s="21"/>
      <c r="S16" s="21" t="s">
        <v>50</v>
      </c>
      <c r="T16" s="21"/>
      <c r="U16" s="21"/>
      <c r="V16" s="22"/>
      <c r="W16" s="23" t="str">
        <f t="shared" si="2"/>
        <v>OK</v>
      </c>
    </row>
    <row r="18" spans="1:22" x14ac:dyDescent="0.25">
      <c r="A18" s="30" t="s">
        <v>60</v>
      </c>
      <c r="B18" s="31"/>
      <c r="C18" s="31"/>
      <c r="D18" s="31"/>
      <c r="E18" s="31"/>
      <c r="G18" s="30" t="s">
        <v>60</v>
      </c>
      <c r="H18" s="31"/>
      <c r="I18" s="31"/>
      <c r="J18" s="31"/>
      <c r="K18" s="31"/>
    </row>
    <row r="19" spans="1:22" x14ac:dyDescent="0.25">
      <c r="A19" s="38" t="s">
        <v>61</v>
      </c>
      <c r="B19" s="31"/>
      <c r="C19" s="31"/>
      <c r="D19" s="31"/>
      <c r="E19" s="31"/>
      <c r="G19" s="38" t="s">
        <v>62</v>
      </c>
      <c r="H19" s="31"/>
      <c r="I19" s="31"/>
      <c r="J19" s="31"/>
      <c r="K19" s="31"/>
    </row>
    <row r="21" spans="1:22" x14ac:dyDescent="0.25">
      <c r="A21" s="42" t="s">
        <v>63</v>
      </c>
      <c r="B21" s="31"/>
      <c r="C21" s="31"/>
      <c r="D21" s="31"/>
      <c r="E21" s="31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x14ac:dyDescent="0.25">
      <c r="A22" s="36" t="s">
        <v>64</v>
      </c>
      <c r="B22" s="31"/>
      <c r="C22" s="31"/>
      <c r="D22" s="31"/>
      <c r="E22" s="31"/>
      <c r="F22" s="9">
        <f t="shared" ref="F22:U22" si="3">SUMIF(F$9:F$16,"X",$E$9:$E$16)</f>
        <v>7.7776106462400003</v>
      </c>
      <c r="G22" s="9">
        <f t="shared" si="3"/>
        <v>0</v>
      </c>
      <c r="H22" s="9">
        <f t="shared" si="3"/>
        <v>0</v>
      </c>
      <c r="I22" s="9">
        <f t="shared" si="3"/>
        <v>0</v>
      </c>
      <c r="J22" s="9">
        <f t="shared" si="3"/>
        <v>0</v>
      </c>
      <c r="K22" s="9">
        <f t="shared" si="3"/>
        <v>0</v>
      </c>
      <c r="L22" s="9">
        <f t="shared" si="3"/>
        <v>7.7776106462400003</v>
      </c>
      <c r="M22" s="9">
        <f t="shared" si="3"/>
        <v>0</v>
      </c>
      <c r="N22" s="9">
        <f t="shared" si="3"/>
        <v>7.7776106462400003</v>
      </c>
      <c r="O22" s="9">
        <f t="shared" si="3"/>
        <v>0</v>
      </c>
      <c r="P22" s="9">
        <f t="shared" si="3"/>
        <v>0</v>
      </c>
      <c r="Q22" s="9">
        <f t="shared" si="3"/>
        <v>7.7776106462400003</v>
      </c>
      <c r="R22" s="9">
        <f t="shared" si="3"/>
        <v>0</v>
      </c>
      <c r="S22" s="9">
        <f t="shared" si="3"/>
        <v>7.7776106462400003</v>
      </c>
      <c r="T22" s="9">
        <f t="shared" si="3"/>
        <v>0</v>
      </c>
      <c r="U22" s="9">
        <f t="shared" si="3"/>
        <v>0</v>
      </c>
    </row>
    <row r="23" spans="1:22" x14ac:dyDescent="0.25">
      <c r="A23" s="36" t="s">
        <v>65</v>
      </c>
      <c r="B23" s="31"/>
      <c r="C23" s="31"/>
      <c r="D23" s="31"/>
      <c r="E23" s="31"/>
      <c r="F23" s="25">
        <f t="shared" ref="F23:U23" si="4">IF($R25=0,0,F22/$R25)</f>
        <v>1</v>
      </c>
      <c r="G23" s="25">
        <f t="shared" si="4"/>
        <v>0</v>
      </c>
      <c r="H23" s="25">
        <f t="shared" si="4"/>
        <v>0</v>
      </c>
      <c r="I23" s="25">
        <f t="shared" si="4"/>
        <v>0</v>
      </c>
      <c r="J23" s="25">
        <f t="shared" si="4"/>
        <v>0</v>
      </c>
      <c r="K23" s="25">
        <f t="shared" si="4"/>
        <v>0</v>
      </c>
      <c r="L23" s="25">
        <f t="shared" si="4"/>
        <v>1</v>
      </c>
      <c r="M23" s="25">
        <f t="shared" si="4"/>
        <v>0</v>
      </c>
      <c r="N23" s="25">
        <f t="shared" si="4"/>
        <v>1</v>
      </c>
      <c r="O23" s="25">
        <f t="shared" si="4"/>
        <v>0</v>
      </c>
      <c r="P23" s="25">
        <f t="shared" si="4"/>
        <v>0</v>
      </c>
      <c r="Q23" s="25">
        <f t="shared" si="4"/>
        <v>1</v>
      </c>
      <c r="R23" s="25">
        <f t="shared" si="4"/>
        <v>0</v>
      </c>
      <c r="S23" s="25">
        <f t="shared" si="4"/>
        <v>1</v>
      </c>
      <c r="T23" s="25">
        <f t="shared" si="4"/>
        <v>0</v>
      </c>
      <c r="U23" s="25">
        <f t="shared" si="4"/>
        <v>0</v>
      </c>
    </row>
    <row r="24" spans="1:22" x14ac:dyDescent="0.25">
      <c r="A24" s="36" t="s">
        <v>66</v>
      </c>
      <c r="B24" s="31"/>
      <c r="C24" s="31"/>
      <c r="D24" s="31"/>
      <c r="E24" s="31"/>
      <c r="F24" s="37" t="str">
        <f>IF(SUM(F22:J22)=0,"— não preenchido",IF(ROUND(SUM(F22:J22)-$R25,3)=0,"OK — "&amp;ROUND(SUM(F22:J22),3)&amp;" km","ERRO — dif. de "&amp;ROUND(SUM(F22:J22)-$R25,3)&amp;" km"))</f>
        <v>OK — 7,778 km</v>
      </c>
      <c r="G24" s="28"/>
      <c r="H24" s="28"/>
      <c r="I24" s="28"/>
      <c r="J24" s="29"/>
      <c r="K24" s="37" t="str">
        <f>IF(SUM(K22:L22)=0,"— não preenchido",IF(ROUND(SUM(K22:L22)-$R25,3)=0,"OK — "&amp;ROUND(SUM(K22:L22),3)&amp;" km","ERRO — dif. de "&amp;ROUND(SUM(K22:L22)-$R25,3)&amp;" km"))</f>
        <v>OK — 7,778 km</v>
      </c>
      <c r="L24" s="29"/>
      <c r="M24" s="37" t="str">
        <f>IF(SUM(M22:O22)=0,"— não preenchido",IF(ROUND(SUM(M22:O22)-$R25,3)=0,"OK — "&amp;ROUND(SUM(M22:O22),3)&amp;" km","ERRO — dif. de "&amp;ROUND(SUM(M22:O22)-$R25,3)&amp;" km"))</f>
        <v>OK — 7,778 km</v>
      </c>
      <c r="N24" s="28"/>
      <c r="O24" s="29"/>
      <c r="P24" s="37" t="str">
        <f>IF(SUM(P22:R22)=0,"— não preenchido",IF(ROUND(SUM(P22:R22)-$R25,3)=0,"OK — "&amp;ROUND(SUM(P22:R22),3)&amp;" km","ERRO — dif. de "&amp;ROUND(SUM(P22:R22)-$R25,3)&amp;" km"))</f>
        <v>OK — 7,778 km</v>
      </c>
      <c r="Q24" s="28"/>
      <c r="R24" s="29"/>
      <c r="S24" s="37" t="str">
        <f>IF(SUM(S22:U22)=0,"— não preenchido",IF(ROUND(SUM(S22:U22)-$R25,3)=0,"OK — "&amp;ROUND(SUM(S22:U22),3)&amp;" km","ERRO — dif. de "&amp;ROUND(SUM(S22:U22)-$R25,3)&amp;" km"))</f>
        <v>OK — 7,778 km</v>
      </c>
      <c r="T24" s="28"/>
      <c r="U24" s="29"/>
    </row>
    <row r="25" spans="1:22" x14ac:dyDescent="0.25">
      <c r="A25" s="36" t="s">
        <v>67</v>
      </c>
      <c r="B25" s="31"/>
      <c r="C25" s="31"/>
      <c r="D25" s="31"/>
      <c r="E25" s="31"/>
      <c r="R25" s="26">
        <f>SUM(E9:E16)</f>
        <v>7.7776106462400003</v>
      </c>
      <c r="V25" s="8" t="str">
        <f>COUNTIF(W9:W16,"OK")&amp;" de "&amp;COUNT($E$9:$E$16)&amp;" linhas conferidas"</f>
        <v>8 de 8 linhas conferidas</v>
      </c>
    </row>
    <row r="27" spans="1:22" x14ac:dyDescent="0.25">
      <c r="A27" s="41" t="s">
        <v>68</v>
      </c>
      <c r="B27" s="31"/>
      <c r="C27" s="31"/>
      <c r="D27" s="31"/>
      <c r="E27" s="31"/>
    </row>
    <row r="28" spans="1:22" x14ac:dyDescent="0.25">
      <c r="A28" s="36" t="s">
        <v>69</v>
      </c>
      <c r="B28" s="31"/>
      <c r="C28" s="31"/>
      <c r="D28" s="31"/>
      <c r="E28" s="35" t="s">
        <v>70</v>
      </c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</row>
    <row r="29" spans="1:22" x14ac:dyDescent="0.25">
      <c r="A29" s="36" t="s">
        <v>71</v>
      </c>
      <c r="B29" s="31"/>
      <c r="C29" s="31"/>
      <c r="D29" s="31"/>
      <c r="E29" s="35" t="s">
        <v>72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x14ac:dyDescent="0.25">
      <c r="A30" s="36" t="s">
        <v>73</v>
      </c>
      <c r="B30" s="31"/>
      <c r="C30" s="31"/>
      <c r="D30" s="31"/>
      <c r="E30" s="35" t="s">
        <v>74</v>
      </c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</row>
    <row r="31" spans="1:22" x14ac:dyDescent="0.25">
      <c r="A31" s="36" t="s">
        <v>75</v>
      </c>
      <c r="B31" s="31"/>
      <c r="C31" s="31"/>
      <c r="D31" s="31"/>
      <c r="E31" s="35" t="s">
        <v>76</v>
      </c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x14ac:dyDescent="0.25">
      <c r="A32" s="36" t="s">
        <v>77</v>
      </c>
      <c r="B32" s="31"/>
      <c r="C32" s="31"/>
      <c r="D32" s="31"/>
      <c r="E32" s="35" t="s">
        <v>78</v>
      </c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</row>
    <row r="33" spans="1:22" x14ac:dyDescent="0.25">
      <c r="A33" s="36" t="s">
        <v>41</v>
      </c>
      <c r="B33" s="31"/>
      <c r="C33" s="31"/>
      <c r="D33" s="31"/>
      <c r="E33" s="35" t="s">
        <v>79</v>
      </c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  <row r="34" spans="1:22" x14ac:dyDescent="0.25">
      <c r="A34" s="36" t="s">
        <v>80</v>
      </c>
      <c r="B34" s="31"/>
      <c r="C34" s="31"/>
      <c r="D34" s="31"/>
      <c r="E34" s="35" t="s">
        <v>81</v>
      </c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</row>
    <row r="35" spans="1:22" x14ac:dyDescent="0.25">
      <c r="A35" s="36" t="s">
        <v>82</v>
      </c>
      <c r="B35" s="31"/>
      <c r="C35" s="31"/>
      <c r="D35" s="31"/>
      <c r="E35" s="35" t="s">
        <v>83</v>
      </c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</row>
    <row r="36" spans="1:22" x14ac:dyDescent="0.25">
      <c r="A36" s="36" t="s">
        <v>11</v>
      </c>
      <c r="B36" s="31"/>
      <c r="C36" s="31"/>
      <c r="D36" s="31"/>
      <c r="E36" s="35" t="s">
        <v>84</v>
      </c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</row>
  </sheetData>
  <sheetProtection formatCells="0"/>
  <mergeCells count="57">
    <mergeCell ref="A33:D33"/>
    <mergeCell ref="E31:V31"/>
    <mergeCell ref="E34:V34"/>
    <mergeCell ref="A1:V1"/>
    <mergeCell ref="E32:V32"/>
    <mergeCell ref="T3:V3"/>
    <mergeCell ref="A23:E23"/>
    <mergeCell ref="A22:E22"/>
    <mergeCell ref="A19:E19"/>
    <mergeCell ref="R2:V2"/>
    <mergeCell ref="A3:S3"/>
    <mergeCell ref="C6:C7"/>
    <mergeCell ref="K6:L6"/>
    <mergeCell ref="D6:D7"/>
    <mergeCell ref="P6:R6"/>
    <mergeCell ref="A2:F2"/>
    <mergeCell ref="A34:D34"/>
    <mergeCell ref="A25:E25"/>
    <mergeCell ref="A28:D28"/>
    <mergeCell ref="W6:W7"/>
    <mergeCell ref="E36:V36"/>
    <mergeCell ref="G19:K19"/>
    <mergeCell ref="E6:E7"/>
    <mergeCell ref="B6:B7"/>
    <mergeCell ref="M24:O24"/>
    <mergeCell ref="A18:E18"/>
    <mergeCell ref="G18:K18"/>
    <mergeCell ref="A27:E27"/>
    <mergeCell ref="A36:D36"/>
    <mergeCell ref="A21:E21"/>
    <mergeCell ref="P24:R24"/>
    <mergeCell ref="E33:V33"/>
    <mergeCell ref="E35:V35"/>
    <mergeCell ref="A24:E24"/>
    <mergeCell ref="E29:V29"/>
    <mergeCell ref="G2:H2"/>
    <mergeCell ref="K24:L24"/>
    <mergeCell ref="A35:D35"/>
    <mergeCell ref="I2:J2"/>
    <mergeCell ref="A8:V8"/>
    <mergeCell ref="E28:V28"/>
    <mergeCell ref="A29:D29"/>
    <mergeCell ref="A6:A7"/>
    <mergeCell ref="F6:J6"/>
    <mergeCell ref="M6:O6"/>
    <mergeCell ref="A31:D31"/>
    <mergeCell ref="A32:D32"/>
    <mergeCell ref="F24:J24"/>
    <mergeCell ref="V6:V7"/>
    <mergeCell ref="A4:V4"/>
    <mergeCell ref="N2:O2"/>
    <mergeCell ref="A30:D30"/>
    <mergeCell ref="P2:Q2"/>
    <mergeCell ref="S24:U24"/>
    <mergeCell ref="S6:U6"/>
    <mergeCell ref="K2:M2"/>
    <mergeCell ref="E30:V30"/>
  </mergeCells>
  <conditionalFormatting sqref="F9:J16">
    <cfRule type="expression" dxfId="17" priority="1">
      <formula>AND(F9&lt;&gt;"",COUNTIF($F9:$J9,"X")&gt;1)</formula>
    </cfRule>
  </conditionalFormatting>
  <conditionalFormatting sqref="F24:U24">
    <cfRule type="expression" dxfId="16" priority="8">
      <formula>LEFT(F24,4)="ERRO"</formula>
    </cfRule>
    <cfRule type="expression" dxfId="15" priority="9">
      <formula>LEFT(F24,2)="OK"</formula>
    </cfRule>
  </conditionalFormatting>
  <conditionalFormatting sqref="K9:L16">
    <cfRule type="expression" dxfId="14" priority="2">
      <formula>AND(K9&lt;&gt;"",COUNTIF($K9:$L9,"X")&gt;1)</formula>
    </cfRule>
  </conditionalFormatting>
  <conditionalFormatting sqref="M9:O16">
    <cfRule type="expression" dxfId="13" priority="3">
      <formula>AND(M9&lt;&gt;"",COUNTIF($M9:$O9,"X")&gt;1)</formula>
    </cfRule>
  </conditionalFormatting>
  <conditionalFormatting sqref="P9:R16">
    <cfRule type="expression" dxfId="12" priority="4">
      <formula>AND(P9&lt;&gt;"",COUNTIF($P9:$R9,"X")&gt;1)</formula>
    </cfRule>
  </conditionalFormatting>
  <conditionalFormatting sqref="S9:U16">
    <cfRule type="expression" dxfId="11" priority="5">
      <formula>AND(S9&lt;&gt;"",COUNTIF($S9:$U9,"X")&gt;1)</formula>
    </cfRule>
  </conditionalFormatting>
  <conditionalFormatting sqref="W9:W16">
    <cfRule type="expression" dxfId="10" priority="6">
      <formula>AND(W9&lt;&gt;"OK",W9&lt;&gt;"")</formula>
    </cfRule>
    <cfRule type="expression" dxfId="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6" xr:uid="{00000000-0002-0000-08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6" xr:uid="{00000000-0002-0000-08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6" xr:uid="{00000000-0002-0000-08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6" xr:uid="{00000000-0002-0000-08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6" xr:uid="{00000000-0002-0000-0800-000004000000}">
      <formula1>AND(UPPER(S9)="X",COUNTIF($S9:$U9,"X")&lt;=1)</formula1>
    </dataValidation>
    <dataValidation type="list" showErrorMessage="1" errorTitle="Sentido inválido" error="Use C (crescente) ou D (decrescente)." sqref="B9:B16" xr:uid="{00000000-0002-0000-08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78</oddHeader>
    <oddFooter>&amp;L&amp;7 RTA / MSI — Programa de Manutenção Rodoviária&amp;C&amp;7 Página &amp;P de &amp;N&amp;R&amp;7 Impresso em &amp;D</oddFooter>
  </headerFooter>
  <rowBreaks count="1" manualBreakCount="1">
    <brk id="19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1:AN69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39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Y1" s="1" t="s">
        <v>1</v>
      </c>
    </row>
    <row r="2" spans="1:40" ht="17.100000000000001" customHeight="1" x14ac:dyDescent="0.25">
      <c r="A2" s="43" t="s">
        <v>33</v>
      </c>
      <c r="B2" s="31"/>
      <c r="C2" s="31"/>
      <c r="D2" s="31"/>
      <c r="E2" s="31"/>
      <c r="F2" s="31"/>
      <c r="G2" s="40" t="s">
        <v>34</v>
      </c>
      <c r="H2" s="31"/>
      <c r="I2" s="46">
        <f>IF('68'!I2="","",'68'!I2)</f>
        <v>46235</v>
      </c>
      <c r="J2" s="45"/>
      <c r="K2" s="40" t="s">
        <v>35</v>
      </c>
      <c r="L2" s="31"/>
      <c r="M2" s="31"/>
      <c r="N2" s="44" t="str">
        <f>IF('68'!N2="","",'68'!N2)</f>
        <v/>
      </c>
      <c r="O2" s="45"/>
      <c r="P2" s="40" t="s">
        <v>36</v>
      </c>
      <c r="Q2" s="31"/>
      <c r="R2" s="47" t="s">
        <v>158</v>
      </c>
      <c r="S2" s="48"/>
      <c r="T2" s="48"/>
      <c r="U2" s="48"/>
      <c r="V2" s="45"/>
      <c r="Y2" s="2">
        <f t="shared" ref="Y2:AN2" si="0">IF(F55=0,NA(),F55)</f>
        <v>20.839326820260002</v>
      </c>
      <c r="Z2" s="2">
        <f t="shared" si="0"/>
        <v>16.657131403640001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37.496458223900007</v>
      </c>
      <c r="AE2" s="2" t="e">
        <f t="shared" si="0"/>
        <v>#N/A</v>
      </c>
      <c r="AF2" s="2" t="e">
        <f t="shared" si="0"/>
        <v>#N/A</v>
      </c>
      <c r="AG2" s="2">
        <f t="shared" si="0"/>
        <v>37.496458223900007</v>
      </c>
      <c r="AH2" s="2" t="e">
        <f t="shared" si="0"/>
        <v>#N/A</v>
      </c>
      <c r="AI2" s="2" t="e">
        <f t="shared" si="0"/>
        <v>#N/A</v>
      </c>
      <c r="AJ2" s="2">
        <f t="shared" si="0"/>
        <v>37.496458223900007</v>
      </c>
      <c r="AK2" s="2" t="e">
        <f t="shared" si="0"/>
        <v>#N/A</v>
      </c>
      <c r="AL2" s="2" t="e">
        <f t="shared" si="0"/>
        <v>#N/A</v>
      </c>
      <c r="AM2" s="2">
        <f t="shared" si="0"/>
        <v>37.496458223900007</v>
      </c>
      <c r="AN2" s="2" t="e">
        <f t="shared" si="0"/>
        <v>#N/A</v>
      </c>
    </row>
    <row r="3" spans="1:40" ht="15" customHeight="1" x14ac:dyDescent="0.25">
      <c r="A3" s="49" t="s">
        <v>144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0" t="s">
        <v>145</v>
      </c>
      <c r="U3" s="31"/>
      <c r="V3" s="31"/>
    </row>
    <row r="4" spans="1:40" ht="20.100000000000001" customHeight="1" x14ac:dyDescent="0.25">
      <c r="A4" s="33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6" spans="1:40" ht="21.95" customHeight="1" x14ac:dyDescent="0.25">
      <c r="A6" s="27" t="s">
        <v>40</v>
      </c>
      <c r="B6" s="27" t="s">
        <v>41</v>
      </c>
      <c r="C6" s="27" t="s">
        <v>42</v>
      </c>
      <c r="D6" s="27" t="s">
        <v>43</v>
      </c>
      <c r="E6" s="27" t="s">
        <v>44</v>
      </c>
      <c r="F6" s="27" t="s">
        <v>6</v>
      </c>
      <c r="G6" s="28"/>
      <c r="H6" s="28"/>
      <c r="I6" s="28"/>
      <c r="J6" s="29"/>
      <c r="K6" s="27" t="s">
        <v>7</v>
      </c>
      <c r="L6" s="29"/>
      <c r="M6" s="27" t="s">
        <v>8</v>
      </c>
      <c r="N6" s="28"/>
      <c r="O6" s="29"/>
      <c r="P6" s="27" t="s">
        <v>9</v>
      </c>
      <c r="Q6" s="28"/>
      <c r="R6" s="29"/>
      <c r="S6" s="27" t="s">
        <v>10</v>
      </c>
      <c r="T6" s="28"/>
      <c r="U6" s="29"/>
      <c r="V6" s="27" t="s">
        <v>45</v>
      </c>
      <c r="W6" s="27" t="s">
        <v>46</v>
      </c>
    </row>
    <row r="7" spans="1:40" ht="20.100000000000001" customHeight="1" x14ac:dyDescent="0.25">
      <c r="A7" s="32"/>
      <c r="B7" s="32"/>
      <c r="C7" s="32"/>
      <c r="D7" s="32"/>
      <c r="E7" s="3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159</v>
      </c>
      <c r="N7" s="3" t="s">
        <v>160</v>
      </c>
      <c r="O7" s="3" t="s">
        <v>161</v>
      </c>
      <c r="P7" s="3" t="s">
        <v>12</v>
      </c>
      <c r="Q7" s="3" t="s">
        <v>19</v>
      </c>
      <c r="R7" s="3" t="s">
        <v>162</v>
      </c>
      <c r="S7" s="3" t="s">
        <v>12</v>
      </c>
      <c r="T7" s="3" t="s">
        <v>163</v>
      </c>
      <c r="U7" s="3" t="s">
        <v>162</v>
      </c>
      <c r="V7" s="32"/>
      <c r="W7" s="32"/>
    </row>
    <row r="8" spans="1:40" ht="15.95" customHeight="1" x14ac:dyDescent="0.25">
      <c r="A8" s="34" t="s">
        <v>146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9"/>
      <c r="W8" s="4"/>
    </row>
    <row r="9" spans="1:40" ht="20.100000000000001" customHeight="1" x14ac:dyDescent="0.25">
      <c r="A9" s="12" t="s">
        <v>147</v>
      </c>
      <c r="B9" s="13" t="s">
        <v>49</v>
      </c>
      <c r="C9" s="14">
        <v>0</v>
      </c>
      <c r="D9" s="14">
        <v>1</v>
      </c>
      <c r="E9" s="14">
        <f t="shared" ref="E9:E22" si="1">D9-C9</f>
        <v>1</v>
      </c>
      <c r="F9" s="15"/>
      <c r="G9" s="15" t="s">
        <v>50</v>
      </c>
      <c r="H9" s="15"/>
      <c r="I9" s="15"/>
      <c r="J9" s="15"/>
      <c r="K9" s="15" t="s">
        <v>50</v>
      </c>
      <c r="L9" s="15"/>
      <c r="M9" s="15"/>
      <c r="N9" s="15" t="s">
        <v>50</v>
      </c>
      <c r="O9" s="15"/>
      <c r="P9" s="15"/>
      <c r="Q9" s="15" t="s">
        <v>50</v>
      </c>
      <c r="R9" s="15"/>
      <c r="S9" s="15"/>
      <c r="T9" s="15" t="s">
        <v>50</v>
      </c>
      <c r="U9" s="15"/>
      <c r="V9" s="16" t="s">
        <v>148</v>
      </c>
      <c r="W9" s="17" t="str">
        <f t="shared" ref="W9:W22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147</v>
      </c>
      <c r="B10" s="13" t="s">
        <v>49</v>
      </c>
      <c r="C10" s="14">
        <v>1</v>
      </c>
      <c r="D10" s="14">
        <v>2</v>
      </c>
      <c r="E10" s="14">
        <f t="shared" si="1"/>
        <v>1</v>
      </c>
      <c r="F10" s="15"/>
      <c r="G10" s="15" t="s">
        <v>50</v>
      </c>
      <c r="H10" s="15"/>
      <c r="I10" s="15"/>
      <c r="J10" s="15"/>
      <c r="K10" s="15" t="s">
        <v>50</v>
      </c>
      <c r="L10" s="15"/>
      <c r="M10" s="15"/>
      <c r="N10" s="15" t="s">
        <v>50</v>
      </c>
      <c r="O10" s="15"/>
      <c r="P10" s="15"/>
      <c r="Q10" s="15" t="s">
        <v>50</v>
      </c>
      <c r="R10" s="15"/>
      <c r="S10" s="15"/>
      <c r="T10" s="15" t="s">
        <v>50</v>
      </c>
      <c r="U10" s="15"/>
      <c r="V10" s="16" t="s">
        <v>148</v>
      </c>
      <c r="W10" s="17" t="str">
        <f t="shared" si="2"/>
        <v>OK</v>
      </c>
    </row>
    <row r="11" spans="1:40" ht="20.100000000000001" customHeight="1" x14ac:dyDescent="0.25">
      <c r="A11" s="12" t="s">
        <v>147</v>
      </c>
      <c r="B11" s="13" t="s">
        <v>49</v>
      </c>
      <c r="C11" s="14">
        <v>2</v>
      </c>
      <c r="D11" s="14">
        <v>3</v>
      </c>
      <c r="E11" s="14">
        <f t="shared" si="1"/>
        <v>1</v>
      </c>
      <c r="F11" s="15"/>
      <c r="G11" s="15" t="s">
        <v>50</v>
      </c>
      <c r="H11" s="15"/>
      <c r="I11" s="15"/>
      <c r="J11" s="15"/>
      <c r="K11" s="15" t="s">
        <v>50</v>
      </c>
      <c r="L11" s="15"/>
      <c r="M11" s="15"/>
      <c r="N11" s="15" t="s">
        <v>50</v>
      </c>
      <c r="O11" s="15"/>
      <c r="P11" s="15"/>
      <c r="Q11" s="15" t="s">
        <v>50</v>
      </c>
      <c r="R11" s="15"/>
      <c r="S11" s="15"/>
      <c r="T11" s="15" t="s">
        <v>50</v>
      </c>
      <c r="U11" s="15"/>
      <c r="V11" s="16" t="s">
        <v>148</v>
      </c>
      <c r="W11" s="17" t="str">
        <f t="shared" si="2"/>
        <v>OK</v>
      </c>
    </row>
    <row r="12" spans="1:40" ht="20.100000000000001" customHeight="1" x14ac:dyDescent="0.25">
      <c r="A12" s="12" t="s">
        <v>147</v>
      </c>
      <c r="B12" s="13" t="s">
        <v>49</v>
      </c>
      <c r="C12" s="14">
        <v>3</v>
      </c>
      <c r="D12" s="14">
        <v>4</v>
      </c>
      <c r="E12" s="14">
        <f t="shared" si="1"/>
        <v>1</v>
      </c>
      <c r="F12" s="15" t="s">
        <v>50</v>
      </c>
      <c r="G12" s="15"/>
      <c r="H12" s="15"/>
      <c r="I12" s="15"/>
      <c r="J12" s="15"/>
      <c r="K12" s="15" t="s">
        <v>50</v>
      </c>
      <c r="L12" s="15"/>
      <c r="M12" s="15"/>
      <c r="N12" s="15" t="s">
        <v>50</v>
      </c>
      <c r="O12" s="15"/>
      <c r="P12" s="15"/>
      <c r="Q12" s="15" t="s">
        <v>50</v>
      </c>
      <c r="R12" s="15"/>
      <c r="S12" s="15"/>
      <c r="T12" s="15" t="s">
        <v>50</v>
      </c>
      <c r="U12" s="15"/>
      <c r="V12" s="16" t="s">
        <v>148</v>
      </c>
      <c r="W12" s="17" t="str">
        <f t="shared" si="2"/>
        <v>OK</v>
      </c>
    </row>
    <row r="13" spans="1:40" ht="20.100000000000001" customHeight="1" x14ac:dyDescent="0.25">
      <c r="A13" s="12" t="s">
        <v>147</v>
      </c>
      <c r="B13" s="13" t="s">
        <v>49</v>
      </c>
      <c r="C13" s="14">
        <v>4</v>
      </c>
      <c r="D13" s="14">
        <v>5</v>
      </c>
      <c r="E13" s="14">
        <f t="shared" si="1"/>
        <v>1</v>
      </c>
      <c r="F13" s="15" t="s">
        <v>50</v>
      </c>
      <c r="G13" s="15"/>
      <c r="H13" s="15"/>
      <c r="I13" s="15"/>
      <c r="J13" s="15"/>
      <c r="K13" s="15" t="s">
        <v>50</v>
      </c>
      <c r="L13" s="15"/>
      <c r="M13" s="15"/>
      <c r="N13" s="15" t="s">
        <v>50</v>
      </c>
      <c r="O13" s="15"/>
      <c r="P13" s="15"/>
      <c r="Q13" s="15" t="s">
        <v>50</v>
      </c>
      <c r="R13" s="15"/>
      <c r="S13" s="15"/>
      <c r="T13" s="15" t="s">
        <v>50</v>
      </c>
      <c r="U13" s="15"/>
      <c r="V13" s="16" t="s">
        <v>148</v>
      </c>
      <c r="W13" s="17" t="str">
        <f t="shared" si="2"/>
        <v>OK</v>
      </c>
    </row>
    <row r="14" spans="1:40" ht="20.100000000000001" customHeight="1" x14ac:dyDescent="0.25">
      <c r="A14" s="12" t="s">
        <v>147</v>
      </c>
      <c r="B14" s="13" t="s">
        <v>49</v>
      </c>
      <c r="C14" s="14">
        <v>5</v>
      </c>
      <c r="D14" s="14">
        <v>6</v>
      </c>
      <c r="E14" s="14">
        <f t="shared" si="1"/>
        <v>1</v>
      </c>
      <c r="F14" s="15" t="s">
        <v>50</v>
      </c>
      <c r="G14" s="15"/>
      <c r="H14" s="15"/>
      <c r="I14" s="15"/>
      <c r="J14" s="15"/>
      <c r="K14" s="15" t="s">
        <v>50</v>
      </c>
      <c r="L14" s="15"/>
      <c r="M14" s="15"/>
      <c r="N14" s="15" t="s">
        <v>50</v>
      </c>
      <c r="O14" s="15"/>
      <c r="P14" s="15"/>
      <c r="Q14" s="15" t="s">
        <v>50</v>
      </c>
      <c r="R14" s="15"/>
      <c r="S14" s="15"/>
      <c r="T14" s="15" t="s">
        <v>50</v>
      </c>
      <c r="U14" s="15"/>
      <c r="V14" s="16" t="s">
        <v>148</v>
      </c>
      <c r="W14" s="17" t="str">
        <f t="shared" si="2"/>
        <v>OK</v>
      </c>
    </row>
    <row r="15" spans="1:40" ht="20.100000000000001" customHeight="1" x14ac:dyDescent="0.25">
      <c r="A15" s="12" t="s">
        <v>147</v>
      </c>
      <c r="B15" s="13" t="s">
        <v>49</v>
      </c>
      <c r="C15" s="14">
        <v>6</v>
      </c>
      <c r="D15" s="14">
        <v>7</v>
      </c>
      <c r="E15" s="14">
        <f t="shared" si="1"/>
        <v>1</v>
      </c>
      <c r="F15" s="15" t="s">
        <v>50</v>
      </c>
      <c r="G15" s="15"/>
      <c r="H15" s="15"/>
      <c r="I15" s="15"/>
      <c r="J15" s="15"/>
      <c r="K15" s="15" t="s">
        <v>50</v>
      </c>
      <c r="L15" s="15"/>
      <c r="M15" s="15"/>
      <c r="N15" s="15" t="s">
        <v>50</v>
      </c>
      <c r="O15" s="15"/>
      <c r="P15" s="15"/>
      <c r="Q15" s="15" t="s">
        <v>50</v>
      </c>
      <c r="R15" s="15"/>
      <c r="S15" s="15"/>
      <c r="T15" s="15" t="s">
        <v>50</v>
      </c>
      <c r="U15" s="15"/>
      <c r="V15" s="16" t="s">
        <v>148</v>
      </c>
      <c r="W15" s="17" t="str">
        <f t="shared" si="2"/>
        <v>OK</v>
      </c>
    </row>
    <row r="16" spans="1:40" ht="20.100000000000001" customHeight="1" x14ac:dyDescent="0.25">
      <c r="A16" s="12" t="s">
        <v>147</v>
      </c>
      <c r="B16" s="13" t="s">
        <v>49</v>
      </c>
      <c r="C16" s="14">
        <v>7</v>
      </c>
      <c r="D16" s="14">
        <v>8</v>
      </c>
      <c r="E16" s="14">
        <f t="shared" si="1"/>
        <v>1</v>
      </c>
      <c r="F16" s="15" t="s">
        <v>50</v>
      </c>
      <c r="G16" s="15"/>
      <c r="H16" s="15"/>
      <c r="I16" s="15"/>
      <c r="J16" s="15"/>
      <c r="K16" s="15" t="s">
        <v>50</v>
      </c>
      <c r="L16" s="15"/>
      <c r="M16" s="15"/>
      <c r="N16" s="15" t="s">
        <v>50</v>
      </c>
      <c r="O16" s="15"/>
      <c r="P16" s="15"/>
      <c r="Q16" s="15" t="s">
        <v>50</v>
      </c>
      <c r="R16" s="15"/>
      <c r="S16" s="15"/>
      <c r="T16" s="15" t="s">
        <v>50</v>
      </c>
      <c r="U16" s="15"/>
      <c r="V16" s="16" t="s">
        <v>148</v>
      </c>
      <c r="W16" s="17" t="str">
        <f t="shared" si="2"/>
        <v>OK</v>
      </c>
    </row>
    <row r="17" spans="1:23" ht="20.100000000000001" customHeight="1" x14ac:dyDescent="0.25">
      <c r="A17" s="12" t="s">
        <v>147</v>
      </c>
      <c r="B17" s="13" t="s">
        <v>49</v>
      </c>
      <c r="C17" s="14">
        <v>8</v>
      </c>
      <c r="D17" s="14">
        <v>9</v>
      </c>
      <c r="E17" s="14">
        <f t="shared" si="1"/>
        <v>1</v>
      </c>
      <c r="F17" s="15"/>
      <c r="G17" s="15" t="s">
        <v>50</v>
      </c>
      <c r="H17" s="15"/>
      <c r="I17" s="15"/>
      <c r="J17" s="15"/>
      <c r="K17" s="15" t="s">
        <v>50</v>
      </c>
      <c r="L17" s="15"/>
      <c r="M17" s="15"/>
      <c r="N17" s="15" t="s">
        <v>50</v>
      </c>
      <c r="O17" s="15"/>
      <c r="P17" s="15"/>
      <c r="Q17" s="15" t="s">
        <v>50</v>
      </c>
      <c r="R17" s="15"/>
      <c r="S17" s="15"/>
      <c r="T17" s="15" t="s">
        <v>50</v>
      </c>
      <c r="U17" s="15"/>
      <c r="V17" s="16" t="s">
        <v>148</v>
      </c>
      <c r="W17" s="17" t="str">
        <f t="shared" si="2"/>
        <v>OK</v>
      </c>
    </row>
    <row r="18" spans="1:23" ht="20.100000000000001" customHeight="1" x14ac:dyDescent="0.25">
      <c r="A18" s="12" t="s">
        <v>147</v>
      </c>
      <c r="B18" s="13" t="s">
        <v>49</v>
      </c>
      <c r="C18" s="14">
        <v>9</v>
      </c>
      <c r="D18" s="14">
        <v>10</v>
      </c>
      <c r="E18" s="14">
        <f t="shared" si="1"/>
        <v>1</v>
      </c>
      <c r="F18" s="15"/>
      <c r="G18" s="15" t="s">
        <v>50</v>
      </c>
      <c r="H18" s="15"/>
      <c r="I18" s="15"/>
      <c r="J18" s="15"/>
      <c r="K18" s="15" t="s">
        <v>50</v>
      </c>
      <c r="L18" s="15"/>
      <c r="M18" s="15"/>
      <c r="N18" s="15" t="s">
        <v>50</v>
      </c>
      <c r="O18" s="15"/>
      <c r="P18" s="15"/>
      <c r="Q18" s="15" t="s">
        <v>50</v>
      </c>
      <c r="R18" s="15"/>
      <c r="S18" s="15"/>
      <c r="T18" s="15" t="s">
        <v>50</v>
      </c>
      <c r="U18" s="15"/>
      <c r="V18" s="16" t="s">
        <v>148</v>
      </c>
      <c r="W18" s="17" t="str">
        <f t="shared" si="2"/>
        <v>OK</v>
      </c>
    </row>
    <row r="19" spans="1:23" ht="20.100000000000001" customHeight="1" x14ac:dyDescent="0.25">
      <c r="A19" s="12" t="s">
        <v>147</v>
      </c>
      <c r="B19" s="13" t="s">
        <v>49</v>
      </c>
      <c r="C19" s="14">
        <v>10</v>
      </c>
      <c r="D19" s="14">
        <v>11</v>
      </c>
      <c r="E19" s="14">
        <f t="shared" si="1"/>
        <v>1</v>
      </c>
      <c r="F19" s="15"/>
      <c r="G19" s="15" t="s">
        <v>50</v>
      </c>
      <c r="H19" s="15"/>
      <c r="I19" s="15"/>
      <c r="J19" s="15"/>
      <c r="K19" s="15" t="s">
        <v>50</v>
      </c>
      <c r="L19" s="15"/>
      <c r="M19" s="15"/>
      <c r="N19" s="15" t="s">
        <v>50</v>
      </c>
      <c r="O19" s="15"/>
      <c r="P19" s="15"/>
      <c r="Q19" s="15" t="s">
        <v>50</v>
      </c>
      <c r="R19" s="15"/>
      <c r="S19" s="15"/>
      <c r="T19" s="15" t="s">
        <v>50</v>
      </c>
      <c r="U19" s="15"/>
      <c r="V19" s="16" t="s">
        <v>148</v>
      </c>
      <c r="W19" s="17" t="str">
        <f t="shared" si="2"/>
        <v>OK</v>
      </c>
    </row>
    <row r="20" spans="1:23" ht="20.100000000000001" customHeight="1" x14ac:dyDescent="0.25">
      <c r="A20" s="12" t="s">
        <v>147</v>
      </c>
      <c r="B20" s="13" t="s">
        <v>49</v>
      </c>
      <c r="C20" s="14">
        <v>11</v>
      </c>
      <c r="D20" s="14">
        <v>12</v>
      </c>
      <c r="E20" s="14">
        <f t="shared" si="1"/>
        <v>1</v>
      </c>
      <c r="F20" s="15"/>
      <c r="G20" s="15" t="s">
        <v>50</v>
      </c>
      <c r="H20" s="15"/>
      <c r="I20" s="15"/>
      <c r="J20" s="15"/>
      <c r="K20" s="15" t="s">
        <v>50</v>
      </c>
      <c r="L20" s="15"/>
      <c r="M20" s="15"/>
      <c r="N20" s="15" t="s">
        <v>50</v>
      </c>
      <c r="O20" s="15"/>
      <c r="P20" s="15"/>
      <c r="Q20" s="15" t="s">
        <v>50</v>
      </c>
      <c r="R20" s="15"/>
      <c r="S20" s="15"/>
      <c r="T20" s="15" t="s">
        <v>50</v>
      </c>
      <c r="U20" s="15"/>
      <c r="V20" s="16" t="s">
        <v>148</v>
      </c>
      <c r="W20" s="17" t="str">
        <f t="shared" si="2"/>
        <v>OK</v>
      </c>
    </row>
    <row r="21" spans="1:23" ht="20.100000000000001" customHeight="1" x14ac:dyDescent="0.25">
      <c r="A21" s="12" t="s">
        <v>147</v>
      </c>
      <c r="B21" s="13" t="s">
        <v>49</v>
      </c>
      <c r="C21" s="14">
        <v>12</v>
      </c>
      <c r="D21" s="14">
        <v>13</v>
      </c>
      <c r="E21" s="14">
        <f t="shared" si="1"/>
        <v>1</v>
      </c>
      <c r="F21" s="15"/>
      <c r="G21" s="15" t="s">
        <v>50</v>
      </c>
      <c r="H21" s="15"/>
      <c r="I21" s="15"/>
      <c r="J21" s="15"/>
      <c r="K21" s="15" t="s">
        <v>50</v>
      </c>
      <c r="L21" s="15"/>
      <c r="M21" s="15"/>
      <c r="N21" s="15" t="s">
        <v>50</v>
      </c>
      <c r="O21" s="15"/>
      <c r="P21" s="15"/>
      <c r="Q21" s="15" t="s">
        <v>50</v>
      </c>
      <c r="R21" s="15"/>
      <c r="S21" s="15"/>
      <c r="T21" s="15" t="s">
        <v>50</v>
      </c>
      <c r="U21" s="15"/>
      <c r="V21" s="16" t="s">
        <v>148</v>
      </c>
      <c r="W21" s="17" t="str">
        <f t="shared" si="2"/>
        <v>OK</v>
      </c>
    </row>
    <row r="22" spans="1:23" ht="20.100000000000001" customHeight="1" x14ac:dyDescent="0.25">
      <c r="A22" s="18" t="s">
        <v>147</v>
      </c>
      <c r="B22" s="19" t="s">
        <v>49</v>
      </c>
      <c r="C22" s="20">
        <v>13</v>
      </c>
      <c r="D22" s="20">
        <v>13.989538297299999</v>
      </c>
      <c r="E22" s="20">
        <f t="shared" si="1"/>
        <v>0.98953829729999931</v>
      </c>
      <c r="F22" s="21"/>
      <c r="G22" s="21" t="s">
        <v>50</v>
      </c>
      <c r="H22" s="21"/>
      <c r="I22" s="21"/>
      <c r="J22" s="21"/>
      <c r="K22" s="21" t="s">
        <v>50</v>
      </c>
      <c r="L22" s="21"/>
      <c r="M22" s="21"/>
      <c r="N22" s="21" t="s">
        <v>50</v>
      </c>
      <c r="O22" s="21"/>
      <c r="P22" s="21"/>
      <c r="Q22" s="21" t="s">
        <v>50</v>
      </c>
      <c r="R22" s="21"/>
      <c r="S22" s="21"/>
      <c r="T22" s="21" t="s">
        <v>50</v>
      </c>
      <c r="U22" s="21"/>
      <c r="V22" s="22" t="s">
        <v>148</v>
      </c>
      <c r="W22" s="23" t="str">
        <f t="shared" si="2"/>
        <v>OK</v>
      </c>
    </row>
    <row r="23" spans="1:23" ht="15.95" customHeight="1" x14ac:dyDescent="0.25">
      <c r="A23" s="34" t="s">
        <v>149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9"/>
      <c r="W23" s="4"/>
    </row>
    <row r="24" spans="1:23" ht="20.100000000000001" customHeight="1" x14ac:dyDescent="0.25">
      <c r="A24" s="12" t="s">
        <v>150</v>
      </c>
      <c r="B24" s="13" t="s">
        <v>49</v>
      </c>
      <c r="C24" s="14">
        <v>0</v>
      </c>
      <c r="D24" s="14">
        <v>1</v>
      </c>
      <c r="E24" s="14">
        <f>D24-C24</f>
        <v>1</v>
      </c>
      <c r="F24" s="15"/>
      <c r="G24" s="15" t="s">
        <v>50</v>
      </c>
      <c r="H24" s="15"/>
      <c r="I24" s="15"/>
      <c r="J24" s="15"/>
      <c r="K24" s="15" t="s">
        <v>50</v>
      </c>
      <c r="L24" s="15"/>
      <c r="M24" s="15"/>
      <c r="N24" s="15" t="s">
        <v>50</v>
      </c>
      <c r="O24" s="15"/>
      <c r="P24" s="15"/>
      <c r="Q24" s="15" t="s">
        <v>50</v>
      </c>
      <c r="R24" s="15"/>
      <c r="S24" s="15"/>
      <c r="T24" s="15" t="s">
        <v>50</v>
      </c>
      <c r="U24" s="15"/>
      <c r="V24" s="16"/>
      <c r="W24" s="17" t="str">
        <f>IF(COUNTA(F24:U24)=0,"— não preenchido",IF(COUNTIF(F24:J24,"X")&lt;&gt;1,"FALTA/DUPLA: CONDIÇÃO DO PAVIMENTO",IF(COUNTIF(K24:L24,"X")&lt;&gt;1,"FALTA/DUPLA: VEGETAÇÃO",IF(COUNTIF(M24:O24,"X")&lt;&gt;1,"FALTA/DUPLA: ELEM. DE DRENAGEM",IF(COUNTIF(P24:R24,"X")&lt;&gt;1,"FALTA/DUPLA: SIN. HORIZ.",IF(COUNTIF(S24:U24,"X")&lt;&gt;1,"FALTA/DUPLA: SIN. VERTICAL","OK"))))))</f>
        <v>OK</v>
      </c>
    </row>
    <row r="25" spans="1:23" ht="20.100000000000001" customHeight="1" x14ac:dyDescent="0.25">
      <c r="A25" s="12" t="s">
        <v>150</v>
      </c>
      <c r="B25" s="13" t="s">
        <v>49</v>
      </c>
      <c r="C25" s="14">
        <v>1</v>
      </c>
      <c r="D25" s="14">
        <v>2</v>
      </c>
      <c r="E25" s="14">
        <f>D25-C25</f>
        <v>1</v>
      </c>
      <c r="F25" s="15"/>
      <c r="G25" s="15" t="s">
        <v>50</v>
      </c>
      <c r="H25" s="15"/>
      <c r="I25" s="15"/>
      <c r="J25" s="15"/>
      <c r="K25" s="15" t="s">
        <v>50</v>
      </c>
      <c r="L25" s="15"/>
      <c r="M25" s="15"/>
      <c r="N25" s="15" t="s">
        <v>50</v>
      </c>
      <c r="O25" s="15"/>
      <c r="P25" s="15"/>
      <c r="Q25" s="15" t="s">
        <v>50</v>
      </c>
      <c r="R25" s="15"/>
      <c r="S25" s="15"/>
      <c r="T25" s="15" t="s">
        <v>50</v>
      </c>
      <c r="U25" s="15"/>
      <c r="V25" s="16"/>
      <c r="W25" s="17" t="str">
        <f>IF(COUNTA(F25:U25)=0,"— não preenchido",IF(COUNTIF(F25:J25,"X")&lt;&gt;1,"FALTA/DUPLA: CONDIÇÃO DO PAVIMENTO",IF(COUNTIF(K25:L25,"X")&lt;&gt;1,"FALTA/DUPLA: VEGETAÇÃO",IF(COUNTIF(M25:O25,"X")&lt;&gt;1,"FALTA/DUPLA: ELEM. DE DRENAGEM",IF(COUNTIF(P25:R25,"X")&lt;&gt;1,"FALTA/DUPLA: SIN. HORIZ.",IF(COUNTIF(S25:U25,"X")&lt;&gt;1,"FALTA/DUPLA: SIN. VERTICAL","OK"))))))</f>
        <v>OK</v>
      </c>
    </row>
    <row r="26" spans="1:23" ht="20.100000000000001" customHeight="1" x14ac:dyDescent="0.25">
      <c r="A26" s="12" t="s">
        <v>150</v>
      </c>
      <c r="B26" s="13" t="s">
        <v>49</v>
      </c>
      <c r="C26" s="14">
        <v>2</v>
      </c>
      <c r="D26" s="14">
        <v>3</v>
      </c>
      <c r="E26" s="14">
        <f>D26-C26</f>
        <v>1</v>
      </c>
      <c r="F26" s="15"/>
      <c r="G26" s="15" t="s">
        <v>50</v>
      </c>
      <c r="H26" s="15"/>
      <c r="I26" s="15"/>
      <c r="J26" s="15"/>
      <c r="K26" s="15" t="s">
        <v>50</v>
      </c>
      <c r="L26" s="15"/>
      <c r="M26" s="15"/>
      <c r="N26" s="15" t="s">
        <v>50</v>
      </c>
      <c r="O26" s="15"/>
      <c r="P26" s="15"/>
      <c r="Q26" s="15" t="s">
        <v>50</v>
      </c>
      <c r="R26" s="15"/>
      <c r="S26" s="15"/>
      <c r="T26" s="15" t="s">
        <v>50</v>
      </c>
      <c r="U26" s="15"/>
      <c r="V26" s="16"/>
      <c r="W26" s="17" t="str">
        <f>IF(COUNTA(F26:U26)=0,"— não preenchido",IF(COUNTIF(F26:J26,"X")&lt;&gt;1,"FALTA/DUPLA: CONDIÇÃO DO PAVIMENTO",IF(COUNTIF(K26:L26,"X")&lt;&gt;1,"FALTA/DUPLA: VEGETAÇÃO",IF(COUNTIF(M26:O26,"X")&lt;&gt;1,"FALTA/DUPLA: ELEM. DE DRENAGEM",IF(COUNTIF(P26:R26,"X")&lt;&gt;1,"FALTA/DUPLA: SIN. HORIZ.",IF(COUNTIF(S26:U26,"X")&lt;&gt;1,"FALTA/DUPLA: SIN. VERTICAL","OK"))))))</f>
        <v>OK</v>
      </c>
    </row>
    <row r="27" spans="1:23" ht="20.100000000000001" customHeight="1" x14ac:dyDescent="0.25">
      <c r="A27" s="18" t="s">
        <v>150</v>
      </c>
      <c r="B27" s="19" t="s">
        <v>49</v>
      </c>
      <c r="C27" s="20">
        <v>3</v>
      </c>
      <c r="D27" s="20">
        <v>3.66759310634</v>
      </c>
      <c r="E27" s="20">
        <f>D27-C27</f>
        <v>0.66759310634000002</v>
      </c>
      <c r="F27" s="21"/>
      <c r="G27" s="21" t="s">
        <v>50</v>
      </c>
      <c r="H27" s="21"/>
      <c r="I27" s="21"/>
      <c r="J27" s="21"/>
      <c r="K27" s="21" t="s">
        <v>50</v>
      </c>
      <c r="L27" s="21"/>
      <c r="M27" s="21"/>
      <c r="N27" s="21" t="s">
        <v>50</v>
      </c>
      <c r="O27" s="21"/>
      <c r="P27" s="21"/>
      <c r="Q27" s="21" t="s">
        <v>50</v>
      </c>
      <c r="R27" s="21"/>
      <c r="S27" s="21"/>
      <c r="T27" s="21" t="s">
        <v>50</v>
      </c>
      <c r="U27" s="21"/>
      <c r="V27" s="22"/>
      <c r="W27" s="23" t="str">
        <f>IF(COUNTA(F27:U27)=0,"— não preenchido",IF(COUNTIF(F27:J27,"X")&lt;&gt;1,"FALTA/DUPLA: CONDIÇÃO DO PAVIMENTO",IF(COUNTIF(K27:L27,"X")&lt;&gt;1,"FALTA/DUPLA: VEGETAÇÃO",IF(COUNTIF(M27:O27,"X")&lt;&gt;1,"FALTA/DUPLA: ELEM. DE DRENAGEM",IF(COUNTIF(P27:R27,"X")&lt;&gt;1,"FALTA/DUPLA: SIN. HORIZ.",IF(COUNTIF(S27:U27,"X")&lt;&gt;1,"FALTA/DUPLA: SIN. VERTICAL","OK"))))))</f>
        <v>OK</v>
      </c>
    </row>
    <row r="28" spans="1:23" ht="15.95" customHeight="1" x14ac:dyDescent="0.25">
      <c r="A28" s="34" t="s">
        <v>151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9"/>
      <c r="W28" s="4"/>
    </row>
    <row r="29" spans="1:23" ht="20.100000000000001" customHeight="1" x14ac:dyDescent="0.25">
      <c r="A29" s="12" t="s">
        <v>152</v>
      </c>
      <c r="B29" s="13" t="s">
        <v>49</v>
      </c>
      <c r="C29" s="14">
        <v>0</v>
      </c>
      <c r="D29" s="14">
        <v>1</v>
      </c>
      <c r="E29" s="14">
        <f t="shared" ref="E29:E37" si="3">D29-C29</f>
        <v>1</v>
      </c>
      <c r="F29" s="15" t="s">
        <v>50</v>
      </c>
      <c r="G29" s="15"/>
      <c r="H29" s="15"/>
      <c r="I29" s="15"/>
      <c r="J29" s="15"/>
      <c r="K29" s="15" t="s">
        <v>50</v>
      </c>
      <c r="L29" s="15"/>
      <c r="M29" s="15"/>
      <c r="N29" s="15" t="s">
        <v>50</v>
      </c>
      <c r="O29" s="15"/>
      <c r="P29" s="15"/>
      <c r="Q29" s="15" t="s">
        <v>50</v>
      </c>
      <c r="R29" s="15"/>
      <c r="S29" s="15"/>
      <c r="T29" s="15" t="s">
        <v>50</v>
      </c>
      <c r="U29" s="15"/>
      <c r="V29" s="16"/>
      <c r="W29" s="17" t="str">
        <f t="shared" ref="W29:W37" si="4">IF(COUNTA(F29:U29)=0,"— não preenchido",IF(COUNTIF(F29:J29,"X")&lt;&gt;1,"FALTA/DUPLA: CONDIÇÃO DO PAVIMENTO",IF(COUNTIF(K29:L29,"X")&lt;&gt;1,"FALTA/DUPLA: VEGETAÇÃO",IF(COUNTIF(M29:O29,"X")&lt;&gt;1,"FALTA/DUPLA: ELEM. DE DRENAGEM",IF(COUNTIF(P29:R29,"X")&lt;&gt;1,"FALTA/DUPLA: SIN. HORIZ.",IF(COUNTIF(S29:U29,"X")&lt;&gt;1,"FALTA/DUPLA: SIN. VERTICAL","OK"))))))</f>
        <v>OK</v>
      </c>
    </row>
    <row r="30" spans="1:23" ht="20.100000000000001" customHeight="1" x14ac:dyDescent="0.25">
      <c r="A30" s="12" t="s">
        <v>152</v>
      </c>
      <c r="B30" s="13" t="s">
        <v>49</v>
      </c>
      <c r="C30" s="14">
        <v>1</v>
      </c>
      <c r="D30" s="14">
        <v>2</v>
      </c>
      <c r="E30" s="14">
        <f t="shared" si="3"/>
        <v>1</v>
      </c>
      <c r="F30" s="15" t="s">
        <v>50</v>
      </c>
      <c r="G30" s="15"/>
      <c r="H30" s="15"/>
      <c r="I30" s="15"/>
      <c r="J30" s="15"/>
      <c r="K30" s="15" t="s">
        <v>50</v>
      </c>
      <c r="L30" s="15"/>
      <c r="M30" s="15"/>
      <c r="N30" s="15" t="s">
        <v>50</v>
      </c>
      <c r="O30" s="15"/>
      <c r="P30" s="15"/>
      <c r="Q30" s="15" t="s">
        <v>50</v>
      </c>
      <c r="R30" s="15"/>
      <c r="S30" s="15"/>
      <c r="T30" s="15" t="s">
        <v>50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152</v>
      </c>
      <c r="B31" s="13" t="s">
        <v>49</v>
      </c>
      <c r="C31" s="14">
        <v>2</v>
      </c>
      <c r="D31" s="14">
        <v>3</v>
      </c>
      <c r="E31" s="14">
        <f t="shared" si="3"/>
        <v>1</v>
      </c>
      <c r="F31" s="15" t="s">
        <v>50</v>
      </c>
      <c r="G31" s="15"/>
      <c r="H31" s="15"/>
      <c r="I31" s="15"/>
      <c r="J31" s="15"/>
      <c r="K31" s="15" t="s">
        <v>50</v>
      </c>
      <c r="L31" s="15"/>
      <c r="M31" s="15"/>
      <c r="N31" s="15" t="s">
        <v>50</v>
      </c>
      <c r="O31" s="15"/>
      <c r="P31" s="15"/>
      <c r="Q31" s="15" t="s">
        <v>50</v>
      </c>
      <c r="R31" s="15"/>
      <c r="S31" s="15"/>
      <c r="T31" s="15" t="s">
        <v>50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152</v>
      </c>
      <c r="B32" s="13" t="s">
        <v>49</v>
      </c>
      <c r="C32" s="14">
        <v>3</v>
      </c>
      <c r="D32" s="14">
        <v>4</v>
      </c>
      <c r="E32" s="14">
        <f t="shared" si="3"/>
        <v>1</v>
      </c>
      <c r="F32" s="15" t="s">
        <v>50</v>
      </c>
      <c r="G32" s="15"/>
      <c r="H32" s="15"/>
      <c r="I32" s="15"/>
      <c r="J32" s="15"/>
      <c r="K32" s="15" t="s">
        <v>50</v>
      </c>
      <c r="L32" s="15"/>
      <c r="M32" s="15"/>
      <c r="N32" s="15" t="s">
        <v>50</v>
      </c>
      <c r="O32" s="15"/>
      <c r="P32" s="15"/>
      <c r="Q32" s="15" t="s">
        <v>50</v>
      </c>
      <c r="R32" s="15"/>
      <c r="S32" s="15"/>
      <c r="T32" s="15" t="s">
        <v>50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152</v>
      </c>
      <c r="B33" s="13" t="s">
        <v>49</v>
      </c>
      <c r="C33" s="14">
        <v>4</v>
      </c>
      <c r="D33" s="14">
        <v>5</v>
      </c>
      <c r="E33" s="14">
        <f t="shared" si="3"/>
        <v>1</v>
      </c>
      <c r="F33" s="15" t="s">
        <v>50</v>
      </c>
      <c r="G33" s="15"/>
      <c r="H33" s="15"/>
      <c r="I33" s="15"/>
      <c r="J33" s="15"/>
      <c r="K33" s="15" t="s">
        <v>50</v>
      </c>
      <c r="L33" s="15"/>
      <c r="M33" s="15"/>
      <c r="N33" s="15" t="s">
        <v>50</v>
      </c>
      <c r="O33" s="15"/>
      <c r="P33" s="15"/>
      <c r="Q33" s="15" t="s">
        <v>50</v>
      </c>
      <c r="R33" s="15"/>
      <c r="S33" s="15"/>
      <c r="T33" s="15" t="s">
        <v>50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152</v>
      </c>
      <c r="B34" s="13" t="s">
        <v>49</v>
      </c>
      <c r="C34" s="14">
        <v>5</v>
      </c>
      <c r="D34" s="14">
        <v>6</v>
      </c>
      <c r="E34" s="14">
        <f t="shared" si="3"/>
        <v>1</v>
      </c>
      <c r="F34" s="15"/>
      <c r="G34" s="15" t="s">
        <v>50</v>
      </c>
      <c r="H34" s="15"/>
      <c r="I34" s="15"/>
      <c r="J34" s="15"/>
      <c r="K34" s="15" t="s">
        <v>50</v>
      </c>
      <c r="L34" s="15"/>
      <c r="M34" s="15"/>
      <c r="N34" s="15" t="s">
        <v>50</v>
      </c>
      <c r="O34" s="15"/>
      <c r="P34" s="15"/>
      <c r="Q34" s="15" t="s">
        <v>50</v>
      </c>
      <c r="R34" s="15"/>
      <c r="S34" s="15"/>
      <c r="T34" s="15" t="s">
        <v>50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152</v>
      </c>
      <c r="B35" s="13" t="s">
        <v>49</v>
      </c>
      <c r="C35" s="14">
        <v>6</v>
      </c>
      <c r="D35" s="14">
        <v>7</v>
      </c>
      <c r="E35" s="14">
        <f t="shared" si="3"/>
        <v>1</v>
      </c>
      <c r="F35" s="15"/>
      <c r="G35" s="15" t="s">
        <v>50</v>
      </c>
      <c r="H35" s="15"/>
      <c r="I35" s="15"/>
      <c r="J35" s="15"/>
      <c r="K35" s="15" t="s">
        <v>50</v>
      </c>
      <c r="L35" s="15"/>
      <c r="M35" s="15"/>
      <c r="N35" s="15" t="s">
        <v>50</v>
      </c>
      <c r="O35" s="15"/>
      <c r="P35" s="15"/>
      <c r="Q35" s="15" t="s">
        <v>50</v>
      </c>
      <c r="R35" s="15"/>
      <c r="S35" s="15"/>
      <c r="T35" s="15" t="s">
        <v>50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152</v>
      </c>
      <c r="B36" s="13" t="s">
        <v>49</v>
      </c>
      <c r="C36" s="14">
        <v>7</v>
      </c>
      <c r="D36" s="14">
        <v>8</v>
      </c>
      <c r="E36" s="14">
        <f t="shared" si="3"/>
        <v>1</v>
      </c>
      <c r="F36" s="15"/>
      <c r="G36" s="15" t="s">
        <v>50</v>
      </c>
      <c r="H36" s="15"/>
      <c r="I36" s="15"/>
      <c r="J36" s="15"/>
      <c r="K36" s="15" t="s">
        <v>50</v>
      </c>
      <c r="L36" s="15"/>
      <c r="M36" s="15"/>
      <c r="N36" s="15" t="s">
        <v>50</v>
      </c>
      <c r="O36" s="15"/>
      <c r="P36" s="15"/>
      <c r="Q36" s="15" t="s">
        <v>50</v>
      </c>
      <c r="R36" s="15"/>
      <c r="S36" s="15"/>
      <c r="T36" s="15" t="s">
        <v>50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8" t="s">
        <v>152</v>
      </c>
      <c r="B37" s="19" t="s">
        <v>49</v>
      </c>
      <c r="C37" s="20">
        <v>8</v>
      </c>
      <c r="D37" s="20">
        <v>8.9442885902599993</v>
      </c>
      <c r="E37" s="20">
        <f t="shared" si="3"/>
        <v>0.94428859025999934</v>
      </c>
      <c r="F37" s="21" t="s">
        <v>50</v>
      </c>
      <c r="G37" s="21"/>
      <c r="H37" s="21"/>
      <c r="I37" s="21"/>
      <c r="J37" s="21"/>
      <c r="K37" s="21" t="s">
        <v>50</v>
      </c>
      <c r="L37" s="21"/>
      <c r="M37" s="21"/>
      <c r="N37" s="21" t="s">
        <v>50</v>
      </c>
      <c r="O37" s="21"/>
      <c r="P37" s="21"/>
      <c r="Q37" s="21" t="s">
        <v>50</v>
      </c>
      <c r="R37" s="21"/>
      <c r="S37" s="21"/>
      <c r="T37" s="21" t="s">
        <v>50</v>
      </c>
      <c r="U37" s="21"/>
      <c r="V37" s="22"/>
      <c r="W37" s="23" t="str">
        <f t="shared" si="4"/>
        <v>OK</v>
      </c>
    </row>
    <row r="38" spans="1:23" ht="15.95" customHeight="1" x14ac:dyDescent="0.25">
      <c r="A38" s="34" t="s">
        <v>153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9"/>
      <c r="W38" s="4"/>
    </row>
    <row r="39" spans="1:23" ht="20.100000000000001" customHeight="1" x14ac:dyDescent="0.25">
      <c r="A39" s="12" t="s">
        <v>154</v>
      </c>
      <c r="B39" s="13" t="s">
        <v>49</v>
      </c>
      <c r="C39" s="14">
        <v>0</v>
      </c>
      <c r="D39" s="14">
        <v>1</v>
      </c>
      <c r="E39" s="14">
        <f t="shared" ref="E39:E49" si="5">D39-C39</f>
        <v>1</v>
      </c>
      <c r="F39" s="15" t="s">
        <v>50</v>
      </c>
      <c r="G39" s="15"/>
      <c r="H39" s="15"/>
      <c r="I39" s="15"/>
      <c r="J39" s="15"/>
      <c r="K39" s="15" t="s">
        <v>50</v>
      </c>
      <c r="L39" s="15"/>
      <c r="M39" s="15"/>
      <c r="N39" s="15" t="s">
        <v>50</v>
      </c>
      <c r="O39" s="15"/>
      <c r="P39" s="15"/>
      <c r="Q39" s="15" t="s">
        <v>50</v>
      </c>
      <c r="R39" s="15"/>
      <c r="S39" s="15"/>
      <c r="T39" s="15" t="s">
        <v>50</v>
      </c>
      <c r="U39" s="15"/>
      <c r="V39" s="16"/>
      <c r="W39" s="17" t="str">
        <f t="shared" ref="W39:W49" si="6">IF(COUNTA(F39:U39)=0,"— não preenchido",IF(COUNTIF(F39:J39,"X")&lt;&gt;1,"FALTA/DUPLA: CONDIÇÃO DO PAVIMENTO",IF(COUNTIF(K39:L39,"X")&lt;&gt;1,"FALTA/DUPLA: VEGETAÇÃO",IF(COUNTIF(M39:O39,"X")&lt;&gt;1,"FALTA/DUPLA: ELEM. DE DRENAGEM",IF(COUNTIF(P39:R39,"X")&lt;&gt;1,"FALTA/DUPLA: SIN. HORIZ.",IF(COUNTIF(S39:U39,"X")&lt;&gt;1,"FALTA/DUPLA: SIN. VERTICAL","OK"))))))</f>
        <v>OK</v>
      </c>
    </row>
    <row r="40" spans="1:23" ht="20.100000000000001" customHeight="1" x14ac:dyDescent="0.25">
      <c r="A40" s="12" t="s">
        <v>154</v>
      </c>
      <c r="B40" s="13" t="s">
        <v>49</v>
      </c>
      <c r="C40" s="14">
        <v>1</v>
      </c>
      <c r="D40" s="14">
        <v>2</v>
      </c>
      <c r="E40" s="14">
        <f t="shared" si="5"/>
        <v>1</v>
      </c>
      <c r="F40" s="15" t="s">
        <v>50</v>
      </c>
      <c r="G40" s="15"/>
      <c r="H40" s="15"/>
      <c r="I40" s="15"/>
      <c r="J40" s="15"/>
      <c r="K40" s="15" t="s">
        <v>50</v>
      </c>
      <c r="L40" s="15"/>
      <c r="M40" s="15"/>
      <c r="N40" s="15" t="s">
        <v>50</v>
      </c>
      <c r="O40" s="15"/>
      <c r="P40" s="15"/>
      <c r="Q40" s="15" t="s">
        <v>50</v>
      </c>
      <c r="R40" s="15"/>
      <c r="S40" s="15"/>
      <c r="T40" s="15" t="s">
        <v>50</v>
      </c>
      <c r="U40" s="15"/>
      <c r="V40" s="16"/>
      <c r="W40" s="17" t="str">
        <f t="shared" si="6"/>
        <v>OK</v>
      </c>
    </row>
    <row r="41" spans="1:23" ht="20.100000000000001" customHeight="1" x14ac:dyDescent="0.25">
      <c r="A41" s="12" t="s">
        <v>154</v>
      </c>
      <c r="B41" s="13" t="s">
        <v>49</v>
      </c>
      <c r="C41" s="14">
        <v>2</v>
      </c>
      <c r="D41" s="14">
        <v>3</v>
      </c>
      <c r="E41" s="14">
        <f t="shared" si="5"/>
        <v>1</v>
      </c>
      <c r="F41" s="15" t="s">
        <v>50</v>
      </c>
      <c r="G41" s="15"/>
      <c r="H41" s="15"/>
      <c r="I41" s="15"/>
      <c r="J41" s="15"/>
      <c r="K41" s="15" t="s">
        <v>50</v>
      </c>
      <c r="L41" s="15"/>
      <c r="M41" s="15"/>
      <c r="N41" s="15" t="s">
        <v>50</v>
      </c>
      <c r="O41" s="15"/>
      <c r="P41" s="15"/>
      <c r="Q41" s="15" t="s">
        <v>50</v>
      </c>
      <c r="R41" s="15"/>
      <c r="S41" s="15"/>
      <c r="T41" s="15" t="s">
        <v>50</v>
      </c>
      <c r="U41" s="15"/>
      <c r="V41" s="16"/>
      <c r="W41" s="17" t="str">
        <f t="shared" si="6"/>
        <v>OK</v>
      </c>
    </row>
    <row r="42" spans="1:23" ht="20.100000000000001" customHeight="1" x14ac:dyDescent="0.25">
      <c r="A42" s="12" t="s">
        <v>154</v>
      </c>
      <c r="B42" s="13" t="s">
        <v>49</v>
      </c>
      <c r="C42" s="14">
        <v>3</v>
      </c>
      <c r="D42" s="14">
        <v>4</v>
      </c>
      <c r="E42" s="14">
        <f t="shared" si="5"/>
        <v>1</v>
      </c>
      <c r="F42" s="15" t="s">
        <v>50</v>
      </c>
      <c r="G42" s="15"/>
      <c r="H42" s="15"/>
      <c r="I42" s="15"/>
      <c r="J42" s="15"/>
      <c r="K42" s="15" t="s">
        <v>50</v>
      </c>
      <c r="L42" s="15"/>
      <c r="M42" s="15"/>
      <c r="N42" s="15" t="s">
        <v>50</v>
      </c>
      <c r="O42" s="15"/>
      <c r="P42" s="15"/>
      <c r="Q42" s="15" t="s">
        <v>50</v>
      </c>
      <c r="R42" s="15"/>
      <c r="S42" s="15"/>
      <c r="T42" s="15" t="s">
        <v>50</v>
      </c>
      <c r="U42" s="15"/>
      <c r="V42" s="16"/>
      <c r="W42" s="17" t="str">
        <f t="shared" si="6"/>
        <v>OK</v>
      </c>
    </row>
    <row r="43" spans="1:23" ht="20.100000000000001" customHeight="1" x14ac:dyDescent="0.25">
      <c r="A43" s="12" t="s">
        <v>154</v>
      </c>
      <c r="B43" s="13" t="s">
        <v>49</v>
      </c>
      <c r="C43" s="14">
        <v>4</v>
      </c>
      <c r="D43" s="14">
        <v>5</v>
      </c>
      <c r="E43" s="14">
        <f t="shared" si="5"/>
        <v>1</v>
      </c>
      <c r="F43" s="15" t="s">
        <v>50</v>
      </c>
      <c r="G43" s="15"/>
      <c r="H43" s="15"/>
      <c r="I43" s="15"/>
      <c r="J43" s="15"/>
      <c r="K43" s="15" t="s">
        <v>50</v>
      </c>
      <c r="L43" s="15"/>
      <c r="M43" s="15"/>
      <c r="N43" s="15" t="s">
        <v>50</v>
      </c>
      <c r="O43" s="15"/>
      <c r="P43" s="15"/>
      <c r="Q43" s="15" t="s">
        <v>50</v>
      </c>
      <c r="R43" s="15"/>
      <c r="S43" s="15"/>
      <c r="T43" s="15" t="s">
        <v>50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154</v>
      </c>
      <c r="B44" s="13" t="s">
        <v>49</v>
      </c>
      <c r="C44" s="14">
        <v>5</v>
      </c>
      <c r="D44" s="14">
        <v>6</v>
      </c>
      <c r="E44" s="14">
        <f t="shared" si="5"/>
        <v>1</v>
      </c>
      <c r="F44" s="15" t="s">
        <v>50</v>
      </c>
      <c r="G44" s="15"/>
      <c r="H44" s="15"/>
      <c r="I44" s="15"/>
      <c r="J44" s="15"/>
      <c r="K44" s="15" t="s">
        <v>50</v>
      </c>
      <c r="L44" s="15"/>
      <c r="M44" s="15"/>
      <c r="N44" s="15" t="s">
        <v>50</v>
      </c>
      <c r="O44" s="15"/>
      <c r="P44" s="15"/>
      <c r="Q44" s="15" t="s">
        <v>50</v>
      </c>
      <c r="R44" s="15"/>
      <c r="S44" s="15"/>
      <c r="T44" s="15" t="s">
        <v>50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154</v>
      </c>
      <c r="B45" s="13" t="s">
        <v>49</v>
      </c>
      <c r="C45" s="14">
        <v>6</v>
      </c>
      <c r="D45" s="14">
        <v>7</v>
      </c>
      <c r="E45" s="14">
        <f t="shared" si="5"/>
        <v>1</v>
      </c>
      <c r="F45" s="15" t="s">
        <v>50</v>
      </c>
      <c r="G45" s="15"/>
      <c r="H45" s="15"/>
      <c r="I45" s="15"/>
      <c r="J45" s="15"/>
      <c r="K45" s="15" t="s">
        <v>50</v>
      </c>
      <c r="L45" s="15"/>
      <c r="M45" s="15"/>
      <c r="N45" s="15" t="s">
        <v>50</v>
      </c>
      <c r="O45" s="15"/>
      <c r="P45" s="15"/>
      <c r="Q45" s="15" t="s">
        <v>50</v>
      </c>
      <c r="R45" s="15"/>
      <c r="S45" s="15"/>
      <c r="T45" s="15" t="s">
        <v>50</v>
      </c>
      <c r="U45" s="15"/>
      <c r="V45" s="16"/>
      <c r="W45" s="17" t="str">
        <f t="shared" si="6"/>
        <v>OK</v>
      </c>
    </row>
    <row r="46" spans="1:23" ht="20.100000000000001" customHeight="1" x14ac:dyDescent="0.25">
      <c r="A46" s="12" t="s">
        <v>154</v>
      </c>
      <c r="B46" s="13" t="s">
        <v>49</v>
      </c>
      <c r="C46" s="14">
        <v>7</v>
      </c>
      <c r="D46" s="14">
        <v>8</v>
      </c>
      <c r="E46" s="14">
        <f t="shared" si="5"/>
        <v>1</v>
      </c>
      <c r="F46" s="15"/>
      <c r="G46" s="15" t="s">
        <v>50</v>
      </c>
      <c r="H46" s="15"/>
      <c r="I46" s="15"/>
      <c r="J46" s="15"/>
      <c r="K46" s="15" t="s">
        <v>50</v>
      </c>
      <c r="L46" s="15"/>
      <c r="M46" s="15"/>
      <c r="N46" s="15" t="s">
        <v>50</v>
      </c>
      <c r="O46" s="15"/>
      <c r="P46" s="15"/>
      <c r="Q46" s="15" t="s">
        <v>50</v>
      </c>
      <c r="R46" s="15"/>
      <c r="S46" s="15"/>
      <c r="T46" s="15" t="s">
        <v>50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154</v>
      </c>
      <c r="B47" s="13" t="s">
        <v>49</v>
      </c>
      <c r="C47" s="14">
        <v>8</v>
      </c>
      <c r="D47" s="14">
        <v>9</v>
      </c>
      <c r="E47" s="14">
        <f t="shared" si="5"/>
        <v>1</v>
      </c>
      <c r="F47" s="15" t="s">
        <v>50</v>
      </c>
      <c r="G47" s="15"/>
      <c r="H47" s="15"/>
      <c r="I47" s="15"/>
      <c r="J47" s="15"/>
      <c r="K47" s="15" t="s">
        <v>50</v>
      </c>
      <c r="L47" s="15"/>
      <c r="M47" s="15"/>
      <c r="N47" s="15" t="s">
        <v>50</v>
      </c>
      <c r="O47" s="15"/>
      <c r="P47" s="15"/>
      <c r="Q47" s="15" t="s">
        <v>50</v>
      </c>
      <c r="R47" s="15"/>
      <c r="S47" s="15"/>
      <c r="T47" s="15" t="s">
        <v>50</v>
      </c>
      <c r="U47" s="15"/>
      <c r="V47" s="16"/>
      <c r="W47" s="17" t="str">
        <f t="shared" si="6"/>
        <v>OK</v>
      </c>
    </row>
    <row r="48" spans="1:23" ht="20.100000000000001" customHeight="1" x14ac:dyDescent="0.25">
      <c r="A48" s="12" t="s">
        <v>154</v>
      </c>
      <c r="B48" s="13" t="s">
        <v>49</v>
      </c>
      <c r="C48" s="14">
        <v>9</v>
      </c>
      <c r="D48" s="14">
        <v>10</v>
      </c>
      <c r="E48" s="14">
        <f t="shared" si="5"/>
        <v>1</v>
      </c>
      <c r="F48" s="15" t="s">
        <v>50</v>
      </c>
      <c r="G48" s="15"/>
      <c r="H48" s="15"/>
      <c r="I48" s="15"/>
      <c r="J48" s="15"/>
      <c r="K48" s="15" t="s">
        <v>50</v>
      </c>
      <c r="L48" s="15"/>
      <c r="M48" s="15"/>
      <c r="N48" s="15" t="s">
        <v>50</v>
      </c>
      <c r="O48" s="15"/>
      <c r="P48" s="15"/>
      <c r="Q48" s="15" t="s">
        <v>50</v>
      </c>
      <c r="R48" s="15"/>
      <c r="S48" s="15"/>
      <c r="T48" s="15" t="s">
        <v>50</v>
      </c>
      <c r="U48" s="15"/>
      <c r="V48" s="16"/>
      <c r="W48" s="17" t="str">
        <f t="shared" si="6"/>
        <v>OK</v>
      </c>
    </row>
    <row r="49" spans="1:23" ht="20.100000000000001" customHeight="1" x14ac:dyDescent="0.25">
      <c r="A49" s="18" t="s">
        <v>154</v>
      </c>
      <c r="B49" s="19" t="s">
        <v>49</v>
      </c>
      <c r="C49" s="20">
        <v>10</v>
      </c>
      <c r="D49" s="20">
        <v>10.895038230000001</v>
      </c>
      <c r="E49" s="20">
        <f t="shared" si="5"/>
        <v>0.89503823000000082</v>
      </c>
      <c r="F49" s="21" t="s">
        <v>50</v>
      </c>
      <c r="G49" s="21"/>
      <c r="H49" s="21"/>
      <c r="I49" s="21"/>
      <c r="J49" s="21"/>
      <c r="K49" s="21" t="s">
        <v>50</v>
      </c>
      <c r="L49" s="21"/>
      <c r="M49" s="21"/>
      <c r="N49" s="21" t="s">
        <v>50</v>
      </c>
      <c r="O49" s="21"/>
      <c r="P49" s="21"/>
      <c r="Q49" s="21" t="s">
        <v>50</v>
      </c>
      <c r="R49" s="21"/>
      <c r="S49" s="21"/>
      <c r="T49" s="21" t="s">
        <v>50</v>
      </c>
      <c r="U49" s="21"/>
      <c r="V49" s="22"/>
      <c r="W49" s="23" t="str">
        <f t="shared" si="6"/>
        <v>OK</v>
      </c>
    </row>
    <row r="51" spans="1:23" x14ac:dyDescent="0.25">
      <c r="A51" s="30" t="s">
        <v>60</v>
      </c>
      <c r="B51" s="31"/>
      <c r="C51" s="31"/>
      <c r="D51" s="31"/>
      <c r="E51" s="31"/>
      <c r="G51" s="30" t="s">
        <v>60</v>
      </c>
      <c r="H51" s="31"/>
      <c r="I51" s="31"/>
      <c r="J51" s="31"/>
      <c r="K51" s="31"/>
    </row>
    <row r="52" spans="1:23" x14ac:dyDescent="0.25">
      <c r="A52" s="38" t="s">
        <v>61</v>
      </c>
      <c r="B52" s="31"/>
      <c r="C52" s="31"/>
      <c r="D52" s="31"/>
      <c r="E52" s="31"/>
      <c r="G52" s="38" t="s">
        <v>62</v>
      </c>
      <c r="H52" s="31"/>
      <c r="I52" s="31"/>
      <c r="J52" s="31"/>
      <c r="K52" s="31"/>
    </row>
    <row r="54" spans="1:23" x14ac:dyDescent="0.25">
      <c r="A54" s="42" t="s">
        <v>63</v>
      </c>
      <c r="B54" s="31"/>
      <c r="C54" s="31"/>
      <c r="D54" s="31"/>
      <c r="E54" s="31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 spans="1:23" x14ac:dyDescent="0.25">
      <c r="A55" s="36" t="s">
        <v>64</v>
      </c>
      <c r="B55" s="31"/>
      <c r="C55" s="31"/>
      <c r="D55" s="31"/>
      <c r="E55" s="31"/>
      <c r="F55" s="9">
        <f t="shared" ref="F55:U55" si="7">SUMIF(F$9:F$49,"X",$E$9:$E$49)</f>
        <v>20.839326820260002</v>
      </c>
      <c r="G55" s="9">
        <f t="shared" si="7"/>
        <v>16.657131403640001</v>
      </c>
      <c r="H55" s="9">
        <f t="shared" si="7"/>
        <v>0</v>
      </c>
      <c r="I55" s="9">
        <f t="shared" si="7"/>
        <v>0</v>
      </c>
      <c r="J55" s="9">
        <f t="shared" si="7"/>
        <v>0</v>
      </c>
      <c r="K55" s="9">
        <f t="shared" si="7"/>
        <v>37.496458223900007</v>
      </c>
      <c r="L55" s="9">
        <f t="shared" si="7"/>
        <v>0</v>
      </c>
      <c r="M55" s="9">
        <f t="shared" si="7"/>
        <v>0</v>
      </c>
      <c r="N55" s="9">
        <f t="shared" si="7"/>
        <v>37.496458223900007</v>
      </c>
      <c r="O55" s="9">
        <f t="shared" si="7"/>
        <v>0</v>
      </c>
      <c r="P55" s="9">
        <f t="shared" si="7"/>
        <v>0</v>
      </c>
      <c r="Q55" s="9">
        <f t="shared" si="7"/>
        <v>37.496458223900007</v>
      </c>
      <c r="R55" s="9">
        <f t="shared" si="7"/>
        <v>0</v>
      </c>
      <c r="S55" s="9">
        <f t="shared" si="7"/>
        <v>0</v>
      </c>
      <c r="T55" s="9">
        <f t="shared" si="7"/>
        <v>37.496458223900007</v>
      </c>
      <c r="U55" s="9">
        <f t="shared" si="7"/>
        <v>0</v>
      </c>
    </row>
    <row r="56" spans="1:23" x14ac:dyDescent="0.25">
      <c r="A56" s="36" t="s">
        <v>65</v>
      </c>
      <c r="B56" s="31"/>
      <c r="C56" s="31"/>
      <c r="D56" s="31"/>
      <c r="E56" s="31"/>
      <c r="F56" s="25">
        <f t="shared" ref="F56:U56" si="8">IF($R58=0,0,F55/$R58)</f>
        <v>0.55576787268342975</v>
      </c>
      <c r="G56" s="25">
        <f t="shared" si="8"/>
        <v>0.44423212731657014</v>
      </c>
      <c r="H56" s="25">
        <f t="shared" si="8"/>
        <v>0</v>
      </c>
      <c r="I56" s="25">
        <f t="shared" si="8"/>
        <v>0</v>
      </c>
      <c r="J56" s="25">
        <f t="shared" si="8"/>
        <v>0</v>
      </c>
      <c r="K56" s="25">
        <f t="shared" si="8"/>
        <v>1</v>
      </c>
      <c r="L56" s="25">
        <f t="shared" si="8"/>
        <v>0</v>
      </c>
      <c r="M56" s="25">
        <f t="shared" si="8"/>
        <v>0</v>
      </c>
      <c r="N56" s="25">
        <f t="shared" si="8"/>
        <v>1</v>
      </c>
      <c r="O56" s="25">
        <f t="shared" si="8"/>
        <v>0</v>
      </c>
      <c r="P56" s="25">
        <f t="shared" si="8"/>
        <v>0</v>
      </c>
      <c r="Q56" s="25">
        <f t="shared" si="8"/>
        <v>1</v>
      </c>
      <c r="R56" s="25">
        <f t="shared" si="8"/>
        <v>0</v>
      </c>
      <c r="S56" s="25">
        <f t="shared" si="8"/>
        <v>0</v>
      </c>
      <c r="T56" s="25">
        <f t="shared" si="8"/>
        <v>1</v>
      </c>
      <c r="U56" s="25">
        <f t="shared" si="8"/>
        <v>0</v>
      </c>
    </row>
    <row r="57" spans="1:23" x14ac:dyDescent="0.25">
      <c r="A57" s="36" t="s">
        <v>66</v>
      </c>
      <c r="B57" s="31"/>
      <c r="C57" s="31"/>
      <c r="D57" s="31"/>
      <c r="E57" s="31"/>
      <c r="F57" s="37" t="str">
        <f>IF(SUM(F55:J55)=0,"— não preenchido",IF(ROUND(SUM(F55:J55)-$R58,3)=0,"OK — "&amp;ROUND(SUM(F55:J55),3)&amp;" km","ERRO — dif. de "&amp;ROUND(SUM(F55:J55)-$R58,3)&amp;" km"))</f>
        <v>OK — 37,496 km</v>
      </c>
      <c r="G57" s="28"/>
      <c r="H57" s="28"/>
      <c r="I57" s="28"/>
      <c r="J57" s="29"/>
      <c r="K57" s="37" t="str">
        <f>IF(SUM(K55:L55)=0,"— não preenchido",IF(ROUND(SUM(K55:L55)-$R58,3)=0,"OK — "&amp;ROUND(SUM(K55:L55),3)&amp;" km","ERRO — dif. de "&amp;ROUND(SUM(K55:L55)-$R58,3)&amp;" km"))</f>
        <v>OK — 37,496 km</v>
      </c>
      <c r="L57" s="29"/>
      <c r="M57" s="37" t="str">
        <f>IF(SUM(M55:O55)=0,"— não preenchido",IF(ROUND(SUM(M55:O55)-$R58,3)=0,"OK — "&amp;ROUND(SUM(M55:O55),3)&amp;" km","ERRO — dif. de "&amp;ROUND(SUM(M55:O55)-$R58,3)&amp;" km"))</f>
        <v>OK — 37,496 km</v>
      </c>
      <c r="N57" s="28"/>
      <c r="O57" s="29"/>
      <c r="P57" s="37" t="str">
        <f>IF(SUM(P55:R55)=0,"— não preenchido",IF(ROUND(SUM(P55:R55)-$R58,3)=0,"OK — "&amp;ROUND(SUM(P55:R55),3)&amp;" km","ERRO — dif. de "&amp;ROUND(SUM(P55:R55)-$R58,3)&amp;" km"))</f>
        <v>OK — 37,496 km</v>
      </c>
      <c r="Q57" s="28"/>
      <c r="R57" s="29"/>
      <c r="S57" s="37" t="str">
        <f>IF(SUM(S55:U55)=0,"— não preenchido",IF(ROUND(SUM(S55:U55)-$R58,3)=0,"OK — "&amp;ROUND(SUM(S55:U55),3)&amp;" km","ERRO — dif. de "&amp;ROUND(SUM(S55:U55)-$R58,3)&amp;" km"))</f>
        <v>OK — 37,496 km</v>
      </c>
      <c r="T57" s="28"/>
      <c r="U57" s="29"/>
    </row>
    <row r="58" spans="1:23" x14ac:dyDescent="0.25">
      <c r="A58" s="36" t="s">
        <v>67</v>
      </c>
      <c r="B58" s="31"/>
      <c r="C58" s="31"/>
      <c r="D58" s="31"/>
      <c r="E58" s="31"/>
      <c r="R58" s="26">
        <f>SUM(E9:E49)</f>
        <v>37.496458223900007</v>
      </c>
      <c r="V58" s="8" t="str">
        <f>COUNTIF(W9:W49,"OK")&amp;" de "&amp;COUNT($E$9:$E$49)&amp;" linhas conferidas"</f>
        <v>38 de 38 linhas conferidas</v>
      </c>
    </row>
    <row r="60" spans="1:23" x14ac:dyDescent="0.25">
      <c r="A60" s="41" t="s">
        <v>68</v>
      </c>
      <c r="B60" s="31"/>
      <c r="C60" s="31"/>
      <c r="D60" s="31"/>
      <c r="E60" s="31"/>
    </row>
    <row r="61" spans="1:23" x14ac:dyDescent="0.25">
      <c r="A61" s="36" t="s">
        <v>69</v>
      </c>
      <c r="B61" s="31"/>
      <c r="C61" s="31"/>
      <c r="D61" s="31"/>
      <c r="E61" s="35" t="s">
        <v>70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</row>
    <row r="62" spans="1:23" x14ac:dyDescent="0.25">
      <c r="A62" s="36" t="s">
        <v>71</v>
      </c>
      <c r="B62" s="31"/>
      <c r="C62" s="31"/>
      <c r="D62" s="31"/>
      <c r="E62" s="35" t="s">
        <v>72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</row>
    <row r="63" spans="1:23" x14ac:dyDescent="0.25">
      <c r="A63" s="36" t="s">
        <v>73</v>
      </c>
      <c r="B63" s="31"/>
      <c r="C63" s="31"/>
      <c r="D63" s="31"/>
      <c r="E63" s="35" t="s">
        <v>74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</row>
    <row r="64" spans="1:23" x14ac:dyDescent="0.25">
      <c r="A64" s="36" t="s">
        <v>75</v>
      </c>
      <c r="B64" s="31"/>
      <c r="C64" s="31"/>
      <c r="D64" s="31"/>
      <c r="E64" s="35" t="s">
        <v>76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</row>
    <row r="65" spans="1:22" x14ac:dyDescent="0.25">
      <c r="A65" s="36" t="s">
        <v>77</v>
      </c>
      <c r="B65" s="31"/>
      <c r="C65" s="31"/>
      <c r="D65" s="31"/>
      <c r="E65" s="35" t="s">
        <v>78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</row>
    <row r="66" spans="1:22" x14ac:dyDescent="0.25">
      <c r="A66" s="36" t="s">
        <v>41</v>
      </c>
      <c r="B66" s="31"/>
      <c r="C66" s="31"/>
      <c r="D66" s="31"/>
      <c r="E66" s="35" t="s">
        <v>79</v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</row>
    <row r="67" spans="1:22" x14ac:dyDescent="0.25">
      <c r="A67" s="36" t="s">
        <v>80</v>
      </c>
      <c r="B67" s="31"/>
      <c r="C67" s="31"/>
      <c r="D67" s="31"/>
      <c r="E67" s="35" t="s">
        <v>81</v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</row>
    <row r="68" spans="1:22" x14ac:dyDescent="0.25">
      <c r="A68" s="36" t="s">
        <v>82</v>
      </c>
      <c r="B68" s="31"/>
      <c r="C68" s="31"/>
      <c r="D68" s="31"/>
      <c r="E68" s="35" t="s">
        <v>83</v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</row>
    <row r="69" spans="1:22" x14ac:dyDescent="0.25">
      <c r="A69" s="36" t="s">
        <v>11</v>
      </c>
      <c r="B69" s="31"/>
      <c r="C69" s="31"/>
      <c r="D69" s="31"/>
      <c r="E69" s="35" t="s">
        <v>84</v>
      </c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</row>
  </sheetData>
  <sheetProtection formatCells="0"/>
  <mergeCells count="60">
    <mergeCell ref="A1:V1"/>
    <mergeCell ref="T3:V3"/>
    <mergeCell ref="A65:D65"/>
    <mergeCell ref="E66:V66"/>
    <mergeCell ref="A66:D66"/>
    <mergeCell ref="G51:K51"/>
    <mergeCell ref="A52:E52"/>
    <mergeCell ref="E62:V62"/>
    <mergeCell ref="K57:L57"/>
    <mergeCell ref="R2:V2"/>
    <mergeCell ref="A3:S3"/>
    <mergeCell ref="C6:C7"/>
    <mergeCell ref="K6:L6"/>
    <mergeCell ref="D6:D7"/>
    <mergeCell ref="P6:R6"/>
    <mergeCell ref="A2:F2"/>
    <mergeCell ref="W6:W7"/>
    <mergeCell ref="E6:E7"/>
    <mergeCell ref="M57:O57"/>
    <mergeCell ref="B6:B7"/>
    <mergeCell ref="A56:E56"/>
    <mergeCell ref="A55:E55"/>
    <mergeCell ref="A57:E57"/>
    <mergeCell ref="S6:U6"/>
    <mergeCell ref="K2:M2"/>
    <mergeCell ref="A28:V28"/>
    <mergeCell ref="A67:D67"/>
    <mergeCell ref="A54:E54"/>
    <mergeCell ref="P57:R57"/>
    <mergeCell ref="N2:O2"/>
    <mergeCell ref="P2:Q2"/>
    <mergeCell ref="A64:D64"/>
    <mergeCell ref="E61:V61"/>
    <mergeCell ref="A61:D61"/>
    <mergeCell ref="E67:V67"/>
    <mergeCell ref="M6:O6"/>
    <mergeCell ref="G2:H2"/>
    <mergeCell ref="I2:J2"/>
    <mergeCell ref="A51:E51"/>
    <mergeCell ref="A62:D62"/>
    <mergeCell ref="A4:V4"/>
    <mergeCell ref="E65:V65"/>
    <mergeCell ref="A38:V38"/>
    <mergeCell ref="A68:D68"/>
    <mergeCell ref="A69:D69"/>
    <mergeCell ref="E68:V68"/>
    <mergeCell ref="E64:V64"/>
    <mergeCell ref="G52:K52"/>
    <mergeCell ref="F57:J57"/>
    <mergeCell ref="A58:E58"/>
    <mergeCell ref="S57:U57"/>
    <mergeCell ref="A23:V23"/>
    <mergeCell ref="A60:E60"/>
    <mergeCell ref="A8:V8"/>
    <mergeCell ref="E63:V63"/>
    <mergeCell ref="F6:J6"/>
    <mergeCell ref="A6:A7"/>
    <mergeCell ref="A63:D63"/>
    <mergeCell ref="E69:V69"/>
    <mergeCell ref="V6:V7"/>
  </mergeCells>
  <conditionalFormatting sqref="F9:J49">
    <cfRule type="expression" dxfId="8" priority="1">
      <formula>AND(F9&lt;&gt;"",COUNTIF($F9:$J9,"X")&gt;1)</formula>
    </cfRule>
  </conditionalFormatting>
  <conditionalFormatting sqref="F57:U57">
    <cfRule type="expression" dxfId="7" priority="8">
      <formula>LEFT(F57,4)="ERRO"</formula>
    </cfRule>
    <cfRule type="expression" dxfId="6" priority="9">
      <formula>LEFT(F57,2)="OK"</formula>
    </cfRule>
  </conditionalFormatting>
  <conditionalFormatting sqref="K9:L49">
    <cfRule type="expression" dxfId="5" priority="2">
      <formula>AND(K9&lt;&gt;"",COUNTIF($K9:$L9,"X")&gt;1)</formula>
    </cfRule>
  </conditionalFormatting>
  <conditionalFormatting sqref="M9:O49">
    <cfRule type="expression" dxfId="4" priority="3">
      <formula>AND(M9&lt;&gt;"",COUNTIF($M9:$O9,"X")&gt;1)</formula>
    </cfRule>
  </conditionalFormatting>
  <conditionalFormatting sqref="P9:R49">
    <cfRule type="expression" dxfId="3" priority="4">
      <formula>AND(P9&lt;&gt;"",COUNTIF($P9:$R9,"X")&gt;1)</formula>
    </cfRule>
  </conditionalFormatting>
  <conditionalFormatting sqref="S9:U49">
    <cfRule type="expression" dxfId="2" priority="5">
      <formula>AND(S9&lt;&gt;"",COUNTIF($S9:$U9,"X")&gt;1)</formula>
    </cfRule>
  </conditionalFormatting>
  <conditionalFormatting sqref="W9:W49">
    <cfRule type="expression" dxfId="1" priority="6">
      <formula>AND(W9&lt;&gt;"OK",W9&lt;&gt;"")</formula>
    </cfRule>
    <cfRule type="expression" dxfId="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9" xr:uid="{00000000-0002-0000-09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9" xr:uid="{00000000-0002-0000-09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9" xr:uid="{00000000-0002-0000-09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9" xr:uid="{00000000-0002-0000-09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9" xr:uid="{00000000-0002-0000-0900-000004000000}">
      <formula1>AND(UPPER(S9)="X",COUNTIF($S9:$U9,"X")&lt;=1)</formula1>
    </dataValidation>
    <dataValidation type="list" showErrorMessage="1" errorTitle="Sentido inválido" error="Use C (crescente) ou D (decrescente)." sqref="B9:B49" xr:uid="{00000000-0002-0000-09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80</oddHeader>
    <oddFooter>&amp;L&amp;7 RTA / MSI — Programa de Manutenção Rodoviária&amp;C&amp;7 Página &amp;P de &amp;N&amp;R&amp;7 Impresso em &amp;D</oddFooter>
  </headerFooter>
  <rowBreaks count="1" manualBreakCount="1">
    <brk id="52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155</v>
      </c>
    </row>
    <row r="2" spans="1:1" x14ac:dyDescent="0.25">
      <c r="A2" t="s">
        <v>156</v>
      </c>
    </row>
    <row r="3" spans="1:1" x14ac:dyDescent="0.25">
      <c r="A3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19</vt:i4>
      </vt:variant>
    </vt:vector>
  </HeadingPairs>
  <TitlesOfParts>
    <vt:vector size="30" baseType="lpstr">
      <vt:lpstr>RESUMO</vt:lpstr>
      <vt:lpstr>68</vt:lpstr>
      <vt:lpstr>70</vt:lpstr>
      <vt:lpstr>71</vt:lpstr>
      <vt:lpstr>73</vt:lpstr>
      <vt:lpstr>74</vt:lpstr>
      <vt:lpstr>75</vt:lpstr>
      <vt:lpstr>77</vt:lpstr>
      <vt:lpstr>78</vt:lpstr>
      <vt:lpstr>80</vt:lpstr>
      <vt:lpstr>LISTAS</vt:lpstr>
      <vt:lpstr>'68'!Area_de_impressao</vt:lpstr>
      <vt:lpstr>'70'!Area_de_impressao</vt:lpstr>
      <vt:lpstr>'71'!Area_de_impressao</vt:lpstr>
      <vt:lpstr>'73'!Area_de_impressao</vt:lpstr>
      <vt:lpstr>'74'!Area_de_impressao</vt:lpstr>
      <vt:lpstr>'75'!Area_de_impressao</vt:lpstr>
      <vt:lpstr>'77'!Area_de_impressao</vt:lpstr>
      <vt:lpstr>'78'!Area_de_impressao</vt:lpstr>
      <vt:lpstr>'80'!Area_de_impressao</vt:lpstr>
      <vt:lpstr>RESUMO!Area_de_impressao</vt:lpstr>
      <vt:lpstr>'68'!Titulos_de_impressao</vt:lpstr>
      <vt:lpstr>'70'!Titulos_de_impressao</vt:lpstr>
      <vt:lpstr>'71'!Titulos_de_impressao</vt:lpstr>
      <vt:lpstr>'73'!Titulos_de_impressao</vt:lpstr>
      <vt:lpstr>'74'!Titulos_de_impressao</vt:lpstr>
      <vt:lpstr>'75'!Titulos_de_impressao</vt:lpstr>
      <vt:lpstr>'77'!Titulos_de_impressao</vt:lpstr>
      <vt:lpstr>'78'!Titulos_de_impressao</vt:lpstr>
      <vt:lpstr>'80'!Titulos_de_impressao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2026-08-17T14:12:09Z</dcterms:created>
  <dcterms:modified xsi:type="dcterms:W3CDTF">2026-08-31T12:31:03Z</dcterms:modified>
</cp:coreProperties>
</file>