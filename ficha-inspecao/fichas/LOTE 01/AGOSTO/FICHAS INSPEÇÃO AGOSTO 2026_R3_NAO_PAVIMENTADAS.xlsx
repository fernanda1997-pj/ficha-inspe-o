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3E1A6DD6-6C46-4D17-B2DD-859E72E9EF8C}" xr6:coauthVersionLast="47" xr6:coauthVersionMax="47" xr10:uidLastSave="{00000000-0000-0000-0000-000000000000}"/>
  <bookViews>
    <workbookView xWindow="5115" yWindow="2460" windowWidth="15375" windowHeight="7875" firstSheet="1" activeTab="1" xr2:uid="{00000000-000D-0000-FFFF-FFFF00000000}"/>
  </bookViews>
  <sheets>
    <sheet name="RESUMO" sheetId="1" r:id="rId1"/>
    <sheet name="67" sheetId="2" r:id="rId2"/>
    <sheet name="69" sheetId="3" r:id="rId3"/>
    <sheet name="71" sheetId="4" r:id="rId4"/>
    <sheet name="72" sheetId="5" r:id="rId5"/>
    <sheet name="75" sheetId="6" r:id="rId6"/>
    <sheet name="76" sheetId="7" r:id="rId7"/>
    <sheet name="79" sheetId="8" r:id="rId8"/>
    <sheet name="81" sheetId="9" r:id="rId9"/>
    <sheet name="82" sheetId="10" r:id="rId10"/>
    <sheet name="83" sheetId="11" r:id="rId11"/>
    <sheet name="84" sheetId="12" r:id="rId12"/>
    <sheet name="LISTAS" sheetId="13" state="hidden" r:id="rId13"/>
  </sheets>
  <definedNames>
    <definedName name="_xlnm.Print_Area" localSheetId="1">'67'!$A$1:$M$109</definedName>
    <definedName name="_xlnm.Print_Area" localSheetId="2">'69'!$A$1:$M$69</definedName>
    <definedName name="_xlnm.Print_Area" localSheetId="3">'71'!$A$1:$M$178</definedName>
    <definedName name="_xlnm.Print_Area" localSheetId="4">'72'!$A$1:$M$49</definedName>
    <definedName name="_xlnm.Print_Area" localSheetId="5">'75'!$A$1:$M$85</definedName>
    <definedName name="_xlnm.Print_Area" localSheetId="6">'76'!$A$1:$M$59</definedName>
    <definedName name="_xlnm.Print_Area" localSheetId="7">'79'!$A$1:$M$58</definedName>
    <definedName name="_xlnm.Print_Area" localSheetId="8">'81'!$A$1:$M$64</definedName>
    <definedName name="_xlnm.Print_Area" localSheetId="9">'82'!$A$1:$M$77</definedName>
    <definedName name="_xlnm.Print_Area" localSheetId="10">'83'!$A$1:$M$61</definedName>
    <definedName name="_xlnm.Print_Area" localSheetId="11">'84'!$A$1:$M$73</definedName>
    <definedName name="_xlnm.Print_Area" localSheetId="0">RESUMO!$A$1:$K$18</definedName>
    <definedName name="_xlnm.Print_Titles" localSheetId="1">'67'!$6:$7</definedName>
    <definedName name="_xlnm.Print_Titles" localSheetId="2">'69'!$6:$7</definedName>
    <definedName name="_xlnm.Print_Titles" localSheetId="3">'71'!$6:$7</definedName>
    <definedName name="_xlnm.Print_Titles" localSheetId="4">'72'!$6:$7</definedName>
    <definedName name="_xlnm.Print_Titles" localSheetId="5">'75'!$6:$7</definedName>
    <definedName name="_xlnm.Print_Titles" localSheetId="6">'76'!$6:$7</definedName>
    <definedName name="_xlnm.Print_Titles" localSheetId="7">'79'!$6:$7</definedName>
    <definedName name="_xlnm.Print_Titles" localSheetId="8">'81'!$6:$7</definedName>
    <definedName name="_xlnm.Print_Titles" localSheetId="9">'82'!$6:$7</definedName>
    <definedName name="_xlnm.Print_Titles" localSheetId="10">'83'!$6:$7</definedName>
    <definedName name="_xlnm.Print_Titles" localSheetId="11">'84'!$6:$7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2" l="1"/>
  <c r="V2" i="12" s="1"/>
  <c r="J58" i="12"/>
  <c r="I58" i="12"/>
  <c r="S2" i="12" s="1"/>
  <c r="H58" i="12"/>
  <c r="R2" i="12" s="1"/>
  <c r="F58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T2" i="12"/>
  <c r="P2" i="12"/>
  <c r="K2" i="12"/>
  <c r="I2" i="12"/>
  <c r="F2" i="12"/>
  <c r="L46" i="11"/>
  <c r="V2" i="11" s="1"/>
  <c r="J46" i="11"/>
  <c r="I46" i="11"/>
  <c r="H46" i="11"/>
  <c r="R2" i="11" s="1"/>
  <c r="F46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49" i="11" s="1"/>
  <c r="C15" i="1" s="1"/>
  <c r="S2" i="11"/>
  <c r="K2" i="11"/>
  <c r="I2" i="11"/>
  <c r="F2" i="11"/>
  <c r="I65" i="10"/>
  <c r="L62" i="10"/>
  <c r="J62" i="10"/>
  <c r="I62" i="10"/>
  <c r="H62" i="10"/>
  <c r="R2" i="10" s="1"/>
  <c r="F62" i="10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V2" i="10"/>
  <c r="S2" i="10"/>
  <c r="K2" i="10"/>
  <c r="I2" i="10"/>
  <c r="F2" i="10"/>
  <c r="L49" i="9"/>
  <c r="V2" i="9" s="1"/>
  <c r="K49" i="9"/>
  <c r="I13" i="1" s="1"/>
  <c r="I49" i="9"/>
  <c r="H49" i="9"/>
  <c r="R2" i="9" s="1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F49" i="9" s="1"/>
  <c r="N29" i="9"/>
  <c r="E29" i="9"/>
  <c r="N27" i="9"/>
  <c r="E27" i="9"/>
  <c r="N26" i="9"/>
  <c r="E26" i="9"/>
  <c r="N25" i="9"/>
  <c r="E25" i="9"/>
  <c r="N24" i="9"/>
  <c r="E24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I52" i="9" s="1"/>
  <c r="N9" i="9"/>
  <c r="E9" i="9"/>
  <c r="S2" i="9"/>
  <c r="K2" i="9"/>
  <c r="I2" i="9"/>
  <c r="F2" i="9"/>
  <c r="L43" i="8"/>
  <c r="V2" i="8" s="1"/>
  <c r="J43" i="8"/>
  <c r="H12" i="1" s="1"/>
  <c r="I43" i="8"/>
  <c r="S2" i="8" s="1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F43" i="8" s="1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H43" i="8" s="1"/>
  <c r="N14" i="8"/>
  <c r="E14" i="8"/>
  <c r="N13" i="8"/>
  <c r="E13" i="8"/>
  <c r="N12" i="8"/>
  <c r="E12" i="8"/>
  <c r="N11" i="8"/>
  <c r="E11" i="8"/>
  <c r="N10" i="8"/>
  <c r="E10" i="8"/>
  <c r="N9" i="8"/>
  <c r="E9" i="8"/>
  <c r="K2" i="8"/>
  <c r="I2" i="8"/>
  <c r="F2" i="8"/>
  <c r="L44" i="7"/>
  <c r="J11" i="1" s="1"/>
  <c r="J44" i="7"/>
  <c r="I44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H44" i="7" s="1"/>
  <c r="R2" i="7" s="1"/>
  <c r="N11" i="7"/>
  <c r="E11" i="7"/>
  <c r="N10" i="7"/>
  <c r="E10" i="7"/>
  <c r="F44" i="7" s="1"/>
  <c r="D11" i="1" s="1"/>
  <c r="N9" i="7"/>
  <c r="E9" i="7"/>
  <c r="I47" i="7" s="1"/>
  <c r="S2" i="7"/>
  <c r="K2" i="7"/>
  <c r="I2" i="7"/>
  <c r="F2" i="7"/>
  <c r="L70" i="6"/>
  <c r="J70" i="6"/>
  <c r="I70" i="6"/>
  <c r="F70" i="6"/>
  <c r="P2" i="6" s="1"/>
  <c r="N64" i="6"/>
  <c r="E64" i="6"/>
  <c r="N63" i="6"/>
  <c r="E63" i="6"/>
  <c r="N62" i="6"/>
  <c r="E62" i="6"/>
  <c r="N61" i="6"/>
  <c r="E61" i="6"/>
  <c r="N60" i="6"/>
  <c r="E60" i="6"/>
  <c r="N59" i="6"/>
  <c r="E59" i="6"/>
  <c r="N58" i="6"/>
  <c r="E58" i="6"/>
  <c r="N57" i="6"/>
  <c r="E57" i="6"/>
  <c r="N56" i="6"/>
  <c r="E56" i="6"/>
  <c r="N55" i="6"/>
  <c r="E55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H70" i="6" s="1"/>
  <c r="N13" i="6"/>
  <c r="E13" i="6"/>
  <c r="N12" i="6"/>
  <c r="E12" i="6"/>
  <c r="N11" i="6"/>
  <c r="E11" i="6"/>
  <c r="N10" i="6"/>
  <c r="E10" i="6"/>
  <c r="N9" i="6"/>
  <c r="E9" i="6"/>
  <c r="T2" i="6"/>
  <c r="S2" i="6"/>
  <c r="K2" i="6"/>
  <c r="I2" i="6"/>
  <c r="F2" i="6"/>
  <c r="L34" i="5"/>
  <c r="V2" i="5" s="1"/>
  <c r="J34" i="5"/>
  <c r="I34" i="5"/>
  <c r="G9" i="1" s="1"/>
  <c r="F34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H34" i="5" s="1"/>
  <c r="R2" i="5" s="1"/>
  <c r="N11" i="5"/>
  <c r="E11" i="5"/>
  <c r="N10" i="5"/>
  <c r="E10" i="5"/>
  <c r="N9" i="5"/>
  <c r="E9" i="5"/>
  <c r="K2" i="5"/>
  <c r="I2" i="5"/>
  <c r="F2" i="5"/>
  <c r="L163" i="4"/>
  <c r="V2" i="4" s="1"/>
  <c r="J163" i="4"/>
  <c r="I163" i="4"/>
  <c r="S2" i="4" s="1"/>
  <c r="F163" i="4"/>
  <c r="N157" i="4"/>
  <c r="E157" i="4"/>
  <c r="N156" i="4"/>
  <c r="E156" i="4"/>
  <c r="N155" i="4"/>
  <c r="E155" i="4"/>
  <c r="N154" i="4"/>
  <c r="E154" i="4"/>
  <c r="N153" i="4"/>
  <c r="E153" i="4"/>
  <c r="N152" i="4"/>
  <c r="E152" i="4"/>
  <c r="N151" i="4"/>
  <c r="E151" i="4"/>
  <c r="N150" i="4"/>
  <c r="E150" i="4"/>
  <c r="N149" i="4"/>
  <c r="E149" i="4"/>
  <c r="N148" i="4"/>
  <c r="E148" i="4"/>
  <c r="N147" i="4"/>
  <c r="E147" i="4"/>
  <c r="N146" i="4"/>
  <c r="E146" i="4"/>
  <c r="N145" i="4"/>
  <c r="E145" i="4"/>
  <c r="N144" i="4"/>
  <c r="E144" i="4"/>
  <c r="N143" i="4"/>
  <c r="E143" i="4"/>
  <c r="N142" i="4"/>
  <c r="E142" i="4"/>
  <c r="N141" i="4"/>
  <c r="E141" i="4"/>
  <c r="N140" i="4"/>
  <c r="E140" i="4"/>
  <c r="N139" i="4"/>
  <c r="E139" i="4"/>
  <c r="N138" i="4"/>
  <c r="E138" i="4"/>
  <c r="N137" i="4"/>
  <c r="E137" i="4"/>
  <c r="N136" i="4"/>
  <c r="E136" i="4"/>
  <c r="N135" i="4"/>
  <c r="E135" i="4"/>
  <c r="N134" i="4"/>
  <c r="E134" i="4"/>
  <c r="N133" i="4"/>
  <c r="E133" i="4"/>
  <c r="N132" i="4"/>
  <c r="E132" i="4"/>
  <c r="N131" i="4"/>
  <c r="E131" i="4"/>
  <c r="N130" i="4"/>
  <c r="E130" i="4"/>
  <c r="N129" i="4"/>
  <c r="E129" i="4"/>
  <c r="N128" i="4"/>
  <c r="E128" i="4"/>
  <c r="N127" i="4"/>
  <c r="E127" i="4"/>
  <c r="N126" i="4"/>
  <c r="E126" i="4"/>
  <c r="N125" i="4"/>
  <c r="E125" i="4"/>
  <c r="N124" i="4"/>
  <c r="E124" i="4"/>
  <c r="N123" i="4"/>
  <c r="E123" i="4"/>
  <c r="N122" i="4"/>
  <c r="E122" i="4"/>
  <c r="N121" i="4"/>
  <c r="E121" i="4"/>
  <c r="N120" i="4"/>
  <c r="E120" i="4"/>
  <c r="N119" i="4"/>
  <c r="E119" i="4"/>
  <c r="N118" i="4"/>
  <c r="E118" i="4"/>
  <c r="N117" i="4"/>
  <c r="E117" i="4"/>
  <c r="N116" i="4"/>
  <c r="E116" i="4"/>
  <c r="N115" i="4"/>
  <c r="E115" i="4"/>
  <c r="N114" i="4"/>
  <c r="E114" i="4"/>
  <c r="N113" i="4"/>
  <c r="E113" i="4"/>
  <c r="N112" i="4"/>
  <c r="E112" i="4"/>
  <c r="N111" i="4"/>
  <c r="E111" i="4"/>
  <c r="N110" i="4"/>
  <c r="E110" i="4"/>
  <c r="N109" i="4"/>
  <c r="E109" i="4"/>
  <c r="N108" i="4"/>
  <c r="E108" i="4"/>
  <c r="N107" i="4"/>
  <c r="E107" i="4"/>
  <c r="N106" i="4"/>
  <c r="E106" i="4"/>
  <c r="N105" i="4"/>
  <c r="E105" i="4"/>
  <c r="N104" i="4"/>
  <c r="E104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2" i="4"/>
  <c r="E62" i="4"/>
  <c r="N61" i="4"/>
  <c r="E61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H163" i="4" s="1"/>
  <c r="R2" i="4" s="1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I166" i="4" s="1"/>
  <c r="K2" i="4"/>
  <c r="I2" i="4"/>
  <c r="F2" i="4"/>
  <c r="K54" i="3"/>
  <c r="U2" i="3" s="1"/>
  <c r="I54" i="3"/>
  <c r="S2" i="3" s="1"/>
  <c r="H54" i="3"/>
  <c r="G54" i="3"/>
  <c r="Q2" i="3" s="1"/>
  <c r="N48" i="3"/>
  <c r="E48" i="3"/>
  <c r="N47" i="3"/>
  <c r="E47" i="3"/>
  <c r="N46" i="3"/>
  <c r="E46" i="3"/>
  <c r="N45" i="3"/>
  <c r="E45" i="3"/>
  <c r="N44" i="3"/>
  <c r="E44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K2" i="3"/>
  <c r="I2" i="3"/>
  <c r="F2" i="3"/>
  <c r="L94" i="2"/>
  <c r="V2" i="2" s="1"/>
  <c r="J94" i="2"/>
  <c r="I94" i="2"/>
  <c r="S2" i="2" s="1"/>
  <c r="H94" i="2"/>
  <c r="R2" i="2" s="1"/>
  <c r="F94" i="2"/>
  <c r="N88" i="2"/>
  <c r="E88" i="2"/>
  <c r="N87" i="2"/>
  <c r="E87" i="2"/>
  <c r="N86" i="2"/>
  <c r="E86" i="2"/>
  <c r="N85" i="2"/>
  <c r="E85" i="2"/>
  <c r="N84" i="2"/>
  <c r="E84" i="2"/>
  <c r="N83" i="2"/>
  <c r="E83" i="2"/>
  <c r="N82" i="2"/>
  <c r="E82" i="2"/>
  <c r="N81" i="2"/>
  <c r="E81" i="2"/>
  <c r="N80" i="2"/>
  <c r="E80" i="2"/>
  <c r="N79" i="2"/>
  <c r="E79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70" i="2"/>
  <c r="E70" i="2"/>
  <c r="N69" i="2"/>
  <c r="E69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J16" i="1"/>
  <c r="H16" i="1"/>
  <c r="G16" i="1"/>
  <c r="D16" i="1"/>
  <c r="J15" i="1"/>
  <c r="H15" i="1"/>
  <c r="G15" i="1"/>
  <c r="D15" i="1"/>
  <c r="J14" i="1"/>
  <c r="G14" i="1"/>
  <c r="D14" i="1"/>
  <c r="J13" i="1"/>
  <c r="G13" i="1"/>
  <c r="G12" i="1"/>
  <c r="G11" i="1"/>
  <c r="H10" i="1"/>
  <c r="G10" i="1"/>
  <c r="J8" i="1"/>
  <c r="G8" i="1"/>
  <c r="F8" i="1"/>
  <c r="I7" i="1"/>
  <c r="G7" i="1"/>
  <c r="J6" i="1"/>
  <c r="F6" i="1"/>
  <c r="R2" i="8" l="1"/>
  <c r="F12" i="1"/>
  <c r="P2" i="8"/>
  <c r="D12" i="1"/>
  <c r="G6" i="1"/>
  <c r="J9" i="1"/>
  <c r="V2" i="7"/>
  <c r="I37" i="5"/>
  <c r="F35" i="5" s="1"/>
  <c r="D10" i="1"/>
  <c r="I97" i="2"/>
  <c r="L54" i="3"/>
  <c r="E7" i="1"/>
  <c r="F16" i="1"/>
  <c r="F15" i="1"/>
  <c r="F13" i="1"/>
  <c r="M46" i="8"/>
  <c r="F11" i="1"/>
  <c r="F9" i="1"/>
  <c r="G17" i="1"/>
  <c r="P2" i="1" s="1"/>
  <c r="F14" i="1"/>
  <c r="S2" i="5"/>
  <c r="M166" i="4"/>
  <c r="M47" i="7"/>
  <c r="U2" i="9"/>
  <c r="M52" i="9"/>
  <c r="M61" i="12"/>
  <c r="M73" i="6"/>
  <c r="K44" i="7"/>
  <c r="I11" i="1" s="1"/>
  <c r="G49" i="9"/>
  <c r="G50" i="9" s="1"/>
  <c r="V2" i="3"/>
  <c r="J7" i="1"/>
  <c r="F50" i="9"/>
  <c r="I50" i="9"/>
  <c r="C13" i="1"/>
  <c r="L50" i="9"/>
  <c r="H50" i="9"/>
  <c r="K50" i="9"/>
  <c r="J95" i="2"/>
  <c r="F95" i="2"/>
  <c r="C6" i="1"/>
  <c r="I95" i="2"/>
  <c r="H95" i="2"/>
  <c r="L95" i="2"/>
  <c r="J96" i="2"/>
  <c r="T2" i="2"/>
  <c r="H9" i="1"/>
  <c r="T2" i="5"/>
  <c r="M57" i="3"/>
  <c r="K34" i="5"/>
  <c r="G34" i="5"/>
  <c r="D9" i="1"/>
  <c r="P2" i="5"/>
  <c r="V2" i="6"/>
  <c r="J10" i="1"/>
  <c r="J45" i="7"/>
  <c r="F45" i="7"/>
  <c r="I45" i="7"/>
  <c r="L45" i="7"/>
  <c r="H45" i="7"/>
  <c r="K62" i="10"/>
  <c r="K63" i="10" s="1"/>
  <c r="G62" i="10"/>
  <c r="G63" i="10" s="1"/>
  <c r="P2" i="10"/>
  <c r="K46" i="11"/>
  <c r="J48" i="11" s="1"/>
  <c r="G46" i="11"/>
  <c r="F48" i="11" s="1"/>
  <c r="P2" i="11"/>
  <c r="G94" i="2"/>
  <c r="G95" i="2" s="1"/>
  <c r="K94" i="2"/>
  <c r="J46" i="7"/>
  <c r="T2" i="7"/>
  <c r="C11" i="1"/>
  <c r="H11" i="1"/>
  <c r="J12" i="1"/>
  <c r="K163" i="4"/>
  <c r="K164" i="4" s="1"/>
  <c r="G163" i="4"/>
  <c r="F165" i="4" s="1"/>
  <c r="P2" i="4"/>
  <c r="D8" i="1"/>
  <c r="M37" i="5"/>
  <c r="R2" i="6"/>
  <c r="F10" i="1"/>
  <c r="U2" i="7"/>
  <c r="P2" i="7"/>
  <c r="K43" i="8"/>
  <c r="G43" i="8"/>
  <c r="I46" i="8"/>
  <c r="J49" i="9"/>
  <c r="M65" i="10"/>
  <c r="M49" i="11"/>
  <c r="P2" i="2"/>
  <c r="I57" i="3"/>
  <c r="J54" i="3"/>
  <c r="F54" i="3"/>
  <c r="T2" i="4"/>
  <c r="H8" i="1"/>
  <c r="J164" i="4"/>
  <c r="F164" i="4"/>
  <c r="I164" i="4"/>
  <c r="L164" i="4"/>
  <c r="H164" i="4"/>
  <c r="J35" i="5"/>
  <c r="I35" i="5"/>
  <c r="L35" i="5"/>
  <c r="T2" i="10"/>
  <c r="J63" i="10"/>
  <c r="F63" i="10"/>
  <c r="C14" i="1"/>
  <c r="I63" i="10"/>
  <c r="L63" i="10"/>
  <c r="H63" i="10"/>
  <c r="T2" i="11"/>
  <c r="J47" i="11"/>
  <c r="F47" i="11"/>
  <c r="I47" i="11"/>
  <c r="L47" i="11"/>
  <c r="H47" i="11"/>
  <c r="D6" i="1"/>
  <c r="H6" i="1"/>
  <c r="H14" i="1"/>
  <c r="M97" i="2"/>
  <c r="C8" i="1"/>
  <c r="R2" i="3"/>
  <c r="F7" i="1"/>
  <c r="K70" i="6"/>
  <c r="G70" i="6"/>
  <c r="I73" i="6"/>
  <c r="P2" i="9"/>
  <c r="D13" i="1"/>
  <c r="K58" i="12"/>
  <c r="G58" i="12"/>
  <c r="I61" i="12"/>
  <c r="G44" i="7"/>
  <c r="T2" i="8"/>
  <c r="K35" i="5" l="1"/>
  <c r="C9" i="1"/>
  <c r="F17" i="1"/>
  <c r="O2" i="1" s="1"/>
  <c r="K45" i="7"/>
  <c r="J45" i="8"/>
  <c r="H35" i="5"/>
  <c r="F96" i="2"/>
  <c r="F51" i="9"/>
  <c r="J165" i="4"/>
  <c r="K47" i="11"/>
  <c r="J64" i="10"/>
  <c r="Q2" i="9"/>
  <c r="E13" i="1"/>
  <c r="K13" i="1" s="1"/>
  <c r="F64" i="10"/>
  <c r="E11" i="1"/>
  <c r="K11" i="1" s="1"/>
  <c r="Q2" i="7"/>
  <c r="Q2" i="6"/>
  <c r="F72" i="6"/>
  <c r="E10" i="1"/>
  <c r="L59" i="12"/>
  <c r="H59" i="12"/>
  <c r="K59" i="12"/>
  <c r="G59" i="12"/>
  <c r="J59" i="12"/>
  <c r="F59" i="12"/>
  <c r="C16" i="1"/>
  <c r="I59" i="12"/>
  <c r="U2" i="6"/>
  <c r="J72" i="6"/>
  <c r="I10" i="1"/>
  <c r="L55" i="3"/>
  <c r="H55" i="3"/>
  <c r="J55" i="3"/>
  <c r="K55" i="3"/>
  <c r="G55" i="3"/>
  <c r="F55" i="3"/>
  <c r="I55" i="3"/>
  <c r="C7" i="1"/>
  <c r="I12" i="1"/>
  <c r="U2" i="8"/>
  <c r="E16" i="1"/>
  <c r="K16" i="1" s="1"/>
  <c r="Q2" i="12"/>
  <c r="F60" i="12"/>
  <c r="G45" i="7"/>
  <c r="J51" i="9"/>
  <c r="T2" i="9"/>
  <c r="H13" i="1"/>
  <c r="F46" i="7"/>
  <c r="U2" i="2"/>
  <c r="I6" i="1"/>
  <c r="Q2" i="11"/>
  <c r="E15" i="1"/>
  <c r="K15" i="1" s="1"/>
  <c r="Q2" i="10"/>
  <c r="E14" i="1"/>
  <c r="K14" i="1" s="1"/>
  <c r="Q2" i="5"/>
  <c r="E9" i="1"/>
  <c r="K9" i="1" s="1"/>
  <c r="G35" i="5"/>
  <c r="I16" i="1"/>
  <c r="U2" i="12"/>
  <c r="J60" i="12"/>
  <c r="L71" i="6"/>
  <c r="H71" i="6"/>
  <c r="C10" i="1"/>
  <c r="K71" i="6"/>
  <c r="G71" i="6"/>
  <c r="J71" i="6"/>
  <c r="F71" i="6"/>
  <c r="I71" i="6"/>
  <c r="P2" i="3"/>
  <c r="D7" i="1"/>
  <c r="K7" i="1" s="1"/>
  <c r="F56" i="3"/>
  <c r="L44" i="8"/>
  <c r="H44" i="8"/>
  <c r="K44" i="8"/>
  <c r="G44" i="8"/>
  <c r="J44" i="8"/>
  <c r="F44" i="8"/>
  <c r="C12" i="1"/>
  <c r="I44" i="8"/>
  <c r="E8" i="1"/>
  <c r="K8" i="1" s="1"/>
  <c r="Q2" i="4"/>
  <c r="Q2" i="2"/>
  <c r="E6" i="1"/>
  <c r="K6" i="1" s="1"/>
  <c r="U2" i="11"/>
  <c r="I15" i="1"/>
  <c r="U2" i="10"/>
  <c r="I14" i="1"/>
  <c r="U2" i="5"/>
  <c r="I9" i="1"/>
  <c r="J36" i="5"/>
  <c r="K95" i="2"/>
  <c r="G47" i="11"/>
  <c r="J50" i="9"/>
  <c r="J17" i="1"/>
  <c r="S2" i="1" s="1"/>
  <c r="T2" i="3"/>
  <c r="J56" i="3"/>
  <c r="H7" i="1"/>
  <c r="E12" i="1"/>
  <c r="K12" i="1" s="1"/>
  <c r="Q2" i="8"/>
  <c r="F45" i="8"/>
  <c r="I8" i="1"/>
  <c r="U2" i="4"/>
  <c r="F36" i="5"/>
  <c r="G164" i="4"/>
  <c r="C17" i="1" l="1"/>
  <c r="K10" i="1"/>
  <c r="H17" i="1"/>
  <c r="Q2" i="1" s="1"/>
  <c r="I17" i="1"/>
  <c r="R2" i="1" s="1"/>
  <c r="E17" i="1"/>
  <c r="N2" i="1" s="1"/>
  <c r="D17" i="1"/>
  <c r="D18" i="1" l="1"/>
  <c r="M2" i="1"/>
</calcChain>
</file>

<file path=xl/sharedStrings.xml><?xml version="1.0" encoding="utf-8"?>
<sst xmlns="http://schemas.openxmlformats.org/spreadsheetml/2006/main" count="2881" uniqueCount="134">
  <si>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</si>
  <si>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</si>
  <si>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</si>
  <si>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</si>
  <si>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</si>
  <si>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</si>
  <si>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</si>
  <si>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</si>
  <si>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</si>
  <si>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</si>
  <si>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</si>
  <si>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</si>
  <si>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</si>
  <si>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</si>
  <si>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</si>
  <si>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</si>
  <si>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ENTR. BR-010 (ITACAJÁ) - PALMEIRANTE</t>
  </si>
  <si>
    <t>RODOVIA TO-010 - TRECHO ENTR. TO-222 (POVOADO FARTURÃO) - BABAÇULÂNDIA</t>
  </si>
  <si>
    <t>RODOVIA TO-020 - TRECHO RECURSOLÂNDIA - CAMPOS LINDOS</t>
  </si>
  <si>
    <t>RODOVIA TO-130 - TRECHO ENTR. TO-424 - TRECHO ENTR. TO-222</t>
  </si>
  <si>
    <t>RODOVIA TO-226 - TRECHO NOVA OLINDA - ENTR. TO-010</t>
  </si>
  <si>
    <t>RODOVIA TO-226 - TRECHO ENTR. TO-010 (POVOADO CAMPOS) - ENTR. BR-010</t>
  </si>
  <si>
    <t>RODOVIA TO-423 - TRECHO ARAGUAÍNA - ENTR. TO-424</t>
  </si>
  <si>
    <t>RODOVIA TO-424 - TRECHO ENTR. TO-010 (BABAÇULÂNDIA) - ENTR. TO-222</t>
  </si>
  <si>
    <t>RODOVIA TO-425 - TRECHO ENTR. TO-130 (BARRA DO OURO) - GOIATINS</t>
  </si>
  <si>
    <t>RODOVIA TO-426 - TRECHO POVOADO CRAOLÂNDIA - ENTR. TO-226</t>
  </si>
  <si>
    <t>RODOVIA TO-428 - TRECHO POVOADO BANDEIRA - ENTR. TO-226</t>
  </si>
  <si>
    <t>TOTAL PERCORRIDO NO MÊS</t>
  </si>
  <si>
    <t>% DA EXTENSÃO DA MALHA (547.19 km)</t>
  </si>
  <si>
    <t>(soma do grupo 'CONDIÇÃO DA PLATAFORMA' dividida pela malha)</t>
  </si>
  <si>
    <t>PROGRAMA DE MANUTENÇÃO RODOVIÁRIA — FICHA DE INSPEÇÃO — RODOVIAS NÃO PAVIMENTADAS</t>
  </si>
  <si>
    <t>REGIÃO:  3 — ARAGUAÍNA II</t>
  </si>
  <si>
    <t>MÊS / ANO:</t>
  </si>
  <si>
    <t>DATA:</t>
  </si>
  <si>
    <t>TÉCNICO:</t>
  </si>
  <si>
    <t>TRECHO 67 — RODOVIA TO-010 - TRECHO ENTR. BR-010 (ITACAJÁ) - PALMEIRANTE</t>
  </si>
  <si>
    <t>EXTENSÃO: 77,592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</si>
  <si>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</si>
  <si>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</si>
  <si>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</si>
  <si>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</si>
  <si>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</si>
  <si>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</si>
  <si>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</si>
  <si>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</si>
  <si>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010ETO0250   |   ENTR. BR-010 - TRECHO ENTR. TO-226 (POV. CAMPOS)   |   LEN · Estadual · 58.164 km  ·  início: -8.340994, -47.74331</t>
  </si>
  <si>
    <t>010ETO0250</t>
  </si>
  <si>
    <t>C</t>
  </si>
  <si>
    <t>X</t>
  </si>
  <si>
    <t>S.R.E. 010ETO0290   |   ENTR. TO-226 (CAMPOS) - RIO TOCANTINS ( BALSA PALMEIRANTE)   |   LEN · Estadual · 19.428 km  ·  início: -7.944864, -47.806618</t>
  </si>
  <si>
    <t>010ETO0290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</si>
  <si>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</si>
  <si>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</si>
  <si>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</si>
  <si>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</si>
  <si>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</si>
  <si>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</si>
  <si>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</si>
  <si>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</si>
  <si>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</si>
  <si>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</si>
  <si>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</si>
  <si>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</si>
  <si>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</si>
  <si>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</si>
  <si>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</si>
  <si>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</si>
  <si>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</si>
  <si>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</si>
  <si>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</si>
  <si>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</si>
  <si>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</si>
  <si>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</si>
  <si>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</si>
  <si>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</si>
  <si>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69 — RODOVIA TO-010 - TRECHO ENTR. TO-222 (POVOADO FARTURÃO) - BABAÇULÂNDIA</t>
  </si>
  <si>
    <t>EXTENSÃO: 38,430 km  ·  2 S.R.E.</t>
  </si>
  <si>
    <t>S.R.E. 010ETO0380   |   POV. FARTURAO - ENTR. TO-424   |   LEN · Estadual · 33.591 km  ·  início: -7.365975, -48.010799</t>
  </si>
  <si>
    <t>010ETO0380</t>
  </si>
  <si>
    <t>S.R.E. 010ETO0400   |   ENTR. TO-424 - TRECHO BABAÇULÂNDIA *TRECHO URBANO*   |   LEN · Estadual · 4.838 km  ·  início: -7.246646, -47.775707</t>
  </si>
  <si>
    <t>010ETO0400</t>
  </si>
  <si>
    <t>TRECHO 71 — RODOVIA TO-020 - TRECHO RECURSOLÂNDIA - CAMPOS LINDOS</t>
  </si>
  <si>
    <t>EXTENSÃO: 148,408 km  ·  1 S.R.E.</t>
  </si>
  <si>
    <t>S.R.E. 020ETO0210   |   FIM PAVIMENTAÇÃO - INICIO PAVIMENTACAO (CAMPOS LINDOS)   |   EOP · Estadual · 148.408 km  ·  início: -8.0515, -46.668261</t>
  </si>
  <si>
    <t>020ETO0210</t>
  </si>
  <si>
    <t>TRECHO 72 — RODOVIA TO-130 - TRECHO ENTR. TO-424 - TRECHO ENTR. TO-222</t>
  </si>
  <si>
    <t>EXTENSÃO: 19,327 km  ·  1 S.R.E.</t>
  </si>
  <si>
    <t>S.R.E. 130ETO0010   |   ENTR. TO-424 - TRECHO ENTR. TO-222 (A)   |   LEN · Estadual · 19.327 km  ·  início: -7.427496, -47.71581</t>
  </si>
  <si>
    <t>130ETO0010</t>
  </si>
  <si>
    <t>TRECHO 75 — RODOVIA TO-226 - TRECHO NOVA OLINDA - ENTR. TO-010</t>
  </si>
  <si>
    <t>EXTENSÃO: 54,390 km  ·  2 S.R.E.</t>
  </si>
  <si>
    <t>S.R.E. 226ETO0190   |   ENTR.TO-010 - TRECHO POV. ALTO BONITO   |   LEN · Estadual · 36.768 km  ·  início: -7.642978, -48.284114</t>
  </si>
  <si>
    <t>226ETO0190</t>
  </si>
  <si>
    <t>S.R.E. 226ETO0200   |   POV. ALTO BONITO - NOVA OLINDA *TRECHO URBANO*   |   LEN · Estadual · 17.621 km  ·  início: -7.642978, -48.284114</t>
  </si>
  <si>
    <t>226ETO0200</t>
  </si>
  <si>
    <t>TRECHO 76 — RODOVIA TO-226 - TRECHO ENTR. TO-010 (POVOADO CAMPOS) - ENTR. BR-010</t>
  </si>
  <si>
    <t>EXTENSÃO: 28,344 km  ·  2 S.R.E.</t>
  </si>
  <si>
    <t>S.R.E. 226ETO0120   |   ENTR. BR-010-TO-130 - TRECHO BARRO VERMELHO   |   LEN · Estadual · 14.647 km  ·  início: -8.008101, -47.583625</t>
  </si>
  <si>
    <t>226ETO0120</t>
  </si>
  <si>
    <t>S.R.E. 226ETO0130   |   BARRO VERMELHO - ENTR. TO-010 (CAMPOS)   |   LEN · Estadual · 13.697 km  ·  início: -7.979919, -47.695868</t>
  </si>
  <si>
    <t>226ETO0130</t>
  </si>
  <si>
    <t>TRECHO 79 — RODOVIA TO-423 - TRECHO ARAGUAÍNA - ENTR. TO-424</t>
  </si>
  <si>
    <t>EXTENSÃO: 28,589 km  ·  1 S.R.E.</t>
  </si>
  <si>
    <t>S.R.E. 423ETO0020   |   ARAGUAINA *TRECHO URBANO* - ENTR. TO-424   |   LEN · Estadual · 28.589 km  ·  início: -7.272753, -47.993519</t>
  </si>
  <si>
    <t>423ETO0020</t>
  </si>
  <si>
    <t>TRECHO 81 — RODOVIA TO-424 - TRECHO ENTR. TO-010 (BABAÇULÂNDIA) - ENTR. TO-222</t>
  </si>
  <si>
    <t>EXTENSÃO: 31,500 km  ·  3 S.R.E.</t>
  </si>
  <si>
    <t>S.R.E. 424ETO0010   |   ENTR. TO-222 - TRECHO CANA BRAVA   |   LEN · Estadual · 13.614 km  ·  início: -7.354362, -47.566302</t>
  </si>
  <si>
    <t>424ETO0010</t>
  </si>
  <si>
    <t>S.R.E. 424ETO0015   |   CANA BRAVA - ENTR. TO-130   |   LEN · Estadual · 3.865 km  ·  início: -7.32222, -47.657038</t>
  </si>
  <si>
    <t>424ETO0015</t>
  </si>
  <si>
    <t>S.R.E. 424ETO0020   |   ENTR. TO-130 - TRECHO ENTR. TO-010   |   LEN · Estadual · 14.021 km  ·  início: -7.318195, -47.690052</t>
  </si>
  <si>
    <t>424ETO0020</t>
  </si>
  <si>
    <t>TRECHO 82 — RODOVIA TO-425 - TRECHO ENTR. TO-130 (BARRA DO OURO) - GOIATINS</t>
  </si>
  <si>
    <t>EXTENSÃO: 47,359 km  ·  1 S.R.E.</t>
  </si>
  <si>
    <t>S.R.E. 425ETO0010   |   GOIATINS *TRECHO URBANO* - ENTR. TO-130   |   LEN · Estadual · 47.359 km  ·  início: -7.719866, -47.641908</t>
  </si>
  <si>
    <t>425ETO0010</t>
  </si>
  <si>
    <t>TRECHO 83 — RODOVIA TO-426 - TRECHO POVOADO CRAOLÂNDIA - ENTR. TO-226</t>
  </si>
  <si>
    <t>EXTENSÃO: 31,731 km  ·  1 S.R.E.</t>
  </si>
  <si>
    <t>S.R.E. 426ETO0010   |   ENTR. TO-226 - TRECHO POV. CRAOLÂNDIA   |   LEN · Estadual · 31.731 km  ·  início: -7.890975, -47.216931</t>
  </si>
  <si>
    <t>426ETO0010</t>
  </si>
  <si>
    <t>TRECHO 84 — RODOVIA TO-428 - TRECHO POVOADO BANDEIRA - ENTR. TO-226</t>
  </si>
  <si>
    <t>EXTENSÃO: 41,522 km  ·  2 S.R.E.</t>
  </si>
  <si>
    <t>S.R.E. 428ETO0010   |   ENTR. TO-226 - TRECHO RANCHARIA   |   LEN · Estadual · 28.070 km  ·  início: -8.039992, -46.848587</t>
  </si>
  <si>
    <t>428ETO0010</t>
  </si>
  <si>
    <t>S.R.E. 428ETO0020   |   RANCHARIA - BANDEIRA   |   LEN · Estadual · 13.451 km  ·  início: -8.200092, -46.951853</t>
  </si>
  <si>
    <t>428ETO0020</t>
  </si>
  <si>
    <t>TÉCNICOS</t>
  </si>
  <si>
    <t>ENG. VINÍCIUS RODRIGUES FERREIRA DE OLIVEIRA</t>
  </si>
  <si>
    <t>LABORATORISTA CLAUDIOMIRO VIEIRA LOPES</t>
  </si>
  <si>
    <t>ENG. VINICIUS RODRIGUES FERREIRA DE OLIVEIRA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</si>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</sst>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2" fillId="0" borderId="0" xfId="0" applyFont="1" applyAlignment="1">
      <alignment horizontal="right" vertical="center"/>
    </xf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right"/>
    </xf>
    <xf numFmtId="0" fontId="5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18-44B7-9754-A0128F77FA1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18-44B7-9754-A0128F77FA1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18-44B7-9754-A0128F77FA1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18-44B7-9754-A0128F77FA1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51.42966885149</c:v>
                </c:pt>
                <c:pt idx="1">
                  <c:v>330.41844672486002</c:v>
                </c:pt>
                <c:pt idx="2">
                  <c:v>165.34147499790001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8-44B7-9754-A0128F77FA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69-4AFD-B7D5-B781D2A8A76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69-4AFD-B7D5-B781D2A8A76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69-4AFD-B7D5-B781D2A8A76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33.5912005036</c:v>
                </c:pt>
                <c:pt idx="1">
                  <c:v>508.75992172276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9-4AFD-B7D5-B781D2A8A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8D-4D01-8394-3C791F58A8B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8D-4D01-8394-3C791F58A8B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8D-4D01-8394-3C791F58A8B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8D-4D01-8394-3C791F58A8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8D-4D01-8394-3C791F58A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2D-4342-AC26-A799B263F2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2D-4342-AC26-A799B263F2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2D-4342-AC26-A799B263F2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2D-4342-AC26-A799B263F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A1-4905-B6E7-C27CF50F539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A1-4905-B6E7-C27CF50F539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A1-4905-B6E7-C27CF50F539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A1-4905-B6E7-C27CF50F53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'69'!$P$2:$S$2</c:f>
              <c:numCache>
                <c:formatCode>#,##0.00</c:formatCode>
                <c:ptCount val="4"/>
                <c:pt idx="0">
                  <c:v>38.42966885149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A1-4905-B6E7-C27CF50F53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AD-4870-8E34-5968CF57A3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AD-4870-8E34-5968CF57A3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AD-4870-8E34-5968CF57A3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'69'!$T$2:$V$2</c:f>
              <c:numCache>
                <c:formatCode>#,##0.00</c:formatCode>
                <c:ptCount val="3"/>
                <c:pt idx="0">
                  <c:v>33.5912005036</c:v>
                </c:pt>
                <c:pt idx="1">
                  <c:v>#N/A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AD-4870-8E34-5968CF57A3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9B-4846-BC24-1AE8C5003E6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9B-4846-BC24-1AE8C5003E6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9B-4846-BC24-1AE8C5003E6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9B-4846-BC24-1AE8C5003E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25</c:v>
                </c:pt>
                <c:pt idx="2">
                  <c:v>123.40782601500001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9B-4846-BC24-1AE8C5003E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1B-43E0-A5EE-9DCED882DE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1B-43E0-A5EE-9DCED882DE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1B-43E0-A5EE-9DCED882DE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148.40782601500001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B-43E0-A5EE-9DCED882DE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CD-4BCD-A229-FCA70477B1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CD-4BCD-A229-FCA70477B1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CD-4BCD-A229-FCA70477B18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CD-4BCD-A229-FCA70477B1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15.3265161498</c:v>
                </c:pt>
                <c:pt idx="2">
                  <c:v>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CD-4BCD-A229-FCA70477B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73-4735-9BDF-3460ADDD779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73-4735-9BDF-3460ADDD779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73-4735-9BDF-3460ADDD779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19.3265161498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3-4735-9BDF-3460ADDD77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28-43C5-B9C8-5CE723E25AF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28-43C5-B9C8-5CE723E25AF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28-43C5-B9C8-5CE723E25AF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28-43C5-B9C8-5CE723E25AF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52.389635881299995</c:v>
                </c:pt>
                <c:pt idx="2">
                  <c:v>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28-43C5-B9C8-5CE723E25A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D0-44C2-9CF1-548CAEB047B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D0-44C2-9CF1-548CAEB047B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D0-44C2-9CF1-548CAEB047B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54.389635881299995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0-44C2-9CF1-548CAEB047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F1-49F5-A532-20EEAA9BC67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F1-49F5-A532-20EEAA9BC67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F1-49F5-A532-20EEAA9BC67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F1-49F5-A532-20EEAA9BC67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'76'!$P$2:$S$2</c:f>
              <c:numCache>
                <c:formatCode>#,##0.00</c:formatCode>
                <c:ptCount val="4"/>
                <c:pt idx="0">
                  <c:v>3</c:v>
                </c:pt>
                <c:pt idx="1">
                  <c:v>22.343878059399998</c:v>
                </c:pt>
                <c:pt idx="2">
                  <c:v>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F1-49F5-A532-20EEAA9BC6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AD-4CCF-B18E-CFF9CB1E137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AD-4CCF-B18E-CFF9CB1E137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AD-4CCF-B18E-CFF9CB1E13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28.343878059399998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AD-4CCF-B18E-CFF9CB1E1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2D-44FA-B779-5C2BC09C0D4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2D-44FA-B779-5C2BC09C0D4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2D-44FA-B779-5C2BC09C0D4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2D-44FA-B779-5C2BC09C0D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'79'!$P$2:$S$2</c:f>
              <c:numCache>
                <c:formatCode>#,##0.00</c:formatCode>
                <c:ptCount val="4"/>
                <c:pt idx="0">
                  <c:v>2</c:v>
                </c:pt>
                <c:pt idx="1">
                  <c:v>22</c:v>
                </c:pt>
                <c:pt idx="2">
                  <c:v>4.5889587747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2D-44FA-B779-5C2BC09C0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11-4E42-9D5E-C68A036DCB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11-4E42-9D5E-C68A036DCB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11-4E42-9D5E-C68A036DCB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28.5889587747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11-4E42-9D5E-C68A036DCB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74-4A11-80B6-BA0E3AEBA20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74-4A11-80B6-BA0E3AEBA20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74-4A11-80B6-BA0E3AEBA20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74-4A11-80B6-BA0E3AEBA20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'81'!$P$2:$S$2</c:f>
              <c:numCache>
                <c:formatCode>#,##0.00</c:formatCode>
                <c:ptCount val="4"/>
                <c:pt idx="0">
                  <c:v>8</c:v>
                </c:pt>
                <c:pt idx="1">
                  <c:v>17.885782883559997</c:v>
                </c:pt>
                <c:pt idx="2">
                  <c:v>5.6139219471999997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74-4A11-80B6-BA0E3AEBA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03-4A5B-A762-6C1F4DBEDD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03-4A5B-A762-6C1F4DBEDD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03-4A5B-A762-6C1F4DBEDD3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31.499704830759995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03-4A5B-A762-6C1F4DBED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DA-4447-AF84-62C13ABECEB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DA-4447-AF84-62C13ABECEB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DA-4447-AF84-62C13ABECEB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DA-4447-AF84-62C13ABECE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DA-4447-AF84-62C13ABEC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2E-4CAC-AB7F-EB68D2DDE97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2E-4CAC-AB7F-EB68D2DDE97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2E-4CAC-AB7F-EB68D2DDE97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2E-4CAC-AB7F-EB68D2DDE9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57-42E1-9346-656974643E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57-42E1-9346-656974643E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57-42E1-9346-656974643E6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57-42E1-9346-656974643E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20</c:v>
                </c:pt>
                <c:pt idx="2">
                  <c:v>11.730768261000001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57-42E1-9346-656974643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16-497B-B99B-4F2865D95B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16-497B-B99B-4F2865D95B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816-497B-B99B-4F2865D95B8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31.730768261000001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16-497B-B99B-4F2865D95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76-425A-B40C-F1E41250AE4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76-425A-B40C-F1E41250AE4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76-425A-B40C-F1E41250AE4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F76-425A-B40C-F1E41250AE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'84'!$P$2:$S$2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30.521689058500002</c:v>
                </c:pt>
                <c:pt idx="2">
                  <c:v>11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6-425A-B40C-F1E41250A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DD-40B4-9C17-DD37DAC2B1D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DD-40B4-9C17-DD37DAC2B1D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DD-40B4-9C17-DD37DAC2B1D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41.521689058500002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DD-40B4-9C17-DD37DAC2B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8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36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IF(D17=0,NA(),D17)</f>
        <v>51.42966885149</v>
      </c>
      <c r="N2" s="2">
        <f t="shared" si="0"/>
        <v>330.41844672486002</v>
      </c>
      <c r="O2" s="2">
        <f t="shared" si="0"/>
        <v>165.34147499790001</v>
      </c>
      <c r="P2" s="2" t="e">
        <f t="shared" si="0"/>
        <v>#N/A</v>
      </c>
      <c r="Q2" s="2">
        <f t="shared" si="0"/>
        <v>33.5912005036</v>
      </c>
      <c r="R2" s="2">
        <f t="shared" si="0"/>
        <v>508.75992172276</v>
      </c>
      <c r="S2" s="2">
        <f t="shared" si="0"/>
        <v>4.8384683478900001</v>
      </c>
    </row>
    <row r="4" spans="1:19" ht="26.1" customHeight="1" x14ac:dyDescent="0.25">
      <c r="A4" s="38" t="s">
        <v>3</v>
      </c>
      <c r="B4" s="38" t="s">
        <v>4</v>
      </c>
      <c r="C4" s="38" t="s">
        <v>5</v>
      </c>
      <c r="D4" s="38" t="s">
        <v>6</v>
      </c>
      <c r="E4" s="33"/>
      <c r="F4" s="33"/>
      <c r="G4" s="34"/>
      <c r="H4" s="38" t="s">
        <v>7</v>
      </c>
      <c r="I4" s="33"/>
      <c r="J4" s="34"/>
      <c r="K4" s="38" t="s">
        <v>8</v>
      </c>
    </row>
    <row r="5" spans="1:19" ht="18" customHeight="1" x14ac:dyDescent="0.25">
      <c r="A5" s="39"/>
      <c r="B5" s="39"/>
      <c r="C5" s="39"/>
      <c r="D5" s="3" t="s">
        <v>9</v>
      </c>
      <c r="E5" s="3" t="s">
        <v>131</v>
      </c>
      <c r="F5" s="3" t="s">
        <v>132</v>
      </c>
      <c r="G5" s="3" t="s">
        <v>133</v>
      </c>
      <c r="H5" s="3" t="s">
        <v>13</v>
      </c>
      <c r="I5" s="3" t="s">
        <v>14</v>
      </c>
      <c r="J5" s="3" t="s">
        <v>15</v>
      </c>
      <c r="K5" s="39"/>
    </row>
    <row r="6" spans="1:19" x14ac:dyDescent="0.25">
      <c r="A6" s="5">
        <v>67</v>
      </c>
      <c r="B6" s="6" t="s">
        <v>16</v>
      </c>
      <c r="C6" s="7">
        <f>'67'!I97</f>
        <v>77.592132807300004</v>
      </c>
      <c r="D6" s="7">
        <f>'67'!F94</f>
        <v>0</v>
      </c>
      <c r="E6" s="7">
        <f>'67'!G94</f>
        <v>77.592132807300004</v>
      </c>
      <c r="F6" s="7">
        <f>'67'!H94</f>
        <v>0</v>
      </c>
      <c r="G6" s="7">
        <f>'67'!I94</f>
        <v>0</v>
      </c>
      <c r="H6" s="7">
        <f>'67'!J94</f>
        <v>0</v>
      </c>
      <c r="I6" s="7">
        <f>'67'!K94</f>
        <v>77.592132807300004</v>
      </c>
      <c r="J6" s="7">
        <f>'67'!L94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69</v>
      </c>
      <c r="B7" s="6" t="s">
        <v>17</v>
      </c>
      <c r="C7" s="7">
        <f>'69'!I57</f>
        <v>38.42966885149</v>
      </c>
      <c r="D7" s="7">
        <f>'69'!F54</f>
        <v>38.42966885149</v>
      </c>
      <c r="E7" s="7">
        <f>'69'!G54</f>
        <v>0</v>
      </c>
      <c r="F7" s="7">
        <f>'69'!H54</f>
        <v>0</v>
      </c>
      <c r="G7" s="7">
        <f>'69'!I54</f>
        <v>0</v>
      </c>
      <c r="H7" s="7">
        <f>'69'!J54</f>
        <v>33.5912005036</v>
      </c>
      <c r="I7" s="7">
        <f>'69'!K54</f>
        <v>0</v>
      </c>
      <c r="J7" s="7">
        <f>'69'!L54</f>
        <v>4.8384683478900001</v>
      </c>
      <c r="K7" s="5" t="str">
        <f t="shared" si="1"/>
        <v>OK</v>
      </c>
    </row>
    <row r="8" spans="1:19" x14ac:dyDescent="0.25">
      <c r="A8" s="5">
        <v>71</v>
      </c>
      <c r="B8" s="6" t="s">
        <v>18</v>
      </c>
      <c r="C8" s="7">
        <f>'71'!I166</f>
        <v>148.40782601500001</v>
      </c>
      <c r="D8" s="7">
        <f>'71'!F163</f>
        <v>0</v>
      </c>
      <c r="E8" s="7">
        <f>'71'!G163</f>
        <v>25</v>
      </c>
      <c r="F8" s="7">
        <f>'71'!H163</f>
        <v>123.40782601500001</v>
      </c>
      <c r="G8" s="7">
        <f>'71'!I163</f>
        <v>0</v>
      </c>
      <c r="H8" s="7">
        <f>'71'!J163</f>
        <v>0</v>
      </c>
      <c r="I8" s="7">
        <f>'71'!K163</f>
        <v>148.40782601500001</v>
      </c>
      <c r="J8" s="7">
        <f>'71'!L163</f>
        <v>0</v>
      </c>
      <c r="K8" s="5" t="str">
        <f t="shared" si="1"/>
        <v>OK</v>
      </c>
    </row>
    <row r="9" spans="1:19" x14ac:dyDescent="0.25">
      <c r="A9" s="5">
        <v>72</v>
      </c>
      <c r="B9" s="6" t="s">
        <v>19</v>
      </c>
      <c r="C9" s="7">
        <f>'72'!I37</f>
        <v>19.3265161498</v>
      </c>
      <c r="D9" s="7">
        <f>'72'!F34</f>
        <v>0</v>
      </c>
      <c r="E9" s="7">
        <f>'72'!G34</f>
        <v>15.3265161498</v>
      </c>
      <c r="F9" s="7">
        <f>'72'!H34</f>
        <v>4</v>
      </c>
      <c r="G9" s="7">
        <f>'72'!I34</f>
        <v>0</v>
      </c>
      <c r="H9" s="7">
        <f>'72'!J34</f>
        <v>0</v>
      </c>
      <c r="I9" s="7">
        <f>'72'!K34</f>
        <v>19.3265161498</v>
      </c>
      <c r="J9" s="7">
        <f>'72'!L34</f>
        <v>0</v>
      </c>
      <c r="K9" s="5" t="str">
        <f t="shared" si="1"/>
        <v>OK</v>
      </c>
    </row>
    <row r="10" spans="1:19" x14ac:dyDescent="0.25">
      <c r="A10" s="5">
        <v>75</v>
      </c>
      <c r="B10" s="6" t="s">
        <v>20</v>
      </c>
      <c r="C10" s="7">
        <f>'75'!I73</f>
        <v>54.389635881299995</v>
      </c>
      <c r="D10" s="7">
        <f>'75'!F70</f>
        <v>0</v>
      </c>
      <c r="E10" s="7">
        <f>'75'!G70</f>
        <v>52.389635881299995</v>
      </c>
      <c r="F10" s="7">
        <f>'75'!H70</f>
        <v>2</v>
      </c>
      <c r="G10" s="7">
        <f>'75'!I70</f>
        <v>0</v>
      </c>
      <c r="H10" s="7">
        <f>'75'!J70</f>
        <v>0</v>
      </c>
      <c r="I10" s="7">
        <f>'75'!K70</f>
        <v>54.389635881299995</v>
      </c>
      <c r="J10" s="7">
        <f>'75'!L70</f>
        <v>0</v>
      </c>
      <c r="K10" s="5" t="str">
        <f t="shared" si="1"/>
        <v>OK</v>
      </c>
    </row>
    <row r="11" spans="1:19" x14ac:dyDescent="0.25">
      <c r="A11" s="5">
        <v>76</v>
      </c>
      <c r="B11" s="6" t="s">
        <v>21</v>
      </c>
      <c r="C11" s="7">
        <f>'76'!I47</f>
        <v>28.343878059399998</v>
      </c>
      <c r="D11" s="7">
        <f>'76'!F44</f>
        <v>3</v>
      </c>
      <c r="E11" s="7">
        <f>'76'!G44</f>
        <v>22.343878059399998</v>
      </c>
      <c r="F11" s="7">
        <f>'76'!H44</f>
        <v>3</v>
      </c>
      <c r="G11" s="7">
        <f>'76'!I44</f>
        <v>0</v>
      </c>
      <c r="H11" s="7">
        <f>'76'!J44</f>
        <v>0</v>
      </c>
      <c r="I11" s="7">
        <f>'76'!K44</f>
        <v>28.343878059399998</v>
      </c>
      <c r="J11" s="7">
        <f>'76'!L44</f>
        <v>0</v>
      </c>
      <c r="K11" s="5" t="str">
        <f t="shared" si="1"/>
        <v>OK</v>
      </c>
    </row>
    <row r="12" spans="1:19" x14ac:dyDescent="0.25">
      <c r="A12" s="5">
        <v>79</v>
      </c>
      <c r="B12" s="6" t="s">
        <v>22</v>
      </c>
      <c r="C12" s="7">
        <f>'79'!I46</f>
        <v>28.5889587747</v>
      </c>
      <c r="D12" s="7">
        <f>'79'!F43</f>
        <v>2</v>
      </c>
      <c r="E12" s="7">
        <f>'79'!G43</f>
        <v>22</v>
      </c>
      <c r="F12" s="7">
        <f>'79'!H43</f>
        <v>4.5889587747</v>
      </c>
      <c r="G12" s="7">
        <f>'79'!I43</f>
        <v>0</v>
      </c>
      <c r="H12" s="7">
        <f>'79'!J43</f>
        <v>0</v>
      </c>
      <c r="I12" s="7">
        <f>'79'!K43</f>
        <v>28.5889587747</v>
      </c>
      <c r="J12" s="7">
        <f>'79'!L43</f>
        <v>0</v>
      </c>
      <c r="K12" s="5" t="str">
        <f t="shared" si="1"/>
        <v>OK</v>
      </c>
    </row>
    <row r="13" spans="1:19" x14ac:dyDescent="0.25">
      <c r="A13" s="5">
        <v>81</v>
      </c>
      <c r="B13" s="6" t="s">
        <v>23</v>
      </c>
      <c r="C13" s="7">
        <f>'81'!I52</f>
        <v>31.499704830759995</v>
      </c>
      <c r="D13" s="7">
        <f>'81'!F49</f>
        <v>8</v>
      </c>
      <c r="E13" s="7">
        <f>'81'!G49</f>
        <v>17.885782883559997</v>
      </c>
      <c r="F13" s="7">
        <f>'81'!H49</f>
        <v>5.6139219471999997</v>
      </c>
      <c r="G13" s="7">
        <f>'81'!I49</f>
        <v>0</v>
      </c>
      <c r="H13" s="7">
        <f>'81'!J49</f>
        <v>0</v>
      </c>
      <c r="I13" s="7">
        <f>'81'!K49</f>
        <v>31.499704830759995</v>
      </c>
      <c r="J13" s="7">
        <f>'81'!L49</f>
        <v>0</v>
      </c>
      <c r="K13" s="5" t="str">
        <f t="shared" si="1"/>
        <v>OK</v>
      </c>
    </row>
    <row r="14" spans="1:19" x14ac:dyDescent="0.25">
      <c r="A14" s="5">
        <v>82</v>
      </c>
      <c r="B14" s="6" t="s">
        <v>24</v>
      </c>
      <c r="C14" s="7">
        <f>'82'!I65</f>
        <v>47.358811885000001</v>
      </c>
      <c r="D14" s="7">
        <f>'82'!F62</f>
        <v>0</v>
      </c>
      <c r="E14" s="7">
        <f>'82'!G62</f>
        <v>47.358811885000001</v>
      </c>
      <c r="F14" s="7">
        <f>'82'!H62</f>
        <v>0</v>
      </c>
      <c r="G14" s="7">
        <f>'82'!I62</f>
        <v>0</v>
      </c>
      <c r="H14" s="7">
        <f>'82'!J62</f>
        <v>0</v>
      </c>
      <c r="I14" s="7">
        <f>'82'!K62</f>
        <v>47.358811885000001</v>
      </c>
      <c r="J14" s="7">
        <f>'82'!L62</f>
        <v>0</v>
      </c>
      <c r="K14" s="5" t="str">
        <f t="shared" si="1"/>
        <v>OK</v>
      </c>
    </row>
    <row r="15" spans="1:19" x14ac:dyDescent="0.25">
      <c r="A15" s="5">
        <v>83</v>
      </c>
      <c r="B15" s="6" t="s">
        <v>25</v>
      </c>
      <c r="C15" s="7">
        <f>'83'!I49</f>
        <v>31.730768261000001</v>
      </c>
      <c r="D15" s="7">
        <f>'83'!F46</f>
        <v>0</v>
      </c>
      <c r="E15" s="7">
        <f>'83'!G46</f>
        <v>20</v>
      </c>
      <c r="F15" s="7">
        <f>'83'!H46</f>
        <v>11.730768261000001</v>
      </c>
      <c r="G15" s="7">
        <f>'83'!I46</f>
        <v>0</v>
      </c>
      <c r="H15" s="7">
        <f>'83'!J46</f>
        <v>0</v>
      </c>
      <c r="I15" s="7">
        <f>'83'!K46</f>
        <v>31.730768261000001</v>
      </c>
      <c r="J15" s="7">
        <f>'83'!L46</f>
        <v>0</v>
      </c>
      <c r="K15" s="5" t="str">
        <f t="shared" si="1"/>
        <v>OK</v>
      </c>
    </row>
    <row r="16" spans="1:19" x14ac:dyDescent="0.25">
      <c r="A16" s="5">
        <v>84</v>
      </c>
      <c r="B16" s="6" t="s">
        <v>26</v>
      </c>
      <c r="C16" s="7">
        <f>'84'!I61</f>
        <v>41.521689058500002</v>
      </c>
      <c r="D16" s="7">
        <f>'84'!F58</f>
        <v>0</v>
      </c>
      <c r="E16" s="7">
        <f>'84'!G58</f>
        <v>30.521689058500002</v>
      </c>
      <c r="F16" s="7">
        <f>'84'!H58</f>
        <v>11</v>
      </c>
      <c r="G16" s="7">
        <f>'84'!I58</f>
        <v>0</v>
      </c>
      <c r="H16" s="7">
        <f>'84'!J58</f>
        <v>0</v>
      </c>
      <c r="I16" s="7">
        <f>'84'!K58</f>
        <v>41.521689058500002</v>
      </c>
      <c r="J16" s="7">
        <f>'84'!L58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547.18959057425013</v>
      </c>
      <c r="D17" s="9">
        <f t="shared" si="2"/>
        <v>51.42966885149</v>
      </c>
      <c r="E17" s="9">
        <f t="shared" si="2"/>
        <v>330.41844672486002</v>
      </c>
      <c r="F17" s="9">
        <f t="shared" si="2"/>
        <v>165.34147499790001</v>
      </c>
      <c r="G17" s="9">
        <f t="shared" si="2"/>
        <v>0</v>
      </c>
      <c r="H17" s="9">
        <f t="shared" si="2"/>
        <v>33.5912005036</v>
      </c>
      <c r="I17" s="9">
        <f t="shared" si="2"/>
        <v>508.75992172276</v>
      </c>
      <c r="J17" s="9">
        <f t="shared" si="2"/>
        <v>4.8384683478900001</v>
      </c>
    </row>
    <row r="18" spans="2:10" x14ac:dyDescent="0.25">
      <c r="B18" s="8" t="s">
        <v>28</v>
      </c>
      <c r="D18" s="10">
        <f>SUM(D17:G17)/547.19</f>
        <v>0.99999925176675375</v>
      </c>
      <c r="H18" s="11" t="s">
        <v>29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109"/>
  <sheetViews>
    <sheetView showGridLines="0" tabSelected="1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v>46235</v>
      </c>
      <c r="G2" s="30" t="s">
        <v>33</v>
      </c>
      <c r="H2" s="31"/>
      <c r="I2" s="14"/>
      <c r="J2" s="12" t="s">
        <v>34</v>
      </c>
      <c r="K2" s="42" t="s">
        <v>130</v>
      </c>
      <c r="L2" s="43"/>
      <c r="M2" s="44"/>
      <c r="P2" s="2" t="e">
        <f t="shared" ref="P2:V2" si="0">IF(F94=0,NA(),F94)</f>
        <v>#N/A</v>
      </c>
      <c r="Q2" s="2">
        <f t="shared" si="0"/>
        <v>77.592132807300004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77.592132807300004</v>
      </c>
      <c r="V2" s="2" t="e">
        <f t="shared" si="0"/>
        <v>#N/A</v>
      </c>
    </row>
    <row r="3" spans="1:22" ht="15" customHeight="1" x14ac:dyDescent="0.25">
      <c r="A3" s="50" t="s">
        <v>35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36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45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46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46</v>
      </c>
      <c r="B41" s="16" t="s">
        <v>47</v>
      </c>
      <c r="C41" s="17">
        <v>32</v>
      </c>
      <c r="D41" s="17">
        <v>33</v>
      </c>
      <c r="E41" s="17">
        <f t="shared" ref="E41:E67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67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46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46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46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46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46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46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46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46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46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46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46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46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46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46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46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46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46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46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46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46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46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46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46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 t="s">
        <v>48</v>
      </c>
      <c r="H64" s="18"/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46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 t="s">
        <v>48</v>
      </c>
      <c r="H65" s="18"/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46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 t="s">
        <v>48</v>
      </c>
      <c r="H66" s="18"/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21" t="s">
        <v>46</v>
      </c>
      <c r="B67" s="22" t="s">
        <v>47</v>
      </c>
      <c r="C67" s="23">
        <v>58</v>
      </c>
      <c r="D67" s="23">
        <v>58.164330475299998</v>
      </c>
      <c r="E67" s="23">
        <f t="shared" si="3"/>
        <v>0.16433047529999811</v>
      </c>
      <c r="F67" s="24"/>
      <c r="G67" s="24" t="s">
        <v>48</v>
      </c>
      <c r="H67" s="24"/>
      <c r="I67" s="24"/>
      <c r="J67" s="24"/>
      <c r="K67" s="24" t="s">
        <v>48</v>
      </c>
      <c r="L67" s="24"/>
      <c r="M67" s="25"/>
      <c r="N67" s="26" t="str">
        <f t="shared" si="4"/>
        <v>OK</v>
      </c>
    </row>
    <row r="68" spans="1:14" ht="15.95" customHeight="1" x14ac:dyDescent="0.25">
      <c r="A68" s="32" t="s">
        <v>49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4"/>
      <c r="N68" s="4"/>
    </row>
    <row r="69" spans="1:14" ht="20.100000000000001" customHeight="1" x14ac:dyDescent="0.25">
      <c r="A69" s="15" t="s">
        <v>50</v>
      </c>
      <c r="B69" s="16" t="s">
        <v>47</v>
      </c>
      <c r="C69" s="17">
        <v>0</v>
      </c>
      <c r="D69" s="17">
        <v>1</v>
      </c>
      <c r="E69" s="17">
        <f t="shared" ref="E69:E88" si="5">D69-C69</f>
        <v>1</v>
      </c>
      <c r="F69" s="18"/>
      <c r="G69" s="18" t="s">
        <v>48</v>
      </c>
      <c r="H69" s="18"/>
      <c r="I69" s="18"/>
      <c r="J69" s="18"/>
      <c r="K69" s="18" t="s">
        <v>48</v>
      </c>
      <c r="L69" s="18"/>
      <c r="M69" s="19"/>
      <c r="N69" s="20" t="str">
        <f t="shared" ref="N69:N88" si="6">IF(COUNTA(F69:L69)=0,"— não preenchido",IF(COUNTIF(F69:I69,"X")&lt;&gt;1,"FALTA/DUPLA: CONDIÇÃO DA PLATAFORMA",IF(COUNTIF(J69:L69,"X")&lt;&gt;1,"FALTA/DUPLA: DRENAGEM SUPERFICIAL","OK")))</f>
        <v>OK</v>
      </c>
    </row>
    <row r="70" spans="1:14" ht="20.100000000000001" customHeight="1" x14ac:dyDescent="0.25">
      <c r="A70" s="15" t="s">
        <v>50</v>
      </c>
      <c r="B70" s="16" t="s">
        <v>47</v>
      </c>
      <c r="C70" s="17">
        <v>1</v>
      </c>
      <c r="D70" s="17">
        <v>2</v>
      </c>
      <c r="E70" s="17">
        <f t="shared" si="5"/>
        <v>1</v>
      </c>
      <c r="F70" s="18"/>
      <c r="G70" s="18" t="s">
        <v>48</v>
      </c>
      <c r="H70" s="18"/>
      <c r="I70" s="18"/>
      <c r="J70" s="18"/>
      <c r="K70" s="18" t="s">
        <v>48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50</v>
      </c>
      <c r="B71" s="16" t="s">
        <v>47</v>
      </c>
      <c r="C71" s="17">
        <v>2</v>
      </c>
      <c r="D71" s="17">
        <v>3</v>
      </c>
      <c r="E71" s="17">
        <f t="shared" si="5"/>
        <v>1</v>
      </c>
      <c r="F71" s="18"/>
      <c r="G71" s="18" t="s">
        <v>48</v>
      </c>
      <c r="H71" s="18"/>
      <c r="I71" s="18"/>
      <c r="J71" s="18"/>
      <c r="K71" s="18" t="s">
        <v>48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50</v>
      </c>
      <c r="B72" s="16" t="s">
        <v>47</v>
      </c>
      <c r="C72" s="17">
        <v>3</v>
      </c>
      <c r="D72" s="17">
        <v>4</v>
      </c>
      <c r="E72" s="17">
        <f t="shared" si="5"/>
        <v>1</v>
      </c>
      <c r="F72" s="18"/>
      <c r="G72" s="18" t="s">
        <v>48</v>
      </c>
      <c r="H72" s="18"/>
      <c r="I72" s="18"/>
      <c r="J72" s="18"/>
      <c r="K72" s="18" t="s">
        <v>48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50</v>
      </c>
      <c r="B73" s="16" t="s">
        <v>47</v>
      </c>
      <c r="C73" s="17">
        <v>4</v>
      </c>
      <c r="D73" s="17">
        <v>5</v>
      </c>
      <c r="E73" s="17">
        <f t="shared" si="5"/>
        <v>1</v>
      </c>
      <c r="F73" s="18"/>
      <c r="G73" s="18" t="s">
        <v>48</v>
      </c>
      <c r="H73" s="18"/>
      <c r="I73" s="18"/>
      <c r="J73" s="18"/>
      <c r="K73" s="18" t="s">
        <v>48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50</v>
      </c>
      <c r="B74" s="16" t="s">
        <v>47</v>
      </c>
      <c r="C74" s="17">
        <v>5</v>
      </c>
      <c r="D74" s="17">
        <v>6</v>
      </c>
      <c r="E74" s="17">
        <f t="shared" si="5"/>
        <v>1</v>
      </c>
      <c r="F74" s="18"/>
      <c r="G74" s="18" t="s">
        <v>48</v>
      </c>
      <c r="H74" s="18"/>
      <c r="I74" s="18"/>
      <c r="J74" s="18"/>
      <c r="K74" s="18" t="s">
        <v>48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50</v>
      </c>
      <c r="B75" s="16" t="s">
        <v>47</v>
      </c>
      <c r="C75" s="17">
        <v>6</v>
      </c>
      <c r="D75" s="17">
        <v>7</v>
      </c>
      <c r="E75" s="17">
        <f t="shared" si="5"/>
        <v>1</v>
      </c>
      <c r="F75" s="18"/>
      <c r="G75" s="18" t="s">
        <v>48</v>
      </c>
      <c r="H75" s="18"/>
      <c r="I75" s="18"/>
      <c r="J75" s="18"/>
      <c r="K75" s="18" t="s">
        <v>48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50</v>
      </c>
      <c r="B76" s="16" t="s">
        <v>47</v>
      </c>
      <c r="C76" s="17">
        <v>7</v>
      </c>
      <c r="D76" s="17">
        <v>8</v>
      </c>
      <c r="E76" s="17">
        <f t="shared" si="5"/>
        <v>1</v>
      </c>
      <c r="F76" s="18"/>
      <c r="G76" s="18" t="s">
        <v>48</v>
      </c>
      <c r="H76" s="18"/>
      <c r="I76" s="18"/>
      <c r="J76" s="18"/>
      <c r="K76" s="18" t="s">
        <v>48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50</v>
      </c>
      <c r="B77" s="16" t="s">
        <v>47</v>
      </c>
      <c r="C77" s="17">
        <v>8</v>
      </c>
      <c r="D77" s="17">
        <v>9</v>
      </c>
      <c r="E77" s="17">
        <f t="shared" si="5"/>
        <v>1</v>
      </c>
      <c r="F77" s="18"/>
      <c r="G77" s="18" t="s">
        <v>48</v>
      </c>
      <c r="H77" s="18"/>
      <c r="I77" s="18"/>
      <c r="J77" s="18"/>
      <c r="K77" s="18" t="s">
        <v>48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50</v>
      </c>
      <c r="B78" s="16" t="s">
        <v>47</v>
      </c>
      <c r="C78" s="17">
        <v>9</v>
      </c>
      <c r="D78" s="17">
        <v>10</v>
      </c>
      <c r="E78" s="17">
        <f t="shared" si="5"/>
        <v>1</v>
      </c>
      <c r="F78" s="18"/>
      <c r="G78" s="18" t="s">
        <v>48</v>
      </c>
      <c r="H78" s="18"/>
      <c r="I78" s="18"/>
      <c r="J78" s="18"/>
      <c r="K78" s="18" t="s">
        <v>48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50</v>
      </c>
      <c r="B79" s="16" t="s">
        <v>47</v>
      </c>
      <c r="C79" s="17">
        <v>10</v>
      </c>
      <c r="D79" s="17">
        <v>11</v>
      </c>
      <c r="E79" s="17">
        <f t="shared" si="5"/>
        <v>1</v>
      </c>
      <c r="F79" s="18"/>
      <c r="G79" s="18" t="s">
        <v>48</v>
      </c>
      <c r="H79" s="18"/>
      <c r="I79" s="18"/>
      <c r="J79" s="18"/>
      <c r="K79" s="18" t="s">
        <v>48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50</v>
      </c>
      <c r="B80" s="16" t="s">
        <v>47</v>
      </c>
      <c r="C80" s="17">
        <v>11</v>
      </c>
      <c r="D80" s="17">
        <v>12</v>
      </c>
      <c r="E80" s="17">
        <f t="shared" si="5"/>
        <v>1</v>
      </c>
      <c r="F80" s="18"/>
      <c r="G80" s="18" t="s">
        <v>48</v>
      </c>
      <c r="H80" s="18"/>
      <c r="I80" s="18"/>
      <c r="J80" s="18"/>
      <c r="K80" s="18" t="s">
        <v>48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50</v>
      </c>
      <c r="B81" s="16" t="s">
        <v>47</v>
      </c>
      <c r="C81" s="17">
        <v>12</v>
      </c>
      <c r="D81" s="17">
        <v>13</v>
      </c>
      <c r="E81" s="17">
        <f t="shared" si="5"/>
        <v>1</v>
      </c>
      <c r="F81" s="18"/>
      <c r="G81" s="18" t="s">
        <v>48</v>
      </c>
      <c r="H81" s="18"/>
      <c r="I81" s="18"/>
      <c r="J81" s="18"/>
      <c r="K81" s="18" t="s">
        <v>48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50</v>
      </c>
      <c r="B82" s="16" t="s">
        <v>47</v>
      </c>
      <c r="C82" s="17">
        <v>13</v>
      </c>
      <c r="D82" s="17">
        <v>14</v>
      </c>
      <c r="E82" s="17">
        <f t="shared" si="5"/>
        <v>1</v>
      </c>
      <c r="F82" s="18"/>
      <c r="G82" s="18" t="s">
        <v>48</v>
      </c>
      <c r="H82" s="18"/>
      <c r="I82" s="18"/>
      <c r="J82" s="18"/>
      <c r="K82" s="18" t="s">
        <v>48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50</v>
      </c>
      <c r="B83" s="16" t="s">
        <v>47</v>
      </c>
      <c r="C83" s="17">
        <v>14</v>
      </c>
      <c r="D83" s="17">
        <v>15</v>
      </c>
      <c r="E83" s="17">
        <f t="shared" si="5"/>
        <v>1</v>
      </c>
      <c r="F83" s="18"/>
      <c r="G83" s="18" t="s">
        <v>48</v>
      </c>
      <c r="H83" s="18"/>
      <c r="I83" s="18"/>
      <c r="J83" s="18"/>
      <c r="K83" s="18" t="s">
        <v>48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50</v>
      </c>
      <c r="B84" s="16" t="s">
        <v>47</v>
      </c>
      <c r="C84" s="17">
        <v>15</v>
      </c>
      <c r="D84" s="17">
        <v>16</v>
      </c>
      <c r="E84" s="17">
        <f t="shared" si="5"/>
        <v>1</v>
      </c>
      <c r="F84" s="18"/>
      <c r="G84" s="18" t="s">
        <v>48</v>
      </c>
      <c r="H84" s="18"/>
      <c r="I84" s="18"/>
      <c r="J84" s="18"/>
      <c r="K84" s="18" t="s">
        <v>48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50</v>
      </c>
      <c r="B85" s="16" t="s">
        <v>47</v>
      </c>
      <c r="C85" s="17">
        <v>16</v>
      </c>
      <c r="D85" s="17">
        <v>17</v>
      </c>
      <c r="E85" s="17">
        <f t="shared" si="5"/>
        <v>1</v>
      </c>
      <c r="F85" s="18"/>
      <c r="G85" s="18" t="s">
        <v>48</v>
      </c>
      <c r="H85" s="18"/>
      <c r="I85" s="18"/>
      <c r="J85" s="18"/>
      <c r="K85" s="18" t="s">
        <v>48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50</v>
      </c>
      <c r="B86" s="16" t="s">
        <v>47</v>
      </c>
      <c r="C86" s="17">
        <v>17</v>
      </c>
      <c r="D86" s="17">
        <v>18</v>
      </c>
      <c r="E86" s="17">
        <f t="shared" si="5"/>
        <v>1</v>
      </c>
      <c r="F86" s="18"/>
      <c r="G86" s="18" t="s">
        <v>48</v>
      </c>
      <c r="H86" s="18"/>
      <c r="I86" s="18"/>
      <c r="J86" s="18"/>
      <c r="K86" s="18" t="s">
        <v>48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50</v>
      </c>
      <c r="B87" s="16" t="s">
        <v>47</v>
      </c>
      <c r="C87" s="17">
        <v>18</v>
      </c>
      <c r="D87" s="17">
        <v>19</v>
      </c>
      <c r="E87" s="17">
        <f t="shared" si="5"/>
        <v>1</v>
      </c>
      <c r="F87" s="18"/>
      <c r="G87" s="18" t="s">
        <v>48</v>
      </c>
      <c r="H87" s="18"/>
      <c r="I87" s="18"/>
      <c r="J87" s="18"/>
      <c r="K87" s="18" t="s">
        <v>48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21" t="s">
        <v>50</v>
      </c>
      <c r="B88" s="22" t="s">
        <v>47</v>
      </c>
      <c r="C88" s="23">
        <v>19</v>
      </c>
      <c r="D88" s="23">
        <v>19.427802331999999</v>
      </c>
      <c r="E88" s="23">
        <f t="shared" si="5"/>
        <v>0.42780233199999884</v>
      </c>
      <c r="F88" s="24"/>
      <c r="G88" s="24" t="s">
        <v>48</v>
      </c>
      <c r="H88" s="24"/>
      <c r="I88" s="24"/>
      <c r="J88" s="24"/>
      <c r="K88" s="24" t="s">
        <v>48</v>
      </c>
      <c r="L88" s="24"/>
      <c r="M88" s="25"/>
      <c r="N88" s="26" t="str">
        <f t="shared" si="6"/>
        <v>OK</v>
      </c>
    </row>
    <row r="90" spans="1:14" x14ac:dyDescent="0.25">
      <c r="A90" s="45" t="s">
        <v>51</v>
      </c>
      <c r="B90" s="31"/>
      <c r="C90" s="31"/>
      <c r="D90" s="31"/>
      <c r="E90" s="31"/>
      <c r="G90" s="45" t="s">
        <v>51</v>
      </c>
      <c r="H90" s="31"/>
      <c r="I90" s="31"/>
      <c r="J90" s="31"/>
      <c r="K90" s="31"/>
    </row>
    <row r="91" spans="1:14" x14ac:dyDescent="0.25">
      <c r="A91" s="49" t="s">
        <v>52</v>
      </c>
      <c r="B91" s="31"/>
      <c r="C91" s="31"/>
      <c r="D91" s="31"/>
      <c r="E91" s="31"/>
      <c r="G91" s="49" t="s">
        <v>53</v>
      </c>
      <c r="H91" s="31"/>
      <c r="I91" s="31"/>
      <c r="J91" s="31"/>
      <c r="K91" s="31"/>
    </row>
    <row r="93" spans="1:14" x14ac:dyDescent="0.25">
      <c r="A93" s="47" t="s">
        <v>54</v>
      </c>
      <c r="B93" s="31"/>
      <c r="C93" s="31"/>
      <c r="D93" s="31"/>
      <c r="E93" s="31"/>
      <c r="F93" s="27"/>
      <c r="G93" s="27"/>
      <c r="H93" s="27"/>
      <c r="I93" s="27"/>
      <c r="J93" s="27"/>
      <c r="K93" s="27"/>
      <c r="L93" s="27"/>
      <c r="M93" s="27"/>
    </row>
    <row r="94" spans="1:14" x14ac:dyDescent="0.25">
      <c r="A94" s="35" t="s">
        <v>55</v>
      </c>
      <c r="B94" s="31"/>
      <c r="C94" s="31"/>
      <c r="D94" s="31"/>
      <c r="E94" s="31"/>
      <c r="F94" s="9">
        <f t="shared" ref="F94:L94" si="7">SUMIF(F$9:F$88,"X",$E$9:$E$88)</f>
        <v>0</v>
      </c>
      <c r="G94" s="9">
        <f t="shared" si="7"/>
        <v>77.592132807300004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>
        <f t="shared" si="7"/>
        <v>77.592132807300004</v>
      </c>
      <c r="L94" s="9">
        <f t="shared" si="7"/>
        <v>0</v>
      </c>
    </row>
    <row r="95" spans="1:14" x14ac:dyDescent="0.25">
      <c r="A95" s="35" t="s">
        <v>56</v>
      </c>
      <c r="B95" s="31"/>
      <c r="C95" s="31"/>
      <c r="D95" s="31"/>
      <c r="E95" s="31"/>
      <c r="F95" s="28">
        <f t="shared" ref="F95:L95" si="8">IF($I97=0,0,F94/$I97)</f>
        <v>0</v>
      </c>
      <c r="G95" s="28">
        <f t="shared" si="8"/>
        <v>1</v>
      </c>
      <c r="H95" s="28">
        <f t="shared" si="8"/>
        <v>0</v>
      </c>
      <c r="I95" s="28">
        <f t="shared" si="8"/>
        <v>0</v>
      </c>
      <c r="J95" s="28">
        <f t="shared" si="8"/>
        <v>0</v>
      </c>
      <c r="K95" s="28">
        <f t="shared" si="8"/>
        <v>1</v>
      </c>
      <c r="L95" s="28">
        <f t="shared" si="8"/>
        <v>0</v>
      </c>
    </row>
    <row r="96" spans="1:14" x14ac:dyDescent="0.25">
      <c r="A96" s="35" t="s">
        <v>57</v>
      </c>
      <c r="B96" s="31"/>
      <c r="C96" s="31"/>
      <c r="D96" s="31"/>
      <c r="E96" s="31"/>
      <c r="F96" s="37" t="str">
        <f>IF(SUM(F94:I94)=0,"— não preenchido",IF(ROUND(SUM(F94:I94)-$I97,3)=0,"OK — "&amp;ROUND(SUM(F94:I94),3)&amp;" km","ERRO — dif. de "&amp;ROUND(SUM(F94:I94)-$I97,3)&amp;" km"))</f>
        <v>OK — 77,592 km</v>
      </c>
      <c r="G96" s="33"/>
      <c r="H96" s="33"/>
      <c r="I96" s="34"/>
      <c r="J96" s="37" t="str">
        <f>IF(SUM(J94:L94)=0,"— não preenchido",IF(ROUND(SUM(J94:L94)-$I97,3)=0,"OK — "&amp;ROUND(SUM(J94:L94),3)&amp;" km","ERRO — dif. de "&amp;ROUND(SUM(J94:L94)-$I97,3)&amp;" km"))</f>
        <v>OK — 77,592 km</v>
      </c>
      <c r="K96" s="33"/>
      <c r="L96" s="34"/>
    </row>
    <row r="97" spans="1:13" x14ac:dyDescent="0.25">
      <c r="A97" s="35" t="s">
        <v>58</v>
      </c>
      <c r="B97" s="31"/>
      <c r="C97" s="31"/>
      <c r="D97" s="31"/>
      <c r="E97" s="31"/>
      <c r="I97" s="29">
        <f>SUM(E9:E88)</f>
        <v>77.592132807300004</v>
      </c>
      <c r="M97" s="8" t="str">
        <f>COUNTIF(N9:N88,"OK")&amp;" de "&amp;COUNT($E$9:$E$88)&amp;" linhas conferidas"</f>
        <v>79 de 79 linhas conferidas</v>
      </c>
    </row>
    <row r="99" spans="1:13" x14ac:dyDescent="0.25">
      <c r="A99" s="46" t="s">
        <v>59</v>
      </c>
      <c r="B99" s="31"/>
      <c r="C99" s="31"/>
      <c r="D99" s="31"/>
      <c r="E99" s="31"/>
    </row>
    <row r="100" spans="1:13" x14ac:dyDescent="0.25">
      <c r="A100" s="35" t="s">
        <v>10</v>
      </c>
      <c r="B100" s="31"/>
      <c r="C100" s="31"/>
      <c r="D100" s="31"/>
      <c r="E100" s="40" t="s">
        <v>60</v>
      </c>
      <c r="F100" s="31"/>
      <c r="G100" s="31"/>
      <c r="H100" s="31"/>
      <c r="I100" s="31"/>
      <c r="J100" s="31"/>
      <c r="K100" s="31"/>
      <c r="L100" s="31"/>
      <c r="M100" s="31"/>
    </row>
    <row r="101" spans="1:13" x14ac:dyDescent="0.25">
      <c r="A101" s="35" t="s">
        <v>11</v>
      </c>
      <c r="B101" s="31"/>
      <c r="C101" s="31"/>
      <c r="D101" s="31"/>
      <c r="E101" s="40" t="s">
        <v>61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35" t="s">
        <v>12</v>
      </c>
      <c r="B102" s="31"/>
      <c r="C102" s="31"/>
      <c r="D102" s="31"/>
      <c r="E102" s="40" t="s">
        <v>62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35" t="s">
        <v>63</v>
      </c>
      <c r="B103" s="31"/>
      <c r="C103" s="31"/>
      <c r="D103" s="31"/>
      <c r="E103" s="40" t="s">
        <v>64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35" t="s">
        <v>65</v>
      </c>
      <c r="B104" s="31"/>
      <c r="C104" s="31"/>
      <c r="D104" s="31"/>
      <c r="E104" s="40" t="s">
        <v>66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35" t="s">
        <v>67</v>
      </c>
      <c r="B105" s="31"/>
      <c r="C105" s="31"/>
      <c r="D105" s="31"/>
      <c r="E105" s="40" t="s">
        <v>68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35" t="s">
        <v>39</v>
      </c>
      <c r="B106" s="31"/>
      <c r="C106" s="31"/>
      <c r="D106" s="31"/>
      <c r="E106" s="40" t="s">
        <v>69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35" t="s">
        <v>70</v>
      </c>
      <c r="B107" s="31"/>
      <c r="C107" s="31"/>
      <c r="D107" s="31"/>
      <c r="E107" s="40" t="s">
        <v>71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35" t="s">
        <v>72</v>
      </c>
      <c r="B108" s="31"/>
      <c r="C108" s="31"/>
      <c r="D108" s="31"/>
      <c r="E108" s="40" t="s">
        <v>73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35" t="s">
        <v>8</v>
      </c>
      <c r="B109" s="31"/>
      <c r="C109" s="31"/>
      <c r="D109" s="31"/>
      <c r="E109" s="40" t="s">
        <v>74</v>
      </c>
      <c r="F109" s="31"/>
      <c r="G109" s="31"/>
      <c r="H109" s="31"/>
      <c r="I109" s="31"/>
      <c r="J109" s="31"/>
      <c r="K109" s="31"/>
      <c r="L109" s="31"/>
      <c r="M109" s="31"/>
    </row>
  </sheetData>
  <sheetProtection formatCells="0"/>
  <mergeCells count="51">
    <mergeCell ref="A1:M1"/>
    <mergeCell ref="A95:E95"/>
    <mergeCell ref="E102:M102"/>
    <mergeCell ref="N6:N7"/>
    <mergeCell ref="E109:M109"/>
    <mergeCell ref="K3:M3"/>
    <mergeCell ref="A97:E97"/>
    <mergeCell ref="A108:D108"/>
    <mergeCell ref="A91:E91"/>
    <mergeCell ref="E106:M106"/>
    <mergeCell ref="A96:E96"/>
    <mergeCell ref="A105:D105"/>
    <mergeCell ref="G91:K91"/>
    <mergeCell ref="A101:D101"/>
    <mergeCell ref="A3:J3"/>
    <mergeCell ref="A104:D104"/>
    <mergeCell ref="A107:D107"/>
    <mergeCell ref="B6:B7"/>
    <mergeCell ref="F6:I6"/>
    <mergeCell ref="E100:M100"/>
    <mergeCell ref="A103:D103"/>
    <mergeCell ref="G90:K90"/>
    <mergeCell ref="A93:E93"/>
    <mergeCell ref="C6:C7"/>
    <mergeCell ref="D6:D7"/>
    <mergeCell ref="E107:M107"/>
    <mergeCell ref="J6:L6"/>
    <mergeCell ref="F96:I96"/>
    <mergeCell ref="A106:D106"/>
    <mergeCell ref="E103:M103"/>
    <mergeCell ref="A109:D109"/>
    <mergeCell ref="A94:E94"/>
    <mergeCell ref="A6:A7"/>
    <mergeCell ref="E105:M105"/>
    <mergeCell ref="A2:C2"/>
    <mergeCell ref="A102:D102"/>
    <mergeCell ref="A68:M68"/>
    <mergeCell ref="E108:M108"/>
    <mergeCell ref="K2:M2"/>
    <mergeCell ref="E104:M104"/>
    <mergeCell ref="D2:E2"/>
    <mergeCell ref="A90:E90"/>
    <mergeCell ref="M6:M7"/>
    <mergeCell ref="A99:E99"/>
    <mergeCell ref="E101:M101"/>
    <mergeCell ref="E6:E7"/>
    <mergeCell ref="G2:H2"/>
    <mergeCell ref="A8:M8"/>
    <mergeCell ref="A100:D100"/>
    <mergeCell ref="A4:M4"/>
    <mergeCell ref="J96:L96"/>
  </mergeCells>
  <conditionalFormatting sqref="F9:I88">
    <cfRule type="expression" dxfId="65" priority="1">
      <formula>AND(F9&lt;&gt;"",COUNTIF($F9:$I9,"X")&gt;1)</formula>
    </cfRule>
  </conditionalFormatting>
  <conditionalFormatting sqref="F96:L96">
    <cfRule type="expression" dxfId="64" priority="5">
      <formula>LEFT(F96,4)="ERRO"</formula>
    </cfRule>
    <cfRule type="expression" dxfId="63" priority="6">
      <formula>LEFT(F96,2)="OK"</formula>
    </cfRule>
  </conditionalFormatting>
  <conditionalFormatting sqref="J9:L88">
    <cfRule type="expression" dxfId="62" priority="2">
      <formula>AND(J9&lt;&gt;"",COUNTIF($J9:$L9,"X")&gt;1)</formula>
    </cfRule>
  </conditionalFormatting>
  <conditionalFormatting sqref="N9:N88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8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8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88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67</oddHeader>
    <oddFooter>&amp;L&amp;7 RTA / MSI — Programa de Manutenção Rodoviária&amp;C&amp;7 Página &amp;P de &amp;N&amp;R&amp;7 Impresso em &amp;D</oddFooter>
  </headerFooter>
  <rowBreaks count="1" manualBreakCount="1">
    <brk id="9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6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>
        <f t="shared" ref="P2:V2" si="0">IF(F54=0,NA(),F54)</f>
        <v>38.42966885149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33.5912005036</v>
      </c>
      <c r="U2" s="2" t="e">
        <f t="shared" si="0"/>
        <v>#N/A</v>
      </c>
      <c r="V2" s="2">
        <f t="shared" si="0"/>
        <v>4.8384683478900001</v>
      </c>
    </row>
    <row r="3" spans="1:22" ht="15" customHeight="1" x14ac:dyDescent="0.25">
      <c r="A3" s="50" t="s">
        <v>75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76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77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78</v>
      </c>
      <c r="B9" s="16" t="s">
        <v>47</v>
      </c>
      <c r="C9" s="17">
        <v>0</v>
      </c>
      <c r="D9" s="17">
        <v>1</v>
      </c>
      <c r="E9" s="17">
        <f t="shared" ref="E9:E42" si="1">D9-C9</f>
        <v>1</v>
      </c>
      <c r="F9" s="18" t="s">
        <v>48</v>
      </c>
      <c r="G9" s="18"/>
      <c r="H9" s="18"/>
      <c r="I9" s="18"/>
      <c r="J9" s="18" t="s">
        <v>48</v>
      </c>
      <c r="K9" s="18"/>
      <c r="L9" s="18"/>
      <c r="M9" s="19"/>
      <c r="N9" s="20" t="str">
        <f t="shared" ref="N9:N4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78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78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78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78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78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48</v>
      </c>
      <c r="G22" s="18"/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78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48</v>
      </c>
      <c r="G23" s="18"/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78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48</v>
      </c>
      <c r="G24" s="18"/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78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48</v>
      </c>
      <c r="G25" s="18"/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78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48</v>
      </c>
      <c r="G26" s="18"/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78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48</v>
      </c>
      <c r="G27" s="18"/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78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48</v>
      </c>
      <c r="G28" s="18"/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78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78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78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48</v>
      </c>
      <c r="G31" s="18"/>
      <c r="H31" s="18"/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78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48</v>
      </c>
      <c r="G32" s="18"/>
      <c r="H32" s="18"/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78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48</v>
      </c>
      <c r="G33" s="18"/>
      <c r="H33" s="18"/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78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48</v>
      </c>
      <c r="G34" s="18"/>
      <c r="H34" s="18"/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78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48</v>
      </c>
      <c r="G35" s="18"/>
      <c r="H35" s="18"/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78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48</v>
      </c>
      <c r="G36" s="18"/>
      <c r="H36" s="18"/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78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48</v>
      </c>
      <c r="G37" s="18"/>
      <c r="H37" s="18"/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78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48</v>
      </c>
      <c r="G38" s="18"/>
      <c r="H38" s="18"/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78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48</v>
      </c>
      <c r="G39" s="18"/>
      <c r="H39" s="18"/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78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48</v>
      </c>
      <c r="G40" s="18"/>
      <c r="H40" s="18"/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78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 t="s">
        <v>48</v>
      </c>
      <c r="G41" s="18"/>
      <c r="H41" s="18"/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21" t="s">
        <v>78</v>
      </c>
      <c r="B42" s="22" t="s">
        <v>47</v>
      </c>
      <c r="C42" s="23">
        <v>33</v>
      </c>
      <c r="D42" s="23">
        <v>33.5912005036</v>
      </c>
      <c r="E42" s="23">
        <f t="shared" si="1"/>
        <v>0.59120050359999965</v>
      </c>
      <c r="F42" s="24" t="s">
        <v>48</v>
      </c>
      <c r="G42" s="24"/>
      <c r="H42" s="24"/>
      <c r="I42" s="24"/>
      <c r="J42" s="24" t="s">
        <v>48</v>
      </c>
      <c r="K42" s="24"/>
      <c r="L42" s="24"/>
      <c r="M42" s="25"/>
      <c r="N42" s="26" t="str">
        <f t="shared" si="2"/>
        <v>OK</v>
      </c>
    </row>
    <row r="43" spans="1:14" ht="15.95" customHeight="1" x14ac:dyDescent="0.25">
      <c r="A43" s="32" t="s">
        <v>79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4"/>
      <c r="N43" s="4"/>
    </row>
    <row r="44" spans="1:14" ht="20.100000000000001" customHeight="1" x14ac:dyDescent="0.25">
      <c r="A44" s="15" t="s">
        <v>80</v>
      </c>
      <c r="B44" s="16" t="s">
        <v>47</v>
      </c>
      <c r="C44" s="17">
        <v>0</v>
      </c>
      <c r="D44" s="17">
        <v>1</v>
      </c>
      <c r="E44" s="17">
        <f>D44-C44</f>
        <v>1</v>
      </c>
      <c r="F44" s="18" t="s">
        <v>48</v>
      </c>
      <c r="G44" s="18"/>
      <c r="H44" s="18"/>
      <c r="I44" s="18"/>
      <c r="J44" s="18"/>
      <c r="K44" s="18"/>
      <c r="L44" s="18" t="s">
        <v>48</v>
      </c>
      <c r="M44" s="19"/>
      <c r="N44" s="20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5" t="s">
        <v>80</v>
      </c>
      <c r="B45" s="16" t="s">
        <v>47</v>
      </c>
      <c r="C45" s="17">
        <v>1</v>
      </c>
      <c r="D45" s="17">
        <v>2</v>
      </c>
      <c r="E45" s="17">
        <f>D45-C45</f>
        <v>1</v>
      </c>
      <c r="F45" s="18" t="s">
        <v>48</v>
      </c>
      <c r="G45" s="18"/>
      <c r="H45" s="18"/>
      <c r="I45" s="18"/>
      <c r="J45" s="18"/>
      <c r="K45" s="18"/>
      <c r="L45" s="18" t="s">
        <v>48</v>
      </c>
      <c r="M45" s="19"/>
      <c r="N45" s="20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5" t="s">
        <v>80</v>
      </c>
      <c r="B46" s="16" t="s">
        <v>47</v>
      </c>
      <c r="C46" s="17">
        <v>2</v>
      </c>
      <c r="D46" s="17">
        <v>3</v>
      </c>
      <c r="E46" s="17">
        <f>D46-C46</f>
        <v>1</v>
      </c>
      <c r="F46" s="18" t="s">
        <v>48</v>
      </c>
      <c r="G46" s="18"/>
      <c r="H46" s="18"/>
      <c r="I46" s="18"/>
      <c r="J46" s="18"/>
      <c r="K46" s="18"/>
      <c r="L46" s="18" t="s">
        <v>48</v>
      </c>
      <c r="M46" s="19"/>
      <c r="N46" s="20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5" t="s">
        <v>80</v>
      </c>
      <c r="B47" s="16" t="s">
        <v>47</v>
      </c>
      <c r="C47" s="17">
        <v>3</v>
      </c>
      <c r="D47" s="17">
        <v>4</v>
      </c>
      <c r="E47" s="17">
        <f>D47-C47</f>
        <v>1</v>
      </c>
      <c r="F47" s="18" t="s">
        <v>48</v>
      </c>
      <c r="G47" s="18"/>
      <c r="H47" s="18"/>
      <c r="I47" s="18"/>
      <c r="J47" s="18"/>
      <c r="K47" s="18"/>
      <c r="L47" s="18" t="s">
        <v>48</v>
      </c>
      <c r="M47" s="19"/>
      <c r="N47" s="20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1" t="s">
        <v>80</v>
      </c>
      <c r="B48" s="22" t="s">
        <v>47</v>
      </c>
      <c r="C48" s="23">
        <v>4</v>
      </c>
      <c r="D48" s="23">
        <v>4.8384683478900001</v>
      </c>
      <c r="E48" s="23">
        <f>D48-C48</f>
        <v>0.83846834789000013</v>
      </c>
      <c r="F48" s="24" t="s">
        <v>48</v>
      </c>
      <c r="G48" s="24"/>
      <c r="H48" s="24"/>
      <c r="I48" s="24"/>
      <c r="J48" s="24"/>
      <c r="K48" s="24"/>
      <c r="L48" s="24" t="s">
        <v>48</v>
      </c>
      <c r="M48" s="25"/>
      <c r="N48" s="26" t="str">
        <f>IF(COUNTA(F48:L48)=0,"— não preenchido",IF(COUNTIF(F48:I48,"X")&lt;&gt;1,"FALTA/DUPLA: CONDIÇÃO DA PLATAFORMA",IF(COUNTIF(J48:L48,"X")&lt;&gt;1,"FALTA/DUPLA: DRENAGEM SUPERFICIAL","OK")))</f>
        <v>OK</v>
      </c>
    </row>
    <row r="50" spans="1:13" x14ac:dyDescent="0.25">
      <c r="A50" s="45" t="s">
        <v>51</v>
      </c>
      <c r="B50" s="31"/>
      <c r="C50" s="31"/>
      <c r="D50" s="31"/>
      <c r="E50" s="31"/>
      <c r="G50" s="45" t="s">
        <v>51</v>
      </c>
      <c r="H50" s="31"/>
      <c r="I50" s="31"/>
      <c r="J50" s="31"/>
      <c r="K50" s="31"/>
    </row>
    <row r="51" spans="1:13" x14ac:dyDescent="0.25">
      <c r="A51" s="49" t="s">
        <v>52</v>
      </c>
      <c r="B51" s="31"/>
      <c r="C51" s="31"/>
      <c r="D51" s="31"/>
      <c r="E51" s="31"/>
      <c r="G51" s="49" t="s">
        <v>53</v>
      </c>
      <c r="H51" s="31"/>
      <c r="I51" s="31"/>
      <c r="J51" s="31"/>
      <c r="K51" s="31"/>
    </row>
    <row r="53" spans="1:13" x14ac:dyDescent="0.25">
      <c r="A53" s="47" t="s">
        <v>54</v>
      </c>
      <c r="B53" s="31"/>
      <c r="C53" s="31"/>
      <c r="D53" s="31"/>
      <c r="E53" s="31"/>
      <c r="F53" s="27"/>
      <c r="G53" s="27"/>
      <c r="H53" s="27"/>
      <c r="I53" s="27"/>
      <c r="J53" s="27"/>
      <c r="K53" s="27"/>
      <c r="L53" s="27"/>
      <c r="M53" s="27"/>
    </row>
    <row r="54" spans="1:13" x14ac:dyDescent="0.25">
      <c r="A54" s="35" t="s">
        <v>55</v>
      </c>
      <c r="B54" s="31"/>
      <c r="C54" s="31"/>
      <c r="D54" s="31"/>
      <c r="E54" s="31"/>
      <c r="F54" s="9">
        <f t="shared" ref="F54:L54" si="3">SUMIF(F$9:F$48,"X",$E$9:$E$48)</f>
        <v>38.42966885149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33.5912005036</v>
      </c>
      <c r="K54" s="9">
        <f t="shared" si="3"/>
        <v>0</v>
      </c>
      <c r="L54" s="9">
        <f t="shared" si="3"/>
        <v>4.8384683478900001</v>
      </c>
    </row>
    <row r="55" spans="1:13" x14ac:dyDescent="0.25">
      <c r="A55" s="35" t="s">
        <v>56</v>
      </c>
      <c r="B55" s="31"/>
      <c r="C55" s="31"/>
      <c r="D55" s="31"/>
      <c r="E55" s="31"/>
      <c r="F55" s="28">
        <f t="shared" ref="F55:L55" si="4">IF($I57=0,0,F54/$I57)</f>
        <v>1</v>
      </c>
      <c r="G55" s="28">
        <f t="shared" si="4"/>
        <v>0</v>
      </c>
      <c r="H55" s="28">
        <f t="shared" si="4"/>
        <v>0</v>
      </c>
      <c r="I55" s="28">
        <f t="shared" si="4"/>
        <v>0</v>
      </c>
      <c r="J55" s="28">
        <f t="shared" si="4"/>
        <v>0.87409549724229796</v>
      </c>
      <c r="K55" s="28">
        <f t="shared" si="4"/>
        <v>0</v>
      </c>
      <c r="L55" s="28">
        <f t="shared" si="4"/>
        <v>0.12590450275770207</v>
      </c>
    </row>
    <row r="56" spans="1:13" x14ac:dyDescent="0.25">
      <c r="A56" s="35" t="s">
        <v>57</v>
      </c>
      <c r="B56" s="31"/>
      <c r="C56" s="31"/>
      <c r="D56" s="31"/>
      <c r="E56" s="31"/>
      <c r="F56" s="37" t="str">
        <f>IF(SUM(F54:I54)=0,"— não preenchido",IF(ROUND(SUM(F54:I54)-$I57,3)=0,"OK — "&amp;ROUND(SUM(F54:I54),3)&amp;" km","ERRO — dif. de "&amp;ROUND(SUM(F54:I54)-$I57,3)&amp;" km"))</f>
        <v>OK — 38,43 km</v>
      </c>
      <c r="G56" s="33"/>
      <c r="H56" s="33"/>
      <c r="I56" s="34"/>
      <c r="J56" s="37" t="str">
        <f>IF(SUM(J54:L54)=0,"— não preenchido",IF(ROUND(SUM(J54:L54)-$I57,3)=0,"OK — "&amp;ROUND(SUM(J54:L54),3)&amp;" km","ERRO — dif. de "&amp;ROUND(SUM(J54:L54)-$I57,3)&amp;" km"))</f>
        <v>OK — 38,43 km</v>
      </c>
      <c r="K56" s="33"/>
      <c r="L56" s="34"/>
    </row>
    <row r="57" spans="1:13" x14ac:dyDescent="0.25">
      <c r="A57" s="35" t="s">
        <v>58</v>
      </c>
      <c r="B57" s="31"/>
      <c r="C57" s="31"/>
      <c r="D57" s="31"/>
      <c r="E57" s="31"/>
      <c r="I57" s="29">
        <f>SUM(E9:E48)</f>
        <v>38.42966885149</v>
      </c>
      <c r="M57" s="8" t="str">
        <f>COUNTIF(N9:N48,"OK")&amp;" de "&amp;COUNT($E$9:$E$48)&amp;" linhas conferidas"</f>
        <v>39 de 39 linhas conferidas</v>
      </c>
    </row>
    <row r="59" spans="1:13" x14ac:dyDescent="0.25">
      <c r="A59" s="46" t="s">
        <v>59</v>
      </c>
      <c r="B59" s="31"/>
      <c r="C59" s="31"/>
      <c r="D59" s="31"/>
      <c r="E59" s="31"/>
    </row>
    <row r="60" spans="1:13" x14ac:dyDescent="0.25">
      <c r="A60" s="35" t="s">
        <v>10</v>
      </c>
      <c r="B60" s="31"/>
      <c r="C60" s="31"/>
      <c r="D60" s="31"/>
      <c r="E60" s="40" t="s">
        <v>60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5" t="s">
        <v>11</v>
      </c>
      <c r="B61" s="31"/>
      <c r="C61" s="31"/>
      <c r="D61" s="31"/>
      <c r="E61" s="40" t="s">
        <v>61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5" t="s">
        <v>12</v>
      </c>
      <c r="B62" s="31"/>
      <c r="C62" s="31"/>
      <c r="D62" s="31"/>
      <c r="E62" s="40" t="s">
        <v>62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5" t="s">
        <v>63</v>
      </c>
      <c r="B63" s="31"/>
      <c r="C63" s="31"/>
      <c r="D63" s="31"/>
      <c r="E63" s="40" t="s">
        <v>64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5" t="s">
        <v>65</v>
      </c>
      <c r="B64" s="31"/>
      <c r="C64" s="31"/>
      <c r="D64" s="31"/>
      <c r="E64" s="40" t="s">
        <v>66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5" t="s">
        <v>67</v>
      </c>
      <c r="B65" s="31"/>
      <c r="C65" s="31"/>
      <c r="D65" s="31"/>
      <c r="E65" s="40" t="s">
        <v>68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5" t="s">
        <v>39</v>
      </c>
      <c r="B66" s="31"/>
      <c r="C66" s="31"/>
      <c r="D66" s="31"/>
      <c r="E66" s="40" t="s">
        <v>69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5" t="s">
        <v>70</v>
      </c>
      <c r="B67" s="31"/>
      <c r="C67" s="31"/>
      <c r="D67" s="31"/>
      <c r="E67" s="40" t="s">
        <v>71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5" t="s">
        <v>72</v>
      </c>
      <c r="B68" s="31"/>
      <c r="C68" s="31"/>
      <c r="D68" s="31"/>
      <c r="E68" s="40" t="s">
        <v>73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5" t="s">
        <v>8</v>
      </c>
      <c r="B69" s="31"/>
      <c r="C69" s="31"/>
      <c r="D69" s="31"/>
      <c r="E69" s="40" t="s">
        <v>74</v>
      </c>
      <c r="F69" s="31"/>
      <c r="G69" s="31"/>
      <c r="H69" s="31"/>
      <c r="I69" s="31"/>
      <c r="J69" s="31"/>
      <c r="K69" s="31"/>
      <c r="L69" s="31"/>
      <c r="M69" s="31"/>
    </row>
  </sheetData>
  <sheetProtection formatCells="0"/>
  <mergeCells count="51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E61:M61"/>
    <mergeCell ref="A64:D64"/>
    <mergeCell ref="M6:M7"/>
    <mergeCell ref="E6:E7"/>
    <mergeCell ref="J56:L56"/>
    <mergeCell ref="A61:D61"/>
    <mergeCell ref="A69:D69"/>
    <mergeCell ref="E66:M66"/>
    <mergeCell ref="A65:D65"/>
    <mergeCell ref="E68:M68"/>
    <mergeCell ref="E67:M67"/>
    <mergeCell ref="E69:M69"/>
    <mergeCell ref="E65:M65"/>
    <mergeCell ref="A63:D63"/>
    <mergeCell ref="A68:D68"/>
    <mergeCell ref="A67:D67"/>
    <mergeCell ref="J6:L6"/>
    <mergeCell ref="A59:E59"/>
    <mergeCell ref="F56:I56"/>
    <mergeCell ref="A1:M1"/>
    <mergeCell ref="A57:E57"/>
    <mergeCell ref="A6:A7"/>
    <mergeCell ref="A43:M43"/>
    <mergeCell ref="A54:E54"/>
    <mergeCell ref="E63:M63"/>
    <mergeCell ref="G2:H2"/>
    <mergeCell ref="A8:M8"/>
    <mergeCell ref="A62:D62"/>
    <mergeCell ref="A4:M4"/>
    <mergeCell ref="A51:E51"/>
    <mergeCell ref="E60:M60"/>
    <mergeCell ref="A2:C2"/>
    <mergeCell ref="K2:M2"/>
    <mergeCell ref="D2:E2"/>
    <mergeCell ref="F6:I6"/>
    <mergeCell ref="A55:E55"/>
    <mergeCell ref="A50:E50"/>
    <mergeCell ref="B6:B7"/>
    <mergeCell ref="A60:D60"/>
    <mergeCell ref="A56:E56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69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178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IF(F163=0,NA(),F163)</f>
        <v>#N/A</v>
      </c>
      <c r="Q2" s="2">
        <f t="shared" si="0"/>
        <v>25</v>
      </c>
      <c r="R2" s="2">
        <f t="shared" si="0"/>
        <v>123.40782601500001</v>
      </c>
      <c r="S2" s="2" t="e">
        <f t="shared" si="0"/>
        <v>#N/A</v>
      </c>
      <c r="T2" s="2" t="e">
        <f t="shared" si="0"/>
        <v>#N/A</v>
      </c>
      <c r="U2" s="2">
        <f t="shared" si="0"/>
        <v>148.40782601500001</v>
      </c>
      <c r="V2" s="2" t="e">
        <f t="shared" si="0"/>
        <v>#N/A</v>
      </c>
    </row>
    <row r="3" spans="1:22" ht="15" customHeight="1" x14ac:dyDescent="0.25">
      <c r="A3" s="50" t="s">
        <v>81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82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83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84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48</v>
      </c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48</v>
      </c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84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84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84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84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84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84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/>
      <c r="H42" s="18" t="s">
        <v>48</v>
      </c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84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84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84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/>
      <c r="H45" s="18" t="s">
        <v>48</v>
      </c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84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/>
      <c r="H46" s="18" t="s">
        <v>48</v>
      </c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84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/>
      <c r="H47" s="18" t="s">
        <v>48</v>
      </c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84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 t="s">
        <v>48</v>
      </c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84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/>
      <c r="H49" s="18" t="s">
        <v>48</v>
      </c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84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/>
      <c r="H50" s="18" t="s">
        <v>48</v>
      </c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84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/>
      <c r="H51" s="18" t="s">
        <v>48</v>
      </c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84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/>
      <c r="H52" s="18" t="s">
        <v>48</v>
      </c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84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 t="s">
        <v>48</v>
      </c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84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/>
      <c r="H54" s="18" t="s">
        <v>48</v>
      </c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84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/>
      <c r="H55" s="18" t="s">
        <v>48</v>
      </c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84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/>
      <c r="H56" s="18" t="s">
        <v>48</v>
      </c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84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/>
      <c r="H57" s="18" t="s">
        <v>48</v>
      </c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84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/>
      <c r="H58" s="18" t="s">
        <v>48</v>
      </c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84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/>
      <c r="H59" s="18" t="s">
        <v>48</v>
      </c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84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/>
      <c r="H60" s="18" t="s">
        <v>48</v>
      </c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84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/>
      <c r="H61" s="18" t="s">
        <v>48</v>
      </c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84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/>
      <c r="H62" s="18" t="s">
        <v>48</v>
      </c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84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/>
      <c r="H63" s="18" t="s">
        <v>48</v>
      </c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84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/>
      <c r="H64" s="18" t="s">
        <v>48</v>
      </c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84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/>
      <c r="H65" s="18" t="s">
        <v>48</v>
      </c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84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/>
      <c r="H66" s="18" t="s">
        <v>48</v>
      </c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84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/>
      <c r="G67" s="18"/>
      <c r="H67" s="18" t="s">
        <v>48</v>
      </c>
      <c r="I67" s="18"/>
      <c r="J67" s="18"/>
      <c r="K67" s="18" t="s">
        <v>48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84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/>
      <c r="G68" s="18"/>
      <c r="H68" s="18" t="s">
        <v>48</v>
      </c>
      <c r="I68" s="18"/>
      <c r="J68" s="18"/>
      <c r="K68" s="18" t="s">
        <v>48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84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/>
      <c r="G69" s="18"/>
      <c r="H69" s="18" t="s">
        <v>48</v>
      </c>
      <c r="I69" s="18"/>
      <c r="J69" s="18"/>
      <c r="K69" s="18" t="s">
        <v>48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84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/>
      <c r="G70" s="18"/>
      <c r="H70" s="18" t="s">
        <v>48</v>
      </c>
      <c r="I70" s="18"/>
      <c r="J70" s="18"/>
      <c r="K70" s="18" t="s">
        <v>48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84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/>
      <c r="G71" s="18"/>
      <c r="H71" s="18" t="s">
        <v>48</v>
      </c>
      <c r="I71" s="18"/>
      <c r="J71" s="18"/>
      <c r="K71" s="18" t="s">
        <v>48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15" t="s">
        <v>84</v>
      </c>
      <c r="B72" s="16" t="s">
        <v>47</v>
      </c>
      <c r="C72" s="17">
        <v>63</v>
      </c>
      <c r="D72" s="17">
        <v>64</v>
      </c>
      <c r="E72" s="17">
        <f t="shared" si="3"/>
        <v>1</v>
      </c>
      <c r="F72" s="18"/>
      <c r="G72" s="18"/>
      <c r="H72" s="18" t="s">
        <v>48</v>
      </c>
      <c r="I72" s="18"/>
      <c r="J72" s="18"/>
      <c r="K72" s="18" t="s">
        <v>48</v>
      </c>
      <c r="L72" s="18"/>
      <c r="M72" s="19"/>
      <c r="N72" s="20" t="str">
        <f t="shared" si="4"/>
        <v>OK</v>
      </c>
    </row>
    <row r="73" spans="1:14" ht="20.100000000000001" customHeight="1" x14ac:dyDescent="0.25">
      <c r="A73" s="15" t="s">
        <v>84</v>
      </c>
      <c r="B73" s="16" t="s">
        <v>47</v>
      </c>
      <c r="C73" s="17">
        <v>64</v>
      </c>
      <c r="D73" s="17">
        <v>65</v>
      </c>
      <c r="E73" s="17">
        <f t="shared" ref="E73:E104" si="5">D73-C73</f>
        <v>1</v>
      </c>
      <c r="F73" s="18"/>
      <c r="G73" s="18"/>
      <c r="H73" s="18" t="s">
        <v>48</v>
      </c>
      <c r="I73" s="18"/>
      <c r="J73" s="18"/>
      <c r="K73" s="18" t="s">
        <v>48</v>
      </c>
      <c r="L73" s="18"/>
      <c r="M73" s="19"/>
      <c r="N73" s="20" t="str">
        <f t="shared" ref="N73:N104" si="6">IF(COUNTA(F73:L73)=0,"— não preenchido",IF(COUNTIF(F73:I73,"X")&lt;&gt;1,"FALTA/DUPLA: CONDIÇÃO DA PLATAFORMA",IF(COUNTIF(J73:L73,"X")&lt;&gt;1,"FALTA/DUPLA: DRENAGEM SUPERFICIAL","OK")))</f>
        <v>OK</v>
      </c>
    </row>
    <row r="74" spans="1:14" ht="20.100000000000001" customHeight="1" x14ac:dyDescent="0.25">
      <c r="A74" s="15" t="s">
        <v>84</v>
      </c>
      <c r="B74" s="16" t="s">
        <v>47</v>
      </c>
      <c r="C74" s="17">
        <v>65</v>
      </c>
      <c r="D74" s="17">
        <v>66</v>
      </c>
      <c r="E74" s="17">
        <f t="shared" si="5"/>
        <v>1</v>
      </c>
      <c r="F74" s="18"/>
      <c r="G74" s="18"/>
      <c r="H74" s="18" t="s">
        <v>48</v>
      </c>
      <c r="I74" s="18"/>
      <c r="J74" s="18"/>
      <c r="K74" s="18" t="s">
        <v>48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84</v>
      </c>
      <c r="B75" s="16" t="s">
        <v>47</v>
      </c>
      <c r="C75" s="17">
        <v>66</v>
      </c>
      <c r="D75" s="17">
        <v>67</v>
      </c>
      <c r="E75" s="17">
        <f t="shared" si="5"/>
        <v>1</v>
      </c>
      <c r="F75" s="18"/>
      <c r="G75" s="18"/>
      <c r="H75" s="18" t="s">
        <v>48</v>
      </c>
      <c r="I75" s="18"/>
      <c r="J75" s="18"/>
      <c r="K75" s="18" t="s">
        <v>48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84</v>
      </c>
      <c r="B76" s="16" t="s">
        <v>47</v>
      </c>
      <c r="C76" s="17">
        <v>67</v>
      </c>
      <c r="D76" s="17">
        <v>68</v>
      </c>
      <c r="E76" s="17">
        <f t="shared" si="5"/>
        <v>1</v>
      </c>
      <c r="F76" s="18"/>
      <c r="G76" s="18"/>
      <c r="H76" s="18" t="s">
        <v>48</v>
      </c>
      <c r="I76" s="18"/>
      <c r="J76" s="18"/>
      <c r="K76" s="18" t="s">
        <v>48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84</v>
      </c>
      <c r="B77" s="16" t="s">
        <v>47</v>
      </c>
      <c r="C77" s="17">
        <v>68</v>
      </c>
      <c r="D77" s="17">
        <v>69</v>
      </c>
      <c r="E77" s="17">
        <f t="shared" si="5"/>
        <v>1</v>
      </c>
      <c r="F77" s="18"/>
      <c r="G77" s="18"/>
      <c r="H77" s="18" t="s">
        <v>48</v>
      </c>
      <c r="I77" s="18"/>
      <c r="J77" s="18"/>
      <c r="K77" s="18" t="s">
        <v>48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84</v>
      </c>
      <c r="B78" s="16" t="s">
        <v>47</v>
      </c>
      <c r="C78" s="17">
        <v>69</v>
      </c>
      <c r="D78" s="17">
        <v>70</v>
      </c>
      <c r="E78" s="17">
        <f t="shared" si="5"/>
        <v>1</v>
      </c>
      <c r="F78" s="18"/>
      <c r="G78" s="18"/>
      <c r="H78" s="18" t="s">
        <v>48</v>
      </c>
      <c r="I78" s="18"/>
      <c r="J78" s="18"/>
      <c r="K78" s="18" t="s">
        <v>48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84</v>
      </c>
      <c r="B79" s="16" t="s">
        <v>47</v>
      </c>
      <c r="C79" s="17">
        <v>70</v>
      </c>
      <c r="D79" s="17">
        <v>71</v>
      </c>
      <c r="E79" s="17">
        <f t="shared" si="5"/>
        <v>1</v>
      </c>
      <c r="F79" s="18"/>
      <c r="G79" s="18"/>
      <c r="H79" s="18" t="s">
        <v>48</v>
      </c>
      <c r="I79" s="18"/>
      <c r="J79" s="18"/>
      <c r="K79" s="18" t="s">
        <v>48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84</v>
      </c>
      <c r="B80" s="16" t="s">
        <v>47</v>
      </c>
      <c r="C80" s="17">
        <v>71</v>
      </c>
      <c r="D80" s="17">
        <v>72</v>
      </c>
      <c r="E80" s="17">
        <f t="shared" si="5"/>
        <v>1</v>
      </c>
      <c r="F80" s="18"/>
      <c r="G80" s="18"/>
      <c r="H80" s="18" t="s">
        <v>48</v>
      </c>
      <c r="I80" s="18"/>
      <c r="J80" s="18"/>
      <c r="K80" s="18" t="s">
        <v>48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84</v>
      </c>
      <c r="B81" s="16" t="s">
        <v>47</v>
      </c>
      <c r="C81" s="17">
        <v>72</v>
      </c>
      <c r="D81" s="17">
        <v>73</v>
      </c>
      <c r="E81" s="17">
        <f t="shared" si="5"/>
        <v>1</v>
      </c>
      <c r="F81" s="18"/>
      <c r="G81" s="18"/>
      <c r="H81" s="18" t="s">
        <v>48</v>
      </c>
      <c r="I81" s="18"/>
      <c r="J81" s="18"/>
      <c r="K81" s="18" t="s">
        <v>48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84</v>
      </c>
      <c r="B82" s="16" t="s">
        <v>47</v>
      </c>
      <c r="C82" s="17">
        <v>73</v>
      </c>
      <c r="D82" s="17">
        <v>74</v>
      </c>
      <c r="E82" s="17">
        <f t="shared" si="5"/>
        <v>1</v>
      </c>
      <c r="F82" s="18"/>
      <c r="G82" s="18"/>
      <c r="H82" s="18" t="s">
        <v>48</v>
      </c>
      <c r="I82" s="18"/>
      <c r="J82" s="18"/>
      <c r="K82" s="18" t="s">
        <v>48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84</v>
      </c>
      <c r="B83" s="16" t="s">
        <v>47</v>
      </c>
      <c r="C83" s="17">
        <v>74</v>
      </c>
      <c r="D83" s="17">
        <v>75</v>
      </c>
      <c r="E83" s="17">
        <f t="shared" si="5"/>
        <v>1</v>
      </c>
      <c r="F83" s="18"/>
      <c r="G83" s="18"/>
      <c r="H83" s="18" t="s">
        <v>48</v>
      </c>
      <c r="I83" s="18"/>
      <c r="J83" s="18"/>
      <c r="K83" s="18" t="s">
        <v>48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84</v>
      </c>
      <c r="B84" s="16" t="s">
        <v>47</v>
      </c>
      <c r="C84" s="17">
        <v>75</v>
      </c>
      <c r="D84" s="17">
        <v>76</v>
      </c>
      <c r="E84" s="17">
        <f t="shared" si="5"/>
        <v>1</v>
      </c>
      <c r="F84" s="18"/>
      <c r="G84" s="18"/>
      <c r="H84" s="18" t="s">
        <v>48</v>
      </c>
      <c r="I84" s="18"/>
      <c r="J84" s="18"/>
      <c r="K84" s="18" t="s">
        <v>48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84</v>
      </c>
      <c r="B85" s="16" t="s">
        <v>47</v>
      </c>
      <c r="C85" s="17">
        <v>76</v>
      </c>
      <c r="D85" s="17">
        <v>77</v>
      </c>
      <c r="E85" s="17">
        <f t="shared" si="5"/>
        <v>1</v>
      </c>
      <c r="F85" s="18"/>
      <c r="G85" s="18"/>
      <c r="H85" s="18" t="s">
        <v>48</v>
      </c>
      <c r="I85" s="18"/>
      <c r="J85" s="18"/>
      <c r="K85" s="18" t="s">
        <v>48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84</v>
      </c>
      <c r="B86" s="16" t="s">
        <v>47</v>
      </c>
      <c r="C86" s="17">
        <v>77</v>
      </c>
      <c r="D86" s="17">
        <v>78</v>
      </c>
      <c r="E86" s="17">
        <f t="shared" si="5"/>
        <v>1</v>
      </c>
      <c r="F86" s="18"/>
      <c r="G86" s="18"/>
      <c r="H86" s="18" t="s">
        <v>48</v>
      </c>
      <c r="I86" s="18"/>
      <c r="J86" s="18"/>
      <c r="K86" s="18" t="s">
        <v>48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84</v>
      </c>
      <c r="B87" s="16" t="s">
        <v>47</v>
      </c>
      <c r="C87" s="17">
        <v>78</v>
      </c>
      <c r="D87" s="17">
        <v>79</v>
      </c>
      <c r="E87" s="17">
        <f t="shared" si="5"/>
        <v>1</v>
      </c>
      <c r="F87" s="18"/>
      <c r="G87" s="18"/>
      <c r="H87" s="18" t="s">
        <v>48</v>
      </c>
      <c r="I87" s="18"/>
      <c r="J87" s="18"/>
      <c r="K87" s="18" t="s">
        <v>48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84</v>
      </c>
      <c r="B88" s="16" t="s">
        <v>47</v>
      </c>
      <c r="C88" s="17">
        <v>79</v>
      </c>
      <c r="D88" s="17">
        <v>80</v>
      </c>
      <c r="E88" s="17">
        <f t="shared" si="5"/>
        <v>1</v>
      </c>
      <c r="F88" s="18"/>
      <c r="G88" s="18"/>
      <c r="H88" s="18" t="s">
        <v>48</v>
      </c>
      <c r="I88" s="18"/>
      <c r="J88" s="18"/>
      <c r="K88" s="18" t="s">
        <v>48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84</v>
      </c>
      <c r="B89" s="16" t="s">
        <v>47</v>
      </c>
      <c r="C89" s="17">
        <v>80</v>
      </c>
      <c r="D89" s="17">
        <v>81</v>
      </c>
      <c r="E89" s="17">
        <f t="shared" si="5"/>
        <v>1</v>
      </c>
      <c r="F89" s="18"/>
      <c r="G89" s="18"/>
      <c r="H89" s="18" t="s">
        <v>48</v>
      </c>
      <c r="I89" s="18"/>
      <c r="J89" s="18"/>
      <c r="K89" s="18" t="s">
        <v>48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84</v>
      </c>
      <c r="B90" s="16" t="s">
        <v>47</v>
      </c>
      <c r="C90" s="17">
        <v>81</v>
      </c>
      <c r="D90" s="17">
        <v>82</v>
      </c>
      <c r="E90" s="17">
        <f t="shared" si="5"/>
        <v>1</v>
      </c>
      <c r="F90" s="18"/>
      <c r="G90" s="18"/>
      <c r="H90" s="18" t="s">
        <v>48</v>
      </c>
      <c r="I90" s="18"/>
      <c r="J90" s="18"/>
      <c r="K90" s="18" t="s">
        <v>48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84</v>
      </c>
      <c r="B91" s="16" t="s">
        <v>47</v>
      </c>
      <c r="C91" s="17">
        <v>82</v>
      </c>
      <c r="D91" s="17">
        <v>83</v>
      </c>
      <c r="E91" s="17">
        <f t="shared" si="5"/>
        <v>1</v>
      </c>
      <c r="F91" s="18"/>
      <c r="G91" s="18"/>
      <c r="H91" s="18" t="s">
        <v>48</v>
      </c>
      <c r="I91" s="18"/>
      <c r="J91" s="18"/>
      <c r="K91" s="18" t="s">
        <v>48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84</v>
      </c>
      <c r="B92" s="16" t="s">
        <v>47</v>
      </c>
      <c r="C92" s="17">
        <v>83</v>
      </c>
      <c r="D92" s="17">
        <v>84</v>
      </c>
      <c r="E92" s="17">
        <f t="shared" si="5"/>
        <v>1</v>
      </c>
      <c r="F92" s="18"/>
      <c r="G92" s="18"/>
      <c r="H92" s="18" t="s">
        <v>48</v>
      </c>
      <c r="I92" s="18"/>
      <c r="J92" s="18"/>
      <c r="K92" s="18" t="s">
        <v>48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84</v>
      </c>
      <c r="B93" s="16" t="s">
        <v>47</v>
      </c>
      <c r="C93" s="17">
        <v>84</v>
      </c>
      <c r="D93" s="17">
        <v>85</v>
      </c>
      <c r="E93" s="17">
        <f t="shared" si="5"/>
        <v>1</v>
      </c>
      <c r="F93" s="18"/>
      <c r="G93" s="18"/>
      <c r="H93" s="18" t="s">
        <v>48</v>
      </c>
      <c r="I93" s="18"/>
      <c r="J93" s="18"/>
      <c r="K93" s="18" t="s">
        <v>48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84</v>
      </c>
      <c r="B94" s="16" t="s">
        <v>47</v>
      </c>
      <c r="C94" s="17">
        <v>85</v>
      </c>
      <c r="D94" s="17">
        <v>86</v>
      </c>
      <c r="E94" s="17">
        <f t="shared" si="5"/>
        <v>1</v>
      </c>
      <c r="F94" s="18"/>
      <c r="G94" s="18"/>
      <c r="H94" s="18" t="s">
        <v>48</v>
      </c>
      <c r="I94" s="18"/>
      <c r="J94" s="18"/>
      <c r="K94" s="18" t="s">
        <v>48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84</v>
      </c>
      <c r="B95" s="16" t="s">
        <v>47</v>
      </c>
      <c r="C95" s="17">
        <v>86</v>
      </c>
      <c r="D95" s="17">
        <v>87</v>
      </c>
      <c r="E95" s="17">
        <f t="shared" si="5"/>
        <v>1</v>
      </c>
      <c r="F95" s="18"/>
      <c r="G95" s="18"/>
      <c r="H95" s="18" t="s">
        <v>48</v>
      </c>
      <c r="I95" s="18"/>
      <c r="J95" s="18"/>
      <c r="K95" s="18" t="s">
        <v>48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84</v>
      </c>
      <c r="B96" s="16" t="s">
        <v>47</v>
      </c>
      <c r="C96" s="17">
        <v>87</v>
      </c>
      <c r="D96" s="17">
        <v>88</v>
      </c>
      <c r="E96" s="17">
        <f t="shared" si="5"/>
        <v>1</v>
      </c>
      <c r="F96" s="18"/>
      <c r="G96" s="18"/>
      <c r="H96" s="18" t="s">
        <v>48</v>
      </c>
      <c r="I96" s="18"/>
      <c r="J96" s="18"/>
      <c r="K96" s="18" t="s">
        <v>48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84</v>
      </c>
      <c r="B97" s="16" t="s">
        <v>47</v>
      </c>
      <c r="C97" s="17">
        <v>88</v>
      </c>
      <c r="D97" s="17">
        <v>89</v>
      </c>
      <c r="E97" s="17">
        <f t="shared" si="5"/>
        <v>1</v>
      </c>
      <c r="F97" s="18"/>
      <c r="G97" s="18"/>
      <c r="H97" s="18" t="s">
        <v>48</v>
      </c>
      <c r="I97" s="18"/>
      <c r="J97" s="18"/>
      <c r="K97" s="18" t="s">
        <v>48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84</v>
      </c>
      <c r="B98" s="16" t="s">
        <v>47</v>
      </c>
      <c r="C98" s="17">
        <v>89</v>
      </c>
      <c r="D98" s="17">
        <v>90</v>
      </c>
      <c r="E98" s="17">
        <f t="shared" si="5"/>
        <v>1</v>
      </c>
      <c r="F98" s="18"/>
      <c r="G98" s="18"/>
      <c r="H98" s="18" t="s">
        <v>48</v>
      </c>
      <c r="I98" s="18"/>
      <c r="J98" s="18"/>
      <c r="K98" s="18" t="s">
        <v>48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84</v>
      </c>
      <c r="B99" s="16" t="s">
        <v>47</v>
      </c>
      <c r="C99" s="17">
        <v>90</v>
      </c>
      <c r="D99" s="17">
        <v>91</v>
      </c>
      <c r="E99" s="17">
        <f t="shared" si="5"/>
        <v>1</v>
      </c>
      <c r="F99" s="18"/>
      <c r="G99" s="18"/>
      <c r="H99" s="18" t="s">
        <v>48</v>
      </c>
      <c r="I99" s="18"/>
      <c r="J99" s="18"/>
      <c r="K99" s="18" t="s">
        <v>48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84</v>
      </c>
      <c r="B100" s="16" t="s">
        <v>47</v>
      </c>
      <c r="C100" s="17">
        <v>91</v>
      </c>
      <c r="D100" s="17">
        <v>92</v>
      </c>
      <c r="E100" s="17">
        <f t="shared" si="5"/>
        <v>1</v>
      </c>
      <c r="F100" s="18"/>
      <c r="G100" s="18"/>
      <c r="H100" s="18" t="s">
        <v>48</v>
      </c>
      <c r="I100" s="18"/>
      <c r="J100" s="18"/>
      <c r="K100" s="18" t="s">
        <v>48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84</v>
      </c>
      <c r="B101" s="16" t="s">
        <v>47</v>
      </c>
      <c r="C101" s="17">
        <v>92</v>
      </c>
      <c r="D101" s="17">
        <v>93</v>
      </c>
      <c r="E101" s="17">
        <f t="shared" si="5"/>
        <v>1</v>
      </c>
      <c r="F101" s="18"/>
      <c r="G101" s="18"/>
      <c r="H101" s="18" t="s">
        <v>48</v>
      </c>
      <c r="I101" s="18"/>
      <c r="J101" s="18"/>
      <c r="K101" s="18" t="s">
        <v>48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84</v>
      </c>
      <c r="B102" s="16" t="s">
        <v>47</v>
      </c>
      <c r="C102" s="17">
        <v>93</v>
      </c>
      <c r="D102" s="17">
        <v>94</v>
      </c>
      <c r="E102" s="17">
        <f t="shared" si="5"/>
        <v>1</v>
      </c>
      <c r="F102" s="18"/>
      <c r="G102" s="18"/>
      <c r="H102" s="18" t="s">
        <v>48</v>
      </c>
      <c r="I102" s="18"/>
      <c r="J102" s="18"/>
      <c r="K102" s="18" t="s">
        <v>48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15" t="s">
        <v>84</v>
      </c>
      <c r="B103" s="16" t="s">
        <v>47</v>
      </c>
      <c r="C103" s="17">
        <v>94</v>
      </c>
      <c r="D103" s="17">
        <v>95</v>
      </c>
      <c r="E103" s="17">
        <f t="shared" si="5"/>
        <v>1</v>
      </c>
      <c r="F103" s="18"/>
      <c r="G103" s="18"/>
      <c r="H103" s="18" t="s">
        <v>48</v>
      </c>
      <c r="I103" s="18"/>
      <c r="J103" s="18"/>
      <c r="K103" s="18" t="s">
        <v>48</v>
      </c>
      <c r="L103" s="18"/>
      <c r="M103" s="19"/>
      <c r="N103" s="20" t="str">
        <f t="shared" si="6"/>
        <v>OK</v>
      </c>
    </row>
    <row r="104" spans="1:14" ht="20.100000000000001" customHeight="1" x14ac:dyDescent="0.25">
      <c r="A104" s="15" t="s">
        <v>84</v>
      </c>
      <c r="B104" s="16" t="s">
        <v>47</v>
      </c>
      <c r="C104" s="17">
        <v>95</v>
      </c>
      <c r="D104" s="17">
        <v>96</v>
      </c>
      <c r="E104" s="17">
        <f t="shared" si="5"/>
        <v>1</v>
      </c>
      <c r="F104" s="18"/>
      <c r="G104" s="18"/>
      <c r="H104" s="18" t="s">
        <v>48</v>
      </c>
      <c r="I104" s="18"/>
      <c r="J104" s="18"/>
      <c r="K104" s="18" t="s">
        <v>48</v>
      </c>
      <c r="L104" s="18"/>
      <c r="M104" s="19"/>
      <c r="N104" s="20" t="str">
        <f t="shared" si="6"/>
        <v>OK</v>
      </c>
    </row>
    <row r="105" spans="1:14" ht="20.100000000000001" customHeight="1" x14ac:dyDescent="0.25">
      <c r="A105" s="15" t="s">
        <v>84</v>
      </c>
      <c r="B105" s="16" t="s">
        <v>47</v>
      </c>
      <c r="C105" s="17">
        <v>96</v>
      </c>
      <c r="D105" s="17">
        <v>97</v>
      </c>
      <c r="E105" s="17">
        <f t="shared" ref="E105:E136" si="7">D105-C105</f>
        <v>1</v>
      </c>
      <c r="F105" s="18"/>
      <c r="G105" s="18"/>
      <c r="H105" s="18" t="s">
        <v>48</v>
      </c>
      <c r="I105" s="18"/>
      <c r="J105" s="18"/>
      <c r="K105" s="18" t="s">
        <v>48</v>
      </c>
      <c r="L105" s="18"/>
      <c r="M105" s="19"/>
      <c r="N105" s="20" t="str">
        <f t="shared" ref="N105:N136" si="8">IF(COUNTA(F105:L105)=0,"— não preenchido",IF(COUNTIF(F105:I105,"X")&lt;&gt;1,"FALTA/DUPLA: CONDIÇÃO DA PLATAFORMA",IF(COUNTIF(J105:L105,"X")&lt;&gt;1,"FALTA/DUPLA: DRENAGEM SUPERFICIAL","OK")))</f>
        <v>OK</v>
      </c>
    </row>
    <row r="106" spans="1:14" ht="20.100000000000001" customHeight="1" x14ac:dyDescent="0.25">
      <c r="A106" s="15" t="s">
        <v>84</v>
      </c>
      <c r="B106" s="16" t="s">
        <v>47</v>
      </c>
      <c r="C106" s="17">
        <v>97</v>
      </c>
      <c r="D106" s="17">
        <v>98</v>
      </c>
      <c r="E106" s="17">
        <f t="shared" si="7"/>
        <v>1</v>
      </c>
      <c r="F106" s="18"/>
      <c r="G106" s="18"/>
      <c r="H106" s="18" t="s">
        <v>48</v>
      </c>
      <c r="I106" s="18"/>
      <c r="J106" s="18"/>
      <c r="K106" s="18" t="s">
        <v>48</v>
      </c>
      <c r="L106" s="18"/>
      <c r="M106" s="19"/>
      <c r="N106" s="20" t="str">
        <f t="shared" si="8"/>
        <v>OK</v>
      </c>
    </row>
    <row r="107" spans="1:14" ht="20.100000000000001" customHeight="1" x14ac:dyDescent="0.25">
      <c r="A107" s="15" t="s">
        <v>84</v>
      </c>
      <c r="B107" s="16" t="s">
        <v>47</v>
      </c>
      <c r="C107" s="17">
        <v>98</v>
      </c>
      <c r="D107" s="17">
        <v>99</v>
      </c>
      <c r="E107" s="17">
        <f t="shared" si="7"/>
        <v>1</v>
      </c>
      <c r="F107" s="18"/>
      <c r="G107" s="18"/>
      <c r="H107" s="18" t="s">
        <v>48</v>
      </c>
      <c r="I107" s="18"/>
      <c r="J107" s="18"/>
      <c r="K107" s="18" t="s">
        <v>48</v>
      </c>
      <c r="L107" s="18"/>
      <c r="M107" s="19"/>
      <c r="N107" s="20" t="str">
        <f t="shared" si="8"/>
        <v>OK</v>
      </c>
    </row>
    <row r="108" spans="1:14" ht="20.100000000000001" customHeight="1" x14ac:dyDescent="0.25">
      <c r="A108" s="15" t="s">
        <v>84</v>
      </c>
      <c r="B108" s="16" t="s">
        <v>47</v>
      </c>
      <c r="C108" s="17">
        <v>99</v>
      </c>
      <c r="D108" s="17">
        <v>100</v>
      </c>
      <c r="E108" s="17">
        <f t="shared" si="7"/>
        <v>1</v>
      </c>
      <c r="F108" s="18"/>
      <c r="G108" s="18"/>
      <c r="H108" s="18" t="s">
        <v>48</v>
      </c>
      <c r="I108" s="18"/>
      <c r="J108" s="18"/>
      <c r="K108" s="18" t="s">
        <v>48</v>
      </c>
      <c r="L108" s="18"/>
      <c r="M108" s="19"/>
      <c r="N108" s="20" t="str">
        <f t="shared" si="8"/>
        <v>OK</v>
      </c>
    </row>
    <row r="109" spans="1:14" ht="20.100000000000001" customHeight="1" x14ac:dyDescent="0.25">
      <c r="A109" s="15" t="s">
        <v>84</v>
      </c>
      <c r="B109" s="16" t="s">
        <v>47</v>
      </c>
      <c r="C109" s="17">
        <v>100</v>
      </c>
      <c r="D109" s="17">
        <v>101</v>
      </c>
      <c r="E109" s="17">
        <f t="shared" si="7"/>
        <v>1</v>
      </c>
      <c r="F109" s="18"/>
      <c r="G109" s="18"/>
      <c r="H109" s="18" t="s">
        <v>48</v>
      </c>
      <c r="I109" s="18"/>
      <c r="J109" s="18"/>
      <c r="K109" s="18" t="s">
        <v>48</v>
      </c>
      <c r="L109" s="18"/>
      <c r="M109" s="19"/>
      <c r="N109" s="20" t="str">
        <f t="shared" si="8"/>
        <v>OK</v>
      </c>
    </row>
    <row r="110" spans="1:14" ht="20.100000000000001" customHeight="1" x14ac:dyDescent="0.25">
      <c r="A110" s="15" t="s">
        <v>84</v>
      </c>
      <c r="B110" s="16" t="s">
        <v>47</v>
      </c>
      <c r="C110" s="17">
        <v>101</v>
      </c>
      <c r="D110" s="17">
        <v>102</v>
      </c>
      <c r="E110" s="17">
        <f t="shared" si="7"/>
        <v>1</v>
      </c>
      <c r="F110" s="18"/>
      <c r="G110" s="18"/>
      <c r="H110" s="18" t="s">
        <v>48</v>
      </c>
      <c r="I110" s="18"/>
      <c r="J110" s="18"/>
      <c r="K110" s="18" t="s">
        <v>48</v>
      </c>
      <c r="L110" s="18"/>
      <c r="M110" s="19"/>
      <c r="N110" s="20" t="str">
        <f t="shared" si="8"/>
        <v>OK</v>
      </c>
    </row>
    <row r="111" spans="1:14" ht="20.100000000000001" customHeight="1" x14ac:dyDescent="0.25">
      <c r="A111" s="15" t="s">
        <v>84</v>
      </c>
      <c r="B111" s="16" t="s">
        <v>47</v>
      </c>
      <c r="C111" s="17">
        <v>102</v>
      </c>
      <c r="D111" s="17">
        <v>103</v>
      </c>
      <c r="E111" s="17">
        <f t="shared" si="7"/>
        <v>1</v>
      </c>
      <c r="F111" s="18"/>
      <c r="G111" s="18"/>
      <c r="H111" s="18" t="s">
        <v>48</v>
      </c>
      <c r="I111" s="18"/>
      <c r="J111" s="18"/>
      <c r="K111" s="18" t="s">
        <v>48</v>
      </c>
      <c r="L111" s="18"/>
      <c r="M111" s="19"/>
      <c r="N111" s="20" t="str">
        <f t="shared" si="8"/>
        <v>OK</v>
      </c>
    </row>
    <row r="112" spans="1:14" ht="20.100000000000001" customHeight="1" x14ac:dyDescent="0.25">
      <c r="A112" s="15" t="s">
        <v>84</v>
      </c>
      <c r="B112" s="16" t="s">
        <v>47</v>
      </c>
      <c r="C112" s="17">
        <v>103</v>
      </c>
      <c r="D112" s="17">
        <v>104</v>
      </c>
      <c r="E112" s="17">
        <f t="shared" si="7"/>
        <v>1</v>
      </c>
      <c r="F112" s="18"/>
      <c r="G112" s="18"/>
      <c r="H112" s="18" t="s">
        <v>48</v>
      </c>
      <c r="I112" s="18"/>
      <c r="J112" s="18"/>
      <c r="K112" s="18" t="s">
        <v>48</v>
      </c>
      <c r="L112" s="18"/>
      <c r="M112" s="19"/>
      <c r="N112" s="20" t="str">
        <f t="shared" si="8"/>
        <v>OK</v>
      </c>
    </row>
    <row r="113" spans="1:14" ht="20.100000000000001" customHeight="1" x14ac:dyDescent="0.25">
      <c r="A113" s="15" t="s">
        <v>84</v>
      </c>
      <c r="B113" s="16" t="s">
        <v>47</v>
      </c>
      <c r="C113" s="17">
        <v>104</v>
      </c>
      <c r="D113" s="17">
        <v>105</v>
      </c>
      <c r="E113" s="17">
        <f t="shared" si="7"/>
        <v>1</v>
      </c>
      <c r="F113" s="18"/>
      <c r="G113" s="18"/>
      <c r="H113" s="18" t="s">
        <v>48</v>
      </c>
      <c r="I113" s="18"/>
      <c r="J113" s="18"/>
      <c r="K113" s="18" t="s">
        <v>48</v>
      </c>
      <c r="L113" s="18"/>
      <c r="M113" s="19"/>
      <c r="N113" s="20" t="str">
        <f t="shared" si="8"/>
        <v>OK</v>
      </c>
    </row>
    <row r="114" spans="1:14" ht="20.100000000000001" customHeight="1" x14ac:dyDescent="0.25">
      <c r="A114" s="15" t="s">
        <v>84</v>
      </c>
      <c r="B114" s="16" t="s">
        <v>47</v>
      </c>
      <c r="C114" s="17">
        <v>105</v>
      </c>
      <c r="D114" s="17">
        <v>106</v>
      </c>
      <c r="E114" s="17">
        <f t="shared" si="7"/>
        <v>1</v>
      </c>
      <c r="F114" s="18"/>
      <c r="G114" s="18"/>
      <c r="H114" s="18" t="s">
        <v>48</v>
      </c>
      <c r="I114" s="18"/>
      <c r="J114" s="18"/>
      <c r="K114" s="18" t="s">
        <v>48</v>
      </c>
      <c r="L114" s="18"/>
      <c r="M114" s="19"/>
      <c r="N114" s="20" t="str">
        <f t="shared" si="8"/>
        <v>OK</v>
      </c>
    </row>
    <row r="115" spans="1:14" ht="20.100000000000001" customHeight="1" x14ac:dyDescent="0.25">
      <c r="A115" s="15" t="s">
        <v>84</v>
      </c>
      <c r="B115" s="16" t="s">
        <v>47</v>
      </c>
      <c r="C115" s="17">
        <v>106</v>
      </c>
      <c r="D115" s="17">
        <v>107</v>
      </c>
      <c r="E115" s="17">
        <f t="shared" si="7"/>
        <v>1</v>
      </c>
      <c r="F115" s="18"/>
      <c r="G115" s="18"/>
      <c r="H115" s="18" t="s">
        <v>48</v>
      </c>
      <c r="I115" s="18"/>
      <c r="J115" s="18"/>
      <c r="K115" s="18" t="s">
        <v>48</v>
      </c>
      <c r="L115" s="18"/>
      <c r="M115" s="19"/>
      <c r="N115" s="20" t="str">
        <f t="shared" si="8"/>
        <v>OK</v>
      </c>
    </row>
    <row r="116" spans="1:14" ht="20.100000000000001" customHeight="1" x14ac:dyDescent="0.25">
      <c r="A116" s="15" t="s">
        <v>84</v>
      </c>
      <c r="B116" s="16" t="s">
        <v>47</v>
      </c>
      <c r="C116" s="17">
        <v>107</v>
      </c>
      <c r="D116" s="17">
        <v>108</v>
      </c>
      <c r="E116" s="17">
        <f t="shared" si="7"/>
        <v>1</v>
      </c>
      <c r="F116" s="18"/>
      <c r="G116" s="18"/>
      <c r="H116" s="18" t="s">
        <v>48</v>
      </c>
      <c r="I116" s="18"/>
      <c r="J116" s="18"/>
      <c r="K116" s="18" t="s">
        <v>48</v>
      </c>
      <c r="L116" s="18"/>
      <c r="M116" s="19"/>
      <c r="N116" s="20" t="str">
        <f t="shared" si="8"/>
        <v>OK</v>
      </c>
    </row>
    <row r="117" spans="1:14" ht="20.100000000000001" customHeight="1" x14ac:dyDescent="0.25">
      <c r="A117" s="15" t="s">
        <v>84</v>
      </c>
      <c r="B117" s="16" t="s">
        <v>47</v>
      </c>
      <c r="C117" s="17">
        <v>108</v>
      </c>
      <c r="D117" s="17">
        <v>109</v>
      </c>
      <c r="E117" s="17">
        <f t="shared" si="7"/>
        <v>1</v>
      </c>
      <c r="F117" s="18"/>
      <c r="G117" s="18"/>
      <c r="H117" s="18" t="s">
        <v>48</v>
      </c>
      <c r="I117" s="18"/>
      <c r="J117" s="18"/>
      <c r="K117" s="18" t="s">
        <v>48</v>
      </c>
      <c r="L117" s="18"/>
      <c r="M117" s="19"/>
      <c r="N117" s="20" t="str">
        <f t="shared" si="8"/>
        <v>OK</v>
      </c>
    </row>
    <row r="118" spans="1:14" ht="20.100000000000001" customHeight="1" x14ac:dyDescent="0.25">
      <c r="A118" s="15" t="s">
        <v>84</v>
      </c>
      <c r="B118" s="16" t="s">
        <v>47</v>
      </c>
      <c r="C118" s="17">
        <v>109</v>
      </c>
      <c r="D118" s="17">
        <v>110</v>
      </c>
      <c r="E118" s="17">
        <f t="shared" si="7"/>
        <v>1</v>
      </c>
      <c r="F118" s="18"/>
      <c r="G118" s="18"/>
      <c r="H118" s="18" t="s">
        <v>48</v>
      </c>
      <c r="I118" s="18"/>
      <c r="J118" s="18"/>
      <c r="K118" s="18" t="s">
        <v>48</v>
      </c>
      <c r="L118" s="18"/>
      <c r="M118" s="19"/>
      <c r="N118" s="20" t="str">
        <f t="shared" si="8"/>
        <v>OK</v>
      </c>
    </row>
    <row r="119" spans="1:14" ht="20.100000000000001" customHeight="1" x14ac:dyDescent="0.25">
      <c r="A119" s="15" t="s">
        <v>84</v>
      </c>
      <c r="B119" s="16" t="s">
        <v>47</v>
      </c>
      <c r="C119" s="17">
        <v>110</v>
      </c>
      <c r="D119" s="17">
        <v>111</v>
      </c>
      <c r="E119" s="17">
        <f t="shared" si="7"/>
        <v>1</v>
      </c>
      <c r="F119" s="18"/>
      <c r="G119" s="18"/>
      <c r="H119" s="18" t="s">
        <v>48</v>
      </c>
      <c r="I119" s="18"/>
      <c r="J119" s="18"/>
      <c r="K119" s="18" t="s">
        <v>48</v>
      </c>
      <c r="L119" s="18"/>
      <c r="M119" s="19"/>
      <c r="N119" s="20" t="str">
        <f t="shared" si="8"/>
        <v>OK</v>
      </c>
    </row>
    <row r="120" spans="1:14" ht="20.100000000000001" customHeight="1" x14ac:dyDescent="0.25">
      <c r="A120" s="15" t="s">
        <v>84</v>
      </c>
      <c r="B120" s="16" t="s">
        <v>47</v>
      </c>
      <c r="C120" s="17">
        <v>111</v>
      </c>
      <c r="D120" s="17">
        <v>112</v>
      </c>
      <c r="E120" s="17">
        <f t="shared" si="7"/>
        <v>1</v>
      </c>
      <c r="F120" s="18"/>
      <c r="G120" s="18"/>
      <c r="H120" s="18" t="s">
        <v>48</v>
      </c>
      <c r="I120" s="18"/>
      <c r="J120" s="18"/>
      <c r="K120" s="18" t="s">
        <v>48</v>
      </c>
      <c r="L120" s="18"/>
      <c r="M120" s="19"/>
      <c r="N120" s="20" t="str">
        <f t="shared" si="8"/>
        <v>OK</v>
      </c>
    </row>
    <row r="121" spans="1:14" ht="20.100000000000001" customHeight="1" x14ac:dyDescent="0.25">
      <c r="A121" s="15" t="s">
        <v>84</v>
      </c>
      <c r="B121" s="16" t="s">
        <v>47</v>
      </c>
      <c r="C121" s="17">
        <v>112</v>
      </c>
      <c r="D121" s="17">
        <v>113</v>
      </c>
      <c r="E121" s="17">
        <f t="shared" si="7"/>
        <v>1</v>
      </c>
      <c r="F121" s="18"/>
      <c r="G121" s="18"/>
      <c r="H121" s="18" t="s">
        <v>48</v>
      </c>
      <c r="I121" s="18"/>
      <c r="J121" s="18"/>
      <c r="K121" s="18" t="s">
        <v>48</v>
      </c>
      <c r="L121" s="18"/>
      <c r="M121" s="19"/>
      <c r="N121" s="20" t="str">
        <f t="shared" si="8"/>
        <v>OK</v>
      </c>
    </row>
    <row r="122" spans="1:14" ht="20.100000000000001" customHeight="1" x14ac:dyDescent="0.25">
      <c r="A122" s="15" t="s">
        <v>84</v>
      </c>
      <c r="B122" s="16" t="s">
        <v>47</v>
      </c>
      <c r="C122" s="17">
        <v>113</v>
      </c>
      <c r="D122" s="17">
        <v>114</v>
      </c>
      <c r="E122" s="17">
        <f t="shared" si="7"/>
        <v>1</v>
      </c>
      <c r="F122" s="18"/>
      <c r="G122" s="18"/>
      <c r="H122" s="18" t="s">
        <v>48</v>
      </c>
      <c r="I122" s="18"/>
      <c r="J122" s="18"/>
      <c r="K122" s="18" t="s">
        <v>48</v>
      </c>
      <c r="L122" s="18"/>
      <c r="M122" s="19"/>
      <c r="N122" s="20" t="str">
        <f t="shared" si="8"/>
        <v>OK</v>
      </c>
    </row>
    <row r="123" spans="1:14" ht="20.100000000000001" customHeight="1" x14ac:dyDescent="0.25">
      <c r="A123" s="15" t="s">
        <v>84</v>
      </c>
      <c r="B123" s="16" t="s">
        <v>47</v>
      </c>
      <c r="C123" s="17">
        <v>114</v>
      </c>
      <c r="D123" s="17">
        <v>115</v>
      </c>
      <c r="E123" s="17">
        <f t="shared" si="7"/>
        <v>1</v>
      </c>
      <c r="F123" s="18"/>
      <c r="G123" s="18"/>
      <c r="H123" s="18" t="s">
        <v>48</v>
      </c>
      <c r="I123" s="18"/>
      <c r="J123" s="18"/>
      <c r="K123" s="18" t="s">
        <v>48</v>
      </c>
      <c r="L123" s="18"/>
      <c r="M123" s="19"/>
      <c r="N123" s="20" t="str">
        <f t="shared" si="8"/>
        <v>OK</v>
      </c>
    </row>
    <row r="124" spans="1:14" ht="20.100000000000001" customHeight="1" x14ac:dyDescent="0.25">
      <c r="A124" s="15" t="s">
        <v>84</v>
      </c>
      <c r="B124" s="16" t="s">
        <v>47</v>
      </c>
      <c r="C124" s="17">
        <v>115</v>
      </c>
      <c r="D124" s="17">
        <v>116</v>
      </c>
      <c r="E124" s="17">
        <f t="shared" si="7"/>
        <v>1</v>
      </c>
      <c r="F124" s="18"/>
      <c r="G124" s="18"/>
      <c r="H124" s="18" t="s">
        <v>48</v>
      </c>
      <c r="I124" s="18"/>
      <c r="J124" s="18"/>
      <c r="K124" s="18" t="s">
        <v>48</v>
      </c>
      <c r="L124" s="18"/>
      <c r="M124" s="19"/>
      <c r="N124" s="20" t="str">
        <f t="shared" si="8"/>
        <v>OK</v>
      </c>
    </row>
    <row r="125" spans="1:14" ht="20.100000000000001" customHeight="1" x14ac:dyDescent="0.25">
      <c r="A125" s="15" t="s">
        <v>84</v>
      </c>
      <c r="B125" s="16" t="s">
        <v>47</v>
      </c>
      <c r="C125" s="17">
        <v>116</v>
      </c>
      <c r="D125" s="17">
        <v>117</v>
      </c>
      <c r="E125" s="17">
        <f t="shared" si="7"/>
        <v>1</v>
      </c>
      <c r="F125" s="18"/>
      <c r="G125" s="18"/>
      <c r="H125" s="18" t="s">
        <v>48</v>
      </c>
      <c r="I125" s="18"/>
      <c r="J125" s="18"/>
      <c r="K125" s="18" t="s">
        <v>48</v>
      </c>
      <c r="L125" s="18"/>
      <c r="M125" s="19"/>
      <c r="N125" s="20" t="str">
        <f t="shared" si="8"/>
        <v>OK</v>
      </c>
    </row>
    <row r="126" spans="1:14" ht="20.100000000000001" customHeight="1" x14ac:dyDescent="0.25">
      <c r="A126" s="15" t="s">
        <v>84</v>
      </c>
      <c r="B126" s="16" t="s">
        <v>47</v>
      </c>
      <c r="C126" s="17">
        <v>117</v>
      </c>
      <c r="D126" s="17">
        <v>118</v>
      </c>
      <c r="E126" s="17">
        <f t="shared" si="7"/>
        <v>1</v>
      </c>
      <c r="F126" s="18"/>
      <c r="G126" s="18"/>
      <c r="H126" s="18" t="s">
        <v>48</v>
      </c>
      <c r="I126" s="18"/>
      <c r="J126" s="18"/>
      <c r="K126" s="18" t="s">
        <v>48</v>
      </c>
      <c r="L126" s="18"/>
      <c r="M126" s="19"/>
      <c r="N126" s="20" t="str">
        <f t="shared" si="8"/>
        <v>OK</v>
      </c>
    </row>
    <row r="127" spans="1:14" ht="20.100000000000001" customHeight="1" x14ac:dyDescent="0.25">
      <c r="A127" s="15" t="s">
        <v>84</v>
      </c>
      <c r="B127" s="16" t="s">
        <v>47</v>
      </c>
      <c r="C127" s="17">
        <v>118</v>
      </c>
      <c r="D127" s="17">
        <v>119</v>
      </c>
      <c r="E127" s="17">
        <f t="shared" si="7"/>
        <v>1</v>
      </c>
      <c r="F127" s="18"/>
      <c r="G127" s="18"/>
      <c r="H127" s="18" t="s">
        <v>48</v>
      </c>
      <c r="I127" s="18"/>
      <c r="J127" s="18"/>
      <c r="K127" s="18" t="s">
        <v>48</v>
      </c>
      <c r="L127" s="18"/>
      <c r="M127" s="19"/>
      <c r="N127" s="20" t="str">
        <f t="shared" si="8"/>
        <v>OK</v>
      </c>
    </row>
    <row r="128" spans="1:14" ht="20.100000000000001" customHeight="1" x14ac:dyDescent="0.25">
      <c r="A128" s="15" t="s">
        <v>84</v>
      </c>
      <c r="B128" s="16" t="s">
        <v>47</v>
      </c>
      <c r="C128" s="17">
        <v>119</v>
      </c>
      <c r="D128" s="17">
        <v>120</v>
      </c>
      <c r="E128" s="17">
        <f t="shared" si="7"/>
        <v>1</v>
      </c>
      <c r="F128" s="18"/>
      <c r="G128" s="18"/>
      <c r="H128" s="18" t="s">
        <v>48</v>
      </c>
      <c r="I128" s="18"/>
      <c r="J128" s="18"/>
      <c r="K128" s="18" t="s">
        <v>48</v>
      </c>
      <c r="L128" s="18"/>
      <c r="M128" s="19"/>
      <c r="N128" s="20" t="str">
        <f t="shared" si="8"/>
        <v>OK</v>
      </c>
    </row>
    <row r="129" spans="1:14" ht="20.100000000000001" customHeight="1" x14ac:dyDescent="0.25">
      <c r="A129" s="15" t="s">
        <v>84</v>
      </c>
      <c r="B129" s="16" t="s">
        <v>47</v>
      </c>
      <c r="C129" s="17">
        <v>120</v>
      </c>
      <c r="D129" s="17">
        <v>121</v>
      </c>
      <c r="E129" s="17">
        <f t="shared" si="7"/>
        <v>1</v>
      </c>
      <c r="F129" s="18"/>
      <c r="G129" s="18"/>
      <c r="H129" s="18" t="s">
        <v>48</v>
      </c>
      <c r="I129" s="18"/>
      <c r="J129" s="18"/>
      <c r="K129" s="18" t="s">
        <v>48</v>
      </c>
      <c r="L129" s="18"/>
      <c r="M129" s="19"/>
      <c r="N129" s="20" t="str">
        <f t="shared" si="8"/>
        <v>OK</v>
      </c>
    </row>
    <row r="130" spans="1:14" ht="20.100000000000001" customHeight="1" x14ac:dyDescent="0.25">
      <c r="A130" s="15" t="s">
        <v>84</v>
      </c>
      <c r="B130" s="16" t="s">
        <v>47</v>
      </c>
      <c r="C130" s="17">
        <v>121</v>
      </c>
      <c r="D130" s="17">
        <v>122</v>
      </c>
      <c r="E130" s="17">
        <f t="shared" si="7"/>
        <v>1</v>
      </c>
      <c r="F130" s="18"/>
      <c r="G130" s="18"/>
      <c r="H130" s="18" t="s">
        <v>48</v>
      </c>
      <c r="I130" s="18"/>
      <c r="J130" s="18"/>
      <c r="K130" s="18" t="s">
        <v>48</v>
      </c>
      <c r="L130" s="18"/>
      <c r="M130" s="19"/>
      <c r="N130" s="20" t="str">
        <f t="shared" si="8"/>
        <v>OK</v>
      </c>
    </row>
    <row r="131" spans="1:14" ht="20.100000000000001" customHeight="1" x14ac:dyDescent="0.25">
      <c r="A131" s="15" t="s">
        <v>84</v>
      </c>
      <c r="B131" s="16" t="s">
        <v>47</v>
      </c>
      <c r="C131" s="17">
        <v>122</v>
      </c>
      <c r="D131" s="17">
        <v>123</v>
      </c>
      <c r="E131" s="17">
        <f t="shared" si="7"/>
        <v>1</v>
      </c>
      <c r="F131" s="18"/>
      <c r="G131" s="18"/>
      <c r="H131" s="18" t="s">
        <v>48</v>
      </c>
      <c r="I131" s="18"/>
      <c r="J131" s="18"/>
      <c r="K131" s="18" t="s">
        <v>48</v>
      </c>
      <c r="L131" s="18"/>
      <c r="M131" s="19"/>
      <c r="N131" s="20" t="str">
        <f t="shared" si="8"/>
        <v>OK</v>
      </c>
    </row>
    <row r="132" spans="1:14" ht="20.100000000000001" customHeight="1" x14ac:dyDescent="0.25">
      <c r="A132" s="15" t="s">
        <v>84</v>
      </c>
      <c r="B132" s="16" t="s">
        <v>47</v>
      </c>
      <c r="C132" s="17">
        <v>123</v>
      </c>
      <c r="D132" s="17">
        <v>124</v>
      </c>
      <c r="E132" s="17">
        <f t="shared" si="7"/>
        <v>1</v>
      </c>
      <c r="F132" s="18"/>
      <c r="G132" s="18"/>
      <c r="H132" s="18" t="s">
        <v>48</v>
      </c>
      <c r="I132" s="18"/>
      <c r="J132" s="18"/>
      <c r="K132" s="18" t="s">
        <v>48</v>
      </c>
      <c r="L132" s="18"/>
      <c r="M132" s="19"/>
      <c r="N132" s="20" t="str">
        <f t="shared" si="8"/>
        <v>OK</v>
      </c>
    </row>
    <row r="133" spans="1:14" ht="20.100000000000001" customHeight="1" x14ac:dyDescent="0.25">
      <c r="A133" s="15" t="s">
        <v>84</v>
      </c>
      <c r="B133" s="16" t="s">
        <v>47</v>
      </c>
      <c r="C133" s="17">
        <v>124</v>
      </c>
      <c r="D133" s="17">
        <v>125</v>
      </c>
      <c r="E133" s="17">
        <f t="shared" si="7"/>
        <v>1</v>
      </c>
      <c r="F133" s="18"/>
      <c r="G133" s="18"/>
      <c r="H133" s="18" t="s">
        <v>48</v>
      </c>
      <c r="I133" s="18"/>
      <c r="J133" s="18"/>
      <c r="K133" s="18" t="s">
        <v>48</v>
      </c>
      <c r="L133" s="18"/>
      <c r="M133" s="19"/>
      <c r="N133" s="20" t="str">
        <f t="shared" si="8"/>
        <v>OK</v>
      </c>
    </row>
    <row r="134" spans="1:14" ht="20.100000000000001" customHeight="1" x14ac:dyDescent="0.25">
      <c r="A134" s="15" t="s">
        <v>84</v>
      </c>
      <c r="B134" s="16" t="s">
        <v>47</v>
      </c>
      <c r="C134" s="17">
        <v>125</v>
      </c>
      <c r="D134" s="17">
        <v>126</v>
      </c>
      <c r="E134" s="17">
        <f t="shared" si="7"/>
        <v>1</v>
      </c>
      <c r="F134" s="18"/>
      <c r="G134" s="18"/>
      <c r="H134" s="18" t="s">
        <v>48</v>
      </c>
      <c r="I134" s="18"/>
      <c r="J134" s="18"/>
      <c r="K134" s="18" t="s">
        <v>48</v>
      </c>
      <c r="L134" s="18"/>
      <c r="M134" s="19"/>
      <c r="N134" s="20" t="str">
        <f t="shared" si="8"/>
        <v>OK</v>
      </c>
    </row>
    <row r="135" spans="1:14" ht="20.100000000000001" customHeight="1" x14ac:dyDescent="0.25">
      <c r="A135" s="15" t="s">
        <v>84</v>
      </c>
      <c r="B135" s="16" t="s">
        <v>47</v>
      </c>
      <c r="C135" s="17">
        <v>126</v>
      </c>
      <c r="D135" s="17">
        <v>127</v>
      </c>
      <c r="E135" s="17">
        <f t="shared" si="7"/>
        <v>1</v>
      </c>
      <c r="F135" s="18"/>
      <c r="G135" s="18"/>
      <c r="H135" s="18" t="s">
        <v>48</v>
      </c>
      <c r="I135" s="18"/>
      <c r="J135" s="18"/>
      <c r="K135" s="18" t="s">
        <v>48</v>
      </c>
      <c r="L135" s="18"/>
      <c r="M135" s="19"/>
      <c r="N135" s="20" t="str">
        <f t="shared" si="8"/>
        <v>OK</v>
      </c>
    </row>
    <row r="136" spans="1:14" ht="20.100000000000001" customHeight="1" x14ac:dyDescent="0.25">
      <c r="A136" s="15" t="s">
        <v>84</v>
      </c>
      <c r="B136" s="16" t="s">
        <v>47</v>
      </c>
      <c r="C136" s="17">
        <v>127</v>
      </c>
      <c r="D136" s="17">
        <v>128</v>
      </c>
      <c r="E136" s="17">
        <f t="shared" si="7"/>
        <v>1</v>
      </c>
      <c r="F136" s="18"/>
      <c r="G136" s="18"/>
      <c r="H136" s="18" t="s">
        <v>48</v>
      </c>
      <c r="I136" s="18"/>
      <c r="J136" s="18"/>
      <c r="K136" s="18" t="s">
        <v>48</v>
      </c>
      <c r="L136" s="18"/>
      <c r="M136" s="19"/>
      <c r="N136" s="20" t="str">
        <f t="shared" si="8"/>
        <v>OK</v>
      </c>
    </row>
    <row r="137" spans="1:14" ht="20.100000000000001" customHeight="1" x14ac:dyDescent="0.25">
      <c r="A137" s="15" t="s">
        <v>84</v>
      </c>
      <c r="B137" s="16" t="s">
        <v>47</v>
      </c>
      <c r="C137" s="17">
        <v>128</v>
      </c>
      <c r="D137" s="17">
        <v>129</v>
      </c>
      <c r="E137" s="17">
        <f t="shared" ref="E137:E157" si="9">D137-C137</f>
        <v>1</v>
      </c>
      <c r="F137" s="18"/>
      <c r="G137" s="18"/>
      <c r="H137" s="18" t="s">
        <v>48</v>
      </c>
      <c r="I137" s="18"/>
      <c r="J137" s="18"/>
      <c r="K137" s="18" t="s">
        <v>48</v>
      </c>
      <c r="L137" s="18"/>
      <c r="M137" s="19"/>
      <c r="N137" s="20" t="str">
        <f t="shared" ref="N137:N157" si="10">IF(COUNTA(F137:L137)=0,"— não preenchido",IF(COUNTIF(F137:I137,"X")&lt;&gt;1,"FALTA/DUPLA: CONDIÇÃO DA PLATAFORMA",IF(COUNTIF(J137:L137,"X")&lt;&gt;1,"FALTA/DUPLA: DRENAGEM SUPERFICIAL","OK")))</f>
        <v>OK</v>
      </c>
    </row>
    <row r="138" spans="1:14" ht="20.100000000000001" customHeight="1" x14ac:dyDescent="0.25">
      <c r="A138" s="15" t="s">
        <v>84</v>
      </c>
      <c r="B138" s="16" t="s">
        <v>47</v>
      </c>
      <c r="C138" s="17">
        <v>129</v>
      </c>
      <c r="D138" s="17">
        <v>130</v>
      </c>
      <c r="E138" s="17">
        <f t="shared" si="9"/>
        <v>1</v>
      </c>
      <c r="F138" s="18"/>
      <c r="G138" s="18"/>
      <c r="H138" s="18" t="s">
        <v>48</v>
      </c>
      <c r="I138" s="18"/>
      <c r="J138" s="18"/>
      <c r="K138" s="18" t="s">
        <v>48</v>
      </c>
      <c r="L138" s="18"/>
      <c r="M138" s="19"/>
      <c r="N138" s="20" t="str">
        <f t="shared" si="10"/>
        <v>OK</v>
      </c>
    </row>
    <row r="139" spans="1:14" ht="20.100000000000001" customHeight="1" x14ac:dyDescent="0.25">
      <c r="A139" s="15" t="s">
        <v>84</v>
      </c>
      <c r="B139" s="16" t="s">
        <v>47</v>
      </c>
      <c r="C139" s="17">
        <v>130</v>
      </c>
      <c r="D139" s="17">
        <v>131</v>
      </c>
      <c r="E139" s="17">
        <f t="shared" si="9"/>
        <v>1</v>
      </c>
      <c r="F139" s="18"/>
      <c r="G139" s="18"/>
      <c r="H139" s="18" t="s">
        <v>48</v>
      </c>
      <c r="I139" s="18"/>
      <c r="J139" s="18"/>
      <c r="K139" s="18" t="s">
        <v>48</v>
      </c>
      <c r="L139" s="18"/>
      <c r="M139" s="19"/>
      <c r="N139" s="20" t="str">
        <f t="shared" si="10"/>
        <v>OK</v>
      </c>
    </row>
    <row r="140" spans="1:14" ht="20.100000000000001" customHeight="1" x14ac:dyDescent="0.25">
      <c r="A140" s="15" t="s">
        <v>84</v>
      </c>
      <c r="B140" s="16" t="s">
        <v>47</v>
      </c>
      <c r="C140" s="17">
        <v>131</v>
      </c>
      <c r="D140" s="17">
        <v>132</v>
      </c>
      <c r="E140" s="17">
        <f t="shared" si="9"/>
        <v>1</v>
      </c>
      <c r="F140" s="18"/>
      <c r="G140" s="18"/>
      <c r="H140" s="18" t="s">
        <v>48</v>
      </c>
      <c r="I140" s="18"/>
      <c r="J140" s="18"/>
      <c r="K140" s="18" t="s">
        <v>48</v>
      </c>
      <c r="L140" s="18"/>
      <c r="M140" s="19"/>
      <c r="N140" s="20" t="str">
        <f t="shared" si="10"/>
        <v>OK</v>
      </c>
    </row>
    <row r="141" spans="1:14" ht="20.100000000000001" customHeight="1" x14ac:dyDescent="0.25">
      <c r="A141" s="15" t="s">
        <v>84</v>
      </c>
      <c r="B141" s="16" t="s">
        <v>47</v>
      </c>
      <c r="C141" s="17">
        <v>132</v>
      </c>
      <c r="D141" s="17">
        <v>133</v>
      </c>
      <c r="E141" s="17">
        <f t="shared" si="9"/>
        <v>1</v>
      </c>
      <c r="F141" s="18"/>
      <c r="G141" s="18"/>
      <c r="H141" s="18" t="s">
        <v>48</v>
      </c>
      <c r="I141" s="18"/>
      <c r="J141" s="18"/>
      <c r="K141" s="18" t="s">
        <v>48</v>
      </c>
      <c r="L141" s="18"/>
      <c r="M141" s="19"/>
      <c r="N141" s="20" t="str">
        <f t="shared" si="10"/>
        <v>OK</v>
      </c>
    </row>
    <row r="142" spans="1:14" ht="20.100000000000001" customHeight="1" x14ac:dyDescent="0.25">
      <c r="A142" s="15" t="s">
        <v>84</v>
      </c>
      <c r="B142" s="16" t="s">
        <v>47</v>
      </c>
      <c r="C142" s="17">
        <v>133</v>
      </c>
      <c r="D142" s="17">
        <v>134</v>
      </c>
      <c r="E142" s="17">
        <f t="shared" si="9"/>
        <v>1</v>
      </c>
      <c r="F142" s="18"/>
      <c r="G142" s="18"/>
      <c r="H142" s="18" t="s">
        <v>48</v>
      </c>
      <c r="I142" s="18"/>
      <c r="J142" s="18"/>
      <c r="K142" s="18" t="s">
        <v>48</v>
      </c>
      <c r="L142" s="18"/>
      <c r="M142" s="19"/>
      <c r="N142" s="20" t="str">
        <f t="shared" si="10"/>
        <v>OK</v>
      </c>
    </row>
    <row r="143" spans="1:14" ht="20.100000000000001" customHeight="1" x14ac:dyDescent="0.25">
      <c r="A143" s="15" t="s">
        <v>84</v>
      </c>
      <c r="B143" s="16" t="s">
        <v>47</v>
      </c>
      <c r="C143" s="17">
        <v>134</v>
      </c>
      <c r="D143" s="17">
        <v>135</v>
      </c>
      <c r="E143" s="17">
        <f t="shared" si="9"/>
        <v>1</v>
      </c>
      <c r="F143" s="18"/>
      <c r="G143" s="18"/>
      <c r="H143" s="18" t="s">
        <v>48</v>
      </c>
      <c r="I143" s="18"/>
      <c r="J143" s="18"/>
      <c r="K143" s="18" t="s">
        <v>48</v>
      </c>
      <c r="L143" s="18"/>
      <c r="M143" s="19"/>
      <c r="N143" s="20" t="str">
        <f t="shared" si="10"/>
        <v>OK</v>
      </c>
    </row>
    <row r="144" spans="1:14" ht="20.100000000000001" customHeight="1" x14ac:dyDescent="0.25">
      <c r="A144" s="15" t="s">
        <v>84</v>
      </c>
      <c r="B144" s="16" t="s">
        <v>47</v>
      </c>
      <c r="C144" s="17">
        <v>135</v>
      </c>
      <c r="D144" s="17">
        <v>136</v>
      </c>
      <c r="E144" s="17">
        <f t="shared" si="9"/>
        <v>1</v>
      </c>
      <c r="F144" s="18"/>
      <c r="G144" s="18"/>
      <c r="H144" s="18" t="s">
        <v>48</v>
      </c>
      <c r="I144" s="18"/>
      <c r="J144" s="18"/>
      <c r="K144" s="18" t="s">
        <v>48</v>
      </c>
      <c r="L144" s="18"/>
      <c r="M144" s="19"/>
      <c r="N144" s="20" t="str">
        <f t="shared" si="10"/>
        <v>OK</v>
      </c>
    </row>
    <row r="145" spans="1:14" ht="20.100000000000001" customHeight="1" x14ac:dyDescent="0.25">
      <c r="A145" s="15" t="s">
        <v>84</v>
      </c>
      <c r="B145" s="16" t="s">
        <v>47</v>
      </c>
      <c r="C145" s="17">
        <v>136</v>
      </c>
      <c r="D145" s="17">
        <v>137</v>
      </c>
      <c r="E145" s="17">
        <f t="shared" si="9"/>
        <v>1</v>
      </c>
      <c r="F145" s="18"/>
      <c r="G145" s="18"/>
      <c r="H145" s="18" t="s">
        <v>48</v>
      </c>
      <c r="I145" s="18"/>
      <c r="J145" s="18"/>
      <c r="K145" s="18" t="s">
        <v>48</v>
      </c>
      <c r="L145" s="18"/>
      <c r="M145" s="19"/>
      <c r="N145" s="20" t="str">
        <f t="shared" si="10"/>
        <v>OK</v>
      </c>
    </row>
    <row r="146" spans="1:14" ht="20.100000000000001" customHeight="1" x14ac:dyDescent="0.25">
      <c r="A146" s="15" t="s">
        <v>84</v>
      </c>
      <c r="B146" s="16" t="s">
        <v>47</v>
      </c>
      <c r="C146" s="17">
        <v>137</v>
      </c>
      <c r="D146" s="17">
        <v>138</v>
      </c>
      <c r="E146" s="17">
        <f t="shared" si="9"/>
        <v>1</v>
      </c>
      <c r="F146" s="18"/>
      <c r="G146" s="18"/>
      <c r="H146" s="18" t="s">
        <v>48</v>
      </c>
      <c r="I146" s="18"/>
      <c r="J146" s="18"/>
      <c r="K146" s="18" t="s">
        <v>48</v>
      </c>
      <c r="L146" s="18"/>
      <c r="M146" s="19"/>
      <c r="N146" s="20" t="str">
        <f t="shared" si="10"/>
        <v>OK</v>
      </c>
    </row>
    <row r="147" spans="1:14" ht="20.100000000000001" customHeight="1" x14ac:dyDescent="0.25">
      <c r="A147" s="15" t="s">
        <v>84</v>
      </c>
      <c r="B147" s="16" t="s">
        <v>47</v>
      </c>
      <c r="C147" s="17">
        <v>138</v>
      </c>
      <c r="D147" s="17">
        <v>139</v>
      </c>
      <c r="E147" s="17">
        <f t="shared" si="9"/>
        <v>1</v>
      </c>
      <c r="F147" s="18"/>
      <c r="G147" s="18"/>
      <c r="H147" s="18" t="s">
        <v>48</v>
      </c>
      <c r="I147" s="18"/>
      <c r="J147" s="18"/>
      <c r="K147" s="18" t="s">
        <v>48</v>
      </c>
      <c r="L147" s="18"/>
      <c r="M147" s="19"/>
      <c r="N147" s="20" t="str">
        <f t="shared" si="10"/>
        <v>OK</v>
      </c>
    </row>
    <row r="148" spans="1:14" ht="20.100000000000001" customHeight="1" x14ac:dyDescent="0.25">
      <c r="A148" s="15" t="s">
        <v>84</v>
      </c>
      <c r="B148" s="16" t="s">
        <v>47</v>
      </c>
      <c r="C148" s="17">
        <v>139</v>
      </c>
      <c r="D148" s="17">
        <v>140</v>
      </c>
      <c r="E148" s="17">
        <f t="shared" si="9"/>
        <v>1</v>
      </c>
      <c r="F148" s="18"/>
      <c r="G148" s="18"/>
      <c r="H148" s="18" t="s">
        <v>48</v>
      </c>
      <c r="I148" s="18"/>
      <c r="J148" s="18"/>
      <c r="K148" s="18" t="s">
        <v>48</v>
      </c>
      <c r="L148" s="18"/>
      <c r="M148" s="19"/>
      <c r="N148" s="20" t="str">
        <f t="shared" si="10"/>
        <v>OK</v>
      </c>
    </row>
    <row r="149" spans="1:14" ht="20.100000000000001" customHeight="1" x14ac:dyDescent="0.25">
      <c r="A149" s="15" t="s">
        <v>84</v>
      </c>
      <c r="B149" s="16" t="s">
        <v>47</v>
      </c>
      <c r="C149" s="17">
        <v>140</v>
      </c>
      <c r="D149" s="17">
        <v>141</v>
      </c>
      <c r="E149" s="17">
        <f t="shared" si="9"/>
        <v>1</v>
      </c>
      <c r="F149" s="18"/>
      <c r="G149" s="18"/>
      <c r="H149" s="18" t="s">
        <v>48</v>
      </c>
      <c r="I149" s="18"/>
      <c r="J149" s="18"/>
      <c r="K149" s="18" t="s">
        <v>48</v>
      </c>
      <c r="L149" s="18"/>
      <c r="M149" s="19"/>
      <c r="N149" s="20" t="str">
        <f t="shared" si="10"/>
        <v>OK</v>
      </c>
    </row>
    <row r="150" spans="1:14" ht="20.100000000000001" customHeight="1" x14ac:dyDescent="0.25">
      <c r="A150" s="15" t="s">
        <v>84</v>
      </c>
      <c r="B150" s="16" t="s">
        <v>47</v>
      </c>
      <c r="C150" s="17">
        <v>141</v>
      </c>
      <c r="D150" s="17">
        <v>142</v>
      </c>
      <c r="E150" s="17">
        <f t="shared" si="9"/>
        <v>1</v>
      </c>
      <c r="F150" s="18"/>
      <c r="G150" s="18"/>
      <c r="H150" s="18" t="s">
        <v>48</v>
      </c>
      <c r="I150" s="18"/>
      <c r="J150" s="18"/>
      <c r="K150" s="18" t="s">
        <v>48</v>
      </c>
      <c r="L150" s="18"/>
      <c r="M150" s="19"/>
      <c r="N150" s="20" t="str">
        <f t="shared" si="10"/>
        <v>OK</v>
      </c>
    </row>
    <row r="151" spans="1:14" ht="20.100000000000001" customHeight="1" x14ac:dyDescent="0.25">
      <c r="A151" s="15" t="s">
        <v>84</v>
      </c>
      <c r="B151" s="16" t="s">
        <v>47</v>
      </c>
      <c r="C151" s="17">
        <v>142</v>
      </c>
      <c r="D151" s="17">
        <v>143</v>
      </c>
      <c r="E151" s="17">
        <f t="shared" si="9"/>
        <v>1</v>
      </c>
      <c r="F151" s="18"/>
      <c r="G151" s="18"/>
      <c r="H151" s="18" t="s">
        <v>48</v>
      </c>
      <c r="I151" s="18"/>
      <c r="J151" s="18"/>
      <c r="K151" s="18" t="s">
        <v>48</v>
      </c>
      <c r="L151" s="18"/>
      <c r="M151" s="19"/>
      <c r="N151" s="20" t="str">
        <f t="shared" si="10"/>
        <v>OK</v>
      </c>
    </row>
    <row r="152" spans="1:14" ht="20.100000000000001" customHeight="1" x14ac:dyDescent="0.25">
      <c r="A152" s="15" t="s">
        <v>84</v>
      </c>
      <c r="B152" s="16" t="s">
        <v>47</v>
      </c>
      <c r="C152" s="17">
        <v>143</v>
      </c>
      <c r="D152" s="17">
        <v>144</v>
      </c>
      <c r="E152" s="17">
        <f t="shared" si="9"/>
        <v>1</v>
      </c>
      <c r="F152" s="18"/>
      <c r="G152" s="18"/>
      <c r="H152" s="18" t="s">
        <v>48</v>
      </c>
      <c r="I152" s="18"/>
      <c r="J152" s="18"/>
      <c r="K152" s="18" t="s">
        <v>48</v>
      </c>
      <c r="L152" s="18"/>
      <c r="M152" s="19"/>
      <c r="N152" s="20" t="str">
        <f t="shared" si="10"/>
        <v>OK</v>
      </c>
    </row>
    <row r="153" spans="1:14" ht="20.100000000000001" customHeight="1" x14ac:dyDescent="0.25">
      <c r="A153" s="15" t="s">
        <v>84</v>
      </c>
      <c r="B153" s="16" t="s">
        <v>47</v>
      </c>
      <c r="C153" s="17">
        <v>144</v>
      </c>
      <c r="D153" s="17">
        <v>145</v>
      </c>
      <c r="E153" s="17">
        <f t="shared" si="9"/>
        <v>1</v>
      </c>
      <c r="F153" s="18"/>
      <c r="G153" s="18"/>
      <c r="H153" s="18" t="s">
        <v>48</v>
      </c>
      <c r="I153" s="18"/>
      <c r="J153" s="18"/>
      <c r="K153" s="18" t="s">
        <v>48</v>
      </c>
      <c r="L153" s="18"/>
      <c r="M153" s="19"/>
      <c r="N153" s="20" t="str">
        <f t="shared" si="10"/>
        <v>OK</v>
      </c>
    </row>
    <row r="154" spans="1:14" ht="20.100000000000001" customHeight="1" x14ac:dyDescent="0.25">
      <c r="A154" s="15" t="s">
        <v>84</v>
      </c>
      <c r="B154" s="16" t="s">
        <v>47</v>
      </c>
      <c r="C154" s="17">
        <v>145</v>
      </c>
      <c r="D154" s="17">
        <v>146</v>
      </c>
      <c r="E154" s="17">
        <f t="shared" si="9"/>
        <v>1</v>
      </c>
      <c r="F154" s="18"/>
      <c r="G154" s="18"/>
      <c r="H154" s="18" t="s">
        <v>48</v>
      </c>
      <c r="I154" s="18"/>
      <c r="J154" s="18"/>
      <c r="K154" s="18" t="s">
        <v>48</v>
      </c>
      <c r="L154" s="18"/>
      <c r="M154" s="19"/>
      <c r="N154" s="20" t="str">
        <f t="shared" si="10"/>
        <v>OK</v>
      </c>
    </row>
    <row r="155" spans="1:14" ht="20.100000000000001" customHeight="1" x14ac:dyDescent="0.25">
      <c r="A155" s="15" t="s">
        <v>84</v>
      </c>
      <c r="B155" s="16" t="s">
        <v>47</v>
      </c>
      <c r="C155" s="17">
        <v>146</v>
      </c>
      <c r="D155" s="17">
        <v>147</v>
      </c>
      <c r="E155" s="17">
        <f t="shared" si="9"/>
        <v>1</v>
      </c>
      <c r="F155" s="18"/>
      <c r="G155" s="18"/>
      <c r="H155" s="18" t="s">
        <v>48</v>
      </c>
      <c r="I155" s="18"/>
      <c r="J155" s="18"/>
      <c r="K155" s="18" t="s">
        <v>48</v>
      </c>
      <c r="L155" s="18"/>
      <c r="M155" s="19"/>
      <c r="N155" s="20" t="str">
        <f t="shared" si="10"/>
        <v>OK</v>
      </c>
    </row>
    <row r="156" spans="1:14" ht="20.100000000000001" customHeight="1" x14ac:dyDescent="0.25">
      <c r="A156" s="15" t="s">
        <v>84</v>
      </c>
      <c r="B156" s="16" t="s">
        <v>47</v>
      </c>
      <c r="C156" s="17">
        <v>147</v>
      </c>
      <c r="D156" s="17">
        <v>148</v>
      </c>
      <c r="E156" s="17">
        <f t="shared" si="9"/>
        <v>1</v>
      </c>
      <c r="F156" s="18"/>
      <c r="G156" s="18"/>
      <c r="H156" s="18" t="s">
        <v>48</v>
      </c>
      <c r="I156" s="18"/>
      <c r="J156" s="18"/>
      <c r="K156" s="18" t="s">
        <v>48</v>
      </c>
      <c r="L156" s="18"/>
      <c r="M156" s="19"/>
      <c r="N156" s="20" t="str">
        <f t="shared" si="10"/>
        <v>OK</v>
      </c>
    </row>
    <row r="157" spans="1:14" ht="20.100000000000001" customHeight="1" x14ac:dyDescent="0.25">
      <c r="A157" s="21" t="s">
        <v>84</v>
      </c>
      <c r="B157" s="22" t="s">
        <v>47</v>
      </c>
      <c r="C157" s="23">
        <v>148</v>
      </c>
      <c r="D157" s="23">
        <v>148.40782601500001</v>
      </c>
      <c r="E157" s="23">
        <f t="shared" si="9"/>
        <v>0.40782601500001192</v>
      </c>
      <c r="F157" s="24"/>
      <c r="G157" s="24"/>
      <c r="H157" s="18" t="s">
        <v>48</v>
      </c>
      <c r="I157" s="24"/>
      <c r="J157" s="24"/>
      <c r="K157" s="18" t="s">
        <v>48</v>
      </c>
      <c r="L157" s="24"/>
      <c r="M157" s="25"/>
      <c r="N157" s="26" t="str">
        <f t="shared" si="10"/>
        <v>OK</v>
      </c>
    </row>
    <row r="159" spans="1:14" x14ac:dyDescent="0.25">
      <c r="A159" s="45" t="s">
        <v>51</v>
      </c>
      <c r="B159" s="31"/>
      <c r="C159" s="31"/>
      <c r="D159" s="31"/>
      <c r="E159" s="31"/>
      <c r="G159" s="45" t="s">
        <v>51</v>
      </c>
      <c r="H159" s="31"/>
      <c r="I159" s="31"/>
      <c r="J159" s="31"/>
      <c r="K159" s="31"/>
    </row>
    <row r="160" spans="1:14" x14ac:dyDescent="0.25">
      <c r="A160" s="49" t="s">
        <v>52</v>
      </c>
      <c r="B160" s="31"/>
      <c r="C160" s="31"/>
      <c r="D160" s="31"/>
      <c r="E160" s="31"/>
      <c r="G160" s="49" t="s">
        <v>53</v>
      </c>
      <c r="H160" s="31"/>
      <c r="I160" s="31"/>
      <c r="J160" s="31"/>
      <c r="K160" s="31"/>
    </row>
    <row r="162" spans="1:13" x14ac:dyDescent="0.25">
      <c r="A162" s="47" t="s">
        <v>54</v>
      </c>
      <c r="B162" s="31"/>
      <c r="C162" s="31"/>
      <c r="D162" s="31"/>
      <c r="E162" s="31"/>
      <c r="F162" s="27"/>
      <c r="G162" s="27"/>
      <c r="H162" s="27"/>
      <c r="I162" s="27"/>
      <c r="J162" s="27"/>
      <c r="K162" s="27"/>
      <c r="L162" s="27"/>
      <c r="M162" s="27"/>
    </row>
    <row r="163" spans="1:13" x14ac:dyDescent="0.25">
      <c r="A163" s="35" t="s">
        <v>55</v>
      </c>
      <c r="B163" s="31"/>
      <c r="C163" s="31"/>
      <c r="D163" s="31"/>
      <c r="E163" s="31"/>
      <c r="F163" s="9">
        <f t="shared" ref="F163:L163" si="11">SUMIF(F$9:F$157,"X",$E$9:$E$157)</f>
        <v>0</v>
      </c>
      <c r="G163" s="9">
        <f t="shared" si="11"/>
        <v>25</v>
      </c>
      <c r="H163" s="9">
        <f t="shared" si="11"/>
        <v>123.40782601500001</v>
      </c>
      <c r="I163" s="9">
        <f t="shared" si="11"/>
        <v>0</v>
      </c>
      <c r="J163" s="9">
        <f t="shared" si="11"/>
        <v>0</v>
      </c>
      <c r="K163" s="9">
        <f t="shared" si="11"/>
        <v>148.40782601500001</v>
      </c>
      <c r="L163" s="9">
        <f t="shared" si="11"/>
        <v>0</v>
      </c>
    </row>
    <row r="164" spans="1:13" x14ac:dyDescent="0.25">
      <c r="A164" s="35" t="s">
        <v>56</v>
      </c>
      <c r="B164" s="31"/>
      <c r="C164" s="31"/>
      <c r="D164" s="31"/>
      <c r="E164" s="31"/>
      <c r="F164" s="28">
        <f t="shared" ref="F164:L164" si="12">IF($I166=0,0,F163/$I166)</f>
        <v>0</v>
      </c>
      <c r="G164" s="28">
        <f t="shared" si="12"/>
        <v>0.16845472823968985</v>
      </c>
      <c r="H164" s="28">
        <f t="shared" si="12"/>
        <v>0.83154527176031012</v>
      </c>
      <c r="I164" s="28">
        <f t="shared" si="12"/>
        <v>0</v>
      </c>
      <c r="J164" s="28">
        <f t="shared" si="12"/>
        <v>0</v>
      </c>
      <c r="K164" s="28">
        <f t="shared" si="12"/>
        <v>1</v>
      </c>
      <c r="L164" s="28">
        <f t="shared" si="12"/>
        <v>0</v>
      </c>
    </row>
    <row r="165" spans="1:13" x14ac:dyDescent="0.25">
      <c r="A165" s="35" t="s">
        <v>57</v>
      </c>
      <c r="B165" s="31"/>
      <c r="C165" s="31"/>
      <c r="D165" s="31"/>
      <c r="E165" s="31"/>
      <c r="F165" s="37" t="str">
        <f>IF(SUM(F163:I163)=0,"— não preenchido",IF(ROUND(SUM(F163:I163)-$I166,3)=0,"OK — "&amp;ROUND(SUM(F163:I163),3)&amp;" km","ERRO — dif. de "&amp;ROUND(SUM(F163:I163)-$I166,3)&amp;" km"))</f>
        <v>OK — 148,408 km</v>
      </c>
      <c r="G165" s="33"/>
      <c r="H165" s="33"/>
      <c r="I165" s="34"/>
      <c r="J165" s="37" t="str">
        <f>IF(SUM(J163:L163)=0,"— não preenchido",IF(ROUND(SUM(J163:L163)-$I166,3)=0,"OK — "&amp;ROUND(SUM(J163:L163),3)&amp;" km","ERRO — dif. de "&amp;ROUND(SUM(J163:L163)-$I166,3)&amp;" km"))</f>
        <v>OK — 148,408 km</v>
      </c>
      <c r="K165" s="33"/>
      <c r="L165" s="34"/>
    </row>
    <row r="166" spans="1:13" x14ac:dyDescent="0.25">
      <c r="A166" s="35" t="s">
        <v>58</v>
      </c>
      <c r="B166" s="31"/>
      <c r="C166" s="31"/>
      <c r="D166" s="31"/>
      <c r="E166" s="31"/>
      <c r="I166" s="29">
        <f>SUM(E9:E157)</f>
        <v>148.40782601500001</v>
      </c>
      <c r="M166" s="8" t="str">
        <f>COUNTIF(N9:N157,"OK")&amp;" de "&amp;COUNT($E$9:$E$157)&amp;" linhas conferidas"</f>
        <v>149 de 149 linhas conferidas</v>
      </c>
    </row>
    <row r="168" spans="1:13" x14ac:dyDescent="0.25">
      <c r="A168" s="46" t="s">
        <v>59</v>
      </c>
      <c r="B168" s="31"/>
      <c r="C168" s="31"/>
      <c r="D168" s="31"/>
      <c r="E168" s="31"/>
    </row>
    <row r="169" spans="1:13" x14ac:dyDescent="0.25">
      <c r="A169" s="35" t="s">
        <v>10</v>
      </c>
      <c r="B169" s="31"/>
      <c r="C169" s="31"/>
      <c r="D169" s="31"/>
      <c r="E169" s="40" t="s">
        <v>60</v>
      </c>
      <c r="F169" s="31"/>
      <c r="G169" s="31"/>
      <c r="H169" s="31"/>
      <c r="I169" s="31"/>
      <c r="J169" s="31"/>
      <c r="K169" s="31"/>
      <c r="L169" s="31"/>
      <c r="M169" s="31"/>
    </row>
    <row r="170" spans="1:13" x14ac:dyDescent="0.25">
      <c r="A170" s="35" t="s">
        <v>11</v>
      </c>
      <c r="B170" s="31"/>
      <c r="C170" s="31"/>
      <c r="D170" s="31"/>
      <c r="E170" s="40" t="s">
        <v>61</v>
      </c>
      <c r="F170" s="31"/>
      <c r="G170" s="31"/>
      <c r="H170" s="31"/>
      <c r="I170" s="31"/>
      <c r="J170" s="31"/>
      <c r="K170" s="31"/>
      <c r="L170" s="31"/>
      <c r="M170" s="31"/>
    </row>
    <row r="171" spans="1:13" x14ac:dyDescent="0.25">
      <c r="A171" s="35" t="s">
        <v>12</v>
      </c>
      <c r="B171" s="31"/>
      <c r="C171" s="31"/>
      <c r="D171" s="31"/>
      <c r="E171" s="40" t="s">
        <v>62</v>
      </c>
      <c r="F171" s="31"/>
      <c r="G171" s="31"/>
      <c r="H171" s="31"/>
      <c r="I171" s="31"/>
      <c r="J171" s="31"/>
      <c r="K171" s="31"/>
      <c r="L171" s="31"/>
      <c r="M171" s="31"/>
    </row>
    <row r="172" spans="1:13" x14ac:dyDescent="0.25">
      <c r="A172" s="35" t="s">
        <v>63</v>
      </c>
      <c r="B172" s="31"/>
      <c r="C172" s="31"/>
      <c r="D172" s="31"/>
      <c r="E172" s="40" t="s">
        <v>64</v>
      </c>
      <c r="F172" s="31"/>
      <c r="G172" s="31"/>
      <c r="H172" s="31"/>
      <c r="I172" s="31"/>
      <c r="J172" s="31"/>
      <c r="K172" s="31"/>
      <c r="L172" s="31"/>
      <c r="M172" s="31"/>
    </row>
    <row r="173" spans="1:13" x14ac:dyDescent="0.25">
      <c r="A173" s="35" t="s">
        <v>65</v>
      </c>
      <c r="B173" s="31"/>
      <c r="C173" s="31"/>
      <c r="D173" s="31"/>
      <c r="E173" s="40" t="s">
        <v>66</v>
      </c>
      <c r="F173" s="31"/>
      <c r="G173" s="31"/>
      <c r="H173" s="31"/>
      <c r="I173" s="31"/>
      <c r="J173" s="31"/>
      <c r="K173" s="31"/>
      <c r="L173" s="31"/>
      <c r="M173" s="31"/>
    </row>
    <row r="174" spans="1:13" x14ac:dyDescent="0.25">
      <c r="A174" s="35" t="s">
        <v>67</v>
      </c>
      <c r="B174" s="31"/>
      <c r="C174" s="31"/>
      <c r="D174" s="31"/>
      <c r="E174" s="40" t="s">
        <v>68</v>
      </c>
      <c r="F174" s="31"/>
      <c r="G174" s="31"/>
      <c r="H174" s="31"/>
      <c r="I174" s="31"/>
      <c r="J174" s="31"/>
      <c r="K174" s="31"/>
      <c r="L174" s="31"/>
      <c r="M174" s="31"/>
    </row>
    <row r="175" spans="1:13" x14ac:dyDescent="0.25">
      <c r="A175" s="35" t="s">
        <v>39</v>
      </c>
      <c r="B175" s="31"/>
      <c r="C175" s="31"/>
      <c r="D175" s="31"/>
      <c r="E175" s="40" t="s">
        <v>69</v>
      </c>
      <c r="F175" s="31"/>
      <c r="G175" s="31"/>
      <c r="H175" s="31"/>
      <c r="I175" s="31"/>
      <c r="J175" s="31"/>
      <c r="K175" s="31"/>
      <c r="L175" s="31"/>
      <c r="M175" s="31"/>
    </row>
    <row r="176" spans="1:13" x14ac:dyDescent="0.25">
      <c r="A176" s="35" t="s">
        <v>70</v>
      </c>
      <c r="B176" s="31"/>
      <c r="C176" s="31"/>
      <c r="D176" s="31"/>
      <c r="E176" s="40" t="s">
        <v>71</v>
      </c>
      <c r="F176" s="31"/>
      <c r="G176" s="31"/>
      <c r="H176" s="31"/>
      <c r="I176" s="31"/>
      <c r="J176" s="31"/>
      <c r="K176" s="31"/>
      <c r="L176" s="31"/>
      <c r="M176" s="31"/>
    </row>
    <row r="177" spans="1:13" x14ac:dyDescent="0.25">
      <c r="A177" s="35" t="s">
        <v>72</v>
      </c>
      <c r="B177" s="31"/>
      <c r="C177" s="31"/>
      <c r="D177" s="31"/>
      <c r="E177" s="40" t="s">
        <v>73</v>
      </c>
      <c r="F177" s="31"/>
      <c r="G177" s="31"/>
      <c r="H177" s="31"/>
      <c r="I177" s="31"/>
      <c r="J177" s="31"/>
      <c r="K177" s="31"/>
      <c r="L177" s="31"/>
      <c r="M177" s="31"/>
    </row>
    <row r="178" spans="1:13" x14ac:dyDescent="0.25">
      <c r="A178" s="35" t="s">
        <v>8</v>
      </c>
      <c r="B178" s="31"/>
      <c r="C178" s="31"/>
      <c r="D178" s="31"/>
      <c r="E178" s="40" t="s">
        <v>74</v>
      </c>
      <c r="F178" s="31"/>
      <c r="G178" s="31"/>
      <c r="H178" s="31"/>
      <c r="I178" s="31"/>
      <c r="J178" s="31"/>
      <c r="K178" s="31"/>
      <c r="L178" s="31"/>
      <c r="M178" s="31"/>
    </row>
  </sheetData>
  <sheetProtection formatCells="0"/>
  <mergeCells count="50">
    <mergeCell ref="A1:M1"/>
    <mergeCell ref="E174:M174"/>
    <mergeCell ref="A160:E160"/>
    <mergeCell ref="N6:N7"/>
    <mergeCell ref="A172:D172"/>
    <mergeCell ref="K3:M3"/>
    <mergeCell ref="A159:E159"/>
    <mergeCell ref="A174:D174"/>
    <mergeCell ref="J165:L165"/>
    <mergeCell ref="A165:E165"/>
    <mergeCell ref="A3:J3"/>
    <mergeCell ref="G159:K159"/>
    <mergeCell ref="C6:C7"/>
    <mergeCell ref="F165:I165"/>
    <mergeCell ref="D6:D7"/>
    <mergeCell ref="E171:M171"/>
    <mergeCell ref="E178:M178"/>
    <mergeCell ref="E169:M169"/>
    <mergeCell ref="M6:M7"/>
    <mergeCell ref="A164:E164"/>
    <mergeCell ref="E6:E7"/>
    <mergeCell ref="B6:B7"/>
    <mergeCell ref="A178:D178"/>
    <mergeCell ref="A169:D169"/>
    <mergeCell ref="F6:I6"/>
    <mergeCell ref="E172:M172"/>
    <mergeCell ref="A163:E163"/>
    <mergeCell ref="A177:D177"/>
    <mergeCell ref="E175:M175"/>
    <mergeCell ref="A175:D175"/>
    <mergeCell ref="A171:D171"/>
    <mergeCell ref="E177:M177"/>
    <mergeCell ref="E173:M173"/>
    <mergeCell ref="A170:D170"/>
    <mergeCell ref="A168:E168"/>
    <mergeCell ref="A6:A7"/>
    <mergeCell ref="E176:M176"/>
    <mergeCell ref="A162:E162"/>
    <mergeCell ref="A173:D173"/>
    <mergeCell ref="A176:D176"/>
    <mergeCell ref="G160:K160"/>
    <mergeCell ref="J6:L6"/>
    <mergeCell ref="A166:E166"/>
    <mergeCell ref="E170:M170"/>
    <mergeCell ref="G2:H2"/>
    <mergeCell ref="A8:M8"/>
    <mergeCell ref="A2:C2"/>
    <mergeCell ref="K2:M2"/>
    <mergeCell ref="D2:E2"/>
    <mergeCell ref="A4:M4"/>
  </mergeCells>
  <conditionalFormatting sqref="F9:I157">
    <cfRule type="expression" dxfId="53" priority="1">
      <formula>AND(F9&lt;&gt;"",COUNTIF($F9:$I9,"X")&gt;1)</formula>
    </cfRule>
  </conditionalFormatting>
  <conditionalFormatting sqref="F165:L165">
    <cfRule type="expression" dxfId="52" priority="5">
      <formula>LEFT(F165,4)="ERRO"</formula>
    </cfRule>
    <cfRule type="expression" dxfId="51" priority="6">
      <formula>LEFT(F165,2)="OK"</formula>
    </cfRule>
  </conditionalFormatting>
  <conditionalFormatting sqref="J9:L157">
    <cfRule type="expression" dxfId="50" priority="2">
      <formula>AND(J9&lt;&gt;"",COUNTIF($J9:$L9,"X")&gt;1)</formula>
    </cfRule>
  </conditionalFormatting>
  <conditionalFormatting sqref="N9:N157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57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57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57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6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49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IF(F34=0,NA(),F34)</f>
        <v>#N/A</v>
      </c>
      <c r="Q2" s="2">
        <f t="shared" si="0"/>
        <v>15.3265161498</v>
      </c>
      <c r="R2" s="2">
        <f t="shared" si="0"/>
        <v>4</v>
      </c>
      <c r="S2" s="2" t="e">
        <f t="shared" si="0"/>
        <v>#N/A</v>
      </c>
      <c r="T2" s="2" t="e">
        <f t="shared" si="0"/>
        <v>#N/A</v>
      </c>
      <c r="U2" s="2">
        <f t="shared" si="0"/>
        <v>19.3265161498</v>
      </c>
      <c r="V2" s="2" t="e">
        <f t="shared" si="0"/>
        <v>#N/A</v>
      </c>
    </row>
    <row r="3" spans="1:22" ht="15" customHeight="1" x14ac:dyDescent="0.25">
      <c r="A3" s="50" t="s">
        <v>85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86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87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88</v>
      </c>
      <c r="B9" s="16" t="s">
        <v>47</v>
      </c>
      <c r="C9" s="17">
        <v>0</v>
      </c>
      <c r="D9" s="17">
        <v>1</v>
      </c>
      <c r="E9" s="17">
        <f t="shared" ref="E9:E28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48</v>
      </c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48</v>
      </c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21" t="s">
        <v>88</v>
      </c>
      <c r="B28" s="22" t="s">
        <v>47</v>
      </c>
      <c r="C28" s="23">
        <v>19</v>
      </c>
      <c r="D28" s="23">
        <v>19.3265161498</v>
      </c>
      <c r="E28" s="23">
        <f t="shared" si="1"/>
        <v>0.32651614979999977</v>
      </c>
      <c r="F28" s="24"/>
      <c r="G28" s="24" t="s">
        <v>48</v>
      </c>
      <c r="H28" s="24"/>
      <c r="I28" s="24"/>
      <c r="J28" s="24"/>
      <c r="K28" s="24" t="s">
        <v>48</v>
      </c>
      <c r="L28" s="24"/>
      <c r="M28" s="25"/>
      <c r="N28" s="26" t="str">
        <f t="shared" si="2"/>
        <v>OK</v>
      </c>
    </row>
    <row r="30" spans="1:14" x14ac:dyDescent="0.25">
      <c r="A30" s="45" t="s">
        <v>51</v>
      </c>
      <c r="B30" s="31"/>
      <c r="C30" s="31"/>
      <c r="D30" s="31"/>
      <c r="E30" s="31"/>
      <c r="G30" s="45" t="s">
        <v>51</v>
      </c>
      <c r="H30" s="31"/>
      <c r="I30" s="31"/>
      <c r="J30" s="31"/>
      <c r="K30" s="31"/>
    </row>
    <row r="31" spans="1:14" x14ac:dyDescent="0.25">
      <c r="A31" s="49" t="s">
        <v>52</v>
      </c>
      <c r="B31" s="31"/>
      <c r="C31" s="31"/>
      <c r="D31" s="31"/>
      <c r="E31" s="31"/>
      <c r="G31" s="49" t="s">
        <v>53</v>
      </c>
      <c r="H31" s="31"/>
      <c r="I31" s="31"/>
      <c r="J31" s="31"/>
      <c r="K31" s="31"/>
    </row>
    <row r="33" spans="1:13" x14ac:dyDescent="0.25">
      <c r="A33" s="47" t="s">
        <v>54</v>
      </c>
      <c r="B33" s="31"/>
      <c r="C33" s="31"/>
      <c r="D33" s="31"/>
      <c r="E33" s="31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35" t="s">
        <v>55</v>
      </c>
      <c r="B34" s="31"/>
      <c r="C34" s="31"/>
      <c r="D34" s="31"/>
      <c r="E34" s="31"/>
      <c r="F34" s="9">
        <f t="shared" ref="F34:L34" si="3">SUMIF(F$9:F$28,"X",$E$9:$E$28)</f>
        <v>0</v>
      </c>
      <c r="G34" s="9">
        <f t="shared" si="3"/>
        <v>15.3265161498</v>
      </c>
      <c r="H34" s="9">
        <f t="shared" si="3"/>
        <v>4</v>
      </c>
      <c r="I34" s="9">
        <f t="shared" si="3"/>
        <v>0</v>
      </c>
      <c r="J34" s="9">
        <f t="shared" si="3"/>
        <v>0</v>
      </c>
      <c r="K34" s="9">
        <f t="shared" si="3"/>
        <v>19.3265161498</v>
      </c>
      <c r="L34" s="9">
        <f t="shared" si="3"/>
        <v>0</v>
      </c>
    </row>
    <row r="35" spans="1:13" x14ac:dyDescent="0.25">
      <c r="A35" s="35" t="s">
        <v>56</v>
      </c>
      <c r="B35" s="31"/>
      <c r="C35" s="31"/>
      <c r="D35" s="31"/>
      <c r="E35" s="31"/>
      <c r="F35" s="28">
        <f t="shared" ref="F35:L35" si="4">IF($I37=0,0,F34/$I37)</f>
        <v>0</v>
      </c>
      <c r="G35" s="28">
        <f t="shared" si="4"/>
        <v>0.79303046814045719</v>
      </c>
      <c r="H35" s="28">
        <f t="shared" si="4"/>
        <v>0.20696953185954284</v>
      </c>
      <c r="I35" s="28">
        <f t="shared" si="4"/>
        <v>0</v>
      </c>
      <c r="J35" s="28">
        <f t="shared" si="4"/>
        <v>0</v>
      </c>
      <c r="K35" s="28">
        <f t="shared" si="4"/>
        <v>1</v>
      </c>
      <c r="L35" s="28">
        <f t="shared" si="4"/>
        <v>0</v>
      </c>
    </row>
    <row r="36" spans="1:13" x14ac:dyDescent="0.25">
      <c r="A36" s="35" t="s">
        <v>57</v>
      </c>
      <c r="B36" s="31"/>
      <c r="C36" s="31"/>
      <c r="D36" s="31"/>
      <c r="E36" s="31"/>
      <c r="F36" s="37" t="str">
        <f>IF(SUM(F34:I34)=0,"— não preenchido",IF(ROUND(SUM(F34:I34)-$I37,3)=0,"OK — "&amp;ROUND(SUM(F34:I34),3)&amp;" km","ERRO — dif. de "&amp;ROUND(SUM(F34:I34)-$I37,3)&amp;" km"))</f>
        <v>OK — 19,327 km</v>
      </c>
      <c r="G36" s="33"/>
      <c r="H36" s="33"/>
      <c r="I36" s="34"/>
      <c r="J36" s="37" t="str">
        <f>IF(SUM(J34:L34)=0,"— não preenchido",IF(ROUND(SUM(J34:L34)-$I37,3)=0,"OK — "&amp;ROUND(SUM(J34:L34),3)&amp;" km","ERRO — dif. de "&amp;ROUND(SUM(J34:L34)-$I37,3)&amp;" km"))</f>
        <v>OK — 19,327 km</v>
      </c>
      <c r="K36" s="33"/>
      <c r="L36" s="34"/>
    </row>
    <row r="37" spans="1:13" x14ac:dyDescent="0.25">
      <c r="A37" s="35" t="s">
        <v>58</v>
      </c>
      <c r="B37" s="31"/>
      <c r="C37" s="31"/>
      <c r="D37" s="31"/>
      <c r="E37" s="31"/>
      <c r="I37" s="29">
        <f>SUM(E9:E28)</f>
        <v>19.3265161498</v>
      </c>
      <c r="M37" s="8" t="str">
        <f>COUNTIF(N9:N28,"OK")&amp;" de "&amp;COUNT($E$9:$E$28)&amp;" linhas conferidas"</f>
        <v>20 de 20 linhas conferidas</v>
      </c>
    </row>
    <row r="39" spans="1:13" x14ac:dyDescent="0.25">
      <c r="A39" s="46" t="s">
        <v>59</v>
      </c>
      <c r="B39" s="31"/>
      <c r="C39" s="31"/>
      <c r="D39" s="31"/>
      <c r="E39" s="31"/>
    </row>
    <row r="40" spans="1:13" x14ac:dyDescent="0.25">
      <c r="A40" s="35" t="s">
        <v>10</v>
      </c>
      <c r="B40" s="31"/>
      <c r="C40" s="31"/>
      <c r="D40" s="31"/>
      <c r="E40" s="40" t="s">
        <v>60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5" t="s">
        <v>11</v>
      </c>
      <c r="B41" s="31"/>
      <c r="C41" s="31"/>
      <c r="D41" s="31"/>
      <c r="E41" s="40" t="s">
        <v>61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5" t="s">
        <v>12</v>
      </c>
      <c r="B42" s="31"/>
      <c r="C42" s="31"/>
      <c r="D42" s="31"/>
      <c r="E42" s="40" t="s">
        <v>62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5" t="s">
        <v>63</v>
      </c>
      <c r="B43" s="31"/>
      <c r="C43" s="31"/>
      <c r="D43" s="31"/>
      <c r="E43" s="40" t="s">
        <v>64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5" t="s">
        <v>65</v>
      </c>
      <c r="B44" s="31"/>
      <c r="C44" s="31"/>
      <c r="D44" s="31"/>
      <c r="E44" s="40" t="s">
        <v>66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5" t="s">
        <v>67</v>
      </c>
      <c r="B45" s="31"/>
      <c r="C45" s="31"/>
      <c r="D45" s="31"/>
      <c r="E45" s="40" t="s">
        <v>68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5" t="s">
        <v>39</v>
      </c>
      <c r="B46" s="31"/>
      <c r="C46" s="31"/>
      <c r="D46" s="31"/>
      <c r="E46" s="40" t="s">
        <v>69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5" t="s">
        <v>70</v>
      </c>
      <c r="B47" s="31"/>
      <c r="C47" s="31"/>
      <c r="D47" s="31"/>
      <c r="E47" s="40" t="s">
        <v>71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5" t="s">
        <v>72</v>
      </c>
      <c r="B48" s="31"/>
      <c r="C48" s="31"/>
      <c r="D48" s="31"/>
      <c r="E48" s="40" t="s">
        <v>73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5" t="s">
        <v>8</v>
      </c>
      <c r="B49" s="31"/>
      <c r="C49" s="31"/>
      <c r="D49" s="31"/>
      <c r="E49" s="40" t="s">
        <v>74</v>
      </c>
      <c r="F49" s="31"/>
      <c r="G49" s="31"/>
      <c r="H49" s="31"/>
      <c r="I49" s="31"/>
      <c r="J49" s="31"/>
      <c r="K49" s="31"/>
      <c r="L49" s="31"/>
      <c r="M49" s="31"/>
    </row>
  </sheetData>
  <sheetProtection formatCells="0"/>
  <mergeCells count="50">
    <mergeCell ref="A1:M1"/>
    <mergeCell ref="E41:M41"/>
    <mergeCell ref="A33:E33"/>
    <mergeCell ref="N6:N7"/>
    <mergeCell ref="A41:D41"/>
    <mergeCell ref="K3:M3"/>
    <mergeCell ref="F36:I36"/>
    <mergeCell ref="A35:E35"/>
    <mergeCell ref="A3:J3"/>
    <mergeCell ref="C6:C7"/>
    <mergeCell ref="A31:E31"/>
    <mergeCell ref="G31:K31"/>
    <mergeCell ref="D6:D7"/>
    <mergeCell ref="A34:E34"/>
    <mergeCell ref="G2:H2"/>
    <mergeCell ref="A8:M8"/>
    <mergeCell ref="E49:M49"/>
    <mergeCell ref="E45:M45"/>
    <mergeCell ref="A48:D48"/>
    <mergeCell ref="M6:M7"/>
    <mergeCell ref="A37:E37"/>
    <mergeCell ref="E6:E7"/>
    <mergeCell ref="A49:D49"/>
    <mergeCell ref="B6:B7"/>
    <mergeCell ref="F6:I6"/>
    <mergeCell ref="A45:D45"/>
    <mergeCell ref="G30:K30"/>
    <mergeCell ref="E47:M47"/>
    <mergeCell ref="E43:M43"/>
    <mergeCell ref="A46:D46"/>
    <mergeCell ref="E42:M42"/>
    <mergeCell ref="E48:M48"/>
    <mergeCell ref="K2:M2"/>
    <mergeCell ref="D2:E2"/>
    <mergeCell ref="A42:D42"/>
    <mergeCell ref="E44:M44"/>
    <mergeCell ref="E40:M40"/>
    <mergeCell ref="A43:D43"/>
    <mergeCell ref="A36:E36"/>
    <mergeCell ref="A6:A7"/>
    <mergeCell ref="A2:C2"/>
    <mergeCell ref="A30:E30"/>
    <mergeCell ref="A39:E39"/>
    <mergeCell ref="J6:L6"/>
    <mergeCell ref="J36:L36"/>
    <mergeCell ref="A4:M4"/>
    <mergeCell ref="A47:D47"/>
    <mergeCell ref="A44:D44"/>
    <mergeCell ref="A40:D40"/>
    <mergeCell ref="E46:M46"/>
  </mergeCells>
  <conditionalFormatting sqref="F9:I28">
    <cfRule type="expression" dxfId="47" priority="1">
      <formula>AND(F9&lt;&gt;"",COUNTIF($F9:$I9,"X")&gt;1)</formula>
    </cfRule>
  </conditionalFormatting>
  <conditionalFormatting sqref="F36:L36">
    <cfRule type="expression" dxfId="46" priority="5">
      <formula>LEFT(F36,4)="ERRO"</formula>
    </cfRule>
    <cfRule type="expression" dxfId="45" priority="6">
      <formula>LEFT(F36,2)="OK"</formula>
    </cfRule>
  </conditionalFormatting>
  <conditionalFormatting sqref="J9:L28">
    <cfRule type="expression" dxfId="44" priority="2">
      <formula>AND(J9&lt;&gt;"",COUNTIF($J9:$L9,"X")&gt;1)</formula>
    </cfRule>
  </conditionalFormatting>
  <conditionalFormatting sqref="N9:N28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8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8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28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72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85"/>
  <sheetViews>
    <sheetView showGridLines="0" workbookViewId="0">
      <pane xSplit="5" ySplit="7" topLeftCell="F53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IF(F70=0,NA(),F70)</f>
        <v>#N/A</v>
      </c>
      <c r="Q2" s="2">
        <f t="shared" si="0"/>
        <v>52.389635881299995</v>
      </c>
      <c r="R2" s="2">
        <f t="shared" si="0"/>
        <v>2</v>
      </c>
      <c r="S2" s="2" t="e">
        <f t="shared" si="0"/>
        <v>#N/A</v>
      </c>
      <c r="T2" s="2" t="e">
        <f t="shared" si="0"/>
        <v>#N/A</v>
      </c>
      <c r="U2" s="2">
        <f t="shared" si="0"/>
        <v>54.389635881299995</v>
      </c>
      <c r="V2" s="2" t="e">
        <f t="shared" si="0"/>
        <v>#N/A</v>
      </c>
    </row>
    <row r="3" spans="1:22" ht="15" customHeight="1" x14ac:dyDescent="0.25">
      <c r="A3" s="50" t="s">
        <v>89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90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91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92</v>
      </c>
      <c r="B9" s="16" t="s">
        <v>47</v>
      </c>
      <c r="C9" s="17">
        <v>0</v>
      </c>
      <c r="D9" s="17">
        <v>1</v>
      </c>
      <c r="E9" s="17">
        <f t="shared" ref="E9:E45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92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92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92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92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92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48</v>
      </c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92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48</v>
      </c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92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92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92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92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92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92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92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92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92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92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92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92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92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92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92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92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92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92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92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92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92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92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92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92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92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92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92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92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92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21" t="s">
        <v>92</v>
      </c>
      <c r="B45" s="22" t="s">
        <v>47</v>
      </c>
      <c r="C45" s="23">
        <v>36</v>
      </c>
      <c r="D45" s="23">
        <v>36.7682307002</v>
      </c>
      <c r="E45" s="23">
        <f t="shared" si="1"/>
        <v>0.76823070020000017</v>
      </c>
      <c r="F45" s="24"/>
      <c r="G45" s="24" t="s">
        <v>48</v>
      </c>
      <c r="H45" s="24"/>
      <c r="I45" s="24"/>
      <c r="J45" s="24"/>
      <c r="K45" s="24" t="s">
        <v>48</v>
      </c>
      <c r="L45" s="24"/>
      <c r="M45" s="25"/>
      <c r="N45" s="26" t="str">
        <f t="shared" si="2"/>
        <v>OK</v>
      </c>
    </row>
    <row r="46" spans="1:14" ht="15.95" customHeight="1" x14ac:dyDescent="0.25">
      <c r="A46" s="32" t="s">
        <v>93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4"/>
    </row>
    <row r="47" spans="1:14" ht="20.100000000000001" customHeight="1" x14ac:dyDescent="0.25">
      <c r="A47" s="15" t="s">
        <v>94</v>
      </c>
      <c r="B47" s="16" t="s">
        <v>47</v>
      </c>
      <c r="C47" s="17">
        <v>0</v>
      </c>
      <c r="D47" s="17">
        <v>1</v>
      </c>
      <c r="E47" s="17">
        <f t="shared" ref="E47:E64" si="3">D47-C47</f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ref="N47:N64" si="4"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15" t="s">
        <v>94</v>
      </c>
      <c r="B48" s="16" t="s">
        <v>47</v>
      </c>
      <c r="C48" s="17">
        <v>1</v>
      </c>
      <c r="D48" s="17">
        <v>2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94</v>
      </c>
      <c r="B49" s="16" t="s">
        <v>47</v>
      </c>
      <c r="C49" s="17">
        <v>2</v>
      </c>
      <c r="D49" s="17">
        <v>3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94</v>
      </c>
      <c r="B50" s="16" t="s">
        <v>47</v>
      </c>
      <c r="C50" s="17">
        <v>3</v>
      </c>
      <c r="D50" s="17">
        <v>4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94</v>
      </c>
      <c r="B51" s="16" t="s">
        <v>47</v>
      </c>
      <c r="C51" s="17">
        <v>4</v>
      </c>
      <c r="D51" s="17">
        <v>5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94</v>
      </c>
      <c r="B52" s="16" t="s">
        <v>47</v>
      </c>
      <c r="C52" s="17">
        <v>5</v>
      </c>
      <c r="D52" s="17">
        <v>6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94</v>
      </c>
      <c r="B53" s="16" t="s">
        <v>47</v>
      </c>
      <c r="C53" s="17">
        <v>6</v>
      </c>
      <c r="D53" s="17">
        <v>7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94</v>
      </c>
      <c r="B54" s="16" t="s">
        <v>47</v>
      </c>
      <c r="C54" s="17">
        <v>7</v>
      </c>
      <c r="D54" s="17">
        <v>8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94</v>
      </c>
      <c r="B55" s="16" t="s">
        <v>47</v>
      </c>
      <c r="C55" s="17">
        <v>8</v>
      </c>
      <c r="D55" s="17">
        <v>9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94</v>
      </c>
      <c r="B56" s="16" t="s">
        <v>47</v>
      </c>
      <c r="C56" s="17">
        <v>9</v>
      </c>
      <c r="D56" s="17">
        <v>10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94</v>
      </c>
      <c r="B57" s="16" t="s">
        <v>47</v>
      </c>
      <c r="C57" s="17">
        <v>10</v>
      </c>
      <c r="D57" s="17">
        <v>11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94</v>
      </c>
      <c r="B58" s="16" t="s">
        <v>47</v>
      </c>
      <c r="C58" s="17">
        <v>11</v>
      </c>
      <c r="D58" s="17">
        <v>12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94</v>
      </c>
      <c r="B59" s="16" t="s">
        <v>47</v>
      </c>
      <c r="C59" s="17">
        <v>12</v>
      </c>
      <c r="D59" s="17">
        <v>13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94</v>
      </c>
      <c r="B60" s="16" t="s">
        <v>47</v>
      </c>
      <c r="C60" s="17">
        <v>13</v>
      </c>
      <c r="D60" s="17">
        <v>14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94</v>
      </c>
      <c r="B61" s="16" t="s">
        <v>47</v>
      </c>
      <c r="C61" s="17">
        <v>14</v>
      </c>
      <c r="D61" s="17">
        <v>15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94</v>
      </c>
      <c r="B62" s="16" t="s">
        <v>47</v>
      </c>
      <c r="C62" s="17">
        <v>15</v>
      </c>
      <c r="D62" s="17">
        <v>16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94</v>
      </c>
      <c r="B63" s="16" t="s">
        <v>47</v>
      </c>
      <c r="C63" s="17">
        <v>16</v>
      </c>
      <c r="D63" s="17">
        <v>17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21" t="s">
        <v>94</v>
      </c>
      <c r="B64" s="22" t="s">
        <v>47</v>
      </c>
      <c r="C64" s="23">
        <v>17</v>
      </c>
      <c r="D64" s="23">
        <v>17.621405181099998</v>
      </c>
      <c r="E64" s="23">
        <f t="shared" si="3"/>
        <v>0.62140518109999832</v>
      </c>
      <c r="F64" s="24"/>
      <c r="G64" s="24" t="s">
        <v>48</v>
      </c>
      <c r="H64" s="24"/>
      <c r="I64" s="24"/>
      <c r="J64" s="24"/>
      <c r="K64" s="24" t="s">
        <v>48</v>
      </c>
      <c r="L64" s="24"/>
      <c r="M64" s="25"/>
      <c r="N64" s="26" t="str">
        <f t="shared" si="4"/>
        <v>OK</v>
      </c>
    </row>
    <row r="66" spans="1:13" x14ac:dyDescent="0.25">
      <c r="A66" s="45" t="s">
        <v>51</v>
      </c>
      <c r="B66" s="31"/>
      <c r="C66" s="31"/>
      <c r="D66" s="31"/>
      <c r="E66" s="31"/>
      <c r="G66" s="45" t="s">
        <v>51</v>
      </c>
      <c r="H66" s="31"/>
      <c r="I66" s="31"/>
      <c r="J66" s="31"/>
      <c r="K66" s="31"/>
    </row>
    <row r="67" spans="1:13" x14ac:dyDescent="0.25">
      <c r="A67" s="49" t="s">
        <v>52</v>
      </c>
      <c r="B67" s="31"/>
      <c r="C67" s="31"/>
      <c r="D67" s="31"/>
      <c r="E67" s="31"/>
      <c r="G67" s="49" t="s">
        <v>53</v>
      </c>
      <c r="H67" s="31"/>
      <c r="I67" s="31"/>
      <c r="J67" s="31"/>
      <c r="K67" s="31"/>
    </row>
    <row r="69" spans="1:13" x14ac:dyDescent="0.25">
      <c r="A69" s="47" t="s">
        <v>54</v>
      </c>
      <c r="B69" s="31"/>
      <c r="C69" s="31"/>
      <c r="D69" s="31"/>
      <c r="E69" s="31"/>
      <c r="F69" s="27"/>
      <c r="G69" s="27"/>
      <c r="H69" s="27"/>
      <c r="I69" s="27"/>
      <c r="J69" s="27"/>
      <c r="K69" s="27"/>
      <c r="L69" s="27"/>
      <c r="M69" s="27"/>
    </row>
    <row r="70" spans="1:13" x14ac:dyDescent="0.25">
      <c r="A70" s="35" t="s">
        <v>55</v>
      </c>
      <c r="B70" s="31"/>
      <c r="C70" s="31"/>
      <c r="D70" s="31"/>
      <c r="E70" s="31"/>
      <c r="F70" s="9">
        <f t="shared" ref="F70:L70" si="5">SUMIF(F$9:F$64,"X",$E$9:$E$64)</f>
        <v>0</v>
      </c>
      <c r="G70" s="9">
        <f t="shared" si="5"/>
        <v>52.389635881299995</v>
      </c>
      <c r="H70" s="9">
        <f t="shared" si="5"/>
        <v>2</v>
      </c>
      <c r="I70" s="9">
        <f t="shared" si="5"/>
        <v>0</v>
      </c>
      <c r="J70" s="9">
        <f t="shared" si="5"/>
        <v>0</v>
      </c>
      <c r="K70" s="9">
        <f t="shared" si="5"/>
        <v>54.389635881299995</v>
      </c>
      <c r="L70" s="9">
        <f t="shared" si="5"/>
        <v>0</v>
      </c>
    </row>
    <row r="71" spans="1:13" x14ac:dyDescent="0.25">
      <c r="A71" s="35" t="s">
        <v>56</v>
      </c>
      <c r="B71" s="31"/>
      <c r="C71" s="31"/>
      <c r="D71" s="31"/>
      <c r="E71" s="31"/>
      <c r="F71" s="28">
        <f t="shared" ref="F71:L71" si="6">IF($I73=0,0,F70/$I73)</f>
        <v>0</v>
      </c>
      <c r="G71" s="28">
        <f t="shared" si="6"/>
        <v>0.96322828848560782</v>
      </c>
      <c r="H71" s="28">
        <f t="shared" si="6"/>
        <v>3.6771711514392236E-2</v>
      </c>
      <c r="I71" s="28">
        <f t="shared" si="6"/>
        <v>0</v>
      </c>
      <c r="J71" s="28">
        <f t="shared" si="6"/>
        <v>0</v>
      </c>
      <c r="K71" s="28">
        <f t="shared" si="6"/>
        <v>1</v>
      </c>
      <c r="L71" s="28">
        <f t="shared" si="6"/>
        <v>0</v>
      </c>
    </row>
    <row r="72" spans="1:13" x14ac:dyDescent="0.25">
      <c r="A72" s="35" t="s">
        <v>57</v>
      </c>
      <c r="B72" s="31"/>
      <c r="C72" s="31"/>
      <c r="D72" s="31"/>
      <c r="E72" s="31"/>
      <c r="F72" s="37" t="str">
        <f>IF(SUM(F70:I70)=0,"— não preenchido",IF(ROUND(SUM(F70:I70)-$I73,3)=0,"OK — "&amp;ROUND(SUM(F70:I70),3)&amp;" km","ERRO — dif. de "&amp;ROUND(SUM(F70:I70)-$I73,3)&amp;" km"))</f>
        <v>OK — 54,39 km</v>
      </c>
      <c r="G72" s="33"/>
      <c r="H72" s="33"/>
      <c r="I72" s="34"/>
      <c r="J72" s="37" t="str">
        <f>IF(SUM(J70:L70)=0,"— não preenchido",IF(ROUND(SUM(J70:L70)-$I73,3)=0,"OK — "&amp;ROUND(SUM(J70:L70),3)&amp;" km","ERRO — dif. de "&amp;ROUND(SUM(J70:L70)-$I73,3)&amp;" km"))</f>
        <v>OK — 54,39 km</v>
      </c>
      <c r="K72" s="33"/>
      <c r="L72" s="34"/>
    </row>
    <row r="73" spans="1:13" x14ac:dyDescent="0.25">
      <c r="A73" s="35" t="s">
        <v>58</v>
      </c>
      <c r="B73" s="31"/>
      <c r="C73" s="31"/>
      <c r="D73" s="31"/>
      <c r="E73" s="31"/>
      <c r="I73" s="29">
        <f>SUM(E9:E64)</f>
        <v>54.389635881299995</v>
      </c>
      <c r="M73" s="8" t="str">
        <f>COUNTIF(N9:N64,"OK")&amp;" de "&amp;COUNT($E$9:$E$64)&amp;" linhas conferidas"</f>
        <v>55 de 55 linhas conferidas</v>
      </c>
    </row>
    <row r="75" spans="1:13" x14ac:dyDescent="0.25">
      <c r="A75" s="46" t="s">
        <v>59</v>
      </c>
      <c r="B75" s="31"/>
      <c r="C75" s="31"/>
      <c r="D75" s="31"/>
      <c r="E75" s="31"/>
    </row>
    <row r="76" spans="1:13" x14ac:dyDescent="0.25">
      <c r="A76" s="35" t="s">
        <v>10</v>
      </c>
      <c r="B76" s="31"/>
      <c r="C76" s="31"/>
      <c r="D76" s="31"/>
      <c r="E76" s="40" t="s">
        <v>60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5" t="s">
        <v>11</v>
      </c>
      <c r="B77" s="31"/>
      <c r="C77" s="31"/>
      <c r="D77" s="31"/>
      <c r="E77" s="40" t="s">
        <v>61</v>
      </c>
      <c r="F77" s="31"/>
      <c r="G77" s="31"/>
      <c r="H77" s="31"/>
      <c r="I77" s="31"/>
      <c r="J77" s="31"/>
      <c r="K77" s="31"/>
      <c r="L77" s="31"/>
      <c r="M77" s="31"/>
    </row>
    <row r="78" spans="1:13" x14ac:dyDescent="0.25">
      <c r="A78" s="35" t="s">
        <v>12</v>
      </c>
      <c r="B78" s="31"/>
      <c r="C78" s="31"/>
      <c r="D78" s="31"/>
      <c r="E78" s="40" t="s">
        <v>62</v>
      </c>
      <c r="F78" s="31"/>
      <c r="G78" s="31"/>
      <c r="H78" s="31"/>
      <c r="I78" s="31"/>
      <c r="J78" s="31"/>
      <c r="K78" s="31"/>
      <c r="L78" s="31"/>
      <c r="M78" s="31"/>
    </row>
    <row r="79" spans="1:13" x14ac:dyDescent="0.25">
      <c r="A79" s="35" t="s">
        <v>63</v>
      </c>
      <c r="B79" s="31"/>
      <c r="C79" s="31"/>
      <c r="D79" s="31"/>
      <c r="E79" s="40" t="s">
        <v>64</v>
      </c>
      <c r="F79" s="31"/>
      <c r="G79" s="31"/>
      <c r="H79" s="31"/>
      <c r="I79" s="31"/>
      <c r="J79" s="31"/>
      <c r="K79" s="31"/>
      <c r="L79" s="31"/>
      <c r="M79" s="31"/>
    </row>
    <row r="80" spans="1:13" x14ac:dyDescent="0.25">
      <c r="A80" s="35" t="s">
        <v>65</v>
      </c>
      <c r="B80" s="31"/>
      <c r="C80" s="31"/>
      <c r="D80" s="31"/>
      <c r="E80" s="40" t="s">
        <v>66</v>
      </c>
      <c r="F80" s="31"/>
      <c r="G80" s="31"/>
      <c r="H80" s="31"/>
      <c r="I80" s="31"/>
      <c r="J80" s="31"/>
      <c r="K80" s="31"/>
      <c r="L80" s="31"/>
      <c r="M80" s="31"/>
    </row>
    <row r="81" spans="1:13" x14ac:dyDescent="0.25">
      <c r="A81" s="35" t="s">
        <v>67</v>
      </c>
      <c r="B81" s="31"/>
      <c r="C81" s="31"/>
      <c r="D81" s="31"/>
      <c r="E81" s="40" t="s">
        <v>68</v>
      </c>
      <c r="F81" s="31"/>
      <c r="G81" s="31"/>
      <c r="H81" s="31"/>
      <c r="I81" s="31"/>
      <c r="J81" s="31"/>
      <c r="K81" s="31"/>
      <c r="L81" s="31"/>
      <c r="M81" s="31"/>
    </row>
    <row r="82" spans="1:13" x14ac:dyDescent="0.25">
      <c r="A82" s="35" t="s">
        <v>39</v>
      </c>
      <c r="B82" s="31"/>
      <c r="C82" s="31"/>
      <c r="D82" s="31"/>
      <c r="E82" s="40" t="s">
        <v>69</v>
      </c>
      <c r="F82" s="31"/>
      <c r="G82" s="31"/>
      <c r="H82" s="31"/>
      <c r="I82" s="31"/>
      <c r="J82" s="31"/>
      <c r="K82" s="31"/>
      <c r="L82" s="31"/>
      <c r="M82" s="31"/>
    </row>
    <row r="83" spans="1:13" x14ac:dyDescent="0.25">
      <c r="A83" s="35" t="s">
        <v>70</v>
      </c>
      <c r="B83" s="31"/>
      <c r="C83" s="31"/>
      <c r="D83" s="31"/>
      <c r="E83" s="40" t="s">
        <v>71</v>
      </c>
      <c r="F83" s="31"/>
      <c r="G83" s="31"/>
      <c r="H83" s="31"/>
      <c r="I83" s="31"/>
      <c r="J83" s="31"/>
      <c r="K83" s="31"/>
      <c r="L83" s="31"/>
      <c r="M83" s="31"/>
    </row>
    <row r="84" spans="1:13" x14ac:dyDescent="0.25">
      <c r="A84" s="35" t="s">
        <v>72</v>
      </c>
      <c r="B84" s="31"/>
      <c r="C84" s="31"/>
      <c r="D84" s="31"/>
      <c r="E84" s="40" t="s">
        <v>73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35" t="s">
        <v>8</v>
      </c>
      <c r="B85" s="31"/>
      <c r="C85" s="31"/>
      <c r="D85" s="31"/>
      <c r="E85" s="40" t="s">
        <v>74</v>
      </c>
      <c r="F85" s="31"/>
      <c r="G85" s="31"/>
      <c r="H85" s="31"/>
      <c r="I85" s="31"/>
      <c r="J85" s="31"/>
      <c r="K85" s="31"/>
      <c r="L85" s="31"/>
      <c r="M85" s="31"/>
    </row>
  </sheetData>
  <sheetProtection formatCells="0"/>
  <mergeCells count="51">
    <mergeCell ref="N6:N7"/>
    <mergeCell ref="K3:M3"/>
    <mergeCell ref="A84:D84"/>
    <mergeCell ref="J72:L72"/>
    <mergeCell ref="A46:M46"/>
    <mergeCell ref="A80:D80"/>
    <mergeCell ref="A72:E72"/>
    <mergeCell ref="A3:J3"/>
    <mergeCell ref="E83:M83"/>
    <mergeCell ref="F72:I72"/>
    <mergeCell ref="C6:C7"/>
    <mergeCell ref="E79:M79"/>
    <mergeCell ref="D6:D7"/>
    <mergeCell ref="A76:D76"/>
    <mergeCell ref="A67:E67"/>
    <mergeCell ref="A77:D77"/>
    <mergeCell ref="E85:M85"/>
    <mergeCell ref="E76:M76"/>
    <mergeCell ref="A79:D79"/>
    <mergeCell ref="A1:M1"/>
    <mergeCell ref="E81:M81"/>
    <mergeCell ref="A78:D78"/>
    <mergeCell ref="A71:E71"/>
    <mergeCell ref="A85:D85"/>
    <mergeCell ref="E84:M84"/>
    <mergeCell ref="E78:M78"/>
    <mergeCell ref="A81:D81"/>
    <mergeCell ref="G67:K67"/>
    <mergeCell ref="A6:A7"/>
    <mergeCell ref="A70:E70"/>
    <mergeCell ref="E77:M77"/>
    <mergeCell ref="A69:E69"/>
    <mergeCell ref="E80:M80"/>
    <mergeCell ref="A83:D83"/>
    <mergeCell ref="G66:K66"/>
    <mergeCell ref="M6:M7"/>
    <mergeCell ref="A82:D82"/>
    <mergeCell ref="A75:E75"/>
    <mergeCell ref="E6:E7"/>
    <mergeCell ref="J6:L6"/>
    <mergeCell ref="E82:M82"/>
    <mergeCell ref="A73:E73"/>
    <mergeCell ref="A66:E66"/>
    <mergeCell ref="G2:H2"/>
    <mergeCell ref="A8:M8"/>
    <mergeCell ref="A4:M4"/>
    <mergeCell ref="A2:C2"/>
    <mergeCell ref="K2:M2"/>
    <mergeCell ref="D2:E2"/>
    <mergeCell ref="B6:B7"/>
    <mergeCell ref="F6:I6"/>
  </mergeCells>
  <conditionalFormatting sqref="F9:I64">
    <cfRule type="expression" dxfId="41" priority="1">
      <formula>AND(F9&lt;&gt;"",COUNTIF($F9:$I9,"X")&gt;1)</formula>
    </cfRule>
  </conditionalFormatting>
  <conditionalFormatting sqref="F72:L72">
    <cfRule type="expression" dxfId="40" priority="5">
      <formula>LEFT(F72,4)="ERRO"</formula>
    </cfRule>
    <cfRule type="expression" dxfId="39" priority="6">
      <formula>LEFT(F72,2)="OK"</formula>
    </cfRule>
  </conditionalFormatting>
  <conditionalFormatting sqref="J9:L64">
    <cfRule type="expression" dxfId="38" priority="2">
      <formula>AND(J9&lt;&gt;"",COUNTIF($J9:$L9,"X")&gt;1)</formula>
    </cfRule>
  </conditionalFormatting>
  <conditionalFormatting sqref="N9:N6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6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59"/>
  <sheetViews>
    <sheetView showGridLines="0" workbookViewId="0">
      <pane xSplit="5" ySplit="7" topLeftCell="F32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>
        <f t="shared" ref="P2:V2" si="0">IF(F44=0,NA(),F44)</f>
        <v>3</v>
      </c>
      <c r="Q2" s="2">
        <f t="shared" si="0"/>
        <v>22.343878059399998</v>
      </c>
      <c r="R2" s="2">
        <f t="shared" si="0"/>
        <v>3</v>
      </c>
      <c r="S2" s="2" t="e">
        <f t="shared" si="0"/>
        <v>#N/A</v>
      </c>
      <c r="T2" s="2" t="e">
        <f t="shared" si="0"/>
        <v>#N/A</v>
      </c>
      <c r="U2" s="2">
        <f t="shared" si="0"/>
        <v>28.343878059399998</v>
      </c>
      <c r="V2" s="2" t="e">
        <f t="shared" si="0"/>
        <v>#N/A</v>
      </c>
    </row>
    <row r="3" spans="1:22" ht="15" customHeight="1" x14ac:dyDescent="0.25">
      <c r="A3" s="50" t="s">
        <v>95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96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97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98</v>
      </c>
      <c r="B9" s="16" t="s">
        <v>47</v>
      </c>
      <c r="C9" s="17">
        <v>0</v>
      </c>
      <c r="D9" s="17">
        <v>1</v>
      </c>
      <c r="E9" s="17">
        <f t="shared" ref="E9:E23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48</v>
      </c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98</v>
      </c>
      <c r="B23" s="22" t="s">
        <v>47</v>
      </c>
      <c r="C23" s="23">
        <v>14</v>
      </c>
      <c r="D23" s="23">
        <v>14.646521651400001</v>
      </c>
      <c r="E23" s="23">
        <f t="shared" si="1"/>
        <v>0.64652165140000051</v>
      </c>
      <c r="F23" s="24"/>
      <c r="G23" s="24" t="s">
        <v>48</v>
      </c>
      <c r="H23" s="24"/>
      <c r="I23" s="24"/>
      <c r="J23" s="24"/>
      <c r="K23" s="24" t="s">
        <v>48</v>
      </c>
      <c r="L23" s="24"/>
      <c r="M23" s="25"/>
      <c r="N23" s="26" t="str">
        <f t="shared" si="2"/>
        <v>OK</v>
      </c>
    </row>
    <row r="24" spans="1:14" ht="15.95" customHeight="1" x14ac:dyDescent="0.25">
      <c r="A24" s="32" t="s">
        <v>99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4"/>
    </row>
    <row r="25" spans="1:14" ht="20.100000000000001" customHeight="1" x14ac:dyDescent="0.25">
      <c r="A25" s="15" t="s">
        <v>100</v>
      </c>
      <c r="B25" s="16" t="s">
        <v>47</v>
      </c>
      <c r="C25" s="17">
        <v>0</v>
      </c>
      <c r="D25" s="17">
        <v>1</v>
      </c>
      <c r="E25" s="17">
        <f t="shared" ref="E25:E38" si="3">D25-C25</f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ref="N25:N38" si="4"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100</v>
      </c>
      <c r="B26" s="16" t="s">
        <v>47</v>
      </c>
      <c r="C26" s="17">
        <v>1</v>
      </c>
      <c r="D26" s="17">
        <v>2</v>
      </c>
      <c r="E26" s="17">
        <f t="shared" si="3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100</v>
      </c>
      <c r="B27" s="16" t="s">
        <v>47</v>
      </c>
      <c r="C27" s="17">
        <v>2</v>
      </c>
      <c r="D27" s="17">
        <v>3</v>
      </c>
      <c r="E27" s="17">
        <f t="shared" si="3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100</v>
      </c>
      <c r="B28" s="16" t="s">
        <v>47</v>
      </c>
      <c r="C28" s="17">
        <v>3</v>
      </c>
      <c r="D28" s="17">
        <v>4</v>
      </c>
      <c r="E28" s="17">
        <f t="shared" si="3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100</v>
      </c>
      <c r="B29" s="16" t="s">
        <v>47</v>
      </c>
      <c r="C29" s="17">
        <v>4</v>
      </c>
      <c r="D29" s="17">
        <v>5</v>
      </c>
      <c r="E29" s="17">
        <f t="shared" si="3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100</v>
      </c>
      <c r="B30" s="16" t="s">
        <v>47</v>
      </c>
      <c r="C30" s="17">
        <v>5</v>
      </c>
      <c r="D30" s="17">
        <v>6</v>
      </c>
      <c r="E30" s="17">
        <f t="shared" si="3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100</v>
      </c>
      <c r="B31" s="16" t="s">
        <v>47</v>
      </c>
      <c r="C31" s="17">
        <v>6</v>
      </c>
      <c r="D31" s="17">
        <v>7</v>
      </c>
      <c r="E31" s="17">
        <f t="shared" si="3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100</v>
      </c>
      <c r="B32" s="16" t="s">
        <v>47</v>
      </c>
      <c r="C32" s="17">
        <v>7</v>
      </c>
      <c r="D32" s="17">
        <v>8</v>
      </c>
      <c r="E32" s="17">
        <f t="shared" si="3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100</v>
      </c>
      <c r="B33" s="16" t="s">
        <v>47</v>
      </c>
      <c r="C33" s="17">
        <v>8</v>
      </c>
      <c r="D33" s="17">
        <v>9</v>
      </c>
      <c r="E33" s="17">
        <f t="shared" si="3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100</v>
      </c>
      <c r="B34" s="16" t="s">
        <v>47</v>
      </c>
      <c r="C34" s="17">
        <v>9</v>
      </c>
      <c r="D34" s="17">
        <v>10</v>
      </c>
      <c r="E34" s="17">
        <f t="shared" si="3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100</v>
      </c>
      <c r="B35" s="16" t="s">
        <v>47</v>
      </c>
      <c r="C35" s="17">
        <v>10</v>
      </c>
      <c r="D35" s="17">
        <v>11</v>
      </c>
      <c r="E35" s="17">
        <f t="shared" si="3"/>
        <v>1</v>
      </c>
      <c r="F35" s="18" t="s">
        <v>48</v>
      </c>
      <c r="G35" s="18"/>
      <c r="H35" s="18"/>
      <c r="I35" s="18"/>
      <c r="J35" s="18"/>
      <c r="K35" s="18" t="s">
        <v>48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100</v>
      </c>
      <c r="B36" s="16" t="s">
        <v>47</v>
      </c>
      <c r="C36" s="17">
        <v>11</v>
      </c>
      <c r="D36" s="17">
        <v>12</v>
      </c>
      <c r="E36" s="17">
        <f t="shared" si="3"/>
        <v>1</v>
      </c>
      <c r="F36" s="18" t="s">
        <v>48</v>
      </c>
      <c r="G36" s="18"/>
      <c r="H36" s="18"/>
      <c r="I36" s="18"/>
      <c r="J36" s="18"/>
      <c r="K36" s="18" t="s">
        <v>48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100</v>
      </c>
      <c r="B37" s="16" t="s">
        <v>47</v>
      </c>
      <c r="C37" s="17">
        <v>12</v>
      </c>
      <c r="D37" s="17">
        <v>13</v>
      </c>
      <c r="E37" s="17">
        <f t="shared" si="3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21" t="s">
        <v>100</v>
      </c>
      <c r="B38" s="22" t="s">
        <v>47</v>
      </c>
      <c r="C38" s="23">
        <v>13</v>
      </c>
      <c r="D38" s="23">
        <v>13.697356407999999</v>
      </c>
      <c r="E38" s="23">
        <f t="shared" si="3"/>
        <v>0.69735640799999921</v>
      </c>
      <c r="F38" s="24"/>
      <c r="G38" s="24" t="s">
        <v>48</v>
      </c>
      <c r="H38" s="24"/>
      <c r="I38" s="24"/>
      <c r="J38" s="24"/>
      <c r="K38" s="24" t="s">
        <v>48</v>
      </c>
      <c r="L38" s="24"/>
      <c r="M38" s="25"/>
      <c r="N38" s="26" t="str">
        <f t="shared" si="4"/>
        <v>OK</v>
      </c>
    </row>
    <row r="40" spans="1:14" x14ac:dyDescent="0.25">
      <c r="A40" s="45" t="s">
        <v>51</v>
      </c>
      <c r="B40" s="31"/>
      <c r="C40" s="31"/>
      <c r="D40" s="31"/>
      <c r="E40" s="31"/>
      <c r="G40" s="45" t="s">
        <v>51</v>
      </c>
      <c r="H40" s="31"/>
      <c r="I40" s="31"/>
      <c r="J40" s="31"/>
      <c r="K40" s="31"/>
    </row>
    <row r="41" spans="1:14" x14ac:dyDescent="0.25">
      <c r="A41" s="49" t="s">
        <v>52</v>
      </c>
      <c r="B41" s="31"/>
      <c r="C41" s="31"/>
      <c r="D41" s="31"/>
      <c r="E41" s="31"/>
      <c r="G41" s="49" t="s">
        <v>53</v>
      </c>
      <c r="H41" s="31"/>
      <c r="I41" s="31"/>
      <c r="J41" s="31"/>
      <c r="K41" s="31"/>
    </row>
    <row r="43" spans="1:14" x14ac:dyDescent="0.25">
      <c r="A43" s="47" t="s">
        <v>54</v>
      </c>
      <c r="B43" s="31"/>
      <c r="C43" s="31"/>
      <c r="D43" s="31"/>
      <c r="E43" s="31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5" t="s">
        <v>55</v>
      </c>
      <c r="B44" s="31"/>
      <c r="C44" s="31"/>
      <c r="D44" s="31"/>
      <c r="E44" s="31"/>
      <c r="F44" s="9">
        <f t="shared" ref="F44:L44" si="5">SUMIF(F$9:F$38,"X",$E$9:$E$38)</f>
        <v>3</v>
      </c>
      <c r="G44" s="9">
        <f t="shared" si="5"/>
        <v>22.343878059399998</v>
      </c>
      <c r="H44" s="9">
        <f t="shared" si="5"/>
        <v>3</v>
      </c>
      <c r="I44" s="9">
        <f t="shared" si="5"/>
        <v>0</v>
      </c>
      <c r="J44" s="9">
        <f t="shared" si="5"/>
        <v>0</v>
      </c>
      <c r="K44" s="9">
        <f t="shared" si="5"/>
        <v>28.343878059399998</v>
      </c>
      <c r="L44" s="9">
        <f t="shared" si="5"/>
        <v>0</v>
      </c>
    </row>
    <row r="45" spans="1:14" x14ac:dyDescent="0.25">
      <c r="A45" s="35" t="s">
        <v>56</v>
      </c>
      <c r="B45" s="31"/>
      <c r="C45" s="31"/>
      <c r="D45" s="31"/>
      <c r="E45" s="31"/>
      <c r="F45" s="28">
        <f t="shared" ref="F45:L45" si="6">IF($I47=0,0,F44/$I47)</f>
        <v>0.10584296170456732</v>
      </c>
      <c r="G45" s="28">
        <f t="shared" si="6"/>
        <v>0.78831407659086539</v>
      </c>
      <c r="H45" s="28">
        <f t="shared" si="6"/>
        <v>0.10584296170456732</v>
      </c>
      <c r="I45" s="28">
        <f t="shared" si="6"/>
        <v>0</v>
      </c>
      <c r="J45" s="28">
        <f t="shared" si="6"/>
        <v>0</v>
      </c>
      <c r="K45" s="28">
        <f t="shared" si="6"/>
        <v>1</v>
      </c>
      <c r="L45" s="28">
        <f t="shared" si="6"/>
        <v>0</v>
      </c>
    </row>
    <row r="46" spans="1:14" x14ac:dyDescent="0.25">
      <c r="A46" s="35" t="s">
        <v>57</v>
      </c>
      <c r="B46" s="31"/>
      <c r="C46" s="31"/>
      <c r="D46" s="31"/>
      <c r="E46" s="31"/>
      <c r="F46" s="37" t="str">
        <f>IF(SUM(F44:I44)=0,"— não preenchido",IF(ROUND(SUM(F44:I44)-$I47,3)=0,"OK — "&amp;ROUND(SUM(F44:I44),3)&amp;" km","ERRO — dif. de "&amp;ROUND(SUM(F44:I44)-$I47,3)&amp;" km"))</f>
        <v>OK — 28,344 km</v>
      </c>
      <c r="G46" s="33"/>
      <c r="H46" s="33"/>
      <c r="I46" s="34"/>
      <c r="J46" s="37" t="str">
        <f>IF(SUM(J44:L44)=0,"— não preenchido",IF(ROUND(SUM(J44:L44)-$I47,3)=0,"OK — "&amp;ROUND(SUM(J44:L44),3)&amp;" km","ERRO — dif. de "&amp;ROUND(SUM(J44:L44)-$I47,3)&amp;" km"))</f>
        <v>OK — 28,344 km</v>
      </c>
      <c r="K46" s="33"/>
      <c r="L46" s="34"/>
    </row>
    <row r="47" spans="1:14" x14ac:dyDescent="0.25">
      <c r="A47" s="35" t="s">
        <v>58</v>
      </c>
      <c r="B47" s="31"/>
      <c r="C47" s="31"/>
      <c r="D47" s="31"/>
      <c r="E47" s="31"/>
      <c r="I47" s="29">
        <f>SUM(E9:E38)</f>
        <v>28.343878059399998</v>
      </c>
      <c r="M47" s="8" t="str">
        <f>COUNTIF(N9:N38,"OK")&amp;" de "&amp;COUNT($E$9:$E$38)&amp;" linhas conferidas"</f>
        <v>29 de 29 linhas conferidas</v>
      </c>
    </row>
    <row r="49" spans="1:13" x14ac:dyDescent="0.25">
      <c r="A49" s="46" t="s">
        <v>59</v>
      </c>
      <c r="B49" s="31"/>
      <c r="C49" s="31"/>
      <c r="D49" s="31"/>
      <c r="E49" s="31"/>
    </row>
    <row r="50" spans="1:13" x14ac:dyDescent="0.25">
      <c r="A50" s="35" t="s">
        <v>10</v>
      </c>
      <c r="B50" s="31"/>
      <c r="C50" s="31"/>
      <c r="D50" s="31"/>
      <c r="E50" s="40" t="s">
        <v>60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5" t="s">
        <v>11</v>
      </c>
      <c r="B51" s="31"/>
      <c r="C51" s="31"/>
      <c r="D51" s="31"/>
      <c r="E51" s="40" t="s">
        <v>61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5" t="s">
        <v>12</v>
      </c>
      <c r="B52" s="31"/>
      <c r="C52" s="31"/>
      <c r="D52" s="31"/>
      <c r="E52" s="40" t="s">
        <v>62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5" t="s">
        <v>63</v>
      </c>
      <c r="B53" s="31"/>
      <c r="C53" s="31"/>
      <c r="D53" s="31"/>
      <c r="E53" s="40" t="s">
        <v>64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5" t="s">
        <v>65</v>
      </c>
      <c r="B54" s="31"/>
      <c r="C54" s="31"/>
      <c r="D54" s="31"/>
      <c r="E54" s="40" t="s">
        <v>66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5" t="s">
        <v>67</v>
      </c>
      <c r="B55" s="31"/>
      <c r="C55" s="31"/>
      <c r="D55" s="31"/>
      <c r="E55" s="40" t="s">
        <v>68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5" t="s">
        <v>39</v>
      </c>
      <c r="B56" s="31"/>
      <c r="C56" s="31"/>
      <c r="D56" s="31"/>
      <c r="E56" s="40" t="s">
        <v>69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5" t="s">
        <v>70</v>
      </c>
      <c r="B57" s="31"/>
      <c r="C57" s="31"/>
      <c r="D57" s="31"/>
      <c r="E57" s="40" t="s">
        <v>71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5" t="s">
        <v>72</v>
      </c>
      <c r="B58" s="31"/>
      <c r="C58" s="31"/>
      <c r="D58" s="31"/>
      <c r="E58" s="40" t="s">
        <v>73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5" t="s">
        <v>8</v>
      </c>
      <c r="B59" s="31"/>
      <c r="C59" s="31"/>
      <c r="D59" s="31"/>
      <c r="E59" s="40" t="s">
        <v>74</v>
      </c>
      <c r="F59" s="31"/>
      <c r="G59" s="31"/>
      <c r="H59" s="31"/>
      <c r="I59" s="31"/>
      <c r="J59" s="31"/>
      <c r="K59" s="31"/>
      <c r="L59" s="31"/>
      <c r="M59" s="31"/>
    </row>
  </sheetData>
  <sheetProtection formatCells="0"/>
  <mergeCells count="51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J6:L6"/>
    <mergeCell ref="A53:D53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A24:M24"/>
    <mergeCell ref="B6:B7"/>
    <mergeCell ref="E57:M57"/>
    <mergeCell ref="F6:I6"/>
    <mergeCell ref="E54:M54"/>
    <mergeCell ref="G2:H2"/>
    <mergeCell ref="A8:M8"/>
    <mergeCell ref="A4:M4"/>
    <mergeCell ref="A49:E49"/>
    <mergeCell ref="A52:D52"/>
    <mergeCell ref="A45:E45"/>
    <mergeCell ref="A6:A7"/>
    <mergeCell ref="A2:C2"/>
    <mergeCell ref="J46:L46"/>
  </mergeCells>
  <conditionalFormatting sqref="F9:I38">
    <cfRule type="expression" dxfId="35" priority="1">
      <formula>AND(F9&lt;&gt;"",COUNTIF($F9:$I9,"X")&gt;1)</formula>
    </cfRule>
  </conditionalFormatting>
  <conditionalFormatting sqref="F46:L46">
    <cfRule type="expression" dxfId="34" priority="5">
      <formula>LEFT(F46,4)="ERRO"</formula>
    </cfRule>
    <cfRule type="expression" dxfId="33" priority="6">
      <formula>LEFT(F46,2)="OK"</formula>
    </cfRule>
  </conditionalFormatting>
  <conditionalFormatting sqref="J9:L38">
    <cfRule type="expression" dxfId="32" priority="2">
      <formula>AND(J9&lt;&gt;"",COUNTIF($J9:$L9,"X")&gt;1)</formula>
    </cfRule>
  </conditionalFormatting>
  <conditionalFormatting sqref="N9:N38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76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58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>
        <f t="shared" ref="P2:V2" si="0">IF(F43=0,NA(),F43)</f>
        <v>2</v>
      </c>
      <c r="Q2" s="2">
        <f t="shared" si="0"/>
        <v>22</v>
      </c>
      <c r="R2" s="2">
        <f t="shared" si="0"/>
        <v>4.5889587747</v>
      </c>
      <c r="S2" s="2" t="e">
        <f t="shared" si="0"/>
        <v>#N/A</v>
      </c>
      <c r="T2" s="2" t="e">
        <f t="shared" si="0"/>
        <v>#N/A</v>
      </c>
      <c r="U2" s="2">
        <f t="shared" si="0"/>
        <v>28.5889587747</v>
      </c>
      <c r="V2" s="2" t="e">
        <f t="shared" si="0"/>
        <v>#N/A</v>
      </c>
    </row>
    <row r="3" spans="1:22" ht="15" customHeight="1" x14ac:dyDescent="0.25">
      <c r="A3" s="50" t="s">
        <v>101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102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103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104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48</v>
      </c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48</v>
      </c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104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104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104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104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104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104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104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104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104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104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104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104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104</v>
      </c>
      <c r="B37" s="22" t="s">
        <v>47</v>
      </c>
      <c r="C37" s="23">
        <v>28</v>
      </c>
      <c r="D37" s="23">
        <v>28.5889587747</v>
      </c>
      <c r="E37" s="23">
        <f t="shared" si="1"/>
        <v>0.58895877470000002</v>
      </c>
      <c r="F37" s="24"/>
      <c r="G37" s="24"/>
      <c r="H37" s="24" t="s">
        <v>48</v>
      </c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9" spans="1:14" x14ac:dyDescent="0.25">
      <c r="A39" s="45" t="s">
        <v>51</v>
      </c>
      <c r="B39" s="31"/>
      <c r="C39" s="31"/>
      <c r="D39" s="31"/>
      <c r="E39" s="31"/>
      <c r="G39" s="45" t="s">
        <v>51</v>
      </c>
      <c r="H39" s="31"/>
      <c r="I39" s="31"/>
      <c r="J39" s="31"/>
      <c r="K39" s="31"/>
    </row>
    <row r="40" spans="1:14" x14ac:dyDescent="0.25">
      <c r="A40" s="49" t="s">
        <v>52</v>
      </c>
      <c r="B40" s="31"/>
      <c r="C40" s="31"/>
      <c r="D40" s="31"/>
      <c r="E40" s="31"/>
      <c r="G40" s="49" t="s">
        <v>53</v>
      </c>
      <c r="H40" s="31"/>
      <c r="I40" s="31"/>
      <c r="J40" s="31"/>
      <c r="K40" s="31"/>
    </row>
    <row r="42" spans="1:14" x14ac:dyDescent="0.25">
      <c r="A42" s="47" t="s">
        <v>54</v>
      </c>
      <c r="B42" s="31"/>
      <c r="C42" s="31"/>
      <c r="D42" s="31"/>
      <c r="E42" s="31"/>
      <c r="F42" s="27"/>
      <c r="G42" s="27"/>
      <c r="H42" s="27"/>
      <c r="I42" s="27"/>
      <c r="J42" s="27"/>
      <c r="K42" s="27"/>
      <c r="L42" s="27"/>
      <c r="M42" s="27"/>
    </row>
    <row r="43" spans="1:14" x14ac:dyDescent="0.25">
      <c r="A43" s="35" t="s">
        <v>55</v>
      </c>
      <c r="B43" s="31"/>
      <c r="C43" s="31"/>
      <c r="D43" s="31"/>
      <c r="E43" s="31"/>
      <c r="F43" s="9">
        <f t="shared" ref="F43:L43" si="3">SUMIF(F$9:F$37,"X",$E$9:$E$37)</f>
        <v>2</v>
      </c>
      <c r="G43" s="9">
        <f t="shared" si="3"/>
        <v>22</v>
      </c>
      <c r="H43" s="9">
        <f t="shared" si="3"/>
        <v>4.5889587747</v>
      </c>
      <c r="I43" s="9">
        <f t="shared" si="3"/>
        <v>0</v>
      </c>
      <c r="J43" s="9">
        <f t="shared" si="3"/>
        <v>0</v>
      </c>
      <c r="K43" s="9">
        <f t="shared" si="3"/>
        <v>28.5889587747</v>
      </c>
      <c r="L43" s="9">
        <f t="shared" si="3"/>
        <v>0</v>
      </c>
    </row>
    <row r="44" spans="1:14" x14ac:dyDescent="0.25">
      <c r="A44" s="35" t="s">
        <v>56</v>
      </c>
      <c r="B44" s="31"/>
      <c r="C44" s="31"/>
      <c r="D44" s="31"/>
      <c r="E44" s="31"/>
      <c r="F44" s="28">
        <f t="shared" ref="F44:L44" si="4">IF($I46=0,0,F43/$I46)</f>
        <v>6.9957077337489959E-2</v>
      </c>
      <c r="G44" s="28">
        <f t="shared" si="4"/>
        <v>0.76952785071238949</v>
      </c>
      <c r="H44" s="28">
        <f t="shared" si="4"/>
        <v>0.16051507195012052</v>
      </c>
      <c r="I44" s="28">
        <f t="shared" si="4"/>
        <v>0</v>
      </c>
      <c r="J44" s="28">
        <f t="shared" si="4"/>
        <v>0</v>
      </c>
      <c r="K44" s="28">
        <f t="shared" si="4"/>
        <v>1</v>
      </c>
      <c r="L44" s="28">
        <f t="shared" si="4"/>
        <v>0</v>
      </c>
    </row>
    <row r="45" spans="1:14" x14ac:dyDescent="0.25">
      <c r="A45" s="35" t="s">
        <v>57</v>
      </c>
      <c r="B45" s="31"/>
      <c r="C45" s="31"/>
      <c r="D45" s="31"/>
      <c r="E45" s="31"/>
      <c r="F45" s="37" t="str">
        <f>IF(SUM(F43:I43)=0,"— não preenchido",IF(ROUND(SUM(F43:I43)-$I46,3)=0,"OK — "&amp;ROUND(SUM(F43:I43),3)&amp;" km","ERRO — dif. de "&amp;ROUND(SUM(F43:I43)-$I46,3)&amp;" km"))</f>
        <v>OK — 28,589 km</v>
      </c>
      <c r="G45" s="33"/>
      <c r="H45" s="33"/>
      <c r="I45" s="34"/>
      <c r="J45" s="37" t="str">
        <f>IF(SUM(J43:L43)=0,"— não preenchido",IF(ROUND(SUM(J43:L43)-$I46,3)=0,"OK — "&amp;ROUND(SUM(J43:L43),3)&amp;" km","ERRO — dif. de "&amp;ROUND(SUM(J43:L43)-$I46,3)&amp;" km"))</f>
        <v>OK — 28,589 km</v>
      </c>
      <c r="K45" s="33"/>
      <c r="L45" s="34"/>
    </row>
    <row r="46" spans="1:14" x14ac:dyDescent="0.25">
      <c r="A46" s="35" t="s">
        <v>58</v>
      </c>
      <c r="B46" s="31"/>
      <c r="C46" s="31"/>
      <c r="D46" s="31"/>
      <c r="E46" s="31"/>
      <c r="I46" s="29">
        <f>SUM(E9:E37)</f>
        <v>28.5889587747</v>
      </c>
      <c r="M46" s="8" t="str">
        <f>COUNTIF(N9:N37,"OK")&amp;" de "&amp;COUNT($E$9:$E$37)&amp;" linhas conferidas"</f>
        <v>29 de 29 linhas conferidas</v>
      </c>
    </row>
    <row r="48" spans="1:14" x14ac:dyDescent="0.25">
      <c r="A48" s="46" t="s">
        <v>59</v>
      </c>
      <c r="B48" s="31"/>
      <c r="C48" s="31"/>
      <c r="D48" s="31"/>
      <c r="E48" s="31"/>
    </row>
    <row r="49" spans="1:13" x14ac:dyDescent="0.25">
      <c r="A49" s="35" t="s">
        <v>10</v>
      </c>
      <c r="B49" s="31"/>
      <c r="C49" s="31"/>
      <c r="D49" s="31"/>
      <c r="E49" s="40" t="s">
        <v>60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5" t="s">
        <v>11</v>
      </c>
      <c r="B50" s="31"/>
      <c r="C50" s="31"/>
      <c r="D50" s="31"/>
      <c r="E50" s="40" t="s">
        <v>61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5" t="s">
        <v>12</v>
      </c>
      <c r="B51" s="31"/>
      <c r="C51" s="31"/>
      <c r="D51" s="31"/>
      <c r="E51" s="40" t="s">
        <v>62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5" t="s">
        <v>63</v>
      </c>
      <c r="B52" s="31"/>
      <c r="C52" s="31"/>
      <c r="D52" s="31"/>
      <c r="E52" s="40" t="s">
        <v>64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5" t="s">
        <v>65</v>
      </c>
      <c r="B53" s="31"/>
      <c r="C53" s="31"/>
      <c r="D53" s="31"/>
      <c r="E53" s="40" t="s">
        <v>66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5" t="s">
        <v>67</v>
      </c>
      <c r="B54" s="31"/>
      <c r="C54" s="31"/>
      <c r="D54" s="31"/>
      <c r="E54" s="40" t="s">
        <v>68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5" t="s">
        <v>39</v>
      </c>
      <c r="B55" s="31"/>
      <c r="C55" s="31"/>
      <c r="D55" s="31"/>
      <c r="E55" s="40" t="s">
        <v>69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5" t="s">
        <v>70</v>
      </c>
      <c r="B56" s="31"/>
      <c r="C56" s="31"/>
      <c r="D56" s="31"/>
      <c r="E56" s="40" t="s">
        <v>71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5" t="s">
        <v>72</v>
      </c>
      <c r="B57" s="31"/>
      <c r="C57" s="31"/>
      <c r="D57" s="31"/>
      <c r="E57" s="40" t="s">
        <v>73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5" t="s">
        <v>8</v>
      </c>
      <c r="B58" s="31"/>
      <c r="C58" s="31"/>
      <c r="D58" s="31"/>
      <c r="E58" s="40" t="s">
        <v>74</v>
      </c>
      <c r="F58" s="31"/>
      <c r="G58" s="31"/>
      <c r="H58" s="31"/>
      <c r="I58" s="31"/>
      <c r="J58" s="31"/>
      <c r="K58" s="31"/>
      <c r="L58" s="31"/>
      <c r="M58" s="31"/>
    </row>
  </sheetData>
  <sheetProtection formatCells="0"/>
  <mergeCells count="50">
    <mergeCell ref="A1:M1"/>
    <mergeCell ref="A42:E42"/>
    <mergeCell ref="A54:D54"/>
    <mergeCell ref="G2:H2"/>
    <mergeCell ref="A2:C2"/>
    <mergeCell ref="K2:M2"/>
    <mergeCell ref="D2:E2"/>
    <mergeCell ref="E56:M56"/>
    <mergeCell ref="N6:N7"/>
    <mergeCell ref="E53:M53"/>
    <mergeCell ref="K3:M3"/>
    <mergeCell ref="E50:M50"/>
    <mergeCell ref="F45:I45"/>
    <mergeCell ref="E55:M55"/>
    <mergeCell ref="G39:K39"/>
    <mergeCell ref="E49:M49"/>
    <mergeCell ref="G40:K40"/>
    <mergeCell ref="E51:M51"/>
    <mergeCell ref="A56:D56"/>
    <mergeCell ref="A43:E43"/>
    <mergeCell ref="A50:D50"/>
    <mergeCell ref="A3:J3"/>
    <mergeCell ref="E52:M52"/>
    <mergeCell ref="A55:D55"/>
    <mergeCell ref="A39:E39"/>
    <mergeCell ref="J6:L6"/>
    <mergeCell ref="A48:E48"/>
    <mergeCell ref="A53:D53"/>
    <mergeCell ref="A8:M8"/>
    <mergeCell ref="J45:L45"/>
    <mergeCell ref="A4:M4"/>
    <mergeCell ref="A52:D52"/>
    <mergeCell ref="A45:E45"/>
    <mergeCell ref="A6:A7"/>
    <mergeCell ref="A58:D58"/>
    <mergeCell ref="M6:M7"/>
    <mergeCell ref="A46:E46"/>
    <mergeCell ref="E6:E7"/>
    <mergeCell ref="A49:D49"/>
    <mergeCell ref="A51:D51"/>
    <mergeCell ref="B6:B7"/>
    <mergeCell ref="E57:M57"/>
    <mergeCell ref="F6:I6"/>
    <mergeCell ref="E54:M54"/>
    <mergeCell ref="E58:M58"/>
    <mergeCell ref="A57:D57"/>
    <mergeCell ref="C6:C7"/>
    <mergeCell ref="A44:E44"/>
    <mergeCell ref="D6:D7"/>
    <mergeCell ref="A40:E40"/>
  </mergeCells>
  <conditionalFormatting sqref="F9:I37">
    <cfRule type="expression" dxfId="29" priority="1">
      <formula>AND(F9&lt;&gt;"",COUNTIF($F9:$I9,"X")&gt;1)</formula>
    </cfRule>
  </conditionalFormatting>
  <conditionalFormatting sqref="F45:L45">
    <cfRule type="expression" dxfId="28" priority="5">
      <formula>LEFT(F45,4)="ERRO"</formula>
    </cfRule>
    <cfRule type="expression" dxfId="27" priority="6">
      <formula>LEFT(F45,2)="OK"</formula>
    </cfRule>
  </conditionalFormatting>
  <conditionalFormatting sqref="J9:L37">
    <cfRule type="expression" dxfId="26" priority="2">
      <formula>AND(J9&lt;&gt;"",COUNTIF($J9:$L9,"X")&gt;1)</formula>
    </cfRule>
  </conditionalFormatting>
  <conditionalFormatting sqref="N9:N37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7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7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37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79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6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>
        <f t="shared" ref="P2:V2" si="0">IF(F49=0,NA(),F49)</f>
        <v>8</v>
      </c>
      <c r="Q2" s="2">
        <f t="shared" si="0"/>
        <v>17.885782883559997</v>
      </c>
      <c r="R2" s="2">
        <f t="shared" si="0"/>
        <v>5.6139219471999997</v>
      </c>
      <c r="S2" s="2" t="e">
        <f t="shared" si="0"/>
        <v>#N/A</v>
      </c>
      <c r="T2" s="2" t="e">
        <f t="shared" si="0"/>
        <v>#N/A</v>
      </c>
      <c r="U2" s="2">
        <f t="shared" si="0"/>
        <v>31.499704830759995</v>
      </c>
      <c r="V2" s="2" t="e">
        <f t="shared" si="0"/>
        <v>#N/A</v>
      </c>
    </row>
    <row r="3" spans="1:22" ht="15" customHeight="1" x14ac:dyDescent="0.25">
      <c r="A3" s="50" t="s">
        <v>105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106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107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108</v>
      </c>
      <c r="B9" s="16" t="s">
        <v>47</v>
      </c>
      <c r="C9" s="17">
        <v>0</v>
      </c>
      <c r="D9" s="17">
        <v>1</v>
      </c>
      <c r="E9" s="17">
        <f t="shared" ref="E9:E22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48</v>
      </c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48</v>
      </c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48</v>
      </c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21" t="s">
        <v>108</v>
      </c>
      <c r="B22" s="22" t="s">
        <v>47</v>
      </c>
      <c r="C22" s="23">
        <v>13</v>
      </c>
      <c r="D22" s="23">
        <v>13.6139219472</v>
      </c>
      <c r="E22" s="23">
        <f t="shared" si="1"/>
        <v>0.61392194719999971</v>
      </c>
      <c r="F22" s="24"/>
      <c r="G22" s="24"/>
      <c r="H22" s="24" t="s">
        <v>48</v>
      </c>
      <c r="I22" s="24"/>
      <c r="J22" s="24"/>
      <c r="K22" s="24" t="s">
        <v>48</v>
      </c>
      <c r="L22" s="24"/>
      <c r="M22" s="25"/>
      <c r="N22" s="26" t="str">
        <f t="shared" si="2"/>
        <v>OK</v>
      </c>
    </row>
    <row r="23" spans="1:14" ht="15.95" customHeight="1" x14ac:dyDescent="0.25">
      <c r="A23" s="32" t="s">
        <v>109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4"/>
      <c r="N23" s="4"/>
    </row>
    <row r="24" spans="1:14" ht="20.100000000000001" customHeight="1" x14ac:dyDescent="0.25">
      <c r="A24" s="15" t="s">
        <v>110</v>
      </c>
      <c r="B24" s="16" t="s">
        <v>47</v>
      </c>
      <c r="C24" s="17">
        <v>0</v>
      </c>
      <c r="D24" s="17">
        <v>1</v>
      </c>
      <c r="E24" s="17">
        <f>D24-C24</f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20.100000000000001" customHeight="1" x14ac:dyDescent="0.25">
      <c r="A25" s="15" t="s">
        <v>110</v>
      </c>
      <c r="B25" s="16" t="s">
        <v>47</v>
      </c>
      <c r="C25" s="17">
        <v>1</v>
      </c>
      <c r="D25" s="17">
        <v>2</v>
      </c>
      <c r="E25" s="17">
        <f>D25-C25</f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110</v>
      </c>
      <c r="B26" s="16" t="s">
        <v>47</v>
      </c>
      <c r="C26" s="17">
        <v>2</v>
      </c>
      <c r="D26" s="17">
        <v>3</v>
      </c>
      <c r="E26" s="17">
        <f>D26-C26</f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21" t="s">
        <v>110</v>
      </c>
      <c r="B27" s="22" t="s">
        <v>47</v>
      </c>
      <c r="C27" s="23">
        <v>3</v>
      </c>
      <c r="D27" s="23">
        <v>3.8645041201599999</v>
      </c>
      <c r="E27" s="23">
        <f>D27-C27</f>
        <v>0.86450412015999989</v>
      </c>
      <c r="F27" s="24"/>
      <c r="G27" s="24" t="s">
        <v>48</v>
      </c>
      <c r="H27" s="24"/>
      <c r="I27" s="24"/>
      <c r="J27" s="24"/>
      <c r="K27" s="24" t="s">
        <v>48</v>
      </c>
      <c r="L27" s="24"/>
      <c r="M27" s="25"/>
      <c r="N27" s="26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15.95" customHeight="1" x14ac:dyDescent="0.25">
      <c r="A28" s="32" t="s">
        <v>111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  <c r="N28" s="4"/>
    </row>
    <row r="29" spans="1:14" ht="20.100000000000001" customHeight="1" x14ac:dyDescent="0.25">
      <c r="A29" s="15" t="s">
        <v>112</v>
      </c>
      <c r="B29" s="16" t="s">
        <v>47</v>
      </c>
      <c r="C29" s="17">
        <v>0</v>
      </c>
      <c r="D29" s="17">
        <v>1</v>
      </c>
      <c r="E29" s="17">
        <f t="shared" ref="E29:E43" si="3">D29-C29</f>
        <v>1</v>
      </c>
      <c r="F29" s="18" t="s">
        <v>48</v>
      </c>
      <c r="G29" s="18"/>
      <c r="H29" s="18"/>
      <c r="I29" s="18"/>
      <c r="J29" s="18"/>
      <c r="K29" s="18" t="s">
        <v>48</v>
      </c>
      <c r="L29" s="18"/>
      <c r="M29" s="19"/>
      <c r="N29" s="20" t="str">
        <f t="shared" ref="N29:N43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112</v>
      </c>
      <c r="B30" s="16" t="s">
        <v>47</v>
      </c>
      <c r="C30" s="17">
        <v>1</v>
      </c>
      <c r="D30" s="17">
        <v>2</v>
      </c>
      <c r="E30" s="17">
        <f t="shared" si="3"/>
        <v>1</v>
      </c>
      <c r="F30" s="18" t="s">
        <v>48</v>
      </c>
      <c r="G30" s="18"/>
      <c r="H30" s="18"/>
      <c r="I30" s="18"/>
      <c r="J30" s="18"/>
      <c r="K30" s="18" t="s">
        <v>48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112</v>
      </c>
      <c r="B31" s="16" t="s">
        <v>47</v>
      </c>
      <c r="C31" s="17">
        <v>2</v>
      </c>
      <c r="D31" s="17">
        <v>3</v>
      </c>
      <c r="E31" s="17">
        <f t="shared" si="3"/>
        <v>1</v>
      </c>
      <c r="F31" s="18" t="s">
        <v>48</v>
      </c>
      <c r="G31" s="18"/>
      <c r="H31" s="18"/>
      <c r="I31" s="18"/>
      <c r="J31" s="18"/>
      <c r="K31" s="18" t="s">
        <v>48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112</v>
      </c>
      <c r="B32" s="16" t="s">
        <v>47</v>
      </c>
      <c r="C32" s="17">
        <v>3</v>
      </c>
      <c r="D32" s="17">
        <v>4</v>
      </c>
      <c r="E32" s="17">
        <f t="shared" si="3"/>
        <v>1</v>
      </c>
      <c r="F32" s="18" t="s">
        <v>48</v>
      </c>
      <c r="G32" s="18"/>
      <c r="H32" s="18"/>
      <c r="I32" s="18"/>
      <c r="J32" s="18"/>
      <c r="K32" s="18" t="s">
        <v>48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112</v>
      </c>
      <c r="B33" s="16" t="s">
        <v>47</v>
      </c>
      <c r="C33" s="17">
        <v>4</v>
      </c>
      <c r="D33" s="17">
        <v>5</v>
      </c>
      <c r="E33" s="17">
        <f t="shared" si="3"/>
        <v>1</v>
      </c>
      <c r="F33" s="18" t="s">
        <v>48</v>
      </c>
      <c r="G33" s="18"/>
      <c r="H33" s="18"/>
      <c r="I33" s="18"/>
      <c r="J33" s="18"/>
      <c r="K33" s="18" t="s">
        <v>48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112</v>
      </c>
      <c r="B34" s="16" t="s">
        <v>47</v>
      </c>
      <c r="C34" s="17">
        <v>5</v>
      </c>
      <c r="D34" s="17">
        <v>6</v>
      </c>
      <c r="E34" s="17">
        <f t="shared" si="3"/>
        <v>1</v>
      </c>
      <c r="F34" s="18" t="s">
        <v>48</v>
      </c>
      <c r="G34" s="18"/>
      <c r="H34" s="18"/>
      <c r="I34" s="18"/>
      <c r="J34" s="18"/>
      <c r="K34" s="18" t="s">
        <v>48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112</v>
      </c>
      <c r="B35" s="16" t="s">
        <v>47</v>
      </c>
      <c r="C35" s="17">
        <v>6</v>
      </c>
      <c r="D35" s="17">
        <v>7</v>
      </c>
      <c r="E35" s="17">
        <f t="shared" si="3"/>
        <v>1</v>
      </c>
      <c r="F35" s="18" t="s">
        <v>48</v>
      </c>
      <c r="G35" s="18"/>
      <c r="H35" s="18"/>
      <c r="I35" s="18"/>
      <c r="J35" s="18"/>
      <c r="K35" s="18" t="s">
        <v>48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112</v>
      </c>
      <c r="B36" s="16" t="s">
        <v>47</v>
      </c>
      <c r="C36" s="17">
        <v>7</v>
      </c>
      <c r="D36" s="17">
        <v>8</v>
      </c>
      <c r="E36" s="17">
        <f t="shared" si="3"/>
        <v>1</v>
      </c>
      <c r="F36" s="18" t="s">
        <v>48</v>
      </c>
      <c r="G36" s="18"/>
      <c r="H36" s="18"/>
      <c r="I36" s="18"/>
      <c r="J36" s="18"/>
      <c r="K36" s="18" t="s">
        <v>48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112</v>
      </c>
      <c r="B37" s="16" t="s">
        <v>47</v>
      </c>
      <c r="C37" s="17">
        <v>8</v>
      </c>
      <c r="D37" s="17">
        <v>9</v>
      </c>
      <c r="E37" s="17">
        <f t="shared" si="3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112</v>
      </c>
      <c r="B38" s="16" t="s">
        <v>47</v>
      </c>
      <c r="C38" s="17">
        <v>9</v>
      </c>
      <c r="D38" s="17">
        <v>10</v>
      </c>
      <c r="E38" s="17">
        <f t="shared" si="3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112</v>
      </c>
      <c r="B39" s="16" t="s">
        <v>47</v>
      </c>
      <c r="C39" s="17">
        <v>10</v>
      </c>
      <c r="D39" s="17">
        <v>11</v>
      </c>
      <c r="E39" s="17">
        <f t="shared" si="3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112</v>
      </c>
      <c r="B40" s="16" t="s">
        <v>47</v>
      </c>
      <c r="C40" s="17">
        <v>11</v>
      </c>
      <c r="D40" s="17">
        <v>12</v>
      </c>
      <c r="E40" s="17">
        <f t="shared" si="3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112</v>
      </c>
      <c r="B41" s="16" t="s">
        <v>47</v>
      </c>
      <c r="C41" s="17">
        <v>12</v>
      </c>
      <c r="D41" s="17">
        <v>13</v>
      </c>
      <c r="E41" s="17">
        <f t="shared" si="3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112</v>
      </c>
      <c r="B42" s="16" t="s">
        <v>47</v>
      </c>
      <c r="C42" s="17">
        <v>13</v>
      </c>
      <c r="D42" s="17">
        <v>14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21" t="s">
        <v>112</v>
      </c>
      <c r="B43" s="22" t="s">
        <v>47</v>
      </c>
      <c r="C43" s="23">
        <v>14</v>
      </c>
      <c r="D43" s="23">
        <v>14.0212787634</v>
      </c>
      <c r="E43" s="23">
        <f t="shared" si="3"/>
        <v>2.1278763399999789E-2</v>
      </c>
      <c r="F43" s="24"/>
      <c r="G43" s="24" t="s">
        <v>48</v>
      </c>
      <c r="H43" s="24"/>
      <c r="I43" s="24"/>
      <c r="J43" s="24"/>
      <c r="K43" s="24" t="s">
        <v>48</v>
      </c>
      <c r="L43" s="24"/>
      <c r="M43" s="25"/>
      <c r="N43" s="26" t="str">
        <f t="shared" si="4"/>
        <v>OK</v>
      </c>
    </row>
    <row r="45" spans="1:14" x14ac:dyDescent="0.25">
      <c r="A45" s="45" t="s">
        <v>51</v>
      </c>
      <c r="B45" s="31"/>
      <c r="C45" s="31"/>
      <c r="D45" s="31"/>
      <c r="E45" s="31"/>
      <c r="G45" s="45" t="s">
        <v>51</v>
      </c>
      <c r="H45" s="31"/>
      <c r="I45" s="31"/>
      <c r="J45" s="31"/>
      <c r="K45" s="31"/>
    </row>
    <row r="46" spans="1:14" x14ac:dyDescent="0.25">
      <c r="A46" s="49" t="s">
        <v>52</v>
      </c>
      <c r="B46" s="31"/>
      <c r="C46" s="31"/>
      <c r="D46" s="31"/>
      <c r="E46" s="31"/>
      <c r="G46" s="49" t="s">
        <v>53</v>
      </c>
      <c r="H46" s="31"/>
      <c r="I46" s="31"/>
      <c r="J46" s="31"/>
      <c r="K46" s="31"/>
    </row>
    <row r="48" spans="1:14" x14ac:dyDescent="0.25">
      <c r="A48" s="47" t="s">
        <v>54</v>
      </c>
      <c r="B48" s="31"/>
      <c r="C48" s="31"/>
      <c r="D48" s="31"/>
      <c r="E48" s="31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5" t="s">
        <v>55</v>
      </c>
      <c r="B49" s="31"/>
      <c r="C49" s="31"/>
      <c r="D49" s="31"/>
      <c r="E49" s="31"/>
      <c r="F49" s="9">
        <f t="shared" ref="F49:L49" si="5">SUMIF(F$9:F$43,"X",$E$9:$E$43)</f>
        <v>8</v>
      </c>
      <c r="G49" s="9">
        <f t="shared" si="5"/>
        <v>17.885782883559997</v>
      </c>
      <c r="H49" s="9">
        <f t="shared" si="5"/>
        <v>5.6139219471999997</v>
      </c>
      <c r="I49" s="9">
        <f t="shared" si="5"/>
        <v>0</v>
      </c>
      <c r="J49" s="9">
        <f t="shared" si="5"/>
        <v>0</v>
      </c>
      <c r="K49" s="9">
        <f t="shared" si="5"/>
        <v>31.499704830759995</v>
      </c>
      <c r="L49" s="9">
        <f t="shared" si="5"/>
        <v>0</v>
      </c>
    </row>
    <row r="50" spans="1:13" x14ac:dyDescent="0.25">
      <c r="A50" s="35" t="s">
        <v>56</v>
      </c>
      <c r="B50" s="31"/>
      <c r="C50" s="31"/>
      <c r="D50" s="31"/>
      <c r="E50" s="31"/>
      <c r="F50" s="28">
        <f t="shared" ref="F50:L50" si="6">IF($I52=0,0,F49/$I52)</f>
        <v>0.25397063378790347</v>
      </c>
      <c r="G50" s="28">
        <f t="shared" si="6"/>
        <v>0.56780795184132093</v>
      </c>
      <c r="H50" s="28">
        <f t="shared" si="6"/>
        <v>0.17822141437077563</v>
      </c>
      <c r="I50" s="28">
        <f t="shared" si="6"/>
        <v>0</v>
      </c>
      <c r="J50" s="28">
        <f t="shared" si="6"/>
        <v>0</v>
      </c>
      <c r="K50" s="28">
        <f t="shared" si="6"/>
        <v>1</v>
      </c>
      <c r="L50" s="28">
        <f t="shared" si="6"/>
        <v>0</v>
      </c>
    </row>
    <row r="51" spans="1:13" x14ac:dyDescent="0.25">
      <c r="A51" s="35" t="s">
        <v>57</v>
      </c>
      <c r="B51" s="31"/>
      <c r="C51" s="31"/>
      <c r="D51" s="31"/>
      <c r="E51" s="31"/>
      <c r="F51" s="37" t="str">
        <f>IF(SUM(F49:I49)=0,"— não preenchido",IF(ROUND(SUM(F49:I49)-$I52,3)=0,"OK — "&amp;ROUND(SUM(F49:I49),3)&amp;" km","ERRO — dif. de "&amp;ROUND(SUM(F49:I49)-$I52,3)&amp;" km"))</f>
        <v>OK — 31,5 km</v>
      </c>
      <c r="G51" s="33"/>
      <c r="H51" s="33"/>
      <c r="I51" s="34"/>
      <c r="J51" s="37" t="str">
        <f>IF(SUM(J49:L49)=0,"— não preenchido",IF(ROUND(SUM(J49:L49)-$I52,3)=0,"OK — "&amp;ROUND(SUM(J49:L49),3)&amp;" km","ERRO — dif. de "&amp;ROUND(SUM(J49:L49)-$I52,3)&amp;" km"))</f>
        <v>OK — 31,5 km</v>
      </c>
      <c r="K51" s="33"/>
      <c r="L51" s="34"/>
    </row>
    <row r="52" spans="1:13" x14ac:dyDescent="0.25">
      <c r="A52" s="35" t="s">
        <v>58</v>
      </c>
      <c r="B52" s="31"/>
      <c r="C52" s="31"/>
      <c r="D52" s="31"/>
      <c r="E52" s="31"/>
      <c r="I52" s="29">
        <f>SUM(E9:E43)</f>
        <v>31.499704830759995</v>
      </c>
      <c r="M52" s="8" t="str">
        <f>COUNTIF(N9:N43,"OK")&amp;" de "&amp;COUNT($E$9:$E$43)&amp;" linhas conferidas"</f>
        <v>33 de 33 linhas conferidas</v>
      </c>
    </row>
    <row r="54" spans="1:13" x14ac:dyDescent="0.25">
      <c r="A54" s="46" t="s">
        <v>59</v>
      </c>
      <c r="B54" s="31"/>
      <c r="C54" s="31"/>
      <c r="D54" s="31"/>
      <c r="E54" s="31"/>
    </row>
    <row r="55" spans="1:13" x14ac:dyDescent="0.25">
      <c r="A55" s="35" t="s">
        <v>10</v>
      </c>
      <c r="B55" s="31"/>
      <c r="C55" s="31"/>
      <c r="D55" s="31"/>
      <c r="E55" s="40" t="s">
        <v>60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5" t="s">
        <v>11</v>
      </c>
      <c r="B56" s="31"/>
      <c r="C56" s="31"/>
      <c r="D56" s="31"/>
      <c r="E56" s="40" t="s">
        <v>61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5" t="s">
        <v>12</v>
      </c>
      <c r="B57" s="31"/>
      <c r="C57" s="31"/>
      <c r="D57" s="31"/>
      <c r="E57" s="40" t="s">
        <v>62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5" t="s">
        <v>63</v>
      </c>
      <c r="B58" s="31"/>
      <c r="C58" s="31"/>
      <c r="D58" s="31"/>
      <c r="E58" s="40" t="s">
        <v>64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5" t="s">
        <v>65</v>
      </c>
      <c r="B59" s="31"/>
      <c r="C59" s="31"/>
      <c r="D59" s="31"/>
      <c r="E59" s="40" t="s">
        <v>66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5" t="s">
        <v>67</v>
      </c>
      <c r="B60" s="31"/>
      <c r="C60" s="31"/>
      <c r="D60" s="31"/>
      <c r="E60" s="40" t="s">
        <v>68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5" t="s">
        <v>39</v>
      </c>
      <c r="B61" s="31"/>
      <c r="C61" s="31"/>
      <c r="D61" s="31"/>
      <c r="E61" s="40" t="s">
        <v>69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5" t="s">
        <v>70</v>
      </c>
      <c r="B62" s="31"/>
      <c r="C62" s="31"/>
      <c r="D62" s="31"/>
      <c r="E62" s="40" t="s">
        <v>71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5" t="s">
        <v>72</v>
      </c>
      <c r="B63" s="31"/>
      <c r="C63" s="31"/>
      <c r="D63" s="31"/>
      <c r="E63" s="40" t="s">
        <v>73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5" t="s">
        <v>8</v>
      </c>
      <c r="B64" s="31"/>
      <c r="C64" s="31"/>
      <c r="D64" s="31"/>
      <c r="E64" s="40" t="s">
        <v>74</v>
      </c>
      <c r="F64" s="31"/>
      <c r="G64" s="31"/>
      <c r="H64" s="31"/>
      <c r="I64" s="31"/>
      <c r="J64" s="31"/>
      <c r="K64" s="31"/>
      <c r="L64" s="31"/>
      <c r="M64" s="31"/>
    </row>
  </sheetData>
  <sheetProtection formatCells="0"/>
  <mergeCells count="52">
    <mergeCell ref="A1:M1"/>
    <mergeCell ref="A61:D61"/>
    <mergeCell ref="E56:M56"/>
    <mergeCell ref="N6:N7"/>
    <mergeCell ref="K3:M3"/>
    <mergeCell ref="G45:K45"/>
    <mergeCell ref="F51:I51"/>
    <mergeCell ref="E58:M58"/>
    <mergeCell ref="E55:M55"/>
    <mergeCell ref="A56:D56"/>
    <mergeCell ref="A52:E52"/>
    <mergeCell ref="A3:J3"/>
    <mergeCell ref="G46:K46"/>
    <mergeCell ref="A55:D55"/>
    <mergeCell ref="A57:D57"/>
    <mergeCell ref="C6:C7"/>
    <mergeCell ref="A64:D64"/>
    <mergeCell ref="M6:M7"/>
    <mergeCell ref="A59:D59"/>
    <mergeCell ref="A46:E46"/>
    <mergeCell ref="E6:E7"/>
    <mergeCell ref="B6:B7"/>
    <mergeCell ref="E57:M57"/>
    <mergeCell ref="A60:D60"/>
    <mergeCell ref="F6:I6"/>
    <mergeCell ref="J51:L51"/>
    <mergeCell ref="A50:E50"/>
    <mergeCell ref="E62:M62"/>
    <mergeCell ref="E64:M64"/>
    <mergeCell ref="D6:D7"/>
    <mergeCell ref="E59:M59"/>
    <mergeCell ref="A58:D58"/>
    <mergeCell ref="J6:L6"/>
    <mergeCell ref="A48:E48"/>
    <mergeCell ref="A23:M23"/>
    <mergeCell ref="E61:M61"/>
    <mergeCell ref="E63:M63"/>
    <mergeCell ref="G2:H2"/>
    <mergeCell ref="A8:M8"/>
    <mergeCell ref="A62:D62"/>
    <mergeCell ref="A4:M4"/>
    <mergeCell ref="A49:E49"/>
    <mergeCell ref="A51:E51"/>
    <mergeCell ref="A45:E45"/>
    <mergeCell ref="E60:M60"/>
    <mergeCell ref="A6:A7"/>
    <mergeCell ref="A63:D63"/>
    <mergeCell ref="A2:C2"/>
    <mergeCell ref="A28:M28"/>
    <mergeCell ref="K2:M2"/>
    <mergeCell ref="D2:E2"/>
    <mergeCell ref="A54:E54"/>
  </mergeCells>
  <conditionalFormatting sqref="F9:I43">
    <cfRule type="expression" dxfId="23" priority="1">
      <formula>AND(F9&lt;&gt;"",COUNTIF($F9:$I9,"X")&gt;1)</formula>
    </cfRule>
  </conditionalFormatting>
  <conditionalFormatting sqref="F51:L51">
    <cfRule type="expression" dxfId="22" priority="5">
      <formula>LEFT(F51,4)="ERRO"</formula>
    </cfRule>
    <cfRule type="expression" dxfId="21" priority="6">
      <formula>LEFT(F51,2)="OK"</formula>
    </cfRule>
  </conditionalFormatting>
  <conditionalFormatting sqref="J9:L43">
    <cfRule type="expression" dxfId="20" priority="2">
      <formula>AND(J9&lt;&gt;"",COUNTIF($J9:$L9,"X")&gt;1)</formula>
    </cfRule>
  </conditionalFormatting>
  <conditionalFormatting sqref="N9:N43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81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77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IF(F62=0,NA(),F62)</f>
        <v>#N/A</v>
      </c>
      <c r="Q2" s="2">
        <f t="shared" si="0"/>
        <v>47.358811885000001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47.358811885000001</v>
      </c>
      <c r="V2" s="2" t="e">
        <f t="shared" si="0"/>
        <v>#N/A</v>
      </c>
    </row>
    <row r="3" spans="1:22" ht="15" customHeight="1" x14ac:dyDescent="0.25">
      <c r="A3" s="50" t="s">
        <v>113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114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115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116</v>
      </c>
      <c r="B9" s="16" t="s">
        <v>47</v>
      </c>
      <c r="C9" s="17">
        <v>0</v>
      </c>
      <c r="D9" s="17">
        <v>1</v>
      </c>
      <c r="E9" s="17">
        <f t="shared" ref="E9:E56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5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116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116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116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116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116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116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116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116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116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116</v>
      </c>
      <c r="B50" s="16" t="s">
        <v>47</v>
      </c>
      <c r="C50" s="17">
        <v>41</v>
      </c>
      <c r="D50" s="17">
        <v>42</v>
      </c>
      <c r="E50" s="17">
        <f t="shared" si="1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116</v>
      </c>
      <c r="B51" s="16" t="s">
        <v>47</v>
      </c>
      <c r="C51" s="17">
        <v>42</v>
      </c>
      <c r="D51" s="17">
        <v>43</v>
      </c>
      <c r="E51" s="17">
        <f t="shared" si="1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15" t="s">
        <v>116</v>
      </c>
      <c r="B52" s="16" t="s">
        <v>47</v>
      </c>
      <c r="C52" s="17">
        <v>43</v>
      </c>
      <c r="D52" s="17">
        <v>44</v>
      </c>
      <c r="E52" s="17">
        <f t="shared" si="1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2"/>
        <v>OK</v>
      </c>
    </row>
    <row r="53" spans="1:14" ht="20.100000000000001" customHeight="1" x14ac:dyDescent="0.25">
      <c r="A53" s="15" t="s">
        <v>116</v>
      </c>
      <c r="B53" s="16" t="s">
        <v>47</v>
      </c>
      <c r="C53" s="17">
        <v>44</v>
      </c>
      <c r="D53" s="17">
        <v>45</v>
      </c>
      <c r="E53" s="17">
        <f t="shared" si="1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2"/>
        <v>OK</v>
      </c>
    </row>
    <row r="54" spans="1:14" ht="20.100000000000001" customHeight="1" x14ac:dyDescent="0.25">
      <c r="A54" s="15" t="s">
        <v>116</v>
      </c>
      <c r="B54" s="16" t="s">
        <v>47</v>
      </c>
      <c r="C54" s="17">
        <v>45</v>
      </c>
      <c r="D54" s="17">
        <v>46</v>
      </c>
      <c r="E54" s="17">
        <f t="shared" si="1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2"/>
        <v>OK</v>
      </c>
    </row>
    <row r="55" spans="1:14" ht="20.100000000000001" customHeight="1" x14ac:dyDescent="0.25">
      <c r="A55" s="15" t="s">
        <v>116</v>
      </c>
      <c r="B55" s="16" t="s">
        <v>47</v>
      </c>
      <c r="C55" s="17">
        <v>46</v>
      </c>
      <c r="D55" s="17">
        <v>47</v>
      </c>
      <c r="E55" s="17">
        <f t="shared" si="1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2"/>
        <v>OK</v>
      </c>
    </row>
    <row r="56" spans="1:14" ht="20.100000000000001" customHeight="1" x14ac:dyDescent="0.25">
      <c r="A56" s="21" t="s">
        <v>116</v>
      </c>
      <c r="B56" s="22" t="s">
        <v>47</v>
      </c>
      <c r="C56" s="23">
        <v>47</v>
      </c>
      <c r="D56" s="23">
        <v>47.358811885000001</v>
      </c>
      <c r="E56" s="23">
        <f t="shared" si="1"/>
        <v>0.3588118850000015</v>
      </c>
      <c r="F56" s="24"/>
      <c r="G56" s="24" t="s">
        <v>48</v>
      </c>
      <c r="H56" s="24"/>
      <c r="I56" s="24"/>
      <c r="J56" s="24"/>
      <c r="K56" s="24" t="s">
        <v>48</v>
      </c>
      <c r="L56" s="24"/>
      <c r="M56" s="25"/>
      <c r="N56" s="26" t="str">
        <f t="shared" si="2"/>
        <v>OK</v>
      </c>
    </row>
    <row r="58" spans="1:14" x14ac:dyDescent="0.25">
      <c r="A58" s="45" t="s">
        <v>51</v>
      </c>
      <c r="B58" s="31"/>
      <c r="C58" s="31"/>
      <c r="D58" s="31"/>
      <c r="E58" s="31"/>
      <c r="G58" s="45" t="s">
        <v>51</v>
      </c>
      <c r="H58" s="31"/>
      <c r="I58" s="31"/>
      <c r="J58" s="31"/>
      <c r="K58" s="31"/>
    </row>
    <row r="59" spans="1:14" x14ac:dyDescent="0.25">
      <c r="A59" s="49" t="s">
        <v>52</v>
      </c>
      <c r="B59" s="31"/>
      <c r="C59" s="31"/>
      <c r="D59" s="31"/>
      <c r="E59" s="31"/>
      <c r="G59" s="49" t="s">
        <v>53</v>
      </c>
      <c r="H59" s="31"/>
      <c r="I59" s="31"/>
      <c r="J59" s="31"/>
      <c r="K59" s="31"/>
    </row>
    <row r="61" spans="1:14" x14ac:dyDescent="0.25">
      <c r="A61" s="47" t="s">
        <v>54</v>
      </c>
      <c r="B61" s="31"/>
      <c r="C61" s="31"/>
      <c r="D61" s="31"/>
      <c r="E61" s="31"/>
      <c r="F61" s="27"/>
      <c r="G61" s="27"/>
      <c r="H61" s="27"/>
      <c r="I61" s="27"/>
      <c r="J61" s="27"/>
      <c r="K61" s="27"/>
      <c r="L61" s="27"/>
      <c r="M61" s="27"/>
    </row>
    <row r="62" spans="1:14" x14ac:dyDescent="0.25">
      <c r="A62" s="35" t="s">
        <v>55</v>
      </c>
      <c r="B62" s="31"/>
      <c r="C62" s="31"/>
      <c r="D62" s="31"/>
      <c r="E62" s="31"/>
      <c r="F62" s="9">
        <f t="shared" ref="F62:L62" si="3">SUMIF(F$9:F$56,"X",$E$9:$E$56)</f>
        <v>0</v>
      </c>
      <c r="G62" s="9">
        <f t="shared" si="3"/>
        <v>47.358811885000001</v>
      </c>
      <c r="H62" s="9">
        <f t="shared" si="3"/>
        <v>0</v>
      </c>
      <c r="I62" s="9">
        <f t="shared" si="3"/>
        <v>0</v>
      </c>
      <c r="J62" s="9">
        <f t="shared" si="3"/>
        <v>0</v>
      </c>
      <c r="K62" s="9">
        <f t="shared" si="3"/>
        <v>47.358811885000001</v>
      </c>
      <c r="L62" s="9">
        <f t="shared" si="3"/>
        <v>0</v>
      </c>
    </row>
    <row r="63" spans="1:14" x14ac:dyDescent="0.25">
      <c r="A63" s="35" t="s">
        <v>56</v>
      </c>
      <c r="B63" s="31"/>
      <c r="C63" s="31"/>
      <c r="D63" s="31"/>
      <c r="E63" s="31"/>
      <c r="F63" s="28">
        <f t="shared" ref="F63:L63" si="4">IF($I65=0,0,F62/$I65)</f>
        <v>0</v>
      </c>
      <c r="G63" s="28">
        <f t="shared" si="4"/>
        <v>1</v>
      </c>
      <c r="H63" s="28">
        <f t="shared" si="4"/>
        <v>0</v>
      </c>
      <c r="I63" s="28">
        <f t="shared" si="4"/>
        <v>0</v>
      </c>
      <c r="J63" s="28">
        <f t="shared" si="4"/>
        <v>0</v>
      </c>
      <c r="K63" s="28">
        <f t="shared" si="4"/>
        <v>1</v>
      </c>
      <c r="L63" s="28">
        <f t="shared" si="4"/>
        <v>0</v>
      </c>
    </row>
    <row r="64" spans="1:14" x14ac:dyDescent="0.25">
      <c r="A64" s="35" t="s">
        <v>57</v>
      </c>
      <c r="B64" s="31"/>
      <c r="C64" s="31"/>
      <c r="D64" s="31"/>
      <c r="E64" s="31"/>
      <c r="F64" s="37" t="str">
        <f>IF(SUM(F62:I62)=0,"— não preenchido",IF(ROUND(SUM(F62:I62)-$I65,3)=0,"OK — "&amp;ROUND(SUM(F62:I62),3)&amp;" km","ERRO — dif. de "&amp;ROUND(SUM(F62:I62)-$I65,3)&amp;" km"))</f>
        <v>OK — 47,359 km</v>
      </c>
      <c r="G64" s="33"/>
      <c r="H64" s="33"/>
      <c r="I64" s="34"/>
      <c r="J64" s="37" t="str">
        <f>IF(SUM(J62:L62)=0,"— não preenchido",IF(ROUND(SUM(J62:L62)-$I65,3)=0,"OK — "&amp;ROUND(SUM(J62:L62),3)&amp;" km","ERRO — dif. de "&amp;ROUND(SUM(J62:L62)-$I65,3)&amp;" km"))</f>
        <v>OK — 47,359 km</v>
      </c>
      <c r="K64" s="33"/>
      <c r="L64" s="34"/>
    </row>
    <row r="65" spans="1:13" x14ac:dyDescent="0.25">
      <c r="A65" s="35" t="s">
        <v>58</v>
      </c>
      <c r="B65" s="31"/>
      <c r="C65" s="31"/>
      <c r="D65" s="31"/>
      <c r="E65" s="31"/>
      <c r="I65" s="29">
        <f>SUM(E9:E56)</f>
        <v>47.358811885000001</v>
      </c>
      <c r="M65" s="8" t="str">
        <f>COUNTIF(N9:N56,"OK")&amp;" de "&amp;COUNT($E$9:$E$56)&amp;" linhas conferidas"</f>
        <v>48 de 48 linhas conferidas</v>
      </c>
    </row>
    <row r="67" spans="1:13" x14ac:dyDescent="0.25">
      <c r="A67" s="46" t="s">
        <v>59</v>
      </c>
      <c r="B67" s="31"/>
      <c r="C67" s="31"/>
      <c r="D67" s="31"/>
      <c r="E67" s="31"/>
    </row>
    <row r="68" spans="1:13" x14ac:dyDescent="0.25">
      <c r="A68" s="35" t="s">
        <v>10</v>
      </c>
      <c r="B68" s="31"/>
      <c r="C68" s="31"/>
      <c r="D68" s="31"/>
      <c r="E68" s="40" t="s">
        <v>60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5" t="s">
        <v>11</v>
      </c>
      <c r="B69" s="31"/>
      <c r="C69" s="31"/>
      <c r="D69" s="31"/>
      <c r="E69" s="40" t="s">
        <v>61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5" t="s">
        <v>12</v>
      </c>
      <c r="B70" s="31"/>
      <c r="C70" s="31"/>
      <c r="D70" s="31"/>
      <c r="E70" s="40" t="s">
        <v>62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5" t="s">
        <v>63</v>
      </c>
      <c r="B71" s="31"/>
      <c r="C71" s="31"/>
      <c r="D71" s="31"/>
      <c r="E71" s="40" t="s">
        <v>64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5" t="s">
        <v>65</v>
      </c>
      <c r="B72" s="31"/>
      <c r="C72" s="31"/>
      <c r="D72" s="31"/>
      <c r="E72" s="40" t="s">
        <v>66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5" t="s">
        <v>67</v>
      </c>
      <c r="B73" s="31"/>
      <c r="C73" s="31"/>
      <c r="D73" s="31"/>
      <c r="E73" s="40" t="s">
        <v>68</v>
      </c>
      <c r="F73" s="31"/>
      <c r="G73" s="31"/>
      <c r="H73" s="31"/>
      <c r="I73" s="31"/>
      <c r="J73" s="31"/>
      <c r="K73" s="31"/>
      <c r="L73" s="31"/>
      <c r="M73" s="31"/>
    </row>
    <row r="74" spans="1:13" x14ac:dyDescent="0.25">
      <c r="A74" s="35" t="s">
        <v>39</v>
      </c>
      <c r="B74" s="31"/>
      <c r="C74" s="31"/>
      <c r="D74" s="31"/>
      <c r="E74" s="40" t="s">
        <v>69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5" t="s">
        <v>70</v>
      </c>
      <c r="B75" s="31"/>
      <c r="C75" s="31"/>
      <c r="D75" s="31"/>
      <c r="E75" s="40" t="s">
        <v>71</v>
      </c>
      <c r="F75" s="31"/>
      <c r="G75" s="31"/>
      <c r="H75" s="31"/>
      <c r="I75" s="31"/>
      <c r="J75" s="31"/>
      <c r="K75" s="31"/>
      <c r="L75" s="31"/>
      <c r="M75" s="31"/>
    </row>
    <row r="76" spans="1:13" x14ac:dyDescent="0.25">
      <c r="A76" s="35" t="s">
        <v>72</v>
      </c>
      <c r="B76" s="31"/>
      <c r="C76" s="31"/>
      <c r="D76" s="31"/>
      <c r="E76" s="40" t="s">
        <v>73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5" t="s">
        <v>8</v>
      </c>
      <c r="B77" s="31"/>
      <c r="C77" s="31"/>
      <c r="D77" s="31"/>
      <c r="E77" s="40" t="s">
        <v>74</v>
      </c>
      <c r="F77" s="31"/>
      <c r="G77" s="31"/>
      <c r="H77" s="31"/>
      <c r="I77" s="31"/>
      <c r="J77" s="31"/>
      <c r="K77" s="31"/>
      <c r="L77" s="31"/>
      <c r="M77" s="31"/>
    </row>
  </sheetData>
  <sheetProtection formatCells="0"/>
  <mergeCells count="50">
    <mergeCell ref="A76:D76"/>
    <mergeCell ref="A67:E67"/>
    <mergeCell ref="N6:N7"/>
    <mergeCell ref="K3:M3"/>
    <mergeCell ref="J64:L64"/>
    <mergeCell ref="A75:D75"/>
    <mergeCell ref="E68:M68"/>
    <mergeCell ref="A62:E62"/>
    <mergeCell ref="E71:M71"/>
    <mergeCell ref="A74:D74"/>
    <mergeCell ref="A3:J3"/>
    <mergeCell ref="A63:E63"/>
    <mergeCell ref="C6:C7"/>
    <mergeCell ref="A71:D71"/>
    <mergeCell ref="A58:E58"/>
    <mergeCell ref="E73:M73"/>
    <mergeCell ref="E75:M75"/>
    <mergeCell ref="G58:K58"/>
    <mergeCell ref="E74:M74"/>
    <mergeCell ref="A2:C2"/>
    <mergeCell ref="A68:D68"/>
    <mergeCell ref="E69:M69"/>
    <mergeCell ref="A6:A7"/>
    <mergeCell ref="A61:E61"/>
    <mergeCell ref="A70:D70"/>
    <mergeCell ref="E72:M72"/>
    <mergeCell ref="J6:L6"/>
    <mergeCell ref="A59:E59"/>
    <mergeCell ref="G59:K59"/>
    <mergeCell ref="A4:M4"/>
    <mergeCell ref="A72:D72"/>
    <mergeCell ref="A1:M1"/>
    <mergeCell ref="A69:D69"/>
    <mergeCell ref="D6:D7"/>
    <mergeCell ref="G2:H2"/>
    <mergeCell ref="A8:M8"/>
    <mergeCell ref="E77:M77"/>
    <mergeCell ref="K2:M2"/>
    <mergeCell ref="A65:E65"/>
    <mergeCell ref="D2:E2"/>
    <mergeCell ref="F64:I64"/>
    <mergeCell ref="A77:D77"/>
    <mergeCell ref="M6:M7"/>
    <mergeCell ref="E70:M70"/>
    <mergeCell ref="E6:E7"/>
    <mergeCell ref="A73:D73"/>
    <mergeCell ref="B6:B7"/>
    <mergeCell ref="F6:I6"/>
    <mergeCell ref="E76:M76"/>
    <mergeCell ref="A64:E64"/>
  </mergeCells>
  <conditionalFormatting sqref="F9:I56">
    <cfRule type="expression" dxfId="17" priority="1">
      <formula>AND(F9&lt;&gt;"",COUNTIF($F9:$I9,"X")&gt;1)</formula>
    </cfRule>
  </conditionalFormatting>
  <conditionalFormatting sqref="F64:L64">
    <cfRule type="expression" dxfId="16" priority="5">
      <formula>LEFT(F64,4)="ERRO"</formula>
    </cfRule>
    <cfRule type="expression" dxfId="15" priority="6">
      <formula>LEFT(F64,2)="OK"</formula>
    </cfRule>
  </conditionalFormatting>
  <conditionalFormatting sqref="J9:L56">
    <cfRule type="expression" dxfId="14" priority="2">
      <formula>AND(J9&lt;&gt;"",COUNTIF($J9:$L9,"X")&gt;1)</formula>
    </cfRule>
  </conditionalFormatting>
  <conditionalFormatting sqref="N9:N5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5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82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61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IF(F46=0,NA(),F46)</f>
        <v>#N/A</v>
      </c>
      <c r="Q2" s="2">
        <f t="shared" si="0"/>
        <v>20</v>
      </c>
      <c r="R2" s="2">
        <f t="shared" si="0"/>
        <v>11.730768261000001</v>
      </c>
      <c r="S2" s="2" t="e">
        <f t="shared" si="0"/>
        <v>#N/A</v>
      </c>
      <c r="T2" s="2" t="e">
        <f t="shared" si="0"/>
        <v>#N/A</v>
      </c>
      <c r="U2" s="2">
        <f t="shared" si="0"/>
        <v>31.730768261000001</v>
      </c>
      <c r="V2" s="2" t="e">
        <f t="shared" si="0"/>
        <v>#N/A</v>
      </c>
    </row>
    <row r="3" spans="1:22" ht="15" customHeight="1" x14ac:dyDescent="0.25">
      <c r="A3" s="50" t="s">
        <v>117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118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119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120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120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120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 t="s">
        <v>48</v>
      </c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120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120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48</v>
      </c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120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120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120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120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120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120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120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120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120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120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120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120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120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120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120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120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120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120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120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120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120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120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120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120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120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120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21" t="s">
        <v>120</v>
      </c>
      <c r="B40" s="22" t="s">
        <v>47</v>
      </c>
      <c r="C40" s="23">
        <v>31</v>
      </c>
      <c r="D40" s="23">
        <v>31.730768261000001</v>
      </c>
      <c r="E40" s="23">
        <f t="shared" si="1"/>
        <v>0.73076826100000147</v>
      </c>
      <c r="F40" s="24"/>
      <c r="G40" s="24"/>
      <c r="H40" s="24" t="s">
        <v>48</v>
      </c>
      <c r="I40" s="24"/>
      <c r="J40" s="24"/>
      <c r="K40" s="24" t="s">
        <v>48</v>
      </c>
      <c r="L40" s="24"/>
      <c r="M40" s="25"/>
      <c r="N40" s="26" t="str">
        <f t="shared" si="2"/>
        <v>OK</v>
      </c>
    </row>
    <row r="42" spans="1:14" x14ac:dyDescent="0.25">
      <c r="A42" s="45" t="s">
        <v>51</v>
      </c>
      <c r="B42" s="31"/>
      <c r="C42" s="31"/>
      <c r="D42" s="31"/>
      <c r="E42" s="31"/>
      <c r="G42" s="45" t="s">
        <v>51</v>
      </c>
      <c r="H42" s="31"/>
      <c r="I42" s="31"/>
      <c r="J42" s="31"/>
      <c r="K42" s="31"/>
    </row>
    <row r="43" spans="1:14" x14ac:dyDescent="0.25">
      <c r="A43" s="49" t="s">
        <v>52</v>
      </c>
      <c r="B43" s="31"/>
      <c r="C43" s="31"/>
      <c r="D43" s="31"/>
      <c r="E43" s="31"/>
      <c r="G43" s="49" t="s">
        <v>53</v>
      </c>
      <c r="H43" s="31"/>
      <c r="I43" s="31"/>
      <c r="J43" s="31"/>
      <c r="K43" s="31"/>
    </row>
    <row r="45" spans="1:14" x14ac:dyDescent="0.25">
      <c r="A45" s="47" t="s">
        <v>54</v>
      </c>
      <c r="B45" s="31"/>
      <c r="C45" s="31"/>
      <c r="D45" s="31"/>
      <c r="E45" s="31"/>
      <c r="F45" s="27"/>
      <c r="G45" s="27"/>
      <c r="H45" s="27"/>
      <c r="I45" s="27"/>
      <c r="J45" s="27"/>
      <c r="K45" s="27"/>
      <c r="L45" s="27"/>
      <c r="M45" s="27"/>
    </row>
    <row r="46" spans="1:14" x14ac:dyDescent="0.25">
      <c r="A46" s="35" t="s">
        <v>55</v>
      </c>
      <c r="B46" s="31"/>
      <c r="C46" s="31"/>
      <c r="D46" s="31"/>
      <c r="E46" s="31"/>
      <c r="F46" s="9">
        <f t="shared" ref="F46:L46" si="3">SUMIF(F$9:F$40,"X",$E$9:$E$40)</f>
        <v>0</v>
      </c>
      <c r="G46" s="9">
        <f t="shared" si="3"/>
        <v>20</v>
      </c>
      <c r="H46" s="9">
        <f t="shared" si="3"/>
        <v>11.730768261000001</v>
      </c>
      <c r="I46" s="9">
        <f t="shared" si="3"/>
        <v>0</v>
      </c>
      <c r="J46" s="9">
        <f t="shared" si="3"/>
        <v>0</v>
      </c>
      <c r="K46" s="9">
        <f t="shared" si="3"/>
        <v>31.730768261000001</v>
      </c>
      <c r="L46" s="9">
        <f t="shared" si="3"/>
        <v>0</v>
      </c>
    </row>
    <row r="47" spans="1:14" x14ac:dyDescent="0.25">
      <c r="A47" s="35" t="s">
        <v>56</v>
      </c>
      <c r="B47" s="31"/>
      <c r="C47" s="31"/>
      <c r="D47" s="31"/>
      <c r="E47" s="31"/>
      <c r="F47" s="28">
        <f t="shared" ref="F47:L47" si="4">IF($I49=0,0,F46/$I49)</f>
        <v>0</v>
      </c>
      <c r="G47" s="28">
        <f t="shared" si="4"/>
        <v>0.63030304956661942</v>
      </c>
      <c r="H47" s="28">
        <f t="shared" si="4"/>
        <v>0.36969695043338052</v>
      </c>
      <c r="I47" s="28">
        <f t="shared" si="4"/>
        <v>0</v>
      </c>
      <c r="J47" s="28">
        <f t="shared" si="4"/>
        <v>0</v>
      </c>
      <c r="K47" s="28">
        <f t="shared" si="4"/>
        <v>1</v>
      </c>
      <c r="L47" s="28">
        <f t="shared" si="4"/>
        <v>0</v>
      </c>
    </row>
    <row r="48" spans="1:14" x14ac:dyDescent="0.25">
      <c r="A48" s="35" t="s">
        <v>57</v>
      </c>
      <c r="B48" s="31"/>
      <c r="C48" s="31"/>
      <c r="D48" s="31"/>
      <c r="E48" s="31"/>
      <c r="F48" s="37" t="str">
        <f>IF(SUM(F46:I46)=0,"— não preenchido",IF(ROUND(SUM(F46:I46)-$I49,3)=0,"OK — "&amp;ROUND(SUM(F46:I46),3)&amp;" km","ERRO — dif. de "&amp;ROUND(SUM(F46:I46)-$I49,3)&amp;" km"))</f>
        <v>OK — 31,731 km</v>
      </c>
      <c r="G48" s="33"/>
      <c r="H48" s="33"/>
      <c r="I48" s="34"/>
      <c r="J48" s="37" t="str">
        <f>IF(SUM(J46:L46)=0,"— não preenchido",IF(ROUND(SUM(J46:L46)-$I49,3)=0,"OK — "&amp;ROUND(SUM(J46:L46),3)&amp;" km","ERRO — dif. de "&amp;ROUND(SUM(J46:L46)-$I49,3)&amp;" km"))</f>
        <v>OK — 31,731 km</v>
      </c>
      <c r="K48" s="33"/>
      <c r="L48" s="34"/>
    </row>
    <row r="49" spans="1:13" x14ac:dyDescent="0.25">
      <c r="A49" s="35" t="s">
        <v>58</v>
      </c>
      <c r="B49" s="31"/>
      <c r="C49" s="31"/>
      <c r="D49" s="31"/>
      <c r="E49" s="31"/>
      <c r="I49" s="29">
        <f>SUM(E9:E40)</f>
        <v>31.730768261000001</v>
      </c>
      <c r="M49" s="8" t="str">
        <f>COUNTIF(N9:N40,"OK")&amp;" de "&amp;COUNT($E$9:$E$40)&amp;" linhas conferidas"</f>
        <v>32 de 32 linhas conferidas</v>
      </c>
    </row>
    <row r="51" spans="1:13" x14ac:dyDescent="0.25">
      <c r="A51" s="46" t="s">
        <v>59</v>
      </c>
      <c r="B51" s="31"/>
      <c r="C51" s="31"/>
      <c r="D51" s="31"/>
      <c r="E51" s="31"/>
    </row>
    <row r="52" spans="1:13" x14ac:dyDescent="0.25">
      <c r="A52" s="35" t="s">
        <v>10</v>
      </c>
      <c r="B52" s="31"/>
      <c r="C52" s="31"/>
      <c r="D52" s="31"/>
      <c r="E52" s="40" t="s">
        <v>60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5" t="s">
        <v>11</v>
      </c>
      <c r="B53" s="31"/>
      <c r="C53" s="31"/>
      <c r="D53" s="31"/>
      <c r="E53" s="40" t="s">
        <v>61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5" t="s">
        <v>12</v>
      </c>
      <c r="B54" s="31"/>
      <c r="C54" s="31"/>
      <c r="D54" s="31"/>
      <c r="E54" s="40" t="s">
        <v>62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5" t="s">
        <v>63</v>
      </c>
      <c r="B55" s="31"/>
      <c r="C55" s="31"/>
      <c r="D55" s="31"/>
      <c r="E55" s="40" t="s">
        <v>64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5" t="s">
        <v>65</v>
      </c>
      <c r="B56" s="31"/>
      <c r="C56" s="31"/>
      <c r="D56" s="31"/>
      <c r="E56" s="40" t="s">
        <v>66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5" t="s">
        <v>67</v>
      </c>
      <c r="B57" s="31"/>
      <c r="C57" s="31"/>
      <c r="D57" s="31"/>
      <c r="E57" s="40" t="s">
        <v>68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5" t="s">
        <v>39</v>
      </c>
      <c r="B58" s="31"/>
      <c r="C58" s="31"/>
      <c r="D58" s="31"/>
      <c r="E58" s="40" t="s">
        <v>69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5" t="s">
        <v>70</v>
      </c>
      <c r="B59" s="31"/>
      <c r="C59" s="31"/>
      <c r="D59" s="31"/>
      <c r="E59" s="40" t="s">
        <v>71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5" t="s">
        <v>72</v>
      </c>
      <c r="B60" s="31"/>
      <c r="C60" s="31"/>
      <c r="D60" s="31"/>
      <c r="E60" s="40" t="s">
        <v>73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5" t="s">
        <v>8</v>
      </c>
      <c r="B61" s="31"/>
      <c r="C61" s="31"/>
      <c r="D61" s="31"/>
      <c r="E61" s="40" t="s">
        <v>74</v>
      </c>
      <c r="F61" s="31"/>
      <c r="G61" s="31"/>
      <c r="H61" s="31"/>
      <c r="I61" s="31"/>
      <c r="J61" s="31"/>
      <c r="K61" s="31"/>
      <c r="L61" s="31"/>
      <c r="M61" s="31"/>
    </row>
  </sheetData>
  <sheetProtection formatCells="0"/>
  <mergeCells count="50">
    <mergeCell ref="A49:E49"/>
    <mergeCell ref="A51:E51"/>
    <mergeCell ref="A60:D60"/>
    <mergeCell ref="F6:I6"/>
    <mergeCell ref="N6:N7"/>
    <mergeCell ref="J48:L48"/>
    <mergeCell ref="K3:M3"/>
    <mergeCell ref="E53:M53"/>
    <mergeCell ref="E58:M58"/>
    <mergeCell ref="E55:M55"/>
    <mergeCell ref="A43:E43"/>
    <mergeCell ref="A3:J3"/>
    <mergeCell ref="E52:M52"/>
    <mergeCell ref="A55:D55"/>
    <mergeCell ref="A57:D57"/>
    <mergeCell ref="C6:C7"/>
    <mergeCell ref="D6:D7"/>
    <mergeCell ref="E54:M54"/>
    <mergeCell ref="F48:I48"/>
    <mergeCell ref="A45:E45"/>
    <mergeCell ref="A1:M1"/>
    <mergeCell ref="A61:D61"/>
    <mergeCell ref="A42:E42"/>
    <mergeCell ref="A54:D54"/>
    <mergeCell ref="A47:E47"/>
    <mergeCell ref="E56:M56"/>
    <mergeCell ref="A56:D56"/>
    <mergeCell ref="E61:M61"/>
    <mergeCell ref="M6:M7"/>
    <mergeCell ref="A59:D59"/>
    <mergeCell ref="A46:E46"/>
    <mergeCell ref="E6:E7"/>
    <mergeCell ref="B6:B7"/>
    <mergeCell ref="E57:M57"/>
    <mergeCell ref="A52:D52"/>
    <mergeCell ref="A6:A7"/>
    <mergeCell ref="E60:M60"/>
    <mergeCell ref="A2:C2"/>
    <mergeCell ref="E59:M59"/>
    <mergeCell ref="K2:M2"/>
    <mergeCell ref="D2:E2"/>
    <mergeCell ref="A58:D58"/>
    <mergeCell ref="J6:L6"/>
    <mergeCell ref="A48:E48"/>
    <mergeCell ref="G43:K43"/>
    <mergeCell ref="A53:D53"/>
    <mergeCell ref="G2:H2"/>
    <mergeCell ref="A8:M8"/>
    <mergeCell ref="A4:M4"/>
    <mergeCell ref="G42:K42"/>
  </mergeCells>
  <conditionalFormatting sqref="F9:I40">
    <cfRule type="expression" dxfId="11" priority="1">
      <formula>AND(F9&lt;&gt;"",COUNTIF($F9:$I9,"X")&gt;1)</formula>
    </cfRule>
  </conditionalFormatting>
  <conditionalFormatting sqref="F48:L48">
    <cfRule type="expression" dxfId="10" priority="5">
      <formula>LEFT(F48,4)="ERRO"</formula>
    </cfRule>
    <cfRule type="expression" dxfId="9" priority="6">
      <formula>LEFT(F48,2)="OK"</formula>
    </cfRule>
  </conditionalFormatting>
  <conditionalFormatting sqref="J9:L40">
    <cfRule type="expression" dxfId="8" priority="2">
      <formula>AND(J9&lt;&gt;"",COUNTIF($J9:$L9,"X")&gt;1)</formula>
    </cfRule>
  </conditionalFormatting>
  <conditionalFormatting sqref="N9:N40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0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0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0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83</oddHeader>
    <oddFooter>&amp;L&amp;7 RTA / MSI — Programa de Manutenção Rodoviária&amp;C&amp;7 Página &amp;P de &amp;N&amp;R&amp;7 Impresso em &amp;D</oddFooter>
  </headerFooter>
  <rowBreaks count="1" manualBreakCount="1">
    <brk id="43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V73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8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1" t="s">
        <v>31</v>
      </c>
      <c r="B2" s="31"/>
      <c r="C2" s="31"/>
      <c r="D2" s="30" t="s">
        <v>32</v>
      </c>
      <c r="E2" s="31"/>
      <c r="F2" s="13">
        <f>IF('67'!F2="","",'67'!F2)</f>
        <v>46235</v>
      </c>
      <c r="G2" s="30" t="s">
        <v>33</v>
      </c>
      <c r="H2" s="31"/>
      <c r="I2" s="14" t="str">
        <f>IF('67'!I2="","",'67'!I2)</f>
        <v/>
      </c>
      <c r="J2" s="12" t="s">
        <v>34</v>
      </c>
      <c r="K2" s="42" t="str">
        <f>IF('67'!K2="","",'67'!K2)</f>
        <v>ENG. VINICIUS RODRIGUES FERREIRA DE OLIVEIRA</v>
      </c>
      <c r="L2" s="43"/>
      <c r="M2" s="44"/>
      <c r="P2" s="2" t="e">
        <f t="shared" ref="P2:V2" si="0">IF(F58=0,NA(),F58)</f>
        <v>#N/A</v>
      </c>
      <c r="Q2" s="2">
        <f t="shared" si="0"/>
        <v>30.521689058500002</v>
      </c>
      <c r="R2" s="2">
        <f t="shared" si="0"/>
        <v>11</v>
      </c>
      <c r="S2" s="2" t="e">
        <f t="shared" si="0"/>
        <v>#N/A</v>
      </c>
      <c r="T2" s="2" t="e">
        <f t="shared" si="0"/>
        <v>#N/A</v>
      </c>
      <c r="U2" s="2">
        <f t="shared" si="0"/>
        <v>41.521689058500002</v>
      </c>
      <c r="V2" s="2" t="e">
        <f t="shared" si="0"/>
        <v>#N/A</v>
      </c>
    </row>
    <row r="3" spans="1:22" ht="15" customHeight="1" x14ac:dyDescent="0.25">
      <c r="A3" s="50" t="s">
        <v>121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122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8" t="s">
        <v>38</v>
      </c>
      <c r="B6" s="38" t="s">
        <v>39</v>
      </c>
      <c r="C6" s="38" t="s">
        <v>40</v>
      </c>
      <c r="D6" s="38" t="s">
        <v>41</v>
      </c>
      <c r="E6" s="38" t="s">
        <v>42</v>
      </c>
      <c r="F6" s="38" t="s">
        <v>6</v>
      </c>
      <c r="G6" s="33"/>
      <c r="H6" s="33"/>
      <c r="I6" s="34"/>
      <c r="J6" s="38" t="s">
        <v>7</v>
      </c>
      <c r="K6" s="33"/>
      <c r="L6" s="34"/>
      <c r="M6" s="38" t="s">
        <v>43</v>
      </c>
      <c r="N6" s="38" t="s">
        <v>44</v>
      </c>
    </row>
    <row r="7" spans="1:22" ht="20.100000000000001" customHeight="1" x14ac:dyDescent="0.25">
      <c r="A7" s="39"/>
      <c r="B7" s="39"/>
      <c r="C7" s="39"/>
      <c r="D7" s="39"/>
      <c r="E7" s="39"/>
      <c r="F7" s="3" t="s">
        <v>9</v>
      </c>
      <c r="G7" s="3" t="s">
        <v>131</v>
      </c>
      <c r="H7" s="3" t="s">
        <v>132</v>
      </c>
      <c r="I7" s="3" t="s">
        <v>133</v>
      </c>
      <c r="J7" s="3" t="s">
        <v>13</v>
      </c>
      <c r="K7" s="3" t="s">
        <v>14</v>
      </c>
      <c r="L7" s="3" t="s">
        <v>15</v>
      </c>
      <c r="M7" s="39"/>
      <c r="N7" s="39"/>
    </row>
    <row r="8" spans="1:22" ht="15.95" customHeight="1" x14ac:dyDescent="0.25">
      <c r="A8" s="32" t="s">
        <v>123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124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48</v>
      </c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48</v>
      </c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48</v>
      </c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48</v>
      </c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48</v>
      </c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124</v>
      </c>
      <c r="B37" s="22" t="s">
        <v>47</v>
      </c>
      <c r="C37" s="23">
        <v>28</v>
      </c>
      <c r="D37" s="23">
        <v>28.070200140400001</v>
      </c>
      <c r="E37" s="23">
        <f t="shared" si="1"/>
        <v>7.0200140400000777E-2</v>
      </c>
      <c r="F37" s="24"/>
      <c r="G37" s="24" t="s">
        <v>48</v>
      </c>
      <c r="H37" s="24"/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8" spans="1:14" ht="15.95" customHeight="1" x14ac:dyDescent="0.25">
      <c r="A38" s="32" t="s">
        <v>125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  <c r="N38" s="4"/>
    </row>
    <row r="39" spans="1:14" ht="20.100000000000001" customHeight="1" x14ac:dyDescent="0.25">
      <c r="A39" s="15" t="s">
        <v>126</v>
      </c>
      <c r="B39" s="16" t="s">
        <v>47</v>
      </c>
      <c r="C39" s="17">
        <v>0</v>
      </c>
      <c r="D39" s="17">
        <v>1</v>
      </c>
      <c r="E39" s="17">
        <f t="shared" ref="E39:E52" si="3">D39-C39</f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ref="N39:N52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126</v>
      </c>
      <c r="B40" s="16" t="s">
        <v>47</v>
      </c>
      <c r="C40" s="17">
        <v>1</v>
      </c>
      <c r="D40" s="17">
        <v>2</v>
      </c>
      <c r="E40" s="17">
        <f t="shared" si="3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126</v>
      </c>
      <c r="B41" s="16" t="s">
        <v>47</v>
      </c>
      <c r="C41" s="17">
        <v>2</v>
      </c>
      <c r="D41" s="17">
        <v>3</v>
      </c>
      <c r="E41" s="17">
        <f t="shared" si="3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126</v>
      </c>
      <c r="B42" s="16" t="s">
        <v>47</v>
      </c>
      <c r="C42" s="17">
        <v>3</v>
      </c>
      <c r="D42" s="17">
        <v>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126</v>
      </c>
      <c r="B43" s="16" t="s">
        <v>47</v>
      </c>
      <c r="C43" s="17">
        <v>4</v>
      </c>
      <c r="D43" s="17">
        <v>5</v>
      </c>
      <c r="E43" s="17">
        <f t="shared" si="3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126</v>
      </c>
      <c r="B44" s="16" t="s">
        <v>47</v>
      </c>
      <c r="C44" s="17">
        <v>5</v>
      </c>
      <c r="D44" s="17">
        <v>6</v>
      </c>
      <c r="E44" s="17">
        <f t="shared" si="3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126</v>
      </c>
      <c r="B45" s="16" t="s">
        <v>47</v>
      </c>
      <c r="C45" s="17">
        <v>6</v>
      </c>
      <c r="D45" s="17">
        <v>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126</v>
      </c>
      <c r="B46" s="16" t="s">
        <v>47</v>
      </c>
      <c r="C46" s="17">
        <v>7</v>
      </c>
      <c r="D46" s="17">
        <v>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126</v>
      </c>
      <c r="B47" s="16" t="s">
        <v>47</v>
      </c>
      <c r="C47" s="17">
        <v>8</v>
      </c>
      <c r="D47" s="17">
        <v>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126</v>
      </c>
      <c r="B48" s="16" t="s">
        <v>47</v>
      </c>
      <c r="C48" s="17">
        <v>9</v>
      </c>
      <c r="D48" s="17">
        <v>10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126</v>
      </c>
      <c r="B49" s="16" t="s">
        <v>47</v>
      </c>
      <c r="C49" s="17">
        <v>10</v>
      </c>
      <c r="D49" s="17">
        <v>11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126</v>
      </c>
      <c r="B50" s="16" t="s">
        <v>47</v>
      </c>
      <c r="C50" s="17">
        <v>11</v>
      </c>
      <c r="D50" s="17">
        <v>12</v>
      </c>
      <c r="E50" s="17">
        <f t="shared" si="3"/>
        <v>1</v>
      </c>
      <c r="F50" s="18"/>
      <c r="G50" s="18"/>
      <c r="H50" s="18" t="s">
        <v>48</v>
      </c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126</v>
      </c>
      <c r="B51" s="16" t="s">
        <v>47</v>
      </c>
      <c r="C51" s="17">
        <v>12</v>
      </c>
      <c r="D51" s="17">
        <v>13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21" t="s">
        <v>126</v>
      </c>
      <c r="B52" s="22" t="s">
        <v>47</v>
      </c>
      <c r="C52" s="23">
        <v>13</v>
      </c>
      <c r="D52" s="23">
        <v>13.451488918100001</v>
      </c>
      <c r="E52" s="23">
        <f t="shared" si="3"/>
        <v>0.4514889181000008</v>
      </c>
      <c r="F52" s="24"/>
      <c r="G52" s="24" t="s">
        <v>48</v>
      </c>
      <c r="H52" s="24"/>
      <c r="I52" s="24"/>
      <c r="J52" s="24"/>
      <c r="K52" s="24" t="s">
        <v>48</v>
      </c>
      <c r="L52" s="24"/>
      <c r="M52" s="25"/>
      <c r="N52" s="26" t="str">
        <f t="shared" si="4"/>
        <v>OK</v>
      </c>
    </row>
    <row r="54" spans="1:14" x14ac:dyDescent="0.25">
      <c r="A54" s="45" t="s">
        <v>51</v>
      </c>
      <c r="B54" s="31"/>
      <c r="C54" s="31"/>
      <c r="D54" s="31"/>
      <c r="E54" s="31"/>
      <c r="G54" s="45" t="s">
        <v>51</v>
      </c>
      <c r="H54" s="31"/>
      <c r="I54" s="31"/>
      <c r="J54" s="31"/>
      <c r="K54" s="31"/>
    </row>
    <row r="55" spans="1:14" x14ac:dyDescent="0.25">
      <c r="A55" s="49" t="s">
        <v>52</v>
      </c>
      <c r="B55" s="31"/>
      <c r="C55" s="31"/>
      <c r="D55" s="31"/>
      <c r="E55" s="31"/>
      <c r="G55" s="49" t="s">
        <v>53</v>
      </c>
      <c r="H55" s="31"/>
      <c r="I55" s="31"/>
      <c r="J55" s="31"/>
      <c r="K55" s="31"/>
    </row>
    <row r="57" spans="1:14" x14ac:dyDescent="0.25">
      <c r="A57" s="47" t="s">
        <v>54</v>
      </c>
      <c r="B57" s="31"/>
      <c r="C57" s="31"/>
      <c r="D57" s="31"/>
      <c r="E57" s="31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5" t="s">
        <v>55</v>
      </c>
      <c r="B58" s="31"/>
      <c r="C58" s="31"/>
      <c r="D58" s="31"/>
      <c r="E58" s="31"/>
      <c r="F58" s="9">
        <f t="shared" ref="F58:L58" si="5">SUMIF(F$9:F$52,"X",$E$9:$E$52)</f>
        <v>0</v>
      </c>
      <c r="G58" s="9">
        <f t="shared" si="5"/>
        <v>30.521689058500002</v>
      </c>
      <c r="H58" s="9">
        <f t="shared" si="5"/>
        <v>11</v>
      </c>
      <c r="I58" s="9">
        <f t="shared" si="5"/>
        <v>0</v>
      </c>
      <c r="J58" s="9">
        <f t="shared" si="5"/>
        <v>0</v>
      </c>
      <c r="K58" s="9">
        <f t="shared" si="5"/>
        <v>41.521689058500002</v>
      </c>
      <c r="L58" s="9">
        <f t="shared" si="5"/>
        <v>0</v>
      </c>
    </row>
    <row r="59" spans="1:14" x14ac:dyDescent="0.25">
      <c r="A59" s="35" t="s">
        <v>56</v>
      </c>
      <c r="B59" s="31"/>
      <c r="C59" s="31"/>
      <c r="D59" s="31"/>
      <c r="E59" s="31"/>
      <c r="F59" s="28">
        <f t="shared" ref="F59:L59" si="6">IF($I61=0,0,F58/$I61)</f>
        <v>0</v>
      </c>
      <c r="G59" s="28">
        <f t="shared" si="6"/>
        <v>0.73507821455668443</v>
      </c>
      <c r="H59" s="28">
        <f t="shared" si="6"/>
        <v>0.26492178544331552</v>
      </c>
      <c r="I59" s="28">
        <f t="shared" si="6"/>
        <v>0</v>
      </c>
      <c r="J59" s="28">
        <f t="shared" si="6"/>
        <v>0</v>
      </c>
      <c r="K59" s="28">
        <f t="shared" si="6"/>
        <v>1</v>
      </c>
      <c r="L59" s="28">
        <f t="shared" si="6"/>
        <v>0</v>
      </c>
    </row>
    <row r="60" spans="1:14" x14ac:dyDescent="0.25">
      <c r="A60" s="35" t="s">
        <v>57</v>
      </c>
      <c r="B60" s="31"/>
      <c r="C60" s="31"/>
      <c r="D60" s="31"/>
      <c r="E60" s="31"/>
      <c r="F60" s="37" t="str">
        <f>IF(SUM(F58:I58)=0,"— não preenchido",IF(ROUND(SUM(F58:I58)-$I61,3)=0,"OK — "&amp;ROUND(SUM(F58:I58),3)&amp;" km","ERRO — dif. de "&amp;ROUND(SUM(F58:I58)-$I61,3)&amp;" km"))</f>
        <v>OK — 41,522 km</v>
      </c>
      <c r="G60" s="33"/>
      <c r="H60" s="33"/>
      <c r="I60" s="34"/>
      <c r="J60" s="37" t="str">
        <f>IF(SUM(J58:L58)=0,"— não preenchido",IF(ROUND(SUM(J58:L58)-$I61,3)=0,"OK — "&amp;ROUND(SUM(J58:L58),3)&amp;" km","ERRO — dif. de "&amp;ROUND(SUM(J58:L58)-$I61,3)&amp;" km"))</f>
        <v>OK — 41,522 km</v>
      </c>
      <c r="K60" s="33"/>
      <c r="L60" s="34"/>
    </row>
    <row r="61" spans="1:14" x14ac:dyDescent="0.25">
      <c r="A61" s="35" t="s">
        <v>58</v>
      </c>
      <c r="B61" s="31"/>
      <c r="C61" s="31"/>
      <c r="D61" s="31"/>
      <c r="E61" s="31"/>
      <c r="I61" s="29">
        <f>SUM(E9:E52)</f>
        <v>41.521689058500002</v>
      </c>
      <c r="M61" s="8" t="str">
        <f>COUNTIF(N9:N52,"OK")&amp;" de "&amp;COUNT($E$9:$E$52)&amp;" linhas conferidas"</f>
        <v>43 de 43 linhas conferidas</v>
      </c>
    </row>
    <row r="63" spans="1:14" x14ac:dyDescent="0.25">
      <c r="A63" s="46" t="s">
        <v>59</v>
      </c>
      <c r="B63" s="31"/>
      <c r="C63" s="31"/>
      <c r="D63" s="31"/>
      <c r="E63" s="31"/>
    </row>
    <row r="64" spans="1:14" x14ac:dyDescent="0.25">
      <c r="A64" s="35" t="s">
        <v>10</v>
      </c>
      <c r="B64" s="31"/>
      <c r="C64" s="31"/>
      <c r="D64" s="31"/>
      <c r="E64" s="40" t="s">
        <v>60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5" t="s">
        <v>11</v>
      </c>
      <c r="B65" s="31"/>
      <c r="C65" s="31"/>
      <c r="D65" s="31"/>
      <c r="E65" s="40" t="s">
        <v>61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5" t="s">
        <v>12</v>
      </c>
      <c r="B66" s="31"/>
      <c r="C66" s="31"/>
      <c r="D66" s="31"/>
      <c r="E66" s="40" t="s">
        <v>62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5" t="s">
        <v>63</v>
      </c>
      <c r="B67" s="31"/>
      <c r="C67" s="31"/>
      <c r="D67" s="31"/>
      <c r="E67" s="40" t="s">
        <v>64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5" t="s">
        <v>65</v>
      </c>
      <c r="B68" s="31"/>
      <c r="C68" s="31"/>
      <c r="D68" s="31"/>
      <c r="E68" s="40" t="s">
        <v>66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5" t="s">
        <v>67</v>
      </c>
      <c r="B69" s="31"/>
      <c r="C69" s="31"/>
      <c r="D69" s="31"/>
      <c r="E69" s="40" t="s">
        <v>68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5" t="s">
        <v>39</v>
      </c>
      <c r="B70" s="31"/>
      <c r="C70" s="31"/>
      <c r="D70" s="31"/>
      <c r="E70" s="40" t="s">
        <v>69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5" t="s">
        <v>70</v>
      </c>
      <c r="B71" s="31"/>
      <c r="C71" s="31"/>
      <c r="D71" s="31"/>
      <c r="E71" s="40" t="s">
        <v>71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5" t="s">
        <v>72</v>
      </c>
      <c r="B72" s="31"/>
      <c r="C72" s="31"/>
      <c r="D72" s="31"/>
      <c r="E72" s="40" t="s">
        <v>73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5" t="s">
        <v>8</v>
      </c>
      <c r="B73" s="31"/>
      <c r="C73" s="31"/>
      <c r="D73" s="31"/>
      <c r="E73" s="40" t="s">
        <v>74</v>
      </c>
      <c r="F73" s="31"/>
      <c r="G73" s="31"/>
      <c r="H73" s="31"/>
      <c r="I73" s="31"/>
      <c r="J73" s="31"/>
      <c r="K73" s="31"/>
      <c r="L73" s="31"/>
      <c r="M73" s="31"/>
    </row>
  </sheetData>
  <sheetProtection formatCells="0"/>
  <mergeCells count="51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4:M4"/>
    <mergeCell ref="A68:D68"/>
    <mergeCell ref="F60:I60"/>
    <mergeCell ref="A67:D67"/>
    <mergeCell ref="A54:E54"/>
    <mergeCell ref="A64:D64"/>
    <mergeCell ref="M6:M7"/>
    <mergeCell ref="G2:H2"/>
    <mergeCell ref="A2:C2"/>
    <mergeCell ref="K2:M2"/>
    <mergeCell ref="D2:E2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72:D72"/>
    <mergeCell ref="E69:M69"/>
    <mergeCell ref="A6:A7"/>
    <mergeCell ref="A61:E61"/>
    <mergeCell ref="E65:M65"/>
    <mergeCell ref="A38:M38"/>
    <mergeCell ref="E70:M70"/>
    <mergeCell ref="E6:E7"/>
    <mergeCell ref="J6:L6"/>
    <mergeCell ref="A59:E59"/>
    <mergeCell ref="A58:E58"/>
    <mergeCell ref="A8:M8"/>
  </mergeCells>
  <conditionalFormatting sqref="F9:I52">
    <cfRule type="expression" dxfId="5" priority="1">
      <formula>AND(F9&lt;&gt;"",COUNTIF($F9:$I9,"X")&gt;1)</formula>
    </cfRule>
  </conditionalFormatting>
  <conditionalFormatting sqref="F60:L60">
    <cfRule type="expression" dxfId="4" priority="5">
      <formula>LEFT(F60,4)="ERRO"</formula>
    </cfRule>
    <cfRule type="expression" dxfId="3" priority="6">
      <formula>LEFT(F60,2)="OK"</formula>
    </cfRule>
  </conditionalFormatting>
  <conditionalFormatting sqref="J9:L52">
    <cfRule type="expression" dxfId="2" priority="2">
      <formula>AND(J9&lt;&gt;"",COUNTIF($J9:$L9,"X")&gt;1)</formula>
    </cfRule>
  </conditionalFormatting>
  <conditionalFormatting sqref="N9:N5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84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67</vt:lpstr>
      <vt:lpstr>69</vt:lpstr>
      <vt:lpstr>71</vt:lpstr>
      <vt:lpstr>72</vt:lpstr>
      <vt:lpstr>75</vt:lpstr>
      <vt:lpstr>76</vt:lpstr>
      <vt:lpstr>79</vt:lpstr>
      <vt:lpstr>81</vt:lpstr>
      <vt:lpstr>82</vt:lpstr>
      <vt:lpstr>83</vt:lpstr>
      <vt:lpstr>84</vt:lpstr>
      <vt:lpstr>LISTAS</vt:lpstr>
      <vt:lpstr>'67'!Area_de_impressao</vt:lpstr>
      <vt:lpstr>'69'!Area_de_impressao</vt:lpstr>
      <vt:lpstr>'71'!Area_de_impressao</vt:lpstr>
      <vt:lpstr>'72'!Area_de_impressao</vt:lpstr>
      <vt:lpstr>'75'!Area_de_impressao</vt:lpstr>
      <vt:lpstr>'76'!Area_de_impressao</vt:lpstr>
      <vt:lpstr>'79'!Area_de_impressao</vt:lpstr>
      <vt:lpstr>'81'!Area_de_impressao</vt:lpstr>
      <vt:lpstr>'82'!Area_de_impressao</vt:lpstr>
      <vt:lpstr>'83'!Area_de_impressao</vt:lpstr>
      <vt:lpstr>'84'!Area_de_impressao</vt:lpstr>
      <vt:lpstr>RESUMO!Area_de_impressao</vt:lpstr>
      <vt:lpstr>'67'!Titulos_de_impressao</vt:lpstr>
      <vt:lpstr>'69'!Titulos_de_impressao</vt:lpstr>
      <vt:lpstr>'71'!Titulos_de_impressao</vt:lpstr>
      <vt:lpstr>'72'!Titulos_de_impressao</vt:lpstr>
      <vt:lpstr>'75'!Titulos_de_impressao</vt:lpstr>
      <vt:lpstr>'76'!Titulos_de_impressao</vt:lpstr>
      <vt:lpstr>'79'!Titulos_de_impressao</vt:lpstr>
      <vt:lpstr>'81'!Titulos_de_impressao</vt:lpstr>
      <vt:lpstr>'82'!Titulos_de_impressao</vt:lpstr>
      <vt:lpstr>'83'!Titulos_de_impressao</vt:lpstr>
      <vt:lpstr>'84'!Titulos_de_impressao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2026-08-17T14:12:10Z</dcterms:created>
  <dcterms:modified xsi:type="dcterms:W3CDTF">2026-08-31T12:31:08Z</dcterms:modified>
</cp:coreProperties>
</file>