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A9FA28FC-C5EC-4EA3-986C-CD9836C6B118}" xr6:coauthVersionLast="47" xr6:coauthVersionMax="47" xr10:uidLastSave="{00000000-0000-0000-0000-000000000000}"/>
  <bookViews>
    <workbookView xWindow="5115" yWindow="2460" windowWidth="15375" windowHeight="7875" firstSheet="1" activeTab="1" xr2:uid="{00000000-000D-0000-FFFF-FFFF00000000}"/>
  </bookViews>
  <sheets>
    <sheet name="RESUMO" sheetId="1" r:id="rId1"/>
    <sheet name="39" sheetId="2" r:id="rId2"/>
    <sheet name="40" sheetId="3" r:id="rId3"/>
    <sheet name="41" sheetId="4" r:id="rId4"/>
    <sheet name="42" sheetId="5" r:id="rId5"/>
    <sheet name="43" sheetId="6" r:id="rId6"/>
    <sheet name="44" sheetId="7" r:id="rId7"/>
    <sheet name="45" sheetId="8" r:id="rId8"/>
    <sheet name="46" sheetId="9" r:id="rId9"/>
    <sheet name="47" sheetId="10" r:id="rId10"/>
    <sheet name="50" sheetId="11" r:id="rId11"/>
    <sheet name="51" sheetId="12" r:id="rId12"/>
    <sheet name="52" sheetId="13" r:id="rId13"/>
    <sheet name="53" sheetId="14" r:id="rId14"/>
    <sheet name="54" sheetId="15" r:id="rId15"/>
    <sheet name="55" sheetId="16" r:id="rId16"/>
    <sheet name="56" sheetId="17" r:id="rId17"/>
    <sheet name="57" sheetId="18" r:id="rId18"/>
    <sheet name="58" sheetId="19" r:id="rId19"/>
    <sheet name="61" sheetId="20" r:id="rId20"/>
    <sheet name="63" sheetId="21" r:id="rId21"/>
    <sheet name="LISTAS" sheetId="22" state="hidden" r:id="rId22"/>
  </sheets>
  <definedNames>
    <definedName name="_xlnm.Print_Area" localSheetId="1">'39'!$A$1:$V$43</definedName>
    <definedName name="_xlnm.Print_Area" localSheetId="2">'40'!$A$1:$V$98</definedName>
    <definedName name="_xlnm.Print_Area" localSheetId="3">'41'!$A$1:$V$57</definedName>
    <definedName name="_xlnm.Print_Area" localSheetId="4">'42'!$A$1:$V$44</definedName>
    <definedName name="_xlnm.Print_Area" localSheetId="5">'43'!$A$1:$V$51</definedName>
    <definedName name="_xlnm.Print_Area" localSheetId="6">'44'!$A$1:$V$90</definedName>
    <definedName name="_xlnm.Print_Area" localSheetId="7">'45'!$A$1:$V$73</definedName>
    <definedName name="_xlnm.Print_Area" localSheetId="8">'46'!$A$1:$V$73</definedName>
    <definedName name="_xlnm.Print_Area" localSheetId="9">'47'!$A$1:$V$30</definedName>
    <definedName name="_xlnm.Print_Area" localSheetId="10">'50'!$A$1:$V$44</definedName>
    <definedName name="_xlnm.Print_Area" localSheetId="11">'51'!$A$1:$V$38</definedName>
    <definedName name="_xlnm.Print_Area" localSheetId="12">'52'!$A$1:$V$88</definedName>
    <definedName name="_xlnm.Print_Area" localSheetId="13">'53'!$A$1:$V$146</definedName>
    <definedName name="_xlnm.Print_Area" localSheetId="14">'54'!$A$1:$V$67</definedName>
    <definedName name="_xlnm.Print_Area" localSheetId="15">'55'!$A$1:$V$101</definedName>
    <definedName name="_xlnm.Print_Area" localSheetId="16">'56'!$A$1:$V$44</definedName>
    <definedName name="_xlnm.Print_Area" localSheetId="17">'57'!$A$1:$V$61</definedName>
    <definedName name="_xlnm.Print_Area" localSheetId="18">'58'!$A$1:$V$32</definedName>
    <definedName name="_xlnm.Print_Area" localSheetId="19">'61'!$A$1:$V$69</definedName>
    <definedName name="_xlnm.Print_Area" localSheetId="20">'63'!$A$1:$V$57</definedName>
    <definedName name="_xlnm.Print_Area" localSheetId="0">RESUMO!$A$1:$T$27</definedName>
    <definedName name="_xlnm.Print_Titles" localSheetId="1">'39'!$6:$7</definedName>
    <definedName name="_xlnm.Print_Titles" localSheetId="2">'40'!$6:$7</definedName>
    <definedName name="_xlnm.Print_Titles" localSheetId="3">'41'!$6:$7</definedName>
    <definedName name="_xlnm.Print_Titles" localSheetId="4">'42'!$6:$7</definedName>
    <definedName name="_xlnm.Print_Titles" localSheetId="5">'43'!$6:$7</definedName>
    <definedName name="_xlnm.Print_Titles" localSheetId="6">'44'!$6:$7</definedName>
    <definedName name="_xlnm.Print_Titles" localSheetId="7">'45'!$6:$7</definedName>
    <definedName name="_xlnm.Print_Titles" localSheetId="8">'46'!$6:$7</definedName>
    <definedName name="_xlnm.Print_Titles" localSheetId="9">'47'!$6:$7</definedName>
    <definedName name="_xlnm.Print_Titles" localSheetId="10">'50'!$6:$7</definedName>
    <definedName name="_xlnm.Print_Titles" localSheetId="11">'51'!$6:$7</definedName>
    <definedName name="_xlnm.Print_Titles" localSheetId="12">'52'!$6:$7</definedName>
    <definedName name="_xlnm.Print_Titles" localSheetId="13">'53'!$6:$7</definedName>
    <definedName name="_xlnm.Print_Titles" localSheetId="14">'54'!$6:$7</definedName>
    <definedName name="_xlnm.Print_Titles" localSheetId="15">'55'!$6:$7</definedName>
    <definedName name="_xlnm.Print_Titles" localSheetId="16">'56'!$6:$7</definedName>
    <definedName name="_xlnm.Print_Titles" localSheetId="17">'57'!$6:$7</definedName>
    <definedName name="_xlnm.Print_Titles" localSheetId="18">'58'!$6:$7</definedName>
    <definedName name="_xlnm.Print_Titles" localSheetId="19">'61'!$6:$7</definedName>
    <definedName name="_xlnm.Print_Titles" localSheetId="20">'63'!$6:$7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21" l="1"/>
  <c r="S43" i="21"/>
  <c r="Q43" i="21"/>
  <c r="P43" i="21"/>
  <c r="N43" i="21"/>
  <c r="M43" i="21"/>
  <c r="K43" i="21"/>
  <c r="J43" i="21"/>
  <c r="AC2" i="21" s="1"/>
  <c r="I43" i="21"/>
  <c r="AB2" i="21" s="1"/>
  <c r="H43" i="21"/>
  <c r="G43" i="21"/>
  <c r="F43" i="21"/>
  <c r="Y2" i="21" s="1"/>
  <c r="W37" i="21"/>
  <c r="E37" i="21"/>
  <c r="W36" i="21"/>
  <c r="E36" i="21"/>
  <c r="W35" i="21"/>
  <c r="E35" i="21"/>
  <c r="W34" i="21"/>
  <c r="E34" i="21"/>
  <c r="W33" i="21"/>
  <c r="E33" i="21"/>
  <c r="W32" i="21"/>
  <c r="E32" i="21"/>
  <c r="W31" i="21"/>
  <c r="E31" i="21"/>
  <c r="W30" i="21"/>
  <c r="E30" i="21"/>
  <c r="W29" i="21"/>
  <c r="E29" i="21"/>
  <c r="W28" i="21"/>
  <c r="E28" i="21"/>
  <c r="W27" i="21"/>
  <c r="E27" i="21"/>
  <c r="W26" i="21"/>
  <c r="E26" i="21"/>
  <c r="W25" i="21"/>
  <c r="E25" i="21"/>
  <c r="W24" i="21"/>
  <c r="E24" i="21"/>
  <c r="W23" i="21"/>
  <c r="E23" i="21"/>
  <c r="W22" i="21"/>
  <c r="E22" i="21"/>
  <c r="W21" i="21"/>
  <c r="E21" i="21"/>
  <c r="W20" i="21"/>
  <c r="E20" i="21"/>
  <c r="O43" i="21" s="1"/>
  <c r="AH2" i="21" s="1"/>
  <c r="W19" i="21"/>
  <c r="E19" i="21"/>
  <c r="W18" i="21"/>
  <c r="E18" i="21"/>
  <c r="W17" i="21"/>
  <c r="E17" i="21"/>
  <c r="W16" i="21"/>
  <c r="E16" i="21"/>
  <c r="W15" i="21"/>
  <c r="E15" i="21"/>
  <c r="W14" i="21"/>
  <c r="E14" i="21"/>
  <c r="W13" i="21"/>
  <c r="E13" i="21"/>
  <c r="W12" i="21"/>
  <c r="E12" i="21"/>
  <c r="W11" i="21"/>
  <c r="E11" i="21"/>
  <c r="W10" i="21"/>
  <c r="E10" i="21"/>
  <c r="W9" i="21"/>
  <c r="E9" i="21"/>
  <c r="AM2" i="21"/>
  <c r="AI2" i="21"/>
  <c r="AD2" i="21"/>
  <c r="AA2" i="21"/>
  <c r="Z2" i="21"/>
  <c r="R2" i="21"/>
  <c r="N2" i="21"/>
  <c r="I2" i="21"/>
  <c r="S55" i="20"/>
  <c r="P55" i="20"/>
  <c r="N24" i="1" s="1"/>
  <c r="O55" i="20"/>
  <c r="L55" i="20"/>
  <c r="H55" i="20"/>
  <c r="AA2" i="20" s="1"/>
  <c r="G55" i="20"/>
  <c r="Z2" i="20" s="1"/>
  <c r="W49" i="20"/>
  <c r="E49" i="20"/>
  <c r="W48" i="20"/>
  <c r="E48" i="20"/>
  <c r="W47" i="20"/>
  <c r="E47" i="20"/>
  <c r="W46" i="20"/>
  <c r="E46" i="20"/>
  <c r="W45" i="20"/>
  <c r="E45" i="20"/>
  <c r="W44" i="20"/>
  <c r="E44" i="20"/>
  <c r="W43" i="20"/>
  <c r="E43" i="20"/>
  <c r="W42" i="20"/>
  <c r="E42" i="20"/>
  <c r="W41" i="20"/>
  <c r="E41" i="20"/>
  <c r="W40" i="20"/>
  <c r="E40" i="20"/>
  <c r="W39" i="20"/>
  <c r="E39" i="20"/>
  <c r="W38" i="20"/>
  <c r="E38" i="20"/>
  <c r="W37" i="20"/>
  <c r="E37" i="20"/>
  <c r="W36" i="20"/>
  <c r="E36" i="20"/>
  <c r="W35" i="20"/>
  <c r="E35" i="20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W22" i="20"/>
  <c r="E22" i="20"/>
  <c r="W21" i="20"/>
  <c r="E21" i="20"/>
  <c r="W20" i="20"/>
  <c r="E20" i="20"/>
  <c r="W19" i="20"/>
  <c r="E19" i="20"/>
  <c r="W18" i="20"/>
  <c r="E18" i="20"/>
  <c r="W15" i="20"/>
  <c r="E15" i="20"/>
  <c r="W14" i="20"/>
  <c r="E14" i="20"/>
  <c r="W13" i="20"/>
  <c r="E13" i="20"/>
  <c r="F55" i="20" s="1"/>
  <c r="W12" i="20"/>
  <c r="E12" i="20"/>
  <c r="W11" i="20"/>
  <c r="E11" i="20"/>
  <c r="W10" i="20"/>
  <c r="E10" i="20"/>
  <c r="W9" i="20"/>
  <c r="E9" i="20"/>
  <c r="U55" i="20" s="1"/>
  <c r="AN2" i="20" s="1"/>
  <c r="AL2" i="20"/>
  <c r="AH2" i="20"/>
  <c r="AE2" i="20"/>
  <c r="R2" i="20"/>
  <c r="N2" i="20"/>
  <c r="I2" i="20"/>
  <c r="T18" i="19"/>
  <c r="AM2" i="19" s="1"/>
  <c r="S18" i="19"/>
  <c r="Q23" i="1" s="1"/>
  <c r="Q18" i="19"/>
  <c r="O23" i="1" s="1"/>
  <c r="P18" i="19"/>
  <c r="N18" i="19"/>
  <c r="M18" i="19"/>
  <c r="K23" i="1" s="1"/>
  <c r="K18" i="19"/>
  <c r="J18" i="19"/>
  <c r="I18" i="19"/>
  <c r="AB2" i="19" s="1"/>
  <c r="H18" i="19"/>
  <c r="AA2" i="19" s="1"/>
  <c r="G18" i="19"/>
  <c r="W12" i="19"/>
  <c r="E12" i="19"/>
  <c r="W11" i="19"/>
  <c r="E11" i="19"/>
  <c r="W10" i="19"/>
  <c r="E10" i="19"/>
  <c r="W9" i="19"/>
  <c r="E9" i="19"/>
  <c r="R18" i="19" s="1"/>
  <c r="AK2" i="19" s="1"/>
  <c r="AI2" i="19"/>
  <c r="AG2" i="19"/>
  <c r="AC2" i="19"/>
  <c r="R2" i="19"/>
  <c r="N2" i="19"/>
  <c r="I2" i="19"/>
  <c r="T47" i="18"/>
  <c r="AM2" i="18" s="1"/>
  <c r="S47" i="18"/>
  <c r="Q47" i="18"/>
  <c r="AJ2" i="18" s="1"/>
  <c r="P47" i="18"/>
  <c r="O47" i="18"/>
  <c r="AH2" i="18" s="1"/>
  <c r="M47" i="18"/>
  <c r="K22" i="1" s="1"/>
  <c r="L47" i="18"/>
  <c r="AE2" i="18" s="1"/>
  <c r="W41" i="18"/>
  <c r="E41" i="18"/>
  <c r="W40" i="18"/>
  <c r="E40" i="18"/>
  <c r="W39" i="18"/>
  <c r="E39" i="18"/>
  <c r="W38" i="18"/>
  <c r="E38" i="18"/>
  <c r="W37" i="18"/>
  <c r="E37" i="18"/>
  <c r="W36" i="18"/>
  <c r="E36" i="18"/>
  <c r="W35" i="18"/>
  <c r="E35" i="18"/>
  <c r="W34" i="18"/>
  <c r="E34" i="18"/>
  <c r="W33" i="18"/>
  <c r="E33" i="18"/>
  <c r="W32" i="18"/>
  <c r="E32" i="18"/>
  <c r="W31" i="18"/>
  <c r="E31" i="18"/>
  <c r="W30" i="18"/>
  <c r="E30" i="18"/>
  <c r="W29" i="18"/>
  <c r="E29" i="18"/>
  <c r="G47" i="18" s="1"/>
  <c r="W28" i="18"/>
  <c r="E28" i="18"/>
  <c r="W27" i="18"/>
  <c r="E27" i="18"/>
  <c r="W26" i="18"/>
  <c r="E26" i="18"/>
  <c r="W25" i="18"/>
  <c r="E25" i="18"/>
  <c r="W24" i="18"/>
  <c r="E24" i="18"/>
  <c r="W23" i="18"/>
  <c r="E23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W16" i="18"/>
  <c r="E16" i="18"/>
  <c r="J47" i="18" s="1"/>
  <c r="W15" i="18"/>
  <c r="E15" i="18"/>
  <c r="W14" i="18"/>
  <c r="E14" i="18"/>
  <c r="W13" i="18"/>
  <c r="E13" i="18"/>
  <c r="W12" i="18"/>
  <c r="E12" i="18"/>
  <c r="W11" i="18"/>
  <c r="E11" i="18"/>
  <c r="I47" i="18" s="1"/>
  <c r="W10" i="18"/>
  <c r="E10" i="18"/>
  <c r="W9" i="18"/>
  <c r="E9" i="18"/>
  <c r="R50" i="18" s="1"/>
  <c r="R2" i="18"/>
  <c r="N2" i="18"/>
  <c r="I2" i="18"/>
  <c r="U30" i="17"/>
  <c r="AN2" i="17" s="1"/>
  <c r="S30" i="17"/>
  <c r="R30" i="17"/>
  <c r="Q30" i="17"/>
  <c r="O30" i="17"/>
  <c r="AH2" i="17" s="1"/>
  <c r="M30" i="17"/>
  <c r="L30" i="17"/>
  <c r="J21" i="1" s="1"/>
  <c r="J30" i="17"/>
  <c r="I30" i="17"/>
  <c r="AB2" i="17" s="1"/>
  <c r="H30" i="17"/>
  <c r="AA2" i="17" s="1"/>
  <c r="G30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6" i="17"/>
  <c r="E16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W9" i="17"/>
  <c r="E9" i="17"/>
  <c r="AJ2" i="17"/>
  <c r="AC2" i="17"/>
  <c r="R2" i="17"/>
  <c r="N2" i="17"/>
  <c r="I2" i="17"/>
  <c r="U87" i="16"/>
  <c r="S20" i="1" s="1"/>
  <c r="R87" i="16"/>
  <c r="AK2" i="16" s="1"/>
  <c r="Q87" i="16"/>
  <c r="O87" i="16"/>
  <c r="AH2" i="16" s="1"/>
  <c r="M87" i="16"/>
  <c r="AF2" i="16" s="1"/>
  <c r="L87" i="16"/>
  <c r="J87" i="16"/>
  <c r="I87" i="16"/>
  <c r="AB2" i="16" s="1"/>
  <c r="H87" i="16"/>
  <c r="F20" i="1" s="1"/>
  <c r="G87" i="16"/>
  <c r="W81" i="16"/>
  <c r="E81" i="16"/>
  <c r="W78" i="16"/>
  <c r="E78" i="16"/>
  <c r="W77" i="16"/>
  <c r="E77" i="16"/>
  <c r="W76" i="16"/>
  <c r="E76" i="16"/>
  <c r="W74" i="16"/>
  <c r="E74" i="16"/>
  <c r="W73" i="16"/>
  <c r="E73" i="16"/>
  <c r="W71" i="16"/>
  <c r="E71" i="16"/>
  <c r="W70" i="16"/>
  <c r="E70" i="16"/>
  <c r="W69" i="16"/>
  <c r="E69" i="16"/>
  <c r="W68" i="16"/>
  <c r="E68" i="16"/>
  <c r="W67" i="16"/>
  <c r="E67" i="16"/>
  <c r="W66" i="16"/>
  <c r="E66" i="16"/>
  <c r="W65" i="16"/>
  <c r="E65" i="16"/>
  <c r="W64" i="16"/>
  <c r="E64" i="16"/>
  <c r="W63" i="16"/>
  <c r="E63" i="16"/>
  <c r="W62" i="16"/>
  <c r="E62" i="16"/>
  <c r="W61" i="16"/>
  <c r="E61" i="16"/>
  <c r="W60" i="16"/>
  <c r="E60" i="16"/>
  <c r="W59" i="16"/>
  <c r="E59" i="16"/>
  <c r="W58" i="16"/>
  <c r="E58" i="16"/>
  <c r="W57" i="16"/>
  <c r="E57" i="16"/>
  <c r="W56" i="16"/>
  <c r="E56" i="16"/>
  <c r="W55" i="16"/>
  <c r="E55" i="16"/>
  <c r="W54" i="16"/>
  <c r="E54" i="16"/>
  <c r="W53" i="16"/>
  <c r="E53" i="16"/>
  <c r="W52" i="16"/>
  <c r="E52" i="16"/>
  <c r="W51" i="16"/>
  <c r="E51" i="16"/>
  <c r="W50" i="16"/>
  <c r="E50" i="16"/>
  <c r="W49" i="16"/>
  <c r="E49" i="16"/>
  <c r="W48" i="16"/>
  <c r="E48" i="16"/>
  <c r="W47" i="16"/>
  <c r="E47" i="16"/>
  <c r="W46" i="16"/>
  <c r="E46" i="16"/>
  <c r="W45" i="16"/>
  <c r="E45" i="16"/>
  <c r="W42" i="16"/>
  <c r="E42" i="16"/>
  <c r="W41" i="16"/>
  <c r="E41" i="16"/>
  <c r="W40" i="16"/>
  <c r="E40" i="16"/>
  <c r="W39" i="16"/>
  <c r="E39" i="16"/>
  <c r="W38" i="16"/>
  <c r="E38" i="16"/>
  <c r="W37" i="16"/>
  <c r="E37" i="16"/>
  <c r="W36" i="16"/>
  <c r="E36" i="16"/>
  <c r="W35" i="16"/>
  <c r="E35" i="16"/>
  <c r="W34" i="16"/>
  <c r="E34" i="16"/>
  <c r="W33" i="16"/>
  <c r="E33" i="16"/>
  <c r="W32" i="16"/>
  <c r="E32" i="16"/>
  <c r="W31" i="16"/>
  <c r="E31" i="16"/>
  <c r="W30" i="16"/>
  <c r="E30" i="16"/>
  <c r="W29" i="16"/>
  <c r="E29" i="16"/>
  <c r="W28" i="16"/>
  <c r="E28" i="16"/>
  <c r="W27" i="16"/>
  <c r="E27" i="16"/>
  <c r="W26" i="16"/>
  <c r="E26" i="16"/>
  <c r="W25" i="16"/>
  <c r="E25" i="16"/>
  <c r="W24" i="16"/>
  <c r="E24" i="16"/>
  <c r="S87" i="16" s="1"/>
  <c r="W22" i="16"/>
  <c r="E22" i="16"/>
  <c r="W20" i="16"/>
  <c r="E20" i="16"/>
  <c r="W19" i="16"/>
  <c r="E19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W10" i="16"/>
  <c r="E10" i="16"/>
  <c r="N87" i="16" s="1"/>
  <c r="AG2" i="16" s="1"/>
  <c r="W9" i="16"/>
  <c r="E9" i="16"/>
  <c r="AN2" i="16"/>
  <c r="AJ2" i="16"/>
  <c r="AE2" i="16"/>
  <c r="AA2" i="16"/>
  <c r="Z2" i="16"/>
  <c r="R2" i="16"/>
  <c r="N2" i="16"/>
  <c r="I2" i="16"/>
  <c r="R53" i="15"/>
  <c r="AK2" i="15" s="1"/>
  <c r="P53" i="15"/>
  <c r="O53" i="15"/>
  <c r="M19" i="1" s="1"/>
  <c r="L53" i="15"/>
  <c r="AE2" i="15" s="1"/>
  <c r="I53" i="15"/>
  <c r="AB2" i="15" s="1"/>
  <c r="W47" i="15"/>
  <c r="E47" i="15"/>
  <c r="W46" i="15"/>
  <c r="E46" i="15"/>
  <c r="W45" i="15"/>
  <c r="E45" i="15"/>
  <c r="W44" i="15"/>
  <c r="E44" i="15"/>
  <c r="W43" i="15"/>
  <c r="E43" i="15"/>
  <c r="W42" i="15"/>
  <c r="E42" i="15"/>
  <c r="W41" i="15"/>
  <c r="E41" i="15"/>
  <c r="W40" i="15"/>
  <c r="E40" i="15"/>
  <c r="W39" i="15"/>
  <c r="E39" i="15"/>
  <c r="W38" i="15"/>
  <c r="E38" i="15"/>
  <c r="W37" i="15"/>
  <c r="E37" i="15"/>
  <c r="W36" i="15"/>
  <c r="E36" i="15"/>
  <c r="W35" i="15"/>
  <c r="E35" i="15"/>
  <c r="W34" i="15"/>
  <c r="E34" i="15"/>
  <c r="W33" i="15"/>
  <c r="E33" i="15"/>
  <c r="W32" i="15"/>
  <c r="E32" i="15"/>
  <c r="W31" i="15"/>
  <c r="E31" i="15"/>
  <c r="W30" i="15"/>
  <c r="E30" i="15"/>
  <c r="W29" i="15"/>
  <c r="E29" i="15"/>
  <c r="W28" i="15"/>
  <c r="E28" i="15"/>
  <c r="W27" i="15"/>
  <c r="E27" i="15"/>
  <c r="W26" i="15"/>
  <c r="E26" i="15"/>
  <c r="W25" i="15"/>
  <c r="E25" i="15"/>
  <c r="W24" i="15"/>
  <c r="E24" i="15"/>
  <c r="W23" i="15"/>
  <c r="E23" i="15"/>
  <c r="W22" i="15"/>
  <c r="E22" i="15"/>
  <c r="W21" i="15"/>
  <c r="E21" i="15"/>
  <c r="W20" i="15"/>
  <c r="E20" i="15"/>
  <c r="W19" i="15"/>
  <c r="E19" i="15"/>
  <c r="U53" i="15" s="1"/>
  <c r="S19" i="1" s="1"/>
  <c r="W18" i="15"/>
  <c r="E18" i="15"/>
  <c r="W17" i="15"/>
  <c r="E17" i="15"/>
  <c r="W16" i="15"/>
  <c r="E16" i="15"/>
  <c r="W14" i="15"/>
  <c r="E14" i="15"/>
  <c r="W13" i="15"/>
  <c r="E13" i="15"/>
  <c r="W12" i="15"/>
  <c r="E12" i="15"/>
  <c r="W11" i="15"/>
  <c r="E11" i="15"/>
  <c r="W10" i="15"/>
  <c r="E10" i="15"/>
  <c r="W9" i="15"/>
  <c r="E9" i="15"/>
  <c r="AH2" i="15"/>
  <c r="R2" i="15"/>
  <c r="N2" i="15"/>
  <c r="I2" i="15"/>
  <c r="S132" i="14"/>
  <c r="P132" i="14"/>
  <c r="M132" i="14"/>
  <c r="L132" i="14"/>
  <c r="J18" i="1" s="1"/>
  <c r="J132" i="14"/>
  <c r="AC2" i="14" s="1"/>
  <c r="I132" i="14"/>
  <c r="W126" i="14"/>
  <c r="E126" i="14"/>
  <c r="W125" i="14"/>
  <c r="E125" i="14"/>
  <c r="W124" i="14"/>
  <c r="E124" i="14"/>
  <c r="W123" i="14"/>
  <c r="E123" i="14"/>
  <c r="W122" i="14"/>
  <c r="E122" i="14"/>
  <c r="W121" i="14"/>
  <c r="E121" i="14"/>
  <c r="W120" i="14"/>
  <c r="E120" i="14"/>
  <c r="W119" i="14"/>
  <c r="E119" i="14"/>
  <c r="W117" i="14"/>
  <c r="E117" i="14"/>
  <c r="W116" i="14"/>
  <c r="E116" i="14"/>
  <c r="W115" i="14"/>
  <c r="E115" i="14"/>
  <c r="W114" i="14"/>
  <c r="E114" i="14"/>
  <c r="W113" i="14"/>
  <c r="E113" i="14"/>
  <c r="W112" i="14"/>
  <c r="E112" i="14"/>
  <c r="W111" i="14"/>
  <c r="E111" i="14"/>
  <c r="W110" i="14"/>
  <c r="E110" i="14"/>
  <c r="W109" i="14"/>
  <c r="E109" i="14"/>
  <c r="W108" i="14"/>
  <c r="E108" i="14"/>
  <c r="W107" i="14"/>
  <c r="E107" i="14"/>
  <c r="W106" i="14"/>
  <c r="E106" i="14"/>
  <c r="W105" i="14"/>
  <c r="E105" i="14"/>
  <c r="W102" i="14"/>
  <c r="E102" i="14"/>
  <c r="W101" i="14"/>
  <c r="E101" i="14"/>
  <c r="W100" i="14"/>
  <c r="E100" i="14"/>
  <c r="W99" i="14"/>
  <c r="E99" i="14"/>
  <c r="W98" i="14"/>
  <c r="E98" i="14"/>
  <c r="W97" i="14"/>
  <c r="E97" i="14"/>
  <c r="W96" i="14"/>
  <c r="E96" i="14"/>
  <c r="W95" i="14"/>
  <c r="E95" i="14"/>
  <c r="W94" i="14"/>
  <c r="E94" i="14"/>
  <c r="W93" i="14"/>
  <c r="E93" i="14"/>
  <c r="W92" i="14"/>
  <c r="E92" i="14"/>
  <c r="W91" i="14"/>
  <c r="E91" i="14"/>
  <c r="O132" i="14" s="1"/>
  <c r="AH2" i="14" s="1"/>
  <c r="W90" i="14"/>
  <c r="E90" i="14"/>
  <c r="W87" i="14"/>
  <c r="E87" i="14"/>
  <c r="W86" i="14"/>
  <c r="E86" i="14"/>
  <c r="W85" i="14"/>
  <c r="E85" i="14"/>
  <c r="W84" i="14"/>
  <c r="E84" i="14"/>
  <c r="W83" i="14"/>
  <c r="E83" i="14"/>
  <c r="W82" i="14"/>
  <c r="E82" i="14"/>
  <c r="W81" i="14"/>
  <c r="E81" i="14"/>
  <c r="W80" i="14"/>
  <c r="E80" i="14"/>
  <c r="W79" i="14"/>
  <c r="E79" i="14"/>
  <c r="W78" i="14"/>
  <c r="E78" i="14"/>
  <c r="W77" i="14"/>
  <c r="E77" i="14"/>
  <c r="W76" i="14"/>
  <c r="E76" i="14"/>
  <c r="W75" i="14"/>
  <c r="E75" i="14"/>
  <c r="W74" i="14"/>
  <c r="E74" i="14"/>
  <c r="W73" i="14"/>
  <c r="E73" i="14"/>
  <c r="W72" i="14"/>
  <c r="E72" i="14"/>
  <c r="W71" i="14"/>
  <c r="E71" i="14"/>
  <c r="W70" i="14"/>
  <c r="E70" i="14"/>
  <c r="W69" i="14"/>
  <c r="E69" i="14"/>
  <c r="W68" i="14"/>
  <c r="E68" i="14"/>
  <c r="W67" i="14"/>
  <c r="E67" i="14"/>
  <c r="W66" i="14"/>
  <c r="E66" i="14"/>
  <c r="W65" i="14"/>
  <c r="E65" i="14"/>
  <c r="W64" i="14"/>
  <c r="E64" i="14"/>
  <c r="W63" i="14"/>
  <c r="E63" i="14"/>
  <c r="W62" i="14"/>
  <c r="E62" i="14"/>
  <c r="W60" i="14"/>
  <c r="E60" i="14"/>
  <c r="W59" i="14"/>
  <c r="E59" i="14"/>
  <c r="W58" i="14"/>
  <c r="E58" i="14"/>
  <c r="W57" i="14"/>
  <c r="E57" i="14"/>
  <c r="W56" i="14"/>
  <c r="E56" i="14"/>
  <c r="W55" i="14"/>
  <c r="E55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4" i="14"/>
  <c r="E44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30" i="14"/>
  <c r="E30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H132" i="14" s="1"/>
  <c r="W22" i="14"/>
  <c r="E22" i="14"/>
  <c r="W21" i="14"/>
  <c r="E21" i="14"/>
  <c r="W20" i="14"/>
  <c r="E20" i="14"/>
  <c r="W19" i="14"/>
  <c r="E19" i="14"/>
  <c r="W18" i="14"/>
  <c r="E18" i="14"/>
  <c r="W17" i="14"/>
  <c r="E17" i="14"/>
  <c r="N132" i="14" s="1"/>
  <c r="AG2" i="14" s="1"/>
  <c r="W14" i="14"/>
  <c r="E14" i="14"/>
  <c r="W13" i="14"/>
  <c r="E13" i="14"/>
  <c r="W10" i="14"/>
  <c r="E10" i="14"/>
  <c r="W9" i="14"/>
  <c r="E9" i="14"/>
  <c r="R135" i="14" s="1"/>
  <c r="AI2" i="14"/>
  <c r="AF2" i="14"/>
  <c r="AB2" i="14"/>
  <c r="R2" i="14"/>
  <c r="N2" i="14"/>
  <c r="I2" i="14"/>
  <c r="U74" i="13"/>
  <c r="S74" i="13"/>
  <c r="AL2" i="13" s="1"/>
  <c r="R74" i="13"/>
  <c r="P74" i="13"/>
  <c r="O74" i="13"/>
  <c r="M74" i="13"/>
  <c r="AF2" i="13" s="1"/>
  <c r="J74" i="13"/>
  <c r="W68" i="13"/>
  <c r="E68" i="13"/>
  <c r="W67" i="13"/>
  <c r="E67" i="13"/>
  <c r="W66" i="13"/>
  <c r="E66" i="13"/>
  <c r="W65" i="13"/>
  <c r="E65" i="13"/>
  <c r="W64" i="13"/>
  <c r="E64" i="13"/>
  <c r="W63" i="13"/>
  <c r="E63" i="13"/>
  <c r="W62" i="13"/>
  <c r="E62" i="13"/>
  <c r="W61" i="13"/>
  <c r="E61" i="13"/>
  <c r="W60" i="13"/>
  <c r="E60" i="13"/>
  <c r="W59" i="13"/>
  <c r="E59" i="13"/>
  <c r="W58" i="13"/>
  <c r="E58" i="13"/>
  <c r="W57" i="13"/>
  <c r="E57" i="13"/>
  <c r="W56" i="13"/>
  <c r="E56" i="13"/>
  <c r="W55" i="13"/>
  <c r="E55" i="13"/>
  <c r="W54" i="13"/>
  <c r="E54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2" i="13"/>
  <c r="E12" i="13"/>
  <c r="W11" i="13"/>
  <c r="E11" i="13"/>
  <c r="I74" i="13" s="1"/>
  <c r="AB2" i="13" s="1"/>
  <c r="W10" i="13"/>
  <c r="E10" i="13"/>
  <c r="L74" i="13" s="1"/>
  <c r="W9" i="13"/>
  <c r="E9" i="13"/>
  <c r="AN2" i="13"/>
  <c r="AK2" i="13"/>
  <c r="AI2" i="13"/>
  <c r="AH2" i="13"/>
  <c r="AC2" i="13"/>
  <c r="R2" i="13"/>
  <c r="N2" i="13"/>
  <c r="I2" i="13"/>
  <c r="U24" i="12"/>
  <c r="AN2" i="12" s="1"/>
  <c r="S24" i="12"/>
  <c r="AL2" i="12" s="1"/>
  <c r="R24" i="12"/>
  <c r="P24" i="12"/>
  <c r="N16" i="1" s="1"/>
  <c r="O24" i="12"/>
  <c r="AH2" i="12" s="1"/>
  <c r="M24" i="12"/>
  <c r="AF2" i="12" s="1"/>
  <c r="J24" i="12"/>
  <c r="H16" i="1" s="1"/>
  <c r="F24" i="12"/>
  <c r="Y2" i="12" s="1"/>
  <c r="W18" i="12"/>
  <c r="E18" i="12"/>
  <c r="W17" i="12"/>
  <c r="E17" i="12"/>
  <c r="W16" i="12"/>
  <c r="E16" i="12"/>
  <c r="W15" i="12"/>
  <c r="E15" i="12"/>
  <c r="W14" i="12"/>
  <c r="E14" i="12"/>
  <c r="W13" i="12"/>
  <c r="E13" i="12"/>
  <c r="I24" i="12" s="1"/>
  <c r="W12" i="12"/>
  <c r="E12" i="12"/>
  <c r="W11" i="12"/>
  <c r="E11" i="12"/>
  <c r="W10" i="12"/>
  <c r="E10" i="12"/>
  <c r="W9" i="12"/>
  <c r="E9" i="12"/>
  <c r="L24" i="12" s="1"/>
  <c r="AK2" i="12"/>
  <c r="R2" i="12"/>
  <c r="N2" i="12"/>
  <c r="I2" i="12"/>
  <c r="U30" i="11"/>
  <c r="S30" i="11"/>
  <c r="P30" i="11"/>
  <c r="AI2" i="11" s="1"/>
  <c r="O30" i="11"/>
  <c r="AH2" i="11" s="1"/>
  <c r="M30" i="11"/>
  <c r="L30" i="11"/>
  <c r="AE2" i="11" s="1"/>
  <c r="J30" i="11"/>
  <c r="AC2" i="11" s="1"/>
  <c r="I30" i="11"/>
  <c r="G15" i="1" s="1"/>
  <c r="H30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E9" i="11"/>
  <c r="AN2" i="11"/>
  <c r="AA2" i="11"/>
  <c r="R2" i="11"/>
  <c r="N2" i="11"/>
  <c r="I2" i="11"/>
  <c r="U16" i="10"/>
  <c r="AN2" i="10" s="1"/>
  <c r="S16" i="10"/>
  <c r="R16" i="10"/>
  <c r="AK2" i="10" s="1"/>
  <c r="P16" i="10"/>
  <c r="O16" i="10"/>
  <c r="N16" i="10"/>
  <c r="K16" i="10"/>
  <c r="J16" i="10"/>
  <c r="I16" i="10"/>
  <c r="AB2" i="10" s="1"/>
  <c r="H16" i="10"/>
  <c r="G16" i="10"/>
  <c r="W10" i="10"/>
  <c r="E10" i="10"/>
  <c r="W9" i="10"/>
  <c r="E9" i="10"/>
  <c r="AI2" i="10"/>
  <c r="AG2" i="10"/>
  <c r="AC2" i="10"/>
  <c r="R2" i="10"/>
  <c r="N2" i="10"/>
  <c r="I2" i="10"/>
  <c r="U59" i="9"/>
  <c r="S59" i="9"/>
  <c r="AL2" i="9" s="1"/>
  <c r="H59" i="9"/>
  <c r="G59" i="9"/>
  <c r="E13" i="1" s="1"/>
  <c r="W53" i="9"/>
  <c r="E53" i="9"/>
  <c r="W52" i="9"/>
  <c r="E52" i="9"/>
  <c r="W51" i="9"/>
  <c r="E51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39" i="9"/>
  <c r="E39" i="9"/>
  <c r="W38" i="9"/>
  <c r="E38" i="9"/>
  <c r="W37" i="9"/>
  <c r="E37" i="9"/>
  <c r="W36" i="9"/>
  <c r="E36" i="9"/>
  <c r="W35" i="9"/>
  <c r="E35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O59" i="9" s="1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K59" i="9" s="1"/>
  <c r="AD2" i="9" s="1"/>
  <c r="W9" i="9"/>
  <c r="E9" i="9"/>
  <c r="AA2" i="9"/>
  <c r="R2" i="9"/>
  <c r="N2" i="9"/>
  <c r="I2" i="9"/>
  <c r="U59" i="8"/>
  <c r="AN2" i="8" s="1"/>
  <c r="S59" i="8"/>
  <c r="Q59" i="8"/>
  <c r="O59" i="8"/>
  <c r="AH2" i="8" s="1"/>
  <c r="M59" i="8"/>
  <c r="AF2" i="8" s="1"/>
  <c r="L59" i="8"/>
  <c r="AE2" i="8" s="1"/>
  <c r="J59" i="8"/>
  <c r="I59" i="8"/>
  <c r="AB2" i="8" s="1"/>
  <c r="G59" i="8"/>
  <c r="Z2" i="8" s="1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AJ2" i="8"/>
  <c r="AC2" i="8"/>
  <c r="R2" i="8"/>
  <c r="N2" i="8"/>
  <c r="I2" i="8"/>
  <c r="U76" i="7"/>
  <c r="T76" i="7"/>
  <c r="AM2" i="7" s="1"/>
  <c r="R76" i="7"/>
  <c r="P11" i="1" s="1"/>
  <c r="Q76" i="7"/>
  <c r="O76" i="7"/>
  <c r="AH2" i="7" s="1"/>
  <c r="L76" i="7"/>
  <c r="AE2" i="7" s="1"/>
  <c r="J76" i="7"/>
  <c r="W70" i="7"/>
  <c r="E70" i="7"/>
  <c r="W69" i="7"/>
  <c r="E69" i="7"/>
  <c r="W68" i="7"/>
  <c r="E68" i="7"/>
  <c r="M76" i="7" s="1"/>
  <c r="W67" i="7"/>
  <c r="E67" i="7"/>
  <c r="W66" i="7"/>
  <c r="E66" i="7"/>
  <c r="W65" i="7"/>
  <c r="E65" i="7"/>
  <c r="W64" i="7"/>
  <c r="E64" i="7"/>
  <c r="W63" i="7"/>
  <c r="E63" i="7"/>
  <c r="W62" i="7"/>
  <c r="E62" i="7"/>
  <c r="W61" i="7"/>
  <c r="E61" i="7"/>
  <c r="W60" i="7"/>
  <c r="E60" i="7"/>
  <c r="W59" i="7"/>
  <c r="E59" i="7"/>
  <c r="W58" i="7"/>
  <c r="E58" i="7"/>
  <c r="W57" i="7"/>
  <c r="E57" i="7"/>
  <c r="W56" i="7"/>
  <c r="E56" i="7"/>
  <c r="W55" i="7"/>
  <c r="E55" i="7"/>
  <c r="W54" i="7"/>
  <c r="E54" i="7"/>
  <c r="W53" i="7"/>
  <c r="E53" i="7"/>
  <c r="W52" i="7"/>
  <c r="E52" i="7"/>
  <c r="W51" i="7"/>
  <c r="E51" i="7"/>
  <c r="W50" i="7"/>
  <c r="E50" i="7"/>
  <c r="W49" i="7"/>
  <c r="E49" i="7"/>
  <c r="W48" i="7"/>
  <c r="E48" i="7"/>
  <c r="W47" i="7"/>
  <c r="E47" i="7"/>
  <c r="W46" i="7"/>
  <c r="E46" i="7"/>
  <c r="W45" i="7"/>
  <c r="E45" i="7"/>
  <c r="W44" i="7"/>
  <c r="E44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8" i="7"/>
  <c r="E28" i="7"/>
  <c r="W27" i="7"/>
  <c r="E27" i="7"/>
  <c r="W26" i="7"/>
  <c r="E26" i="7"/>
  <c r="W25" i="7"/>
  <c r="E25" i="7"/>
  <c r="W24" i="7"/>
  <c r="E24" i="7"/>
  <c r="W23" i="7"/>
  <c r="E23" i="7"/>
  <c r="W22" i="7"/>
  <c r="E22" i="7"/>
  <c r="W21" i="7"/>
  <c r="E21" i="7"/>
  <c r="W20" i="7"/>
  <c r="E20" i="7"/>
  <c r="W19" i="7"/>
  <c r="E19" i="7"/>
  <c r="W18" i="7"/>
  <c r="E18" i="7"/>
  <c r="W17" i="7"/>
  <c r="E17" i="7"/>
  <c r="W16" i="7"/>
  <c r="E16" i="7"/>
  <c r="W15" i="7"/>
  <c r="E15" i="7"/>
  <c r="W14" i="7"/>
  <c r="E14" i="7"/>
  <c r="I76" i="7" s="1"/>
  <c r="W13" i="7"/>
  <c r="E13" i="7"/>
  <c r="G76" i="7" s="1"/>
  <c r="W12" i="7"/>
  <c r="E12" i="7"/>
  <c r="W11" i="7"/>
  <c r="E11" i="7"/>
  <c r="W10" i="7"/>
  <c r="E10" i="7"/>
  <c r="W9" i="7"/>
  <c r="E9" i="7"/>
  <c r="AN2" i="7"/>
  <c r="AJ2" i="7"/>
  <c r="AC2" i="7"/>
  <c r="R2" i="7"/>
  <c r="N2" i="7"/>
  <c r="I2" i="7"/>
  <c r="S37" i="6"/>
  <c r="R37" i="6"/>
  <c r="P37" i="6"/>
  <c r="O37" i="6"/>
  <c r="AH2" i="6" s="1"/>
  <c r="M37" i="6"/>
  <c r="J37" i="6"/>
  <c r="I37" i="6"/>
  <c r="AB2" i="6" s="1"/>
  <c r="F37" i="6"/>
  <c r="W31" i="6"/>
  <c r="E31" i="6"/>
  <c r="U37" i="6" s="1"/>
  <c r="S10" i="1" s="1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0" i="6"/>
  <c r="E10" i="6"/>
  <c r="W9" i="6"/>
  <c r="E9" i="6"/>
  <c r="L37" i="6" s="1"/>
  <c r="AK2" i="6"/>
  <c r="AI2" i="6"/>
  <c r="AC2" i="6"/>
  <c r="Y2" i="6"/>
  <c r="R2" i="6"/>
  <c r="N2" i="6"/>
  <c r="I2" i="6"/>
  <c r="T30" i="5"/>
  <c r="AM2" i="5" s="1"/>
  <c r="S30" i="5"/>
  <c r="AL2" i="5" s="1"/>
  <c r="Q30" i="5"/>
  <c r="O9" i="1" s="1"/>
  <c r="P30" i="5"/>
  <c r="O30" i="5"/>
  <c r="AH2" i="5" s="1"/>
  <c r="M30" i="5"/>
  <c r="AF2" i="5" s="1"/>
  <c r="L30" i="5"/>
  <c r="AE2" i="5" s="1"/>
  <c r="I30" i="5"/>
  <c r="G9" i="1" s="1"/>
  <c r="H30" i="5"/>
  <c r="AA2" i="5" s="1"/>
  <c r="G30" i="5"/>
  <c r="W24" i="5"/>
  <c r="E24" i="5"/>
  <c r="W23" i="5"/>
  <c r="E23" i="5"/>
  <c r="W22" i="5"/>
  <c r="E22" i="5"/>
  <c r="W21" i="5"/>
  <c r="E21" i="5"/>
  <c r="W19" i="5"/>
  <c r="E19" i="5"/>
  <c r="W18" i="5"/>
  <c r="E18" i="5"/>
  <c r="W17" i="5"/>
  <c r="E17" i="5"/>
  <c r="W16" i="5"/>
  <c r="E16" i="5"/>
  <c r="W15" i="5"/>
  <c r="E15" i="5"/>
  <c r="W14" i="5"/>
  <c r="E14" i="5"/>
  <c r="W12" i="5"/>
  <c r="E12" i="5"/>
  <c r="W11" i="5"/>
  <c r="E11" i="5"/>
  <c r="W10" i="5"/>
  <c r="E10" i="5"/>
  <c r="W9" i="5"/>
  <c r="E9" i="5"/>
  <c r="AJ2" i="5"/>
  <c r="Z2" i="5"/>
  <c r="R2" i="5"/>
  <c r="N2" i="5"/>
  <c r="I2" i="5"/>
  <c r="U43" i="4"/>
  <c r="AN2" i="4" s="1"/>
  <c r="T43" i="4"/>
  <c r="R43" i="4"/>
  <c r="AK2" i="4" s="1"/>
  <c r="Q43" i="4"/>
  <c r="AJ2" i="4" s="1"/>
  <c r="O43" i="4"/>
  <c r="M8" i="1" s="1"/>
  <c r="L43" i="4"/>
  <c r="AE2" i="4" s="1"/>
  <c r="J43" i="4"/>
  <c r="AC2" i="4" s="1"/>
  <c r="W37" i="4"/>
  <c r="E37" i="4"/>
  <c r="W36" i="4"/>
  <c r="E36" i="4"/>
  <c r="W35" i="4"/>
  <c r="E35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I43" i="4" s="1"/>
  <c r="AB2" i="4" s="1"/>
  <c r="W22" i="4"/>
  <c r="E22" i="4"/>
  <c r="W21" i="4"/>
  <c r="E21" i="4"/>
  <c r="W20" i="4"/>
  <c r="E20" i="4"/>
  <c r="W19" i="4"/>
  <c r="E19" i="4"/>
  <c r="G43" i="4" s="1"/>
  <c r="E8" i="1" s="1"/>
  <c r="W18" i="4"/>
  <c r="E18" i="4"/>
  <c r="W17" i="4"/>
  <c r="E17" i="4"/>
  <c r="W16" i="4"/>
  <c r="E16" i="4"/>
  <c r="W15" i="4"/>
  <c r="E15" i="4"/>
  <c r="W14" i="4"/>
  <c r="E14" i="4"/>
  <c r="W12" i="4"/>
  <c r="E12" i="4"/>
  <c r="W11" i="4"/>
  <c r="E11" i="4"/>
  <c r="W10" i="4"/>
  <c r="E10" i="4"/>
  <c r="W9" i="4"/>
  <c r="E9" i="4"/>
  <c r="AM2" i="4"/>
  <c r="AH2" i="4"/>
  <c r="R2" i="4"/>
  <c r="N2" i="4"/>
  <c r="I2" i="4"/>
  <c r="S84" i="3"/>
  <c r="Q7" i="1" s="1"/>
  <c r="Q84" i="3"/>
  <c r="L84" i="3"/>
  <c r="AE2" i="3" s="1"/>
  <c r="J84" i="3"/>
  <c r="I84" i="3"/>
  <c r="G7" i="1" s="1"/>
  <c r="G84" i="3"/>
  <c r="Z2" i="3" s="1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0" i="3"/>
  <c r="E70" i="3"/>
  <c r="W69" i="3"/>
  <c r="E69" i="3"/>
  <c r="W68" i="3"/>
  <c r="E68" i="3"/>
  <c r="W67" i="3"/>
  <c r="E67" i="3"/>
  <c r="W66" i="3"/>
  <c r="E66" i="3"/>
  <c r="W65" i="3"/>
  <c r="E65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19" i="3"/>
  <c r="E19" i="3"/>
  <c r="W18" i="3"/>
  <c r="E18" i="3"/>
  <c r="O84" i="3" s="1"/>
  <c r="W17" i="3"/>
  <c r="E17" i="3"/>
  <c r="W15" i="3"/>
  <c r="E15" i="3"/>
  <c r="N84" i="3" s="1"/>
  <c r="W14" i="3"/>
  <c r="E14" i="3"/>
  <c r="W12" i="3"/>
  <c r="E12" i="3"/>
  <c r="W10" i="3"/>
  <c r="E10" i="3"/>
  <c r="W9" i="3"/>
  <c r="E9" i="3"/>
  <c r="R87" i="3" s="1"/>
  <c r="Q85" i="3" s="1"/>
  <c r="AC2" i="3"/>
  <c r="AB2" i="3"/>
  <c r="R2" i="3"/>
  <c r="N2" i="3"/>
  <c r="I2" i="3"/>
  <c r="S29" i="2"/>
  <c r="Q29" i="2"/>
  <c r="P29" i="2"/>
  <c r="N6" i="1" s="1"/>
  <c r="O29" i="2"/>
  <c r="M6" i="1" s="1"/>
  <c r="M29" i="2"/>
  <c r="AF2" i="2" s="1"/>
  <c r="L29" i="2"/>
  <c r="AE2" i="2" s="1"/>
  <c r="J29" i="2"/>
  <c r="H6" i="1" s="1"/>
  <c r="I29" i="2"/>
  <c r="AB2" i="2" s="1"/>
  <c r="G29" i="2"/>
  <c r="E6" i="1" s="1"/>
  <c r="F29" i="2"/>
  <c r="D6" i="1" s="1"/>
  <c r="W23" i="2"/>
  <c r="E23" i="2"/>
  <c r="W22" i="2"/>
  <c r="E22" i="2"/>
  <c r="W21" i="2"/>
  <c r="E21" i="2"/>
  <c r="W20" i="2"/>
  <c r="E20" i="2"/>
  <c r="W18" i="2"/>
  <c r="E18" i="2"/>
  <c r="W17" i="2"/>
  <c r="E17" i="2"/>
  <c r="W16" i="2"/>
  <c r="E16" i="2"/>
  <c r="W15" i="2"/>
  <c r="E15" i="2"/>
  <c r="W14" i="2"/>
  <c r="E14" i="2"/>
  <c r="W11" i="2"/>
  <c r="E11" i="2"/>
  <c r="W10" i="2"/>
  <c r="E10" i="2"/>
  <c r="W9" i="2"/>
  <c r="E9" i="2"/>
  <c r="AJ2" i="2"/>
  <c r="AC2" i="2"/>
  <c r="Y2" i="2"/>
  <c r="R25" i="1"/>
  <c r="O25" i="1"/>
  <c r="N25" i="1"/>
  <c r="K25" i="1"/>
  <c r="I25" i="1"/>
  <c r="G25" i="1"/>
  <c r="F25" i="1"/>
  <c r="E25" i="1"/>
  <c r="S24" i="1"/>
  <c r="Q24" i="1"/>
  <c r="M24" i="1"/>
  <c r="J24" i="1"/>
  <c r="E24" i="1"/>
  <c r="R23" i="1"/>
  <c r="P23" i="1"/>
  <c r="N23" i="1"/>
  <c r="L23" i="1"/>
  <c r="H23" i="1"/>
  <c r="G23" i="1"/>
  <c r="F23" i="1"/>
  <c r="R22" i="1"/>
  <c r="O22" i="1"/>
  <c r="N22" i="1"/>
  <c r="M22" i="1"/>
  <c r="J22" i="1"/>
  <c r="C22" i="1"/>
  <c r="Q21" i="1"/>
  <c r="O21" i="1"/>
  <c r="K21" i="1"/>
  <c r="H21" i="1"/>
  <c r="G21" i="1"/>
  <c r="F21" i="1"/>
  <c r="Q20" i="1"/>
  <c r="P20" i="1"/>
  <c r="O20" i="1"/>
  <c r="M20" i="1"/>
  <c r="L20" i="1"/>
  <c r="K20" i="1"/>
  <c r="J20" i="1"/>
  <c r="G20" i="1"/>
  <c r="E20" i="1"/>
  <c r="P19" i="1"/>
  <c r="J19" i="1"/>
  <c r="G19" i="1"/>
  <c r="Q18" i="1"/>
  <c r="N18" i="1"/>
  <c r="K18" i="1"/>
  <c r="H18" i="1"/>
  <c r="G18" i="1"/>
  <c r="S17" i="1"/>
  <c r="P17" i="1"/>
  <c r="N17" i="1"/>
  <c r="M17" i="1"/>
  <c r="H17" i="1"/>
  <c r="S16" i="1"/>
  <c r="Q16" i="1"/>
  <c r="P16" i="1"/>
  <c r="M16" i="1"/>
  <c r="K16" i="1"/>
  <c r="D16" i="1"/>
  <c r="S15" i="1"/>
  <c r="N15" i="1"/>
  <c r="M15" i="1"/>
  <c r="J15" i="1"/>
  <c r="F15" i="1"/>
  <c r="P14" i="1"/>
  <c r="N14" i="1"/>
  <c r="L14" i="1"/>
  <c r="H14" i="1"/>
  <c r="Q13" i="1"/>
  <c r="F13" i="1"/>
  <c r="S12" i="1"/>
  <c r="O12" i="1"/>
  <c r="H12" i="1"/>
  <c r="G12" i="1"/>
  <c r="E12" i="1"/>
  <c r="S11" i="1"/>
  <c r="R11" i="1"/>
  <c r="O11" i="1"/>
  <c r="M11" i="1"/>
  <c r="H11" i="1"/>
  <c r="P10" i="1"/>
  <c r="N10" i="1"/>
  <c r="K10" i="1"/>
  <c r="H10" i="1"/>
  <c r="D10" i="1"/>
  <c r="R9" i="1"/>
  <c r="Q9" i="1"/>
  <c r="M9" i="1"/>
  <c r="F9" i="1"/>
  <c r="E9" i="1"/>
  <c r="S8" i="1"/>
  <c r="R8" i="1"/>
  <c r="H7" i="1"/>
  <c r="E7" i="1"/>
  <c r="O6" i="1"/>
  <c r="J6" i="1"/>
  <c r="AE2" i="6" l="1"/>
  <c r="J10" i="1"/>
  <c r="AE2" i="12"/>
  <c r="J16" i="1"/>
  <c r="AB2" i="12"/>
  <c r="G16" i="1"/>
  <c r="AH2" i="9"/>
  <c r="M13" i="1"/>
  <c r="AB2" i="18"/>
  <c r="G22" i="1"/>
  <c r="Y2" i="20"/>
  <c r="D24" i="1"/>
  <c r="AC2" i="18"/>
  <c r="H22" i="1"/>
  <c r="Z2" i="7"/>
  <c r="E11" i="1"/>
  <c r="AE2" i="13"/>
  <c r="J17" i="1"/>
  <c r="T132" i="14"/>
  <c r="AM2" i="14" s="1"/>
  <c r="H8" i="1"/>
  <c r="G14" i="1"/>
  <c r="K17" i="1"/>
  <c r="Q17" i="1"/>
  <c r="H29" i="2"/>
  <c r="H30" i="2" s="1"/>
  <c r="T29" i="2"/>
  <c r="AM2" i="2" s="1"/>
  <c r="G74" i="13"/>
  <c r="Z2" i="13" s="1"/>
  <c r="F74" i="13"/>
  <c r="T53" i="15"/>
  <c r="S55" i="15" s="1"/>
  <c r="S53" i="15"/>
  <c r="Q53" i="15"/>
  <c r="F53" i="15"/>
  <c r="D19" i="1" s="1"/>
  <c r="AF2" i="18"/>
  <c r="AL2" i="19"/>
  <c r="I55" i="20"/>
  <c r="P8" i="1"/>
  <c r="J11" i="1"/>
  <c r="M12" i="1"/>
  <c r="M18" i="1"/>
  <c r="N43" i="4"/>
  <c r="AK2" i="7"/>
  <c r="J59" i="9"/>
  <c r="AC2" i="9" s="1"/>
  <c r="R59" i="9"/>
  <c r="M59" i="9"/>
  <c r="I59" i="9"/>
  <c r="G13" i="1" s="1"/>
  <c r="F16" i="10"/>
  <c r="D14" i="1" s="1"/>
  <c r="AC2" i="12"/>
  <c r="V90" i="16"/>
  <c r="U18" i="19"/>
  <c r="S23" i="1" s="1"/>
  <c r="N55" i="20"/>
  <c r="T55" i="20"/>
  <c r="M55" i="20"/>
  <c r="K24" i="1" s="1"/>
  <c r="J55" i="20"/>
  <c r="U43" i="21"/>
  <c r="S25" i="1" s="1"/>
  <c r="S14" i="1"/>
  <c r="S21" i="1"/>
  <c r="AL2" i="3"/>
  <c r="M21" i="1"/>
  <c r="F24" i="1"/>
  <c r="D25" i="1"/>
  <c r="H25" i="1"/>
  <c r="T25" i="1" s="1"/>
  <c r="Z2" i="2"/>
  <c r="Z2" i="9"/>
  <c r="V19" i="10"/>
  <c r="N53" i="15"/>
  <c r="R56" i="15"/>
  <c r="C19" i="1" s="1"/>
  <c r="V46" i="21"/>
  <c r="M25" i="1"/>
  <c r="V58" i="20"/>
  <c r="AE2" i="14"/>
  <c r="R18" i="1"/>
  <c r="L18" i="1"/>
  <c r="E17" i="1"/>
  <c r="G17" i="1"/>
  <c r="H15" i="1"/>
  <c r="I13" i="1"/>
  <c r="J12" i="1"/>
  <c r="V40" i="6"/>
  <c r="G8" i="1"/>
  <c r="AB2" i="11"/>
  <c r="Q30" i="11"/>
  <c r="K30" i="11"/>
  <c r="R33" i="11"/>
  <c r="AN2" i="15"/>
  <c r="Z2" i="17"/>
  <c r="E21" i="1"/>
  <c r="AK2" i="17"/>
  <c r="P21" i="1"/>
  <c r="AI2" i="20"/>
  <c r="AB2" i="20"/>
  <c r="G24" i="1"/>
  <c r="AI2" i="5"/>
  <c r="N9" i="1"/>
  <c r="J7" i="1"/>
  <c r="O7" i="1"/>
  <c r="AJ2" i="3"/>
  <c r="AB2" i="5"/>
  <c r="AK2" i="9"/>
  <c r="P13" i="1"/>
  <c r="AL2" i="11"/>
  <c r="Q15" i="1"/>
  <c r="T24" i="12"/>
  <c r="R16" i="1" s="1"/>
  <c r="H24" i="12"/>
  <c r="Q132" i="14"/>
  <c r="AI2" i="15"/>
  <c r="N19" i="1"/>
  <c r="V33" i="17"/>
  <c r="Z2" i="18"/>
  <c r="E22" i="1"/>
  <c r="Z2" i="19"/>
  <c r="E23" i="1"/>
  <c r="AD2" i="19"/>
  <c r="I23" i="1"/>
  <c r="AG2" i="20"/>
  <c r="L24" i="1"/>
  <c r="Q25" i="1"/>
  <c r="AL2" i="21"/>
  <c r="J8" i="1"/>
  <c r="AG2" i="4"/>
  <c r="L8" i="1"/>
  <c r="V33" i="5"/>
  <c r="AA2" i="10"/>
  <c r="F14" i="1"/>
  <c r="AF2" i="11"/>
  <c r="K15" i="1"/>
  <c r="L133" i="14"/>
  <c r="C18" i="1"/>
  <c r="F18" i="1"/>
  <c r="AA2" i="14"/>
  <c r="AC2" i="16"/>
  <c r="H20" i="1"/>
  <c r="AE2" i="17"/>
  <c r="AG2" i="21"/>
  <c r="L25" i="1"/>
  <c r="R29" i="2"/>
  <c r="K29" i="2"/>
  <c r="K30" i="2" s="1"/>
  <c r="U29" i="2"/>
  <c r="V46" i="4"/>
  <c r="R19" i="10"/>
  <c r="V27" i="12"/>
  <c r="G53" i="15"/>
  <c r="M53" i="15"/>
  <c r="K87" i="16"/>
  <c r="R90" i="16"/>
  <c r="L88" i="16" s="1"/>
  <c r="V50" i="18"/>
  <c r="V21" i="19"/>
  <c r="R55" i="20"/>
  <c r="G10" i="1"/>
  <c r="AI2" i="2"/>
  <c r="V32" i="2"/>
  <c r="R32" i="2"/>
  <c r="M43" i="4"/>
  <c r="AF2" i="4" s="1"/>
  <c r="R33" i="5"/>
  <c r="J30" i="5"/>
  <c r="R40" i="6"/>
  <c r="G37" i="6"/>
  <c r="E10" i="1" s="1"/>
  <c r="H76" i="7"/>
  <c r="H59" i="8"/>
  <c r="P59" i="8"/>
  <c r="N12" i="1" s="1"/>
  <c r="N30" i="11"/>
  <c r="F30" i="11"/>
  <c r="G30" i="11"/>
  <c r="R27" i="12"/>
  <c r="Q24" i="12"/>
  <c r="R30" i="11"/>
  <c r="AK2" i="11" s="1"/>
  <c r="V135" i="14"/>
  <c r="H53" i="15"/>
  <c r="J53" i="15"/>
  <c r="J54" i="15" s="1"/>
  <c r="T87" i="16"/>
  <c r="L43" i="21"/>
  <c r="R43" i="21"/>
  <c r="F45" i="21"/>
  <c r="AH2" i="3"/>
  <c r="M7" i="1"/>
  <c r="L7" i="1"/>
  <c r="AG2" i="3"/>
  <c r="F6" i="1"/>
  <c r="Q6" i="1"/>
  <c r="S30" i="2"/>
  <c r="F84" i="3"/>
  <c r="F85" i="3" s="1"/>
  <c r="K84" i="3"/>
  <c r="U84" i="3"/>
  <c r="U85" i="3"/>
  <c r="R38" i="6"/>
  <c r="J38" i="6"/>
  <c r="F38" i="6"/>
  <c r="U38" i="6"/>
  <c r="P38" i="6"/>
  <c r="O38" i="6"/>
  <c r="I38" i="6"/>
  <c r="S38" i="6"/>
  <c r="M38" i="6"/>
  <c r="AN2" i="9"/>
  <c r="S13" i="1"/>
  <c r="AF2" i="15"/>
  <c r="K19" i="1"/>
  <c r="K6" i="1"/>
  <c r="J9" i="1"/>
  <c r="O30" i="2"/>
  <c r="P31" i="2"/>
  <c r="V87" i="3"/>
  <c r="N85" i="3"/>
  <c r="S43" i="4"/>
  <c r="K43" i="4"/>
  <c r="R46" i="4"/>
  <c r="F43" i="4"/>
  <c r="T31" i="5"/>
  <c r="P31" i="5"/>
  <c r="L31" i="5"/>
  <c r="H31" i="5"/>
  <c r="M31" i="5"/>
  <c r="G31" i="5"/>
  <c r="Q31" i="5"/>
  <c r="C9" i="1"/>
  <c r="O31" i="5"/>
  <c r="J31" i="5"/>
  <c r="S31" i="5"/>
  <c r="AN2" i="6"/>
  <c r="K11" i="1"/>
  <c r="AF2" i="7"/>
  <c r="T59" i="9"/>
  <c r="L59" i="9"/>
  <c r="N59" i="9"/>
  <c r="R62" i="9"/>
  <c r="Q59" i="9"/>
  <c r="K13" i="1"/>
  <c r="AF2" i="9"/>
  <c r="AB2" i="9"/>
  <c r="F59" i="9"/>
  <c r="F18" i="10"/>
  <c r="Y2" i="10"/>
  <c r="E14" i="1"/>
  <c r="Z2" i="10"/>
  <c r="I14" i="1"/>
  <c r="AD2" i="10"/>
  <c r="AL2" i="18"/>
  <c r="Q22" i="1"/>
  <c r="AF2" i="20"/>
  <c r="P55" i="15"/>
  <c r="AJ2" i="15"/>
  <c r="O19" i="1"/>
  <c r="I30" i="2"/>
  <c r="R6" i="1"/>
  <c r="U30" i="2"/>
  <c r="H84" i="3"/>
  <c r="H85" i="3" s="1"/>
  <c r="R84" i="3"/>
  <c r="R85" i="3" s="1"/>
  <c r="AF2" i="6"/>
  <c r="AB2" i="7"/>
  <c r="G11" i="1"/>
  <c r="R59" i="8"/>
  <c r="N59" i="8"/>
  <c r="F59" i="8"/>
  <c r="R62" i="8"/>
  <c r="S61" i="8" s="1"/>
  <c r="K59" i="8"/>
  <c r="T59" i="8"/>
  <c r="AI2" i="8"/>
  <c r="Q14" i="1"/>
  <c r="AL2" i="10"/>
  <c r="S17" i="10"/>
  <c r="M30" i="2"/>
  <c r="L85" i="3"/>
  <c r="C7" i="1"/>
  <c r="O85" i="3"/>
  <c r="S85" i="3"/>
  <c r="G85" i="3"/>
  <c r="T84" i="3"/>
  <c r="T85" i="3" s="1"/>
  <c r="P84" i="3"/>
  <c r="P85" i="3" s="1"/>
  <c r="L38" i="6"/>
  <c r="AL2" i="15"/>
  <c r="F54" i="15"/>
  <c r="Y2" i="15"/>
  <c r="C10" i="1"/>
  <c r="K12" i="1"/>
  <c r="H13" i="1"/>
  <c r="T30" i="2"/>
  <c r="G6" i="1"/>
  <c r="AL2" i="2"/>
  <c r="P30" i="2"/>
  <c r="R30" i="2"/>
  <c r="J30" i="2"/>
  <c r="F30" i="2"/>
  <c r="M84" i="3"/>
  <c r="M85" i="3" s="1"/>
  <c r="I85" i="3"/>
  <c r="C6" i="1"/>
  <c r="O8" i="1"/>
  <c r="Q19" i="1"/>
  <c r="AH2" i="2"/>
  <c r="G30" i="2"/>
  <c r="L30" i="2"/>
  <c r="Q30" i="2"/>
  <c r="J85" i="3"/>
  <c r="Z2" i="4"/>
  <c r="P43" i="4"/>
  <c r="H43" i="4"/>
  <c r="K30" i="5"/>
  <c r="U30" i="5"/>
  <c r="I31" i="5"/>
  <c r="N76" i="7"/>
  <c r="F76" i="7"/>
  <c r="R79" i="7"/>
  <c r="P76" i="7"/>
  <c r="K76" i="7"/>
  <c r="S76" i="7"/>
  <c r="V79" i="7"/>
  <c r="V62" i="8"/>
  <c r="AL2" i="8"/>
  <c r="Q12" i="1"/>
  <c r="R17" i="10"/>
  <c r="N17" i="10"/>
  <c r="J17" i="10"/>
  <c r="F17" i="10"/>
  <c r="G17" i="10"/>
  <c r="U17" i="10"/>
  <c r="P17" i="10"/>
  <c r="K17" i="10"/>
  <c r="O17" i="10"/>
  <c r="I17" i="10"/>
  <c r="M14" i="1"/>
  <c r="AH2" i="10"/>
  <c r="Q54" i="15"/>
  <c r="N37" i="6"/>
  <c r="V62" i="9"/>
  <c r="L16" i="10"/>
  <c r="K18" i="10" s="1"/>
  <c r="T16" i="10"/>
  <c r="T17" i="10" s="1"/>
  <c r="P26" i="12"/>
  <c r="AI2" i="12"/>
  <c r="S26" i="12"/>
  <c r="AM2" i="12"/>
  <c r="S89" i="16"/>
  <c r="AL2" i="16"/>
  <c r="K9" i="1"/>
  <c r="M10" i="1"/>
  <c r="Q10" i="1"/>
  <c r="N29" i="2"/>
  <c r="F30" i="5"/>
  <c r="F31" i="5" s="1"/>
  <c r="N30" i="5"/>
  <c r="R30" i="5"/>
  <c r="R31" i="5" s="1"/>
  <c r="AL2" i="6"/>
  <c r="K37" i="6"/>
  <c r="T37" i="6"/>
  <c r="T38" i="6" s="1"/>
  <c r="P59" i="9"/>
  <c r="M16" i="10"/>
  <c r="Q16" i="10"/>
  <c r="P18" i="10" s="1"/>
  <c r="V33" i="11"/>
  <c r="S25" i="12"/>
  <c r="O25" i="12"/>
  <c r="R25" i="12"/>
  <c r="J25" i="12"/>
  <c r="F25" i="12"/>
  <c r="I25" i="12"/>
  <c r="P25" i="12"/>
  <c r="Q74" i="13"/>
  <c r="T74" i="13"/>
  <c r="R77" i="13"/>
  <c r="K74" i="13"/>
  <c r="J48" i="18"/>
  <c r="Q48" i="18"/>
  <c r="M48" i="18"/>
  <c r="I48" i="18"/>
  <c r="P48" i="18"/>
  <c r="O48" i="18"/>
  <c r="G48" i="18"/>
  <c r="T48" i="18"/>
  <c r="L48" i="18"/>
  <c r="S48" i="18"/>
  <c r="AJ2" i="21"/>
  <c r="AN2" i="21"/>
  <c r="H37" i="6"/>
  <c r="H38" i="6" s="1"/>
  <c r="Q37" i="6"/>
  <c r="Q38" i="6" s="1"/>
  <c r="O31" i="11"/>
  <c r="U31" i="11"/>
  <c r="I31" i="11"/>
  <c r="P31" i="11"/>
  <c r="J31" i="11"/>
  <c r="T25" i="12"/>
  <c r="V77" i="13"/>
  <c r="N74" i="13"/>
  <c r="H74" i="13"/>
  <c r="M134" i="14"/>
  <c r="AJ2" i="19"/>
  <c r="AF2" i="17"/>
  <c r="N133" i="14"/>
  <c r="J133" i="14"/>
  <c r="P133" i="14"/>
  <c r="T133" i="14"/>
  <c r="O133" i="14"/>
  <c r="I133" i="14"/>
  <c r="S133" i="14"/>
  <c r="M133" i="14"/>
  <c r="H133" i="14"/>
  <c r="Q133" i="14"/>
  <c r="P54" i="15"/>
  <c r="L54" i="15"/>
  <c r="H54" i="15"/>
  <c r="U54" i="15"/>
  <c r="O54" i="15"/>
  <c r="S54" i="15"/>
  <c r="N54" i="15"/>
  <c r="I54" i="15"/>
  <c r="R54" i="15"/>
  <c r="M54" i="15"/>
  <c r="T88" i="16"/>
  <c r="O88" i="16"/>
  <c r="I88" i="16"/>
  <c r="G88" i="16"/>
  <c r="R33" i="17"/>
  <c r="T30" i="17"/>
  <c r="P30" i="17"/>
  <c r="K30" i="17"/>
  <c r="R47" i="18"/>
  <c r="P49" i="18" s="1"/>
  <c r="N47" i="18"/>
  <c r="U47" i="18"/>
  <c r="H47" i="18"/>
  <c r="H48" i="18" s="1"/>
  <c r="K47" i="18"/>
  <c r="K48" i="18" s="1"/>
  <c r="R58" i="20"/>
  <c r="K55" i="20"/>
  <c r="M45" i="21"/>
  <c r="AF2" i="21"/>
  <c r="T30" i="11"/>
  <c r="N24" i="12"/>
  <c r="K53" i="15"/>
  <c r="F87" i="16"/>
  <c r="N30" i="17"/>
  <c r="F47" i="18"/>
  <c r="F48" i="18" s="1"/>
  <c r="AI2" i="18"/>
  <c r="G24" i="12"/>
  <c r="K24" i="12"/>
  <c r="AL2" i="14"/>
  <c r="R132" i="14"/>
  <c r="R133" i="14" s="1"/>
  <c r="G132" i="14"/>
  <c r="G133" i="14" s="1"/>
  <c r="K132" i="14"/>
  <c r="U132" i="14"/>
  <c r="V56" i="15"/>
  <c r="AL2" i="17"/>
  <c r="AF2" i="19"/>
  <c r="L18" i="19"/>
  <c r="K20" i="19" s="1"/>
  <c r="R21" i="19"/>
  <c r="S20" i="19" s="1"/>
  <c r="O18" i="19"/>
  <c r="F18" i="19"/>
  <c r="Q55" i="20"/>
  <c r="F57" i="20"/>
  <c r="R46" i="21"/>
  <c r="P45" i="21" s="1"/>
  <c r="F132" i="14"/>
  <c r="P87" i="16"/>
  <c r="P88" i="16" s="1"/>
  <c r="F30" i="17"/>
  <c r="AG2" i="15" l="1"/>
  <c r="L19" i="1"/>
  <c r="M88" i="16"/>
  <c r="N88" i="16"/>
  <c r="U88" i="16"/>
  <c r="K31" i="2"/>
  <c r="F31" i="2"/>
  <c r="M61" i="9"/>
  <c r="AA2" i="2"/>
  <c r="K8" i="1"/>
  <c r="Y2" i="13"/>
  <c r="D17" i="1"/>
  <c r="AC2" i="20"/>
  <c r="H24" i="1"/>
  <c r="AM2" i="15"/>
  <c r="R19" i="1"/>
  <c r="M89" i="16"/>
  <c r="S32" i="17"/>
  <c r="R88" i="16"/>
  <c r="S88" i="16"/>
  <c r="H88" i="16"/>
  <c r="Q88" i="16"/>
  <c r="M55" i="15"/>
  <c r="AM2" i="20"/>
  <c r="R24" i="1"/>
  <c r="K89" i="16"/>
  <c r="J88" i="16"/>
  <c r="T54" i="15"/>
  <c r="AN2" i="19"/>
  <c r="Q17" i="10"/>
  <c r="P15" i="1"/>
  <c r="R31" i="11"/>
  <c r="Z2" i="6"/>
  <c r="AC2" i="15"/>
  <c r="H19" i="1"/>
  <c r="AJ2" i="12"/>
  <c r="O16" i="1"/>
  <c r="Z2" i="15"/>
  <c r="E19" i="1"/>
  <c r="S6" i="1"/>
  <c r="AN2" i="2"/>
  <c r="F16" i="1"/>
  <c r="AA2" i="12"/>
  <c r="K31" i="11"/>
  <c r="G31" i="11"/>
  <c r="S31" i="11"/>
  <c r="C15" i="1"/>
  <c r="N31" i="11"/>
  <c r="F26" i="12"/>
  <c r="M32" i="17"/>
  <c r="T31" i="11"/>
  <c r="H31" i="11"/>
  <c r="M31" i="11"/>
  <c r="F31" i="11"/>
  <c r="Q25" i="12"/>
  <c r="G25" i="12"/>
  <c r="S32" i="11"/>
  <c r="M61" i="8"/>
  <c r="AK2" i="21"/>
  <c r="P25" i="1"/>
  <c r="AA2" i="15"/>
  <c r="F19" i="1"/>
  <c r="M25" i="12"/>
  <c r="L25" i="12"/>
  <c r="C16" i="1"/>
  <c r="U25" i="12"/>
  <c r="C20" i="1"/>
  <c r="K88" i="16"/>
  <c r="I6" i="1"/>
  <c r="AD2" i="2"/>
  <c r="K32" i="11"/>
  <c r="AD2" i="11"/>
  <c r="I15" i="1"/>
  <c r="AG2" i="11"/>
  <c r="L15" i="1"/>
  <c r="G54" i="15"/>
  <c r="H25" i="12"/>
  <c r="L31" i="11"/>
  <c r="Q31" i="11"/>
  <c r="P32" i="11"/>
  <c r="F55" i="15"/>
  <c r="M45" i="4"/>
  <c r="S31" i="2"/>
  <c r="AE2" i="21"/>
  <c r="J25" i="1"/>
  <c r="Z2" i="11"/>
  <c r="E15" i="1"/>
  <c r="AA2" i="8"/>
  <c r="F12" i="1"/>
  <c r="AC2" i="5"/>
  <c r="H9" i="1"/>
  <c r="H26" i="1" s="1"/>
  <c r="Z2" i="1" s="1"/>
  <c r="AK2" i="20"/>
  <c r="P24" i="1"/>
  <c r="AD2" i="16"/>
  <c r="I20" i="1"/>
  <c r="H17" i="10"/>
  <c r="C14" i="1"/>
  <c r="T14" i="1" s="1"/>
  <c r="AK2" i="2"/>
  <c r="P6" i="1"/>
  <c r="AJ2" i="11"/>
  <c r="O15" i="1"/>
  <c r="G38" i="6"/>
  <c r="T6" i="1"/>
  <c r="AM2" i="16"/>
  <c r="R20" i="1"/>
  <c r="Y2" i="11"/>
  <c r="F32" i="11"/>
  <c r="D15" i="1"/>
  <c r="AA2" i="7"/>
  <c r="F11" i="1"/>
  <c r="M32" i="11"/>
  <c r="AJ2" i="14"/>
  <c r="O18" i="1"/>
  <c r="S18" i="1"/>
  <c r="AN2" i="14"/>
  <c r="K32" i="17"/>
  <c r="AD2" i="17"/>
  <c r="I21" i="1"/>
  <c r="K76" i="13"/>
  <c r="AD2" i="13"/>
  <c r="I17" i="1"/>
  <c r="AG2" i="5"/>
  <c r="L9" i="1"/>
  <c r="N31" i="5"/>
  <c r="F78" i="7"/>
  <c r="Y2" i="7"/>
  <c r="D11" i="1"/>
  <c r="P61" i="8"/>
  <c r="K86" i="3"/>
  <c r="AD2" i="3"/>
  <c r="I7" i="1"/>
  <c r="F134" i="14"/>
  <c r="Y2" i="14"/>
  <c r="D18" i="1"/>
  <c r="F20" i="19"/>
  <c r="Y2" i="19"/>
  <c r="D23" i="1"/>
  <c r="AD2" i="14"/>
  <c r="K134" i="14"/>
  <c r="I18" i="1"/>
  <c r="K26" i="12"/>
  <c r="AD2" i="12"/>
  <c r="I16" i="1"/>
  <c r="F49" i="18"/>
  <c r="Y2" i="18"/>
  <c r="D22" i="1"/>
  <c r="AG2" i="12"/>
  <c r="L16" i="1"/>
  <c r="K57" i="20"/>
  <c r="AD2" i="20"/>
  <c r="I24" i="1"/>
  <c r="AN2" i="18"/>
  <c r="S22" i="1"/>
  <c r="P32" i="17"/>
  <c r="AI2" i="17"/>
  <c r="N21" i="1"/>
  <c r="F133" i="14"/>
  <c r="AJ2" i="6"/>
  <c r="O10" i="1"/>
  <c r="U75" i="13"/>
  <c r="Q75" i="13"/>
  <c r="M75" i="13"/>
  <c r="I75" i="13"/>
  <c r="T75" i="13"/>
  <c r="P75" i="13"/>
  <c r="L75" i="13"/>
  <c r="H75" i="13"/>
  <c r="S75" i="13"/>
  <c r="O75" i="13"/>
  <c r="K75" i="13"/>
  <c r="G75" i="13"/>
  <c r="R75" i="13"/>
  <c r="N75" i="13"/>
  <c r="J75" i="13"/>
  <c r="C17" i="1"/>
  <c r="F75" i="13"/>
  <c r="K25" i="12"/>
  <c r="AJ2" i="10"/>
  <c r="O14" i="1"/>
  <c r="AD2" i="6"/>
  <c r="I10" i="1"/>
  <c r="K39" i="6"/>
  <c r="F32" i="5"/>
  <c r="Y2" i="5"/>
  <c r="D9" i="1"/>
  <c r="AM2" i="10"/>
  <c r="R14" i="1"/>
  <c r="AG2" i="6"/>
  <c r="L10" i="1"/>
  <c r="L17" i="10"/>
  <c r="I11" i="1"/>
  <c r="K78" i="7"/>
  <c r="AD2" i="7"/>
  <c r="AG2" i="7"/>
  <c r="L11" i="1"/>
  <c r="K32" i="5"/>
  <c r="AD2" i="5"/>
  <c r="I9" i="1"/>
  <c r="F61" i="8"/>
  <c r="Y2" i="8"/>
  <c r="D12" i="1"/>
  <c r="AA2" i="3"/>
  <c r="F7" i="1"/>
  <c r="T60" i="9"/>
  <c r="P60" i="9"/>
  <c r="L60" i="9"/>
  <c r="H60" i="9"/>
  <c r="S60" i="9"/>
  <c r="N60" i="9"/>
  <c r="I60" i="9"/>
  <c r="R60" i="9"/>
  <c r="M60" i="9"/>
  <c r="G60" i="9"/>
  <c r="C13" i="1"/>
  <c r="Q60" i="9"/>
  <c r="K60" i="9"/>
  <c r="F60" i="9"/>
  <c r="U60" i="9"/>
  <c r="O60" i="9"/>
  <c r="J60" i="9"/>
  <c r="K31" i="5"/>
  <c r="Q8" i="1"/>
  <c r="S45" i="4"/>
  <c r="AL2" i="4"/>
  <c r="Y2" i="3"/>
  <c r="F86" i="3"/>
  <c r="D7" i="1"/>
  <c r="AI2" i="16"/>
  <c r="P89" i="16"/>
  <c r="N20" i="1"/>
  <c r="AE2" i="19"/>
  <c r="J23" i="1"/>
  <c r="M76" i="13"/>
  <c r="AG2" i="13"/>
  <c r="L17" i="1"/>
  <c r="AM2" i="6"/>
  <c r="R10" i="1"/>
  <c r="S39" i="6"/>
  <c r="S9" i="1"/>
  <c r="AN2" i="5"/>
  <c r="AM2" i="3"/>
  <c r="S86" i="3"/>
  <c r="R7" i="1"/>
  <c r="R60" i="8"/>
  <c r="N60" i="8"/>
  <c r="J60" i="8"/>
  <c r="F60" i="8"/>
  <c r="Q60" i="8"/>
  <c r="L60" i="8"/>
  <c r="G60" i="8"/>
  <c r="U60" i="8"/>
  <c r="P60" i="8"/>
  <c r="K60" i="8"/>
  <c r="T60" i="8"/>
  <c r="O60" i="8"/>
  <c r="I60" i="8"/>
  <c r="S60" i="8"/>
  <c r="C12" i="1"/>
  <c r="M60" i="8"/>
  <c r="H60" i="8"/>
  <c r="O13" i="1"/>
  <c r="AJ2" i="9"/>
  <c r="U31" i="5"/>
  <c r="T44" i="21"/>
  <c r="P44" i="21"/>
  <c r="L44" i="21"/>
  <c r="H44" i="21"/>
  <c r="S44" i="21"/>
  <c r="O44" i="21"/>
  <c r="K44" i="21"/>
  <c r="G44" i="21"/>
  <c r="R44" i="21"/>
  <c r="J44" i="21"/>
  <c r="Q44" i="21"/>
  <c r="I44" i="21"/>
  <c r="N44" i="21"/>
  <c r="F44" i="21"/>
  <c r="U44" i="21"/>
  <c r="M44" i="21"/>
  <c r="C25" i="1"/>
  <c r="Z2" i="14"/>
  <c r="E18" i="1"/>
  <c r="Z2" i="12"/>
  <c r="E16" i="1"/>
  <c r="AG2" i="17"/>
  <c r="L21" i="1"/>
  <c r="AM2" i="11"/>
  <c r="R15" i="1"/>
  <c r="T56" i="20"/>
  <c r="P56" i="20"/>
  <c r="L56" i="20"/>
  <c r="H56" i="20"/>
  <c r="S56" i="20"/>
  <c r="O56" i="20"/>
  <c r="K56" i="20"/>
  <c r="G56" i="20"/>
  <c r="N56" i="20"/>
  <c r="F56" i="20"/>
  <c r="U56" i="20"/>
  <c r="M56" i="20"/>
  <c r="R56" i="20"/>
  <c r="J56" i="20"/>
  <c r="I56" i="20"/>
  <c r="Q56" i="20"/>
  <c r="C24" i="1"/>
  <c r="T24" i="1" s="1"/>
  <c r="S134" i="14"/>
  <c r="M49" i="18"/>
  <c r="AG2" i="18"/>
  <c r="L22" i="1"/>
  <c r="AM2" i="17"/>
  <c r="R21" i="1"/>
  <c r="K133" i="14"/>
  <c r="AA2" i="6"/>
  <c r="F10" i="1"/>
  <c r="T10" i="1" s="1"/>
  <c r="N48" i="18"/>
  <c r="AM2" i="13"/>
  <c r="S76" i="13"/>
  <c r="R17" i="1"/>
  <c r="N25" i="12"/>
  <c r="AF2" i="10"/>
  <c r="M18" i="10"/>
  <c r="K14" i="1"/>
  <c r="M17" i="10"/>
  <c r="AG2" i="2"/>
  <c r="L6" i="1"/>
  <c r="F39" i="6"/>
  <c r="AE2" i="10"/>
  <c r="J14" i="1"/>
  <c r="AI2" i="7"/>
  <c r="P78" i="7"/>
  <c r="N11" i="1"/>
  <c r="F8" i="1"/>
  <c r="AA2" i="4"/>
  <c r="G26" i="1"/>
  <c r="Y2" i="1" s="1"/>
  <c r="K85" i="3"/>
  <c r="M31" i="2"/>
  <c r="AM2" i="8"/>
  <c r="R12" i="1"/>
  <c r="AG2" i="8"/>
  <c r="L12" i="1"/>
  <c r="M26" i="12"/>
  <c r="M57" i="20"/>
  <c r="S49" i="18"/>
  <c r="Y2" i="9"/>
  <c r="F61" i="9"/>
  <c r="D13" i="1"/>
  <c r="T13" i="1" s="1"/>
  <c r="AG2" i="9"/>
  <c r="L13" i="1"/>
  <c r="M78" i="7"/>
  <c r="Y2" i="4"/>
  <c r="D8" i="1"/>
  <c r="F45" i="4"/>
  <c r="K38" i="6"/>
  <c r="AJ2" i="20"/>
  <c r="P57" i="20"/>
  <c r="O24" i="1"/>
  <c r="K55" i="15"/>
  <c r="K54" i="15"/>
  <c r="AD2" i="15"/>
  <c r="I19" i="1"/>
  <c r="AA2" i="18"/>
  <c r="F22" i="1"/>
  <c r="U133" i="14"/>
  <c r="S78" i="7"/>
  <c r="AL2" i="7"/>
  <c r="Q11" i="1"/>
  <c r="M86" i="3"/>
  <c r="K7" i="1"/>
  <c r="K26" i="1" s="1"/>
  <c r="AC2" i="1" s="1"/>
  <c r="AF2" i="3"/>
  <c r="P7" i="1"/>
  <c r="AK2" i="3"/>
  <c r="AM2" i="9"/>
  <c r="R13" i="1"/>
  <c r="S61" i="9"/>
  <c r="I8" i="1"/>
  <c r="K45" i="4"/>
  <c r="AD2" i="4"/>
  <c r="AH2" i="19"/>
  <c r="M23" i="1"/>
  <c r="M26" i="1" s="1"/>
  <c r="AE2" i="1" s="1"/>
  <c r="F32" i="17"/>
  <c r="Y2" i="17"/>
  <c r="D21" i="1"/>
  <c r="T19" i="19"/>
  <c r="P19" i="19"/>
  <c r="L19" i="19"/>
  <c r="H19" i="19"/>
  <c r="S19" i="19"/>
  <c r="O19" i="19"/>
  <c r="K19" i="19"/>
  <c r="G19" i="19"/>
  <c r="R19" i="19"/>
  <c r="J19" i="19"/>
  <c r="Q19" i="19"/>
  <c r="I19" i="19"/>
  <c r="N19" i="19"/>
  <c r="F19" i="19"/>
  <c r="U19" i="19"/>
  <c r="M19" i="19"/>
  <c r="C23" i="1"/>
  <c r="AK2" i="14"/>
  <c r="P18" i="1"/>
  <c r="Y2" i="16"/>
  <c r="F88" i="16"/>
  <c r="F89" i="16"/>
  <c r="D20" i="1"/>
  <c r="T20" i="1" s="1"/>
  <c r="M20" i="19"/>
  <c r="K49" i="18"/>
  <c r="AD2" i="18"/>
  <c r="I22" i="1"/>
  <c r="AK2" i="18"/>
  <c r="P22" i="1"/>
  <c r="R31" i="17"/>
  <c r="N31" i="17"/>
  <c r="J31" i="17"/>
  <c r="F31" i="17"/>
  <c r="U31" i="17"/>
  <c r="P31" i="17"/>
  <c r="K31" i="17"/>
  <c r="T31" i="17"/>
  <c r="O31" i="17"/>
  <c r="I31" i="17"/>
  <c r="S31" i="17"/>
  <c r="M31" i="17"/>
  <c r="H31" i="17"/>
  <c r="Q31" i="17"/>
  <c r="L31" i="17"/>
  <c r="C21" i="1"/>
  <c r="G31" i="17"/>
  <c r="P134" i="14"/>
  <c r="P20" i="19"/>
  <c r="AA2" i="13"/>
  <c r="F17" i="1"/>
  <c r="S45" i="21"/>
  <c r="K45" i="21"/>
  <c r="U48" i="18"/>
  <c r="R48" i="18"/>
  <c r="AJ2" i="13"/>
  <c r="O17" i="1"/>
  <c r="AI2" i="9"/>
  <c r="P61" i="9"/>
  <c r="N13" i="1"/>
  <c r="AK2" i="5"/>
  <c r="P9" i="1"/>
  <c r="P32" i="5"/>
  <c r="M32" i="5"/>
  <c r="P76" i="13"/>
  <c r="F76" i="13"/>
  <c r="R77" i="7"/>
  <c r="N77" i="7"/>
  <c r="J77" i="7"/>
  <c r="F77" i="7"/>
  <c r="U77" i="7"/>
  <c r="P77" i="7"/>
  <c r="K77" i="7"/>
  <c r="T77" i="7"/>
  <c r="O77" i="7"/>
  <c r="I77" i="7"/>
  <c r="C11" i="1"/>
  <c r="S77" i="7"/>
  <c r="M77" i="7"/>
  <c r="H77" i="7"/>
  <c r="G77" i="7"/>
  <c r="L77" i="7"/>
  <c r="Q77" i="7"/>
  <c r="N8" i="1"/>
  <c r="P45" i="4"/>
  <c r="AI2" i="4"/>
  <c r="N30" i="2"/>
  <c r="AI2" i="3"/>
  <c r="P86" i="3"/>
  <c r="N7" i="1"/>
  <c r="N26" i="1" s="1"/>
  <c r="AF2" i="1" s="1"/>
  <c r="S18" i="10"/>
  <c r="K61" i="8"/>
  <c r="I12" i="1"/>
  <c r="AD2" i="8"/>
  <c r="AK2" i="8"/>
  <c r="P12" i="1"/>
  <c r="M39" i="6"/>
  <c r="S57" i="20"/>
  <c r="AE2" i="9"/>
  <c r="K61" i="9"/>
  <c r="J13" i="1"/>
  <c r="J26" i="1" s="1"/>
  <c r="AB2" i="1" s="1"/>
  <c r="S32" i="5"/>
  <c r="T44" i="4"/>
  <c r="P44" i="4"/>
  <c r="L44" i="4"/>
  <c r="H44" i="4"/>
  <c r="S44" i="4"/>
  <c r="O44" i="4"/>
  <c r="K44" i="4"/>
  <c r="G44" i="4"/>
  <c r="U44" i="4"/>
  <c r="M44" i="4"/>
  <c r="C8" i="1"/>
  <c r="N44" i="4"/>
  <c r="R44" i="4"/>
  <c r="J44" i="4"/>
  <c r="F44" i="4"/>
  <c r="Q44" i="4"/>
  <c r="I44" i="4"/>
  <c r="P39" i="6"/>
  <c r="N38" i="6"/>
  <c r="S7" i="1"/>
  <c r="AN2" i="3"/>
  <c r="Q26" i="1"/>
  <c r="AI2" i="1" s="1"/>
  <c r="T9" i="1" l="1"/>
  <c r="T15" i="1"/>
  <c r="C26" i="1"/>
  <c r="T21" i="1"/>
  <c r="T12" i="1"/>
  <c r="T23" i="1"/>
  <c r="T19" i="1"/>
  <c r="R26" i="1"/>
  <c r="AJ2" i="1" s="1"/>
  <c r="T17" i="1"/>
  <c r="P26" i="1"/>
  <c r="AH2" i="1" s="1"/>
  <c r="T8" i="1"/>
  <c r="E26" i="1"/>
  <c r="W2" i="1" s="1"/>
  <c r="T16" i="1"/>
  <c r="L26" i="1"/>
  <c r="AD2" i="1" s="1"/>
  <c r="F26" i="1"/>
  <c r="X2" i="1" s="1"/>
  <c r="T7" i="1"/>
  <c r="D26" i="1"/>
  <c r="O26" i="1"/>
  <c r="AG2" i="1" s="1"/>
  <c r="I26" i="1"/>
  <c r="AA2" i="1" s="1"/>
  <c r="S26" i="1"/>
  <c r="AK2" i="1" s="1"/>
  <c r="T22" i="1"/>
  <c r="T18" i="1"/>
  <c r="T11" i="1"/>
  <c r="V2" i="1" l="1"/>
  <c r="D27" i="1"/>
</calcChain>
</file>

<file path=xl/sharedStrings.xml><?xml version="1.0" encoding="utf-8"?>
<sst xmlns="http://schemas.openxmlformats.org/spreadsheetml/2006/main" count="6273" uniqueCount="259">
  <si>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</si>
  <si>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</si>
  <si>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</si>
  <si>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</si>
  <si>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</si>
  <si>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</si>
  <si>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</si>
  <si>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</si>
  <si>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</si>
  <si>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</si>
  <si>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</si>
  <si>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</si>
  <si>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</si>
  <si>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</si>
  <si>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</si>
  <si>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</si>
  <si>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</si>
  <si>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</si>
  <si>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</si>
  <si>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</si>
  <si>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TO-010 - TRECHO RIACHINHO - ANANÁS</t>
  </si>
  <si>
    <t>RODOVIA TO-010 - TRECHO WANDERLÂNDIA - RIACHINHO</t>
  </si>
  <si>
    <t>RODOVIA TO-164 - TRECHO ENTR. BR-153 (XAMBIOÁ) - ARAGUANÃ</t>
  </si>
  <si>
    <t>RODOVIA TO-164 - TRECHO FÁBRICA DE CIMENTO - XAMBIOÁ - ENTR. BR-153</t>
  </si>
  <si>
    <t>RODOVIA TO-164 - TRECHO ARAGOMINAS - MURICILÂNDIA</t>
  </si>
  <si>
    <t>RODOVIA TO-164 - TRECHO ARAGUANÃ - CARMOLÂNDIA</t>
  </si>
  <si>
    <t>RODOVIA TO-164 - TRECHO CARMOLÂNDIA - ENTR. TO-222 - ARAGOMINAS</t>
  </si>
  <si>
    <t>RODOVIA TO-164 - TRECHO ENTR. TO-226 - POVOADO DEZENOVE - BERNARDO SAYÃO</t>
  </si>
  <si>
    <t>RODOVIA TO-164 - TRECHO MURICILÂNDIA - ENTR. TO-226</t>
  </si>
  <si>
    <t>RODOVIA TO-222 - TRECHO ARAGUAÍNA - ENTR. TO-164 (NOVO HORIZONTE)</t>
  </si>
  <si>
    <t>RODOVIA TO-222 - TRECHO MURICILÂNDIA - SANTA FÉ DO ARAGUAIA</t>
  </si>
  <si>
    <t>RODOVIA TO-222 - TRECHO SANTA FÉ DO ARAGUAIA - DIVISA TO-PA (POVOADO PORTO LEMOS)</t>
  </si>
  <si>
    <t>RODOVIA TO-226 - TRECHO ENTR. BR-153 (POVOADO RIO PRETO) - DIVISA TO-PA (POVOADO GARIMPINHO)</t>
  </si>
  <si>
    <t>RODOVIA TO-230 - TRECHO ARAPOEMA - PAU D'ARCO (DIVISA TO-PA)</t>
  </si>
  <si>
    <t>RODOVIA TO-230 - TRECHO BANDEIRANTES DO TOCANTINS - ARAPOEMA</t>
  </si>
  <si>
    <t>RODOVIA TO-230 - TRECHO ENTR. BR-153 - BANDEIRANTES DO TOCANTINS</t>
  </si>
  <si>
    <t>RODOVIA TO-416 - TRECHO ENTR. BR-153 - RIACHINHO</t>
  </si>
  <si>
    <t>RODOVIA TO-416 - TRECHO ENTR. TO-222 - POVOADO COCALINHO</t>
  </si>
  <si>
    <t>RODOVIA TO-420 - TRECHO ENTR. BR-153 (POVOADO XAMBERLÂNDIA) - PIRAQUÊ - ENTR. BR-153</t>
  </si>
  <si>
    <t>RODOVIA TO-427 - TRECHO PAU D'ARCO (DIVISA TO-PA) - ENTR. TO-226</t>
  </si>
  <si>
    <t>TOTAL PERCORRIDO NO MÊS</t>
  </si>
  <si>
    <t>% DA EXTENSÃO DA MALHA (677.62 km)</t>
  </si>
  <si>
    <t>(soma do grupo 'CONDIÇÃO DO PAVIMENTO' dividida pela malha)</t>
  </si>
  <si>
    <t>PROGRAMA DE MANUTENÇÃO RODOVIÁRIA — FICHA DE INSPEÇÃO — RODOVIAS PAVIMENTADAS</t>
  </si>
  <si>
    <t>REGIÃO:  2 — ARAGUAÍNA I</t>
  </si>
  <si>
    <t>MÊS / ANO:</t>
  </si>
  <si>
    <t>DATA:</t>
  </si>
  <si>
    <t>TÉCNICO:</t>
  </si>
  <si>
    <t>TRECHO 39 — RODOVIA TO-010 - TRECHO RIACHINHO - ANANÁS</t>
  </si>
  <si>
    <t>EXTENSÃO: 10,453 km  ·  3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</si>
  <si>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</si>
  <si>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</si>
  <si>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</si>
  <si>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</si>
  <si>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</si>
  <si>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</si>
  <si>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</si>
  <si>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</si>
  <si>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416ETO0040   |   ENTR. TO-010 - RIACHINHO   |   PPS · Estadual · 2.430 km  ·  início: -6.446327, -48.137832</t>
  </si>
  <si>
    <t>416ETO0040</t>
  </si>
  <si>
    <t>C</t>
  </si>
  <si>
    <t>X</t>
  </si>
  <si>
    <t>▲ AQUI HÁ 602.060 km FORA DO ESCOPO DO CONTRATO (perímetro urbano de jurisdição municipal). Você passa por ele, mas NÃO preenche.</t>
  </si>
  <si>
    <t>S.R.E. 010ETO0500   |   ENTR. TO-416 - SÃO RAIMUNDO   |   PPS · Estadual · 4.267 km  ·  início: -6.433737, -48.12044</t>
  </si>
  <si>
    <t>010ETO0500</t>
  </si>
  <si>
    <t>S.R.E. 010ETO0510   |   SÃO RAIMUNDO - ANANÁS *TRECHO URBANO*   |   PPS · Estadual · 3.756 km  ·  início: -6.402218, -48.094278</t>
  </si>
  <si>
    <t>010ETO0510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</si>
  <si>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</si>
  <si>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</si>
  <si>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</si>
  <si>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</si>
  <si>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</si>
  <si>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</si>
  <si>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</si>
  <si>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</si>
  <si>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</si>
  <si>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</si>
  <si>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</si>
  <si>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</si>
  <si>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</si>
  <si>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</si>
  <si>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</si>
  <si>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</si>
  <si>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</si>
  <si>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</si>
  <si>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</si>
  <si>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</si>
  <si>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</si>
  <si>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</si>
  <si>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</si>
  <si>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</si>
  <si>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</si>
  <si>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40 — RODOVIA TO-010 - TRECHO WANDERLÂNDIA - RIACHINHO</t>
  </si>
  <si>
    <t>EXTENSÃO: 60,749 km  ·  7 S.R.E.</t>
  </si>
  <si>
    <t>S.R.E. 010ETO0421   |   WANDERLÂNDIA *TRECHO URBANO*   |   PSU · Municipal · 1.084 km  ·  início: -6.849179, -47.964118</t>
  </si>
  <si>
    <t>010ETO0421</t>
  </si>
  <si>
    <t>S.R.E. 010ETO0422   |   WANDERLÂNDIA *TRECHO URBANO*   |   PSU · Municipal · 0.715 km  ·  sem coordenada no shape</t>
  </si>
  <si>
    <t>010ETO0422</t>
  </si>
  <si>
    <t>S.R.E. 010ETO0430   |   WANDERLANDIA - ENTR. BR-153   |   PPS · Estadual · 1.074 km  ·  início: -6.835071, -47.97269</t>
  </si>
  <si>
    <t>010ETO0430</t>
  </si>
  <si>
    <t>S.R.E. 010ETO0440   |   ENTR. BR-226 - ENTR.BR-153   |   PPS · Estadual · 2.988 km  ·  sem coordenada no shape</t>
  </si>
  <si>
    <t>010ETO0440</t>
  </si>
  <si>
    <t>S.R.E. 010ETO0470   |   ENTR. BR-153 - CENTRO DOS BORGES   |   PPS · Estadual · 42.716 km  ·  início: -6.828264, -47.976211</t>
  </si>
  <si>
    <t>010ETO0470</t>
  </si>
  <si>
    <t>S.R.E. 010ETO0480   |   CENTRO DOS BORGES - SOROROCA   |   PPS · Estadual · 5.230 km  ·  início: -6.500913, -48.060737</t>
  </si>
  <si>
    <t>010ETO0480</t>
  </si>
  <si>
    <t>S.R.E. 010ETO0490   |   SOROROCA - ENTR. TO-416   |   PPS · Estadual · 6.942 km  ·  início: -6.482327, -48.092095</t>
  </si>
  <si>
    <t>010ETO0490</t>
  </si>
  <si>
    <t>TRECHO 41 — RODOVIA TO-164 - TRECHO ENTR. BR-153 (XAMBIOÁ) - ARAGUANÃ</t>
  </si>
  <si>
    <t>EXTENSÃO: 25,715 km  ·  3 S.R.E.</t>
  </si>
  <si>
    <t>S.R.E. 164ETO0095   |   ENTR. BR-153 (XAMBIOÁ) - ENTR. TO-418 (XAMBIOAZINHO)   |   PPS · Estadual · 3.924 km  ·  início: -6.424913, -48.536456</t>
  </si>
  <si>
    <t>164ETO0095</t>
  </si>
  <si>
    <t>S.R.E. 164ETO0100   |   ENTR. TO-418 (XAMBIOAZINHO) - ARAGUANÃ *TRECHO URBANO*   |   PPS · Estadual · 19.226 km  ·  início: -6.452376, -48.54098</t>
  </si>
  <si>
    <t>164ETO0100</t>
  </si>
  <si>
    <t>S.R.E. 164ETO0101   |   ARAGUANÃ *TRECHO URBANO*   |   PSU · Municipal · 2.565 km  ·  início: -6.570846, -48.639225</t>
  </si>
  <si>
    <t>164ETO0101</t>
  </si>
  <si>
    <t>TRECHO 42 — RODOVIA TO-164 - TRECHO FÁBRICA DE CIMENTO - XAMBIOÁ - ENTR. BR-153</t>
  </si>
  <si>
    <t>EXTENSÃO: 13,451 km  ·  3 S.R.E.</t>
  </si>
  <si>
    <t>S.R.E. 164ETO0070   |   FABRICA DE CIMENTO - POV. CHAPADA   |   PPS · Estadual · 3.924 km  ·  início: -6.428219, -48.429519</t>
  </si>
  <si>
    <t>164ETO0070</t>
  </si>
  <si>
    <t>S.R.E. 164ETO0080   |   POV. CHAPADA - POV. MANCHAO DO MEIO   |   PPS · Estadual · 5.906 km  ·  início: -6.416308, -48.453859</t>
  </si>
  <si>
    <t>164ETO0080</t>
  </si>
  <si>
    <t>S.R.E. 164ETO0090   |   POV. MANCHAO DO MEIO - ENTR. BR-153 (XAMBIOÁ)   |   PPS · Estadual · 3.621 km  ·  início: -6.410774, -48.505065</t>
  </si>
  <si>
    <t>164ETO0090</t>
  </si>
  <si>
    <t>TRECHO 43 — RODOVIA TO-164 - TRECHO ARAGOMINAS - MURICILÂNDIA</t>
  </si>
  <si>
    <t>EXTENSÃO: 21,148 km  ·  2 S.R.E.</t>
  </si>
  <si>
    <t>S.R.E. 164ETO0151   |   ARAGOMINAS *TRECHO URBANO*   |   PSU · Municipal · 1.149 km  ·  início: -7.173159, -48.525686</t>
  </si>
  <si>
    <t>164ETO0151</t>
  </si>
  <si>
    <t>S.R.E. 164ETO0155   |   ARAGOMINAS *TRECHO URBANO* - MURICILÃNDIA   |   PPS · Estadual · 19.999 km  ·  início: -7.167667, -48.526911</t>
  </si>
  <si>
    <t>164ETO0155</t>
  </si>
  <si>
    <t>TRECHO 44 — RODOVIA TO-164 - TRECHO ARAGUANÃ - CARMOLÂNDIA</t>
  </si>
  <si>
    <t>EXTENSÃO: 60,402 km  ·  2 S.R.E.</t>
  </si>
  <si>
    <t>S.R.E. 164ETO0110   |   ARAGUANÃ *TRECHO URBANO* - JACILÃNDIA   |   PPS · Estadual · 33.928 km  ·  início: -6.592737, -48.641603</t>
  </si>
  <si>
    <t>164ETO0110</t>
  </si>
  <si>
    <t>S.R.E. 164ETO0120   |   JACILÃNDIA - CARMOLÃNDIA   |   PPS · Estadual · 26.475 km  ·  início: -6.850281, -48.518161</t>
  </si>
  <si>
    <t>164ETO0120</t>
  </si>
  <si>
    <t>TRECHO 45 — RODOVIA TO-164 - TRECHO CARMOLÂNDIA - ENTR. TO-222 - ARAGOMINAS</t>
  </si>
  <si>
    <t>EXTENSÃO: 42,611 km  ·  3 S.R.E.</t>
  </si>
  <si>
    <t>S.R.E. 164ETO0130   |   CARMOLÃNDIA - ENTR. TO-222 (NOVO HORIZONTE)   |   PPS · Estadual · 17.706 km  ·  início: -7.041732, -48.393215</t>
  </si>
  <si>
    <t>164ETO0130</t>
  </si>
  <si>
    <t>S.R.E. 164ETO0140   |   TO-222 (NOVO HORIZONTE) - ENTR. TO-419 (BRITADOR)   |   PPS · Estadual · 11.972 km  ·  início: -7.185302, -48.343157</t>
  </si>
  <si>
    <t>164ETO0140</t>
  </si>
  <si>
    <t>S.R.E. 164ETO0150   |   ENTR. TO-419 (BRITADOR) - ARAGOMINAS *TRECHO URBANO*   |   PPS · Estadual · 12.934 km  ·  início: -7.195873, -48.445507</t>
  </si>
  <si>
    <t>164ETO0150</t>
  </si>
  <si>
    <t>TRECHO 46 — RODOVIA TO-164 - TRECHO ENTR. TO-226 - POVOADO DEZENOVE - BERNARDO SAYÃO</t>
  </si>
  <si>
    <t>EXTENSÃO: 40,989 km  ·  4 S.R.E.</t>
  </si>
  <si>
    <t>S.R.E. 164ETO0210   |   ENTR. TO-230 (DEZENOVE) - ENTR. TO-430   |   PPS · Estadual · 24.684 km  ·  início: -7.641218, -48.800932</t>
  </si>
  <si>
    <t>164ETO0210</t>
  </si>
  <si>
    <t>S.R.E. 164ETO0230   |   ENTR. TO-430 - ZÉ PRETO   |   PPS · Estadual · 4.983 km  ·  início: -7.762409, -48.945331</t>
  </si>
  <si>
    <t>164ETO0230</t>
  </si>
  <si>
    <t>S.R.E. 164ETO0240   |   ZÉ PRETO - ENTR. TO-433   |   PPS · Estadual · 8.820 km  ·  início: -7.802694, -48.930379</t>
  </si>
  <si>
    <t>164ETO0240</t>
  </si>
  <si>
    <t>S.R.E. 164ETO0250   |   ENTR. TO-433 - BERNARDO SAYÃO *TRECHO URBANO*   |   PPS · Estadual · 2.503 km  ·  início: -7.856497, -48.899827</t>
  </si>
  <si>
    <t>164ETO0250</t>
  </si>
  <si>
    <t>TRECHO 47 — RODOVIA TO-164 - TRECHO MURICILÂNDIA - ENTR. TO-226</t>
  </si>
  <si>
    <t>EXTENSÃO: 1,894 km  ·  1 S.R.E.</t>
  </si>
  <si>
    <t>S.R.E. 164ETO0156E   |   MURICILÃNDIA  * TRECHO URBANO*  (código antigo: 164ETO0156)   |   PSU · Municipal · 1.894 km  ·  início: -7.137499, -48.603267</t>
  </si>
  <si>
    <t>164ETO0156E</t>
  </si>
  <si>
    <t>TRECHO 50 — RODOVIA TO-222 - TRECHO ARAGUAÍNA - ENTR. TO-164 (NOVO HORIZONTE)</t>
  </si>
  <si>
    <t>EXTENSÃO: 13,382 km  ·  2 S.R.E.</t>
  </si>
  <si>
    <t>S.R.E. 222ETO0130   |   ENTR. BR-153 (ARAGUAINA) - ENTR. TO-419 (BARRA DA GROTA)   |   PPS · Estadual · 8.004 km  ·  início: -7.192905, -48.23565</t>
  </si>
  <si>
    <t>222ETO0130</t>
  </si>
  <si>
    <t>S.R.E. 222ETO0140   |   ENTR. TO-419 (BARRA DA GROTA) - TO-164 (NOVO HORIZONTE)   |   PPS · Estadual · 5.377 km  ·  início: -7.208791, -48.302069</t>
  </si>
  <si>
    <t>222ETO0140</t>
  </si>
  <si>
    <t>TRECHO 51 — RODOVIA TO-222 - TRECHO MURICILÂNDIA - SANTA FÉ DO ARAGUAIA</t>
  </si>
  <si>
    <t>EXTENSÃO: 9,706 km  ·  1 S.R.E.</t>
  </si>
  <si>
    <t>S.R.E. 222ETO0180   |   MURICILÃNDIA *TRECHO URBANO* - SANTA FÉ DO ARAGUAIA   |   PPS · Estadual · 9.706 km  ·  início: -7.147943, -48.681664</t>
  </si>
  <si>
    <t>222ETO0180</t>
  </si>
  <si>
    <t>TRECHO 52 — RODOVIA TO-222 - TRECHO SANTA FÉ DO ARAGUAIA - DIVISA TO-PA (POVOADO PORTO LEMOS)</t>
  </si>
  <si>
    <t>EXTENSÃO: 57,036 km  ·  3 S.R.E.</t>
  </si>
  <si>
    <t>S.R.E. 222ETO0190   |   SANTA FÉ DO ARAGUAIA *TRECHO URBANO* - ENTR. TO-416   |   PPS · Estadual · 3.182 km  ·  início: -7.152448, -48.697251</t>
  </si>
  <si>
    <t>222ETO0190</t>
  </si>
  <si>
    <t>S.R.E. 222ETO0200   |   ENTR. TO-416 - ENTR. TO-166   |   PPS · Estadual · 30.934 km  ·  início: -7.131391, -48.716648</t>
  </si>
  <si>
    <t>222ETO0200</t>
  </si>
  <si>
    <t>S.R.E. 222ETO0210   |   ENTR. TO-166 - DIV TO-PA (PORTO LEMOS)   |   PPS · Estadual · 22.921 km  ·  início: -7.008066, -48.963547</t>
  </si>
  <si>
    <t>222ETO0210</t>
  </si>
  <si>
    <t>TRECHO 53 — RODOVIA TO-226 - TRECHO ENTR. BR-153 (POVOADO RIO PRETO) - DIVISA TO-PA (POVOADO GARIMPINHO)</t>
  </si>
  <si>
    <t>EXTENSÃO: 102,645 km  ·  8 S.R.E.</t>
  </si>
  <si>
    <t>S.R.E. 165ETO0110   |   ENTR. TO-226 (A) - ENTR. TO-226 (B)   |   PPS · Estadual · 1.015 km  ·  início: -7.372855, -48.940008</t>
  </si>
  <si>
    <t>165ETO0110</t>
  </si>
  <si>
    <t>▲ AQUI HÁ 3.981 km FORA DO ESCOPO DO CONTRATO (perímetro urbano de jurisdição municipal). Você passa por ele, mas NÃO preenche.</t>
  </si>
  <si>
    <t>S.R.E. 166ETO0110   |   ENTR. TO-226 (A) - ENTR. TO-226 (B)   |   PPS · Estadual · 1.588 km  ·  início: -7.378601, -49.055589</t>
  </si>
  <si>
    <t>166ETO0110</t>
  </si>
  <si>
    <t>▲ AQUI HÁ 229.618 km FORA DO ESCOPO DO CONTRATO (perímetro urbano de jurisdição municipal). Você passa por ele, mas NÃO preenche.</t>
  </si>
  <si>
    <t>S.R.E. 226ETO0240   |   ENTR. BR-153 - ENTR. TO-164 (A)   |   PPS · Estadual · 36.321 km  ·  início: -7.463114, -48.692372</t>
  </si>
  <si>
    <t>226ETO0240</t>
  </si>
  <si>
    <t>S.R.E. 226ETO0250   |   ENTR. TO-164 (A) - ENTR. TO-164 (B)   |   PPS · Estadual · 5.791 km  ·  sem coordenada no shape</t>
  </si>
  <si>
    <t>226ETO0250</t>
  </si>
  <si>
    <t>S.R.E. 226ETO0260   |   ENTR. TO-164 (B) - ENTR. TO-165 (A)   |   PPS · Estadual · 25.722 km  ·  início: -7.433373, -48.734684</t>
  </si>
  <si>
    <t>226ETO0260</t>
  </si>
  <si>
    <t>▲ AQUI HÁ 1.015 km FORA DO ESCOPO DO CONTRATO (perímetro urbano de jurisdição municipal). Você passa por ele, mas NÃO preenche.</t>
  </si>
  <si>
    <t>S.R.E. 226ETO0270   |   ENTR. TO-165 (B) - ENTR. TO-166 (A)   |   PPS · Estadual · 12.405 km  ·  início: -7.373361, -48.949051</t>
  </si>
  <si>
    <t>226ETO0270</t>
  </si>
  <si>
    <t>▲ AQUI HÁ 1.588 km FORA DO ESCOPO DO CONTRATO (perímetro urbano de jurisdição municipal). Você passa por ele, mas NÃO preenche.</t>
  </si>
  <si>
    <t>S.R.E. 226ETO0280   |   ENTR. TO-166  (B) - ENTR. TO-427   |   PPS · Estadual · 12.495 km  ·  início: -7.379367, -49.070044</t>
  </si>
  <si>
    <t>226ETO0280</t>
  </si>
  <si>
    <t>S.R.E. 226ETO0290   |   ENTR. TO-427 - DIV TO-PA (GARIMPINHO)   |   PPS · Estadual · 7.309 km  ·  início: -7.370215, -49.172884</t>
  </si>
  <si>
    <t>226ETO0290</t>
  </si>
  <si>
    <t>TRECHO 54 — RODOVIA TO-230 - TRECHO ARAPOEMA - PAU D'ARCO (DIVISA TO-PA)</t>
  </si>
  <si>
    <t>EXTENSÃO: 36,534 km  ·  2 S.R.E.</t>
  </si>
  <si>
    <t>S.R.E. 230ETO0200   |   ARAPOEMA *TRECHO URBANO* - ENTR. TO-429   |   PPS · Estadual · 5.310 km  ·  início: -7.659361, -49.079969</t>
  </si>
  <si>
    <t>230ETO0200</t>
  </si>
  <si>
    <t>S.R.E. 230ETO0210   |   ENTR. TO-429 - PAU DARCO *TRECHO URBANO   |   PPS · Estadual · 31.224 km  ·  início: -7.659272, -49.125305</t>
  </si>
  <si>
    <t>230ETO0210</t>
  </si>
  <si>
    <t>TRECHO 55 — RODOVIA TO-230 - TRECHO BANDEIRANTES DO TOCANTINS - ARAPOEMA</t>
  </si>
  <si>
    <t>EXTENSÃO: 61,884 km  ·  7 S.R.E.</t>
  </si>
  <si>
    <t>S.R.E. 230ETO0130   |   BANDEIRANTES DO TO *TRECHO URBANO* - BRASILENE   |   PPS · Estadual · 11.489 km  ·  início: -7.760307, -48.580571</t>
  </si>
  <si>
    <t>230ETO0130</t>
  </si>
  <si>
    <t>S.R.E. 230ETO0140   |   BRASILENE - ENTR. TO-433   |   PPS · Estadual · 0.619 km  ·  início: -7.745393, -48.67856</t>
  </si>
  <si>
    <t>230ETO0140</t>
  </si>
  <si>
    <t>S.R.E. 230ETO0150   |   ENTR. TO-433 - ENTR.TO-164   |   PPS · Estadual · 18.907 km  ·  início: -7.743906, -48.680924</t>
  </si>
  <si>
    <t>230ETO0150</t>
  </si>
  <si>
    <t>▲ AQUI HÁ 0.923 km FORA DO ESCOPO DO CONTRATO (perímetro urbano de jurisdição municipal). Você passa por ele, mas NÃO preenche.</t>
  </si>
  <si>
    <t>S.R.E. 230ETO0170   |   ENTR.TO-164 (DEZENOVE) - ENTR. TO-430   |   PPS · Estadual · 26.375 km  ·  início: -7.641302, -48.802415</t>
  </si>
  <si>
    <t>230ETO0170</t>
  </si>
  <si>
    <t>S.R.E. 230ETO0180   |   ENTR. TO-430 - CORIOLANDO   |   PPS · Estadual · 1.074 km  ·  início: -7.659078, -49.026887</t>
  </si>
  <si>
    <t>230ETO0180</t>
  </si>
  <si>
    <t>S.R.E. 230ETO0190   |   CORIOLANDO - ARAPOEMA *TRECHO URBANO*   |   PPS · Estadual · 2.498 km  ·  início: -7.659598, -49.03648</t>
  </si>
  <si>
    <t>230ETO0190</t>
  </si>
  <si>
    <t>▲ AQUI HÁ 164.274 km FORA DO ESCOPO DO CONTRATO (perímetro urbano de jurisdição municipal). Você passa por ele, mas NÃO preenche.</t>
  </si>
  <si>
    <t>S.R.E. 164ETO0200   |   ENTR. TO-164 - DEZENOVE   |   PSU · Estadual · 0.923 km  ·  início: -7.640857, -48.79623</t>
  </si>
  <si>
    <t>164ETO0200</t>
  </si>
  <si>
    <t>TRECHO 56 — RODOVIA TO-230 - TRECHO ENTR. BR-153 - BANDEIRANTES DO TOCANTINS</t>
  </si>
  <si>
    <t>EXTENSÃO: 15,768 km  ·  1 S.R.E.</t>
  </si>
  <si>
    <t>S.R.E. 230ETO0100   |   ENTR.BR-153 - BANDEIRANTES DO TOCANTINS *TRECHO URBANO*   |   PPS · Estadual · 15.768 km  ·  início: -7.800632, -48.457024</t>
  </si>
  <si>
    <t>230ETO0100</t>
  </si>
  <si>
    <t>TRECHO 57 — RODOVIA TO-416 - TRECHO ENTR. BR-153 - RIACHINHO</t>
  </si>
  <si>
    <t>EXTENSÃO: 32,247 km  ·  1 S.R.E.</t>
  </si>
  <si>
    <t>S.R.E. 416ETO0050   |   RIACHINHO - ENTR. BR-153   |   PPS · Estadual · 32.247 km  ·  início: -6.446327, -48.137832</t>
  </si>
  <si>
    <t>416ETO0050</t>
  </si>
  <si>
    <t>TRECHO 58 — RODOVIA TO-416 - TRECHO ENTR. TO-222 - POVOADO COCALINHO</t>
  </si>
  <si>
    <t>EXTENSÃO: 3,868 km  ·  1 S.R.E.</t>
  </si>
  <si>
    <t>S.R.E. 416ETO0100   |   POV. COCALINHO - ENTR. TO-222   |   PPS · Estadual · 3.868 km  ·  início: -7.131462, -48.716572</t>
  </si>
  <si>
    <t>416ETO0100</t>
  </si>
  <si>
    <t>TRECHO 61 — RODOVIA TO-420 - TRECHO ENTR. BR-153 (POVOADO XAMBERLÂNDIA) - PIRAQUÊ - ENTR. BR-153</t>
  </si>
  <si>
    <t>EXTENSÃO: 38,142 km  ·  2 S.R.E.</t>
  </si>
  <si>
    <t>S.R.E. 420ETO0010   |   ENTR. BR-153 - PIRAQUÊ *TRECHO URBANO*   |   PPS · Estadual · 6.424 km  ·  início: -6.71097, -48.277171</t>
  </si>
  <si>
    <t>420ETO0010</t>
  </si>
  <si>
    <t>▲ AQUI HÁ 1.037 km FORA DO ESCOPO DO CONTRATO (perímetro urbano de jurisdição municipal). Você passa por ele, mas NÃO preenche.</t>
  </si>
  <si>
    <t>S.R.E. 420ETO0030   |   PIRAQUÊ *TRECHO URBANO* - ENTR. BR-153 (XAMBERLÂNDIA)   |   PPS · Estadual · 31.718 km  ·  início: -6.83734, -48.223633</t>
  </si>
  <si>
    <t>420ETO0030</t>
  </si>
  <si>
    <t>TRECHO 63 — RODOVIA TO-427 - TRECHO PAU D'ARCO (DIVISA TO-PA) - ENTR. TO-226</t>
  </si>
  <si>
    <t>EXTENSÃO: 28,991 km  ·  1 S.R.E.</t>
  </si>
  <si>
    <t>S.R.E. 427ETO0010   |   ENTR. TO-226 - PAU D'ARCO *TRECHO URBANO*   |   PPS · Estadual · 28.991 km  ·  início: -7.535717, -49.363115</t>
  </si>
  <si>
    <t>427ETO0010</t>
  </si>
  <si>
    <t>TÉCNICOS</t>
  </si>
  <si>
    <t>ENG. VINÍCIUS RODRIGUES FERREIRA DE OLIVEIRA</t>
  </si>
  <si>
    <t>LABORATORISTA CLAUDIOMIRO VIEIRA LOPES</t>
  </si>
  <si>
    <t>ENG. VINICIUS RODRIGUES FERREIRA DE OLIVEIRA</t>
  </si>
  <si>
    <t xml:space="preserve">erosão bordo direito pista </t>
  </si>
  <si>
    <t>x</t>
  </si>
  <si>
    <t xml:space="preserve">erosão bordo direito da pista </t>
  </si>
  <si>
    <t xml:space="preserve">erosão bordo esquerdo da pista </t>
  </si>
  <si>
    <t xml:space="preserve">trecho pav 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</si>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</sst>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7.5"/>
      <color rgb="FF000000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9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3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6" fillId="2" borderId="0" xfId="0" applyFont="1" applyFill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82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7-4871-80F0-1681E612757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7-4871-80F0-1681E612757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7-4871-80F0-1681E612757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27-4871-80F0-1681E612757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27-4871-80F0-1681E61275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357.81460315285699</c:v>
                </c:pt>
                <c:pt idx="1">
                  <c:v>106.56370877072001</c:v>
                </c:pt>
                <c:pt idx="2">
                  <c:v>113.95533087609</c:v>
                </c:pt>
                <c:pt idx="3">
                  <c:v>30.424239517330001</c:v>
                </c:pt>
                <c:pt idx="4">
                  <c:v>39.867345289460005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27-4871-80F0-1681E61275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9E-447D-BD8F-5690996D8BE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9E-447D-BD8F-5690996D8B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524.36030007772695</c:v>
                </c:pt>
                <c:pt idx="1">
                  <c:v>153.25557604193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9E-447D-BD8F-5690996D8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18-4E17-9401-6089B33B431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18-4E17-9401-6089B33B431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18-4E17-9401-6089B33B431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22.658043037134998</c:v>
                </c:pt>
                <c:pt idx="1">
                  <c:v>592.21184567982198</c:v>
                </c:pt>
                <c:pt idx="2">
                  <c:v>33.755338889500003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18-4E17-9401-6089B33B4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03-4BA2-9A19-FAEFEB6494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03-4BA2-9A19-FAEFEB6494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03-4BA2-9A19-FAEFEB6494C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226.65826165900199</c:v>
                </c:pt>
                <c:pt idx="1">
                  <c:v>240.29337191534003</c:v>
                </c:pt>
                <c:pt idx="2">
                  <c:v>210.66424254531503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03-4BA2-9A19-FAEFEB6494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E1-4C9B-9695-16D4499ECFB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E1-4C9B-9695-16D4499ECFB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E1-4C9B-9695-16D4499ECFB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139.203920456481</c:v>
                </c:pt>
                <c:pt idx="1">
                  <c:v>346.845997843291</c:v>
                </c:pt>
                <c:pt idx="2">
                  <c:v>191.565957819885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E1-4C9B-9695-16D4499EC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28-4912-B949-968BE6894AA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28-4912-B949-968BE6894AA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28-4912-B949-968BE6894AA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28-4912-B949-968BE6894AA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28-4912-B949-968BE6894AA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10.45280680067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28-4912-B949-968BE6894A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40-41B7-9963-4B939B86DB7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40-41B7-9963-4B939B86DB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'39'!$AD$2:$AE$2</c:f>
              <c:numCache>
                <c:formatCode>#,##0.00</c:formatCode>
                <c:ptCount val="2"/>
                <c:pt idx="0">
                  <c:v>10.45280680067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0-41B7-9963-4B939B86D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1C-4293-83FA-CB58B1A706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1C-4293-83FA-CB58B1A706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1C-4293-83FA-CB58B1A706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10.45280680067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C-4293-83FA-CB58B1A706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6D-48C6-8161-FD7CB3BB8D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6D-48C6-8161-FD7CB3BB8D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6D-48C6-8161-FD7CB3BB8D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10.45280680067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D-48C6-8161-FD7CB3BB8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40-4060-B5C7-4CF527B988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40-4060-B5C7-4CF527B988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40-4060-B5C7-4CF527B988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2.4295262325400002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40-4060-B5C7-4CF527B98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29-482C-BD56-A8DD2335F2F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29-482C-BD56-A8DD2335F2F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29-482C-BD56-A8DD2335F2F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29-482C-BD56-A8DD2335F2F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29-482C-BD56-A8DD2335F2F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'40'!$Y$2:$AC$2</c:f>
              <c:numCache>
                <c:formatCode>#,##0.00</c:formatCode>
                <c:ptCount val="5"/>
                <c:pt idx="0">
                  <c:v>59.674512841985006</c:v>
                </c:pt>
                <c:pt idx="1">
                  <c:v>#N/A</c:v>
                </c:pt>
                <c:pt idx="2">
                  <c:v>1.0743693946599999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9-482C-BD56-A8DD2335F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DC-4673-AF77-958F4DE1BB1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DC-4673-AF77-958F4DE1BB1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'40'!$AD$2:$AE$2</c:f>
              <c:numCache>
                <c:formatCode>#,##0.00</c:formatCode>
                <c:ptCount val="2"/>
                <c:pt idx="0">
                  <c:v>60.748882236645002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C-4673-AF77-958F4DE1BB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C7-4C49-93E6-E1226D5A1D2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C7-4C49-93E6-E1226D5A1D2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C7-4C49-93E6-E1226D5A1D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'40'!$AF$2:$AH$2</c:f>
              <c:numCache>
                <c:formatCode>#,##0.00</c:formatCode>
                <c:ptCount val="3"/>
                <c:pt idx="0">
                  <c:v>1.798351071735</c:v>
                </c:pt>
                <c:pt idx="1">
                  <c:v>55.962443066229994</c:v>
                </c:pt>
                <c:pt idx="2">
                  <c:v>2.98808809868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C7-4C49-93E6-E1226D5A1D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D6-469C-B90E-72B6928C21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D6-469C-B90E-72B6928C21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D6-469C-B90E-72B6928C21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'40'!$AI$2:$AK$2</c:f>
              <c:numCache>
                <c:formatCode>#,##0.00</c:formatCode>
                <c:ptCount val="3"/>
                <c:pt idx="0">
                  <c:v>54.888073671569998</c:v>
                </c:pt>
                <c:pt idx="1">
                  <c:v>#N/A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6-469C-B90E-72B6928C21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FD-45C1-AFDB-0566E9B7B99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FD-45C1-AFDB-0566E9B7B99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FD-45C1-AFDB-0566E9B7B9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54.888073671569998</c:v>
                </c:pt>
                <c:pt idx="2">
                  <c:v>5.8608085650750006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D-45C1-AFDB-0566E9B7B9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A9-4499-80A3-CDCA9BF9850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A9-4499-80A3-CDCA9BF9850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A9-4499-80A3-CDCA9BF9850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FA9-4499-80A3-CDCA9BF9850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FA9-4499-80A3-CDCA9BF9850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'41'!$Y$2:$AC$2</c:f>
              <c:numCache>
                <c:formatCode>#,##0.00</c:formatCode>
                <c:ptCount val="5"/>
                <c:pt idx="0">
                  <c:v>19.715092982809999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A9-4499-80A3-CDCA9BF985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3A-46E0-92F4-B124CE10675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3A-46E0-92F4-B124CE1067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'41'!$AD$2:$AE$2</c:f>
              <c:numCache>
                <c:formatCode>#,##0.00</c:formatCode>
                <c:ptCount val="2"/>
                <c:pt idx="0">
                  <c:v>25.715092982809999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3A-46E0-92F4-B124CE106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36-4EB8-AA7E-79196B4757C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36-4EB8-AA7E-79196B4757C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36-4EB8-AA7E-79196B4757C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'41'!$AF$2:$AH$2</c:f>
              <c:numCache>
                <c:formatCode>#,##0.00</c:formatCode>
                <c:ptCount val="3"/>
                <c:pt idx="0">
                  <c:v>2.56461788976</c:v>
                </c:pt>
                <c:pt idx="1">
                  <c:v>23.150475093049998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36-4EB8-AA7E-79196B4757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4-4785-B592-8752DEF4CD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4-4785-B592-8752DEF4CD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4-4785-B592-8752DEF4CD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'41'!$AI$2:$AK$2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4-4785-B592-8752DEF4CD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4A-44D3-8C32-869ABA92C04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4A-44D3-8C32-869ABA92C04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4A-44D3-8C32-869ABA92C04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'41'!$AL$2:$AN$2</c:f>
              <c:numCache>
                <c:formatCode>#,##0.00</c:formatCode>
                <c:ptCount val="3"/>
                <c:pt idx="0">
                  <c:v>25.715092982809999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4A-44D3-8C32-869ABA92C0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4-4006-903F-36D18E5D704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4-4006-903F-36D18E5D704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4-4006-903F-36D18E5D704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94-4006-903F-36D18E5D704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94-4006-903F-36D18E5D70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'42'!$Y$2:$AC$2</c:f>
              <c:numCache>
                <c:formatCode>#,##0.00</c:formatCode>
                <c:ptCount val="5"/>
                <c:pt idx="0">
                  <c:v>4.8300059045900001</c:v>
                </c:pt>
                <c:pt idx="1">
                  <c:v>#N/A</c:v>
                </c:pt>
                <c:pt idx="2">
                  <c:v>#N/A</c:v>
                </c:pt>
                <c:pt idx="3">
                  <c:v>1</c:v>
                </c:pt>
                <c:pt idx="4">
                  <c:v>7.6206039488599995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94-4006-903F-36D18E5D70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86-490C-AEF1-7C1BC8A7258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86-490C-AEF1-7C1BC8A725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'42'!$AD$2:$AE$2</c:f>
              <c:numCache>
                <c:formatCode>#,##0.00</c:formatCode>
                <c:ptCount val="2"/>
                <c:pt idx="0">
                  <c:v>13.45060985345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6-490C-AEF1-7C1BC8A725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BD-4B8C-ACA7-2C21FC6ABE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BD-4B8C-ACA7-2C21FC6ABE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BD-4B8C-ACA7-2C21FC6ABE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13.45060985345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BD-4B8C-ACA7-2C21FC6ABE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C7-4FD2-AF86-C4710AB17E7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C7-4FD2-AF86-C4710AB17E7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C7-4FD2-AF86-C4710AB17E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C7-4FD2-AF86-C4710AB17E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E-4872-BCC8-BF54BC0E122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E-4872-BCC8-BF54BC0E122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5E-4872-BCC8-BF54BC0E122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13.45060985345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E-4872-BCC8-BF54BC0E12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55-4E1C-994D-4CA8E1F2CD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55-4E1C-994D-4CA8E1F2CD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55-4E1C-994D-4CA8E1F2CD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55-4E1C-994D-4CA8E1F2CD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55-4E1C-994D-4CA8E1F2CD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15.9988076329</c:v>
                </c:pt>
                <c:pt idx="2">
                  <c:v>5.1489827306800002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55-4E1C-994D-4CA8E1F2CD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47-4125-A5FE-CF1F5A0D422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47-4125-A5FE-CF1F5A0D42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'43'!$AD$2:$AE$2</c:f>
              <c:numCache>
                <c:formatCode>#,##0.00</c:formatCode>
                <c:ptCount val="2"/>
                <c:pt idx="0">
                  <c:v>8.9988076329000002</c:v>
                </c:pt>
                <c:pt idx="1">
                  <c:v>12.14898273068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7-4125-A5FE-CF1F5A0D42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8C-4E20-AE0F-ED627D05B6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8C-4E20-AE0F-ED627D05B6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8C-4E20-AE0F-ED627D05B6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'43'!$AF$2:$AH$2</c:f>
              <c:numCache>
                <c:formatCode>#,##0.00</c:formatCode>
                <c:ptCount val="3"/>
                <c:pt idx="0">
                  <c:v>0.99880763290000019</c:v>
                </c:pt>
                <c:pt idx="1">
                  <c:v>20.14898273068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8C-4E20-AE0F-ED627D05B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B3-4FD6-9475-3A3A9C08CC2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B3-4FD6-9475-3A3A9C08CC2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B3-4FD6-9475-3A3A9C08CC2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21.14779036358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3-4FD6-9475-3A3A9C08C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DE-4469-9045-DFA7039984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DE-4469-9045-DFA7039984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DE-4469-9045-DFA70399848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20.14898273068</c:v>
                </c:pt>
                <c:pt idx="2">
                  <c:v>0.99880763290000019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E-4469-9045-DFA703998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62E-4751-9DA5-419C394EC14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62E-4751-9DA5-419C394EC14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62E-4751-9DA5-419C394EC14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62E-4751-9DA5-419C394EC14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62E-4751-9DA5-419C394EC14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'44'!$Y$2:$AC$2</c:f>
              <c:numCache>
                <c:formatCode>#,##0.00</c:formatCode>
                <c:ptCount val="5"/>
                <c:pt idx="0">
                  <c:v>48.402238862100006</c:v>
                </c:pt>
                <c:pt idx="1">
                  <c:v>9</c:v>
                </c:pt>
                <c:pt idx="2">
                  <c:v>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2E-4751-9DA5-419C394EC1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9B-40CE-932E-CFF72BD4BDD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9B-40CE-932E-CFF72BD4BD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'44'!$AD$2:$AE$2</c:f>
              <c:numCache>
                <c:formatCode>#,##0.00</c:formatCode>
                <c:ptCount val="2"/>
                <c:pt idx="0">
                  <c:v>60.402238862100006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B-40CE-932E-CFF72BD4B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74-48A3-B691-189F0AA2CED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74-48A3-B691-189F0AA2CED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74-48A3-B691-189F0AA2CED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'44'!$AF$2:$AH$2</c:f>
              <c:numCache>
                <c:formatCode>#,##0.00</c:formatCode>
                <c:ptCount val="3"/>
                <c:pt idx="0">
                  <c:v>2.4746414903999998</c:v>
                </c:pt>
                <c:pt idx="1">
                  <c:v>57.927597371700003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74-48A3-B691-189F0AA2CE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4C-45A3-A490-E8D420E400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4C-45A3-A490-E8D420E400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4C-45A3-A490-E8D420E400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'44'!$AI$2:$AK$2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C-45A3-A490-E8D420E400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1B-42C6-92E1-A0D5DDB4DD2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1B-42C6-92E1-A0D5DDB4DD2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1B-42C6-92E1-A0D5DDB4DD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'44'!$AL$2:$AN$2</c:f>
              <c:numCache>
                <c:formatCode>#,##0.00</c:formatCode>
                <c:ptCount val="3"/>
                <c:pt idx="0">
                  <c:v>60.402238862100006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B-42C6-92E1-A0D5DDB4D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47-45DB-896C-0E71723DB9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47-45DB-896C-0E71723DB9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47-45DB-896C-0E71723DB9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47-45DB-896C-0E71723DB9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47-45DB-896C-0E71723DB9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'45'!$Y$2:$AC$2</c:f>
              <c:numCache>
                <c:formatCode>#,##0.00</c:formatCode>
                <c:ptCount val="5"/>
                <c:pt idx="0">
                  <c:v>15.934190184</c:v>
                </c:pt>
                <c:pt idx="1">
                  <c:v>#N/A</c:v>
                </c:pt>
                <c:pt idx="2">
                  <c:v>26.677212393000001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47-45DB-896C-0E71723DB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88-4166-8E37-3D60C81D6A6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88-4166-8E37-3D60C81D6A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'45'!$AD$2:$AE$2</c:f>
              <c:numCache>
                <c:formatCode>#,##0.00</c:formatCode>
                <c:ptCount val="2"/>
                <c:pt idx="0">
                  <c:v>3</c:v>
                </c:pt>
                <c:pt idx="1">
                  <c:v>39.611402577000007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88-4166-8E37-3D60C81D6A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FA-4425-809F-31AC755DC02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FA-4425-809F-31AC755DC02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FA-4425-809F-31AC755DC02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42.611402577000007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A-4425-809F-31AC755DC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F2-465C-A4A1-A266C932487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F2-465C-A4A1-A266C932487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F2-465C-A4A1-A266C932487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'45'!$AI$2:$AK$2</c:f>
              <c:numCache>
                <c:formatCode>#,##0.00</c:formatCode>
                <c:ptCount val="3"/>
                <c:pt idx="0">
                  <c:v>6</c:v>
                </c:pt>
                <c:pt idx="1">
                  <c:v>#N/A</c:v>
                </c:pt>
                <c:pt idx="2">
                  <c:v>36.611402577000007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2-465C-A4A1-A266C9324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77-4E6B-855A-681757BA25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77-4E6B-855A-681757BA25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77-4E6B-855A-681757BA25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42.611402577000007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77-4E6B-855A-681757BA2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FB-42B5-B8E6-38E2AA92441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FB-42B5-B8E6-38E2AA92441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FB-42B5-B8E6-38E2AA92441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FB-42B5-B8E6-38E2AA92441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FB-42B5-B8E6-38E2AA92441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'46'!$Y$2:$AC$2</c:f>
              <c:numCache>
                <c:formatCode>#,##0.00</c:formatCode>
                <c:ptCount val="5"/>
                <c:pt idx="0">
                  <c:v>33.98941392111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FB-42B5-B8E6-38E2AA9244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02-4E98-9554-4541A5641B1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02-4E98-9554-4541A5641B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'46'!$AD$2:$AE$2</c:f>
              <c:numCache>
                <c:formatCode>#,##0.00</c:formatCode>
                <c:ptCount val="2"/>
                <c:pt idx="0">
                  <c:v>40.98941392111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2-4E98-9554-4541A5641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EB-41A8-BE37-F427BA3EB4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EB-41A8-BE37-F427BA3EB4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EB-41A8-BE37-F427BA3EB40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'46'!$AF$2:$AH$2</c:f>
              <c:numCache>
                <c:formatCode>#,##0.00</c:formatCode>
                <c:ptCount val="3"/>
                <c:pt idx="0">
                  <c:v>9.503033102949999</c:v>
                </c:pt>
                <c:pt idx="1">
                  <c:v>29.486380818160001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EB-41A8-BE37-F427BA3EB4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4D-49BD-9EF8-287989306C0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4D-49BD-9EF8-287989306C0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4D-49BD-9EF8-287989306C0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'46'!$AI$2:$AK$2</c:f>
              <c:numCache>
                <c:formatCode>#,##0.00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27.98941392111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4D-49BD-9EF8-287989306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28-4A3E-9A3C-09888C58324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28-4A3E-9A3C-09888C58324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28-4A3E-9A3C-09888C5832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40.98941392111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28-4A3E-9A3C-09888C583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69-44A0-871A-CA39F6E9A92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69-44A0-871A-CA39F6E9A92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69-44A0-871A-CA39F6E9A92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69-44A0-871A-CA39F6E9A92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C69-44A0-871A-CA39F6E9A92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'47'!$Y$2:$AC$2</c:f>
              <c:numCache>
                <c:formatCode>#,##0.00</c:formatCode>
                <c:ptCount val="5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69-44A0-871A-CA39F6E9A9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F4-45F5-8B20-9099A4C873D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F4-45F5-8B20-9099A4C873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1.89435233206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4-45F5-8B20-9099A4C873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BB-4C7A-A925-6E4CF749F5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BB-4C7A-A925-6E4CF749F5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BB-4C7A-A925-6E4CF749F5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'47'!$AF$2:$AH$2</c:f>
              <c:numCache>
                <c:formatCode>#,##0.00</c:formatCode>
                <c:ptCount val="3"/>
                <c:pt idx="0">
                  <c:v>1.89435233206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B-4C7A-A925-6E4CF749F5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B3-4F01-AD0A-79642B88DD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B3-4F01-AD0A-79642B88DD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B3-4F01-AD0A-79642B88DD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B3-4F01-AD0A-79642B88D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F3-47C7-A769-39A8D9A7B5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F3-47C7-A769-39A8D9A7B5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F3-47C7-A769-39A8D9A7B5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1.89435233206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F3-47C7-A769-39A8D9A7B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A0-4AC8-B3F1-C4985EBC9A3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A0-4AC8-B3F1-C4985EBC9A3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A0-4AC8-B3F1-C4985EBC9A3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A0-4AC8-B3F1-C4985EBC9A3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2A0-4AC8-B3F1-C4985EBC9A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'50'!$Y$2:$AC$2</c:f>
              <c:numCache>
                <c:formatCode>#,##0.00</c:formatCode>
                <c:ptCount val="5"/>
                <c:pt idx="0">
                  <c:v>6</c:v>
                </c:pt>
                <c:pt idx="1">
                  <c:v>7.3815989884599995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A0-4AC8-B3F1-C4985EBC9A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12-4DE2-9F10-0AAD931C719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12-4DE2-9F10-0AAD931C71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'50'!$AD$2:$AE$2</c:f>
              <c:numCache>
                <c:formatCode>#,##0.00</c:formatCode>
                <c:ptCount val="2"/>
                <c:pt idx="0">
                  <c:v>13.381598988459999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12-4DE2-9F10-0AAD931C71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A-45E1-B89D-4CA76AB1C0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A-45E1-B89D-4CA76AB1C0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A-45E1-B89D-4CA76AB1C0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13.381598988459999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A-45E1-B89D-4CA76AB1C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9B-4190-9F98-82C9BA8FE2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9B-4190-9F98-82C9BA8FE2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9B-4190-9F98-82C9BA8FE2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12.381598988459999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B-4190-9F98-82C9BA8FE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DC-486B-8DB7-C9DF1488617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DC-486B-8DB7-C9DF1488617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DC-486B-8DB7-C9DF1488617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13.381598988459999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DC-486B-8DB7-C9DF148861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00-4399-8779-6BFD3B004D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00-4399-8779-6BFD3B004D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00-4399-8779-6BFD3B004DF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00-4399-8779-6BFD3B004DF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00-4399-8779-6BFD3B004D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6</c:v>
                </c:pt>
                <c:pt idx="2">
                  <c:v>1.7059136417299996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00-4399-8779-6BFD3B004D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D4-4E8D-9434-B1CE9473ADD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D4-4E8D-9434-B1CE9473AD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9.7059136417299996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D4-4E8D-9434-B1CE9473AD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97-441A-99AD-DA661E6B198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97-441A-99AD-DA661E6B198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97-441A-99AD-DA661E6B198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7-441A-99AD-DA661E6B19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56-4DBD-A532-49CD21FC6A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56-4DBD-A532-49CD21FC6A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56-4DBD-A532-49CD21FC6A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56-4DBD-A532-49CD21FC6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1B-4FA3-9091-18FB819223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1B-4FA3-9091-18FB819223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1B-4FA3-9091-18FB819223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9.7059136417299996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1B-4FA3-9091-18FB81922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44-44BC-A106-047E7E9537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44-44BC-A106-047E7E9537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44-44BC-A106-047E7E9537F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44-44BC-A106-047E7E9537F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44-44BC-A106-047E7E9537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'52'!$Y$2:$AC$2</c:f>
              <c:numCache>
                <c:formatCode>#,##0.00</c:formatCode>
                <c:ptCount val="5"/>
                <c:pt idx="0">
                  <c:v>37</c:v>
                </c:pt>
                <c:pt idx="1">
                  <c:v>10.8547420198</c:v>
                </c:pt>
                <c:pt idx="2">
                  <c:v>5.1815048998400002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44-44BC-A106-047E7E953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F0-4A15-A0E2-25D464B3DD3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F0-4A15-A0E2-25D464B3DD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57.036246919640007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F0-4A15-A0E2-25D464B3D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37-42BC-B3CE-4509B9701A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37-42BC-B3CE-4509B9701A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37-42BC-B3CE-4509B9701A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37-42BC-B3CE-4509B9701A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B8-4C6E-A7CD-8739F6EFF14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B8-4C6E-A7CD-8739F6EFF14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B8-4C6E-A7CD-8739F6EFF1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B8-4C6E-A7CD-8739F6EFF1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81-4DA6-83D0-B7981941022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81-4DA6-83D0-B7981941022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81-4DA6-83D0-B7981941022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'52'!$S$7:$U$7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57.036246919640007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81-4DA6-83D0-B798194102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08-40CE-B4B3-A3A7434C1E6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08-40CE-B4B3-A3A7434C1E6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08-40CE-B4B3-A3A7434C1E6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08-40CE-B4B3-A3A7434C1E6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08-40CE-B4B3-A3A7434C1E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'53'!$Y$2:$AC$2</c:f>
              <c:numCache>
                <c:formatCode>#,##0.00</c:formatCode>
                <c:ptCount val="5"/>
                <c:pt idx="0">
                  <c:v>15.911805792559999</c:v>
                </c:pt>
                <c:pt idx="1">
                  <c:v>50.328560129560003</c:v>
                </c:pt>
                <c:pt idx="2">
                  <c:v>36.404654690499996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08-40CE-B4B3-A3A7434C1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88-4C7D-BCFE-1FDD1B93088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88-4C7D-BCFE-1FDD1B9308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'53'!$AD$2:$AE$2</c:f>
              <c:numCache>
                <c:formatCode>#,##0.00</c:formatCode>
                <c:ptCount val="2"/>
                <c:pt idx="0">
                  <c:v>102.64502061262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88-4C7D-BCFE-1FDD1B930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9F-4F12-94C2-9FFD577F0DA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9F-4F12-94C2-9FFD577F0DA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9F-4F12-94C2-9FFD577F0D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77.745799149420009</c:v>
                </c:pt>
                <c:pt idx="2">
                  <c:v>24.8992214632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9F-4F12-94C2-9FFD577F0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77-4225-BBD7-F4D9C55D9B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77-4225-BBD7-F4D9C55D9B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77-4225-BBD7-F4D9C55D9B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72.142724279500001</c:v>
                </c:pt>
                <c:pt idx="2">
                  <c:v>30.50229633312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77-4225-BBD7-F4D9C55D9B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9-4717-BB3D-16BE8222A7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9-4717-BB3D-16BE8222A7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9-4717-BB3D-16BE8222A7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6.924234258120002</c:v>
                </c:pt>
                <c:pt idx="2">
                  <c:v>95.720786354499992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D9-4717-BB3D-16BE8222A7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45-47D9-B73B-5EA7668A8F2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45-47D9-B73B-5EA7668A8F2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45-47D9-B73B-5EA7668A8F2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45-47D9-B73B-5EA7668A8F2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F45-47D9-B73B-5EA7668A8F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'54'!$Y$2:$AC$2</c:f>
              <c:numCache>
                <c:formatCode>#,##0.00</c:formatCode>
                <c:ptCount val="5"/>
                <c:pt idx="0">
                  <c:v>16.224302499699998</c:v>
                </c:pt>
                <c:pt idx="1">
                  <c:v>2</c:v>
                </c:pt>
                <c:pt idx="2">
                  <c:v>16.309886325009998</c:v>
                </c:pt>
                <c:pt idx="3">
                  <c:v>#N/A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45-47D9-B73B-5EA7668A8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57-444A-9317-83992B7C71A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57-444A-9317-83992B7C71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'54'!$AD$2:$AE$2</c:f>
              <c:numCache>
                <c:formatCode>#,##0.00</c:formatCode>
                <c:ptCount val="2"/>
                <c:pt idx="0">
                  <c:v>36.53418882471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7-444A-9317-83992B7C71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7F-46CA-9B98-1004083DD5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7F-46CA-9B98-1004083DD5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7F-46CA-9B98-1004083DD58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'54'!$AF$2:$AH$2</c:f>
              <c:numCache>
                <c:formatCode>#,##0.00</c:formatCode>
                <c:ptCount val="3"/>
                <c:pt idx="0">
                  <c:v>2</c:v>
                </c:pt>
                <c:pt idx="1">
                  <c:v>34.53418882471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7F-46CA-9B98-1004083DD5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A6-4F9D-AF77-075436CFA2D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A6-4F9D-AF77-075436CFA2D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A6-4F9D-AF77-075436CFA2D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31.224302499699998</c:v>
                </c:pt>
                <c:pt idx="2">
                  <c:v>5.3098863250099999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A6-4F9D-AF77-075436CFA2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60-4F7F-8687-1DAB35DC9B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60-4F7F-8687-1DAB35DC9B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60-4F7F-8687-1DAB35DC9B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'54'!$AL$2:$AN$2</c:f>
              <c:numCache>
                <c:formatCode>#,##0.00</c:formatCode>
                <c:ptCount val="3"/>
                <c:pt idx="0">
                  <c:v>3.3098863250099999</c:v>
                </c:pt>
                <c:pt idx="1">
                  <c:v>28.224302499699998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60-4F7F-8687-1DAB35DC9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A8-4E09-8F03-F808DD62D3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A8-4E09-8F03-F808DD62D3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A8-4E09-8F03-F808DD62D3A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6A8-4E09-8F03-F808DD62D3A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6A8-4E09-8F03-F808DD62D3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'55'!$Y$2:$AC$2</c:f>
              <c:numCache>
                <c:formatCode>#,##0.00</c:formatCode>
                <c:ptCount val="5"/>
                <c:pt idx="0">
                  <c:v>60.884362258121996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A8-4E09-8F03-F808DD62D3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AC-433B-94CB-44430B6022E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AC-433B-94CB-44430B6022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'55'!$AD$2:$AE$2</c:f>
              <c:numCache>
                <c:formatCode>#,##0.00</c:formatCode>
                <c:ptCount val="2"/>
                <c:pt idx="0">
                  <c:v>61.884362258121996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AC-433B-94CB-44430B602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D3-4A95-88AB-7807AE110E0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D3-4A95-88AB-7807AE110E0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2D3-4A95-88AB-7807AE110E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61.884362258121996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D3-4A95-88AB-7807AE110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BD-4124-A68D-04236FC889C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BD-4124-A68D-04236FC889C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BD-4124-A68D-04236FC889C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'55'!$AI$2:$AK$2</c:f>
              <c:numCache>
                <c:formatCode>#,##0.00</c:formatCode>
                <c:ptCount val="3"/>
                <c:pt idx="0">
                  <c:v>61.884362258121996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BD-4124-A68D-04236FC889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6A-4778-9375-B84B5DB21E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E6A-4778-9375-B84B5DB21E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E6A-4778-9375-B84B5DB21E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'55'!$AL$2:$AN$2</c:f>
              <c:numCache>
                <c:formatCode>#,##0.00</c:formatCode>
                <c:ptCount val="3"/>
                <c:pt idx="0">
                  <c:v>49.77670228656099</c:v>
                </c:pt>
                <c:pt idx="1">
                  <c:v>12.107659971560999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6A-4778-9375-B84B5DB21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D4-48DC-9AAB-63589683BCB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D4-48DC-9AAB-63589683BCB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D4-48DC-9AAB-63589683BCB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D4-48DC-9AAB-63589683BCB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D4-48DC-9AAB-63589683BCB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'56'!$Y$2:$AC$2</c:f>
              <c:numCache>
                <c:formatCode>#,##0.00</c:formatCode>
                <c:ptCount val="5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D4-48DC-9AAB-63589683BC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94-451D-83C0-FE880970CB8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94-451D-83C0-FE880970CB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'56'!$AD$2:$AE$2</c:f>
              <c:numCache>
                <c:formatCode>#,##0.00</c:formatCode>
                <c:ptCount val="2"/>
                <c:pt idx="0">
                  <c:v>15.7684938844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94-451D-83C0-FE880970CB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D5-4E24-9920-B9A098DE414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D5-4E24-9920-B9A098DE414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D5-4E24-9920-B9A098DE414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5-4E24-9920-B9A098DE4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F2-47AB-8FC4-F52199CC626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F2-47AB-8FC4-F52199CC626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F2-47AB-8FC4-F52199CC626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'56'!$AI$2:$AK$2</c:f>
              <c:numCache>
                <c:formatCode>#,##0.00</c:formatCode>
                <c:ptCount val="3"/>
                <c:pt idx="0">
                  <c:v>15.7684938844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F2-47AB-8FC4-F52199CC62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B7-4591-8B41-9AA481F8C1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B7-4591-8B41-9AA481F8C1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B7-4591-8B41-9AA481F8C1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15.7684938844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B7-4591-8B41-9AA481F8C1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90-425E-BD9B-05819D9C495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90-425E-BD9B-05819D9C495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90-425E-BD9B-05819D9C495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90-425E-BD9B-05819D9C495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890-425E-BD9B-05819D9C495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'57'!$Y$2:$AC$2</c:f>
              <c:numCache>
                <c:formatCode>#,##0.00</c:formatCode>
                <c:ptCount val="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16.246741340600003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0-425E-BD9B-05819D9C4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44-4EAB-88F3-40F6D324DA8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44-4EAB-88F3-40F6D324DA8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'57'!$AD$2:$AE$2</c:f>
              <c:numCache>
                <c:formatCode>#,##0.00</c:formatCode>
                <c:ptCount val="2"/>
                <c:pt idx="0">
                  <c:v>32.246741340600003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4-4EAB-88F3-40F6D324DA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E7-4B47-B8DA-943D8573C8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E7-4B47-B8DA-943D8573C8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E7-4B47-B8DA-943D8573C8A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32.246741340600003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7-4B47-B8DA-943D8573C8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5-4C65-B6C9-FEEFB94166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5-4C65-B6C9-FEEFB94166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45-4C65-B6C9-FEEFB94166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45-4C65-B6C9-FEEFB9416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25-4C68-9347-9C68148D5DF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25-4C68-9347-9C68148D5DF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25-4C68-9347-9C68148D5DF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32.246741340600003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25-4C68-9347-9C68148D5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AC-4528-B1CD-2D7771F257D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AC-4528-B1CD-2D7771F257D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AC-4528-B1CD-2D7771F257D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AC-4528-B1CD-2D7771F257D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AC-4528-B1CD-2D7771F257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'58'!$Y$2:$AC$2</c:f>
              <c:numCache>
                <c:formatCode>#,##0.00</c:formatCode>
                <c:ptCount val="5"/>
                <c:pt idx="0">
                  <c:v>3.86802932762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AC-4528-B1CD-2D7771F257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7-43E3-B834-754DE329973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7-43E3-B834-754DE329973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77-43E3-B834-754DE3299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0F-480D-B937-F92F91C91EB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0F-480D-B937-F92F91C91EB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0F-480D-B937-F92F91C91EB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0F-480D-B937-F92F91C91E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9C-4E23-A0A3-A13425BCF2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9C-4E23-A0A3-A13425BCF2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9C-4E23-A0A3-A13425BCF2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9C-4E23-A0A3-A13425BCF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F8-4A18-AC24-D3B2929AB9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F8-4A18-AC24-D3B2929AB9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F8-4A18-AC24-D3B2929AB94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3.86802932762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F8-4A18-AC24-D3B2929AB9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57-41AD-94BD-13CCDCA3D63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57-41AD-94BD-13CCDCA3D63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57-41AD-94BD-13CCDCA3D63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57-41AD-94BD-13CCDCA3D63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57-41AD-94BD-13CCDCA3D63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'61'!$Y$2:$AC$2</c:f>
              <c:numCache>
                <c:formatCode>#,##0.00</c:formatCode>
                <c:ptCount val="5"/>
                <c:pt idx="0">
                  <c:v>13.7178023618</c:v>
                </c:pt>
                <c:pt idx="1">
                  <c:v>#N/A</c:v>
                </c:pt>
                <c:pt idx="2">
                  <c:v>#N/A</c:v>
                </c:pt>
                <c:pt idx="3">
                  <c:v>14.424239517330001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57-41AD-94BD-13CCDCA3D6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2-4099-B593-97EC6597FBB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D2-4099-B593-97EC6597FB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'61'!$AD$2:$AE$2</c:f>
              <c:numCache>
                <c:formatCode>#,##0.00</c:formatCode>
                <c:ptCount val="2"/>
                <c:pt idx="0">
                  <c:v>38.142041879130005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2-4099-B593-97EC6597F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F4-49C7-BDCB-56353D200D4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F4-49C7-BDCB-56353D200D4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EF4-49C7-BDCB-56353D200D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'61'!$AF$2:$AH$2</c:f>
              <c:numCache>
                <c:formatCode>#,##0.00</c:formatCode>
                <c:ptCount val="3"/>
                <c:pt idx="0">
                  <c:v>1.4242395173300002</c:v>
                </c:pt>
                <c:pt idx="1">
                  <c:v>36.717802361799997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F4-49C7-BDCB-56353D200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7F-40C1-B522-18AFA35DE75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7F-40C1-B522-18AFA35DE75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7F-40C1-B522-18AFA35DE7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7F-40C1-B522-18AFA35DE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0D1-47DE-84F6-891610BFF6D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0D1-47DE-84F6-891610BFF6D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0D1-47DE-84F6-891610BFF6D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35.142041879130005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D1-47DE-84F6-891610BFF6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DDA-4636-9702-CC274B2A586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DDA-4636-9702-CC274B2A586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DDA-4636-9702-CC274B2A586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DDA-4636-9702-CC274B2A586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DDA-4636-9702-CC274B2A586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DA-4636-9702-CC274B2A58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D1-44F8-8489-0BFBC71EB7B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D1-44F8-8489-0BFBC71EB7B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D1-44F8-8489-0BFBC71EB7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B4-43BB-AEC8-CEC0006279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B4-43BB-AEC8-CEC0006279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B4-43BB-AEC8-CEC00062798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B4-43BB-AEC8-CEC000627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18-4B47-9CFE-9F47022E89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18-4B47-9CFE-9F47022E89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18-4B47-9CFE-9F47022E89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18-4B47-9CFE-9F47022E89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EB-4C39-95BD-A0E631A0B1B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EB-4C39-95BD-A0E631A0B1B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EB-4C39-95BD-A0E631A0B1B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28.9906485132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EB-4C39-95BD-A0E631A0B1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7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48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IF(D26=0,NA(),D26)</f>
        <v>357.81460315285699</v>
      </c>
      <c r="W2" s="2">
        <f t="shared" si="0"/>
        <v>106.56370877072001</v>
      </c>
      <c r="X2" s="2">
        <f t="shared" si="0"/>
        <v>113.95533087609</v>
      </c>
      <c r="Y2" s="2">
        <f t="shared" si="0"/>
        <v>30.424239517330001</v>
      </c>
      <c r="Z2" s="2">
        <f t="shared" si="0"/>
        <v>39.867345289460005</v>
      </c>
      <c r="AA2" s="2">
        <f t="shared" si="0"/>
        <v>524.36030007772695</v>
      </c>
      <c r="AB2" s="2">
        <f t="shared" si="0"/>
        <v>153.25557604193</v>
      </c>
      <c r="AC2" s="2">
        <f t="shared" si="0"/>
        <v>22.658043037134998</v>
      </c>
      <c r="AD2" s="2">
        <f t="shared" si="0"/>
        <v>592.21184567982198</v>
      </c>
      <c r="AE2" s="2">
        <f t="shared" si="0"/>
        <v>33.755338889500003</v>
      </c>
      <c r="AF2" s="2">
        <f t="shared" si="0"/>
        <v>226.65826165900199</v>
      </c>
      <c r="AG2" s="2">
        <f t="shared" si="0"/>
        <v>240.29337191534003</v>
      </c>
      <c r="AH2" s="2">
        <f t="shared" si="0"/>
        <v>210.66424254531503</v>
      </c>
      <c r="AI2" s="2">
        <f t="shared" si="0"/>
        <v>139.203920456481</v>
      </c>
      <c r="AJ2" s="2">
        <f t="shared" si="0"/>
        <v>346.845997843291</v>
      </c>
      <c r="AK2" s="2">
        <f t="shared" si="0"/>
        <v>191.565957819885</v>
      </c>
    </row>
    <row r="4" spans="1:37" ht="26.1" customHeight="1" x14ac:dyDescent="0.25">
      <c r="A4" s="43" t="s">
        <v>3</v>
      </c>
      <c r="B4" s="43" t="s">
        <v>4</v>
      </c>
      <c r="C4" s="43" t="s">
        <v>5</v>
      </c>
      <c r="D4" s="43" t="s">
        <v>6</v>
      </c>
      <c r="E4" s="32"/>
      <c r="F4" s="32"/>
      <c r="G4" s="32"/>
      <c r="H4" s="33"/>
      <c r="I4" s="43" t="s">
        <v>7</v>
      </c>
      <c r="J4" s="33"/>
      <c r="K4" s="43" t="s">
        <v>8</v>
      </c>
      <c r="L4" s="32"/>
      <c r="M4" s="33"/>
      <c r="N4" s="43" t="s">
        <v>9</v>
      </c>
      <c r="O4" s="32"/>
      <c r="P4" s="33"/>
      <c r="Q4" s="43" t="s">
        <v>10</v>
      </c>
      <c r="R4" s="32"/>
      <c r="S4" s="33"/>
      <c r="T4" s="43" t="s">
        <v>11</v>
      </c>
    </row>
    <row r="5" spans="1:37" ht="18" customHeight="1" x14ac:dyDescent="0.25">
      <c r="A5" s="44"/>
      <c r="B5" s="44"/>
      <c r="C5" s="44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254</v>
      </c>
      <c r="L5" s="3" t="s">
        <v>255</v>
      </c>
      <c r="M5" s="3" t="s">
        <v>256</v>
      </c>
      <c r="N5" s="3" t="s">
        <v>12</v>
      </c>
      <c r="O5" s="3" t="s">
        <v>19</v>
      </c>
      <c r="P5" s="3" t="s">
        <v>257</v>
      </c>
      <c r="Q5" s="3" t="s">
        <v>12</v>
      </c>
      <c r="R5" s="3" t="s">
        <v>258</v>
      </c>
      <c r="S5" s="3" t="s">
        <v>257</v>
      </c>
      <c r="T5" s="44"/>
    </row>
    <row r="6" spans="1:37" x14ac:dyDescent="0.25">
      <c r="A6" s="5">
        <v>39</v>
      </c>
      <c r="B6" s="6" t="s">
        <v>20</v>
      </c>
      <c r="C6" s="7">
        <f>'39'!R32</f>
        <v>10.45280680067</v>
      </c>
      <c r="D6" s="7">
        <f>'39'!F29</f>
        <v>0</v>
      </c>
      <c r="E6" s="7">
        <f>'39'!G29</f>
        <v>0</v>
      </c>
      <c r="F6" s="7">
        <f>'39'!H29</f>
        <v>10.45280680067</v>
      </c>
      <c r="G6" s="7">
        <f>'39'!I29</f>
        <v>0</v>
      </c>
      <c r="H6" s="7">
        <f>'39'!J29</f>
        <v>0</v>
      </c>
      <c r="I6" s="7">
        <f>'39'!K29</f>
        <v>10.45280680067</v>
      </c>
      <c r="J6" s="7">
        <f>'39'!L29</f>
        <v>0</v>
      </c>
      <c r="K6" s="7">
        <f>'39'!M29</f>
        <v>0</v>
      </c>
      <c r="L6" s="7">
        <f>'39'!N29</f>
        <v>10.45280680067</v>
      </c>
      <c r="M6" s="7">
        <f>'39'!O29</f>
        <v>0</v>
      </c>
      <c r="N6" s="7">
        <f>'39'!P29</f>
        <v>0</v>
      </c>
      <c r="O6" s="7">
        <f>'39'!Q29</f>
        <v>0</v>
      </c>
      <c r="P6" s="7">
        <f>'39'!R29</f>
        <v>10.45280680067</v>
      </c>
      <c r="Q6" s="7">
        <f>'39'!S29</f>
        <v>0</v>
      </c>
      <c r="R6" s="7">
        <f>'39'!T29</f>
        <v>8.0232805681299997</v>
      </c>
      <c r="S6" s="7">
        <f>'39'!U29</f>
        <v>2.4295262325400002</v>
      </c>
      <c r="T6" s="5" t="str">
        <f t="shared" ref="T6:T25" si="1">IF(SUM(D6:H6)=0,"— não preenchido",IF(ROUND(SUM(D6:H6)-C6,3)=0,"OK","ERRO — dif. de "&amp;ROUND(SUM(D6:H6)-C6,3)&amp;" km"))</f>
        <v>OK</v>
      </c>
    </row>
    <row r="7" spans="1:37" x14ac:dyDescent="0.25">
      <c r="A7" s="5">
        <v>40</v>
      </c>
      <c r="B7" s="6" t="s">
        <v>21</v>
      </c>
      <c r="C7" s="7">
        <f>'40'!R87</f>
        <v>60.748882236645002</v>
      </c>
      <c r="D7" s="7">
        <f>'40'!F84</f>
        <v>59.674512841985006</v>
      </c>
      <c r="E7" s="7">
        <f>'40'!G84</f>
        <v>0</v>
      </c>
      <c r="F7" s="7">
        <f>'40'!H84</f>
        <v>1.0743693946599999</v>
      </c>
      <c r="G7" s="7">
        <f>'40'!I84</f>
        <v>0</v>
      </c>
      <c r="H7" s="7">
        <f>'40'!J84</f>
        <v>0</v>
      </c>
      <c r="I7" s="7">
        <f>'40'!K84</f>
        <v>60.748882236645002</v>
      </c>
      <c r="J7" s="7">
        <f>'40'!L84</f>
        <v>0</v>
      </c>
      <c r="K7" s="7">
        <f>'40'!M84</f>
        <v>1.798351071735</v>
      </c>
      <c r="L7" s="7">
        <f>'40'!N84</f>
        <v>55.962443066229994</v>
      </c>
      <c r="M7" s="7">
        <f>'40'!O84</f>
        <v>2.98808809868</v>
      </c>
      <c r="N7" s="7">
        <f>'40'!P84</f>
        <v>54.888073671569998</v>
      </c>
      <c r="O7" s="7">
        <f>'40'!Q84</f>
        <v>0</v>
      </c>
      <c r="P7" s="7">
        <f>'40'!R84</f>
        <v>5.8608085650750006</v>
      </c>
      <c r="Q7" s="7">
        <f>'40'!S84</f>
        <v>0</v>
      </c>
      <c r="R7" s="7">
        <f>'40'!T84</f>
        <v>54.888073671569998</v>
      </c>
      <c r="S7" s="7">
        <f>'40'!U84</f>
        <v>5.8608085650750006</v>
      </c>
      <c r="T7" s="5" t="str">
        <f t="shared" si="1"/>
        <v>OK</v>
      </c>
    </row>
    <row r="8" spans="1:37" x14ac:dyDescent="0.25">
      <c r="A8" s="5">
        <v>41</v>
      </c>
      <c r="B8" s="6" t="s">
        <v>22</v>
      </c>
      <c r="C8" s="7">
        <f>'41'!R46</f>
        <v>25.715092982809999</v>
      </c>
      <c r="D8" s="7">
        <f>'41'!F43</f>
        <v>19.715092982809999</v>
      </c>
      <c r="E8" s="7">
        <f>'41'!G43</f>
        <v>1</v>
      </c>
      <c r="F8" s="7">
        <f>'41'!H43</f>
        <v>4</v>
      </c>
      <c r="G8" s="7">
        <f>'41'!I43</f>
        <v>1</v>
      </c>
      <c r="H8" s="7">
        <f>'41'!J43</f>
        <v>0</v>
      </c>
      <c r="I8" s="7">
        <f>'41'!K43</f>
        <v>25.715092982809999</v>
      </c>
      <c r="J8" s="7">
        <f>'41'!L43</f>
        <v>0</v>
      </c>
      <c r="K8" s="7">
        <f>'41'!M43</f>
        <v>2.56461788976</v>
      </c>
      <c r="L8" s="7">
        <f>'41'!N43</f>
        <v>23.150475093049998</v>
      </c>
      <c r="M8" s="7">
        <f>'41'!O43</f>
        <v>0</v>
      </c>
      <c r="N8" s="7">
        <f>'41'!P43</f>
        <v>25.715092982809999</v>
      </c>
      <c r="O8" s="7">
        <f>'41'!Q43</f>
        <v>0</v>
      </c>
      <c r="P8" s="7">
        <f>'41'!R43</f>
        <v>0</v>
      </c>
      <c r="Q8" s="7">
        <f>'41'!S43</f>
        <v>25.715092982809999</v>
      </c>
      <c r="R8" s="7">
        <f>'41'!T43</f>
        <v>0</v>
      </c>
      <c r="S8" s="7">
        <f>'41'!U43</f>
        <v>0</v>
      </c>
      <c r="T8" s="5" t="str">
        <f t="shared" si="1"/>
        <v>OK</v>
      </c>
    </row>
    <row r="9" spans="1:37" x14ac:dyDescent="0.25">
      <c r="A9" s="5">
        <v>42</v>
      </c>
      <c r="B9" s="6" t="s">
        <v>23</v>
      </c>
      <c r="C9" s="7">
        <f>'42'!R33</f>
        <v>13.45060985345</v>
      </c>
      <c r="D9" s="7">
        <f>'42'!F30</f>
        <v>4.8300059045900001</v>
      </c>
      <c r="E9" s="7">
        <f>'42'!G30</f>
        <v>0</v>
      </c>
      <c r="F9" s="7">
        <f>'42'!H30</f>
        <v>0</v>
      </c>
      <c r="G9" s="7">
        <f>'42'!I30</f>
        <v>1</v>
      </c>
      <c r="H9" s="7">
        <f>'42'!J30</f>
        <v>7.6206039488599995</v>
      </c>
      <c r="I9" s="7">
        <f>'42'!K30</f>
        <v>13.45060985345</v>
      </c>
      <c r="J9" s="7">
        <f>'42'!L30</f>
        <v>0</v>
      </c>
      <c r="K9" s="7">
        <f>'42'!M30</f>
        <v>0</v>
      </c>
      <c r="L9" s="7">
        <f>'42'!N30</f>
        <v>13.45060985345</v>
      </c>
      <c r="M9" s="7">
        <f>'42'!O30</f>
        <v>0</v>
      </c>
      <c r="N9" s="7">
        <f>'42'!P30</f>
        <v>0</v>
      </c>
      <c r="O9" s="7">
        <f>'42'!Q30</f>
        <v>0</v>
      </c>
      <c r="P9" s="7">
        <f>'42'!R30</f>
        <v>13.45060985345</v>
      </c>
      <c r="Q9" s="7">
        <f>'42'!S30</f>
        <v>0</v>
      </c>
      <c r="R9" s="7">
        <f>'42'!T30</f>
        <v>0</v>
      </c>
      <c r="S9" s="7">
        <f>'42'!U30</f>
        <v>13.45060985345</v>
      </c>
      <c r="T9" s="5" t="str">
        <f t="shared" si="1"/>
        <v>OK</v>
      </c>
    </row>
    <row r="10" spans="1:37" x14ac:dyDescent="0.25">
      <c r="A10" s="5">
        <v>43</v>
      </c>
      <c r="B10" s="6" t="s">
        <v>24</v>
      </c>
      <c r="C10" s="7">
        <f>'43'!R40</f>
        <v>21.14779036358</v>
      </c>
      <c r="D10" s="7">
        <f>'43'!F37</f>
        <v>0</v>
      </c>
      <c r="E10" s="7">
        <f>'43'!G37</f>
        <v>15.9988076329</v>
      </c>
      <c r="F10" s="7">
        <f>'43'!H37</f>
        <v>5.1489827306800002</v>
      </c>
      <c r="G10" s="7">
        <f>'43'!I37</f>
        <v>0</v>
      </c>
      <c r="H10" s="7">
        <f>'43'!J37</f>
        <v>0</v>
      </c>
      <c r="I10" s="7">
        <f>'43'!K37</f>
        <v>8.9988076329000002</v>
      </c>
      <c r="J10" s="7">
        <f>'43'!L37</f>
        <v>12.14898273068</v>
      </c>
      <c r="K10" s="7">
        <f>'43'!M37</f>
        <v>0.99880763290000019</v>
      </c>
      <c r="L10" s="7">
        <f>'43'!N37</f>
        <v>20.14898273068</v>
      </c>
      <c r="M10" s="7">
        <f>'43'!O37</f>
        <v>0</v>
      </c>
      <c r="N10" s="7">
        <f>'43'!P37</f>
        <v>0</v>
      </c>
      <c r="O10" s="7">
        <f>'43'!Q37</f>
        <v>21.14779036358</v>
      </c>
      <c r="P10" s="7">
        <f>'43'!R37</f>
        <v>0</v>
      </c>
      <c r="Q10" s="7">
        <f>'43'!S37</f>
        <v>0</v>
      </c>
      <c r="R10" s="7">
        <f>'43'!T37</f>
        <v>20.14898273068</v>
      </c>
      <c r="S10" s="7">
        <f>'43'!U37</f>
        <v>0.99880763290000019</v>
      </c>
      <c r="T10" s="5" t="str">
        <f t="shared" si="1"/>
        <v>OK</v>
      </c>
    </row>
    <row r="11" spans="1:37" x14ac:dyDescent="0.25">
      <c r="A11" s="5">
        <v>44</v>
      </c>
      <c r="B11" s="6" t="s">
        <v>25</v>
      </c>
      <c r="C11" s="7">
        <f>'44'!R79</f>
        <v>60.402238862100006</v>
      </c>
      <c r="D11" s="7">
        <f>'44'!F76</f>
        <v>48.402238862100006</v>
      </c>
      <c r="E11" s="7">
        <f>'44'!G76</f>
        <v>9</v>
      </c>
      <c r="F11" s="7">
        <f>'44'!H76</f>
        <v>3</v>
      </c>
      <c r="G11" s="7">
        <f>'44'!I76</f>
        <v>0</v>
      </c>
      <c r="H11" s="7">
        <f>'44'!J76</f>
        <v>0</v>
      </c>
      <c r="I11" s="7">
        <f>'44'!K76</f>
        <v>60.402238862100006</v>
      </c>
      <c r="J11" s="7">
        <f>'44'!L76</f>
        <v>0</v>
      </c>
      <c r="K11" s="7">
        <f>'44'!M76</f>
        <v>2.4746414903999998</v>
      </c>
      <c r="L11" s="7">
        <f>'44'!N76</f>
        <v>57.927597371700003</v>
      </c>
      <c r="M11" s="7">
        <f>'44'!O76</f>
        <v>0</v>
      </c>
      <c r="N11" s="7">
        <f>'44'!P76</f>
        <v>60.402238862100006</v>
      </c>
      <c r="O11" s="7">
        <f>'44'!Q76</f>
        <v>0</v>
      </c>
      <c r="P11" s="7">
        <f>'44'!R76</f>
        <v>0</v>
      </c>
      <c r="Q11" s="7">
        <f>'44'!S76</f>
        <v>60.402238862100006</v>
      </c>
      <c r="R11" s="7">
        <f>'44'!T76</f>
        <v>0</v>
      </c>
      <c r="S11" s="7">
        <f>'44'!U76</f>
        <v>0</v>
      </c>
      <c r="T11" s="5" t="str">
        <f t="shared" si="1"/>
        <v>OK</v>
      </c>
    </row>
    <row r="12" spans="1:37" x14ac:dyDescent="0.25">
      <c r="A12" s="5">
        <v>45</v>
      </c>
      <c r="B12" s="6" t="s">
        <v>26</v>
      </c>
      <c r="C12" s="7">
        <f>'45'!R62</f>
        <v>42.611402577000007</v>
      </c>
      <c r="D12" s="7">
        <f>'45'!F59</f>
        <v>15.934190184</v>
      </c>
      <c r="E12" s="7">
        <f>'45'!G59</f>
        <v>0</v>
      </c>
      <c r="F12" s="7">
        <f>'45'!H59</f>
        <v>26.677212393000001</v>
      </c>
      <c r="G12" s="7">
        <f>'45'!I59</f>
        <v>0</v>
      </c>
      <c r="H12" s="7">
        <f>'45'!J59</f>
        <v>0</v>
      </c>
      <c r="I12" s="7">
        <f>'45'!K59</f>
        <v>3</v>
      </c>
      <c r="J12" s="7">
        <f>'45'!L59</f>
        <v>39.611402577000007</v>
      </c>
      <c r="K12" s="7">
        <f>'45'!M59</f>
        <v>0</v>
      </c>
      <c r="L12" s="7">
        <f>'45'!N59</f>
        <v>42.611402577000007</v>
      </c>
      <c r="M12" s="7">
        <f>'45'!O59</f>
        <v>0</v>
      </c>
      <c r="N12" s="7">
        <f>'45'!P59</f>
        <v>6</v>
      </c>
      <c r="O12" s="7">
        <f>'45'!Q59</f>
        <v>0</v>
      </c>
      <c r="P12" s="7">
        <f>'45'!R59</f>
        <v>36.611402577000007</v>
      </c>
      <c r="Q12" s="7">
        <f>'45'!S59</f>
        <v>0</v>
      </c>
      <c r="R12" s="7">
        <f>'45'!T59</f>
        <v>42.611402577000007</v>
      </c>
      <c r="S12" s="7">
        <f>'45'!U59</f>
        <v>0</v>
      </c>
      <c r="T12" s="5" t="str">
        <f t="shared" si="1"/>
        <v>OK</v>
      </c>
    </row>
    <row r="13" spans="1:37" x14ac:dyDescent="0.25">
      <c r="A13" s="5">
        <v>46</v>
      </c>
      <c r="B13" s="6" t="s">
        <v>27</v>
      </c>
      <c r="C13" s="7">
        <f>'46'!R62</f>
        <v>40.98941392111</v>
      </c>
      <c r="D13" s="7">
        <f>'46'!F59</f>
        <v>33.98941392111</v>
      </c>
      <c r="E13" s="7">
        <f>'46'!G59</f>
        <v>0</v>
      </c>
      <c r="F13" s="7">
        <f>'46'!H59</f>
        <v>0</v>
      </c>
      <c r="G13" s="7">
        <f>'46'!I59</f>
        <v>3</v>
      </c>
      <c r="H13" s="7">
        <f>'46'!J59</f>
        <v>4</v>
      </c>
      <c r="I13" s="7">
        <f>'46'!K59</f>
        <v>40.98941392111</v>
      </c>
      <c r="J13" s="7">
        <f>'46'!L59</f>
        <v>0</v>
      </c>
      <c r="K13" s="7">
        <f>'46'!M59</f>
        <v>9.503033102949999</v>
      </c>
      <c r="L13" s="7">
        <f>'46'!N59</f>
        <v>29.486380818160001</v>
      </c>
      <c r="M13" s="7">
        <f>'46'!O59</f>
        <v>2</v>
      </c>
      <c r="N13" s="7">
        <f>'46'!P59</f>
        <v>2</v>
      </c>
      <c r="O13" s="7">
        <f>'46'!Q59</f>
        <v>11</v>
      </c>
      <c r="P13" s="7">
        <f>'46'!R59</f>
        <v>27.98941392111</v>
      </c>
      <c r="Q13" s="7">
        <f>'46'!S59</f>
        <v>0</v>
      </c>
      <c r="R13" s="7">
        <f>'46'!T59</f>
        <v>40.98941392111</v>
      </c>
      <c r="S13" s="7">
        <f>'46'!U59</f>
        <v>0</v>
      </c>
      <c r="T13" s="5" t="str">
        <f t="shared" si="1"/>
        <v>OK</v>
      </c>
    </row>
    <row r="14" spans="1:37" x14ac:dyDescent="0.25">
      <c r="A14" s="5">
        <v>47</v>
      </c>
      <c r="B14" s="6" t="s">
        <v>28</v>
      </c>
      <c r="C14" s="7">
        <f>'47'!R19</f>
        <v>1.89435233206</v>
      </c>
      <c r="D14" s="7">
        <f>'47'!F16</f>
        <v>1.89435233206</v>
      </c>
      <c r="E14" s="7">
        <f>'47'!G16</f>
        <v>0</v>
      </c>
      <c r="F14" s="7">
        <f>'47'!H16</f>
        <v>0</v>
      </c>
      <c r="G14" s="7">
        <f>'47'!I16</f>
        <v>0</v>
      </c>
      <c r="H14" s="7">
        <f>'47'!J16</f>
        <v>0</v>
      </c>
      <c r="I14" s="7">
        <f>'47'!K16</f>
        <v>0</v>
      </c>
      <c r="J14" s="7">
        <f>'47'!L16</f>
        <v>1.89435233206</v>
      </c>
      <c r="K14" s="7">
        <f>'47'!M16</f>
        <v>1.89435233206</v>
      </c>
      <c r="L14" s="7">
        <f>'47'!N16</f>
        <v>0</v>
      </c>
      <c r="M14" s="7">
        <f>'47'!O16</f>
        <v>0</v>
      </c>
      <c r="N14" s="7">
        <f>'47'!P16</f>
        <v>0</v>
      </c>
      <c r="O14" s="7">
        <f>'47'!Q16</f>
        <v>1.89435233206</v>
      </c>
      <c r="P14" s="7">
        <f>'47'!R16</f>
        <v>0</v>
      </c>
      <c r="Q14" s="7">
        <f>'47'!S16</f>
        <v>0</v>
      </c>
      <c r="R14" s="7">
        <f>'47'!T16</f>
        <v>1.89435233206</v>
      </c>
      <c r="S14" s="7">
        <f>'47'!U16</f>
        <v>0</v>
      </c>
      <c r="T14" s="5" t="str">
        <f t="shared" si="1"/>
        <v>OK</v>
      </c>
    </row>
    <row r="15" spans="1:37" x14ac:dyDescent="0.25">
      <c r="A15" s="5">
        <v>50</v>
      </c>
      <c r="B15" s="6" t="s">
        <v>29</v>
      </c>
      <c r="C15" s="7">
        <f>'50'!R33</f>
        <v>13.381598988459999</v>
      </c>
      <c r="D15" s="7">
        <f>'50'!F30</f>
        <v>6</v>
      </c>
      <c r="E15" s="7">
        <f>'50'!G30</f>
        <v>7.3815989884599995</v>
      </c>
      <c r="F15" s="7">
        <f>'50'!H30</f>
        <v>0</v>
      </c>
      <c r="G15" s="7">
        <f>'50'!I30</f>
        <v>0</v>
      </c>
      <c r="H15" s="7">
        <f>'50'!J30</f>
        <v>0</v>
      </c>
      <c r="I15" s="7">
        <f>'50'!K30</f>
        <v>13.381598988459999</v>
      </c>
      <c r="J15" s="7">
        <f>'50'!L30</f>
        <v>0</v>
      </c>
      <c r="K15" s="7">
        <f>'50'!M30</f>
        <v>0</v>
      </c>
      <c r="L15" s="7">
        <f>'50'!N30</f>
        <v>13.381598988459999</v>
      </c>
      <c r="M15" s="7">
        <f>'50'!O30</f>
        <v>0</v>
      </c>
      <c r="N15" s="7">
        <f>'50'!P30</f>
        <v>0</v>
      </c>
      <c r="O15" s="7">
        <f>'50'!Q30</f>
        <v>1</v>
      </c>
      <c r="P15" s="7">
        <f>'50'!R30</f>
        <v>12.381598988459999</v>
      </c>
      <c r="Q15" s="7">
        <f>'50'!S30</f>
        <v>0</v>
      </c>
      <c r="R15" s="7">
        <f>'50'!T30</f>
        <v>13.381598988459999</v>
      </c>
      <c r="S15" s="7">
        <f>'50'!U30</f>
        <v>0</v>
      </c>
      <c r="T15" s="5" t="str">
        <f t="shared" si="1"/>
        <v>OK</v>
      </c>
    </row>
    <row r="16" spans="1:37" x14ac:dyDescent="0.25">
      <c r="A16" s="5">
        <v>51</v>
      </c>
      <c r="B16" s="6" t="s">
        <v>30</v>
      </c>
      <c r="C16" s="7">
        <f>'51'!R27</f>
        <v>9.7059136417299996</v>
      </c>
      <c r="D16" s="7">
        <f>'51'!F24</f>
        <v>0</v>
      </c>
      <c r="E16" s="7">
        <f>'51'!G24</f>
        <v>6</v>
      </c>
      <c r="F16" s="7">
        <f>'51'!H24</f>
        <v>1.7059136417299996</v>
      </c>
      <c r="G16" s="7">
        <f>'51'!I24</f>
        <v>2</v>
      </c>
      <c r="H16" s="7">
        <f>'51'!J24</f>
        <v>0</v>
      </c>
      <c r="I16" s="7">
        <f>'51'!K24</f>
        <v>0</v>
      </c>
      <c r="J16" s="7">
        <f>'51'!L24</f>
        <v>9.7059136417299996</v>
      </c>
      <c r="K16" s="7">
        <f>'51'!M24</f>
        <v>0</v>
      </c>
      <c r="L16" s="7">
        <f>'51'!N24</f>
        <v>9.7059136417299996</v>
      </c>
      <c r="M16" s="7">
        <f>'51'!O24</f>
        <v>0</v>
      </c>
      <c r="N16" s="7">
        <f>'51'!P24</f>
        <v>0</v>
      </c>
      <c r="O16" s="7">
        <f>'51'!Q24</f>
        <v>9.7059136417299996</v>
      </c>
      <c r="P16" s="7">
        <f>'51'!R24</f>
        <v>0</v>
      </c>
      <c r="Q16" s="7">
        <f>'51'!S24</f>
        <v>0</v>
      </c>
      <c r="R16" s="7">
        <f>'51'!T24</f>
        <v>9.7059136417299996</v>
      </c>
      <c r="S16" s="7">
        <f>'51'!U24</f>
        <v>0</v>
      </c>
      <c r="T16" s="5" t="str">
        <f t="shared" si="1"/>
        <v>OK</v>
      </c>
    </row>
    <row r="17" spans="1:20" x14ac:dyDescent="0.25">
      <c r="A17" s="5">
        <v>52</v>
      </c>
      <c r="B17" s="6" t="s">
        <v>31</v>
      </c>
      <c r="C17" s="7">
        <f>'52'!R77</f>
        <v>57.036246919640007</v>
      </c>
      <c r="D17" s="7">
        <f>'52'!F74</f>
        <v>37</v>
      </c>
      <c r="E17" s="7">
        <f>'52'!G74</f>
        <v>10.8547420198</v>
      </c>
      <c r="F17" s="7">
        <f>'52'!H74</f>
        <v>5.1815048998400002</v>
      </c>
      <c r="G17" s="7">
        <f>'52'!I74</f>
        <v>4</v>
      </c>
      <c r="H17" s="7">
        <f>'52'!J74</f>
        <v>0</v>
      </c>
      <c r="I17" s="7">
        <f>'52'!K74</f>
        <v>0</v>
      </c>
      <c r="J17" s="7">
        <f>'52'!L74</f>
        <v>57.036246919640007</v>
      </c>
      <c r="K17" s="7">
        <f>'52'!M74</f>
        <v>0</v>
      </c>
      <c r="L17" s="7">
        <f>'52'!N74</f>
        <v>57.036246919640007</v>
      </c>
      <c r="M17" s="7">
        <f>'52'!O74</f>
        <v>0</v>
      </c>
      <c r="N17" s="7">
        <f>'52'!P74</f>
        <v>0</v>
      </c>
      <c r="O17" s="7">
        <f>'52'!Q74</f>
        <v>57.036246919640007</v>
      </c>
      <c r="P17" s="7">
        <f>'52'!R74</f>
        <v>0</v>
      </c>
      <c r="Q17" s="7">
        <f>'52'!S74</f>
        <v>0</v>
      </c>
      <c r="R17" s="7">
        <f>'52'!T74</f>
        <v>57.036246919640007</v>
      </c>
      <c r="S17" s="7">
        <f>'52'!U74</f>
        <v>0</v>
      </c>
      <c r="T17" s="5" t="str">
        <f t="shared" si="1"/>
        <v>OK</v>
      </c>
    </row>
    <row r="18" spans="1:20" x14ac:dyDescent="0.25">
      <c r="A18" s="5">
        <v>53</v>
      </c>
      <c r="B18" s="6" t="s">
        <v>32</v>
      </c>
      <c r="C18" s="7">
        <f>'53'!R135</f>
        <v>102.64502061262</v>
      </c>
      <c r="D18" s="7">
        <f>'53'!F132</f>
        <v>15.911805792559999</v>
      </c>
      <c r="E18" s="7">
        <f>'53'!G132</f>
        <v>50.328560129560003</v>
      </c>
      <c r="F18" s="7">
        <f>'53'!H132</f>
        <v>36.404654690499996</v>
      </c>
      <c r="G18" s="7">
        <f>'53'!I132</f>
        <v>0</v>
      </c>
      <c r="H18" s="7">
        <f>'53'!J132</f>
        <v>0</v>
      </c>
      <c r="I18" s="7">
        <f>'53'!K132</f>
        <v>102.64502061262</v>
      </c>
      <c r="J18" s="7">
        <f>'53'!L132</f>
        <v>0</v>
      </c>
      <c r="K18" s="7">
        <f>'53'!M132</f>
        <v>0</v>
      </c>
      <c r="L18" s="7">
        <f>'53'!N132</f>
        <v>77.745799149420009</v>
      </c>
      <c r="M18" s="7">
        <f>'53'!O132</f>
        <v>24.8992214632</v>
      </c>
      <c r="N18" s="7">
        <f>'53'!P132</f>
        <v>0</v>
      </c>
      <c r="O18" s="7">
        <f>'53'!Q132</f>
        <v>72.142724279500001</v>
      </c>
      <c r="P18" s="7">
        <f>'53'!R132</f>
        <v>30.50229633312</v>
      </c>
      <c r="Q18" s="7">
        <f>'53'!S132</f>
        <v>0</v>
      </c>
      <c r="R18" s="7">
        <f>'53'!T132</f>
        <v>6.924234258120002</v>
      </c>
      <c r="S18" s="7">
        <f>'53'!U132</f>
        <v>95.720786354499992</v>
      </c>
      <c r="T18" s="5" t="str">
        <f t="shared" si="1"/>
        <v>OK</v>
      </c>
    </row>
    <row r="19" spans="1:20" x14ac:dyDescent="0.25">
      <c r="A19" s="5">
        <v>54</v>
      </c>
      <c r="B19" s="6" t="s">
        <v>33</v>
      </c>
      <c r="C19" s="7">
        <f>'54'!R56</f>
        <v>36.53418882471</v>
      </c>
      <c r="D19" s="7">
        <f>'54'!F53</f>
        <v>16.224302499699998</v>
      </c>
      <c r="E19" s="7">
        <f>'54'!G53</f>
        <v>2</v>
      </c>
      <c r="F19" s="7">
        <f>'54'!H53</f>
        <v>16.309886325009998</v>
      </c>
      <c r="G19" s="7">
        <f>'54'!I53</f>
        <v>0</v>
      </c>
      <c r="H19" s="7">
        <f>'54'!J53</f>
        <v>2</v>
      </c>
      <c r="I19" s="7">
        <f>'54'!K53</f>
        <v>36.53418882471</v>
      </c>
      <c r="J19" s="7">
        <f>'54'!L53</f>
        <v>0</v>
      </c>
      <c r="K19" s="7">
        <f>'54'!M53</f>
        <v>2</v>
      </c>
      <c r="L19" s="7">
        <f>'54'!N53</f>
        <v>34.53418882471</v>
      </c>
      <c r="M19" s="7">
        <f>'54'!O53</f>
        <v>0</v>
      </c>
      <c r="N19" s="7">
        <f>'54'!P53</f>
        <v>0</v>
      </c>
      <c r="O19" s="7">
        <f>'54'!Q53</f>
        <v>31.224302499699998</v>
      </c>
      <c r="P19" s="7">
        <f>'54'!R53</f>
        <v>5.3098863250099999</v>
      </c>
      <c r="Q19" s="7">
        <f>'54'!S53</f>
        <v>3.3098863250099999</v>
      </c>
      <c r="R19" s="7">
        <f>'54'!T53</f>
        <v>28.224302499699998</v>
      </c>
      <c r="S19" s="7">
        <f>'54'!U53</f>
        <v>5</v>
      </c>
      <c r="T19" s="5" t="str">
        <f t="shared" si="1"/>
        <v>OK</v>
      </c>
    </row>
    <row r="20" spans="1:20" x14ac:dyDescent="0.25">
      <c r="A20" s="5">
        <v>55</v>
      </c>
      <c r="B20" s="6" t="s">
        <v>34</v>
      </c>
      <c r="C20" s="7">
        <f>'55'!R90</f>
        <v>61.884362258121996</v>
      </c>
      <c r="D20" s="7">
        <f>'55'!F87</f>
        <v>60.884362258121996</v>
      </c>
      <c r="E20" s="7">
        <f>'55'!G87</f>
        <v>1</v>
      </c>
      <c r="F20" s="7">
        <f>'55'!H87</f>
        <v>0</v>
      </c>
      <c r="G20" s="7">
        <f>'55'!I87</f>
        <v>0</v>
      </c>
      <c r="H20" s="7">
        <f>'55'!J87</f>
        <v>0</v>
      </c>
      <c r="I20" s="7">
        <f>'55'!K87</f>
        <v>61.884362258121996</v>
      </c>
      <c r="J20" s="7">
        <f>'55'!L87</f>
        <v>0</v>
      </c>
      <c r="K20" s="7">
        <f>'55'!M87</f>
        <v>0</v>
      </c>
      <c r="L20" s="7">
        <f>'55'!N87</f>
        <v>61.884362258121996</v>
      </c>
      <c r="M20" s="7">
        <f>'55'!O87</f>
        <v>0</v>
      </c>
      <c r="N20" s="7">
        <f>'55'!P87</f>
        <v>61.884362258121996</v>
      </c>
      <c r="O20" s="7">
        <f>'55'!Q87</f>
        <v>0</v>
      </c>
      <c r="P20" s="7">
        <f>'55'!R87</f>
        <v>0</v>
      </c>
      <c r="Q20" s="7">
        <f>'55'!S87</f>
        <v>49.77670228656099</v>
      </c>
      <c r="R20" s="7">
        <f>'55'!T87</f>
        <v>12.107659971560999</v>
      </c>
      <c r="S20" s="7">
        <f>'55'!U87</f>
        <v>0</v>
      </c>
      <c r="T20" s="5" t="str">
        <f t="shared" si="1"/>
        <v>OK</v>
      </c>
    </row>
    <row r="21" spans="1:20" x14ac:dyDescent="0.25">
      <c r="A21" s="5">
        <v>56</v>
      </c>
      <c r="B21" s="6" t="s">
        <v>35</v>
      </c>
      <c r="C21" s="7">
        <f>'56'!R33</f>
        <v>15.7684938844</v>
      </c>
      <c r="D21" s="7">
        <f>'56'!F30</f>
        <v>15.7684938844</v>
      </c>
      <c r="E21" s="7">
        <f>'56'!G30</f>
        <v>0</v>
      </c>
      <c r="F21" s="7">
        <f>'56'!H30</f>
        <v>0</v>
      </c>
      <c r="G21" s="7">
        <f>'56'!I30</f>
        <v>0</v>
      </c>
      <c r="H21" s="7">
        <f>'56'!J30</f>
        <v>0</v>
      </c>
      <c r="I21" s="7">
        <f>'56'!K30</f>
        <v>15.7684938844</v>
      </c>
      <c r="J21" s="7">
        <f>'56'!L30</f>
        <v>0</v>
      </c>
      <c r="K21" s="7">
        <f>'56'!M30</f>
        <v>0</v>
      </c>
      <c r="L21" s="7">
        <f>'56'!N30</f>
        <v>15.7684938844</v>
      </c>
      <c r="M21" s="7">
        <f>'56'!O30</f>
        <v>0</v>
      </c>
      <c r="N21" s="7">
        <f>'56'!P30</f>
        <v>15.7684938844</v>
      </c>
      <c r="O21" s="7">
        <f>'56'!Q30</f>
        <v>0</v>
      </c>
      <c r="P21" s="7">
        <f>'56'!R30</f>
        <v>0</v>
      </c>
      <c r="Q21" s="7">
        <f>'56'!S30</f>
        <v>0</v>
      </c>
      <c r="R21" s="7">
        <f>'56'!T30</f>
        <v>15.7684938844</v>
      </c>
      <c r="S21" s="7">
        <f>'56'!U30</f>
        <v>0</v>
      </c>
      <c r="T21" s="5" t="str">
        <f t="shared" si="1"/>
        <v>OK</v>
      </c>
    </row>
    <row r="22" spans="1:20" x14ac:dyDescent="0.25">
      <c r="A22" s="5">
        <v>57</v>
      </c>
      <c r="B22" s="6" t="s">
        <v>36</v>
      </c>
      <c r="C22" s="7">
        <f>'57'!R50</f>
        <v>32.246741340600003</v>
      </c>
      <c r="D22" s="7">
        <f>'57'!F47</f>
        <v>4</v>
      </c>
      <c r="E22" s="7">
        <f>'57'!G47</f>
        <v>3</v>
      </c>
      <c r="F22" s="7">
        <f>'57'!H47</f>
        <v>4</v>
      </c>
      <c r="G22" s="7">
        <f>'57'!I47</f>
        <v>5</v>
      </c>
      <c r="H22" s="7">
        <f>'57'!J47</f>
        <v>16.246741340600003</v>
      </c>
      <c r="I22" s="7">
        <f>'57'!K47</f>
        <v>32.246741340600003</v>
      </c>
      <c r="J22" s="7">
        <f>'57'!L47</f>
        <v>0</v>
      </c>
      <c r="K22" s="7">
        <f>'57'!M47</f>
        <v>0</v>
      </c>
      <c r="L22" s="7">
        <f>'57'!N47</f>
        <v>32.246741340600003</v>
      </c>
      <c r="M22" s="7">
        <f>'57'!O47</f>
        <v>0</v>
      </c>
      <c r="N22" s="7">
        <f>'57'!P47</f>
        <v>0</v>
      </c>
      <c r="O22" s="7">
        <f>'57'!Q47</f>
        <v>0</v>
      </c>
      <c r="P22" s="7">
        <f>'57'!R47</f>
        <v>32.246741340600003</v>
      </c>
      <c r="Q22" s="7">
        <f>'57'!S47</f>
        <v>0</v>
      </c>
      <c r="R22" s="7">
        <f>'57'!T47</f>
        <v>0</v>
      </c>
      <c r="S22" s="7">
        <f>'57'!U47</f>
        <v>32.246741340600003</v>
      </c>
      <c r="T22" s="5" t="str">
        <f t="shared" si="1"/>
        <v>OK</v>
      </c>
    </row>
    <row r="23" spans="1:20" x14ac:dyDescent="0.25">
      <c r="A23" s="5">
        <v>58</v>
      </c>
      <c r="B23" s="6" t="s">
        <v>37</v>
      </c>
      <c r="C23" s="7">
        <f>'58'!R21</f>
        <v>3.86802932762</v>
      </c>
      <c r="D23" s="7">
        <f>'58'!F18</f>
        <v>3.86802932762</v>
      </c>
      <c r="E23" s="7">
        <f>'58'!G18</f>
        <v>0</v>
      </c>
      <c r="F23" s="7">
        <f>'58'!H18</f>
        <v>0</v>
      </c>
      <c r="G23" s="7">
        <f>'58'!I18</f>
        <v>0</v>
      </c>
      <c r="H23" s="7">
        <f>'58'!J18</f>
        <v>0</v>
      </c>
      <c r="I23" s="7">
        <f>'58'!K18</f>
        <v>0</v>
      </c>
      <c r="J23" s="7">
        <f>'58'!L18</f>
        <v>3.86802932762</v>
      </c>
      <c r="K23" s="7">
        <f>'58'!M18</f>
        <v>0</v>
      </c>
      <c r="L23" s="7">
        <f>'58'!N18</f>
        <v>0</v>
      </c>
      <c r="M23" s="7">
        <f>'58'!O18</f>
        <v>3.86802932762</v>
      </c>
      <c r="N23" s="7">
        <f>'58'!P18</f>
        <v>0</v>
      </c>
      <c r="O23" s="7">
        <f>'58'!Q18</f>
        <v>0</v>
      </c>
      <c r="P23" s="7">
        <f>'58'!R18</f>
        <v>3.86802932762</v>
      </c>
      <c r="Q23" s="7">
        <f>'58'!S18</f>
        <v>0</v>
      </c>
      <c r="R23" s="7">
        <f>'58'!T18</f>
        <v>0</v>
      </c>
      <c r="S23" s="7">
        <f>'58'!U18</f>
        <v>3.86802932762</v>
      </c>
      <c r="T23" s="5" t="str">
        <f t="shared" si="1"/>
        <v>OK</v>
      </c>
    </row>
    <row r="24" spans="1:20" x14ac:dyDescent="0.25">
      <c r="A24" s="5">
        <v>61</v>
      </c>
      <c r="B24" s="6" t="s">
        <v>38</v>
      </c>
      <c r="C24" s="7">
        <f>'61'!R58</f>
        <v>38.142041879130005</v>
      </c>
      <c r="D24" s="7">
        <f>'61'!F55</f>
        <v>13.7178023618</v>
      </c>
      <c r="E24" s="7">
        <f>'61'!G55</f>
        <v>0</v>
      </c>
      <c r="F24" s="7">
        <f>'61'!H55</f>
        <v>0</v>
      </c>
      <c r="G24" s="7">
        <f>'61'!I55</f>
        <v>14.424239517330001</v>
      </c>
      <c r="H24" s="7">
        <f>'61'!J55</f>
        <v>10</v>
      </c>
      <c r="I24" s="7">
        <f>'61'!K55</f>
        <v>38.142041879130005</v>
      </c>
      <c r="J24" s="7">
        <f>'61'!L55</f>
        <v>0</v>
      </c>
      <c r="K24" s="7">
        <f>'61'!M55</f>
        <v>1.4242395173300002</v>
      </c>
      <c r="L24" s="7">
        <f>'61'!N55</f>
        <v>36.717802361799997</v>
      </c>
      <c r="M24" s="7">
        <f>'61'!O55</f>
        <v>0</v>
      </c>
      <c r="N24" s="7">
        <f>'61'!P55</f>
        <v>0</v>
      </c>
      <c r="O24" s="7">
        <f>'61'!Q55</f>
        <v>35.142041879130005</v>
      </c>
      <c r="P24" s="7">
        <f>'61'!R55</f>
        <v>3</v>
      </c>
      <c r="Q24" s="7">
        <f>'61'!S55</f>
        <v>0</v>
      </c>
      <c r="R24" s="7">
        <f>'61'!T55</f>
        <v>35.142041879130005</v>
      </c>
      <c r="S24" s="7">
        <f>'61'!U55</f>
        <v>3</v>
      </c>
      <c r="T24" s="5" t="str">
        <f t="shared" si="1"/>
        <v>OK</v>
      </c>
    </row>
    <row r="25" spans="1:20" x14ac:dyDescent="0.25">
      <c r="A25" s="5">
        <v>63</v>
      </c>
      <c r="B25" s="6" t="s">
        <v>39</v>
      </c>
      <c r="C25" s="7">
        <f>'63'!R46</f>
        <v>28.9906485132</v>
      </c>
      <c r="D25" s="7">
        <f>'63'!F43</f>
        <v>0</v>
      </c>
      <c r="E25" s="7">
        <f>'63'!G43</f>
        <v>0</v>
      </c>
      <c r="F25" s="7">
        <f>'63'!H43</f>
        <v>0</v>
      </c>
      <c r="G25" s="7">
        <f>'63'!I43</f>
        <v>0</v>
      </c>
      <c r="H25" s="7">
        <f>'63'!J43</f>
        <v>0</v>
      </c>
      <c r="I25" s="7">
        <f>'63'!K43</f>
        <v>0</v>
      </c>
      <c r="J25" s="7">
        <f>'63'!L43</f>
        <v>28.9906485132</v>
      </c>
      <c r="K25" s="7">
        <f>'63'!M43</f>
        <v>0</v>
      </c>
      <c r="L25" s="7">
        <f>'63'!N43</f>
        <v>0</v>
      </c>
      <c r="M25" s="7">
        <f>'63'!O43</f>
        <v>0</v>
      </c>
      <c r="N25" s="7">
        <f>'63'!P43</f>
        <v>0</v>
      </c>
      <c r="O25" s="7">
        <f>'63'!Q43</f>
        <v>0</v>
      </c>
      <c r="P25" s="7">
        <f>'63'!R43</f>
        <v>28.9906485132</v>
      </c>
      <c r="Q25" s="7">
        <f>'63'!S43</f>
        <v>0</v>
      </c>
      <c r="R25" s="7">
        <f>'63'!T43</f>
        <v>0</v>
      </c>
      <c r="S25" s="7">
        <f>'63'!U43</f>
        <v>28.9906485132</v>
      </c>
      <c r="T25" s="5" t="str">
        <f t="shared" si="1"/>
        <v>— não preenchido</v>
      </c>
    </row>
    <row r="26" spans="1:20" x14ac:dyDescent="0.25">
      <c r="B26" s="8" t="s">
        <v>40</v>
      </c>
      <c r="C26" s="9">
        <f t="shared" ref="C26:S26" si="2">SUM(C6:C25)</f>
        <v>677.61587611965683</v>
      </c>
      <c r="D26" s="9">
        <f t="shared" si="2"/>
        <v>357.81460315285699</v>
      </c>
      <c r="E26" s="9">
        <f t="shared" si="2"/>
        <v>106.56370877072001</v>
      </c>
      <c r="F26" s="9">
        <f t="shared" si="2"/>
        <v>113.95533087609</v>
      </c>
      <c r="G26" s="9">
        <f t="shared" si="2"/>
        <v>30.424239517330001</v>
      </c>
      <c r="H26" s="9">
        <f t="shared" si="2"/>
        <v>39.867345289460005</v>
      </c>
      <c r="I26" s="9">
        <f t="shared" si="2"/>
        <v>524.36030007772695</v>
      </c>
      <c r="J26" s="9">
        <f t="shared" si="2"/>
        <v>153.25557604193</v>
      </c>
      <c r="K26" s="9">
        <f t="shared" si="2"/>
        <v>22.658043037134998</v>
      </c>
      <c r="L26" s="9">
        <f t="shared" si="2"/>
        <v>592.21184567982198</v>
      </c>
      <c r="M26" s="9">
        <f t="shared" si="2"/>
        <v>33.755338889500003</v>
      </c>
      <c r="N26" s="9">
        <f t="shared" si="2"/>
        <v>226.65826165900199</v>
      </c>
      <c r="O26" s="9">
        <f t="shared" si="2"/>
        <v>240.29337191534003</v>
      </c>
      <c r="P26" s="9">
        <f t="shared" si="2"/>
        <v>210.66424254531503</v>
      </c>
      <c r="Q26" s="9">
        <f t="shared" si="2"/>
        <v>139.203920456481</v>
      </c>
      <c r="R26" s="9">
        <f t="shared" si="2"/>
        <v>346.845997843291</v>
      </c>
      <c r="S26" s="9">
        <f t="shared" si="2"/>
        <v>191.565957819885</v>
      </c>
    </row>
    <row r="27" spans="1:20" x14ac:dyDescent="0.25">
      <c r="B27" s="8" t="s">
        <v>41</v>
      </c>
      <c r="D27" s="10">
        <f>SUM(D26:H26)/677.62</f>
        <v>0.9572108668670597</v>
      </c>
      <c r="I27" s="11" t="s">
        <v>42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25">
    <cfRule type="expression" dxfId="181" priority="1">
      <formula>LEFT(T6,4)="ERRO"</formula>
    </cfRule>
    <cfRule type="expression" dxfId="180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N43"/>
  <sheetViews>
    <sheetView showGridLines="0" tabSelected="1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v>46235</v>
      </c>
      <c r="J2" s="41"/>
      <c r="K2" s="30" t="s">
        <v>46</v>
      </c>
      <c r="L2" s="28"/>
      <c r="M2" s="28"/>
      <c r="N2" s="47"/>
      <c r="O2" s="41"/>
      <c r="P2" s="30" t="s">
        <v>47</v>
      </c>
      <c r="Q2" s="28"/>
      <c r="R2" s="39" t="s">
        <v>248</v>
      </c>
      <c r="S2" s="40"/>
      <c r="T2" s="40"/>
      <c r="U2" s="40"/>
      <c r="V2" s="41"/>
      <c r="Y2" s="2" t="e">
        <f t="shared" ref="Y2:AN2" si="0">IF(F29=0,NA(),F29)</f>
        <v>#N/A</v>
      </c>
      <c r="Z2" s="2" t="e">
        <f t="shared" si="0"/>
        <v>#N/A</v>
      </c>
      <c r="AA2" s="2">
        <f t="shared" si="0"/>
        <v>10.45280680067</v>
      </c>
      <c r="AB2" s="2" t="e">
        <f t="shared" si="0"/>
        <v>#N/A</v>
      </c>
      <c r="AC2" s="2" t="e">
        <f t="shared" si="0"/>
        <v>#N/A</v>
      </c>
      <c r="AD2" s="2">
        <f t="shared" si="0"/>
        <v>10.45280680067</v>
      </c>
      <c r="AE2" s="2" t="e">
        <f t="shared" si="0"/>
        <v>#N/A</v>
      </c>
      <c r="AF2" s="2" t="e">
        <f t="shared" si="0"/>
        <v>#N/A</v>
      </c>
      <c r="AG2" s="2">
        <f t="shared" si="0"/>
        <v>10.45280680067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10.45280680067</v>
      </c>
      <c r="AL2" s="2" t="e">
        <f t="shared" si="0"/>
        <v>#N/A</v>
      </c>
      <c r="AM2" s="2">
        <f t="shared" si="0"/>
        <v>8.0232805681299997</v>
      </c>
      <c r="AN2" s="2">
        <f t="shared" si="0"/>
        <v>2.4295262325400002</v>
      </c>
    </row>
    <row r="3" spans="1:40" ht="15" customHeight="1" x14ac:dyDescent="0.25">
      <c r="A3" s="42" t="s">
        <v>48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49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58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59</v>
      </c>
      <c r="B9" s="13" t="s">
        <v>60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61</v>
      </c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59</v>
      </c>
      <c r="B10" s="13" t="s">
        <v>60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61</v>
      </c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59</v>
      </c>
      <c r="B11" s="19" t="s">
        <v>60</v>
      </c>
      <c r="C11" s="20">
        <v>2</v>
      </c>
      <c r="D11" s="20">
        <v>2.4295262325400002</v>
      </c>
      <c r="E11" s="20">
        <f>D11-C11</f>
        <v>0.42952623254000022</v>
      </c>
      <c r="F11" s="21"/>
      <c r="G11" s="21"/>
      <c r="H11" s="21" t="s">
        <v>61</v>
      </c>
      <c r="I11" s="21"/>
      <c r="J11" s="21"/>
      <c r="K11" s="21" t="s">
        <v>61</v>
      </c>
      <c r="L11" s="21"/>
      <c r="M11" s="21"/>
      <c r="N11" s="21" t="s">
        <v>61</v>
      </c>
      <c r="O11" s="21"/>
      <c r="P11" s="21"/>
      <c r="Q11" s="21"/>
      <c r="R11" s="21" t="s">
        <v>61</v>
      </c>
      <c r="S11" s="21"/>
      <c r="T11" s="21"/>
      <c r="U11" s="21" t="s">
        <v>61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35" t="s">
        <v>62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/>
      <c r="W12" s="4"/>
    </row>
    <row r="13" spans="1:40" ht="15.95" customHeight="1" x14ac:dyDescent="0.25">
      <c r="A13" s="46" t="s">
        <v>63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64</v>
      </c>
      <c r="B14" s="13" t="s">
        <v>60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61</v>
      </c>
      <c r="I14" s="15"/>
      <c r="J14" s="15"/>
      <c r="K14" s="15" t="s">
        <v>61</v>
      </c>
      <c r="L14" s="15"/>
      <c r="M14" s="15"/>
      <c r="N14" s="15" t="s">
        <v>61</v>
      </c>
      <c r="O14" s="15"/>
      <c r="P14" s="15"/>
      <c r="Q14" s="15"/>
      <c r="R14" s="15" t="s">
        <v>61</v>
      </c>
      <c r="S14" s="15"/>
      <c r="T14" s="15" t="s">
        <v>61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64</v>
      </c>
      <c r="B15" s="13" t="s">
        <v>60</v>
      </c>
      <c r="C15" s="14">
        <v>1</v>
      </c>
      <c r="D15" s="14">
        <v>2</v>
      </c>
      <c r="E15" s="14">
        <f>D15-C15</f>
        <v>1</v>
      </c>
      <c r="F15" s="15"/>
      <c r="G15" s="15"/>
      <c r="H15" s="15" t="s">
        <v>61</v>
      </c>
      <c r="I15" s="15"/>
      <c r="J15" s="15"/>
      <c r="K15" s="15" t="s">
        <v>61</v>
      </c>
      <c r="L15" s="15"/>
      <c r="M15" s="15"/>
      <c r="N15" s="15" t="s">
        <v>61</v>
      </c>
      <c r="O15" s="15"/>
      <c r="P15" s="15"/>
      <c r="Q15" s="15"/>
      <c r="R15" s="15" t="s">
        <v>61</v>
      </c>
      <c r="S15" s="15"/>
      <c r="T15" s="15" t="s">
        <v>61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64</v>
      </c>
      <c r="B16" s="13" t="s">
        <v>60</v>
      </c>
      <c r="C16" s="14">
        <v>2</v>
      </c>
      <c r="D16" s="14">
        <v>3</v>
      </c>
      <c r="E16" s="14">
        <f>D16-C16</f>
        <v>1</v>
      </c>
      <c r="F16" s="15"/>
      <c r="G16" s="15"/>
      <c r="H16" s="15" t="s">
        <v>61</v>
      </c>
      <c r="I16" s="15"/>
      <c r="J16" s="15"/>
      <c r="K16" s="15" t="s">
        <v>61</v>
      </c>
      <c r="L16" s="15"/>
      <c r="M16" s="15"/>
      <c r="N16" s="15" t="s">
        <v>61</v>
      </c>
      <c r="O16" s="15"/>
      <c r="P16" s="15"/>
      <c r="Q16" s="15"/>
      <c r="R16" s="15" t="s">
        <v>61</v>
      </c>
      <c r="S16" s="15"/>
      <c r="T16" s="15" t="s">
        <v>61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64</v>
      </c>
      <c r="B17" s="13" t="s">
        <v>60</v>
      </c>
      <c r="C17" s="14">
        <v>3</v>
      </c>
      <c r="D17" s="14">
        <v>4</v>
      </c>
      <c r="E17" s="14">
        <f>D17-C17</f>
        <v>1</v>
      </c>
      <c r="F17" s="15"/>
      <c r="G17" s="15"/>
      <c r="H17" s="15" t="s">
        <v>61</v>
      </c>
      <c r="I17" s="15"/>
      <c r="J17" s="15"/>
      <c r="K17" s="15" t="s">
        <v>61</v>
      </c>
      <c r="L17" s="15"/>
      <c r="M17" s="15"/>
      <c r="N17" s="15" t="s">
        <v>61</v>
      </c>
      <c r="O17" s="15"/>
      <c r="P17" s="15"/>
      <c r="Q17" s="15"/>
      <c r="R17" s="15" t="s">
        <v>61</v>
      </c>
      <c r="S17" s="15"/>
      <c r="T17" s="15" t="s">
        <v>61</v>
      </c>
      <c r="U17" s="15"/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64</v>
      </c>
      <c r="B18" s="19" t="s">
        <v>60</v>
      </c>
      <c r="C18" s="20">
        <v>4</v>
      </c>
      <c r="D18" s="20">
        <v>4.2669872308099999</v>
      </c>
      <c r="E18" s="20">
        <f>D18-C18</f>
        <v>0.26698723080999986</v>
      </c>
      <c r="F18" s="21"/>
      <c r="G18" s="21"/>
      <c r="H18" s="21" t="s">
        <v>61</v>
      </c>
      <c r="I18" s="21"/>
      <c r="J18" s="21"/>
      <c r="K18" s="21" t="s">
        <v>61</v>
      </c>
      <c r="L18" s="21"/>
      <c r="M18" s="21"/>
      <c r="N18" s="21" t="s">
        <v>61</v>
      </c>
      <c r="O18" s="21"/>
      <c r="P18" s="21"/>
      <c r="Q18" s="21"/>
      <c r="R18" s="21" t="s">
        <v>61</v>
      </c>
      <c r="S18" s="21"/>
      <c r="T18" s="21" t="s">
        <v>61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15.95" customHeight="1" x14ac:dyDescent="0.25">
      <c r="A19" s="46" t="s">
        <v>65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/>
      <c r="W19" s="4"/>
    </row>
    <row r="20" spans="1:23" ht="20.100000000000001" customHeight="1" x14ac:dyDescent="0.25">
      <c r="A20" s="12" t="s">
        <v>66</v>
      </c>
      <c r="B20" s="13" t="s">
        <v>60</v>
      </c>
      <c r="C20" s="14">
        <v>0</v>
      </c>
      <c r="D20" s="14">
        <v>1</v>
      </c>
      <c r="E20" s="14">
        <f>D20-C20</f>
        <v>1</v>
      </c>
      <c r="F20" s="15"/>
      <c r="G20" s="15"/>
      <c r="H20" s="15" t="s">
        <v>61</v>
      </c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/>
      <c r="R20" s="15" t="s">
        <v>61</v>
      </c>
      <c r="S20" s="15"/>
      <c r="T20" s="15" t="s">
        <v>61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2" t="s">
        <v>66</v>
      </c>
      <c r="B21" s="13" t="s">
        <v>60</v>
      </c>
      <c r="C21" s="14">
        <v>1</v>
      </c>
      <c r="D21" s="14">
        <v>2</v>
      </c>
      <c r="E21" s="14">
        <f>D21-C21</f>
        <v>1</v>
      </c>
      <c r="F21" s="15"/>
      <c r="G21" s="15"/>
      <c r="H21" s="15" t="s">
        <v>61</v>
      </c>
      <c r="I21" s="15"/>
      <c r="J21" s="15"/>
      <c r="K21" s="15" t="s">
        <v>61</v>
      </c>
      <c r="L21" s="15"/>
      <c r="M21" s="15"/>
      <c r="N21" s="15" t="s">
        <v>61</v>
      </c>
      <c r="O21" s="15"/>
      <c r="P21" s="15"/>
      <c r="Q21" s="15"/>
      <c r="R21" s="15" t="s">
        <v>61</v>
      </c>
      <c r="S21" s="15"/>
      <c r="T21" s="15" t="s">
        <v>61</v>
      </c>
      <c r="U21" s="15"/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66</v>
      </c>
      <c r="B22" s="13" t="s">
        <v>60</v>
      </c>
      <c r="C22" s="14">
        <v>2</v>
      </c>
      <c r="D22" s="14">
        <v>3</v>
      </c>
      <c r="E22" s="14">
        <f>D22-C22</f>
        <v>1</v>
      </c>
      <c r="F22" s="15"/>
      <c r="G22" s="15"/>
      <c r="H22" s="15" t="s">
        <v>61</v>
      </c>
      <c r="I22" s="15"/>
      <c r="J22" s="15"/>
      <c r="K22" s="15" t="s">
        <v>61</v>
      </c>
      <c r="L22" s="15"/>
      <c r="M22" s="15"/>
      <c r="N22" s="15" t="s">
        <v>61</v>
      </c>
      <c r="O22" s="15"/>
      <c r="P22" s="15"/>
      <c r="Q22" s="15"/>
      <c r="R22" s="15" t="s">
        <v>61</v>
      </c>
      <c r="S22" s="15"/>
      <c r="T22" s="15" t="s">
        <v>61</v>
      </c>
      <c r="U22" s="15"/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66</v>
      </c>
      <c r="B23" s="19" t="s">
        <v>60</v>
      </c>
      <c r="C23" s="20">
        <v>3</v>
      </c>
      <c r="D23" s="20">
        <v>3.7562933373199998</v>
      </c>
      <c r="E23" s="20">
        <f>D23-C23</f>
        <v>0.75629333731999981</v>
      </c>
      <c r="F23" s="21"/>
      <c r="G23" s="21"/>
      <c r="H23" s="21" t="s">
        <v>61</v>
      </c>
      <c r="I23" s="21"/>
      <c r="J23" s="21"/>
      <c r="K23" s="21" t="s">
        <v>61</v>
      </c>
      <c r="L23" s="21"/>
      <c r="M23" s="21"/>
      <c r="N23" s="21" t="s">
        <v>61</v>
      </c>
      <c r="O23" s="21"/>
      <c r="P23" s="21"/>
      <c r="Q23" s="21"/>
      <c r="R23" s="21" t="s">
        <v>61</v>
      </c>
      <c r="S23" s="21"/>
      <c r="T23" s="21" t="s">
        <v>61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38" t="s">
        <v>67</v>
      </c>
      <c r="B25" s="28"/>
      <c r="C25" s="28"/>
      <c r="D25" s="28"/>
      <c r="E25" s="28"/>
      <c r="G25" s="38" t="s">
        <v>67</v>
      </c>
      <c r="H25" s="28"/>
      <c r="I25" s="28"/>
      <c r="J25" s="28"/>
      <c r="K25" s="28"/>
    </row>
    <row r="26" spans="1:23" x14ac:dyDescent="0.25">
      <c r="A26" s="36" t="s">
        <v>68</v>
      </c>
      <c r="B26" s="28"/>
      <c r="C26" s="28"/>
      <c r="D26" s="28"/>
      <c r="E26" s="28"/>
      <c r="G26" s="36" t="s">
        <v>69</v>
      </c>
      <c r="H26" s="28"/>
      <c r="I26" s="28"/>
      <c r="J26" s="28"/>
      <c r="K26" s="28"/>
    </row>
    <row r="28" spans="1:23" x14ac:dyDescent="0.25">
      <c r="A28" s="37" t="s">
        <v>70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4" t="s">
        <v>71</v>
      </c>
      <c r="B29" s="28"/>
      <c r="C29" s="28"/>
      <c r="D29" s="28"/>
      <c r="E29" s="28"/>
      <c r="F29" s="9">
        <f t="shared" ref="F29:U29" si="1">SUMIF(F$9:F$23,"X",$E$9:$E$23)</f>
        <v>0</v>
      </c>
      <c r="G29" s="9">
        <f t="shared" si="1"/>
        <v>0</v>
      </c>
      <c r="H29" s="9">
        <f t="shared" si="1"/>
        <v>10.45280680067</v>
      </c>
      <c r="I29" s="9">
        <f t="shared" si="1"/>
        <v>0</v>
      </c>
      <c r="J29" s="9">
        <f t="shared" si="1"/>
        <v>0</v>
      </c>
      <c r="K29" s="9">
        <f t="shared" si="1"/>
        <v>10.45280680067</v>
      </c>
      <c r="L29" s="9">
        <f t="shared" si="1"/>
        <v>0</v>
      </c>
      <c r="M29" s="9">
        <f t="shared" si="1"/>
        <v>0</v>
      </c>
      <c r="N29" s="9">
        <f t="shared" si="1"/>
        <v>10.45280680067</v>
      </c>
      <c r="O29" s="9">
        <f t="shared" si="1"/>
        <v>0</v>
      </c>
      <c r="P29" s="9">
        <f t="shared" si="1"/>
        <v>0</v>
      </c>
      <c r="Q29" s="9">
        <f t="shared" si="1"/>
        <v>0</v>
      </c>
      <c r="R29" s="9">
        <f t="shared" si="1"/>
        <v>10.45280680067</v>
      </c>
      <c r="S29" s="9">
        <f t="shared" si="1"/>
        <v>0</v>
      </c>
      <c r="T29" s="9">
        <f t="shared" si="1"/>
        <v>8.0232805681299997</v>
      </c>
      <c r="U29" s="9">
        <f t="shared" si="1"/>
        <v>2.4295262325400002</v>
      </c>
    </row>
    <row r="30" spans="1:23" x14ac:dyDescent="0.25">
      <c r="A30" s="34" t="s">
        <v>72</v>
      </c>
      <c r="B30" s="28"/>
      <c r="C30" s="28"/>
      <c r="D30" s="28"/>
      <c r="E30" s="28"/>
      <c r="F30" s="25">
        <f t="shared" ref="F30:U30" si="2">IF($R32=0,0,F29/$R32)</f>
        <v>0</v>
      </c>
      <c r="G30" s="25">
        <f t="shared" si="2"/>
        <v>0</v>
      </c>
      <c r="H30" s="25">
        <f t="shared" si="2"/>
        <v>1</v>
      </c>
      <c r="I30" s="25">
        <f t="shared" si="2"/>
        <v>0</v>
      </c>
      <c r="J30" s="25">
        <f t="shared" si="2"/>
        <v>0</v>
      </c>
      <c r="K30" s="25">
        <f t="shared" si="2"/>
        <v>1</v>
      </c>
      <c r="L30" s="25">
        <f t="shared" si="2"/>
        <v>0</v>
      </c>
      <c r="M30" s="25">
        <f t="shared" si="2"/>
        <v>0</v>
      </c>
      <c r="N30" s="25">
        <f t="shared" si="2"/>
        <v>1</v>
      </c>
      <c r="O30" s="25">
        <f t="shared" si="2"/>
        <v>0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0.76757188008255606</v>
      </c>
      <c r="U30" s="25">
        <f t="shared" si="2"/>
        <v>0.23242811991744391</v>
      </c>
    </row>
    <row r="31" spans="1:23" x14ac:dyDescent="0.25">
      <c r="A31" s="34" t="s">
        <v>73</v>
      </c>
      <c r="B31" s="28"/>
      <c r="C31" s="28"/>
      <c r="D31" s="28"/>
      <c r="E31" s="28"/>
      <c r="F31" s="31" t="str">
        <f>IF(SUM(F29:J29)=0,"— não preenchido",IF(ROUND(SUM(F29:J29)-$R32,3)=0,"OK — "&amp;ROUND(SUM(F29:J29),3)&amp;" km","ERRO — dif. de "&amp;ROUND(SUM(F29:J29)-$R32,3)&amp;" km"))</f>
        <v>OK — 10,453 km</v>
      </c>
      <c r="G31" s="32"/>
      <c r="H31" s="32"/>
      <c r="I31" s="32"/>
      <c r="J31" s="33"/>
      <c r="K31" s="31" t="str">
        <f>IF(SUM(K29:L29)=0,"— não preenchido",IF(ROUND(SUM(K29:L29)-$R32,3)=0,"OK — "&amp;ROUND(SUM(K29:L29),3)&amp;" km","ERRO — dif. de "&amp;ROUND(SUM(K29:L29)-$R32,3)&amp;" km"))</f>
        <v>OK — 10,453 km</v>
      </c>
      <c r="L31" s="33"/>
      <c r="M31" s="31" t="str">
        <f>IF(SUM(M29:O29)=0,"— não preenchido",IF(ROUND(SUM(M29:O29)-$R32,3)=0,"OK — "&amp;ROUND(SUM(M29:O29),3)&amp;" km","ERRO — dif. de "&amp;ROUND(SUM(M29:O29)-$R32,3)&amp;" km"))</f>
        <v>OK — 10,453 km</v>
      </c>
      <c r="N31" s="32"/>
      <c r="O31" s="33"/>
      <c r="P31" s="31" t="str">
        <f>IF(SUM(P29:R29)=0,"— não preenchido",IF(ROUND(SUM(P29:R29)-$R32,3)=0,"OK — "&amp;ROUND(SUM(P29:R29),3)&amp;" km","ERRO — dif. de "&amp;ROUND(SUM(P29:R29)-$R32,3)&amp;" km"))</f>
        <v>OK — 10,453 km</v>
      </c>
      <c r="Q31" s="32"/>
      <c r="R31" s="33"/>
      <c r="S31" s="31" t="str">
        <f>IF(SUM(S29:U29)=0,"— não preenchido",IF(ROUND(SUM(S29:U29)-$R32,3)=0,"OK — "&amp;ROUND(SUM(S29:U29),3)&amp;" km","ERRO — dif. de "&amp;ROUND(SUM(S29:U29)-$R32,3)&amp;" km"))</f>
        <v>OK — 10,453 km</v>
      </c>
      <c r="T31" s="32"/>
      <c r="U31" s="33"/>
    </row>
    <row r="32" spans="1:23" x14ac:dyDescent="0.25">
      <c r="A32" s="34" t="s">
        <v>74</v>
      </c>
      <c r="B32" s="28"/>
      <c r="C32" s="28"/>
      <c r="D32" s="28"/>
      <c r="E32" s="28"/>
      <c r="R32" s="26">
        <f>SUM(E9:E23)</f>
        <v>10.45280680067</v>
      </c>
      <c r="V32" s="8" t="str">
        <f>COUNTIF(W9:W23,"OK")&amp;" de "&amp;COUNT($E$9:$E$23)&amp;" linhas conferidas"</f>
        <v>12 de 12 linhas conferidas</v>
      </c>
    </row>
    <row r="34" spans="1:22" x14ac:dyDescent="0.25">
      <c r="A34" s="45" t="s">
        <v>75</v>
      </c>
      <c r="B34" s="28"/>
      <c r="C34" s="28"/>
      <c r="D34" s="28"/>
      <c r="E34" s="28"/>
    </row>
    <row r="35" spans="1:22" x14ac:dyDescent="0.25">
      <c r="A35" s="34" t="s">
        <v>76</v>
      </c>
      <c r="B35" s="28"/>
      <c r="C35" s="28"/>
      <c r="D35" s="28"/>
      <c r="E35" s="29" t="s">
        <v>77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78</v>
      </c>
      <c r="B36" s="28"/>
      <c r="C36" s="28"/>
      <c r="D36" s="28"/>
      <c r="E36" s="29" t="s">
        <v>79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80</v>
      </c>
      <c r="B37" s="28"/>
      <c r="C37" s="28"/>
      <c r="D37" s="28"/>
      <c r="E37" s="29" t="s">
        <v>81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82</v>
      </c>
      <c r="B38" s="28"/>
      <c r="C38" s="28"/>
      <c r="D38" s="28"/>
      <c r="E38" s="29" t="s">
        <v>83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84</v>
      </c>
      <c r="B39" s="28"/>
      <c r="C39" s="28"/>
      <c r="D39" s="28"/>
      <c r="E39" s="29" t="s">
        <v>85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52</v>
      </c>
      <c r="B40" s="28"/>
      <c r="C40" s="28"/>
      <c r="D40" s="28"/>
      <c r="E40" s="29" t="s">
        <v>86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87</v>
      </c>
      <c r="B41" s="28"/>
      <c r="C41" s="28"/>
      <c r="D41" s="28"/>
      <c r="E41" s="29" t="s">
        <v>88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89</v>
      </c>
      <c r="B42" s="28"/>
      <c r="C42" s="28"/>
      <c r="D42" s="28"/>
      <c r="E42" s="29" t="s">
        <v>90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11</v>
      </c>
      <c r="B43" s="28"/>
      <c r="C43" s="28"/>
      <c r="D43" s="28"/>
      <c r="E43" s="29" t="s">
        <v>91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formatCells="0"/>
  <mergeCells count="60"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  <mergeCell ref="A43:D43"/>
    <mergeCell ref="A6:A7"/>
    <mergeCell ref="F6:J6"/>
    <mergeCell ref="E40:V40"/>
    <mergeCell ref="M6:O6"/>
    <mergeCell ref="V6:V7"/>
    <mergeCell ref="S6:U6"/>
    <mergeCell ref="A40:D40"/>
    <mergeCell ref="A13:V13"/>
    <mergeCell ref="A19:V19"/>
    <mergeCell ref="A25:E25"/>
    <mergeCell ref="A39:D39"/>
    <mergeCell ref="E43:V43"/>
    <mergeCell ref="E42:V42"/>
    <mergeCell ref="A42:D42"/>
    <mergeCell ref="E39:V39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P6:R6"/>
    <mergeCell ref="A30:E30"/>
    <mergeCell ref="E35:V35"/>
    <mergeCell ref="A34:E34"/>
    <mergeCell ref="A1:V1"/>
    <mergeCell ref="E41:V41"/>
    <mergeCell ref="T3:V3"/>
    <mergeCell ref="F31:J31"/>
    <mergeCell ref="S31:U31"/>
    <mergeCell ref="A32:E32"/>
    <mergeCell ref="E37:V37"/>
    <mergeCell ref="A41:D41"/>
    <mergeCell ref="A12:V12"/>
    <mergeCell ref="G26:K26"/>
    <mergeCell ref="A37:D37"/>
    <mergeCell ref="A29:E29"/>
    <mergeCell ref="A28:E28"/>
    <mergeCell ref="G25:K25"/>
    <mergeCell ref="R2:V2"/>
    <mergeCell ref="A3:S3"/>
  </mergeCells>
  <conditionalFormatting sqref="F9:J23">
    <cfRule type="expression" dxfId="179" priority="1">
      <formula>AND(F9&lt;&gt;"",COUNTIF($F9:$J9,"X")&gt;1)</formula>
    </cfRule>
  </conditionalFormatting>
  <conditionalFormatting sqref="F31:U31">
    <cfRule type="expression" dxfId="178" priority="8">
      <formula>LEFT(F31,4)="ERRO"</formula>
    </cfRule>
    <cfRule type="expression" dxfId="177" priority="9">
      <formula>LEFT(F31,2)="OK"</formula>
    </cfRule>
  </conditionalFormatting>
  <conditionalFormatting sqref="K9:L23">
    <cfRule type="expression" dxfId="176" priority="2">
      <formula>AND(K9&lt;&gt;"",COUNTIF($K9:$L9,"X")&gt;1)</formula>
    </cfRule>
  </conditionalFormatting>
  <conditionalFormatting sqref="M9:O23">
    <cfRule type="expression" dxfId="175" priority="3">
      <formula>AND(M9&lt;&gt;"",COUNTIF($M9:$O9,"X")&gt;1)</formula>
    </cfRule>
  </conditionalFormatting>
  <conditionalFormatting sqref="P9:R23">
    <cfRule type="expression" dxfId="174" priority="4">
      <formula>AND(P9&lt;&gt;"",COUNTIF($P9:$R9,"X")&gt;1)</formula>
    </cfRule>
  </conditionalFormatting>
  <conditionalFormatting sqref="S9:U23">
    <cfRule type="expression" dxfId="173" priority="5">
      <formula>AND(S9&lt;&gt;"",COUNTIF($S9:$U9,"X")&gt;1)</formula>
    </cfRule>
  </conditionalFormatting>
  <conditionalFormatting sqref="W9:W23">
    <cfRule type="expression" dxfId="172" priority="6">
      <formula>AND(W9&lt;&gt;"OK",W9&lt;&gt;"")</formula>
    </cfRule>
    <cfRule type="expression" dxfId="17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39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N9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IF(F84=0,NA(),F84)</f>
        <v>59.674512841985006</v>
      </c>
      <c r="Z2" s="2" t="e">
        <f t="shared" si="0"/>
        <v>#N/A</v>
      </c>
      <c r="AA2" s="2">
        <f t="shared" si="0"/>
        <v>1.0743693946599999</v>
      </c>
      <c r="AB2" s="2" t="e">
        <f t="shared" si="0"/>
        <v>#N/A</v>
      </c>
      <c r="AC2" s="2" t="e">
        <f t="shared" si="0"/>
        <v>#N/A</v>
      </c>
      <c r="AD2" s="2">
        <f t="shared" si="0"/>
        <v>60.748882236645002</v>
      </c>
      <c r="AE2" s="2" t="e">
        <f t="shared" si="0"/>
        <v>#N/A</v>
      </c>
      <c r="AF2" s="2">
        <f t="shared" si="0"/>
        <v>1.798351071735</v>
      </c>
      <c r="AG2" s="2">
        <f t="shared" si="0"/>
        <v>55.962443066229994</v>
      </c>
      <c r="AH2" s="2">
        <f t="shared" si="0"/>
        <v>2.98808809868</v>
      </c>
      <c r="AI2" s="2">
        <f t="shared" si="0"/>
        <v>54.888073671569998</v>
      </c>
      <c r="AJ2" s="2" t="e">
        <f t="shared" si="0"/>
        <v>#N/A</v>
      </c>
      <c r="AK2" s="2">
        <f t="shared" si="0"/>
        <v>5.8608085650750006</v>
      </c>
      <c r="AL2" s="2" t="e">
        <f t="shared" si="0"/>
        <v>#N/A</v>
      </c>
      <c r="AM2" s="2">
        <f t="shared" si="0"/>
        <v>54.888073671569998</v>
      </c>
      <c r="AN2" s="2">
        <f t="shared" si="0"/>
        <v>5.8608085650750006</v>
      </c>
    </row>
    <row r="3" spans="1:40" ht="15" customHeight="1" x14ac:dyDescent="0.25">
      <c r="A3" s="42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93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95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 t="s">
        <v>61</v>
      </c>
      <c r="N9" s="15"/>
      <c r="O9" s="15"/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95</v>
      </c>
      <c r="B10" s="19" t="s">
        <v>60</v>
      </c>
      <c r="C10" s="20">
        <v>1</v>
      </c>
      <c r="D10" s="20">
        <v>1.08353337499</v>
      </c>
      <c r="E10" s="20">
        <f>D10-C10</f>
        <v>8.353337499000002E-2</v>
      </c>
      <c r="F10" s="21" t="s">
        <v>61</v>
      </c>
      <c r="G10" s="21"/>
      <c r="H10" s="21"/>
      <c r="I10" s="21"/>
      <c r="J10" s="21"/>
      <c r="K10" s="21" t="s">
        <v>61</v>
      </c>
      <c r="L10" s="21"/>
      <c r="M10" s="21" t="s">
        <v>61</v>
      </c>
      <c r="N10" s="21"/>
      <c r="O10" s="21"/>
      <c r="P10" s="21"/>
      <c r="Q10" s="21"/>
      <c r="R10" s="21" t="s">
        <v>61</v>
      </c>
      <c r="S10" s="21"/>
      <c r="T10" s="21"/>
      <c r="U10" s="21" t="s">
        <v>61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6" t="s">
        <v>96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"/>
    </row>
    <row r="12" spans="1:40" ht="20.100000000000001" customHeight="1" x14ac:dyDescent="0.25">
      <c r="A12" s="18" t="s">
        <v>97</v>
      </c>
      <c r="B12" s="19" t="s">
        <v>60</v>
      </c>
      <c r="C12" s="20">
        <v>0</v>
      </c>
      <c r="D12" s="20">
        <v>0.71481769674499995</v>
      </c>
      <c r="E12" s="20">
        <f>D12-C12</f>
        <v>0.71481769674499995</v>
      </c>
      <c r="F12" s="21" t="s">
        <v>61</v>
      </c>
      <c r="G12" s="21"/>
      <c r="H12" s="21"/>
      <c r="I12" s="21"/>
      <c r="J12" s="21"/>
      <c r="K12" s="21" t="s">
        <v>61</v>
      </c>
      <c r="L12" s="21"/>
      <c r="M12" s="21" t="s">
        <v>61</v>
      </c>
      <c r="N12" s="21"/>
      <c r="O12" s="21"/>
      <c r="P12" s="21"/>
      <c r="Q12" s="21"/>
      <c r="R12" s="21" t="s">
        <v>61</v>
      </c>
      <c r="S12" s="21"/>
      <c r="T12" s="21"/>
      <c r="U12" s="21" t="s">
        <v>61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6" t="s">
        <v>98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99</v>
      </c>
      <c r="B14" s="13" t="s">
        <v>60</v>
      </c>
      <c r="C14" s="14">
        <v>0</v>
      </c>
      <c r="D14" s="14">
        <v>1</v>
      </c>
      <c r="E14" s="14">
        <f>D14-C14</f>
        <v>1</v>
      </c>
      <c r="F14" s="15"/>
      <c r="G14" s="15"/>
      <c r="H14" s="15" t="s">
        <v>61</v>
      </c>
      <c r="I14" s="15"/>
      <c r="J14" s="15"/>
      <c r="K14" s="15" t="s">
        <v>61</v>
      </c>
      <c r="L14" s="15"/>
      <c r="M14" s="15"/>
      <c r="N14" s="15" t="s">
        <v>61</v>
      </c>
      <c r="O14" s="15"/>
      <c r="P14" s="15"/>
      <c r="Q14" s="15"/>
      <c r="R14" s="15" t="s">
        <v>61</v>
      </c>
      <c r="S14" s="15"/>
      <c r="T14" s="15"/>
      <c r="U14" s="15" t="s">
        <v>61</v>
      </c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99</v>
      </c>
      <c r="B15" s="19" t="s">
        <v>60</v>
      </c>
      <c r="C15" s="20">
        <v>1</v>
      </c>
      <c r="D15" s="20">
        <v>1.0743693946599999</v>
      </c>
      <c r="E15" s="20">
        <f>D15-C15</f>
        <v>7.4369394659999921E-2</v>
      </c>
      <c r="F15" s="21"/>
      <c r="G15" s="21"/>
      <c r="H15" s="21" t="s">
        <v>61</v>
      </c>
      <c r="I15" s="21"/>
      <c r="J15" s="21"/>
      <c r="K15" s="21" t="s">
        <v>61</v>
      </c>
      <c r="L15" s="21"/>
      <c r="M15" s="21"/>
      <c r="N15" s="21" t="s">
        <v>61</v>
      </c>
      <c r="O15" s="21"/>
      <c r="P15" s="21"/>
      <c r="Q15" s="21"/>
      <c r="R15" s="21" t="s">
        <v>61</v>
      </c>
      <c r="S15" s="21"/>
      <c r="T15" s="21"/>
      <c r="U15" s="21" t="s">
        <v>61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46" t="s">
        <v>100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/>
      <c r="W16" s="4"/>
    </row>
    <row r="17" spans="1:23" ht="20.100000000000001" customHeight="1" x14ac:dyDescent="0.25">
      <c r="A17" s="12" t="s">
        <v>101</v>
      </c>
      <c r="B17" s="13" t="s">
        <v>60</v>
      </c>
      <c r="C17" s="14">
        <v>0</v>
      </c>
      <c r="D17" s="14">
        <v>1</v>
      </c>
      <c r="E17" s="14">
        <f>D17-C17</f>
        <v>1</v>
      </c>
      <c r="F17" s="15" t="s">
        <v>61</v>
      </c>
      <c r="G17" s="15"/>
      <c r="H17" s="15"/>
      <c r="I17" s="15"/>
      <c r="J17" s="15"/>
      <c r="K17" s="15" t="s">
        <v>61</v>
      </c>
      <c r="L17" s="15"/>
      <c r="M17" s="15"/>
      <c r="N17" s="15"/>
      <c r="O17" s="15" t="s">
        <v>61</v>
      </c>
      <c r="P17" s="15"/>
      <c r="Q17" s="15"/>
      <c r="R17" s="15" t="s">
        <v>61</v>
      </c>
      <c r="S17" s="15"/>
      <c r="T17" s="15"/>
      <c r="U17" s="15" t="s">
        <v>61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101</v>
      </c>
      <c r="B18" s="13" t="s">
        <v>60</v>
      </c>
      <c r="C18" s="14">
        <v>1</v>
      </c>
      <c r="D18" s="14">
        <v>2</v>
      </c>
      <c r="E18" s="14">
        <f>D18-C18</f>
        <v>1</v>
      </c>
      <c r="F18" s="15" t="s">
        <v>61</v>
      </c>
      <c r="G18" s="15"/>
      <c r="H18" s="15"/>
      <c r="I18" s="15"/>
      <c r="J18" s="15"/>
      <c r="K18" s="15" t="s">
        <v>61</v>
      </c>
      <c r="L18" s="15"/>
      <c r="M18" s="15"/>
      <c r="N18" s="15"/>
      <c r="O18" s="15" t="s">
        <v>61</v>
      </c>
      <c r="P18" s="15"/>
      <c r="Q18" s="15"/>
      <c r="R18" s="15" t="s">
        <v>61</v>
      </c>
      <c r="S18" s="15"/>
      <c r="T18" s="15"/>
      <c r="U18" s="15" t="s">
        <v>61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101</v>
      </c>
      <c r="B19" s="19" t="s">
        <v>60</v>
      </c>
      <c r="C19" s="20">
        <v>2</v>
      </c>
      <c r="D19" s="20">
        <v>2.98808809868</v>
      </c>
      <c r="E19" s="20">
        <f>D19-C19</f>
        <v>0.98808809868000003</v>
      </c>
      <c r="F19" s="21" t="s">
        <v>61</v>
      </c>
      <c r="G19" s="21"/>
      <c r="H19" s="21"/>
      <c r="I19" s="21"/>
      <c r="J19" s="21"/>
      <c r="K19" s="21" t="s">
        <v>61</v>
      </c>
      <c r="L19" s="21"/>
      <c r="M19" s="21"/>
      <c r="N19" s="21"/>
      <c r="O19" s="21" t="s">
        <v>61</v>
      </c>
      <c r="P19" s="21"/>
      <c r="Q19" s="21"/>
      <c r="R19" s="21" t="s">
        <v>61</v>
      </c>
      <c r="S19" s="21"/>
      <c r="T19" s="21"/>
      <c r="U19" s="21" t="s">
        <v>61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15.95" customHeight="1" x14ac:dyDescent="0.25">
      <c r="A20" s="46" t="s">
        <v>102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/>
      <c r="W20" s="4"/>
    </row>
    <row r="21" spans="1:23" ht="20.100000000000001" customHeight="1" x14ac:dyDescent="0.25">
      <c r="A21" s="12" t="s">
        <v>103</v>
      </c>
      <c r="B21" s="13" t="s">
        <v>60</v>
      </c>
      <c r="C21" s="14">
        <v>0</v>
      </c>
      <c r="D21" s="14">
        <v>1</v>
      </c>
      <c r="E21" s="14">
        <f t="shared" ref="E21:E63" si="1">D21-C21</f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 t="s">
        <v>61</v>
      </c>
      <c r="Q21" s="15"/>
      <c r="R21" s="15"/>
      <c r="S21" s="15"/>
      <c r="T21" s="15" t="s">
        <v>61</v>
      </c>
      <c r="U21" s="15"/>
      <c r="V21" s="16"/>
      <c r="W21" s="17" t="str">
        <f t="shared" ref="W21:W63" si="2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103</v>
      </c>
      <c r="B22" s="13" t="s">
        <v>60</v>
      </c>
      <c r="C22" s="14">
        <v>1</v>
      </c>
      <c r="D22" s="14">
        <v>2</v>
      </c>
      <c r="E22" s="14">
        <f t="shared" si="1"/>
        <v>1</v>
      </c>
      <c r="F22" s="15" t="s">
        <v>61</v>
      </c>
      <c r="G22" s="15"/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 t="s">
        <v>61</v>
      </c>
      <c r="Q22" s="15"/>
      <c r="R22" s="15"/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103</v>
      </c>
      <c r="B23" s="13" t="s">
        <v>60</v>
      </c>
      <c r="C23" s="14">
        <v>2</v>
      </c>
      <c r="D23" s="14">
        <v>3</v>
      </c>
      <c r="E23" s="14">
        <f t="shared" si="1"/>
        <v>1</v>
      </c>
      <c r="F23" s="15" t="s">
        <v>61</v>
      </c>
      <c r="G23" s="15"/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 t="s">
        <v>61</v>
      </c>
      <c r="Q23" s="15"/>
      <c r="R23" s="15"/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103</v>
      </c>
      <c r="B24" s="13" t="s">
        <v>60</v>
      </c>
      <c r="C24" s="14">
        <v>3</v>
      </c>
      <c r="D24" s="14">
        <v>4</v>
      </c>
      <c r="E24" s="14">
        <f t="shared" si="1"/>
        <v>1</v>
      </c>
      <c r="F24" s="15" t="s">
        <v>61</v>
      </c>
      <c r="G24" s="15"/>
      <c r="H24" s="15"/>
      <c r="I24" s="15"/>
      <c r="J24" s="15"/>
      <c r="K24" s="15" t="s">
        <v>61</v>
      </c>
      <c r="L24" s="15"/>
      <c r="M24" s="15"/>
      <c r="N24" s="15" t="s">
        <v>61</v>
      </c>
      <c r="O24" s="15"/>
      <c r="P24" s="15" t="s">
        <v>61</v>
      </c>
      <c r="Q24" s="15"/>
      <c r="R24" s="15"/>
      <c r="S24" s="15"/>
      <c r="T24" s="15" t="s">
        <v>61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103</v>
      </c>
      <c r="B25" s="13" t="s">
        <v>60</v>
      </c>
      <c r="C25" s="14">
        <v>4</v>
      </c>
      <c r="D25" s="14">
        <v>5</v>
      </c>
      <c r="E25" s="14">
        <f t="shared" si="1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 t="s">
        <v>61</v>
      </c>
      <c r="Q25" s="15"/>
      <c r="R25" s="15"/>
      <c r="S25" s="15"/>
      <c r="T25" s="15" t="s">
        <v>61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103</v>
      </c>
      <c r="B26" s="13" t="s">
        <v>60</v>
      </c>
      <c r="C26" s="14">
        <v>5</v>
      </c>
      <c r="D26" s="14">
        <v>6</v>
      </c>
      <c r="E26" s="14">
        <f t="shared" si="1"/>
        <v>1</v>
      </c>
      <c r="F26" s="15" t="s">
        <v>61</v>
      </c>
      <c r="G26" s="15"/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 t="s">
        <v>61</v>
      </c>
      <c r="Q26" s="15"/>
      <c r="R26" s="15"/>
      <c r="S26" s="15"/>
      <c r="T26" s="15" t="s">
        <v>61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103</v>
      </c>
      <c r="B27" s="13" t="s">
        <v>60</v>
      </c>
      <c r="C27" s="14">
        <v>6</v>
      </c>
      <c r="D27" s="14">
        <v>7</v>
      </c>
      <c r="E27" s="14">
        <f t="shared" si="1"/>
        <v>1</v>
      </c>
      <c r="F27" s="15" t="s">
        <v>61</v>
      </c>
      <c r="G27" s="15"/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 t="s">
        <v>61</v>
      </c>
      <c r="Q27" s="15"/>
      <c r="R27" s="15"/>
      <c r="S27" s="15"/>
      <c r="T27" s="15" t="s">
        <v>61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103</v>
      </c>
      <c r="B28" s="13" t="s">
        <v>60</v>
      </c>
      <c r="C28" s="14">
        <v>7</v>
      </c>
      <c r="D28" s="14">
        <v>8</v>
      </c>
      <c r="E28" s="14">
        <f t="shared" si="1"/>
        <v>1</v>
      </c>
      <c r="F28" s="15" t="s">
        <v>61</v>
      </c>
      <c r="G28" s="15"/>
      <c r="H28" s="15"/>
      <c r="I28" s="15"/>
      <c r="J28" s="15"/>
      <c r="K28" s="15" t="s">
        <v>61</v>
      </c>
      <c r="L28" s="15"/>
      <c r="M28" s="15"/>
      <c r="N28" s="15" t="s">
        <v>61</v>
      </c>
      <c r="O28" s="15"/>
      <c r="P28" s="15" t="s">
        <v>61</v>
      </c>
      <c r="Q28" s="15"/>
      <c r="R28" s="15"/>
      <c r="S28" s="15"/>
      <c r="T28" s="15" t="s">
        <v>61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103</v>
      </c>
      <c r="B29" s="13" t="s">
        <v>60</v>
      </c>
      <c r="C29" s="14">
        <v>8</v>
      </c>
      <c r="D29" s="14">
        <v>9</v>
      </c>
      <c r="E29" s="14">
        <f t="shared" si="1"/>
        <v>1</v>
      </c>
      <c r="F29" s="15" t="s">
        <v>61</v>
      </c>
      <c r="G29" s="15"/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 t="s">
        <v>61</v>
      </c>
      <c r="Q29" s="15"/>
      <c r="R29" s="15"/>
      <c r="S29" s="15"/>
      <c r="T29" s="15" t="s">
        <v>61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103</v>
      </c>
      <c r="B30" s="13" t="s">
        <v>60</v>
      </c>
      <c r="C30" s="14">
        <v>9</v>
      </c>
      <c r="D30" s="14">
        <v>10</v>
      </c>
      <c r="E30" s="14">
        <f t="shared" si="1"/>
        <v>1</v>
      </c>
      <c r="F30" s="15" t="s">
        <v>61</v>
      </c>
      <c r="G30" s="15"/>
      <c r="H30" s="15"/>
      <c r="I30" s="15"/>
      <c r="J30" s="15"/>
      <c r="K30" s="15" t="s">
        <v>61</v>
      </c>
      <c r="L30" s="15"/>
      <c r="M30" s="15"/>
      <c r="N30" s="15" t="s">
        <v>61</v>
      </c>
      <c r="O30" s="15"/>
      <c r="P30" s="15" t="s">
        <v>61</v>
      </c>
      <c r="Q30" s="15"/>
      <c r="R30" s="15"/>
      <c r="S30" s="15"/>
      <c r="T30" s="15" t="s">
        <v>61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103</v>
      </c>
      <c r="B31" s="13" t="s">
        <v>60</v>
      </c>
      <c r="C31" s="14">
        <v>10</v>
      </c>
      <c r="D31" s="14">
        <v>11</v>
      </c>
      <c r="E31" s="14">
        <f t="shared" si="1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 t="s">
        <v>61</v>
      </c>
      <c r="Q31" s="15"/>
      <c r="R31" s="15"/>
      <c r="S31" s="15"/>
      <c r="T31" s="15" t="s">
        <v>61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103</v>
      </c>
      <c r="B32" s="13" t="s">
        <v>60</v>
      </c>
      <c r="C32" s="14">
        <v>11</v>
      </c>
      <c r="D32" s="14">
        <v>12</v>
      </c>
      <c r="E32" s="14">
        <f t="shared" si="1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 t="s">
        <v>61</v>
      </c>
      <c r="Q32" s="15"/>
      <c r="R32" s="15"/>
      <c r="S32" s="15"/>
      <c r="T32" s="15" t="s">
        <v>61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103</v>
      </c>
      <c r="B33" s="13" t="s">
        <v>60</v>
      </c>
      <c r="C33" s="14">
        <v>12</v>
      </c>
      <c r="D33" s="14">
        <v>13</v>
      </c>
      <c r="E33" s="14">
        <f t="shared" si="1"/>
        <v>1</v>
      </c>
      <c r="F33" s="15" t="s">
        <v>61</v>
      </c>
      <c r="G33" s="15"/>
      <c r="H33" s="15"/>
      <c r="I33" s="15"/>
      <c r="J33" s="15"/>
      <c r="K33" s="15" t="s">
        <v>61</v>
      </c>
      <c r="L33" s="15"/>
      <c r="M33" s="15"/>
      <c r="N33" s="15" t="s">
        <v>61</v>
      </c>
      <c r="O33" s="15"/>
      <c r="P33" s="15" t="s">
        <v>61</v>
      </c>
      <c r="Q33" s="15"/>
      <c r="R33" s="15"/>
      <c r="S33" s="15"/>
      <c r="T33" s="15" t="s">
        <v>61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103</v>
      </c>
      <c r="B34" s="13" t="s">
        <v>60</v>
      </c>
      <c r="C34" s="14">
        <v>13</v>
      </c>
      <c r="D34" s="14">
        <v>14</v>
      </c>
      <c r="E34" s="14">
        <f t="shared" si="1"/>
        <v>1</v>
      </c>
      <c r="F34" s="15" t="s">
        <v>61</v>
      </c>
      <c r="G34" s="15"/>
      <c r="H34" s="15"/>
      <c r="I34" s="15"/>
      <c r="J34" s="15"/>
      <c r="K34" s="15" t="s">
        <v>61</v>
      </c>
      <c r="L34" s="15"/>
      <c r="M34" s="15"/>
      <c r="N34" s="15" t="s">
        <v>61</v>
      </c>
      <c r="O34" s="15"/>
      <c r="P34" s="15" t="s">
        <v>61</v>
      </c>
      <c r="Q34" s="15"/>
      <c r="R34" s="15"/>
      <c r="S34" s="15"/>
      <c r="T34" s="15" t="s">
        <v>61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103</v>
      </c>
      <c r="B35" s="13" t="s">
        <v>60</v>
      </c>
      <c r="C35" s="14">
        <v>14</v>
      </c>
      <c r="D35" s="14">
        <v>15</v>
      </c>
      <c r="E35" s="14">
        <f t="shared" si="1"/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/>
      <c r="N35" s="15" t="s">
        <v>61</v>
      </c>
      <c r="O35" s="15"/>
      <c r="P35" s="15" t="s">
        <v>61</v>
      </c>
      <c r="Q35" s="15"/>
      <c r="R35" s="15"/>
      <c r="S35" s="15"/>
      <c r="T35" s="15" t="s">
        <v>61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103</v>
      </c>
      <c r="B36" s="13" t="s">
        <v>60</v>
      </c>
      <c r="C36" s="14">
        <v>15</v>
      </c>
      <c r="D36" s="14">
        <v>16</v>
      </c>
      <c r="E36" s="14">
        <f t="shared" si="1"/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/>
      <c r="N36" s="15" t="s">
        <v>61</v>
      </c>
      <c r="O36" s="15"/>
      <c r="P36" s="15" t="s">
        <v>61</v>
      </c>
      <c r="Q36" s="15"/>
      <c r="R36" s="15"/>
      <c r="S36" s="15"/>
      <c r="T36" s="15" t="s">
        <v>61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103</v>
      </c>
      <c r="B37" s="13" t="s">
        <v>60</v>
      </c>
      <c r="C37" s="14">
        <v>16</v>
      </c>
      <c r="D37" s="14">
        <v>17</v>
      </c>
      <c r="E37" s="14">
        <f t="shared" si="1"/>
        <v>1</v>
      </c>
      <c r="F37" s="15" t="s">
        <v>61</v>
      </c>
      <c r="G37" s="15"/>
      <c r="H37" s="15"/>
      <c r="I37" s="15"/>
      <c r="J37" s="15"/>
      <c r="K37" s="15" t="s">
        <v>61</v>
      </c>
      <c r="L37" s="15"/>
      <c r="M37" s="15"/>
      <c r="N37" s="15" t="s">
        <v>61</v>
      </c>
      <c r="O37" s="15"/>
      <c r="P37" s="15" t="s">
        <v>61</v>
      </c>
      <c r="Q37" s="15"/>
      <c r="R37" s="15"/>
      <c r="S37" s="15"/>
      <c r="T37" s="15" t="s">
        <v>61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103</v>
      </c>
      <c r="B38" s="13" t="s">
        <v>60</v>
      </c>
      <c r="C38" s="14">
        <v>17</v>
      </c>
      <c r="D38" s="14">
        <v>18</v>
      </c>
      <c r="E38" s="14">
        <f t="shared" si="1"/>
        <v>1</v>
      </c>
      <c r="F38" s="15" t="s">
        <v>61</v>
      </c>
      <c r="G38" s="15"/>
      <c r="H38" s="15"/>
      <c r="I38" s="15"/>
      <c r="J38" s="15"/>
      <c r="K38" s="15" t="s">
        <v>61</v>
      </c>
      <c r="L38" s="15"/>
      <c r="M38" s="15"/>
      <c r="N38" s="15" t="s">
        <v>61</v>
      </c>
      <c r="O38" s="15"/>
      <c r="P38" s="15" t="s">
        <v>61</v>
      </c>
      <c r="Q38" s="15"/>
      <c r="R38" s="15"/>
      <c r="S38" s="15"/>
      <c r="T38" s="15" t="s">
        <v>61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103</v>
      </c>
      <c r="B39" s="13" t="s">
        <v>60</v>
      </c>
      <c r="C39" s="14">
        <v>18</v>
      </c>
      <c r="D39" s="14">
        <v>19</v>
      </c>
      <c r="E39" s="14">
        <f t="shared" si="1"/>
        <v>1</v>
      </c>
      <c r="F39" s="15" t="s">
        <v>61</v>
      </c>
      <c r="G39" s="15"/>
      <c r="H39" s="15"/>
      <c r="I39" s="15"/>
      <c r="J39" s="15"/>
      <c r="K39" s="15" t="s">
        <v>61</v>
      </c>
      <c r="L39" s="15"/>
      <c r="M39" s="15"/>
      <c r="N39" s="15" t="s">
        <v>61</v>
      </c>
      <c r="O39" s="15"/>
      <c r="P39" s="15" t="s">
        <v>61</v>
      </c>
      <c r="Q39" s="15"/>
      <c r="R39" s="15"/>
      <c r="S39" s="15"/>
      <c r="T39" s="15" t="s">
        <v>61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103</v>
      </c>
      <c r="B40" s="13" t="s">
        <v>60</v>
      </c>
      <c r="C40" s="14">
        <v>19</v>
      </c>
      <c r="D40" s="14">
        <v>20</v>
      </c>
      <c r="E40" s="14">
        <f t="shared" si="1"/>
        <v>1</v>
      </c>
      <c r="F40" s="15" t="s">
        <v>61</v>
      </c>
      <c r="G40" s="15"/>
      <c r="H40" s="15"/>
      <c r="I40" s="15"/>
      <c r="J40" s="15"/>
      <c r="K40" s="15" t="s">
        <v>61</v>
      </c>
      <c r="L40" s="15"/>
      <c r="M40" s="15"/>
      <c r="N40" s="15" t="s">
        <v>61</v>
      </c>
      <c r="O40" s="15"/>
      <c r="P40" s="15" t="s">
        <v>61</v>
      </c>
      <c r="Q40" s="15"/>
      <c r="R40" s="15"/>
      <c r="S40" s="15"/>
      <c r="T40" s="15" t="s">
        <v>61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103</v>
      </c>
      <c r="B41" s="13" t="s">
        <v>60</v>
      </c>
      <c r="C41" s="14">
        <v>20</v>
      </c>
      <c r="D41" s="14">
        <v>21</v>
      </c>
      <c r="E41" s="14">
        <f t="shared" si="1"/>
        <v>1</v>
      </c>
      <c r="F41" s="15" t="s">
        <v>61</v>
      </c>
      <c r="G41" s="15"/>
      <c r="H41" s="15"/>
      <c r="I41" s="15"/>
      <c r="J41" s="15"/>
      <c r="K41" s="15" t="s">
        <v>61</v>
      </c>
      <c r="L41" s="15"/>
      <c r="M41" s="15"/>
      <c r="N41" s="15" t="s">
        <v>61</v>
      </c>
      <c r="O41" s="15"/>
      <c r="P41" s="15" t="s">
        <v>61</v>
      </c>
      <c r="Q41" s="15"/>
      <c r="R41" s="15"/>
      <c r="S41" s="15"/>
      <c r="T41" s="15" t="s">
        <v>61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103</v>
      </c>
      <c r="B42" s="13" t="s">
        <v>60</v>
      </c>
      <c r="C42" s="14">
        <v>21</v>
      </c>
      <c r="D42" s="14">
        <v>22</v>
      </c>
      <c r="E42" s="14">
        <f t="shared" si="1"/>
        <v>1</v>
      </c>
      <c r="F42" s="15" t="s">
        <v>61</v>
      </c>
      <c r="G42" s="15"/>
      <c r="H42" s="15"/>
      <c r="I42" s="15"/>
      <c r="J42" s="15"/>
      <c r="K42" s="15" t="s">
        <v>61</v>
      </c>
      <c r="L42" s="15"/>
      <c r="M42" s="15"/>
      <c r="N42" s="15" t="s">
        <v>61</v>
      </c>
      <c r="O42" s="15"/>
      <c r="P42" s="15" t="s">
        <v>61</v>
      </c>
      <c r="Q42" s="15"/>
      <c r="R42" s="15"/>
      <c r="S42" s="15"/>
      <c r="T42" s="15" t="s">
        <v>61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103</v>
      </c>
      <c r="B43" s="13" t="s">
        <v>60</v>
      </c>
      <c r="C43" s="14">
        <v>22</v>
      </c>
      <c r="D43" s="14">
        <v>23</v>
      </c>
      <c r="E43" s="14">
        <f t="shared" si="1"/>
        <v>1</v>
      </c>
      <c r="F43" s="15" t="s">
        <v>61</v>
      </c>
      <c r="G43" s="15"/>
      <c r="H43" s="15"/>
      <c r="I43" s="15"/>
      <c r="J43" s="15"/>
      <c r="K43" s="15" t="s">
        <v>61</v>
      </c>
      <c r="L43" s="15"/>
      <c r="M43" s="15"/>
      <c r="N43" s="15" t="s">
        <v>61</v>
      </c>
      <c r="O43" s="15"/>
      <c r="P43" s="15" t="s">
        <v>61</v>
      </c>
      <c r="Q43" s="15"/>
      <c r="R43" s="15"/>
      <c r="S43" s="15"/>
      <c r="T43" s="15" t="s">
        <v>61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103</v>
      </c>
      <c r="B44" s="13" t="s">
        <v>60</v>
      </c>
      <c r="C44" s="14">
        <v>23</v>
      </c>
      <c r="D44" s="14">
        <v>24</v>
      </c>
      <c r="E44" s="14">
        <f t="shared" si="1"/>
        <v>1</v>
      </c>
      <c r="F44" s="15" t="s">
        <v>61</v>
      </c>
      <c r="G44" s="15"/>
      <c r="H44" s="15"/>
      <c r="I44" s="15"/>
      <c r="J44" s="15"/>
      <c r="K44" s="15" t="s">
        <v>61</v>
      </c>
      <c r="L44" s="15"/>
      <c r="M44" s="15"/>
      <c r="N44" s="15" t="s">
        <v>61</v>
      </c>
      <c r="O44" s="15"/>
      <c r="P44" s="15" t="s">
        <v>61</v>
      </c>
      <c r="Q44" s="15"/>
      <c r="R44" s="15"/>
      <c r="S44" s="15"/>
      <c r="T44" s="15" t="s">
        <v>61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103</v>
      </c>
      <c r="B45" s="13" t="s">
        <v>60</v>
      </c>
      <c r="C45" s="14">
        <v>24</v>
      </c>
      <c r="D45" s="14">
        <v>25</v>
      </c>
      <c r="E45" s="14">
        <f t="shared" si="1"/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61</v>
      </c>
      <c r="O45" s="15"/>
      <c r="P45" s="15" t="s">
        <v>61</v>
      </c>
      <c r="Q45" s="15"/>
      <c r="R45" s="15"/>
      <c r="S45" s="15"/>
      <c r="T45" s="15" t="s">
        <v>61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103</v>
      </c>
      <c r="B46" s="13" t="s">
        <v>60</v>
      </c>
      <c r="C46" s="14">
        <v>25</v>
      </c>
      <c r="D46" s="14">
        <v>26</v>
      </c>
      <c r="E46" s="14">
        <f t="shared" si="1"/>
        <v>1</v>
      </c>
      <c r="F46" s="15" t="s">
        <v>61</v>
      </c>
      <c r="G46" s="15"/>
      <c r="H46" s="15"/>
      <c r="I46" s="15"/>
      <c r="J46" s="15"/>
      <c r="K46" s="15" t="s">
        <v>61</v>
      </c>
      <c r="L46" s="15"/>
      <c r="M46" s="15"/>
      <c r="N46" s="15" t="s">
        <v>61</v>
      </c>
      <c r="O46" s="15"/>
      <c r="P46" s="15" t="s">
        <v>61</v>
      </c>
      <c r="Q46" s="15"/>
      <c r="R46" s="15"/>
      <c r="S46" s="15"/>
      <c r="T46" s="15" t="s">
        <v>61</v>
      </c>
      <c r="U46" s="15"/>
      <c r="V46" s="16"/>
      <c r="W46" s="17" t="str">
        <f t="shared" si="2"/>
        <v>OK</v>
      </c>
    </row>
    <row r="47" spans="1:23" ht="20.100000000000001" customHeight="1" x14ac:dyDescent="0.25">
      <c r="A47" s="12" t="s">
        <v>103</v>
      </c>
      <c r="B47" s="13" t="s">
        <v>60</v>
      </c>
      <c r="C47" s="14">
        <v>26</v>
      </c>
      <c r="D47" s="14">
        <v>27</v>
      </c>
      <c r="E47" s="14">
        <f t="shared" si="1"/>
        <v>1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61</v>
      </c>
      <c r="O47" s="15"/>
      <c r="P47" s="15" t="s">
        <v>61</v>
      </c>
      <c r="Q47" s="15"/>
      <c r="R47" s="15"/>
      <c r="S47" s="15"/>
      <c r="T47" s="15" t="s">
        <v>61</v>
      </c>
      <c r="U47" s="15"/>
      <c r="V47" s="16"/>
      <c r="W47" s="17" t="str">
        <f t="shared" si="2"/>
        <v>OK</v>
      </c>
    </row>
    <row r="48" spans="1:23" ht="20.100000000000001" customHeight="1" x14ac:dyDescent="0.25">
      <c r="A48" s="12" t="s">
        <v>103</v>
      </c>
      <c r="B48" s="13" t="s">
        <v>60</v>
      </c>
      <c r="C48" s="14">
        <v>27</v>
      </c>
      <c r="D48" s="14">
        <v>28</v>
      </c>
      <c r="E48" s="14">
        <f t="shared" si="1"/>
        <v>1</v>
      </c>
      <c r="F48" s="15" t="s">
        <v>61</v>
      </c>
      <c r="G48" s="15"/>
      <c r="H48" s="15"/>
      <c r="I48" s="15"/>
      <c r="J48" s="15"/>
      <c r="K48" s="15" t="s">
        <v>61</v>
      </c>
      <c r="L48" s="15"/>
      <c r="M48" s="15"/>
      <c r="N48" s="15" t="s">
        <v>61</v>
      </c>
      <c r="O48" s="15"/>
      <c r="P48" s="15" t="s">
        <v>61</v>
      </c>
      <c r="Q48" s="15"/>
      <c r="R48" s="15"/>
      <c r="S48" s="15"/>
      <c r="T48" s="15" t="s">
        <v>61</v>
      </c>
      <c r="U48" s="15"/>
      <c r="V48" s="16"/>
      <c r="W48" s="17" t="str">
        <f t="shared" si="2"/>
        <v>OK</v>
      </c>
    </row>
    <row r="49" spans="1:23" ht="20.100000000000001" customHeight="1" x14ac:dyDescent="0.25">
      <c r="A49" s="12" t="s">
        <v>103</v>
      </c>
      <c r="B49" s="13" t="s">
        <v>60</v>
      </c>
      <c r="C49" s="14">
        <v>28</v>
      </c>
      <c r="D49" s="14">
        <v>29</v>
      </c>
      <c r="E49" s="14">
        <f t="shared" si="1"/>
        <v>1</v>
      </c>
      <c r="F49" s="15" t="s">
        <v>61</v>
      </c>
      <c r="G49" s="15"/>
      <c r="H49" s="15"/>
      <c r="I49" s="15"/>
      <c r="J49" s="15"/>
      <c r="K49" s="15" t="s">
        <v>61</v>
      </c>
      <c r="L49" s="15"/>
      <c r="M49" s="15"/>
      <c r="N49" s="15" t="s">
        <v>61</v>
      </c>
      <c r="O49" s="15"/>
      <c r="P49" s="15" t="s">
        <v>61</v>
      </c>
      <c r="Q49" s="15"/>
      <c r="R49" s="15"/>
      <c r="S49" s="15"/>
      <c r="T49" s="15" t="s">
        <v>61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103</v>
      </c>
      <c r="B50" s="13" t="s">
        <v>60</v>
      </c>
      <c r="C50" s="14">
        <v>29</v>
      </c>
      <c r="D50" s="14">
        <v>30</v>
      </c>
      <c r="E50" s="14">
        <f t="shared" si="1"/>
        <v>1</v>
      </c>
      <c r="F50" s="15" t="s">
        <v>61</v>
      </c>
      <c r="G50" s="15"/>
      <c r="H50" s="15"/>
      <c r="I50" s="15"/>
      <c r="J50" s="15"/>
      <c r="K50" s="15" t="s">
        <v>61</v>
      </c>
      <c r="L50" s="15"/>
      <c r="M50" s="15"/>
      <c r="N50" s="15" t="s">
        <v>61</v>
      </c>
      <c r="O50" s="15"/>
      <c r="P50" s="15" t="s">
        <v>61</v>
      </c>
      <c r="Q50" s="15"/>
      <c r="R50" s="15"/>
      <c r="S50" s="15"/>
      <c r="T50" s="15" t="s">
        <v>61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103</v>
      </c>
      <c r="B51" s="13" t="s">
        <v>60</v>
      </c>
      <c r="C51" s="14">
        <v>30</v>
      </c>
      <c r="D51" s="14">
        <v>31</v>
      </c>
      <c r="E51" s="14">
        <f t="shared" si="1"/>
        <v>1</v>
      </c>
      <c r="F51" s="15" t="s">
        <v>61</v>
      </c>
      <c r="G51" s="15"/>
      <c r="H51" s="15"/>
      <c r="I51" s="15"/>
      <c r="J51" s="15"/>
      <c r="K51" s="15" t="s">
        <v>61</v>
      </c>
      <c r="L51" s="15"/>
      <c r="M51" s="15"/>
      <c r="N51" s="15" t="s">
        <v>61</v>
      </c>
      <c r="O51" s="15"/>
      <c r="P51" s="15" t="s">
        <v>61</v>
      </c>
      <c r="Q51" s="15"/>
      <c r="R51" s="15"/>
      <c r="S51" s="15"/>
      <c r="T51" s="15" t="s">
        <v>61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103</v>
      </c>
      <c r="B52" s="13" t="s">
        <v>60</v>
      </c>
      <c r="C52" s="14">
        <v>31</v>
      </c>
      <c r="D52" s="14">
        <v>32</v>
      </c>
      <c r="E52" s="14">
        <f t="shared" si="1"/>
        <v>1</v>
      </c>
      <c r="F52" s="15" t="s">
        <v>61</v>
      </c>
      <c r="G52" s="15"/>
      <c r="H52" s="15"/>
      <c r="I52" s="15"/>
      <c r="J52" s="15"/>
      <c r="K52" s="15" t="s">
        <v>61</v>
      </c>
      <c r="L52" s="15"/>
      <c r="M52" s="15"/>
      <c r="N52" s="15" t="s">
        <v>61</v>
      </c>
      <c r="O52" s="15"/>
      <c r="P52" s="15" t="s">
        <v>61</v>
      </c>
      <c r="Q52" s="15"/>
      <c r="R52" s="15"/>
      <c r="S52" s="15"/>
      <c r="T52" s="15" t="s">
        <v>61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2" t="s">
        <v>103</v>
      </c>
      <c r="B53" s="13" t="s">
        <v>60</v>
      </c>
      <c r="C53" s="14">
        <v>32</v>
      </c>
      <c r="D53" s="14">
        <v>33</v>
      </c>
      <c r="E53" s="14">
        <f t="shared" si="1"/>
        <v>1</v>
      </c>
      <c r="F53" s="15" t="s">
        <v>61</v>
      </c>
      <c r="G53" s="15"/>
      <c r="H53" s="15"/>
      <c r="I53" s="15"/>
      <c r="J53" s="15"/>
      <c r="K53" s="15" t="s">
        <v>61</v>
      </c>
      <c r="L53" s="15"/>
      <c r="M53" s="15"/>
      <c r="N53" s="15" t="s">
        <v>61</v>
      </c>
      <c r="O53" s="15"/>
      <c r="P53" s="15" t="s">
        <v>61</v>
      </c>
      <c r="Q53" s="15"/>
      <c r="R53" s="15"/>
      <c r="S53" s="15"/>
      <c r="T53" s="15" t="s">
        <v>61</v>
      </c>
      <c r="U53" s="15"/>
      <c r="V53" s="16"/>
      <c r="W53" s="17" t="str">
        <f t="shared" si="2"/>
        <v>OK</v>
      </c>
    </row>
    <row r="54" spans="1:23" ht="20.100000000000001" customHeight="1" x14ac:dyDescent="0.25">
      <c r="A54" s="12" t="s">
        <v>103</v>
      </c>
      <c r="B54" s="13" t="s">
        <v>60</v>
      </c>
      <c r="C54" s="14">
        <v>33</v>
      </c>
      <c r="D54" s="14">
        <v>34</v>
      </c>
      <c r="E54" s="14">
        <f t="shared" si="1"/>
        <v>1</v>
      </c>
      <c r="F54" s="15" t="s">
        <v>61</v>
      </c>
      <c r="G54" s="15"/>
      <c r="H54" s="15"/>
      <c r="I54" s="15"/>
      <c r="J54" s="15"/>
      <c r="K54" s="15" t="s">
        <v>61</v>
      </c>
      <c r="L54" s="15"/>
      <c r="M54" s="15"/>
      <c r="N54" s="15" t="s">
        <v>61</v>
      </c>
      <c r="O54" s="15"/>
      <c r="P54" s="15" t="s">
        <v>61</v>
      </c>
      <c r="Q54" s="15"/>
      <c r="R54" s="15"/>
      <c r="S54" s="15"/>
      <c r="T54" s="15" t="s">
        <v>61</v>
      </c>
      <c r="U54" s="15"/>
      <c r="V54" s="16"/>
      <c r="W54" s="17" t="str">
        <f t="shared" si="2"/>
        <v>OK</v>
      </c>
    </row>
    <row r="55" spans="1:23" ht="20.100000000000001" customHeight="1" x14ac:dyDescent="0.25">
      <c r="A55" s="12" t="s">
        <v>103</v>
      </c>
      <c r="B55" s="13" t="s">
        <v>60</v>
      </c>
      <c r="C55" s="14">
        <v>34</v>
      </c>
      <c r="D55" s="14">
        <v>35</v>
      </c>
      <c r="E55" s="14">
        <f t="shared" si="1"/>
        <v>1</v>
      </c>
      <c r="F55" s="15" t="s">
        <v>61</v>
      </c>
      <c r="G55" s="15"/>
      <c r="H55" s="15"/>
      <c r="I55" s="15"/>
      <c r="J55" s="15"/>
      <c r="K55" s="15" t="s">
        <v>61</v>
      </c>
      <c r="L55" s="15"/>
      <c r="M55" s="15"/>
      <c r="N55" s="15" t="s">
        <v>61</v>
      </c>
      <c r="O55" s="15"/>
      <c r="P55" s="15" t="s">
        <v>61</v>
      </c>
      <c r="Q55" s="15"/>
      <c r="R55" s="15"/>
      <c r="S55" s="15"/>
      <c r="T55" s="15" t="s">
        <v>61</v>
      </c>
      <c r="U55" s="15"/>
      <c r="V55" s="16"/>
      <c r="W55" s="17" t="str">
        <f t="shared" si="2"/>
        <v>OK</v>
      </c>
    </row>
    <row r="56" spans="1:23" ht="20.100000000000001" customHeight="1" x14ac:dyDescent="0.25">
      <c r="A56" s="12" t="s">
        <v>103</v>
      </c>
      <c r="B56" s="13" t="s">
        <v>60</v>
      </c>
      <c r="C56" s="14">
        <v>35</v>
      </c>
      <c r="D56" s="14">
        <v>36</v>
      </c>
      <c r="E56" s="14">
        <f t="shared" si="1"/>
        <v>1</v>
      </c>
      <c r="F56" s="15" t="s">
        <v>61</v>
      </c>
      <c r="G56" s="15"/>
      <c r="H56" s="15"/>
      <c r="I56" s="15"/>
      <c r="J56" s="15"/>
      <c r="K56" s="15" t="s">
        <v>61</v>
      </c>
      <c r="L56" s="15"/>
      <c r="M56" s="15"/>
      <c r="N56" s="15" t="s">
        <v>61</v>
      </c>
      <c r="O56" s="15"/>
      <c r="P56" s="15" t="s">
        <v>61</v>
      </c>
      <c r="Q56" s="15"/>
      <c r="R56" s="15"/>
      <c r="S56" s="15"/>
      <c r="T56" s="15" t="s">
        <v>61</v>
      </c>
      <c r="U56" s="15"/>
      <c r="V56" s="16"/>
      <c r="W56" s="17" t="str">
        <f t="shared" si="2"/>
        <v>OK</v>
      </c>
    </row>
    <row r="57" spans="1:23" ht="20.100000000000001" customHeight="1" x14ac:dyDescent="0.25">
      <c r="A57" s="12" t="s">
        <v>103</v>
      </c>
      <c r="B57" s="13" t="s">
        <v>60</v>
      </c>
      <c r="C57" s="14">
        <v>36</v>
      </c>
      <c r="D57" s="14">
        <v>37</v>
      </c>
      <c r="E57" s="14">
        <f t="shared" si="1"/>
        <v>1</v>
      </c>
      <c r="F57" s="15" t="s">
        <v>61</v>
      </c>
      <c r="G57" s="15"/>
      <c r="H57" s="15"/>
      <c r="I57" s="15"/>
      <c r="J57" s="15"/>
      <c r="K57" s="15" t="s">
        <v>61</v>
      </c>
      <c r="L57" s="15"/>
      <c r="M57" s="15"/>
      <c r="N57" s="15" t="s">
        <v>61</v>
      </c>
      <c r="O57" s="15"/>
      <c r="P57" s="15" t="s">
        <v>61</v>
      </c>
      <c r="Q57" s="15"/>
      <c r="R57" s="15"/>
      <c r="S57" s="15"/>
      <c r="T57" s="15" t="s">
        <v>61</v>
      </c>
      <c r="U57" s="15"/>
      <c r="V57" s="16"/>
      <c r="W57" s="17" t="str">
        <f t="shared" si="2"/>
        <v>OK</v>
      </c>
    </row>
    <row r="58" spans="1:23" ht="20.100000000000001" customHeight="1" x14ac:dyDescent="0.25">
      <c r="A58" s="12" t="s">
        <v>103</v>
      </c>
      <c r="B58" s="13" t="s">
        <v>60</v>
      </c>
      <c r="C58" s="14">
        <v>37</v>
      </c>
      <c r="D58" s="14">
        <v>38</v>
      </c>
      <c r="E58" s="14">
        <f t="shared" si="1"/>
        <v>1</v>
      </c>
      <c r="F58" s="15" t="s">
        <v>61</v>
      </c>
      <c r="G58" s="15"/>
      <c r="H58" s="15"/>
      <c r="I58" s="15"/>
      <c r="J58" s="15"/>
      <c r="K58" s="15" t="s">
        <v>61</v>
      </c>
      <c r="L58" s="15"/>
      <c r="M58" s="15"/>
      <c r="N58" s="15" t="s">
        <v>61</v>
      </c>
      <c r="O58" s="15"/>
      <c r="P58" s="15" t="s">
        <v>61</v>
      </c>
      <c r="Q58" s="15"/>
      <c r="R58" s="15"/>
      <c r="S58" s="15"/>
      <c r="T58" s="15" t="s">
        <v>61</v>
      </c>
      <c r="U58" s="15"/>
      <c r="V58" s="16"/>
      <c r="W58" s="17" t="str">
        <f t="shared" si="2"/>
        <v>OK</v>
      </c>
    </row>
    <row r="59" spans="1:23" ht="20.100000000000001" customHeight="1" x14ac:dyDescent="0.25">
      <c r="A59" s="12" t="s">
        <v>103</v>
      </c>
      <c r="B59" s="13" t="s">
        <v>60</v>
      </c>
      <c r="C59" s="14">
        <v>38</v>
      </c>
      <c r="D59" s="14">
        <v>39</v>
      </c>
      <c r="E59" s="14">
        <f t="shared" si="1"/>
        <v>1</v>
      </c>
      <c r="F59" s="15" t="s">
        <v>61</v>
      </c>
      <c r="G59" s="15"/>
      <c r="H59" s="15"/>
      <c r="I59" s="15"/>
      <c r="J59" s="15"/>
      <c r="K59" s="15" t="s">
        <v>61</v>
      </c>
      <c r="L59" s="15"/>
      <c r="M59" s="15"/>
      <c r="N59" s="15" t="s">
        <v>61</v>
      </c>
      <c r="O59" s="15"/>
      <c r="P59" s="15" t="s">
        <v>61</v>
      </c>
      <c r="Q59" s="15"/>
      <c r="R59" s="15"/>
      <c r="S59" s="15"/>
      <c r="T59" s="15" t="s">
        <v>61</v>
      </c>
      <c r="U59" s="15"/>
      <c r="V59" s="16"/>
      <c r="W59" s="17" t="str">
        <f t="shared" si="2"/>
        <v>OK</v>
      </c>
    </row>
    <row r="60" spans="1:23" ht="20.100000000000001" customHeight="1" x14ac:dyDescent="0.25">
      <c r="A60" s="12" t="s">
        <v>103</v>
      </c>
      <c r="B60" s="13" t="s">
        <v>60</v>
      </c>
      <c r="C60" s="14">
        <v>39</v>
      </c>
      <c r="D60" s="14">
        <v>40</v>
      </c>
      <c r="E60" s="14">
        <f t="shared" si="1"/>
        <v>1</v>
      </c>
      <c r="F60" s="15" t="s">
        <v>61</v>
      </c>
      <c r="G60" s="15"/>
      <c r="H60" s="15"/>
      <c r="I60" s="15"/>
      <c r="J60" s="15"/>
      <c r="K60" s="15" t="s">
        <v>61</v>
      </c>
      <c r="L60" s="15"/>
      <c r="M60" s="15"/>
      <c r="N60" s="15" t="s">
        <v>61</v>
      </c>
      <c r="O60" s="15"/>
      <c r="P60" s="15" t="s">
        <v>61</v>
      </c>
      <c r="Q60" s="15"/>
      <c r="R60" s="15"/>
      <c r="S60" s="15"/>
      <c r="T60" s="15" t="s">
        <v>61</v>
      </c>
      <c r="U60" s="15"/>
      <c r="V60" s="16"/>
      <c r="W60" s="17" t="str">
        <f t="shared" si="2"/>
        <v>OK</v>
      </c>
    </row>
    <row r="61" spans="1:23" ht="20.100000000000001" customHeight="1" x14ac:dyDescent="0.25">
      <c r="A61" s="12" t="s">
        <v>103</v>
      </c>
      <c r="B61" s="13" t="s">
        <v>60</v>
      </c>
      <c r="C61" s="14">
        <v>40</v>
      </c>
      <c r="D61" s="14">
        <v>41</v>
      </c>
      <c r="E61" s="14">
        <f t="shared" si="1"/>
        <v>1</v>
      </c>
      <c r="F61" s="15" t="s">
        <v>61</v>
      </c>
      <c r="G61" s="15"/>
      <c r="H61" s="15"/>
      <c r="I61" s="15"/>
      <c r="J61" s="15"/>
      <c r="K61" s="15" t="s">
        <v>61</v>
      </c>
      <c r="L61" s="15"/>
      <c r="M61" s="15"/>
      <c r="N61" s="15" t="s">
        <v>61</v>
      </c>
      <c r="O61" s="15"/>
      <c r="P61" s="15" t="s">
        <v>61</v>
      </c>
      <c r="Q61" s="15"/>
      <c r="R61" s="15"/>
      <c r="S61" s="15"/>
      <c r="T61" s="15" t="s">
        <v>61</v>
      </c>
      <c r="U61" s="15"/>
      <c r="V61" s="16"/>
      <c r="W61" s="17" t="str">
        <f t="shared" si="2"/>
        <v>OK</v>
      </c>
    </row>
    <row r="62" spans="1:23" ht="20.100000000000001" customHeight="1" x14ac:dyDescent="0.25">
      <c r="A62" s="12" t="s">
        <v>103</v>
      </c>
      <c r="B62" s="13" t="s">
        <v>60</v>
      </c>
      <c r="C62" s="14">
        <v>41</v>
      </c>
      <c r="D62" s="14">
        <v>42</v>
      </c>
      <c r="E62" s="14">
        <f t="shared" si="1"/>
        <v>1</v>
      </c>
      <c r="F62" s="15" t="s">
        <v>61</v>
      </c>
      <c r="G62" s="15"/>
      <c r="H62" s="15"/>
      <c r="I62" s="15"/>
      <c r="J62" s="15"/>
      <c r="K62" s="15" t="s">
        <v>61</v>
      </c>
      <c r="L62" s="15"/>
      <c r="M62" s="15"/>
      <c r="N62" s="15" t="s">
        <v>61</v>
      </c>
      <c r="O62" s="15"/>
      <c r="P62" s="15" t="s">
        <v>61</v>
      </c>
      <c r="Q62" s="15"/>
      <c r="R62" s="15"/>
      <c r="S62" s="15"/>
      <c r="T62" s="15" t="s">
        <v>61</v>
      </c>
      <c r="U62" s="15"/>
      <c r="V62" s="16"/>
      <c r="W62" s="17" t="str">
        <f t="shared" si="2"/>
        <v>OK</v>
      </c>
    </row>
    <row r="63" spans="1:23" ht="20.100000000000001" customHeight="1" x14ac:dyDescent="0.25">
      <c r="A63" s="18" t="s">
        <v>103</v>
      </c>
      <c r="B63" s="19" t="s">
        <v>60</v>
      </c>
      <c r="C63" s="20">
        <v>42</v>
      </c>
      <c r="D63" s="20">
        <v>42.716102262100001</v>
      </c>
      <c r="E63" s="20">
        <f t="shared" si="1"/>
        <v>0.7161022621000015</v>
      </c>
      <c r="F63" s="21" t="s">
        <v>61</v>
      </c>
      <c r="G63" s="21"/>
      <c r="H63" s="21"/>
      <c r="I63" s="21"/>
      <c r="J63" s="21"/>
      <c r="K63" s="21" t="s">
        <v>61</v>
      </c>
      <c r="L63" s="21"/>
      <c r="M63" s="21"/>
      <c r="N63" s="21" t="s">
        <v>61</v>
      </c>
      <c r="O63" s="21"/>
      <c r="P63" s="21" t="s">
        <v>61</v>
      </c>
      <c r="Q63" s="21"/>
      <c r="R63" s="21"/>
      <c r="S63" s="21"/>
      <c r="T63" s="21" t="s">
        <v>61</v>
      </c>
      <c r="U63" s="21"/>
      <c r="V63" s="22"/>
      <c r="W63" s="23" t="str">
        <f t="shared" si="2"/>
        <v>OK</v>
      </c>
    </row>
    <row r="64" spans="1:23" ht="15.95" customHeight="1" x14ac:dyDescent="0.25">
      <c r="A64" s="46" t="s">
        <v>104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3"/>
      <c r="W64" s="4"/>
    </row>
    <row r="65" spans="1:23" ht="20.100000000000001" customHeight="1" x14ac:dyDescent="0.25">
      <c r="A65" s="12" t="s">
        <v>105</v>
      </c>
      <c r="B65" s="13" t="s">
        <v>60</v>
      </c>
      <c r="C65" s="14">
        <v>0</v>
      </c>
      <c r="D65" s="14">
        <v>1</v>
      </c>
      <c r="E65" s="14">
        <f t="shared" ref="E65:E70" si="3">D65-C65</f>
        <v>1</v>
      </c>
      <c r="F65" s="15" t="s">
        <v>61</v>
      </c>
      <c r="G65" s="15"/>
      <c r="H65" s="15"/>
      <c r="I65" s="15"/>
      <c r="J65" s="15"/>
      <c r="K65" s="15" t="s">
        <v>61</v>
      </c>
      <c r="L65" s="15"/>
      <c r="M65" s="15"/>
      <c r="N65" s="15" t="s">
        <v>61</v>
      </c>
      <c r="O65" s="15"/>
      <c r="P65" s="15" t="s">
        <v>61</v>
      </c>
      <c r="Q65" s="15"/>
      <c r="R65" s="15"/>
      <c r="S65" s="15"/>
      <c r="T65" s="15" t="s">
        <v>61</v>
      </c>
      <c r="U65" s="15"/>
      <c r="V65" s="16"/>
      <c r="W65" s="17" t="str">
        <f t="shared" ref="W65:W70" si="4">IF(COUNTA(F65:U65)=0,"— não preenchido",IF(COUNTIF(F65:J65,"X")&lt;&gt;1,"FALTA/DUPLA: CONDIÇÃO DO PAVIMENTO",IF(COUNTIF(K65:L65,"X")&lt;&gt;1,"FALTA/DUPLA: VEGETAÇÃO",IF(COUNTIF(M65:O65,"X")&lt;&gt;1,"FALTA/DUPLA: ELEM. DE DRENAGEM",IF(COUNTIF(P65:R65,"X")&lt;&gt;1,"FALTA/DUPLA: SIN. HORIZ.",IF(COUNTIF(S65:U65,"X")&lt;&gt;1,"FALTA/DUPLA: SIN. VERTICAL","OK"))))))</f>
        <v>OK</v>
      </c>
    </row>
    <row r="66" spans="1:23" ht="20.100000000000001" customHeight="1" x14ac:dyDescent="0.25">
      <c r="A66" s="12" t="s">
        <v>105</v>
      </c>
      <c r="B66" s="13" t="s">
        <v>60</v>
      </c>
      <c r="C66" s="14">
        <v>1</v>
      </c>
      <c r="D66" s="14">
        <v>2</v>
      </c>
      <c r="E66" s="14">
        <f t="shared" si="3"/>
        <v>1</v>
      </c>
      <c r="F66" s="15" t="s">
        <v>61</v>
      </c>
      <c r="G66" s="15"/>
      <c r="H66" s="15"/>
      <c r="I66" s="15"/>
      <c r="J66" s="15"/>
      <c r="K66" s="15" t="s">
        <v>61</v>
      </c>
      <c r="L66" s="15"/>
      <c r="M66" s="15"/>
      <c r="N66" s="15" t="s">
        <v>61</v>
      </c>
      <c r="O66" s="15"/>
      <c r="P66" s="15" t="s">
        <v>61</v>
      </c>
      <c r="Q66" s="15"/>
      <c r="R66" s="15"/>
      <c r="S66" s="15"/>
      <c r="T66" s="15" t="s">
        <v>61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105</v>
      </c>
      <c r="B67" s="13" t="s">
        <v>60</v>
      </c>
      <c r="C67" s="14">
        <v>2</v>
      </c>
      <c r="D67" s="14">
        <v>3</v>
      </c>
      <c r="E67" s="14">
        <f t="shared" si="3"/>
        <v>1</v>
      </c>
      <c r="F67" s="15" t="s">
        <v>61</v>
      </c>
      <c r="G67" s="15"/>
      <c r="H67" s="15"/>
      <c r="I67" s="15"/>
      <c r="J67" s="15"/>
      <c r="K67" s="15" t="s">
        <v>61</v>
      </c>
      <c r="L67" s="15"/>
      <c r="M67" s="15"/>
      <c r="N67" s="15" t="s">
        <v>61</v>
      </c>
      <c r="O67" s="15"/>
      <c r="P67" s="15" t="s">
        <v>61</v>
      </c>
      <c r="Q67" s="15"/>
      <c r="R67" s="15"/>
      <c r="S67" s="15"/>
      <c r="T67" s="15" t="s">
        <v>61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105</v>
      </c>
      <c r="B68" s="13" t="s">
        <v>60</v>
      </c>
      <c r="C68" s="14">
        <v>3</v>
      </c>
      <c r="D68" s="14">
        <v>4</v>
      </c>
      <c r="E68" s="14">
        <f t="shared" si="3"/>
        <v>1</v>
      </c>
      <c r="F68" s="15" t="s">
        <v>61</v>
      </c>
      <c r="G68" s="15"/>
      <c r="H68" s="15"/>
      <c r="I68" s="15"/>
      <c r="J68" s="15"/>
      <c r="K68" s="15" t="s">
        <v>61</v>
      </c>
      <c r="L68" s="15"/>
      <c r="M68" s="15"/>
      <c r="N68" s="15" t="s">
        <v>61</v>
      </c>
      <c r="O68" s="15"/>
      <c r="P68" s="15" t="s">
        <v>61</v>
      </c>
      <c r="Q68" s="15"/>
      <c r="R68" s="15"/>
      <c r="S68" s="15"/>
      <c r="T68" s="15" t="s">
        <v>61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105</v>
      </c>
      <c r="B69" s="13" t="s">
        <v>60</v>
      </c>
      <c r="C69" s="14">
        <v>4</v>
      </c>
      <c r="D69" s="14">
        <v>5</v>
      </c>
      <c r="E69" s="14">
        <f t="shared" si="3"/>
        <v>1</v>
      </c>
      <c r="F69" s="15" t="s">
        <v>61</v>
      </c>
      <c r="G69" s="15"/>
      <c r="H69" s="15"/>
      <c r="I69" s="15"/>
      <c r="J69" s="15"/>
      <c r="K69" s="15" t="s">
        <v>61</v>
      </c>
      <c r="L69" s="15"/>
      <c r="M69" s="15"/>
      <c r="N69" s="15" t="s">
        <v>61</v>
      </c>
      <c r="O69" s="15"/>
      <c r="P69" s="15" t="s">
        <v>61</v>
      </c>
      <c r="Q69" s="15"/>
      <c r="R69" s="15"/>
      <c r="S69" s="15"/>
      <c r="T69" s="15" t="s">
        <v>61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105</v>
      </c>
      <c r="B70" s="19" t="s">
        <v>60</v>
      </c>
      <c r="C70" s="20">
        <v>5</v>
      </c>
      <c r="D70" s="20">
        <v>5.2299311799900003</v>
      </c>
      <c r="E70" s="20">
        <f t="shared" si="3"/>
        <v>0.22993117999000035</v>
      </c>
      <c r="F70" s="21" t="s">
        <v>61</v>
      </c>
      <c r="G70" s="21"/>
      <c r="H70" s="21"/>
      <c r="I70" s="21"/>
      <c r="J70" s="21"/>
      <c r="K70" s="21" t="s">
        <v>61</v>
      </c>
      <c r="L70" s="21"/>
      <c r="M70" s="21"/>
      <c r="N70" s="21" t="s">
        <v>61</v>
      </c>
      <c r="O70" s="21"/>
      <c r="P70" s="21" t="s">
        <v>61</v>
      </c>
      <c r="Q70" s="21"/>
      <c r="R70" s="21"/>
      <c r="S70" s="21"/>
      <c r="T70" s="21" t="s">
        <v>61</v>
      </c>
      <c r="U70" s="21"/>
      <c r="V70" s="22"/>
      <c r="W70" s="23" t="str">
        <f t="shared" si="4"/>
        <v>OK</v>
      </c>
    </row>
    <row r="71" spans="1:23" ht="15.95" customHeight="1" x14ac:dyDescent="0.25">
      <c r="A71" s="46" t="s">
        <v>106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3"/>
      <c r="W71" s="4"/>
    </row>
    <row r="72" spans="1:23" ht="20.100000000000001" customHeight="1" x14ac:dyDescent="0.25">
      <c r="A72" s="12" t="s">
        <v>107</v>
      </c>
      <c r="B72" s="13" t="s">
        <v>60</v>
      </c>
      <c r="C72" s="14">
        <v>0</v>
      </c>
      <c r="D72" s="14">
        <v>1</v>
      </c>
      <c r="E72" s="14">
        <f t="shared" ref="E72:E78" si="5">D72-C72</f>
        <v>1</v>
      </c>
      <c r="F72" s="15" t="s">
        <v>61</v>
      </c>
      <c r="G72" s="15"/>
      <c r="H72" s="15"/>
      <c r="I72" s="15"/>
      <c r="J72" s="15"/>
      <c r="K72" s="15" t="s">
        <v>61</v>
      </c>
      <c r="L72" s="15"/>
      <c r="M72" s="15"/>
      <c r="N72" s="15" t="s">
        <v>61</v>
      </c>
      <c r="O72" s="15"/>
      <c r="P72" s="15" t="s">
        <v>61</v>
      </c>
      <c r="Q72" s="15"/>
      <c r="R72" s="15"/>
      <c r="S72" s="15"/>
      <c r="T72" s="15" t="s">
        <v>61</v>
      </c>
      <c r="U72" s="15"/>
      <c r="V72" s="16"/>
      <c r="W72" s="17" t="str">
        <f t="shared" ref="W72:W78" si="6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107</v>
      </c>
      <c r="B73" s="13" t="s">
        <v>60</v>
      </c>
      <c r="C73" s="14">
        <v>1</v>
      </c>
      <c r="D73" s="14">
        <v>2</v>
      </c>
      <c r="E73" s="14">
        <f t="shared" si="5"/>
        <v>1</v>
      </c>
      <c r="F73" s="15" t="s">
        <v>61</v>
      </c>
      <c r="G73" s="15"/>
      <c r="H73" s="15"/>
      <c r="I73" s="15"/>
      <c r="J73" s="15"/>
      <c r="K73" s="15" t="s">
        <v>61</v>
      </c>
      <c r="L73" s="15"/>
      <c r="M73" s="15"/>
      <c r="N73" s="15" t="s">
        <v>61</v>
      </c>
      <c r="O73" s="15"/>
      <c r="P73" s="15" t="s">
        <v>61</v>
      </c>
      <c r="Q73" s="15"/>
      <c r="R73" s="15"/>
      <c r="S73" s="15"/>
      <c r="T73" s="15" t="s">
        <v>61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107</v>
      </c>
      <c r="B74" s="13" t="s">
        <v>60</v>
      </c>
      <c r="C74" s="14">
        <v>2</v>
      </c>
      <c r="D74" s="14">
        <v>3</v>
      </c>
      <c r="E74" s="14">
        <f t="shared" si="5"/>
        <v>1</v>
      </c>
      <c r="F74" s="15" t="s">
        <v>61</v>
      </c>
      <c r="G74" s="15"/>
      <c r="H74" s="15"/>
      <c r="I74" s="15"/>
      <c r="J74" s="15"/>
      <c r="K74" s="15" t="s">
        <v>61</v>
      </c>
      <c r="L74" s="15"/>
      <c r="M74" s="15"/>
      <c r="N74" s="15" t="s">
        <v>61</v>
      </c>
      <c r="O74" s="15"/>
      <c r="P74" s="15" t="s">
        <v>61</v>
      </c>
      <c r="Q74" s="15"/>
      <c r="R74" s="15"/>
      <c r="S74" s="15"/>
      <c r="T74" s="15" t="s">
        <v>61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107</v>
      </c>
      <c r="B75" s="13" t="s">
        <v>60</v>
      </c>
      <c r="C75" s="14">
        <v>3</v>
      </c>
      <c r="D75" s="14">
        <v>4</v>
      </c>
      <c r="E75" s="14">
        <f t="shared" si="5"/>
        <v>1</v>
      </c>
      <c r="F75" s="15" t="s">
        <v>61</v>
      </c>
      <c r="G75" s="15"/>
      <c r="H75" s="15"/>
      <c r="I75" s="15"/>
      <c r="J75" s="15"/>
      <c r="K75" s="15" t="s">
        <v>61</v>
      </c>
      <c r="L75" s="15"/>
      <c r="M75" s="15"/>
      <c r="N75" s="15" t="s">
        <v>61</v>
      </c>
      <c r="O75" s="15"/>
      <c r="P75" s="15" t="s">
        <v>61</v>
      </c>
      <c r="Q75" s="15"/>
      <c r="R75" s="15"/>
      <c r="S75" s="15"/>
      <c r="T75" s="15" t="s">
        <v>61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107</v>
      </c>
      <c r="B76" s="13" t="s">
        <v>60</v>
      </c>
      <c r="C76" s="14">
        <v>4</v>
      </c>
      <c r="D76" s="14">
        <v>5</v>
      </c>
      <c r="E76" s="14">
        <f t="shared" si="5"/>
        <v>1</v>
      </c>
      <c r="F76" s="15" t="s">
        <v>61</v>
      </c>
      <c r="G76" s="15"/>
      <c r="H76" s="15"/>
      <c r="I76" s="15"/>
      <c r="J76" s="15"/>
      <c r="K76" s="15" t="s">
        <v>61</v>
      </c>
      <c r="L76" s="15"/>
      <c r="M76" s="15"/>
      <c r="N76" s="15" t="s">
        <v>61</v>
      </c>
      <c r="O76" s="15"/>
      <c r="P76" s="15" t="s">
        <v>61</v>
      </c>
      <c r="Q76" s="15"/>
      <c r="R76" s="15"/>
      <c r="S76" s="15"/>
      <c r="T76" s="15" t="s">
        <v>61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107</v>
      </c>
      <c r="B77" s="13" t="s">
        <v>60</v>
      </c>
      <c r="C77" s="14">
        <v>5</v>
      </c>
      <c r="D77" s="14">
        <v>6</v>
      </c>
      <c r="E77" s="14">
        <f t="shared" si="5"/>
        <v>1</v>
      </c>
      <c r="F77" s="15" t="s">
        <v>61</v>
      </c>
      <c r="G77" s="15"/>
      <c r="H77" s="15"/>
      <c r="I77" s="15"/>
      <c r="J77" s="15"/>
      <c r="K77" s="15" t="s">
        <v>61</v>
      </c>
      <c r="L77" s="15"/>
      <c r="M77" s="15"/>
      <c r="N77" s="15" t="s">
        <v>61</v>
      </c>
      <c r="O77" s="15"/>
      <c r="P77" s="15" t="s">
        <v>61</v>
      </c>
      <c r="Q77" s="15"/>
      <c r="R77" s="15"/>
      <c r="S77" s="15"/>
      <c r="T77" s="15" t="s">
        <v>61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8" t="s">
        <v>107</v>
      </c>
      <c r="B78" s="19" t="s">
        <v>60</v>
      </c>
      <c r="C78" s="20">
        <v>6</v>
      </c>
      <c r="D78" s="20">
        <v>6.9420402294799999</v>
      </c>
      <c r="E78" s="20">
        <f t="shared" si="5"/>
        <v>0.94204022947999988</v>
      </c>
      <c r="F78" s="21" t="s">
        <v>61</v>
      </c>
      <c r="G78" s="21"/>
      <c r="H78" s="21"/>
      <c r="I78" s="21"/>
      <c r="J78" s="21"/>
      <c r="K78" s="21" t="s">
        <v>61</v>
      </c>
      <c r="L78" s="21"/>
      <c r="M78" s="21"/>
      <c r="N78" s="21" t="s">
        <v>61</v>
      </c>
      <c r="O78" s="21"/>
      <c r="P78" s="21" t="s">
        <v>61</v>
      </c>
      <c r="Q78" s="21"/>
      <c r="R78" s="21"/>
      <c r="S78" s="21"/>
      <c r="T78" s="21" t="s">
        <v>61</v>
      </c>
      <c r="U78" s="21"/>
      <c r="V78" s="22"/>
      <c r="W78" s="23" t="str">
        <f t="shared" si="6"/>
        <v>OK</v>
      </c>
    </row>
    <row r="80" spans="1:23" x14ac:dyDescent="0.25">
      <c r="A80" s="38" t="s">
        <v>67</v>
      </c>
      <c r="B80" s="28"/>
      <c r="C80" s="28"/>
      <c r="D80" s="28"/>
      <c r="E80" s="28"/>
      <c r="G80" s="38" t="s">
        <v>67</v>
      </c>
      <c r="H80" s="28"/>
      <c r="I80" s="28"/>
      <c r="J80" s="28"/>
      <c r="K80" s="28"/>
    </row>
    <row r="81" spans="1:22" x14ac:dyDescent="0.25">
      <c r="A81" s="36" t="s">
        <v>68</v>
      </c>
      <c r="B81" s="28"/>
      <c r="C81" s="28"/>
      <c r="D81" s="28"/>
      <c r="E81" s="28"/>
      <c r="G81" s="36" t="s">
        <v>69</v>
      </c>
      <c r="H81" s="28"/>
      <c r="I81" s="28"/>
      <c r="J81" s="28"/>
      <c r="K81" s="28"/>
    </row>
    <row r="83" spans="1:22" x14ac:dyDescent="0.25">
      <c r="A83" s="37" t="s">
        <v>70</v>
      </c>
      <c r="B83" s="28"/>
      <c r="C83" s="28"/>
      <c r="D83" s="28"/>
      <c r="E83" s="28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x14ac:dyDescent="0.25">
      <c r="A84" s="34" t="s">
        <v>71</v>
      </c>
      <c r="B84" s="28"/>
      <c r="C84" s="28"/>
      <c r="D84" s="28"/>
      <c r="E84" s="28"/>
      <c r="F84" s="9">
        <f t="shared" ref="F84:U84" si="7">SUMIF(F$9:F$78,"X",$E$9:$E$78)</f>
        <v>59.674512841985006</v>
      </c>
      <c r="G84" s="9">
        <f t="shared" si="7"/>
        <v>0</v>
      </c>
      <c r="H84" s="9">
        <f t="shared" si="7"/>
        <v>1.0743693946599999</v>
      </c>
      <c r="I84" s="9">
        <f t="shared" si="7"/>
        <v>0</v>
      </c>
      <c r="J84" s="9">
        <f t="shared" si="7"/>
        <v>0</v>
      </c>
      <c r="K84" s="9">
        <f t="shared" si="7"/>
        <v>60.748882236645002</v>
      </c>
      <c r="L84" s="9">
        <f t="shared" si="7"/>
        <v>0</v>
      </c>
      <c r="M84" s="9">
        <f t="shared" si="7"/>
        <v>1.798351071735</v>
      </c>
      <c r="N84" s="9">
        <f t="shared" si="7"/>
        <v>55.962443066229994</v>
      </c>
      <c r="O84" s="9">
        <f t="shared" si="7"/>
        <v>2.98808809868</v>
      </c>
      <c r="P84" s="9">
        <f t="shared" si="7"/>
        <v>54.888073671569998</v>
      </c>
      <c r="Q84" s="9">
        <f t="shared" si="7"/>
        <v>0</v>
      </c>
      <c r="R84" s="9">
        <f t="shared" si="7"/>
        <v>5.8608085650750006</v>
      </c>
      <c r="S84" s="9">
        <f t="shared" si="7"/>
        <v>0</v>
      </c>
      <c r="T84" s="9">
        <f t="shared" si="7"/>
        <v>54.888073671569998</v>
      </c>
      <c r="U84" s="9">
        <f t="shared" si="7"/>
        <v>5.8608085650750006</v>
      </c>
    </row>
    <row r="85" spans="1:22" x14ac:dyDescent="0.25">
      <c r="A85" s="34" t="s">
        <v>72</v>
      </c>
      <c r="B85" s="28"/>
      <c r="C85" s="28"/>
      <c r="D85" s="28"/>
      <c r="E85" s="28"/>
      <c r="F85" s="25">
        <f t="shared" ref="F85:U85" si="8">IF($R87=0,0,F84/$R87)</f>
        <v>0.98231458168275709</v>
      </c>
      <c r="G85" s="25">
        <f t="shared" si="8"/>
        <v>0</v>
      </c>
      <c r="H85" s="25">
        <f t="shared" si="8"/>
        <v>1.7685418317243008E-2</v>
      </c>
      <c r="I85" s="25">
        <f t="shared" si="8"/>
        <v>0</v>
      </c>
      <c r="J85" s="25">
        <f t="shared" si="8"/>
        <v>0</v>
      </c>
      <c r="K85" s="25">
        <f t="shared" si="8"/>
        <v>1</v>
      </c>
      <c r="L85" s="25">
        <f t="shared" si="8"/>
        <v>0</v>
      </c>
      <c r="M85" s="25">
        <f t="shared" si="8"/>
        <v>2.9603031455452802E-2</v>
      </c>
      <c r="N85" s="25">
        <f t="shared" si="8"/>
        <v>0.92120942815425622</v>
      </c>
      <c r="O85" s="25">
        <f t="shared" si="8"/>
        <v>4.9187540390290878E-2</v>
      </c>
      <c r="P85" s="25">
        <f t="shared" si="8"/>
        <v>0.9035240098370132</v>
      </c>
      <c r="Q85" s="25">
        <f t="shared" si="8"/>
        <v>0</v>
      </c>
      <c r="R85" s="25">
        <f t="shared" si="8"/>
        <v>9.6475990162986691E-2</v>
      </c>
      <c r="S85" s="25">
        <f t="shared" si="8"/>
        <v>0</v>
      </c>
      <c r="T85" s="25">
        <f t="shared" si="8"/>
        <v>0.9035240098370132</v>
      </c>
      <c r="U85" s="25">
        <f t="shared" si="8"/>
        <v>9.6475990162986691E-2</v>
      </c>
    </row>
    <row r="86" spans="1:22" x14ac:dyDescent="0.25">
      <c r="A86" s="34" t="s">
        <v>73</v>
      </c>
      <c r="B86" s="28"/>
      <c r="C86" s="28"/>
      <c r="D86" s="28"/>
      <c r="E86" s="28"/>
      <c r="F86" s="31" t="str">
        <f>IF(SUM(F84:J84)=0,"— não preenchido",IF(ROUND(SUM(F84:J84)-$R87,3)=0,"OK — "&amp;ROUND(SUM(F84:J84),3)&amp;" km","ERRO — dif. de "&amp;ROUND(SUM(F84:J84)-$R87,3)&amp;" km"))</f>
        <v>OK — 60,749 km</v>
      </c>
      <c r="G86" s="32"/>
      <c r="H86" s="32"/>
      <c r="I86" s="32"/>
      <c r="J86" s="33"/>
      <c r="K86" s="31" t="str">
        <f>IF(SUM(K84:L84)=0,"— não preenchido",IF(ROUND(SUM(K84:L84)-$R87,3)=0,"OK — "&amp;ROUND(SUM(K84:L84),3)&amp;" km","ERRO — dif. de "&amp;ROUND(SUM(K84:L84)-$R87,3)&amp;" km"))</f>
        <v>OK — 60,749 km</v>
      </c>
      <c r="L86" s="33"/>
      <c r="M86" s="31" t="str">
        <f>IF(SUM(M84:O84)=0,"— não preenchido",IF(ROUND(SUM(M84:O84)-$R87,3)=0,"OK — "&amp;ROUND(SUM(M84:O84),3)&amp;" km","ERRO — dif. de "&amp;ROUND(SUM(M84:O84)-$R87,3)&amp;" km"))</f>
        <v>OK — 60,749 km</v>
      </c>
      <c r="N86" s="32"/>
      <c r="O86" s="33"/>
      <c r="P86" s="31" t="str">
        <f>IF(SUM(P84:R84)=0,"— não preenchido",IF(ROUND(SUM(P84:R84)-$R87,3)=0,"OK — "&amp;ROUND(SUM(P84:R84),3)&amp;" km","ERRO — dif. de "&amp;ROUND(SUM(P84:R84)-$R87,3)&amp;" km"))</f>
        <v>OK — 60,749 km</v>
      </c>
      <c r="Q86" s="32"/>
      <c r="R86" s="33"/>
      <c r="S86" s="31" t="str">
        <f>IF(SUM(S84:U84)=0,"— não preenchido",IF(ROUND(SUM(S84:U84)-$R87,3)=0,"OK — "&amp;ROUND(SUM(S84:U84),3)&amp;" km","ERRO — dif. de "&amp;ROUND(SUM(S84:U84)-$R87,3)&amp;" km"))</f>
        <v>OK — 60,749 km</v>
      </c>
      <c r="T86" s="32"/>
      <c r="U86" s="33"/>
    </row>
    <row r="87" spans="1:22" x14ac:dyDescent="0.25">
      <c r="A87" s="34" t="s">
        <v>74</v>
      </c>
      <c r="B87" s="28"/>
      <c r="C87" s="28"/>
      <c r="D87" s="28"/>
      <c r="E87" s="28"/>
      <c r="R87" s="26">
        <f>SUM(E9:E78)</f>
        <v>60.748882236645002</v>
      </c>
      <c r="V87" s="8" t="str">
        <f>COUNTIF(W9:W78,"OK")&amp;" de "&amp;COUNT($E$9:$E$78)&amp;" linhas conferidas"</f>
        <v>64 de 64 linhas conferidas</v>
      </c>
    </row>
    <row r="89" spans="1:22" x14ac:dyDescent="0.25">
      <c r="A89" s="45" t="s">
        <v>75</v>
      </c>
      <c r="B89" s="28"/>
      <c r="C89" s="28"/>
      <c r="D89" s="28"/>
      <c r="E89" s="28"/>
    </row>
    <row r="90" spans="1:22" x14ac:dyDescent="0.25">
      <c r="A90" s="34" t="s">
        <v>76</v>
      </c>
      <c r="B90" s="28"/>
      <c r="C90" s="28"/>
      <c r="D90" s="28"/>
      <c r="E90" s="29" t="s">
        <v>77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4" t="s">
        <v>78</v>
      </c>
      <c r="B91" s="28"/>
      <c r="C91" s="28"/>
      <c r="D91" s="28"/>
      <c r="E91" s="29" t="s">
        <v>79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4" t="s">
        <v>80</v>
      </c>
      <c r="B92" s="28"/>
      <c r="C92" s="28"/>
      <c r="D92" s="28"/>
      <c r="E92" s="29" t="s">
        <v>81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4" t="s">
        <v>82</v>
      </c>
      <c r="B93" s="28"/>
      <c r="C93" s="28"/>
      <c r="D93" s="28"/>
      <c r="E93" s="29" t="s">
        <v>83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4" t="s">
        <v>84</v>
      </c>
      <c r="B94" s="28"/>
      <c r="C94" s="28"/>
      <c r="D94" s="28"/>
      <c r="E94" s="29" t="s">
        <v>85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4" t="s">
        <v>52</v>
      </c>
      <c r="B95" s="28"/>
      <c r="C95" s="28"/>
      <c r="D95" s="28"/>
      <c r="E95" s="29" t="s">
        <v>86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4" t="s">
        <v>87</v>
      </c>
      <c r="B96" s="28"/>
      <c r="C96" s="28"/>
      <c r="D96" s="28"/>
      <c r="E96" s="29" t="s">
        <v>88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4" t="s">
        <v>89</v>
      </c>
      <c r="B97" s="28"/>
      <c r="C97" s="28"/>
      <c r="D97" s="28"/>
      <c r="E97" s="29" t="s">
        <v>90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4" t="s">
        <v>11</v>
      </c>
      <c r="B98" s="28"/>
      <c r="C98" s="28"/>
      <c r="D98" s="28"/>
      <c r="E98" s="29" t="s">
        <v>91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</sheetData>
  <sheetProtection formatCells="0"/>
  <mergeCells count="63">
    <mergeCell ref="G2:H2"/>
    <mergeCell ref="A71:V71"/>
    <mergeCell ref="A87:E87"/>
    <mergeCell ref="K2:M2"/>
    <mergeCell ref="A13:V13"/>
    <mergeCell ref="N2:O2"/>
    <mergeCell ref="F86:J86"/>
    <mergeCell ref="P2:Q2"/>
    <mergeCell ref="A93:D93"/>
    <mergeCell ref="A4:V4"/>
    <mergeCell ref="V6:V7"/>
    <mergeCell ref="A20:V20"/>
    <mergeCell ref="M86:O86"/>
    <mergeCell ref="S6:U6"/>
    <mergeCell ref="E92:V92"/>
    <mergeCell ref="A83:E83"/>
    <mergeCell ref="G81:K81"/>
    <mergeCell ref="A91:D91"/>
    <mergeCell ref="E90:V90"/>
    <mergeCell ref="A92:D92"/>
    <mergeCell ref="W6:W7"/>
    <mergeCell ref="E6:E7"/>
    <mergeCell ref="A84:E84"/>
    <mergeCell ref="A89:E89"/>
    <mergeCell ref="B6:B7"/>
    <mergeCell ref="A80:E80"/>
    <mergeCell ref="A8:V8"/>
    <mergeCell ref="P86:R86"/>
    <mergeCell ref="A6:A7"/>
    <mergeCell ref="F6:J6"/>
    <mergeCell ref="M6:O6"/>
    <mergeCell ref="A98:D98"/>
    <mergeCell ref="E91:V91"/>
    <mergeCell ref="A64:V64"/>
    <mergeCell ref="A94:D94"/>
    <mergeCell ref="A11:V11"/>
    <mergeCell ref="A86:E86"/>
    <mergeCell ref="E93:V93"/>
    <mergeCell ref="E97:V97"/>
    <mergeCell ref="A90:D90"/>
    <mergeCell ref="E96:V96"/>
    <mergeCell ref="A95:D95"/>
    <mergeCell ref="E98:V98"/>
    <mergeCell ref="E95:V95"/>
    <mergeCell ref="A97:D97"/>
    <mergeCell ref="E94:V94"/>
    <mergeCell ref="A96:D96"/>
    <mergeCell ref="A1:V1"/>
    <mergeCell ref="K86:L86"/>
    <mergeCell ref="A85:E85"/>
    <mergeCell ref="T3:V3"/>
    <mergeCell ref="G80:K80"/>
    <mergeCell ref="A16:V16"/>
    <mergeCell ref="A81:E81"/>
    <mergeCell ref="R2:V2"/>
    <mergeCell ref="A3:S3"/>
    <mergeCell ref="C6:C7"/>
    <mergeCell ref="S86:U86"/>
    <mergeCell ref="K6:L6"/>
    <mergeCell ref="D6:D7"/>
    <mergeCell ref="P6:R6"/>
    <mergeCell ref="I2:J2"/>
    <mergeCell ref="A2:F2"/>
  </mergeCells>
  <conditionalFormatting sqref="F9:J78">
    <cfRule type="expression" dxfId="170" priority="1">
      <formula>AND(F9&lt;&gt;"",COUNTIF($F9:$J9,"X")&gt;1)</formula>
    </cfRule>
  </conditionalFormatting>
  <conditionalFormatting sqref="F86:U86">
    <cfRule type="expression" dxfId="169" priority="8">
      <formula>LEFT(F86,4)="ERRO"</formula>
    </cfRule>
    <cfRule type="expression" dxfId="168" priority="9">
      <formula>LEFT(F86,2)="OK"</formula>
    </cfRule>
  </conditionalFormatting>
  <conditionalFormatting sqref="K9:L78">
    <cfRule type="expression" dxfId="167" priority="2">
      <formula>AND(K9&lt;&gt;"",COUNTIF($K9:$L9,"X")&gt;1)</formula>
    </cfRule>
  </conditionalFormatting>
  <conditionalFormatting sqref="M9:O78">
    <cfRule type="expression" dxfId="166" priority="3">
      <formula>AND(M9&lt;&gt;"",COUNTIF($M9:$O9,"X")&gt;1)</formula>
    </cfRule>
  </conditionalFormatting>
  <conditionalFormatting sqref="P9:R78">
    <cfRule type="expression" dxfId="165" priority="4">
      <formula>AND(P9&lt;&gt;"",COUNTIF($P9:$R9,"X")&gt;1)</formula>
    </cfRule>
  </conditionalFormatting>
  <conditionalFormatting sqref="S9:U78">
    <cfRule type="expression" dxfId="164" priority="5">
      <formula>AND(S9&lt;&gt;"",COUNTIF($S9:$U9,"X")&gt;1)</formula>
    </cfRule>
  </conditionalFormatting>
  <conditionalFormatting sqref="W9:W78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8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8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8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8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8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78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40</oddHeader>
    <oddFooter>&amp;L&amp;7 RTA / MSI — Programa de Manutenção Rodoviária&amp;C&amp;7 Página &amp;P de &amp;N&amp;R&amp;7 Impresso em &amp;D</oddFooter>
  </headerFooter>
  <rowBreaks count="1" manualBreakCount="1">
    <brk id="8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N57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IF(F43=0,NA(),F43)</f>
        <v>19.715092982809999</v>
      </c>
      <c r="Z2" s="2">
        <f t="shared" si="0"/>
        <v>1</v>
      </c>
      <c r="AA2" s="2">
        <f t="shared" si="0"/>
        <v>4</v>
      </c>
      <c r="AB2" s="2">
        <f t="shared" si="0"/>
        <v>1</v>
      </c>
      <c r="AC2" s="2" t="e">
        <f t="shared" si="0"/>
        <v>#N/A</v>
      </c>
      <c r="AD2" s="2">
        <f t="shared" si="0"/>
        <v>25.715092982809999</v>
      </c>
      <c r="AE2" s="2" t="e">
        <f t="shared" si="0"/>
        <v>#N/A</v>
      </c>
      <c r="AF2" s="2">
        <f t="shared" si="0"/>
        <v>2.56461788976</v>
      </c>
      <c r="AG2" s="2">
        <f t="shared" si="0"/>
        <v>23.150475093049998</v>
      </c>
      <c r="AH2" s="2" t="e">
        <f t="shared" si="0"/>
        <v>#N/A</v>
      </c>
      <c r="AI2" s="2">
        <f t="shared" si="0"/>
        <v>25.715092982809999</v>
      </c>
      <c r="AJ2" s="2" t="e">
        <f t="shared" si="0"/>
        <v>#N/A</v>
      </c>
      <c r="AK2" s="2" t="e">
        <f t="shared" si="0"/>
        <v>#N/A</v>
      </c>
      <c r="AL2" s="2">
        <f t="shared" si="0"/>
        <v>25.715092982809999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2" t="s">
        <v>108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109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111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 t="s">
        <v>61</v>
      </c>
      <c r="Q9" s="15"/>
      <c r="R9" s="15"/>
      <c r="S9" s="15" t="s">
        <v>61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111</v>
      </c>
      <c r="B10" s="13" t="s">
        <v>60</v>
      </c>
      <c r="C10" s="14">
        <v>1</v>
      </c>
      <c r="D10" s="14">
        <v>2</v>
      </c>
      <c r="E10" s="14">
        <f>D10-C10</f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 t="s">
        <v>61</v>
      </c>
      <c r="Q10" s="15"/>
      <c r="R10" s="15"/>
      <c r="S10" s="15" t="s">
        <v>61</v>
      </c>
      <c r="T10" s="15"/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111</v>
      </c>
      <c r="B11" s="13" t="s">
        <v>60</v>
      </c>
      <c r="C11" s="14">
        <v>2</v>
      </c>
      <c r="D11" s="14">
        <v>3</v>
      </c>
      <c r="E11" s="14">
        <f>D11-C11</f>
        <v>1</v>
      </c>
      <c r="F11" s="15" t="s">
        <v>61</v>
      </c>
      <c r="G11" s="15"/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 t="s">
        <v>61</v>
      </c>
      <c r="Q11" s="15"/>
      <c r="R11" s="15"/>
      <c r="S11" s="15" t="s">
        <v>61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111</v>
      </c>
      <c r="B12" s="19" t="s">
        <v>60</v>
      </c>
      <c r="C12" s="20">
        <v>3</v>
      </c>
      <c r="D12" s="20">
        <v>3.92433138675</v>
      </c>
      <c r="E12" s="20">
        <f>D12-C12</f>
        <v>0.92433138675000004</v>
      </c>
      <c r="F12" s="21" t="s">
        <v>61</v>
      </c>
      <c r="G12" s="21"/>
      <c r="H12" s="21"/>
      <c r="I12" s="21"/>
      <c r="J12" s="21"/>
      <c r="K12" s="21" t="s">
        <v>61</v>
      </c>
      <c r="L12" s="21"/>
      <c r="M12" s="21"/>
      <c r="N12" s="21" t="s">
        <v>61</v>
      </c>
      <c r="O12" s="21"/>
      <c r="P12" s="21" t="s">
        <v>61</v>
      </c>
      <c r="Q12" s="21"/>
      <c r="R12" s="21"/>
      <c r="S12" s="21" t="s">
        <v>61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6" t="s">
        <v>112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113</v>
      </c>
      <c r="B14" s="13" t="s">
        <v>60</v>
      </c>
      <c r="C14" s="14">
        <v>0</v>
      </c>
      <c r="D14" s="14">
        <v>1</v>
      </c>
      <c r="E14" s="14">
        <f t="shared" ref="E14:E33" si="1">D14-C14</f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 t="s">
        <v>61</v>
      </c>
      <c r="Q14" s="15"/>
      <c r="R14" s="15"/>
      <c r="S14" s="15" t="s">
        <v>61</v>
      </c>
      <c r="T14" s="15"/>
      <c r="U14" s="15"/>
      <c r="V14" s="16"/>
      <c r="W14" s="17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113</v>
      </c>
      <c r="B15" s="13" t="s">
        <v>60</v>
      </c>
      <c r="C15" s="14">
        <v>1</v>
      </c>
      <c r="D15" s="14">
        <v>2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 t="s">
        <v>61</v>
      </c>
      <c r="Q15" s="15"/>
      <c r="R15" s="15"/>
      <c r="S15" s="15" t="s">
        <v>61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113</v>
      </c>
      <c r="B16" s="13" t="s">
        <v>60</v>
      </c>
      <c r="C16" s="14">
        <v>2</v>
      </c>
      <c r="D16" s="14">
        <v>3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 t="s">
        <v>61</v>
      </c>
      <c r="Q16" s="15"/>
      <c r="R16" s="15"/>
      <c r="S16" s="15" t="s">
        <v>61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113</v>
      </c>
      <c r="B17" s="13" t="s">
        <v>60</v>
      </c>
      <c r="C17" s="14">
        <v>3</v>
      </c>
      <c r="D17" s="14">
        <v>4</v>
      </c>
      <c r="E17" s="14">
        <f t="shared" si="1"/>
        <v>1</v>
      </c>
      <c r="F17" s="15" t="s">
        <v>61</v>
      </c>
      <c r="G17" s="15"/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 t="s">
        <v>61</v>
      </c>
      <c r="Q17" s="15"/>
      <c r="R17" s="15"/>
      <c r="S17" s="15" t="s">
        <v>61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113</v>
      </c>
      <c r="B18" s="13" t="s">
        <v>60</v>
      </c>
      <c r="C18" s="14">
        <v>4</v>
      </c>
      <c r="D18" s="14">
        <v>5</v>
      </c>
      <c r="E18" s="14">
        <f t="shared" si="1"/>
        <v>1</v>
      </c>
      <c r="F18" s="15" t="s">
        <v>61</v>
      </c>
      <c r="G18" s="15"/>
      <c r="H18" s="15"/>
      <c r="I18" s="15"/>
      <c r="J18" s="15"/>
      <c r="K18" s="15" t="s">
        <v>61</v>
      </c>
      <c r="L18" s="15"/>
      <c r="M18" s="15"/>
      <c r="N18" s="15" t="s">
        <v>61</v>
      </c>
      <c r="O18" s="15"/>
      <c r="P18" s="15" t="s">
        <v>61</v>
      </c>
      <c r="Q18" s="15"/>
      <c r="R18" s="15"/>
      <c r="S18" s="15" t="s">
        <v>61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113</v>
      </c>
      <c r="B19" s="13" t="s">
        <v>60</v>
      </c>
      <c r="C19" s="14">
        <v>5</v>
      </c>
      <c r="D19" s="14">
        <v>6</v>
      </c>
      <c r="E19" s="14">
        <f t="shared" si="1"/>
        <v>1</v>
      </c>
      <c r="F19" s="15"/>
      <c r="G19" s="15" t="s">
        <v>61</v>
      </c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 t="s">
        <v>61</v>
      </c>
      <c r="Q19" s="15"/>
      <c r="R19" s="15"/>
      <c r="S19" s="15" t="s">
        <v>61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113</v>
      </c>
      <c r="B20" s="13" t="s">
        <v>60</v>
      </c>
      <c r="C20" s="14">
        <v>6</v>
      </c>
      <c r="D20" s="14">
        <v>7</v>
      </c>
      <c r="E20" s="14">
        <f t="shared" si="1"/>
        <v>1</v>
      </c>
      <c r="F20" s="15" t="s">
        <v>61</v>
      </c>
      <c r="G20" s="15"/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 t="s">
        <v>61</v>
      </c>
      <c r="Q20" s="15"/>
      <c r="R20" s="15"/>
      <c r="S20" s="15" t="s">
        <v>61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113</v>
      </c>
      <c r="B21" s="13" t="s">
        <v>60</v>
      </c>
      <c r="C21" s="14">
        <v>7</v>
      </c>
      <c r="D21" s="14">
        <v>8</v>
      </c>
      <c r="E21" s="14">
        <f t="shared" si="1"/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 t="s">
        <v>61</v>
      </c>
      <c r="Q21" s="15"/>
      <c r="R21" s="15"/>
      <c r="S21" s="15" t="s">
        <v>61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113</v>
      </c>
      <c r="B22" s="13" t="s">
        <v>60</v>
      </c>
      <c r="C22" s="14">
        <v>8</v>
      </c>
      <c r="D22" s="14">
        <v>9</v>
      </c>
      <c r="E22" s="14">
        <f t="shared" si="1"/>
        <v>1</v>
      </c>
      <c r="F22" s="15" t="s">
        <v>61</v>
      </c>
      <c r="G22" s="15"/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 t="s">
        <v>61</v>
      </c>
      <c r="Q22" s="15"/>
      <c r="R22" s="15"/>
      <c r="S22" s="15" t="s">
        <v>61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113</v>
      </c>
      <c r="B23" s="13" t="s">
        <v>60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/>
      <c r="I23" s="15" t="s">
        <v>61</v>
      </c>
      <c r="J23" s="15"/>
      <c r="K23" s="15" t="s">
        <v>61</v>
      </c>
      <c r="L23" s="15"/>
      <c r="M23" s="15"/>
      <c r="N23" s="15" t="s">
        <v>61</v>
      </c>
      <c r="O23" s="15"/>
      <c r="P23" s="15" t="s">
        <v>61</v>
      </c>
      <c r="Q23" s="15"/>
      <c r="R23" s="15"/>
      <c r="S23" s="15" t="s">
        <v>61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113</v>
      </c>
      <c r="B24" s="13" t="s">
        <v>60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 t="s">
        <v>61</v>
      </c>
      <c r="I24" s="15"/>
      <c r="J24" s="15"/>
      <c r="K24" s="15" t="s">
        <v>61</v>
      </c>
      <c r="L24" s="15"/>
      <c r="M24" s="15"/>
      <c r="N24" s="15" t="s">
        <v>61</v>
      </c>
      <c r="O24" s="15"/>
      <c r="P24" s="15" t="s">
        <v>61</v>
      </c>
      <c r="Q24" s="15"/>
      <c r="R24" s="15"/>
      <c r="S24" s="15" t="s">
        <v>61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113</v>
      </c>
      <c r="B25" s="13" t="s">
        <v>60</v>
      </c>
      <c r="C25" s="14">
        <v>11</v>
      </c>
      <c r="D25" s="14">
        <v>12</v>
      </c>
      <c r="E25" s="14">
        <f t="shared" si="1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 t="s">
        <v>61</v>
      </c>
      <c r="Q25" s="15"/>
      <c r="R25" s="15"/>
      <c r="S25" s="15" t="s">
        <v>61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113</v>
      </c>
      <c r="B26" s="13" t="s">
        <v>60</v>
      </c>
      <c r="C26" s="14">
        <v>12</v>
      </c>
      <c r="D26" s="14">
        <v>13</v>
      </c>
      <c r="E26" s="14">
        <f t="shared" si="1"/>
        <v>1</v>
      </c>
      <c r="F26" s="15" t="s">
        <v>61</v>
      </c>
      <c r="G26" s="15"/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 t="s">
        <v>61</v>
      </c>
      <c r="Q26" s="15"/>
      <c r="R26" s="15"/>
      <c r="S26" s="15" t="s">
        <v>61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113</v>
      </c>
      <c r="B27" s="13" t="s">
        <v>60</v>
      </c>
      <c r="C27" s="14">
        <v>13</v>
      </c>
      <c r="D27" s="14">
        <v>14</v>
      </c>
      <c r="E27" s="14">
        <f t="shared" si="1"/>
        <v>1</v>
      </c>
      <c r="F27" s="15" t="s">
        <v>61</v>
      </c>
      <c r="G27" s="15"/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 t="s">
        <v>61</v>
      </c>
      <c r="Q27" s="15"/>
      <c r="R27" s="15"/>
      <c r="S27" s="15" t="s">
        <v>61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113</v>
      </c>
      <c r="B28" s="13" t="s">
        <v>60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 t="s">
        <v>61</v>
      </c>
      <c r="I28" s="15"/>
      <c r="J28" s="15"/>
      <c r="K28" s="15" t="s">
        <v>61</v>
      </c>
      <c r="L28" s="15"/>
      <c r="M28" s="15"/>
      <c r="N28" s="15" t="s">
        <v>61</v>
      </c>
      <c r="O28" s="15"/>
      <c r="P28" s="15" t="s">
        <v>61</v>
      </c>
      <c r="Q28" s="15"/>
      <c r="R28" s="15"/>
      <c r="S28" s="15" t="s">
        <v>61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113</v>
      </c>
      <c r="B29" s="13" t="s">
        <v>60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 t="s">
        <v>61</v>
      </c>
      <c r="I29" s="15"/>
      <c r="J29" s="15"/>
      <c r="K29" s="15" t="s">
        <v>61</v>
      </c>
      <c r="L29" s="15"/>
      <c r="M29" s="15"/>
      <c r="N29" s="15" t="s">
        <v>61</v>
      </c>
      <c r="O29" s="15"/>
      <c r="P29" s="15" t="s">
        <v>61</v>
      </c>
      <c r="Q29" s="15"/>
      <c r="R29" s="15"/>
      <c r="S29" s="15" t="s">
        <v>61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113</v>
      </c>
      <c r="B30" s="13" t="s">
        <v>60</v>
      </c>
      <c r="C30" s="14">
        <v>16</v>
      </c>
      <c r="D30" s="14">
        <v>17</v>
      </c>
      <c r="E30" s="14">
        <f t="shared" si="1"/>
        <v>1</v>
      </c>
      <c r="F30" s="15"/>
      <c r="G30" s="15"/>
      <c r="H30" s="15" t="s">
        <v>61</v>
      </c>
      <c r="I30" s="15"/>
      <c r="J30" s="15"/>
      <c r="K30" s="15" t="s">
        <v>61</v>
      </c>
      <c r="L30" s="15"/>
      <c r="M30" s="15"/>
      <c r="N30" s="15" t="s">
        <v>61</v>
      </c>
      <c r="O30" s="15"/>
      <c r="P30" s="15" t="s">
        <v>61</v>
      </c>
      <c r="Q30" s="15"/>
      <c r="R30" s="15"/>
      <c r="S30" s="15" t="s">
        <v>61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113</v>
      </c>
      <c r="B31" s="13" t="s">
        <v>60</v>
      </c>
      <c r="C31" s="14">
        <v>17</v>
      </c>
      <c r="D31" s="14">
        <v>18</v>
      </c>
      <c r="E31" s="14">
        <f t="shared" si="1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 t="s">
        <v>61</v>
      </c>
      <c r="Q31" s="15"/>
      <c r="R31" s="15"/>
      <c r="S31" s="15" t="s">
        <v>61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113</v>
      </c>
      <c r="B32" s="13" t="s">
        <v>60</v>
      </c>
      <c r="C32" s="14">
        <v>18</v>
      </c>
      <c r="D32" s="14">
        <v>19</v>
      </c>
      <c r="E32" s="14">
        <f t="shared" si="1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 t="s">
        <v>61</v>
      </c>
      <c r="Q32" s="15"/>
      <c r="R32" s="15"/>
      <c r="S32" s="15" t="s">
        <v>61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113</v>
      </c>
      <c r="B33" s="19" t="s">
        <v>60</v>
      </c>
      <c r="C33" s="20">
        <v>19</v>
      </c>
      <c r="D33" s="20">
        <v>19.2261437063</v>
      </c>
      <c r="E33" s="20">
        <f t="shared" si="1"/>
        <v>0.22614370630000025</v>
      </c>
      <c r="F33" s="21" t="s">
        <v>61</v>
      </c>
      <c r="G33" s="21"/>
      <c r="H33" s="21"/>
      <c r="I33" s="21"/>
      <c r="J33" s="21"/>
      <c r="K33" s="21" t="s">
        <v>61</v>
      </c>
      <c r="L33" s="21"/>
      <c r="M33" s="21"/>
      <c r="N33" s="21" t="s">
        <v>61</v>
      </c>
      <c r="O33" s="21"/>
      <c r="P33" s="21" t="s">
        <v>61</v>
      </c>
      <c r="Q33" s="21"/>
      <c r="R33" s="21"/>
      <c r="S33" s="21" t="s">
        <v>61</v>
      </c>
      <c r="T33" s="21"/>
      <c r="U33" s="21"/>
      <c r="V33" s="22"/>
      <c r="W33" s="23" t="str">
        <f t="shared" si="2"/>
        <v>OK</v>
      </c>
    </row>
    <row r="34" spans="1:23" ht="15.95" customHeight="1" x14ac:dyDescent="0.25">
      <c r="A34" s="46" t="s">
        <v>114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/>
      <c r="W34" s="4"/>
    </row>
    <row r="35" spans="1:23" ht="20.100000000000001" customHeight="1" x14ac:dyDescent="0.25">
      <c r="A35" s="12" t="s">
        <v>115</v>
      </c>
      <c r="B35" s="13" t="s">
        <v>60</v>
      </c>
      <c r="C35" s="14">
        <v>0</v>
      </c>
      <c r="D35" s="14">
        <v>1</v>
      </c>
      <c r="E35" s="14">
        <f>D35-C35</f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 t="s">
        <v>61</v>
      </c>
      <c r="N35" s="15"/>
      <c r="O35" s="15"/>
      <c r="P35" s="15" t="s">
        <v>61</v>
      </c>
      <c r="Q35" s="15"/>
      <c r="R35" s="15"/>
      <c r="S35" s="15" t="s">
        <v>61</v>
      </c>
      <c r="T35" s="15"/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115</v>
      </c>
      <c r="B36" s="13" t="s">
        <v>60</v>
      </c>
      <c r="C36" s="14">
        <v>1</v>
      </c>
      <c r="D36" s="14">
        <v>2</v>
      </c>
      <c r="E36" s="14">
        <f>D36-C36</f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 t="s">
        <v>61</v>
      </c>
      <c r="N36" s="15"/>
      <c r="O36" s="15"/>
      <c r="P36" s="15" t="s">
        <v>61</v>
      </c>
      <c r="Q36" s="15"/>
      <c r="R36" s="15"/>
      <c r="S36" s="15" t="s">
        <v>61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115</v>
      </c>
      <c r="B37" s="19" t="s">
        <v>60</v>
      </c>
      <c r="C37" s="20">
        <v>2</v>
      </c>
      <c r="D37" s="20">
        <v>2.56461788976</v>
      </c>
      <c r="E37" s="20">
        <f>D37-C37</f>
        <v>0.56461788976000005</v>
      </c>
      <c r="F37" s="21" t="s">
        <v>61</v>
      </c>
      <c r="G37" s="21"/>
      <c r="H37" s="21"/>
      <c r="I37" s="21"/>
      <c r="J37" s="21"/>
      <c r="K37" s="21" t="s">
        <v>61</v>
      </c>
      <c r="L37" s="21"/>
      <c r="M37" s="21" t="s">
        <v>61</v>
      </c>
      <c r="N37" s="21"/>
      <c r="O37" s="21"/>
      <c r="P37" s="21" t="s">
        <v>61</v>
      </c>
      <c r="Q37" s="21"/>
      <c r="R37" s="21"/>
      <c r="S37" s="21" t="s">
        <v>61</v>
      </c>
      <c r="T37" s="21"/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9" spans="1:23" x14ac:dyDescent="0.25">
      <c r="A39" s="38" t="s">
        <v>67</v>
      </c>
      <c r="B39" s="28"/>
      <c r="C39" s="28"/>
      <c r="D39" s="28"/>
      <c r="E39" s="28"/>
      <c r="G39" s="38" t="s">
        <v>67</v>
      </c>
      <c r="H39" s="28"/>
      <c r="I39" s="28"/>
      <c r="J39" s="28"/>
      <c r="K39" s="28"/>
    </row>
    <row r="40" spans="1:23" x14ac:dyDescent="0.25">
      <c r="A40" s="36" t="s">
        <v>68</v>
      </c>
      <c r="B40" s="28"/>
      <c r="C40" s="28"/>
      <c r="D40" s="28"/>
      <c r="E40" s="28"/>
      <c r="G40" s="36" t="s">
        <v>69</v>
      </c>
      <c r="H40" s="28"/>
      <c r="I40" s="28"/>
      <c r="J40" s="28"/>
      <c r="K40" s="28"/>
    </row>
    <row r="42" spans="1:23" x14ac:dyDescent="0.25">
      <c r="A42" s="37" t="s">
        <v>70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71</v>
      </c>
      <c r="B43" s="28"/>
      <c r="C43" s="28"/>
      <c r="D43" s="28"/>
      <c r="E43" s="28"/>
      <c r="F43" s="9">
        <f t="shared" ref="F43:U43" si="3">SUMIF(F$9:F$37,"X",$E$9:$E$37)</f>
        <v>19.715092982809999</v>
      </c>
      <c r="G43" s="9">
        <f t="shared" si="3"/>
        <v>1</v>
      </c>
      <c r="H43" s="9">
        <f t="shared" si="3"/>
        <v>4</v>
      </c>
      <c r="I43" s="9">
        <f t="shared" si="3"/>
        <v>1</v>
      </c>
      <c r="J43" s="9">
        <f t="shared" si="3"/>
        <v>0</v>
      </c>
      <c r="K43" s="9">
        <f t="shared" si="3"/>
        <v>25.715092982809999</v>
      </c>
      <c r="L43" s="9">
        <f t="shared" si="3"/>
        <v>0</v>
      </c>
      <c r="M43" s="9">
        <f t="shared" si="3"/>
        <v>2.56461788976</v>
      </c>
      <c r="N43" s="9">
        <f t="shared" si="3"/>
        <v>23.150475093049998</v>
      </c>
      <c r="O43" s="9">
        <f t="shared" si="3"/>
        <v>0</v>
      </c>
      <c r="P43" s="9">
        <f t="shared" si="3"/>
        <v>25.715092982809999</v>
      </c>
      <c r="Q43" s="9">
        <f t="shared" si="3"/>
        <v>0</v>
      </c>
      <c r="R43" s="9">
        <f t="shared" si="3"/>
        <v>0</v>
      </c>
      <c r="S43" s="9">
        <f t="shared" si="3"/>
        <v>25.715092982809999</v>
      </c>
      <c r="T43" s="9">
        <f t="shared" si="3"/>
        <v>0</v>
      </c>
      <c r="U43" s="9">
        <f t="shared" si="3"/>
        <v>0</v>
      </c>
    </row>
    <row r="44" spans="1:23" x14ac:dyDescent="0.25">
      <c r="A44" s="34" t="s">
        <v>72</v>
      </c>
      <c r="B44" s="28"/>
      <c r="C44" s="28"/>
      <c r="D44" s="28"/>
      <c r="E44" s="28"/>
      <c r="F44" s="25">
        <f t="shared" ref="F44:U44" si="4">IF($R46=0,0,F43/$R46)</f>
        <v>0.76667399165109473</v>
      </c>
      <c r="G44" s="25">
        <f t="shared" si="4"/>
        <v>3.8887668058150873E-2</v>
      </c>
      <c r="H44" s="25">
        <f t="shared" si="4"/>
        <v>0.15555067223260349</v>
      </c>
      <c r="I44" s="25">
        <f t="shared" si="4"/>
        <v>3.8887668058150873E-2</v>
      </c>
      <c r="J44" s="25">
        <f t="shared" si="4"/>
        <v>0</v>
      </c>
      <c r="K44" s="25">
        <f t="shared" si="4"/>
        <v>1</v>
      </c>
      <c r="L44" s="25">
        <f t="shared" si="4"/>
        <v>0</v>
      </c>
      <c r="M44" s="25">
        <f t="shared" si="4"/>
        <v>9.9732009192982252E-2</v>
      </c>
      <c r="N44" s="25">
        <f t="shared" si="4"/>
        <v>0.90026799080701769</v>
      </c>
      <c r="O44" s="25">
        <f t="shared" si="4"/>
        <v>0</v>
      </c>
      <c r="P44" s="25">
        <f t="shared" si="4"/>
        <v>1</v>
      </c>
      <c r="Q44" s="25">
        <f t="shared" si="4"/>
        <v>0</v>
      </c>
      <c r="R44" s="25">
        <f t="shared" si="4"/>
        <v>0</v>
      </c>
      <c r="S44" s="25">
        <f t="shared" si="4"/>
        <v>1</v>
      </c>
      <c r="T44" s="25">
        <f t="shared" si="4"/>
        <v>0</v>
      </c>
      <c r="U44" s="25">
        <f t="shared" si="4"/>
        <v>0</v>
      </c>
    </row>
    <row r="45" spans="1:23" x14ac:dyDescent="0.25">
      <c r="A45" s="34" t="s">
        <v>73</v>
      </c>
      <c r="B45" s="28"/>
      <c r="C45" s="28"/>
      <c r="D45" s="28"/>
      <c r="E45" s="28"/>
      <c r="F45" s="31" t="str">
        <f>IF(SUM(F43:J43)=0,"— não preenchido",IF(ROUND(SUM(F43:J43)-$R46,3)=0,"OK — "&amp;ROUND(SUM(F43:J43),3)&amp;" km","ERRO — dif. de "&amp;ROUND(SUM(F43:J43)-$R46,3)&amp;" km"))</f>
        <v>OK — 25,715 km</v>
      </c>
      <c r="G45" s="32"/>
      <c r="H45" s="32"/>
      <c r="I45" s="32"/>
      <c r="J45" s="33"/>
      <c r="K45" s="31" t="str">
        <f>IF(SUM(K43:L43)=0,"— não preenchido",IF(ROUND(SUM(K43:L43)-$R46,3)=0,"OK — "&amp;ROUND(SUM(K43:L43),3)&amp;" km","ERRO — dif. de "&amp;ROUND(SUM(K43:L43)-$R46,3)&amp;" km"))</f>
        <v>OK — 25,715 km</v>
      </c>
      <c r="L45" s="33"/>
      <c r="M45" s="31" t="str">
        <f>IF(SUM(M43:O43)=0,"— não preenchido",IF(ROUND(SUM(M43:O43)-$R46,3)=0,"OK — "&amp;ROUND(SUM(M43:O43),3)&amp;" km","ERRO — dif. de "&amp;ROUND(SUM(M43:O43)-$R46,3)&amp;" km"))</f>
        <v>OK — 25,715 km</v>
      </c>
      <c r="N45" s="32"/>
      <c r="O45" s="33"/>
      <c r="P45" s="31" t="str">
        <f>IF(SUM(P43:R43)=0,"— não preenchido",IF(ROUND(SUM(P43:R43)-$R46,3)=0,"OK — "&amp;ROUND(SUM(P43:R43),3)&amp;" km","ERRO — dif. de "&amp;ROUND(SUM(P43:R43)-$R46,3)&amp;" km"))</f>
        <v>OK — 25,715 km</v>
      </c>
      <c r="Q45" s="32"/>
      <c r="R45" s="33"/>
      <c r="S45" s="31" t="str">
        <f>IF(SUM(S43:U43)=0,"— não preenchido",IF(ROUND(SUM(S43:U43)-$R46,3)=0,"OK — "&amp;ROUND(SUM(S43:U43),3)&amp;" km","ERRO — dif. de "&amp;ROUND(SUM(S43:U43)-$R46,3)&amp;" km"))</f>
        <v>OK — 25,715 km</v>
      </c>
      <c r="T45" s="32"/>
      <c r="U45" s="33"/>
    </row>
    <row r="46" spans="1:23" x14ac:dyDescent="0.25">
      <c r="A46" s="34" t="s">
        <v>74</v>
      </c>
      <c r="B46" s="28"/>
      <c r="C46" s="28"/>
      <c r="D46" s="28"/>
      <c r="E46" s="28"/>
      <c r="R46" s="26">
        <f>SUM(E9:E37)</f>
        <v>25.715092982809999</v>
      </c>
      <c r="V46" s="8" t="str">
        <f>COUNTIF(W9:W37,"OK")&amp;" de "&amp;COUNT($E$9:$E$37)&amp;" linhas conferidas"</f>
        <v>27 de 27 linhas conferidas</v>
      </c>
    </row>
    <row r="48" spans="1:23" x14ac:dyDescent="0.25">
      <c r="A48" s="45" t="s">
        <v>75</v>
      </c>
      <c r="B48" s="28"/>
      <c r="C48" s="28"/>
      <c r="D48" s="28"/>
      <c r="E48" s="28"/>
    </row>
    <row r="49" spans="1:22" x14ac:dyDescent="0.25">
      <c r="A49" s="34" t="s">
        <v>76</v>
      </c>
      <c r="B49" s="28"/>
      <c r="C49" s="28"/>
      <c r="D49" s="28"/>
      <c r="E49" s="29" t="s">
        <v>77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78</v>
      </c>
      <c r="B50" s="28"/>
      <c r="C50" s="28"/>
      <c r="D50" s="28"/>
      <c r="E50" s="29" t="s">
        <v>79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80</v>
      </c>
      <c r="B51" s="28"/>
      <c r="C51" s="28"/>
      <c r="D51" s="28"/>
      <c r="E51" s="29" t="s">
        <v>81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82</v>
      </c>
      <c r="B52" s="28"/>
      <c r="C52" s="28"/>
      <c r="D52" s="28"/>
      <c r="E52" s="29" t="s">
        <v>83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84</v>
      </c>
      <c r="B53" s="28"/>
      <c r="C53" s="28"/>
      <c r="D53" s="28"/>
      <c r="E53" s="29" t="s">
        <v>85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52</v>
      </c>
      <c r="B54" s="28"/>
      <c r="C54" s="28"/>
      <c r="D54" s="28"/>
      <c r="E54" s="29" t="s">
        <v>86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87</v>
      </c>
      <c r="B55" s="28"/>
      <c r="C55" s="28"/>
      <c r="D55" s="28"/>
      <c r="E55" s="29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89</v>
      </c>
      <c r="B56" s="28"/>
      <c r="C56" s="28"/>
      <c r="D56" s="28"/>
      <c r="E56" s="29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29" t="s">
        <v>91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formatCells="0"/>
  <mergeCells count="59"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  <mergeCell ref="P2:Q2"/>
    <mergeCell ref="A4:V4"/>
    <mergeCell ref="W6:W7"/>
    <mergeCell ref="A46:E46"/>
    <mergeCell ref="E6:E7"/>
    <mergeCell ref="F45:J45"/>
    <mergeCell ref="S45:U45"/>
    <mergeCell ref="A39:E39"/>
    <mergeCell ref="A2:F2"/>
    <mergeCell ref="S6:U6"/>
    <mergeCell ref="K2:M2"/>
    <mergeCell ref="A13:V13"/>
    <mergeCell ref="N2:O2"/>
    <mergeCell ref="A51:D51"/>
    <mergeCell ref="B6:B7"/>
    <mergeCell ref="A34:V3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A49:D49"/>
    <mergeCell ref="E51:V51"/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</mergeCells>
  <conditionalFormatting sqref="F9:J37">
    <cfRule type="expression" dxfId="161" priority="1">
      <formula>AND(F9&lt;&gt;"",COUNTIF($F9:$J9,"X")&gt;1)</formula>
    </cfRule>
  </conditionalFormatting>
  <conditionalFormatting sqref="F45:U45">
    <cfRule type="expression" dxfId="160" priority="8">
      <formula>LEFT(F45,4)="ERRO"</formula>
    </cfRule>
    <cfRule type="expression" dxfId="159" priority="9">
      <formula>LEFT(F45,2)="OK"</formula>
    </cfRule>
  </conditionalFormatting>
  <conditionalFormatting sqref="K9:L37">
    <cfRule type="expression" dxfId="158" priority="2">
      <formula>AND(K9&lt;&gt;"",COUNTIF($K9:$L9,"X")&gt;1)</formula>
    </cfRule>
  </conditionalFormatting>
  <conditionalFormatting sqref="M9:O37">
    <cfRule type="expression" dxfId="157" priority="3">
      <formula>AND(M9&lt;&gt;"",COUNTIF($M9:$O9,"X")&gt;1)</formula>
    </cfRule>
  </conditionalFormatting>
  <conditionalFormatting sqref="P9:R37">
    <cfRule type="expression" dxfId="156" priority="4">
      <formula>AND(P9&lt;&gt;"",COUNTIF($P9:$R9,"X")&gt;1)</formula>
    </cfRule>
  </conditionalFormatting>
  <conditionalFormatting sqref="S9:U37">
    <cfRule type="expression" dxfId="155" priority="5">
      <formula>AND(S9&lt;&gt;"",COUNTIF($S9:$U9,"X")&gt;1)</formula>
    </cfRule>
  </conditionalFormatting>
  <conditionalFormatting sqref="W9:W37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IF(F30=0,NA(),F30)</f>
        <v>4.8300059045900001</v>
      </c>
      <c r="Z2" s="2" t="e">
        <f t="shared" si="0"/>
        <v>#N/A</v>
      </c>
      <c r="AA2" s="2" t="e">
        <f t="shared" si="0"/>
        <v>#N/A</v>
      </c>
      <c r="AB2" s="2">
        <f t="shared" si="0"/>
        <v>1</v>
      </c>
      <c r="AC2" s="2">
        <f t="shared" si="0"/>
        <v>7.6206039488599995</v>
      </c>
      <c r="AD2" s="2">
        <f t="shared" si="0"/>
        <v>13.45060985345</v>
      </c>
      <c r="AE2" s="2" t="e">
        <f t="shared" si="0"/>
        <v>#N/A</v>
      </c>
      <c r="AF2" s="2" t="e">
        <f t="shared" si="0"/>
        <v>#N/A</v>
      </c>
      <c r="AG2" s="2">
        <f t="shared" si="0"/>
        <v>13.45060985345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13.45060985345</v>
      </c>
      <c r="AL2" s="2" t="e">
        <f t="shared" si="0"/>
        <v>#N/A</v>
      </c>
      <c r="AM2" s="2" t="e">
        <f t="shared" si="0"/>
        <v>#N/A</v>
      </c>
      <c r="AN2" s="2">
        <f t="shared" si="0"/>
        <v>13.45060985345</v>
      </c>
    </row>
    <row r="3" spans="1:40" ht="15" customHeight="1" x14ac:dyDescent="0.25">
      <c r="A3" s="42" t="s">
        <v>116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117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118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119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119</v>
      </c>
      <c r="B10" s="13" t="s">
        <v>60</v>
      </c>
      <c r="C10" s="14">
        <v>1</v>
      </c>
      <c r="D10" s="14">
        <v>2</v>
      </c>
      <c r="E10" s="14">
        <f>D10-C10</f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119</v>
      </c>
      <c r="B11" s="13" t="s">
        <v>60</v>
      </c>
      <c r="C11" s="14">
        <v>2</v>
      </c>
      <c r="D11" s="14">
        <v>3</v>
      </c>
      <c r="E11" s="14">
        <f>D11-C11</f>
        <v>1</v>
      </c>
      <c r="F11" s="15"/>
      <c r="G11" s="15"/>
      <c r="H11" s="15"/>
      <c r="I11" s="15" t="s">
        <v>61</v>
      </c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/>
      <c r="T11" s="15"/>
      <c r="U11" s="15" t="s">
        <v>61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119</v>
      </c>
      <c r="B12" s="19" t="s">
        <v>60</v>
      </c>
      <c r="C12" s="20">
        <v>3</v>
      </c>
      <c r="D12" s="20">
        <v>3.9243329395800002</v>
      </c>
      <c r="E12" s="20">
        <f>D12-C12</f>
        <v>0.92433293958000018</v>
      </c>
      <c r="F12" s="21" t="s">
        <v>61</v>
      </c>
      <c r="G12" s="21"/>
      <c r="H12" s="21"/>
      <c r="I12" s="21"/>
      <c r="J12" s="21"/>
      <c r="K12" s="21" t="s">
        <v>61</v>
      </c>
      <c r="L12" s="21"/>
      <c r="M12" s="21"/>
      <c r="N12" s="21" t="s">
        <v>61</v>
      </c>
      <c r="O12" s="21"/>
      <c r="P12" s="21"/>
      <c r="Q12" s="21"/>
      <c r="R12" s="21" t="s">
        <v>61</v>
      </c>
      <c r="S12" s="21"/>
      <c r="T12" s="21"/>
      <c r="U12" s="21" t="s">
        <v>61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6" t="s">
        <v>120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121</v>
      </c>
      <c r="B14" s="13" t="s">
        <v>60</v>
      </c>
      <c r="C14" s="14">
        <v>0</v>
      </c>
      <c r="D14" s="14">
        <v>1</v>
      </c>
      <c r="E14" s="14">
        <f t="shared" ref="E14:E19" si="1">D14-C14</f>
        <v>1</v>
      </c>
      <c r="F14" s="15"/>
      <c r="G14" s="15"/>
      <c r="H14" s="15"/>
      <c r="I14" s="15"/>
      <c r="J14" s="15" t="s">
        <v>61</v>
      </c>
      <c r="K14" s="15" t="s">
        <v>61</v>
      </c>
      <c r="L14" s="15"/>
      <c r="M14" s="15"/>
      <c r="N14" s="15" t="s">
        <v>61</v>
      </c>
      <c r="O14" s="15"/>
      <c r="P14" s="15"/>
      <c r="Q14" s="15"/>
      <c r="R14" s="15" t="s">
        <v>61</v>
      </c>
      <c r="S14" s="15"/>
      <c r="T14" s="15"/>
      <c r="U14" s="15" t="s">
        <v>61</v>
      </c>
      <c r="V14" s="16"/>
      <c r="W14" s="17" t="str">
        <f t="shared" ref="W14:W19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121</v>
      </c>
      <c r="B15" s="13" t="s">
        <v>60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/>
      <c r="J15" s="15" t="s">
        <v>61</v>
      </c>
      <c r="K15" s="15" t="s">
        <v>61</v>
      </c>
      <c r="L15" s="15"/>
      <c r="M15" s="15"/>
      <c r="N15" s="15" t="s">
        <v>61</v>
      </c>
      <c r="O15" s="15"/>
      <c r="P15" s="15"/>
      <c r="Q15" s="15"/>
      <c r="R15" s="15" t="s">
        <v>61</v>
      </c>
      <c r="S15" s="15"/>
      <c r="T15" s="15"/>
      <c r="U15" s="15" t="s">
        <v>61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121</v>
      </c>
      <c r="B16" s="13" t="s">
        <v>60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/>
      <c r="J16" s="15" t="s">
        <v>61</v>
      </c>
      <c r="K16" s="15" t="s">
        <v>61</v>
      </c>
      <c r="L16" s="15"/>
      <c r="M16" s="15"/>
      <c r="N16" s="15" t="s">
        <v>61</v>
      </c>
      <c r="O16" s="15"/>
      <c r="P16" s="15"/>
      <c r="Q16" s="15"/>
      <c r="R16" s="15" t="s">
        <v>61</v>
      </c>
      <c r="S16" s="15"/>
      <c r="T16" s="15"/>
      <c r="U16" s="15" t="s">
        <v>61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121</v>
      </c>
      <c r="B17" s="13" t="s">
        <v>60</v>
      </c>
      <c r="C17" s="14">
        <v>3</v>
      </c>
      <c r="D17" s="14">
        <v>4</v>
      </c>
      <c r="E17" s="14">
        <f t="shared" si="1"/>
        <v>1</v>
      </c>
      <c r="F17" s="15" t="s">
        <v>61</v>
      </c>
      <c r="G17" s="15"/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/>
      <c r="Q17" s="15"/>
      <c r="R17" s="15" t="s">
        <v>61</v>
      </c>
      <c r="S17" s="15"/>
      <c r="T17" s="15"/>
      <c r="U17" s="15" t="s">
        <v>61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121</v>
      </c>
      <c r="B18" s="13" t="s">
        <v>60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/>
      <c r="I18" s="15"/>
      <c r="J18" s="15" t="s">
        <v>61</v>
      </c>
      <c r="K18" s="15" t="s">
        <v>61</v>
      </c>
      <c r="L18" s="15"/>
      <c r="M18" s="15"/>
      <c r="N18" s="15" t="s">
        <v>61</v>
      </c>
      <c r="O18" s="15"/>
      <c r="P18" s="15"/>
      <c r="Q18" s="15"/>
      <c r="R18" s="15" t="s">
        <v>61</v>
      </c>
      <c r="S18" s="15"/>
      <c r="T18" s="15"/>
      <c r="U18" s="15" t="s">
        <v>61</v>
      </c>
      <c r="V18" s="16"/>
      <c r="W18" s="17" t="str">
        <f t="shared" si="2"/>
        <v>OK</v>
      </c>
    </row>
    <row r="19" spans="1:23" ht="20.100000000000001" customHeight="1" x14ac:dyDescent="0.25">
      <c r="A19" s="18" t="s">
        <v>121</v>
      </c>
      <c r="B19" s="19" t="s">
        <v>60</v>
      </c>
      <c r="C19" s="20">
        <v>5</v>
      </c>
      <c r="D19" s="20">
        <v>5.9056729650099999</v>
      </c>
      <c r="E19" s="20">
        <f t="shared" si="1"/>
        <v>0.90567296500999994</v>
      </c>
      <c r="F19" s="21" t="s">
        <v>61</v>
      </c>
      <c r="G19" s="21"/>
      <c r="H19" s="21"/>
      <c r="I19" s="21"/>
      <c r="J19" s="21"/>
      <c r="K19" s="21" t="s">
        <v>61</v>
      </c>
      <c r="L19" s="21"/>
      <c r="M19" s="21"/>
      <c r="N19" s="21" t="s">
        <v>61</v>
      </c>
      <c r="O19" s="21"/>
      <c r="P19" s="21"/>
      <c r="Q19" s="21"/>
      <c r="R19" s="21" t="s">
        <v>61</v>
      </c>
      <c r="S19" s="21"/>
      <c r="T19" s="21"/>
      <c r="U19" s="21" t="s">
        <v>61</v>
      </c>
      <c r="V19" s="22"/>
      <c r="W19" s="23" t="str">
        <f t="shared" si="2"/>
        <v>OK</v>
      </c>
    </row>
    <row r="20" spans="1:23" ht="15.95" customHeight="1" x14ac:dyDescent="0.25">
      <c r="A20" s="46" t="s">
        <v>122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/>
      <c r="W20" s="4"/>
    </row>
    <row r="21" spans="1:23" ht="20.100000000000001" customHeight="1" x14ac:dyDescent="0.25">
      <c r="A21" s="12" t="s">
        <v>123</v>
      </c>
      <c r="B21" s="13" t="s">
        <v>60</v>
      </c>
      <c r="C21" s="14">
        <v>0</v>
      </c>
      <c r="D21" s="14">
        <v>1</v>
      </c>
      <c r="E21" s="14">
        <f>D21-C21</f>
        <v>1</v>
      </c>
      <c r="F21" s="15"/>
      <c r="G21" s="15"/>
      <c r="H21" s="15"/>
      <c r="I21" s="15"/>
      <c r="J21" s="15" t="s">
        <v>61</v>
      </c>
      <c r="K21" s="15" t="s">
        <v>61</v>
      </c>
      <c r="L21" s="15"/>
      <c r="M21" s="15"/>
      <c r="N21" s="15" t="s">
        <v>61</v>
      </c>
      <c r="O21" s="15"/>
      <c r="P21" s="15"/>
      <c r="Q21" s="15"/>
      <c r="R21" s="15" t="s">
        <v>61</v>
      </c>
      <c r="S21" s="15"/>
      <c r="T21" s="15"/>
      <c r="U21" s="15" t="s">
        <v>61</v>
      </c>
      <c r="V21" s="16"/>
      <c r="W21" s="17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123</v>
      </c>
      <c r="B22" s="13" t="s">
        <v>60</v>
      </c>
      <c r="C22" s="14">
        <v>1</v>
      </c>
      <c r="D22" s="14">
        <v>2</v>
      </c>
      <c r="E22" s="14">
        <f>D22-C22</f>
        <v>1</v>
      </c>
      <c r="F22" s="15"/>
      <c r="G22" s="15"/>
      <c r="H22" s="15"/>
      <c r="I22" s="15"/>
      <c r="J22" s="15" t="s">
        <v>61</v>
      </c>
      <c r="K22" s="15" t="s">
        <v>61</v>
      </c>
      <c r="L22" s="15"/>
      <c r="M22" s="15"/>
      <c r="N22" s="15" t="s">
        <v>61</v>
      </c>
      <c r="O22" s="15"/>
      <c r="P22" s="15"/>
      <c r="Q22" s="15"/>
      <c r="R22" s="15" t="s">
        <v>61</v>
      </c>
      <c r="S22" s="15"/>
      <c r="T22" s="15"/>
      <c r="U22" s="15" t="s">
        <v>61</v>
      </c>
      <c r="V22" s="16"/>
      <c r="W22" s="17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123</v>
      </c>
      <c r="B23" s="13" t="s">
        <v>60</v>
      </c>
      <c r="C23" s="14">
        <v>2</v>
      </c>
      <c r="D23" s="14">
        <v>3</v>
      </c>
      <c r="E23" s="14">
        <f>D23-C23</f>
        <v>1</v>
      </c>
      <c r="F23" s="15"/>
      <c r="G23" s="15"/>
      <c r="H23" s="15"/>
      <c r="I23" s="15"/>
      <c r="J23" s="15" t="s">
        <v>61</v>
      </c>
      <c r="K23" s="15" t="s">
        <v>61</v>
      </c>
      <c r="L23" s="15"/>
      <c r="M23" s="15"/>
      <c r="N23" s="15" t="s">
        <v>61</v>
      </c>
      <c r="O23" s="15"/>
      <c r="P23" s="15"/>
      <c r="Q23" s="15"/>
      <c r="R23" s="15" t="s">
        <v>61</v>
      </c>
      <c r="S23" s="15"/>
      <c r="T23" s="15"/>
      <c r="U23" s="15" t="s">
        <v>61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8" t="s">
        <v>123</v>
      </c>
      <c r="B24" s="19" t="s">
        <v>60</v>
      </c>
      <c r="C24" s="20">
        <v>3</v>
      </c>
      <c r="D24" s="20">
        <v>3.6206039488599999</v>
      </c>
      <c r="E24" s="20">
        <f>D24-C24</f>
        <v>0.62060394885999992</v>
      </c>
      <c r="F24" s="21"/>
      <c r="G24" s="21"/>
      <c r="H24" s="21"/>
      <c r="I24" s="21"/>
      <c r="J24" s="21" t="s">
        <v>61</v>
      </c>
      <c r="K24" s="21" t="s">
        <v>61</v>
      </c>
      <c r="L24" s="21"/>
      <c r="M24" s="21"/>
      <c r="N24" s="21" t="s">
        <v>61</v>
      </c>
      <c r="O24" s="21"/>
      <c r="P24" s="21"/>
      <c r="Q24" s="21"/>
      <c r="R24" s="21" t="s">
        <v>61</v>
      </c>
      <c r="S24" s="21"/>
      <c r="T24" s="21"/>
      <c r="U24" s="21" t="s">
        <v>61</v>
      </c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38" t="s">
        <v>67</v>
      </c>
      <c r="B26" s="28"/>
      <c r="C26" s="28"/>
      <c r="D26" s="28"/>
      <c r="E26" s="28"/>
      <c r="G26" s="38" t="s">
        <v>67</v>
      </c>
      <c r="H26" s="28"/>
      <c r="I26" s="28"/>
      <c r="J26" s="28"/>
      <c r="K26" s="28"/>
    </row>
    <row r="27" spans="1:23" x14ac:dyDescent="0.25">
      <c r="A27" s="36" t="s">
        <v>68</v>
      </c>
      <c r="B27" s="28"/>
      <c r="C27" s="28"/>
      <c r="D27" s="28"/>
      <c r="E27" s="28"/>
      <c r="G27" s="36" t="s">
        <v>69</v>
      </c>
      <c r="H27" s="28"/>
      <c r="I27" s="28"/>
      <c r="J27" s="28"/>
      <c r="K27" s="28"/>
    </row>
    <row r="29" spans="1:23" x14ac:dyDescent="0.25">
      <c r="A29" s="37" t="s">
        <v>70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71</v>
      </c>
      <c r="B30" s="28"/>
      <c r="C30" s="28"/>
      <c r="D30" s="28"/>
      <c r="E30" s="28"/>
      <c r="F30" s="9">
        <f t="shared" ref="F30:U30" si="3">SUMIF(F$9:F$24,"X",$E$9:$E$24)</f>
        <v>4.8300059045900001</v>
      </c>
      <c r="G30" s="9">
        <f t="shared" si="3"/>
        <v>0</v>
      </c>
      <c r="H30" s="9">
        <f t="shared" si="3"/>
        <v>0</v>
      </c>
      <c r="I30" s="9">
        <f t="shared" si="3"/>
        <v>1</v>
      </c>
      <c r="J30" s="9">
        <f t="shared" si="3"/>
        <v>7.6206039488599995</v>
      </c>
      <c r="K30" s="9">
        <f t="shared" si="3"/>
        <v>13.45060985345</v>
      </c>
      <c r="L30" s="9">
        <f t="shared" si="3"/>
        <v>0</v>
      </c>
      <c r="M30" s="9">
        <f t="shared" si="3"/>
        <v>0</v>
      </c>
      <c r="N30" s="9">
        <f t="shared" si="3"/>
        <v>13.45060985345</v>
      </c>
      <c r="O30" s="9">
        <f t="shared" si="3"/>
        <v>0</v>
      </c>
      <c r="P30" s="9">
        <f t="shared" si="3"/>
        <v>0</v>
      </c>
      <c r="Q30" s="9">
        <f t="shared" si="3"/>
        <v>0</v>
      </c>
      <c r="R30" s="9">
        <f t="shared" si="3"/>
        <v>13.45060985345</v>
      </c>
      <c r="S30" s="9">
        <f t="shared" si="3"/>
        <v>0</v>
      </c>
      <c r="T30" s="9">
        <f t="shared" si="3"/>
        <v>0</v>
      </c>
      <c r="U30" s="9">
        <f t="shared" si="3"/>
        <v>13.45060985345</v>
      </c>
    </row>
    <row r="31" spans="1:23" x14ac:dyDescent="0.25">
      <c r="A31" s="34" t="s">
        <v>72</v>
      </c>
      <c r="B31" s="28"/>
      <c r="C31" s="28"/>
      <c r="D31" s="28"/>
      <c r="E31" s="28"/>
      <c r="F31" s="25">
        <f t="shared" ref="F31:U31" si="4">IF($R33=0,0,F30/$R33)</f>
        <v>0.35909196365182899</v>
      </c>
      <c r="G31" s="25">
        <f t="shared" si="4"/>
        <v>0</v>
      </c>
      <c r="H31" s="25">
        <f t="shared" si="4"/>
        <v>0</v>
      </c>
      <c r="I31" s="25">
        <f t="shared" si="4"/>
        <v>7.4346071359991606E-2</v>
      </c>
      <c r="J31" s="25">
        <f t="shared" si="4"/>
        <v>0.56656196498817935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0</v>
      </c>
      <c r="Q31" s="25">
        <f t="shared" si="4"/>
        <v>0</v>
      </c>
      <c r="R31" s="25">
        <f t="shared" si="4"/>
        <v>1</v>
      </c>
      <c r="S31" s="25">
        <f t="shared" si="4"/>
        <v>0</v>
      </c>
      <c r="T31" s="25">
        <f t="shared" si="4"/>
        <v>0</v>
      </c>
      <c r="U31" s="25">
        <f t="shared" si="4"/>
        <v>1</v>
      </c>
    </row>
    <row r="32" spans="1:23" x14ac:dyDescent="0.25">
      <c r="A32" s="34" t="s">
        <v>73</v>
      </c>
      <c r="B32" s="28"/>
      <c r="C32" s="28"/>
      <c r="D32" s="28"/>
      <c r="E32" s="28"/>
      <c r="F32" s="31" t="str">
        <f>IF(SUM(F30:J30)=0,"— não preenchido",IF(ROUND(SUM(F30:J30)-$R33,3)=0,"OK — "&amp;ROUND(SUM(F30:J30),3)&amp;" km","ERRO — dif. de "&amp;ROUND(SUM(F30:J30)-$R33,3)&amp;" km"))</f>
        <v>OK — 13,451 km</v>
      </c>
      <c r="G32" s="32"/>
      <c r="H32" s="32"/>
      <c r="I32" s="32"/>
      <c r="J32" s="33"/>
      <c r="K32" s="31" t="str">
        <f>IF(SUM(K30:L30)=0,"— não preenchido",IF(ROUND(SUM(K30:L30)-$R33,3)=0,"OK — "&amp;ROUND(SUM(K30:L30),3)&amp;" km","ERRO — dif. de "&amp;ROUND(SUM(K30:L30)-$R33,3)&amp;" km"))</f>
        <v>OK — 13,451 km</v>
      </c>
      <c r="L32" s="33"/>
      <c r="M32" s="31" t="str">
        <f>IF(SUM(M30:O30)=0,"— não preenchido",IF(ROUND(SUM(M30:O30)-$R33,3)=0,"OK — "&amp;ROUND(SUM(M30:O30),3)&amp;" km","ERRO — dif. de "&amp;ROUND(SUM(M30:O30)-$R33,3)&amp;" km"))</f>
        <v>OK — 13,451 km</v>
      </c>
      <c r="N32" s="32"/>
      <c r="O32" s="33"/>
      <c r="P32" s="31" t="str">
        <f>IF(SUM(P30:R30)=0,"— não preenchido",IF(ROUND(SUM(P30:R30)-$R33,3)=0,"OK — "&amp;ROUND(SUM(P30:R30),3)&amp;" km","ERRO — dif. de "&amp;ROUND(SUM(P30:R30)-$R33,3)&amp;" km"))</f>
        <v>OK — 13,451 km</v>
      </c>
      <c r="Q32" s="32"/>
      <c r="R32" s="33"/>
      <c r="S32" s="31" t="str">
        <f>IF(SUM(S30:U30)=0,"— não preenchido",IF(ROUND(SUM(S30:U30)-$R33,3)=0,"OK — "&amp;ROUND(SUM(S30:U30),3)&amp;" km","ERRO — dif. de "&amp;ROUND(SUM(S30:U30)-$R33,3)&amp;" km"))</f>
        <v>OK — 13,451 km</v>
      </c>
      <c r="T32" s="32"/>
      <c r="U32" s="33"/>
    </row>
    <row r="33" spans="1:22" x14ac:dyDescent="0.25">
      <c r="A33" s="34" t="s">
        <v>74</v>
      </c>
      <c r="B33" s="28"/>
      <c r="C33" s="28"/>
      <c r="D33" s="28"/>
      <c r="E33" s="28"/>
      <c r="R33" s="26">
        <f>SUM(E9:E24)</f>
        <v>13.45060985345</v>
      </c>
      <c r="V33" s="8" t="str">
        <f>COUNTIF(W9:W24,"OK")&amp;" de "&amp;COUNT($E$9:$E$24)&amp;" linhas conferidas"</f>
        <v>14 de 14 linhas conferidas</v>
      </c>
    </row>
    <row r="35" spans="1:22" x14ac:dyDescent="0.25">
      <c r="A35" s="45" t="s">
        <v>75</v>
      </c>
      <c r="B35" s="28"/>
      <c r="C35" s="28"/>
      <c r="D35" s="28"/>
      <c r="E35" s="28"/>
    </row>
    <row r="36" spans="1:22" x14ac:dyDescent="0.25">
      <c r="A36" s="34" t="s">
        <v>76</v>
      </c>
      <c r="B36" s="28"/>
      <c r="C36" s="28"/>
      <c r="D36" s="28"/>
      <c r="E36" s="29" t="s">
        <v>77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78</v>
      </c>
      <c r="B37" s="28"/>
      <c r="C37" s="28"/>
      <c r="D37" s="28"/>
      <c r="E37" s="29" t="s">
        <v>79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80</v>
      </c>
      <c r="B38" s="28"/>
      <c r="C38" s="28"/>
      <c r="D38" s="28"/>
      <c r="E38" s="29" t="s">
        <v>81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82</v>
      </c>
      <c r="B39" s="28"/>
      <c r="C39" s="28"/>
      <c r="D39" s="28"/>
      <c r="E39" s="29" t="s">
        <v>83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84</v>
      </c>
      <c r="B40" s="28"/>
      <c r="C40" s="28"/>
      <c r="D40" s="28"/>
      <c r="E40" s="29" t="s">
        <v>85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52</v>
      </c>
      <c r="B41" s="28"/>
      <c r="C41" s="28"/>
      <c r="D41" s="28"/>
      <c r="E41" s="29" t="s">
        <v>86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87</v>
      </c>
      <c r="B42" s="28"/>
      <c r="C42" s="28"/>
      <c r="D42" s="28"/>
      <c r="E42" s="29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89</v>
      </c>
      <c r="B43" s="28"/>
      <c r="C43" s="28"/>
      <c r="D43" s="28"/>
      <c r="E43" s="29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29" t="s">
        <v>91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formatCells="0"/>
  <mergeCells count="59"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20:V20"/>
    <mergeCell ref="A44:D44"/>
    <mergeCell ref="A2:F2"/>
    <mergeCell ref="S6:U6"/>
    <mergeCell ref="A40:D40"/>
    <mergeCell ref="K2:M2"/>
    <mergeCell ref="A13:V13"/>
    <mergeCell ref="P32:R32"/>
    <mergeCell ref="N2:O2"/>
    <mergeCell ref="K32:L32"/>
    <mergeCell ref="A39:D39"/>
    <mergeCell ref="P2:Q2"/>
    <mergeCell ref="E38:V38"/>
    <mergeCell ref="E43:V43"/>
    <mergeCell ref="E42:V42"/>
    <mergeCell ref="A42:D42"/>
    <mergeCell ref="E39:V39"/>
    <mergeCell ref="A30:E30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K6:L6"/>
    <mergeCell ref="D6:D7"/>
    <mergeCell ref="P6:R6"/>
    <mergeCell ref="A1:V1"/>
    <mergeCell ref="E41:V41"/>
    <mergeCell ref="S32:U32"/>
    <mergeCell ref="A33:E33"/>
    <mergeCell ref="T3:V3"/>
    <mergeCell ref="A32:E32"/>
    <mergeCell ref="A41:D41"/>
    <mergeCell ref="E37:V37"/>
    <mergeCell ref="G26:K26"/>
    <mergeCell ref="A37:D37"/>
    <mergeCell ref="A29:E29"/>
    <mergeCell ref="A35:E35"/>
    <mergeCell ref="R2:V2"/>
    <mergeCell ref="A3:S3"/>
    <mergeCell ref="C6:C7"/>
    <mergeCell ref="A31:E31"/>
  </mergeCells>
  <conditionalFormatting sqref="F9:J24">
    <cfRule type="expression" dxfId="152" priority="1">
      <formula>AND(F9&lt;&gt;"",COUNTIF($F9:$J9,"X")&gt;1)</formula>
    </cfRule>
  </conditionalFormatting>
  <conditionalFormatting sqref="F32:U32">
    <cfRule type="expression" dxfId="151" priority="8">
      <formula>LEFT(F32,4)="ERRO"</formula>
    </cfRule>
    <cfRule type="expression" dxfId="150" priority="9">
      <formula>LEFT(F32,2)="OK"</formula>
    </cfRule>
  </conditionalFormatting>
  <conditionalFormatting sqref="K9:L24">
    <cfRule type="expression" dxfId="149" priority="2">
      <formula>AND(K9&lt;&gt;"",COUNTIF($K9:$L9,"X")&gt;1)</formula>
    </cfRule>
  </conditionalFormatting>
  <conditionalFormatting sqref="M9:O24">
    <cfRule type="expression" dxfId="148" priority="3">
      <formula>AND(M9&lt;&gt;"",COUNTIF($M9:$O9,"X")&gt;1)</formula>
    </cfRule>
  </conditionalFormatting>
  <conditionalFormatting sqref="P9:R24">
    <cfRule type="expression" dxfId="147" priority="4">
      <formula>AND(P9&lt;&gt;"",COUNTIF($P9:$R9,"X")&gt;1)</formula>
    </cfRule>
  </conditionalFormatting>
  <conditionalFormatting sqref="S9:U24">
    <cfRule type="expression" dxfId="146" priority="5">
      <formula>AND(S9&lt;&gt;"",COUNTIF($S9:$U9,"X")&gt;1)</formula>
    </cfRule>
  </conditionalFormatting>
  <conditionalFormatting sqref="W9:W24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N5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 t="e">
        <f t="shared" ref="Y2:AN2" si="0">IF(F37=0,NA(),F37)</f>
        <v>#N/A</v>
      </c>
      <c r="Z2" s="2">
        <f t="shared" si="0"/>
        <v>15.9988076329</v>
      </c>
      <c r="AA2" s="2">
        <f t="shared" si="0"/>
        <v>5.1489827306800002</v>
      </c>
      <c r="AB2" s="2" t="e">
        <f t="shared" si="0"/>
        <v>#N/A</v>
      </c>
      <c r="AC2" s="2" t="e">
        <f t="shared" si="0"/>
        <v>#N/A</v>
      </c>
      <c r="AD2" s="2">
        <f t="shared" si="0"/>
        <v>8.9988076329000002</v>
      </c>
      <c r="AE2" s="2">
        <f t="shared" si="0"/>
        <v>12.14898273068</v>
      </c>
      <c r="AF2" s="2">
        <f t="shared" si="0"/>
        <v>0.99880763290000019</v>
      </c>
      <c r="AG2" s="2">
        <f t="shared" si="0"/>
        <v>20.14898273068</v>
      </c>
      <c r="AH2" s="2" t="e">
        <f t="shared" si="0"/>
        <v>#N/A</v>
      </c>
      <c r="AI2" s="2" t="e">
        <f t="shared" si="0"/>
        <v>#N/A</v>
      </c>
      <c r="AJ2" s="2">
        <f t="shared" si="0"/>
        <v>21.14779036358</v>
      </c>
      <c r="AK2" s="2" t="e">
        <f t="shared" si="0"/>
        <v>#N/A</v>
      </c>
      <c r="AL2" s="2" t="e">
        <f t="shared" si="0"/>
        <v>#N/A</v>
      </c>
      <c r="AM2" s="2">
        <f t="shared" si="0"/>
        <v>20.14898273068</v>
      </c>
      <c r="AN2" s="2">
        <f t="shared" si="0"/>
        <v>0.99880763290000019</v>
      </c>
    </row>
    <row r="3" spans="1:40" ht="15" customHeight="1" x14ac:dyDescent="0.25">
      <c r="A3" s="42" t="s">
        <v>124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125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127</v>
      </c>
      <c r="B9" s="13" t="s">
        <v>60</v>
      </c>
      <c r="C9" s="14">
        <v>0</v>
      </c>
      <c r="D9" s="14">
        <v>1</v>
      </c>
      <c r="E9" s="14">
        <f>D9-C9</f>
        <v>1</v>
      </c>
      <c r="F9" s="15"/>
      <c r="G9" s="15" t="s">
        <v>61</v>
      </c>
      <c r="H9" s="15"/>
      <c r="I9" s="15"/>
      <c r="J9" s="15"/>
      <c r="K9" s="15"/>
      <c r="L9" s="15" t="s">
        <v>61</v>
      </c>
      <c r="M9" s="15"/>
      <c r="N9" s="15" t="s">
        <v>61</v>
      </c>
      <c r="O9" s="15"/>
      <c r="P9" s="15"/>
      <c r="Q9" s="15" t="s">
        <v>61</v>
      </c>
      <c r="R9" s="15"/>
      <c r="S9" s="15"/>
      <c r="T9" s="15" t="s">
        <v>61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127</v>
      </c>
      <c r="B10" s="19" t="s">
        <v>60</v>
      </c>
      <c r="C10" s="20">
        <v>1</v>
      </c>
      <c r="D10" s="20">
        <v>1.14898273068</v>
      </c>
      <c r="E10" s="20">
        <f>D10-C10</f>
        <v>0.14898273068000001</v>
      </c>
      <c r="F10" s="21"/>
      <c r="G10" s="21"/>
      <c r="H10" s="21" t="s">
        <v>61</v>
      </c>
      <c r="I10" s="21"/>
      <c r="J10" s="21"/>
      <c r="K10" s="21"/>
      <c r="L10" s="21" t="s">
        <v>61</v>
      </c>
      <c r="M10" s="21"/>
      <c r="N10" s="21" t="s">
        <v>61</v>
      </c>
      <c r="O10" s="21"/>
      <c r="P10" s="21"/>
      <c r="Q10" s="21" t="s">
        <v>61</v>
      </c>
      <c r="R10" s="21"/>
      <c r="S10" s="21"/>
      <c r="T10" s="21" t="s">
        <v>61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6" t="s">
        <v>128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"/>
    </row>
    <row r="12" spans="1:40" ht="20.100000000000001" customHeight="1" x14ac:dyDescent="0.25">
      <c r="A12" s="12" t="s">
        <v>129</v>
      </c>
      <c r="B12" s="13" t="s">
        <v>60</v>
      </c>
      <c r="C12" s="14">
        <v>0</v>
      </c>
      <c r="D12" s="14">
        <v>1</v>
      </c>
      <c r="E12" s="14">
        <f t="shared" ref="E12:E31" si="1">D12-C12</f>
        <v>1</v>
      </c>
      <c r="F12" s="15"/>
      <c r="G12" s="15"/>
      <c r="H12" s="15" t="s">
        <v>61</v>
      </c>
      <c r="I12" s="15"/>
      <c r="J12" s="15"/>
      <c r="K12" s="15" t="s">
        <v>61</v>
      </c>
      <c r="L12" s="15"/>
      <c r="M12" s="15"/>
      <c r="N12" s="15" t="s">
        <v>61</v>
      </c>
      <c r="O12" s="15"/>
      <c r="P12" s="15"/>
      <c r="Q12" s="15" t="s">
        <v>61</v>
      </c>
      <c r="R12" s="15"/>
      <c r="S12" s="15"/>
      <c r="T12" s="15" t="s">
        <v>61</v>
      </c>
      <c r="U12" s="15"/>
      <c r="V12" s="16"/>
      <c r="W12" s="17" t="str">
        <f t="shared" ref="W12:W31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129</v>
      </c>
      <c r="B13" s="13" t="s">
        <v>60</v>
      </c>
      <c r="C13" s="14">
        <v>1</v>
      </c>
      <c r="D13" s="14">
        <v>2</v>
      </c>
      <c r="E13" s="14">
        <f t="shared" si="1"/>
        <v>1</v>
      </c>
      <c r="F13" s="15"/>
      <c r="G13" s="15" t="s">
        <v>61</v>
      </c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 t="s">
        <v>61</v>
      </c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129</v>
      </c>
      <c r="B14" s="13" t="s">
        <v>60</v>
      </c>
      <c r="C14" s="14">
        <v>2</v>
      </c>
      <c r="D14" s="14">
        <v>3</v>
      </c>
      <c r="E14" s="14">
        <f t="shared" si="1"/>
        <v>1</v>
      </c>
      <c r="F14" s="15"/>
      <c r="G14" s="15" t="s">
        <v>61</v>
      </c>
      <c r="H14" s="15"/>
      <c r="I14" s="15"/>
      <c r="J14" s="15"/>
      <c r="K14" s="15"/>
      <c r="L14" s="15" t="s">
        <v>61</v>
      </c>
      <c r="M14" s="15"/>
      <c r="N14" s="15" t="s">
        <v>61</v>
      </c>
      <c r="O14" s="15"/>
      <c r="P14" s="15"/>
      <c r="Q14" s="15" t="s">
        <v>61</v>
      </c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129</v>
      </c>
      <c r="B15" s="13" t="s">
        <v>60</v>
      </c>
      <c r="C15" s="14">
        <v>3</v>
      </c>
      <c r="D15" s="14">
        <v>4</v>
      </c>
      <c r="E15" s="14">
        <f t="shared" si="1"/>
        <v>1</v>
      </c>
      <c r="F15" s="15"/>
      <c r="G15" s="15" t="s">
        <v>61</v>
      </c>
      <c r="H15" s="15"/>
      <c r="I15" s="15"/>
      <c r="J15" s="15"/>
      <c r="K15" s="15"/>
      <c r="L15" s="15" t="s">
        <v>61</v>
      </c>
      <c r="M15" s="15"/>
      <c r="N15" s="15" t="s">
        <v>61</v>
      </c>
      <c r="O15" s="15"/>
      <c r="P15" s="15"/>
      <c r="Q15" s="15" t="s">
        <v>61</v>
      </c>
      <c r="R15" s="15"/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129</v>
      </c>
      <c r="B16" s="13" t="s">
        <v>60</v>
      </c>
      <c r="C16" s="14">
        <v>4</v>
      </c>
      <c r="D16" s="14">
        <v>5</v>
      </c>
      <c r="E16" s="14">
        <f t="shared" si="1"/>
        <v>1</v>
      </c>
      <c r="F16" s="15"/>
      <c r="G16" s="15"/>
      <c r="H16" s="15" t="s">
        <v>61</v>
      </c>
      <c r="I16" s="15"/>
      <c r="J16" s="15"/>
      <c r="K16" s="15"/>
      <c r="L16" s="15" t="s">
        <v>61</v>
      </c>
      <c r="M16" s="15"/>
      <c r="N16" s="15" t="s">
        <v>61</v>
      </c>
      <c r="O16" s="15"/>
      <c r="P16" s="15"/>
      <c r="Q16" s="15" t="s">
        <v>61</v>
      </c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129</v>
      </c>
      <c r="B17" s="13" t="s">
        <v>60</v>
      </c>
      <c r="C17" s="14">
        <v>5</v>
      </c>
      <c r="D17" s="14">
        <v>6</v>
      </c>
      <c r="E17" s="14">
        <f t="shared" si="1"/>
        <v>1</v>
      </c>
      <c r="F17" s="15"/>
      <c r="G17" s="15"/>
      <c r="H17" s="15" t="s">
        <v>61</v>
      </c>
      <c r="I17" s="15"/>
      <c r="J17" s="15"/>
      <c r="K17" s="15"/>
      <c r="L17" s="15" t="s">
        <v>61</v>
      </c>
      <c r="M17" s="15"/>
      <c r="N17" s="15" t="s">
        <v>61</v>
      </c>
      <c r="O17" s="15"/>
      <c r="P17" s="15"/>
      <c r="Q17" s="15" t="s">
        <v>61</v>
      </c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129</v>
      </c>
      <c r="B18" s="13" t="s">
        <v>60</v>
      </c>
      <c r="C18" s="14">
        <v>6</v>
      </c>
      <c r="D18" s="14">
        <v>7</v>
      </c>
      <c r="E18" s="14">
        <f t="shared" si="1"/>
        <v>1</v>
      </c>
      <c r="F18" s="15"/>
      <c r="G18" s="15" t="s">
        <v>61</v>
      </c>
      <c r="H18" s="15"/>
      <c r="I18" s="15"/>
      <c r="J18" s="15"/>
      <c r="K18" s="15"/>
      <c r="L18" s="15" t="s">
        <v>61</v>
      </c>
      <c r="M18" s="15"/>
      <c r="N18" s="15" t="s">
        <v>61</v>
      </c>
      <c r="O18" s="15"/>
      <c r="P18" s="15"/>
      <c r="Q18" s="15" t="s">
        <v>61</v>
      </c>
      <c r="R18" s="15"/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129</v>
      </c>
      <c r="B19" s="13" t="s">
        <v>60</v>
      </c>
      <c r="C19" s="14">
        <v>7</v>
      </c>
      <c r="D19" s="14">
        <v>8</v>
      </c>
      <c r="E19" s="14">
        <f t="shared" si="1"/>
        <v>1</v>
      </c>
      <c r="F19" s="15"/>
      <c r="G19" s="15" t="s">
        <v>61</v>
      </c>
      <c r="H19" s="15"/>
      <c r="I19" s="15"/>
      <c r="J19" s="15"/>
      <c r="K19" s="15"/>
      <c r="L19" s="15" t="s">
        <v>61</v>
      </c>
      <c r="M19" s="15"/>
      <c r="N19" s="15" t="s">
        <v>61</v>
      </c>
      <c r="O19" s="15"/>
      <c r="P19" s="15"/>
      <c r="Q19" s="15" t="s">
        <v>61</v>
      </c>
      <c r="R19" s="15"/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129</v>
      </c>
      <c r="B20" s="13" t="s">
        <v>60</v>
      </c>
      <c r="C20" s="14">
        <v>8</v>
      </c>
      <c r="D20" s="14">
        <v>9</v>
      </c>
      <c r="E20" s="14">
        <f t="shared" si="1"/>
        <v>1</v>
      </c>
      <c r="F20" s="15"/>
      <c r="G20" s="15" t="s">
        <v>61</v>
      </c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 t="s">
        <v>61</v>
      </c>
      <c r="R20" s="15"/>
      <c r="S20" s="15"/>
      <c r="T20" s="15" t="s">
        <v>61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129</v>
      </c>
      <c r="B21" s="13" t="s">
        <v>60</v>
      </c>
      <c r="C21" s="14">
        <v>9</v>
      </c>
      <c r="D21" s="14">
        <v>10</v>
      </c>
      <c r="E21" s="14">
        <f t="shared" si="1"/>
        <v>1</v>
      </c>
      <c r="F21" s="15"/>
      <c r="G21" s="15" t="s">
        <v>61</v>
      </c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/>
      <c r="Q21" s="15" t="s">
        <v>61</v>
      </c>
      <c r="R21" s="15"/>
      <c r="S21" s="15"/>
      <c r="T21" s="15" t="s">
        <v>61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129</v>
      </c>
      <c r="B22" s="13" t="s">
        <v>60</v>
      </c>
      <c r="C22" s="14">
        <v>10</v>
      </c>
      <c r="D22" s="14">
        <v>11</v>
      </c>
      <c r="E22" s="14">
        <f t="shared" si="1"/>
        <v>1</v>
      </c>
      <c r="F22" s="15"/>
      <c r="G22" s="15" t="s">
        <v>61</v>
      </c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/>
      <c r="Q22" s="15" t="s">
        <v>61</v>
      </c>
      <c r="R22" s="15"/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129</v>
      </c>
      <c r="B23" s="13" t="s">
        <v>60</v>
      </c>
      <c r="C23" s="14">
        <v>11</v>
      </c>
      <c r="D23" s="14">
        <v>12</v>
      </c>
      <c r="E23" s="14">
        <f t="shared" si="1"/>
        <v>1</v>
      </c>
      <c r="F23" s="15"/>
      <c r="G23" s="15" t="s">
        <v>61</v>
      </c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/>
      <c r="Q23" s="15" t="s">
        <v>61</v>
      </c>
      <c r="R23" s="15"/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129</v>
      </c>
      <c r="B24" s="13" t="s">
        <v>60</v>
      </c>
      <c r="C24" s="14">
        <v>12</v>
      </c>
      <c r="D24" s="14">
        <v>13</v>
      </c>
      <c r="E24" s="14">
        <f t="shared" si="1"/>
        <v>1</v>
      </c>
      <c r="F24" s="15"/>
      <c r="G24" s="15" t="s">
        <v>61</v>
      </c>
      <c r="H24" s="15"/>
      <c r="I24" s="15"/>
      <c r="J24" s="15"/>
      <c r="K24" s="15"/>
      <c r="L24" s="15" t="s">
        <v>61</v>
      </c>
      <c r="M24" s="15"/>
      <c r="N24" s="15" t="s">
        <v>61</v>
      </c>
      <c r="O24" s="15"/>
      <c r="P24" s="15"/>
      <c r="Q24" s="15" t="s">
        <v>61</v>
      </c>
      <c r="R24" s="15"/>
      <c r="S24" s="15"/>
      <c r="T24" s="15" t="s">
        <v>61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129</v>
      </c>
      <c r="B25" s="13" t="s">
        <v>60</v>
      </c>
      <c r="C25" s="14">
        <v>13</v>
      </c>
      <c r="D25" s="14">
        <v>14</v>
      </c>
      <c r="E25" s="14">
        <f t="shared" si="1"/>
        <v>1</v>
      </c>
      <c r="F25" s="15"/>
      <c r="G25" s="15"/>
      <c r="H25" s="15" t="s">
        <v>61</v>
      </c>
      <c r="I25" s="15"/>
      <c r="J25" s="15"/>
      <c r="K25" s="15"/>
      <c r="L25" s="15" t="s">
        <v>61</v>
      </c>
      <c r="M25" s="15"/>
      <c r="N25" s="15" t="s">
        <v>61</v>
      </c>
      <c r="O25" s="15"/>
      <c r="P25" s="15"/>
      <c r="Q25" s="15" t="s">
        <v>61</v>
      </c>
      <c r="R25" s="15"/>
      <c r="S25" s="15"/>
      <c r="T25" s="15" t="s">
        <v>61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129</v>
      </c>
      <c r="B26" s="13" t="s">
        <v>60</v>
      </c>
      <c r="C26" s="14">
        <v>14</v>
      </c>
      <c r="D26" s="14">
        <v>15</v>
      </c>
      <c r="E26" s="14">
        <f t="shared" si="1"/>
        <v>1</v>
      </c>
      <c r="F26" s="15"/>
      <c r="G26" s="15"/>
      <c r="H26" s="15" t="s">
        <v>61</v>
      </c>
      <c r="I26" s="15"/>
      <c r="J26" s="15"/>
      <c r="K26" s="15"/>
      <c r="L26" s="15" t="s">
        <v>61</v>
      </c>
      <c r="M26" s="15"/>
      <c r="N26" s="15" t="s">
        <v>61</v>
      </c>
      <c r="O26" s="15"/>
      <c r="P26" s="15"/>
      <c r="Q26" s="15" t="s">
        <v>61</v>
      </c>
      <c r="R26" s="15"/>
      <c r="S26" s="15"/>
      <c r="T26" s="15" t="s">
        <v>61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129</v>
      </c>
      <c r="B27" s="13" t="s">
        <v>60</v>
      </c>
      <c r="C27" s="14">
        <v>15</v>
      </c>
      <c r="D27" s="14">
        <v>16</v>
      </c>
      <c r="E27" s="14">
        <f t="shared" si="1"/>
        <v>1</v>
      </c>
      <c r="F27" s="15"/>
      <c r="G27" s="15" t="s">
        <v>61</v>
      </c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/>
      <c r="Q27" s="15" t="s">
        <v>61</v>
      </c>
      <c r="R27" s="15"/>
      <c r="S27" s="15"/>
      <c r="T27" s="15" t="s">
        <v>61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129</v>
      </c>
      <c r="B28" s="13" t="s">
        <v>60</v>
      </c>
      <c r="C28" s="14">
        <v>16</v>
      </c>
      <c r="D28" s="14">
        <v>17</v>
      </c>
      <c r="E28" s="14">
        <f t="shared" si="1"/>
        <v>1</v>
      </c>
      <c r="F28" s="15"/>
      <c r="G28" s="15" t="s">
        <v>61</v>
      </c>
      <c r="H28" s="15"/>
      <c r="I28" s="15"/>
      <c r="J28" s="15"/>
      <c r="K28" s="15" t="s">
        <v>61</v>
      </c>
      <c r="L28" s="15"/>
      <c r="M28" s="15"/>
      <c r="N28" s="15" t="s">
        <v>61</v>
      </c>
      <c r="O28" s="15"/>
      <c r="P28" s="15"/>
      <c r="Q28" s="15" t="s">
        <v>61</v>
      </c>
      <c r="R28" s="15"/>
      <c r="S28" s="15"/>
      <c r="T28" s="15" t="s">
        <v>61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129</v>
      </c>
      <c r="B29" s="13" t="s">
        <v>60</v>
      </c>
      <c r="C29" s="14">
        <v>17</v>
      </c>
      <c r="D29" s="14">
        <v>18</v>
      </c>
      <c r="E29" s="14">
        <f t="shared" si="1"/>
        <v>1</v>
      </c>
      <c r="F29" s="15"/>
      <c r="G29" s="15" t="s">
        <v>61</v>
      </c>
      <c r="H29" s="15"/>
      <c r="I29" s="15"/>
      <c r="J29" s="15"/>
      <c r="K29" s="15"/>
      <c r="L29" s="15" t="s">
        <v>61</v>
      </c>
      <c r="M29" s="15"/>
      <c r="N29" s="15" t="s">
        <v>61</v>
      </c>
      <c r="O29" s="15"/>
      <c r="P29" s="15"/>
      <c r="Q29" s="15" t="s">
        <v>61</v>
      </c>
      <c r="R29" s="15"/>
      <c r="S29" s="15"/>
      <c r="T29" s="15" t="s">
        <v>61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129</v>
      </c>
      <c r="B30" s="13" t="s">
        <v>60</v>
      </c>
      <c r="C30" s="14">
        <v>18</v>
      </c>
      <c r="D30" s="14">
        <v>19</v>
      </c>
      <c r="E30" s="14">
        <f t="shared" si="1"/>
        <v>1</v>
      </c>
      <c r="F30" s="15"/>
      <c r="G30" s="15" t="s">
        <v>61</v>
      </c>
      <c r="H30" s="15"/>
      <c r="I30" s="15"/>
      <c r="J30" s="15"/>
      <c r="K30" s="15"/>
      <c r="L30" s="15" t="s">
        <v>61</v>
      </c>
      <c r="M30" s="15"/>
      <c r="N30" s="15" t="s">
        <v>61</v>
      </c>
      <c r="O30" s="15"/>
      <c r="P30" s="15"/>
      <c r="Q30" s="15" t="s">
        <v>61</v>
      </c>
      <c r="R30" s="15"/>
      <c r="S30" s="15"/>
      <c r="T30" s="15" t="s">
        <v>61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129</v>
      </c>
      <c r="B31" s="19" t="s">
        <v>60</v>
      </c>
      <c r="C31" s="20">
        <v>19</v>
      </c>
      <c r="D31" s="20">
        <v>19.9988076329</v>
      </c>
      <c r="E31" s="20">
        <f t="shared" si="1"/>
        <v>0.99880763290000019</v>
      </c>
      <c r="F31" s="21"/>
      <c r="G31" s="21" t="s">
        <v>61</v>
      </c>
      <c r="H31" s="21"/>
      <c r="I31" s="21"/>
      <c r="J31" s="21"/>
      <c r="K31" s="21" t="s">
        <v>61</v>
      </c>
      <c r="L31" s="21"/>
      <c r="M31" s="21" t="s">
        <v>61</v>
      </c>
      <c r="N31" s="21"/>
      <c r="O31" s="21"/>
      <c r="P31" s="21"/>
      <c r="Q31" s="21" t="s">
        <v>61</v>
      </c>
      <c r="R31" s="21"/>
      <c r="S31" s="21"/>
      <c r="T31" s="21"/>
      <c r="U31" s="21" t="s">
        <v>61</v>
      </c>
      <c r="V31" s="22"/>
      <c r="W31" s="23" t="str">
        <f t="shared" si="2"/>
        <v>OK</v>
      </c>
    </row>
    <row r="33" spans="1:22" x14ac:dyDescent="0.25">
      <c r="A33" s="38" t="s">
        <v>67</v>
      </c>
      <c r="B33" s="28"/>
      <c r="C33" s="28"/>
      <c r="D33" s="28"/>
      <c r="E33" s="28"/>
      <c r="G33" s="38" t="s">
        <v>67</v>
      </c>
      <c r="H33" s="28"/>
      <c r="I33" s="28"/>
      <c r="J33" s="28"/>
      <c r="K33" s="28"/>
    </row>
    <row r="34" spans="1:22" x14ac:dyDescent="0.25">
      <c r="A34" s="36" t="s">
        <v>68</v>
      </c>
      <c r="B34" s="28"/>
      <c r="C34" s="28"/>
      <c r="D34" s="28"/>
      <c r="E34" s="28"/>
      <c r="G34" s="36" t="s">
        <v>69</v>
      </c>
      <c r="H34" s="28"/>
      <c r="I34" s="28"/>
      <c r="J34" s="28"/>
      <c r="K34" s="28"/>
    </row>
    <row r="36" spans="1:22" x14ac:dyDescent="0.25">
      <c r="A36" s="37" t="s">
        <v>70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4" t="s">
        <v>71</v>
      </c>
      <c r="B37" s="28"/>
      <c r="C37" s="28"/>
      <c r="D37" s="28"/>
      <c r="E37" s="28"/>
      <c r="F37" s="9">
        <f t="shared" ref="F37:U37" si="3">SUMIF(F$9:F$31,"X",$E$9:$E$31)</f>
        <v>0</v>
      </c>
      <c r="G37" s="9">
        <f t="shared" si="3"/>
        <v>15.9988076329</v>
      </c>
      <c r="H37" s="9">
        <f t="shared" si="3"/>
        <v>5.1489827306800002</v>
      </c>
      <c r="I37" s="9">
        <f t="shared" si="3"/>
        <v>0</v>
      </c>
      <c r="J37" s="9">
        <f t="shared" si="3"/>
        <v>0</v>
      </c>
      <c r="K37" s="9">
        <f t="shared" si="3"/>
        <v>8.9988076329000002</v>
      </c>
      <c r="L37" s="9">
        <f t="shared" si="3"/>
        <v>12.14898273068</v>
      </c>
      <c r="M37" s="9">
        <f t="shared" si="3"/>
        <v>0.99880763290000019</v>
      </c>
      <c r="N37" s="9">
        <f t="shared" si="3"/>
        <v>20.14898273068</v>
      </c>
      <c r="O37" s="9">
        <f t="shared" si="3"/>
        <v>0</v>
      </c>
      <c r="P37" s="9">
        <f t="shared" si="3"/>
        <v>0</v>
      </c>
      <c r="Q37" s="9">
        <f t="shared" si="3"/>
        <v>21.14779036358</v>
      </c>
      <c r="R37" s="9">
        <f t="shared" si="3"/>
        <v>0</v>
      </c>
      <c r="S37" s="9">
        <f t="shared" si="3"/>
        <v>0</v>
      </c>
      <c r="T37" s="9">
        <f t="shared" si="3"/>
        <v>20.14898273068</v>
      </c>
      <c r="U37" s="9">
        <f t="shared" si="3"/>
        <v>0.99880763290000019</v>
      </c>
    </row>
    <row r="38" spans="1:22" x14ac:dyDescent="0.25">
      <c r="A38" s="34" t="s">
        <v>72</v>
      </c>
      <c r="B38" s="28"/>
      <c r="C38" s="28"/>
      <c r="D38" s="28"/>
      <c r="E38" s="28"/>
      <c r="F38" s="25">
        <f t="shared" ref="F38:U38" si="4">IF($R40=0,0,F37/$R40)</f>
        <v>0</v>
      </c>
      <c r="G38" s="25">
        <f t="shared" si="4"/>
        <v>0.75652384281492591</v>
      </c>
      <c r="H38" s="25">
        <f t="shared" si="4"/>
        <v>0.24347615718507412</v>
      </c>
      <c r="I38" s="25">
        <f t="shared" si="4"/>
        <v>0</v>
      </c>
      <c r="J38" s="25">
        <f t="shared" si="4"/>
        <v>0</v>
      </c>
      <c r="K38" s="25">
        <f t="shared" si="4"/>
        <v>0.4255199942022046</v>
      </c>
      <c r="L38" s="25">
        <f t="shared" si="4"/>
        <v>0.57448000579779535</v>
      </c>
      <c r="M38" s="25">
        <f t="shared" si="4"/>
        <v>4.7229881501951732E-2</v>
      </c>
      <c r="N38" s="25">
        <f t="shared" si="4"/>
        <v>0.95277011849804827</v>
      </c>
      <c r="O38" s="25">
        <f t="shared" si="4"/>
        <v>0</v>
      </c>
      <c r="P38" s="25">
        <f t="shared" si="4"/>
        <v>0</v>
      </c>
      <c r="Q38" s="25">
        <f t="shared" si="4"/>
        <v>1</v>
      </c>
      <c r="R38" s="25">
        <f t="shared" si="4"/>
        <v>0</v>
      </c>
      <c r="S38" s="25">
        <f t="shared" si="4"/>
        <v>0</v>
      </c>
      <c r="T38" s="25">
        <f t="shared" si="4"/>
        <v>0.95277011849804827</v>
      </c>
      <c r="U38" s="25">
        <f t="shared" si="4"/>
        <v>4.7229881501951732E-2</v>
      </c>
    </row>
    <row r="39" spans="1:22" x14ac:dyDescent="0.25">
      <c r="A39" s="34" t="s">
        <v>73</v>
      </c>
      <c r="B39" s="28"/>
      <c r="C39" s="28"/>
      <c r="D39" s="28"/>
      <c r="E39" s="28"/>
      <c r="F39" s="31" t="str">
        <f>IF(SUM(F37:J37)=0,"— não preenchido",IF(ROUND(SUM(F37:J37)-$R40,3)=0,"OK — "&amp;ROUND(SUM(F37:J37),3)&amp;" km","ERRO — dif. de "&amp;ROUND(SUM(F37:J37)-$R40,3)&amp;" km"))</f>
        <v>OK — 21,148 km</v>
      </c>
      <c r="G39" s="32"/>
      <c r="H39" s="32"/>
      <c r="I39" s="32"/>
      <c r="J39" s="33"/>
      <c r="K39" s="31" t="str">
        <f>IF(SUM(K37:L37)=0,"— não preenchido",IF(ROUND(SUM(K37:L37)-$R40,3)=0,"OK — "&amp;ROUND(SUM(K37:L37),3)&amp;" km","ERRO — dif. de "&amp;ROUND(SUM(K37:L37)-$R40,3)&amp;" km"))</f>
        <v>OK — 21,148 km</v>
      </c>
      <c r="L39" s="33"/>
      <c r="M39" s="31" t="str">
        <f>IF(SUM(M37:O37)=0,"— não preenchido",IF(ROUND(SUM(M37:O37)-$R40,3)=0,"OK — "&amp;ROUND(SUM(M37:O37),3)&amp;" km","ERRO — dif. de "&amp;ROUND(SUM(M37:O37)-$R40,3)&amp;" km"))</f>
        <v>OK — 21,148 km</v>
      </c>
      <c r="N39" s="32"/>
      <c r="O39" s="33"/>
      <c r="P39" s="31" t="str">
        <f>IF(SUM(P37:R37)=0,"— não preenchido",IF(ROUND(SUM(P37:R37)-$R40,3)=0,"OK — "&amp;ROUND(SUM(P37:R37),3)&amp;" km","ERRO — dif. de "&amp;ROUND(SUM(P37:R37)-$R40,3)&amp;" km"))</f>
        <v>OK — 21,148 km</v>
      </c>
      <c r="Q39" s="32"/>
      <c r="R39" s="33"/>
      <c r="S39" s="31" t="str">
        <f>IF(SUM(S37:U37)=0,"— não preenchido",IF(ROUND(SUM(S37:U37)-$R40,3)=0,"OK — "&amp;ROUND(SUM(S37:U37),3)&amp;" km","ERRO — dif. de "&amp;ROUND(SUM(S37:U37)-$R40,3)&amp;" km"))</f>
        <v>OK — 21,148 km</v>
      </c>
      <c r="T39" s="32"/>
      <c r="U39" s="33"/>
    </row>
    <row r="40" spans="1:22" x14ac:dyDescent="0.25">
      <c r="A40" s="34" t="s">
        <v>74</v>
      </c>
      <c r="B40" s="28"/>
      <c r="C40" s="28"/>
      <c r="D40" s="28"/>
      <c r="E40" s="28"/>
      <c r="R40" s="26">
        <f>SUM(E9:E31)</f>
        <v>21.14779036358</v>
      </c>
      <c r="V40" s="8" t="str">
        <f>COUNTIF(W9:W31,"OK")&amp;" de "&amp;COUNT($E$9:$E$31)&amp;" linhas conferidas"</f>
        <v>22 de 22 linhas conferidas</v>
      </c>
    </row>
    <row r="42" spans="1:22" x14ac:dyDescent="0.25">
      <c r="A42" s="45" t="s">
        <v>75</v>
      </c>
      <c r="B42" s="28"/>
      <c r="C42" s="28"/>
      <c r="D42" s="28"/>
      <c r="E42" s="28"/>
    </row>
    <row r="43" spans="1:22" x14ac:dyDescent="0.25">
      <c r="A43" s="34" t="s">
        <v>76</v>
      </c>
      <c r="B43" s="28"/>
      <c r="C43" s="28"/>
      <c r="D43" s="28"/>
      <c r="E43" s="29" t="s">
        <v>77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78</v>
      </c>
      <c r="B44" s="28"/>
      <c r="C44" s="28"/>
      <c r="D44" s="28"/>
      <c r="E44" s="29" t="s">
        <v>79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80</v>
      </c>
      <c r="B45" s="28"/>
      <c r="C45" s="28"/>
      <c r="D45" s="28"/>
      <c r="E45" s="29" t="s">
        <v>81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82</v>
      </c>
      <c r="B46" s="28"/>
      <c r="C46" s="28"/>
      <c r="D46" s="28"/>
      <c r="E46" s="29" t="s">
        <v>83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84</v>
      </c>
      <c r="B47" s="28"/>
      <c r="C47" s="28"/>
      <c r="D47" s="28"/>
      <c r="E47" s="29" t="s">
        <v>85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52</v>
      </c>
      <c r="B48" s="28"/>
      <c r="C48" s="28"/>
      <c r="D48" s="28"/>
      <c r="E48" s="29" t="s">
        <v>86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87</v>
      </c>
      <c r="B49" s="28"/>
      <c r="C49" s="28"/>
      <c r="D49" s="28"/>
      <c r="E49" s="29" t="s">
        <v>88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89</v>
      </c>
      <c r="B50" s="28"/>
      <c r="C50" s="28"/>
      <c r="D50" s="28"/>
      <c r="E50" s="29" t="s">
        <v>90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11</v>
      </c>
      <c r="B51" s="28"/>
      <c r="C51" s="28"/>
      <c r="D51" s="28"/>
      <c r="E51" s="29" t="s">
        <v>91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formatCells="0"/>
  <mergeCells count="58">
    <mergeCell ref="E51:V51"/>
    <mergeCell ref="E44:V44"/>
    <mergeCell ref="G2:H2"/>
    <mergeCell ref="I2:J2"/>
    <mergeCell ref="A8:V8"/>
    <mergeCell ref="A43:D43"/>
    <mergeCell ref="A36:E36"/>
    <mergeCell ref="F6:J6"/>
    <mergeCell ref="A6:A7"/>
    <mergeCell ref="P39:R39"/>
    <mergeCell ref="M6:O6"/>
    <mergeCell ref="V6:V7"/>
    <mergeCell ref="A4:V4"/>
    <mergeCell ref="A47:D47"/>
    <mergeCell ref="P2:Q2"/>
    <mergeCell ref="A2:F2"/>
    <mergeCell ref="W6:W7"/>
    <mergeCell ref="A37:E37"/>
    <mergeCell ref="E6:E7"/>
    <mergeCell ref="E45:V45"/>
    <mergeCell ref="A44:D44"/>
    <mergeCell ref="S6:U6"/>
    <mergeCell ref="K6:L6"/>
    <mergeCell ref="S39:U39"/>
    <mergeCell ref="A40:E40"/>
    <mergeCell ref="P6:R6"/>
    <mergeCell ref="K2:M2"/>
    <mergeCell ref="N2:O2"/>
    <mergeCell ref="A39:E39"/>
    <mergeCell ref="A34:E34"/>
    <mergeCell ref="A51:D51"/>
    <mergeCell ref="B6:B7"/>
    <mergeCell ref="A45:D45"/>
    <mergeCell ref="G34:K34"/>
    <mergeCell ref="A11:V11"/>
    <mergeCell ref="D6:D7"/>
    <mergeCell ref="A46:D46"/>
    <mergeCell ref="E47:V47"/>
    <mergeCell ref="E43:V43"/>
    <mergeCell ref="E50:V50"/>
    <mergeCell ref="A50:D50"/>
    <mergeCell ref="E48:V48"/>
    <mergeCell ref="E49:V49"/>
    <mergeCell ref="A49:D49"/>
    <mergeCell ref="A48:D48"/>
    <mergeCell ref="E46:V46"/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</mergeCells>
  <conditionalFormatting sqref="F9:J31">
    <cfRule type="expression" dxfId="143" priority="1">
      <formula>AND(F9&lt;&gt;"",COUNTIF($F9:$J9,"X")&gt;1)</formula>
    </cfRule>
  </conditionalFormatting>
  <conditionalFormatting sqref="F39:U39">
    <cfRule type="expression" dxfId="142" priority="8">
      <formula>LEFT(F39,4)="ERRO"</formula>
    </cfRule>
    <cfRule type="expression" dxfId="141" priority="9">
      <formula>LEFT(F39,2)="OK"</formula>
    </cfRule>
  </conditionalFormatting>
  <conditionalFormatting sqref="K9:L31">
    <cfRule type="expression" dxfId="140" priority="2">
      <formula>AND(K9&lt;&gt;"",COUNTIF($K9:$L9,"X")&gt;1)</formula>
    </cfRule>
  </conditionalFormatting>
  <conditionalFormatting sqref="M9:O31">
    <cfRule type="expression" dxfId="139" priority="3">
      <formula>AND(M9&lt;&gt;"",COUNTIF($M9:$O9,"X")&gt;1)</formula>
    </cfRule>
  </conditionalFormatting>
  <conditionalFormatting sqref="P9:R31">
    <cfRule type="expression" dxfId="138" priority="4">
      <formula>AND(P9&lt;&gt;"",COUNTIF($P9:$R9,"X")&gt;1)</formula>
    </cfRule>
  </conditionalFormatting>
  <conditionalFormatting sqref="S9:U31">
    <cfRule type="expression" dxfId="137" priority="5">
      <formula>AND(S9&lt;&gt;"",COUNTIF($S9:$U9,"X")&gt;1)</formula>
    </cfRule>
  </conditionalFormatting>
  <conditionalFormatting sqref="W9:W31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43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N90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IF(F76=0,NA(),F76)</f>
        <v>48.402238862100006</v>
      </c>
      <c r="Z2" s="2">
        <f t="shared" si="0"/>
        <v>9</v>
      </c>
      <c r="AA2" s="2">
        <f t="shared" si="0"/>
        <v>3</v>
      </c>
      <c r="AB2" s="2" t="e">
        <f t="shared" si="0"/>
        <v>#N/A</v>
      </c>
      <c r="AC2" s="2" t="e">
        <f t="shared" si="0"/>
        <v>#N/A</v>
      </c>
      <c r="AD2" s="2">
        <f t="shared" si="0"/>
        <v>60.402238862100006</v>
      </c>
      <c r="AE2" s="2" t="e">
        <f t="shared" si="0"/>
        <v>#N/A</v>
      </c>
      <c r="AF2" s="2">
        <f t="shared" si="0"/>
        <v>2.4746414903999998</v>
      </c>
      <c r="AG2" s="2">
        <f t="shared" si="0"/>
        <v>57.927597371700003</v>
      </c>
      <c r="AH2" s="2" t="e">
        <f t="shared" si="0"/>
        <v>#N/A</v>
      </c>
      <c r="AI2" s="2">
        <f t="shared" si="0"/>
        <v>60.402238862100006</v>
      </c>
      <c r="AJ2" s="2" t="e">
        <f t="shared" si="0"/>
        <v>#N/A</v>
      </c>
      <c r="AK2" s="2" t="e">
        <f t="shared" si="0"/>
        <v>#N/A</v>
      </c>
      <c r="AL2" s="2">
        <f t="shared" si="0"/>
        <v>60.402238862100006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2" t="s">
        <v>130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131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132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133</v>
      </c>
      <c r="B9" s="13" t="s">
        <v>60</v>
      </c>
      <c r="C9" s="14">
        <v>0</v>
      </c>
      <c r="D9" s="14">
        <v>1</v>
      </c>
      <c r="E9" s="14">
        <f t="shared" ref="E9:E42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 t="s">
        <v>61</v>
      </c>
      <c r="Q9" s="15"/>
      <c r="R9" s="15"/>
      <c r="S9" s="15" t="s">
        <v>61</v>
      </c>
      <c r="T9" s="15"/>
      <c r="U9" s="15"/>
      <c r="V9" s="16"/>
      <c r="W9" s="17" t="str">
        <f t="shared" ref="W9:W4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133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 t="s">
        <v>61</v>
      </c>
      <c r="Q10" s="15"/>
      <c r="R10" s="15"/>
      <c r="S10" s="15" t="s">
        <v>61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133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61</v>
      </c>
      <c r="I11" s="15"/>
      <c r="J11" s="15"/>
      <c r="K11" s="15" t="s">
        <v>61</v>
      </c>
      <c r="L11" s="15"/>
      <c r="M11" s="15"/>
      <c r="N11" s="15" t="s">
        <v>61</v>
      </c>
      <c r="O11" s="15"/>
      <c r="P11" s="15" t="s">
        <v>61</v>
      </c>
      <c r="Q11" s="15"/>
      <c r="R11" s="15"/>
      <c r="S11" s="15" t="s">
        <v>61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133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61</v>
      </c>
      <c r="I12" s="15"/>
      <c r="J12" s="15"/>
      <c r="K12" s="15" t="s">
        <v>61</v>
      </c>
      <c r="L12" s="15"/>
      <c r="M12" s="15"/>
      <c r="N12" s="15" t="s">
        <v>61</v>
      </c>
      <c r="O12" s="15"/>
      <c r="P12" s="15" t="s">
        <v>61</v>
      </c>
      <c r="Q12" s="15"/>
      <c r="R12" s="15"/>
      <c r="S12" s="15" t="s">
        <v>61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133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 t="s">
        <v>61</v>
      </c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 t="s">
        <v>61</v>
      </c>
      <c r="Q13" s="15"/>
      <c r="R13" s="15"/>
      <c r="S13" s="15" t="s">
        <v>61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133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/>
      <c r="G14" s="15" t="s">
        <v>61</v>
      </c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 t="s">
        <v>61</v>
      </c>
      <c r="Q14" s="15"/>
      <c r="R14" s="15"/>
      <c r="S14" s="15" t="s">
        <v>61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133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/>
      <c r="G15" s="15" t="s">
        <v>61</v>
      </c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 t="s">
        <v>61</v>
      </c>
      <c r="Q15" s="15"/>
      <c r="R15" s="15"/>
      <c r="S15" s="15" t="s">
        <v>61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133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/>
      <c r="G16" s="15" t="s">
        <v>61</v>
      </c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 t="s">
        <v>61</v>
      </c>
      <c r="Q16" s="15"/>
      <c r="R16" s="15"/>
      <c r="S16" s="15" t="s">
        <v>61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133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 t="s">
        <v>61</v>
      </c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 t="s">
        <v>61</v>
      </c>
      <c r="Q17" s="15"/>
      <c r="R17" s="15"/>
      <c r="S17" s="15" t="s">
        <v>61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133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/>
      <c r="G18" s="15" t="s">
        <v>61</v>
      </c>
      <c r="H18" s="15"/>
      <c r="I18" s="15"/>
      <c r="J18" s="15"/>
      <c r="K18" s="15" t="s">
        <v>61</v>
      </c>
      <c r="L18" s="15"/>
      <c r="M18" s="15"/>
      <c r="N18" s="15" t="s">
        <v>61</v>
      </c>
      <c r="O18" s="15"/>
      <c r="P18" s="15" t="s">
        <v>61</v>
      </c>
      <c r="Q18" s="15"/>
      <c r="R18" s="15"/>
      <c r="S18" s="15" t="s">
        <v>61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133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/>
      <c r="G19" s="15" t="s">
        <v>61</v>
      </c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 t="s">
        <v>61</v>
      </c>
      <c r="Q19" s="15"/>
      <c r="R19" s="15"/>
      <c r="S19" s="15" t="s">
        <v>61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133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/>
      <c r="G20" s="15" t="s">
        <v>61</v>
      </c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 t="s">
        <v>61</v>
      </c>
      <c r="Q20" s="15"/>
      <c r="R20" s="15"/>
      <c r="S20" s="15" t="s">
        <v>61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133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/>
      <c r="G21" s="15" t="s">
        <v>61</v>
      </c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 t="s">
        <v>61</v>
      </c>
      <c r="Q21" s="15"/>
      <c r="R21" s="15"/>
      <c r="S21" s="15" t="s">
        <v>61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133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 t="s">
        <v>61</v>
      </c>
      <c r="G22" s="15"/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 t="s">
        <v>61</v>
      </c>
      <c r="Q22" s="15"/>
      <c r="R22" s="15"/>
      <c r="S22" s="15" t="s">
        <v>61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133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 t="s">
        <v>61</v>
      </c>
      <c r="G23" s="15"/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 t="s">
        <v>61</v>
      </c>
      <c r="Q23" s="15"/>
      <c r="R23" s="15"/>
      <c r="S23" s="15" t="s">
        <v>61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133</v>
      </c>
      <c r="B24" s="13" t="s">
        <v>60</v>
      </c>
      <c r="C24" s="14">
        <v>15</v>
      </c>
      <c r="D24" s="14">
        <v>16</v>
      </c>
      <c r="E24" s="14">
        <f t="shared" si="1"/>
        <v>1</v>
      </c>
      <c r="F24" s="15" t="s">
        <v>61</v>
      </c>
      <c r="G24" s="15"/>
      <c r="H24" s="15"/>
      <c r="I24" s="15"/>
      <c r="J24" s="15"/>
      <c r="K24" s="15" t="s">
        <v>61</v>
      </c>
      <c r="L24" s="15"/>
      <c r="M24" s="15"/>
      <c r="N24" s="15" t="s">
        <v>61</v>
      </c>
      <c r="O24" s="15"/>
      <c r="P24" s="15" t="s">
        <v>61</v>
      </c>
      <c r="Q24" s="15"/>
      <c r="R24" s="15"/>
      <c r="S24" s="15" t="s">
        <v>61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133</v>
      </c>
      <c r="B25" s="13" t="s">
        <v>60</v>
      </c>
      <c r="C25" s="14">
        <v>16</v>
      </c>
      <c r="D25" s="14">
        <v>17</v>
      </c>
      <c r="E25" s="14">
        <f t="shared" si="1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 t="s">
        <v>61</v>
      </c>
      <c r="Q25" s="15"/>
      <c r="R25" s="15"/>
      <c r="S25" s="15" t="s">
        <v>61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133</v>
      </c>
      <c r="B26" s="13" t="s">
        <v>60</v>
      </c>
      <c r="C26" s="14">
        <v>17</v>
      </c>
      <c r="D26" s="14">
        <v>18</v>
      </c>
      <c r="E26" s="14">
        <f t="shared" si="1"/>
        <v>1</v>
      </c>
      <c r="F26" s="15" t="s">
        <v>61</v>
      </c>
      <c r="G26" s="15"/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 t="s">
        <v>61</v>
      </c>
      <c r="Q26" s="15"/>
      <c r="R26" s="15"/>
      <c r="S26" s="15" t="s">
        <v>61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133</v>
      </c>
      <c r="B27" s="13" t="s">
        <v>60</v>
      </c>
      <c r="C27" s="14">
        <v>18</v>
      </c>
      <c r="D27" s="14">
        <v>19</v>
      </c>
      <c r="E27" s="14">
        <f t="shared" si="1"/>
        <v>1</v>
      </c>
      <c r="F27" s="15" t="s">
        <v>61</v>
      </c>
      <c r="G27" s="15"/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 t="s">
        <v>61</v>
      </c>
      <c r="Q27" s="15"/>
      <c r="R27" s="15"/>
      <c r="S27" s="15" t="s">
        <v>61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133</v>
      </c>
      <c r="B28" s="13" t="s">
        <v>60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61</v>
      </c>
      <c r="I28" s="15"/>
      <c r="J28" s="15"/>
      <c r="K28" s="15" t="s">
        <v>61</v>
      </c>
      <c r="L28" s="15"/>
      <c r="M28" s="15"/>
      <c r="N28" s="15" t="s">
        <v>61</v>
      </c>
      <c r="O28" s="15"/>
      <c r="P28" s="15" t="s">
        <v>61</v>
      </c>
      <c r="Q28" s="15"/>
      <c r="R28" s="15"/>
      <c r="S28" s="15" t="s">
        <v>61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133</v>
      </c>
      <c r="B29" s="13" t="s">
        <v>60</v>
      </c>
      <c r="C29" s="14">
        <v>20</v>
      </c>
      <c r="D29" s="14">
        <v>21</v>
      </c>
      <c r="E29" s="14">
        <f t="shared" si="1"/>
        <v>1</v>
      </c>
      <c r="F29" s="15" t="s">
        <v>61</v>
      </c>
      <c r="G29" s="15"/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 t="s">
        <v>61</v>
      </c>
      <c r="Q29" s="15"/>
      <c r="R29" s="15"/>
      <c r="S29" s="15" t="s">
        <v>61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133</v>
      </c>
      <c r="B30" s="13" t="s">
        <v>60</v>
      </c>
      <c r="C30" s="14">
        <v>21</v>
      </c>
      <c r="D30" s="14">
        <v>22</v>
      </c>
      <c r="E30" s="14">
        <f t="shared" si="1"/>
        <v>1</v>
      </c>
      <c r="F30" s="15" t="s">
        <v>61</v>
      </c>
      <c r="G30" s="15"/>
      <c r="H30" s="15"/>
      <c r="I30" s="15"/>
      <c r="J30" s="15"/>
      <c r="K30" s="15" t="s">
        <v>61</v>
      </c>
      <c r="L30" s="15"/>
      <c r="M30" s="15"/>
      <c r="N30" s="15" t="s">
        <v>61</v>
      </c>
      <c r="O30" s="15"/>
      <c r="P30" s="15" t="s">
        <v>61</v>
      </c>
      <c r="Q30" s="15"/>
      <c r="R30" s="15"/>
      <c r="S30" s="15" t="s">
        <v>61</v>
      </c>
      <c r="T30" s="15"/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133</v>
      </c>
      <c r="B31" s="13" t="s">
        <v>60</v>
      </c>
      <c r="C31" s="14">
        <v>22</v>
      </c>
      <c r="D31" s="14">
        <v>23</v>
      </c>
      <c r="E31" s="14">
        <f t="shared" si="1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 t="s">
        <v>61</v>
      </c>
      <c r="Q31" s="15"/>
      <c r="R31" s="15"/>
      <c r="S31" s="15" t="s">
        <v>61</v>
      </c>
      <c r="T31" s="15"/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133</v>
      </c>
      <c r="B32" s="13" t="s">
        <v>60</v>
      </c>
      <c r="C32" s="14">
        <v>23</v>
      </c>
      <c r="D32" s="14">
        <v>24</v>
      </c>
      <c r="E32" s="14">
        <f t="shared" si="1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 t="s">
        <v>61</v>
      </c>
      <c r="Q32" s="15"/>
      <c r="R32" s="15"/>
      <c r="S32" s="15" t="s">
        <v>61</v>
      </c>
      <c r="T32" s="15"/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133</v>
      </c>
      <c r="B33" s="13" t="s">
        <v>60</v>
      </c>
      <c r="C33" s="14">
        <v>24</v>
      </c>
      <c r="D33" s="14">
        <v>25</v>
      </c>
      <c r="E33" s="14">
        <f t="shared" si="1"/>
        <v>1</v>
      </c>
      <c r="F33" s="15" t="s">
        <v>61</v>
      </c>
      <c r="G33" s="15"/>
      <c r="H33" s="15"/>
      <c r="I33" s="15"/>
      <c r="J33" s="15"/>
      <c r="K33" s="15" t="s">
        <v>61</v>
      </c>
      <c r="L33" s="15"/>
      <c r="M33" s="15"/>
      <c r="N33" s="15" t="s">
        <v>61</v>
      </c>
      <c r="O33" s="15"/>
      <c r="P33" s="15" t="s">
        <v>61</v>
      </c>
      <c r="Q33" s="15"/>
      <c r="R33" s="15"/>
      <c r="S33" s="15" t="s">
        <v>61</v>
      </c>
      <c r="T33" s="15"/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133</v>
      </c>
      <c r="B34" s="13" t="s">
        <v>60</v>
      </c>
      <c r="C34" s="14">
        <v>25</v>
      </c>
      <c r="D34" s="14">
        <v>26</v>
      </c>
      <c r="E34" s="14">
        <f t="shared" si="1"/>
        <v>1</v>
      </c>
      <c r="F34" s="15" t="s">
        <v>61</v>
      </c>
      <c r="G34" s="15"/>
      <c r="H34" s="15"/>
      <c r="I34" s="15"/>
      <c r="J34" s="15"/>
      <c r="K34" s="15" t="s">
        <v>61</v>
      </c>
      <c r="L34" s="15"/>
      <c r="M34" s="15"/>
      <c r="N34" s="15" t="s">
        <v>61</v>
      </c>
      <c r="O34" s="15"/>
      <c r="P34" s="15" t="s">
        <v>61</v>
      </c>
      <c r="Q34" s="15"/>
      <c r="R34" s="15"/>
      <c r="S34" s="15" t="s">
        <v>61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133</v>
      </c>
      <c r="B35" s="13" t="s">
        <v>60</v>
      </c>
      <c r="C35" s="14">
        <v>26</v>
      </c>
      <c r="D35" s="14">
        <v>27</v>
      </c>
      <c r="E35" s="14">
        <f t="shared" si="1"/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/>
      <c r="N35" s="15" t="s">
        <v>61</v>
      </c>
      <c r="O35" s="15"/>
      <c r="P35" s="15" t="s">
        <v>61</v>
      </c>
      <c r="Q35" s="15"/>
      <c r="R35" s="15"/>
      <c r="S35" s="15" t="s">
        <v>61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133</v>
      </c>
      <c r="B36" s="13" t="s">
        <v>60</v>
      </c>
      <c r="C36" s="14">
        <v>27</v>
      </c>
      <c r="D36" s="14">
        <v>28</v>
      </c>
      <c r="E36" s="14">
        <f t="shared" si="1"/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/>
      <c r="N36" s="15" t="s">
        <v>61</v>
      </c>
      <c r="O36" s="15"/>
      <c r="P36" s="15" t="s">
        <v>61</v>
      </c>
      <c r="Q36" s="15"/>
      <c r="R36" s="15"/>
      <c r="S36" s="15" t="s">
        <v>61</v>
      </c>
      <c r="T36" s="15"/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133</v>
      </c>
      <c r="B37" s="13" t="s">
        <v>60</v>
      </c>
      <c r="C37" s="14">
        <v>28</v>
      </c>
      <c r="D37" s="14">
        <v>29</v>
      </c>
      <c r="E37" s="14">
        <f t="shared" si="1"/>
        <v>1</v>
      </c>
      <c r="F37" s="15" t="s">
        <v>61</v>
      </c>
      <c r="G37" s="15"/>
      <c r="H37" s="15"/>
      <c r="I37" s="15"/>
      <c r="J37" s="15"/>
      <c r="K37" s="15" t="s">
        <v>61</v>
      </c>
      <c r="L37" s="15"/>
      <c r="M37" s="15"/>
      <c r="N37" s="15" t="s">
        <v>61</v>
      </c>
      <c r="O37" s="15"/>
      <c r="P37" s="15" t="s">
        <v>61</v>
      </c>
      <c r="Q37" s="15"/>
      <c r="R37" s="15"/>
      <c r="S37" s="15" t="s">
        <v>61</v>
      </c>
      <c r="T37" s="15"/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133</v>
      </c>
      <c r="B38" s="13" t="s">
        <v>60</v>
      </c>
      <c r="C38" s="14">
        <v>29</v>
      </c>
      <c r="D38" s="14">
        <v>30</v>
      </c>
      <c r="E38" s="14">
        <f t="shared" si="1"/>
        <v>1</v>
      </c>
      <c r="F38" s="15" t="s">
        <v>61</v>
      </c>
      <c r="G38" s="15"/>
      <c r="H38" s="15"/>
      <c r="I38" s="15"/>
      <c r="J38" s="15"/>
      <c r="K38" s="15" t="s">
        <v>61</v>
      </c>
      <c r="L38" s="15"/>
      <c r="M38" s="15"/>
      <c r="N38" s="15" t="s">
        <v>61</v>
      </c>
      <c r="O38" s="15"/>
      <c r="P38" s="15" t="s">
        <v>61</v>
      </c>
      <c r="Q38" s="15"/>
      <c r="R38" s="15"/>
      <c r="S38" s="15" t="s">
        <v>61</v>
      </c>
      <c r="T38" s="15"/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133</v>
      </c>
      <c r="B39" s="13" t="s">
        <v>60</v>
      </c>
      <c r="C39" s="14">
        <v>30</v>
      </c>
      <c r="D39" s="14">
        <v>31</v>
      </c>
      <c r="E39" s="14">
        <f t="shared" si="1"/>
        <v>1</v>
      </c>
      <c r="F39" s="15" t="s">
        <v>61</v>
      </c>
      <c r="G39" s="15"/>
      <c r="H39" s="15"/>
      <c r="I39" s="15"/>
      <c r="J39" s="15"/>
      <c r="K39" s="15" t="s">
        <v>61</v>
      </c>
      <c r="L39" s="15"/>
      <c r="M39" s="15"/>
      <c r="N39" s="15" t="s">
        <v>61</v>
      </c>
      <c r="O39" s="15"/>
      <c r="P39" s="15" t="s">
        <v>61</v>
      </c>
      <c r="Q39" s="15"/>
      <c r="R39" s="15"/>
      <c r="S39" s="15" t="s">
        <v>61</v>
      </c>
      <c r="T39" s="15"/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133</v>
      </c>
      <c r="B40" s="13" t="s">
        <v>60</v>
      </c>
      <c r="C40" s="14">
        <v>31</v>
      </c>
      <c r="D40" s="14">
        <v>32</v>
      </c>
      <c r="E40" s="14">
        <f t="shared" si="1"/>
        <v>1</v>
      </c>
      <c r="F40" s="15" t="s">
        <v>61</v>
      </c>
      <c r="G40" s="15"/>
      <c r="H40" s="15"/>
      <c r="I40" s="15"/>
      <c r="J40" s="15"/>
      <c r="K40" s="15" t="s">
        <v>61</v>
      </c>
      <c r="L40" s="15"/>
      <c r="M40" s="15"/>
      <c r="N40" s="15" t="s">
        <v>61</v>
      </c>
      <c r="O40" s="15"/>
      <c r="P40" s="15" t="s">
        <v>61</v>
      </c>
      <c r="Q40" s="15"/>
      <c r="R40" s="15"/>
      <c r="S40" s="15" t="s">
        <v>61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133</v>
      </c>
      <c r="B41" s="13" t="s">
        <v>60</v>
      </c>
      <c r="C41" s="14">
        <v>32</v>
      </c>
      <c r="D41" s="14">
        <v>33</v>
      </c>
      <c r="E41" s="14">
        <f t="shared" si="1"/>
        <v>1</v>
      </c>
      <c r="F41" s="15" t="s">
        <v>61</v>
      </c>
      <c r="G41" s="15"/>
      <c r="H41" s="15"/>
      <c r="I41" s="15"/>
      <c r="J41" s="15"/>
      <c r="K41" s="15" t="s">
        <v>61</v>
      </c>
      <c r="L41" s="15"/>
      <c r="M41" s="15"/>
      <c r="N41" s="15" t="s">
        <v>61</v>
      </c>
      <c r="O41" s="15"/>
      <c r="P41" s="15" t="s">
        <v>61</v>
      </c>
      <c r="Q41" s="15"/>
      <c r="R41" s="15"/>
      <c r="S41" s="15" t="s">
        <v>61</v>
      </c>
      <c r="T41" s="15"/>
      <c r="U41" s="15"/>
      <c r="V41" s="16"/>
      <c r="W41" s="17" t="str">
        <f t="shared" si="2"/>
        <v>OK</v>
      </c>
    </row>
    <row r="42" spans="1:23" ht="20.100000000000001" customHeight="1" x14ac:dyDescent="0.25">
      <c r="A42" s="18" t="s">
        <v>133</v>
      </c>
      <c r="B42" s="19" t="s">
        <v>60</v>
      </c>
      <c r="C42" s="20">
        <v>33</v>
      </c>
      <c r="D42" s="20">
        <v>33.927597371700003</v>
      </c>
      <c r="E42" s="20">
        <f t="shared" si="1"/>
        <v>0.92759737170000278</v>
      </c>
      <c r="F42" s="21" t="s">
        <v>61</v>
      </c>
      <c r="G42" s="21"/>
      <c r="H42" s="21"/>
      <c r="I42" s="21"/>
      <c r="J42" s="21"/>
      <c r="K42" s="21" t="s">
        <v>61</v>
      </c>
      <c r="L42" s="21"/>
      <c r="M42" s="21"/>
      <c r="N42" s="21" t="s">
        <v>61</v>
      </c>
      <c r="O42" s="21"/>
      <c r="P42" s="21" t="s">
        <v>61</v>
      </c>
      <c r="Q42" s="21"/>
      <c r="R42" s="21"/>
      <c r="S42" s="21" t="s">
        <v>61</v>
      </c>
      <c r="T42" s="21"/>
      <c r="U42" s="21"/>
      <c r="V42" s="22"/>
      <c r="W42" s="23" t="str">
        <f t="shared" si="2"/>
        <v>OK</v>
      </c>
    </row>
    <row r="43" spans="1:23" ht="15.95" customHeight="1" x14ac:dyDescent="0.25">
      <c r="A43" s="46" t="s">
        <v>134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/>
      <c r="W43" s="4"/>
    </row>
    <row r="44" spans="1:23" ht="20.100000000000001" customHeight="1" x14ac:dyDescent="0.25">
      <c r="A44" s="12" t="s">
        <v>135</v>
      </c>
      <c r="B44" s="13" t="s">
        <v>60</v>
      </c>
      <c r="C44" s="14">
        <v>0</v>
      </c>
      <c r="D44" s="14">
        <v>1</v>
      </c>
      <c r="E44" s="14">
        <f t="shared" ref="E44:E70" si="3">D44-C44</f>
        <v>1</v>
      </c>
      <c r="F44" s="15" t="s">
        <v>61</v>
      </c>
      <c r="G44" s="15"/>
      <c r="H44" s="15"/>
      <c r="I44" s="15"/>
      <c r="J44" s="15"/>
      <c r="K44" s="15" t="s">
        <v>61</v>
      </c>
      <c r="L44" s="15"/>
      <c r="M44" s="15"/>
      <c r="N44" s="15" t="s">
        <v>61</v>
      </c>
      <c r="O44" s="15"/>
      <c r="P44" s="15" t="s">
        <v>61</v>
      </c>
      <c r="Q44" s="15"/>
      <c r="R44" s="15"/>
      <c r="S44" s="15" t="s">
        <v>61</v>
      </c>
      <c r="T44" s="15"/>
      <c r="U44" s="15"/>
      <c r="V44" s="16"/>
      <c r="W44" s="17" t="str">
        <f t="shared" ref="W44:W70" si="4"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135</v>
      </c>
      <c r="B45" s="13" t="s">
        <v>60</v>
      </c>
      <c r="C45" s="14">
        <v>1</v>
      </c>
      <c r="D45" s="14">
        <v>2</v>
      </c>
      <c r="E45" s="14">
        <f t="shared" si="3"/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61</v>
      </c>
      <c r="O45" s="15"/>
      <c r="P45" s="15" t="s">
        <v>61</v>
      </c>
      <c r="Q45" s="15"/>
      <c r="R45" s="15"/>
      <c r="S45" s="15" t="s">
        <v>61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135</v>
      </c>
      <c r="B46" s="13" t="s">
        <v>60</v>
      </c>
      <c r="C46" s="14">
        <v>2</v>
      </c>
      <c r="D46" s="14">
        <v>3</v>
      </c>
      <c r="E46" s="14">
        <f t="shared" si="3"/>
        <v>1</v>
      </c>
      <c r="F46" s="15" t="s">
        <v>61</v>
      </c>
      <c r="G46" s="15"/>
      <c r="H46" s="15"/>
      <c r="I46" s="15"/>
      <c r="J46" s="15"/>
      <c r="K46" s="15" t="s">
        <v>61</v>
      </c>
      <c r="L46" s="15"/>
      <c r="M46" s="15"/>
      <c r="N46" s="15" t="s">
        <v>61</v>
      </c>
      <c r="O46" s="15"/>
      <c r="P46" s="15" t="s">
        <v>61</v>
      </c>
      <c r="Q46" s="15"/>
      <c r="R46" s="15"/>
      <c r="S46" s="15" t="s">
        <v>61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135</v>
      </c>
      <c r="B47" s="13" t="s">
        <v>60</v>
      </c>
      <c r="C47" s="14">
        <v>3</v>
      </c>
      <c r="D47" s="14">
        <v>4</v>
      </c>
      <c r="E47" s="14">
        <f t="shared" si="3"/>
        <v>1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61</v>
      </c>
      <c r="O47" s="15"/>
      <c r="P47" s="15" t="s">
        <v>61</v>
      </c>
      <c r="Q47" s="15"/>
      <c r="R47" s="15"/>
      <c r="S47" s="15" t="s">
        <v>61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135</v>
      </c>
      <c r="B48" s="13" t="s">
        <v>60</v>
      </c>
      <c r="C48" s="14">
        <v>4</v>
      </c>
      <c r="D48" s="14">
        <v>5</v>
      </c>
      <c r="E48" s="14">
        <f t="shared" si="3"/>
        <v>1</v>
      </c>
      <c r="F48" s="15" t="s">
        <v>61</v>
      </c>
      <c r="G48" s="15"/>
      <c r="H48" s="15"/>
      <c r="I48" s="15"/>
      <c r="J48" s="15"/>
      <c r="K48" s="15" t="s">
        <v>61</v>
      </c>
      <c r="L48" s="15"/>
      <c r="M48" s="15"/>
      <c r="N48" s="15" t="s">
        <v>61</v>
      </c>
      <c r="O48" s="15"/>
      <c r="P48" s="15" t="s">
        <v>61</v>
      </c>
      <c r="Q48" s="15"/>
      <c r="R48" s="15"/>
      <c r="S48" s="15" t="s">
        <v>61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135</v>
      </c>
      <c r="B49" s="13" t="s">
        <v>60</v>
      </c>
      <c r="C49" s="14">
        <v>5</v>
      </c>
      <c r="D49" s="14">
        <v>6</v>
      </c>
      <c r="E49" s="14">
        <f t="shared" si="3"/>
        <v>1</v>
      </c>
      <c r="F49" s="15" t="s">
        <v>61</v>
      </c>
      <c r="G49" s="15"/>
      <c r="H49" s="15"/>
      <c r="I49" s="15"/>
      <c r="J49" s="15"/>
      <c r="K49" s="15" t="s">
        <v>61</v>
      </c>
      <c r="L49" s="15"/>
      <c r="M49" s="15"/>
      <c r="N49" s="15" t="s">
        <v>61</v>
      </c>
      <c r="O49" s="15"/>
      <c r="P49" s="15" t="s">
        <v>61</v>
      </c>
      <c r="Q49" s="15"/>
      <c r="R49" s="15"/>
      <c r="S49" s="15" t="s">
        <v>61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135</v>
      </c>
      <c r="B50" s="13" t="s">
        <v>60</v>
      </c>
      <c r="C50" s="14">
        <v>6</v>
      </c>
      <c r="D50" s="14">
        <v>7</v>
      </c>
      <c r="E50" s="14">
        <f t="shared" si="3"/>
        <v>1</v>
      </c>
      <c r="F50" s="15" t="s">
        <v>61</v>
      </c>
      <c r="G50" s="15"/>
      <c r="H50" s="15"/>
      <c r="I50" s="15"/>
      <c r="J50" s="15"/>
      <c r="K50" s="15" t="s">
        <v>61</v>
      </c>
      <c r="L50" s="15"/>
      <c r="M50" s="15"/>
      <c r="N50" s="15" t="s">
        <v>61</v>
      </c>
      <c r="O50" s="15"/>
      <c r="P50" s="15" t="s">
        <v>61</v>
      </c>
      <c r="Q50" s="15"/>
      <c r="R50" s="15"/>
      <c r="S50" s="15" t="s">
        <v>61</v>
      </c>
      <c r="T50" s="15"/>
      <c r="U50" s="15"/>
      <c r="V50" s="16" t="s">
        <v>249</v>
      </c>
      <c r="W50" s="17" t="str">
        <f t="shared" si="4"/>
        <v>OK</v>
      </c>
    </row>
    <row r="51" spans="1:23" ht="20.100000000000001" customHeight="1" x14ac:dyDescent="0.25">
      <c r="A51" s="12" t="s">
        <v>135</v>
      </c>
      <c r="B51" s="13" t="s">
        <v>60</v>
      </c>
      <c r="C51" s="14">
        <v>7</v>
      </c>
      <c r="D51" s="14">
        <v>8</v>
      </c>
      <c r="E51" s="14">
        <f t="shared" si="3"/>
        <v>1</v>
      </c>
      <c r="F51" s="15" t="s">
        <v>61</v>
      </c>
      <c r="G51" s="15"/>
      <c r="H51" s="15"/>
      <c r="I51" s="15"/>
      <c r="J51" s="15"/>
      <c r="K51" s="15" t="s">
        <v>61</v>
      </c>
      <c r="L51" s="15"/>
      <c r="M51" s="15"/>
      <c r="N51" s="15" t="s">
        <v>61</v>
      </c>
      <c r="O51" s="15"/>
      <c r="P51" s="15" t="s">
        <v>61</v>
      </c>
      <c r="Q51" s="15"/>
      <c r="R51" s="15"/>
      <c r="S51" s="15" t="s">
        <v>61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135</v>
      </c>
      <c r="B52" s="13" t="s">
        <v>60</v>
      </c>
      <c r="C52" s="14">
        <v>8</v>
      </c>
      <c r="D52" s="14">
        <v>9</v>
      </c>
      <c r="E52" s="14">
        <f t="shared" si="3"/>
        <v>1</v>
      </c>
      <c r="F52" s="15" t="s">
        <v>61</v>
      </c>
      <c r="G52" s="15"/>
      <c r="H52" s="15"/>
      <c r="I52" s="15"/>
      <c r="J52" s="15"/>
      <c r="K52" s="15" t="s">
        <v>61</v>
      </c>
      <c r="L52" s="15"/>
      <c r="M52" s="15"/>
      <c r="N52" s="15" t="s">
        <v>61</v>
      </c>
      <c r="O52" s="15"/>
      <c r="P52" s="15" t="s">
        <v>61</v>
      </c>
      <c r="Q52" s="15"/>
      <c r="R52" s="15"/>
      <c r="S52" s="15" t="s">
        <v>61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135</v>
      </c>
      <c r="B53" s="13" t="s">
        <v>60</v>
      </c>
      <c r="C53" s="14">
        <v>9</v>
      </c>
      <c r="D53" s="14">
        <v>10</v>
      </c>
      <c r="E53" s="14">
        <f t="shared" si="3"/>
        <v>1</v>
      </c>
      <c r="F53" s="15" t="s">
        <v>61</v>
      </c>
      <c r="G53" s="15"/>
      <c r="H53" s="15"/>
      <c r="I53" s="15"/>
      <c r="J53" s="15"/>
      <c r="K53" s="15" t="s">
        <v>61</v>
      </c>
      <c r="L53" s="15"/>
      <c r="M53" s="15"/>
      <c r="N53" s="15" t="s">
        <v>61</v>
      </c>
      <c r="O53" s="15"/>
      <c r="P53" s="15" t="s">
        <v>61</v>
      </c>
      <c r="Q53" s="15"/>
      <c r="R53" s="15"/>
      <c r="S53" s="15" t="s">
        <v>61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135</v>
      </c>
      <c r="B54" s="13" t="s">
        <v>60</v>
      </c>
      <c r="C54" s="14">
        <v>10</v>
      </c>
      <c r="D54" s="14">
        <v>11</v>
      </c>
      <c r="E54" s="14">
        <f t="shared" si="3"/>
        <v>1</v>
      </c>
      <c r="F54" s="15" t="s">
        <v>61</v>
      </c>
      <c r="G54" s="15"/>
      <c r="H54" s="15"/>
      <c r="I54" s="15"/>
      <c r="J54" s="15"/>
      <c r="K54" s="15" t="s">
        <v>61</v>
      </c>
      <c r="L54" s="15"/>
      <c r="M54" s="15"/>
      <c r="N54" s="15" t="s">
        <v>61</v>
      </c>
      <c r="O54" s="15"/>
      <c r="P54" s="15" t="s">
        <v>61</v>
      </c>
      <c r="Q54" s="15"/>
      <c r="R54" s="15"/>
      <c r="S54" s="15" t="s">
        <v>61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135</v>
      </c>
      <c r="B55" s="13" t="s">
        <v>60</v>
      </c>
      <c r="C55" s="14">
        <v>11</v>
      </c>
      <c r="D55" s="14">
        <v>12</v>
      </c>
      <c r="E55" s="14">
        <f t="shared" si="3"/>
        <v>1</v>
      </c>
      <c r="F55" s="15" t="s">
        <v>61</v>
      </c>
      <c r="G55" s="15"/>
      <c r="H55" s="15"/>
      <c r="I55" s="15"/>
      <c r="J55" s="15"/>
      <c r="K55" s="15" t="s">
        <v>61</v>
      </c>
      <c r="L55" s="15"/>
      <c r="M55" s="15"/>
      <c r="N55" s="15" t="s">
        <v>61</v>
      </c>
      <c r="O55" s="15"/>
      <c r="P55" s="15" t="s">
        <v>61</v>
      </c>
      <c r="Q55" s="15"/>
      <c r="R55" s="15"/>
      <c r="S55" s="15" t="s">
        <v>61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135</v>
      </c>
      <c r="B56" s="13" t="s">
        <v>60</v>
      </c>
      <c r="C56" s="14">
        <v>12</v>
      </c>
      <c r="D56" s="14">
        <v>13</v>
      </c>
      <c r="E56" s="14">
        <f t="shared" si="3"/>
        <v>1</v>
      </c>
      <c r="F56" s="15" t="s">
        <v>61</v>
      </c>
      <c r="G56" s="15"/>
      <c r="H56" s="15"/>
      <c r="I56" s="15"/>
      <c r="J56" s="15"/>
      <c r="K56" s="15" t="s">
        <v>61</v>
      </c>
      <c r="L56" s="15"/>
      <c r="M56" s="15"/>
      <c r="N56" s="15" t="s">
        <v>61</v>
      </c>
      <c r="O56" s="15"/>
      <c r="P56" s="15" t="s">
        <v>61</v>
      </c>
      <c r="Q56" s="15"/>
      <c r="R56" s="15"/>
      <c r="S56" s="15" t="s">
        <v>61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135</v>
      </c>
      <c r="B57" s="13" t="s">
        <v>60</v>
      </c>
      <c r="C57" s="14">
        <v>13</v>
      </c>
      <c r="D57" s="14">
        <v>14</v>
      </c>
      <c r="E57" s="14">
        <f t="shared" si="3"/>
        <v>1</v>
      </c>
      <c r="F57" s="15" t="s">
        <v>61</v>
      </c>
      <c r="G57" s="15"/>
      <c r="H57" s="15"/>
      <c r="I57" s="15"/>
      <c r="J57" s="15"/>
      <c r="K57" s="15" t="s">
        <v>61</v>
      </c>
      <c r="L57" s="15"/>
      <c r="M57" s="15"/>
      <c r="N57" s="15" t="s">
        <v>61</v>
      </c>
      <c r="O57" s="15"/>
      <c r="P57" s="15" t="s">
        <v>61</v>
      </c>
      <c r="Q57" s="15"/>
      <c r="R57" s="15"/>
      <c r="S57" s="15" t="s">
        <v>61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135</v>
      </c>
      <c r="B58" s="13" t="s">
        <v>60</v>
      </c>
      <c r="C58" s="14">
        <v>14</v>
      </c>
      <c r="D58" s="14">
        <v>15</v>
      </c>
      <c r="E58" s="14">
        <f t="shared" si="3"/>
        <v>1</v>
      </c>
      <c r="F58" s="15" t="s">
        <v>61</v>
      </c>
      <c r="G58" s="15"/>
      <c r="H58" s="15"/>
      <c r="I58" s="15"/>
      <c r="J58" s="15"/>
      <c r="K58" s="15" t="s">
        <v>61</v>
      </c>
      <c r="L58" s="15"/>
      <c r="M58" s="15"/>
      <c r="N58" s="15" t="s">
        <v>61</v>
      </c>
      <c r="O58" s="15"/>
      <c r="P58" s="15" t="s">
        <v>61</v>
      </c>
      <c r="Q58" s="15"/>
      <c r="R58" s="15"/>
      <c r="S58" s="15" t="s">
        <v>61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135</v>
      </c>
      <c r="B59" s="13" t="s">
        <v>60</v>
      </c>
      <c r="C59" s="14">
        <v>15</v>
      </c>
      <c r="D59" s="14">
        <v>16</v>
      </c>
      <c r="E59" s="14">
        <f t="shared" si="3"/>
        <v>1</v>
      </c>
      <c r="F59" s="15" t="s">
        <v>61</v>
      </c>
      <c r="G59" s="15"/>
      <c r="H59" s="15"/>
      <c r="I59" s="15"/>
      <c r="J59" s="15"/>
      <c r="K59" s="15" t="s">
        <v>61</v>
      </c>
      <c r="L59" s="15"/>
      <c r="M59" s="15"/>
      <c r="N59" s="15" t="s">
        <v>61</v>
      </c>
      <c r="O59" s="15"/>
      <c r="P59" s="15" t="s">
        <v>61</v>
      </c>
      <c r="Q59" s="15"/>
      <c r="R59" s="15"/>
      <c r="S59" s="15" t="s">
        <v>61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135</v>
      </c>
      <c r="B60" s="13" t="s">
        <v>60</v>
      </c>
      <c r="C60" s="14">
        <v>16</v>
      </c>
      <c r="D60" s="14">
        <v>17</v>
      </c>
      <c r="E60" s="14">
        <f t="shared" si="3"/>
        <v>1</v>
      </c>
      <c r="F60" s="15" t="s">
        <v>61</v>
      </c>
      <c r="G60" s="15"/>
      <c r="H60" s="15"/>
      <c r="I60" s="15"/>
      <c r="J60" s="15"/>
      <c r="K60" s="15" t="s">
        <v>61</v>
      </c>
      <c r="L60" s="15"/>
      <c r="M60" s="15"/>
      <c r="N60" s="15" t="s">
        <v>61</v>
      </c>
      <c r="O60" s="15"/>
      <c r="P60" s="15" t="s">
        <v>61</v>
      </c>
      <c r="Q60" s="15"/>
      <c r="R60" s="15"/>
      <c r="S60" s="15" t="s">
        <v>61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135</v>
      </c>
      <c r="B61" s="13" t="s">
        <v>60</v>
      </c>
      <c r="C61" s="14">
        <v>17</v>
      </c>
      <c r="D61" s="14">
        <v>18</v>
      </c>
      <c r="E61" s="14">
        <f t="shared" si="3"/>
        <v>1</v>
      </c>
      <c r="F61" s="15" t="s">
        <v>61</v>
      </c>
      <c r="G61" s="15"/>
      <c r="H61" s="15"/>
      <c r="I61" s="15"/>
      <c r="J61" s="15"/>
      <c r="K61" s="15" t="s">
        <v>61</v>
      </c>
      <c r="L61" s="15"/>
      <c r="M61" s="15"/>
      <c r="N61" s="15" t="s">
        <v>61</v>
      </c>
      <c r="O61" s="15"/>
      <c r="P61" s="15" t="s">
        <v>61</v>
      </c>
      <c r="Q61" s="15"/>
      <c r="R61" s="15"/>
      <c r="S61" s="15" t="s">
        <v>61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135</v>
      </c>
      <c r="B62" s="13" t="s">
        <v>60</v>
      </c>
      <c r="C62" s="14">
        <v>18</v>
      </c>
      <c r="D62" s="14">
        <v>19</v>
      </c>
      <c r="E62" s="14">
        <f t="shared" si="3"/>
        <v>1</v>
      </c>
      <c r="F62" s="15" t="s">
        <v>61</v>
      </c>
      <c r="G62" s="15"/>
      <c r="H62" s="15"/>
      <c r="I62" s="15"/>
      <c r="J62" s="15"/>
      <c r="K62" s="15" t="s">
        <v>61</v>
      </c>
      <c r="L62" s="15"/>
      <c r="M62" s="15"/>
      <c r="N62" s="15" t="s">
        <v>61</v>
      </c>
      <c r="O62" s="15"/>
      <c r="P62" s="15" t="s">
        <v>61</v>
      </c>
      <c r="Q62" s="15"/>
      <c r="R62" s="15"/>
      <c r="S62" s="15" t="s">
        <v>61</v>
      </c>
      <c r="T62" s="15"/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135</v>
      </c>
      <c r="B63" s="13" t="s">
        <v>60</v>
      </c>
      <c r="C63" s="14">
        <v>19</v>
      </c>
      <c r="D63" s="14">
        <v>20</v>
      </c>
      <c r="E63" s="14">
        <f t="shared" si="3"/>
        <v>1</v>
      </c>
      <c r="F63" s="15" t="s">
        <v>61</v>
      </c>
      <c r="G63" s="15"/>
      <c r="H63" s="15"/>
      <c r="I63" s="15"/>
      <c r="J63" s="15"/>
      <c r="K63" s="15" t="s">
        <v>61</v>
      </c>
      <c r="L63" s="15"/>
      <c r="M63" s="15"/>
      <c r="N63" s="15" t="s">
        <v>61</v>
      </c>
      <c r="O63" s="15"/>
      <c r="P63" s="15" t="s">
        <v>61</v>
      </c>
      <c r="Q63" s="15"/>
      <c r="R63" s="15"/>
      <c r="S63" s="15" t="s">
        <v>61</v>
      </c>
      <c r="T63" s="15"/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135</v>
      </c>
      <c r="B64" s="13" t="s">
        <v>60</v>
      </c>
      <c r="C64" s="14">
        <v>20</v>
      </c>
      <c r="D64" s="14">
        <v>21</v>
      </c>
      <c r="E64" s="14">
        <f t="shared" si="3"/>
        <v>1</v>
      </c>
      <c r="F64" s="15" t="s">
        <v>61</v>
      </c>
      <c r="G64" s="15"/>
      <c r="H64" s="15"/>
      <c r="I64" s="15"/>
      <c r="J64" s="15"/>
      <c r="K64" s="15" t="s">
        <v>61</v>
      </c>
      <c r="L64" s="15"/>
      <c r="M64" s="15"/>
      <c r="N64" s="15" t="s">
        <v>61</v>
      </c>
      <c r="O64" s="15"/>
      <c r="P64" s="15" t="s">
        <v>61</v>
      </c>
      <c r="Q64" s="15"/>
      <c r="R64" s="15"/>
      <c r="S64" s="15" t="s">
        <v>61</v>
      </c>
      <c r="T64" s="15"/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135</v>
      </c>
      <c r="B65" s="13" t="s">
        <v>60</v>
      </c>
      <c r="C65" s="14">
        <v>21</v>
      </c>
      <c r="D65" s="14">
        <v>22</v>
      </c>
      <c r="E65" s="14">
        <f t="shared" si="3"/>
        <v>1</v>
      </c>
      <c r="F65" s="15" t="s">
        <v>61</v>
      </c>
      <c r="G65" s="15"/>
      <c r="H65" s="15"/>
      <c r="I65" s="15"/>
      <c r="J65" s="15"/>
      <c r="K65" s="15" t="s">
        <v>61</v>
      </c>
      <c r="L65" s="15"/>
      <c r="M65" s="15"/>
      <c r="N65" s="15" t="s">
        <v>61</v>
      </c>
      <c r="O65" s="15"/>
      <c r="P65" s="15" t="s">
        <v>61</v>
      </c>
      <c r="Q65" s="15"/>
      <c r="R65" s="15"/>
      <c r="S65" s="15" t="s">
        <v>61</v>
      </c>
      <c r="T65" s="15"/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135</v>
      </c>
      <c r="B66" s="13" t="s">
        <v>60</v>
      </c>
      <c r="C66" s="14">
        <v>22</v>
      </c>
      <c r="D66" s="14">
        <v>23</v>
      </c>
      <c r="E66" s="14">
        <f t="shared" si="3"/>
        <v>1</v>
      </c>
      <c r="F66" s="15" t="s">
        <v>61</v>
      </c>
      <c r="G66" s="15"/>
      <c r="H66" s="15"/>
      <c r="I66" s="15"/>
      <c r="J66" s="15"/>
      <c r="K66" s="15" t="s">
        <v>61</v>
      </c>
      <c r="L66" s="15"/>
      <c r="M66" s="15"/>
      <c r="N66" s="15" t="s">
        <v>61</v>
      </c>
      <c r="O66" s="15"/>
      <c r="P66" s="15" t="s">
        <v>61</v>
      </c>
      <c r="Q66" s="15"/>
      <c r="R66" s="15"/>
      <c r="S66" s="15" t="s">
        <v>61</v>
      </c>
      <c r="T66" s="15"/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135</v>
      </c>
      <c r="B67" s="13" t="s">
        <v>60</v>
      </c>
      <c r="C67" s="14">
        <v>23</v>
      </c>
      <c r="D67" s="14">
        <v>24</v>
      </c>
      <c r="E67" s="14">
        <f t="shared" si="3"/>
        <v>1</v>
      </c>
      <c r="F67" s="15" t="s">
        <v>61</v>
      </c>
      <c r="G67" s="15"/>
      <c r="H67" s="15"/>
      <c r="I67" s="15"/>
      <c r="J67" s="15"/>
      <c r="K67" s="15" t="s">
        <v>61</v>
      </c>
      <c r="L67" s="15"/>
      <c r="M67" s="15"/>
      <c r="N67" s="15" t="s">
        <v>61</v>
      </c>
      <c r="O67" s="15"/>
      <c r="P67" s="15" t="s">
        <v>61</v>
      </c>
      <c r="Q67" s="15"/>
      <c r="R67" s="15"/>
      <c r="S67" s="15" t="s">
        <v>61</v>
      </c>
      <c r="T67" s="15"/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135</v>
      </c>
      <c r="B68" s="13" t="s">
        <v>60</v>
      </c>
      <c r="C68" s="14">
        <v>24</v>
      </c>
      <c r="D68" s="14">
        <v>25</v>
      </c>
      <c r="E68" s="14">
        <f t="shared" si="3"/>
        <v>1</v>
      </c>
      <c r="F68" s="15" t="s">
        <v>61</v>
      </c>
      <c r="G68" s="15"/>
      <c r="H68" s="15"/>
      <c r="I68" s="15"/>
      <c r="J68" s="15"/>
      <c r="K68" s="15" t="s">
        <v>61</v>
      </c>
      <c r="L68" s="15"/>
      <c r="M68" s="15" t="s">
        <v>61</v>
      </c>
      <c r="N68" s="15"/>
      <c r="O68" s="15"/>
      <c r="P68" s="15" t="s">
        <v>61</v>
      </c>
      <c r="Q68" s="15"/>
      <c r="R68" s="15"/>
      <c r="S68" s="15" t="s">
        <v>61</v>
      </c>
      <c r="T68" s="15"/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135</v>
      </c>
      <c r="B69" s="13" t="s">
        <v>60</v>
      </c>
      <c r="C69" s="14">
        <v>25</v>
      </c>
      <c r="D69" s="14">
        <v>26</v>
      </c>
      <c r="E69" s="14">
        <f t="shared" si="3"/>
        <v>1</v>
      </c>
      <c r="F69" s="15" t="s">
        <v>61</v>
      </c>
      <c r="G69" s="15"/>
      <c r="H69" s="15"/>
      <c r="I69" s="15"/>
      <c r="J69" s="15"/>
      <c r="K69" s="15" t="s">
        <v>61</v>
      </c>
      <c r="L69" s="15"/>
      <c r="M69" s="15" t="s">
        <v>61</v>
      </c>
      <c r="N69" s="15"/>
      <c r="O69" s="15"/>
      <c r="P69" s="15" t="s">
        <v>61</v>
      </c>
      <c r="Q69" s="15"/>
      <c r="R69" s="15"/>
      <c r="S69" s="15" t="s">
        <v>61</v>
      </c>
      <c r="T69" s="15"/>
      <c r="U69" s="15"/>
      <c r="V69" s="16"/>
      <c r="W69" s="17" t="str">
        <f t="shared" si="4"/>
        <v>OK</v>
      </c>
    </row>
    <row r="70" spans="1:23" ht="20.100000000000001" customHeight="1" x14ac:dyDescent="0.25">
      <c r="A70" s="18" t="s">
        <v>135</v>
      </c>
      <c r="B70" s="19" t="s">
        <v>60</v>
      </c>
      <c r="C70" s="20">
        <v>26</v>
      </c>
      <c r="D70" s="20">
        <v>26.4746414904</v>
      </c>
      <c r="E70" s="20">
        <f t="shared" si="3"/>
        <v>0.47464149039999981</v>
      </c>
      <c r="F70" s="21" t="s">
        <v>61</v>
      </c>
      <c r="G70" s="21"/>
      <c r="H70" s="21"/>
      <c r="I70" s="21"/>
      <c r="J70" s="21"/>
      <c r="K70" s="21" t="s">
        <v>61</v>
      </c>
      <c r="L70" s="21"/>
      <c r="M70" s="21" t="s">
        <v>61</v>
      </c>
      <c r="N70" s="21"/>
      <c r="O70" s="21"/>
      <c r="P70" s="21" t="s">
        <v>61</v>
      </c>
      <c r="Q70" s="21"/>
      <c r="R70" s="21"/>
      <c r="S70" s="21" t="s">
        <v>61</v>
      </c>
      <c r="T70" s="21"/>
      <c r="U70" s="21"/>
      <c r="V70" s="22"/>
      <c r="W70" s="23" t="str">
        <f t="shared" si="4"/>
        <v>OK</v>
      </c>
    </row>
    <row r="72" spans="1:23" x14ac:dyDescent="0.25">
      <c r="A72" s="38" t="s">
        <v>67</v>
      </c>
      <c r="B72" s="28"/>
      <c r="C72" s="28"/>
      <c r="D72" s="28"/>
      <c r="E72" s="28"/>
      <c r="G72" s="38" t="s">
        <v>67</v>
      </c>
      <c r="H72" s="28"/>
      <c r="I72" s="28"/>
      <c r="J72" s="28"/>
      <c r="K72" s="28"/>
    </row>
    <row r="73" spans="1:23" x14ac:dyDescent="0.25">
      <c r="A73" s="36" t="s">
        <v>68</v>
      </c>
      <c r="B73" s="28"/>
      <c r="C73" s="28"/>
      <c r="D73" s="28"/>
      <c r="E73" s="28"/>
      <c r="G73" s="36" t="s">
        <v>69</v>
      </c>
      <c r="H73" s="28"/>
      <c r="I73" s="28"/>
      <c r="J73" s="28"/>
      <c r="K73" s="28"/>
    </row>
    <row r="75" spans="1:23" x14ac:dyDescent="0.25">
      <c r="A75" s="37" t="s">
        <v>70</v>
      </c>
      <c r="B75" s="28"/>
      <c r="C75" s="28"/>
      <c r="D75" s="28"/>
      <c r="E75" s="28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3" x14ac:dyDescent="0.25">
      <c r="A76" s="34" t="s">
        <v>71</v>
      </c>
      <c r="B76" s="28"/>
      <c r="C76" s="28"/>
      <c r="D76" s="28"/>
      <c r="E76" s="28"/>
      <c r="F76" s="9">
        <f t="shared" ref="F76:U76" si="5">SUMIF(F$9:F$70,"X",$E$9:$E$70)</f>
        <v>48.402238862100006</v>
      </c>
      <c r="G76" s="9">
        <f t="shared" si="5"/>
        <v>9</v>
      </c>
      <c r="H76" s="9">
        <f t="shared" si="5"/>
        <v>3</v>
      </c>
      <c r="I76" s="9">
        <f t="shared" si="5"/>
        <v>0</v>
      </c>
      <c r="J76" s="9">
        <f t="shared" si="5"/>
        <v>0</v>
      </c>
      <c r="K76" s="9">
        <f t="shared" si="5"/>
        <v>60.402238862100006</v>
      </c>
      <c r="L76" s="9">
        <f t="shared" si="5"/>
        <v>0</v>
      </c>
      <c r="M76" s="9">
        <f t="shared" si="5"/>
        <v>2.4746414903999998</v>
      </c>
      <c r="N76" s="9">
        <f t="shared" si="5"/>
        <v>57.927597371700003</v>
      </c>
      <c r="O76" s="9">
        <f t="shared" si="5"/>
        <v>0</v>
      </c>
      <c r="P76" s="9">
        <f t="shared" si="5"/>
        <v>60.402238862100006</v>
      </c>
      <c r="Q76" s="9">
        <f t="shared" si="5"/>
        <v>0</v>
      </c>
      <c r="R76" s="9">
        <f t="shared" si="5"/>
        <v>0</v>
      </c>
      <c r="S76" s="9">
        <f t="shared" si="5"/>
        <v>60.402238862100006</v>
      </c>
      <c r="T76" s="9">
        <f t="shared" si="5"/>
        <v>0</v>
      </c>
      <c r="U76" s="9">
        <f t="shared" si="5"/>
        <v>0</v>
      </c>
    </row>
    <row r="77" spans="1:23" x14ac:dyDescent="0.25">
      <c r="A77" s="34" t="s">
        <v>72</v>
      </c>
      <c r="B77" s="28"/>
      <c r="C77" s="28"/>
      <c r="D77" s="28"/>
      <c r="E77" s="28"/>
      <c r="F77" s="25">
        <f t="shared" ref="F77:U77" si="6">IF($R79=0,0,F76/$R79)</f>
        <v>0.80133186739325446</v>
      </c>
      <c r="G77" s="25">
        <f t="shared" si="6"/>
        <v>0.14900109945505913</v>
      </c>
      <c r="H77" s="25">
        <f t="shared" si="6"/>
        <v>4.9667033151686371E-2</v>
      </c>
      <c r="I77" s="25">
        <f t="shared" si="6"/>
        <v>0</v>
      </c>
      <c r="J77" s="25">
        <f t="shared" si="6"/>
        <v>0</v>
      </c>
      <c r="K77" s="25">
        <f t="shared" si="6"/>
        <v>1</v>
      </c>
      <c r="L77" s="25">
        <f t="shared" si="6"/>
        <v>0</v>
      </c>
      <c r="M77" s="25">
        <f t="shared" si="6"/>
        <v>4.0969366980745124E-2</v>
      </c>
      <c r="N77" s="25">
        <f t="shared" si="6"/>
        <v>0.95903063301925484</v>
      </c>
      <c r="O77" s="25">
        <f t="shared" si="6"/>
        <v>0</v>
      </c>
      <c r="P77" s="25">
        <f t="shared" si="6"/>
        <v>1</v>
      </c>
      <c r="Q77" s="25">
        <f t="shared" si="6"/>
        <v>0</v>
      </c>
      <c r="R77" s="25">
        <f t="shared" si="6"/>
        <v>0</v>
      </c>
      <c r="S77" s="25">
        <f t="shared" si="6"/>
        <v>1</v>
      </c>
      <c r="T77" s="25">
        <f t="shared" si="6"/>
        <v>0</v>
      </c>
      <c r="U77" s="25">
        <f t="shared" si="6"/>
        <v>0</v>
      </c>
    </row>
    <row r="78" spans="1:23" x14ac:dyDescent="0.25">
      <c r="A78" s="34" t="s">
        <v>73</v>
      </c>
      <c r="B78" s="28"/>
      <c r="C78" s="28"/>
      <c r="D78" s="28"/>
      <c r="E78" s="28"/>
      <c r="F78" s="31" t="str">
        <f>IF(SUM(F76:J76)=0,"— não preenchido",IF(ROUND(SUM(F76:J76)-$R79,3)=0,"OK — "&amp;ROUND(SUM(F76:J76),3)&amp;" km","ERRO — dif. de "&amp;ROUND(SUM(F76:J76)-$R79,3)&amp;" km"))</f>
        <v>OK — 60,402 km</v>
      </c>
      <c r="G78" s="32"/>
      <c r="H78" s="32"/>
      <c r="I78" s="32"/>
      <c r="J78" s="33"/>
      <c r="K78" s="31" t="str">
        <f>IF(SUM(K76:L76)=0,"— não preenchido",IF(ROUND(SUM(K76:L76)-$R79,3)=0,"OK — "&amp;ROUND(SUM(K76:L76),3)&amp;" km","ERRO — dif. de "&amp;ROUND(SUM(K76:L76)-$R79,3)&amp;" km"))</f>
        <v>OK — 60,402 km</v>
      </c>
      <c r="L78" s="33"/>
      <c r="M78" s="31" t="str">
        <f>IF(SUM(M76:O76)=0,"— não preenchido",IF(ROUND(SUM(M76:O76)-$R79,3)=0,"OK — "&amp;ROUND(SUM(M76:O76),3)&amp;" km","ERRO — dif. de "&amp;ROUND(SUM(M76:O76)-$R79,3)&amp;" km"))</f>
        <v>OK — 60,402 km</v>
      </c>
      <c r="N78" s="32"/>
      <c r="O78" s="33"/>
      <c r="P78" s="31" t="str">
        <f>IF(SUM(P76:R76)=0,"— não preenchido",IF(ROUND(SUM(P76:R76)-$R79,3)=0,"OK — "&amp;ROUND(SUM(P76:R76),3)&amp;" km","ERRO — dif. de "&amp;ROUND(SUM(P76:R76)-$R79,3)&amp;" km"))</f>
        <v>OK — 60,402 km</v>
      </c>
      <c r="Q78" s="32"/>
      <c r="R78" s="33"/>
      <c r="S78" s="31" t="str">
        <f>IF(SUM(S76:U76)=0,"— não preenchido",IF(ROUND(SUM(S76:U76)-$R79,3)=0,"OK — "&amp;ROUND(SUM(S76:U76),3)&amp;" km","ERRO — dif. de "&amp;ROUND(SUM(S76:U76)-$R79,3)&amp;" km"))</f>
        <v>OK — 60,402 km</v>
      </c>
      <c r="T78" s="32"/>
      <c r="U78" s="33"/>
    </row>
    <row r="79" spans="1:23" x14ac:dyDescent="0.25">
      <c r="A79" s="34" t="s">
        <v>74</v>
      </c>
      <c r="B79" s="28"/>
      <c r="C79" s="28"/>
      <c r="D79" s="28"/>
      <c r="E79" s="28"/>
      <c r="R79" s="26">
        <f>SUM(E9:E70)</f>
        <v>60.402238862100006</v>
      </c>
      <c r="V79" s="8" t="str">
        <f>COUNTIF(W9:W70,"OK")&amp;" de "&amp;COUNT($E$9:$E$70)&amp;" linhas conferidas"</f>
        <v>61 de 61 linhas conferidas</v>
      </c>
    </row>
    <row r="81" spans="1:22" x14ac:dyDescent="0.25">
      <c r="A81" s="45" t="s">
        <v>75</v>
      </c>
      <c r="B81" s="28"/>
      <c r="C81" s="28"/>
      <c r="D81" s="28"/>
      <c r="E81" s="28"/>
    </row>
    <row r="82" spans="1:22" x14ac:dyDescent="0.25">
      <c r="A82" s="34" t="s">
        <v>76</v>
      </c>
      <c r="B82" s="28"/>
      <c r="C82" s="28"/>
      <c r="D82" s="28"/>
      <c r="E82" s="29" t="s">
        <v>77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4" t="s">
        <v>78</v>
      </c>
      <c r="B83" s="28"/>
      <c r="C83" s="28"/>
      <c r="D83" s="28"/>
      <c r="E83" s="29" t="s">
        <v>79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4" t="s">
        <v>80</v>
      </c>
      <c r="B84" s="28"/>
      <c r="C84" s="28"/>
      <c r="D84" s="28"/>
      <c r="E84" s="29" t="s">
        <v>81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4" t="s">
        <v>82</v>
      </c>
      <c r="B85" s="28"/>
      <c r="C85" s="28"/>
      <c r="D85" s="28"/>
      <c r="E85" s="29" t="s">
        <v>83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4" t="s">
        <v>84</v>
      </c>
      <c r="B86" s="28"/>
      <c r="C86" s="28"/>
      <c r="D86" s="28"/>
      <c r="E86" s="29" t="s">
        <v>85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4" t="s">
        <v>52</v>
      </c>
      <c r="B87" s="28"/>
      <c r="C87" s="28"/>
      <c r="D87" s="28"/>
      <c r="E87" s="29" t="s">
        <v>86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4" t="s">
        <v>87</v>
      </c>
      <c r="B88" s="28"/>
      <c r="C88" s="28"/>
      <c r="D88" s="28"/>
      <c r="E88" s="29" t="s">
        <v>88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4" t="s">
        <v>89</v>
      </c>
      <c r="B89" s="28"/>
      <c r="C89" s="28"/>
      <c r="D89" s="28"/>
      <c r="E89" s="29" t="s">
        <v>90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4" t="s">
        <v>11</v>
      </c>
      <c r="B90" s="28"/>
      <c r="C90" s="28"/>
      <c r="D90" s="28"/>
      <c r="E90" s="29" t="s">
        <v>91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</sheetData>
  <sheetProtection formatCells="0"/>
  <mergeCells count="58">
    <mergeCell ref="E88:V88"/>
    <mergeCell ref="G72:K72"/>
    <mergeCell ref="F78:J78"/>
    <mergeCell ref="E82:V82"/>
    <mergeCell ref="A73:E73"/>
    <mergeCell ref="A78:E78"/>
    <mergeCell ref="A4:V4"/>
    <mergeCell ref="A79:E79"/>
    <mergeCell ref="A43:V43"/>
    <mergeCell ref="A2:F2"/>
    <mergeCell ref="S6:U6"/>
    <mergeCell ref="K2:M2"/>
    <mergeCell ref="A77:E77"/>
    <mergeCell ref="E90:V90"/>
    <mergeCell ref="A83:D83"/>
    <mergeCell ref="E86:V86"/>
    <mergeCell ref="N2:O2"/>
    <mergeCell ref="P2:Q2"/>
    <mergeCell ref="E89:V89"/>
    <mergeCell ref="A82:D82"/>
    <mergeCell ref="E85:V85"/>
    <mergeCell ref="A88:D88"/>
    <mergeCell ref="A90:D90"/>
    <mergeCell ref="A89:D89"/>
    <mergeCell ref="G2:H2"/>
    <mergeCell ref="E87:V87"/>
    <mergeCell ref="I2:J2"/>
    <mergeCell ref="A8:V8"/>
    <mergeCell ref="E84:V84"/>
    <mergeCell ref="W6:W7"/>
    <mergeCell ref="A75:E75"/>
    <mergeCell ref="E6:E7"/>
    <mergeCell ref="P78:R78"/>
    <mergeCell ref="B6:B7"/>
    <mergeCell ref="P6:R6"/>
    <mergeCell ref="M78:O78"/>
    <mergeCell ref="K78:L78"/>
    <mergeCell ref="F6:J6"/>
    <mergeCell ref="A6:A7"/>
    <mergeCell ref="S78:U78"/>
    <mergeCell ref="M6:O6"/>
    <mergeCell ref="V6:V7"/>
    <mergeCell ref="A1:V1"/>
    <mergeCell ref="A76:E76"/>
    <mergeCell ref="A87:D87"/>
    <mergeCell ref="T3:V3"/>
    <mergeCell ref="A84:D84"/>
    <mergeCell ref="G73:K73"/>
    <mergeCell ref="A81:E81"/>
    <mergeCell ref="A72:E72"/>
    <mergeCell ref="A86:D86"/>
    <mergeCell ref="A85:D85"/>
    <mergeCell ref="R2:V2"/>
    <mergeCell ref="A3:S3"/>
    <mergeCell ref="C6:C7"/>
    <mergeCell ref="K6:L6"/>
    <mergeCell ref="D6:D7"/>
    <mergeCell ref="E83:V83"/>
  </mergeCells>
  <conditionalFormatting sqref="F9:J70">
    <cfRule type="expression" dxfId="134" priority="1">
      <formula>AND(F9&lt;&gt;"",COUNTIF($F9:$J9,"X")&gt;1)</formula>
    </cfRule>
  </conditionalFormatting>
  <conditionalFormatting sqref="F78:U78">
    <cfRule type="expression" dxfId="133" priority="8">
      <formula>LEFT(F78,4)="ERRO"</formula>
    </cfRule>
    <cfRule type="expression" dxfId="132" priority="9">
      <formula>LEFT(F78,2)="OK"</formula>
    </cfRule>
  </conditionalFormatting>
  <conditionalFormatting sqref="K9:L70">
    <cfRule type="expression" dxfId="131" priority="2">
      <formula>AND(K9&lt;&gt;"",COUNTIF($K9:$L9,"X")&gt;1)</formula>
    </cfRule>
  </conditionalFormatting>
  <conditionalFormatting sqref="M9:O70">
    <cfRule type="expression" dxfId="130" priority="3">
      <formula>AND(M9&lt;&gt;"",COUNTIF($M9:$O9,"X")&gt;1)</formula>
    </cfRule>
  </conditionalFormatting>
  <conditionalFormatting sqref="P9:R70">
    <cfRule type="expression" dxfId="129" priority="4">
      <formula>AND(P9&lt;&gt;"",COUNTIF($P9:$R9,"X")&gt;1)</formula>
    </cfRule>
  </conditionalFormatting>
  <conditionalFormatting sqref="S9:U70">
    <cfRule type="expression" dxfId="128" priority="5">
      <formula>AND(S9&lt;&gt;"",COUNTIF($S9:$U9,"X")&gt;1)</formula>
    </cfRule>
  </conditionalFormatting>
  <conditionalFormatting sqref="W9:W70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0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0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0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0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0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70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44</oddHeader>
    <oddFooter>&amp;L&amp;7 RTA / MSI — Programa de Manutenção Rodoviária&amp;C&amp;7 Página &amp;P de &amp;N&amp;R&amp;7 Impresso em &amp;D</oddFooter>
  </headerFooter>
  <rowBreaks count="1" manualBreakCount="1">
    <brk id="73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N73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IF(F59=0,NA(),F59)</f>
        <v>15.934190184</v>
      </c>
      <c r="Z2" s="2" t="e">
        <f t="shared" si="0"/>
        <v>#N/A</v>
      </c>
      <c r="AA2" s="2">
        <f t="shared" si="0"/>
        <v>26.677212393000001</v>
      </c>
      <c r="AB2" s="2" t="e">
        <f t="shared" si="0"/>
        <v>#N/A</v>
      </c>
      <c r="AC2" s="2" t="e">
        <f t="shared" si="0"/>
        <v>#N/A</v>
      </c>
      <c r="AD2" s="2">
        <f t="shared" si="0"/>
        <v>3</v>
      </c>
      <c r="AE2" s="2">
        <f t="shared" si="0"/>
        <v>39.611402577000007</v>
      </c>
      <c r="AF2" s="2" t="e">
        <f t="shared" si="0"/>
        <v>#N/A</v>
      </c>
      <c r="AG2" s="2">
        <f t="shared" si="0"/>
        <v>42.611402577000007</v>
      </c>
      <c r="AH2" s="2" t="e">
        <f t="shared" si="0"/>
        <v>#N/A</v>
      </c>
      <c r="AI2" s="2">
        <f t="shared" si="0"/>
        <v>6</v>
      </c>
      <c r="AJ2" s="2" t="e">
        <f t="shared" si="0"/>
        <v>#N/A</v>
      </c>
      <c r="AK2" s="2">
        <f t="shared" si="0"/>
        <v>36.611402577000007</v>
      </c>
      <c r="AL2" s="2" t="e">
        <f t="shared" si="0"/>
        <v>#N/A</v>
      </c>
      <c r="AM2" s="2">
        <f t="shared" si="0"/>
        <v>42.611402577000007</v>
      </c>
      <c r="AN2" s="2" t="e">
        <f t="shared" si="0"/>
        <v>#N/A</v>
      </c>
    </row>
    <row r="3" spans="1:40" ht="15" customHeight="1" x14ac:dyDescent="0.25">
      <c r="A3" s="42" t="s">
        <v>136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137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138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139</v>
      </c>
      <c r="B9" s="13" t="s">
        <v>60</v>
      </c>
      <c r="C9" s="14">
        <v>0</v>
      </c>
      <c r="D9" s="14">
        <v>1</v>
      </c>
      <c r="E9" s="14">
        <f t="shared" ref="E9:E26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/>
      <c r="R9" s="15" t="s">
        <v>61</v>
      </c>
      <c r="S9" s="15"/>
      <c r="T9" s="15" t="s">
        <v>61</v>
      </c>
      <c r="U9" s="15"/>
      <c r="V9" s="16"/>
      <c r="W9" s="17" t="str">
        <f t="shared" ref="W9:W2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139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139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61</v>
      </c>
      <c r="I11" s="15"/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139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61</v>
      </c>
      <c r="I12" s="15"/>
      <c r="J12" s="15"/>
      <c r="K12" s="15"/>
      <c r="L12" s="15" t="s">
        <v>61</v>
      </c>
      <c r="M12" s="15"/>
      <c r="N12" s="15" t="s">
        <v>250</v>
      </c>
      <c r="O12" s="15"/>
      <c r="P12" s="15"/>
      <c r="Q12" s="15"/>
      <c r="R12" s="15" t="s">
        <v>61</v>
      </c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139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61</v>
      </c>
      <c r="I13" s="15"/>
      <c r="J13" s="15"/>
      <c r="K13" s="15"/>
      <c r="L13" s="15" t="s">
        <v>61</v>
      </c>
      <c r="M13" s="15"/>
      <c r="N13" s="15" t="s">
        <v>250</v>
      </c>
      <c r="O13" s="15"/>
      <c r="P13" s="15"/>
      <c r="Q13" s="15"/>
      <c r="R13" s="15" t="s">
        <v>61</v>
      </c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139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61</v>
      </c>
      <c r="I14" s="15"/>
      <c r="J14" s="15"/>
      <c r="K14" s="15"/>
      <c r="L14" s="15" t="s">
        <v>61</v>
      </c>
      <c r="M14" s="15"/>
      <c r="N14" s="15" t="s">
        <v>61</v>
      </c>
      <c r="O14" s="15"/>
      <c r="P14" s="15"/>
      <c r="Q14" s="15"/>
      <c r="R14" s="15" t="s">
        <v>61</v>
      </c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139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61</v>
      </c>
      <c r="I15" s="15"/>
      <c r="J15" s="15"/>
      <c r="K15" s="15"/>
      <c r="L15" s="15" t="s">
        <v>61</v>
      </c>
      <c r="M15" s="15"/>
      <c r="N15" s="15" t="s">
        <v>61</v>
      </c>
      <c r="O15" s="15"/>
      <c r="P15" s="15"/>
      <c r="Q15" s="15"/>
      <c r="R15" s="15" t="s">
        <v>61</v>
      </c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139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/>
      <c r="L16" s="15" t="s">
        <v>61</v>
      </c>
      <c r="M16" s="15"/>
      <c r="N16" s="15" t="s">
        <v>61</v>
      </c>
      <c r="O16" s="15"/>
      <c r="P16" s="15"/>
      <c r="Q16" s="15"/>
      <c r="R16" s="15" t="s">
        <v>61</v>
      </c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139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61</v>
      </c>
      <c r="I17" s="15"/>
      <c r="J17" s="15"/>
      <c r="K17" s="15"/>
      <c r="L17" s="15" t="s">
        <v>61</v>
      </c>
      <c r="M17" s="15"/>
      <c r="N17" s="15" t="s">
        <v>61</v>
      </c>
      <c r="O17" s="15"/>
      <c r="P17" s="15"/>
      <c r="Q17" s="15"/>
      <c r="R17" s="15" t="s">
        <v>61</v>
      </c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139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61</v>
      </c>
      <c r="I18" s="15"/>
      <c r="J18" s="15"/>
      <c r="K18" s="15"/>
      <c r="L18" s="15" t="s">
        <v>61</v>
      </c>
      <c r="M18" s="15"/>
      <c r="N18" s="15" t="s">
        <v>250</v>
      </c>
      <c r="O18" s="15"/>
      <c r="P18" s="15"/>
      <c r="Q18" s="15"/>
      <c r="R18" s="15" t="s">
        <v>61</v>
      </c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139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61</v>
      </c>
      <c r="I19" s="15"/>
      <c r="J19" s="15"/>
      <c r="K19" s="15"/>
      <c r="L19" s="15" t="s">
        <v>61</v>
      </c>
      <c r="M19" s="15"/>
      <c r="N19" s="15" t="s">
        <v>61</v>
      </c>
      <c r="O19" s="15"/>
      <c r="P19" s="15"/>
      <c r="Q19" s="15"/>
      <c r="R19" s="15" t="s">
        <v>61</v>
      </c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139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61</v>
      </c>
      <c r="I20" s="15"/>
      <c r="J20" s="15"/>
      <c r="K20" s="15"/>
      <c r="L20" s="15" t="s">
        <v>61</v>
      </c>
      <c r="M20" s="15"/>
      <c r="N20" s="15" t="s">
        <v>61</v>
      </c>
      <c r="O20" s="15"/>
      <c r="P20" s="15"/>
      <c r="Q20" s="15"/>
      <c r="R20" s="15" t="s">
        <v>61</v>
      </c>
      <c r="S20" s="15"/>
      <c r="T20" s="15" t="s">
        <v>61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139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61</v>
      </c>
      <c r="I21" s="15"/>
      <c r="J21" s="15"/>
      <c r="K21" s="15"/>
      <c r="L21" s="15" t="s">
        <v>61</v>
      </c>
      <c r="M21" s="15"/>
      <c r="N21" s="15" t="s">
        <v>61</v>
      </c>
      <c r="O21" s="15"/>
      <c r="P21" s="15"/>
      <c r="Q21" s="15"/>
      <c r="R21" s="15" t="s">
        <v>61</v>
      </c>
      <c r="S21" s="15"/>
      <c r="T21" s="15" t="s">
        <v>61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139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61</v>
      </c>
      <c r="I22" s="15"/>
      <c r="J22" s="15"/>
      <c r="K22" s="15"/>
      <c r="L22" s="15" t="s">
        <v>61</v>
      </c>
      <c r="M22" s="15"/>
      <c r="N22" s="15" t="s">
        <v>61</v>
      </c>
      <c r="O22" s="15"/>
      <c r="P22" s="15"/>
      <c r="Q22" s="15"/>
      <c r="R22" s="15" t="s">
        <v>61</v>
      </c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139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61</v>
      </c>
      <c r="I23" s="15"/>
      <c r="J23" s="15"/>
      <c r="K23" s="15"/>
      <c r="L23" s="15" t="s">
        <v>61</v>
      </c>
      <c r="M23" s="15"/>
      <c r="N23" s="15" t="s">
        <v>250</v>
      </c>
      <c r="O23" s="15"/>
      <c r="P23" s="15"/>
      <c r="Q23" s="15"/>
      <c r="R23" s="15" t="s">
        <v>61</v>
      </c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139</v>
      </c>
      <c r="B24" s="13" t="s">
        <v>60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61</v>
      </c>
      <c r="I24" s="15"/>
      <c r="J24" s="15"/>
      <c r="K24" s="15"/>
      <c r="L24" s="15" t="s">
        <v>61</v>
      </c>
      <c r="M24" s="15"/>
      <c r="N24" s="15" t="s">
        <v>61</v>
      </c>
      <c r="O24" s="15"/>
      <c r="P24" s="15"/>
      <c r="Q24" s="15"/>
      <c r="R24" s="15" t="s">
        <v>61</v>
      </c>
      <c r="S24" s="15"/>
      <c r="T24" s="15" t="s">
        <v>61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139</v>
      </c>
      <c r="B25" s="13" t="s">
        <v>60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61</v>
      </c>
      <c r="I25" s="15"/>
      <c r="J25" s="15"/>
      <c r="K25" s="15"/>
      <c r="L25" s="15" t="s">
        <v>61</v>
      </c>
      <c r="M25" s="15"/>
      <c r="N25" s="15" t="s">
        <v>61</v>
      </c>
      <c r="O25" s="15"/>
      <c r="P25" s="15"/>
      <c r="Q25" s="15"/>
      <c r="R25" s="15" t="s">
        <v>61</v>
      </c>
      <c r="S25" s="15"/>
      <c r="T25" s="15" t="s">
        <v>61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8" t="s">
        <v>139</v>
      </c>
      <c r="B26" s="19" t="s">
        <v>60</v>
      </c>
      <c r="C26" s="20">
        <v>17</v>
      </c>
      <c r="D26" s="20">
        <v>17.705565414300001</v>
      </c>
      <c r="E26" s="20">
        <f t="shared" si="1"/>
        <v>0.70556541430000053</v>
      </c>
      <c r="F26" s="21"/>
      <c r="G26" s="21"/>
      <c r="H26" s="21" t="s">
        <v>61</v>
      </c>
      <c r="I26" s="21"/>
      <c r="J26" s="21"/>
      <c r="K26" s="21"/>
      <c r="L26" s="21" t="s">
        <v>61</v>
      </c>
      <c r="M26" s="21"/>
      <c r="N26" s="15" t="s">
        <v>61</v>
      </c>
      <c r="O26" s="21"/>
      <c r="P26" s="21"/>
      <c r="Q26" s="21"/>
      <c r="R26" s="21" t="s">
        <v>61</v>
      </c>
      <c r="S26" s="21"/>
      <c r="T26" s="21" t="s">
        <v>61</v>
      </c>
      <c r="U26" s="21"/>
      <c r="V26" s="22"/>
      <c r="W26" s="23" t="str">
        <f t="shared" si="2"/>
        <v>OK</v>
      </c>
    </row>
    <row r="27" spans="1:23" ht="15.95" customHeight="1" x14ac:dyDescent="0.25">
      <c r="A27" s="46" t="s">
        <v>140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3"/>
      <c r="W27" s="4"/>
    </row>
    <row r="28" spans="1:23" ht="20.100000000000001" customHeight="1" x14ac:dyDescent="0.25">
      <c r="A28" s="12" t="s">
        <v>141</v>
      </c>
      <c r="B28" s="13" t="s">
        <v>60</v>
      </c>
      <c r="C28" s="14">
        <v>0</v>
      </c>
      <c r="D28" s="14">
        <v>1</v>
      </c>
      <c r="E28" s="14">
        <f t="shared" ref="E28:E39" si="3">D28-C28</f>
        <v>1</v>
      </c>
      <c r="F28" s="15"/>
      <c r="G28" s="15"/>
      <c r="H28" s="15" t="s">
        <v>61</v>
      </c>
      <c r="I28" s="15"/>
      <c r="J28" s="15"/>
      <c r="K28" s="15"/>
      <c r="L28" s="15" t="s">
        <v>61</v>
      </c>
      <c r="M28" s="15"/>
      <c r="N28" s="15" t="s">
        <v>61</v>
      </c>
      <c r="O28" s="15"/>
      <c r="P28" s="15" t="s">
        <v>61</v>
      </c>
      <c r="Q28" s="15"/>
      <c r="R28" s="15"/>
      <c r="S28" s="15"/>
      <c r="T28" s="15" t="s">
        <v>61</v>
      </c>
      <c r="U28" s="15"/>
      <c r="V28" s="16"/>
      <c r="W28" s="17" t="str">
        <f t="shared" ref="W28:W39" si="4"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2" t="s">
        <v>141</v>
      </c>
      <c r="B29" s="13" t="s">
        <v>60</v>
      </c>
      <c r="C29" s="14">
        <v>1</v>
      </c>
      <c r="D29" s="14">
        <v>2</v>
      </c>
      <c r="E29" s="14">
        <f t="shared" si="3"/>
        <v>1</v>
      </c>
      <c r="F29" s="15"/>
      <c r="G29" s="15"/>
      <c r="H29" s="15" t="s">
        <v>61</v>
      </c>
      <c r="I29" s="15"/>
      <c r="J29" s="15"/>
      <c r="K29" s="15"/>
      <c r="L29" s="15" t="s">
        <v>61</v>
      </c>
      <c r="M29" s="15"/>
      <c r="N29" s="15" t="s">
        <v>61</v>
      </c>
      <c r="O29" s="15"/>
      <c r="P29" s="15" t="s">
        <v>61</v>
      </c>
      <c r="Q29" s="15"/>
      <c r="R29" s="15"/>
      <c r="S29" s="15"/>
      <c r="T29" s="15" t="s">
        <v>61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141</v>
      </c>
      <c r="B30" s="13" t="s">
        <v>60</v>
      </c>
      <c r="C30" s="14">
        <v>2</v>
      </c>
      <c r="D30" s="14">
        <v>3</v>
      </c>
      <c r="E30" s="14">
        <f t="shared" si="3"/>
        <v>1</v>
      </c>
      <c r="F30" s="15"/>
      <c r="G30" s="15"/>
      <c r="H30" s="15" t="s">
        <v>61</v>
      </c>
      <c r="I30" s="15"/>
      <c r="J30" s="15"/>
      <c r="K30" s="15"/>
      <c r="L30" s="15" t="s">
        <v>61</v>
      </c>
      <c r="M30" s="15"/>
      <c r="N30" s="15" t="s">
        <v>61</v>
      </c>
      <c r="O30" s="15"/>
      <c r="P30" s="15" t="s">
        <v>61</v>
      </c>
      <c r="Q30" s="15"/>
      <c r="R30" s="15"/>
      <c r="S30" s="15"/>
      <c r="T30" s="15" t="s">
        <v>61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141</v>
      </c>
      <c r="B31" s="13" t="s">
        <v>60</v>
      </c>
      <c r="C31" s="14">
        <v>3</v>
      </c>
      <c r="D31" s="14">
        <v>4</v>
      </c>
      <c r="E31" s="14">
        <f t="shared" si="3"/>
        <v>1</v>
      </c>
      <c r="F31" s="15"/>
      <c r="G31" s="15"/>
      <c r="H31" s="15" t="s">
        <v>61</v>
      </c>
      <c r="I31" s="15"/>
      <c r="J31" s="15"/>
      <c r="K31" s="15"/>
      <c r="L31" s="15" t="s">
        <v>61</v>
      </c>
      <c r="M31" s="15"/>
      <c r="N31" s="15" t="s">
        <v>61</v>
      </c>
      <c r="O31" s="15"/>
      <c r="P31" s="15" t="s">
        <v>61</v>
      </c>
      <c r="Q31" s="15"/>
      <c r="R31" s="15"/>
      <c r="S31" s="15"/>
      <c r="T31" s="15" t="s">
        <v>61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141</v>
      </c>
      <c r="B32" s="13" t="s">
        <v>60</v>
      </c>
      <c r="C32" s="14">
        <v>4</v>
      </c>
      <c r="D32" s="14">
        <v>5</v>
      </c>
      <c r="E32" s="14">
        <f t="shared" si="3"/>
        <v>1</v>
      </c>
      <c r="F32" s="15"/>
      <c r="G32" s="15"/>
      <c r="H32" s="15" t="s">
        <v>61</v>
      </c>
      <c r="I32" s="15"/>
      <c r="J32" s="15"/>
      <c r="K32" s="15"/>
      <c r="L32" s="15" t="s">
        <v>61</v>
      </c>
      <c r="M32" s="15"/>
      <c r="N32" s="15" t="s">
        <v>61</v>
      </c>
      <c r="O32" s="15"/>
      <c r="P32" s="15" t="s">
        <v>61</v>
      </c>
      <c r="Q32" s="15"/>
      <c r="R32" s="15"/>
      <c r="S32" s="15"/>
      <c r="T32" s="15" t="s">
        <v>61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141</v>
      </c>
      <c r="B33" s="13" t="s">
        <v>60</v>
      </c>
      <c r="C33" s="14">
        <v>5</v>
      </c>
      <c r="D33" s="14">
        <v>6</v>
      </c>
      <c r="E33" s="14">
        <f t="shared" si="3"/>
        <v>1</v>
      </c>
      <c r="F33" s="15"/>
      <c r="G33" s="15"/>
      <c r="H33" s="15" t="s">
        <v>61</v>
      </c>
      <c r="I33" s="15"/>
      <c r="J33" s="15"/>
      <c r="K33" s="15"/>
      <c r="L33" s="15" t="s">
        <v>61</v>
      </c>
      <c r="M33" s="15"/>
      <c r="N33" s="15" t="s">
        <v>61</v>
      </c>
      <c r="O33" s="15"/>
      <c r="P33" s="15" t="s">
        <v>61</v>
      </c>
      <c r="Q33" s="15"/>
      <c r="R33" s="15"/>
      <c r="S33" s="15"/>
      <c r="T33" s="15" t="s">
        <v>61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141</v>
      </c>
      <c r="B34" s="13" t="s">
        <v>60</v>
      </c>
      <c r="C34" s="14">
        <v>6</v>
      </c>
      <c r="D34" s="14">
        <v>7</v>
      </c>
      <c r="E34" s="14">
        <f t="shared" si="3"/>
        <v>1</v>
      </c>
      <c r="F34" s="15"/>
      <c r="G34" s="15"/>
      <c r="H34" s="15" t="s">
        <v>61</v>
      </c>
      <c r="I34" s="15"/>
      <c r="J34" s="15"/>
      <c r="K34" s="15"/>
      <c r="L34" s="15" t="s">
        <v>61</v>
      </c>
      <c r="M34" s="15"/>
      <c r="N34" s="15" t="s">
        <v>61</v>
      </c>
      <c r="O34" s="15"/>
      <c r="P34" s="15"/>
      <c r="Q34" s="15"/>
      <c r="R34" s="15" t="s">
        <v>61</v>
      </c>
      <c r="S34" s="15"/>
      <c r="T34" s="15" t="s">
        <v>61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141</v>
      </c>
      <c r="B35" s="13" t="s">
        <v>60</v>
      </c>
      <c r="C35" s="14">
        <v>7</v>
      </c>
      <c r="D35" s="14">
        <v>8</v>
      </c>
      <c r="E35" s="14">
        <f t="shared" si="3"/>
        <v>1</v>
      </c>
      <c r="F35" s="15"/>
      <c r="G35" s="15"/>
      <c r="H35" s="15" t="s">
        <v>61</v>
      </c>
      <c r="I35" s="15"/>
      <c r="J35" s="15"/>
      <c r="K35" s="15"/>
      <c r="L35" s="15" t="s">
        <v>61</v>
      </c>
      <c r="M35" s="15"/>
      <c r="N35" s="15" t="s">
        <v>61</v>
      </c>
      <c r="O35" s="15"/>
      <c r="P35" s="15"/>
      <c r="Q35" s="15"/>
      <c r="R35" s="15" t="s">
        <v>61</v>
      </c>
      <c r="S35" s="15"/>
      <c r="T35" s="15" t="s">
        <v>61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141</v>
      </c>
      <c r="B36" s="13" t="s">
        <v>60</v>
      </c>
      <c r="C36" s="14">
        <v>8</v>
      </c>
      <c r="D36" s="14">
        <v>9</v>
      </c>
      <c r="E36" s="14">
        <f t="shared" si="3"/>
        <v>1</v>
      </c>
      <c r="F36" s="15"/>
      <c r="G36" s="15"/>
      <c r="H36" s="15" t="s">
        <v>61</v>
      </c>
      <c r="I36" s="15"/>
      <c r="J36" s="15"/>
      <c r="K36" s="15"/>
      <c r="L36" s="15" t="s">
        <v>61</v>
      </c>
      <c r="M36" s="15"/>
      <c r="N36" s="15" t="s">
        <v>61</v>
      </c>
      <c r="O36" s="15"/>
      <c r="P36" s="15"/>
      <c r="Q36" s="15"/>
      <c r="R36" s="15" t="s">
        <v>61</v>
      </c>
      <c r="S36" s="15"/>
      <c r="T36" s="15" t="s">
        <v>61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141</v>
      </c>
      <c r="B37" s="13" t="s">
        <v>60</v>
      </c>
      <c r="C37" s="14">
        <v>9</v>
      </c>
      <c r="D37" s="14">
        <v>10</v>
      </c>
      <c r="E37" s="14">
        <f t="shared" si="3"/>
        <v>1</v>
      </c>
      <c r="F37" s="15"/>
      <c r="G37" s="15"/>
      <c r="H37" s="15" t="s">
        <v>61</v>
      </c>
      <c r="I37" s="15"/>
      <c r="J37" s="15"/>
      <c r="K37" s="15"/>
      <c r="L37" s="15" t="s">
        <v>61</v>
      </c>
      <c r="M37" s="15"/>
      <c r="N37" s="15" t="s">
        <v>61</v>
      </c>
      <c r="O37" s="15"/>
      <c r="P37" s="15"/>
      <c r="Q37" s="15"/>
      <c r="R37" s="15" t="s">
        <v>61</v>
      </c>
      <c r="S37" s="15"/>
      <c r="T37" s="15" t="s">
        <v>61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141</v>
      </c>
      <c r="B38" s="13" t="s">
        <v>60</v>
      </c>
      <c r="C38" s="14">
        <v>10</v>
      </c>
      <c r="D38" s="14">
        <v>11</v>
      </c>
      <c r="E38" s="14">
        <f t="shared" si="3"/>
        <v>1</v>
      </c>
      <c r="F38" s="15"/>
      <c r="G38" s="15"/>
      <c r="H38" s="15" t="s">
        <v>61</v>
      </c>
      <c r="I38" s="15"/>
      <c r="J38" s="15"/>
      <c r="K38" s="15"/>
      <c r="L38" s="15" t="s">
        <v>61</v>
      </c>
      <c r="M38" s="15"/>
      <c r="N38" s="15" t="s">
        <v>61</v>
      </c>
      <c r="O38" s="15"/>
      <c r="P38" s="15"/>
      <c r="Q38" s="15"/>
      <c r="R38" s="15" t="s">
        <v>61</v>
      </c>
      <c r="S38" s="15"/>
      <c r="T38" s="15" t="s">
        <v>61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141</v>
      </c>
      <c r="B39" s="19" t="s">
        <v>60</v>
      </c>
      <c r="C39" s="20">
        <v>11</v>
      </c>
      <c r="D39" s="20">
        <v>11.971646978700001</v>
      </c>
      <c r="E39" s="20">
        <f t="shared" si="3"/>
        <v>0.97164697870000083</v>
      </c>
      <c r="F39" s="21"/>
      <c r="G39" s="21"/>
      <c r="H39" s="21" t="s">
        <v>61</v>
      </c>
      <c r="I39" s="21"/>
      <c r="J39" s="21"/>
      <c r="K39" s="21"/>
      <c r="L39" s="21" t="s">
        <v>61</v>
      </c>
      <c r="M39" s="21"/>
      <c r="N39" s="21" t="s">
        <v>61</v>
      </c>
      <c r="O39" s="21"/>
      <c r="P39" s="21"/>
      <c r="Q39" s="21"/>
      <c r="R39" s="21" t="s">
        <v>61</v>
      </c>
      <c r="S39" s="21"/>
      <c r="T39" s="21" t="s">
        <v>61</v>
      </c>
      <c r="U39" s="21"/>
      <c r="V39" s="22"/>
      <c r="W39" s="23" t="str">
        <f t="shared" si="4"/>
        <v>OK</v>
      </c>
    </row>
    <row r="40" spans="1:23" ht="15.95" customHeight="1" x14ac:dyDescent="0.25">
      <c r="A40" s="46" t="s">
        <v>142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4"/>
    </row>
    <row r="41" spans="1:23" ht="20.100000000000001" customHeight="1" x14ac:dyDescent="0.25">
      <c r="A41" s="12" t="s">
        <v>143</v>
      </c>
      <c r="B41" s="13" t="s">
        <v>60</v>
      </c>
      <c r="C41" s="14">
        <v>0</v>
      </c>
      <c r="D41" s="14">
        <v>1</v>
      </c>
      <c r="E41" s="14">
        <f t="shared" ref="E41:E53" si="5">D41-C41</f>
        <v>1</v>
      </c>
      <c r="F41" s="15" t="s">
        <v>61</v>
      </c>
      <c r="G41" s="15"/>
      <c r="H41" s="15"/>
      <c r="I41" s="15"/>
      <c r="J41" s="15"/>
      <c r="K41" s="15"/>
      <c r="L41" s="15" t="s">
        <v>61</v>
      </c>
      <c r="M41" s="15"/>
      <c r="N41" s="15" t="s">
        <v>61</v>
      </c>
      <c r="O41" s="15"/>
      <c r="P41" s="15"/>
      <c r="Q41" s="15"/>
      <c r="R41" s="15" t="s">
        <v>61</v>
      </c>
      <c r="S41" s="15"/>
      <c r="T41" s="15" t="s">
        <v>61</v>
      </c>
      <c r="U41" s="15"/>
      <c r="V41" s="16"/>
      <c r="W41" s="17" t="str">
        <f t="shared" ref="W41:W53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143</v>
      </c>
      <c r="B42" s="13" t="s">
        <v>60</v>
      </c>
      <c r="C42" s="14">
        <v>1</v>
      </c>
      <c r="D42" s="14">
        <v>2</v>
      </c>
      <c r="E42" s="14">
        <f t="shared" si="5"/>
        <v>1</v>
      </c>
      <c r="F42" s="15" t="s">
        <v>61</v>
      </c>
      <c r="G42" s="15"/>
      <c r="H42" s="15"/>
      <c r="I42" s="15"/>
      <c r="J42" s="15"/>
      <c r="K42" s="15"/>
      <c r="L42" s="15" t="s">
        <v>61</v>
      </c>
      <c r="M42" s="15"/>
      <c r="N42" s="15" t="s">
        <v>61</v>
      </c>
      <c r="O42" s="15"/>
      <c r="P42" s="15"/>
      <c r="Q42" s="15"/>
      <c r="R42" s="15" t="s">
        <v>61</v>
      </c>
      <c r="S42" s="15"/>
      <c r="T42" s="15" t="s">
        <v>61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143</v>
      </c>
      <c r="B43" s="13" t="s">
        <v>60</v>
      </c>
      <c r="C43" s="14">
        <v>2</v>
      </c>
      <c r="D43" s="14">
        <v>3</v>
      </c>
      <c r="E43" s="14">
        <f t="shared" si="5"/>
        <v>1</v>
      </c>
      <c r="F43" s="15" t="s">
        <v>61</v>
      </c>
      <c r="G43" s="15"/>
      <c r="H43" s="15"/>
      <c r="I43" s="15"/>
      <c r="J43" s="15"/>
      <c r="K43" s="15"/>
      <c r="L43" s="15" t="s">
        <v>61</v>
      </c>
      <c r="M43" s="15"/>
      <c r="N43" s="15" t="s">
        <v>61</v>
      </c>
      <c r="O43" s="15"/>
      <c r="P43" s="15"/>
      <c r="Q43" s="15"/>
      <c r="R43" s="15" t="s">
        <v>61</v>
      </c>
      <c r="S43" s="15"/>
      <c r="T43" s="15" t="s">
        <v>61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143</v>
      </c>
      <c r="B44" s="13" t="s">
        <v>60</v>
      </c>
      <c r="C44" s="14">
        <v>3</v>
      </c>
      <c r="D44" s="14">
        <v>4</v>
      </c>
      <c r="E44" s="14">
        <f t="shared" si="5"/>
        <v>1</v>
      </c>
      <c r="F44" s="15" t="s">
        <v>61</v>
      </c>
      <c r="G44" s="15"/>
      <c r="H44" s="15"/>
      <c r="I44" s="15"/>
      <c r="J44" s="15"/>
      <c r="K44" s="15"/>
      <c r="L44" s="15" t="s">
        <v>61</v>
      </c>
      <c r="M44" s="15"/>
      <c r="N44" s="15" t="s">
        <v>61</v>
      </c>
      <c r="O44" s="15"/>
      <c r="P44" s="15"/>
      <c r="Q44" s="15"/>
      <c r="R44" s="15" t="s">
        <v>61</v>
      </c>
      <c r="S44" s="15"/>
      <c r="T44" s="15" t="s">
        <v>61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143</v>
      </c>
      <c r="B45" s="13" t="s">
        <v>60</v>
      </c>
      <c r="C45" s="14">
        <v>4</v>
      </c>
      <c r="D45" s="14">
        <v>5</v>
      </c>
      <c r="E45" s="14">
        <f t="shared" si="5"/>
        <v>1</v>
      </c>
      <c r="F45" s="15" t="s">
        <v>61</v>
      </c>
      <c r="G45" s="15"/>
      <c r="H45" s="15"/>
      <c r="I45" s="15"/>
      <c r="J45" s="15"/>
      <c r="K45" s="15"/>
      <c r="L45" s="15" t="s">
        <v>61</v>
      </c>
      <c r="M45" s="15"/>
      <c r="N45" s="15" t="s">
        <v>61</v>
      </c>
      <c r="O45" s="15"/>
      <c r="P45" s="15"/>
      <c r="Q45" s="15"/>
      <c r="R45" s="15" t="s">
        <v>61</v>
      </c>
      <c r="S45" s="15"/>
      <c r="T45" s="15" t="s">
        <v>61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143</v>
      </c>
      <c r="B46" s="13" t="s">
        <v>60</v>
      </c>
      <c r="C46" s="14">
        <v>5</v>
      </c>
      <c r="D46" s="14">
        <v>6</v>
      </c>
      <c r="E46" s="14">
        <f t="shared" si="5"/>
        <v>1</v>
      </c>
      <c r="F46" s="15" t="s">
        <v>61</v>
      </c>
      <c r="G46" s="15"/>
      <c r="H46" s="15"/>
      <c r="I46" s="15"/>
      <c r="J46" s="15"/>
      <c r="K46" s="15"/>
      <c r="L46" s="15" t="s">
        <v>61</v>
      </c>
      <c r="M46" s="15"/>
      <c r="N46" s="15" t="s">
        <v>61</v>
      </c>
      <c r="O46" s="15"/>
      <c r="P46" s="15"/>
      <c r="Q46" s="15"/>
      <c r="R46" s="15" t="s">
        <v>61</v>
      </c>
      <c r="S46" s="15"/>
      <c r="T46" s="15" t="s">
        <v>61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143</v>
      </c>
      <c r="B47" s="13" t="s">
        <v>60</v>
      </c>
      <c r="C47" s="14">
        <v>6</v>
      </c>
      <c r="D47" s="14">
        <v>7</v>
      </c>
      <c r="E47" s="14">
        <f t="shared" si="5"/>
        <v>1</v>
      </c>
      <c r="F47" s="15" t="s">
        <v>61</v>
      </c>
      <c r="G47" s="15"/>
      <c r="H47" s="15"/>
      <c r="I47" s="15"/>
      <c r="J47" s="15"/>
      <c r="K47" s="15"/>
      <c r="L47" s="15" t="s">
        <v>61</v>
      </c>
      <c r="M47" s="15"/>
      <c r="N47" s="15" t="s">
        <v>61</v>
      </c>
      <c r="O47" s="15"/>
      <c r="P47" s="15"/>
      <c r="Q47" s="15"/>
      <c r="R47" s="15" t="s">
        <v>61</v>
      </c>
      <c r="S47" s="15"/>
      <c r="T47" s="15" t="s">
        <v>61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143</v>
      </c>
      <c r="B48" s="13" t="s">
        <v>60</v>
      </c>
      <c r="C48" s="14">
        <v>7</v>
      </c>
      <c r="D48" s="14">
        <v>8</v>
      </c>
      <c r="E48" s="14">
        <f t="shared" si="5"/>
        <v>1</v>
      </c>
      <c r="F48" s="15" t="s">
        <v>61</v>
      </c>
      <c r="G48" s="15"/>
      <c r="H48" s="15"/>
      <c r="I48" s="15"/>
      <c r="J48" s="15"/>
      <c r="K48" s="15"/>
      <c r="L48" s="15" t="s">
        <v>61</v>
      </c>
      <c r="M48" s="15"/>
      <c r="N48" s="15" t="s">
        <v>61</v>
      </c>
      <c r="O48" s="15"/>
      <c r="P48" s="15"/>
      <c r="Q48" s="15"/>
      <c r="R48" s="15" t="s">
        <v>61</v>
      </c>
      <c r="S48" s="15"/>
      <c r="T48" s="15" t="s">
        <v>61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143</v>
      </c>
      <c r="B49" s="13" t="s">
        <v>60</v>
      </c>
      <c r="C49" s="14">
        <v>8</v>
      </c>
      <c r="D49" s="14">
        <v>9</v>
      </c>
      <c r="E49" s="14">
        <f t="shared" si="5"/>
        <v>1</v>
      </c>
      <c r="F49" s="15" t="s">
        <v>61</v>
      </c>
      <c r="G49" s="15"/>
      <c r="H49" s="15"/>
      <c r="I49" s="15"/>
      <c r="J49" s="15"/>
      <c r="K49" s="15"/>
      <c r="L49" s="15" t="s">
        <v>61</v>
      </c>
      <c r="M49" s="15"/>
      <c r="N49" s="15" t="s">
        <v>61</v>
      </c>
      <c r="O49" s="15"/>
      <c r="P49" s="15"/>
      <c r="Q49" s="15"/>
      <c r="R49" s="15" t="s">
        <v>61</v>
      </c>
      <c r="S49" s="15"/>
      <c r="T49" s="15" t="s">
        <v>61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143</v>
      </c>
      <c r="B50" s="13" t="s">
        <v>60</v>
      </c>
      <c r="C50" s="14">
        <v>9</v>
      </c>
      <c r="D50" s="14">
        <v>10</v>
      </c>
      <c r="E50" s="14">
        <f t="shared" si="5"/>
        <v>1</v>
      </c>
      <c r="F50" s="15" t="s">
        <v>61</v>
      </c>
      <c r="G50" s="15"/>
      <c r="H50" s="15"/>
      <c r="I50" s="15"/>
      <c r="J50" s="15"/>
      <c r="K50" s="15"/>
      <c r="L50" s="15" t="s">
        <v>61</v>
      </c>
      <c r="M50" s="15"/>
      <c r="N50" s="15" t="s">
        <v>61</v>
      </c>
      <c r="O50" s="15"/>
      <c r="P50" s="15"/>
      <c r="Q50" s="15"/>
      <c r="R50" s="15" t="s">
        <v>61</v>
      </c>
      <c r="S50" s="15"/>
      <c r="T50" s="15" t="s">
        <v>61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143</v>
      </c>
      <c r="B51" s="13" t="s">
        <v>60</v>
      </c>
      <c r="C51" s="14">
        <v>10</v>
      </c>
      <c r="D51" s="14">
        <v>11</v>
      </c>
      <c r="E51" s="14">
        <f t="shared" si="5"/>
        <v>1</v>
      </c>
      <c r="F51" s="15" t="s">
        <v>61</v>
      </c>
      <c r="G51" s="15"/>
      <c r="H51" s="15"/>
      <c r="I51" s="15"/>
      <c r="J51" s="15"/>
      <c r="K51" s="15"/>
      <c r="L51" s="15" t="s">
        <v>61</v>
      </c>
      <c r="M51" s="15"/>
      <c r="N51" s="15" t="s">
        <v>61</v>
      </c>
      <c r="O51" s="15"/>
      <c r="P51" s="15"/>
      <c r="Q51" s="15"/>
      <c r="R51" s="15" t="s">
        <v>61</v>
      </c>
      <c r="S51" s="15"/>
      <c r="T51" s="15" t="s">
        <v>61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143</v>
      </c>
      <c r="B52" s="13" t="s">
        <v>60</v>
      </c>
      <c r="C52" s="14">
        <v>11</v>
      </c>
      <c r="D52" s="14">
        <v>12</v>
      </c>
      <c r="E52" s="14">
        <f t="shared" si="5"/>
        <v>1</v>
      </c>
      <c r="F52" s="15" t="s">
        <v>61</v>
      </c>
      <c r="G52" s="15"/>
      <c r="H52" s="15"/>
      <c r="I52" s="15"/>
      <c r="J52" s="15"/>
      <c r="K52" s="15"/>
      <c r="L52" s="15" t="s">
        <v>61</v>
      </c>
      <c r="M52" s="15"/>
      <c r="N52" s="15" t="s">
        <v>61</v>
      </c>
      <c r="O52" s="15"/>
      <c r="P52" s="15"/>
      <c r="Q52" s="15"/>
      <c r="R52" s="15" t="s">
        <v>61</v>
      </c>
      <c r="S52" s="15"/>
      <c r="T52" s="15" t="s">
        <v>61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8" t="s">
        <v>143</v>
      </c>
      <c r="B53" s="19" t="s">
        <v>60</v>
      </c>
      <c r="C53" s="20">
        <v>12</v>
      </c>
      <c r="D53" s="20">
        <v>12.934190184</v>
      </c>
      <c r="E53" s="20">
        <f t="shared" si="5"/>
        <v>0.9341901840000002</v>
      </c>
      <c r="F53" s="21" t="s">
        <v>61</v>
      </c>
      <c r="G53" s="21"/>
      <c r="H53" s="21"/>
      <c r="I53" s="21"/>
      <c r="J53" s="21"/>
      <c r="K53" s="21"/>
      <c r="L53" s="21" t="s">
        <v>61</v>
      </c>
      <c r="M53" s="21"/>
      <c r="N53" s="21" t="s">
        <v>61</v>
      </c>
      <c r="O53" s="21"/>
      <c r="P53" s="21"/>
      <c r="Q53" s="21"/>
      <c r="R53" s="21" t="s">
        <v>61</v>
      </c>
      <c r="S53" s="21"/>
      <c r="T53" s="21" t="s">
        <v>61</v>
      </c>
      <c r="U53" s="21"/>
      <c r="V53" s="22"/>
      <c r="W53" s="23" t="str">
        <f t="shared" si="6"/>
        <v>OK</v>
      </c>
    </row>
    <row r="55" spans="1:23" x14ac:dyDescent="0.25">
      <c r="A55" s="38" t="s">
        <v>67</v>
      </c>
      <c r="B55" s="28"/>
      <c r="C55" s="28"/>
      <c r="D55" s="28"/>
      <c r="E55" s="28"/>
      <c r="G55" s="38" t="s">
        <v>67</v>
      </c>
      <c r="H55" s="28"/>
      <c r="I55" s="28"/>
      <c r="J55" s="28"/>
      <c r="K55" s="28"/>
    </row>
    <row r="56" spans="1:23" x14ac:dyDescent="0.25">
      <c r="A56" s="36" t="s">
        <v>68</v>
      </c>
      <c r="B56" s="28"/>
      <c r="C56" s="28"/>
      <c r="D56" s="28"/>
      <c r="E56" s="28"/>
      <c r="G56" s="36" t="s">
        <v>69</v>
      </c>
      <c r="H56" s="28"/>
      <c r="I56" s="28"/>
      <c r="J56" s="28"/>
      <c r="K56" s="28"/>
    </row>
    <row r="58" spans="1:23" x14ac:dyDescent="0.25">
      <c r="A58" s="37" t="s">
        <v>70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4" t="s">
        <v>71</v>
      </c>
      <c r="B59" s="28"/>
      <c r="C59" s="28"/>
      <c r="D59" s="28"/>
      <c r="E59" s="28"/>
      <c r="F59" s="9">
        <f t="shared" ref="F59:U59" si="7">SUMIF(F$9:F$53,"X",$E$9:$E$53)</f>
        <v>15.934190184</v>
      </c>
      <c r="G59" s="9">
        <f t="shared" si="7"/>
        <v>0</v>
      </c>
      <c r="H59" s="9">
        <f t="shared" si="7"/>
        <v>26.677212393000001</v>
      </c>
      <c r="I59" s="9">
        <f t="shared" si="7"/>
        <v>0</v>
      </c>
      <c r="J59" s="9">
        <f t="shared" si="7"/>
        <v>0</v>
      </c>
      <c r="K59" s="9">
        <f t="shared" si="7"/>
        <v>3</v>
      </c>
      <c r="L59" s="9">
        <f t="shared" si="7"/>
        <v>39.611402577000007</v>
      </c>
      <c r="M59" s="9">
        <f t="shared" si="7"/>
        <v>0</v>
      </c>
      <c r="N59" s="9">
        <f t="shared" si="7"/>
        <v>42.611402577000007</v>
      </c>
      <c r="O59" s="9">
        <f t="shared" si="7"/>
        <v>0</v>
      </c>
      <c r="P59" s="9">
        <f t="shared" si="7"/>
        <v>6</v>
      </c>
      <c r="Q59" s="9">
        <f t="shared" si="7"/>
        <v>0</v>
      </c>
      <c r="R59" s="9">
        <f t="shared" si="7"/>
        <v>36.611402577000007</v>
      </c>
      <c r="S59" s="9">
        <f t="shared" si="7"/>
        <v>0</v>
      </c>
      <c r="T59" s="9">
        <f t="shared" si="7"/>
        <v>42.611402577000007</v>
      </c>
      <c r="U59" s="9">
        <f t="shared" si="7"/>
        <v>0</v>
      </c>
    </row>
    <row r="60" spans="1:23" x14ac:dyDescent="0.25">
      <c r="A60" s="34" t="s">
        <v>72</v>
      </c>
      <c r="B60" s="28"/>
      <c r="C60" s="28"/>
      <c r="D60" s="28"/>
      <c r="E60" s="28"/>
      <c r="F60" s="25">
        <f t="shared" ref="F60:U60" si="8">IF($R62=0,0,F59/$R62)</f>
        <v>0.37394193151015082</v>
      </c>
      <c r="G60" s="25">
        <f t="shared" si="8"/>
        <v>0</v>
      </c>
      <c r="H60" s="25">
        <f t="shared" si="8"/>
        <v>0.62605806848984902</v>
      </c>
      <c r="I60" s="25">
        <f t="shared" si="8"/>
        <v>0</v>
      </c>
      <c r="J60" s="25">
        <f t="shared" si="8"/>
        <v>0</v>
      </c>
      <c r="K60" s="25">
        <f t="shared" si="8"/>
        <v>7.0403690528114279E-2</v>
      </c>
      <c r="L60" s="25">
        <f t="shared" si="8"/>
        <v>0.92959630947188576</v>
      </c>
      <c r="M60" s="25">
        <f t="shared" si="8"/>
        <v>0</v>
      </c>
      <c r="N60" s="25">
        <f t="shared" si="8"/>
        <v>1</v>
      </c>
      <c r="O60" s="25">
        <f t="shared" si="8"/>
        <v>0</v>
      </c>
      <c r="P60" s="25">
        <f t="shared" si="8"/>
        <v>0.14080738105622856</v>
      </c>
      <c r="Q60" s="25">
        <f t="shared" si="8"/>
        <v>0</v>
      </c>
      <c r="R60" s="25">
        <f t="shared" si="8"/>
        <v>0.85919261894377141</v>
      </c>
      <c r="S60" s="25">
        <f t="shared" si="8"/>
        <v>0</v>
      </c>
      <c r="T60" s="25">
        <f t="shared" si="8"/>
        <v>1</v>
      </c>
      <c r="U60" s="25">
        <f t="shared" si="8"/>
        <v>0</v>
      </c>
    </row>
    <row r="61" spans="1:23" x14ac:dyDescent="0.25">
      <c r="A61" s="34" t="s">
        <v>73</v>
      </c>
      <c r="B61" s="28"/>
      <c r="C61" s="28"/>
      <c r="D61" s="28"/>
      <c r="E61" s="28"/>
      <c r="F61" s="31" t="str">
        <f>IF(SUM(F59:J59)=0,"— não preenchido",IF(ROUND(SUM(F59:J59)-$R62,3)=0,"OK — "&amp;ROUND(SUM(F59:J59),3)&amp;" km","ERRO — dif. de "&amp;ROUND(SUM(F59:J59)-$R62,3)&amp;" km"))</f>
        <v>OK — 42,611 km</v>
      </c>
      <c r="G61" s="32"/>
      <c r="H61" s="32"/>
      <c r="I61" s="32"/>
      <c r="J61" s="33"/>
      <c r="K61" s="31" t="str">
        <f>IF(SUM(K59:L59)=0,"— não preenchido",IF(ROUND(SUM(K59:L59)-$R62,3)=0,"OK — "&amp;ROUND(SUM(K59:L59),3)&amp;" km","ERRO — dif. de "&amp;ROUND(SUM(K59:L59)-$R62,3)&amp;" km"))</f>
        <v>OK — 42,611 km</v>
      </c>
      <c r="L61" s="33"/>
      <c r="M61" s="31" t="str">
        <f>IF(SUM(M59:O59)=0,"— não preenchido",IF(ROUND(SUM(M59:O59)-$R62,3)=0,"OK — "&amp;ROUND(SUM(M59:O59),3)&amp;" km","ERRO — dif. de "&amp;ROUND(SUM(M59:O59)-$R62,3)&amp;" km"))</f>
        <v>OK — 42,611 km</v>
      </c>
      <c r="N61" s="32"/>
      <c r="O61" s="33"/>
      <c r="P61" s="31" t="str">
        <f>IF(SUM(P59:R59)=0,"— não preenchido",IF(ROUND(SUM(P59:R59)-$R62,3)=0,"OK — "&amp;ROUND(SUM(P59:R59),3)&amp;" km","ERRO — dif. de "&amp;ROUND(SUM(P59:R59)-$R62,3)&amp;" km"))</f>
        <v>OK — 42,611 km</v>
      </c>
      <c r="Q61" s="32"/>
      <c r="R61" s="33"/>
      <c r="S61" s="31" t="str">
        <f>IF(SUM(S59:U59)=0,"— não preenchido",IF(ROUND(SUM(S59:U59)-$R62,3)=0,"OK — "&amp;ROUND(SUM(S59:U59),3)&amp;" km","ERRO — dif. de "&amp;ROUND(SUM(S59:U59)-$R62,3)&amp;" km"))</f>
        <v>OK — 42,611 km</v>
      </c>
      <c r="T61" s="32"/>
      <c r="U61" s="33"/>
    </row>
    <row r="62" spans="1:23" x14ac:dyDescent="0.25">
      <c r="A62" s="34" t="s">
        <v>74</v>
      </c>
      <c r="B62" s="28"/>
      <c r="C62" s="28"/>
      <c r="D62" s="28"/>
      <c r="E62" s="28"/>
      <c r="R62" s="26">
        <f>SUM(E9:E53)</f>
        <v>42.611402577000007</v>
      </c>
      <c r="V62" s="8" t="str">
        <f>COUNTIF(W9:W53,"OK")&amp;" de "&amp;COUNT($E$9:$E$53)&amp;" linhas conferidas"</f>
        <v>43 de 43 linhas conferidas</v>
      </c>
    </row>
    <row r="64" spans="1:23" x14ac:dyDescent="0.25">
      <c r="A64" s="45" t="s">
        <v>75</v>
      </c>
      <c r="B64" s="28"/>
      <c r="C64" s="28"/>
      <c r="D64" s="28"/>
      <c r="E64" s="28"/>
    </row>
    <row r="65" spans="1:22" x14ac:dyDescent="0.25">
      <c r="A65" s="34" t="s">
        <v>76</v>
      </c>
      <c r="B65" s="28"/>
      <c r="C65" s="28"/>
      <c r="D65" s="28"/>
      <c r="E65" s="29" t="s">
        <v>77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78</v>
      </c>
      <c r="B66" s="28"/>
      <c r="C66" s="28"/>
      <c r="D66" s="28"/>
      <c r="E66" s="29" t="s">
        <v>79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80</v>
      </c>
      <c r="B67" s="28"/>
      <c r="C67" s="28"/>
      <c r="D67" s="28"/>
      <c r="E67" s="29" t="s">
        <v>81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82</v>
      </c>
      <c r="B68" s="28"/>
      <c r="C68" s="28"/>
      <c r="D68" s="28"/>
      <c r="E68" s="29" t="s">
        <v>83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84</v>
      </c>
      <c r="B69" s="28"/>
      <c r="C69" s="28"/>
      <c r="D69" s="28"/>
      <c r="E69" s="29" t="s">
        <v>85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52</v>
      </c>
      <c r="B70" s="28"/>
      <c r="C70" s="28"/>
      <c r="D70" s="28"/>
      <c r="E70" s="29" t="s">
        <v>86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87</v>
      </c>
      <c r="B71" s="28"/>
      <c r="C71" s="28"/>
      <c r="D71" s="28"/>
      <c r="E71" s="29" t="s">
        <v>88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89</v>
      </c>
      <c r="B72" s="28"/>
      <c r="C72" s="28"/>
      <c r="D72" s="28"/>
      <c r="E72" s="29" t="s">
        <v>90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11</v>
      </c>
      <c r="B73" s="28"/>
      <c r="C73" s="28"/>
      <c r="D73" s="28"/>
      <c r="E73" s="29" t="s">
        <v>91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formatCells="0"/>
  <mergeCells count="59">
    <mergeCell ref="E73:V73"/>
    <mergeCell ref="G56:K56"/>
    <mergeCell ref="A59:E59"/>
    <mergeCell ref="A58:E58"/>
    <mergeCell ref="G2:H2"/>
    <mergeCell ref="A64:E64"/>
    <mergeCell ref="I2:J2"/>
    <mergeCell ref="A60:E60"/>
    <mergeCell ref="A8:V8"/>
    <mergeCell ref="A72:D72"/>
    <mergeCell ref="P61:R61"/>
    <mergeCell ref="A6:A7"/>
    <mergeCell ref="F6:J6"/>
    <mergeCell ref="A61:E61"/>
    <mergeCell ref="M6:O6"/>
    <mergeCell ref="E69:V69"/>
    <mergeCell ref="A4:V4"/>
    <mergeCell ref="V6:V7"/>
    <mergeCell ref="E65:V65"/>
    <mergeCell ref="A68:D68"/>
    <mergeCell ref="A2:F2"/>
    <mergeCell ref="S6:U6"/>
    <mergeCell ref="K2:M2"/>
    <mergeCell ref="A67:D67"/>
    <mergeCell ref="N2:O2"/>
    <mergeCell ref="P2:Q2"/>
    <mergeCell ref="P6:R6"/>
    <mergeCell ref="W6:W7"/>
    <mergeCell ref="A40:V40"/>
    <mergeCell ref="M61:O61"/>
    <mergeCell ref="E6:E7"/>
    <mergeCell ref="A73:D73"/>
    <mergeCell ref="E70:V70"/>
    <mergeCell ref="B6:B7"/>
    <mergeCell ref="A56:E56"/>
    <mergeCell ref="A55:E55"/>
    <mergeCell ref="A70:D70"/>
    <mergeCell ref="A69:D69"/>
    <mergeCell ref="E72:V72"/>
    <mergeCell ref="E68:V68"/>
    <mergeCell ref="E71:V71"/>
    <mergeCell ref="E67:V67"/>
    <mergeCell ref="A71:D71"/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27:V27"/>
    <mergeCell ref="C6:C7"/>
    <mergeCell ref="S61:U61"/>
    <mergeCell ref="K6:L6"/>
    <mergeCell ref="D6:D7"/>
  </mergeCells>
  <conditionalFormatting sqref="F9:J53">
    <cfRule type="expression" dxfId="125" priority="1">
      <formula>AND(F9&lt;&gt;"",COUNTIF($F9:$J9,"X")&gt;1)</formula>
    </cfRule>
  </conditionalFormatting>
  <conditionalFormatting sqref="F61:U61">
    <cfRule type="expression" dxfId="124" priority="8">
      <formula>LEFT(F61,4)="ERRO"</formula>
    </cfRule>
    <cfRule type="expression" dxfId="123" priority="9">
      <formula>LEFT(F61,2)="OK"</formula>
    </cfRule>
  </conditionalFormatting>
  <conditionalFormatting sqref="K9:L53">
    <cfRule type="expression" dxfId="122" priority="2">
      <formula>AND(K9&lt;&gt;"",COUNTIF($K9:$L9,"X")&gt;1)</formula>
    </cfRule>
  </conditionalFormatting>
  <conditionalFormatting sqref="M9:O53">
    <cfRule type="expression" dxfId="121" priority="3">
      <formula>AND(M9&lt;&gt;"",COUNTIF($M9:$O9,"X")&gt;1)</formula>
    </cfRule>
  </conditionalFormatting>
  <conditionalFormatting sqref="P9:R53">
    <cfRule type="expression" dxfId="120" priority="4">
      <formula>AND(P9&lt;&gt;"",COUNTIF($P9:$R9,"X")&gt;1)</formula>
    </cfRule>
  </conditionalFormatting>
  <conditionalFormatting sqref="S9:U53">
    <cfRule type="expression" dxfId="119" priority="5">
      <formula>AND(S9&lt;&gt;"",COUNTIF($S9:$U9,"X")&gt;1)</formula>
    </cfRule>
  </conditionalFormatting>
  <conditionalFormatting sqref="W9:W53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45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N73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IF(F59=0,NA(),F59)</f>
        <v>33.98941392111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4</v>
      </c>
      <c r="AD2" s="2">
        <f t="shared" si="0"/>
        <v>40.98941392111</v>
      </c>
      <c r="AE2" s="2" t="e">
        <f t="shared" si="0"/>
        <v>#N/A</v>
      </c>
      <c r="AF2" s="2">
        <f t="shared" si="0"/>
        <v>9.503033102949999</v>
      </c>
      <c r="AG2" s="2">
        <f t="shared" si="0"/>
        <v>29.486380818160001</v>
      </c>
      <c r="AH2" s="2">
        <f t="shared" si="0"/>
        <v>2</v>
      </c>
      <c r="AI2" s="2">
        <f t="shared" si="0"/>
        <v>2</v>
      </c>
      <c r="AJ2" s="2">
        <f t="shared" si="0"/>
        <v>11</v>
      </c>
      <c r="AK2" s="2">
        <f t="shared" si="0"/>
        <v>27.98941392111</v>
      </c>
      <c r="AL2" s="2" t="e">
        <f t="shared" si="0"/>
        <v>#N/A</v>
      </c>
      <c r="AM2" s="2">
        <f t="shared" si="0"/>
        <v>40.98941392111</v>
      </c>
      <c r="AN2" s="2" t="e">
        <f t="shared" si="0"/>
        <v>#N/A</v>
      </c>
    </row>
    <row r="3" spans="1:40" ht="15" customHeight="1" x14ac:dyDescent="0.25">
      <c r="A3" s="42" t="s">
        <v>144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145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146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147</v>
      </c>
      <c r="B9" s="13" t="s">
        <v>60</v>
      </c>
      <c r="C9" s="14">
        <v>0</v>
      </c>
      <c r="D9" s="14">
        <v>1</v>
      </c>
      <c r="E9" s="14">
        <f t="shared" ref="E9:E33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 t="s">
        <v>61</v>
      </c>
      <c r="R9" s="15"/>
      <c r="S9" s="15"/>
      <c r="T9" s="15" t="s">
        <v>61</v>
      </c>
      <c r="U9" s="15"/>
      <c r="V9" s="16" t="s">
        <v>251</v>
      </c>
      <c r="W9" s="17" t="str">
        <f t="shared" ref="W9:W3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147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 t="s">
        <v>61</v>
      </c>
      <c r="R10" s="15"/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147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 t="s">
        <v>61</v>
      </c>
      <c r="G11" s="15"/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/>
      <c r="Q11" s="15" t="s">
        <v>61</v>
      </c>
      <c r="R11" s="15"/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147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 t="s">
        <v>61</v>
      </c>
      <c r="G12" s="15"/>
      <c r="H12" s="15"/>
      <c r="I12" s="15"/>
      <c r="J12" s="15"/>
      <c r="K12" s="15" t="s">
        <v>61</v>
      </c>
      <c r="L12" s="15"/>
      <c r="M12" s="15"/>
      <c r="N12" s="15" t="s">
        <v>61</v>
      </c>
      <c r="O12" s="15"/>
      <c r="P12" s="15"/>
      <c r="Q12" s="15" t="s">
        <v>61</v>
      </c>
      <c r="R12" s="15"/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147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 t="s">
        <v>61</v>
      </c>
      <c r="G13" s="15"/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 t="s">
        <v>61</v>
      </c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147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/>
      <c r="Q14" s="15" t="s">
        <v>61</v>
      </c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147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/>
      <c r="Q15" s="15" t="s">
        <v>61</v>
      </c>
      <c r="R15" s="15"/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147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/>
      <c r="Q16" s="15" t="s">
        <v>61</v>
      </c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147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61</v>
      </c>
      <c r="K17" s="15" t="s">
        <v>61</v>
      </c>
      <c r="L17" s="15"/>
      <c r="M17" s="15"/>
      <c r="N17" s="15" t="s">
        <v>61</v>
      </c>
      <c r="O17" s="15"/>
      <c r="P17" s="15"/>
      <c r="Q17" s="15" t="s">
        <v>61</v>
      </c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147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61</v>
      </c>
      <c r="K18" s="15" t="s">
        <v>61</v>
      </c>
      <c r="L18" s="15"/>
      <c r="M18" s="15"/>
      <c r="N18" s="15" t="s">
        <v>61</v>
      </c>
      <c r="O18" s="15"/>
      <c r="P18" s="15"/>
      <c r="Q18" s="15" t="s">
        <v>61</v>
      </c>
      <c r="R18" s="15"/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147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61</v>
      </c>
      <c r="K19" s="15" t="s">
        <v>61</v>
      </c>
      <c r="L19" s="15"/>
      <c r="M19" s="15"/>
      <c r="N19" s="15" t="s">
        <v>61</v>
      </c>
      <c r="O19" s="15"/>
      <c r="P19" s="15"/>
      <c r="Q19" s="15" t="s">
        <v>61</v>
      </c>
      <c r="R19" s="15"/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147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 t="s">
        <v>61</v>
      </c>
      <c r="G20" s="15"/>
      <c r="H20" s="15"/>
      <c r="I20" s="15"/>
      <c r="J20" s="15"/>
      <c r="K20" s="15" t="s">
        <v>61</v>
      </c>
      <c r="L20" s="15"/>
      <c r="M20" s="15"/>
      <c r="N20" s="15"/>
      <c r="O20" s="15" t="s">
        <v>61</v>
      </c>
      <c r="P20" s="15"/>
      <c r="Q20" s="15"/>
      <c r="R20" s="15" t="s">
        <v>61</v>
      </c>
      <c r="S20" s="15"/>
      <c r="T20" s="15" t="s">
        <v>61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147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/>
      <c r="O21" s="15" t="s">
        <v>61</v>
      </c>
      <c r="P21" s="15"/>
      <c r="Q21" s="15"/>
      <c r="R21" s="15" t="s">
        <v>61</v>
      </c>
      <c r="S21" s="15"/>
      <c r="T21" s="15" t="s">
        <v>61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147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 t="s">
        <v>61</v>
      </c>
      <c r="J22" s="15"/>
      <c r="K22" s="15" t="s">
        <v>61</v>
      </c>
      <c r="L22" s="15"/>
      <c r="M22" s="15"/>
      <c r="N22" s="15" t="s">
        <v>61</v>
      </c>
      <c r="O22" s="15"/>
      <c r="P22" s="15"/>
      <c r="Q22" s="15"/>
      <c r="R22" s="15" t="s">
        <v>61</v>
      </c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147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 t="s">
        <v>61</v>
      </c>
      <c r="G23" s="15"/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/>
      <c r="Q23" s="15"/>
      <c r="R23" s="15" t="s">
        <v>61</v>
      </c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147</v>
      </c>
      <c r="B24" s="13" t="s">
        <v>60</v>
      </c>
      <c r="C24" s="14">
        <v>15</v>
      </c>
      <c r="D24" s="14">
        <v>16</v>
      </c>
      <c r="E24" s="14">
        <f t="shared" si="1"/>
        <v>1</v>
      </c>
      <c r="F24" s="15" t="s">
        <v>61</v>
      </c>
      <c r="G24" s="15"/>
      <c r="H24" s="15"/>
      <c r="I24" s="15"/>
      <c r="J24" s="15"/>
      <c r="K24" s="15" t="s">
        <v>61</v>
      </c>
      <c r="L24" s="15"/>
      <c r="M24" s="15"/>
      <c r="N24" s="15" t="s">
        <v>61</v>
      </c>
      <c r="O24" s="15"/>
      <c r="P24" s="15"/>
      <c r="Q24" s="15"/>
      <c r="R24" s="15" t="s">
        <v>61</v>
      </c>
      <c r="S24" s="15"/>
      <c r="T24" s="15" t="s">
        <v>61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147</v>
      </c>
      <c r="B25" s="13" t="s">
        <v>60</v>
      </c>
      <c r="C25" s="14">
        <v>16</v>
      </c>
      <c r="D25" s="14">
        <v>17</v>
      </c>
      <c r="E25" s="14">
        <f t="shared" si="1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/>
      <c r="Q25" s="15"/>
      <c r="R25" s="15" t="s">
        <v>61</v>
      </c>
      <c r="S25" s="15"/>
      <c r="T25" s="15" t="s">
        <v>61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147</v>
      </c>
      <c r="B26" s="13" t="s">
        <v>60</v>
      </c>
      <c r="C26" s="14">
        <v>17</v>
      </c>
      <c r="D26" s="14">
        <v>18</v>
      </c>
      <c r="E26" s="14">
        <f t="shared" si="1"/>
        <v>1</v>
      </c>
      <c r="F26" s="15" t="s">
        <v>61</v>
      </c>
      <c r="G26" s="15"/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/>
      <c r="Q26" s="15"/>
      <c r="R26" s="15" t="s">
        <v>61</v>
      </c>
      <c r="S26" s="15"/>
      <c r="T26" s="15" t="s">
        <v>61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147</v>
      </c>
      <c r="B27" s="13" t="s">
        <v>60</v>
      </c>
      <c r="C27" s="14">
        <v>18</v>
      </c>
      <c r="D27" s="14">
        <v>19</v>
      </c>
      <c r="E27" s="14">
        <f t="shared" si="1"/>
        <v>1</v>
      </c>
      <c r="F27" s="15" t="s">
        <v>61</v>
      </c>
      <c r="G27" s="15"/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/>
      <c r="Q27" s="15"/>
      <c r="R27" s="15" t="s">
        <v>61</v>
      </c>
      <c r="S27" s="15"/>
      <c r="T27" s="15" t="s">
        <v>61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147</v>
      </c>
      <c r="B28" s="13" t="s">
        <v>60</v>
      </c>
      <c r="C28" s="14">
        <v>19</v>
      </c>
      <c r="D28" s="14">
        <v>20</v>
      </c>
      <c r="E28" s="14">
        <f t="shared" si="1"/>
        <v>1</v>
      </c>
      <c r="F28" s="15" t="s">
        <v>61</v>
      </c>
      <c r="G28" s="15"/>
      <c r="H28" s="15"/>
      <c r="I28" s="15"/>
      <c r="J28" s="15"/>
      <c r="K28" s="15" t="s">
        <v>61</v>
      </c>
      <c r="L28" s="15"/>
      <c r="M28" s="15"/>
      <c r="N28" s="15" t="s">
        <v>61</v>
      </c>
      <c r="O28" s="15"/>
      <c r="P28" s="15"/>
      <c r="Q28" s="15"/>
      <c r="R28" s="15" t="s">
        <v>61</v>
      </c>
      <c r="S28" s="15"/>
      <c r="T28" s="15" t="s">
        <v>61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147</v>
      </c>
      <c r="B29" s="13" t="s">
        <v>60</v>
      </c>
      <c r="C29" s="14">
        <v>20</v>
      </c>
      <c r="D29" s="14">
        <v>21</v>
      </c>
      <c r="E29" s="14">
        <f t="shared" si="1"/>
        <v>1</v>
      </c>
      <c r="F29" s="15" t="s">
        <v>61</v>
      </c>
      <c r="G29" s="15"/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/>
      <c r="Q29" s="15"/>
      <c r="R29" s="15" t="s">
        <v>61</v>
      </c>
      <c r="S29" s="15"/>
      <c r="T29" s="15" t="s">
        <v>61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147</v>
      </c>
      <c r="B30" s="13" t="s">
        <v>60</v>
      </c>
      <c r="C30" s="14">
        <v>21</v>
      </c>
      <c r="D30" s="14">
        <v>22</v>
      </c>
      <c r="E30" s="14">
        <f t="shared" si="1"/>
        <v>1</v>
      </c>
      <c r="F30" s="15" t="s">
        <v>61</v>
      </c>
      <c r="G30" s="15"/>
      <c r="H30" s="15"/>
      <c r="I30" s="15"/>
      <c r="J30" s="15"/>
      <c r="K30" s="15" t="s">
        <v>61</v>
      </c>
      <c r="L30" s="15"/>
      <c r="M30" s="15"/>
      <c r="N30" s="15" t="s">
        <v>61</v>
      </c>
      <c r="O30" s="15"/>
      <c r="P30" s="15"/>
      <c r="Q30" s="15"/>
      <c r="R30" s="15" t="s">
        <v>61</v>
      </c>
      <c r="S30" s="15"/>
      <c r="T30" s="15" t="s">
        <v>61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147</v>
      </c>
      <c r="B31" s="13" t="s">
        <v>60</v>
      </c>
      <c r="C31" s="14">
        <v>22</v>
      </c>
      <c r="D31" s="14">
        <v>23</v>
      </c>
      <c r="E31" s="14">
        <f t="shared" si="1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/>
      <c r="Q31" s="15"/>
      <c r="R31" s="15" t="s">
        <v>61</v>
      </c>
      <c r="S31" s="15"/>
      <c r="T31" s="15" t="s">
        <v>61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147</v>
      </c>
      <c r="B32" s="13" t="s">
        <v>60</v>
      </c>
      <c r="C32" s="14">
        <v>23</v>
      </c>
      <c r="D32" s="14">
        <v>24</v>
      </c>
      <c r="E32" s="14">
        <f t="shared" si="1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/>
      <c r="Q32" s="15"/>
      <c r="R32" s="15" t="s">
        <v>61</v>
      </c>
      <c r="S32" s="15"/>
      <c r="T32" s="15" t="s">
        <v>61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8" t="s">
        <v>147</v>
      </c>
      <c r="B33" s="19" t="s">
        <v>60</v>
      </c>
      <c r="C33" s="20">
        <v>24</v>
      </c>
      <c r="D33" s="20">
        <v>24.683840012699999</v>
      </c>
      <c r="E33" s="20">
        <f t="shared" si="1"/>
        <v>0.68384001269999928</v>
      </c>
      <c r="F33" s="21" t="s">
        <v>61</v>
      </c>
      <c r="G33" s="21"/>
      <c r="H33" s="21"/>
      <c r="I33" s="21"/>
      <c r="J33" s="21"/>
      <c r="K33" s="21" t="s">
        <v>61</v>
      </c>
      <c r="L33" s="21"/>
      <c r="M33" s="21"/>
      <c r="N33" s="21" t="s">
        <v>61</v>
      </c>
      <c r="O33" s="21"/>
      <c r="P33" s="21"/>
      <c r="Q33" s="21"/>
      <c r="R33" s="21" t="s">
        <v>61</v>
      </c>
      <c r="S33" s="21"/>
      <c r="T33" s="21" t="s">
        <v>61</v>
      </c>
      <c r="U33" s="21"/>
      <c r="V33" s="22"/>
      <c r="W33" s="23" t="str">
        <f t="shared" si="2"/>
        <v>OK</v>
      </c>
    </row>
    <row r="34" spans="1:23" ht="15.95" customHeight="1" x14ac:dyDescent="0.25">
      <c r="A34" s="46" t="s">
        <v>148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/>
      <c r="W34" s="4"/>
    </row>
    <row r="35" spans="1:23" ht="20.100000000000001" customHeight="1" x14ac:dyDescent="0.25">
      <c r="A35" s="12" t="s">
        <v>149</v>
      </c>
      <c r="B35" s="13" t="s">
        <v>60</v>
      </c>
      <c r="C35" s="14">
        <v>0</v>
      </c>
      <c r="D35" s="14">
        <v>1</v>
      </c>
      <c r="E35" s="14">
        <f>D35-C35</f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/>
      <c r="N35" s="15" t="s">
        <v>250</v>
      </c>
      <c r="O35" s="15"/>
      <c r="P35" s="15"/>
      <c r="Q35" s="15"/>
      <c r="R35" s="15" t="s">
        <v>61</v>
      </c>
      <c r="S35" s="15"/>
      <c r="T35" s="15" t="s">
        <v>61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2" t="s">
        <v>149</v>
      </c>
      <c r="B36" s="13" t="s">
        <v>60</v>
      </c>
      <c r="C36" s="14">
        <v>1</v>
      </c>
      <c r="D36" s="14">
        <v>2</v>
      </c>
      <c r="E36" s="14">
        <f>D36-C36</f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 t="s">
        <v>61</v>
      </c>
      <c r="N36" s="15"/>
      <c r="O36" s="15"/>
      <c r="P36" s="15"/>
      <c r="Q36" s="15"/>
      <c r="R36" s="15" t="s">
        <v>61</v>
      </c>
      <c r="S36" s="15"/>
      <c r="T36" s="15" t="s">
        <v>61</v>
      </c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149</v>
      </c>
      <c r="B37" s="13" t="s">
        <v>60</v>
      </c>
      <c r="C37" s="14">
        <v>2</v>
      </c>
      <c r="D37" s="14">
        <v>3</v>
      </c>
      <c r="E37" s="14">
        <f>D37-C37</f>
        <v>1</v>
      </c>
      <c r="F37" s="15"/>
      <c r="G37" s="15"/>
      <c r="H37" s="15"/>
      <c r="I37" s="15" t="s">
        <v>61</v>
      </c>
      <c r="J37" s="15"/>
      <c r="K37" s="15" t="s">
        <v>61</v>
      </c>
      <c r="L37" s="15"/>
      <c r="M37" s="15" t="s">
        <v>61</v>
      </c>
      <c r="N37" s="15"/>
      <c r="O37" s="15"/>
      <c r="P37" s="15"/>
      <c r="Q37" s="15"/>
      <c r="R37" s="15" t="s">
        <v>61</v>
      </c>
      <c r="S37" s="15"/>
      <c r="T37" s="15" t="s">
        <v>61</v>
      </c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149</v>
      </c>
      <c r="B38" s="13" t="s">
        <v>60</v>
      </c>
      <c r="C38" s="14">
        <v>3</v>
      </c>
      <c r="D38" s="14">
        <v>4</v>
      </c>
      <c r="E38" s="14">
        <f>D38-C38</f>
        <v>1</v>
      </c>
      <c r="F38" s="15"/>
      <c r="G38" s="15"/>
      <c r="H38" s="15"/>
      <c r="I38" s="15" t="s">
        <v>61</v>
      </c>
      <c r="J38" s="15"/>
      <c r="K38" s="15" t="s">
        <v>61</v>
      </c>
      <c r="L38" s="15"/>
      <c r="M38" s="15" t="s">
        <v>61</v>
      </c>
      <c r="N38" s="15"/>
      <c r="O38" s="15"/>
      <c r="P38" s="15"/>
      <c r="Q38" s="15"/>
      <c r="R38" s="15" t="s">
        <v>61</v>
      </c>
      <c r="S38" s="15"/>
      <c r="T38" s="15" t="s">
        <v>61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149</v>
      </c>
      <c r="B39" s="19" t="s">
        <v>60</v>
      </c>
      <c r="C39" s="20">
        <v>4</v>
      </c>
      <c r="D39" s="20">
        <v>4.9826601516000002</v>
      </c>
      <c r="E39" s="20">
        <f>D39-C39</f>
        <v>0.9826601516000002</v>
      </c>
      <c r="F39" s="21" t="s">
        <v>61</v>
      </c>
      <c r="G39" s="21"/>
      <c r="H39" s="21"/>
      <c r="I39" s="21"/>
      <c r="J39" s="21"/>
      <c r="K39" s="21" t="s">
        <v>61</v>
      </c>
      <c r="L39" s="21"/>
      <c r="M39" s="21"/>
      <c r="N39" s="21" t="s">
        <v>250</v>
      </c>
      <c r="O39" s="21"/>
      <c r="P39" s="21"/>
      <c r="Q39" s="21"/>
      <c r="R39" s="21" t="s">
        <v>61</v>
      </c>
      <c r="S39" s="21"/>
      <c r="T39" s="21" t="s">
        <v>61</v>
      </c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46" t="s">
        <v>150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3"/>
      <c r="W40" s="4"/>
    </row>
    <row r="41" spans="1:23" ht="20.100000000000001" customHeight="1" x14ac:dyDescent="0.25">
      <c r="A41" s="12" t="s">
        <v>151</v>
      </c>
      <c r="B41" s="13" t="s">
        <v>60</v>
      </c>
      <c r="C41" s="14">
        <v>0</v>
      </c>
      <c r="D41" s="14">
        <v>1</v>
      </c>
      <c r="E41" s="14">
        <f t="shared" ref="E41:E49" si="3">D41-C41</f>
        <v>1</v>
      </c>
      <c r="F41" s="15" t="s">
        <v>61</v>
      </c>
      <c r="G41" s="15"/>
      <c r="H41" s="15"/>
      <c r="I41" s="15"/>
      <c r="J41" s="15"/>
      <c r="K41" s="15" t="s">
        <v>61</v>
      </c>
      <c r="L41" s="15"/>
      <c r="M41" s="15" t="s">
        <v>61</v>
      </c>
      <c r="N41" s="15"/>
      <c r="O41" s="15"/>
      <c r="P41" s="15"/>
      <c r="Q41" s="15"/>
      <c r="R41" s="15" t="s">
        <v>61</v>
      </c>
      <c r="S41" s="15"/>
      <c r="T41" s="15" t="s">
        <v>61</v>
      </c>
      <c r="U41" s="15"/>
      <c r="V41" s="16"/>
      <c r="W41" s="17" t="str">
        <f t="shared" ref="W41:W4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151</v>
      </c>
      <c r="B42" s="13" t="s">
        <v>60</v>
      </c>
      <c r="C42" s="14">
        <v>1</v>
      </c>
      <c r="D42" s="14">
        <v>2</v>
      </c>
      <c r="E42" s="14">
        <f t="shared" si="3"/>
        <v>1</v>
      </c>
      <c r="F42" s="15" t="s">
        <v>61</v>
      </c>
      <c r="G42" s="15"/>
      <c r="H42" s="15"/>
      <c r="I42" s="15"/>
      <c r="J42" s="15"/>
      <c r="K42" s="15" t="s">
        <v>61</v>
      </c>
      <c r="L42" s="15"/>
      <c r="M42" s="15" t="s">
        <v>61</v>
      </c>
      <c r="N42" s="15"/>
      <c r="O42" s="15"/>
      <c r="P42" s="15"/>
      <c r="Q42" s="15"/>
      <c r="R42" s="15" t="s">
        <v>61</v>
      </c>
      <c r="S42" s="15"/>
      <c r="T42" s="15" t="s">
        <v>61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151</v>
      </c>
      <c r="B43" s="13" t="s">
        <v>60</v>
      </c>
      <c r="C43" s="14">
        <v>2</v>
      </c>
      <c r="D43" s="14">
        <v>3</v>
      </c>
      <c r="E43" s="14">
        <f t="shared" si="3"/>
        <v>1</v>
      </c>
      <c r="F43" s="15" t="s">
        <v>61</v>
      </c>
      <c r="G43" s="15"/>
      <c r="H43" s="15"/>
      <c r="I43" s="15"/>
      <c r="J43" s="15"/>
      <c r="K43" s="15" t="s">
        <v>61</v>
      </c>
      <c r="L43" s="15"/>
      <c r="M43" s="15" t="s">
        <v>61</v>
      </c>
      <c r="N43" s="15"/>
      <c r="O43" s="15"/>
      <c r="P43" s="15"/>
      <c r="Q43" s="15"/>
      <c r="R43" s="15" t="s">
        <v>61</v>
      </c>
      <c r="S43" s="15"/>
      <c r="T43" s="15" t="s">
        <v>61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151</v>
      </c>
      <c r="B44" s="13" t="s">
        <v>60</v>
      </c>
      <c r="C44" s="14">
        <v>3</v>
      </c>
      <c r="D44" s="14">
        <v>4</v>
      </c>
      <c r="E44" s="14">
        <f t="shared" si="3"/>
        <v>1</v>
      </c>
      <c r="F44" s="15" t="s">
        <v>61</v>
      </c>
      <c r="G44" s="15"/>
      <c r="H44" s="15"/>
      <c r="I44" s="15"/>
      <c r="J44" s="15"/>
      <c r="K44" s="15" t="s">
        <v>61</v>
      </c>
      <c r="L44" s="15"/>
      <c r="M44" s="15" t="s">
        <v>61</v>
      </c>
      <c r="N44" s="15"/>
      <c r="O44" s="15"/>
      <c r="P44" s="15"/>
      <c r="Q44" s="15"/>
      <c r="R44" s="15" t="s">
        <v>61</v>
      </c>
      <c r="S44" s="15"/>
      <c r="T44" s="15" t="s">
        <v>61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151</v>
      </c>
      <c r="B45" s="13" t="s">
        <v>60</v>
      </c>
      <c r="C45" s="14">
        <v>4</v>
      </c>
      <c r="D45" s="14">
        <v>5</v>
      </c>
      <c r="E45" s="14">
        <f t="shared" si="3"/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250</v>
      </c>
      <c r="O45" s="15"/>
      <c r="P45" s="15"/>
      <c r="Q45" s="15"/>
      <c r="R45" s="15" t="s">
        <v>61</v>
      </c>
      <c r="S45" s="15"/>
      <c r="T45" s="15" t="s">
        <v>61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151</v>
      </c>
      <c r="B46" s="13" t="s">
        <v>60</v>
      </c>
      <c r="C46" s="14">
        <v>5</v>
      </c>
      <c r="D46" s="14">
        <v>6</v>
      </c>
      <c r="E46" s="14">
        <f t="shared" si="3"/>
        <v>1</v>
      </c>
      <c r="F46" s="15"/>
      <c r="G46" s="15"/>
      <c r="H46" s="15"/>
      <c r="I46" s="15"/>
      <c r="J46" s="15" t="s">
        <v>61</v>
      </c>
      <c r="K46" s="15" t="s">
        <v>61</v>
      </c>
      <c r="L46" s="15"/>
      <c r="M46" s="15"/>
      <c r="N46" s="15" t="s">
        <v>250</v>
      </c>
      <c r="O46" s="15"/>
      <c r="P46" s="15" t="s">
        <v>61</v>
      </c>
      <c r="Q46" s="15"/>
      <c r="R46" s="15"/>
      <c r="S46" s="15"/>
      <c r="T46" s="15" t="s">
        <v>61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151</v>
      </c>
      <c r="B47" s="13" t="s">
        <v>60</v>
      </c>
      <c r="C47" s="14">
        <v>6</v>
      </c>
      <c r="D47" s="14">
        <v>7</v>
      </c>
      <c r="E47" s="14">
        <f t="shared" si="3"/>
        <v>1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250</v>
      </c>
      <c r="O47" s="15"/>
      <c r="P47" s="15" t="s">
        <v>61</v>
      </c>
      <c r="Q47" s="15"/>
      <c r="R47" s="15"/>
      <c r="S47" s="15"/>
      <c r="T47" s="15" t="s">
        <v>61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151</v>
      </c>
      <c r="B48" s="13" t="s">
        <v>60</v>
      </c>
      <c r="C48" s="14">
        <v>7</v>
      </c>
      <c r="D48" s="14">
        <v>8</v>
      </c>
      <c r="E48" s="14">
        <f t="shared" si="3"/>
        <v>1</v>
      </c>
      <c r="F48" s="15" t="s">
        <v>61</v>
      </c>
      <c r="G48" s="15"/>
      <c r="H48" s="15"/>
      <c r="I48" s="15"/>
      <c r="J48" s="15"/>
      <c r="K48" s="15" t="s">
        <v>61</v>
      </c>
      <c r="L48" s="15"/>
      <c r="M48" s="15"/>
      <c r="N48" s="15" t="s">
        <v>250</v>
      </c>
      <c r="O48" s="15"/>
      <c r="P48" s="15"/>
      <c r="Q48" s="15"/>
      <c r="R48" s="15" t="s">
        <v>61</v>
      </c>
      <c r="S48" s="15"/>
      <c r="T48" s="15" t="s">
        <v>61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8" t="s">
        <v>151</v>
      </c>
      <c r="B49" s="19" t="s">
        <v>60</v>
      </c>
      <c r="C49" s="20">
        <v>8</v>
      </c>
      <c r="D49" s="20">
        <v>8.8198806538600003</v>
      </c>
      <c r="E49" s="20">
        <f t="shared" si="3"/>
        <v>0.81988065386000031</v>
      </c>
      <c r="F49" s="21" t="s">
        <v>61</v>
      </c>
      <c r="G49" s="21"/>
      <c r="H49" s="21"/>
      <c r="I49" s="21"/>
      <c r="J49" s="21"/>
      <c r="K49" s="21" t="s">
        <v>61</v>
      </c>
      <c r="L49" s="21"/>
      <c r="M49" s="21"/>
      <c r="N49" s="21" t="s">
        <v>250</v>
      </c>
      <c r="O49" s="21"/>
      <c r="P49" s="21"/>
      <c r="Q49" s="21"/>
      <c r="R49" s="21" t="s">
        <v>61</v>
      </c>
      <c r="S49" s="21"/>
      <c r="T49" s="21" t="s">
        <v>61</v>
      </c>
      <c r="U49" s="21"/>
      <c r="V49" s="22"/>
      <c r="W49" s="23" t="str">
        <f t="shared" si="4"/>
        <v>OK</v>
      </c>
    </row>
    <row r="50" spans="1:23" ht="15.95" customHeight="1" x14ac:dyDescent="0.25">
      <c r="A50" s="46" t="s">
        <v>152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3"/>
      <c r="W50" s="4"/>
    </row>
    <row r="51" spans="1:23" ht="20.100000000000001" customHeight="1" x14ac:dyDescent="0.25">
      <c r="A51" s="12" t="s">
        <v>153</v>
      </c>
      <c r="B51" s="13" t="s">
        <v>60</v>
      </c>
      <c r="C51" s="14">
        <v>0</v>
      </c>
      <c r="D51" s="14">
        <v>1</v>
      </c>
      <c r="E51" s="14">
        <f>D51-C51</f>
        <v>1</v>
      </c>
      <c r="F51" s="15" t="s">
        <v>61</v>
      </c>
      <c r="G51" s="15"/>
      <c r="H51" s="15"/>
      <c r="I51" s="15"/>
      <c r="J51" s="15"/>
      <c r="K51" s="15" t="s">
        <v>61</v>
      </c>
      <c r="L51" s="15"/>
      <c r="M51" s="15" t="s">
        <v>61</v>
      </c>
      <c r="N51" s="15"/>
      <c r="O51" s="15"/>
      <c r="P51" s="15"/>
      <c r="Q51" s="15"/>
      <c r="R51" s="15" t="s">
        <v>61</v>
      </c>
      <c r="S51" s="15"/>
      <c r="T51" s="15" t="s">
        <v>61</v>
      </c>
      <c r="U51" s="15"/>
      <c r="V51" s="16"/>
      <c r="W51" s="17" t="str">
        <f>IF(COUNTA(F51:U51)=0,"— não preenchido",IF(COUNTIF(F51:J51,"X")&lt;&gt;1,"FALTA/DUPLA: CONDIÇÃO DO PAVIMENTO",IF(COUNTIF(K51:L51,"X")&lt;&gt;1,"FALTA/DUPLA: VEGETAÇÃO",IF(COUNTIF(M51:O51,"X")&lt;&gt;1,"FALTA/DUPLA: ELEM. DE DRENAGEM",IF(COUNTIF(P51:R51,"X")&lt;&gt;1,"FALTA/DUPLA: SIN. HORIZ.",IF(COUNTIF(S51:U51,"X")&lt;&gt;1,"FALTA/DUPLA: SIN. VERTICAL","OK"))))))</f>
        <v>OK</v>
      </c>
    </row>
    <row r="52" spans="1:23" ht="20.100000000000001" customHeight="1" x14ac:dyDescent="0.25">
      <c r="A52" s="12" t="s">
        <v>153</v>
      </c>
      <c r="B52" s="13" t="s">
        <v>60</v>
      </c>
      <c r="C52" s="14">
        <v>1</v>
      </c>
      <c r="D52" s="14">
        <v>2</v>
      </c>
      <c r="E52" s="14">
        <f>D52-C52</f>
        <v>1</v>
      </c>
      <c r="F52" s="15" t="s">
        <v>61</v>
      </c>
      <c r="G52" s="15"/>
      <c r="H52" s="15"/>
      <c r="I52" s="15"/>
      <c r="J52" s="15"/>
      <c r="K52" s="15" t="s">
        <v>61</v>
      </c>
      <c r="L52" s="15"/>
      <c r="M52" s="15" t="s">
        <v>61</v>
      </c>
      <c r="N52" s="15"/>
      <c r="O52" s="15"/>
      <c r="P52" s="15"/>
      <c r="Q52" s="15"/>
      <c r="R52" s="15" t="s">
        <v>61</v>
      </c>
      <c r="S52" s="15"/>
      <c r="T52" s="15" t="s">
        <v>61</v>
      </c>
      <c r="U52" s="15"/>
      <c r="V52" s="16"/>
      <c r="W52" s="17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153</v>
      </c>
      <c r="B53" s="19" t="s">
        <v>60</v>
      </c>
      <c r="C53" s="20">
        <v>2</v>
      </c>
      <c r="D53" s="20">
        <v>2.5030331029499999</v>
      </c>
      <c r="E53" s="20">
        <f>D53-C53</f>
        <v>0.50303310294999992</v>
      </c>
      <c r="F53" s="21" t="s">
        <v>61</v>
      </c>
      <c r="G53" s="21"/>
      <c r="H53" s="21"/>
      <c r="I53" s="21"/>
      <c r="J53" s="21"/>
      <c r="K53" s="21" t="s">
        <v>61</v>
      </c>
      <c r="L53" s="21"/>
      <c r="M53" s="21" t="s">
        <v>61</v>
      </c>
      <c r="N53" s="21"/>
      <c r="O53" s="21"/>
      <c r="P53" s="21"/>
      <c r="Q53" s="21"/>
      <c r="R53" s="21" t="s">
        <v>61</v>
      </c>
      <c r="S53" s="21"/>
      <c r="T53" s="21" t="s">
        <v>61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5" spans="1:23" x14ac:dyDescent="0.25">
      <c r="A55" s="38" t="s">
        <v>67</v>
      </c>
      <c r="B55" s="28"/>
      <c r="C55" s="28"/>
      <c r="D55" s="28"/>
      <c r="E55" s="28"/>
      <c r="G55" s="38" t="s">
        <v>67</v>
      </c>
      <c r="H55" s="28"/>
      <c r="I55" s="28"/>
      <c r="J55" s="28"/>
      <c r="K55" s="28"/>
    </row>
    <row r="56" spans="1:23" x14ac:dyDescent="0.25">
      <c r="A56" s="36" t="s">
        <v>68</v>
      </c>
      <c r="B56" s="28"/>
      <c r="C56" s="28"/>
      <c r="D56" s="28"/>
      <c r="E56" s="28"/>
      <c r="G56" s="36" t="s">
        <v>69</v>
      </c>
      <c r="H56" s="28"/>
      <c r="I56" s="28"/>
      <c r="J56" s="28"/>
      <c r="K56" s="28"/>
    </row>
    <row r="58" spans="1:23" x14ac:dyDescent="0.25">
      <c r="A58" s="37" t="s">
        <v>70</v>
      </c>
      <c r="B58" s="28"/>
      <c r="C58" s="28"/>
      <c r="D58" s="28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3" x14ac:dyDescent="0.25">
      <c r="A59" s="34" t="s">
        <v>71</v>
      </c>
      <c r="B59" s="28"/>
      <c r="C59" s="28"/>
      <c r="D59" s="28"/>
      <c r="E59" s="28"/>
      <c r="F59" s="9">
        <f t="shared" ref="F59:U59" si="5">SUMIF(F$9:F$53,"X",$E$9:$E$53)</f>
        <v>33.98941392111</v>
      </c>
      <c r="G59" s="9">
        <f t="shared" si="5"/>
        <v>0</v>
      </c>
      <c r="H59" s="9">
        <f t="shared" si="5"/>
        <v>0</v>
      </c>
      <c r="I59" s="9">
        <f t="shared" si="5"/>
        <v>3</v>
      </c>
      <c r="J59" s="9">
        <f t="shared" si="5"/>
        <v>4</v>
      </c>
      <c r="K59" s="9">
        <f t="shared" si="5"/>
        <v>40.98941392111</v>
      </c>
      <c r="L59" s="9">
        <f t="shared" si="5"/>
        <v>0</v>
      </c>
      <c r="M59" s="9">
        <f t="shared" si="5"/>
        <v>9.503033102949999</v>
      </c>
      <c r="N59" s="9">
        <f t="shared" si="5"/>
        <v>29.486380818160001</v>
      </c>
      <c r="O59" s="9">
        <f t="shared" si="5"/>
        <v>2</v>
      </c>
      <c r="P59" s="9">
        <f t="shared" si="5"/>
        <v>2</v>
      </c>
      <c r="Q59" s="9">
        <f t="shared" si="5"/>
        <v>11</v>
      </c>
      <c r="R59" s="9">
        <f t="shared" si="5"/>
        <v>27.98941392111</v>
      </c>
      <c r="S59" s="9">
        <f t="shared" si="5"/>
        <v>0</v>
      </c>
      <c r="T59" s="9">
        <f t="shared" si="5"/>
        <v>40.98941392111</v>
      </c>
      <c r="U59" s="9">
        <f t="shared" si="5"/>
        <v>0</v>
      </c>
    </row>
    <row r="60" spans="1:23" x14ac:dyDescent="0.25">
      <c r="A60" s="34" t="s">
        <v>72</v>
      </c>
      <c r="B60" s="28"/>
      <c r="C60" s="28"/>
      <c r="D60" s="28"/>
      <c r="E60" s="28"/>
      <c r="F60" s="25">
        <f t="shared" ref="F60:U60" si="6">IF($R62=0,0,F59/$R62)</f>
        <v>0.82922419887553156</v>
      </c>
      <c r="G60" s="25">
        <f t="shared" si="6"/>
        <v>0</v>
      </c>
      <c r="H60" s="25">
        <f t="shared" si="6"/>
        <v>0</v>
      </c>
      <c r="I60" s="25">
        <f t="shared" si="6"/>
        <v>7.3189629053343627E-2</v>
      </c>
      <c r="J60" s="25">
        <f t="shared" si="6"/>
        <v>9.7586172071124827E-2</v>
      </c>
      <c r="K60" s="25">
        <f t="shared" si="6"/>
        <v>1</v>
      </c>
      <c r="L60" s="25">
        <f t="shared" si="6"/>
        <v>0</v>
      </c>
      <c r="M60" s="25">
        <f t="shared" si="6"/>
        <v>0.23184115589551849</v>
      </c>
      <c r="N60" s="25">
        <f t="shared" si="6"/>
        <v>0.71936575806891911</v>
      </c>
      <c r="O60" s="25">
        <f t="shared" si="6"/>
        <v>4.8793086035562414E-2</v>
      </c>
      <c r="P60" s="25">
        <f t="shared" si="6"/>
        <v>4.8793086035562414E-2</v>
      </c>
      <c r="Q60" s="25">
        <f t="shared" si="6"/>
        <v>0.2683619731955933</v>
      </c>
      <c r="R60" s="25">
        <f t="shared" si="6"/>
        <v>0.68284494076884428</v>
      </c>
      <c r="S60" s="25">
        <f t="shared" si="6"/>
        <v>0</v>
      </c>
      <c r="T60" s="25">
        <f t="shared" si="6"/>
        <v>1</v>
      </c>
      <c r="U60" s="25">
        <f t="shared" si="6"/>
        <v>0</v>
      </c>
    </row>
    <row r="61" spans="1:23" x14ac:dyDescent="0.25">
      <c r="A61" s="34" t="s">
        <v>73</v>
      </c>
      <c r="B61" s="28"/>
      <c r="C61" s="28"/>
      <c r="D61" s="28"/>
      <c r="E61" s="28"/>
      <c r="F61" s="31" t="str">
        <f>IF(SUM(F59:J59)=0,"— não preenchido",IF(ROUND(SUM(F59:J59)-$R62,3)=0,"OK — "&amp;ROUND(SUM(F59:J59),3)&amp;" km","ERRO — dif. de "&amp;ROUND(SUM(F59:J59)-$R62,3)&amp;" km"))</f>
        <v>OK — 40,989 km</v>
      </c>
      <c r="G61" s="32"/>
      <c r="H61" s="32"/>
      <c r="I61" s="32"/>
      <c r="J61" s="33"/>
      <c r="K61" s="31" t="str">
        <f>IF(SUM(K59:L59)=0,"— não preenchido",IF(ROUND(SUM(K59:L59)-$R62,3)=0,"OK — "&amp;ROUND(SUM(K59:L59),3)&amp;" km","ERRO — dif. de "&amp;ROUND(SUM(K59:L59)-$R62,3)&amp;" km"))</f>
        <v>OK — 40,989 km</v>
      </c>
      <c r="L61" s="33"/>
      <c r="M61" s="31" t="str">
        <f>IF(SUM(M59:O59)=0,"— não preenchido",IF(ROUND(SUM(M59:O59)-$R62,3)=0,"OK — "&amp;ROUND(SUM(M59:O59),3)&amp;" km","ERRO — dif. de "&amp;ROUND(SUM(M59:O59)-$R62,3)&amp;" km"))</f>
        <v>OK — 40,989 km</v>
      </c>
      <c r="N61" s="32"/>
      <c r="O61" s="33"/>
      <c r="P61" s="31" t="str">
        <f>IF(SUM(P59:R59)=0,"— não preenchido",IF(ROUND(SUM(P59:R59)-$R62,3)=0,"OK — "&amp;ROUND(SUM(P59:R59),3)&amp;" km","ERRO — dif. de "&amp;ROUND(SUM(P59:R59)-$R62,3)&amp;" km"))</f>
        <v>OK — 40,989 km</v>
      </c>
      <c r="Q61" s="32"/>
      <c r="R61" s="33"/>
      <c r="S61" s="31" t="str">
        <f>IF(SUM(S59:U59)=0,"— não preenchido",IF(ROUND(SUM(S59:U59)-$R62,3)=0,"OK — "&amp;ROUND(SUM(S59:U59),3)&amp;" km","ERRO — dif. de "&amp;ROUND(SUM(S59:U59)-$R62,3)&amp;" km"))</f>
        <v>OK — 40,989 km</v>
      </c>
      <c r="T61" s="32"/>
      <c r="U61" s="33"/>
    </row>
    <row r="62" spans="1:23" x14ac:dyDescent="0.25">
      <c r="A62" s="34" t="s">
        <v>74</v>
      </c>
      <c r="B62" s="28"/>
      <c r="C62" s="28"/>
      <c r="D62" s="28"/>
      <c r="E62" s="28"/>
      <c r="R62" s="26">
        <f>SUM(E9:E53)</f>
        <v>40.98941392111</v>
      </c>
      <c r="V62" s="8" t="str">
        <f>COUNTIF(W9:W53,"OK")&amp;" de "&amp;COUNT($E$9:$E$53)&amp;" linhas conferidas"</f>
        <v>42 de 42 linhas conferidas</v>
      </c>
    </row>
    <row r="64" spans="1:23" x14ac:dyDescent="0.25">
      <c r="A64" s="45" t="s">
        <v>75</v>
      </c>
      <c r="B64" s="28"/>
      <c r="C64" s="28"/>
      <c r="D64" s="28"/>
      <c r="E64" s="28"/>
    </row>
    <row r="65" spans="1:22" x14ac:dyDescent="0.25">
      <c r="A65" s="34" t="s">
        <v>76</v>
      </c>
      <c r="B65" s="28"/>
      <c r="C65" s="28"/>
      <c r="D65" s="28"/>
      <c r="E65" s="29" t="s">
        <v>77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78</v>
      </c>
      <c r="B66" s="28"/>
      <c r="C66" s="28"/>
      <c r="D66" s="28"/>
      <c r="E66" s="29" t="s">
        <v>79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80</v>
      </c>
      <c r="B67" s="28"/>
      <c r="C67" s="28"/>
      <c r="D67" s="28"/>
      <c r="E67" s="29" t="s">
        <v>81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82</v>
      </c>
      <c r="B68" s="28"/>
      <c r="C68" s="28"/>
      <c r="D68" s="28"/>
      <c r="E68" s="29" t="s">
        <v>83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84</v>
      </c>
      <c r="B69" s="28"/>
      <c r="C69" s="28"/>
      <c r="D69" s="28"/>
      <c r="E69" s="29" t="s">
        <v>85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52</v>
      </c>
      <c r="B70" s="28"/>
      <c r="C70" s="28"/>
      <c r="D70" s="28"/>
      <c r="E70" s="29" t="s">
        <v>86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87</v>
      </c>
      <c r="B71" s="28"/>
      <c r="C71" s="28"/>
      <c r="D71" s="28"/>
      <c r="E71" s="29" t="s">
        <v>88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89</v>
      </c>
      <c r="B72" s="28"/>
      <c r="C72" s="28"/>
      <c r="D72" s="28"/>
      <c r="E72" s="29" t="s">
        <v>90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11</v>
      </c>
      <c r="B73" s="28"/>
      <c r="C73" s="28"/>
      <c r="D73" s="28"/>
      <c r="E73" s="29" t="s">
        <v>91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</sheetData>
  <sheetProtection formatCells="0"/>
  <mergeCells count="60">
    <mergeCell ref="E69:V69"/>
    <mergeCell ref="A4:V4"/>
    <mergeCell ref="V6:V7"/>
    <mergeCell ref="E65:V65"/>
    <mergeCell ref="A68:D68"/>
    <mergeCell ref="A2:F2"/>
    <mergeCell ref="S6:U6"/>
    <mergeCell ref="K2:M2"/>
    <mergeCell ref="A67:D67"/>
    <mergeCell ref="N2:O2"/>
    <mergeCell ref="P2:Q2"/>
    <mergeCell ref="G56:K56"/>
    <mergeCell ref="A59:E59"/>
    <mergeCell ref="A58:E58"/>
    <mergeCell ref="G2:H2"/>
    <mergeCell ref="A64:E64"/>
    <mergeCell ref="I2:J2"/>
    <mergeCell ref="K6:L6"/>
    <mergeCell ref="D6:D7"/>
    <mergeCell ref="A73:D73"/>
    <mergeCell ref="E70:V70"/>
    <mergeCell ref="B6:B7"/>
    <mergeCell ref="A34:V34"/>
    <mergeCell ref="A56:E56"/>
    <mergeCell ref="A55:E55"/>
    <mergeCell ref="A70:D70"/>
    <mergeCell ref="A69:D69"/>
    <mergeCell ref="E72:V72"/>
    <mergeCell ref="E68:V68"/>
    <mergeCell ref="E71:V71"/>
    <mergeCell ref="E67:V67"/>
    <mergeCell ref="E73:V73"/>
    <mergeCell ref="A60:E60"/>
    <mergeCell ref="A8:V8"/>
    <mergeCell ref="A72:D72"/>
    <mergeCell ref="W6:W7"/>
    <mergeCell ref="A40:V40"/>
    <mergeCell ref="M61:O61"/>
    <mergeCell ref="E6:E7"/>
    <mergeCell ref="P61:R61"/>
    <mergeCell ref="A6:A7"/>
    <mergeCell ref="F6:J6"/>
    <mergeCell ref="A61:E61"/>
    <mergeCell ref="M6:O6"/>
    <mergeCell ref="A71:D71"/>
    <mergeCell ref="P6:R6"/>
    <mergeCell ref="A1:V1"/>
    <mergeCell ref="T3:V3"/>
    <mergeCell ref="A65:D65"/>
    <mergeCell ref="E66:V66"/>
    <mergeCell ref="K61:L61"/>
    <mergeCell ref="G55:K55"/>
    <mergeCell ref="A66:D66"/>
    <mergeCell ref="F61:J61"/>
    <mergeCell ref="A62:E62"/>
    <mergeCell ref="R2:V2"/>
    <mergeCell ref="A3:S3"/>
    <mergeCell ref="A50:V50"/>
    <mergeCell ref="C6:C7"/>
    <mergeCell ref="S61:U61"/>
  </mergeCells>
  <conditionalFormatting sqref="F9:J53">
    <cfRule type="expression" dxfId="116" priority="1">
      <formula>AND(F9&lt;&gt;"",COUNTIF($F9:$J9,"X")&gt;1)</formula>
    </cfRule>
  </conditionalFormatting>
  <conditionalFormatting sqref="F61:U61">
    <cfRule type="expression" dxfId="115" priority="8">
      <formula>LEFT(F61,4)="ERRO"</formula>
    </cfRule>
    <cfRule type="expression" dxfId="114" priority="9">
      <formula>LEFT(F61,2)="OK"</formula>
    </cfRule>
  </conditionalFormatting>
  <conditionalFormatting sqref="K9:L53">
    <cfRule type="expression" dxfId="113" priority="2">
      <formula>AND(K9&lt;&gt;"",COUNTIF($K9:$L9,"X")&gt;1)</formula>
    </cfRule>
  </conditionalFormatting>
  <conditionalFormatting sqref="M9:O53">
    <cfRule type="expression" dxfId="112" priority="3">
      <formula>AND(M9&lt;&gt;"",COUNTIF($M9:$O9,"X")&gt;1)</formula>
    </cfRule>
  </conditionalFormatting>
  <conditionalFormatting sqref="P9:R53">
    <cfRule type="expression" dxfId="111" priority="4">
      <formula>AND(P9&lt;&gt;"",COUNTIF($P9:$R9,"X")&gt;1)</formula>
    </cfRule>
  </conditionalFormatting>
  <conditionalFormatting sqref="S9:U53">
    <cfRule type="expression" dxfId="110" priority="5">
      <formula>AND(S9&lt;&gt;"",COUNTIF($S9:$U9,"X")&gt;1)</formula>
    </cfRule>
  </conditionalFormatting>
  <conditionalFormatting sqref="W9:W53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3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3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3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3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3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3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5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N30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IF(F16=0,NA(),F16)</f>
        <v>1.89435233206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1.89435233206</v>
      </c>
      <c r="AF2" s="2">
        <f t="shared" si="0"/>
        <v>1.89435233206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1.89435233206</v>
      </c>
      <c r="AK2" s="2" t="e">
        <f t="shared" si="0"/>
        <v>#N/A</v>
      </c>
      <c r="AL2" s="2" t="e">
        <f t="shared" si="0"/>
        <v>#N/A</v>
      </c>
      <c r="AM2" s="2">
        <f t="shared" si="0"/>
        <v>1.89435233206</v>
      </c>
      <c r="AN2" s="2" t="e">
        <f t="shared" si="0"/>
        <v>#N/A</v>
      </c>
    </row>
    <row r="3" spans="1:40" ht="15" customHeight="1" x14ac:dyDescent="0.25">
      <c r="A3" s="42" t="s">
        <v>154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155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157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61</v>
      </c>
      <c r="G9" s="15"/>
      <c r="H9" s="15"/>
      <c r="I9" s="15"/>
      <c r="J9" s="15"/>
      <c r="K9" s="15"/>
      <c r="L9" s="15" t="s">
        <v>61</v>
      </c>
      <c r="M9" s="15" t="s">
        <v>61</v>
      </c>
      <c r="N9" s="15"/>
      <c r="O9" s="15"/>
      <c r="P9" s="15"/>
      <c r="Q9" s="15" t="s">
        <v>61</v>
      </c>
      <c r="R9" s="15"/>
      <c r="S9" s="15"/>
      <c r="T9" s="15" t="s">
        <v>61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157</v>
      </c>
      <c r="B10" s="19" t="s">
        <v>60</v>
      </c>
      <c r="C10" s="20">
        <v>1</v>
      </c>
      <c r="D10" s="20">
        <v>1.89435233206</v>
      </c>
      <c r="E10" s="20">
        <f>D10-C10</f>
        <v>0.89435233205999998</v>
      </c>
      <c r="F10" s="21" t="s">
        <v>61</v>
      </c>
      <c r="G10" s="21"/>
      <c r="H10" s="21"/>
      <c r="I10" s="21"/>
      <c r="J10" s="21"/>
      <c r="K10" s="21"/>
      <c r="L10" s="21" t="s">
        <v>61</v>
      </c>
      <c r="M10" s="21" t="s">
        <v>61</v>
      </c>
      <c r="N10" s="21"/>
      <c r="O10" s="21"/>
      <c r="P10" s="21"/>
      <c r="Q10" s="21" t="s">
        <v>61</v>
      </c>
      <c r="R10" s="21"/>
      <c r="S10" s="21"/>
      <c r="T10" s="21" t="s">
        <v>61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38" t="s">
        <v>67</v>
      </c>
      <c r="B12" s="28"/>
      <c r="C12" s="28"/>
      <c r="D12" s="28"/>
      <c r="E12" s="28"/>
      <c r="G12" s="38" t="s">
        <v>67</v>
      </c>
      <c r="H12" s="28"/>
      <c r="I12" s="28"/>
      <c r="J12" s="28"/>
      <c r="K12" s="28"/>
    </row>
    <row r="13" spans="1:40" x14ac:dyDescent="0.25">
      <c r="A13" s="36" t="s">
        <v>68</v>
      </c>
      <c r="B13" s="28"/>
      <c r="C13" s="28"/>
      <c r="D13" s="28"/>
      <c r="E13" s="28"/>
      <c r="G13" s="36" t="s">
        <v>69</v>
      </c>
      <c r="H13" s="28"/>
      <c r="I13" s="28"/>
      <c r="J13" s="28"/>
      <c r="K13" s="28"/>
    </row>
    <row r="15" spans="1:40" x14ac:dyDescent="0.25">
      <c r="A15" s="37" t="s">
        <v>70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4" t="s">
        <v>71</v>
      </c>
      <c r="B16" s="28"/>
      <c r="C16" s="28"/>
      <c r="D16" s="28"/>
      <c r="E16" s="28"/>
      <c r="F16" s="9">
        <f t="shared" ref="F16:U16" si="1">SUMIF(F$9:F$10,"X",$E$9:$E$10)</f>
        <v>1.89435233206</v>
      </c>
      <c r="G16" s="9">
        <f t="shared" si="1"/>
        <v>0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0</v>
      </c>
      <c r="L16" s="9">
        <f t="shared" si="1"/>
        <v>1.89435233206</v>
      </c>
      <c r="M16" s="9">
        <f t="shared" si="1"/>
        <v>1.89435233206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1.89435233206</v>
      </c>
      <c r="R16" s="9">
        <f t="shared" si="1"/>
        <v>0</v>
      </c>
      <c r="S16" s="9">
        <f t="shared" si="1"/>
        <v>0</v>
      </c>
      <c r="T16" s="9">
        <f t="shared" si="1"/>
        <v>1.89435233206</v>
      </c>
      <c r="U16" s="9">
        <f t="shared" si="1"/>
        <v>0</v>
      </c>
    </row>
    <row r="17" spans="1:22" x14ac:dyDescent="0.25">
      <c r="A17" s="34" t="s">
        <v>72</v>
      </c>
      <c r="B17" s="28"/>
      <c r="C17" s="28"/>
      <c r="D17" s="28"/>
      <c r="E17" s="28"/>
      <c r="F17" s="25">
        <f t="shared" ref="F17:U17" si="2">IF($R19=0,0,F16/$R19)</f>
        <v>1</v>
      </c>
      <c r="G17" s="25">
        <f t="shared" si="2"/>
        <v>0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0</v>
      </c>
      <c r="L17" s="25">
        <f t="shared" si="2"/>
        <v>1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4" t="s">
        <v>73</v>
      </c>
      <c r="B18" s="28"/>
      <c r="C18" s="28"/>
      <c r="D18" s="28"/>
      <c r="E18" s="28"/>
      <c r="F18" s="31" t="str">
        <f>IF(SUM(F16:J16)=0,"— não preenchido",IF(ROUND(SUM(F16:J16)-$R19,3)=0,"OK — "&amp;ROUND(SUM(F16:J16),3)&amp;" km","ERRO — dif. de "&amp;ROUND(SUM(F16:J16)-$R19,3)&amp;" km"))</f>
        <v>OK — 1,894 km</v>
      </c>
      <c r="G18" s="32"/>
      <c r="H18" s="32"/>
      <c r="I18" s="32"/>
      <c r="J18" s="33"/>
      <c r="K18" s="31" t="str">
        <f>IF(SUM(K16:L16)=0,"— não preenchido",IF(ROUND(SUM(K16:L16)-$R19,3)=0,"OK — "&amp;ROUND(SUM(K16:L16),3)&amp;" km","ERRO — dif. de "&amp;ROUND(SUM(K16:L16)-$R19,3)&amp;" km"))</f>
        <v>OK — 1,894 km</v>
      </c>
      <c r="L18" s="33"/>
      <c r="M18" s="31" t="str">
        <f>IF(SUM(M16:O16)=0,"— não preenchido",IF(ROUND(SUM(M16:O16)-$R19,3)=0,"OK — "&amp;ROUND(SUM(M16:O16),3)&amp;" km","ERRO — dif. de "&amp;ROUND(SUM(M16:O16)-$R19,3)&amp;" km"))</f>
        <v>OK — 1,894 km</v>
      </c>
      <c r="N18" s="32"/>
      <c r="O18" s="33"/>
      <c r="P18" s="31" t="str">
        <f>IF(SUM(P16:R16)=0,"— não preenchido",IF(ROUND(SUM(P16:R16)-$R19,3)=0,"OK — "&amp;ROUND(SUM(P16:R16),3)&amp;" km","ERRO — dif. de "&amp;ROUND(SUM(P16:R16)-$R19,3)&amp;" km"))</f>
        <v>OK — 1,894 km</v>
      </c>
      <c r="Q18" s="32"/>
      <c r="R18" s="33"/>
      <c r="S18" s="31" t="str">
        <f>IF(SUM(S16:U16)=0,"— não preenchido",IF(ROUND(SUM(S16:U16)-$R19,3)=0,"OK — "&amp;ROUND(SUM(S16:U16),3)&amp;" km","ERRO — dif. de "&amp;ROUND(SUM(S16:U16)-$R19,3)&amp;" km"))</f>
        <v>OK — 1,894 km</v>
      </c>
      <c r="T18" s="32"/>
      <c r="U18" s="33"/>
    </row>
    <row r="19" spans="1:22" x14ac:dyDescent="0.25">
      <c r="A19" s="34" t="s">
        <v>74</v>
      </c>
      <c r="B19" s="28"/>
      <c r="C19" s="28"/>
      <c r="D19" s="28"/>
      <c r="E19" s="28"/>
      <c r="R19" s="26">
        <f>SUM(E9:E10)</f>
        <v>1.89435233206</v>
      </c>
      <c r="V19" s="8" t="str">
        <f>COUNTIF(W9:W10,"OK")&amp;" de "&amp;COUNT($E$9:$E$10)&amp;" linhas conferidas"</f>
        <v>2 de 2 linhas conferidas</v>
      </c>
    </row>
    <row r="21" spans="1:22" x14ac:dyDescent="0.25">
      <c r="A21" s="45" t="s">
        <v>75</v>
      </c>
      <c r="B21" s="28"/>
      <c r="C21" s="28"/>
      <c r="D21" s="28"/>
      <c r="E21" s="28"/>
    </row>
    <row r="22" spans="1:22" x14ac:dyDescent="0.25">
      <c r="A22" s="34" t="s">
        <v>76</v>
      </c>
      <c r="B22" s="28"/>
      <c r="C22" s="28"/>
      <c r="D22" s="28"/>
      <c r="E22" s="29" t="s">
        <v>77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4" t="s">
        <v>78</v>
      </c>
      <c r="B23" s="28"/>
      <c r="C23" s="28"/>
      <c r="D23" s="28"/>
      <c r="E23" s="29" t="s">
        <v>79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4" t="s">
        <v>80</v>
      </c>
      <c r="B24" s="28"/>
      <c r="C24" s="28"/>
      <c r="D24" s="28"/>
      <c r="E24" s="29" t="s">
        <v>81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4" t="s">
        <v>82</v>
      </c>
      <c r="B25" s="28"/>
      <c r="C25" s="28"/>
      <c r="D25" s="28"/>
      <c r="E25" s="29" t="s">
        <v>83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4" t="s">
        <v>84</v>
      </c>
      <c r="B26" s="28"/>
      <c r="C26" s="28"/>
      <c r="D26" s="28"/>
      <c r="E26" s="29" t="s">
        <v>85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4" t="s">
        <v>52</v>
      </c>
      <c r="B27" s="28"/>
      <c r="C27" s="28"/>
      <c r="D27" s="28"/>
      <c r="E27" s="29" t="s">
        <v>86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87</v>
      </c>
      <c r="B28" s="28"/>
      <c r="C28" s="28"/>
      <c r="D28" s="28"/>
      <c r="E28" s="29" t="s">
        <v>88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89</v>
      </c>
      <c r="B29" s="28"/>
      <c r="C29" s="28"/>
      <c r="D29" s="28"/>
      <c r="E29" s="29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11</v>
      </c>
      <c r="B30" s="28"/>
      <c r="C30" s="28"/>
      <c r="D30" s="28"/>
      <c r="E30" s="29" t="s">
        <v>91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formatCells="0"/>
  <mergeCells count="57"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</mergeCells>
  <conditionalFormatting sqref="F9:J10">
    <cfRule type="expression" dxfId="107" priority="1">
      <formula>AND(F9&lt;&gt;"",COUNTIF($F9:$J9,"X")&gt;1)</formula>
    </cfRule>
  </conditionalFormatting>
  <conditionalFormatting sqref="F18:U18">
    <cfRule type="expression" dxfId="106" priority="8">
      <formula>LEFT(F18,4)="ERRO"</formula>
    </cfRule>
    <cfRule type="expression" dxfId="105" priority="9">
      <formula>LEFT(F18,2)="OK"</formula>
    </cfRule>
  </conditionalFormatting>
  <conditionalFormatting sqref="K9:L10">
    <cfRule type="expression" dxfId="104" priority="2">
      <formula>AND(K9&lt;&gt;"",COUNTIF($K9:$L9,"X")&gt;1)</formula>
    </cfRule>
  </conditionalFormatting>
  <conditionalFormatting sqref="M9:O10">
    <cfRule type="expression" dxfId="103" priority="3">
      <formula>AND(M9&lt;&gt;"",COUNTIF($M9:$O9,"X")&gt;1)</formula>
    </cfRule>
  </conditionalFormatting>
  <conditionalFormatting sqref="P9:R10">
    <cfRule type="expression" dxfId="102" priority="4">
      <formula>AND(P9&lt;&gt;"",COUNTIF($P9:$R9,"X")&gt;1)</formula>
    </cfRule>
  </conditionalFormatting>
  <conditionalFormatting sqref="S9:U10">
    <cfRule type="expression" dxfId="101" priority="5">
      <formula>AND(S9&lt;&gt;"",COUNTIF($S9:$U9,"X")&gt;1)</formula>
    </cfRule>
  </conditionalFormatting>
  <conditionalFormatting sqref="W9:W10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IF(F30=0,NA(),F30)</f>
        <v>6</v>
      </c>
      <c r="Z2" s="2">
        <f t="shared" si="0"/>
        <v>7.3815989884599995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13.381598988459999</v>
      </c>
      <c r="AE2" s="2" t="e">
        <f t="shared" si="0"/>
        <v>#N/A</v>
      </c>
      <c r="AF2" s="2" t="e">
        <f t="shared" si="0"/>
        <v>#N/A</v>
      </c>
      <c r="AG2" s="2">
        <f t="shared" si="0"/>
        <v>13.381598988459999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12.381598988459999</v>
      </c>
      <c r="AL2" s="2" t="e">
        <f t="shared" si="0"/>
        <v>#N/A</v>
      </c>
      <c r="AM2" s="2">
        <f t="shared" si="0"/>
        <v>13.381598988459999</v>
      </c>
      <c r="AN2" s="2" t="e">
        <f t="shared" si="0"/>
        <v>#N/A</v>
      </c>
    </row>
    <row r="3" spans="1:40" ht="15" customHeight="1" x14ac:dyDescent="0.25">
      <c r="A3" s="42" t="s">
        <v>158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159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160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161</v>
      </c>
      <c r="B9" s="13" t="s">
        <v>60</v>
      </c>
      <c r="C9" s="14">
        <v>0</v>
      </c>
      <c r="D9" s="14">
        <v>1</v>
      </c>
      <c r="E9" s="14">
        <f t="shared" ref="E9:E17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 t="s">
        <v>61</v>
      </c>
      <c r="R9" s="15"/>
      <c r="S9" s="15"/>
      <c r="T9" s="15" t="s">
        <v>61</v>
      </c>
      <c r="U9" s="15"/>
      <c r="V9" s="16"/>
      <c r="W9" s="17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161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 t="s">
        <v>61</v>
      </c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161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 t="s">
        <v>61</v>
      </c>
      <c r="G11" s="15"/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161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 t="s">
        <v>61</v>
      </c>
      <c r="H12" s="15"/>
      <c r="I12" s="15"/>
      <c r="J12" s="15"/>
      <c r="K12" s="15" t="s">
        <v>61</v>
      </c>
      <c r="L12" s="15"/>
      <c r="M12" s="15"/>
      <c r="N12" s="15" t="s">
        <v>61</v>
      </c>
      <c r="O12" s="15"/>
      <c r="P12" s="15"/>
      <c r="Q12" s="15"/>
      <c r="R12" s="15" t="s">
        <v>61</v>
      </c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161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 t="s">
        <v>61</v>
      </c>
      <c r="G13" s="15"/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/>
      <c r="R13" s="15" t="s">
        <v>61</v>
      </c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161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/>
      <c r="G14" s="15" t="s">
        <v>61</v>
      </c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/>
      <c r="Q14" s="15"/>
      <c r="R14" s="15" t="s">
        <v>61</v>
      </c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161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/>
      <c r="Q15" s="15"/>
      <c r="R15" s="15" t="s">
        <v>61</v>
      </c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161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/>
      <c r="G16" s="15" t="s">
        <v>61</v>
      </c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/>
      <c r="Q16" s="15"/>
      <c r="R16" s="15" t="s">
        <v>61</v>
      </c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8" t="s">
        <v>161</v>
      </c>
      <c r="B17" s="19" t="s">
        <v>60</v>
      </c>
      <c r="C17" s="20">
        <v>8</v>
      </c>
      <c r="D17" s="20">
        <v>8.0043870223199995</v>
      </c>
      <c r="E17" s="20">
        <f t="shared" si="1"/>
        <v>4.3870223199995451E-3</v>
      </c>
      <c r="F17" s="21"/>
      <c r="G17" s="15" t="s">
        <v>61</v>
      </c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/>
      <c r="Q17" s="15"/>
      <c r="R17" s="15" t="s">
        <v>61</v>
      </c>
      <c r="S17" s="15"/>
      <c r="T17" s="15" t="s">
        <v>61</v>
      </c>
      <c r="U17" s="21"/>
      <c r="V17" s="22"/>
      <c r="W17" s="23" t="str">
        <f t="shared" si="2"/>
        <v>OK</v>
      </c>
    </row>
    <row r="18" spans="1:23" ht="15.95" customHeight="1" x14ac:dyDescent="0.25">
      <c r="A18" s="46" t="s">
        <v>162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3"/>
      <c r="W18" s="4"/>
    </row>
    <row r="19" spans="1:23" ht="20.100000000000001" customHeight="1" x14ac:dyDescent="0.25">
      <c r="A19" s="12" t="s">
        <v>163</v>
      </c>
      <c r="B19" s="13" t="s">
        <v>60</v>
      </c>
      <c r="C19" s="14">
        <v>0</v>
      </c>
      <c r="D19" s="14">
        <v>1</v>
      </c>
      <c r="E19" s="14">
        <f t="shared" ref="E19:E24" si="3">D19-C19</f>
        <v>1</v>
      </c>
      <c r="F19" s="15"/>
      <c r="G19" s="15" t="s">
        <v>61</v>
      </c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/>
      <c r="Q19" s="15"/>
      <c r="R19" s="15" t="s">
        <v>61</v>
      </c>
      <c r="S19" s="15"/>
      <c r="T19" s="15" t="s">
        <v>61</v>
      </c>
      <c r="U19" s="15"/>
      <c r="V19" s="16"/>
      <c r="W19" s="17" t="str">
        <f t="shared" ref="W19:W24" si="4"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163</v>
      </c>
      <c r="B20" s="13" t="s">
        <v>60</v>
      </c>
      <c r="C20" s="14">
        <v>1</v>
      </c>
      <c r="D20" s="14">
        <v>2</v>
      </c>
      <c r="E20" s="14">
        <f t="shared" si="3"/>
        <v>1</v>
      </c>
      <c r="F20" s="15"/>
      <c r="G20" s="15" t="s">
        <v>61</v>
      </c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/>
      <c r="R20" s="15" t="s">
        <v>61</v>
      </c>
      <c r="S20" s="15"/>
      <c r="T20" s="15" t="s">
        <v>61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163</v>
      </c>
      <c r="B21" s="13" t="s">
        <v>60</v>
      </c>
      <c r="C21" s="14">
        <v>2</v>
      </c>
      <c r="D21" s="14">
        <v>3</v>
      </c>
      <c r="E21" s="14">
        <f t="shared" si="3"/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/>
      <c r="Q21" s="15"/>
      <c r="R21" s="15" t="s">
        <v>61</v>
      </c>
      <c r="S21" s="15"/>
      <c r="T21" s="15" t="s">
        <v>61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163</v>
      </c>
      <c r="B22" s="13" t="s">
        <v>60</v>
      </c>
      <c r="C22" s="14">
        <v>3</v>
      </c>
      <c r="D22" s="14">
        <v>4</v>
      </c>
      <c r="E22" s="14">
        <f t="shared" si="3"/>
        <v>1</v>
      </c>
      <c r="F22" s="15"/>
      <c r="G22" s="15" t="s">
        <v>61</v>
      </c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/>
      <c r="Q22" s="15"/>
      <c r="R22" s="15" t="s">
        <v>61</v>
      </c>
      <c r="S22" s="15"/>
      <c r="T22" s="15" t="s">
        <v>61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163</v>
      </c>
      <c r="B23" s="13" t="s">
        <v>60</v>
      </c>
      <c r="C23" s="14">
        <v>4</v>
      </c>
      <c r="D23" s="14">
        <v>5</v>
      </c>
      <c r="E23" s="14">
        <f t="shared" si="3"/>
        <v>1</v>
      </c>
      <c r="F23" s="15" t="s">
        <v>61</v>
      </c>
      <c r="G23" s="15"/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/>
      <c r="Q23" s="15"/>
      <c r="R23" s="15" t="s">
        <v>61</v>
      </c>
      <c r="S23" s="15"/>
      <c r="T23" s="15" t="s">
        <v>61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8" t="s">
        <v>163</v>
      </c>
      <c r="B24" s="19" t="s">
        <v>60</v>
      </c>
      <c r="C24" s="20">
        <v>5</v>
      </c>
      <c r="D24" s="20">
        <v>5.37721196614</v>
      </c>
      <c r="E24" s="20">
        <f t="shared" si="3"/>
        <v>0.37721196613999997</v>
      </c>
      <c r="F24" s="21"/>
      <c r="G24" s="21" t="s">
        <v>61</v>
      </c>
      <c r="H24" s="21"/>
      <c r="I24" s="21"/>
      <c r="J24" s="21"/>
      <c r="K24" s="21" t="s">
        <v>61</v>
      </c>
      <c r="L24" s="21"/>
      <c r="M24" s="21"/>
      <c r="N24" s="21" t="s">
        <v>61</v>
      </c>
      <c r="O24" s="21"/>
      <c r="P24" s="21"/>
      <c r="Q24" s="21"/>
      <c r="R24" s="21" t="s">
        <v>61</v>
      </c>
      <c r="S24" s="21"/>
      <c r="T24" s="21" t="s">
        <v>61</v>
      </c>
      <c r="U24" s="21"/>
      <c r="V24" s="22"/>
      <c r="W24" s="23" t="str">
        <f t="shared" si="4"/>
        <v>OK</v>
      </c>
    </row>
    <row r="26" spans="1:23" x14ac:dyDescent="0.25">
      <c r="A26" s="38" t="s">
        <v>67</v>
      </c>
      <c r="B26" s="28"/>
      <c r="C26" s="28"/>
      <c r="D26" s="28"/>
      <c r="E26" s="28"/>
      <c r="G26" s="38" t="s">
        <v>67</v>
      </c>
      <c r="H26" s="28"/>
      <c r="I26" s="28"/>
      <c r="J26" s="28"/>
      <c r="K26" s="28"/>
    </row>
    <row r="27" spans="1:23" x14ac:dyDescent="0.25">
      <c r="A27" s="36" t="s">
        <v>68</v>
      </c>
      <c r="B27" s="28"/>
      <c r="C27" s="28"/>
      <c r="D27" s="28"/>
      <c r="E27" s="28"/>
      <c r="G27" s="36" t="s">
        <v>69</v>
      </c>
      <c r="H27" s="28"/>
      <c r="I27" s="28"/>
      <c r="J27" s="28"/>
      <c r="K27" s="28"/>
    </row>
    <row r="29" spans="1:23" x14ac:dyDescent="0.25">
      <c r="A29" s="37" t="s">
        <v>70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71</v>
      </c>
      <c r="B30" s="28"/>
      <c r="C30" s="28"/>
      <c r="D30" s="28"/>
      <c r="E30" s="28"/>
      <c r="F30" s="9">
        <f t="shared" ref="F30:U30" si="5">SUMIF(F$9:F$24,"X",$E$9:$E$24)</f>
        <v>6</v>
      </c>
      <c r="G30" s="9">
        <f t="shared" si="5"/>
        <v>7.3815989884599995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13.381598988459999</v>
      </c>
      <c r="L30" s="9">
        <f t="shared" si="5"/>
        <v>0</v>
      </c>
      <c r="M30" s="9">
        <f t="shared" si="5"/>
        <v>0</v>
      </c>
      <c r="N30" s="9">
        <f t="shared" si="5"/>
        <v>13.381598988459999</v>
      </c>
      <c r="O30" s="9">
        <f t="shared" si="5"/>
        <v>0</v>
      </c>
      <c r="P30" s="9">
        <f t="shared" si="5"/>
        <v>0</v>
      </c>
      <c r="Q30" s="9">
        <f t="shared" si="5"/>
        <v>1</v>
      </c>
      <c r="R30" s="9">
        <f t="shared" si="5"/>
        <v>12.381598988459999</v>
      </c>
      <c r="S30" s="9">
        <f t="shared" si="5"/>
        <v>0</v>
      </c>
      <c r="T30" s="9">
        <f t="shared" si="5"/>
        <v>13.381598988459999</v>
      </c>
      <c r="U30" s="9">
        <f t="shared" si="5"/>
        <v>0</v>
      </c>
    </row>
    <row r="31" spans="1:23" x14ac:dyDescent="0.25">
      <c r="A31" s="34" t="s">
        <v>72</v>
      </c>
      <c r="B31" s="28"/>
      <c r="C31" s="28"/>
      <c r="D31" s="28"/>
      <c r="E31" s="28"/>
      <c r="F31" s="25">
        <f t="shared" ref="F31:U31" si="6">IF($R33=0,0,F30/$R33)</f>
        <v>0.44837690960357357</v>
      </c>
      <c r="G31" s="25">
        <f t="shared" si="6"/>
        <v>0.55162309039642654</v>
      </c>
      <c r="H31" s="25">
        <f t="shared" si="6"/>
        <v>0</v>
      </c>
      <c r="I31" s="25">
        <f t="shared" si="6"/>
        <v>0</v>
      </c>
      <c r="J31" s="25">
        <f t="shared" si="6"/>
        <v>0</v>
      </c>
      <c r="K31" s="25">
        <f t="shared" si="6"/>
        <v>1</v>
      </c>
      <c r="L31" s="25">
        <f t="shared" si="6"/>
        <v>0</v>
      </c>
      <c r="M31" s="25">
        <f t="shared" si="6"/>
        <v>0</v>
      </c>
      <c r="N31" s="25">
        <f t="shared" si="6"/>
        <v>1</v>
      </c>
      <c r="O31" s="25">
        <f t="shared" si="6"/>
        <v>0</v>
      </c>
      <c r="P31" s="25">
        <f t="shared" si="6"/>
        <v>0</v>
      </c>
      <c r="Q31" s="25">
        <f t="shared" si="6"/>
        <v>7.4729484933928919E-2</v>
      </c>
      <c r="R31" s="25">
        <f t="shared" si="6"/>
        <v>0.92527051506607105</v>
      </c>
      <c r="S31" s="25">
        <f t="shared" si="6"/>
        <v>0</v>
      </c>
      <c r="T31" s="25">
        <f t="shared" si="6"/>
        <v>1</v>
      </c>
      <c r="U31" s="25">
        <f t="shared" si="6"/>
        <v>0</v>
      </c>
    </row>
    <row r="32" spans="1:23" x14ac:dyDescent="0.25">
      <c r="A32" s="34" t="s">
        <v>73</v>
      </c>
      <c r="B32" s="28"/>
      <c r="C32" s="28"/>
      <c r="D32" s="28"/>
      <c r="E32" s="28"/>
      <c r="F32" s="31" t="str">
        <f>IF(SUM(F30:J30)=0,"— não preenchido",IF(ROUND(SUM(F30:J30)-$R33,3)=0,"OK — "&amp;ROUND(SUM(F30:J30),3)&amp;" km","ERRO — dif. de "&amp;ROUND(SUM(F30:J30)-$R33,3)&amp;" km"))</f>
        <v>OK — 13,382 km</v>
      </c>
      <c r="G32" s="32"/>
      <c r="H32" s="32"/>
      <c r="I32" s="32"/>
      <c r="J32" s="33"/>
      <c r="K32" s="31" t="str">
        <f>IF(SUM(K30:L30)=0,"— não preenchido",IF(ROUND(SUM(K30:L30)-$R33,3)=0,"OK — "&amp;ROUND(SUM(K30:L30),3)&amp;" km","ERRO — dif. de "&amp;ROUND(SUM(K30:L30)-$R33,3)&amp;" km"))</f>
        <v>OK — 13,382 km</v>
      </c>
      <c r="L32" s="33"/>
      <c r="M32" s="31" t="str">
        <f>IF(SUM(M30:O30)=0,"— não preenchido",IF(ROUND(SUM(M30:O30)-$R33,3)=0,"OK — "&amp;ROUND(SUM(M30:O30),3)&amp;" km","ERRO — dif. de "&amp;ROUND(SUM(M30:O30)-$R33,3)&amp;" km"))</f>
        <v>OK — 13,382 km</v>
      </c>
      <c r="N32" s="32"/>
      <c r="O32" s="33"/>
      <c r="P32" s="31" t="str">
        <f>IF(SUM(P30:R30)=0,"— não preenchido",IF(ROUND(SUM(P30:R30)-$R33,3)=0,"OK — "&amp;ROUND(SUM(P30:R30),3)&amp;" km","ERRO — dif. de "&amp;ROUND(SUM(P30:R30)-$R33,3)&amp;" km"))</f>
        <v>OK — 13,382 km</v>
      </c>
      <c r="Q32" s="32"/>
      <c r="R32" s="33"/>
      <c r="S32" s="31" t="str">
        <f>IF(SUM(S30:U30)=0,"— não preenchido",IF(ROUND(SUM(S30:U30)-$R33,3)=0,"OK — "&amp;ROUND(SUM(S30:U30),3)&amp;" km","ERRO — dif. de "&amp;ROUND(SUM(S30:U30)-$R33,3)&amp;" km"))</f>
        <v>OK — 13,382 km</v>
      </c>
      <c r="T32" s="32"/>
      <c r="U32" s="33"/>
    </row>
    <row r="33" spans="1:22" x14ac:dyDescent="0.25">
      <c r="A33" s="34" t="s">
        <v>74</v>
      </c>
      <c r="B33" s="28"/>
      <c r="C33" s="28"/>
      <c r="D33" s="28"/>
      <c r="E33" s="28"/>
      <c r="R33" s="26">
        <f>SUM(E9:E24)</f>
        <v>13.381598988459999</v>
      </c>
      <c r="V33" s="8" t="str">
        <f>COUNTIF(W9:W24,"OK")&amp;" de "&amp;COUNT($E$9:$E$24)&amp;" linhas conferidas"</f>
        <v>15 de 15 linhas conferidas</v>
      </c>
    </row>
    <row r="35" spans="1:22" x14ac:dyDescent="0.25">
      <c r="A35" s="45" t="s">
        <v>75</v>
      </c>
      <c r="B35" s="28"/>
      <c r="C35" s="28"/>
      <c r="D35" s="28"/>
      <c r="E35" s="28"/>
    </row>
    <row r="36" spans="1:22" x14ac:dyDescent="0.25">
      <c r="A36" s="34" t="s">
        <v>76</v>
      </c>
      <c r="B36" s="28"/>
      <c r="C36" s="28"/>
      <c r="D36" s="28"/>
      <c r="E36" s="29" t="s">
        <v>77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78</v>
      </c>
      <c r="B37" s="28"/>
      <c r="C37" s="28"/>
      <c r="D37" s="28"/>
      <c r="E37" s="29" t="s">
        <v>79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80</v>
      </c>
      <c r="B38" s="28"/>
      <c r="C38" s="28"/>
      <c r="D38" s="28"/>
      <c r="E38" s="29" t="s">
        <v>81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82</v>
      </c>
      <c r="B39" s="28"/>
      <c r="C39" s="28"/>
      <c r="D39" s="28"/>
      <c r="E39" s="29" t="s">
        <v>83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84</v>
      </c>
      <c r="B40" s="28"/>
      <c r="C40" s="28"/>
      <c r="D40" s="28"/>
      <c r="E40" s="29" t="s">
        <v>85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52</v>
      </c>
      <c r="B41" s="28"/>
      <c r="C41" s="28"/>
      <c r="D41" s="28"/>
      <c r="E41" s="29" t="s">
        <v>86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87</v>
      </c>
      <c r="B42" s="28"/>
      <c r="C42" s="28"/>
      <c r="D42" s="28"/>
      <c r="E42" s="29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89</v>
      </c>
      <c r="B43" s="28"/>
      <c r="C43" s="28"/>
      <c r="D43" s="28"/>
      <c r="E43" s="29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29" t="s">
        <v>91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formatCells="0"/>
  <mergeCells count="58"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  <mergeCell ref="N2:O2"/>
    <mergeCell ref="K32:L32"/>
    <mergeCell ref="A39:D39"/>
    <mergeCell ref="P2:Q2"/>
    <mergeCell ref="A30:E30"/>
    <mergeCell ref="E38:V38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A18:V18"/>
    <mergeCell ref="C6:C7"/>
    <mergeCell ref="K6:L6"/>
    <mergeCell ref="D6:D7"/>
    <mergeCell ref="P6:R6"/>
    <mergeCell ref="A2:F2"/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40:D40"/>
  </mergeCells>
  <conditionalFormatting sqref="F9:J24">
    <cfRule type="expression" dxfId="98" priority="1">
      <formula>AND(F9&lt;&gt;"",COUNTIF($F9:$J9,"X")&gt;1)</formula>
    </cfRule>
  </conditionalFormatting>
  <conditionalFormatting sqref="F32:U32">
    <cfRule type="expression" dxfId="97" priority="13">
      <formula>LEFT(F32,4)="ERRO"</formula>
    </cfRule>
    <cfRule type="expression" dxfId="96" priority="14">
      <formula>LEFT(F32,2)="OK"</formula>
    </cfRule>
  </conditionalFormatting>
  <conditionalFormatting sqref="K9:L24">
    <cfRule type="expression" dxfId="95" priority="2">
      <formula>AND(K9&lt;&gt;"",COUNTIF($K9:$L9,"X")&gt;1)</formula>
    </cfRule>
  </conditionalFormatting>
  <conditionalFormatting sqref="M9:O24">
    <cfRule type="expression" dxfId="94" priority="3">
      <formula>AND(M9&lt;&gt;"",COUNTIF($M9:$O9,"X")&gt;1)</formula>
    </cfRule>
  </conditionalFormatting>
  <conditionalFormatting sqref="P9:R24">
    <cfRule type="expression" dxfId="93" priority="4">
      <formula>AND(P9&lt;&gt;"",COUNTIF($P9:$R9,"X")&gt;1)</formula>
    </cfRule>
  </conditionalFormatting>
  <conditionalFormatting sqref="S9:U24">
    <cfRule type="expression" dxfId="92" priority="5">
      <formula>AND(S9&lt;&gt;"",COUNTIF($S9:$U9,"X")&gt;1)</formula>
    </cfRule>
  </conditionalFormatting>
  <conditionalFormatting sqref="W9:W24">
    <cfRule type="expression" dxfId="91" priority="11">
      <formula>AND(W9&lt;&gt;"OK",W9&lt;&gt;"")</formula>
    </cfRule>
    <cfRule type="expression" dxfId="90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50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N3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 t="e">
        <f t="shared" ref="Y2:AN2" si="0">IF(F24=0,NA(),F24)</f>
        <v>#N/A</v>
      </c>
      <c r="Z2" s="2">
        <f t="shared" si="0"/>
        <v>6</v>
      </c>
      <c r="AA2" s="2">
        <f t="shared" si="0"/>
        <v>1.7059136417299996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9.7059136417299996</v>
      </c>
      <c r="AF2" s="2" t="e">
        <f t="shared" si="0"/>
        <v>#N/A</v>
      </c>
      <c r="AG2" s="2">
        <f t="shared" si="0"/>
        <v>9.7059136417299996</v>
      </c>
      <c r="AH2" s="2" t="e">
        <f t="shared" si="0"/>
        <v>#N/A</v>
      </c>
      <c r="AI2" s="2" t="e">
        <f t="shared" si="0"/>
        <v>#N/A</v>
      </c>
      <c r="AJ2" s="2">
        <f t="shared" si="0"/>
        <v>9.7059136417299996</v>
      </c>
      <c r="AK2" s="2" t="e">
        <f t="shared" si="0"/>
        <v>#N/A</v>
      </c>
      <c r="AL2" s="2" t="e">
        <f t="shared" si="0"/>
        <v>#N/A</v>
      </c>
      <c r="AM2" s="2">
        <f t="shared" si="0"/>
        <v>9.7059136417299996</v>
      </c>
      <c r="AN2" s="2" t="e">
        <f t="shared" si="0"/>
        <v>#N/A</v>
      </c>
    </row>
    <row r="3" spans="1:40" ht="15" customHeight="1" x14ac:dyDescent="0.25">
      <c r="A3" s="42" t="s">
        <v>164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165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166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167</v>
      </c>
      <c r="B9" s="13" t="s">
        <v>60</v>
      </c>
      <c r="C9" s="14">
        <v>0</v>
      </c>
      <c r="D9" s="14">
        <v>1</v>
      </c>
      <c r="E9" s="14">
        <f t="shared" ref="E9:E18" si="1">D9-C9</f>
        <v>1</v>
      </c>
      <c r="F9" s="15"/>
      <c r="G9" s="15" t="s">
        <v>61</v>
      </c>
      <c r="H9" s="15"/>
      <c r="I9" s="15"/>
      <c r="J9" s="15"/>
      <c r="K9" s="15"/>
      <c r="L9" s="15" t="s">
        <v>61</v>
      </c>
      <c r="M9" s="15"/>
      <c r="N9" s="15" t="s">
        <v>61</v>
      </c>
      <c r="O9" s="15"/>
      <c r="P9" s="15"/>
      <c r="Q9" s="15" t="s">
        <v>61</v>
      </c>
      <c r="R9" s="15"/>
      <c r="S9" s="15"/>
      <c r="T9" s="15" t="s">
        <v>61</v>
      </c>
      <c r="U9" s="15"/>
      <c r="V9" s="16"/>
      <c r="W9" s="17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167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 t="s">
        <v>61</v>
      </c>
      <c r="H10" s="15"/>
      <c r="I10" s="15"/>
      <c r="J10" s="15"/>
      <c r="K10" s="15"/>
      <c r="L10" s="15" t="s">
        <v>61</v>
      </c>
      <c r="M10" s="15"/>
      <c r="N10" s="15" t="s">
        <v>61</v>
      </c>
      <c r="O10" s="15"/>
      <c r="P10" s="15"/>
      <c r="Q10" s="15" t="s">
        <v>61</v>
      </c>
      <c r="R10" s="15"/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167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 t="s">
        <v>61</v>
      </c>
      <c r="H11" s="15"/>
      <c r="I11" s="15"/>
      <c r="J11" s="15"/>
      <c r="K11" s="15"/>
      <c r="L11" s="15" t="s">
        <v>61</v>
      </c>
      <c r="M11" s="15"/>
      <c r="N11" s="15" t="s">
        <v>61</v>
      </c>
      <c r="O11" s="15"/>
      <c r="P11" s="15"/>
      <c r="Q11" s="15" t="s">
        <v>61</v>
      </c>
      <c r="R11" s="15"/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167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 t="s">
        <v>61</v>
      </c>
      <c r="H12" s="15"/>
      <c r="I12" s="15"/>
      <c r="J12" s="15"/>
      <c r="K12" s="15"/>
      <c r="L12" s="15" t="s">
        <v>61</v>
      </c>
      <c r="M12" s="15"/>
      <c r="N12" s="15" t="s">
        <v>61</v>
      </c>
      <c r="O12" s="15"/>
      <c r="P12" s="15"/>
      <c r="Q12" s="15" t="s">
        <v>61</v>
      </c>
      <c r="R12" s="15"/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167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 t="s">
        <v>61</v>
      </c>
      <c r="J13" s="15"/>
      <c r="K13" s="15"/>
      <c r="L13" s="15" t="s">
        <v>61</v>
      </c>
      <c r="M13" s="15"/>
      <c r="N13" s="15" t="s">
        <v>61</v>
      </c>
      <c r="O13" s="15"/>
      <c r="P13" s="15"/>
      <c r="Q13" s="15" t="s">
        <v>61</v>
      </c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167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/>
      <c r="G14" s="15" t="s">
        <v>61</v>
      </c>
      <c r="H14" s="15"/>
      <c r="I14" s="15"/>
      <c r="J14" s="15"/>
      <c r="K14" s="15"/>
      <c r="L14" s="15" t="s">
        <v>61</v>
      </c>
      <c r="M14" s="15"/>
      <c r="N14" s="15" t="s">
        <v>61</v>
      </c>
      <c r="O14" s="15"/>
      <c r="P14" s="15"/>
      <c r="Q14" s="15" t="s">
        <v>61</v>
      </c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167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 t="s">
        <v>61</v>
      </c>
      <c r="J15" s="15"/>
      <c r="K15" s="15"/>
      <c r="L15" s="15" t="s">
        <v>61</v>
      </c>
      <c r="M15" s="15"/>
      <c r="N15" s="15" t="s">
        <v>61</v>
      </c>
      <c r="O15" s="15"/>
      <c r="P15" s="15"/>
      <c r="Q15" s="15" t="s">
        <v>61</v>
      </c>
      <c r="R15" s="15"/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167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/>
      <c r="G16" s="15" t="s">
        <v>61</v>
      </c>
      <c r="H16" s="15"/>
      <c r="I16" s="15"/>
      <c r="J16" s="15"/>
      <c r="K16" s="15"/>
      <c r="L16" s="15" t="s">
        <v>61</v>
      </c>
      <c r="M16" s="15"/>
      <c r="N16" s="15" t="s">
        <v>61</v>
      </c>
      <c r="O16" s="15"/>
      <c r="P16" s="15"/>
      <c r="Q16" s="15" t="s">
        <v>61</v>
      </c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167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61</v>
      </c>
      <c r="I17" s="15"/>
      <c r="J17" s="15"/>
      <c r="K17" s="15"/>
      <c r="L17" s="15" t="s">
        <v>61</v>
      </c>
      <c r="M17" s="15"/>
      <c r="N17" s="15" t="s">
        <v>61</v>
      </c>
      <c r="O17" s="15"/>
      <c r="P17" s="15"/>
      <c r="Q17" s="15" t="s">
        <v>61</v>
      </c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8" t="s">
        <v>167</v>
      </c>
      <c r="B18" s="19" t="s">
        <v>60</v>
      </c>
      <c r="C18" s="20">
        <v>9</v>
      </c>
      <c r="D18" s="20">
        <v>9.7059136417299996</v>
      </c>
      <c r="E18" s="20">
        <f t="shared" si="1"/>
        <v>0.7059136417299996</v>
      </c>
      <c r="F18" s="21"/>
      <c r="G18" s="21"/>
      <c r="H18" s="21" t="s">
        <v>61</v>
      </c>
      <c r="I18" s="21"/>
      <c r="J18" s="21"/>
      <c r="K18" s="21"/>
      <c r="L18" s="21" t="s">
        <v>61</v>
      </c>
      <c r="M18" s="21"/>
      <c r="N18" s="21" t="s">
        <v>61</v>
      </c>
      <c r="O18" s="21"/>
      <c r="P18" s="21"/>
      <c r="Q18" s="21" t="s">
        <v>61</v>
      </c>
      <c r="R18" s="21"/>
      <c r="S18" s="21"/>
      <c r="T18" s="21" t="s">
        <v>61</v>
      </c>
      <c r="U18" s="21"/>
      <c r="V18" s="22"/>
      <c r="W18" s="23" t="str">
        <f t="shared" si="2"/>
        <v>OK</v>
      </c>
    </row>
    <row r="20" spans="1:23" x14ac:dyDescent="0.25">
      <c r="A20" s="38" t="s">
        <v>67</v>
      </c>
      <c r="B20" s="28"/>
      <c r="C20" s="28"/>
      <c r="D20" s="28"/>
      <c r="E20" s="28"/>
      <c r="G20" s="38" t="s">
        <v>67</v>
      </c>
      <c r="H20" s="28"/>
      <c r="I20" s="28"/>
      <c r="J20" s="28"/>
      <c r="K20" s="28"/>
    </row>
    <row r="21" spans="1:23" x14ac:dyDescent="0.25">
      <c r="A21" s="36" t="s">
        <v>68</v>
      </c>
      <c r="B21" s="28"/>
      <c r="C21" s="28"/>
      <c r="D21" s="28"/>
      <c r="E21" s="28"/>
      <c r="G21" s="36" t="s">
        <v>69</v>
      </c>
      <c r="H21" s="28"/>
      <c r="I21" s="28"/>
      <c r="J21" s="28"/>
      <c r="K21" s="28"/>
    </row>
    <row r="23" spans="1:23" x14ac:dyDescent="0.25">
      <c r="A23" s="37" t="s">
        <v>70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4" t="s">
        <v>71</v>
      </c>
      <c r="B24" s="28"/>
      <c r="C24" s="28"/>
      <c r="D24" s="28"/>
      <c r="E24" s="28"/>
      <c r="F24" s="9">
        <f t="shared" ref="F24:U24" si="3">SUMIF(F$9:F$18,"X",$E$9:$E$18)</f>
        <v>0</v>
      </c>
      <c r="G24" s="9">
        <f t="shared" si="3"/>
        <v>6</v>
      </c>
      <c r="H24" s="9">
        <f t="shared" si="3"/>
        <v>1.7059136417299996</v>
      </c>
      <c r="I24" s="9">
        <f t="shared" si="3"/>
        <v>2</v>
      </c>
      <c r="J24" s="9">
        <f t="shared" si="3"/>
        <v>0</v>
      </c>
      <c r="K24" s="9">
        <f t="shared" si="3"/>
        <v>0</v>
      </c>
      <c r="L24" s="9">
        <f t="shared" si="3"/>
        <v>9.7059136417299996</v>
      </c>
      <c r="M24" s="9">
        <f t="shared" si="3"/>
        <v>0</v>
      </c>
      <c r="N24" s="9">
        <f t="shared" si="3"/>
        <v>9.7059136417299996</v>
      </c>
      <c r="O24" s="9">
        <f t="shared" si="3"/>
        <v>0</v>
      </c>
      <c r="P24" s="9">
        <f t="shared" si="3"/>
        <v>0</v>
      </c>
      <c r="Q24" s="9">
        <f t="shared" si="3"/>
        <v>9.7059136417299996</v>
      </c>
      <c r="R24" s="9">
        <f t="shared" si="3"/>
        <v>0</v>
      </c>
      <c r="S24" s="9">
        <f t="shared" si="3"/>
        <v>0</v>
      </c>
      <c r="T24" s="9">
        <f t="shared" si="3"/>
        <v>9.7059136417299996</v>
      </c>
      <c r="U24" s="9">
        <f t="shared" si="3"/>
        <v>0</v>
      </c>
    </row>
    <row r="25" spans="1:23" x14ac:dyDescent="0.25">
      <c r="A25" s="34" t="s">
        <v>72</v>
      </c>
      <c r="B25" s="28"/>
      <c r="C25" s="28"/>
      <c r="D25" s="28"/>
      <c r="E25" s="28"/>
      <c r="F25" s="25">
        <f t="shared" ref="F25:U25" si="4">IF($R27=0,0,F24/$R27)</f>
        <v>0</v>
      </c>
      <c r="G25" s="25">
        <f t="shared" si="4"/>
        <v>0.61817982535959892</v>
      </c>
      <c r="H25" s="25">
        <f t="shared" si="4"/>
        <v>0.1757602328538681</v>
      </c>
      <c r="I25" s="25">
        <f t="shared" si="4"/>
        <v>0.20605994178653297</v>
      </c>
      <c r="J25" s="25">
        <f t="shared" si="4"/>
        <v>0</v>
      </c>
      <c r="K25" s="25">
        <f t="shared" si="4"/>
        <v>0</v>
      </c>
      <c r="L25" s="25">
        <f t="shared" si="4"/>
        <v>1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</v>
      </c>
      <c r="Q25" s="25">
        <f t="shared" si="4"/>
        <v>1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34" t="s">
        <v>73</v>
      </c>
      <c r="B26" s="28"/>
      <c r="C26" s="28"/>
      <c r="D26" s="28"/>
      <c r="E26" s="28"/>
      <c r="F26" s="31" t="str">
        <f>IF(SUM(F24:J24)=0,"— não preenchido",IF(ROUND(SUM(F24:J24)-$R27,3)=0,"OK — "&amp;ROUND(SUM(F24:J24),3)&amp;" km","ERRO — dif. de "&amp;ROUND(SUM(F24:J24)-$R27,3)&amp;" km"))</f>
        <v>OK — 9,706 km</v>
      </c>
      <c r="G26" s="32"/>
      <c r="H26" s="32"/>
      <c r="I26" s="32"/>
      <c r="J26" s="33"/>
      <c r="K26" s="31" t="str">
        <f>IF(SUM(K24:L24)=0,"— não preenchido",IF(ROUND(SUM(K24:L24)-$R27,3)=0,"OK — "&amp;ROUND(SUM(K24:L24),3)&amp;" km","ERRO — dif. de "&amp;ROUND(SUM(K24:L24)-$R27,3)&amp;" km"))</f>
        <v>OK — 9,706 km</v>
      </c>
      <c r="L26" s="33"/>
      <c r="M26" s="31" t="str">
        <f>IF(SUM(M24:O24)=0,"— não preenchido",IF(ROUND(SUM(M24:O24)-$R27,3)=0,"OK — "&amp;ROUND(SUM(M24:O24),3)&amp;" km","ERRO — dif. de "&amp;ROUND(SUM(M24:O24)-$R27,3)&amp;" km"))</f>
        <v>OK — 9,706 km</v>
      </c>
      <c r="N26" s="32"/>
      <c r="O26" s="33"/>
      <c r="P26" s="31" t="str">
        <f>IF(SUM(P24:R24)=0,"— não preenchido",IF(ROUND(SUM(P24:R24)-$R27,3)=0,"OK — "&amp;ROUND(SUM(P24:R24),3)&amp;" km","ERRO — dif. de "&amp;ROUND(SUM(P24:R24)-$R27,3)&amp;" km"))</f>
        <v>OK — 9,706 km</v>
      </c>
      <c r="Q26" s="32"/>
      <c r="R26" s="33"/>
      <c r="S26" s="31" t="str">
        <f>IF(SUM(S24:U24)=0,"— não preenchido",IF(ROUND(SUM(S24:U24)-$R27,3)=0,"OK — "&amp;ROUND(SUM(S24:U24),3)&amp;" km","ERRO — dif. de "&amp;ROUND(SUM(S24:U24)-$R27,3)&amp;" km"))</f>
        <v>OK — 9,706 km</v>
      </c>
      <c r="T26" s="32"/>
      <c r="U26" s="33"/>
    </row>
    <row r="27" spans="1:23" x14ac:dyDescent="0.25">
      <c r="A27" s="34" t="s">
        <v>74</v>
      </c>
      <c r="B27" s="28"/>
      <c r="C27" s="28"/>
      <c r="D27" s="28"/>
      <c r="E27" s="28"/>
      <c r="R27" s="26">
        <f>SUM(E9:E18)</f>
        <v>9.7059136417299996</v>
      </c>
      <c r="V27" s="8" t="str">
        <f>COUNTIF(W9:W18,"OK")&amp;" de "&amp;COUNT($E$9:$E$18)&amp;" linhas conferidas"</f>
        <v>10 de 10 linhas conferidas</v>
      </c>
    </row>
    <row r="29" spans="1:23" x14ac:dyDescent="0.25">
      <c r="A29" s="45" t="s">
        <v>75</v>
      </c>
      <c r="B29" s="28"/>
      <c r="C29" s="28"/>
      <c r="D29" s="28"/>
      <c r="E29" s="28"/>
    </row>
    <row r="30" spans="1:23" x14ac:dyDescent="0.25">
      <c r="A30" s="34" t="s">
        <v>76</v>
      </c>
      <c r="B30" s="28"/>
      <c r="C30" s="28"/>
      <c r="D30" s="28"/>
      <c r="E30" s="29" t="s">
        <v>77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78</v>
      </c>
      <c r="B31" s="28"/>
      <c r="C31" s="28"/>
      <c r="D31" s="28"/>
      <c r="E31" s="29" t="s">
        <v>79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80</v>
      </c>
      <c r="B32" s="28"/>
      <c r="C32" s="28"/>
      <c r="D32" s="28"/>
      <c r="E32" s="29" t="s">
        <v>81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82</v>
      </c>
      <c r="B33" s="28"/>
      <c r="C33" s="28"/>
      <c r="D33" s="28"/>
      <c r="E33" s="29" t="s">
        <v>83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84</v>
      </c>
      <c r="B34" s="28"/>
      <c r="C34" s="28"/>
      <c r="D34" s="28"/>
      <c r="E34" s="29" t="s">
        <v>85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52</v>
      </c>
      <c r="B35" s="28"/>
      <c r="C35" s="28"/>
      <c r="D35" s="28"/>
      <c r="E35" s="29" t="s">
        <v>86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87</v>
      </c>
      <c r="B36" s="28"/>
      <c r="C36" s="28"/>
      <c r="D36" s="28"/>
      <c r="E36" s="29" t="s">
        <v>88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89</v>
      </c>
      <c r="B37" s="28"/>
      <c r="C37" s="28"/>
      <c r="D37" s="28"/>
      <c r="E37" s="29" t="s">
        <v>90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11</v>
      </c>
      <c r="B38" s="28"/>
      <c r="C38" s="28"/>
      <c r="D38" s="28"/>
      <c r="E38" s="29" t="s">
        <v>91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formatCells="0"/>
  <mergeCells count="57"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A4:V4"/>
    <mergeCell ref="V6:V7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S6:U6"/>
    <mergeCell ref="E30:V30"/>
    <mergeCell ref="A31:D31"/>
    <mergeCell ref="A32:D32"/>
    <mergeCell ref="A34:D34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A2:F2"/>
    <mergeCell ref="K2:M2"/>
    <mergeCell ref="A25:E25"/>
    <mergeCell ref="N2:O2"/>
    <mergeCell ref="A30:D30"/>
    <mergeCell ref="E37:V37"/>
    <mergeCell ref="P26:R26"/>
    <mergeCell ref="A37:D37"/>
    <mergeCell ref="A29:E29"/>
    <mergeCell ref="A20:E20"/>
    <mergeCell ref="G20:K20"/>
    <mergeCell ref="E33:V33"/>
    <mergeCell ref="A33:D33"/>
    <mergeCell ref="K26:L26"/>
  </mergeCells>
  <conditionalFormatting sqref="F9:J18">
    <cfRule type="expression" dxfId="89" priority="1">
      <formula>AND(F9&lt;&gt;"",COUNTIF($F9:$J9,"X")&gt;1)</formula>
    </cfRule>
  </conditionalFormatting>
  <conditionalFormatting sqref="F26:U26">
    <cfRule type="expression" dxfId="88" priority="8">
      <formula>LEFT(F26,4)="ERRO"</formula>
    </cfRule>
    <cfRule type="expression" dxfId="87" priority="9">
      <formula>LEFT(F26,2)="OK"</formula>
    </cfRule>
  </conditionalFormatting>
  <conditionalFormatting sqref="K9:L18">
    <cfRule type="expression" dxfId="86" priority="2">
      <formula>AND(K9&lt;&gt;"",COUNTIF($K9:$L9,"X")&gt;1)</formula>
    </cfRule>
  </conditionalFormatting>
  <conditionalFormatting sqref="M9:O18">
    <cfRule type="expression" dxfId="85" priority="3">
      <formula>AND(M9&lt;&gt;"",COUNTIF($M9:$O9,"X")&gt;1)</formula>
    </cfRule>
  </conditionalFormatting>
  <conditionalFormatting sqref="P9:R18">
    <cfRule type="expression" dxfId="84" priority="4">
      <formula>AND(P9&lt;&gt;"",COUNTIF($P9:$R9,"X")&gt;1)</formula>
    </cfRule>
  </conditionalFormatting>
  <conditionalFormatting sqref="S9:U18">
    <cfRule type="expression" dxfId="83" priority="5">
      <formula>AND(S9&lt;&gt;"",COUNTIF($S9:$U9,"X")&gt;1)</formula>
    </cfRule>
  </conditionalFormatting>
  <conditionalFormatting sqref="W9:W18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51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AN88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IF(F74=0,NA(),F74)</f>
        <v>37</v>
      </c>
      <c r="Z2" s="2">
        <f t="shared" si="0"/>
        <v>10.8547420198</v>
      </c>
      <c r="AA2" s="2">
        <f t="shared" si="0"/>
        <v>5.1815048998400002</v>
      </c>
      <c r="AB2" s="2">
        <f t="shared" si="0"/>
        <v>4</v>
      </c>
      <c r="AC2" s="2" t="e">
        <f t="shared" si="0"/>
        <v>#N/A</v>
      </c>
      <c r="AD2" s="2" t="e">
        <f t="shared" si="0"/>
        <v>#N/A</v>
      </c>
      <c r="AE2" s="2">
        <f t="shared" si="0"/>
        <v>57.036246919640007</v>
      </c>
      <c r="AF2" s="2" t="e">
        <f t="shared" si="0"/>
        <v>#N/A</v>
      </c>
      <c r="AG2" s="2">
        <f t="shared" si="0"/>
        <v>57.036246919640007</v>
      </c>
      <c r="AH2" s="2" t="e">
        <f t="shared" si="0"/>
        <v>#N/A</v>
      </c>
      <c r="AI2" s="2" t="e">
        <f t="shared" si="0"/>
        <v>#N/A</v>
      </c>
      <c r="AJ2" s="2">
        <f t="shared" si="0"/>
        <v>57.036246919640007</v>
      </c>
      <c r="AK2" s="2" t="e">
        <f t="shared" si="0"/>
        <v>#N/A</v>
      </c>
      <c r="AL2" s="2" t="e">
        <f t="shared" si="0"/>
        <v>#N/A</v>
      </c>
      <c r="AM2" s="2">
        <f t="shared" si="0"/>
        <v>57.036246919640007</v>
      </c>
      <c r="AN2" s="2" t="e">
        <f t="shared" si="0"/>
        <v>#N/A</v>
      </c>
    </row>
    <row r="3" spans="1:40" ht="15" customHeight="1" x14ac:dyDescent="0.25">
      <c r="A3" s="42" t="s">
        <v>168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169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170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171</v>
      </c>
      <c r="B9" s="13" t="s">
        <v>60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250</v>
      </c>
      <c r="I9" s="15"/>
      <c r="J9" s="15"/>
      <c r="K9" s="15"/>
      <c r="L9" s="15" t="s">
        <v>61</v>
      </c>
      <c r="M9" s="15"/>
      <c r="N9" s="15" t="s">
        <v>61</v>
      </c>
      <c r="O9" s="15"/>
      <c r="P9" s="15"/>
      <c r="Q9" s="15" t="s">
        <v>61</v>
      </c>
      <c r="R9" s="15"/>
      <c r="S9" s="15"/>
      <c r="T9" s="15" t="s">
        <v>61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171</v>
      </c>
      <c r="B10" s="13" t="s">
        <v>60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250</v>
      </c>
      <c r="I10" s="15"/>
      <c r="J10" s="15"/>
      <c r="K10" s="15"/>
      <c r="L10" s="15" t="s">
        <v>61</v>
      </c>
      <c r="M10" s="15"/>
      <c r="N10" s="15" t="s">
        <v>61</v>
      </c>
      <c r="O10" s="15"/>
      <c r="P10" s="15"/>
      <c r="Q10" s="15" t="s">
        <v>61</v>
      </c>
      <c r="R10" s="15"/>
      <c r="S10" s="15"/>
      <c r="T10" s="15" t="s">
        <v>61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171</v>
      </c>
      <c r="B11" s="13" t="s">
        <v>60</v>
      </c>
      <c r="C11" s="14">
        <v>2</v>
      </c>
      <c r="D11" s="14">
        <v>3</v>
      </c>
      <c r="E11" s="14">
        <f>D11-C11</f>
        <v>1</v>
      </c>
      <c r="F11" s="15"/>
      <c r="G11" s="15"/>
      <c r="H11" s="15"/>
      <c r="I11" s="15" t="s">
        <v>250</v>
      </c>
      <c r="J11" s="15"/>
      <c r="K11" s="15"/>
      <c r="L11" s="15" t="s">
        <v>61</v>
      </c>
      <c r="M11" s="15"/>
      <c r="N11" s="15" t="s">
        <v>61</v>
      </c>
      <c r="O11" s="15"/>
      <c r="P11" s="15"/>
      <c r="Q11" s="15" t="s">
        <v>61</v>
      </c>
      <c r="R11" s="15"/>
      <c r="S11" s="15"/>
      <c r="T11" s="15" t="s">
        <v>61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thickBot="1" x14ac:dyDescent="0.3">
      <c r="A12" s="18" t="s">
        <v>171</v>
      </c>
      <c r="B12" s="19" t="s">
        <v>60</v>
      </c>
      <c r="C12" s="20">
        <v>3</v>
      </c>
      <c r="D12" s="20">
        <v>3.1815048998400002</v>
      </c>
      <c r="E12" s="20">
        <f>D12-C12</f>
        <v>0.18150489984000018</v>
      </c>
      <c r="F12" s="21"/>
      <c r="G12" s="21"/>
      <c r="H12" s="21" t="s">
        <v>61</v>
      </c>
      <c r="I12" s="21"/>
      <c r="J12" s="21"/>
      <c r="K12" s="21"/>
      <c r="L12" s="21" t="s">
        <v>61</v>
      </c>
      <c r="M12" s="21"/>
      <c r="N12" s="21" t="s">
        <v>61</v>
      </c>
      <c r="O12" s="21"/>
      <c r="P12" s="21"/>
      <c r="Q12" s="21" t="s">
        <v>61</v>
      </c>
      <c r="R12" s="21"/>
      <c r="S12" s="21"/>
      <c r="T12" s="21" t="s">
        <v>61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6" t="s">
        <v>172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  <c r="W13" s="4"/>
    </row>
    <row r="14" spans="1:40" ht="20.100000000000001" customHeight="1" x14ac:dyDescent="0.25">
      <c r="A14" s="12" t="s">
        <v>173</v>
      </c>
      <c r="B14" s="13" t="s">
        <v>60</v>
      </c>
      <c r="C14" s="14">
        <v>0</v>
      </c>
      <c r="D14" s="14">
        <v>1</v>
      </c>
      <c r="E14" s="14">
        <f t="shared" ref="E14:E44" si="1">D14-C14</f>
        <v>1</v>
      </c>
      <c r="F14" s="15"/>
      <c r="G14" s="15" t="s">
        <v>61</v>
      </c>
      <c r="H14" s="15"/>
      <c r="I14" s="15"/>
      <c r="J14" s="15"/>
      <c r="K14" s="15"/>
      <c r="L14" s="15" t="s">
        <v>61</v>
      </c>
      <c r="M14" s="15"/>
      <c r="N14" s="15" t="s">
        <v>61</v>
      </c>
      <c r="O14" s="15"/>
      <c r="P14" s="15"/>
      <c r="Q14" s="15" t="s">
        <v>61</v>
      </c>
      <c r="R14" s="15"/>
      <c r="S14" s="15"/>
      <c r="T14" s="15" t="s">
        <v>61</v>
      </c>
      <c r="U14" s="15"/>
      <c r="V14" s="16"/>
      <c r="W14" s="17" t="str">
        <f t="shared" ref="W14:W44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173</v>
      </c>
      <c r="B15" s="13" t="s">
        <v>60</v>
      </c>
      <c r="C15" s="14">
        <v>1</v>
      </c>
      <c r="D15" s="14">
        <v>2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/>
      <c r="L15" s="15" t="s">
        <v>61</v>
      </c>
      <c r="M15" s="15"/>
      <c r="N15" s="15" t="s">
        <v>61</v>
      </c>
      <c r="O15" s="15"/>
      <c r="P15" s="15"/>
      <c r="Q15" s="15" t="s">
        <v>61</v>
      </c>
      <c r="R15" s="15"/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173</v>
      </c>
      <c r="B16" s="13" t="s">
        <v>60</v>
      </c>
      <c r="C16" s="14">
        <v>2</v>
      </c>
      <c r="D16" s="14">
        <v>3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/>
      <c r="L16" s="15" t="s">
        <v>61</v>
      </c>
      <c r="M16" s="15"/>
      <c r="N16" s="15" t="s">
        <v>61</v>
      </c>
      <c r="O16" s="15"/>
      <c r="P16" s="15"/>
      <c r="Q16" s="15" t="s">
        <v>61</v>
      </c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173</v>
      </c>
      <c r="B17" s="13" t="s">
        <v>60</v>
      </c>
      <c r="C17" s="14">
        <v>3</v>
      </c>
      <c r="D17" s="14">
        <v>4</v>
      </c>
      <c r="E17" s="14">
        <f t="shared" si="1"/>
        <v>1</v>
      </c>
      <c r="F17" s="15" t="s">
        <v>61</v>
      </c>
      <c r="G17" s="15"/>
      <c r="H17" s="15"/>
      <c r="I17" s="15"/>
      <c r="J17" s="15"/>
      <c r="K17" s="15"/>
      <c r="L17" s="15" t="s">
        <v>61</v>
      </c>
      <c r="M17" s="15"/>
      <c r="N17" s="15" t="s">
        <v>61</v>
      </c>
      <c r="O17" s="15"/>
      <c r="P17" s="15"/>
      <c r="Q17" s="15" t="s">
        <v>61</v>
      </c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173</v>
      </c>
      <c r="B18" s="13" t="s">
        <v>60</v>
      </c>
      <c r="C18" s="14">
        <v>4</v>
      </c>
      <c r="D18" s="14">
        <v>5</v>
      </c>
      <c r="E18" s="14">
        <f t="shared" si="1"/>
        <v>1</v>
      </c>
      <c r="F18" s="15" t="s">
        <v>61</v>
      </c>
      <c r="G18" s="15"/>
      <c r="H18" s="15"/>
      <c r="I18" s="15"/>
      <c r="J18" s="15"/>
      <c r="K18" s="15"/>
      <c r="L18" s="15" t="s">
        <v>61</v>
      </c>
      <c r="M18" s="15"/>
      <c r="N18" s="15" t="s">
        <v>61</v>
      </c>
      <c r="O18" s="15"/>
      <c r="P18" s="15"/>
      <c r="Q18" s="15" t="s">
        <v>61</v>
      </c>
      <c r="R18" s="15"/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173</v>
      </c>
      <c r="B19" s="13" t="s">
        <v>60</v>
      </c>
      <c r="C19" s="14">
        <v>5</v>
      </c>
      <c r="D19" s="14">
        <v>6</v>
      </c>
      <c r="E19" s="14">
        <f t="shared" si="1"/>
        <v>1</v>
      </c>
      <c r="F19" s="15" t="s">
        <v>61</v>
      </c>
      <c r="G19" s="15"/>
      <c r="H19" s="15"/>
      <c r="I19" s="15"/>
      <c r="J19" s="15"/>
      <c r="K19" s="15"/>
      <c r="L19" s="15" t="s">
        <v>61</v>
      </c>
      <c r="M19" s="15"/>
      <c r="N19" s="15" t="s">
        <v>61</v>
      </c>
      <c r="O19" s="15"/>
      <c r="P19" s="15"/>
      <c r="Q19" s="15" t="s">
        <v>61</v>
      </c>
      <c r="R19" s="15"/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173</v>
      </c>
      <c r="B20" s="13" t="s">
        <v>60</v>
      </c>
      <c r="C20" s="14">
        <v>6</v>
      </c>
      <c r="D20" s="14">
        <v>7</v>
      </c>
      <c r="E20" s="14">
        <f t="shared" si="1"/>
        <v>1</v>
      </c>
      <c r="F20" s="15" t="s">
        <v>61</v>
      </c>
      <c r="G20" s="15"/>
      <c r="H20" s="15"/>
      <c r="I20" s="15"/>
      <c r="J20" s="15"/>
      <c r="K20" s="15"/>
      <c r="L20" s="15" t="s">
        <v>61</v>
      </c>
      <c r="M20" s="15"/>
      <c r="N20" s="15" t="s">
        <v>61</v>
      </c>
      <c r="O20" s="15"/>
      <c r="P20" s="15"/>
      <c r="Q20" s="15" t="s">
        <v>61</v>
      </c>
      <c r="R20" s="15"/>
      <c r="S20" s="15"/>
      <c r="T20" s="15" t="s">
        <v>61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173</v>
      </c>
      <c r="B21" s="13" t="s">
        <v>60</v>
      </c>
      <c r="C21" s="14">
        <v>7</v>
      </c>
      <c r="D21" s="14">
        <v>8</v>
      </c>
      <c r="E21" s="14">
        <f t="shared" si="1"/>
        <v>1</v>
      </c>
      <c r="F21" s="15" t="s">
        <v>61</v>
      </c>
      <c r="G21" s="15"/>
      <c r="H21" s="15"/>
      <c r="I21" s="15"/>
      <c r="J21" s="15"/>
      <c r="K21" s="15"/>
      <c r="L21" s="15" t="s">
        <v>61</v>
      </c>
      <c r="M21" s="15"/>
      <c r="N21" s="15" t="s">
        <v>61</v>
      </c>
      <c r="O21" s="15"/>
      <c r="P21" s="15"/>
      <c r="Q21" s="15" t="s">
        <v>61</v>
      </c>
      <c r="R21" s="15"/>
      <c r="S21" s="15"/>
      <c r="T21" s="15" t="s">
        <v>61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173</v>
      </c>
      <c r="B22" s="13" t="s">
        <v>60</v>
      </c>
      <c r="C22" s="14">
        <v>8</v>
      </c>
      <c r="D22" s="14">
        <v>9</v>
      </c>
      <c r="E22" s="14">
        <f t="shared" si="1"/>
        <v>1</v>
      </c>
      <c r="F22" s="15" t="s">
        <v>61</v>
      </c>
      <c r="G22" s="15"/>
      <c r="H22" s="15"/>
      <c r="I22" s="15"/>
      <c r="J22" s="15"/>
      <c r="K22" s="15"/>
      <c r="L22" s="15" t="s">
        <v>61</v>
      </c>
      <c r="M22" s="15"/>
      <c r="N22" s="15" t="s">
        <v>61</v>
      </c>
      <c r="O22" s="15"/>
      <c r="P22" s="15"/>
      <c r="Q22" s="15" t="s">
        <v>61</v>
      </c>
      <c r="R22" s="15"/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173</v>
      </c>
      <c r="B23" s="13" t="s">
        <v>60</v>
      </c>
      <c r="C23" s="14">
        <v>9</v>
      </c>
      <c r="D23" s="14">
        <v>10</v>
      </c>
      <c r="E23" s="14">
        <f t="shared" si="1"/>
        <v>1</v>
      </c>
      <c r="F23" s="15" t="s">
        <v>61</v>
      </c>
      <c r="G23" s="15"/>
      <c r="H23" s="15"/>
      <c r="I23" s="15"/>
      <c r="J23" s="15"/>
      <c r="K23" s="15"/>
      <c r="L23" s="15" t="s">
        <v>61</v>
      </c>
      <c r="M23" s="15"/>
      <c r="N23" s="15" t="s">
        <v>61</v>
      </c>
      <c r="O23" s="15"/>
      <c r="P23" s="15"/>
      <c r="Q23" s="15" t="s">
        <v>61</v>
      </c>
      <c r="R23" s="15"/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173</v>
      </c>
      <c r="B24" s="13" t="s">
        <v>60</v>
      </c>
      <c r="C24" s="14">
        <v>10</v>
      </c>
      <c r="D24" s="14">
        <v>11</v>
      </c>
      <c r="E24" s="14">
        <f t="shared" si="1"/>
        <v>1</v>
      </c>
      <c r="F24" s="15"/>
      <c r="G24" s="15" t="s">
        <v>61</v>
      </c>
      <c r="H24" s="15"/>
      <c r="I24" s="15"/>
      <c r="J24" s="15"/>
      <c r="K24" s="15"/>
      <c r="L24" s="15" t="s">
        <v>61</v>
      </c>
      <c r="M24" s="15"/>
      <c r="N24" s="15" t="s">
        <v>61</v>
      </c>
      <c r="O24" s="15"/>
      <c r="P24" s="15"/>
      <c r="Q24" s="15" t="s">
        <v>61</v>
      </c>
      <c r="R24" s="15"/>
      <c r="S24" s="15"/>
      <c r="T24" s="15" t="s">
        <v>61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173</v>
      </c>
      <c r="B25" s="13" t="s">
        <v>60</v>
      </c>
      <c r="C25" s="14">
        <v>11</v>
      </c>
      <c r="D25" s="14">
        <v>12</v>
      </c>
      <c r="E25" s="14">
        <f t="shared" si="1"/>
        <v>1</v>
      </c>
      <c r="F25" s="15"/>
      <c r="G25" s="15" t="s">
        <v>61</v>
      </c>
      <c r="H25" s="15"/>
      <c r="I25" s="15"/>
      <c r="J25" s="15"/>
      <c r="K25" s="15"/>
      <c r="L25" s="15" t="s">
        <v>61</v>
      </c>
      <c r="M25" s="15"/>
      <c r="N25" s="15" t="s">
        <v>61</v>
      </c>
      <c r="O25" s="15"/>
      <c r="P25" s="15"/>
      <c r="Q25" s="15" t="s">
        <v>61</v>
      </c>
      <c r="R25" s="15"/>
      <c r="S25" s="15"/>
      <c r="T25" s="15" t="s">
        <v>61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173</v>
      </c>
      <c r="B26" s="13" t="s">
        <v>60</v>
      </c>
      <c r="C26" s="14">
        <v>12</v>
      </c>
      <c r="D26" s="14">
        <v>13</v>
      </c>
      <c r="E26" s="14">
        <f t="shared" si="1"/>
        <v>1</v>
      </c>
      <c r="F26" s="15"/>
      <c r="G26" s="15" t="s">
        <v>61</v>
      </c>
      <c r="H26" s="15"/>
      <c r="I26" s="15"/>
      <c r="J26" s="15"/>
      <c r="K26" s="15"/>
      <c r="L26" s="15" t="s">
        <v>61</v>
      </c>
      <c r="M26" s="15"/>
      <c r="N26" s="15" t="s">
        <v>61</v>
      </c>
      <c r="O26" s="15"/>
      <c r="P26" s="15"/>
      <c r="Q26" s="15" t="s">
        <v>61</v>
      </c>
      <c r="R26" s="15"/>
      <c r="S26" s="15"/>
      <c r="T26" s="15" t="s">
        <v>61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173</v>
      </c>
      <c r="B27" s="13" t="s">
        <v>60</v>
      </c>
      <c r="C27" s="14">
        <v>13</v>
      </c>
      <c r="D27" s="14">
        <v>14</v>
      </c>
      <c r="E27" s="14">
        <f t="shared" si="1"/>
        <v>1</v>
      </c>
      <c r="F27" s="15"/>
      <c r="G27" s="15" t="s">
        <v>61</v>
      </c>
      <c r="H27" s="15"/>
      <c r="I27" s="15"/>
      <c r="J27" s="15"/>
      <c r="K27" s="15"/>
      <c r="L27" s="15" t="s">
        <v>61</v>
      </c>
      <c r="M27" s="15"/>
      <c r="N27" s="15" t="s">
        <v>61</v>
      </c>
      <c r="O27" s="15"/>
      <c r="P27" s="15"/>
      <c r="Q27" s="15" t="s">
        <v>61</v>
      </c>
      <c r="R27" s="15"/>
      <c r="S27" s="15"/>
      <c r="T27" s="15" t="s">
        <v>61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173</v>
      </c>
      <c r="B28" s="13" t="s">
        <v>60</v>
      </c>
      <c r="C28" s="14">
        <v>14</v>
      </c>
      <c r="D28" s="14">
        <v>15</v>
      </c>
      <c r="E28" s="14">
        <f t="shared" si="1"/>
        <v>1</v>
      </c>
      <c r="F28" s="15" t="s">
        <v>61</v>
      </c>
      <c r="G28" s="15"/>
      <c r="H28" s="15"/>
      <c r="I28" s="15"/>
      <c r="J28" s="15"/>
      <c r="K28" s="15"/>
      <c r="L28" s="15" t="s">
        <v>61</v>
      </c>
      <c r="M28" s="15"/>
      <c r="N28" s="15" t="s">
        <v>61</v>
      </c>
      <c r="O28" s="15"/>
      <c r="P28" s="15"/>
      <c r="Q28" s="15" t="s">
        <v>61</v>
      </c>
      <c r="R28" s="15"/>
      <c r="S28" s="15"/>
      <c r="T28" s="15" t="s">
        <v>61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173</v>
      </c>
      <c r="B29" s="13" t="s">
        <v>60</v>
      </c>
      <c r="C29" s="14">
        <v>15</v>
      </c>
      <c r="D29" s="14">
        <v>16</v>
      </c>
      <c r="E29" s="14">
        <f t="shared" si="1"/>
        <v>1</v>
      </c>
      <c r="F29" s="15" t="s">
        <v>61</v>
      </c>
      <c r="G29" s="15"/>
      <c r="H29" s="15"/>
      <c r="I29" s="15"/>
      <c r="J29" s="15"/>
      <c r="K29" s="15"/>
      <c r="L29" s="15" t="s">
        <v>61</v>
      </c>
      <c r="M29" s="15"/>
      <c r="N29" s="15" t="s">
        <v>61</v>
      </c>
      <c r="O29" s="15"/>
      <c r="P29" s="15"/>
      <c r="Q29" s="15" t="s">
        <v>61</v>
      </c>
      <c r="R29" s="15"/>
      <c r="S29" s="15"/>
      <c r="T29" s="15" t="s">
        <v>61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173</v>
      </c>
      <c r="B30" s="13" t="s">
        <v>60</v>
      </c>
      <c r="C30" s="14">
        <v>16</v>
      </c>
      <c r="D30" s="14">
        <v>17</v>
      </c>
      <c r="E30" s="14">
        <f t="shared" si="1"/>
        <v>1</v>
      </c>
      <c r="F30" s="15" t="s">
        <v>61</v>
      </c>
      <c r="G30" s="15"/>
      <c r="H30" s="15"/>
      <c r="I30" s="15"/>
      <c r="J30" s="15"/>
      <c r="K30" s="15"/>
      <c r="L30" s="15" t="s">
        <v>61</v>
      </c>
      <c r="M30" s="15"/>
      <c r="N30" s="15" t="s">
        <v>61</v>
      </c>
      <c r="O30" s="15"/>
      <c r="P30" s="15"/>
      <c r="Q30" s="15" t="s">
        <v>61</v>
      </c>
      <c r="R30" s="15"/>
      <c r="S30" s="15"/>
      <c r="T30" s="15" t="s">
        <v>61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173</v>
      </c>
      <c r="B31" s="13" t="s">
        <v>60</v>
      </c>
      <c r="C31" s="14">
        <v>17</v>
      </c>
      <c r="D31" s="14">
        <v>18</v>
      </c>
      <c r="E31" s="14">
        <f t="shared" si="1"/>
        <v>1</v>
      </c>
      <c r="F31" s="15" t="s">
        <v>61</v>
      </c>
      <c r="G31" s="15"/>
      <c r="H31" s="15"/>
      <c r="I31" s="15"/>
      <c r="J31" s="15"/>
      <c r="K31" s="15"/>
      <c r="L31" s="15" t="s">
        <v>61</v>
      </c>
      <c r="M31" s="15"/>
      <c r="N31" s="15" t="s">
        <v>61</v>
      </c>
      <c r="O31" s="15"/>
      <c r="P31" s="15"/>
      <c r="Q31" s="15" t="s">
        <v>61</v>
      </c>
      <c r="R31" s="15"/>
      <c r="S31" s="15"/>
      <c r="T31" s="15" t="s">
        <v>61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173</v>
      </c>
      <c r="B32" s="13" t="s">
        <v>60</v>
      </c>
      <c r="C32" s="14">
        <v>18</v>
      </c>
      <c r="D32" s="14">
        <v>19</v>
      </c>
      <c r="E32" s="14">
        <f t="shared" si="1"/>
        <v>1</v>
      </c>
      <c r="F32" s="15" t="s">
        <v>61</v>
      </c>
      <c r="G32" s="15"/>
      <c r="H32" s="15"/>
      <c r="I32" s="15"/>
      <c r="J32" s="15"/>
      <c r="K32" s="15"/>
      <c r="L32" s="15" t="s">
        <v>61</v>
      </c>
      <c r="M32" s="15"/>
      <c r="N32" s="15" t="s">
        <v>61</v>
      </c>
      <c r="O32" s="15"/>
      <c r="P32" s="15"/>
      <c r="Q32" s="15" t="s">
        <v>61</v>
      </c>
      <c r="R32" s="15"/>
      <c r="S32" s="15"/>
      <c r="T32" s="15" t="s">
        <v>61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173</v>
      </c>
      <c r="B33" s="13" t="s">
        <v>60</v>
      </c>
      <c r="C33" s="14">
        <v>19</v>
      </c>
      <c r="D33" s="14">
        <v>20</v>
      </c>
      <c r="E33" s="14">
        <f t="shared" si="1"/>
        <v>1</v>
      </c>
      <c r="F33" s="15" t="s">
        <v>61</v>
      </c>
      <c r="G33" s="15"/>
      <c r="H33" s="15"/>
      <c r="I33" s="15"/>
      <c r="J33" s="15"/>
      <c r="K33" s="15"/>
      <c r="L33" s="15" t="s">
        <v>61</v>
      </c>
      <c r="M33" s="15"/>
      <c r="N33" s="15" t="s">
        <v>61</v>
      </c>
      <c r="O33" s="15"/>
      <c r="P33" s="15"/>
      <c r="Q33" s="15" t="s">
        <v>61</v>
      </c>
      <c r="R33" s="15"/>
      <c r="S33" s="15"/>
      <c r="T33" s="15" t="s">
        <v>61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173</v>
      </c>
      <c r="B34" s="13" t="s">
        <v>60</v>
      </c>
      <c r="C34" s="14">
        <v>20</v>
      </c>
      <c r="D34" s="14">
        <v>21</v>
      </c>
      <c r="E34" s="14">
        <f t="shared" si="1"/>
        <v>1</v>
      </c>
      <c r="F34" s="15" t="s">
        <v>61</v>
      </c>
      <c r="G34" s="15"/>
      <c r="H34" s="15"/>
      <c r="I34" s="15"/>
      <c r="J34" s="15"/>
      <c r="K34" s="15"/>
      <c r="L34" s="15" t="s">
        <v>61</v>
      </c>
      <c r="M34" s="15"/>
      <c r="N34" s="15" t="s">
        <v>61</v>
      </c>
      <c r="O34" s="15"/>
      <c r="P34" s="15"/>
      <c r="Q34" s="15" t="s">
        <v>61</v>
      </c>
      <c r="R34" s="15"/>
      <c r="S34" s="15"/>
      <c r="T34" s="15" t="s">
        <v>61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173</v>
      </c>
      <c r="B35" s="13" t="s">
        <v>60</v>
      </c>
      <c r="C35" s="14">
        <v>21</v>
      </c>
      <c r="D35" s="14">
        <v>22</v>
      </c>
      <c r="E35" s="14">
        <f t="shared" si="1"/>
        <v>1</v>
      </c>
      <c r="F35" s="15" t="s">
        <v>61</v>
      </c>
      <c r="G35" s="15"/>
      <c r="H35" s="15"/>
      <c r="I35" s="15"/>
      <c r="J35" s="15"/>
      <c r="K35" s="15"/>
      <c r="L35" s="15" t="s">
        <v>61</v>
      </c>
      <c r="M35" s="15"/>
      <c r="N35" s="15" t="s">
        <v>61</v>
      </c>
      <c r="O35" s="15"/>
      <c r="P35" s="15"/>
      <c r="Q35" s="15" t="s">
        <v>61</v>
      </c>
      <c r="R35" s="15"/>
      <c r="S35" s="15"/>
      <c r="T35" s="15" t="s">
        <v>61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173</v>
      </c>
      <c r="B36" s="13" t="s">
        <v>60</v>
      </c>
      <c r="C36" s="14">
        <v>22</v>
      </c>
      <c r="D36" s="14">
        <v>23</v>
      </c>
      <c r="E36" s="14">
        <f t="shared" si="1"/>
        <v>1</v>
      </c>
      <c r="F36" s="15" t="s">
        <v>61</v>
      </c>
      <c r="G36" s="15"/>
      <c r="H36" s="15"/>
      <c r="I36" s="15"/>
      <c r="J36" s="15"/>
      <c r="K36" s="15"/>
      <c r="L36" s="15" t="s">
        <v>61</v>
      </c>
      <c r="M36" s="15"/>
      <c r="N36" s="15" t="s">
        <v>61</v>
      </c>
      <c r="O36" s="15"/>
      <c r="P36" s="15"/>
      <c r="Q36" s="15" t="s">
        <v>61</v>
      </c>
      <c r="R36" s="15"/>
      <c r="S36" s="15"/>
      <c r="T36" s="15" t="s">
        <v>61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173</v>
      </c>
      <c r="B37" s="13" t="s">
        <v>60</v>
      </c>
      <c r="C37" s="14">
        <v>23</v>
      </c>
      <c r="D37" s="14">
        <v>24</v>
      </c>
      <c r="E37" s="14">
        <f t="shared" si="1"/>
        <v>1</v>
      </c>
      <c r="F37" s="15" t="s">
        <v>61</v>
      </c>
      <c r="G37" s="15"/>
      <c r="H37" s="15"/>
      <c r="I37" s="15"/>
      <c r="J37" s="15"/>
      <c r="K37" s="15"/>
      <c r="L37" s="15" t="s">
        <v>61</v>
      </c>
      <c r="M37" s="15"/>
      <c r="N37" s="15" t="s">
        <v>61</v>
      </c>
      <c r="O37" s="15"/>
      <c r="P37" s="15"/>
      <c r="Q37" s="15" t="s">
        <v>61</v>
      </c>
      <c r="R37" s="15"/>
      <c r="S37" s="15"/>
      <c r="T37" s="15" t="s">
        <v>61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173</v>
      </c>
      <c r="B38" s="13" t="s">
        <v>60</v>
      </c>
      <c r="C38" s="14">
        <v>24</v>
      </c>
      <c r="D38" s="14">
        <v>25</v>
      </c>
      <c r="E38" s="14">
        <f t="shared" si="1"/>
        <v>1</v>
      </c>
      <c r="F38" s="15" t="s">
        <v>61</v>
      </c>
      <c r="G38" s="15"/>
      <c r="H38" s="15"/>
      <c r="I38" s="15"/>
      <c r="J38" s="15"/>
      <c r="K38" s="15"/>
      <c r="L38" s="15" t="s">
        <v>61</v>
      </c>
      <c r="M38" s="15"/>
      <c r="N38" s="15" t="s">
        <v>61</v>
      </c>
      <c r="O38" s="15"/>
      <c r="P38" s="15"/>
      <c r="Q38" s="15" t="s">
        <v>61</v>
      </c>
      <c r="R38" s="15"/>
      <c r="S38" s="15"/>
      <c r="T38" s="15" t="s">
        <v>61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173</v>
      </c>
      <c r="B39" s="13" t="s">
        <v>60</v>
      </c>
      <c r="C39" s="14">
        <v>25</v>
      </c>
      <c r="D39" s="14">
        <v>26</v>
      </c>
      <c r="E39" s="14">
        <f t="shared" si="1"/>
        <v>1</v>
      </c>
      <c r="F39" s="15" t="s">
        <v>61</v>
      </c>
      <c r="G39" s="15"/>
      <c r="H39" s="15"/>
      <c r="I39" s="15"/>
      <c r="J39" s="15"/>
      <c r="K39" s="15"/>
      <c r="L39" s="15" t="s">
        <v>61</v>
      </c>
      <c r="M39" s="15"/>
      <c r="N39" s="15" t="s">
        <v>61</v>
      </c>
      <c r="O39" s="15"/>
      <c r="P39" s="15"/>
      <c r="Q39" s="15" t="s">
        <v>61</v>
      </c>
      <c r="R39" s="15"/>
      <c r="S39" s="15"/>
      <c r="T39" s="15" t="s">
        <v>61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173</v>
      </c>
      <c r="B40" s="13" t="s">
        <v>60</v>
      </c>
      <c r="C40" s="14">
        <v>26</v>
      </c>
      <c r="D40" s="14">
        <v>27</v>
      </c>
      <c r="E40" s="14">
        <f t="shared" si="1"/>
        <v>1</v>
      </c>
      <c r="F40" s="15" t="s">
        <v>61</v>
      </c>
      <c r="G40" s="15"/>
      <c r="H40" s="15"/>
      <c r="I40" s="15"/>
      <c r="J40" s="15"/>
      <c r="K40" s="15"/>
      <c r="L40" s="15" t="s">
        <v>61</v>
      </c>
      <c r="M40" s="15"/>
      <c r="N40" s="15" t="s">
        <v>61</v>
      </c>
      <c r="O40" s="15"/>
      <c r="P40" s="15"/>
      <c r="Q40" s="15" t="s">
        <v>61</v>
      </c>
      <c r="R40" s="15"/>
      <c r="S40" s="15"/>
      <c r="T40" s="15" t="s">
        <v>61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173</v>
      </c>
      <c r="B41" s="13" t="s">
        <v>60</v>
      </c>
      <c r="C41" s="14">
        <v>27</v>
      </c>
      <c r="D41" s="14">
        <v>28</v>
      </c>
      <c r="E41" s="14">
        <f t="shared" si="1"/>
        <v>1</v>
      </c>
      <c r="F41" s="15" t="s">
        <v>61</v>
      </c>
      <c r="G41" s="15"/>
      <c r="H41" s="15"/>
      <c r="I41" s="15"/>
      <c r="J41" s="15"/>
      <c r="K41" s="15"/>
      <c r="L41" s="15" t="s">
        <v>61</v>
      </c>
      <c r="M41" s="15"/>
      <c r="N41" s="15" t="s">
        <v>61</v>
      </c>
      <c r="O41" s="15"/>
      <c r="P41" s="15"/>
      <c r="Q41" s="15" t="s">
        <v>61</v>
      </c>
      <c r="R41" s="15"/>
      <c r="S41" s="15"/>
      <c r="T41" s="15" t="s">
        <v>61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173</v>
      </c>
      <c r="B42" s="13" t="s">
        <v>60</v>
      </c>
      <c r="C42" s="14">
        <v>28</v>
      </c>
      <c r="D42" s="14">
        <v>29</v>
      </c>
      <c r="E42" s="14">
        <f t="shared" si="1"/>
        <v>1</v>
      </c>
      <c r="F42" s="15" t="s">
        <v>61</v>
      </c>
      <c r="G42" s="15"/>
      <c r="H42" s="15"/>
      <c r="I42" s="15"/>
      <c r="J42" s="15"/>
      <c r="K42" s="15"/>
      <c r="L42" s="15" t="s">
        <v>61</v>
      </c>
      <c r="M42" s="15"/>
      <c r="N42" s="15" t="s">
        <v>61</v>
      </c>
      <c r="O42" s="15"/>
      <c r="P42" s="15"/>
      <c r="Q42" s="15" t="s">
        <v>61</v>
      </c>
      <c r="R42" s="15"/>
      <c r="S42" s="15"/>
      <c r="T42" s="15" t="s">
        <v>61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173</v>
      </c>
      <c r="B43" s="13" t="s">
        <v>60</v>
      </c>
      <c r="C43" s="14">
        <v>29</v>
      </c>
      <c r="D43" s="14">
        <v>30</v>
      </c>
      <c r="E43" s="14">
        <f t="shared" si="1"/>
        <v>1</v>
      </c>
      <c r="F43" s="15" t="s">
        <v>61</v>
      </c>
      <c r="G43" s="15"/>
      <c r="H43" s="15"/>
      <c r="I43" s="15"/>
      <c r="J43" s="15"/>
      <c r="K43" s="15"/>
      <c r="L43" s="15" t="s">
        <v>61</v>
      </c>
      <c r="M43" s="15"/>
      <c r="N43" s="15" t="s">
        <v>61</v>
      </c>
      <c r="O43" s="15"/>
      <c r="P43" s="15"/>
      <c r="Q43" s="15" t="s">
        <v>61</v>
      </c>
      <c r="R43" s="15"/>
      <c r="S43" s="15"/>
      <c r="T43" s="15" t="s">
        <v>61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8" t="s">
        <v>173</v>
      </c>
      <c r="B44" s="19" t="s">
        <v>60</v>
      </c>
      <c r="C44" s="20">
        <v>30</v>
      </c>
      <c r="D44" s="20">
        <v>30.933816117999999</v>
      </c>
      <c r="E44" s="20">
        <f t="shared" si="1"/>
        <v>0.93381611799999931</v>
      </c>
      <c r="F44" s="21"/>
      <c r="G44" s="21" t="s">
        <v>61</v>
      </c>
      <c r="H44" s="21"/>
      <c r="I44" s="21"/>
      <c r="J44" s="21"/>
      <c r="K44" s="21"/>
      <c r="L44" s="21" t="s">
        <v>61</v>
      </c>
      <c r="M44" s="21"/>
      <c r="N44" s="21" t="s">
        <v>61</v>
      </c>
      <c r="O44" s="21"/>
      <c r="P44" s="21"/>
      <c r="Q44" s="21" t="s">
        <v>61</v>
      </c>
      <c r="R44" s="21"/>
      <c r="S44" s="21"/>
      <c r="T44" s="21" t="s">
        <v>61</v>
      </c>
      <c r="U44" s="21"/>
      <c r="V44" s="22"/>
      <c r="W44" s="23" t="str">
        <f t="shared" si="2"/>
        <v>OK</v>
      </c>
    </row>
    <row r="45" spans="1:23" ht="15.95" customHeight="1" x14ac:dyDescent="0.25">
      <c r="A45" s="46" t="s">
        <v>174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/>
      <c r="W45" s="4"/>
    </row>
    <row r="46" spans="1:23" ht="20.100000000000001" customHeight="1" x14ac:dyDescent="0.25">
      <c r="A46" s="12" t="s">
        <v>175</v>
      </c>
      <c r="B46" s="13" t="s">
        <v>60</v>
      </c>
      <c r="C46" s="14">
        <v>0</v>
      </c>
      <c r="D46" s="14">
        <v>1</v>
      </c>
      <c r="E46" s="14">
        <f t="shared" ref="E46:E68" si="3">D46-C46</f>
        <v>1</v>
      </c>
      <c r="F46" s="15"/>
      <c r="G46" s="15"/>
      <c r="H46" s="15" t="s">
        <v>61</v>
      </c>
      <c r="I46" s="15"/>
      <c r="J46" s="15"/>
      <c r="K46" s="15"/>
      <c r="L46" s="15" t="s">
        <v>61</v>
      </c>
      <c r="M46" s="15"/>
      <c r="N46" s="15" t="s">
        <v>61</v>
      </c>
      <c r="O46" s="15"/>
      <c r="P46" s="15"/>
      <c r="Q46" s="15" t="s">
        <v>61</v>
      </c>
      <c r="R46" s="15"/>
      <c r="S46" s="15"/>
      <c r="T46" s="15" t="s">
        <v>61</v>
      </c>
      <c r="U46" s="15"/>
      <c r="V46" s="16"/>
      <c r="W46" s="17" t="str">
        <f t="shared" ref="W46:W68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175</v>
      </c>
      <c r="B47" s="13" t="s">
        <v>60</v>
      </c>
      <c r="C47" s="14">
        <v>1</v>
      </c>
      <c r="D47" s="14">
        <v>2</v>
      </c>
      <c r="E47" s="14">
        <f t="shared" si="3"/>
        <v>1</v>
      </c>
      <c r="F47" s="15"/>
      <c r="G47" s="15"/>
      <c r="H47" s="15" t="s">
        <v>61</v>
      </c>
      <c r="I47" s="15"/>
      <c r="J47" s="15"/>
      <c r="K47" s="15"/>
      <c r="L47" s="15" t="s">
        <v>61</v>
      </c>
      <c r="M47" s="15"/>
      <c r="N47" s="15" t="s">
        <v>61</v>
      </c>
      <c r="O47" s="15"/>
      <c r="P47" s="15"/>
      <c r="Q47" s="15" t="s">
        <v>61</v>
      </c>
      <c r="R47" s="15"/>
      <c r="S47" s="15"/>
      <c r="T47" s="15" t="s">
        <v>61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175</v>
      </c>
      <c r="B48" s="13" t="s">
        <v>60</v>
      </c>
      <c r="C48" s="14">
        <v>2</v>
      </c>
      <c r="D48" s="14">
        <v>3</v>
      </c>
      <c r="E48" s="14">
        <f t="shared" si="3"/>
        <v>1</v>
      </c>
      <c r="F48" s="15"/>
      <c r="G48" s="15"/>
      <c r="H48" s="15"/>
      <c r="I48" s="15" t="s">
        <v>61</v>
      </c>
      <c r="J48" s="15"/>
      <c r="K48" s="15"/>
      <c r="L48" s="15" t="s">
        <v>61</v>
      </c>
      <c r="M48" s="15"/>
      <c r="N48" s="15" t="s">
        <v>61</v>
      </c>
      <c r="O48" s="15"/>
      <c r="P48" s="15"/>
      <c r="Q48" s="15" t="s">
        <v>61</v>
      </c>
      <c r="R48" s="15"/>
      <c r="S48" s="15"/>
      <c r="T48" s="15" t="s">
        <v>61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175</v>
      </c>
      <c r="B49" s="13" t="s">
        <v>60</v>
      </c>
      <c r="C49" s="14">
        <v>3</v>
      </c>
      <c r="D49" s="14">
        <v>4</v>
      </c>
      <c r="E49" s="14">
        <f t="shared" si="3"/>
        <v>1</v>
      </c>
      <c r="F49" s="15"/>
      <c r="G49" s="15"/>
      <c r="H49" s="15" t="s">
        <v>61</v>
      </c>
      <c r="I49" s="15"/>
      <c r="J49" s="15"/>
      <c r="K49" s="15"/>
      <c r="L49" s="15" t="s">
        <v>61</v>
      </c>
      <c r="M49" s="15"/>
      <c r="N49" s="15" t="s">
        <v>61</v>
      </c>
      <c r="O49" s="15"/>
      <c r="P49" s="15"/>
      <c r="Q49" s="15" t="s">
        <v>61</v>
      </c>
      <c r="R49" s="15"/>
      <c r="S49" s="15"/>
      <c r="T49" s="15" t="s">
        <v>61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175</v>
      </c>
      <c r="B50" s="13" t="s">
        <v>60</v>
      </c>
      <c r="C50" s="14">
        <v>4</v>
      </c>
      <c r="D50" s="14">
        <v>5</v>
      </c>
      <c r="E50" s="14">
        <f t="shared" si="3"/>
        <v>1</v>
      </c>
      <c r="F50" s="15"/>
      <c r="G50" s="15"/>
      <c r="H50" s="15"/>
      <c r="I50" s="15" t="s">
        <v>61</v>
      </c>
      <c r="J50" s="15"/>
      <c r="K50" s="15"/>
      <c r="L50" s="15" t="s">
        <v>61</v>
      </c>
      <c r="M50" s="15"/>
      <c r="N50" s="15" t="s">
        <v>61</v>
      </c>
      <c r="O50" s="15"/>
      <c r="P50" s="15"/>
      <c r="Q50" s="15" t="s">
        <v>61</v>
      </c>
      <c r="R50" s="15"/>
      <c r="S50" s="15"/>
      <c r="T50" s="15" t="s">
        <v>61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175</v>
      </c>
      <c r="B51" s="13" t="s">
        <v>60</v>
      </c>
      <c r="C51" s="14">
        <v>5</v>
      </c>
      <c r="D51" s="14">
        <v>6</v>
      </c>
      <c r="E51" s="14">
        <f t="shared" si="3"/>
        <v>1</v>
      </c>
      <c r="F51" s="15" t="s">
        <v>61</v>
      </c>
      <c r="G51" s="15"/>
      <c r="H51" s="15"/>
      <c r="I51" s="15"/>
      <c r="J51" s="15"/>
      <c r="K51" s="15"/>
      <c r="L51" s="15" t="s">
        <v>61</v>
      </c>
      <c r="M51" s="15"/>
      <c r="N51" s="15" t="s">
        <v>61</v>
      </c>
      <c r="O51" s="15"/>
      <c r="P51" s="15"/>
      <c r="Q51" s="15" t="s">
        <v>61</v>
      </c>
      <c r="R51" s="15"/>
      <c r="S51" s="15"/>
      <c r="T51" s="15" t="s">
        <v>61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175</v>
      </c>
      <c r="B52" s="13" t="s">
        <v>60</v>
      </c>
      <c r="C52" s="14">
        <v>6</v>
      </c>
      <c r="D52" s="14">
        <v>7</v>
      </c>
      <c r="E52" s="14">
        <f t="shared" si="3"/>
        <v>1</v>
      </c>
      <c r="F52" s="15" t="s">
        <v>61</v>
      </c>
      <c r="G52" s="15"/>
      <c r="H52" s="15"/>
      <c r="I52" s="15"/>
      <c r="J52" s="15"/>
      <c r="K52" s="15"/>
      <c r="L52" s="15" t="s">
        <v>61</v>
      </c>
      <c r="M52" s="15"/>
      <c r="N52" s="15" t="s">
        <v>61</v>
      </c>
      <c r="O52" s="15"/>
      <c r="P52" s="15"/>
      <c r="Q52" s="15" t="s">
        <v>61</v>
      </c>
      <c r="R52" s="15"/>
      <c r="S52" s="15"/>
      <c r="T52" s="15" t="s">
        <v>61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175</v>
      </c>
      <c r="B53" s="13" t="s">
        <v>60</v>
      </c>
      <c r="C53" s="14">
        <v>7</v>
      </c>
      <c r="D53" s="14">
        <v>8</v>
      </c>
      <c r="E53" s="14">
        <f t="shared" si="3"/>
        <v>1</v>
      </c>
      <c r="F53" s="15" t="s">
        <v>61</v>
      </c>
      <c r="G53" s="15"/>
      <c r="H53" s="15"/>
      <c r="I53" s="15"/>
      <c r="J53" s="15"/>
      <c r="K53" s="15"/>
      <c r="L53" s="15" t="s">
        <v>61</v>
      </c>
      <c r="M53" s="15"/>
      <c r="N53" s="15" t="s">
        <v>61</v>
      </c>
      <c r="O53" s="15"/>
      <c r="P53" s="15"/>
      <c r="Q53" s="15" t="s">
        <v>61</v>
      </c>
      <c r="R53" s="15"/>
      <c r="S53" s="15"/>
      <c r="T53" s="15" t="s">
        <v>61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175</v>
      </c>
      <c r="B54" s="13" t="s">
        <v>60</v>
      </c>
      <c r="C54" s="14">
        <v>8</v>
      </c>
      <c r="D54" s="14">
        <v>9</v>
      </c>
      <c r="E54" s="14">
        <f t="shared" si="3"/>
        <v>1</v>
      </c>
      <c r="F54" s="15" t="s">
        <v>61</v>
      </c>
      <c r="G54" s="15"/>
      <c r="H54" s="15"/>
      <c r="I54" s="15"/>
      <c r="J54" s="15"/>
      <c r="K54" s="15"/>
      <c r="L54" s="15" t="s">
        <v>61</v>
      </c>
      <c r="M54" s="15"/>
      <c r="N54" s="15" t="s">
        <v>61</v>
      </c>
      <c r="O54" s="15"/>
      <c r="P54" s="15"/>
      <c r="Q54" s="15" t="s">
        <v>61</v>
      </c>
      <c r="R54" s="15"/>
      <c r="S54" s="15"/>
      <c r="T54" s="15" t="s">
        <v>61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175</v>
      </c>
      <c r="B55" s="13" t="s">
        <v>60</v>
      </c>
      <c r="C55" s="14">
        <v>9</v>
      </c>
      <c r="D55" s="14">
        <v>10</v>
      </c>
      <c r="E55" s="14">
        <f t="shared" si="3"/>
        <v>1</v>
      </c>
      <c r="F55" s="15" t="s">
        <v>61</v>
      </c>
      <c r="G55" s="15"/>
      <c r="H55" s="15"/>
      <c r="I55" s="15"/>
      <c r="J55" s="15"/>
      <c r="K55" s="15"/>
      <c r="L55" s="15" t="s">
        <v>61</v>
      </c>
      <c r="M55" s="15"/>
      <c r="N55" s="15" t="s">
        <v>61</v>
      </c>
      <c r="O55" s="15"/>
      <c r="P55" s="15"/>
      <c r="Q55" s="15" t="s">
        <v>61</v>
      </c>
      <c r="R55" s="15"/>
      <c r="S55" s="15"/>
      <c r="T55" s="15" t="s">
        <v>61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175</v>
      </c>
      <c r="B56" s="13" t="s">
        <v>60</v>
      </c>
      <c r="C56" s="14">
        <v>10</v>
      </c>
      <c r="D56" s="14">
        <v>11</v>
      </c>
      <c r="E56" s="14">
        <f t="shared" si="3"/>
        <v>1</v>
      </c>
      <c r="F56" s="15" t="s">
        <v>61</v>
      </c>
      <c r="G56" s="15"/>
      <c r="H56" s="15"/>
      <c r="I56" s="15"/>
      <c r="J56" s="15"/>
      <c r="K56" s="15"/>
      <c r="L56" s="15" t="s">
        <v>61</v>
      </c>
      <c r="M56" s="15"/>
      <c r="N56" s="15" t="s">
        <v>61</v>
      </c>
      <c r="O56" s="15"/>
      <c r="P56" s="15"/>
      <c r="Q56" s="15" t="s">
        <v>61</v>
      </c>
      <c r="R56" s="15"/>
      <c r="S56" s="15"/>
      <c r="T56" s="15" t="s">
        <v>61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175</v>
      </c>
      <c r="B57" s="13" t="s">
        <v>60</v>
      </c>
      <c r="C57" s="14">
        <v>11</v>
      </c>
      <c r="D57" s="14">
        <v>12</v>
      </c>
      <c r="E57" s="14">
        <f t="shared" si="3"/>
        <v>1</v>
      </c>
      <c r="F57" s="15" t="s">
        <v>61</v>
      </c>
      <c r="G57" s="15"/>
      <c r="H57" s="15"/>
      <c r="I57" s="15"/>
      <c r="J57" s="15"/>
      <c r="K57" s="15"/>
      <c r="L57" s="15" t="s">
        <v>61</v>
      </c>
      <c r="M57" s="15"/>
      <c r="N57" s="15" t="s">
        <v>61</v>
      </c>
      <c r="O57" s="15"/>
      <c r="P57" s="15"/>
      <c r="Q57" s="15" t="s">
        <v>61</v>
      </c>
      <c r="R57" s="15"/>
      <c r="S57" s="15"/>
      <c r="T57" s="15" t="s">
        <v>61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175</v>
      </c>
      <c r="B58" s="13" t="s">
        <v>60</v>
      </c>
      <c r="C58" s="14">
        <v>12</v>
      </c>
      <c r="D58" s="14">
        <v>13</v>
      </c>
      <c r="E58" s="14">
        <f t="shared" si="3"/>
        <v>1</v>
      </c>
      <c r="F58" s="15" t="s">
        <v>61</v>
      </c>
      <c r="G58" s="15"/>
      <c r="H58" s="15"/>
      <c r="I58" s="15"/>
      <c r="J58" s="15"/>
      <c r="K58" s="15"/>
      <c r="L58" s="15" t="s">
        <v>61</v>
      </c>
      <c r="M58" s="15"/>
      <c r="N58" s="15" t="s">
        <v>61</v>
      </c>
      <c r="O58" s="15"/>
      <c r="P58" s="15"/>
      <c r="Q58" s="15" t="s">
        <v>61</v>
      </c>
      <c r="R58" s="15"/>
      <c r="S58" s="15"/>
      <c r="T58" s="15" t="s">
        <v>61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175</v>
      </c>
      <c r="B59" s="13" t="s">
        <v>60</v>
      </c>
      <c r="C59" s="14">
        <v>13</v>
      </c>
      <c r="D59" s="14">
        <v>14</v>
      </c>
      <c r="E59" s="14">
        <f t="shared" si="3"/>
        <v>1</v>
      </c>
      <c r="F59" s="15" t="s">
        <v>61</v>
      </c>
      <c r="G59" s="15"/>
      <c r="H59" s="15"/>
      <c r="I59" s="15"/>
      <c r="J59" s="15"/>
      <c r="K59" s="15"/>
      <c r="L59" s="15" t="s">
        <v>61</v>
      </c>
      <c r="M59" s="15"/>
      <c r="N59" s="15" t="s">
        <v>61</v>
      </c>
      <c r="O59" s="15"/>
      <c r="P59" s="15"/>
      <c r="Q59" s="15" t="s">
        <v>61</v>
      </c>
      <c r="R59" s="15"/>
      <c r="S59" s="15"/>
      <c r="T59" s="15" t="s">
        <v>61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175</v>
      </c>
      <c r="B60" s="13" t="s">
        <v>60</v>
      </c>
      <c r="C60" s="14">
        <v>14</v>
      </c>
      <c r="D60" s="14">
        <v>15</v>
      </c>
      <c r="E60" s="14">
        <f t="shared" si="3"/>
        <v>1</v>
      </c>
      <c r="F60" s="15" t="s">
        <v>61</v>
      </c>
      <c r="G60" s="15"/>
      <c r="H60" s="15"/>
      <c r="I60" s="15"/>
      <c r="J60" s="15"/>
      <c r="K60" s="15"/>
      <c r="L60" s="15" t="s">
        <v>61</v>
      </c>
      <c r="M60" s="15"/>
      <c r="N60" s="15" t="s">
        <v>61</v>
      </c>
      <c r="O60" s="15"/>
      <c r="P60" s="15"/>
      <c r="Q60" s="15" t="s">
        <v>61</v>
      </c>
      <c r="R60" s="15"/>
      <c r="S60" s="15"/>
      <c r="T60" s="15" t="s">
        <v>61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175</v>
      </c>
      <c r="B61" s="13" t="s">
        <v>60</v>
      </c>
      <c r="C61" s="14">
        <v>15</v>
      </c>
      <c r="D61" s="14">
        <v>16</v>
      </c>
      <c r="E61" s="14">
        <f t="shared" si="3"/>
        <v>1</v>
      </c>
      <c r="F61" s="15" t="s">
        <v>61</v>
      </c>
      <c r="G61" s="15"/>
      <c r="H61" s="15"/>
      <c r="I61" s="15"/>
      <c r="J61" s="15"/>
      <c r="K61" s="15"/>
      <c r="L61" s="15" t="s">
        <v>61</v>
      </c>
      <c r="M61" s="15"/>
      <c r="N61" s="15" t="s">
        <v>61</v>
      </c>
      <c r="O61" s="15"/>
      <c r="P61" s="15"/>
      <c r="Q61" s="15" t="s">
        <v>61</v>
      </c>
      <c r="R61" s="15"/>
      <c r="S61" s="15"/>
      <c r="T61" s="15" t="s">
        <v>61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175</v>
      </c>
      <c r="B62" s="13" t="s">
        <v>60</v>
      </c>
      <c r="C62" s="14">
        <v>16</v>
      </c>
      <c r="D62" s="14">
        <v>17</v>
      </c>
      <c r="E62" s="14">
        <f t="shared" si="3"/>
        <v>1</v>
      </c>
      <c r="F62" s="15" t="s">
        <v>61</v>
      </c>
      <c r="G62" s="15"/>
      <c r="H62" s="15"/>
      <c r="I62" s="15"/>
      <c r="J62" s="15"/>
      <c r="K62" s="15"/>
      <c r="L62" s="15" t="s">
        <v>61</v>
      </c>
      <c r="M62" s="15"/>
      <c r="N62" s="15" t="s">
        <v>61</v>
      </c>
      <c r="O62" s="15"/>
      <c r="P62" s="15"/>
      <c r="Q62" s="15" t="s">
        <v>61</v>
      </c>
      <c r="R62" s="15"/>
      <c r="S62" s="15"/>
      <c r="T62" s="15" t="s">
        <v>61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175</v>
      </c>
      <c r="B63" s="13" t="s">
        <v>60</v>
      </c>
      <c r="C63" s="14">
        <v>17</v>
      </c>
      <c r="D63" s="14">
        <v>18</v>
      </c>
      <c r="E63" s="14">
        <f t="shared" si="3"/>
        <v>1</v>
      </c>
      <c r="F63" s="15"/>
      <c r="G63" s="15"/>
      <c r="H63" s="15"/>
      <c r="I63" s="15" t="s">
        <v>61</v>
      </c>
      <c r="J63" s="15"/>
      <c r="K63" s="15"/>
      <c r="L63" s="15" t="s">
        <v>61</v>
      </c>
      <c r="M63" s="15"/>
      <c r="N63" s="15" t="s">
        <v>61</v>
      </c>
      <c r="O63" s="15"/>
      <c r="P63" s="15"/>
      <c r="Q63" s="15" t="s">
        <v>61</v>
      </c>
      <c r="R63" s="15"/>
      <c r="S63" s="15"/>
      <c r="T63" s="15" t="s">
        <v>61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175</v>
      </c>
      <c r="B64" s="13" t="s">
        <v>60</v>
      </c>
      <c r="C64" s="14">
        <v>18</v>
      </c>
      <c r="D64" s="14">
        <v>19</v>
      </c>
      <c r="E64" s="14">
        <f t="shared" si="3"/>
        <v>1</v>
      </c>
      <c r="F64" s="15"/>
      <c r="G64" s="15" t="s">
        <v>61</v>
      </c>
      <c r="H64" s="15"/>
      <c r="I64" s="15"/>
      <c r="J64" s="15"/>
      <c r="K64" s="15"/>
      <c r="L64" s="15" t="s">
        <v>61</v>
      </c>
      <c r="M64" s="15"/>
      <c r="N64" s="15" t="s">
        <v>61</v>
      </c>
      <c r="O64" s="15"/>
      <c r="P64" s="15"/>
      <c r="Q64" s="15" t="s">
        <v>61</v>
      </c>
      <c r="R64" s="15"/>
      <c r="S64" s="15"/>
      <c r="T64" s="15" t="s">
        <v>61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175</v>
      </c>
      <c r="B65" s="13" t="s">
        <v>60</v>
      </c>
      <c r="C65" s="14">
        <v>19</v>
      </c>
      <c r="D65" s="14">
        <v>20</v>
      </c>
      <c r="E65" s="14">
        <f t="shared" si="3"/>
        <v>1</v>
      </c>
      <c r="F65" s="15"/>
      <c r="G65" s="15" t="s">
        <v>61</v>
      </c>
      <c r="H65" s="15"/>
      <c r="I65" s="15"/>
      <c r="J65" s="15"/>
      <c r="K65" s="15"/>
      <c r="L65" s="15" t="s">
        <v>61</v>
      </c>
      <c r="M65" s="15"/>
      <c r="N65" s="15" t="s">
        <v>61</v>
      </c>
      <c r="O65" s="15"/>
      <c r="P65" s="15"/>
      <c r="Q65" s="15" t="s">
        <v>61</v>
      </c>
      <c r="R65" s="15"/>
      <c r="S65" s="15"/>
      <c r="T65" s="15" t="s">
        <v>61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175</v>
      </c>
      <c r="B66" s="13" t="s">
        <v>60</v>
      </c>
      <c r="C66" s="14">
        <v>20</v>
      </c>
      <c r="D66" s="14">
        <v>21</v>
      </c>
      <c r="E66" s="14">
        <f t="shared" si="3"/>
        <v>1</v>
      </c>
      <c r="F66" s="15"/>
      <c r="G66" s="15" t="s">
        <v>61</v>
      </c>
      <c r="H66" s="15"/>
      <c r="I66" s="15"/>
      <c r="J66" s="15"/>
      <c r="K66" s="15"/>
      <c r="L66" s="15" t="s">
        <v>61</v>
      </c>
      <c r="M66" s="15"/>
      <c r="N66" s="15" t="s">
        <v>61</v>
      </c>
      <c r="O66" s="15"/>
      <c r="P66" s="15"/>
      <c r="Q66" s="15" t="s">
        <v>61</v>
      </c>
      <c r="R66" s="15"/>
      <c r="S66" s="15"/>
      <c r="T66" s="15" t="s">
        <v>61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175</v>
      </c>
      <c r="B67" s="13" t="s">
        <v>60</v>
      </c>
      <c r="C67" s="14">
        <v>21</v>
      </c>
      <c r="D67" s="14">
        <v>22</v>
      </c>
      <c r="E67" s="14">
        <f t="shared" si="3"/>
        <v>1</v>
      </c>
      <c r="F67" s="15"/>
      <c r="G67" s="15" t="s">
        <v>61</v>
      </c>
      <c r="H67" s="15"/>
      <c r="I67" s="15"/>
      <c r="J67" s="15"/>
      <c r="K67" s="15"/>
      <c r="L67" s="15" t="s">
        <v>61</v>
      </c>
      <c r="M67" s="15"/>
      <c r="N67" s="15" t="s">
        <v>61</v>
      </c>
      <c r="O67" s="15"/>
      <c r="P67" s="15"/>
      <c r="Q67" s="15" t="s">
        <v>61</v>
      </c>
      <c r="R67" s="15"/>
      <c r="S67" s="15"/>
      <c r="T67" s="15" t="s">
        <v>61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8" t="s">
        <v>175</v>
      </c>
      <c r="B68" s="19" t="s">
        <v>60</v>
      </c>
      <c r="C68" s="20">
        <v>22</v>
      </c>
      <c r="D68" s="20">
        <v>22.9209259018</v>
      </c>
      <c r="E68" s="20">
        <f t="shared" si="3"/>
        <v>0.92092590180000045</v>
      </c>
      <c r="F68" s="21"/>
      <c r="G68" s="21" t="s">
        <v>61</v>
      </c>
      <c r="H68" s="21"/>
      <c r="I68" s="21"/>
      <c r="J68" s="21"/>
      <c r="K68" s="21"/>
      <c r="L68" s="21" t="s">
        <v>61</v>
      </c>
      <c r="M68" s="21"/>
      <c r="N68" s="21" t="s">
        <v>61</v>
      </c>
      <c r="O68" s="21"/>
      <c r="P68" s="21"/>
      <c r="Q68" s="21" t="s">
        <v>61</v>
      </c>
      <c r="R68" s="21"/>
      <c r="S68" s="21"/>
      <c r="T68" s="21" t="s">
        <v>61</v>
      </c>
      <c r="U68" s="21"/>
      <c r="V68" s="22"/>
      <c r="W68" s="23" t="str">
        <f t="shared" si="4"/>
        <v>OK</v>
      </c>
    </row>
    <row r="70" spans="1:23" x14ac:dyDescent="0.25">
      <c r="A70" s="38" t="s">
        <v>67</v>
      </c>
      <c r="B70" s="28"/>
      <c r="C70" s="28"/>
      <c r="D70" s="28"/>
      <c r="E70" s="28"/>
      <c r="G70" s="38" t="s">
        <v>67</v>
      </c>
      <c r="H70" s="28"/>
      <c r="I70" s="28"/>
      <c r="J70" s="28"/>
      <c r="K70" s="28"/>
    </row>
    <row r="71" spans="1:23" x14ac:dyDescent="0.25">
      <c r="A71" s="36" t="s">
        <v>68</v>
      </c>
      <c r="B71" s="28"/>
      <c r="C71" s="28"/>
      <c r="D71" s="28"/>
      <c r="E71" s="28"/>
      <c r="G71" s="36" t="s">
        <v>69</v>
      </c>
      <c r="H71" s="28"/>
      <c r="I71" s="28"/>
      <c r="J71" s="28"/>
      <c r="K71" s="28"/>
    </row>
    <row r="73" spans="1:23" x14ac:dyDescent="0.25">
      <c r="A73" s="37" t="s">
        <v>70</v>
      </c>
      <c r="B73" s="28"/>
      <c r="C73" s="28"/>
      <c r="D73" s="28"/>
      <c r="E73" s="28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3" x14ac:dyDescent="0.25">
      <c r="A74" s="34" t="s">
        <v>71</v>
      </c>
      <c r="B74" s="28"/>
      <c r="C74" s="28"/>
      <c r="D74" s="28"/>
      <c r="E74" s="28"/>
      <c r="F74" s="9">
        <f t="shared" ref="F74:U74" si="5">SUMIF(F$9:F$68,"X",$E$9:$E$68)</f>
        <v>37</v>
      </c>
      <c r="G74" s="9">
        <f t="shared" si="5"/>
        <v>10.8547420198</v>
      </c>
      <c r="H74" s="9">
        <f t="shared" si="5"/>
        <v>5.1815048998400002</v>
      </c>
      <c r="I74" s="9">
        <f t="shared" si="5"/>
        <v>4</v>
      </c>
      <c r="J74" s="9">
        <f t="shared" si="5"/>
        <v>0</v>
      </c>
      <c r="K74" s="9">
        <f t="shared" si="5"/>
        <v>0</v>
      </c>
      <c r="L74" s="9">
        <f t="shared" si="5"/>
        <v>57.036246919640007</v>
      </c>
      <c r="M74" s="9">
        <f t="shared" si="5"/>
        <v>0</v>
      </c>
      <c r="N74" s="9">
        <f t="shared" si="5"/>
        <v>57.036246919640007</v>
      </c>
      <c r="O74" s="9">
        <f t="shared" si="5"/>
        <v>0</v>
      </c>
      <c r="P74" s="9">
        <f t="shared" si="5"/>
        <v>0</v>
      </c>
      <c r="Q74" s="9">
        <f t="shared" si="5"/>
        <v>57.036246919640007</v>
      </c>
      <c r="R74" s="9">
        <f t="shared" si="5"/>
        <v>0</v>
      </c>
      <c r="S74" s="9">
        <f t="shared" si="5"/>
        <v>0</v>
      </c>
      <c r="T74" s="9">
        <f t="shared" si="5"/>
        <v>57.036246919640007</v>
      </c>
      <c r="U74" s="9">
        <f t="shared" si="5"/>
        <v>0</v>
      </c>
    </row>
    <row r="75" spans="1:23" x14ac:dyDescent="0.25">
      <c r="A75" s="34" t="s">
        <v>72</v>
      </c>
      <c r="B75" s="28"/>
      <c r="C75" s="28"/>
      <c r="D75" s="28"/>
      <c r="E75" s="28"/>
      <c r="F75" s="25">
        <f t="shared" ref="F75:U75" si="6">IF($R77=0,0,F74/$R77)</f>
        <v>0.6487102850952019</v>
      </c>
      <c r="G75" s="25">
        <f t="shared" si="6"/>
        <v>0.19031304838646826</v>
      </c>
      <c r="H75" s="25">
        <f t="shared" si="6"/>
        <v>9.0845824886416002E-2</v>
      </c>
      <c r="I75" s="25">
        <f t="shared" si="6"/>
        <v>7.0130841631913715E-2</v>
      </c>
      <c r="J75" s="25">
        <f t="shared" si="6"/>
        <v>0</v>
      </c>
      <c r="K75" s="25">
        <f t="shared" si="6"/>
        <v>0</v>
      </c>
      <c r="L75" s="25">
        <f t="shared" si="6"/>
        <v>1</v>
      </c>
      <c r="M75" s="25">
        <f t="shared" si="6"/>
        <v>0</v>
      </c>
      <c r="N75" s="25">
        <f t="shared" si="6"/>
        <v>1</v>
      </c>
      <c r="O75" s="25">
        <f t="shared" si="6"/>
        <v>0</v>
      </c>
      <c r="P75" s="25">
        <f t="shared" si="6"/>
        <v>0</v>
      </c>
      <c r="Q75" s="25">
        <f t="shared" si="6"/>
        <v>1</v>
      </c>
      <c r="R75" s="25">
        <f t="shared" si="6"/>
        <v>0</v>
      </c>
      <c r="S75" s="25">
        <f t="shared" si="6"/>
        <v>0</v>
      </c>
      <c r="T75" s="25">
        <f t="shared" si="6"/>
        <v>1</v>
      </c>
      <c r="U75" s="25">
        <f t="shared" si="6"/>
        <v>0</v>
      </c>
    </row>
    <row r="76" spans="1:23" x14ac:dyDescent="0.25">
      <c r="A76" s="34" t="s">
        <v>73</v>
      </c>
      <c r="B76" s="28"/>
      <c r="C76" s="28"/>
      <c r="D76" s="28"/>
      <c r="E76" s="28"/>
      <c r="F76" s="31" t="str">
        <f>IF(SUM(F74:J74)=0,"— não preenchido",IF(ROUND(SUM(F74:J74)-$R77,3)=0,"OK — "&amp;ROUND(SUM(F74:J74),3)&amp;" km","ERRO — dif. de "&amp;ROUND(SUM(F74:J74)-$R77,3)&amp;" km"))</f>
        <v>OK — 57,036 km</v>
      </c>
      <c r="G76" s="32"/>
      <c r="H76" s="32"/>
      <c r="I76" s="32"/>
      <c r="J76" s="33"/>
      <c r="K76" s="31" t="str">
        <f>IF(SUM(K74:L74)=0,"— não preenchido",IF(ROUND(SUM(K74:L74)-$R77,3)=0,"OK — "&amp;ROUND(SUM(K74:L74),3)&amp;" km","ERRO — dif. de "&amp;ROUND(SUM(K74:L74)-$R77,3)&amp;" km"))</f>
        <v>OK — 57,036 km</v>
      </c>
      <c r="L76" s="33"/>
      <c r="M76" s="31" t="str">
        <f>IF(SUM(M74:O74)=0,"— não preenchido",IF(ROUND(SUM(M74:O74)-$R77,3)=0,"OK — "&amp;ROUND(SUM(M74:O74),3)&amp;" km","ERRO — dif. de "&amp;ROUND(SUM(M74:O74)-$R77,3)&amp;" km"))</f>
        <v>OK — 57,036 km</v>
      </c>
      <c r="N76" s="32"/>
      <c r="O76" s="33"/>
      <c r="P76" s="31" t="str">
        <f>IF(SUM(P74:R74)=0,"— não preenchido",IF(ROUND(SUM(P74:R74)-$R77,3)=0,"OK — "&amp;ROUND(SUM(P74:R74),3)&amp;" km","ERRO — dif. de "&amp;ROUND(SUM(P74:R74)-$R77,3)&amp;" km"))</f>
        <v>OK — 57,036 km</v>
      </c>
      <c r="Q76" s="32"/>
      <c r="R76" s="33"/>
      <c r="S76" s="31" t="str">
        <f>IF(SUM(S74:U74)=0,"— não preenchido",IF(ROUND(SUM(S74:U74)-$R77,3)=0,"OK — "&amp;ROUND(SUM(S74:U74),3)&amp;" km","ERRO — dif. de "&amp;ROUND(SUM(S74:U74)-$R77,3)&amp;" km"))</f>
        <v>OK — 57,036 km</v>
      </c>
      <c r="T76" s="32"/>
      <c r="U76" s="33"/>
    </row>
    <row r="77" spans="1:23" x14ac:dyDescent="0.25">
      <c r="A77" s="34" t="s">
        <v>74</v>
      </c>
      <c r="B77" s="28"/>
      <c r="C77" s="28"/>
      <c r="D77" s="28"/>
      <c r="E77" s="28"/>
      <c r="R77" s="26">
        <f>SUM(E9:E68)</f>
        <v>57.036246919640007</v>
      </c>
      <c r="V77" s="8" t="str">
        <f>COUNTIF(W9:W68,"OK")&amp;" de "&amp;COUNT($E$9:$E$68)&amp;" linhas conferidas"</f>
        <v>58 de 58 linhas conferidas</v>
      </c>
    </row>
    <row r="79" spans="1:23" x14ac:dyDescent="0.25">
      <c r="A79" s="45" t="s">
        <v>75</v>
      </c>
      <c r="B79" s="28"/>
      <c r="C79" s="28"/>
      <c r="D79" s="28"/>
      <c r="E79" s="28"/>
    </row>
    <row r="80" spans="1:23" x14ac:dyDescent="0.25">
      <c r="A80" s="34" t="s">
        <v>76</v>
      </c>
      <c r="B80" s="28"/>
      <c r="C80" s="28"/>
      <c r="D80" s="28"/>
      <c r="E80" s="29" t="s">
        <v>77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4" t="s">
        <v>78</v>
      </c>
      <c r="B81" s="28"/>
      <c r="C81" s="28"/>
      <c r="D81" s="28"/>
      <c r="E81" s="29" t="s">
        <v>79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4" t="s">
        <v>80</v>
      </c>
      <c r="B82" s="28"/>
      <c r="C82" s="28"/>
      <c r="D82" s="28"/>
      <c r="E82" s="29" t="s">
        <v>81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4" t="s">
        <v>82</v>
      </c>
      <c r="B83" s="28"/>
      <c r="C83" s="28"/>
      <c r="D83" s="28"/>
      <c r="E83" s="29" t="s">
        <v>83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4" t="s">
        <v>84</v>
      </c>
      <c r="B84" s="28"/>
      <c r="C84" s="28"/>
      <c r="D84" s="28"/>
      <c r="E84" s="29" t="s">
        <v>85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4" t="s">
        <v>52</v>
      </c>
      <c r="B85" s="28"/>
      <c r="C85" s="28"/>
      <c r="D85" s="28"/>
      <c r="E85" s="29" t="s">
        <v>86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4" t="s">
        <v>87</v>
      </c>
      <c r="B86" s="28"/>
      <c r="C86" s="28"/>
      <c r="D86" s="28"/>
      <c r="E86" s="29" t="s">
        <v>88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4" t="s">
        <v>89</v>
      </c>
      <c r="B87" s="28"/>
      <c r="C87" s="28"/>
      <c r="D87" s="28"/>
      <c r="E87" s="29" t="s">
        <v>90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4" t="s">
        <v>11</v>
      </c>
      <c r="B88" s="28"/>
      <c r="C88" s="28"/>
      <c r="D88" s="28"/>
      <c r="E88" s="29" t="s">
        <v>91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</sheetData>
  <sheetProtection formatCells="0"/>
  <mergeCells count="59">
    <mergeCell ref="E88:V88"/>
    <mergeCell ref="E82:V82"/>
    <mergeCell ref="A73:E73"/>
    <mergeCell ref="G2:H2"/>
    <mergeCell ref="E87:V87"/>
    <mergeCell ref="I2:J2"/>
    <mergeCell ref="A8:V8"/>
    <mergeCell ref="G71:K71"/>
    <mergeCell ref="A81:D81"/>
    <mergeCell ref="E84:V84"/>
    <mergeCell ref="F6:J6"/>
    <mergeCell ref="A6:A7"/>
    <mergeCell ref="M6:O6"/>
    <mergeCell ref="V6:V7"/>
    <mergeCell ref="A4:V4"/>
    <mergeCell ref="A83:D83"/>
    <mergeCell ref="E86:V86"/>
    <mergeCell ref="E80:V80"/>
    <mergeCell ref="N2:O2"/>
    <mergeCell ref="K76:L76"/>
    <mergeCell ref="P2:Q2"/>
    <mergeCell ref="E85:V85"/>
    <mergeCell ref="E83:V83"/>
    <mergeCell ref="A70:E70"/>
    <mergeCell ref="G70:K70"/>
    <mergeCell ref="A79:E79"/>
    <mergeCell ref="A2:F2"/>
    <mergeCell ref="S6:U6"/>
    <mergeCell ref="K2:M2"/>
    <mergeCell ref="A13:V13"/>
    <mergeCell ref="A77:E77"/>
    <mergeCell ref="W6:W7"/>
    <mergeCell ref="A82:D82"/>
    <mergeCell ref="F76:J76"/>
    <mergeCell ref="A75:E75"/>
    <mergeCell ref="E6:E7"/>
    <mergeCell ref="B6:B7"/>
    <mergeCell ref="A74:E74"/>
    <mergeCell ref="M76:O76"/>
    <mergeCell ref="S76:U76"/>
    <mergeCell ref="K6:L6"/>
    <mergeCell ref="D6:D7"/>
    <mergeCell ref="P6:R6"/>
    <mergeCell ref="A88:D88"/>
    <mergeCell ref="A1:V1"/>
    <mergeCell ref="A45:V45"/>
    <mergeCell ref="E81:V81"/>
    <mergeCell ref="A76:E76"/>
    <mergeCell ref="A71:E71"/>
    <mergeCell ref="A87:D87"/>
    <mergeCell ref="T3:V3"/>
    <mergeCell ref="A84:D84"/>
    <mergeCell ref="A80:D80"/>
    <mergeCell ref="P76:R76"/>
    <mergeCell ref="A86:D86"/>
    <mergeCell ref="A85:D85"/>
    <mergeCell ref="R2:V2"/>
    <mergeCell ref="A3:S3"/>
    <mergeCell ref="C6:C7"/>
  </mergeCells>
  <conditionalFormatting sqref="F9:J68">
    <cfRule type="expression" dxfId="80" priority="1">
      <formula>AND(F9&lt;&gt;"",COUNTIF($F9:$J9,"X")&gt;1)</formula>
    </cfRule>
  </conditionalFormatting>
  <conditionalFormatting sqref="F76:U76">
    <cfRule type="expression" dxfId="79" priority="8">
      <formula>LEFT(F76,4)="ERRO"</formula>
    </cfRule>
    <cfRule type="expression" dxfId="78" priority="9">
      <formula>LEFT(F76,2)="OK"</formula>
    </cfRule>
  </conditionalFormatting>
  <conditionalFormatting sqref="K9:L68">
    <cfRule type="expression" dxfId="77" priority="2">
      <formula>AND(K9&lt;&gt;"",COUNTIF($K9:$L9,"X")&gt;1)</formula>
    </cfRule>
  </conditionalFormatting>
  <conditionalFormatting sqref="M9:O68">
    <cfRule type="expression" dxfId="76" priority="3">
      <formula>AND(M9&lt;&gt;"",COUNTIF($M9:$O9,"X")&gt;1)</formula>
    </cfRule>
  </conditionalFormatting>
  <conditionalFormatting sqref="P9:R68">
    <cfRule type="expression" dxfId="75" priority="4">
      <formula>AND(P9&lt;&gt;"",COUNTIF($P9:$R9,"X")&gt;1)</formula>
    </cfRule>
  </conditionalFormatting>
  <conditionalFormatting sqref="S9:U68">
    <cfRule type="expression" dxfId="74" priority="5">
      <formula>AND(S9&lt;&gt;"",COUNTIF($S9:$U9,"X")&gt;1)</formula>
    </cfRule>
  </conditionalFormatting>
  <conditionalFormatting sqref="W9:W68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6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52</oddHeader>
    <oddFooter>&amp;L&amp;7 RTA / MSI — Programa de Manutenção Rodoviária&amp;C&amp;7 Página &amp;P de &amp;N&amp;R&amp;7 Impresso em &amp;D</oddFooter>
  </headerFooter>
  <rowBreaks count="1" manualBreakCount="1">
    <brk id="71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N146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IF(F132=0,NA(),F132)</f>
        <v>15.911805792559999</v>
      </c>
      <c r="Z2" s="2">
        <f t="shared" si="0"/>
        <v>50.328560129560003</v>
      </c>
      <c r="AA2" s="2">
        <f t="shared" si="0"/>
        <v>36.404654690499996</v>
      </c>
      <c r="AB2" s="2" t="e">
        <f t="shared" si="0"/>
        <v>#N/A</v>
      </c>
      <c r="AC2" s="2" t="e">
        <f t="shared" si="0"/>
        <v>#N/A</v>
      </c>
      <c r="AD2" s="2">
        <f t="shared" si="0"/>
        <v>102.64502061262</v>
      </c>
      <c r="AE2" s="2" t="e">
        <f t="shared" si="0"/>
        <v>#N/A</v>
      </c>
      <c r="AF2" s="2" t="e">
        <f t="shared" si="0"/>
        <v>#N/A</v>
      </c>
      <c r="AG2" s="2">
        <f t="shared" si="0"/>
        <v>77.745799149420009</v>
      </c>
      <c r="AH2" s="2">
        <f t="shared" si="0"/>
        <v>24.8992214632</v>
      </c>
      <c r="AI2" s="2" t="e">
        <f t="shared" si="0"/>
        <v>#N/A</v>
      </c>
      <c r="AJ2" s="2">
        <f t="shared" si="0"/>
        <v>72.142724279500001</v>
      </c>
      <c r="AK2" s="2">
        <f t="shared" si="0"/>
        <v>30.50229633312</v>
      </c>
      <c r="AL2" s="2" t="e">
        <f t="shared" si="0"/>
        <v>#N/A</v>
      </c>
      <c r="AM2" s="2">
        <f t="shared" si="0"/>
        <v>6.924234258120002</v>
      </c>
      <c r="AN2" s="2">
        <f t="shared" si="0"/>
        <v>95.720786354499992</v>
      </c>
    </row>
    <row r="3" spans="1:40" ht="15" customHeight="1" x14ac:dyDescent="0.25">
      <c r="A3" s="42" t="s">
        <v>176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177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178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179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250</v>
      </c>
      <c r="G9" s="15"/>
      <c r="H9" s="15"/>
      <c r="I9" s="15"/>
      <c r="J9" s="15"/>
      <c r="K9" s="15" t="s">
        <v>250</v>
      </c>
      <c r="L9" s="15"/>
      <c r="M9" s="15"/>
      <c r="N9" s="15" t="s">
        <v>250</v>
      </c>
      <c r="O9" s="15"/>
      <c r="P9" s="15"/>
      <c r="Q9" s="15"/>
      <c r="R9" s="15" t="s">
        <v>250</v>
      </c>
      <c r="S9" s="15"/>
      <c r="T9" s="15" t="s">
        <v>250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179</v>
      </c>
      <c r="B10" s="19" t="s">
        <v>60</v>
      </c>
      <c r="C10" s="20">
        <v>1</v>
      </c>
      <c r="D10" s="20">
        <v>1.0154807724099999</v>
      </c>
      <c r="E10" s="20">
        <f>D10-C10</f>
        <v>1.5480772409999899E-2</v>
      </c>
      <c r="F10" s="21" t="s">
        <v>250</v>
      </c>
      <c r="G10" s="21"/>
      <c r="H10" s="21"/>
      <c r="I10" s="21"/>
      <c r="J10" s="21"/>
      <c r="K10" s="21" t="s">
        <v>250</v>
      </c>
      <c r="L10" s="21"/>
      <c r="M10" s="21"/>
      <c r="N10" s="21" t="s">
        <v>250</v>
      </c>
      <c r="O10" s="21"/>
      <c r="P10" s="21"/>
      <c r="Q10" s="21"/>
      <c r="R10" s="21" t="s">
        <v>250</v>
      </c>
      <c r="S10" s="21"/>
      <c r="T10" s="21" t="s">
        <v>250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35" t="s">
        <v>180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4"/>
    </row>
    <row r="12" spans="1:40" ht="15.95" customHeight="1" x14ac:dyDescent="0.25">
      <c r="A12" s="46" t="s">
        <v>181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/>
      <c r="W12" s="4"/>
    </row>
    <row r="13" spans="1:40" ht="20.100000000000001" customHeight="1" x14ac:dyDescent="0.25">
      <c r="A13" s="12" t="s">
        <v>182</v>
      </c>
      <c r="B13" s="13" t="s">
        <v>60</v>
      </c>
      <c r="C13" s="14">
        <v>0</v>
      </c>
      <c r="D13" s="14">
        <v>1</v>
      </c>
      <c r="E13" s="14">
        <f>D13-C13</f>
        <v>1</v>
      </c>
      <c r="F13" s="15" t="s">
        <v>250</v>
      </c>
      <c r="G13" s="15"/>
      <c r="H13" s="15"/>
      <c r="I13" s="15"/>
      <c r="J13" s="15"/>
      <c r="K13" s="15" t="s">
        <v>250</v>
      </c>
      <c r="L13" s="15"/>
      <c r="M13" s="15"/>
      <c r="N13" s="15" t="s">
        <v>250</v>
      </c>
      <c r="O13" s="15"/>
      <c r="P13" s="15"/>
      <c r="Q13" s="15"/>
      <c r="R13" s="15" t="s">
        <v>250</v>
      </c>
      <c r="S13" s="15"/>
      <c r="T13" s="15" t="s">
        <v>250</v>
      </c>
      <c r="U13" s="15"/>
      <c r="V13" s="16"/>
      <c r="W13" s="17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182</v>
      </c>
      <c r="B14" s="19" t="s">
        <v>60</v>
      </c>
      <c r="C14" s="20">
        <v>1</v>
      </c>
      <c r="D14" s="20">
        <v>1.58759409751</v>
      </c>
      <c r="E14" s="20">
        <f>D14-C14</f>
        <v>0.58759409751000002</v>
      </c>
      <c r="F14" s="21" t="s">
        <v>250</v>
      </c>
      <c r="G14" s="21"/>
      <c r="H14" s="21"/>
      <c r="I14" s="21"/>
      <c r="J14" s="21"/>
      <c r="K14" s="21" t="s">
        <v>250</v>
      </c>
      <c r="L14" s="21"/>
      <c r="M14" s="21"/>
      <c r="N14" s="21" t="s">
        <v>250</v>
      </c>
      <c r="O14" s="21"/>
      <c r="P14" s="21"/>
      <c r="Q14" s="21"/>
      <c r="R14" s="21" t="s">
        <v>250</v>
      </c>
      <c r="S14" s="21"/>
      <c r="T14" s="21" t="s">
        <v>250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15" customHeight="1" x14ac:dyDescent="0.25">
      <c r="A15" s="35" t="s">
        <v>183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/>
      <c r="W15" s="4"/>
    </row>
    <row r="16" spans="1:40" ht="15.95" customHeight="1" x14ac:dyDescent="0.25">
      <c r="A16" s="46" t="s">
        <v>184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/>
      <c r="W16" s="4"/>
    </row>
    <row r="17" spans="1:23" ht="20.100000000000001" customHeight="1" x14ac:dyDescent="0.25">
      <c r="A17" s="12" t="s">
        <v>185</v>
      </c>
      <c r="B17" s="13" t="s">
        <v>60</v>
      </c>
      <c r="C17" s="14">
        <v>0</v>
      </c>
      <c r="D17" s="14">
        <v>1</v>
      </c>
      <c r="E17" s="14">
        <f t="shared" ref="E17:E53" si="1">D17-C17</f>
        <v>1</v>
      </c>
      <c r="F17" s="15"/>
      <c r="G17" s="15" t="s">
        <v>61</v>
      </c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/>
      <c r="Q17" s="15" t="s">
        <v>61</v>
      </c>
      <c r="R17" s="15"/>
      <c r="S17" s="15"/>
      <c r="T17" s="15"/>
      <c r="U17" s="15" t="s">
        <v>61</v>
      </c>
      <c r="V17" s="16"/>
      <c r="W17" s="17" t="str">
        <f t="shared" ref="W17:W53" si="2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185</v>
      </c>
      <c r="B18" s="13" t="s">
        <v>60</v>
      </c>
      <c r="C18" s="14">
        <v>1</v>
      </c>
      <c r="D18" s="14">
        <v>2</v>
      </c>
      <c r="E18" s="14">
        <f t="shared" si="1"/>
        <v>1</v>
      </c>
      <c r="F18" s="15"/>
      <c r="G18" s="15" t="s">
        <v>61</v>
      </c>
      <c r="H18" s="15"/>
      <c r="I18" s="15"/>
      <c r="J18" s="15"/>
      <c r="K18" s="15" t="s">
        <v>61</v>
      </c>
      <c r="L18" s="15"/>
      <c r="M18" s="15"/>
      <c r="N18" s="15" t="s">
        <v>61</v>
      </c>
      <c r="O18" s="15"/>
      <c r="P18" s="15"/>
      <c r="Q18" s="15" t="s">
        <v>61</v>
      </c>
      <c r="R18" s="15"/>
      <c r="S18" s="15"/>
      <c r="T18" s="15"/>
      <c r="U18" s="15" t="s">
        <v>61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185</v>
      </c>
      <c r="B19" s="13" t="s">
        <v>60</v>
      </c>
      <c r="C19" s="14">
        <v>2</v>
      </c>
      <c r="D19" s="14">
        <v>3</v>
      </c>
      <c r="E19" s="14">
        <f t="shared" si="1"/>
        <v>1</v>
      </c>
      <c r="F19" s="15"/>
      <c r="G19" s="15" t="s">
        <v>61</v>
      </c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/>
      <c r="Q19" s="15" t="s">
        <v>61</v>
      </c>
      <c r="R19" s="15"/>
      <c r="S19" s="15"/>
      <c r="T19" s="15"/>
      <c r="U19" s="15" t="s">
        <v>61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185</v>
      </c>
      <c r="B20" s="13" t="s">
        <v>60</v>
      </c>
      <c r="C20" s="14">
        <v>3</v>
      </c>
      <c r="D20" s="14">
        <v>4</v>
      </c>
      <c r="E20" s="14">
        <f t="shared" si="1"/>
        <v>1</v>
      </c>
      <c r="F20" s="15"/>
      <c r="G20" s="15" t="s">
        <v>61</v>
      </c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 t="s">
        <v>61</v>
      </c>
      <c r="R20" s="15"/>
      <c r="S20" s="15"/>
      <c r="T20" s="15"/>
      <c r="U20" s="15" t="s">
        <v>61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185</v>
      </c>
      <c r="B21" s="13" t="s">
        <v>60</v>
      </c>
      <c r="C21" s="14">
        <v>4</v>
      </c>
      <c r="D21" s="14">
        <v>5</v>
      </c>
      <c r="E21" s="14">
        <f t="shared" si="1"/>
        <v>1</v>
      </c>
      <c r="F21" s="15"/>
      <c r="G21" s="15" t="s">
        <v>61</v>
      </c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/>
      <c r="Q21" s="15" t="s">
        <v>61</v>
      </c>
      <c r="R21" s="15"/>
      <c r="S21" s="15"/>
      <c r="T21" s="15"/>
      <c r="U21" s="15" t="s">
        <v>61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185</v>
      </c>
      <c r="B22" s="13" t="s">
        <v>60</v>
      </c>
      <c r="C22" s="14">
        <v>5</v>
      </c>
      <c r="D22" s="14">
        <v>6</v>
      </c>
      <c r="E22" s="14">
        <f t="shared" si="1"/>
        <v>1</v>
      </c>
      <c r="F22" s="15"/>
      <c r="G22" s="15" t="s">
        <v>61</v>
      </c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/>
      <c r="Q22" s="15" t="s">
        <v>61</v>
      </c>
      <c r="R22" s="15"/>
      <c r="S22" s="15"/>
      <c r="T22" s="15"/>
      <c r="U22" s="15" t="s">
        <v>61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185</v>
      </c>
      <c r="B23" s="13" t="s">
        <v>60</v>
      </c>
      <c r="C23" s="14">
        <v>6</v>
      </c>
      <c r="D23" s="14">
        <v>7</v>
      </c>
      <c r="E23" s="14">
        <f t="shared" si="1"/>
        <v>1</v>
      </c>
      <c r="F23" s="15"/>
      <c r="G23" s="15"/>
      <c r="H23" s="15" t="s">
        <v>61</v>
      </c>
      <c r="I23" s="15"/>
      <c r="J23" s="15"/>
      <c r="K23" s="15" t="s">
        <v>61</v>
      </c>
      <c r="L23" s="15"/>
      <c r="M23" s="15"/>
      <c r="N23" s="15" t="s">
        <v>61</v>
      </c>
      <c r="O23" s="15"/>
      <c r="P23" s="15"/>
      <c r="Q23" s="15" t="s">
        <v>61</v>
      </c>
      <c r="R23" s="15"/>
      <c r="S23" s="15"/>
      <c r="T23" s="15"/>
      <c r="U23" s="15" t="s">
        <v>61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185</v>
      </c>
      <c r="B24" s="13" t="s">
        <v>60</v>
      </c>
      <c r="C24" s="14">
        <v>7</v>
      </c>
      <c r="D24" s="14">
        <v>8</v>
      </c>
      <c r="E24" s="14">
        <f t="shared" si="1"/>
        <v>1</v>
      </c>
      <c r="F24" s="15"/>
      <c r="G24" s="15"/>
      <c r="H24" s="15" t="s">
        <v>61</v>
      </c>
      <c r="I24" s="15"/>
      <c r="J24" s="15"/>
      <c r="K24" s="15" t="s">
        <v>61</v>
      </c>
      <c r="L24" s="15"/>
      <c r="M24" s="15"/>
      <c r="N24" s="15" t="s">
        <v>61</v>
      </c>
      <c r="O24" s="15"/>
      <c r="P24" s="15"/>
      <c r="Q24" s="15" t="s">
        <v>61</v>
      </c>
      <c r="R24" s="15"/>
      <c r="S24" s="15"/>
      <c r="T24" s="15"/>
      <c r="U24" s="15" t="s">
        <v>61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185</v>
      </c>
      <c r="B25" s="13" t="s">
        <v>60</v>
      </c>
      <c r="C25" s="14">
        <v>8</v>
      </c>
      <c r="D25" s="14">
        <v>9</v>
      </c>
      <c r="E25" s="14">
        <f t="shared" si="1"/>
        <v>1</v>
      </c>
      <c r="F25" s="15"/>
      <c r="G25" s="15"/>
      <c r="H25" s="15" t="s">
        <v>61</v>
      </c>
      <c r="I25" s="15"/>
      <c r="J25" s="15"/>
      <c r="K25" s="15" t="s">
        <v>61</v>
      </c>
      <c r="L25" s="15"/>
      <c r="M25" s="15"/>
      <c r="N25" s="15" t="s">
        <v>61</v>
      </c>
      <c r="O25" s="15"/>
      <c r="P25" s="15"/>
      <c r="Q25" s="15" t="s">
        <v>61</v>
      </c>
      <c r="R25" s="15"/>
      <c r="S25" s="15"/>
      <c r="T25" s="15"/>
      <c r="U25" s="15" t="s">
        <v>61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185</v>
      </c>
      <c r="B26" s="13" t="s">
        <v>60</v>
      </c>
      <c r="C26" s="14">
        <v>9</v>
      </c>
      <c r="D26" s="14">
        <v>10</v>
      </c>
      <c r="E26" s="14">
        <f t="shared" si="1"/>
        <v>1</v>
      </c>
      <c r="F26" s="15"/>
      <c r="G26" s="15"/>
      <c r="H26" s="15" t="s">
        <v>61</v>
      </c>
      <c r="I26" s="15"/>
      <c r="J26" s="15"/>
      <c r="K26" s="15" t="s">
        <v>61</v>
      </c>
      <c r="L26" s="15"/>
      <c r="M26" s="15"/>
      <c r="N26" s="15" t="s">
        <v>61</v>
      </c>
      <c r="O26" s="15"/>
      <c r="P26" s="15"/>
      <c r="Q26" s="15" t="s">
        <v>61</v>
      </c>
      <c r="R26" s="15"/>
      <c r="S26" s="15"/>
      <c r="T26" s="15"/>
      <c r="U26" s="15" t="s">
        <v>61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185</v>
      </c>
      <c r="B27" s="13" t="s">
        <v>60</v>
      </c>
      <c r="C27" s="14">
        <v>10</v>
      </c>
      <c r="D27" s="14">
        <v>11</v>
      </c>
      <c r="E27" s="14">
        <f t="shared" si="1"/>
        <v>1</v>
      </c>
      <c r="F27" s="15"/>
      <c r="G27" s="15"/>
      <c r="H27" s="15" t="s">
        <v>61</v>
      </c>
      <c r="I27" s="15"/>
      <c r="J27" s="15"/>
      <c r="K27" s="15" t="s">
        <v>61</v>
      </c>
      <c r="L27" s="15"/>
      <c r="M27" s="15"/>
      <c r="N27" s="15" t="s">
        <v>61</v>
      </c>
      <c r="O27" s="15"/>
      <c r="P27" s="15"/>
      <c r="Q27" s="15" t="s">
        <v>61</v>
      </c>
      <c r="R27" s="15"/>
      <c r="S27" s="15"/>
      <c r="T27" s="15"/>
      <c r="U27" s="15" t="s">
        <v>61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185</v>
      </c>
      <c r="B28" s="13" t="s">
        <v>60</v>
      </c>
      <c r="C28" s="14">
        <v>11</v>
      </c>
      <c r="D28" s="14">
        <v>12</v>
      </c>
      <c r="E28" s="14">
        <f t="shared" si="1"/>
        <v>1</v>
      </c>
      <c r="F28" s="15"/>
      <c r="G28" s="15"/>
      <c r="H28" s="15" t="s">
        <v>61</v>
      </c>
      <c r="I28" s="15"/>
      <c r="J28" s="15"/>
      <c r="K28" s="15" t="s">
        <v>61</v>
      </c>
      <c r="L28" s="15"/>
      <c r="M28" s="15"/>
      <c r="N28" s="15" t="s">
        <v>61</v>
      </c>
      <c r="O28" s="15"/>
      <c r="P28" s="15"/>
      <c r="Q28" s="15" t="s">
        <v>61</v>
      </c>
      <c r="R28" s="15"/>
      <c r="S28" s="15"/>
      <c r="T28" s="15"/>
      <c r="U28" s="15" t="s">
        <v>61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185</v>
      </c>
      <c r="B29" s="13" t="s">
        <v>60</v>
      </c>
      <c r="C29" s="14">
        <v>12</v>
      </c>
      <c r="D29" s="14">
        <v>13</v>
      </c>
      <c r="E29" s="14">
        <f t="shared" si="1"/>
        <v>1</v>
      </c>
      <c r="F29" s="15"/>
      <c r="G29" s="15"/>
      <c r="H29" s="15" t="s">
        <v>61</v>
      </c>
      <c r="I29" s="15"/>
      <c r="J29" s="15"/>
      <c r="K29" s="15" t="s">
        <v>61</v>
      </c>
      <c r="L29" s="15"/>
      <c r="M29" s="15"/>
      <c r="N29" s="15" t="s">
        <v>61</v>
      </c>
      <c r="O29" s="15"/>
      <c r="P29" s="15"/>
      <c r="Q29" s="15" t="s">
        <v>61</v>
      </c>
      <c r="R29" s="15"/>
      <c r="S29" s="15"/>
      <c r="T29" s="15"/>
      <c r="U29" s="15" t="s">
        <v>61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185</v>
      </c>
      <c r="B30" s="13" t="s">
        <v>60</v>
      </c>
      <c r="C30" s="14">
        <v>13</v>
      </c>
      <c r="D30" s="14">
        <v>14</v>
      </c>
      <c r="E30" s="14">
        <f t="shared" si="1"/>
        <v>1</v>
      </c>
      <c r="F30" s="15"/>
      <c r="G30" s="15"/>
      <c r="H30" s="15" t="s">
        <v>61</v>
      </c>
      <c r="I30" s="15"/>
      <c r="J30" s="15"/>
      <c r="K30" s="15" t="s">
        <v>61</v>
      </c>
      <c r="L30" s="15"/>
      <c r="M30" s="15"/>
      <c r="N30" s="15" t="s">
        <v>61</v>
      </c>
      <c r="O30" s="15"/>
      <c r="P30" s="15"/>
      <c r="Q30" s="15" t="s">
        <v>61</v>
      </c>
      <c r="R30" s="15"/>
      <c r="S30" s="15"/>
      <c r="T30" s="15"/>
      <c r="U30" s="15" t="s">
        <v>61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185</v>
      </c>
      <c r="B31" s="13" t="s">
        <v>60</v>
      </c>
      <c r="C31" s="14">
        <v>14</v>
      </c>
      <c r="D31" s="14">
        <v>15</v>
      </c>
      <c r="E31" s="14">
        <f t="shared" si="1"/>
        <v>1</v>
      </c>
      <c r="F31" s="15"/>
      <c r="G31" s="15"/>
      <c r="H31" s="15" t="s">
        <v>61</v>
      </c>
      <c r="I31" s="15"/>
      <c r="J31" s="15"/>
      <c r="K31" s="15" t="s">
        <v>61</v>
      </c>
      <c r="L31" s="15"/>
      <c r="M31" s="15"/>
      <c r="N31" s="15" t="s">
        <v>61</v>
      </c>
      <c r="O31" s="15"/>
      <c r="P31" s="15"/>
      <c r="Q31" s="15" t="s">
        <v>61</v>
      </c>
      <c r="R31" s="15"/>
      <c r="S31" s="15"/>
      <c r="T31" s="15"/>
      <c r="U31" s="15" t="s">
        <v>61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185</v>
      </c>
      <c r="B32" s="13" t="s">
        <v>60</v>
      </c>
      <c r="C32" s="14">
        <v>15</v>
      </c>
      <c r="D32" s="14">
        <v>16</v>
      </c>
      <c r="E32" s="14">
        <f t="shared" si="1"/>
        <v>1</v>
      </c>
      <c r="F32" s="15"/>
      <c r="G32" s="15"/>
      <c r="H32" s="15" t="s">
        <v>61</v>
      </c>
      <c r="I32" s="15"/>
      <c r="J32" s="15"/>
      <c r="K32" s="15" t="s">
        <v>61</v>
      </c>
      <c r="L32" s="15"/>
      <c r="M32" s="15"/>
      <c r="N32" s="15" t="s">
        <v>61</v>
      </c>
      <c r="O32" s="15"/>
      <c r="P32" s="15"/>
      <c r="Q32" s="15" t="s">
        <v>61</v>
      </c>
      <c r="R32" s="15"/>
      <c r="S32" s="15"/>
      <c r="T32" s="15"/>
      <c r="U32" s="15" t="s">
        <v>61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185</v>
      </c>
      <c r="B33" s="13" t="s">
        <v>60</v>
      </c>
      <c r="C33" s="14">
        <v>16</v>
      </c>
      <c r="D33" s="14">
        <v>17</v>
      </c>
      <c r="E33" s="14">
        <f t="shared" si="1"/>
        <v>1</v>
      </c>
      <c r="F33" s="15"/>
      <c r="G33" s="15"/>
      <c r="H33" s="15" t="s">
        <v>61</v>
      </c>
      <c r="I33" s="15"/>
      <c r="J33" s="15"/>
      <c r="K33" s="15" t="s">
        <v>61</v>
      </c>
      <c r="L33" s="15"/>
      <c r="M33" s="15"/>
      <c r="N33" s="15" t="s">
        <v>61</v>
      </c>
      <c r="O33" s="15"/>
      <c r="P33" s="15"/>
      <c r="Q33" s="15" t="s">
        <v>61</v>
      </c>
      <c r="R33" s="15"/>
      <c r="S33" s="15"/>
      <c r="T33" s="15"/>
      <c r="U33" s="15" t="s">
        <v>61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185</v>
      </c>
      <c r="B34" s="13" t="s">
        <v>60</v>
      </c>
      <c r="C34" s="14">
        <v>17</v>
      </c>
      <c r="D34" s="14">
        <v>18</v>
      </c>
      <c r="E34" s="14">
        <f t="shared" si="1"/>
        <v>1</v>
      </c>
      <c r="F34" s="15"/>
      <c r="G34" s="15"/>
      <c r="H34" s="15" t="s">
        <v>61</v>
      </c>
      <c r="I34" s="15"/>
      <c r="J34" s="15"/>
      <c r="K34" s="15" t="s">
        <v>61</v>
      </c>
      <c r="L34" s="15"/>
      <c r="M34" s="15"/>
      <c r="N34" s="15" t="s">
        <v>61</v>
      </c>
      <c r="O34" s="15"/>
      <c r="P34" s="15"/>
      <c r="Q34" s="15" t="s">
        <v>61</v>
      </c>
      <c r="R34" s="15"/>
      <c r="S34" s="15"/>
      <c r="T34" s="15"/>
      <c r="U34" s="15" t="s">
        <v>61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185</v>
      </c>
      <c r="B35" s="13" t="s">
        <v>60</v>
      </c>
      <c r="C35" s="14">
        <v>18</v>
      </c>
      <c r="D35" s="14">
        <v>19</v>
      </c>
      <c r="E35" s="14">
        <f t="shared" si="1"/>
        <v>1</v>
      </c>
      <c r="F35" s="15"/>
      <c r="G35" s="15"/>
      <c r="H35" s="15" t="s">
        <v>61</v>
      </c>
      <c r="I35" s="15"/>
      <c r="J35" s="15"/>
      <c r="K35" s="15" t="s">
        <v>61</v>
      </c>
      <c r="L35" s="15"/>
      <c r="M35" s="15"/>
      <c r="N35" s="15" t="s">
        <v>61</v>
      </c>
      <c r="O35" s="15"/>
      <c r="P35" s="15"/>
      <c r="Q35" s="15" t="s">
        <v>61</v>
      </c>
      <c r="R35" s="15"/>
      <c r="S35" s="15"/>
      <c r="T35" s="15"/>
      <c r="U35" s="15" t="s">
        <v>61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185</v>
      </c>
      <c r="B36" s="13" t="s">
        <v>60</v>
      </c>
      <c r="C36" s="14">
        <v>19</v>
      </c>
      <c r="D36" s="14">
        <v>20</v>
      </c>
      <c r="E36" s="14">
        <f t="shared" si="1"/>
        <v>1</v>
      </c>
      <c r="F36" s="15"/>
      <c r="G36" s="15"/>
      <c r="H36" s="15" t="s">
        <v>61</v>
      </c>
      <c r="I36" s="15"/>
      <c r="J36" s="15"/>
      <c r="K36" s="15" t="s">
        <v>61</v>
      </c>
      <c r="L36" s="15"/>
      <c r="M36" s="15"/>
      <c r="N36" s="15" t="s">
        <v>61</v>
      </c>
      <c r="O36" s="15"/>
      <c r="P36" s="15"/>
      <c r="Q36" s="15" t="s">
        <v>61</v>
      </c>
      <c r="R36" s="15"/>
      <c r="S36" s="15"/>
      <c r="T36" s="15"/>
      <c r="U36" s="15" t="s">
        <v>61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185</v>
      </c>
      <c r="B37" s="13" t="s">
        <v>60</v>
      </c>
      <c r="C37" s="14">
        <v>20</v>
      </c>
      <c r="D37" s="14">
        <v>21</v>
      </c>
      <c r="E37" s="14">
        <f t="shared" si="1"/>
        <v>1</v>
      </c>
      <c r="F37" s="15"/>
      <c r="G37" s="15"/>
      <c r="H37" s="15" t="s">
        <v>61</v>
      </c>
      <c r="I37" s="15"/>
      <c r="J37" s="15"/>
      <c r="K37" s="15" t="s">
        <v>61</v>
      </c>
      <c r="L37" s="15"/>
      <c r="M37" s="15"/>
      <c r="N37" s="15" t="s">
        <v>61</v>
      </c>
      <c r="O37" s="15"/>
      <c r="P37" s="15"/>
      <c r="Q37" s="15" t="s">
        <v>61</v>
      </c>
      <c r="R37" s="15"/>
      <c r="S37" s="15"/>
      <c r="T37" s="15"/>
      <c r="U37" s="15" t="s">
        <v>61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185</v>
      </c>
      <c r="B38" s="13" t="s">
        <v>60</v>
      </c>
      <c r="C38" s="14">
        <v>21</v>
      </c>
      <c r="D38" s="14">
        <v>22</v>
      </c>
      <c r="E38" s="14">
        <f t="shared" si="1"/>
        <v>1</v>
      </c>
      <c r="F38" s="15"/>
      <c r="G38" s="15"/>
      <c r="H38" s="15" t="s">
        <v>61</v>
      </c>
      <c r="I38" s="15"/>
      <c r="J38" s="15"/>
      <c r="K38" s="15" t="s">
        <v>61</v>
      </c>
      <c r="L38" s="15"/>
      <c r="M38" s="15"/>
      <c r="N38" s="15" t="s">
        <v>61</v>
      </c>
      <c r="O38" s="15"/>
      <c r="P38" s="15"/>
      <c r="Q38" s="15" t="s">
        <v>61</v>
      </c>
      <c r="R38" s="15"/>
      <c r="S38" s="15"/>
      <c r="T38" s="15"/>
      <c r="U38" s="15" t="s">
        <v>61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185</v>
      </c>
      <c r="B39" s="13" t="s">
        <v>60</v>
      </c>
      <c r="C39" s="14">
        <v>22</v>
      </c>
      <c r="D39" s="14">
        <v>23</v>
      </c>
      <c r="E39" s="14">
        <f t="shared" si="1"/>
        <v>1</v>
      </c>
      <c r="F39" s="15"/>
      <c r="G39" s="15"/>
      <c r="H39" s="15" t="s">
        <v>61</v>
      </c>
      <c r="I39" s="15"/>
      <c r="J39" s="15"/>
      <c r="K39" s="15" t="s">
        <v>61</v>
      </c>
      <c r="L39" s="15"/>
      <c r="M39" s="15"/>
      <c r="N39" s="15" t="s">
        <v>61</v>
      </c>
      <c r="O39" s="15"/>
      <c r="P39" s="15"/>
      <c r="Q39" s="15" t="s">
        <v>61</v>
      </c>
      <c r="R39" s="15"/>
      <c r="S39" s="15"/>
      <c r="T39" s="15"/>
      <c r="U39" s="15" t="s">
        <v>61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185</v>
      </c>
      <c r="B40" s="13" t="s">
        <v>60</v>
      </c>
      <c r="C40" s="14">
        <v>23</v>
      </c>
      <c r="D40" s="14">
        <v>24</v>
      </c>
      <c r="E40" s="14">
        <f t="shared" si="1"/>
        <v>1</v>
      </c>
      <c r="F40" s="15"/>
      <c r="G40" s="15"/>
      <c r="H40" s="15" t="s">
        <v>61</v>
      </c>
      <c r="I40" s="15"/>
      <c r="J40" s="15"/>
      <c r="K40" s="15" t="s">
        <v>61</v>
      </c>
      <c r="L40" s="15"/>
      <c r="M40" s="15"/>
      <c r="N40" s="15" t="s">
        <v>61</v>
      </c>
      <c r="O40" s="15"/>
      <c r="P40" s="15"/>
      <c r="Q40" s="15" t="s">
        <v>61</v>
      </c>
      <c r="R40" s="15"/>
      <c r="S40" s="15"/>
      <c r="T40" s="15"/>
      <c r="U40" s="15" t="s">
        <v>61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185</v>
      </c>
      <c r="B41" s="13" t="s">
        <v>60</v>
      </c>
      <c r="C41" s="14">
        <v>24</v>
      </c>
      <c r="D41" s="14">
        <v>25</v>
      </c>
      <c r="E41" s="14">
        <f t="shared" si="1"/>
        <v>1</v>
      </c>
      <c r="F41" s="15"/>
      <c r="G41" s="15"/>
      <c r="H41" s="15" t="s">
        <v>61</v>
      </c>
      <c r="I41" s="15"/>
      <c r="J41" s="15"/>
      <c r="K41" s="15" t="s">
        <v>61</v>
      </c>
      <c r="L41" s="15"/>
      <c r="M41" s="15"/>
      <c r="N41" s="15" t="s">
        <v>61</v>
      </c>
      <c r="O41" s="15"/>
      <c r="P41" s="15"/>
      <c r="Q41" s="15" t="s">
        <v>61</v>
      </c>
      <c r="R41" s="15"/>
      <c r="S41" s="15"/>
      <c r="T41" s="15"/>
      <c r="U41" s="15" t="s">
        <v>61</v>
      </c>
      <c r="V41" s="16"/>
      <c r="W41" s="17" t="str">
        <f t="shared" si="2"/>
        <v>OK</v>
      </c>
    </row>
    <row r="42" spans="1:23" ht="20.100000000000001" customHeight="1" x14ac:dyDescent="0.25">
      <c r="A42" s="12" t="s">
        <v>185</v>
      </c>
      <c r="B42" s="13" t="s">
        <v>60</v>
      </c>
      <c r="C42" s="14">
        <v>25</v>
      </c>
      <c r="D42" s="14">
        <v>26</v>
      </c>
      <c r="E42" s="14">
        <f t="shared" si="1"/>
        <v>1</v>
      </c>
      <c r="F42" s="15"/>
      <c r="G42" s="15"/>
      <c r="H42" s="15" t="s">
        <v>61</v>
      </c>
      <c r="I42" s="15"/>
      <c r="J42" s="15"/>
      <c r="K42" s="15" t="s">
        <v>61</v>
      </c>
      <c r="L42" s="15"/>
      <c r="M42" s="15"/>
      <c r="N42" s="15" t="s">
        <v>61</v>
      </c>
      <c r="O42" s="15"/>
      <c r="P42" s="15"/>
      <c r="Q42" s="15" t="s">
        <v>61</v>
      </c>
      <c r="R42" s="15"/>
      <c r="S42" s="15"/>
      <c r="T42" s="15"/>
      <c r="U42" s="15" t="s">
        <v>61</v>
      </c>
      <c r="V42" s="16"/>
      <c r="W42" s="17" t="str">
        <f t="shared" si="2"/>
        <v>OK</v>
      </c>
    </row>
    <row r="43" spans="1:23" ht="20.100000000000001" customHeight="1" x14ac:dyDescent="0.25">
      <c r="A43" s="12" t="s">
        <v>185</v>
      </c>
      <c r="B43" s="13" t="s">
        <v>60</v>
      </c>
      <c r="C43" s="14">
        <v>26</v>
      </c>
      <c r="D43" s="14">
        <v>27</v>
      </c>
      <c r="E43" s="14">
        <f t="shared" si="1"/>
        <v>1</v>
      </c>
      <c r="F43" s="15"/>
      <c r="G43" s="15"/>
      <c r="H43" s="15" t="s">
        <v>61</v>
      </c>
      <c r="I43" s="15"/>
      <c r="J43" s="15"/>
      <c r="K43" s="15" t="s">
        <v>61</v>
      </c>
      <c r="L43" s="15"/>
      <c r="M43" s="15"/>
      <c r="N43" s="15" t="s">
        <v>61</v>
      </c>
      <c r="O43" s="15"/>
      <c r="P43" s="15"/>
      <c r="Q43" s="15" t="s">
        <v>61</v>
      </c>
      <c r="R43" s="15"/>
      <c r="S43" s="15"/>
      <c r="T43" s="15"/>
      <c r="U43" s="15" t="s">
        <v>61</v>
      </c>
      <c r="V43" s="16"/>
      <c r="W43" s="17" t="str">
        <f t="shared" si="2"/>
        <v>OK</v>
      </c>
    </row>
    <row r="44" spans="1:23" ht="20.100000000000001" customHeight="1" x14ac:dyDescent="0.25">
      <c r="A44" s="12" t="s">
        <v>185</v>
      </c>
      <c r="B44" s="13" t="s">
        <v>60</v>
      </c>
      <c r="C44" s="14">
        <v>27</v>
      </c>
      <c r="D44" s="14">
        <v>28</v>
      </c>
      <c r="E44" s="14">
        <f t="shared" si="1"/>
        <v>1</v>
      </c>
      <c r="F44" s="15"/>
      <c r="G44" s="15"/>
      <c r="H44" s="15" t="s">
        <v>61</v>
      </c>
      <c r="I44" s="15"/>
      <c r="J44" s="15"/>
      <c r="K44" s="15" t="s">
        <v>61</v>
      </c>
      <c r="L44" s="15"/>
      <c r="M44" s="15"/>
      <c r="N44" s="15" t="s">
        <v>61</v>
      </c>
      <c r="O44" s="15"/>
      <c r="P44" s="15"/>
      <c r="Q44" s="15" t="s">
        <v>61</v>
      </c>
      <c r="R44" s="15"/>
      <c r="S44" s="15"/>
      <c r="T44" s="15"/>
      <c r="U44" s="15" t="s">
        <v>61</v>
      </c>
      <c r="V44" s="16"/>
      <c r="W44" s="17" t="str">
        <f t="shared" si="2"/>
        <v>OK</v>
      </c>
    </row>
    <row r="45" spans="1:23" ht="20.100000000000001" customHeight="1" x14ac:dyDescent="0.25">
      <c r="A45" s="12" t="s">
        <v>185</v>
      </c>
      <c r="B45" s="13" t="s">
        <v>60</v>
      </c>
      <c r="C45" s="14">
        <v>28</v>
      </c>
      <c r="D45" s="14">
        <v>29</v>
      </c>
      <c r="E45" s="14">
        <f t="shared" si="1"/>
        <v>1</v>
      </c>
      <c r="F45" s="15"/>
      <c r="G45" s="15"/>
      <c r="H45" s="15" t="s">
        <v>61</v>
      </c>
      <c r="I45" s="15"/>
      <c r="J45" s="15"/>
      <c r="K45" s="15" t="s">
        <v>61</v>
      </c>
      <c r="L45" s="15"/>
      <c r="M45" s="15"/>
      <c r="N45" s="15" t="s">
        <v>61</v>
      </c>
      <c r="O45" s="15"/>
      <c r="P45" s="15"/>
      <c r="Q45" s="15" t="s">
        <v>61</v>
      </c>
      <c r="R45" s="15"/>
      <c r="S45" s="15"/>
      <c r="T45" s="15"/>
      <c r="U45" s="15" t="s">
        <v>61</v>
      </c>
      <c r="V45" s="16"/>
      <c r="W45" s="17" t="str">
        <f t="shared" si="2"/>
        <v>OK</v>
      </c>
    </row>
    <row r="46" spans="1:23" ht="20.100000000000001" customHeight="1" x14ac:dyDescent="0.25">
      <c r="A46" s="12" t="s">
        <v>185</v>
      </c>
      <c r="B46" s="13" t="s">
        <v>60</v>
      </c>
      <c r="C46" s="14">
        <v>29</v>
      </c>
      <c r="D46" s="14">
        <v>30</v>
      </c>
      <c r="E46" s="14">
        <f t="shared" si="1"/>
        <v>1</v>
      </c>
      <c r="F46" s="15"/>
      <c r="G46" s="15"/>
      <c r="H46" s="15" t="s">
        <v>61</v>
      </c>
      <c r="I46" s="15"/>
      <c r="J46" s="15"/>
      <c r="K46" s="15" t="s">
        <v>61</v>
      </c>
      <c r="L46" s="15"/>
      <c r="M46" s="15"/>
      <c r="N46" s="15" t="s">
        <v>61</v>
      </c>
      <c r="O46" s="15"/>
      <c r="P46" s="15"/>
      <c r="Q46" s="15" t="s">
        <v>61</v>
      </c>
      <c r="R46" s="15"/>
      <c r="S46" s="15"/>
      <c r="T46" s="15"/>
      <c r="U46" s="15" t="s">
        <v>61</v>
      </c>
      <c r="V46" s="16"/>
      <c r="W46" s="17" t="str">
        <f t="shared" si="2"/>
        <v>OK</v>
      </c>
    </row>
    <row r="47" spans="1:23" ht="20.100000000000001" customHeight="1" x14ac:dyDescent="0.25">
      <c r="A47" s="12" t="s">
        <v>185</v>
      </c>
      <c r="B47" s="13" t="s">
        <v>60</v>
      </c>
      <c r="C47" s="14">
        <v>30</v>
      </c>
      <c r="D47" s="14">
        <v>31</v>
      </c>
      <c r="E47" s="14">
        <f t="shared" si="1"/>
        <v>1</v>
      </c>
      <c r="F47" s="15"/>
      <c r="G47" s="15"/>
      <c r="H47" s="15" t="s">
        <v>61</v>
      </c>
      <c r="I47" s="15"/>
      <c r="J47" s="15"/>
      <c r="K47" s="15" t="s">
        <v>61</v>
      </c>
      <c r="L47" s="15"/>
      <c r="M47" s="15"/>
      <c r="N47" s="15" t="s">
        <v>61</v>
      </c>
      <c r="O47" s="15"/>
      <c r="P47" s="15"/>
      <c r="Q47" s="15" t="s">
        <v>61</v>
      </c>
      <c r="R47" s="15"/>
      <c r="S47" s="15"/>
      <c r="T47" s="15"/>
      <c r="U47" s="15" t="s">
        <v>61</v>
      </c>
      <c r="V47" s="16"/>
      <c r="W47" s="17" t="str">
        <f t="shared" si="2"/>
        <v>OK</v>
      </c>
    </row>
    <row r="48" spans="1:23" ht="20.100000000000001" customHeight="1" x14ac:dyDescent="0.25">
      <c r="A48" s="12" t="s">
        <v>185</v>
      </c>
      <c r="B48" s="13" t="s">
        <v>60</v>
      </c>
      <c r="C48" s="14">
        <v>31</v>
      </c>
      <c r="D48" s="14">
        <v>32</v>
      </c>
      <c r="E48" s="14">
        <f t="shared" si="1"/>
        <v>1</v>
      </c>
      <c r="F48" s="15"/>
      <c r="G48" s="15"/>
      <c r="H48" s="15" t="s">
        <v>61</v>
      </c>
      <c r="I48" s="15"/>
      <c r="J48" s="15"/>
      <c r="K48" s="15" t="s">
        <v>61</v>
      </c>
      <c r="L48" s="15"/>
      <c r="M48" s="15"/>
      <c r="N48" s="15" t="s">
        <v>61</v>
      </c>
      <c r="O48" s="15"/>
      <c r="P48" s="15"/>
      <c r="Q48" s="15" t="s">
        <v>61</v>
      </c>
      <c r="R48" s="15"/>
      <c r="S48" s="15"/>
      <c r="T48" s="15"/>
      <c r="U48" s="15" t="s">
        <v>61</v>
      </c>
      <c r="V48" s="16"/>
      <c r="W48" s="17" t="str">
        <f t="shared" si="2"/>
        <v>OK</v>
      </c>
    </row>
    <row r="49" spans="1:23" ht="20.100000000000001" customHeight="1" x14ac:dyDescent="0.25">
      <c r="A49" s="12" t="s">
        <v>185</v>
      </c>
      <c r="B49" s="13" t="s">
        <v>60</v>
      </c>
      <c r="C49" s="14">
        <v>32</v>
      </c>
      <c r="D49" s="14">
        <v>33</v>
      </c>
      <c r="E49" s="14">
        <f t="shared" si="1"/>
        <v>1</v>
      </c>
      <c r="F49" s="15"/>
      <c r="G49" s="15" t="s">
        <v>61</v>
      </c>
      <c r="H49" s="15"/>
      <c r="I49" s="15"/>
      <c r="J49" s="15"/>
      <c r="K49" s="15" t="s">
        <v>61</v>
      </c>
      <c r="L49" s="15"/>
      <c r="M49" s="15"/>
      <c r="N49" s="15" t="s">
        <v>61</v>
      </c>
      <c r="O49" s="15"/>
      <c r="P49" s="15"/>
      <c r="Q49" s="15" t="s">
        <v>61</v>
      </c>
      <c r="R49" s="15"/>
      <c r="S49" s="15"/>
      <c r="T49" s="15" t="s">
        <v>61</v>
      </c>
      <c r="U49" s="15"/>
      <c r="V49" s="16"/>
      <c r="W49" s="17" t="str">
        <f t="shared" si="2"/>
        <v>OK</v>
      </c>
    </row>
    <row r="50" spans="1:23" ht="20.100000000000001" customHeight="1" x14ac:dyDescent="0.25">
      <c r="A50" s="12" t="s">
        <v>185</v>
      </c>
      <c r="B50" s="13" t="s">
        <v>60</v>
      </c>
      <c r="C50" s="14">
        <v>33</v>
      </c>
      <c r="D50" s="14">
        <v>34</v>
      </c>
      <c r="E50" s="14">
        <f t="shared" si="1"/>
        <v>1</v>
      </c>
      <c r="F50" s="15"/>
      <c r="G50" s="15" t="s">
        <v>61</v>
      </c>
      <c r="H50" s="15"/>
      <c r="I50" s="15"/>
      <c r="J50" s="15"/>
      <c r="K50" s="15" t="s">
        <v>61</v>
      </c>
      <c r="L50" s="15"/>
      <c r="M50" s="15"/>
      <c r="N50" s="15" t="s">
        <v>61</v>
      </c>
      <c r="O50" s="15"/>
      <c r="P50" s="15"/>
      <c r="Q50" s="15" t="s">
        <v>61</v>
      </c>
      <c r="R50" s="15"/>
      <c r="S50" s="15"/>
      <c r="T50" s="15" t="s">
        <v>61</v>
      </c>
      <c r="U50" s="15"/>
      <c r="V50" s="16"/>
      <c r="W50" s="17" t="str">
        <f t="shared" si="2"/>
        <v>OK</v>
      </c>
    </row>
    <row r="51" spans="1:23" ht="20.100000000000001" customHeight="1" x14ac:dyDescent="0.25">
      <c r="A51" s="12" t="s">
        <v>185</v>
      </c>
      <c r="B51" s="13" t="s">
        <v>60</v>
      </c>
      <c r="C51" s="14">
        <v>34</v>
      </c>
      <c r="D51" s="14">
        <v>35</v>
      </c>
      <c r="E51" s="14">
        <f t="shared" si="1"/>
        <v>1</v>
      </c>
      <c r="F51" s="15"/>
      <c r="G51" s="15" t="s">
        <v>61</v>
      </c>
      <c r="H51" s="15"/>
      <c r="I51" s="15"/>
      <c r="J51" s="15"/>
      <c r="K51" s="15" t="s">
        <v>61</v>
      </c>
      <c r="L51" s="15"/>
      <c r="M51" s="15"/>
      <c r="N51" s="15" t="s">
        <v>61</v>
      </c>
      <c r="O51" s="15"/>
      <c r="P51" s="15"/>
      <c r="Q51" s="15" t="s">
        <v>61</v>
      </c>
      <c r="R51" s="15"/>
      <c r="S51" s="15"/>
      <c r="T51" s="15" t="s">
        <v>61</v>
      </c>
      <c r="U51" s="15"/>
      <c r="V51" s="16"/>
      <c r="W51" s="17" t="str">
        <f t="shared" si="2"/>
        <v>OK</v>
      </c>
    </row>
    <row r="52" spans="1:23" ht="20.100000000000001" customHeight="1" x14ac:dyDescent="0.25">
      <c r="A52" s="12" t="s">
        <v>185</v>
      </c>
      <c r="B52" s="13" t="s">
        <v>60</v>
      </c>
      <c r="C52" s="14">
        <v>35</v>
      </c>
      <c r="D52" s="14">
        <v>36</v>
      </c>
      <c r="E52" s="14">
        <f t="shared" si="1"/>
        <v>1</v>
      </c>
      <c r="F52" s="15"/>
      <c r="G52" s="15" t="s">
        <v>61</v>
      </c>
      <c r="H52" s="15"/>
      <c r="I52" s="15"/>
      <c r="J52" s="15"/>
      <c r="K52" s="15" t="s">
        <v>61</v>
      </c>
      <c r="L52" s="15"/>
      <c r="M52" s="15"/>
      <c r="N52" s="15" t="s">
        <v>61</v>
      </c>
      <c r="O52" s="15"/>
      <c r="P52" s="15"/>
      <c r="Q52" s="15" t="s">
        <v>61</v>
      </c>
      <c r="R52" s="15"/>
      <c r="S52" s="15"/>
      <c r="T52" s="15" t="s">
        <v>61</v>
      </c>
      <c r="U52" s="15"/>
      <c r="V52" s="16"/>
      <c r="W52" s="17" t="str">
        <f t="shared" si="2"/>
        <v>OK</v>
      </c>
    </row>
    <row r="53" spans="1:23" ht="20.100000000000001" customHeight="1" x14ac:dyDescent="0.25">
      <c r="A53" s="18" t="s">
        <v>185</v>
      </c>
      <c r="B53" s="19" t="s">
        <v>60</v>
      </c>
      <c r="C53" s="20">
        <v>36</v>
      </c>
      <c r="D53" s="20">
        <v>36.321159388200002</v>
      </c>
      <c r="E53" s="20">
        <f t="shared" si="1"/>
        <v>0.32115938820000167</v>
      </c>
      <c r="F53" s="21"/>
      <c r="G53" s="21" t="s">
        <v>61</v>
      </c>
      <c r="H53" s="21"/>
      <c r="I53" s="21"/>
      <c r="J53" s="21"/>
      <c r="K53" s="21" t="s">
        <v>61</v>
      </c>
      <c r="L53" s="21"/>
      <c r="M53" s="21"/>
      <c r="N53" s="21" t="s">
        <v>61</v>
      </c>
      <c r="O53" s="21"/>
      <c r="P53" s="21"/>
      <c r="Q53" s="21" t="s">
        <v>61</v>
      </c>
      <c r="R53" s="21"/>
      <c r="S53" s="21"/>
      <c r="T53" s="21" t="s">
        <v>61</v>
      </c>
      <c r="U53" s="21"/>
      <c r="V53" s="22"/>
      <c r="W53" s="23" t="str">
        <f t="shared" si="2"/>
        <v>OK</v>
      </c>
    </row>
    <row r="54" spans="1:23" ht="15.95" customHeight="1" x14ac:dyDescent="0.25">
      <c r="A54" s="46" t="s">
        <v>186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3"/>
      <c r="W54" s="4"/>
    </row>
    <row r="55" spans="1:23" ht="20.100000000000001" customHeight="1" x14ac:dyDescent="0.25">
      <c r="A55" s="12" t="s">
        <v>187</v>
      </c>
      <c r="B55" s="13" t="s">
        <v>60</v>
      </c>
      <c r="C55" s="14">
        <v>0</v>
      </c>
      <c r="D55" s="14">
        <v>1</v>
      </c>
      <c r="E55" s="14">
        <f t="shared" ref="E55:E60" si="3">D55-C55</f>
        <v>1</v>
      </c>
      <c r="F55" s="15"/>
      <c r="G55" s="15" t="s">
        <v>61</v>
      </c>
      <c r="H55" s="15"/>
      <c r="I55" s="15"/>
      <c r="J55" s="15"/>
      <c r="K55" s="15" t="s">
        <v>61</v>
      </c>
      <c r="L55" s="15"/>
      <c r="M55" s="15"/>
      <c r="N55" s="15" t="s">
        <v>61</v>
      </c>
      <c r="O55" s="15"/>
      <c r="P55" s="15"/>
      <c r="Q55" s="15" t="s">
        <v>61</v>
      </c>
      <c r="R55" s="15"/>
      <c r="S55" s="15"/>
      <c r="T55" s="15"/>
      <c r="U55" s="15" t="s">
        <v>61</v>
      </c>
      <c r="V55" s="16"/>
      <c r="W55" s="17" t="str">
        <f t="shared" ref="W55:W60" si="4"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187</v>
      </c>
      <c r="B56" s="13" t="s">
        <v>60</v>
      </c>
      <c r="C56" s="14">
        <v>1</v>
      </c>
      <c r="D56" s="14">
        <v>2</v>
      </c>
      <c r="E56" s="14">
        <f t="shared" si="3"/>
        <v>1</v>
      </c>
      <c r="F56" s="15"/>
      <c r="G56" s="15" t="s">
        <v>61</v>
      </c>
      <c r="H56" s="15"/>
      <c r="I56" s="15"/>
      <c r="J56" s="15"/>
      <c r="K56" s="15" t="s">
        <v>61</v>
      </c>
      <c r="L56" s="15"/>
      <c r="M56" s="15"/>
      <c r="N56" s="15" t="s">
        <v>61</v>
      </c>
      <c r="O56" s="15"/>
      <c r="P56" s="15"/>
      <c r="Q56" s="15" t="s">
        <v>61</v>
      </c>
      <c r="R56" s="15"/>
      <c r="S56" s="15"/>
      <c r="T56" s="15"/>
      <c r="U56" s="15" t="s">
        <v>61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187</v>
      </c>
      <c r="B57" s="13" t="s">
        <v>60</v>
      </c>
      <c r="C57" s="14">
        <v>2</v>
      </c>
      <c r="D57" s="14">
        <v>3</v>
      </c>
      <c r="E57" s="14">
        <f t="shared" si="3"/>
        <v>1</v>
      </c>
      <c r="F57" s="15"/>
      <c r="G57" s="15" t="s">
        <v>61</v>
      </c>
      <c r="H57" s="15"/>
      <c r="I57" s="15"/>
      <c r="J57" s="15"/>
      <c r="K57" s="15" t="s">
        <v>61</v>
      </c>
      <c r="L57" s="15"/>
      <c r="M57" s="15"/>
      <c r="N57" s="15" t="s">
        <v>61</v>
      </c>
      <c r="O57" s="15"/>
      <c r="P57" s="15"/>
      <c r="Q57" s="15" t="s">
        <v>61</v>
      </c>
      <c r="R57" s="15"/>
      <c r="S57" s="15"/>
      <c r="T57" s="15"/>
      <c r="U57" s="15" t="s">
        <v>61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187</v>
      </c>
      <c r="B58" s="13" t="s">
        <v>60</v>
      </c>
      <c r="C58" s="14">
        <v>3</v>
      </c>
      <c r="D58" s="14">
        <v>4</v>
      </c>
      <c r="E58" s="14">
        <f t="shared" si="3"/>
        <v>1</v>
      </c>
      <c r="F58" s="15"/>
      <c r="G58" s="15" t="s">
        <v>61</v>
      </c>
      <c r="H58" s="15"/>
      <c r="I58" s="15"/>
      <c r="J58" s="15"/>
      <c r="K58" s="15" t="s">
        <v>61</v>
      </c>
      <c r="L58" s="15"/>
      <c r="M58" s="15"/>
      <c r="N58" s="15" t="s">
        <v>61</v>
      </c>
      <c r="O58" s="15"/>
      <c r="P58" s="15"/>
      <c r="Q58" s="15" t="s">
        <v>61</v>
      </c>
      <c r="R58" s="15"/>
      <c r="S58" s="15"/>
      <c r="T58" s="15"/>
      <c r="U58" s="15" t="s">
        <v>61</v>
      </c>
      <c r="V58" s="16"/>
      <c r="W58" s="17" t="str">
        <f t="shared" si="4"/>
        <v>OK</v>
      </c>
    </row>
    <row r="59" spans="1:23" ht="20.100000000000001" customHeight="1" x14ac:dyDescent="0.25">
      <c r="A59" s="12" t="s">
        <v>187</v>
      </c>
      <c r="B59" s="13" t="s">
        <v>60</v>
      </c>
      <c r="C59" s="14">
        <v>4</v>
      </c>
      <c r="D59" s="14">
        <v>5</v>
      </c>
      <c r="E59" s="14">
        <f t="shared" si="3"/>
        <v>1</v>
      </c>
      <c r="F59" s="15"/>
      <c r="G59" s="15" t="s">
        <v>61</v>
      </c>
      <c r="H59" s="15"/>
      <c r="I59" s="15"/>
      <c r="J59" s="15"/>
      <c r="K59" s="15" t="s">
        <v>61</v>
      </c>
      <c r="L59" s="15"/>
      <c r="M59" s="15"/>
      <c r="N59" s="15" t="s">
        <v>61</v>
      </c>
      <c r="O59" s="15"/>
      <c r="P59" s="15"/>
      <c r="Q59" s="15" t="s">
        <v>61</v>
      </c>
      <c r="R59" s="15"/>
      <c r="S59" s="15"/>
      <c r="T59" s="15"/>
      <c r="U59" s="15" t="s">
        <v>61</v>
      </c>
      <c r="V59" s="16"/>
      <c r="W59" s="17" t="str">
        <f t="shared" si="4"/>
        <v>OK</v>
      </c>
    </row>
    <row r="60" spans="1:23" ht="20.100000000000001" customHeight="1" x14ac:dyDescent="0.25">
      <c r="A60" s="18" t="s">
        <v>187</v>
      </c>
      <c r="B60" s="19" t="s">
        <v>60</v>
      </c>
      <c r="C60" s="20">
        <v>5</v>
      </c>
      <c r="D60" s="20">
        <v>5.7907823916599996</v>
      </c>
      <c r="E60" s="20">
        <f t="shared" si="3"/>
        <v>0.79078239165999964</v>
      </c>
      <c r="F60" s="21"/>
      <c r="G60" s="21" t="s">
        <v>61</v>
      </c>
      <c r="H60" s="21"/>
      <c r="I60" s="21"/>
      <c r="J60" s="21"/>
      <c r="K60" s="21" t="s">
        <v>61</v>
      </c>
      <c r="L60" s="21"/>
      <c r="M60" s="21"/>
      <c r="N60" s="21" t="s">
        <v>61</v>
      </c>
      <c r="O60" s="21"/>
      <c r="P60" s="21"/>
      <c r="Q60" s="21" t="s">
        <v>61</v>
      </c>
      <c r="R60" s="21"/>
      <c r="S60" s="21"/>
      <c r="T60" s="21"/>
      <c r="U60" s="21" t="s">
        <v>61</v>
      </c>
      <c r="V60" s="22"/>
      <c r="W60" s="23" t="str">
        <f t="shared" si="4"/>
        <v>OK</v>
      </c>
    </row>
    <row r="61" spans="1:23" ht="15.95" customHeight="1" x14ac:dyDescent="0.25">
      <c r="A61" s="46" t="s">
        <v>188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3"/>
      <c r="W61" s="4"/>
    </row>
    <row r="62" spans="1:23" ht="20.100000000000001" customHeight="1" x14ac:dyDescent="0.25">
      <c r="A62" s="12" t="s">
        <v>189</v>
      </c>
      <c r="B62" s="13" t="s">
        <v>60</v>
      </c>
      <c r="C62" s="14">
        <v>0</v>
      </c>
      <c r="D62" s="14">
        <v>1</v>
      </c>
      <c r="E62" s="14">
        <f t="shared" ref="E62:E87" si="5">D62-C62</f>
        <v>1</v>
      </c>
      <c r="F62" s="15" t="s">
        <v>61</v>
      </c>
      <c r="G62" s="15"/>
      <c r="H62" s="15"/>
      <c r="I62" s="15"/>
      <c r="J62" s="15"/>
      <c r="K62" s="15" t="s">
        <v>61</v>
      </c>
      <c r="L62" s="15"/>
      <c r="M62" s="15"/>
      <c r="N62" s="15" t="s">
        <v>61</v>
      </c>
      <c r="O62" s="15"/>
      <c r="P62" s="15"/>
      <c r="Q62" s="15"/>
      <c r="R62" s="15" t="s">
        <v>61</v>
      </c>
      <c r="S62" s="15"/>
      <c r="T62" s="15"/>
      <c r="U62" s="15" t="s">
        <v>61</v>
      </c>
      <c r="V62" s="16"/>
      <c r="W62" s="17" t="str">
        <f t="shared" ref="W62:W87" si="6">IF(COUNTA(F62:U62)=0,"— não preenchido",IF(COUNTIF(F62:J62,"X")&lt;&gt;1,"FALTA/DUPLA: CONDIÇÃO DO PAVIMENTO",IF(COUNTIF(K62:L62,"X")&lt;&gt;1,"FALTA/DUPLA: VEGETAÇÃO",IF(COUNTIF(M62:O62,"X")&lt;&gt;1,"FALTA/DUPLA: ELEM. DE DRENAGEM",IF(COUNTIF(P62:R62,"X")&lt;&gt;1,"FALTA/DUPLA: SIN. HORIZ.",IF(COUNTIF(S62:U62,"X")&lt;&gt;1,"FALTA/DUPLA: SIN. VERTICAL","OK"))))))</f>
        <v>OK</v>
      </c>
    </row>
    <row r="63" spans="1:23" ht="20.100000000000001" customHeight="1" x14ac:dyDescent="0.25">
      <c r="A63" s="12" t="s">
        <v>189</v>
      </c>
      <c r="B63" s="13" t="s">
        <v>60</v>
      </c>
      <c r="C63" s="14">
        <v>1</v>
      </c>
      <c r="D63" s="14">
        <v>2</v>
      </c>
      <c r="E63" s="14">
        <f t="shared" si="5"/>
        <v>1</v>
      </c>
      <c r="F63" s="15" t="s">
        <v>61</v>
      </c>
      <c r="G63" s="15"/>
      <c r="H63" s="15"/>
      <c r="I63" s="15"/>
      <c r="J63" s="15"/>
      <c r="K63" s="15" t="s">
        <v>61</v>
      </c>
      <c r="L63" s="15"/>
      <c r="M63" s="15"/>
      <c r="N63" s="15" t="s">
        <v>61</v>
      </c>
      <c r="O63" s="15"/>
      <c r="P63" s="15"/>
      <c r="Q63" s="15" t="s">
        <v>61</v>
      </c>
      <c r="R63" s="15"/>
      <c r="S63" s="15"/>
      <c r="T63" s="15"/>
      <c r="U63" s="15" t="s">
        <v>61</v>
      </c>
      <c r="V63" s="16"/>
      <c r="W63" s="17" t="str">
        <f t="shared" si="6"/>
        <v>OK</v>
      </c>
    </row>
    <row r="64" spans="1:23" ht="20.100000000000001" customHeight="1" x14ac:dyDescent="0.25">
      <c r="A64" s="12" t="s">
        <v>189</v>
      </c>
      <c r="B64" s="13" t="s">
        <v>60</v>
      </c>
      <c r="C64" s="14">
        <v>2</v>
      </c>
      <c r="D64" s="14">
        <v>3</v>
      </c>
      <c r="E64" s="14">
        <f t="shared" si="5"/>
        <v>1</v>
      </c>
      <c r="F64" s="15" t="s">
        <v>61</v>
      </c>
      <c r="G64" s="15"/>
      <c r="H64" s="15"/>
      <c r="I64" s="15"/>
      <c r="J64" s="15"/>
      <c r="K64" s="15" t="s">
        <v>61</v>
      </c>
      <c r="L64" s="15"/>
      <c r="M64" s="15"/>
      <c r="N64" s="15" t="s">
        <v>61</v>
      </c>
      <c r="O64" s="15"/>
      <c r="P64" s="15"/>
      <c r="Q64" s="15" t="s">
        <v>61</v>
      </c>
      <c r="R64" s="15"/>
      <c r="S64" s="15"/>
      <c r="T64" s="15"/>
      <c r="U64" s="15" t="s">
        <v>61</v>
      </c>
      <c r="V64" s="16"/>
      <c r="W64" s="17" t="str">
        <f t="shared" si="6"/>
        <v>OK</v>
      </c>
    </row>
    <row r="65" spans="1:23" ht="20.100000000000001" customHeight="1" x14ac:dyDescent="0.25">
      <c r="A65" s="12" t="s">
        <v>189</v>
      </c>
      <c r="B65" s="13" t="s">
        <v>60</v>
      </c>
      <c r="C65" s="14">
        <v>3</v>
      </c>
      <c r="D65" s="14">
        <v>4</v>
      </c>
      <c r="E65" s="14">
        <f t="shared" si="5"/>
        <v>1</v>
      </c>
      <c r="F65" s="15" t="s">
        <v>61</v>
      </c>
      <c r="G65" s="15"/>
      <c r="H65" s="15"/>
      <c r="I65" s="15"/>
      <c r="J65" s="15"/>
      <c r="K65" s="15" t="s">
        <v>61</v>
      </c>
      <c r="L65" s="15"/>
      <c r="M65" s="15"/>
      <c r="N65" s="15" t="s">
        <v>61</v>
      </c>
      <c r="O65" s="15"/>
      <c r="P65" s="15"/>
      <c r="Q65" s="15" t="s">
        <v>61</v>
      </c>
      <c r="R65" s="15"/>
      <c r="S65" s="15"/>
      <c r="T65" s="15"/>
      <c r="U65" s="15" t="s">
        <v>61</v>
      </c>
      <c r="V65" s="16"/>
      <c r="W65" s="17" t="str">
        <f t="shared" si="6"/>
        <v>OK</v>
      </c>
    </row>
    <row r="66" spans="1:23" ht="20.100000000000001" customHeight="1" x14ac:dyDescent="0.25">
      <c r="A66" s="12" t="s">
        <v>189</v>
      </c>
      <c r="B66" s="13" t="s">
        <v>60</v>
      </c>
      <c r="C66" s="14">
        <v>4</v>
      </c>
      <c r="D66" s="14">
        <v>5</v>
      </c>
      <c r="E66" s="14">
        <f t="shared" si="5"/>
        <v>1</v>
      </c>
      <c r="F66" s="15" t="s">
        <v>61</v>
      </c>
      <c r="G66" s="15"/>
      <c r="H66" s="15"/>
      <c r="I66" s="15"/>
      <c r="J66" s="15"/>
      <c r="K66" s="15" t="s">
        <v>61</v>
      </c>
      <c r="L66" s="15"/>
      <c r="M66" s="15"/>
      <c r="N66" s="15" t="s">
        <v>61</v>
      </c>
      <c r="O66" s="15"/>
      <c r="P66" s="15"/>
      <c r="Q66" s="15" t="s">
        <v>61</v>
      </c>
      <c r="R66" s="15"/>
      <c r="S66" s="15"/>
      <c r="T66" s="15"/>
      <c r="U66" s="15" t="s">
        <v>61</v>
      </c>
      <c r="V66" s="16"/>
      <c r="W66" s="17" t="str">
        <f t="shared" si="6"/>
        <v>OK</v>
      </c>
    </row>
    <row r="67" spans="1:23" ht="20.100000000000001" customHeight="1" x14ac:dyDescent="0.25">
      <c r="A67" s="12" t="s">
        <v>189</v>
      </c>
      <c r="B67" s="13" t="s">
        <v>60</v>
      </c>
      <c r="C67" s="14">
        <v>5</v>
      </c>
      <c r="D67" s="14">
        <v>6</v>
      </c>
      <c r="E67" s="14">
        <f t="shared" si="5"/>
        <v>1</v>
      </c>
      <c r="F67" s="15"/>
      <c r="G67" s="15" t="s">
        <v>61</v>
      </c>
      <c r="H67" s="15"/>
      <c r="I67" s="15"/>
      <c r="J67" s="15"/>
      <c r="K67" s="15" t="s">
        <v>61</v>
      </c>
      <c r="L67" s="15"/>
      <c r="M67" s="15"/>
      <c r="N67" s="15" t="s">
        <v>61</v>
      </c>
      <c r="O67" s="15"/>
      <c r="P67" s="15"/>
      <c r="Q67" s="15" t="s">
        <v>61</v>
      </c>
      <c r="R67" s="15"/>
      <c r="S67" s="15"/>
      <c r="T67" s="15"/>
      <c r="U67" s="15" t="s">
        <v>61</v>
      </c>
      <c r="V67" s="16"/>
      <c r="W67" s="17" t="str">
        <f t="shared" si="6"/>
        <v>OK</v>
      </c>
    </row>
    <row r="68" spans="1:23" ht="20.100000000000001" customHeight="1" x14ac:dyDescent="0.25">
      <c r="A68" s="12" t="s">
        <v>189</v>
      </c>
      <c r="B68" s="13" t="s">
        <v>60</v>
      </c>
      <c r="C68" s="14">
        <v>6</v>
      </c>
      <c r="D68" s="14">
        <v>7</v>
      </c>
      <c r="E68" s="14">
        <f t="shared" si="5"/>
        <v>1</v>
      </c>
      <c r="F68" s="15"/>
      <c r="G68" s="15" t="s">
        <v>61</v>
      </c>
      <c r="H68" s="15"/>
      <c r="I68" s="15"/>
      <c r="J68" s="15"/>
      <c r="K68" s="15" t="s">
        <v>61</v>
      </c>
      <c r="L68" s="15"/>
      <c r="M68" s="15"/>
      <c r="N68" s="15" t="s">
        <v>61</v>
      </c>
      <c r="O68" s="15"/>
      <c r="P68" s="15"/>
      <c r="Q68" s="15" t="s">
        <v>61</v>
      </c>
      <c r="R68" s="15"/>
      <c r="S68" s="15"/>
      <c r="T68" s="15"/>
      <c r="U68" s="15" t="s">
        <v>61</v>
      </c>
      <c r="V68" s="16"/>
      <c r="W68" s="17" t="str">
        <f t="shared" si="6"/>
        <v>OK</v>
      </c>
    </row>
    <row r="69" spans="1:23" ht="20.100000000000001" customHeight="1" x14ac:dyDescent="0.25">
      <c r="A69" s="12" t="s">
        <v>189</v>
      </c>
      <c r="B69" s="13" t="s">
        <v>60</v>
      </c>
      <c r="C69" s="14">
        <v>7</v>
      </c>
      <c r="D69" s="14">
        <v>8</v>
      </c>
      <c r="E69" s="14">
        <f t="shared" si="5"/>
        <v>1</v>
      </c>
      <c r="F69" s="15"/>
      <c r="G69" s="15" t="s">
        <v>61</v>
      </c>
      <c r="H69" s="15"/>
      <c r="I69" s="15"/>
      <c r="J69" s="15"/>
      <c r="K69" s="15" t="s">
        <v>61</v>
      </c>
      <c r="L69" s="15"/>
      <c r="M69" s="15"/>
      <c r="N69" s="15" t="s">
        <v>61</v>
      </c>
      <c r="O69" s="15"/>
      <c r="P69" s="15"/>
      <c r="Q69" s="15" t="s">
        <v>61</v>
      </c>
      <c r="R69" s="15"/>
      <c r="S69" s="15"/>
      <c r="T69" s="15"/>
      <c r="U69" s="15" t="s">
        <v>61</v>
      </c>
      <c r="V69" s="16"/>
      <c r="W69" s="17" t="str">
        <f t="shared" si="6"/>
        <v>OK</v>
      </c>
    </row>
    <row r="70" spans="1:23" ht="20.100000000000001" customHeight="1" x14ac:dyDescent="0.25">
      <c r="A70" s="12" t="s">
        <v>189</v>
      </c>
      <c r="B70" s="13" t="s">
        <v>60</v>
      </c>
      <c r="C70" s="14">
        <v>8</v>
      </c>
      <c r="D70" s="14">
        <v>9</v>
      </c>
      <c r="E70" s="14">
        <f t="shared" si="5"/>
        <v>1</v>
      </c>
      <c r="F70" s="15"/>
      <c r="G70" s="15" t="s">
        <v>61</v>
      </c>
      <c r="H70" s="15"/>
      <c r="I70" s="15"/>
      <c r="J70" s="15"/>
      <c r="K70" s="15" t="s">
        <v>61</v>
      </c>
      <c r="L70" s="15"/>
      <c r="M70" s="15"/>
      <c r="N70" s="15" t="s">
        <v>61</v>
      </c>
      <c r="O70" s="15"/>
      <c r="P70" s="15"/>
      <c r="Q70" s="15" t="s">
        <v>61</v>
      </c>
      <c r="R70" s="15"/>
      <c r="S70" s="15"/>
      <c r="T70" s="15"/>
      <c r="U70" s="15" t="s">
        <v>61</v>
      </c>
      <c r="V70" s="16"/>
      <c r="W70" s="17" t="str">
        <f t="shared" si="6"/>
        <v>OK</v>
      </c>
    </row>
    <row r="71" spans="1:23" ht="20.100000000000001" customHeight="1" x14ac:dyDescent="0.25">
      <c r="A71" s="12" t="s">
        <v>189</v>
      </c>
      <c r="B71" s="13" t="s">
        <v>60</v>
      </c>
      <c r="C71" s="14">
        <v>9</v>
      </c>
      <c r="D71" s="14">
        <v>10</v>
      </c>
      <c r="E71" s="14">
        <f t="shared" si="5"/>
        <v>1</v>
      </c>
      <c r="F71" s="15"/>
      <c r="G71" s="15" t="s">
        <v>61</v>
      </c>
      <c r="H71" s="15"/>
      <c r="I71" s="15"/>
      <c r="J71" s="15"/>
      <c r="K71" s="15" t="s">
        <v>61</v>
      </c>
      <c r="L71" s="15"/>
      <c r="M71" s="15"/>
      <c r="N71" s="15" t="s">
        <v>61</v>
      </c>
      <c r="O71" s="15"/>
      <c r="P71" s="15"/>
      <c r="Q71" s="15" t="s">
        <v>61</v>
      </c>
      <c r="R71" s="15"/>
      <c r="S71" s="15"/>
      <c r="T71" s="15"/>
      <c r="U71" s="15" t="s">
        <v>61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189</v>
      </c>
      <c r="B72" s="13" t="s">
        <v>60</v>
      </c>
      <c r="C72" s="14">
        <v>10</v>
      </c>
      <c r="D72" s="14">
        <v>11</v>
      </c>
      <c r="E72" s="14">
        <f t="shared" si="5"/>
        <v>1</v>
      </c>
      <c r="F72" s="15"/>
      <c r="G72" s="15" t="s">
        <v>61</v>
      </c>
      <c r="H72" s="15"/>
      <c r="I72" s="15"/>
      <c r="J72" s="15"/>
      <c r="K72" s="15" t="s">
        <v>61</v>
      </c>
      <c r="L72" s="15"/>
      <c r="M72" s="15"/>
      <c r="N72" s="15" t="s">
        <v>61</v>
      </c>
      <c r="O72" s="15"/>
      <c r="P72" s="15"/>
      <c r="Q72" s="15" t="s">
        <v>61</v>
      </c>
      <c r="R72" s="15"/>
      <c r="S72" s="15"/>
      <c r="T72" s="15"/>
      <c r="U72" s="15" t="s">
        <v>61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189</v>
      </c>
      <c r="B73" s="13" t="s">
        <v>60</v>
      </c>
      <c r="C73" s="14">
        <v>11</v>
      </c>
      <c r="D73" s="14">
        <v>12</v>
      </c>
      <c r="E73" s="14">
        <f t="shared" si="5"/>
        <v>1</v>
      </c>
      <c r="F73" s="15"/>
      <c r="G73" s="15" t="s">
        <v>61</v>
      </c>
      <c r="H73" s="15"/>
      <c r="I73" s="15"/>
      <c r="J73" s="15"/>
      <c r="K73" s="15" t="s">
        <v>61</v>
      </c>
      <c r="L73" s="15"/>
      <c r="M73" s="15"/>
      <c r="N73" s="15" t="s">
        <v>61</v>
      </c>
      <c r="O73" s="15"/>
      <c r="P73" s="15"/>
      <c r="Q73" s="15" t="s">
        <v>61</v>
      </c>
      <c r="R73" s="15"/>
      <c r="S73" s="15"/>
      <c r="T73" s="15"/>
      <c r="U73" s="15" t="s">
        <v>61</v>
      </c>
      <c r="V73" s="16"/>
      <c r="W73" s="17" t="str">
        <f t="shared" si="6"/>
        <v>OK</v>
      </c>
    </row>
    <row r="74" spans="1:23" ht="20.100000000000001" customHeight="1" x14ac:dyDescent="0.25">
      <c r="A74" s="12" t="s">
        <v>189</v>
      </c>
      <c r="B74" s="13" t="s">
        <v>60</v>
      </c>
      <c r="C74" s="14">
        <v>12</v>
      </c>
      <c r="D74" s="14">
        <v>13</v>
      </c>
      <c r="E74" s="14">
        <f t="shared" si="5"/>
        <v>1</v>
      </c>
      <c r="F74" s="15"/>
      <c r="G74" s="15" t="s">
        <v>61</v>
      </c>
      <c r="H74" s="15"/>
      <c r="I74" s="15"/>
      <c r="J74" s="15"/>
      <c r="K74" s="15" t="s">
        <v>61</v>
      </c>
      <c r="L74" s="15"/>
      <c r="M74" s="15"/>
      <c r="N74" s="15" t="s">
        <v>61</v>
      </c>
      <c r="O74" s="15"/>
      <c r="P74" s="15"/>
      <c r="Q74" s="15" t="s">
        <v>61</v>
      </c>
      <c r="R74" s="15"/>
      <c r="S74" s="15"/>
      <c r="T74" s="15"/>
      <c r="U74" s="15" t="s">
        <v>61</v>
      </c>
      <c r="V74" s="16"/>
      <c r="W74" s="17" t="str">
        <f t="shared" si="6"/>
        <v>OK</v>
      </c>
    </row>
    <row r="75" spans="1:23" ht="20.100000000000001" customHeight="1" x14ac:dyDescent="0.25">
      <c r="A75" s="12" t="s">
        <v>189</v>
      </c>
      <c r="B75" s="13" t="s">
        <v>60</v>
      </c>
      <c r="C75" s="14">
        <v>13</v>
      </c>
      <c r="D75" s="14">
        <v>14</v>
      </c>
      <c r="E75" s="14">
        <f t="shared" si="5"/>
        <v>1</v>
      </c>
      <c r="F75" s="15"/>
      <c r="G75" s="15" t="s">
        <v>61</v>
      </c>
      <c r="H75" s="15"/>
      <c r="I75" s="15"/>
      <c r="J75" s="15"/>
      <c r="K75" s="15" t="s">
        <v>61</v>
      </c>
      <c r="L75" s="15"/>
      <c r="M75" s="15"/>
      <c r="N75" s="15" t="s">
        <v>61</v>
      </c>
      <c r="O75" s="15"/>
      <c r="P75" s="15"/>
      <c r="Q75" s="15" t="s">
        <v>61</v>
      </c>
      <c r="R75" s="15"/>
      <c r="S75" s="15"/>
      <c r="T75" s="15"/>
      <c r="U75" s="15" t="s">
        <v>61</v>
      </c>
      <c r="V75" s="16"/>
      <c r="W75" s="17" t="str">
        <f t="shared" si="6"/>
        <v>OK</v>
      </c>
    </row>
    <row r="76" spans="1:23" ht="20.100000000000001" customHeight="1" x14ac:dyDescent="0.25">
      <c r="A76" s="12" t="s">
        <v>189</v>
      </c>
      <c r="B76" s="13" t="s">
        <v>60</v>
      </c>
      <c r="C76" s="14">
        <v>14</v>
      </c>
      <c r="D76" s="14">
        <v>15</v>
      </c>
      <c r="E76" s="14">
        <f t="shared" si="5"/>
        <v>1</v>
      </c>
      <c r="F76" s="15"/>
      <c r="G76" s="15" t="s">
        <v>61</v>
      </c>
      <c r="H76" s="15"/>
      <c r="I76" s="15"/>
      <c r="J76" s="15"/>
      <c r="K76" s="15" t="s">
        <v>61</v>
      </c>
      <c r="L76" s="15"/>
      <c r="M76" s="15"/>
      <c r="N76" s="15" t="s">
        <v>61</v>
      </c>
      <c r="O76" s="15"/>
      <c r="P76" s="15"/>
      <c r="Q76" s="15" t="s">
        <v>61</v>
      </c>
      <c r="R76" s="15"/>
      <c r="S76" s="15"/>
      <c r="T76" s="15"/>
      <c r="U76" s="15" t="s">
        <v>61</v>
      </c>
      <c r="V76" s="16"/>
      <c r="W76" s="17" t="str">
        <f t="shared" si="6"/>
        <v>OK</v>
      </c>
    </row>
    <row r="77" spans="1:23" ht="20.100000000000001" customHeight="1" x14ac:dyDescent="0.25">
      <c r="A77" s="12" t="s">
        <v>189</v>
      </c>
      <c r="B77" s="13" t="s">
        <v>60</v>
      </c>
      <c r="C77" s="14">
        <v>15</v>
      </c>
      <c r="D77" s="14">
        <v>16</v>
      </c>
      <c r="E77" s="14">
        <f t="shared" si="5"/>
        <v>1</v>
      </c>
      <c r="F77" s="15"/>
      <c r="G77" s="15" t="s">
        <v>61</v>
      </c>
      <c r="H77" s="15"/>
      <c r="I77" s="15"/>
      <c r="J77" s="15"/>
      <c r="K77" s="15" t="s">
        <v>61</v>
      </c>
      <c r="L77" s="15"/>
      <c r="M77" s="15"/>
      <c r="N77" s="15" t="s">
        <v>61</v>
      </c>
      <c r="O77" s="15"/>
      <c r="P77" s="15"/>
      <c r="Q77" s="15" t="s">
        <v>61</v>
      </c>
      <c r="R77" s="15"/>
      <c r="S77" s="15"/>
      <c r="T77" s="15"/>
      <c r="U77" s="15" t="s">
        <v>61</v>
      </c>
      <c r="V77" s="16"/>
      <c r="W77" s="17" t="str">
        <f t="shared" si="6"/>
        <v>OK</v>
      </c>
    </row>
    <row r="78" spans="1:23" ht="20.100000000000001" customHeight="1" x14ac:dyDescent="0.25">
      <c r="A78" s="12" t="s">
        <v>189</v>
      </c>
      <c r="B78" s="13" t="s">
        <v>60</v>
      </c>
      <c r="C78" s="14">
        <v>16</v>
      </c>
      <c r="D78" s="14">
        <v>17</v>
      </c>
      <c r="E78" s="14">
        <f t="shared" si="5"/>
        <v>1</v>
      </c>
      <c r="F78" s="15"/>
      <c r="G78" s="15" t="s">
        <v>61</v>
      </c>
      <c r="H78" s="15"/>
      <c r="I78" s="15"/>
      <c r="J78" s="15"/>
      <c r="K78" s="15" t="s">
        <v>61</v>
      </c>
      <c r="L78" s="15"/>
      <c r="M78" s="15"/>
      <c r="N78" s="15" t="s">
        <v>61</v>
      </c>
      <c r="O78" s="15"/>
      <c r="P78" s="15"/>
      <c r="Q78" s="15" t="s">
        <v>61</v>
      </c>
      <c r="R78" s="15"/>
      <c r="S78" s="15"/>
      <c r="T78" s="15"/>
      <c r="U78" s="15" t="s">
        <v>61</v>
      </c>
      <c r="V78" s="16"/>
      <c r="W78" s="17" t="str">
        <f t="shared" si="6"/>
        <v>OK</v>
      </c>
    </row>
    <row r="79" spans="1:23" ht="20.100000000000001" customHeight="1" x14ac:dyDescent="0.25">
      <c r="A79" s="12" t="s">
        <v>189</v>
      </c>
      <c r="B79" s="13" t="s">
        <v>60</v>
      </c>
      <c r="C79" s="14">
        <v>17</v>
      </c>
      <c r="D79" s="14">
        <v>18</v>
      </c>
      <c r="E79" s="14">
        <f t="shared" si="5"/>
        <v>1</v>
      </c>
      <c r="F79" s="15"/>
      <c r="G79" s="15" t="s">
        <v>61</v>
      </c>
      <c r="H79" s="15"/>
      <c r="I79" s="15"/>
      <c r="J79" s="15"/>
      <c r="K79" s="15" t="s">
        <v>61</v>
      </c>
      <c r="L79" s="15"/>
      <c r="M79" s="15"/>
      <c r="N79" s="15" t="s">
        <v>61</v>
      </c>
      <c r="O79" s="15"/>
      <c r="P79" s="15"/>
      <c r="Q79" s="15" t="s">
        <v>61</v>
      </c>
      <c r="R79" s="15"/>
      <c r="S79" s="15"/>
      <c r="T79" s="15"/>
      <c r="U79" s="15" t="s">
        <v>61</v>
      </c>
      <c r="V79" s="16"/>
      <c r="W79" s="17" t="str">
        <f t="shared" si="6"/>
        <v>OK</v>
      </c>
    </row>
    <row r="80" spans="1:23" ht="20.100000000000001" customHeight="1" x14ac:dyDescent="0.25">
      <c r="A80" s="12" t="s">
        <v>189</v>
      </c>
      <c r="B80" s="13" t="s">
        <v>60</v>
      </c>
      <c r="C80" s="14">
        <v>18</v>
      </c>
      <c r="D80" s="14">
        <v>19</v>
      </c>
      <c r="E80" s="14">
        <f t="shared" si="5"/>
        <v>1</v>
      </c>
      <c r="F80" s="15"/>
      <c r="G80" s="15" t="s">
        <v>61</v>
      </c>
      <c r="H80" s="15"/>
      <c r="I80" s="15"/>
      <c r="J80" s="15"/>
      <c r="K80" s="15" t="s">
        <v>61</v>
      </c>
      <c r="L80" s="15"/>
      <c r="M80" s="15"/>
      <c r="N80" s="15" t="s">
        <v>61</v>
      </c>
      <c r="O80" s="15"/>
      <c r="P80" s="15"/>
      <c r="Q80" s="15" t="s">
        <v>61</v>
      </c>
      <c r="R80" s="15"/>
      <c r="S80" s="15"/>
      <c r="T80" s="15"/>
      <c r="U80" s="15" t="s">
        <v>61</v>
      </c>
      <c r="V80" s="16"/>
      <c r="W80" s="17" t="str">
        <f t="shared" si="6"/>
        <v>OK</v>
      </c>
    </row>
    <row r="81" spans="1:23" ht="20.100000000000001" customHeight="1" x14ac:dyDescent="0.25">
      <c r="A81" s="12" t="s">
        <v>189</v>
      </c>
      <c r="B81" s="13" t="s">
        <v>60</v>
      </c>
      <c r="C81" s="14">
        <v>19</v>
      </c>
      <c r="D81" s="14">
        <v>20</v>
      </c>
      <c r="E81" s="14">
        <f t="shared" si="5"/>
        <v>1</v>
      </c>
      <c r="F81" s="15"/>
      <c r="G81" s="15" t="s">
        <v>61</v>
      </c>
      <c r="H81" s="15"/>
      <c r="I81" s="15"/>
      <c r="J81" s="15"/>
      <c r="K81" s="15" t="s">
        <v>61</v>
      </c>
      <c r="L81" s="15"/>
      <c r="M81" s="15"/>
      <c r="N81" s="15" t="s">
        <v>61</v>
      </c>
      <c r="O81" s="15"/>
      <c r="P81" s="15"/>
      <c r="Q81" s="15" t="s">
        <v>61</v>
      </c>
      <c r="R81" s="15"/>
      <c r="S81" s="15"/>
      <c r="T81" s="15"/>
      <c r="U81" s="15" t="s">
        <v>61</v>
      </c>
      <c r="V81" s="16"/>
      <c r="W81" s="17" t="str">
        <f t="shared" si="6"/>
        <v>OK</v>
      </c>
    </row>
    <row r="82" spans="1:23" ht="20.100000000000001" customHeight="1" x14ac:dyDescent="0.25">
      <c r="A82" s="12" t="s">
        <v>189</v>
      </c>
      <c r="B82" s="13" t="s">
        <v>60</v>
      </c>
      <c r="C82" s="14">
        <v>20</v>
      </c>
      <c r="D82" s="14">
        <v>21</v>
      </c>
      <c r="E82" s="14">
        <f t="shared" si="5"/>
        <v>1</v>
      </c>
      <c r="F82" s="15"/>
      <c r="G82" s="15" t="s">
        <v>61</v>
      </c>
      <c r="H82" s="15"/>
      <c r="I82" s="15"/>
      <c r="J82" s="15"/>
      <c r="K82" s="15" t="s">
        <v>61</v>
      </c>
      <c r="L82" s="15"/>
      <c r="M82" s="15"/>
      <c r="N82" s="15" t="s">
        <v>61</v>
      </c>
      <c r="O82" s="15"/>
      <c r="P82" s="15"/>
      <c r="Q82" s="15" t="s">
        <v>61</v>
      </c>
      <c r="R82" s="15"/>
      <c r="S82" s="15"/>
      <c r="T82" s="15"/>
      <c r="U82" s="15" t="s">
        <v>61</v>
      </c>
      <c r="V82" s="16"/>
      <c r="W82" s="17" t="str">
        <f t="shared" si="6"/>
        <v>OK</v>
      </c>
    </row>
    <row r="83" spans="1:23" ht="20.100000000000001" customHeight="1" x14ac:dyDescent="0.25">
      <c r="A83" s="12" t="s">
        <v>189</v>
      </c>
      <c r="B83" s="13" t="s">
        <v>60</v>
      </c>
      <c r="C83" s="14">
        <v>21</v>
      </c>
      <c r="D83" s="14">
        <v>22</v>
      </c>
      <c r="E83" s="14">
        <f t="shared" si="5"/>
        <v>1</v>
      </c>
      <c r="F83" s="15"/>
      <c r="G83" s="15" t="s">
        <v>61</v>
      </c>
      <c r="H83" s="15"/>
      <c r="I83" s="15"/>
      <c r="J83" s="15"/>
      <c r="K83" s="15" t="s">
        <v>61</v>
      </c>
      <c r="L83" s="15"/>
      <c r="M83" s="15"/>
      <c r="N83" s="15" t="s">
        <v>61</v>
      </c>
      <c r="O83" s="15"/>
      <c r="P83" s="15"/>
      <c r="Q83" s="15" t="s">
        <v>61</v>
      </c>
      <c r="R83" s="15"/>
      <c r="S83" s="15"/>
      <c r="T83" s="15"/>
      <c r="U83" s="15" t="s">
        <v>61</v>
      </c>
      <c r="V83" s="16"/>
      <c r="W83" s="17" t="str">
        <f t="shared" si="6"/>
        <v>OK</v>
      </c>
    </row>
    <row r="84" spans="1:23" ht="20.100000000000001" customHeight="1" x14ac:dyDescent="0.25">
      <c r="A84" s="12" t="s">
        <v>189</v>
      </c>
      <c r="B84" s="13" t="s">
        <v>60</v>
      </c>
      <c r="C84" s="14">
        <v>22</v>
      </c>
      <c r="D84" s="14">
        <v>23</v>
      </c>
      <c r="E84" s="14">
        <f t="shared" si="5"/>
        <v>1</v>
      </c>
      <c r="F84" s="15"/>
      <c r="G84" s="15" t="s">
        <v>61</v>
      </c>
      <c r="H84" s="15"/>
      <c r="I84" s="15"/>
      <c r="J84" s="15"/>
      <c r="K84" s="15" t="s">
        <v>61</v>
      </c>
      <c r="L84" s="15"/>
      <c r="M84" s="15"/>
      <c r="N84" s="15" t="s">
        <v>61</v>
      </c>
      <c r="O84" s="15"/>
      <c r="P84" s="15"/>
      <c r="Q84" s="15" t="s">
        <v>61</v>
      </c>
      <c r="R84" s="15"/>
      <c r="S84" s="15"/>
      <c r="T84" s="15"/>
      <c r="U84" s="15" t="s">
        <v>61</v>
      </c>
      <c r="V84" s="16"/>
      <c r="W84" s="17" t="str">
        <f t="shared" si="6"/>
        <v>OK</v>
      </c>
    </row>
    <row r="85" spans="1:23" ht="20.100000000000001" customHeight="1" x14ac:dyDescent="0.25">
      <c r="A85" s="12" t="s">
        <v>189</v>
      </c>
      <c r="B85" s="13" t="s">
        <v>60</v>
      </c>
      <c r="C85" s="14">
        <v>23</v>
      </c>
      <c r="D85" s="14">
        <v>24</v>
      </c>
      <c r="E85" s="14">
        <f t="shared" si="5"/>
        <v>1</v>
      </c>
      <c r="F85" s="15"/>
      <c r="G85" s="15" t="s">
        <v>61</v>
      </c>
      <c r="H85" s="15"/>
      <c r="I85" s="15"/>
      <c r="J85" s="15"/>
      <c r="K85" s="15" t="s">
        <v>61</v>
      </c>
      <c r="L85" s="15"/>
      <c r="M85" s="15"/>
      <c r="N85" s="15" t="s">
        <v>61</v>
      </c>
      <c r="O85" s="15"/>
      <c r="P85" s="15"/>
      <c r="Q85" s="15" t="s">
        <v>61</v>
      </c>
      <c r="R85" s="15"/>
      <c r="S85" s="15"/>
      <c r="T85" s="15"/>
      <c r="U85" s="15" t="s">
        <v>61</v>
      </c>
      <c r="V85" s="16"/>
      <c r="W85" s="17" t="str">
        <f t="shared" si="6"/>
        <v>OK</v>
      </c>
    </row>
    <row r="86" spans="1:23" ht="20.100000000000001" customHeight="1" x14ac:dyDescent="0.25">
      <c r="A86" s="12" t="s">
        <v>189</v>
      </c>
      <c r="B86" s="13" t="s">
        <v>60</v>
      </c>
      <c r="C86" s="14">
        <v>24</v>
      </c>
      <c r="D86" s="14">
        <v>25</v>
      </c>
      <c r="E86" s="14">
        <f t="shared" si="5"/>
        <v>1</v>
      </c>
      <c r="F86" s="15"/>
      <c r="G86" s="15" t="s">
        <v>61</v>
      </c>
      <c r="H86" s="15"/>
      <c r="I86" s="15"/>
      <c r="J86" s="15"/>
      <c r="K86" s="15" t="s">
        <v>61</v>
      </c>
      <c r="L86" s="15"/>
      <c r="M86" s="15"/>
      <c r="N86" s="15" t="s">
        <v>61</v>
      </c>
      <c r="O86" s="15"/>
      <c r="P86" s="15"/>
      <c r="Q86" s="15" t="s">
        <v>61</v>
      </c>
      <c r="R86" s="15"/>
      <c r="S86" s="15"/>
      <c r="T86" s="15"/>
      <c r="U86" s="15" t="s">
        <v>61</v>
      </c>
      <c r="V86" s="16"/>
      <c r="W86" s="17" t="str">
        <f t="shared" si="6"/>
        <v>OK</v>
      </c>
    </row>
    <row r="87" spans="1:23" ht="20.100000000000001" customHeight="1" x14ac:dyDescent="0.25">
      <c r="A87" s="18" t="s">
        <v>189</v>
      </c>
      <c r="B87" s="19" t="s">
        <v>60</v>
      </c>
      <c r="C87" s="20">
        <v>25</v>
      </c>
      <c r="D87" s="20">
        <v>25.722051576999998</v>
      </c>
      <c r="E87" s="20">
        <f t="shared" si="5"/>
        <v>0.72205157699999845</v>
      </c>
      <c r="F87" s="21"/>
      <c r="G87" s="21" t="s">
        <v>61</v>
      </c>
      <c r="H87" s="21"/>
      <c r="I87" s="21"/>
      <c r="J87" s="21"/>
      <c r="K87" s="21" t="s">
        <v>61</v>
      </c>
      <c r="L87" s="21"/>
      <c r="M87" s="21"/>
      <c r="N87" s="21" t="s">
        <v>61</v>
      </c>
      <c r="O87" s="21"/>
      <c r="P87" s="21"/>
      <c r="Q87" s="21" t="s">
        <v>61</v>
      </c>
      <c r="R87" s="21"/>
      <c r="S87" s="21"/>
      <c r="T87" s="21"/>
      <c r="U87" s="21" t="s">
        <v>61</v>
      </c>
      <c r="V87" s="22"/>
      <c r="W87" s="23" t="str">
        <f t="shared" si="6"/>
        <v>OK</v>
      </c>
    </row>
    <row r="88" spans="1:23" ht="15" customHeight="1" x14ac:dyDescent="0.25">
      <c r="A88" s="35" t="s">
        <v>190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3"/>
      <c r="W88" s="4"/>
    </row>
    <row r="89" spans="1:23" ht="15.95" customHeight="1" x14ac:dyDescent="0.25">
      <c r="A89" s="46" t="s">
        <v>191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3"/>
      <c r="W89" s="4"/>
    </row>
    <row r="90" spans="1:23" ht="20.100000000000001" customHeight="1" x14ac:dyDescent="0.25">
      <c r="A90" s="12" t="s">
        <v>192</v>
      </c>
      <c r="B90" s="13" t="s">
        <v>60</v>
      </c>
      <c r="C90" s="14">
        <v>0</v>
      </c>
      <c r="D90" s="14">
        <v>1</v>
      </c>
      <c r="E90" s="14">
        <f t="shared" ref="E90:E102" si="7">D90-C90</f>
        <v>1</v>
      </c>
      <c r="F90" s="15" t="s">
        <v>61</v>
      </c>
      <c r="G90" s="15"/>
      <c r="H90" s="15"/>
      <c r="I90" s="15"/>
      <c r="J90" s="15"/>
      <c r="K90" s="15" t="s">
        <v>61</v>
      </c>
      <c r="L90" s="15"/>
      <c r="M90" s="15"/>
      <c r="N90" s="15"/>
      <c r="O90" s="15" t="s">
        <v>61</v>
      </c>
      <c r="P90" s="15"/>
      <c r="Q90" s="15"/>
      <c r="R90" s="15" t="s">
        <v>61</v>
      </c>
      <c r="S90" s="15"/>
      <c r="T90" s="15"/>
      <c r="U90" s="15" t="s">
        <v>61</v>
      </c>
      <c r="V90" s="16"/>
      <c r="W90" s="17" t="str">
        <f t="shared" ref="W90:W102" si="8">IF(COUNTA(F90:U90)=0,"— não preenchido",IF(COUNTIF(F90:J90,"X")&lt;&gt;1,"FALTA/DUPLA: CONDIÇÃO DO PAVIMENTO",IF(COUNTIF(K90:L90,"X")&lt;&gt;1,"FALTA/DUPLA: VEGETAÇÃO",IF(COUNTIF(M90:O90,"X")&lt;&gt;1,"FALTA/DUPLA: ELEM. DE DRENAGEM",IF(COUNTIF(P90:R90,"X")&lt;&gt;1,"FALTA/DUPLA: SIN. HORIZ.",IF(COUNTIF(S90:U90,"X")&lt;&gt;1,"FALTA/DUPLA: SIN. VERTICAL","OK"))))))</f>
        <v>OK</v>
      </c>
    </row>
    <row r="91" spans="1:23" ht="20.100000000000001" customHeight="1" x14ac:dyDescent="0.25">
      <c r="A91" s="12" t="s">
        <v>192</v>
      </c>
      <c r="B91" s="13" t="s">
        <v>60</v>
      </c>
      <c r="C91" s="14">
        <v>1</v>
      </c>
      <c r="D91" s="14">
        <v>2</v>
      </c>
      <c r="E91" s="14">
        <f t="shared" si="7"/>
        <v>1</v>
      </c>
      <c r="F91" s="15" t="s">
        <v>61</v>
      </c>
      <c r="G91" s="15"/>
      <c r="H91" s="15"/>
      <c r="I91" s="15"/>
      <c r="J91" s="15"/>
      <c r="K91" s="15" t="s">
        <v>61</v>
      </c>
      <c r="L91" s="15"/>
      <c r="M91" s="15"/>
      <c r="N91" s="15"/>
      <c r="O91" s="15" t="s">
        <v>61</v>
      </c>
      <c r="P91" s="15"/>
      <c r="Q91" s="15"/>
      <c r="R91" s="15" t="s">
        <v>61</v>
      </c>
      <c r="S91" s="15"/>
      <c r="T91" s="15"/>
      <c r="U91" s="15" t="s">
        <v>61</v>
      </c>
      <c r="V91" s="16"/>
      <c r="W91" s="17" t="str">
        <f t="shared" si="8"/>
        <v>OK</v>
      </c>
    </row>
    <row r="92" spans="1:23" ht="20.100000000000001" customHeight="1" x14ac:dyDescent="0.25">
      <c r="A92" s="12" t="s">
        <v>192</v>
      </c>
      <c r="B92" s="13" t="s">
        <v>60</v>
      </c>
      <c r="C92" s="14">
        <v>2</v>
      </c>
      <c r="D92" s="14">
        <v>3</v>
      </c>
      <c r="E92" s="14">
        <f t="shared" si="7"/>
        <v>1</v>
      </c>
      <c r="F92" s="15"/>
      <c r="G92" s="15" t="s">
        <v>61</v>
      </c>
      <c r="H92" s="15"/>
      <c r="I92" s="15"/>
      <c r="J92" s="15"/>
      <c r="K92" s="15" t="s">
        <v>61</v>
      </c>
      <c r="L92" s="15"/>
      <c r="M92" s="15"/>
      <c r="N92" s="15"/>
      <c r="O92" s="15" t="s">
        <v>61</v>
      </c>
      <c r="P92" s="15"/>
      <c r="Q92" s="15"/>
      <c r="R92" s="15" t="s">
        <v>61</v>
      </c>
      <c r="S92" s="15"/>
      <c r="T92" s="15"/>
      <c r="U92" s="15" t="s">
        <v>61</v>
      </c>
      <c r="V92" s="16"/>
      <c r="W92" s="17" t="str">
        <f t="shared" si="8"/>
        <v>OK</v>
      </c>
    </row>
    <row r="93" spans="1:23" ht="20.100000000000001" customHeight="1" x14ac:dyDescent="0.25">
      <c r="A93" s="12" t="s">
        <v>192</v>
      </c>
      <c r="B93" s="13" t="s">
        <v>60</v>
      </c>
      <c r="C93" s="14">
        <v>3</v>
      </c>
      <c r="D93" s="14">
        <v>4</v>
      </c>
      <c r="E93" s="14">
        <f t="shared" si="7"/>
        <v>1</v>
      </c>
      <c r="F93" s="15"/>
      <c r="G93" s="15"/>
      <c r="H93" s="15" t="s">
        <v>61</v>
      </c>
      <c r="I93" s="15"/>
      <c r="J93" s="15"/>
      <c r="K93" s="15" t="s">
        <v>61</v>
      </c>
      <c r="L93" s="15"/>
      <c r="M93" s="15"/>
      <c r="N93" s="15"/>
      <c r="O93" s="15" t="s">
        <v>61</v>
      </c>
      <c r="P93" s="15"/>
      <c r="Q93" s="15"/>
      <c r="R93" s="15" t="s">
        <v>61</v>
      </c>
      <c r="S93" s="15"/>
      <c r="T93" s="15"/>
      <c r="U93" s="15" t="s">
        <v>61</v>
      </c>
      <c r="V93" s="16"/>
      <c r="W93" s="17" t="str">
        <f t="shared" si="8"/>
        <v>OK</v>
      </c>
    </row>
    <row r="94" spans="1:23" ht="20.100000000000001" customHeight="1" x14ac:dyDescent="0.25">
      <c r="A94" s="12" t="s">
        <v>192</v>
      </c>
      <c r="B94" s="13" t="s">
        <v>60</v>
      </c>
      <c r="C94" s="14">
        <v>4</v>
      </c>
      <c r="D94" s="14">
        <v>5</v>
      </c>
      <c r="E94" s="14">
        <f t="shared" si="7"/>
        <v>1</v>
      </c>
      <c r="F94" s="15"/>
      <c r="G94" s="15"/>
      <c r="H94" s="15" t="s">
        <v>61</v>
      </c>
      <c r="I94" s="15"/>
      <c r="J94" s="15"/>
      <c r="K94" s="15" t="s">
        <v>61</v>
      </c>
      <c r="L94" s="15"/>
      <c r="M94" s="15"/>
      <c r="N94" s="15"/>
      <c r="O94" s="15" t="s">
        <v>61</v>
      </c>
      <c r="P94" s="15"/>
      <c r="Q94" s="15"/>
      <c r="R94" s="15" t="s">
        <v>61</v>
      </c>
      <c r="S94" s="15"/>
      <c r="T94" s="15"/>
      <c r="U94" s="15" t="s">
        <v>61</v>
      </c>
      <c r="V94" s="16"/>
      <c r="W94" s="17" t="str">
        <f t="shared" si="8"/>
        <v>OK</v>
      </c>
    </row>
    <row r="95" spans="1:23" ht="20.100000000000001" customHeight="1" x14ac:dyDescent="0.25">
      <c r="A95" s="12" t="s">
        <v>192</v>
      </c>
      <c r="B95" s="13" t="s">
        <v>60</v>
      </c>
      <c r="C95" s="14">
        <v>5</v>
      </c>
      <c r="D95" s="14">
        <v>6</v>
      </c>
      <c r="E95" s="14">
        <f t="shared" si="7"/>
        <v>1</v>
      </c>
      <c r="F95" s="15"/>
      <c r="G95" s="15"/>
      <c r="H95" s="15" t="s">
        <v>61</v>
      </c>
      <c r="I95" s="15"/>
      <c r="J95" s="15"/>
      <c r="K95" s="15" t="s">
        <v>61</v>
      </c>
      <c r="L95" s="15"/>
      <c r="M95" s="15"/>
      <c r="N95" s="15"/>
      <c r="O95" s="15" t="s">
        <v>61</v>
      </c>
      <c r="P95" s="15"/>
      <c r="Q95" s="15"/>
      <c r="R95" s="15" t="s">
        <v>61</v>
      </c>
      <c r="S95" s="15"/>
      <c r="T95" s="15"/>
      <c r="U95" s="15" t="s">
        <v>61</v>
      </c>
      <c r="V95" s="16"/>
      <c r="W95" s="17" t="str">
        <f t="shared" si="8"/>
        <v>OK</v>
      </c>
    </row>
    <row r="96" spans="1:23" ht="20.100000000000001" customHeight="1" x14ac:dyDescent="0.25">
      <c r="A96" s="12" t="s">
        <v>192</v>
      </c>
      <c r="B96" s="13" t="s">
        <v>60</v>
      </c>
      <c r="C96" s="14">
        <v>6</v>
      </c>
      <c r="D96" s="14">
        <v>7</v>
      </c>
      <c r="E96" s="14">
        <f t="shared" si="7"/>
        <v>1</v>
      </c>
      <c r="F96" s="15"/>
      <c r="G96" s="15"/>
      <c r="H96" s="15" t="s">
        <v>61</v>
      </c>
      <c r="I96" s="15"/>
      <c r="J96" s="15"/>
      <c r="K96" s="15" t="s">
        <v>61</v>
      </c>
      <c r="L96" s="15"/>
      <c r="M96" s="15"/>
      <c r="N96" s="15"/>
      <c r="O96" s="15" t="s">
        <v>61</v>
      </c>
      <c r="P96" s="15"/>
      <c r="Q96" s="15"/>
      <c r="R96" s="15" t="s">
        <v>61</v>
      </c>
      <c r="S96" s="15"/>
      <c r="T96" s="15"/>
      <c r="U96" s="15" t="s">
        <v>61</v>
      </c>
      <c r="V96" s="16"/>
      <c r="W96" s="17" t="str">
        <f t="shared" si="8"/>
        <v>OK</v>
      </c>
    </row>
    <row r="97" spans="1:23" ht="20.100000000000001" customHeight="1" x14ac:dyDescent="0.25">
      <c r="A97" s="12" t="s">
        <v>192</v>
      </c>
      <c r="B97" s="13" t="s">
        <v>60</v>
      </c>
      <c r="C97" s="14">
        <v>7</v>
      </c>
      <c r="D97" s="14">
        <v>8</v>
      </c>
      <c r="E97" s="14">
        <f t="shared" si="7"/>
        <v>1</v>
      </c>
      <c r="F97" s="15"/>
      <c r="G97" s="15"/>
      <c r="H97" s="15" t="s">
        <v>61</v>
      </c>
      <c r="I97" s="15"/>
      <c r="J97" s="15"/>
      <c r="K97" s="15" t="s">
        <v>61</v>
      </c>
      <c r="L97" s="15"/>
      <c r="M97" s="15"/>
      <c r="N97" s="15"/>
      <c r="O97" s="15" t="s">
        <v>61</v>
      </c>
      <c r="P97" s="15"/>
      <c r="Q97" s="15"/>
      <c r="R97" s="15" t="s">
        <v>61</v>
      </c>
      <c r="S97" s="15"/>
      <c r="T97" s="15"/>
      <c r="U97" s="15" t="s">
        <v>61</v>
      </c>
      <c r="V97" s="16"/>
      <c r="W97" s="17" t="str">
        <f t="shared" si="8"/>
        <v>OK</v>
      </c>
    </row>
    <row r="98" spans="1:23" ht="20.100000000000001" customHeight="1" x14ac:dyDescent="0.25">
      <c r="A98" s="12" t="s">
        <v>192</v>
      </c>
      <c r="B98" s="13" t="s">
        <v>60</v>
      </c>
      <c r="C98" s="14">
        <v>8</v>
      </c>
      <c r="D98" s="14">
        <v>9</v>
      </c>
      <c r="E98" s="14">
        <f t="shared" si="7"/>
        <v>1</v>
      </c>
      <c r="F98" s="15"/>
      <c r="G98" s="15"/>
      <c r="H98" s="15" t="s">
        <v>61</v>
      </c>
      <c r="I98" s="15"/>
      <c r="J98" s="15"/>
      <c r="K98" s="15" t="s">
        <v>61</v>
      </c>
      <c r="L98" s="15"/>
      <c r="M98" s="15"/>
      <c r="N98" s="15"/>
      <c r="O98" s="15" t="s">
        <v>61</v>
      </c>
      <c r="P98" s="15"/>
      <c r="Q98" s="15"/>
      <c r="R98" s="15" t="s">
        <v>61</v>
      </c>
      <c r="S98" s="15"/>
      <c r="T98" s="15"/>
      <c r="U98" s="15" t="s">
        <v>61</v>
      </c>
      <c r="V98" s="16"/>
      <c r="W98" s="17" t="str">
        <f t="shared" si="8"/>
        <v>OK</v>
      </c>
    </row>
    <row r="99" spans="1:23" ht="20.100000000000001" customHeight="1" x14ac:dyDescent="0.25">
      <c r="A99" s="12" t="s">
        <v>192</v>
      </c>
      <c r="B99" s="13" t="s">
        <v>60</v>
      </c>
      <c r="C99" s="14">
        <v>9</v>
      </c>
      <c r="D99" s="14">
        <v>10</v>
      </c>
      <c r="E99" s="14">
        <f t="shared" si="7"/>
        <v>1</v>
      </c>
      <c r="F99" s="15"/>
      <c r="G99" s="15"/>
      <c r="H99" s="15" t="s">
        <v>61</v>
      </c>
      <c r="I99" s="15"/>
      <c r="J99" s="15"/>
      <c r="K99" s="15" t="s">
        <v>61</v>
      </c>
      <c r="L99" s="15"/>
      <c r="M99" s="15"/>
      <c r="N99" s="15"/>
      <c r="O99" s="15" t="s">
        <v>61</v>
      </c>
      <c r="P99" s="15"/>
      <c r="Q99" s="15"/>
      <c r="R99" s="15" t="s">
        <v>61</v>
      </c>
      <c r="S99" s="15"/>
      <c r="T99" s="15"/>
      <c r="U99" s="15" t="s">
        <v>61</v>
      </c>
      <c r="V99" s="16"/>
      <c r="W99" s="17" t="str">
        <f t="shared" si="8"/>
        <v>OK</v>
      </c>
    </row>
    <row r="100" spans="1:23" ht="20.100000000000001" customHeight="1" x14ac:dyDescent="0.25">
      <c r="A100" s="12" t="s">
        <v>192</v>
      </c>
      <c r="B100" s="13" t="s">
        <v>60</v>
      </c>
      <c r="C100" s="14">
        <v>10</v>
      </c>
      <c r="D100" s="14">
        <v>11</v>
      </c>
      <c r="E100" s="14">
        <f t="shared" si="7"/>
        <v>1</v>
      </c>
      <c r="F100" s="15"/>
      <c r="G100" s="15"/>
      <c r="H100" s="15" t="s">
        <v>61</v>
      </c>
      <c r="I100" s="15"/>
      <c r="J100" s="15"/>
      <c r="K100" s="15" t="s">
        <v>61</v>
      </c>
      <c r="L100" s="15"/>
      <c r="M100" s="15"/>
      <c r="N100" s="15"/>
      <c r="O100" s="15" t="s">
        <v>61</v>
      </c>
      <c r="P100" s="15"/>
      <c r="Q100" s="15"/>
      <c r="R100" s="15" t="s">
        <v>61</v>
      </c>
      <c r="S100" s="15"/>
      <c r="T100" s="15"/>
      <c r="U100" s="15" t="s">
        <v>61</v>
      </c>
      <c r="V100" s="16"/>
      <c r="W100" s="17" t="str">
        <f t="shared" si="8"/>
        <v>OK</v>
      </c>
    </row>
    <row r="101" spans="1:23" ht="20.100000000000001" customHeight="1" x14ac:dyDescent="0.25">
      <c r="A101" s="12" t="s">
        <v>192</v>
      </c>
      <c r="B101" s="13" t="s">
        <v>60</v>
      </c>
      <c r="C101" s="14">
        <v>11</v>
      </c>
      <c r="D101" s="14">
        <v>12</v>
      </c>
      <c r="E101" s="14">
        <f t="shared" si="7"/>
        <v>1</v>
      </c>
      <c r="F101" s="15"/>
      <c r="G101" s="15"/>
      <c r="H101" s="15" t="s">
        <v>61</v>
      </c>
      <c r="I101" s="15"/>
      <c r="J101" s="15"/>
      <c r="K101" s="15" t="s">
        <v>61</v>
      </c>
      <c r="L101" s="15"/>
      <c r="M101" s="15"/>
      <c r="N101" s="15"/>
      <c r="O101" s="15" t="s">
        <v>61</v>
      </c>
      <c r="P101" s="15"/>
      <c r="Q101" s="15"/>
      <c r="R101" s="15" t="s">
        <v>61</v>
      </c>
      <c r="S101" s="15"/>
      <c r="T101" s="15"/>
      <c r="U101" s="15" t="s">
        <v>61</v>
      </c>
      <c r="V101" s="16"/>
      <c r="W101" s="17" t="str">
        <f t="shared" si="8"/>
        <v>OK</v>
      </c>
    </row>
    <row r="102" spans="1:23" ht="20.100000000000001" customHeight="1" x14ac:dyDescent="0.25">
      <c r="A102" s="18" t="s">
        <v>192</v>
      </c>
      <c r="B102" s="19" t="s">
        <v>60</v>
      </c>
      <c r="C102" s="20">
        <v>12</v>
      </c>
      <c r="D102" s="20">
        <v>12.404654690499999</v>
      </c>
      <c r="E102" s="20">
        <f t="shared" si="7"/>
        <v>0.40465469049999925</v>
      </c>
      <c r="F102" s="21"/>
      <c r="G102" s="21"/>
      <c r="H102" s="21" t="s">
        <v>61</v>
      </c>
      <c r="I102" s="21"/>
      <c r="J102" s="21"/>
      <c r="K102" s="21" t="s">
        <v>61</v>
      </c>
      <c r="L102" s="21"/>
      <c r="M102" s="21"/>
      <c r="N102" s="21"/>
      <c r="O102" s="21" t="s">
        <v>61</v>
      </c>
      <c r="P102" s="21"/>
      <c r="Q102" s="21"/>
      <c r="R102" s="21" t="s">
        <v>61</v>
      </c>
      <c r="S102" s="21"/>
      <c r="T102" s="21"/>
      <c r="U102" s="21" t="s">
        <v>61</v>
      </c>
      <c r="V102" s="22"/>
      <c r="W102" s="23" t="str">
        <f t="shared" si="8"/>
        <v>OK</v>
      </c>
    </row>
    <row r="103" spans="1:23" ht="15" customHeight="1" x14ac:dyDescent="0.25">
      <c r="A103" s="35" t="s">
        <v>193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3"/>
      <c r="W103" s="4"/>
    </row>
    <row r="104" spans="1:23" ht="15.95" customHeight="1" x14ac:dyDescent="0.25">
      <c r="A104" s="46" t="s">
        <v>194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3"/>
      <c r="W104" s="4"/>
    </row>
    <row r="105" spans="1:23" ht="20.100000000000001" customHeight="1" x14ac:dyDescent="0.25">
      <c r="A105" s="12" t="s">
        <v>195</v>
      </c>
      <c r="B105" s="13" t="s">
        <v>60</v>
      </c>
      <c r="C105" s="14">
        <v>0</v>
      </c>
      <c r="D105" s="14">
        <v>1</v>
      </c>
      <c r="E105" s="14">
        <f t="shared" ref="E105:E117" si="9">D105-C105</f>
        <v>1</v>
      </c>
      <c r="F105" s="15" t="s">
        <v>61</v>
      </c>
      <c r="G105" s="15"/>
      <c r="H105" s="15"/>
      <c r="I105" s="15"/>
      <c r="J105" s="15"/>
      <c r="K105" s="15" t="s">
        <v>61</v>
      </c>
      <c r="L105" s="15"/>
      <c r="M105" s="15"/>
      <c r="N105" s="15"/>
      <c r="O105" s="15" t="s">
        <v>61</v>
      </c>
      <c r="P105" s="15"/>
      <c r="Q105" s="15" t="s">
        <v>61</v>
      </c>
      <c r="R105" s="15"/>
      <c r="S105" s="15"/>
      <c r="T105" s="15"/>
      <c r="U105" s="15" t="s">
        <v>61</v>
      </c>
      <c r="V105" s="16"/>
      <c r="W105" s="17" t="str">
        <f t="shared" ref="W105:W117" si="10">IF(COUNTA(F105:U105)=0,"— não preenchido",IF(COUNTIF(F105:J105,"X")&lt;&gt;1,"FALTA/DUPLA: CONDIÇÃO DO PAVIMENTO",IF(COUNTIF(K105:L105,"X")&lt;&gt;1,"FALTA/DUPLA: VEGETAÇÃO",IF(COUNTIF(M105:O105,"X")&lt;&gt;1,"FALTA/DUPLA: ELEM. DE DRENAGEM",IF(COUNTIF(P105:R105,"X")&lt;&gt;1,"FALTA/DUPLA: SIN. HORIZ.",IF(COUNTIF(S105:U105,"X")&lt;&gt;1,"FALTA/DUPLA: SIN. VERTICAL","OK"))))))</f>
        <v>OK</v>
      </c>
    </row>
    <row r="106" spans="1:23" ht="20.100000000000001" customHeight="1" x14ac:dyDescent="0.25">
      <c r="A106" s="12" t="s">
        <v>195</v>
      </c>
      <c r="B106" s="13" t="s">
        <v>60</v>
      </c>
      <c r="C106" s="14">
        <v>1</v>
      </c>
      <c r="D106" s="14">
        <v>2</v>
      </c>
      <c r="E106" s="14">
        <f t="shared" si="9"/>
        <v>1</v>
      </c>
      <c r="F106" s="15"/>
      <c r="G106" s="15"/>
      <c r="H106" s="15" t="s">
        <v>61</v>
      </c>
      <c r="I106" s="15"/>
      <c r="J106" s="15"/>
      <c r="K106" s="15" t="s">
        <v>61</v>
      </c>
      <c r="L106" s="15"/>
      <c r="M106" s="15"/>
      <c r="N106" s="15"/>
      <c r="O106" s="15" t="s">
        <v>61</v>
      </c>
      <c r="P106" s="15"/>
      <c r="Q106" s="15" t="s">
        <v>61</v>
      </c>
      <c r="R106" s="15"/>
      <c r="S106" s="15"/>
      <c r="T106" s="15"/>
      <c r="U106" s="15" t="s">
        <v>61</v>
      </c>
      <c r="V106" s="16"/>
      <c r="W106" s="17" t="str">
        <f t="shared" si="10"/>
        <v>OK</v>
      </c>
    </row>
    <row r="107" spans="1:23" ht="20.100000000000001" customHeight="1" x14ac:dyDescent="0.25">
      <c r="A107" s="12" t="s">
        <v>195</v>
      </c>
      <c r="B107" s="13" t="s">
        <v>60</v>
      </c>
      <c r="C107" s="14">
        <v>2</v>
      </c>
      <c r="D107" s="14">
        <v>3</v>
      </c>
      <c r="E107" s="14">
        <f t="shared" si="9"/>
        <v>1</v>
      </c>
      <c r="F107" s="15"/>
      <c r="G107" s="15" t="s">
        <v>61</v>
      </c>
      <c r="H107" s="15"/>
      <c r="I107" s="15"/>
      <c r="J107" s="15"/>
      <c r="K107" s="15" t="s">
        <v>61</v>
      </c>
      <c r="L107" s="15"/>
      <c r="M107" s="15"/>
      <c r="N107" s="15"/>
      <c r="O107" s="15" t="s">
        <v>61</v>
      </c>
      <c r="P107" s="15"/>
      <c r="Q107" s="15"/>
      <c r="R107" s="15" t="s">
        <v>61</v>
      </c>
      <c r="S107" s="15"/>
      <c r="T107" s="15"/>
      <c r="U107" s="15" t="s">
        <v>61</v>
      </c>
      <c r="V107" s="16"/>
      <c r="W107" s="17" t="str">
        <f t="shared" si="10"/>
        <v>OK</v>
      </c>
    </row>
    <row r="108" spans="1:23" ht="20.100000000000001" customHeight="1" x14ac:dyDescent="0.25">
      <c r="A108" s="12" t="s">
        <v>195</v>
      </c>
      <c r="B108" s="13" t="s">
        <v>60</v>
      </c>
      <c r="C108" s="14">
        <v>3</v>
      </c>
      <c r="D108" s="14">
        <v>4</v>
      </c>
      <c r="E108" s="14">
        <f t="shared" si="9"/>
        <v>1</v>
      </c>
      <c r="F108" s="15"/>
      <c r="G108" s="15" t="s">
        <v>61</v>
      </c>
      <c r="H108" s="15"/>
      <c r="I108" s="15"/>
      <c r="J108" s="15"/>
      <c r="K108" s="15" t="s">
        <v>61</v>
      </c>
      <c r="L108" s="15"/>
      <c r="M108" s="15"/>
      <c r="N108" s="15"/>
      <c r="O108" s="15" t="s">
        <v>61</v>
      </c>
      <c r="P108" s="15"/>
      <c r="Q108" s="15"/>
      <c r="R108" s="15" t="s">
        <v>61</v>
      </c>
      <c r="S108" s="15"/>
      <c r="T108" s="15"/>
      <c r="U108" s="15" t="s">
        <v>61</v>
      </c>
      <c r="V108" s="16"/>
      <c r="W108" s="17" t="str">
        <f t="shared" si="10"/>
        <v>OK</v>
      </c>
    </row>
    <row r="109" spans="1:23" ht="20.100000000000001" customHeight="1" x14ac:dyDescent="0.25">
      <c r="A109" s="12" t="s">
        <v>195</v>
      </c>
      <c r="B109" s="13" t="s">
        <v>60</v>
      </c>
      <c r="C109" s="14">
        <v>4</v>
      </c>
      <c r="D109" s="14">
        <v>5</v>
      </c>
      <c r="E109" s="14">
        <f t="shared" si="9"/>
        <v>1</v>
      </c>
      <c r="F109" s="15"/>
      <c r="G109" s="15" t="s">
        <v>61</v>
      </c>
      <c r="H109" s="15"/>
      <c r="I109" s="15"/>
      <c r="J109" s="15"/>
      <c r="K109" s="15" t="s">
        <v>61</v>
      </c>
      <c r="L109" s="15"/>
      <c r="M109" s="15"/>
      <c r="N109" s="15"/>
      <c r="O109" s="15" t="s">
        <v>61</v>
      </c>
      <c r="P109" s="15"/>
      <c r="Q109" s="15"/>
      <c r="R109" s="15" t="s">
        <v>61</v>
      </c>
      <c r="S109" s="15"/>
      <c r="T109" s="15"/>
      <c r="U109" s="15" t="s">
        <v>61</v>
      </c>
      <c r="V109" s="16"/>
      <c r="W109" s="17" t="str">
        <f t="shared" si="10"/>
        <v>OK</v>
      </c>
    </row>
    <row r="110" spans="1:23" ht="20.100000000000001" customHeight="1" x14ac:dyDescent="0.25">
      <c r="A110" s="12" t="s">
        <v>195</v>
      </c>
      <c r="B110" s="13" t="s">
        <v>60</v>
      </c>
      <c r="C110" s="14">
        <v>5</v>
      </c>
      <c r="D110" s="14">
        <v>6</v>
      </c>
      <c r="E110" s="14">
        <f t="shared" si="9"/>
        <v>1</v>
      </c>
      <c r="F110" s="15"/>
      <c r="G110" s="15" t="s">
        <v>61</v>
      </c>
      <c r="H110" s="15"/>
      <c r="I110" s="15"/>
      <c r="J110" s="15"/>
      <c r="K110" s="15" t="s">
        <v>61</v>
      </c>
      <c r="L110" s="15"/>
      <c r="M110" s="15"/>
      <c r="N110" s="15"/>
      <c r="O110" s="15" t="s">
        <v>61</v>
      </c>
      <c r="P110" s="15"/>
      <c r="Q110" s="15"/>
      <c r="R110" s="15" t="s">
        <v>61</v>
      </c>
      <c r="S110" s="15"/>
      <c r="T110" s="15"/>
      <c r="U110" s="15" t="s">
        <v>61</v>
      </c>
      <c r="V110" s="16"/>
      <c r="W110" s="17" t="str">
        <f t="shared" si="10"/>
        <v>OK</v>
      </c>
    </row>
    <row r="111" spans="1:23" ht="20.100000000000001" customHeight="1" x14ac:dyDescent="0.25">
      <c r="A111" s="12" t="s">
        <v>195</v>
      </c>
      <c r="B111" s="13" t="s">
        <v>60</v>
      </c>
      <c r="C111" s="14">
        <v>6</v>
      </c>
      <c r="D111" s="14">
        <v>7</v>
      </c>
      <c r="E111" s="14">
        <f t="shared" si="9"/>
        <v>1</v>
      </c>
      <c r="F111" s="15"/>
      <c r="G111" s="15" t="s">
        <v>61</v>
      </c>
      <c r="H111" s="15"/>
      <c r="I111" s="15"/>
      <c r="J111" s="15"/>
      <c r="K111" s="15" t="s">
        <v>61</v>
      </c>
      <c r="L111" s="15"/>
      <c r="M111" s="15"/>
      <c r="N111" s="15"/>
      <c r="O111" s="15" t="s">
        <v>61</v>
      </c>
      <c r="P111" s="15"/>
      <c r="Q111" s="15"/>
      <c r="R111" s="15" t="s">
        <v>61</v>
      </c>
      <c r="S111" s="15"/>
      <c r="T111" s="15"/>
      <c r="U111" s="15" t="s">
        <v>61</v>
      </c>
      <c r="V111" s="16"/>
      <c r="W111" s="17" t="str">
        <f t="shared" si="10"/>
        <v>OK</v>
      </c>
    </row>
    <row r="112" spans="1:23" ht="20.100000000000001" customHeight="1" x14ac:dyDescent="0.25">
      <c r="A112" s="12" t="s">
        <v>195</v>
      </c>
      <c r="B112" s="13" t="s">
        <v>60</v>
      </c>
      <c r="C112" s="14">
        <v>7</v>
      </c>
      <c r="D112" s="14">
        <v>8</v>
      </c>
      <c r="E112" s="14">
        <f t="shared" si="9"/>
        <v>1</v>
      </c>
      <c r="F112" s="15"/>
      <c r="G112" s="15" t="s">
        <v>61</v>
      </c>
      <c r="H112" s="15"/>
      <c r="I112" s="15"/>
      <c r="J112" s="15"/>
      <c r="K112" s="15" t="s">
        <v>61</v>
      </c>
      <c r="L112" s="15"/>
      <c r="M112" s="15"/>
      <c r="N112" s="15"/>
      <c r="O112" s="15" t="s">
        <v>61</v>
      </c>
      <c r="P112" s="15"/>
      <c r="Q112" s="15"/>
      <c r="R112" s="15" t="s">
        <v>61</v>
      </c>
      <c r="S112" s="15"/>
      <c r="T112" s="15"/>
      <c r="U112" s="15" t="s">
        <v>61</v>
      </c>
      <c r="V112" s="16"/>
      <c r="W112" s="17" t="str">
        <f t="shared" si="10"/>
        <v>OK</v>
      </c>
    </row>
    <row r="113" spans="1:23" ht="20.100000000000001" customHeight="1" x14ac:dyDescent="0.25">
      <c r="A113" s="12" t="s">
        <v>195</v>
      </c>
      <c r="B113" s="13" t="s">
        <v>60</v>
      </c>
      <c r="C113" s="14">
        <v>8</v>
      </c>
      <c r="D113" s="14">
        <v>9</v>
      </c>
      <c r="E113" s="14">
        <f t="shared" si="9"/>
        <v>1</v>
      </c>
      <c r="F113" s="15"/>
      <c r="G113" s="15" t="s">
        <v>61</v>
      </c>
      <c r="H113" s="15"/>
      <c r="I113" s="15"/>
      <c r="J113" s="15"/>
      <c r="K113" s="15" t="s">
        <v>61</v>
      </c>
      <c r="L113" s="15"/>
      <c r="M113" s="15"/>
      <c r="N113" s="15"/>
      <c r="O113" s="15" t="s">
        <v>61</v>
      </c>
      <c r="P113" s="15"/>
      <c r="Q113" s="15"/>
      <c r="R113" s="15" t="s">
        <v>61</v>
      </c>
      <c r="S113" s="15"/>
      <c r="T113" s="15"/>
      <c r="U113" s="15" t="s">
        <v>61</v>
      </c>
      <c r="V113" s="16"/>
      <c r="W113" s="17" t="str">
        <f t="shared" si="10"/>
        <v>OK</v>
      </c>
    </row>
    <row r="114" spans="1:23" ht="20.100000000000001" customHeight="1" x14ac:dyDescent="0.25">
      <c r="A114" s="12" t="s">
        <v>195</v>
      </c>
      <c r="B114" s="13" t="s">
        <v>60</v>
      </c>
      <c r="C114" s="14">
        <v>9</v>
      </c>
      <c r="D114" s="14">
        <v>10</v>
      </c>
      <c r="E114" s="14">
        <f t="shared" si="9"/>
        <v>1</v>
      </c>
      <c r="F114" s="15"/>
      <c r="G114" s="15" t="s">
        <v>61</v>
      </c>
      <c r="H114" s="15"/>
      <c r="I114" s="15"/>
      <c r="J114" s="15"/>
      <c r="K114" s="15" t="s">
        <v>61</v>
      </c>
      <c r="L114" s="15"/>
      <c r="M114" s="15"/>
      <c r="N114" s="15"/>
      <c r="O114" s="15" t="s">
        <v>61</v>
      </c>
      <c r="P114" s="15"/>
      <c r="Q114" s="15"/>
      <c r="R114" s="15" t="s">
        <v>61</v>
      </c>
      <c r="S114" s="15"/>
      <c r="T114" s="15"/>
      <c r="U114" s="15" t="s">
        <v>61</v>
      </c>
      <c r="V114" s="16"/>
      <c r="W114" s="17" t="str">
        <f t="shared" si="10"/>
        <v>OK</v>
      </c>
    </row>
    <row r="115" spans="1:23" ht="20.100000000000001" customHeight="1" x14ac:dyDescent="0.25">
      <c r="A115" s="12" t="s">
        <v>195</v>
      </c>
      <c r="B115" s="13" t="s">
        <v>60</v>
      </c>
      <c r="C115" s="14">
        <v>10</v>
      </c>
      <c r="D115" s="14">
        <v>11</v>
      </c>
      <c r="E115" s="14">
        <f t="shared" si="9"/>
        <v>1</v>
      </c>
      <c r="F115" s="15"/>
      <c r="G115" s="15" t="s">
        <v>61</v>
      </c>
      <c r="H115" s="15"/>
      <c r="I115" s="15"/>
      <c r="J115" s="15"/>
      <c r="K115" s="15" t="s">
        <v>61</v>
      </c>
      <c r="L115" s="15"/>
      <c r="M115" s="15"/>
      <c r="N115" s="15"/>
      <c r="O115" s="15" t="s">
        <v>61</v>
      </c>
      <c r="P115" s="15"/>
      <c r="Q115" s="15"/>
      <c r="R115" s="15" t="s">
        <v>61</v>
      </c>
      <c r="S115" s="15"/>
      <c r="T115" s="15"/>
      <c r="U115" s="15" t="s">
        <v>61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195</v>
      </c>
      <c r="B116" s="13" t="s">
        <v>60</v>
      </c>
      <c r="C116" s="14">
        <v>11</v>
      </c>
      <c r="D116" s="14">
        <v>12</v>
      </c>
      <c r="E116" s="14">
        <f t="shared" si="9"/>
        <v>1</v>
      </c>
      <c r="F116" s="15"/>
      <c r="G116" s="15" t="s">
        <v>61</v>
      </c>
      <c r="H116" s="15"/>
      <c r="I116" s="15"/>
      <c r="J116" s="15"/>
      <c r="K116" s="15" t="s">
        <v>61</v>
      </c>
      <c r="L116" s="15"/>
      <c r="M116" s="15"/>
      <c r="N116" s="15"/>
      <c r="O116" s="15" t="s">
        <v>61</v>
      </c>
      <c r="P116" s="15"/>
      <c r="Q116" s="15"/>
      <c r="R116" s="15" t="s">
        <v>61</v>
      </c>
      <c r="S116" s="15"/>
      <c r="T116" s="15"/>
      <c r="U116" s="15" t="s">
        <v>61</v>
      </c>
      <c r="V116" s="16"/>
      <c r="W116" s="17" t="str">
        <f t="shared" si="10"/>
        <v>OK</v>
      </c>
    </row>
    <row r="117" spans="1:23" ht="20.100000000000001" customHeight="1" x14ac:dyDescent="0.25">
      <c r="A117" s="18" t="s">
        <v>195</v>
      </c>
      <c r="B117" s="19" t="s">
        <v>60</v>
      </c>
      <c r="C117" s="20">
        <v>12</v>
      </c>
      <c r="D117" s="20">
        <v>12.494566772700001</v>
      </c>
      <c r="E117" s="20">
        <f t="shared" si="9"/>
        <v>0.49456677270000071</v>
      </c>
      <c r="F117" s="21"/>
      <c r="G117" s="21" t="s">
        <v>61</v>
      </c>
      <c r="H117" s="21"/>
      <c r="I117" s="21"/>
      <c r="J117" s="21"/>
      <c r="K117" s="21" t="s">
        <v>61</v>
      </c>
      <c r="L117" s="21"/>
      <c r="M117" s="21"/>
      <c r="N117" s="21"/>
      <c r="O117" s="21" t="s">
        <v>61</v>
      </c>
      <c r="P117" s="21"/>
      <c r="Q117" s="21"/>
      <c r="R117" s="21" t="s">
        <v>61</v>
      </c>
      <c r="S117" s="21"/>
      <c r="T117" s="21"/>
      <c r="U117" s="21" t="s">
        <v>61</v>
      </c>
      <c r="V117" s="22"/>
      <c r="W117" s="23" t="str">
        <f t="shared" si="10"/>
        <v>OK</v>
      </c>
    </row>
    <row r="118" spans="1:23" ht="15.95" customHeight="1" x14ac:dyDescent="0.25">
      <c r="A118" s="46" t="s">
        <v>196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3"/>
      <c r="W118" s="4"/>
    </row>
    <row r="119" spans="1:23" ht="20.100000000000001" customHeight="1" x14ac:dyDescent="0.25">
      <c r="A119" s="12" t="s">
        <v>197</v>
      </c>
      <c r="B119" s="13" t="s">
        <v>60</v>
      </c>
      <c r="C119" s="14">
        <v>0</v>
      </c>
      <c r="D119" s="14">
        <v>1</v>
      </c>
      <c r="E119" s="14">
        <f t="shared" ref="E119:E126" si="11">D119-C119</f>
        <v>1</v>
      </c>
      <c r="F119" s="15" t="s">
        <v>61</v>
      </c>
      <c r="G119" s="15"/>
      <c r="H119" s="15"/>
      <c r="I119" s="15"/>
      <c r="J119" s="15"/>
      <c r="K119" s="15" t="s">
        <v>61</v>
      </c>
      <c r="L119" s="15"/>
      <c r="M119" s="15"/>
      <c r="N119" s="15" t="s">
        <v>61</v>
      </c>
      <c r="O119" s="15"/>
      <c r="P119" s="15"/>
      <c r="Q119" s="15"/>
      <c r="R119" s="15" t="s">
        <v>61</v>
      </c>
      <c r="S119" s="15"/>
      <c r="T119" s="15"/>
      <c r="U119" s="15" t="s">
        <v>61</v>
      </c>
      <c r="V119" s="16"/>
      <c r="W119" s="17" t="str">
        <f t="shared" ref="W119:W126" si="12">IF(COUNTA(F119:U119)=0,"— não preenchido",IF(COUNTIF(F119:J119,"X")&lt;&gt;1,"FALTA/DUPLA: CONDIÇÃO DO PAVIMENTO",IF(COUNTIF(K119:L119,"X")&lt;&gt;1,"FALTA/DUPLA: VEGETAÇÃO",IF(COUNTIF(M119:O119,"X")&lt;&gt;1,"FALTA/DUPLA: ELEM. DE DRENAGEM",IF(COUNTIF(P119:R119,"X")&lt;&gt;1,"FALTA/DUPLA: SIN. HORIZ.",IF(COUNTIF(S119:U119,"X")&lt;&gt;1,"FALTA/DUPLA: SIN. VERTICAL","OK"))))))</f>
        <v>OK</v>
      </c>
    </row>
    <row r="120" spans="1:23" ht="20.100000000000001" customHeight="1" x14ac:dyDescent="0.25">
      <c r="A120" s="12" t="s">
        <v>197</v>
      </c>
      <c r="B120" s="13" t="s">
        <v>60</v>
      </c>
      <c r="C120" s="14">
        <v>1</v>
      </c>
      <c r="D120" s="14">
        <v>2</v>
      </c>
      <c r="E120" s="14">
        <f t="shared" si="11"/>
        <v>1</v>
      </c>
      <c r="F120" s="15" t="s">
        <v>61</v>
      </c>
      <c r="G120" s="15"/>
      <c r="H120" s="15"/>
      <c r="I120" s="15"/>
      <c r="J120" s="15"/>
      <c r="K120" s="15" t="s">
        <v>61</v>
      </c>
      <c r="L120" s="15"/>
      <c r="M120" s="15"/>
      <c r="N120" s="15" t="s">
        <v>61</v>
      </c>
      <c r="O120" s="15"/>
      <c r="P120" s="15"/>
      <c r="Q120" s="15"/>
      <c r="R120" s="15" t="s">
        <v>61</v>
      </c>
      <c r="S120" s="15"/>
      <c r="T120" s="15"/>
      <c r="U120" s="15" t="s">
        <v>61</v>
      </c>
      <c r="V120" s="16"/>
      <c r="W120" s="17" t="str">
        <f t="shared" si="12"/>
        <v>OK</v>
      </c>
    </row>
    <row r="121" spans="1:23" ht="20.100000000000001" customHeight="1" x14ac:dyDescent="0.25">
      <c r="A121" s="12" t="s">
        <v>197</v>
      </c>
      <c r="B121" s="13" t="s">
        <v>60</v>
      </c>
      <c r="C121" s="14">
        <v>2</v>
      </c>
      <c r="D121" s="14">
        <v>3</v>
      </c>
      <c r="E121" s="14">
        <f t="shared" si="11"/>
        <v>1</v>
      </c>
      <c r="F121" s="15"/>
      <c r="G121" s="15" t="s">
        <v>61</v>
      </c>
      <c r="H121" s="15"/>
      <c r="I121" s="15"/>
      <c r="J121" s="15"/>
      <c r="K121" s="15" t="s">
        <v>61</v>
      </c>
      <c r="L121" s="15"/>
      <c r="M121" s="15"/>
      <c r="N121" s="15" t="s">
        <v>61</v>
      </c>
      <c r="O121" s="15"/>
      <c r="P121" s="15"/>
      <c r="Q121" s="15"/>
      <c r="R121" s="15" t="s">
        <v>61</v>
      </c>
      <c r="S121" s="15"/>
      <c r="T121" s="15"/>
      <c r="U121" s="15" t="s">
        <v>61</v>
      </c>
      <c r="V121" s="16"/>
      <c r="W121" s="17" t="str">
        <f t="shared" si="12"/>
        <v>OK</v>
      </c>
    </row>
    <row r="122" spans="1:23" ht="20.100000000000001" customHeight="1" x14ac:dyDescent="0.25">
      <c r="A122" s="12" t="s">
        <v>197</v>
      </c>
      <c r="B122" s="13" t="s">
        <v>60</v>
      </c>
      <c r="C122" s="14">
        <v>3</v>
      </c>
      <c r="D122" s="14">
        <v>4</v>
      </c>
      <c r="E122" s="14">
        <f t="shared" si="11"/>
        <v>1</v>
      </c>
      <c r="F122" s="15"/>
      <c r="G122" s="15" t="s">
        <v>61</v>
      </c>
      <c r="H122" s="15"/>
      <c r="I122" s="15"/>
      <c r="J122" s="15"/>
      <c r="K122" s="15" t="s">
        <v>61</v>
      </c>
      <c r="L122" s="15"/>
      <c r="M122" s="15"/>
      <c r="N122" s="15" t="s">
        <v>61</v>
      </c>
      <c r="O122" s="15"/>
      <c r="P122" s="15"/>
      <c r="Q122" s="15"/>
      <c r="R122" s="15" t="s">
        <v>61</v>
      </c>
      <c r="S122" s="15"/>
      <c r="T122" s="15"/>
      <c r="U122" s="15" t="s">
        <v>61</v>
      </c>
      <c r="V122" s="16"/>
      <c r="W122" s="17" t="str">
        <f t="shared" si="12"/>
        <v>OK</v>
      </c>
    </row>
    <row r="123" spans="1:23" ht="20.100000000000001" customHeight="1" x14ac:dyDescent="0.25">
      <c r="A123" s="12" t="s">
        <v>197</v>
      </c>
      <c r="B123" s="13" t="s">
        <v>60</v>
      </c>
      <c r="C123" s="14">
        <v>4</v>
      </c>
      <c r="D123" s="14">
        <v>5</v>
      </c>
      <c r="E123" s="14">
        <f t="shared" si="11"/>
        <v>1</v>
      </c>
      <c r="F123" s="15" t="s">
        <v>61</v>
      </c>
      <c r="G123" s="15"/>
      <c r="H123" s="15"/>
      <c r="I123" s="15"/>
      <c r="J123" s="15"/>
      <c r="K123" s="15" t="s">
        <v>61</v>
      </c>
      <c r="L123" s="15"/>
      <c r="M123" s="15"/>
      <c r="N123" s="15" t="s">
        <v>61</v>
      </c>
      <c r="O123" s="15"/>
      <c r="P123" s="15"/>
      <c r="Q123" s="15" t="s">
        <v>61</v>
      </c>
      <c r="R123" s="15"/>
      <c r="S123" s="15"/>
      <c r="T123" s="15"/>
      <c r="U123" s="15" t="s">
        <v>61</v>
      </c>
      <c r="V123" s="16"/>
      <c r="W123" s="17" t="str">
        <f t="shared" si="12"/>
        <v>OK</v>
      </c>
    </row>
    <row r="124" spans="1:23" ht="20.100000000000001" customHeight="1" x14ac:dyDescent="0.25">
      <c r="A124" s="12" t="s">
        <v>197</v>
      </c>
      <c r="B124" s="13" t="s">
        <v>60</v>
      </c>
      <c r="C124" s="14">
        <v>5</v>
      </c>
      <c r="D124" s="14">
        <v>6</v>
      </c>
      <c r="E124" s="14">
        <f t="shared" si="11"/>
        <v>1</v>
      </c>
      <c r="F124" s="15" t="s">
        <v>61</v>
      </c>
      <c r="G124" s="15"/>
      <c r="H124" s="15"/>
      <c r="I124" s="15"/>
      <c r="J124" s="15"/>
      <c r="K124" s="15" t="s">
        <v>61</v>
      </c>
      <c r="L124" s="15"/>
      <c r="M124" s="15"/>
      <c r="N124" s="15" t="s">
        <v>61</v>
      </c>
      <c r="O124" s="15"/>
      <c r="P124" s="15"/>
      <c r="Q124" s="15" t="s">
        <v>61</v>
      </c>
      <c r="R124" s="15"/>
      <c r="S124" s="15"/>
      <c r="T124" s="15"/>
      <c r="U124" s="15" t="s">
        <v>61</v>
      </c>
      <c r="V124" s="16"/>
      <c r="W124" s="17" t="str">
        <f t="shared" si="12"/>
        <v>OK</v>
      </c>
    </row>
    <row r="125" spans="1:23" ht="20.100000000000001" customHeight="1" x14ac:dyDescent="0.25">
      <c r="A125" s="12" t="s">
        <v>197</v>
      </c>
      <c r="B125" s="13" t="s">
        <v>60</v>
      </c>
      <c r="C125" s="14">
        <v>6</v>
      </c>
      <c r="D125" s="14">
        <v>7</v>
      </c>
      <c r="E125" s="14">
        <f t="shared" si="11"/>
        <v>1</v>
      </c>
      <c r="F125" s="15" t="s">
        <v>61</v>
      </c>
      <c r="G125" s="15"/>
      <c r="H125" s="15"/>
      <c r="I125" s="15"/>
      <c r="J125" s="15"/>
      <c r="K125" s="15" t="s">
        <v>61</v>
      </c>
      <c r="L125" s="15"/>
      <c r="M125" s="15"/>
      <c r="N125" s="15" t="s">
        <v>61</v>
      </c>
      <c r="O125" s="15"/>
      <c r="P125" s="15"/>
      <c r="Q125" s="15" t="s">
        <v>61</v>
      </c>
      <c r="R125" s="15"/>
      <c r="S125" s="15"/>
      <c r="T125" s="15"/>
      <c r="U125" s="15" t="s">
        <v>61</v>
      </c>
      <c r="V125" s="16"/>
      <c r="W125" s="17" t="str">
        <f t="shared" si="12"/>
        <v>OK</v>
      </c>
    </row>
    <row r="126" spans="1:23" ht="20.100000000000001" customHeight="1" x14ac:dyDescent="0.25">
      <c r="A126" s="18" t="s">
        <v>197</v>
      </c>
      <c r="B126" s="19" t="s">
        <v>60</v>
      </c>
      <c r="C126" s="20">
        <v>7</v>
      </c>
      <c r="D126" s="20">
        <v>7.3087309226399997</v>
      </c>
      <c r="E126" s="20">
        <f t="shared" si="11"/>
        <v>0.30873092263999968</v>
      </c>
      <c r="F126" s="21" t="s">
        <v>61</v>
      </c>
      <c r="G126" s="21"/>
      <c r="H126" s="21"/>
      <c r="I126" s="21"/>
      <c r="J126" s="21"/>
      <c r="K126" s="21" t="s">
        <v>61</v>
      </c>
      <c r="L126" s="21"/>
      <c r="M126" s="21"/>
      <c r="N126" s="21" t="s">
        <v>61</v>
      </c>
      <c r="O126" s="21"/>
      <c r="P126" s="21"/>
      <c r="Q126" s="21" t="s">
        <v>61</v>
      </c>
      <c r="R126" s="21"/>
      <c r="S126" s="21"/>
      <c r="T126" s="21"/>
      <c r="U126" s="21" t="s">
        <v>61</v>
      </c>
      <c r="V126" s="22"/>
      <c r="W126" s="23" t="str">
        <f t="shared" si="12"/>
        <v>OK</v>
      </c>
    </row>
    <row r="128" spans="1:23" x14ac:dyDescent="0.25">
      <c r="A128" s="38" t="s">
        <v>67</v>
      </c>
      <c r="B128" s="28"/>
      <c r="C128" s="28"/>
      <c r="D128" s="28"/>
      <c r="E128" s="28"/>
      <c r="G128" s="38" t="s">
        <v>67</v>
      </c>
      <c r="H128" s="28"/>
      <c r="I128" s="28"/>
      <c r="J128" s="28"/>
      <c r="K128" s="28"/>
    </row>
    <row r="129" spans="1:22" x14ac:dyDescent="0.25">
      <c r="A129" s="36" t="s">
        <v>68</v>
      </c>
      <c r="B129" s="28"/>
      <c r="C129" s="28"/>
      <c r="D129" s="28"/>
      <c r="E129" s="28"/>
      <c r="G129" s="36" t="s">
        <v>69</v>
      </c>
      <c r="H129" s="28"/>
      <c r="I129" s="28"/>
      <c r="J129" s="28"/>
      <c r="K129" s="28"/>
    </row>
    <row r="131" spans="1:22" x14ac:dyDescent="0.25">
      <c r="A131" s="37" t="s">
        <v>70</v>
      </c>
      <c r="B131" s="28"/>
      <c r="C131" s="28"/>
      <c r="D131" s="28"/>
      <c r="E131" s="2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spans="1:22" x14ac:dyDescent="0.25">
      <c r="A132" s="34" t="s">
        <v>71</v>
      </c>
      <c r="B132" s="28"/>
      <c r="C132" s="28"/>
      <c r="D132" s="28"/>
      <c r="E132" s="28"/>
      <c r="F132" s="9">
        <f t="shared" ref="F132:U132" si="13">SUMIF(F$9:F$126,"X",$E$9:$E$126)</f>
        <v>15.911805792559999</v>
      </c>
      <c r="G132" s="9">
        <f t="shared" si="13"/>
        <v>50.328560129560003</v>
      </c>
      <c r="H132" s="9">
        <f t="shared" si="13"/>
        <v>36.404654690499996</v>
      </c>
      <c r="I132" s="9">
        <f t="shared" si="13"/>
        <v>0</v>
      </c>
      <c r="J132" s="9">
        <f t="shared" si="13"/>
        <v>0</v>
      </c>
      <c r="K132" s="9">
        <f t="shared" si="13"/>
        <v>102.64502061262</v>
      </c>
      <c r="L132" s="9">
        <f t="shared" si="13"/>
        <v>0</v>
      </c>
      <c r="M132" s="9">
        <f t="shared" si="13"/>
        <v>0</v>
      </c>
      <c r="N132" s="9">
        <f t="shared" si="13"/>
        <v>77.745799149420009</v>
      </c>
      <c r="O132" s="9">
        <f t="shared" si="13"/>
        <v>24.8992214632</v>
      </c>
      <c r="P132" s="9">
        <f t="shared" si="13"/>
        <v>0</v>
      </c>
      <c r="Q132" s="9">
        <f t="shared" si="13"/>
        <v>72.142724279500001</v>
      </c>
      <c r="R132" s="9">
        <f t="shared" si="13"/>
        <v>30.50229633312</v>
      </c>
      <c r="S132" s="9">
        <f t="shared" si="13"/>
        <v>0</v>
      </c>
      <c r="T132" s="9">
        <f t="shared" si="13"/>
        <v>6.924234258120002</v>
      </c>
      <c r="U132" s="9">
        <f t="shared" si="13"/>
        <v>95.720786354499992</v>
      </c>
    </row>
    <row r="133" spans="1:22" x14ac:dyDescent="0.25">
      <c r="A133" s="34" t="s">
        <v>72</v>
      </c>
      <c r="B133" s="28"/>
      <c r="C133" s="28"/>
      <c r="D133" s="28"/>
      <c r="E133" s="28"/>
      <c r="F133" s="25">
        <f t="shared" ref="F133:U133" si="14">IF($R135=0,0,F132/$R135)</f>
        <v>0.15501780502934279</v>
      </c>
      <c r="G133" s="25">
        <f t="shared" si="14"/>
        <v>0.49031662548443394</v>
      </c>
      <c r="H133" s="25">
        <f t="shared" si="14"/>
        <v>0.35466556948622324</v>
      </c>
      <c r="I133" s="25">
        <f t="shared" si="14"/>
        <v>0</v>
      </c>
      <c r="J133" s="25">
        <f t="shared" si="14"/>
        <v>0</v>
      </c>
      <c r="K133" s="25">
        <f t="shared" si="14"/>
        <v>1</v>
      </c>
      <c r="L133" s="25">
        <f t="shared" si="14"/>
        <v>0</v>
      </c>
      <c r="M133" s="25">
        <f t="shared" si="14"/>
        <v>0</v>
      </c>
      <c r="N133" s="25">
        <f t="shared" si="14"/>
        <v>0.75742397132765849</v>
      </c>
      <c r="O133" s="25">
        <f t="shared" si="14"/>
        <v>0.24257602867234157</v>
      </c>
      <c r="P133" s="25">
        <f t="shared" si="14"/>
        <v>0</v>
      </c>
      <c r="Q133" s="25">
        <f t="shared" si="14"/>
        <v>0.70283705774452543</v>
      </c>
      <c r="R133" s="25">
        <f t="shared" si="14"/>
        <v>0.29716294225547463</v>
      </c>
      <c r="S133" s="25">
        <f t="shared" si="14"/>
        <v>0</v>
      </c>
      <c r="T133" s="25">
        <f t="shared" si="14"/>
        <v>6.7458062912295627E-2</v>
      </c>
      <c r="U133" s="25">
        <f t="shared" si="14"/>
        <v>0.93254193708770428</v>
      </c>
    </row>
    <row r="134" spans="1:22" x14ac:dyDescent="0.25">
      <c r="A134" s="34" t="s">
        <v>73</v>
      </c>
      <c r="B134" s="28"/>
      <c r="C134" s="28"/>
      <c r="D134" s="28"/>
      <c r="E134" s="28"/>
      <c r="F134" s="31" t="str">
        <f>IF(SUM(F132:J132)=0,"— não preenchido",IF(ROUND(SUM(F132:J132)-$R135,3)=0,"OK — "&amp;ROUND(SUM(F132:J132),3)&amp;" km","ERRO — dif. de "&amp;ROUND(SUM(F132:J132)-$R135,3)&amp;" km"))</f>
        <v>OK — 102,645 km</v>
      </c>
      <c r="G134" s="32"/>
      <c r="H134" s="32"/>
      <c r="I134" s="32"/>
      <c r="J134" s="33"/>
      <c r="K134" s="31" t="str">
        <f>IF(SUM(K132:L132)=0,"— não preenchido",IF(ROUND(SUM(K132:L132)-$R135,3)=0,"OK — "&amp;ROUND(SUM(K132:L132),3)&amp;" km","ERRO — dif. de "&amp;ROUND(SUM(K132:L132)-$R135,3)&amp;" km"))</f>
        <v>OK — 102,645 km</v>
      </c>
      <c r="L134" s="33"/>
      <c r="M134" s="31" t="str">
        <f>IF(SUM(M132:O132)=0,"— não preenchido",IF(ROUND(SUM(M132:O132)-$R135,3)=0,"OK — "&amp;ROUND(SUM(M132:O132),3)&amp;" km","ERRO — dif. de "&amp;ROUND(SUM(M132:O132)-$R135,3)&amp;" km"))</f>
        <v>OK — 102,645 km</v>
      </c>
      <c r="N134" s="32"/>
      <c r="O134" s="33"/>
      <c r="P134" s="31" t="str">
        <f>IF(SUM(P132:R132)=0,"— não preenchido",IF(ROUND(SUM(P132:R132)-$R135,3)=0,"OK — "&amp;ROUND(SUM(P132:R132),3)&amp;" km","ERRO — dif. de "&amp;ROUND(SUM(P132:R132)-$R135,3)&amp;" km"))</f>
        <v>OK — 102,645 km</v>
      </c>
      <c r="Q134" s="32"/>
      <c r="R134" s="33"/>
      <c r="S134" s="31" t="str">
        <f>IF(SUM(S132:U132)=0,"— não preenchido",IF(ROUND(SUM(S132:U132)-$R135,3)=0,"OK — "&amp;ROUND(SUM(S132:U132),3)&amp;" km","ERRO — dif. de "&amp;ROUND(SUM(S132:U132)-$R135,3)&amp;" km"))</f>
        <v>OK — 102,645 km</v>
      </c>
      <c r="T134" s="32"/>
      <c r="U134" s="33"/>
    </row>
    <row r="135" spans="1:22" x14ac:dyDescent="0.25">
      <c r="A135" s="34" t="s">
        <v>74</v>
      </c>
      <c r="B135" s="28"/>
      <c r="C135" s="28"/>
      <c r="D135" s="28"/>
      <c r="E135" s="28"/>
      <c r="R135" s="26">
        <f>SUM(E9:E126)</f>
        <v>102.64502061262</v>
      </c>
      <c r="V135" s="8" t="str">
        <f>COUNTIF(W9:W126,"OK")&amp;" de "&amp;COUNT($E$9:$E$126)&amp;" linhas conferidas"</f>
        <v>107 de 107 linhas conferidas</v>
      </c>
    </row>
    <row r="137" spans="1:22" x14ac:dyDescent="0.25">
      <c r="A137" s="45" t="s">
        <v>75</v>
      </c>
      <c r="B137" s="28"/>
      <c r="C137" s="28"/>
      <c r="D137" s="28"/>
      <c r="E137" s="28"/>
    </row>
    <row r="138" spans="1:22" x14ac:dyDescent="0.25">
      <c r="A138" s="34" t="s">
        <v>76</v>
      </c>
      <c r="B138" s="28"/>
      <c r="C138" s="28"/>
      <c r="D138" s="28"/>
      <c r="E138" s="29" t="s">
        <v>77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4" t="s">
        <v>78</v>
      </c>
      <c r="B139" s="28"/>
      <c r="C139" s="28"/>
      <c r="D139" s="28"/>
      <c r="E139" s="29" t="s">
        <v>79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25">
      <c r="A140" s="34" t="s">
        <v>80</v>
      </c>
      <c r="B140" s="28"/>
      <c r="C140" s="28"/>
      <c r="D140" s="28"/>
      <c r="E140" s="29" t="s">
        <v>81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x14ac:dyDescent="0.25">
      <c r="A141" s="34" t="s">
        <v>82</v>
      </c>
      <c r="B141" s="28"/>
      <c r="C141" s="28"/>
      <c r="D141" s="28"/>
      <c r="E141" s="29" t="s">
        <v>83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x14ac:dyDescent="0.25">
      <c r="A142" s="34" t="s">
        <v>84</v>
      </c>
      <c r="B142" s="28"/>
      <c r="C142" s="28"/>
      <c r="D142" s="28"/>
      <c r="E142" s="29" t="s">
        <v>85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x14ac:dyDescent="0.25">
      <c r="A143" s="34" t="s">
        <v>52</v>
      </c>
      <c r="B143" s="28"/>
      <c r="C143" s="28"/>
      <c r="D143" s="28"/>
      <c r="E143" s="29" t="s">
        <v>86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x14ac:dyDescent="0.25">
      <c r="A144" s="34" t="s">
        <v>87</v>
      </c>
      <c r="B144" s="28"/>
      <c r="C144" s="28"/>
      <c r="D144" s="28"/>
      <c r="E144" s="29" t="s">
        <v>88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x14ac:dyDescent="0.25">
      <c r="A145" s="34" t="s">
        <v>89</v>
      </c>
      <c r="B145" s="28"/>
      <c r="C145" s="28"/>
      <c r="D145" s="28"/>
      <c r="E145" s="29" t="s">
        <v>90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x14ac:dyDescent="0.25">
      <c r="A146" s="34" t="s">
        <v>11</v>
      </c>
      <c r="B146" s="28"/>
      <c r="C146" s="28"/>
      <c r="D146" s="28"/>
      <c r="E146" s="29" t="s">
        <v>91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</sheetData>
  <sheetProtection formatCells="0"/>
  <mergeCells count="68">
    <mergeCell ref="K134:L134"/>
    <mergeCell ref="A137:E137"/>
    <mergeCell ref="E141:V141"/>
    <mergeCell ref="A133:E133"/>
    <mergeCell ref="G128:K128"/>
    <mergeCell ref="E138:V138"/>
    <mergeCell ref="A140:D140"/>
    <mergeCell ref="A138:D138"/>
    <mergeCell ref="A4:V4"/>
    <mergeCell ref="V6:V7"/>
    <mergeCell ref="A2:F2"/>
    <mergeCell ref="S6:U6"/>
    <mergeCell ref="K2:M2"/>
    <mergeCell ref="N2:O2"/>
    <mergeCell ref="P2:Q2"/>
    <mergeCell ref="E6:E7"/>
    <mergeCell ref="R2:V2"/>
    <mergeCell ref="A3:S3"/>
    <mergeCell ref="G2:H2"/>
    <mergeCell ref="I2:J2"/>
    <mergeCell ref="A89:V89"/>
    <mergeCell ref="A8:V8"/>
    <mergeCell ref="A132:E132"/>
    <mergeCell ref="A6:A7"/>
    <mergeCell ref="W6:W7"/>
    <mergeCell ref="B6:B7"/>
    <mergeCell ref="A15:V15"/>
    <mergeCell ref="C6:C7"/>
    <mergeCell ref="K6:L6"/>
    <mergeCell ref="D6:D7"/>
    <mergeCell ref="A12:V12"/>
    <mergeCell ref="P6:R6"/>
    <mergeCell ref="F6:J6"/>
    <mergeCell ref="M6:O6"/>
    <mergeCell ref="A104:V104"/>
    <mergeCell ref="A128:E128"/>
    <mergeCell ref="A146:D146"/>
    <mergeCell ref="A11:V11"/>
    <mergeCell ref="A1:V1"/>
    <mergeCell ref="A103:V103"/>
    <mergeCell ref="A129:E129"/>
    <mergeCell ref="A61:V61"/>
    <mergeCell ref="F134:J134"/>
    <mergeCell ref="A88:V88"/>
    <mergeCell ref="T3:V3"/>
    <mergeCell ref="A135:E135"/>
    <mergeCell ref="E146:V146"/>
    <mergeCell ref="S134:U134"/>
    <mergeCell ref="A16:V16"/>
    <mergeCell ref="A54:V54"/>
    <mergeCell ref="E145:V145"/>
    <mergeCell ref="A131:E131"/>
    <mergeCell ref="A145:D145"/>
    <mergeCell ref="A118:V118"/>
    <mergeCell ref="A134:E134"/>
    <mergeCell ref="A139:D139"/>
    <mergeCell ref="E142:V142"/>
    <mergeCell ref="P134:R134"/>
    <mergeCell ref="E144:V144"/>
    <mergeCell ref="M134:O134"/>
    <mergeCell ref="E139:V139"/>
    <mergeCell ref="G129:K129"/>
    <mergeCell ref="E140:V140"/>
    <mergeCell ref="A144:D144"/>
    <mergeCell ref="A141:D141"/>
    <mergeCell ref="E143:V143"/>
    <mergeCell ref="A143:D143"/>
    <mergeCell ref="A142:D142"/>
  </mergeCells>
  <conditionalFormatting sqref="F9:J126">
    <cfRule type="expression" dxfId="71" priority="1">
      <formula>AND(F9&lt;&gt;"",COUNTIF($F9:$J9,"X")&gt;1)</formula>
    </cfRule>
  </conditionalFormatting>
  <conditionalFormatting sqref="F134:U134">
    <cfRule type="expression" dxfId="70" priority="13">
      <formula>LEFT(F134,4)="ERRO"</formula>
    </cfRule>
    <cfRule type="expression" dxfId="69" priority="14">
      <formula>LEFT(F134,2)="OK"</formula>
    </cfRule>
  </conditionalFormatting>
  <conditionalFormatting sqref="K9:L126">
    <cfRule type="expression" dxfId="68" priority="2">
      <formula>AND(K9&lt;&gt;"",COUNTIF($K9:$L9,"X")&gt;1)</formula>
    </cfRule>
  </conditionalFormatting>
  <conditionalFormatting sqref="M9:O126">
    <cfRule type="expression" dxfId="67" priority="3">
      <formula>AND(M9&lt;&gt;"",COUNTIF($M9:$O9,"X")&gt;1)</formula>
    </cfRule>
  </conditionalFormatting>
  <conditionalFormatting sqref="P9:R126">
    <cfRule type="expression" dxfId="66" priority="4">
      <formula>AND(P9&lt;&gt;"",COUNTIF($P9:$R9,"X")&gt;1)</formula>
    </cfRule>
  </conditionalFormatting>
  <conditionalFormatting sqref="S9:U126">
    <cfRule type="expression" dxfId="65" priority="5">
      <formula>AND(S9&lt;&gt;"",COUNTIF($S9:$U9,"X")&gt;1)</formula>
    </cfRule>
  </conditionalFormatting>
  <conditionalFormatting sqref="W9:W126">
    <cfRule type="expression" dxfId="64" priority="11">
      <formula>AND(W9&lt;&gt;"OK",W9&lt;&gt;"")</formula>
    </cfRule>
    <cfRule type="expression" dxfId="63" priority="12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6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6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6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6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6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126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53</oddHeader>
    <oddFooter>&amp;L&amp;7 RTA / MSI — Programa de Manutenção Rodoviária&amp;C&amp;7 Página &amp;P de &amp;N&amp;R&amp;7 Impresso em &amp;D</oddFooter>
  </headerFooter>
  <rowBreaks count="1" manualBreakCount="1">
    <brk id="129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N67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IF(F53=0,NA(),F53)</f>
        <v>16.224302499699998</v>
      </c>
      <c r="Z2" s="2">
        <f t="shared" si="0"/>
        <v>2</v>
      </c>
      <c r="AA2" s="2">
        <f t="shared" si="0"/>
        <v>16.309886325009998</v>
      </c>
      <c r="AB2" s="2" t="e">
        <f t="shared" si="0"/>
        <v>#N/A</v>
      </c>
      <c r="AC2" s="2">
        <f t="shared" si="0"/>
        <v>2</v>
      </c>
      <c r="AD2" s="2">
        <f t="shared" si="0"/>
        <v>36.53418882471</v>
      </c>
      <c r="AE2" s="2" t="e">
        <f t="shared" si="0"/>
        <v>#N/A</v>
      </c>
      <c r="AF2" s="2">
        <f t="shared" si="0"/>
        <v>2</v>
      </c>
      <c r="AG2" s="2">
        <f t="shared" si="0"/>
        <v>34.53418882471</v>
      </c>
      <c r="AH2" s="2" t="e">
        <f t="shared" si="0"/>
        <v>#N/A</v>
      </c>
      <c r="AI2" s="2" t="e">
        <f t="shared" si="0"/>
        <v>#N/A</v>
      </c>
      <c r="AJ2" s="2">
        <f t="shared" si="0"/>
        <v>31.224302499699998</v>
      </c>
      <c r="AK2" s="2">
        <f t="shared" si="0"/>
        <v>5.3098863250099999</v>
      </c>
      <c r="AL2" s="2">
        <f t="shared" si="0"/>
        <v>3.3098863250099999</v>
      </c>
      <c r="AM2" s="2">
        <f t="shared" si="0"/>
        <v>28.224302499699998</v>
      </c>
      <c r="AN2" s="2">
        <f t="shared" si="0"/>
        <v>5</v>
      </c>
    </row>
    <row r="3" spans="1:40" ht="15" customHeight="1" x14ac:dyDescent="0.25">
      <c r="A3" s="42" t="s">
        <v>198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199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200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201</v>
      </c>
      <c r="B9" s="13" t="s">
        <v>60</v>
      </c>
      <c r="C9" s="14">
        <v>0</v>
      </c>
      <c r="D9" s="14">
        <v>1</v>
      </c>
      <c r="E9" s="14">
        <f t="shared" ref="E9:E14" si="1">D9-C9</f>
        <v>1</v>
      </c>
      <c r="F9" s="15"/>
      <c r="G9" s="15"/>
      <c r="H9" s="15" t="s">
        <v>61</v>
      </c>
      <c r="I9" s="15"/>
      <c r="J9" s="15"/>
      <c r="K9" s="15" t="s">
        <v>61</v>
      </c>
      <c r="L9" s="15"/>
      <c r="M9" s="15" t="s">
        <v>61</v>
      </c>
      <c r="N9" s="15"/>
      <c r="O9" s="15"/>
      <c r="P9" s="15"/>
      <c r="Q9" s="15"/>
      <c r="R9" s="15" t="s">
        <v>61</v>
      </c>
      <c r="S9" s="15"/>
      <c r="T9" s="15" t="s">
        <v>61</v>
      </c>
      <c r="U9" s="15"/>
      <c r="V9" s="16"/>
      <c r="W9" s="17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201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61</v>
      </c>
      <c r="I10" s="15"/>
      <c r="J10" s="15"/>
      <c r="K10" s="15" t="s">
        <v>61</v>
      </c>
      <c r="L10" s="15"/>
      <c r="M10" s="15" t="s">
        <v>61</v>
      </c>
      <c r="N10" s="15"/>
      <c r="O10" s="15"/>
      <c r="P10" s="15"/>
      <c r="Q10" s="15"/>
      <c r="R10" s="15" t="s">
        <v>61</v>
      </c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201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 t="s">
        <v>61</v>
      </c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 t="s">
        <v>61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201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61</v>
      </c>
      <c r="I12" s="15"/>
      <c r="J12" s="15"/>
      <c r="K12" s="15" t="s">
        <v>61</v>
      </c>
      <c r="L12" s="15"/>
      <c r="M12" s="15"/>
      <c r="N12" s="15" t="s">
        <v>61</v>
      </c>
      <c r="O12" s="15"/>
      <c r="P12" s="15"/>
      <c r="Q12" s="15"/>
      <c r="R12" s="15" t="s">
        <v>61</v>
      </c>
      <c r="S12" s="15" t="s">
        <v>61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201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61</v>
      </c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/>
      <c r="R13" s="15" t="s">
        <v>61</v>
      </c>
      <c r="S13" s="15" t="s">
        <v>61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8" t="s">
        <v>201</v>
      </c>
      <c r="B14" s="19" t="s">
        <v>60</v>
      </c>
      <c r="C14" s="20">
        <v>5</v>
      </c>
      <c r="D14" s="20">
        <v>5.3098863250099999</v>
      </c>
      <c r="E14" s="20">
        <f t="shared" si="1"/>
        <v>0.30988632500999991</v>
      </c>
      <c r="F14" s="21"/>
      <c r="G14" s="21"/>
      <c r="H14" s="21" t="s">
        <v>61</v>
      </c>
      <c r="I14" s="21"/>
      <c r="J14" s="21"/>
      <c r="K14" s="21" t="s">
        <v>61</v>
      </c>
      <c r="L14" s="21"/>
      <c r="M14" s="21"/>
      <c r="N14" s="21" t="s">
        <v>61</v>
      </c>
      <c r="O14" s="21"/>
      <c r="P14" s="21"/>
      <c r="Q14" s="21"/>
      <c r="R14" s="21" t="s">
        <v>61</v>
      </c>
      <c r="S14" s="21" t="s">
        <v>61</v>
      </c>
      <c r="T14" s="21"/>
      <c r="U14" s="21"/>
      <c r="V14" s="22"/>
      <c r="W14" s="23" t="str">
        <f t="shared" si="2"/>
        <v>OK</v>
      </c>
    </row>
    <row r="15" spans="1:40" ht="15.95" customHeight="1" x14ac:dyDescent="0.25">
      <c r="A15" s="46" t="s">
        <v>202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/>
      <c r="W15" s="4"/>
    </row>
    <row r="16" spans="1:40" ht="20.100000000000001" customHeight="1" x14ac:dyDescent="0.25">
      <c r="A16" s="12" t="s">
        <v>203</v>
      </c>
      <c r="B16" s="13" t="s">
        <v>60</v>
      </c>
      <c r="C16" s="14">
        <v>0</v>
      </c>
      <c r="D16" s="14">
        <v>1</v>
      </c>
      <c r="E16" s="14">
        <f t="shared" ref="E16:E47" si="3">D16-C16</f>
        <v>1</v>
      </c>
      <c r="F16" s="15"/>
      <c r="G16" s="15"/>
      <c r="H16" s="15"/>
      <c r="I16" s="15"/>
      <c r="J16" s="15" t="s">
        <v>61</v>
      </c>
      <c r="K16" s="15" t="s">
        <v>61</v>
      </c>
      <c r="L16" s="15"/>
      <c r="M16" s="15"/>
      <c r="N16" s="15" t="s">
        <v>61</v>
      </c>
      <c r="O16" s="15"/>
      <c r="P16" s="15"/>
      <c r="Q16" s="15" t="s">
        <v>61</v>
      </c>
      <c r="R16" s="15"/>
      <c r="S16" s="15"/>
      <c r="T16" s="15" t="s">
        <v>61</v>
      </c>
      <c r="U16" s="15"/>
      <c r="V16" s="16"/>
      <c r="W16" s="17" t="str">
        <f t="shared" ref="W16:W47" si="4"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2" t="s">
        <v>203</v>
      </c>
      <c r="B17" s="13" t="s">
        <v>60</v>
      </c>
      <c r="C17" s="14">
        <v>1</v>
      </c>
      <c r="D17" s="14">
        <v>2</v>
      </c>
      <c r="E17" s="14">
        <f t="shared" si="3"/>
        <v>1</v>
      </c>
      <c r="F17" s="15"/>
      <c r="G17" s="15"/>
      <c r="H17" s="15" t="s">
        <v>61</v>
      </c>
      <c r="I17" s="15"/>
      <c r="J17" s="15"/>
      <c r="K17" s="15" t="s">
        <v>61</v>
      </c>
      <c r="L17" s="15"/>
      <c r="M17" s="15"/>
      <c r="N17" s="15" t="s">
        <v>61</v>
      </c>
      <c r="O17" s="15"/>
      <c r="P17" s="15"/>
      <c r="Q17" s="15" t="s">
        <v>61</v>
      </c>
      <c r="R17" s="15"/>
      <c r="S17" s="15"/>
      <c r="T17" s="15" t="s">
        <v>61</v>
      </c>
      <c r="U17" s="15"/>
      <c r="V17" s="16"/>
      <c r="W17" s="17" t="str">
        <f t="shared" si="4"/>
        <v>OK</v>
      </c>
    </row>
    <row r="18" spans="1:23" ht="20.100000000000001" customHeight="1" x14ac:dyDescent="0.25">
      <c r="A18" s="12" t="s">
        <v>203</v>
      </c>
      <c r="B18" s="13" t="s">
        <v>60</v>
      </c>
      <c r="C18" s="14">
        <v>2</v>
      </c>
      <c r="D18" s="14">
        <v>3</v>
      </c>
      <c r="E18" s="14">
        <f t="shared" si="3"/>
        <v>1</v>
      </c>
      <c r="F18" s="15"/>
      <c r="G18" s="15"/>
      <c r="H18" s="15" t="s">
        <v>61</v>
      </c>
      <c r="I18" s="15"/>
      <c r="J18" s="15"/>
      <c r="K18" s="15" t="s">
        <v>61</v>
      </c>
      <c r="L18" s="15"/>
      <c r="M18" s="15"/>
      <c r="N18" s="15" t="s">
        <v>61</v>
      </c>
      <c r="O18" s="15"/>
      <c r="P18" s="15"/>
      <c r="Q18" s="15" t="s">
        <v>61</v>
      </c>
      <c r="R18" s="15"/>
      <c r="S18" s="15"/>
      <c r="T18" s="15" t="s">
        <v>61</v>
      </c>
      <c r="U18" s="15"/>
      <c r="V18" s="16"/>
      <c r="W18" s="17" t="str">
        <f t="shared" si="4"/>
        <v>OK</v>
      </c>
    </row>
    <row r="19" spans="1:23" ht="20.100000000000001" customHeight="1" x14ac:dyDescent="0.25">
      <c r="A19" s="12" t="s">
        <v>203</v>
      </c>
      <c r="B19" s="13" t="s">
        <v>60</v>
      </c>
      <c r="C19" s="14">
        <v>3</v>
      </c>
      <c r="D19" s="14">
        <v>4</v>
      </c>
      <c r="E19" s="14">
        <f t="shared" si="3"/>
        <v>1</v>
      </c>
      <c r="F19" s="15"/>
      <c r="G19" s="15"/>
      <c r="H19" s="15" t="s">
        <v>61</v>
      </c>
      <c r="I19" s="15"/>
      <c r="J19" s="15"/>
      <c r="K19" s="15" t="s">
        <v>61</v>
      </c>
      <c r="L19" s="15"/>
      <c r="M19" s="15"/>
      <c r="N19" s="15" t="s">
        <v>61</v>
      </c>
      <c r="O19" s="15"/>
      <c r="P19" s="15"/>
      <c r="Q19" s="15" t="s">
        <v>61</v>
      </c>
      <c r="R19" s="15"/>
      <c r="S19" s="15"/>
      <c r="T19" s="15"/>
      <c r="U19" s="15" t="s">
        <v>61</v>
      </c>
      <c r="V19" s="16"/>
      <c r="W19" s="17" t="str">
        <f t="shared" si="4"/>
        <v>OK</v>
      </c>
    </row>
    <row r="20" spans="1:23" ht="20.100000000000001" customHeight="1" x14ac:dyDescent="0.25">
      <c r="A20" s="12" t="s">
        <v>203</v>
      </c>
      <c r="B20" s="13" t="s">
        <v>60</v>
      </c>
      <c r="C20" s="14">
        <v>4</v>
      </c>
      <c r="D20" s="14">
        <v>5</v>
      </c>
      <c r="E20" s="14">
        <f t="shared" si="3"/>
        <v>1</v>
      </c>
      <c r="F20" s="15"/>
      <c r="G20" s="15"/>
      <c r="H20" s="15" t="s">
        <v>61</v>
      </c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 t="s">
        <v>61</v>
      </c>
      <c r="R20" s="15"/>
      <c r="S20" s="15"/>
      <c r="T20" s="15"/>
      <c r="U20" s="15" t="s">
        <v>61</v>
      </c>
      <c r="V20" s="16"/>
      <c r="W20" s="17" t="str">
        <f t="shared" si="4"/>
        <v>OK</v>
      </c>
    </row>
    <row r="21" spans="1:23" ht="20.100000000000001" customHeight="1" x14ac:dyDescent="0.25">
      <c r="A21" s="12" t="s">
        <v>203</v>
      </c>
      <c r="B21" s="13" t="s">
        <v>60</v>
      </c>
      <c r="C21" s="14">
        <v>5</v>
      </c>
      <c r="D21" s="14">
        <v>6</v>
      </c>
      <c r="E21" s="14">
        <f t="shared" si="3"/>
        <v>1</v>
      </c>
      <c r="F21" s="15"/>
      <c r="G21" s="15"/>
      <c r="H21" s="15"/>
      <c r="I21" s="15"/>
      <c r="J21" s="15" t="s">
        <v>61</v>
      </c>
      <c r="K21" s="15" t="s">
        <v>61</v>
      </c>
      <c r="L21" s="15"/>
      <c r="M21" s="15"/>
      <c r="N21" s="15" t="s">
        <v>61</v>
      </c>
      <c r="O21" s="15"/>
      <c r="P21" s="15"/>
      <c r="Q21" s="15" t="s">
        <v>61</v>
      </c>
      <c r="R21" s="15"/>
      <c r="S21" s="15"/>
      <c r="T21" s="15"/>
      <c r="U21" s="15" t="s">
        <v>61</v>
      </c>
      <c r="V21" s="16"/>
      <c r="W21" s="17" t="str">
        <f t="shared" si="4"/>
        <v>OK</v>
      </c>
    </row>
    <row r="22" spans="1:23" ht="20.100000000000001" customHeight="1" x14ac:dyDescent="0.25">
      <c r="A22" s="12" t="s">
        <v>203</v>
      </c>
      <c r="B22" s="13" t="s">
        <v>60</v>
      </c>
      <c r="C22" s="14">
        <v>6</v>
      </c>
      <c r="D22" s="14">
        <v>7</v>
      </c>
      <c r="E22" s="14">
        <f t="shared" si="3"/>
        <v>1</v>
      </c>
      <c r="F22" s="15"/>
      <c r="G22" s="15"/>
      <c r="H22" s="15" t="s">
        <v>61</v>
      </c>
      <c r="I22" s="15"/>
      <c r="J22" s="15"/>
      <c r="K22" s="15" t="s">
        <v>61</v>
      </c>
      <c r="L22" s="15"/>
      <c r="M22" s="15"/>
      <c r="N22" s="15" t="s">
        <v>61</v>
      </c>
      <c r="O22" s="15"/>
      <c r="P22" s="15"/>
      <c r="Q22" s="15" t="s">
        <v>61</v>
      </c>
      <c r="R22" s="15"/>
      <c r="S22" s="15"/>
      <c r="T22" s="15"/>
      <c r="U22" s="15" t="s">
        <v>61</v>
      </c>
      <c r="V22" s="16"/>
      <c r="W22" s="17" t="str">
        <f t="shared" si="4"/>
        <v>OK</v>
      </c>
    </row>
    <row r="23" spans="1:23" ht="20.100000000000001" customHeight="1" x14ac:dyDescent="0.25">
      <c r="A23" s="12" t="s">
        <v>203</v>
      </c>
      <c r="B23" s="13" t="s">
        <v>60</v>
      </c>
      <c r="C23" s="14">
        <v>7</v>
      </c>
      <c r="D23" s="14">
        <v>8</v>
      </c>
      <c r="E23" s="14">
        <f t="shared" si="3"/>
        <v>1</v>
      </c>
      <c r="F23" s="15"/>
      <c r="G23" s="15" t="s">
        <v>61</v>
      </c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/>
      <c r="Q23" s="15" t="s">
        <v>61</v>
      </c>
      <c r="R23" s="15"/>
      <c r="S23" s="15"/>
      <c r="T23" s="15"/>
      <c r="U23" s="15" t="s">
        <v>61</v>
      </c>
      <c r="V23" s="16"/>
      <c r="W23" s="17" t="str">
        <f t="shared" si="4"/>
        <v>OK</v>
      </c>
    </row>
    <row r="24" spans="1:23" ht="20.100000000000001" customHeight="1" x14ac:dyDescent="0.25">
      <c r="A24" s="12" t="s">
        <v>203</v>
      </c>
      <c r="B24" s="13" t="s">
        <v>60</v>
      </c>
      <c r="C24" s="14">
        <v>8</v>
      </c>
      <c r="D24" s="14">
        <v>9</v>
      </c>
      <c r="E24" s="14">
        <f t="shared" si="3"/>
        <v>1</v>
      </c>
      <c r="F24" s="15" t="s">
        <v>61</v>
      </c>
      <c r="G24" s="15"/>
      <c r="H24" s="15"/>
      <c r="I24" s="15"/>
      <c r="J24" s="15"/>
      <c r="K24" s="15" t="s">
        <v>61</v>
      </c>
      <c r="L24" s="15"/>
      <c r="M24" s="15"/>
      <c r="N24" s="15" t="s">
        <v>61</v>
      </c>
      <c r="O24" s="15"/>
      <c r="P24" s="15"/>
      <c r="Q24" s="15" t="s">
        <v>61</v>
      </c>
      <c r="R24" s="15"/>
      <c r="S24" s="15"/>
      <c r="T24" s="15" t="s">
        <v>61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203</v>
      </c>
      <c r="B25" s="13" t="s">
        <v>60</v>
      </c>
      <c r="C25" s="14">
        <v>9</v>
      </c>
      <c r="D25" s="14">
        <v>10</v>
      </c>
      <c r="E25" s="14">
        <f t="shared" si="3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/>
      <c r="Q25" s="15" t="s">
        <v>61</v>
      </c>
      <c r="R25" s="15"/>
      <c r="S25" s="15"/>
      <c r="T25" s="15" t="s">
        <v>61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203</v>
      </c>
      <c r="B26" s="13" t="s">
        <v>60</v>
      </c>
      <c r="C26" s="14">
        <v>10</v>
      </c>
      <c r="D26" s="14">
        <v>11</v>
      </c>
      <c r="E26" s="14">
        <f t="shared" si="3"/>
        <v>1</v>
      </c>
      <c r="F26" s="15"/>
      <c r="G26" s="15"/>
      <c r="H26" s="15" t="s">
        <v>61</v>
      </c>
      <c r="I26" s="15"/>
      <c r="J26" s="15"/>
      <c r="K26" s="15" t="s">
        <v>61</v>
      </c>
      <c r="L26" s="15"/>
      <c r="M26" s="15"/>
      <c r="N26" s="15" t="s">
        <v>61</v>
      </c>
      <c r="O26" s="15"/>
      <c r="P26" s="15"/>
      <c r="Q26" s="15" t="s">
        <v>61</v>
      </c>
      <c r="R26" s="15"/>
      <c r="S26" s="15"/>
      <c r="T26" s="15" t="s">
        <v>61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203</v>
      </c>
      <c r="B27" s="13" t="s">
        <v>60</v>
      </c>
      <c r="C27" s="14">
        <v>11</v>
      </c>
      <c r="D27" s="14">
        <v>12</v>
      </c>
      <c r="E27" s="14">
        <f t="shared" si="3"/>
        <v>1</v>
      </c>
      <c r="F27" s="15"/>
      <c r="G27" s="15"/>
      <c r="H27" s="15" t="s">
        <v>61</v>
      </c>
      <c r="I27" s="15"/>
      <c r="J27" s="15"/>
      <c r="K27" s="15" t="s">
        <v>61</v>
      </c>
      <c r="L27" s="15"/>
      <c r="M27" s="15"/>
      <c r="N27" s="15" t="s">
        <v>61</v>
      </c>
      <c r="O27" s="15"/>
      <c r="P27" s="15"/>
      <c r="Q27" s="15" t="s">
        <v>61</v>
      </c>
      <c r="R27" s="15"/>
      <c r="S27" s="15"/>
      <c r="T27" s="15" t="s">
        <v>61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203</v>
      </c>
      <c r="B28" s="13" t="s">
        <v>60</v>
      </c>
      <c r="C28" s="14">
        <v>12</v>
      </c>
      <c r="D28" s="14">
        <v>13</v>
      </c>
      <c r="E28" s="14">
        <f t="shared" si="3"/>
        <v>1</v>
      </c>
      <c r="F28" s="15"/>
      <c r="G28" s="15"/>
      <c r="H28" s="15" t="s">
        <v>61</v>
      </c>
      <c r="I28" s="15"/>
      <c r="J28" s="15"/>
      <c r="K28" s="15" t="s">
        <v>61</v>
      </c>
      <c r="L28" s="15"/>
      <c r="M28" s="15"/>
      <c r="N28" s="15" t="s">
        <v>61</v>
      </c>
      <c r="O28" s="15"/>
      <c r="P28" s="15"/>
      <c r="Q28" s="15" t="s">
        <v>61</v>
      </c>
      <c r="R28" s="15"/>
      <c r="S28" s="15"/>
      <c r="T28" s="15" t="s">
        <v>61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203</v>
      </c>
      <c r="B29" s="13" t="s">
        <v>60</v>
      </c>
      <c r="C29" s="14">
        <v>13</v>
      </c>
      <c r="D29" s="14">
        <v>14</v>
      </c>
      <c r="E29" s="14">
        <f t="shared" si="3"/>
        <v>1</v>
      </c>
      <c r="F29" s="15" t="s">
        <v>61</v>
      </c>
      <c r="G29" s="15"/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/>
      <c r="Q29" s="15" t="s">
        <v>61</v>
      </c>
      <c r="R29" s="15"/>
      <c r="S29" s="15"/>
      <c r="T29" s="15" t="s">
        <v>61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203</v>
      </c>
      <c r="B30" s="13" t="s">
        <v>60</v>
      </c>
      <c r="C30" s="14">
        <v>14</v>
      </c>
      <c r="D30" s="14">
        <v>15</v>
      </c>
      <c r="E30" s="14">
        <f t="shared" si="3"/>
        <v>1</v>
      </c>
      <c r="F30" s="15" t="s">
        <v>61</v>
      </c>
      <c r="G30" s="15"/>
      <c r="H30" s="15"/>
      <c r="I30" s="15"/>
      <c r="J30" s="15"/>
      <c r="K30" s="15" t="s">
        <v>61</v>
      </c>
      <c r="L30" s="15"/>
      <c r="M30" s="15"/>
      <c r="N30" s="15" t="s">
        <v>61</v>
      </c>
      <c r="O30" s="15"/>
      <c r="P30" s="15"/>
      <c r="Q30" s="15" t="s">
        <v>61</v>
      </c>
      <c r="R30" s="15"/>
      <c r="S30" s="15"/>
      <c r="T30" s="15" t="s">
        <v>61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203</v>
      </c>
      <c r="B31" s="13" t="s">
        <v>60</v>
      </c>
      <c r="C31" s="14">
        <v>15</v>
      </c>
      <c r="D31" s="14">
        <v>16</v>
      </c>
      <c r="E31" s="14">
        <f t="shared" si="3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/>
      <c r="Q31" s="15" t="s">
        <v>61</v>
      </c>
      <c r="R31" s="15"/>
      <c r="S31" s="15"/>
      <c r="T31" s="15" t="s">
        <v>61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203</v>
      </c>
      <c r="B32" s="13" t="s">
        <v>60</v>
      </c>
      <c r="C32" s="14">
        <v>16</v>
      </c>
      <c r="D32" s="14">
        <v>17</v>
      </c>
      <c r="E32" s="14">
        <f t="shared" si="3"/>
        <v>1</v>
      </c>
      <c r="F32" s="15"/>
      <c r="G32" s="15"/>
      <c r="H32" s="15" t="s">
        <v>61</v>
      </c>
      <c r="I32" s="15"/>
      <c r="J32" s="15"/>
      <c r="K32" s="15" t="s">
        <v>61</v>
      </c>
      <c r="L32" s="15"/>
      <c r="M32" s="15"/>
      <c r="N32" s="15" t="s">
        <v>61</v>
      </c>
      <c r="O32" s="15"/>
      <c r="P32" s="15"/>
      <c r="Q32" s="15" t="s">
        <v>61</v>
      </c>
      <c r="R32" s="15"/>
      <c r="S32" s="15"/>
      <c r="T32" s="15" t="s">
        <v>61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203</v>
      </c>
      <c r="B33" s="13" t="s">
        <v>60</v>
      </c>
      <c r="C33" s="14">
        <v>17</v>
      </c>
      <c r="D33" s="14">
        <v>18</v>
      </c>
      <c r="E33" s="14">
        <f t="shared" si="3"/>
        <v>1</v>
      </c>
      <c r="F33" s="15"/>
      <c r="G33" s="15"/>
      <c r="H33" s="15" t="s">
        <v>61</v>
      </c>
      <c r="I33" s="15"/>
      <c r="J33" s="15"/>
      <c r="K33" s="15" t="s">
        <v>61</v>
      </c>
      <c r="L33" s="15"/>
      <c r="M33" s="15"/>
      <c r="N33" s="15" t="s">
        <v>61</v>
      </c>
      <c r="O33" s="15"/>
      <c r="P33" s="15"/>
      <c r="Q33" s="15" t="s">
        <v>61</v>
      </c>
      <c r="R33" s="15"/>
      <c r="S33" s="15"/>
      <c r="T33" s="15" t="s">
        <v>61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203</v>
      </c>
      <c r="B34" s="13" t="s">
        <v>60</v>
      </c>
      <c r="C34" s="14">
        <v>18</v>
      </c>
      <c r="D34" s="14">
        <v>19</v>
      </c>
      <c r="E34" s="14">
        <f t="shared" si="3"/>
        <v>1</v>
      </c>
      <c r="F34" s="15"/>
      <c r="G34" s="15"/>
      <c r="H34" s="15" t="s">
        <v>61</v>
      </c>
      <c r="I34" s="15"/>
      <c r="J34" s="15"/>
      <c r="K34" s="15" t="s">
        <v>61</v>
      </c>
      <c r="L34" s="15"/>
      <c r="M34" s="15"/>
      <c r="N34" s="15" t="s">
        <v>61</v>
      </c>
      <c r="O34" s="15"/>
      <c r="P34" s="15"/>
      <c r="Q34" s="15" t="s">
        <v>61</v>
      </c>
      <c r="R34" s="15"/>
      <c r="S34" s="15"/>
      <c r="T34" s="15" t="s">
        <v>61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203</v>
      </c>
      <c r="B35" s="13" t="s">
        <v>60</v>
      </c>
      <c r="C35" s="14">
        <v>19</v>
      </c>
      <c r="D35" s="14">
        <v>20</v>
      </c>
      <c r="E35" s="14">
        <f t="shared" si="3"/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/>
      <c r="N35" s="15" t="s">
        <v>61</v>
      </c>
      <c r="O35" s="15"/>
      <c r="P35" s="15"/>
      <c r="Q35" s="15" t="s">
        <v>61</v>
      </c>
      <c r="R35" s="15"/>
      <c r="S35" s="15"/>
      <c r="T35" s="15" t="s">
        <v>61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203</v>
      </c>
      <c r="B36" s="13" t="s">
        <v>60</v>
      </c>
      <c r="C36" s="14">
        <v>20</v>
      </c>
      <c r="D36" s="14">
        <v>21</v>
      </c>
      <c r="E36" s="14">
        <f t="shared" si="3"/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/>
      <c r="N36" s="15" t="s">
        <v>61</v>
      </c>
      <c r="O36" s="15"/>
      <c r="P36" s="15"/>
      <c r="Q36" s="15" t="s">
        <v>61</v>
      </c>
      <c r="R36" s="15"/>
      <c r="S36" s="15"/>
      <c r="T36" s="15" t="s">
        <v>61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203</v>
      </c>
      <c r="B37" s="13" t="s">
        <v>60</v>
      </c>
      <c r="C37" s="14">
        <v>21</v>
      </c>
      <c r="D37" s="14">
        <v>22</v>
      </c>
      <c r="E37" s="14">
        <f t="shared" si="3"/>
        <v>1</v>
      </c>
      <c r="F37" s="15"/>
      <c r="G37" s="15"/>
      <c r="H37" s="15" t="s">
        <v>61</v>
      </c>
      <c r="I37" s="15"/>
      <c r="J37" s="15"/>
      <c r="K37" s="15" t="s">
        <v>61</v>
      </c>
      <c r="L37" s="15"/>
      <c r="M37" s="15"/>
      <c r="N37" s="15" t="s">
        <v>61</v>
      </c>
      <c r="O37" s="15"/>
      <c r="P37" s="15"/>
      <c r="Q37" s="15" t="s">
        <v>61</v>
      </c>
      <c r="R37" s="15"/>
      <c r="S37" s="15"/>
      <c r="T37" s="15" t="s">
        <v>61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203</v>
      </c>
      <c r="B38" s="13" t="s">
        <v>60</v>
      </c>
      <c r="C38" s="14">
        <v>22</v>
      </c>
      <c r="D38" s="14">
        <v>23</v>
      </c>
      <c r="E38" s="14">
        <f t="shared" si="3"/>
        <v>1</v>
      </c>
      <c r="F38" s="15" t="s">
        <v>61</v>
      </c>
      <c r="G38" s="15"/>
      <c r="H38" s="15"/>
      <c r="I38" s="15"/>
      <c r="J38" s="15"/>
      <c r="K38" s="15" t="s">
        <v>61</v>
      </c>
      <c r="L38" s="15"/>
      <c r="M38" s="15"/>
      <c r="N38" s="15" t="s">
        <v>61</v>
      </c>
      <c r="O38" s="15"/>
      <c r="P38" s="15"/>
      <c r="Q38" s="15" t="s">
        <v>61</v>
      </c>
      <c r="R38" s="15"/>
      <c r="S38" s="15"/>
      <c r="T38" s="15" t="s">
        <v>61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203</v>
      </c>
      <c r="B39" s="13" t="s">
        <v>60</v>
      </c>
      <c r="C39" s="14">
        <v>23</v>
      </c>
      <c r="D39" s="14">
        <v>24</v>
      </c>
      <c r="E39" s="14">
        <f t="shared" si="3"/>
        <v>1</v>
      </c>
      <c r="F39" s="15" t="s">
        <v>61</v>
      </c>
      <c r="G39" s="15"/>
      <c r="H39" s="15"/>
      <c r="I39" s="15"/>
      <c r="J39" s="15"/>
      <c r="K39" s="15" t="s">
        <v>61</v>
      </c>
      <c r="L39" s="15"/>
      <c r="M39" s="15"/>
      <c r="N39" s="15" t="s">
        <v>61</v>
      </c>
      <c r="O39" s="15"/>
      <c r="P39" s="15"/>
      <c r="Q39" s="15" t="s">
        <v>61</v>
      </c>
      <c r="R39" s="15"/>
      <c r="S39" s="15"/>
      <c r="T39" s="15" t="s">
        <v>61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203</v>
      </c>
      <c r="B40" s="13" t="s">
        <v>60</v>
      </c>
      <c r="C40" s="14">
        <v>24</v>
      </c>
      <c r="D40" s="14">
        <v>25</v>
      </c>
      <c r="E40" s="14">
        <f t="shared" si="3"/>
        <v>1</v>
      </c>
      <c r="F40" s="15" t="s">
        <v>61</v>
      </c>
      <c r="G40" s="15"/>
      <c r="H40" s="15"/>
      <c r="I40" s="15"/>
      <c r="J40" s="15"/>
      <c r="K40" s="15" t="s">
        <v>61</v>
      </c>
      <c r="L40" s="15"/>
      <c r="M40" s="15"/>
      <c r="N40" s="15" t="s">
        <v>61</v>
      </c>
      <c r="O40" s="15"/>
      <c r="P40" s="15"/>
      <c r="Q40" s="15" t="s">
        <v>61</v>
      </c>
      <c r="R40" s="15"/>
      <c r="S40" s="15"/>
      <c r="T40" s="15" t="s">
        <v>61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203</v>
      </c>
      <c r="B41" s="13" t="s">
        <v>60</v>
      </c>
      <c r="C41" s="14">
        <v>25</v>
      </c>
      <c r="D41" s="14">
        <v>26</v>
      </c>
      <c r="E41" s="14">
        <f t="shared" si="3"/>
        <v>1</v>
      </c>
      <c r="F41" s="15" t="s">
        <v>61</v>
      </c>
      <c r="G41" s="15"/>
      <c r="H41" s="15"/>
      <c r="I41" s="15"/>
      <c r="J41" s="15"/>
      <c r="K41" s="15" t="s">
        <v>61</v>
      </c>
      <c r="L41" s="15"/>
      <c r="M41" s="15"/>
      <c r="N41" s="15" t="s">
        <v>61</v>
      </c>
      <c r="O41" s="15"/>
      <c r="P41" s="15"/>
      <c r="Q41" s="15" t="s">
        <v>61</v>
      </c>
      <c r="R41" s="15"/>
      <c r="S41" s="15"/>
      <c r="T41" s="15" t="s">
        <v>61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203</v>
      </c>
      <c r="B42" s="13" t="s">
        <v>60</v>
      </c>
      <c r="C42" s="14">
        <v>26</v>
      </c>
      <c r="D42" s="14">
        <v>27</v>
      </c>
      <c r="E42" s="14">
        <f t="shared" si="3"/>
        <v>1</v>
      </c>
      <c r="F42" s="15" t="s">
        <v>61</v>
      </c>
      <c r="G42" s="15"/>
      <c r="H42" s="15"/>
      <c r="I42" s="15"/>
      <c r="J42" s="15"/>
      <c r="K42" s="15" t="s">
        <v>61</v>
      </c>
      <c r="L42" s="15"/>
      <c r="M42" s="15"/>
      <c r="N42" s="15" t="s">
        <v>61</v>
      </c>
      <c r="O42" s="15"/>
      <c r="P42" s="15"/>
      <c r="Q42" s="15" t="s">
        <v>61</v>
      </c>
      <c r="R42" s="15"/>
      <c r="S42" s="15"/>
      <c r="T42" s="15" t="s">
        <v>61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203</v>
      </c>
      <c r="B43" s="13" t="s">
        <v>60</v>
      </c>
      <c r="C43" s="14">
        <v>27</v>
      </c>
      <c r="D43" s="14">
        <v>28</v>
      </c>
      <c r="E43" s="14">
        <f t="shared" si="3"/>
        <v>1</v>
      </c>
      <c r="F43" s="15" t="s">
        <v>61</v>
      </c>
      <c r="G43" s="15"/>
      <c r="H43" s="15"/>
      <c r="I43" s="15"/>
      <c r="J43" s="15"/>
      <c r="K43" s="15" t="s">
        <v>61</v>
      </c>
      <c r="L43" s="15"/>
      <c r="M43" s="15"/>
      <c r="N43" s="15" t="s">
        <v>61</v>
      </c>
      <c r="O43" s="15"/>
      <c r="P43" s="15"/>
      <c r="Q43" s="15" t="s">
        <v>61</v>
      </c>
      <c r="R43" s="15"/>
      <c r="S43" s="15"/>
      <c r="T43" s="15" t="s">
        <v>61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203</v>
      </c>
      <c r="B44" s="13" t="s">
        <v>60</v>
      </c>
      <c r="C44" s="14">
        <v>28</v>
      </c>
      <c r="D44" s="14">
        <v>29</v>
      </c>
      <c r="E44" s="14">
        <f t="shared" si="3"/>
        <v>1</v>
      </c>
      <c r="F44" s="15" t="s">
        <v>61</v>
      </c>
      <c r="G44" s="15"/>
      <c r="H44" s="15"/>
      <c r="I44" s="15"/>
      <c r="J44" s="15"/>
      <c r="K44" s="15" t="s">
        <v>61</v>
      </c>
      <c r="L44" s="15"/>
      <c r="M44" s="15"/>
      <c r="N44" s="15" t="s">
        <v>61</v>
      </c>
      <c r="O44" s="15"/>
      <c r="P44" s="15"/>
      <c r="Q44" s="15" t="s">
        <v>61</v>
      </c>
      <c r="R44" s="15"/>
      <c r="S44" s="15"/>
      <c r="T44" s="15" t="s">
        <v>61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203</v>
      </c>
      <c r="B45" s="13" t="s">
        <v>60</v>
      </c>
      <c r="C45" s="14">
        <v>29</v>
      </c>
      <c r="D45" s="14">
        <v>30</v>
      </c>
      <c r="E45" s="14">
        <f t="shared" si="3"/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61</v>
      </c>
      <c r="O45" s="15"/>
      <c r="P45" s="15"/>
      <c r="Q45" s="15" t="s">
        <v>61</v>
      </c>
      <c r="R45" s="15"/>
      <c r="S45" s="15"/>
      <c r="T45" s="15" t="s">
        <v>61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203</v>
      </c>
      <c r="B46" s="13" t="s">
        <v>60</v>
      </c>
      <c r="C46" s="14">
        <v>30</v>
      </c>
      <c r="D46" s="14">
        <v>31</v>
      </c>
      <c r="E46" s="14">
        <f t="shared" si="3"/>
        <v>1</v>
      </c>
      <c r="F46" s="15" t="s">
        <v>61</v>
      </c>
      <c r="G46" s="15"/>
      <c r="H46" s="15"/>
      <c r="I46" s="15"/>
      <c r="J46" s="15"/>
      <c r="K46" s="15" t="s">
        <v>61</v>
      </c>
      <c r="L46" s="15"/>
      <c r="M46" s="15"/>
      <c r="N46" s="15" t="s">
        <v>61</v>
      </c>
      <c r="O46" s="15"/>
      <c r="P46" s="15"/>
      <c r="Q46" s="15" t="s">
        <v>61</v>
      </c>
      <c r="R46" s="15"/>
      <c r="S46" s="15"/>
      <c r="T46" s="15" t="s">
        <v>61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8" t="s">
        <v>203</v>
      </c>
      <c r="B47" s="19" t="s">
        <v>60</v>
      </c>
      <c r="C47" s="20">
        <v>31</v>
      </c>
      <c r="D47" s="20">
        <v>31.224302499699998</v>
      </c>
      <c r="E47" s="20">
        <f t="shared" si="3"/>
        <v>0.22430249969999849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61</v>
      </c>
      <c r="O47" s="15"/>
      <c r="P47" s="15"/>
      <c r="Q47" s="15" t="s">
        <v>61</v>
      </c>
      <c r="R47" s="15"/>
      <c r="S47" s="15"/>
      <c r="T47" s="15" t="s">
        <v>61</v>
      </c>
      <c r="U47" s="21"/>
      <c r="V47" s="22"/>
      <c r="W47" s="23" t="str">
        <f t="shared" si="4"/>
        <v>OK</v>
      </c>
    </row>
    <row r="49" spans="1:22" x14ac:dyDescent="0.25">
      <c r="A49" s="38" t="s">
        <v>67</v>
      </c>
      <c r="B49" s="28"/>
      <c r="C49" s="28"/>
      <c r="D49" s="28"/>
      <c r="E49" s="28"/>
      <c r="G49" s="38" t="s">
        <v>67</v>
      </c>
      <c r="H49" s="28"/>
      <c r="I49" s="28"/>
      <c r="J49" s="28"/>
      <c r="K49" s="28"/>
    </row>
    <row r="50" spans="1:22" x14ac:dyDescent="0.25">
      <c r="A50" s="36" t="s">
        <v>68</v>
      </c>
      <c r="B50" s="28"/>
      <c r="C50" s="28"/>
      <c r="D50" s="28"/>
      <c r="E50" s="28"/>
      <c r="G50" s="36" t="s">
        <v>69</v>
      </c>
      <c r="H50" s="28"/>
      <c r="I50" s="28"/>
      <c r="J50" s="28"/>
      <c r="K50" s="28"/>
    </row>
    <row r="52" spans="1:22" x14ac:dyDescent="0.25">
      <c r="A52" s="37" t="s">
        <v>70</v>
      </c>
      <c r="B52" s="28"/>
      <c r="C52" s="28"/>
      <c r="D52" s="28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x14ac:dyDescent="0.25">
      <c r="A53" s="34" t="s">
        <v>71</v>
      </c>
      <c r="B53" s="28"/>
      <c r="C53" s="28"/>
      <c r="D53" s="28"/>
      <c r="E53" s="28"/>
      <c r="F53" s="9">
        <f t="shared" ref="F53:U53" si="5">SUMIF(F$9:F$47,"X",$E$9:$E$47)</f>
        <v>16.224302499699998</v>
      </c>
      <c r="G53" s="9">
        <f t="shared" si="5"/>
        <v>2</v>
      </c>
      <c r="H53" s="9">
        <f t="shared" si="5"/>
        <v>16.309886325009998</v>
      </c>
      <c r="I53" s="9">
        <f t="shared" si="5"/>
        <v>0</v>
      </c>
      <c r="J53" s="9">
        <f t="shared" si="5"/>
        <v>2</v>
      </c>
      <c r="K53" s="9">
        <f t="shared" si="5"/>
        <v>36.53418882471</v>
      </c>
      <c r="L53" s="9">
        <f t="shared" si="5"/>
        <v>0</v>
      </c>
      <c r="M53" s="9">
        <f t="shared" si="5"/>
        <v>2</v>
      </c>
      <c r="N53" s="9">
        <f t="shared" si="5"/>
        <v>34.53418882471</v>
      </c>
      <c r="O53" s="9">
        <f t="shared" si="5"/>
        <v>0</v>
      </c>
      <c r="P53" s="9">
        <f t="shared" si="5"/>
        <v>0</v>
      </c>
      <c r="Q53" s="9">
        <f t="shared" si="5"/>
        <v>31.224302499699998</v>
      </c>
      <c r="R53" s="9">
        <f t="shared" si="5"/>
        <v>5.3098863250099999</v>
      </c>
      <c r="S53" s="9">
        <f t="shared" si="5"/>
        <v>3.3098863250099999</v>
      </c>
      <c r="T53" s="9">
        <f t="shared" si="5"/>
        <v>28.224302499699998</v>
      </c>
      <c r="U53" s="9">
        <f t="shared" si="5"/>
        <v>5</v>
      </c>
    </row>
    <row r="54" spans="1:22" x14ac:dyDescent="0.25">
      <c r="A54" s="34" t="s">
        <v>72</v>
      </c>
      <c r="B54" s="28"/>
      <c r="C54" s="28"/>
      <c r="D54" s="28"/>
      <c r="E54" s="28"/>
      <c r="F54" s="25">
        <f t="shared" ref="F54:U54" si="6">IF($R56=0,0,F53/$R56)</f>
        <v>0.44408547231043616</v>
      </c>
      <c r="G54" s="25">
        <f t="shared" si="6"/>
        <v>5.4743243639428896E-2</v>
      </c>
      <c r="H54" s="25">
        <f t="shared" si="6"/>
        <v>0.44642804041070594</v>
      </c>
      <c r="I54" s="25">
        <f t="shared" si="6"/>
        <v>0</v>
      </c>
      <c r="J54" s="25">
        <f t="shared" si="6"/>
        <v>5.4743243639428896E-2</v>
      </c>
      <c r="K54" s="25">
        <f t="shared" si="6"/>
        <v>1</v>
      </c>
      <c r="L54" s="25">
        <f t="shared" si="6"/>
        <v>0</v>
      </c>
      <c r="M54" s="25">
        <f t="shared" si="6"/>
        <v>5.4743243639428896E-2</v>
      </c>
      <c r="N54" s="25">
        <f t="shared" si="6"/>
        <v>0.94525675636057105</v>
      </c>
      <c r="O54" s="25">
        <f t="shared" si="6"/>
        <v>0</v>
      </c>
      <c r="P54" s="25">
        <f t="shared" si="6"/>
        <v>0</v>
      </c>
      <c r="Q54" s="25">
        <f t="shared" si="6"/>
        <v>0.8546597996061529</v>
      </c>
      <c r="R54" s="25">
        <f t="shared" si="6"/>
        <v>0.14534020039384707</v>
      </c>
      <c r="S54" s="25">
        <f t="shared" si="6"/>
        <v>9.0596956754418187E-2</v>
      </c>
      <c r="T54" s="25">
        <f t="shared" si="6"/>
        <v>0.77254493414700953</v>
      </c>
      <c r="U54" s="25">
        <f t="shared" si="6"/>
        <v>0.13685810909857224</v>
      </c>
    </row>
    <row r="55" spans="1:22" x14ac:dyDescent="0.25">
      <c r="A55" s="34" t="s">
        <v>73</v>
      </c>
      <c r="B55" s="28"/>
      <c r="C55" s="28"/>
      <c r="D55" s="28"/>
      <c r="E55" s="28"/>
      <c r="F55" s="31" t="str">
        <f>IF(SUM(F53:J53)=0,"— não preenchido",IF(ROUND(SUM(F53:J53)-$R56,3)=0,"OK — "&amp;ROUND(SUM(F53:J53),3)&amp;" km","ERRO — dif. de "&amp;ROUND(SUM(F53:J53)-$R56,3)&amp;" km"))</f>
        <v>OK — 36,534 km</v>
      </c>
      <c r="G55" s="32"/>
      <c r="H55" s="32"/>
      <c r="I55" s="32"/>
      <c r="J55" s="33"/>
      <c r="K55" s="31" t="str">
        <f>IF(SUM(K53:L53)=0,"— não preenchido",IF(ROUND(SUM(K53:L53)-$R56,3)=0,"OK — "&amp;ROUND(SUM(K53:L53),3)&amp;" km","ERRO — dif. de "&amp;ROUND(SUM(K53:L53)-$R56,3)&amp;" km"))</f>
        <v>OK — 36,534 km</v>
      </c>
      <c r="L55" s="33"/>
      <c r="M55" s="31" t="str">
        <f>IF(SUM(M53:O53)=0,"— não preenchido",IF(ROUND(SUM(M53:O53)-$R56,3)=0,"OK — "&amp;ROUND(SUM(M53:O53),3)&amp;" km","ERRO — dif. de "&amp;ROUND(SUM(M53:O53)-$R56,3)&amp;" km"))</f>
        <v>OK — 36,534 km</v>
      </c>
      <c r="N55" s="32"/>
      <c r="O55" s="33"/>
      <c r="P55" s="31" t="str">
        <f>IF(SUM(P53:R53)=0,"— não preenchido",IF(ROUND(SUM(P53:R53)-$R56,3)=0,"OK — "&amp;ROUND(SUM(P53:R53),3)&amp;" km","ERRO — dif. de "&amp;ROUND(SUM(P53:R53)-$R56,3)&amp;" km"))</f>
        <v>OK — 36,534 km</v>
      </c>
      <c r="Q55" s="32"/>
      <c r="R55" s="33"/>
      <c r="S55" s="31" t="str">
        <f>IF(SUM(S53:U53)=0,"— não preenchido",IF(ROUND(SUM(S53:U53)-$R56,3)=0,"OK — "&amp;ROUND(SUM(S53:U53),3)&amp;" km","ERRO — dif. de "&amp;ROUND(SUM(S53:U53)-$R56,3)&amp;" km"))</f>
        <v>OK — 36,534 km</v>
      </c>
      <c r="T55" s="32"/>
      <c r="U55" s="33"/>
    </row>
    <row r="56" spans="1:22" x14ac:dyDescent="0.25">
      <c r="A56" s="34" t="s">
        <v>74</v>
      </c>
      <c r="B56" s="28"/>
      <c r="C56" s="28"/>
      <c r="D56" s="28"/>
      <c r="E56" s="28"/>
      <c r="R56" s="26">
        <f>SUM(E9:E47)</f>
        <v>36.53418882471</v>
      </c>
      <c r="V56" s="8" t="str">
        <f>COUNTIF(W9:W47,"OK")&amp;" de "&amp;COUNT($E$9:$E$47)&amp;" linhas conferidas"</f>
        <v>38 de 38 linhas conferidas</v>
      </c>
    </row>
    <row r="58" spans="1:22" x14ac:dyDescent="0.25">
      <c r="A58" s="45" t="s">
        <v>75</v>
      </c>
      <c r="B58" s="28"/>
      <c r="C58" s="28"/>
      <c r="D58" s="28"/>
      <c r="E58" s="28"/>
    </row>
    <row r="59" spans="1:22" x14ac:dyDescent="0.25">
      <c r="A59" s="34" t="s">
        <v>76</v>
      </c>
      <c r="B59" s="28"/>
      <c r="C59" s="28"/>
      <c r="D59" s="28"/>
      <c r="E59" s="29" t="s">
        <v>77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78</v>
      </c>
      <c r="B60" s="28"/>
      <c r="C60" s="28"/>
      <c r="D60" s="28"/>
      <c r="E60" s="29" t="s">
        <v>79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80</v>
      </c>
      <c r="B61" s="28"/>
      <c r="C61" s="28"/>
      <c r="D61" s="28"/>
      <c r="E61" s="29" t="s">
        <v>81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82</v>
      </c>
      <c r="B62" s="28"/>
      <c r="C62" s="28"/>
      <c r="D62" s="28"/>
      <c r="E62" s="29" t="s">
        <v>83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84</v>
      </c>
      <c r="B63" s="28"/>
      <c r="C63" s="28"/>
      <c r="D63" s="28"/>
      <c r="E63" s="29" t="s">
        <v>85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4" t="s">
        <v>52</v>
      </c>
      <c r="B64" s="28"/>
      <c r="C64" s="28"/>
      <c r="D64" s="28"/>
      <c r="E64" s="29" t="s">
        <v>86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87</v>
      </c>
      <c r="B65" s="28"/>
      <c r="C65" s="28"/>
      <c r="D65" s="28"/>
      <c r="E65" s="29" t="s">
        <v>88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89</v>
      </c>
      <c r="B66" s="28"/>
      <c r="C66" s="28"/>
      <c r="D66" s="28"/>
      <c r="E66" s="29" t="s">
        <v>90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11</v>
      </c>
      <c r="B67" s="28"/>
      <c r="C67" s="28"/>
      <c r="D67" s="28"/>
      <c r="E67" s="29" t="s">
        <v>91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</sheetData>
  <sheetProtection formatCells="0"/>
  <mergeCells count="58">
    <mergeCell ref="A4:V4"/>
    <mergeCell ref="K55:L55"/>
    <mergeCell ref="N2:O2"/>
    <mergeCell ref="P2:Q2"/>
    <mergeCell ref="A64:D64"/>
    <mergeCell ref="A59:D59"/>
    <mergeCell ref="A56:E56"/>
    <mergeCell ref="A60:D60"/>
    <mergeCell ref="E61:V61"/>
    <mergeCell ref="A61:D61"/>
    <mergeCell ref="E64:V64"/>
    <mergeCell ref="A58:E58"/>
    <mergeCell ref="G2:H2"/>
    <mergeCell ref="I2:J2"/>
    <mergeCell ref="E63:V63"/>
    <mergeCell ref="A62:D62"/>
    <mergeCell ref="W6:W7"/>
    <mergeCell ref="E6:E7"/>
    <mergeCell ref="B6:B7"/>
    <mergeCell ref="A15:V15"/>
    <mergeCell ref="V6:V7"/>
    <mergeCell ref="F6:J6"/>
    <mergeCell ref="A6:A7"/>
    <mergeCell ref="M6:O6"/>
    <mergeCell ref="A8:V8"/>
    <mergeCell ref="A49:E49"/>
    <mergeCell ref="A1:V1"/>
    <mergeCell ref="T3:V3"/>
    <mergeCell ref="A65:D65"/>
    <mergeCell ref="E66:V66"/>
    <mergeCell ref="P55:R55"/>
    <mergeCell ref="A66:D66"/>
    <mergeCell ref="A53:E53"/>
    <mergeCell ref="M55:O55"/>
    <mergeCell ref="A52:E52"/>
    <mergeCell ref="E62:V62"/>
    <mergeCell ref="G50:K50"/>
    <mergeCell ref="R2:V2"/>
    <mergeCell ref="A3:S3"/>
    <mergeCell ref="E65:V65"/>
    <mergeCell ref="A2:F2"/>
    <mergeCell ref="K2:M2"/>
    <mergeCell ref="E67:V67"/>
    <mergeCell ref="C6:C7"/>
    <mergeCell ref="K6:L6"/>
    <mergeCell ref="D6:D7"/>
    <mergeCell ref="P6:R6"/>
    <mergeCell ref="A67:D67"/>
    <mergeCell ref="E59:V59"/>
    <mergeCell ref="E60:V60"/>
    <mergeCell ref="A63:D63"/>
    <mergeCell ref="S55:U55"/>
    <mergeCell ref="G49:K49"/>
    <mergeCell ref="A55:E55"/>
    <mergeCell ref="A50:E50"/>
    <mergeCell ref="S6:U6"/>
    <mergeCell ref="F55:J55"/>
    <mergeCell ref="A54:E54"/>
  </mergeCells>
  <conditionalFormatting sqref="F9:J47">
    <cfRule type="expression" dxfId="62" priority="1">
      <formula>AND(F9&lt;&gt;"",COUNTIF($F9:$J9,"X")&gt;1)</formula>
    </cfRule>
  </conditionalFormatting>
  <conditionalFormatting sqref="F55:U55">
    <cfRule type="expression" dxfId="61" priority="8">
      <formula>LEFT(F55,4)="ERRO"</formula>
    </cfRule>
    <cfRule type="expression" dxfId="60" priority="9">
      <formula>LEFT(F55,2)="OK"</formula>
    </cfRule>
  </conditionalFormatting>
  <conditionalFormatting sqref="K9:L47">
    <cfRule type="expression" dxfId="59" priority="2">
      <formula>AND(K9&lt;&gt;"",COUNTIF($K9:$L9,"X")&gt;1)</formula>
    </cfRule>
  </conditionalFormatting>
  <conditionalFormatting sqref="M9:O47">
    <cfRule type="expression" dxfId="58" priority="3">
      <formula>AND(M9&lt;&gt;"",COUNTIF($M9:$O9,"X")&gt;1)</formula>
    </cfRule>
  </conditionalFormatting>
  <conditionalFormatting sqref="P9:R47">
    <cfRule type="expression" dxfId="57" priority="4">
      <formula>AND(P9&lt;&gt;"",COUNTIF($P9:$R9,"X")&gt;1)</formula>
    </cfRule>
  </conditionalFormatting>
  <conditionalFormatting sqref="S9:U47">
    <cfRule type="expression" dxfId="56" priority="5">
      <formula>AND(S9&lt;&gt;"",COUNTIF($S9:$U9,"X")&gt;1)</formula>
    </cfRule>
  </conditionalFormatting>
  <conditionalFormatting sqref="W9:W47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7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7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7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7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7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47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54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N10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IF(F87=0,NA(),F87)</f>
        <v>60.884362258121996</v>
      </c>
      <c r="Z2" s="2">
        <f t="shared" si="0"/>
        <v>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61.884362258121996</v>
      </c>
      <c r="AE2" s="2" t="e">
        <f t="shared" si="0"/>
        <v>#N/A</v>
      </c>
      <c r="AF2" s="2" t="e">
        <f t="shared" si="0"/>
        <v>#N/A</v>
      </c>
      <c r="AG2" s="2">
        <f t="shared" si="0"/>
        <v>61.884362258121996</v>
      </c>
      <c r="AH2" s="2" t="e">
        <f t="shared" si="0"/>
        <v>#N/A</v>
      </c>
      <c r="AI2" s="2">
        <f t="shared" si="0"/>
        <v>61.884362258121996</v>
      </c>
      <c r="AJ2" s="2" t="e">
        <f t="shared" si="0"/>
        <v>#N/A</v>
      </c>
      <c r="AK2" s="2" t="e">
        <f t="shared" si="0"/>
        <v>#N/A</v>
      </c>
      <c r="AL2" s="2">
        <f t="shared" si="0"/>
        <v>49.77670228656099</v>
      </c>
      <c r="AM2" s="2">
        <f t="shared" si="0"/>
        <v>12.107659971560999</v>
      </c>
      <c r="AN2" s="2" t="e">
        <f t="shared" si="0"/>
        <v>#N/A</v>
      </c>
    </row>
    <row r="3" spans="1:40" ht="15" customHeight="1" x14ac:dyDescent="0.25">
      <c r="A3" s="42" t="s">
        <v>204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205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206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207</v>
      </c>
      <c r="B9" s="13" t="s">
        <v>60</v>
      </c>
      <c r="C9" s="14">
        <v>0</v>
      </c>
      <c r="D9" s="14">
        <v>1</v>
      </c>
      <c r="E9" s="14">
        <f t="shared" ref="E9:E20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 t="s">
        <v>61</v>
      </c>
      <c r="Q9" s="15"/>
      <c r="R9" s="15"/>
      <c r="S9" s="15"/>
      <c r="T9" s="15" t="s">
        <v>61</v>
      </c>
      <c r="U9" s="15"/>
      <c r="V9" s="16"/>
      <c r="W9" s="17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207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 t="s">
        <v>61</v>
      </c>
      <c r="Q10" s="15"/>
      <c r="R10" s="15"/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207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 t="s">
        <v>61</v>
      </c>
      <c r="G11" s="15"/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 t="s">
        <v>61</v>
      </c>
      <c r="Q11" s="15"/>
      <c r="R11" s="15"/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207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 t="s">
        <v>61</v>
      </c>
      <c r="G12" s="15"/>
      <c r="H12" s="15"/>
      <c r="I12" s="15"/>
      <c r="J12" s="15"/>
      <c r="K12" s="15" t="s">
        <v>61</v>
      </c>
      <c r="L12" s="15"/>
      <c r="M12" s="15"/>
      <c r="N12" s="15" t="s">
        <v>61</v>
      </c>
      <c r="O12" s="15"/>
      <c r="P12" s="15" t="s">
        <v>61</v>
      </c>
      <c r="Q12" s="15"/>
      <c r="R12" s="15"/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207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 t="s">
        <v>61</v>
      </c>
      <c r="G13" s="15"/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 t="s">
        <v>61</v>
      </c>
      <c r="Q13" s="15"/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207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 t="s">
        <v>61</v>
      </c>
      <c r="Q14" s="15"/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207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 t="s">
        <v>61</v>
      </c>
      <c r="Q15" s="15"/>
      <c r="R15" s="15"/>
      <c r="S15" s="15"/>
      <c r="T15" s="15" t="s">
        <v>61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207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 t="s">
        <v>61</v>
      </c>
      <c r="Q16" s="15"/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207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 t="s">
        <v>61</v>
      </c>
      <c r="G17" s="15"/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 t="s">
        <v>61</v>
      </c>
      <c r="Q17" s="15"/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207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 t="s">
        <v>61</v>
      </c>
      <c r="G18" s="15"/>
      <c r="H18" s="15"/>
      <c r="I18" s="15"/>
      <c r="J18" s="15"/>
      <c r="K18" s="15" t="s">
        <v>61</v>
      </c>
      <c r="L18" s="15"/>
      <c r="M18" s="15"/>
      <c r="N18" s="15" t="s">
        <v>61</v>
      </c>
      <c r="O18" s="15"/>
      <c r="P18" s="15" t="s">
        <v>61</v>
      </c>
      <c r="Q18" s="15"/>
      <c r="R18" s="15"/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207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 t="s">
        <v>61</v>
      </c>
      <c r="G19" s="15"/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 t="s">
        <v>61</v>
      </c>
      <c r="Q19" s="15"/>
      <c r="R19" s="15"/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8" t="s">
        <v>207</v>
      </c>
      <c r="B20" s="19" t="s">
        <v>60</v>
      </c>
      <c r="C20" s="20">
        <v>11</v>
      </c>
      <c r="D20" s="20">
        <v>11.488567188199999</v>
      </c>
      <c r="E20" s="20">
        <f t="shared" si="1"/>
        <v>0.48856718819999934</v>
      </c>
      <c r="F20" s="21" t="s">
        <v>61</v>
      </c>
      <c r="G20" s="21"/>
      <c r="H20" s="21"/>
      <c r="I20" s="21"/>
      <c r="J20" s="21"/>
      <c r="K20" s="21" t="s">
        <v>61</v>
      </c>
      <c r="L20" s="21"/>
      <c r="M20" s="21"/>
      <c r="N20" s="21" t="s">
        <v>61</v>
      </c>
      <c r="O20" s="21"/>
      <c r="P20" s="21" t="s">
        <v>61</v>
      </c>
      <c r="Q20" s="21"/>
      <c r="R20" s="21"/>
      <c r="S20" s="21"/>
      <c r="T20" s="21" t="s">
        <v>61</v>
      </c>
      <c r="U20" s="21"/>
      <c r="V20" s="22"/>
      <c r="W20" s="23" t="str">
        <f t="shared" si="2"/>
        <v>OK</v>
      </c>
    </row>
    <row r="21" spans="1:23" ht="15.95" customHeight="1" x14ac:dyDescent="0.25">
      <c r="A21" s="46" t="s">
        <v>208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3"/>
      <c r="W21" s="4"/>
    </row>
    <row r="22" spans="1:23" ht="20.100000000000001" customHeight="1" x14ac:dyDescent="0.25">
      <c r="A22" s="18" t="s">
        <v>209</v>
      </c>
      <c r="B22" s="19" t="s">
        <v>60</v>
      </c>
      <c r="C22" s="20">
        <v>0</v>
      </c>
      <c r="D22" s="20">
        <v>0.61909278336100004</v>
      </c>
      <c r="E22" s="20">
        <f>D22-C22</f>
        <v>0.61909278336100004</v>
      </c>
      <c r="F22" s="21" t="s">
        <v>61</v>
      </c>
      <c r="G22" s="21"/>
      <c r="H22" s="21"/>
      <c r="I22" s="21"/>
      <c r="J22" s="21"/>
      <c r="K22" s="21" t="s">
        <v>61</v>
      </c>
      <c r="L22" s="21"/>
      <c r="M22" s="21"/>
      <c r="N22" s="21" t="s">
        <v>61</v>
      </c>
      <c r="O22" s="21"/>
      <c r="P22" s="21" t="s">
        <v>61</v>
      </c>
      <c r="Q22" s="21"/>
      <c r="R22" s="21"/>
      <c r="S22" s="21"/>
      <c r="T22" s="21" t="s">
        <v>61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15.95" customHeight="1" x14ac:dyDescent="0.25">
      <c r="A23" s="46" t="s">
        <v>210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3"/>
      <c r="W23" s="4"/>
    </row>
    <row r="24" spans="1:23" ht="20.100000000000001" customHeight="1" x14ac:dyDescent="0.25">
      <c r="A24" s="12" t="s">
        <v>211</v>
      </c>
      <c r="B24" s="13" t="s">
        <v>60</v>
      </c>
      <c r="C24" s="14">
        <v>0</v>
      </c>
      <c r="D24" s="14">
        <v>1</v>
      </c>
      <c r="E24" s="14">
        <f t="shared" ref="E24:E42" si="3">D24-C24</f>
        <v>1</v>
      </c>
      <c r="F24" s="15" t="s">
        <v>61</v>
      </c>
      <c r="G24" s="15"/>
      <c r="H24" s="15"/>
      <c r="I24" s="15"/>
      <c r="J24" s="15"/>
      <c r="K24" s="15" t="s">
        <v>61</v>
      </c>
      <c r="L24" s="15"/>
      <c r="M24" s="15"/>
      <c r="N24" s="15" t="s">
        <v>61</v>
      </c>
      <c r="O24" s="15"/>
      <c r="P24" s="15" t="s">
        <v>61</v>
      </c>
      <c r="Q24" s="15"/>
      <c r="R24" s="15"/>
      <c r="S24" s="15" t="s">
        <v>61</v>
      </c>
      <c r="T24" s="15"/>
      <c r="U24" s="15"/>
      <c r="V24" s="16"/>
      <c r="W24" s="17" t="str">
        <f t="shared" ref="W24:W42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211</v>
      </c>
      <c r="B25" s="13" t="s">
        <v>60</v>
      </c>
      <c r="C25" s="14">
        <v>1</v>
      </c>
      <c r="D25" s="14">
        <v>2</v>
      </c>
      <c r="E25" s="14">
        <f t="shared" si="3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 t="s">
        <v>61</v>
      </c>
      <c r="Q25" s="15"/>
      <c r="R25" s="15"/>
      <c r="S25" s="15" t="s">
        <v>61</v>
      </c>
      <c r="T25" s="15"/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211</v>
      </c>
      <c r="B26" s="13" t="s">
        <v>60</v>
      </c>
      <c r="C26" s="14">
        <v>2</v>
      </c>
      <c r="D26" s="14">
        <v>3</v>
      </c>
      <c r="E26" s="14">
        <f t="shared" si="3"/>
        <v>1</v>
      </c>
      <c r="F26" s="15" t="s">
        <v>61</v>
      </c>
      <c r="G26" s="15"/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 t="s">
        <v>61</v>
      </c>
      <c r="Q26" s="15"/>
      <c r="R26" s="15"/>
      <c r="S26" s="15" t="s">
        <v>61</v>
      </c>
      <c r="T26" s="15"/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211</v>
      </c>
      <c r="B27" s="13" t="s">
        <v>60</v>
      </c>
      <c r="C27" s="14">
        <v>3</v>
      </c>
      <c r="D27" s="14">
        <v>4</v>
      </c>
      <c r="E27" s="14">
        <f t="shared" si="3"/>
        <v>1</v>
      </c>
      <c r="F27" s="15" t="s">
        <v>61</v>
      </c>
      <c r="G27" s="15"/>
      <c r="H27" s="15"/>
      <c r="I27" s="15"/>
      <c r="J27" s="15"/>
      <c r="K27" s="15" t="s">
        <v>61</v>
      </c>
      <c r="L27" s="15"/>
      <c r="M27" s="15"/>
      <c r="N27" s="15" t="s">
        <v>61</v>
      </c>
      <c r="O27" s="15"/>
      <c r="P27" s="15" t="s">
        <v>61</v>
      </c>
      <c r="Q27" s="15"/>
      <c r="R27" s="15"/>
      <c r="S27" s="15" t="s">
        <v>61</v>
      </c>
      <c r="T27" s="15"/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211</v>
      </c>
      <c r="B28" s="13" t="s">
        <v>60</v>
      </c>
      <c r="C28" s="14">
        <v>4</v>
      </c>
      <c r="D28" s="14">
        <v>5</v>
      </c>
      <c r="E28" s="14">
        <f t="shared" si="3"/>
        <v>1</v>
      </c>
      <c r="F28" s="15" t="s">
        <v>61</v>
      </c>
      <c r="G28" s="15"/>
      <c r="H28" s="15"/>
      <c r="I28" s="15"/>
      <c r="J28" s="15"/>
      <c r="K28" s="15" t="s">
        <v>61</v>
      </c>
      <c r="L28" s="15"/>
      <c r="M28" s="15"/>
      <c r="N28" s="15" t="s">
        <v>61</v>
      </c>
      <c r="O28" s="15"/>
      <c r="P28" s="15" t="s">
        <v>61</v>
      </c>
      <c r="Q28" s="15"/>
      <c r="R28" s="15"/>
      <c r="S28" s="15" t="s">
        <v>61</v>
      </c>
      <c r="T28" s="15"/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211</v>
      </c>
      <c r="B29" s="13" t="s">
        <v>60</v>
      </c>
      <c r="C29" s="14">
        <v>5</v>
      </c>
      <c r="D29" s="14">
        <v>6</v>
      </c>
      <c r="E29" s="14">
        <f t="shared" si="3"/>
        <v>1</v>
      </c>
      <c r="F29" s="15" t="s">
        <v>61</v>
      </c>
      <c r="G29" s="15"/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 t="s">
        <v>61</v>
      </c>
      <c r="Q29" s="15"/>
      <c r="R29" s="15"/>
      <c r="S29" s="15" t="s">
        <v>61</v>
      </c>
      <c r="T29" s="15"/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211</v>
      </c>
      <c r="B30" s="13" t="s">
        <v>60</v>
      </c>
      <c r="C30" s="14">
        <v>6</v>
      </c>
      <c r="D30" s="14">
        <v>7</v>
      </c>
      <c r="E30" s="14">
        <f t="shared" si="3"/>
        <v>1</v>
      </c>
      <c r="F30" s="15" t="s">
        <v>61</v>
      </c>
      <c r="G30" s="15"/>
      <c r="H30" s="15"/>
      <c r="I30" s="15"/>
      <c r="J30" s="15"/>
      <c r="K30" s="15" t="s">
        <v>61</v>
      </c>
      <c r="L30" s="15"/>
      <c r="M30" s="15"/>
      <c r="N30" s="15" t="s">
        <v>61</v>
      </c>
      <c r="O30" s="15"/>
      <c r="P30" s="15" t="s">
        <v>61</v>
      </c>
      <c r="Q30" s="15"/>
      <c r="R30" s="15"/>
      <c r="S30" s="15" t="s">
        <v>61</v>
      </c>
      <c r="T30" s="15"/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211</v>
      </c>
      <c r="B31" s="13" t="s">
        <v>60</v>
      </c>
      <c r="C31" s="14">
        <v>7</v>
      </c>
      <c r="D31" s="14">
        <v>8</v>
      </c>
      <c r="E31" s="14">
        <f t="shared" si="3"/>
        <v>1</v>
      </c>
      <c r="F31" s="15" t="s">
        <v>61</v>
      </c>
      <c r="G31" s="15"/>
      <c r="H31" s="15"/>
      <c r="I31" s="15"/>
      <c r="J31" s="15"/>
      <c r="K31" s="15" t="s">
        <v>61</v>
      </c>
      <c r="L31" s="15"/>
      <c r="M31" s="15"/>
      <c r="N31" s="15" t="s">
        <v>61</v>
      </c>
      <c r="O31" s="15"/>
      <c r="P31" s="15" t="s">
        <v>61</v>
      </c>
      <c r="Q31" s="15"/>
      <c r="R31" s="15"/>
      <c r="S31" s="15" t="s">
        <v>61</v>
      </c>
      <c r="T31" s="15"/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211</v>
      </c>
      <c r="B32" s="13" t="s">
        <v>60</v>
      </c>
      <c r="C32" s="14">
        <v>8</v>
      </c>
      <c r="D32" s="14">
        <v>9</v>
      </c>
      <c r="E32" s="14">
        <f t="shared" si="3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 t="s">
        <v>61</v>
      </c>
      <c r="Q32" s="15"/>
      <c r="R32" s="15"/>
      <c r="S32" s="15" t="s">
        <v>61</v>
      </c>
      <c r="T32" s="15"/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211</v>
      </c>
      <c r="B33" s="13" t="s">
        <v>60</v>
      </c>
      <c r="C33" s="14">
        <v>9</v>
      </c>
      <c r="D33" s="14">
        <v>10</v>
      </c>
      <c r="E33" s="14">
        <f t="shared" si="3"/>
        <v>1</v>
      </c>
      <c r="F33" s="15" t="s">
        <v>61</v>
      </c>
      <c r="G33" s="15"/>
      <c r="H33" s="15"/>
      <c r="I33" s="15"/>
      <c r="J33" s="15"/>
      <c r="K33" s="15" t="s">
        <v>61</v>
      </c>
      <c r="L33" s="15"/>
      <c r="M33" s="15"/>
      <c r="N33" s="15" t="s">
        <v>61</v>
      </c>
      <c r="O33" s="15"/>
      <c r="P33" s="15" t="s">
        <v>61</v>
      </c>
      <c r="Q33" s="15"/>
      <c r="R33" s="15"/>
      <c r="S33" s="15" t="s">
        <v>61</v>
      </c>
      <c r="T33" s="15"/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211</v>
      </c>
      <c r="B34" s="13" t="s">
        <v>60</v>
      </c>
      <c r="C34" s="14">
        <v>10</v>
      </c>
      <c r="D34" s="14">
        <v>11</v>
      </c>
      <c r="E34" s="14">
        <f t="shared" si="3"/>
        <v>1</v>
      </c>
      <c r="F34" s="15" t="s">
        <v>61</v>
      </c>
      <c r="G34" s="15"/>
      <c r="H34" s="15"/>
      <c r="I34" s="15"/>
      <c r="J34" s="15"/>
      <c r="K34" s="15" t="s">
        <v>61</v>
      </c>
      <c r="L34" s="15"/>
      <c r="M34" s="15"/>
      <c r="N34" s="15" t="s">
        <v>61</v>
      </c>
      <c r="O34" s="15"/>
      <c r="P34" s="15" t="s">
        <v>61</v>
      </c>
      <c r="Q34" s="15"/>
      <c r="R34" s="15"/>
      <c r="S34" s="15" t="s">
        <v>61</v>
      </c>
      <c r="T34" s="15"/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211</v>
      </c>
      <c r="B35" s="13" t="s">
        <v>60</v>
      </c>
      <c r="C35" s="14">
        <v>11</v>
      </c>
      <c r="D35" s="14">
        <v>12</v>
      </c>
      <c r="E35" s="14">
        <f t="shared" si="3"/>
        <v>1</v>
      </c>
      <c r="F35" s="15"/>
      <c r="G35" s="15" t="s">
        <v>61</v>
      </c>
      <c r="H35" s="15"/>
      <c r="I35" s="15"/>
      <c r="J35" s="15"/>
      <c r="K35" s="15" t="s">
        <v>61</v>
      </c>
      <c r="L35" s="15"/>
      <c r="M35" s="15"/>
      <c r="N35" s="15" t="s">
        <v>61</v>
      </c>
      <c r="O35" s="15"/>
      <c r="P35" s="15" t="s">
        <v>61</v>
      </c>
      <c r="Q35" s="15"/>
      <c r="R35" s="15"/>
      <c r="S35" s="15" t="s">
        <v>61</v>
      </c>
      <c r="T35" s="15"/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211</v>
      </c>
      <c r="B36" s="13" t="s">
        <v>60</v>
      </c>
      <c r="C36" s="14">
        <v>12</v>
      </c>
      <c r="D36" s="14">
        <v>13</v>
      </c>
      <c r="E36" s="14">
        <f t="shared" si="3"/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/>
      <c r="N36" s="15" t="s">
        <v>61</v>
      </c>
      <c r="O36" s="15"/>
      <c r="P36" s="15" t="s">
        <v>61</v>
      </c>
      <c r="Q36" s="15"/>
      <c r="R36" s="15"/>
      <c r="S36" s="15" t="s">
        <v>61</v>
      </c>
      <c r="T36" s="15"/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211</v>
      </c>
      <c r="B37" s="13" t="s">
        <v>60</v>
      </c>
      <c r="C37" s="14">
        <v>13</v>
      </c>
      <c r="D37" s="14">
        <v>14</v>
      </c>
      <c r="E37" s="14">
        <f t="shared" si="3"/>
        <v>1</v>
      </c>
      <c r="F37" s="15" t="s">
        <v>61</v>
      </c>
      <c r="G37" s="15"/>
      <c r="H37" s="15"/>
      <c r="I37" s="15"/>
      <c r="J37" s="15"/>
      <c r="K37" s="15" t="s">
        <v>61</v>
      </c>
      <c r="L37" s="15"/>
      <c r="M37" s="15"/>
      <c r="N37" s="15" t="s">
        <v>61</v>
      </c>
      <c r="O37" s="15"/>
      <c r="P37" s="15" t="s">
        <v>61</v>
      </c>
      <c r="Q37" s="15"/>
      <c r="R37" s="15"/>
      <c r="S37" s="15" t="s">
        <v>61</v>
      </c>
      <c r="T37" s="15"/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211</v>
      </c>
      <c r="B38" s="13" t="s">
        <v>60</v>
      </c>
      <c r="C38" s="14">
        <v>14</v>
      </c>
      <c r="D38" s="14">
        <v>15</v>
      </c>
      <c r="E38" s="14">
        <f t="shared" si="3"/>
        <v>1</v>
      </c>
      <c r="F38" s="15" t="s">
        <v>61</v>
      </c>
      <c r="G38" s="15"/>
      <c r="H38" s="15"/>
      <c r="I38" s="15"/>
      <c r="J38" s="15"/>
      <c r="K38" s="15" t="s">
        <v>61</v>
      </c>
      <c r="L38" s="15"/>
      <c r="M38" s="15"/>
      <c r="N38" s="15" t="s">
        <v>61</v>
      </c>
      <c r="O38" s="15"/>
      <c r="P38" s="15" t="s">
        <v>61</v>
      </c>
      <c r="Q38" s="15"/>
      <c r="R38" s="15"/>
      <c r="S38" s="15" t="s">
        <v>61</v>
      </c>
      <c r="T38" s="15"/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211</v>
      </c>
      <c r="B39" s="13" t="s">
        <v>60</v>
      </c>
      <c r="C39" s="14">
        <v>15</v>
      </c>
      <c r="D39" s="14">
        <v>16</v>
      </c>
      <c r="E39" s="14">
        <f t="shared" si="3"/>
        <v>1</v>
      </c>
      <c r="F39" s="15" t="s">
        <v>61</v>
      </c>
      <c r="G39" s="15"/>
      <c r="H39" s="15"/>
      <c r="I39" s="15"/>
      <c r="J39" s="15"/>
      <c r="K39" s="15" t="s">
        <v>61</v>
      </c>
      <c r="L39" s="15"/>
      <c r="M39" s="15"/>
      <c r="N39" s="15" t="s">
        <v>61</v>
      </c>
      <c r="O39" s="15"/>
      <c r="P39" s="15" t="s">
        <v>61</v>
      </c>
      <c r="Q39" s="15"/>
      <c r="R39" s="15"/>
      <c r="S39" s="15" t="s">
        <v>61</v>
      </c>
      <c r="T39" s="15"/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211</v>
      </c>
      <c r="B40" s="13" t="s">
        <v>60</v>
      </c>
      <c r="C40" s="14">
        <v>16</v>
      </c>
      <c r="D40" s="14">
        <v>17</v>
      </c>
      <c r="E40" s="14">
        <f t="shared" si="3"/>
        <v>1</v>
      </c>
      <c r="F40" s="15" t="s">
        <v>61</v>
      </c>
      <c r="G40" s="15"/>
      <c r="H40" s="15"/>
      <c r="I40" s="15"/>
      <c r="J40" s="15"/>
      <c r="K40" s="15" t="s">
        <v>61</v>
      </c>
      <c r="L40" s="15"/>
      <c r="M40" s="15"/>
      <c r="N40" s="15" t="s">
        <v>61</v>
      </c>
      <c r="O40" s="15"/>
      <c r="P40" s="15" t="s">
        <v>61</v>
      </c>
      <c r="Q40" s="15"/>
      <c r="R40" s="15"/>
      <c r="S40" s="15" t="s">
        <v>61</v>
      </c>
      <c r="T40" s="15"/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211</v>
      </c>
      <c r="B41" s="13" t="s">
        <v>60</v>
      </c>
      <c r="C41" s="14">
        <v>17</v>
      </c>
      <c r="D41" s="14">
        <v>18</v>
      </c>
      <c r="E41" s="14">
        <f t="shared" si="3"/>
        <v>1</v>
      </c>
      <c r="F41" s="15" t="s">
        <v>61</v>
      </c>
      <c r="G41" s="15"/>
      <c r="H41" s="15"/>
      <c r="I41" s="15"/>
      <c r="J41" s="15"/>
      <c r="K41" s="15" t="s">
        <v>61</v>
      </c>
      <c r="L41" s="15"/>
      <c r="M41" s="15"/>
      <c r="N41" s="15" t="s">
        <v>61</v>
      </c>
      <c r="O41" s="15"/>
      <c r="P41" s="15" t="s">
        <v>61</v>
      </c>
      <c r="Q41" s="15"/>
      <c r="R41" s="15"/>
      <c r="S41" s="15" t="s">
        <v>61</v>
      </c>
      <c r="T41" s="15"/>
      <c r="U41" s="15"/>
      <c r="V41" s="16"/>
      <c r="W41" s="17" t="str">
        <f t="shared" si="4"/>
        <v>OK</v>
      </c>
    </row>
    <row r="42" spans="1:23" ht="20.100000000000001" customHeight="1" x14ac:dyDescent="0.25">
      <c r="A42" s="18" t="s">
        <v>211</v>
      </c>
      <c r="B42" s="19" t="s">
        <v>60</v>
      </c>
      <c r="C42" s="20">
        <v>18</v>
      </c>
      <c r="D42" s="20">
        <v>18.9067427775</v>
      </c>
      <c r="E42" s="20">
        <f t="shared" si="3"/>
        <v>0.90674277749999987</v>
      </c>
      <c r="F42" s="21" t="s">
        <v>61</v>
      </c>
      <c r="G42" s="21"/>
      <c r="H42" s="21"/>
      <c r="I42" s="21"/>
      <c r="J42" s="21"/>
      <c r="K42" s="21" t="s">
        <v>61</v>
      </c>
      <c r="L42" s="21"/>
      <c r="M42" s="21"/>
      <c r="N42" s="21" t="s">
        <v>61</v>
      </c>
      <c r="O42" s="21"/>
      <c r="P42" s="21" t="s">
        <v>61</v>
      </c>
      <c r="Q42" s="21"/>
      <c r="R42" s="21"/>
      <c r="S42" s="21" t="s">
        <v>61</v>
      </c>
      <c r="T42" s="21"/>
      <c r="U42" s="21"/>
      <c r="V42" s="22"/>
      <c r="W42" s="23" t="str">
        <f t="shared" si="4"/>
        <v>OK</v>
      </c>
    </row>
    <row r="43" spans="1:23" ht="15" customHeight="1" x14ac:dyDescent="0.25">
      <c r="A43" s="35" t="s">
        <v>212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3"/>
      <c r="W43" s="4"/>
    </row>
    <row r="44" spans="1:23" ht="15.95" customHeight="1" x14ac:dyDescent="0.25">
      <c r="A44" s="46" t="s">
        <v>213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3"/>
      <c r="W44" s="4"/>
    </row>
    <row r="45" spans="1:23" ht="20.100000000000001" customHeight="1" x14ac:dyDescent="0.25">
      <c r="A45" s="12" t="s">
        <v>214</v>
      </c>
      <c r="B45" s="13" t="s">
        <v>60</v>
      </c>
      <c r="C45" s="14">
        <v>0</v>
      </c>
      <c r="D45" s="14">
        <v>1</v>
      </c>
      <c r="E45" s="14">
        <f t="shared" ref="E45:E71" si="5">D45-C45</f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61</v>
      </c>
      <c r="O45" s="15"/>
      <c r="P45" s="15" t="s">
        <v>61</v>
      </c>
      <c r="Q45" s="15"/>
      <c r="R45" s="15"/>
      <c r="S45" s="15" t="s">
        <v>61</v>
      </c>
      <c r="T45" s="15"/>
      <c r="U45" s="15"/>
      <c r="V45" s="16"/>
      <c r="W45" s="17" t="str">
        <f t="shared" ref="W45:W71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214</v>
      </c>
      <c r="B46" s="13" t="s">
        <v>60</v>
      </c>
      <c r="C46" s="14">
        <v>1</v>
      </c>
      <c r="D46" s="14">
        <v>2</v>
      </c>
      <c r="E46" s="14">
        <f t="shared" si="5"/>
        <v>1</v>
      </c>
      <c r="F46" s="15" t="s">
        <v>61</v>
      </c>
      <c r="G46" s="15"/>
      <c r="H46" s="15"/>
      <c r="I46" s="15"/>
      <c r="J46" s="15"/>
      <c r="K46" s="15" t="s">
        <v>61</v>
      </c>
      <c r="L46" s="15"/>
      <c r="M46" s="15"/>
      <c r="N46" s="15" t="s">
        <v>61</v>
      </c>
      <c r="O46" s="15"/>
      <c r="P46" s="15" t="s">
        <v>61</v>
      </c>
      <c r="Q46" s="15"/>
      <c r="R46" s="15"/>
      <c r="S46" s="15" t="s">
        <v>61</v>
      </c>
      <c r="T46" s="15"/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214</v>
      </c>
      <c r="B47" s="13" t="s">
        <v>60</v>
      </c>
      <c r="C47" s="14">
        <v>2</v>
      </c>
      <c r="D47" s="14">
        <v>3</v>
      </c>
      <c r="E47" s="14">
        <f t="shared" si="5"/>
        <v>1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61</v>
      </c>
      <c r="O47" s="15"/>
      <c r="P47" s="15" t="s">
        <v>61</v>
      </c>
      <c r="Q47" s="15"/>
      <c r="R47" s="15"/>
      <c r="S47" s="15" t="s">
        <v>61</v>
      </c>
      <c r="T47" s="15"/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214</v>
      </c>
      <c r="B48" s="13" t="s">
        <v>60</v>
      </c>
      <c r="C48" s="14">
        <v>3</v>
      </c>
      <c r="D48" s="14">
        <v>4</v>
      </c>
      <c r="E48" s="14">
        <f t="shared" si="5"/>
        <v>1</v>
      </c>
      <c r="F48" s="15" t="s">
        <v>61</v>
      </c>
      <c r="G48" s="15"/>
      <c r="H48" s="15"/>
      <c r="I48" s="15"/>
      <c r="J48" s="15"/>
      <c r="K48" s="15" t="s">
        <v>61</v>
      </c>
      <c r="L48" s="15"/>
      <c r="M48" s="15"/>
      <c r="N48" s="15" t="s">
        <v>61</v>
      </c>
      <c r="O48" s="15"/>
      <c r="P48" s="15" t="s">
        <v>61</v>
      </c>
      <c r="Q48" s="15"/>
      <c r="R48" s="15"/>
      <c r="S48" s="15" t="s">
        <v>61</v>
      </c>
      <c r="T48" s="15"/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214</v>
      </c>
      <c r="B49" s="13" t="s">
        <v>60</v>
      </c>
      <c r="C49" s="14">
        <v>4</v>
      </c>
      <c r="D49" s="14">
        <v>5</v>
      </c>
      <c r="E49" s="14">
        <f t="shared" si="5"/>
        <v>1</v>
      </c>
      <c r="F49" s="15" t="s">
        <v>61</v>
      </c>
      <c r="G49" s="15"/>
      <c r="H49" s="15"/>
      <c r="I49" s="15"/>
      <c r="J49" s="15"/>
      <c r="K49" s="15" t="s">
        <v>61</v>
      </c>
      <c r="L49" s="15"/>
      <c r="M49" s="15"/>
      <c r="N49" s="15" t="s">
        <v>61</v>
      </c>
      <c r="O49" s="15"/>
      <c r="P49" s="15" t="s">
        <v>61</v>
      </c>
      <c r="Q49" s="15"/>
      <c r="R49" s="15"/>
      <c r="S49" s="15" t="s">
        <v>61</v>
      </c>
      <c r="T49" s="15"/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214</v>
      </c>
      <c r="B50" s="13" t="s">
        <v>60</v>
      </c>
      <c r="C50" s="14">
        <v>5</v>
      </c>
      <c r="D50" s="14">
        <v>6</v>
      </c>
      <c r="E50" s="14">
        <f t="shared" si="5"/>
        <v>1</v>
      </c>
      <c r="F50" s="15" t="s">
        <v>61</v>
      </c>
      <c r="G50" s="15"/>
      <c r="H50" s="15"/>
      <c r="I50" s="15"/>
      <c r="J50" s="15"/>
      <c r="K50" s="15" t="s">
        <v>61</v>
      </c>
      <c r="L50" s="15"/>
      <c r="M50" s="15"/>
      <c r="N50" s="15" t="s">
        <v>61</v>
      </c>
      <c r="O50" s="15"/>
      <c r="P50" s="15" t="s">
        <v>61</v>
      </c>
      <c r="Q50" s="15"/>
      <c r="R50" s="15"/>
      <c r="S50" s="15" t="s">
        <v>61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214</v>
      </c>
      <c r="B51" s="13" t="s">
        <v>60</v>
      </c>
      <c r="C51" s="14">
        <v>6</v>
      </c>
      <c r="D51" s="14">
        <v>7</v>
      </c>
      <c r="E51" s="14">
        <f t="shared" si="5"/>
        <v>1</v>
      </c>
      <c r="F51" s="15" t="s">
        <v>61</v>
      </c>
      <c r="G51" s="15"/>
      <c r="H51" s="15"/>
      <c r="I51" s="15"/>
      <c r="J51" s="15"/>
      <c r="K51" s="15" t="s">
        <v>61</v>
      </c>
      <c r="L51" s="15"/>
      <c r="M51" s="15"/>
      <c r="N51" s="15" t="s">
        <v>61</v>
      </c>
      <c r="O51" s="15"/>
      <c r="P51" s="15" t="s">
        <v>61</v>
      </c>
      <c r="Q51" s="15"/>
      <c r="R51" s="15"/>
      <c r="S51" s="15" t="s">
        <v>61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214</v>
      </c>
      <c r="B52" s="13" t="s">
        <v>60</v>
      </c>
      <c r="C52" s="14">
        <v>7</v>
      </c>
      <c r="D52" s="14">
        <v>8</v>
      </c>
      <c r="E52" s="14">
        <f t="shared" si="5"/>
        <v>1</v>
      </c>
      <c r="F52" s="15" t="s">
        <v>61</v>
      </c>
      <c r="G52" s="15"/>
      <c r="H52" s="15"/>
      <c r="I52" s="15"/>
      <c r="J52" s="15"/>
      <c r="K52" s="15" t="s">
        <v>61</v>
      </c>
      <c r="L52" s="15"/>
      <c r="M52" s="15"/>
      <c r="N52" s="15" t="s">
        <v>61</v>
      </c>
      <c r="O52" s="15"/>
      <c r="P52" s="15" t="s">
        <v>61</v>
      </c>
      <c r="Q52" s="15"/>
      <c r="R52" s="15"/>
      <c r="S52" s="15" t="s">
        <v>61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214</v>
      </c>
      <c r="B53" s="13" t="s">
        <v>60</v>
      </c>
      <c r="C53" s="14">
        <v>8</v>
      </c>
      <c r="D53" s="14">
        <v>9</v>
      </c>
      <c r="E53" s="14">
        <f t="shared" si="5"/>
        <v>1</v>
      </c>
      <c r="F53" s="15" t="s">
        <v>61</v>
      </c>
      <c r="G53" s="15"/>
      <c r="H53" s="15"/>
      <c r="I53" s="15"/>
      <c r="J53" s="15"/>
      <c r="K53" s="15" t="s">
        <v>61</v>
      </c>
      <c r="L53" s="15"/>
      <c r="M53" s="15"/>
      <c r="N53" s="15" t="s">
        <v>61</v>
      </c>
      <c r="O53" s="15"/>
      <c r="P53" s="15" t="s">
        <v>61</v>
      </c>
      <c r="Q53" s="15"/>
      <c r="R53" s="15"/>
      <c r="S53" s="15" t="s">
        <v>61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214</v>
      </c>
      <c r="B54" s="13" t="s">
        <v>60</v>
      </c>
      <c r="C54" s="14">
        <v>9</v>
      </c>
      <c r="D54" s="14">
        <v>10</v>
      </c>
      <c r="E54" s="14">
        <f t="shared" si="5"/>
        <v>1</v>
      </c>
      <c r="F54" s="15" t="s">
        <v>61</v>
      </c>
      <c r="G54" s="15"/>
      <c r="H54" s="15"/>
      <c r="I54" s="15"/>
      <c r="J54" s="15"/>
      <c r="K54" s="15" t="s">
        <v>61</v>
      </c>
      <c r="L54" s="15"/>
      <c r="M54" s="15"/>
      <c r="N54" s="15" t="s">
        <v>61</v>
      </c>
      <c r="O54" s="15"/>
      <c r="P54" s="15" t="s">
        <v>61</v>
      </c>
      <c r="Q54" s="15"/>
      <c r="R54" s="15"/>
      <c r="S54" s="15" t="s">
        <v>61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214</v>
      </c>
      <c r="B55" s="13" t="s">
        <v>60</v>
      </c>
      <c r="C55" s="14">
        <v>10</v>
      </c>
      <c r="D55" s="14">
        <v>11</v>
      </c>
      <c r="E55" s="14">
        <f t="shared" si="5"/>
        <v>1</v>
      </c>
      <c r="F55" s="15" t="s">
        <v>61</v>
      </c>
      <c r="G55" s="15"/>
      <c r="H55" s="15"/>
      <c r="I55" s="15"/>
      <c r="J55" s="15"/>
      <c r="K55" s="15" t="s">
        <v>61</v>
      </c>
      <c r="L55" s="15"/>
      <c r="M55" s="15"/>
      <c r="N55" s="15" t="s">
        <v>61</v>
      </c>
      <c r="O55" s="15"/>
      <c r="P55" s="15" t="s">
        <v>61</v>
      </c>
      <c r="Q55" s="15"/>
      <c r="R55" s="15"/>
      <c r="S55" s="15" t="s">
        <v>61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214</v>
      </c>
      <c r="B56" s="13" t="s">
        <v>60</v>
      </c>
      <c r="C56" s="14">
        <v>11</v>
      </c>
      <c r="D56" s="14">
        <v>12</v>
      </c>
      <c r="E56" s="14">
        <f t="shared" si="5"/>
        <v>1</v>
      </c>
      <c r="F56" s="15" t="s">
        <v>61</v>
      </c>
      <c r="G56" s="15"/>
      <c r="H56" s="15"/>
      <c r="I56" s="15"/>
      <c r="J56" s="15"/>
      <c r="K56" s="15" t="s">
        <v>61</v>
      </c>
      <c r="L56" s="15"/>
      <c r="M56" s="15"/>
      <c r="N56" s="15" t="s">
        <v>61</v>
      </c>
      <c r="O56" s="15"/>
      <c r="P56" s="15" t="s">
        <v>61</v>
      </c>
      <c r="Q56" s="15"/>
      <c r="R56" s="15"/>
      <c r="S56" s="15" t="s">
        <v>61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2" t="s">
        <v>214</v>
      </c>
      <c r="B57" s="13" t="s">
        <v>60</v>
      </c>
      <c r="C57" s="14">
        <v>12</v>
      </c>
      <c r="D57" s="14">
        <v>13</v>
      </c>
      <c r="E57" s="14">
        <f t="shared" si="5"/>
        <v>1</v>
      </c>
      <c r="F57" s="15" t="s">
        <v>61</v>
      </c>
      <c r="G57" s="15"/>
      <c r="H57" s="15"/>
      <c r="I57" s="15"/>
      <c r="J57" s="15"/>
      <c r="K57" s="15" t="s">
        <v>61</v>
      </c>
      <c r="L57" s="15"/>
      <c r="M57" s="15"/>
      <c r="N57" s="15" t="s">
        <v>61</v>
      </c>
      <c r="O57" s="15"/>
      <c r="P57" s="15" t="s">
        <v>61</v>
      </c>
      <c r="Q57" s="15"/>
      <c r="R57" s="15"/>
      <c r="S57" s="15" t="s">
        <v>61</v>
      </c>
      <c r="T57" s="15"/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214</v>
      </c>
      <c r="B58" s="13" t="s">
        <v>60</v>
      </c>
      <c r="C58" s="14">
        <v>13</v>
      </c>
      <c r="D58" s="14">
        <v>14</v>
      </c>
      <c r="E58" s="14">
        <f t="shared" si="5"/>
        <v>1</v>
      </c>
      <c r="F58" s="15" t="s">
        <v>61</v>
      </c>
      <c r="G58" s="15"/>
      <c r="H58" s="15"/>
      <c r="I58" s="15"/>
      <c r="J58" s="15"/>
      <c r="K58" s="15" t="s">
        <v>61</v>
      </c>
      <c r="L58" s="15"/>
      <c r="M58" s="15"/>
      <c r="N58" s="15" t="s">
        <v>61</v>
      </c>
      <c r="O58" s="15"/>
      <c r="P58" s="15" t="s">
        <v>61</v>
      </c>
      <c r="Q58" s="15"/>
      <c r="R58" s="15"/>
      <c r="S58" s="15" t="s">
        <v>61</v>
      </c>
      <c r="T58" s="15"/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214</v>
      </c>
      <c r="B59" s="13" t="s">
        <v>60</v>
      </c>
      <c r="C59" s="14">
        <v>14</v>
      </c>
      <c r="D59" s="14">
        <v>15</v>
      </c>
      <c r="E59" s="14">
        <f t="shared" si="5"/>
        <v>1</v>
      </c>
      <c r="F59" s="15" t="s">
        <v>61</v>
      </c>
      <c r="G59" s="15"/>
      <c r="H59" s="15"/>
      <c r="I59" s="15"/>
      <c r="J59" s="15"/>
      <c r="K59" s="15" t="s">
        <v>61</v>
      </c>
      <c r="L59" s="15"/>
      <c r="M59" s="15"/>
      <c r="N59" s="15" t="s">
        <v>61</v>
      </c>
      <c r="O59" s="15"/>
      <c r="P59" s="15" t="s">
        <v>61</v>
      </c>
      <c r="Q59" s="15"/>
      <c r="R59" s="15"/>
      <c r="S59" s="15" t="s">
        <v>61</v>
      </c>
      <c r="T59" s="15"/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214</v>
      </c>
      <c r="B60" s="13" t="s">
        <v>60</v>
      </c>
      <c r="C60" s="14">
        <v>15</v>
      </c>
      <c r="D60" s="14">
        <v>16</v>
      </c>
      <c r="E60" s="14">
        <f t="shared" si="5"/>
        <v>1</v>
      </c>
      <c r="F60" s="15" t="s">
        <v>61</v>
      </c>
      <c r="G60" s="15"/>
      <c r="H60" s="15"/>
      <c r="I60" s="15"/>
      <c r="J60" s="15"/>
      <c r="K60" s="15" t="s">
        <v>61</v>
      </c>
      <c r="L60" s="15"/>
      <c r="M60" s="15"/>
      <c r="N60" s="15" t="s">
        <v>61</v>
      </c>
      <c r="O60" s="15"/>
      <c r="P60" s="15" t="s">
        <v>61</v>
      </c>
      <c r="Q60" s="15"/>
      <c r="R60" s="15"/>
      <c r="S60" s="15" t="s">
        <v>61</v>
      </c>
      <c r="T60" s="15"/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214</v>
      </c>
      <c r="B61" s="13" t="s">
        <v>60</v>
      </c>
      <c r="C61" s="14">
        <v>16</v>
      </c>
      <c r="D61" s="14">
        <v>17</v>
      </c>
      <c r="E61" s="14">
        <f t="shared" si="5"/>
        <v>1</v>
      </c>
      <c r="F61" s="15" t="s">
        <v>61</v>
      </c>
      <c r="G61" s="15"/>
      <c r="H61" s="15"/>
      <c r="I61" s="15"/>
      <c r="J61" s="15"/>
      <c r="K61" s="15" t="s">
        <v>61</v>
      </c>
      <c r="L61" s="15"/>
      <c r="M61" s="15"/>
      <c r="N61" s="15" t="s">
        <v>61</v>
      </c>
      <c r="O61" s="15"/>
      <c r="P61" s="15" t="s">
        <v>61</v>
      </c>
      <c r="Q61" s="15"/>
      <c r="R61" s="15"/>
      <c r="S61" s="15" t="s">
        <v>61</v>
      </c>
      <c r="T61" s="15"/>
      <c r="U61" s="15"/>
      <c r="V61" s="16"/>
      <c r="W61" s="17" t="str">
        <f t="shared" si="6"/>
        <v>OK</v>
      </c>
    </row>
    <row r="62" spans="1:23" ht="20.100000000000001" customHeight="1" x14ac:dyDescent="0.25">
      <c r="A62" s="12" t="s">
        <v>214</v>
      </c>
      <c r="B62" s="13" t="s">
        <v>60</v>
      </c>
      <c r="C62" s="14">
        <v>17</v>
      </c>
      <c r="D62" s="14">
        <v>18</v>
      </c>
      <c r="E62" s="14">
        <f t="shared" si="5"/>
        <v>1</v>
      </c>
      <c r="F62" s="15" t="s">
        <v>61</v>
      </c>
      <c r="G62" s="15"/>
      <c r="H62" s="15"/>
      <c r="I62" s="15"/>
      <c r="J62" s="15"/>
      <c r="K62" s="15" t="s">
        <v>61</v>
      </c>
      <c r="L62" s="15"/>
      <c r="M62" s="15"/>
      <c r="N62" s="15" t="s">
        <v>61</v>
      </c>
      <c r="O62" s="15"/>
      <c r="P62" s="15" t="s">
        <v>61</v>
      </c>
      <c r="Q62" s="15"/>
      <c r="R62" s="15"/>
      <c r="S62" s="15" t="s">
        <v>61</v>
      </c>
      <c r="T62" s="15"/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214</v>
      </c>
      <c r="B63" s="13" t="s">
        <v>60</v>
      </c>
      <c r="C63" s="14">
        <v>18</v>
      </c>
      <c r="D63" s="14">
        <v>19</v>
      </c>
      <c r="E63" s="14">
        <f t="shared" si="5"/>
        <v>1</v>
      </c>
      <c r="F63" s="15" t="s">
        <v>61</v>
      </c>
      <c r="G63" s="15"/>
      <c r="H63" s="15"/>
      <c r="I63" s="15"/>
      <c r="J63" s="15"/>
      <c r="K63" s="15" t="s">
        <v>61</v>
      </c>
      <c r="L63" s="15"/>
      <c r="M63" s="15"/>
      <c r="N63" s="15" t="s">
        <v>61</v>
      </c>
      <c r="O63" s="15"/>
      <c r="P63" s="15" t="s">
        <v>61</v>
      </c>
      <c r="Q63" s="15"/>
      <c r="R63" s="15"/>
      <c r="S63" s="15" t="s">
        <v>61</v>
      </c>
      <c r="T63" s="15"/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214</v>
      </c>
      <c r="B64" s="13" t="s">
        <v>60</v>
      </c>
      <c r="C64" s="14">
        <v>19</v>
      </c>
      <c r="D64" s="14">
        <v>20</v>
      </c>
      <c r="E64" s="14">
        <f t="shared" si="5"/>
        <v>1</v>
      </c>
      <c r="F64" s="15" t="s">
        <v>61</v>
      </c>
      <c r="G64" s="15"/>
      <c r="H64" s="15"/>
      <c r="I64" s="15"/>
      <c r="J64" s="15"/>
      <c r="K64" s="15" t="s">
        <v>61</v>
      </c>
      <c r="L64" s="15"/>
      <c r="M64" s="15"/>
      <c r="N64" s="15" t="s">
        <v>61</v>
      </c>
      <c r="O64" s="15"/>
      <c r="P64" s="15" t="s">
        <v>61</v>
      </c>
      <c r="Q64" s="15"/>
      <c r="R64" s="15"/>
      <c r="S64" s="15" t="s">
        <v>61</v>
      </c>
      <c r="T64" s="15"/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214</v>
      </c>
      <c r="B65" s="13" t="s">
        <v>60</v>
      </c>
      <c r="C65" s="14">
        <v>20</v>
      </c>
      <c r="D65" s="14">
        <v>21</v>
      </c>
      <c r="E65" s="14">
        <f t="shared" si="5"/>
        <v>1</v>
      </c>
      <c r="F65" s="15" t="s">
        <v>61</v>
      </c>
      <c r="G65" s="15"/>
      <c r="H65" s="15"/>
      <c r="I65" s="15"/>
      <c r="J65" s="15"/>
      <c r="K65" s="15" t="s">
        <v>61</v>
      </c>
      <c r="L65" s="15"/>
      <c r="M65" s="15"/>
      <c r="N65" s="15" t="s">
        <v>61</v>
      </c>
      <c r="O65" s="15"/>
      <c r="P65" s="15" t="s">
        <v>61</v>
      </c>
      <c r="Q65" s="15"/>
      <c r="R65" s="15"/>
      <c r="S65" s="15" t="s">
        <v>61</v>
      </c>
      <c r="T65" s="15"/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214</v>
      </c>
      <c r="B66" s="13" t="s">
        <v>60</v>
      </c>
      <c r="C66" s="14">
        <v>21</v>
      </c>
      <c r="D66" s="14">
        <v>22</v>
      </c>
      <c r="E66" s="14">
        <f t="shared" si="5"/>
        <v>1</v>
      </c>
      <c r="F66" s="15" t="s">
        <v>61</v>
      </c>
      <c r="G66" s="15"/>
      <c r="H66" s="15"/>
      <c r="I66" s="15"/>
      <c r="J66" s="15"/>
      <c r="K66" s="15" t="s">
        <v>61</v>
      </c>
      <c r="L66" s="15"/>
      <c r="M66" s="15"/>
      <c r="N66" s="15" t="s">
        <v>61</v>
      </c>
      <c r="O66" s="15"/>
      <c r="P66" s="15" t="s">
        <v>61</v>
      </c>
      <c r="Q66" s="15"/>
      <c r="R66" s="15"/>
      <c r="S66" s="15" t="s">
        <v>61</v>
      </c>
      <c r="T66" s="15"/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214</v>
      </c>
      <c r="B67" s="13" t="s">
        <v>60</v>
      </c>
      <c r="C67" s="14">
        <v>22</v>
      </c>
      <c r="D67" s="14">
        <v>23</v>
      </c>
      <c r="E67" s="14">
        <f t="shared" si="5"/>
        <v>1</v>
      </c>
      <c r="F67" s="15" t="s">
        <v>61</v>
      </c>
      <c r="G67" s="15"/>
      <c r="H67" s="15"/>
      <c r="I67" s="15"/>
      <c r="J67" s="15"/>
      <c r="K67" s="15" t="s">
        <v>61</v>
      </c>
      <c r="L67" s="15"/>
      <c r="M67" s="15"/>
      <c r="N67" s="15" t="s">
        <v>61</v>
      </c>
      <c r="O67" s="15"/>
      <c r="P67" s="15" t="s">
        <v>61</v>
      </c>
      <c r="Q67" s="15"/>
      <c r="R67" s="15"/>
      <c r="S67" s="15" t="s">
        <v>61</v>
      </c>
      <c r="T67" s="15"/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214</v>
      </c>
      <c r="B68" s="13" t="s">
        <v>60</v>
      </c>
      <c r="C68" s="14">
        <v>23</v>
      </c>
      <c r="D68" s="14">
        <v>24</v>
      </c>
      <c r="E68" s="14">
        <f t="shared" si="5"/>
        <v>1</v>
      </c>
      <c r="F68" s="15" t="s">
        <v>61</v>
      </c>
      <c r="G68" s="15"/>
      <c r="H68" s="15"/>
      <c r="I68" s="15"/>
      <c r="J68" s="15"/>
      <c r="K68" s="15" t="s">
        <v>61</v>
      </c>
      <c r="L68" s="15"/>
      <c r="M68" s="15"/>
      <c r="N68" s="15" t="s">
        <v>61</v>
      </c>
      <c r="O68" s="15"/>
      <c r="P68" s="15" t="s">
        <v>61</v>
      </c>
      <c r="Q68" s="15"/>
      <c r="R68" s="15"/>
      <c r="S68" s="15" t="s">
        <v>61</v>
      </c>
      <c r="T68" s="15"/>
      <c r="U68" s="15"/>
      <c r="V68" s="16"/>
      <c r="W68" s="17" t="str">
        <f t="shared" si="6"/>
        <v>OK</v>
      </c>
    </row>
    <row r="69" spans="1:23" ht="20.100000000000001" customHeight="1" x14ac:dyDescent="0.25">
      <c r="A69" s="12" t="s">
        <v>214</v>
      </c>
      <c r="B69" s="13" t="s">
        <v>60</v>
      </c>
      <c r="C69" s="14">
        <v>24</v>
      </c>
      <c r="D69" s="14">
        <v>25</v>
      </c>
      <c r="E69" s="14">
        <f t="shared" si="5"/>
        <v>1</v>
      </c>
      <c r="F69" s="15" t="s">
        <v>61</v>
      </c>
      <c r="G69" s="15"/>
      <c r="H69" s="15"/>
      <c r="I69" s="15"/>
      <c r="J69" s="15"/>
      <c r="K69" s="15" t="s">
        <v>61</v>
      </c>
      <c r="L69" s="15"/>
      <c r="M69" s="15"/>
      <c r="N69" s="15" t="s">
        <v>61</v>
      </c>
      <c r="O69" s="15"/>
      <c r="P69" s="15" t="s">
        <v>61</v>
      </c>
      <c r="Q69" s="15"/>
      <c r="R69" s="15"/>
      <c r="S69" s="15" t="s">
        <v>61</v>
      </c>
      <c r="T69" s="15"/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214</v>
      </c>
      <c r="B70" s="13" t="s">
        <v>60</v>
      </c>
      <c r="C70" s="14">
        <v>25</v>
      </c>
      <c r="D70" s="14">
        <v>26</v>
      </c>
      <c r="E70" s="14">
        <f t="shared" si="5"/>
        <v>1</v>
      </c>
      <c r="F70" s="15" t="s">
        <v>61</v>
      </c>
      <c r="G70" s="15"/>
      <c r="H70" s="15"/>
      <c r="I70" s="15"/>
      <c r="J70" s="15"/>
      <c r="K70" s="15" t="s">
        <v>61</v>
      </c>
      <c r="L70" s="15"/>
      <c r="M70" s="15"/>
      <c r="N70" s="15" t="s">
        <v>61</v>
      </c>
      <c r="O70" s="15"/>
      <c r="P70" s="15" t="s">
        <v>61</v>
      </c>
      <c r="Q70" s="15"/>
      <c r="R70" s="15"/>
      <c r="S70" s="15" t="s">
        <v>61</v>
      </c>
      <c r="T70" s="15"/>
      <c r="U70" s="15"/>
      <c r="V70" s="16"/>
      <c r="W70" s="17" t="str">
        <f t="shared" si="6"/>
        <v>OK</v>
      </c>
    </row>
    <row r="71" spans="1:23" ht="20.100000000000001" customHeight="1" x14ac:dyDescent="0.25">
      <c r="A71" s="18" t="s">
        <v>214</v>
      </c>
      <c r="B71" s="19" t="s">
        <v>60</v>
      </c>
      <c r="C71" s="20">
        <v>26</v>
      </c>
      <c r="D71" s="20">
        <v>26.375122450999999</v>
      </c>
      <c r="E71" s="20">
        <f t="shared" si="5"/>
        <v>0.3751224509999993</v>
      </c>
      <c r="F71" s="21" t="s">
        <v>61</v>
      </c>
      <c r="G71" s="21"/>
      <c r="H71" s="21"/>
      <c r="I71" s="21"/>
      <c r="J71" s="21"/>
      <c r="K71" s="21" t="s">
        <v>61</v>
      </c>
      <c r="L71" s="21"/>
      <c r="M71" s="21"/>
      <c r="N71" s="21" t="s">
        <v>61</v>
      </c>
      <c r="O71" s="21"/>
      <c r="P71" s="21" t="s">
        <v>61</v>
      </c>
      <c r="Q71" s="21"/>
      <c r="R71" s="21"/>
      <c r="S71" s="21" t="s">
        <v>61</v>
      </c>
      <c r="T71" s="21"/>
      <c r="U71" s="21"/>
      <c r="V71" s="22"/>
      <c r="W71" s="23" t="str">
        <f t="shared" si="6"/>
        <v>OK</v>
      </c>
    </row>
    <row r="72" spans="1:23" ht="15.95" customHeight="1" x14ac:dyDescent="0.25">
      <c r="A72" s="46" t="s">
        <v>215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3"/>
      <c r="W72" s="4"/>
    </row>
    <row r="73" spans="1:23" ht="20.100000000000001" customHeight="1" x14ac:dyDescent="0.25">
      <c r="A73" s="12" t="s">
        <v>216</v>
      </c>
      <c r="B73" s="13" t="s">
        <v>60</v>
      </c>
      <c r="C73" s="14">
        <v>0</v>
      </c>
      <c r="D73" s="14">
        <v>1</v>
      </c>
      <c r="E73" s="14">
        <f>D73-C73</f>
        <v>1</v>
      </c>
      <c r="F73" s="15" t="s">
        <v>61</v>
      </c>
      <c r="G73" s="15"/>
      <c r="H73" s="15"/>
      <c r="I73" s="15"/>
      <c r="J73" s="15"/>
      <c r="K73" s="15" t="s">
        <v>61</v>
      </c>
      <c r="L73" s="15"/>
      <c r="M73" s="15"/>
      <c r="N73" s="15" t="s">
        <v>61</v>
      </c>
      <c r="O73" s="15"/>
      <c r="P73" s="15" t="s">
        <v>61</v>
      </c>
      <c r="Q73" s="15"/>
      <c r="R73" s="15"/>
      <c r="S73" s="15" t="s">
        <v>61</v>
      </c>
      <c r="T73" s="15"/>
      <c r="U73" s="15"/>
      <c r="V73" s="16"/>
      <c r="W73" s="17" t="str">
        <f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8" t="s">
        <v>216</v>
      </c>
      <c r="B74" s="19" t="s">
        <v>60</v>
      </c>
      <c r="C74" s="20">
        <v>1</v>
      </c>
      <c r="D74" s="20">
        <v>1.0743843011400001</v>
      </c>
      <c r="E74" s="20">
        <f>D74-C74</f>
        <v>7.4384301140000053E-2</v>
      </c>
      <c r="F74" s="21" t="s">
        <v>61</v>
      </c>
      <c r="G74" s="21"/>
      <c r="H74" s="21"/>
      <c r="I74" s="21"/>
      <c r="J74" s="21"/>
      <c r="K74" s="21" t="s">
        <v>61</v>
      </c>
      <c r="L74" s="21"/>
      <c r="M74" s="21"/>
      <c r="N74" s="21" t="s">
        <v>61</v>
      </c>
      <c r="O74" s="21"/>
      <c r="P74" s="21" t="s">
        <v>61</v>
      </c>
      <c r="Q74" s="21"/>
      <c r="R74" s="21"/>
      <c r="S74" s="21" t="s">
        <v>61</v>
      </c>
      <c r="T74" s="21"/>
      <c r="U74" s="21"/>
      <c r="V74" s="22"/>
      <c r="W74" s="23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15.95" customHeight="1" x14ac:dyDescent="0.25">
      <c r="A75" s="46" t="s">
        <v>217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3"/>
      <c r="W75" s="4"/>
    </row>
    <row r="76" spans="1:23" ht="20.100000000000001" customHeight="1" x14ac:dyDescent="0.25">
      <c r="A76" s="12" t="s">
        <v>218</v>
      </c>
      <c r="B76" s="13" t="s">
        <v>60</v>
      </c>
      <c r="C76" s="14">
        <v>0</v>
      </c>
      <c r="D76" s="14">
        <v>1</v>
      </c>
      <c r="E76" s="14">
        <f>D76-C76</f>
        <v>1</v>
      </c>
      <c r="F76" s="15" t="s">
        <v>61</v>
      </c>
      <c r="G76" s="15"/>
      <c r="H76" s="15"/>
      <c r="I76" s="15"/>
      <c r="J76" s="15"/>
      <c r="K76" s="15" t="s">
        <v>61</v>
      </c>
      <c r="L76" s="15"/>
      <c r="M76" s="15"/>
      <c r="N76" s="15" t="s">
        <v>61</v>
      </c>
      <c r="O76" s="15"/>
      <c r="P76" s="15" t="s">
        <v>61</v>
      </c>
      <c r="Q76" s="15"/>
      <c r="R76" s="15"/>
      <c r="S76" s="15" t="s">
        <v>61</v>
      </c>
      <c r="T76" s="15"/>
      <c r="U76" s="15"/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2" t="s">
        <v>218</v>
      </c>
      <c r="B77" s="13" t="s">
        <v>60</v>
      </c>
      <c r="C77" s="14">
        <v>1</v>
      </c>
      <c r="D77" s="14">
        <v>2</v>
      </c>
      <c r="E77" s="14">
        <f>D77-C77</f>
        <v>1</v>
      </c>
      <c r="F77" s="15" t="s">
        <v>61</v>
      </c>
      <c r="G77" s="15"/>
      <c r="H77" s="15"/>
      <c r="I77" s="15"/>
      <c r="J77" s="15"/>
      <c r="K77" s="15" t="s">
        <v>61</v>
      </c>
      <c r="L77" s="15"/>
      <c r="M77" s="15"/>
      <c r="N77" s="15" t="s">
        <v>61</v>
      </c>
      <c r="O77" s="15"/>
      <c r="P77" s="15" t="s">
        <v>61</v>
      </c>
      <c r="Q77" s="15"/>
      <c r="R77" s="15"/>
      <c r="S77" s="15" t="s">
        <v>61</v>
      </c>
      <c r="T77" s="15"/>
      <c r="U77" s="15"/>
      <c r="V77" s="16"/>
      <c r="W77" s="17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8" spans="1:23" ht="20.100000000000001" customHeight="1" x14ac:dyDescent="0.25">
      <c r="A78" s="18" t="s">
        <v>218</v>
      </c>
      <c r="B78" s="19" t="s">
        <v>60</v>
      </c>
      <c r="C78" s="20">
        <v>2</v>
      </c>
      <c r="D78" s="20">
        <v>2.49792015985</v>
      </c>
      <c r="E78" s="20">
        <f>D78-C78</f>
        <v>0.49792015985000004</v>
      </c>
      <c r="F78" s="21" t="s">
        <v>61</v>
      </c>
      <c r="G78" s="21"/>
      <c r="H78" s="21"/>
      <c r="I78" s="21"/>
      <c r="J78" s="21"/>
      <c r="K78" s="21" t="s">
        <v>61</v>
      </c>
      <c r="L78" s="21"/>
      <c r="M78" s="21"/>
      <c r="N78" s="21" t="s">
        <v>61</v>
      </c>
      <c r="O78" s="21"/>
      <c r="P78" s="21" t="s">
        <v>61</v>
      </c>
      <c r="Q78" s="21"/>
      <c r="R78" s="21"/>
      <c r="S78" s="21" t="s">
        <v>61</v>
      </c>
      <c r="T78" s="21"/>
      <c r="U78" s="21"/>
      <c r="V78" s="22"/>
      <c r="W78" s="23" t="str">
        <f>IF(COUNTA(F78:U78)=0,"— não preenchido",IF(COUNTIF(F78:J78,"X")&lt;&gt;1,"FALTA/DUPLA: CONDIÇÃO DO PAVIMENTO",IF(COUNTIF(K78:L78,"X")&lt;&gt;1,"FALTA/DUPLA: VEGETAÇÃO",IF(COUNTIF(M78:O78,"X")&lt;&gt;1,"FALTA/DUPLA: ELEM. DE DRENAGEM",IF(COUNTIF(P78:R78,"X")&lt;&gt;1,"FALTA/DUPLA: SIN. HORIZ.",IF(COUNTIF(S78:U78,"X")&lt;&gt;1,"FALTA/DUPLA: SIN. VERTICAL","OK"))))))</f>
        <v>OK</v>
      </c>
    </row>
    <row r="79" spans="1:23" ht="15" customHeight="1" x14ac:dyDescent="0.25">
      <c r="A79" s="35" t="s">
        <v>219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3"/>
      <c r="W79" s="4"/>
    </row>
    <row r="80" spans="1:23" ht="15.95" customHeight="1" x14ac:dyDescent="0.25">
      <c r="A80" s="46" t="s">
        <v>220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3"/>
      <c r="W80" s="4"/>
    </row>
    <row r="81" spans="1:23" ht="20.100000000000001" customHeight="1" x14ac:dyDescent="0.25">
      <c r="A81" s="18" t="s">
        <v>221</v>
      </c>
      <c r="B81" s="19" t="s">
        <v>60</v>
      </c>
      <c r="C81" s="20">
        <v>0</v>
      </c>
      <c r="D81" s="20">
        <v>0.92253259707099999</v>
      </c>
      <c r="E81" s="20">
        <f>D81-C81</f>
        <v>0.92253259707099999</v>
      </c>
      <c r="F81" s="21" t="s">
        <v>61</v>
      </c>
      <c r="G81" s="21"/>
      <c r="H81" s="21"/>
      <c r="I81" s="21"/>
      <c r="J81" s="21"/>
      <c r="K81" s="21" t="s">
        <v>61</v>
      </c>
      <c r="L81" s="21"/>
      <c r="M81" s="21"/>
      <c r="N81" s="21" t="s">
        <v>61</v>
      </c>
      <c r="O81" s="21"/>
      <c r="P81" s="21" t="s">
        <v>61</v>
      </c>
      <c r="Q81" s="21"/>
      <c r="R81" s="21"/>
      <c r="S81" s="21" t="s">
        <v>61</v>
      </c>
      <c r="T81" s="21"/>
      <c r="U81" s="21"/>
      <c r="V81" s="22"/>
      <c r="W81" s="23" t="str">
        <f>IF(COUNTA(F81:U81)=0,"— não preenchido",IF(COUNTIF(F81:J81,"X")&lt;&gt;1,"FALTA/DUPLA: CONDIÇÃO DO PAVIMENTO",IF(COUNTIF(K81:L81,"X")&lt;&gt;1,"FALTA/DUPLA: VEGETAÇÃO",IF(COUNTIF(M81:O81,"X")&lt;&gt;1,"FALTA/DUPLA: ELEM. DE DRENAGEM",IF(COUNTIF(P81:R81,"X")&lt;&gt;1,"FALTA/DUPLA: SIN. HORIZ.",IF(COUNTIF(S81:U81,"X")&lt;&gt;1,"FALTA/DUPLA: SIN. VERTICAL","OK"))))))</f>
        <v>OK</v>
      </c>
    </row>
    <row r="83" spans="1:23" x14ac:dyDescent="0.25">
      <c r="A83" s="38" t="s">
        <v>67</v>
      </c>
      <c r="B83" s="28"/>
      <c r="C83" s="28"/>
      <c r="D83" s="28"/>
      <c r="E83" s="28"/>
      <c r="G83" s="38" t="s">
        <v>67</v>
      </c>
      <c r="H83" s="28"/>
      <c r="I83" s="28"/>
      <c r="J83" s="28"/>
      <c r="K83" s="28"/>
    </row>
    <row r="84" spans="1:23" x14ac:dyDescent="0.25">
      <c r="A84" s="36" t="s">
        <v>68</v>
      </c>
      <c r="B84" s="28"/>
      <c r="C84" s="28"/>
      <c r="D84" s="28"/>
      <c r="E84" s="28"/>
      <c r="G84" s="36" t="s">
        <v>69</v>
      </c>
      <c r="H84" s="28"/>
      <c r="I84" s="28"/>
      <c r="J84" s="28"/>
      <c r="K84" s="28"/>
    </row>
    <row r="86" spans="1:23" x14ac:dyDescent="0.25">
      <c r="A86" s="37" t="s">
        <v>70</v>
      </c>
      <c r="B86" s="28"/>
      <c r="C86" s="28"/>
      <c r="D86" s="28"/>
      <c r="E86" s="28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3" x14ac:dyDescent="0.25">
      <c r="A87" s="34" t="s">
        <v>71</v>
      </c>
      <c r="B87" s="28"/>
      <c r="C87" s="28"/>
      <c r="D87" s="28"/>
      <c r="E87" s="28"/>
      <c r="F87" s="9">
        <f t="shared" ref="F87:U87" si="7">SUMIF(F$9:F$81,"X",$E$9:$E$81)</f>
        <v>60.884362258121996</v>
      </c>
      <c r="G87" s="9">
        <f t="shared" si="7"/>
        <v>1</v>
      </c>
      <c r="H87" s="9">
        <f t="shared" si="7"/>
        <v>0</v>
      </c>
      <c r="I87" s="9">
        <f t="shared" si="7"/>
        <v>0</v>
      </c>
      <c r="J87" s="9">
        <f t="shared" si="7"/>
        <v>0</v>
      </c>
      <c r="K87" s="9">
        <f t="shared" si="7"/>
        <v>61.884362258121996</v>
      </c>
      <c r="L87" s="9">
        <f t="shared" si="7"/>
        <v>0</v>
      </c>
      <c r="M87" s="9">
        <f t="shared" si="7"/>
        <v>0</v>
      </c>
      <c r="N87" s="9">
        <f t="shared" si="7"/>
        <v>61.884362258121996</v>
      </c>
      <c r="O87" s="9">
        <f t="shared" si="7"/>
        <v>0</v>
      </c>
      <c r="P87" s="9">
        <f t="shared" si="7"/>
        <v>61.884362258121996</v>
      </c>
      <c r="Q87" s="9">
        <f t="shared" si="7"/>
        <v>0</v>
      </c>
      <c r="R87" s="9">
        <f t="shared" si="7"/>
        <v>0</v>
      </c>
      <c r="S87" s="9">
        <f t="shared" si="7"/>
        <v>49.77670228656099</v>
      </c>
      <c r="T87" s="9">
        <f t="shared" si="7"/>
        <v>12.107659971560999</v>
      </c>
      <c r="U87" s="9">
        <f t="shared" si="7"/>
        <v>0</v>
      </c>
    </row>
    <row r="88" spans="1:23" x14ac:dyDescent="0.25">
      <c r="A88" s="34" t="s">
        <v>72</v>
      </c>
      <c r="B88" s="28"/>
      <c r="C88" s="28"/>
      <c r="D88" s="28"/>
      <c r="E88" s="28"/>
      <c r="F88" s="25">
        <f t="shared" ref="F88:U88" si="8">IF($R90=0,0,F87/$R90)</f>
        <v>0.98384082886999846</v>
      </c>
      <c r="G88" s="25">
        <f t="shared" si="8"/>
        <v>1.615917113000151E-2</v>
      </c>
      <c r="H88" s="25">
        <f t="shared" si="8"/>
        <v>0</v>
      </c>
      <c r="I88" s="25">
        <f t="shared" si="8"/>
        <v>0</v>
      </c>
      <c r="J88" s="25">
        <f t="shared" si="8"/>
        <v>0</v>
      </c>
      <c r="K88" s="25">
        <f t="shared" si="8"/>
        <v>1</v>
      </c>
      <c r="L88" s="25">
        <f t="shared" si="8"/>
        <v>0</v>
      </c>
      <c r="M88" s="25">
        <f t="shared" si="8"/>
        <v>0</v>
      </c>
      <c r="N88" s="25">
        <f t="shared" si="8"/>
        <v>1</v>
      </c>
      <c r="O88" s="25">
        <f t="shared" si="8"/>
        <v>0</v>
      </c>
      <c r="P88" s="25">
        <f t="shared" si="8"/>
        <v>1</v>
      </c>
      <c r="Q88" s="25">
        <f t="shared" si="8"/>
        <v>0</v>
      </c>
      <c r="R88" s="25">
        <f t="shared" si="8"/>
        <v>0</v>
      </c>
      <c r="S88" s="25">
        <f t="shared" si="8"/>
        <v>0.80435025053567655</v>
      </c>
      <c r="T88" s="25">
        <f t="shared" si="8"/>
        <v>0.1956497494643234</v>
      </c>
      <c r="U88" s="25">
        <f t="shared" si="8"/>
        <v>0</v>
      </c>
    </row>
    <row r="89" spans="1:23" x14ac:dyDescent="0.25">
      <c r="A89" s="34" t="s">
        <v>73</v>
      </c>
      <c r="B89" s="28"/>
      <c r="C89" s="28"/>
      <c r="D89" s="28"/>
      <c r="E89" s="28"/>
      <c r="F89" s="31" t="str">
        <f>IF(SUM(F87:J87)=0,"— não preenchido",IF(ROUND(SUM(F87:J87)-$R90,3)=0,"OK — "&amp;ROUND(SUM(F87:J87),3)&amp;" km","ERRO — dif. de "&amp;ROUND(SUM(F87:J87)-$R90,3)&amp;" km"))</f>
        <v>OK — 61,884 km</v>
      </c>
      <c r="G89" s="32"/>
      <c r="H89" s="32"/>
      <c r="I89" s="32"/>
      <c r="J89" s="33"/>
      <c r="K89" s="31" t="str">
        <f>IF(SUM(K87:L87)=0,"— não preenchido",IF(ROUND(SUM(K87:L87)-$R90,3)=0,"OK — "&amp;ROUND(SUM(K87:L87),3)&amp;" km","ERRO — dif. de "&amp;ROUND(SUM(K87:L87)-$R90,3)&amp;" km"))</f>
        <v>OK — 61,884 km</v>
      </c>
      <c r="L89" s="33"/>
      <c r="M89" s="31" t="str">
        <f>IF(SUM(M87:O87)=0,"— não preenchido",IF(ROUND(SUM(M87:O87)-$R90,3)=0,"OK — "&amp;ROUND(SUM(M87:O87),3)&amp;" km","ERRO — dif. de "&amp;ROUND(SUM(M87:O87)-$R90,3)&amp;" km"))</f>
        <v>OK — 61,884 km</v>
      </c>
      <c r="N89" s="32"/>
      <c r="O89" s="33"/>
      <c r="P89" s="31" t="str">
        <f>IF(SUM(P87:R87)=0,"— não preenchido",IF(ROUND(SUM(P87:R87)-$R90,3)=0,"OK — "&amp;ROUND(SUM(P87:R87),3)&amp;" km","ERRO — dif. de "&amp;ROUND(SUM(P87:R87)-$R90,3)&amp;" km"))</f>
        <v>OK — 61,884 km</v>
      </c>
      <c r="Q89" s="32"/>
      <c r="R89" s="33"/>
      <c r="S89" s="31" t="str">
        <f>IF(SUM(S87:U87)=0,"— não preenchido",IF(ROUND(SUM(S87:U87)-$R90,3)=0,"OK — "&amp;ROUND(SUM(S87:U87),3)&amp;" km","ERRO — dif. de "&amp;ROUND(SUM(S87:U87)-$R90,3)&amp;" km"))</f>
        <v>OK — 61,884 km</v>
      </c>
      <c r="T89" s="32"/>
      <c r="U89" s="33"/>
    </row>
    <row r="90" spans="1:23" x14ac:dyDescent="0.25">
      <c r="A90" s="34" t="s">
        <v>74</v>
      </c>
      <c r="B90" s="28"/>
      <c r="C90" s="28"/>
      <c r="D90" s="28"/>
      <c r="E90" s="28"/>
      <c r="R90" s="26">
        <f>SUM(E9:E81)</f>
        <v>61.884362258121996</v>
      </c>
      <c r="V90" s="8" t="str">
        <f>COUNTIF(W9:W81,"OK")&amp;" de "&amp;COUNT($E$9:$E$81)&amp;" linhas conferidas"</f>
        <v>65 de 65 linhas conferidas</v>
      </c>
    </row>
    <row r="92" spans="1:23" x14ac:dyDescent="0.25">
      <c r="A92" s="45" t="s">
        <v>75</v>
      </c>
      <c r="B92" s="28"/>
      <c r="C92" s="28"/>
      <c r="D92" s="28"/>
      <c r="E92" s="28"/>
    </row>
    <row r="93" spans="1:23" x14ac:dyDescent="0.25">
      <c r="A93" s="34" t="s">
        <v>76</v>
      </c>
      <c r="B93" s="28"/>
      <c r="C93" s="28"/>
      <c r="D93" s="28"/>
      <c r="E93" s="29" t="s">
        <v>77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3" x14ac:dyDescent="0.25">
      <c r="A94" s="34" t="s">
        <v>78</v>
      </c>
      <c r="B94" s="28"/>
      <c r="C94" s="28"/>
      <c r="D94" s="28"/>
      <c r="E94" s="29" t="s">
        <v>79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3" x14ac:dyDescent="0.25">
      <c r="A95" s="34" t="s">
        <v>80</v>
      </c>
      <c r="B95" s="28"/>
      <c r="C95" s="28"/>
      <c r="D95" s="28"/>
      <c r="E95" s="29" t="s">
        <v>81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3" x14ac:dyDescent="0.25">
      <c r="A96" s="34" t="s">
        <v>82</v>
      </c>
      <c r="B96" s="28"/>
      <c r="C96" s="28"/>
      <c r="D96" s="28"/>
      <c r="E96" s="29" t="s">
        <v>83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4" t="s">
        <v>84</v>
      </c>
      <c r="B97" s="28"/>
      <c r="C97" s="28"/>
      <c r="D97" s="28"/>
      <c r="E97" s="29" t="s">
        <v>85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4" t="s">
        <v>52</v>
      </c>
      <c r="B98" s="28"/>
      <c r="C98" s="28"/>
      <c r="D98" s="28"/>
      <c r="E98" s="29" t="s">
        <v>86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4" t="s">
        <v>87</v>
      </c>
      <c r="B99" s="28"/>
      <c r="C99" s="28"/>
      <c r="D99" s="28"/>
      <c r="E99" s="29" t="s">
        <v>88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4" t="s">
        <v>89</v>
      </c>
      <c r="B100" s="28"/>
      <c r="C100" s="28"/>
      <c r="D100" s="28"/>
      <c r="E100" s="29" t="s">
        <v>90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4" t="s">
        <v>11</v>
      </c>
      <c r="B101" s="28"/>
      <c r="C101" s="28"/>
      <c r="D101" s="28"/>
      <c r="E101" s="29" t="s">
        <v>91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</sheetData>
  <sheetProtection formatCells="0"/>
  <mergeCells count="65">
    <mergeCell ref="A4:V4"/>
    <mergeCell ref="A2:F2"/>
    <mergeCell ref="K2:M2"/>
    <mergeCell ref="N2:O2"/>
    <mergeCell ref="P2:Q2"/>
    <mergeCell ref="A100:D100"/>
    <mergeCell ref="A6:A7"/>
    <mergeCell ref="F6:J6"/>
    <mergeCell ref="M6:O6"/>
    <mergeCell ref="A88:E88"/>
    <mergeCell ref="F89:J89"/>
    <mergeCell ref="A93:D93"/>
    <mergeCell ref="A43:V43"/>
    <mergeCell ref="S6:U6"/>
    <mergeCell ref="A72:V72"/>
    <mergeCell ref="A87:E87"/>
    <mergeCell ref="E99:V99"/>
    <mergeCell ref="M89:O89"/>
    <mergeCell ref="A44:V44"/>
    <mergeCell ref="A90:E90"/>
    <mergeCell ref="S89:U89"/>
    <mergeCell ref="W6:W7"/>
    <mergeCell ref="E6:E7"/>
    <mergeCell ref="A84:E84"/>
    <mergeCell ref="A89:E89"/>
    <mergeCell ref="E101:V101"/>
    <mergeCell ref="B6:B7"/>
    <mergeCell ref="A98:D98"/>
    <mergeCell ref="A94:D94"/>
    <mergeCell ref="E100:V100"/>
    <mergeCell ref="G83:K83"/>
    <mergeCell ref="A86:E86"/>
    <mergeCell ref="E97:V97"/>
    <mergeCell ref="E93:V93"/>
    <mergeCell ref="A99:D99"/>
    <mergeCell ref="E96:V96"/>
    <mergeCell ref="A101:D101"/>
    <mergeCell ref="A1:V1"/>
    <mergeCell ref="P89:R89"/>
    <mergeCell ref="A79:V79"/>
    <mergeCell ref="G84:K84"/>
    <mergeCell ref="T3:V3"/>
    <mergeCell ref="A21:V21"/>
    <mergeCell ref="A80:V80"/>
    <mergeCell ref="A75:V75"/>
    <mergeCell ref="R2:V2"/>
    <mergeCell ref="A3:S3"/>
    <mergeCell ref="A83:E83"/>
    <mergeCell ref="G2:H2"/>
    <mergeCell ref="I2:J2"/>
    <mergeCell ref="A23:V23"/>
    <mergeCell ref="A8:V8"/>
    <mergeCell ref="K89:L89"/>
    <mergeCell ref="A95:D95"/>
    <mergeCell ref="C6:C7"/>
    <mergeCell ref="E98:V98"/>
    <mergeCell ref="K6:L6"/>
    <mergeCell ref="D6:D7"/>
    <mergeCell ref="P6:R6"/>
    <mergeCell ref="A92:E92"/>
    <mergeCell ref="A97:D97"/>
    <mergeCell ref="E94:V94"/>
    <mergeCell ref="A96:D96"/>
    <mergeCell ref="V6:V7"/>
    <mergeCell ref="E95:V95"/>
  </mergeCells>
  <conditionalFormatting sqref="F9:J81">
    <cfRule type="expression" dxfId="53" priority="1">
      <formula>AND(F9&lt;&gt;"",COUNTIF($F9:$J9,"X")&gt;1)</formula>
    </cfRule>
  </conditionalFormatting>
  <conditionalFormatting sqref="F89:U89">
    <cfRule type="expression" dxfId="52" priority="8">
      <formula>LEFT(F89,4)="ERRO"</formula>
    </cfRule>
    <cfRule type="expression" dxfId="51" priority="9">
      <formula>LEFT(F89,2)="OK"</formula>
    </cfRule>
  </conditionalFormatting>
  <conditionalFormatting sqref="K9:L81">
    <cfRule type="expression" dxfId="50" priority="2">
      <formula>AND(K9&lt;&gt;"",COUNTIF($K9:$L9,"X")&gt;1)</formula>
    </cfRule>
  </conditionalFormatting>
  <conditionalFormatting sqref="M9:O81">
    <cfRule type="expression" dxfId="49" priority="3">
      <formula>AND(M9&lt;&gt;"",COUNTIF($M9:$O9,"X")&gt;1)</formula>
    </cfRule>
  </conditionalFormatting>
  <conditionalFormatting sqref="P9:R81">
    <cfRule type="expression" dxfId="48" priority="4">
      <formula>AND(P9&lt;&gt;"",COUNTIF($P9:$R9,"X")&gt;1)</formula>
    </cfRule>
  </conditionalFormatting>
  <conditionalFormatting sqref="S9:U81">
    <cfRule type="expression" dxfId="47" priority="5">
      <formula>AND(S9&lt;&gt;"",COUNTIF($S9:$U9,"X")&gt;1)</formula>
    </cfRule>
  </conditionalFormatting>
  <conditionalFormatting sqref="W9:W81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1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1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1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1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1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81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55</oddHeader>
    <oddFooter>&amp;L&amp;7 RTA / MSI — Programa de Manutenção Rodoviária&amp;C&amp;7 Página &amp;P de &amp;N&amp;R&amp;7 Impresso em &amp;D</oddFooter>
  </headerFooter>
  <rowBreaks count="1" manualBreakCount="1">
    <brk id="84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N44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IF(F30=0,NA(),F30)</f>
        <v>15.7684938844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15.7684938844</v>
      </c>
      <c r="AE2" s="2" t="e">
        <f t="shared" si="0"/>
        <v>#N/A</v>
      </c>
      <c r="AF2" s="2" t="e">
        <f t="shared" si="0"/>
        <v>#N/A</v>
      </c>
      <c r="AG2" s="2">
        <f t="shared" si="0"/>
        <v>15.7684938844</v>
      </c>
      <c r="AH2" s="2" t="e">
        <f t="shared" si="0"/>
        <v>#N/A</v>
      </c>
      <c r="AI2" s="2">
        <f t="shared" si="0"/>
        <v>15.7684938844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15.7684938844</v>
      </c>
      <c r="AN2" s="2" t="e">
        <f t="shared" si="0"/>
        <v>#N/A</v>
      </c>
    </row>
    <row r="3" spans="1:40" ht="15" customHeight="1" x14ac:dyDescent="0.25">
      <c r="A3" s="42" t="s">
        <v>222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223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224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225</v>
      </c>
      <c r="B9" s="13" t="s">
        <v>60</v>
      </c>
      <c r="C9" s="14">
        <v>0</v>
      </c>
      <c r="D9" s="14">
        <v>1</v>
      </c>
      <c r="E9" s="14">
        <f t="shared" ref="E9:E24" si="1">D9-C9</f>
        <v>1</v>
      </c>
      <c r="F9" s="15" t="s">
        <v>61</v>
      </c>
      <c r="G9" s="15"/>
      <c r="H9" s="15"/>
      <c r="I9" s="15"/>
      <c r="J9" s="15"/>
      <c r="K9" s="15" t="s">
        <v>61</v>
      </c>
      <c r="L9" s="15"/>
      <c r="M9" s="15"/>
      <c r="N9" s="15" t="s">
        <v>61</v>
      </c>
      <c r="O9" s="15"/>
      <c r="P9" s="15" t="s">
        <v>61</v>
      </c>
      <c r="Q9" s="15"/>
      <c r="R9" s="15"/>
      <c r="S9" s="15"/>
      <c r="T9" s="15" t="s">
        <v>61</v>
      </c>
      <c r="U9" s="15"/>
      <c r="V9" s="16"/>
      <c r="W9" s="17" t="str">
        <f t="shared" ref="W9:W2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225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 t="s">
        <v>61</v>
      </c>
      <c r="G10" s="15"/>
      <c r="H10" s="15"/>
      <c r="I10" s="15"/>
      <c r="J10" s="15"/>
      <c r="K10" s="15" t="s">
        <v>61</v>
      </c>
      <c r="L10" s="15"/>
      <c r="M10" s="15"/>
      <c r="N10" s="15" t="s">
        <v>61</v>
      </c>
      <c r="O10" s="15"/>
      <c r="P10" s="15" t="s">
        <v>61</v>
      </c>
      <c r="Q10" s="15"/>
      <c r="R10" s="15"/>
      <c r="S10" s="15"/>
      <c r="T10" s="15" t="s">
        <v>61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225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 t="s">
        <v>61</v>
      </c>
      <c r="G11" s="15"/>
      <c r="H11" s="15"/>
      <c r="I11" s="15"/>
      <c r="J11" s="15"/>
      <c r="K11" s="15" t="s">
        <v>61</v>
      </c>
      <c r="L11" s="15"/>
      <c r="M11" s="15"/>
      <c r="N11" s="15" t="s">
        <v>61</v>
      </c>
      <c r="O11" s="15"/>
      <c r="P11" s="15" t="s">
        <v>61</v>
      </c>
      <c r="Q11" s="15"/>
      <c r="R11" s="15"/>
      <c r="S11" s="15"/>
      <c r="T11" s="15" t="s">
        <v>61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225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 t="s">
        <v>61</v>
      </c>
      <c r="G12" s="15"/>
      <c r="H12" s="15"/>
      <c r="I12" s="15"/>
      <c r="J12" s="15"/>
      <c r="K12" s="15" t="s">
        <v>61</v>
      </c>
      <c r="L12" s="15"/>
      <c r="M12" s="15"/>
      <c r="N12" s="15" t="s">
        <v>61</v>
      </c>
      <c r="O12" s="15"/>
      <c r="P12" s="15" t="s">
        <v>61</v>
      </c>
      <c r="Q12" s="15"/>
      <c r="R12" s="15"/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225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 t="s">
        <v>61</v>
      </c>
      <c r="G13" s="15"/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 t="s">
        <v>61</v>
      </c>
      <c r="Q13" s="15"/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225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 t="s">
        <v>61</v>
      </c>
      <c r="Q14" s="15"/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225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 t="s">
        <v>61</v>
      </c>
      <c r="Q15" s="15"/>
      <c r="R15" s="15"/>
      <c r="S15" s="15"/>
      <c r="T15" s="15" t="s">
        <v>61</v>
      </c>
      <c r="U15" s="15"/>
      <c r="V15" s="16" t="s">
        <v>252</v>
      </c>
      <c r="W15" s="17" t="str">
        <f t="shared" si="2"/>
        <v>OK</v>
      </c>
    </row>
    <row r="16" spans="1:40" ht="20.100000000000001" customHeight="1" x14ac:dyDescent="0.25">
      <c r="A16" s="12" t="s">
        <v>225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 t="s">
        <v>61</v>
      </c>
      <c r="G16" s="15"/>
      <c r="H16" s="15"/>
      <c r="I16" s="15"/>
      <c r="J16" s="15"/>
      <c r="K16" s="15" t="s">
        <v>61</v>
      </c>
      <c r="L16" s="15"/>
      <c r="M16" s="15"/>
      <c r="N16" s="15" t="s">
        <v>61</v>
      </c>
      <c r="O16" s="15"/>
      <c r="P16" s="15" t="s">
        <v>61</v>
      </c>
      <c r="Q16" s="15"/>
      <c r="R16" s="15"/>
      <c r="S16" s="15"/>
      <c r="T16" s="15" t="s">
        <v>61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225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 t="s">
        <v>61</v>
      </c>
      <c r="G17" s="15"/>
      <c r="H17" s="15"/>
      <c r="I17" s="15"/>
      <c r="J17" s="15"/>
      <c r="K17" s="15" t="s">
        <v>61</v>
      </c>
      <c r="L17" s="15"/>
      <c r="M17" s="15"/>
      <c r="N17" s="15" t="s">
        <v>61</v>
      </c>
      <c r="O17" s="15"/>
      <c r="P17" s="15" t="s">
        <v>61</v>
      </c>
      <c r="Q17" s="15"/>
      <c r="R17" s="15"/>
      <c r="S17" s="15"/>
      <c r="T17" s="15" t="s">
        <v>61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225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 t="s">
        <v>61</v>
      </c>
      <c r="G18" s="15"/>
      <c r="H18" s="15"/>
      <c r="I18" s="15"/>
      <c r="J18" s="15"/>
      <c r="K18" s="15" t="s">
        <v>61</v>
      </c>
      <c r="L18" s="15"/>
      <c r="M18" s="15"/>
      <c r="N18" s="15" t="s">
        <v>61</v>
      </c>
      <c r="O18" s="15"/>
      <c r="P18" s="15" t="s">
        <v>61</v>
      </c>
      <c r="Q18" s="15"/>
      <c r="R18" s="15"/>
      <c r="S18" s="15"/>
      <c r="T18" s="15" t="s">
        <v>61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225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 t="s">
        <v>61</v>
      </c>
      <c r="G19" s="15"/>
      <c r="H19" s="15"/>
      <c r="I19" s="15"/>
      <c r="J19" s="15"/>
      <c r="K19" s="15" t="s">
        <v>61</v>
      </c>
      <c r="L19" s="15"/>
      <c r="M19" s="15"/>
      <c r="N19" s="15" t="s">
        <v>61</v>
      </c>
      <c r="O19" s="15"/>
      <c r="P19" s="15" t="s">
        <v>61</v>
      </c>
      <c r="Q19" s="15"/>
      <c r="R19" s="15"/>
      <c r="S19" s="15"/>
      <c r="T19" s="15" t="s">
        <v>61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225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 t="s">
        <v>61</v>
      </c>
      <c r="G20" s="15"/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 t="s">
        <v>61</v>
      </c>
      <c r="Q20" s="15"/>
      <c r="R20" s="15"/>
      <c r="S20" s="15"/>
      <c r="T20" s="15" t="s">
        <v>61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225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 t="s">
        <v>61</v>
      </c>
      <c r="Q21" s="15"/>
      <c r="R21" s="15"/>
      <c r="S21" s="15"/>
      <c r="T21" s="15" t="s">
        <v>61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225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 t="s">
        <v>61</v>
      </c>
      <c r="G22" s="15"/>
      <c r="H22" s="15"/>
      <c r="I22" s="15"/>
      <c r="J22" s="15"/>
      <c r="K22" s="15" t="s">
        <v>61</v>
      </c>
      <c r="L22" s="15"/>
      <c r="M22" s="15"/>
      <c r="N22" s="15" t="s">
        <v>61</v>
      </c>
      <c r="O22" s="15"/>
      <c r="P22" s="15" t="s">
        <v>61</v>
      </c>
      <c r="Q22" s="15"/>
      <c r="R22" s="15"/>
      <c r="S22" s="15"/>
      <c r="T22" s="15" t="s">
        <v>61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225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 t="s">
        <v>61</v>
      </c>
      <c r="G23" s="15"/>
      <c r="H23" s="15"/>
      <c r="I23" s="15"/>
      <c r="J23" s="15"/>
      <c r="K23" s="15" t="s">
        <v>61</v>
      </c>
      <c r="L23" s="15"/>
      <c r="M23" s="15"/>
      <c r="N23" s="15" t="s">
        <v>61</v>
      </c>
      <c r="O23" s="15"/>
      <c r="P23" s="15" t="s">
        <v>61</v>
      </c>
      <c r="Q23" s="15"/>
      <c r="R23" s="15"/>
      <c r="S23" s="15"/>
      <c r="T23" s="15" t="s">
        <v>61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225</v>
      </c>
      <c r="B24" s="19" t="s">
        <v>60</v>
      </c>
      <c r="C24" s="20">
        <v>15</v>
      </c>
      <c r="D24" s="20">
        <v>15.7684938844</v>
      </c>
      <c r="E24" s="20">
        <f t="shared" si="1"/>
        <v>0.76849388439999977</v>
      </c>
      <c r="F24" s="21" t="s">
        <v>61</v>
      </c>
      <c r="G24" s="21"/>
      <c r="H24" s="21"/>
      <c r="I24" s="21"/>
      <c r="J24" s="21"/>
      <c r="K24" s="21" t="s">
        <v>61</v>
      </c>
      <c r="L24" s="21"/>
      <c r="M24" s="21"/>
      <c r="N24" s="21" t="s">
        <v>61</v>
      </c>
      <c r="O24" s="21"/>
      <c r="P24" s="21" t="s">
        <v>61</v>
      </c>
      <c r="Q24" s="21"/>
      <c r="R24" s="21"/>
      <c r="S24" s="21"/>
      <c r="T24" s="21" t="s">
        <v>61</v>
      </c>
      <c r="U24" s="21"/>
      <c r="V24" s="22"/>
      <c r="W24" s="23" t="str">
        <f t="shared" si="2"/>
        <v>OK</v>
      </c>
    </row>
    <row r="26" spans="1:23" x14ac:dyDescent="0.25">
      <c r="A26" s="38" t="s">
        <v>67</v>
      </c>
      <c r="B26" s="28"/>
      <c r="C26" s="28"/>
      <c r="D26" s="28"/>
      <c r="E26" s="28"/>
      <c r="G26" s="38" t="s">
        <v>67</v>
      </c>
      <c r="H26" s="28"/>
      <c r="I26" s="28"/>
      <c r="J26" s="28"/>
      <c r="K26" s="28"/>
    </row>
    <row r="27" spans="1:23" x14ac:dyDescent="0.25">
      <c r="A27" s="36" t="s">
        <v>68</v>
      </c>
      <c r="B27" s="28"/>
      <c r="C27" s="28"/>
      <c r="D27" s="28"/>
      <c r="E27" s="28"/>
      <c r="G27" s="36" t="s">
        <v>69</v>
      </c>
      <c r="H27" s="28"/>
      <c r="I27" s="28"/>
      <c r="J27" s="28"/>
      <c r="K27" s="28"/>
    </row>
    <row r="29" spans="1:23" x14ac:dyDescent="0.25">
      <c r="A29" s="37" t="s">
        <v>70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71</v>
      </c>
      <c r="B30" s="28"/>
      <c r="C30" s="28"/>
      <c r="D30" s="28"/>
      <c r="E30" s="28"/>
      <c r="F30" s="9">
        <f t="shared" ref="F30:U30" si="3">SUMIF(F$9:F$24,"X",$E$9:$E$24)</f>
        <v>15.7684938844</v>
      </c>
      <c r="G30" s="9">
        <f t="shared" si="3"/>
        <v>0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15.7684938844</v>
      </c>
      <c r="L30" s="9">
        <f t="shared" si="3"/>
        <v>0</v>
      </c>
      <c r="M30" s="9">
        <f t="shared" si="3"/>
        <v>0</v>
      </c>
      <c r="N30" s="9">
        <f t="shared" si="3"/>
        <v>15.7684938844</v>
      </c>
      <c r="O30" s="9">
        <f t="shared" si="3"/>
        <v>0</v>
      </c>
      <c r="P30" s="9">
        <f t="shared" si="3"/>
        <v>15.7684938844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15.7684938844</v>
      </c>
      <c r="U30" s="9">
        <f t="shared" si="3"/>
        <v>0</v>
      </c>
    </row>
    <row r="31" spans="1:23" x14ac:dyDescent="0.25">
      <c r="A31" s="34" t="s">
        <v>72</v>
      </c>
      <c r="B31" s="28"/>
      <c r="C31" s="28"/>
      <c r="D31" s="28"/>
      <c r="E31" s="28"/>
      <c r="F31" s="25">
        <f t="shared" ref="F31:U31" si="4">IF($R33=0,0,F30/$R33)</f>
        <v>1</v>
      </c>
      <c r="G31" s="25">
        <f t="shared" si="4"/>
        <v>0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4" t="s">
        <v>73</v>
      </c>
      <c r="B32" s="28"/>
      <c r="C32" s="28"/>
      <c r="D32" s="28"/>
      <c r="E32" s="28"/>
      <c r="F32" s="31" t="str">
        <f>IF(SUM(F30:J30)=0,"— não preenchido",IF(ROUND(SUM(F30:J30)-$R33,3)=0,"OK — "&amp;ROUND(SUM(F30:J30),3)&amp;" km","ERRO — dif. de "&amp;ROUND(SUM(F30:J30)-$R33,3)&amp;" km"))</f>
        <v>OK — 15,768 km</v>
      </c>
      <c r="G32" s="32"/>
      <c r="H32" s="32"/>
      <c r="I32" s="32"/>
      <c r="J32" s="33"/>
      <c r="K32" s="31" t="str">
        <f>IF(SUM(K30:L30)=0,"— não preenchido",IF(ROUND(SUM(K30:L30)-$R33,3)=0,"OK — "&amp;ROUND(SUM(K30:L30),3)&amp;" km","ERRO — dif. de "&amp;ROUND(SUM(K30:L30)-$R33,3)&amp;" km"))</f>
        <v>OK — 15,768 km</v>
      </c>
      <c r="L32" s="33"/>
      <c r="M32" s="31" t="str">
        <f>IF(SUM(M30:O30)=0,"— não preenchido",IF(ROUND(SUM(M30:O30)-$R33,3)=0,"OK — "&amp;ROUND(SUM(M30:O30),3)&amp;" km","ERRO — dif. de "&amp;ROUND(SUM(M30:O30)-$R33,3)&amp;" km"))</f>
        <v>OK — 15,768 km</v>
      </c>
      <c r="N32" s="32"/>
      <c r="O32" s="33"/>
      <c r="P32" s="31" t="str">
        <f>IF(SUM(P30:R30)=0,"— não preenchido",IF(ROUND(SUM(P30:R30)-$R33,3)=0,"OK — "&amp;ROUND(SUM(P30:R30),3)&amp;" km","ERRO — dif. de "&amp;ROUND(SUM(P30:R30)-$R33,3)&amp;" km"))</f>
        <v>OK — 15,768 km</v>
      </c>
      <c r="Q32" s="32"/>
      <c r="R32" s="33"/>
      <c r="S32" s="31" t="str">
        <f>IF(SUM(S30:U30)=0,"— não preenchido",IF(ROUND(SUM(S30:U30)-$R33,3)=0,"OK — "&amp;ROUND(SUM(S30:U30),3)&amp;" km","ERRO — dif. de "&amp;ROUND(SUM(S30:U30)-$R33,3)&amp;" km"))</f>
        <v>OK — 15,768 km</v>
      </c>
      <c r="T32" s="32"/>
      <c r="U32" s="33"/>
    </row>
    <row r="33" spans="1:22" x14ac:dyDescent="0.25">
      <c r="A33" s="34" t="s">
        <v>74</v>
      </c>
      <c r="B33" s="28"/>
      <c r="C33" s="28"/>
      <c r="D33" s="28"/>
      <c r="E33" s="28"/>
      <c r="R33" s="26">
        <f>SUM(E9:E24)</f>
        <v>15.7684938844</v>
      </c>
      <c r="V33" s="8" t="str">
        <f>COUNTIF(W9:W24,"OK")&amp;" de "&amp;COUNT($E$9:$E$24)&amp;" linhas conferidas"</f>
        <v>16 de 16 linhas conferidas</v>
      </c>
    </row>
    <row r="35" spans="1:22" x14ac:dyDescent="0.25">
      <c r="A35" s="45" t="s">
        <v>75</v>
      </c>
      <c r="B35" s="28"/>
      <c r="C35" s="28"/>
      <c r="D35" s="28"/>
      <c r="E35" s="28"/>
    </row>
    <row r="36" spans="1:22" x14ac:dyDescent="0.25">
      <c r="A36" s="34" t="s">
        <v>76</v>
      </c>
      <c r="B36" s="28"/>
      <c r="C36" s="28"/>
      <c r="D36" s="28"/>
      <c r="E36" s="29" t="s">
        <v>77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78</v>
      </c>
      <c r="B37" s="28"/>
      <c r="C37" s="28"/>
      <c r="D37" s="28"/>
      <c r="E37" s="29" t="s">
        <v>79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80</v>
      </c>
      <c r="B38" s="28"/>
      <c r="C38" s="28"/>
      <c r="D38" s="28"/>
      <c r="E38" s="29" t="s">
        <v>81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82</v>
      </c>
      <c r="B39" s="28"/>
      <c r="C39" s="28"/>
      <c r="D39" s="28"/>
      <c r="E39" s="29" t="s">
        <v>83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84</v>
      </c>
      <c r="B40" s="28"/>
      <c r="C40" s="28"/>
      <c r="D40" s="28"/>
      <c r="E40" s="29" t="s">
        <v>85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52</v>
      </c>
      <c r="B41" s="28"/>
      <c r="C41" s="28"/>
      <c r="D41" s="28"/>
      <c r="E41" s="29" t="s">
        <v>86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87</v>
      </c>
      <c r="B42" s="28"/>
      <c r="C42" s="28"/>
      <c r="D42" s="28"/>
      <c r="E42" s="29" t="s">
        <v>88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89</v>
      </c>
      <c r="B43" s="28"/>
      <c r="C43" s="28"/>
      <c r="D43" s="28"/>
      <c r="E43" s="29" t="s">
        <v>90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29" t="s">
        <v>91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formatCells="0"/>
  <mergeCells count="57"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  <mergeCell ref="K2:M2"/>
    <mergeCell ref="P32:R32"/>
    <mergeCell ref="N2:O2"/>
    <mergeCell ref="K32:L32"/>
    <mergeCell ref="A39:D39"/>
    <mergeCell ref="P2:Q2"/>
    <mergeCell ref="A30:E30"/>
    <mergeCell ref="E38:V38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S6:U6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A2:F2"/>
    <mergeCell ref="A40:D40"/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</mergeCells>
  <conditionalFormatting sqref="F9:J24">
    <cfRule type="expression" dxfId="44" priority="1">
      <formula>AND(F9&lt;&gt;"",COUNTIF($F9:$J9,"X")&gt;1)</formula>
    </cfRule>
  </conditionalFormatting>
  <conditionalFormatting sqref="F32:U32">
    <cfRule type="expression" dxfId="43" priority="8">
      <formula>LEFT(F32,4)="ERRO"</formula>
    </cfRule>
    <cfRule type="expression" dxfId="42" priority="9">
      <formula>LEFT(F32,2)="OK"</formula>
    </cfRule>
  </conditionalFormatting>
  <conditionalFormatting sqref="K9:L24">
    <cfRule type="expression" dxfId="41" priority="2">
      <formula>AND(K9&lt;&gt;"",COUNTIF($K9:$L9,"X")&gt;1)</formula>
    </cfRule>
  </conditionalFormatting>
  <conditionalFormatting sqref="M9:O24">
    <cfRule type="expression" dxfId="40" priority="3">
      <formula>AND(M9&lt;&gt;"",COUNTIF($M9:$O9,"X")&gt;1)</formula>
    </cfRule>
  </conditionalFormatting>
  <conditionalFormatting sqref="P9:R24">
    <cfRule type="expression" dxfId="39" priority="4">
      <formula>AND(P9&lt;&gt;"",COUNTIF($P9:$R9,"X")&gt;1)</formula>
    </cfRule>
  </conditionalFormatting>
  <conditionalFormatting sqref="S9:U24">
    <cfRule type="expression" dxfId="38" priority="5">
      <formula>AND(S9&lt;&gt;"",COUNTIF($S9:$U9,"X")&gt;1)</formula>
    </cfRule>
  </conditionalFormatting>
  <conditionalFormatting sqref="W9:W24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N61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IF(F47=0,NA(),F47)</f>
        <v>4</v>
      </c>
      <c r="Z2" s="2">
        <f t="shared" si="0"/>
        <v>3</v>
      </c>
      <c r="AA2" s="2">
        <f t="shared" si="0"/>
        <v>4</v>
      </c>
      <c r="AB2" s="2">
        <f t="shared" si="0"/>
        <v>5</v>
      </c>
      <c r="AC2" s="2">
        <f t="shared" si="0"/>
        <v>16.246741340600003</v>
      </c>
      <c r="AD2" s="2">
        <f t="shared" si="0"/>
        <v>32.246741340600003</v>
      </c>
      <c r="AE2" s="2" t="e">
        <f t="shared" si="0"/>
        <v>#N/A</v>
      </c>
      <c r="AF2" s="2" t="e">
        <f t="shared" si="0"/>
        <v>#N/A</v>
      </c>
      <c r="AG2" s="2">
        <f t="shared" si="0"/>
        <v>32.246741340600003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32.246741340600003</v>
      </c>
      <c r="AL2" s="2" t="e">
        <f t="shared" si="0"/>
        <v>#N/A</v>
      </c>
      <c r="AM2" s="2" t="e">
        <f t="shared" si="0"/>
        <v>#N/A</v>
      </c>
      <c r="AN2" s="2">
        <f t="shared" si="0"/>
        <v>32.246741340600003</v>
      </c>
    </row>
    <row r="3" spans="1:40" ht="15" customHeight="1" x14ac:dyDescent="0.25">
      <c r="A3" s="42" t="s">
        <v>226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227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228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229</v>
      </c>
      <c r="B9" s="13" t="s">
        <v>60</v>
      </c>
      <c r="C9" s="14">
        <v>0</v>
      </c>
      <c r="D9" s="14">
        <v>1</v>
      </c>
      <c r="E9" s="14">
        <f t="shared" ref="E9:E41" si="1">D9-C9</f>
        <v>1</v>
      </c>
      <c r="F9" s="15"/>
      <c r="G9" s="15"/>
      <c r="H9" s="15" t="s">
        <v>61</v>
      </c>
      <c r="I9" s="15"/>
      <c r="J9" s="15"/>
      <c r="K9" s="15" t="s">
        <v>61</v>
      </c>
      <c r="L9" s="15"/>
      <c r="M9" s="15"/>
      <c r="N9" s="15" t="s">
        <v>61</v>
      </c>
      <c r="O9" s="15"/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229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61</v>
      </c>
      <c r="I10" s="15"/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229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61</v>
      </c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/>
      <c r="T11" s="15"/>
      <c r="U11" s="15" t="s">
        <v>61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229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61</v>
      </c>
      <c r="I12" s="15"/>
      <c r="J12" s="15"/>
      <c r="K12" s="15" t="s">
        <v>61</v>
      </c>
      <c r="L12" s="15"/>
      <c r="M12" s="15"/>
      <c r="N12" s="15" t="s">
        <v>61</v>
      </c>
      <c r="O12" s="15"/>
      <c r="P12" s="15"/>
      <c r="Q12" s="15"/>
      <c r="R12" s="15" t="s">
        <v>61</v>
      </c>
      <c r="S12" s="15"/>
      <c r="T12" s="15"/>
      <c r="U12" s="15" t="s">
        <v>61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229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61</v>
      </c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/>
      <c r="R13" s="15" t="s">
        <v>61</v>
      </c>
      <c r="S13" s="15"/>
      <c r="T13" s="15"/>
      <c r="U13" s="15" t="s">
        <v>61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229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/>
      <c r="N14" s="15" t="s">
        <v>61</v>
      </c>
      <c r="O14" s="15"/>
      <c r="P14" s="15"/>
      <c r="Q14" s="15"/>
      <c r="R14" s="15" t="s">
        <v>61</v>
      </c>
      <c r="S14" s="15"/>
      <c r="T14" s="15"/>
      <c r="U14" s="15" t="s">
        <v>61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229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 t="s">
        <v>61</v>
      </c>
      <c r="G15" s="15"/>
      <c r="H15" s="15"/>
      <c r="I15" s="15"/>
      <c r="J15" s="15"/>
      <c r="K15" s="15" t="s">
        <v>61</v>
      </c>
      <c r="L15" s="15"/>
      <c r="M15" s="15"/>
      <c r="N15" s="15" t="s">
        <v>61</v>
      </c>
      <c r="O15" s="15"/>
      <c r="P15" s="15"/>
      <c r="Q15" s="15"/>
      <c r="R15" s="15" t="s">
        <v>61</v>
      </c>
      <c r="S15" s="15"/>
      <c r="T15" s="15"/>
      <c r="U15" s="15" t="s">
        <v>61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229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 t="s">
        <v>61</v>
      </c>
      <c r="K16" s="15" t="s">
        <v>61</v>
      </c>
      <c r="L16" s="15"/>
      <c r="M16" s="15"/>
      <c r="N16" s="15" t="s">
        <v>61</v>
      </c>
      <c r="O16" s="15"/>
      <c r="P16" s="15"/>
      <c r="Q16" s="15"/>
      <c r="R16" s="15" t="s">
        <v>61</v>
      </c>
      <c r="S16" s="15"/>
      <c r="T16" s="15"/>
      <c r="U16" s="15" t="s">
        <v>61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229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61</v>
      </c>
      <c r="K17" s="15" t="s">
        <v>61</v>
      </c>
      <c r="L17" s="15"/>
      <c r="M17" s="15"/>
      <c r="N17" s="15" t="s">
        <v>61</v>
      </c>
      <c r="O17" s="15"/>
      <c r="P17" s="15"/>
      <c r="Q17" s="15"/>
      <c r="R17" s="15" t="s">
        <v>61</v>
      </c>
      <c r="S17" s="15"/>
      <c r="T17" s="15"/>
      <c r="U17" s="15" t="s">
        <v>61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229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 t="s">
        <v>61</v>
      </c>
      <c r="J18" s="15"/>
      <c r="K18" s="15" t="s">
        <v>61</v>
      </c>
      <c r="L18" s="15"/>
      <c r="M18" s="15"/>
      <c r="N18" s="15" t="s">
        <v>61</v>
      </c>
      <c r="O18" s="15"/>
      <c r="P18" s="15"/>
      <c r="Q18" s="15"/>
      <c r="R18" s="15" t="s">
        <v>61</v>
      </c>
      <c r="S18" s="15"/>
      <c r="T18" s="15"/>
      <c r="U18" s="15" t="s">
        <v>61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229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61</v>
      </c>
      <c r="K19" s="15" t="s">
        <v>61</v>
      </c>
      <c r="L19" s="15"/>
      <c r="M19" s="15"/>
      <c r="N19" s="15" t="s">
        <v>61</v>
      </c>
      <c r="O19" s="15"/>
      <c r="P19" s="15"/>
      <c r="Q19" s="15"/>
      <c r="R19" s="15" t="s">
        <v>61</v>
      </c>
      <c r="S19" s="15"/>
      <c r="T19" s="15"/>
      <c r="U19" s="15" t="s">
        <v>61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229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 t="s">
        <v>61</v>
      </c>
      <c r="G20" s="15"/>
      <c r="H20" s="15"/>
      <c r="I20" s="15"/>
      <c r="J20" s="15"/>
      <c r="K20" s="15" t="s">
        <v>61</v>
      </c>
      <c r="L20" s="15"/>
      <c r="M20" s="15"/>
      <c r="N20" s="15" t="s">
        <v>61</v>
      </c>
      <c r="O20" s="15"/>
      <c r="P20" s="15"/>
      <c r="Q20" s="15"/>
      <c r="R20" s="15" t="s">
        <v>61</v>
      </c>
      <c r="S20" s="15"/>
      <c r="T20" s="15"/>
      <c r="U20" s="15" t="s">
        <v>61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229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 t="s">
        <v>61</v>
      </c>
      <c r="G21" s="15"/>
      <c r="H21" s="15"/>
      <c r="I21" s="15"/>
      <c r="J21" s="15"/>
      <c r="K21" s="15" t="s">
        <v>61</v>
      </c>
      <c r="L21" s="15"/>
      <c r="M21" s="15"/>
      <c r="N21" s="15" t="s">
        <v>61</v>
      </c>
      <c r="O21" s="15"/>
      <c r="P21" s="15"/>
      <c r="Q21" s="15"/>
      <c r="R21" s="15" t="s">
        <v>61</v>
      </c>
      <c r="S21" s="15"/>
      <c r="T21" s="15"/>
      <c r="U21" s="15" t="s">
        <v>61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229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/>
      <c r="J22" s="15" t="s">
        <v>61</v>
      </c>
      <c r="K22" s="15" t="s">
        <v>61</v>
      </c>
      <c r="L22" s="15"/>
      <c r="M22" s="15"/>
      <c r="N22" s="15" t="s">
        <v>61</v>
      </c>
      <c r="O22" s="15"/>
      <c r="P22" s="15"/>
      <c r="Q22" s="15"/>
      <c r="R22" s="15" t="s">
        <v>61</v>
      </c>
      <c r="S22" s="15"/>
      <c r="T22" s="15"/>
      <c r="U22" s="15" t="s">
        <v>61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229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61</v>
      </c>
      <c r="J23" s="15"/>
      <c r="K23" s="15" t="s">
        <v>61</v>
      </c>
      <c r="L23" s="15"/>
      <c r="M23" s="15"/>
      <c r="N23" s="15" t="s">
        <v>61</v>
      </c>
      <c r="O23" s="15"/>
      <c r="P23" s="15"/>
      <c r="Q23" s="15"/>
      <c r="R23" s="15" t="s">
        <v>61</v>
      </c>
      <c r="S23" s="15"/>
      <c r="T23" s="15"/>
      <c r="U23" s="15" t="s">
        <v>61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229</v>
      </c>
      <c r="B24" s="13" t="s">
        <v>60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/>
      <c r="J24" s="15" t="s">
        <v>61</v>
      </c>
      <c r="K24" s="15" t="s">
        <v>61</v>
      </c>
      <c r="L24" s="15"/>
      <c r="M24" s="15"/>
      <c r="N24" s="15" t="s">
        <v>61</v>
      </c>
      <c r="O24" s="15"/>
      <c r="P24" s="15"/>
      <c r="Q24" s="15"/>
      <c r="R24" s="15" t="s">
        <v>61</v>
      </c>
      <c r="S24" s="15"/>
      <c r="T24" s="15"/>
      <c r="U24" s="15" t="s">
        <v>61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229</v>
      </c>
      <c r="B25" s="13" t="s">
        <v>60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/>
      <c r="J25" s="15" t="s">
        <v>61</v>
      </c>
      <c r="K25" s="15" t="s">
        <v>61</v>
      </c>
      <c r="L25" s="15"/>
      <c r="M25" s="15"/>
      <c r="N25" s="15" t="s">
        <v>61</v>
      </c>
      <c r="O25" s="15"/>
      <c r="P25" s="15"/>
      <c r="Q25" s="15"/>
      <c r="R25" s="15" t="s">
        <v>61</v>
      </c>
      <c r="S25" s="15"/>
      <c r="T25" s="15"/>
      <c r="U25" s="15" t="s">
        <v>61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229</v>
      </c>
      <c r="B26" s="13" t="s">
        <v>60</v>
      </c>
      <c r="C26" s="14">
        <v>17</v>
      </c>
      <c r="D26" s="14">
        <v>18</v>
      </c>
      <c r="E26" s="14">
        <f t="shared" si="1"/>
        <v>1</v>
      </c>
      <c r="F26" s="15"/>
      <c r="G26" s="15" t="s">
        <v>61</v>
      </c>
      <c r="H26" s="15"/>
      <c r="I26" s="15"/>
      <c r="J26" s="15"/>
      <c r="K26" s="15" t="s">
        <v>61</v>
      </c>
      <c r="L26" s="15"/>
      <c r="M26" s="15"/>
      <c r="N26" s="15" t="s">
        <v>61</v>
      </c>
      <c r="O26" s="15"/>
      <c r="P26" s="15"/>
      <c r="Q26" s="15"/>
      <c r="R26" s="15" t="s">
        <v>61</v>
      </c>
      <c r="S26" s="15"/>
      <c r="T26" s="15"/>
      <c r="U26" s="15" t="s">
        <v>61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229</v>
      </c>
      <c r="B27" s="13" t="s">
        <v>60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/>
      <c r="I27" s="15"/>
      <c r="J27" s="15" t="s">
        <v>61</v>
      </c>
      <c r="K27" s="15" t="s">
        <v>61</v>
      </c>
      <c r="L27" s="15"/>
      <c r="M27" s="15"/>
      <c r="N27" s="15" t="s">
        <v>61</v>
      </c>
      <c r="O27" s="15"/>
      <c r="P27" s="15"/>
      <c r="Q27" s="15"/>
      <c r="R27" s="15" t="s">
        <v>61</v>
      </c>
      <c r="S27" s="15"/>
      <c r="T27" s="15"/>
      <c r="U27" s="15" t="s">
        <v>61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229</v>
      </c>
      <c r="B28" s="13" t="s">
        <v>60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/>
      <c r="J28" s="15" t="s">
        <v>61</v>
      </c>
      <c r="K28" s="15" t="s">
        <v>61</v>
      </c>
      <c r="L28" s="15"/>
      <c r="M28" s="15"/>
      <c r="N28" s="15" t="s">
        <v>61</v>
      </c>
      <c r="O28" s="15"/>
      <c r="P28" s="15"/>
      <c r="Q28" s="15"/>
      <c r="R28" s="15" t="s">
        <v>61</v>
      </c>
      <c r="S28" s="15"/>
      <c r="T28" s="15"/>
      <c r="U28" s="15" t="s">
        <v>61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229</v>
      </c>
      <c r="B29" s="13" t="s">
        <v>60</v>
      </c>
      <c r="C29" s="14">
        <v>20</v>
      </c>
      <c r="D29" s="14">
        <v>21</v>
      </c>
      <c r="E29" s="14">
        <f t="shared" si="1"/>
        <v>1</v>
      </c>
      <c r="F29" s="15"/>
      <c r="G29" s="15" t="s">
        <v>61</v>
      </c>
      <c r="H29" s="15"/>
      <c r="I29" s="15"/>
      <c r="J29" s="15"/>
      <c r="K29" s="15" t="s">
        <v>61</v>
      </c>
      <c r="L29" s="15"/>
      <c r="M29" s="15"/>
      <c r="N29" s="15" t="s">
        <v>61</v>
      </c>
      <c r="O29" s="15"/>
      <c r="P29" s="15"/>
      <c r="Q29" s="15"/>
      <c r="R29" s="15" t="s">
        <v>61</v>
      </c>
      <c r="S29" s="15"/>
      <c r="T29" s="15"/>
      <c r="U29" s="15" t="s">
        <v>61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229</v>
      </c>
      <c r="B30" s="13" t="s">
        <v>60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/>
      <c r="J30" s="15" t="s">
        <v>61</v>
      </c>
      <c r="K30" s="15" t="s">
        <v>61</v>
      </c>
      <c r="L30" s="15"/>
      <c r="M30" s="15"/>
      <c r="N30" s="15" t="s">
        <v>61</v>
      </c>
      <c r="O30" s="15"/>
      <c r="P30" s="15"/>
      <c r="Q30" s="15"/>
      <c r="R30" s="15" t="s">
        <v>61</v>
      </c>
      <c r="S30" s="15"/>
      <c r="T30" s="15"/>
      <c r="U30" s="15" t="s">
        <v>61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229</v>
      </c>
      <c r="B31" s="13" t="s">
        <v>60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/>
      <c r="I31" s="15"/>
      <c r="J31" s="15" t="s">
        <v>61</v>
      </c>
      <c r="K31" s="15" t="s">
        <v>61</v>
      </c>
      <c r="L31" s="15"/>
      <c r="M31" s="15"/>
      <c r="N31" s="15" t="s">
        <v>61</v>
      </c>
      <c r="O31" s="15"/>
      <c r="P31" s="15"/>
      <c r="Q31" s="15"/>
      <c r="R31" s="15" t="s">
        <v>61</v>
      </c>
      <c r="S31" s="15"/>
      <c r="T31" s="15"/>
      <c r="U31" s="15" t="s">
        <v>61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229</v>
      </c>
      <c r="B32" s="13" t="s">
        <v>60</v>
      </c>
      <c r="C32" s="14">
        <v>23</v>
      </c>
      <c r="D32" s="14">
        <v>24</v>
      </c>
      <c r="E32" s="14">
        <f t="shared" si="1"/>
        <v>1</v>
      </c>
      <c r="F32" s="15"/>
      <c r="G32" s="15" t="s">
        <v>61</v>
      </c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/>
      <c r="Q32" s="15"/>
      <c r="R32" s="15" t="s">
        <v>61</v>
      </c>
      <c r="S32" s="15"/>
      <c r="T32" s="15"/>
      <c r="U32" s="15" t="s">
        <v>61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229</v>
      </c>
      <c r="B33" s="13" t="s">
        <v>60</v>
      </c>
      <c r="C33" s="14">
        <v>24</v>
      </c>
      <c r="D33" s="14">
        <v>25</v>
      </c>
      <c r="E33" s="14">
        <f t="shared" si="1"/>
        <v>1</v>
      </c>
      <c r="F33" s="15"/>
      <c r="G33" s="15"/>
      <c r="H33" s="15"/>
      <c r="I33" s="15"/>
      <c r="J33" s="15" t="s">
        <v>61</v>
      </c>
      <c r="K33" s="15" t="s">
        <v>61</v>
      </c>
      <c r="L33" s="15"/>
      <c r="M33" s="15"/>
      <c r="N33" s="15" t="s">
        <v>61</v>
      </c>
      <c r="O33" s="15"/>
      <c r="P33" s="15"/>
      <c r="Q33" s="15"/>
      <c r="R33" s="15" t="s">
        <v>61</v>
      </c>
      <c r="S33" s="15"/>
      <c r="T33" s="15"/>
      <c r="U33" s="15" t="s">
        <v>61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229</v>
      </c>
      <c r="B34" s="13" t="s">
        <v>60</v>
      </c>
      <c r="C34" s="14">
        <v>25</v>
      </c>
      <c r="D34" s="14">
        <v>26</v>
      </c>
      <c r="E34" s="14">
        <f t="shared" si="1"/>
        <v>1</v>
      </c>
      <c r="F34" s="15"/>
      <c r="G34" s="15"/>
      <c r="H34" s="15"/>
      <c r="I34" s="15"/>
      <c r="J34" s="15" t="s">
        <v>61</v>
      </c>
      <c r="K34" s="15" t="s">
        <v>61</v>
      </c>
      <c r="L34" s="15"/>
      <c r="M34" s="15"/>
      <c r="N34" s="15" t="s">
        <v>61</v>
      </c>
      <c r="O34" s="15"/>
      <c r="P34" s="15"/>
      <c r="Q34" s="15"/>
      <c r="R34" s="15" t="s">
        <v>61</v>
      </c>
      <c r="S34" s="15"/>
      <c r="T34" s="15"/>
      <c r="U34" s="15" t="s">
        <v>61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229</v>
      </c>
      <c r="B35" s="13" t="s">
        <v>60</v>
      </c>
      <c r="C35" s="14">
        <v>26</v>
      </c>
      <c r="D35" s="14">
        <v>27</v>
      </c>
      <c r="E35" s="14">
        <f t="shared" si="1"/>
        <v>1</v>
      </c>
      <c r="F35" s="15"/>
      <c r="G35" s="15"/>
      <c r="H35" s="15"/>
      <c r="I35" s="15"/>
      <c r="J35" s="15" t="s">
        <v>61</v>
      </c>
      <c r="K35" s="15" t="s">
        <v>61</v>
      </c>
      <c r="L35" s="15"/>
      <c r="M35" s="15"/>
      <c r="N35" s="15" t="s">
        <v>61</v>
      </c>
      <c r="O35" s="15"/>
      <c r="P35" s="15"/>
      <c r="Q35" s="15"/>
      <c r="R35" s="15" t="s">
        <v>61</v>
      </c>
      <c r="S35" s="15"/>
      <c r="T35" s="15"/>
      <c r="U35" s="15" t="s">
        <v>61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229</v>
      </c>
      <c r="B36" s="13" t="s">
        <v>60</v>
      </c>
      <c r="C36" s="14">
        <v>27</v>
      </c>
      <c r="D36" s="14">
        <v>28</v>
      </c>
      <c r="E36" s="14">
        <f t="shared" si="1"/>
        <v>1</v>
      </c>
      <c r="F36" s="15"/>
      <c r="G36" s="15"/>
      <c r="H36" s="15"/>
      <c r="I36" s="15"/>
      <c r="J36" s="15" t="s">
        <v>61</v>
      </c>
      <c r="K36" s="15" t="s">
        <v>61</v>
      </c>
      <c r="L36" s="15"/>
      <c r="M36" s="15"/>
      <c r="N36" s="15" t="s">
        <v>61</v>
      </c>
      <c r="O36" s="15"/>
      <c r="P36" s="15"/>
      <c r="Q36" s="15"/>
      <c r="R36" s="15" t="s">
        <v>61</v>
      </c>
      <c r="S36" s="15"/>
      <c r="T36" s="15"/>
      <c r="U36" s="15" t="s">
        <v>61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229</v>
      </c>
      <c r="B37" s="13" t="s">
        <v>60</v>
      </c>
      <c r="C37" s="14">
        <v>28</v>
      </c>
      <c r="D37" s="14">
        <v>29</v>
      </c>
      <c r="E37" s="14">
        <f t="shared" si="1"/>
        <v>1</v>
      </c>
      <c r="F37" s="15"/>
      <c r="G37" s="15"/>
      <c r="H37" s="15"/>
      <c r="I37" s="15" t="s">
        <v>61</v>
      </c>
      <c r="J37" s="15"/>
      <c r="K37" s="15" t="s">
        <v>61</v>
      </c>
      <c r="L37" s="15"/>
      <c r="M37" s="15"/>
      <c r="N37" s="15" t="s">
        <v>61</v>
      </c>
      <c r="O37" s="15"/>
      <c r="P37" s="15"/>
      <c r="Q37" s="15"/>
      <c r="R37" s="15" t="s">
        <v>61</v>
      </c>
      <c r="S37" s="15"/>
      <c r="T37" s="15"/>
      <c r="U37" s="15" t="s">
        <v>61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229</v>
      </c>
      <c r="B38" s="13" t="s">
        <v>60</v>
      </c>
      <c r="C38" s="14">
        <v>29</v>
      </c>
      <c r="D38" s="14">
        <v>30</v>
      </c>
      <c r="E38" s="14">
        <f t="shared" si="1"/>
        <v>1</v>
      </c>
      <c r="F38" s="15"/>
      <c r="G38" s="15"/>
      <c r="H38" s="15"/>
      <c r="I38" s="15" t="s">
        <v>61</v>
      </c>
      <c r="J38" s="15"/>
      <c r="K38" s="15" t="s">
        <v>61</v>
      </c>
      <c r="L38" s="15"/>
      <c r="M38" s="15"/>
      <c r="N38" s="15" t="s">
        <v>61</v>
      </c>
      <c r="O38" s="15"/>
      <c r="P38" s="15"/>
      <c r="Q38" s="15"/>
      <c r="R38" s="15" t="s">
        <v>61</v>
      </c>
      <c r="S38" s="15"/>
      <c r="T38" s="15"/>
      <c r="U38" s="15" t="s">
        <v>61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229</v>
      </c>
      <c r="B39" s="13" t="s">
        <v>60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/>
      <c r="I39" s="15"/>
      <c r="J39" s="15" t="s">
        <v>61</v>
      </c>
      <c r="K39" s="15" t="s">
        <v>61</v>
      </c>
      <c r="L39" s="15"/>
      <c r="M39" s="15"/>
      <c r="N39" s="15" t="s">
        <v>61</v>
      </c>
      <c r="O39" s="15"/>
      <c r="P39" s="15"/>
      <c r="Q39" s="15"/>
      <c r="R39" s="15" t="s">
        <v>61</v>
      </c>
      <c r="S39" s="15"/>
      <c r="T39" s="15"/>
      <c r="U39" s="15" t="s">
        <v>61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229</v>
      </c>
      <c r="B40" s="13" t="s">
        <v>60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/>
      <c r="I40" s="15"/>
      <c r="J40" s="15" t="s">
        <v>61</v>
      </c>
      <c r="K40" s="15" t="s">
        <v>61</v>
      </c>
      <c r="L40" s="15"/>
      <c r="M40" s="15"/>
      <c r="N40" s="15" t="s">
        <v>61</v>
      </c>
      <c r="O40" s="15"/>
      <c r="P40" s="15"/>
      <c r="Q40" s="15"/>
      <c r="R40" s="15" t="s">
        <v>61</v>
      </c>
      <c r="S40" s="15"/>
      <c r="T40" s="15"/>
      <c r="U40" s="15" t="s">
        <v>61</v>
      </c>
      <c r="V40" s="16"/>
      <c r="W40" s="17" t="str">
        <f t="shared" si="2"/>
        <v>OK</v>
      </c>
    </row>
    <row r="41" spans="1:23" ht="20.100000000000001" customHeight="1" x14ac:dyDescent="0.25">
      <c r="A41" s="18" t="s">
        <v>229</v>
      </c>
      <c r="B41" s="19" t="s">
        <v>60</v>
      </c>
      <c r="C41" s="20">
        <v>32</v>
      </c>
      <c r="D41" s="20">
        <v>32.246741340600003</v>
      </c>
      <c r="E41" s="20">
        <f t="shared" si="1"/>
        <v>0.24674134060000341</v>
      </c>
      <c r="F41" s="21"/>
      <c r="G41" s="21"/>
      <c r="H41" s="21"/>
      <c r="I41" s="21"/>
      <c r="J41" s="21" t="s">
        <v>61</v>
      </c>
      <c r="K41" s="21" t="s">
        <v>61</v>
      </c>
      <c r="L41" s="21"/>
      <c r="M41" s="21"/>
      <c r="N41" s="21" t="s">
        <v>61</v>
      </c>
      <c r="O41" s="21"/>
      <c r="P41" s="21"/>
      <c r="Q41" s="21"/>
      <c r="R41" s="21" t="s">
        <v>61</v>
      </c>
      <c r="S41" s="21"/>
      <c r="T41" s="21"/>
      <c r="U41" s="21" t="s">
        <v>61</v>
      </c>
      <c r="V41" s="22"/>
      <c r="W41" s="23" t="str">
        <f t="shared" si="2"/>
        <v>OK</v>
      </c>
    </row>
    <row r="43" spans="1:23" x14ac:dyDescent="0.25">
      <c r="A43" s="38" t="s">
        <v>67</v>
      </c>
      <c r="B43" s="28"/>
      <c r="C43" s="28"/>
      <c r="D43" s="28"/>
      <c r="E43" s="28"/>
      <c r="G43" s="38" t="s">
        <v>67</v>
      </c>
      <c r="H43" s="28"/>
      <c r="I43" s="28"/>
      <c r="J43" s="28"/>
      <c r="K43" s="28"/>
    </row>
    <row r="44" spans="1:23" x14ac:dyDescent="0.25">
      <c r="A44" s="36" t="s">
        <v>68</v>
      </c>
      <c r="B44" s="28"/>
      <c r="C44" s="28"/>
      <c r="D44" s="28"/>
      <c r="E44" s="28"/>
      <c r="G44" s="36" t="s">
        <v>69</v>
      </c>
      <c r="H44" s="28"/>
      <c r="I44" s="28"/>
      <c r="J44" s="28"/>
      <c r="K44" s="28"/>
    </row>
    <row r="46" spans="1:23" x14ac:dyDescent="0.25">
      <c r="A46" s="37" t="s">
        <v>70</v>
      </c>
      <c r="B46" s="28"/>
      <c r="C46" s="28"/>
      <c r="D46" s="28"/>
      <c r="E46" s="2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3" x14ac:dyDescent="0.25">
      <c r="A47" s="34" t="s">
        <v>71</v>
      </c>
      <c r="B47" s="28"/>
      <c r="C47" s="28"/>
      <c r="D47" s="28"/>
      <c r="E47" s="28"/>
      <c r="F47" s="9">
        <f t="shared" ref="F47:U47" si="3">SUMIF(F$9:F$41,"X",$E$9:$E$41)</f>
        <v>4</v>
      </c>
      <c r="G47" s="9">
        <f t="shared" si="3"/>
        <v>3</v>
      </c>
      <c r="H47" s="9">
        <f t="shared" si="3"/>
        <v>4</v>
      </c>
      <c r="I47" s="9">
        <f t="shared" si="3"/>
        <v>5</v>
      </c>
      <c r="J47" s="9">
        <f t="shared" si="3"/>
        <v>16.246741340600003</v>
      </c>
      <c r="K47" s="9">
        <f t="shared" si="3"/>
        <v>32.246741340600003</v>
      </c>
      <c r="L47" s="9">
        <f t="shared" si="3"/>
        <v>0</v>
      </c>
      <c r="M47" s="9">
        <f t="shared" si="3"/>
        <v>0</v>
      </c>
      <c r="N47" s="9">
        <f t="shared" si="3"/>
        <v>32.246741340600003</v>
      </c>
      <c r="O47" s="9">
        <f t="shared" si="3"/>
        <v>0</v>
      </c>
      <c r="P47" s="9">
        <f t="shared" si="3"/>
        <v>0</v>
      </c>
      <c r="Q47" s="9">
        <f t="shared" si="3"/>
        <v>0</v>
      </c>
      <c r="R47" s="9">
        <f t="shared" si="3"/>
        <v>32.246741340600003</v>
      </c>
      <c r="S47" s="9">
        <f t="shared" si="3"/>
        <v>0</v>
      </c>
      <c r="T47" s="9">
        <f t="shared" si="3"/>
        <v>0</v>
      </c>
      <c r="U47" s="9">
        <f t="shared" si="3"/>
        <v>32.246741340600003</v>
      </c>
    </row>
    <row r="48" spans="1:23" x14ac:dyDescent="0.25">
      <c r="A48" s="34" t="s">
        <v>72</v>
      </c>
      <c r="B48" s="28"/>
      <c r="C48" s="28"/>
      <c r="D48" s="28"/>
      <c r="E48" s="28"/>
      <c r="F48" s="25">
        <f t="shared" ref="F48:U48" si="4">IF($R50=0,0,F47/$R50)</f>
        <v>0.12404354157062784</v>
      </c>
      <c r="G48" s="25">
        <f t="shared" si="4"/>
        <v>9.3032656177970879E-2</v>
      </c>
      <c r="H48" s="25">
        <f t="shared" si="4"/>
        <v>0.12404354157062784</v>
      </c>
      <c r="I48" s="25">
        <f t="shared" si="4"/>
        <v>0.15505442696328481</v>
      </c>
      <c r="J48" s="25">
        <f t="shared" si="4"/>
        <v>0.50382583371748857</v>
      </c>
      <c r="K48" s="25">
        <f t="shared" si="4"/>
        <v>1</v>
      </c>
      <c r="L48" s="25">
        <f t="shared" si="4"/>
        <v>0</v>
      </c>
      <c r="M48" s="25">
        <f t="shared" si="4"/>
        <v>0</v>
      </c>
      <c r="N48" s="25">
        <f t="shared" si="4"/>
        <v>1</v>
      </c>
      <c r="O48" s="25">
        <f t="shared" si="4"/>
        <v>0</v>
      </c>
      <c r="P48" s="25">
        <f t="shared" si="4"/>
        <v>0</v>
      </c>
      <c r="Q48" s="25">
        <f t="shared" si="4"/>
        <v>0</v>
      </c>
      <c r="R48" s="25">
        <f t="shared" si="4"/>
        <v>1</v>
      </c>
      <c r="S48" s="25">
        <f t="shared" si="4"/>
        <v>0</v>
      </c>
      <c r="T48" s="25">
        <f t="shared" si="4"/>
        <v>0</v>
      </c>
      <c r="U48" s="25">
        <f t="shared" si="4"/>
        <v>1</v>
      </c>
    </row>
    <row r="49" spans="1:22" x14ac:dyDescent="0.25">
      <c r="A49" s="34" t="s">
        <v>73</v>
      </c>
      <c r="B49" s="28"/>
      <c r="C49" s="28"/>
      <c r="D49" s="28"/>
      <c r="E49" s="28"/>
      <c r="F49" s="31" t="str">
        <f>IF(SUM(F47:J47)=0,"— não preenchido",IF(ROUND(SUM(F47:J47)-$R50,3)=0,"OK — "&amp;ROUND(SUM(F47:J47),3)&amp;" km","ERRO — dif. de "&amp;ROUND(SUM(F47:J47)-$R50,3)&amp;" km"))</f>
        <v>OK — 32,247 km</v>
      </c>
      <c r="G49" s="32"/>
      <c r="H49" s="32"/>
      <c r="I49" s="32"/>
      <c r="J49" s="33"/>
      <c r="K49" s="31" t="str">
        <f>IF(SUM(K47:L47)=0,"— não preenchido",IF(ROUND(SUM(K47:L47)-$R50,3)=0,"OK — "&amp;ROUND(SUM(K47:L47),3)&amp;" km","ERRO — dif. de "&amp;ROUND(SUM(K47:L47)-$R50,3)&amp;" km"))</f>
        <v>OK — 32,247 km</v>
      </c>
      <c r="L49" s="33"/>
      <c r="M49" s="31" t="str">
        <f>IF(SUM(M47:O47)=0,"— não preenchido",IF(ROUND(SUM(M47:O47)-$R50,3)=0,"OK — "&amp;ROUND(SUM(M47:O47),3)&amp;" km","ERRO — dif. de "&amp;ROUND(SUM(M47:O47)-$R50,3)&amp;" km"))</f>
        <v>OK — 32,247 km</v>
      </c>
      <c r="N49" s="32"/>
      <c r="O49" s="33"/>
      <c r="P49" s="31" t="str">
        <f>IF(SUM(P47:R47)=0,"— não preenchido",IF(ROUND(SUM(P47:R47)-$R50,3)=0,"OK — "&amp;ROUND(SUM(P47:R47),3)&amp;" km","ERRO — dif. de "&amp;ROUND(SUM(P47:R47)-$R50,3)&amp;" km"))</f>
        <v>OK — 32,247 km</v>
      </c>
      <c r="Q49" s="32"/>
      <c r="R49" s="33"/>
      <c r="S49" s="31" t="str">
        <f>IF(SUM(S47:U47)=0,"— não preenchido",IF(ROUND(SUM(S47:U47)-$R50,3)=0,"OK — "&amp;ROUND(SUM(S47:U47),3)&amp;" km","ERRO — dif. de "&amp;ROUND(SUM(S47:U47)-$R50,3)&amp;" km"))</f>
        <v>OK — 32,247 km</v>
      </c>
      <c r="T49" s="32"/>
      <c r="U49" s="33"/>
    </row>
    <row r="50" spans="1:22" x14ac:dyDescent="0.25">
      <c r="A50" s="34" t="s">
        <v>74</v>
      </c>
      <c r="B50" s="28"/>
      <c r="C50" s="28"/>
      <c r="D50" s="28"/>
      <c r="E50" s="28"/>
      <c r="R50" s="26">
        <f>SUM(E9:E41)</f>
        <v>32.246741340600003</v>
      </c>
      <c r="V50" s="8" t="str">
        <f>COUNTIF(W9:W41,"OK")&amp;" de "&amp;COUNT($E$9:$E$41)&amp;" linhas conferidas"</f>
        <v>33 de 33 linhas conferidas</v>
      </c>
    </row>
    <row r="52" spans="1:22" x14ac:dyDescent="0.25">
      <c r="A52" s="45" t="s">
        <v>75</v>
      </c>
      <c r="B52" s="28"/>
      <c r="C52" s="28"/>
      <c r="D52" s="28"/>
      <c r="E52" s="28"/>
    </row>
    <row r="53" spans="1:22" x14ac:dyDescent="0.25">
      <c r="A53" s="34" t="s">
        <v>76</v>
      </c>
      <c r="B53" s="28"/>
      <c r="C53" s="28"/>
      <c r="D53" s="28"/>
      <c r="E53" s="29" t="s">
        <v>77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78</v>
      </c>
      <c r="B54" s="28"/>
      <c r="C54" s="28"/>
      <c r="D54" s="28"/>
      <c r="E54" s="29" t="s">
        <v>79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80</v>
      </c>
      <c r="B55" s="28"/>
      <c r="C55" s="28"/>
      <c r="D55" s="28"/>
      <c r="E55" s="29" t="s">
        <v>81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82</v>
      </c>
      <c r="B56" s="28"/>
      <c r="C56" s="28"/>
      <c r="D56" s="28"/>
      <c r="E56" s="29" t="s">
        <v>83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84</v>
      </c>
      <c r="B57" s="28"/>
      <c r="C57" s="28"/>
      <c r="D57" s="28"/>
      <c r="E57" s="29" t="s">
        <v>85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52</v>
      </c>
      <c r="B58" s="28"/>
      <c r="C58" s="28"/>
      <c r="D58" s="28"/>
      <c r="E58" s="29" t="s">
        <v>86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87</v>
      </c>
      <c r="B59" s="28"/>
      <c r="C59" s="28"/>
      <c r="D59" s="28"/>
      <c r="E59" s="29" t="s">
        <v>88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89</v>
      </c>
      <c r="B60" s="28"/>
      <c r="C60" s="28"/>
      <c r="D60" s="28"/>
      <c r="E60" s="29" t="s">
        <v>90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11</v>
      </c>
      <c r="B61" s="28"/>
      <c r="C61" s="28"/>
      <c r="D61" s="28"/>
      <c r="E61" s="29" t="s">
        <v>91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</sheetData>
  <sheetProtection formatCells="0"/>
  <mergeCells count="57">
    <mergeCell ref="G2:H2"/>
    <mergeCell ref="I2:J2"/>
    <mergeCell ref="A8:V8"/>
    <mergeCell ref="A49:E49"/>
    <mergeCell ref="F6:J6"/>
    <mergeCell ref="A6:A7"/>
    <mergeCell ref="A2:F2"/>
    <mergeCell ref="K2:M2"/>
    <mergeCell ref="N2:O2"/>
    <mergeCell ref="P2:Q2"/>
    <mergeCell ref="K49:L49"/>
    <mergeCell ref="A48:E48"/>
    <mergeCell ref="P49:R49"/>
    <mergeCell ref="G43:K43"/>
    <mergeCell ref="A4:V4"/>
    <mergeCell ref="S6:U6"/>
    <mergeCell ref="W6:W7"/>
    <mergeCell ref="A59:D59"/>
    <mergeCell ref="A46:E46"/>
    <mergeCell ref="E6:E7"/>
    <mergeCell ref="B6:B7"/>
    <mergeCell ref="P6:R6"/>
    <mergeCell ref="M6:O6"/>
    <mergeCell ref="S49:U49"/>
    <mergeCell ref="V6:V7"/>
    <mergeCell ref="E61:V61"/>
    <mergeCell ref="E57:V57"/>
    <mergeCell ref="A50:E50"/>
    <mergeCell ref="E54:V54"/>
    <mergeCell ref="A61:D61"/>
    <mergeCell ref="E56:V56"/>
    <mergeCell ref="E58:V58"/>
    <mergeCell ref="A56:D56"/>
    <mergeCell ref="E55:V55"/>
    <mergeCell ref="A55:D55"/>
    <mergeCell ref="A57:D57"/>
    <mergeCell ref="E60:V60"/>
    <mergeCell ref="A58:D58"/>
    <mergeCell ref="E59:V59"/>
    <mergeCell ref="A60:D60"/>
    <mergeCell ref="A53:D53"/>
    <mergeCell ref="A1:V1"/>
    <mergeCell ref="A54:D54"/>
    <mergeCell ref="A47:E47"/>
    <mergeCell ref="T3:V3"/>
    <mergeCell ref="A44:E44"/>
    <mergeCell ref="E53:V53"/>
    <mergeCell ref="A43:E43"/>
    <mergeCell ref="M49:O49"/>
    <mergeCell ref="A52:E52"/>
    <mergeCell ref="G44:K44"/>
    <mergeCell ref="R2:V2"/>
    <mergeCell ref="A3:S3"/>
    <mergeCell ref="F49:J49"/>
    <mergeCell ref="C6:C7"/>
    <mergeCell ref="K6:L6"/>
    <mergeCell ref="D6:D7"/>
  </mergeCells>
  <conditionalFormatting sqref="F9:J41">
    <cfRule type="expression" dxfId="35" priority="1">
      <formula>AND(F9&lt;&gt;"",COUNTIF($F9:$J9,"X")&gt;1)</formula>
    </cfRule>
  </conditionalFormatting>
  <conditionalFormatting sqref="F49:U49">
    <cfRule type="expression" dxfId="34" priority="8">
      <formula>LEFT(F49,4)="ERRO"</formula>
    </cfRule>
    <cfRule type="expression" dxfId="33" priority="9">
      <formula>LEFT(F49,2)="OK"</formula>
    </cfRule>
  </conditionalFormatting>
  <conditionalFormatting sqref="K9:L41">
    <cfRule type="expression" dxfId="32" priority="2">
      <formula>AND(K9&lt;&gt;"",COUNTIF($K9:$L9,"X")&gt;1)</formula>
    </cfRule>
  </conditionalFormatting>
  <conditionalFormatting sqref="M9:O41">
    <cfRule type="expression" dxfId="31" priority="3">
      <formula>AND(M9&lt;&gt;"",COUNTIF($M9:$O9,"X")&gt;1)</formula>
    </cfRule>
  </conditionalFormatting>
  <conditionalFormatting sqref="P9:R41">
    <cfRule type="expression" dxfId="30" priority="4">
      <formula>AND(P9&lt;&gt;"",COUNTIF($P9:$R9,"X")&gt;1)</formula>
    </cfRule>
  </conditionalFormatting>
  <conditionalFormatting sqref="S9:U41">
    <cfRule type="expression" dxfId="29" priority="5">
      <formula>AND(S9&lt;&gt;"",COUNTIF($S9:$U9,"X")&gt;1)</formula>
    </cfRule>
  </conditionalFormatting>
  <conditionalFormatting sqref="W9:W41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1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1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1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1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1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41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57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AN32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IF(F18=0,NA(),F18)</f>
        <v>3.86802932762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3.86802932762</v>
      </c>
      <c r="AF2" s="2" t="e">
        <f t="shared" si="0"/>
        <v>#N/A</v>
      </c>
      <c r="AG2" s="2" t="e">
        <f t="shared" si="0"/>
        <v>#N/A</v>
      </c>
      <c r="AH2" s="2">
        <f t="shared" si="0"/>
        <v>3.86802932762</v>
      </c>
      <c r="AI2" s="2" t="e">
        <f t="shared" si="0"/>
        <v>#N/A</v>
      </c>
      <c r="AJ2" s="2" t="e">
        <f t="shared" si="0"/>
        <v>#N/A</v>
      </c>
      <c r="AK2" s="2">
        <f t="shared" si="0"/>
        <v>3.86802932762</v>
      </c>
      <c r="AL2" s="2" t="e">
        <f t="shared" si="0"/>
        <v>#N/A</v>
      </c>
      <c r="AM2" s="2" t="e">
        <f t="shared" si="0"/>
        <v>#N/A</v>
      </c>
      <c r="AN2" s="2">
        <f t="shared" si="0"/>
        <v>3.86802932762</v>
      </c>
    </row>
    <row r="3" spans="1:40" ht="15" customHeight="1" x14ac:dyDescent="0.25">
      <c r="A3" s="42" t="s">
        <v>230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231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232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233</v>
      </c>
      <c r="B9" s="13" t="s">
        <v>60</v>
      </c>
      <c r="C9" s="14">
        <v>0</v>
      </c>
      <c r="D9" s="14">
        <v>1</v>
      </c>
      <c r="E9" s="14">
        <f>D9-C9</f>
        <v>1</v>
      </c>
      <c r="F9" s="15" t="s">
        <v>61</v>
      </c>
      <c r="G9" s="15"/>
      <c r="H9" s="15"/>
      <c r="I9" s="15"/>
      <c r="J9" s="15"/>
      <c r="K9" s="15"/>
      <c r="L9" s="15" t="s">
        <v>61</v>
      </c>
      <c r="M9" s="15"/>
      <c r="N9" s="15"/>
      <c r="O9" s="15" t="s">
        <v>61</v>
      </c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233</v>
      </c>
      <c r="B10" s="13" t="s">
        <v>60</v>
      </c>
      <c r="C10" s="14">
        <v>1</v>
      </c>
      <c r="D10" s="14">
        <v>2</v>
      </c>
      <c r="E10" s="14">
        <f>D10-C10</f>
        <v>1</v>
      </c>
      <c r="F10" s="15" t="s">
        <v>61</v>
      </c>
      <c r="G10" s="15"/>
      <c r="H10" s="15"/>
      <c r="I10" s="15"/>
      <c r="J10" s="15"/>
      <c r="K10" s="15"/>
      <c r="L10" s="15" t="s">
        <v>61</v>
      </c>
      <c r="M10" s="15"/>
      <c r="N10" s="15"/>
      <c r="O10" s="15" t="s">
        <v>61</v>
      </c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233</v>
      </c>
      <c r="B11" s="13" t="s">
        <v>60</v>
      </c>
      <c r="C11" s="14">
        <v>2</v>
      </c>
      <c r="D11" s="14">
        <v>3</v>
      </c>
      <c r="E11" s="14">
        <f>D11-C11</f>
        <v>1</v>
      </c>
      <c r="F11" s="15" t="s">
        <v>61</v>
      </c>
      <c r="G11" s="15"/>
      <c r="H11" s="15"/>
      <c r="I11" s="15"/>
      <c r="J11" s="15"/>
      <c r="K11" s="15"/>
      <c r="L11" s="15" t="s">
        <v>61</v>
      </c>
      <c r="M11" s="15"/>
      <c r="N11" s="15"/>
      <c r="O11" s="15" t="s">
        <v>61</v>
      </c>
      <c r="P11" s="15"/>
      <c r="Q11" s="15"/>
      <c r="R11" s="15" t="s">
        <v>61</v>
      </c>
      <c r="S11" s="15"/>
      <c r="T11" s="15"/>
      <c r="U11" s="15" t="s">
        <v>61</v>
      </c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233</v>
      </c>
      <c r="B12" s="19" t="s">
        <v>60</v>
      </c>
      <c r="C12" s="20">
        <v>3</v>
      </c>
      <c r="D12" s="20">
        <v>3.86802932762</v>
      </c>
      <c r="E12" s="20">
        <f>D12-C12</f>
        <v>0.86802932761999996</v>
      </c>
      <c r="F12" s="21" t="s">
        <v>61</v>
      </c>
      <c r="G12" s="21"/>
      <c r="H12" s="21"/>
      <c r="I12" s="21"/>
      <c r="J12" s="21"/>
      <c r="K12" s="21"/>
      <c r="L12" s="21" t="s">
        <v>61</v>
      </c>
      <c r="M12" s="21"/>
      <c r="N12" s="21"/>
      <c r="O12" s="21" t="s">
        <v>61</v>
      </c>
      <c r="P12" s="21"/>
      <c r="Q12" s="21"/>
      <c r="R12" s="21" t="s">
        <v>61</v>
      </c>
      <c r="S12" s="21"/>
      <c r="T12" s="21"/>
      <c r="U12" s="21" t="s">
        <v>61</v>
      </c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4" spans="1:40" x14ac:dyDescent="0.25">
      <c r="A14" s="38" t="s">
        <v>67</v>
      </c>
      <c r="B14" s="28"/>
      <c r="C14" s="28"/>
      <c r="D14" s="28"/>
      <c r="E14" s="28"/>
      <c r="G14" s="38" t="s">
        <v>67</v>
      </c>
      <c r="H14" s="28"/>
      <c r="I14" s="28"/>
      <c r="J14" s="28"/>
      <c r="K14" s="28"/>
    </row>
    <row r="15" spans="1:40" x14ac:dyDescent="0.25">
      <c r="A15" s="36" t="s">
        <v>68</v>
      </c>
      <c r="B15" s="28"/>
      <c r="C15" s="28"/>
      <c r="D15" s="28"/>
      <c r="E15" s="28"/>
      <c r="G15" s="36" t="s">
        <v>69</v>
      </c>
      <c r="H15" s="28"/>
      <c r="I15" s="28"/>
      <c r="J15" s="28"/>
      <c r="K15" s="28"/>
    </row>
    <row r="17" spans="1:22" x14ac:dyDescent="0.25">
      <c r="A17" s="37" t="s">
        <v>70</v>
      </c>
      <c r="B17" s="28"/>
      <c r="C17" s="28"/>
      <c r="D17" s="28"/>
      <c r="E17" s="28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x14ac:dyDescent="0.25">
      <c r="A18" s="34" t="s">
        <v>71</v>
      </c>
      <c r="B18" s="28"/>
      <c r="C18" s="28"/>
      <c r="D18" s="28"/>
      <c r="E18" s="28"/>
      <c r="F18" s="9">
        <f t="shared" ref="F18:U18" si="1">SUMIF(F$9:F$12,"X",$E$9:$E$12)</f>
        <v>3.86802932762</v>
      </c>
      <c r="G18" s="9">
        <f t="shared" si="1"/>
        <v>0</v>
      </c>
      <c r="H18" s="9">
        <f t="shared" si="1"/>
        <v>0</v>
      </c>
      <c r="I18" s="9">
        <f t="shared" si="1"/>
        <v>0</v>
      </c>
      <c r="J18" s="9">
        <f t="shared" si="1"/>
        <v>0</v>
      </c>
      <c r="K18" s="9">
        <f t="shared" si="1"/>
        <v>0</v>
      </c>
      <c r="L18" s="9">
        <f t="shared" si="1"/>
        <v>3.86802932762</v>
      </c>
      <c r="M18" s="9">
        <f t="shared" si="1"/>
        <v>0</v>
      </c>
      <c r="N18" s="9">
        <f t="shared" si="1"/>
        <v>0</v>
      </c>
      <c r="O18" s="9">
        <f t="shared" si="1"/>
        <v>3.86802932762</v>
      </c>
      <c r="P18" s="9">
        <f t="shared" si="1"/>
        <v>0</v>
      </c>
      <c r="Q18" s="9">
        <f t="shared" si="1"/>
        <v>0</v>
      </c>
      <c r="R18" s="9">
        <f t="shared" si="1"/>
        <v>3.86802932762</v>
      </c>
      <c r="S18" s="9">
        <f t="shared" si="1"/>
        <v>0</v>
      </c>
      <c r="T18" s="9">
        <f t="shared" si="1"/>
        <v>0</v>
      </c>
      <c r="U18" s="9">
        <f t="shared" si="1"/>
        <v>3.86802932762</v>
      </c>
    </row>
    <row r="19" spans="1:22" x14ac:dyDescent="0.25">
      <c r="A19" s="34" t="s">
        <v>72</v>
      </c>
      <c r="B19" s="28"/>
      <c r="C19" s="28"/>
      <c r="D19" s="28"/>
      <c r="E19" s="28"/>
      <c r="F19" s="25">
        <f t="shared" ref="F19:U19" si="2">IF($R21=0,0,F18/$R21)</f>
        <v>1</v>
      </c>
      <c r="G19" s="25">
        <f t="shared" si="2"/>
        <v>0</v>
      </c>
      <c r="H19" s="25">
        <f t="shared" si="2"/>
        <v>0</v>
      </c>
      <c r="I19" s="25">
        <f t="shared" si="2"/>
        <v>0</v>
      </c>
      <c r="J19" s="25">
        <f t="shared" si="2"/>
        <v>0</v>
      </c>
      <c r="K19" s="25">
        <f t="shared" si="2"/>
        <v>0</v>
      </c>
      <c r="L19" s="25">
        <f t="shared" si="2"/>
        <v>1</v>
      </c>
      <c r="M19" s="25">
        <f t="shared" si="2"/>
        <v>0</v>
      </c>
      <c r="N19" s="25">
        <f t="shared" si="2"/>
        <v>0</v>
      </c>
      <c r="O19" s="25">
        <f t="shared" si="2"/>
        <v>1</v>
      </c>
      <c r="P19" s="25">
        <f t="shared" si="2"/>
        <v>0</v>
      </c>
      <c r="Q19" s="25">
        <f t="shared" si="2"/>
        <v>0</v>
      </c>
      <c r="R19" s="25">
        <f t="shared" si="2"/>
        <v>1</v>
      </c>
      <c r="S19" s="25">
        <f t="shared" si="2"/>
        <v>0</v>
      </c>
      <c r="T19" s="25">
        <f t="shared" si="2"/>
        <v>0</v>
      </c>
      <c r="U19" s="25">
        <f t="shared" si="2"/>
        <v>1</v>
      </c>
    </row>
    <row r="20" spans="1:22" x14ac:dyDescent="0.25">
      <c r="A20" s="34" t="s">
        <v>73</v>
      </c>
      <c r="B20" s="28"/>
      <c r="C20" s="28"/>
      <c r="D20" s="28"/>
      <c r="E20" s="28"/>
      <c r="F20" s="31" t="str">
        <f>IF(SUM(F18:J18)=0,"— não preenchido",IF(ROUND(SUM(F18:J18)-$R21,3)=0,"OK — "&amp;ROUND(SUM(F18:J18),3)&amp;" km","ERRO — dif. de "&amp;ROUND(SUM(F18:J18)-$R21,3)&amp;" km"))</f>
        <v>OK — 3,868 km</v>
      </c>
      <c r="G20" s="32"/>
      <c r="H20" s="32"/>
      <c r="I20" s="32"/>
      <c r="J20" s="33"/>
      <c r="K20" s="31" t="str">
        <f>IF(SUM(K18:L18)=0,"— não preenchido",IF(ROUND(SUM(K18:L18)-$R21,3)=0,"OK — "&amp;ROUND(SUM(K18:L18),3)&amp;" km","ERRO — dif. de "&amp;ROUND(SUM(K18:L18)-$R21,3)&amp;" km"))</f>
        <v>OK — 3,868 km</v>
      </c>
      <c r="L20" s="33"/>
      <c r="M20" s="31" t="str">
        <f>IF(SUM(M18:O18)=0,"— não preenchido",IF(ROUND(SUM(M18:O18)-$R21,3)=0,"OK — "&amp;ROUND(SUM(M18:O18),3)&amp;" km","ERRO — dif. de "&amp;ROUND(SUM(M18:O18)-$R21,3)&amp;" km"))</f>
        <v>OK — 3,868 km</v>
      </c>
      <c r="N20" s="32"/>
      <c r="O20" s="33"/>
      <c r="P20" s="31" t="str">
        <f>IF(SUM(P18:R18)=0,"— não preenchido",IF(ROUND(SUM(P18:R18)-$R21,3)=0,"OK — "&amp;ROUND(SUM(P18:R18),3)&amp;" km","ERRO — dif. de "&amp;ROUND(SUM(P18:R18)-$R21,3)&amp;" km"))</f>
        <v>OK — 3,868 km</v>
      </c>
      <c r="Q20" s="32"/>
      <c r="R20" s="33"/>
      <c r="S20" s="31" t="str">
        <f>IF(SUM(S18:U18)=0,"— não preenchido",IF(ROUND(SUM(S18:U18)-$R21,3)=0,"OK — "&amp;ROUND(SUM(S18:U18),3)&amp;" km","ERRO — dif. de "&amp;ROUND(SUM(S18:U18)-$R21,3)&amp;" km"))</f>
        <v>OK — 3,868 km</v>
      </c>
      <c r="T20" s="32"/>
      <c r="U20" s="33"/>
    </row>
    <row r="21" spans="1:22" x14ac:dyDescent="0.25">
      <c r="A21" s="34" t="s">
        <v>74</v>
      </c>
      <c r="B21" s="28"/>
      <c r="C21" s="28"/>
      <c r="D21" s="28"/>
      <c r="E21" s="28"/>
      <c r="R21" s="26">
        <f>SUM(E9:E12)</f>
        <v>3.86802932762</v>
      </c>
      <c r="V21" s="8" t="str">
        <f>COUNTIF(W9:W12,"OK")&amp;" de "&amp;COUNT($E$9:$E$12)&amp;" linhas conferidas"</f>
        <v>4 de 4 linhas conferidas</v>
      </c>
    </row>
    <row r="23" spans="1:22" x14ac:dyDescent="0.25">
      <c r="A23" s="45" t="s">
        <v>75</v>
      </c>
      <c r="B23" s="28"/>
      <c r="C23" s="28"/>
      <c r="D23" s="28"/>
      <c r="E23" s="28"/>
    </row>
    <row r="24" spans="1:22" x14ac:dyDescent="0.25">
      <c r="A24" s="34" t="s">
        <v>76</v>
      </c>
      <c r="B24" s="28"/>
      <c r="C24" s="28"/>
      <c r="D24" s="28"/>
      <c r="E24" s="29" t="s">
        <v>77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4" t="s">
        <v>78</v>
      </c>
      <c r="B25" s="28"/>
      <c r="C25" s="28"/>
      <c r="D25" s="28"/>
      <c r="E25" s="29" t="s">
        <v>79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4" t="s">
        <v>80</v>
      </c>
      <c r="B26" s="28"/>
      <c r="C26" s="28"/>
      <c r="D26" s="28"/>
      <c r="E26" s="29" t="s">
        <v>81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4" t="s">
        <v>82</v>
      </c>
      <c r="B27" s="28"/>
      <c r="C27" s="28"/>
      <c r="D27" s="28"/>
      <c r="E27" s="29" t="s">
        <v>83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84</v>
      </c>
      <c r="B28" s="28"/>
      <c r="C28" s="28"/>
      <c r="D28" s="28"/>
      <c r="E28" s="29" t="s">
        <v>85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52</v>
      </c>
      <c r="B29" s="28"/>
      <c r="C29" s="28"/>
      <c r="D29" s="28"/>
      <c r="E29" s="29" t="s">
        <v>86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87</v>
      </c>
      <c r="B30" s="28"/>
      <c r="C30" s="28"/>
      <c r="D30" s="28"/>
      <c r="E30" s="29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4" t="s">
        <v>89</v>
      </c>
      <c r="B31" s="28"/>
      <c r="C31" s="28"/>
      <c r="D31" s="28"/>
      <c r="E31" s="29" t="s">
        <v>90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4" t="s">
        <v>11</v>
      </c>
      <c r="B32" s="28"/>
      <c r="C32" s="28"/>
      <c r="D32" s="28"/>
      <c r="E32" s="29" t="s">
        <v>91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</sheetData>
  <sheetProtection formatCells="0"/>
  <mergeCells count="57">
    <mergeCell ref="I2:J2"/>
    <mergeCell ref="A8:V8"/>
    <mergeCell ref="E28:V28"/>
    <mergeCell ref="A29:D29"/>
    <mergeCell ref="A6:A7"/>
    <mergeCell ref="F6:J6"/>
    <mergeCell ref="M6:O6"/>
    <mergeCell ref="A28:D28"/>
    <mergeCell ref="A4:V4"/>
    <mergeCell ref="V6:V7"/>
    <mergeCell ref="A32:D32"/>
    <mergeCell ref="F20:J20"/>
    <mergeCell ref="N2:O2"/>
    <mergeCell ref="A30:D30"/>
    <mergeCell ref="E27:V27"/>
    <mergeCell ref="P2:Q2"/>
    <mergeCell ref="E31:V31"/>
    <mergeCell ref="A2:F2"/>
    <mergeCell ref="S6:U6"/>
    <mergeCell ref="K2:M2"/>
    <mergeCell ref="K20:L20"/>
    <mergeCell ref="E30:V30"/>
    <mergeCell ref="A31:D31"/>
    <mergeCell ref="E29:V29"/>
    <mergeCell ref="G2:H2"/>
    <mergeCell ref="A15:E15"/>
    <mergeCell ref="W6:W7"/>
    <mergeCell ref="E6:E7"/>
    <mergeCell ref="A24:D24"/>
    <mergeCell ref="E26:V26"/>
    <mergeCell ref="B6:B7"/>
    <mergeCell ref="A18:E18"/>
    <mergeCell ref="S20:U20"/>
    <mergeCell ref="A21:E21"/>
    <mergeCell ref="G15:K15"/>
    <mergeCell ref="E25:V25"/>
    <mergeCell ref="C6:C7"/>
    <mergeCell ref="K6:L6"/>
    <mergeCell ref="D6:D7"/>
    <mergeCell ref="M20:O20"/>
    <mergeCell ref="P6:R6"/>
    <mergeCell ref="A1:V1"/>
    <mergeCell ref="E32:V32"/>
    <mergeCell ref="G14:K14"/>
    <mergeCell ref="T3:V3"/>
    <mergeCell ref="A23:E23"/>
    <mergeCell ref="A25:D25"/>
    <mergeCell ref="A14:E14"/>
    <mergeCell ref="A17:E17"/>
    <mergeCell ref="P20:R20"/>
    <mergeCell ref="A27:D27"/>
    <mergeCell ref="A20:E20"/>
    <mergeCell ref="A26:D26"/>
    <mergeCell ref="A19:E19"/>
    <mergeCell ref="E24:V24"/>
    <mergeCell ref="R2:V2"/>
    <mergeCell ref="A3:S3"/>
  </mergeCells>
  <conditionalFormatting sqref="F9:J12">
    <cfRule type="expression" dxfId="26" priority="1">
      <formula>AND(F9&lt;&gt;"",COUNTIF($F9:$J9,"X")&gt;1)</formula>
    </cfRule>
  </conditionalFormatting>
  <conditionalFormatting sqref="F20:U20">
    <cfRule type="expression" dxfId="25" priority="8">
      <formula>LEFT(F20,4)="ERRO"</formula>
    </cfRule>
    <cfRule type="expression" dxfId="24" priority="9">
      <formula>LEFT(F20,2)="OK"</formula>
    </cfRule>
  </conditionalFormatting>
  <conditionalFormatting sqref="K9:L12">
    <cfRule type="expression" dxfId="23" priority="2">
      <formula>AND(K9&lt;&gt;"",COUNTIF($K9:$L9,"X")&gt;1)</formula>
    </cfRule>
  </conditionalFormatting>
  <conditionalFormatting sqref="M9:O12">
    <cfRule type="expression" dxfId="22" priority="3">
      <formula>AND(M9&lt;&gt;"",COUNTIF($M9:$O9,"X")&gt;1)</formula>
    </cfRule>
  </conditionalFormatting>
  <conditionalFormatting sqref="P9:R12">
    <cfRule type="expression" dxfId="21" priority="4">
      <formula>AND(P9&lt;&gt;"",COUNTIF($P9:$R9,"X")&gt;1)</formula>
    </cfRule>
  </conditionalFormatting>
  <conditionalFormatting sqref="S9:U12">
    <cfRule type="expression" dxfId="20" priority="5">
      <formula>AND(S9&lt;&gt;"",COUNTIF($S9:$U9,"X")&gt;1)</formula>
    </cfRule>
  </conditionalFormatting>
  <conditionalFormatting sqref="W9:W12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12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58</oddHeader>
    <oddFooter>&amp;L&amp;7 RTA / MSI — Programa de Manutenção Rodoviária&amp;C&amp;7 Página &amp;P de &amp;N&amp;R&amp;7 Impresso em &amp;D</oddFooter>
  </headerFooter>
  <rowBreaks count="1" manualBreakCount="1">
    <brk id="15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AN69"/>
  <sheetViews>
    <sheetView showGridLines="0" workbookViewId="0">
      <pane xSplit="5" ySplit="7" topLeftCell="F8" activePane="bottomRight" state="frozen"/>
      <selection activeCell="W9" sqref="W9"/>
      <selection pane="topRight" activeCell="W9" sqref="W9"/>
      <selection pane="bottomLeft" activeCell="W9" sqref="W9"/>
      <selection pane="bottomRight" activeCell="W9" sqref="W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>
        <f t="shared" ref="Y2:AN2" si="0">IF(F55=0,NA(),F55)</f>
        <v>13.7178023618</v>
      </c>
      <c r="Z2" s="2" t="e">
        <f t="shared" si="0"/>
        <v>#N/A</v>
      </c>
      <c r="AA2" s="2" t="e">
        <f t="shared" si="0"/>
        <v>#N/A</v>
      </c>
      <c r="AB2" s="2">
        <f t="shared" si="0"/>
        <v>14.424239517330001</v>
      </c>
      <c r="AC2" s="2">
        <f t="shared" si="0"/>
        <v>10</v>
      </c>
      <c r="AD2" s="2">
        <f t="shared" si="0"/>
        <v>38.142041879130005</v>
      </c>
      <c r="AE2" s="2" t="e">
        <f t="shared" si="0"/>
        <v>#N/A</v>
      </c>
      <c r="AF2" s="2">
        <f t="shared" si="0"/>
        <v>1.4242395173300002</v>
      </c>
      <c r="AG2" s="2">
        <f t="shared" si="0"/>
        <v>36.717802361799997</v>
      </c>
      <c r="AH2" s="2" t="e">
        <f t="shared" si="0"/>
        <v>#N/A</v>
      </c>
      <c r="AI2" s="2" t="e">
        <f t="shared" si="0"/>
        <v>#N/A</v>
      </c>
      <c r="AJ2" s="2">
        <f t="shared" si="0"/>
        <v>35.142041879130005</v>
      </c>
      <c r="AK2" s="2">
        <f t="shared" si="0"/>
        <v>3</v>
      </c>
      <c r="AL2" s="2" t="e">
        <f t="shared" si="0"/>
        <v>#N/A</v>
      </c>
      <c r="AM2" s="2">
        <f t="shared" si="0"/>
        <v>35.142041879130005</v>
      </c>
      <c r="AN2" s="2">
        <f t="shared" si="0"/>
        <v>3</v>
      </c>
    </row>
    <row r="3" spans="1:40" ht="15" customHeight="1" x14ac:dyDescent="0.25">
      <c r="A3" s="42" t="s">
        <v>234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235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236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237</v>
      </c>
      <c r="B9" s="13" t="s">
        <v>60</v>
      </c>
      <c r="C9" s="14">
        <v>0</v>
      </c>
      <c r="D9" s="14">
        <v>1</v>
      </c>
      <c r="E9" s="14">
        <f t="shared" ref="E9:E15" si="1">D9-C9</f>
        <v>1</v>
      </c>
      <c r="F9" s="15"/>
      <c r="G9" s="15"/>
      <c r="H9" s="15"/>
      <c r="I9" s="15" t="s">
        <v>61</v>
      </c>
      <c r="J9" s="15"/>
      <c r="K9" s="15" t="s">
        <v>61</v>
      </c>
      <c r="L9" s="15"/>
      <c r="M9" s="15"/>
      <c r="N9" s="15" t="s">
        <v>61</v>
      </c>
      <c r="O9" s="15"/>
      <c r="P9" s="15"/>
      <c r="Q9" s="15"/>
      <c r="R9" s="15" t="s">
        <v>61</v>
      </c>
      <c r="S9" s="15"/>
      <c r="T9" s="15"/>
      <c r="U9" s="15" t="s">
        <v>61</v>
      </c>
      <c r="V9" s="16"/>
      <c r="W9" s="17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237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 t="s">
        <v>61</v>
      </c>
      <c r="J10" s="15"/>
      <c r="K10" s="15" t="s">
        <v>61</v>
      </c>
      <c r="L10" s="15"/>
      <c r="M10" s="15"/>
      <c r="N10" s="15" t="s">
        <v>61</v>
      </c>
      <c r="O10" s="15"/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237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61</v>
      </c>
      <c r="J11" s="15"/>
      <c r="K11" s="15" t="s">
        <v>61</v>
      </c>
      <c r="L11" s="15"/>
      <c r="M11" s="15"/>
      <c r="N11" s="15" t="s">
        <v>61</v>
      </c>
      <c r="O11" s="15"/>
      <c r="P11" s="15"/>
      <c r="Q11" s="15"/>
      <c r="R11" s="15" t="s">
        <v>61</v>
      </c>
      <c r="S11" s="15"/>
      <c r="T11" s="15"/>
      <c r="U11" s="15" t="s">
        <v>61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237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 t="s">
        <v>61</v>
      </c>
      <c r="J12" s="15"/>
      <c r="K12" s="15" t="s">
        <v>61</v>
      </c>
      <c r="L12" s="15"/>
      <c r="M12" s="15"/>
      <c r="N12" s="15" t="s">
        <v>61</v>
      </c>
      <c r="O12" s="15"/>
      <c r="P12" s="15"/>
      <c r="Q12" s="15" t="s">
        <v>61</v>
      </c>
      <c r="R12" s="15"/>
      <c r="S12" s="15"/>
      <c r="T12" s="15" t="s">
        <v>61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237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 t="s">
        <v>61</v>
      </c>
      <c r="G13" s="15"/>
      <c r="H13" s="15"/>
      <c r="I13" s="15"/>
      <c r="J13" s="15"/>
      <c r="K13" s="15" t="s">
        <v>61</v>
      </c>
      <c r="L13" s="15"/>
      <c r="M13" s="15"/>
      <c r="N13" s="15" t="s">
        <v>61</v>
      </c>
      <c r="O13" s="15"/>
      <c r="P13" s="15"/>
      <c r="Q13" s="15" t="s">
        <v>61</v>
      </c>
      <c r="R13" s="15"/>
      <c r="S13" s="15"/>
      <c r="T13" s="15" t="s">
        <v>61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237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 t="s">
        <v>61</v>
      </c>
      <c r="G14" s="15"/>
      <c r="H14" s="15"/>
      <c r="I14" s="15"/>
      <c r="J14" s="15"/>
      <c r="K14" s="15" t="s">
        <v>61</v>
      </c>
      <c r="L14" s="15"/>
      <c r="M14" s="15" t="s">
        <v>61</v>
      </c>
      <c r="N14" s="15"/>
      <c r="O14" s="15"/>
      <c r="P14" s="15"/>
      <c r="Q14" s="15" t="s">
        <v>61</v>
      </c>
      <c r="R14" s="15"/>
      <c r="S14" s="15"/>
      <c r="T14" s="15" t="s">
        <v>61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8" t="s">
        <v>237</v>
      </c>
      <c r="B15" s="19" t="s">
        <v>60</v>
      </c>
      <c r="C15" s="20">
        <v>6</v>
      </c>
      <c r="D15" s="20">
        <v>6.4242395173300002</v>
      </c>
      <c r="E15" s="20">
        <f t="shared" si="1"/>
        <v>0.4242395173300002</v>
      </c>
      <c r="F15" s="21"/>
      <c r="G15" s="21"/>
      <c r="H15" s="21"/>
      <c r="I15" s="21" t="s">
        <v>61</v>
      </c>
      <c r="J15" s="21"/>
      <c r="K15" s="21" t="s">
        <v>61</v>
      </c>
      <c r="L15" s="21"/>
      <c r="M15" s="21" t="s">
        <v>61</v>
      </c>
      <c r="N15" s="21"/>
      <c r="O15" s="21"/>
      <c r="P15" s="21"/>
      <c r="Q15" s="21" t="s">
        <v>61</v>
      </c>
      <c r="R15" s="21"/>
      <c r="S15" s="21"/>
      <c r="T15" s="21" t="s">
        <v>61</v>
      </c>
      <c r="U15" s="21"/>
      <c r="V15" s="22"/>
      <c r="W15" s="23" t="str">
        <f t="shared" si="2"/>
        <v>OK</v>
      </c>
    </row>
    <row r="16" spans="1:40" ht="15" customHeight="1" x14ac:dyDescent="0.25">
      <c r="A16" s="35" t="s">
        <v>238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/>
      <c r="W16" s="4"/>
    </row>
    <row r="17" spans="1:23" ht="15.95" customHeight="1" x14ac:dyDescent="0.25">
      <c r="A17" s="46" t="s">
        <v>239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  <c r="W17" s="4"/>
    </row>
    <row r="18" spans="1:23" ht="20.100000000000001" customHeight="1" x14ac:dyDescent="0.25">
      <c r="A18" s="12" t="s">
        <v>240</v>
      </c>
      <c r="B18" s="13" t="s">
        <v>60</v>
      </c>
      <c r="C18" s="14">
        <v>0</v>
      </c>
      <c r="D18" s="14">
        <v>1</v>
      </c>
      <c r="E18" s="14">
        <f t="shared" ref="E18:E49" si="3">D18-C18</f>
        <v>1</v>
      </c>
      <c r="F18" s="15"/>
      <c r="G18" s="15"/>
      <c r="H18" s="15"/>
      <c r="I18" s="15"/>
      <c r="J18" s="15" t="s">
        <v>61</v>
      </c>
      <c r="K18" s="15" t="s">
        <v>61</v>
      </c>
      <c r="L18" s="15"/>
      <c r="M18" s="15"/>
      <c r="N18" s="15" t="s">
        <v>61</v>
      </c>
      <c r="O18" s="15"/>
      <c r="P18" s="15"/>
      <c r="Q18" s="15" t="s">
        <v>61</v>
      </c>
      <c r="R18" s="15"/>
      <c r="S18" s="15"/>
      <c r="T18" s="15" t="s">
        <v>61</v>
      </c>
      <c r="U18" s="15"/>
      <c r="V18" s="16"/>
      <c r="W18" s="17" t="str">
        <f t="shared" ref="W18:W4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240</v>
      </c>
      <c r="B19" s="13" t="s">
        <v>60</v>
      </c>
      <c r="C19" s="14">
        <v>1</v>
      </c>
      <c r="D19" s="14">
        <v>2</v>
      </c>
      <c r="E19" s="14">
        <f t="shared" si="3"/>
        <v>1</v>
      </c>
      <c r="F19" s="15"/>
      <c r="G19" s="15"/>
      <c r="H19" s="15"/>
      <c r="I19" s="15"/>
      <c r="J19" s="15" t="s">
        <v>61</v>
      </c>
      <c r="K19" s="15" t="s">
        <v>61</v>
      </c>
      <c r="L19" s="15"/>
      <c r="M19" s="15"/>
      <c r="N19" s="15" t="s">
        <v>61</v>
      </c>
      <c r="O19" s="15"/>
      <c r="P19" s="15"/>
      <c r="Q19" s="15" t="s">
        <v>61</v>
      </c>
      <c r="R19" s="15"/>
      <c r="S19" s="15"/>
      <c r="T19" s="15" t="s">
        <v>61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240</v>
      </c>
      <c r="B20" s="13" t="s">
        <v>60</v>
      </c>
      <c r="C20" s="14">
        <v>2</v>
      </c>
      <c r="D20" s="14">
        <v>3</v>
      </c>
      <c r="E20" s="14">
        <f t="shared" si="3"/>
        <v>1</v>
      </c>
      <c r="F20" s="15"/>
      <c r="G20" s="15"/>
      <c r="H20" s="15"/>
      <c r="I20" s="15"/>
      <c r="J20" s="15" t="s">
        <v>61</v>
      </c>
      <c r="K20" s="15" t="s">
        <v>61</v>
      </c>
      <c r="L20" s="15"/>
      <c r="M20" s="15"/>
      <c r="N20" s="15" t="s">
        <v>61</v>
      </c>
      <c r="O20" s="15"/>
      <c r="P20" s="15"/>
      <c r="Q20" s="15" t="s">
        <v>61</v>
      </c>
      <c r="R20" s="15"/>
      <c r="S20" s="15"/>
      <c r="T20" s="15" t="s">
        <v>61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240</v>
      </c>
      <c r="B21" s="13" t="s">
        <v>60</v>
      </c>
      <c r="C21" s="14">
        <v>3</v>
      </c>
      <c r="D21" s="14">
        <v>4</v>
      </c>
      <c r="E21" s="14">
        <f t="shared" si="3"/>
        <v>1</v>
      </c>
      <c r="F21" s="15"/>
      <c r="G21" s="15"/>
      <c r="H21" s="15"/>
      <c r="I21" s="15"/>
      <c r="J21" s="15" t="s">
        <v>61</v>
      </c>
      <c r="K21" s="15" t="s">
        <v>61</v>
      </c>
      <c r="L21" s="15"/>
      <c r="M21" s="15"/>
      <c r="N21" s="15" t="s">
        <v>61</v>
      </c>
      <c r="O21" s="15"/>
      <c r="P21" s="15"/>
      <c r="Q21" s="15" t="s">
        <v>61</v>
      </c>
      <c r="R21" s="15"/>
      <c r="S21" s="15"/>
      <c r="T21" s="15" t="s">
        <v>61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240</v>
      </c>
      <c r="B22" s="13" t="s">
        <v>60</v>
      </c>
      <c r="C22" s="14">
        <v>4</v>
      </c>
      <c r="D22" s="14">
        <v>5</v>
      </c>
      <c r="E22" s="14">
        <f t="shared" si="3"/>
        <v>1</v>
      </c>
      <c r="F22" s="15"/>
      <c r="G22" s="15"/>
      <c r="H22" s="15"/>
      <c r="I22" s="15" t="s">
        <v>61</v>
      </c>
      <c r="J22" s="15"/>
      <c r="K22" s="15" t="s">
        <v>61</v>
      </c>
      <c r="L22" s="15"/>
      <c r="M22" s="15"/>
      <c r="N22" s="15" t="s">
        <v>61</v>
      </c>
      <c r="O22" s="15"/>
      <c r="P22" s="15"/>
      <c r="Q22" s="15" t="s">
        <v>61</v>
      </c>
      <c r="R22" s="15"/>
      <c r="S22" s="15"/>
      <c r="T22" s="15" t="s">
        <v>61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240</v>
      </c>
      <c r="B23" s="13" t="s">
        <v>60</v>
      </c>
      <c r="C23" s="14">
        <v>5</v>
      </c>
      <c r="D23" s="14">
        <v>6</v>
      </c>
      <c r="E23" s="14">
        <f t="shared" si="3"/>
        <v>1</v>
      </c>
      <c r="F23" s="15"/>
      <c r="G23" s="15"/>
      <c r="H23" s="15"/>
      <c r="I23" s="15" t="s">
        <v>61</v>
      </c>
      <c r="J23" s="15"/>
      <c r="K23" s="15" t="s">
        <v>61</v>
      </c>
      <c r="L23" s="15"/>
      <c r="M23" s="15"/>
      <c r="N23" s="15" t="s">
        <v>61</v>
      </c>
      <c r="O23" s="15"/>
      <c r="P23" s="15"/>
      <c r="Q23" s="15" t="s">
        <v>61</v>
      </c>
      <c r="R23" s="15"/>
      <c r="S23" s="15"/>
      <c r="T23" s="15" t="s">
        <v>61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240</v>
      </c>
      <c r="B24" s="13" t="s">
        <v>60</v>
      </c>
      <c r="C24" s="14">
        <v>6</v>
      </c>
      <c r="D24" s="14">
        <v>7</v>
      </c>
      <c r="E24" s="14">
        <f t="shared" si="3"/>
        <v>1</v>
      </c>
      <c r="F24" s="15"/>
      <c r="G24" s="15"/>
      <c r="H24" s="15"/>
      <c r="I24" s="15" t="s">
        <v>61</v>
      </c>
      <c r="J24" s="15"/>
      <c r="K24" s="15" t="s">
        <v>61</v>
      </c>
      <c r="L24" s="15"/>
      <c r="M24" s="15"/>
      <c r="N24" s="15" t="s">
        <v>61</v>
      </c>
      <c r="O24" s="15"/>
      <c r="P24" s="15"/>
      <c r="Q24" s="15" t="s">
        <v>61</v>
      </c>
      <c r="R24" s="15"/>
      <c r="S24" s="15"/>
      <c r="T24" s="15" t="s">
        <v>61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240</v>
      </c>
      <c r="B25" s="13" t="s">
        <v>60</v>
      </c>
      <c r="C25" s="14">
        <v>7</v>
      </c>
      <c r="D25" s="14">
        <v>8</v>
      </c>
      <c r="E25" s="14">
        <f t="shared" si="3"/>
        <v>1</v>
      </c>
      <c r="F25" s="15" t="s">
        <v>61</v>
      </c>
      <c r="G25" s="15"/>
      <c r="H25" s="15"/>
      <c r="I25" s="15"/>
      <c r="J25" s="15"/>
      <c r="K25" s="15" t="s">
        <v>61</v>
      </c>
      <c r="L25" s="15"/>
      <c r="M25" s="15"/>
      <c r="N25" s="15" t="s">
        <v>61</v>
      </c>
      <c r="O25" s="15"/>
      <c r="P25" s="15"/>
      <c r="Q25" s="15" t="s">
        <v>61</v>
      </c>
      <c r="R25" s="15"/>
      <c r="S25" s="15"/>
      <c r="T25" s="15" t="s">
        <v>61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240</v>
      </c>
      <c r="B26" s="13" t="s">
        <v>60</v>
      </c>
      <c r="C26" s="14">
        <v>8</v>
      </c>
      <c r="D26" s="14">
        <v>9</v>
      </c>
      <c r="E26" s="14">
        <f t="shared" si="3"/>
        <v>1</v>
      </c>
      <c r="F26" s="15"/>
      <c r="G26" s="15"/>
      <c r="H26" s="15"/>
      <c r="I26" s="15"/>
      <c r="J26" s="15" t="s">
        <v>61</v>
      </c>
      <c r="K26" s="15" t="s">
        <v>61</v>
      </c>
      <c r="L26" s="15"/>
      <c r="M26" s="15"/>
      <c r="N26" s="15" t="s">
        <v>61</v>
      </c>
      <c r="O26" s="15"/>
      <c r="P26" s="15"/>
      <c r="Q26" s="15" t="s">
        <v>61</v>
      </c>
      <c r="R26" s="15"/>
      <c r="S26" s="15"/>
      <c r="T26" s="15" t="s">
        <v>61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240</v>
      </c>
      <c r="B27" s="13" t="s">
        <v>60</v>
      </c>
      <c r="C27" s="14">
        <v>9</v>
      </c>
      <c r="D27" s="14">
        <v>10</v>
      </c>
      <c r="E27" s="14">
        <f t="shared" si="3"/>
        <v>1</v>
      </c>
      <c r="F27" s="15"/>
      <c r="G27" s="15"/>
      <c r="H27" s="15"/>
      <c r="I27" s="15"/>
      <c r="J27" s="15" t="s">
        <v>61</v>
      </c>
      <c r="K27" s="15" t="s">
        <v>61</v>
      </c>
      <c r="L27" s="15"/>
      <c r="M27" s="15"/>
      <c r="N27" s="15" t="s">
        <v>61</v>
      </c>
      <c r="O27" s="15"/>
      <c r="P27" s="15"/>
      <c r="Q27" s="15" t="s">
        <v>61</v>
      </c>
      <c r="R27" s="15"/>
      <c r="S27" s="15"/>
      <c r="T27" s="15" t="s">
        <v>61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240</v>
      </c>
      <c r="B28" s="13" t="s">
        <v>60</v>
      </c>
      <c r="C28" s="14">
        <v>10</v>
      </c>
      <c r="D28" s="14">
        <v>11</v>
      </c>
      <c r="E28" s="14">
        <f t="shared" si="3"/>
        <v>1</v>
      </c>
      <c r="F28" s="15"/>
      <c r="G28" s="15"/>
      <c r="H28" s="15"/>
      <c r="I28" s="15"/>
      <c r="J28" s="15" t="s">
        <v>61</v>
      </c>
      <c r="K28" s="15" t="s">
        <v>61</v>
      </c>
      <c r="L28" s="15"/>
      <c r="M28" s="15"/>
      <c r="N28" s="15" t="s">
        <v>61</v>
      </c>
      <c r="O28" s="15"/>
      <c r="P28" s="15"/>
      <c r="Q28" s="15" t="s">
        <v>61</v>
      </c>
      <c r="R28" s="15"/>
      <c r="S28" s="15"/>
      <c r="T28" s="15" t="s">
        <v>61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240</v>
      </c>
      <c r="B29" s="13" t="s">
        <v>60</v>
      </c>
      <c r="C29" s="14">
        <v>11</v>
      </c>
      <c r="D29" s="14">
        <v>12</v>
      </c>
      <c r="E29" s="14">
        <f t="shared" si="3"/>
        <v>1</v>
      </c>
      <c r="F29" s="15"/>
      <c r="G29" s="15"/>
      <c r="H29" s="15"/>
      <c r="I29" s="15" t="s">
        <v>61</v>
      </c>
      <c r="J29" s="15"/>
      <c r="K29" s="15" t="s">
        <v>61</v>
      </c>
      <c r="L29" s="15"/>
      <c r="M29" s="15"/>
      <c r="N29" s="15" t="s">
        <v>61</v>
      </c>
      <c r="O29" s="15"/>
      <c r="P29" s="15"/>
      <c r="Q29" s="15" t="s">
        <v>61</v>
      </c>
      <c r="R29" s="15"/>
      <c r="S29" s="15"/>
      <c r="T29" s="15" t="s">
        <v>61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240</v>
      </c>
      <c r="B30" s="13" t="s">
        <v>60</v>
      </c>
      <c r="C30" s="14">
        <v>12</v>
      </c>
      <c r="D30" s="14">
        <v>13</v>
      </c>
      <c r="E30" s="14">
        <f t="shared" si="3"/>
        <v>1</v>
      </c>
      <c r="F30" s="15"/>
      <c r="G30" s="15"/>
      <c r="H30" s="15"/>
      <c r="I30" s="15" t="s">
        <v>61</v>
      </c>
      <c r="J30" s="15"/>
      <c r="K30" s="15" t="s">
        <v>61</v>
      </c>
      <c r="L30" s="15"/>
      <c r="M30" s="15"/>
      <c r="N30" s="15" t="s">
        <v>61</v>
      </c>
      <c r="O30" s="15"/>
      <c r="P30" s="15"/>
      <c r="Q30" s="15" t="s">
        <v>61</v>
      </c>
      <c r="R30" s="15"/>
      <c r="S30" s="15"/>
      <c r="T30" s="15" t="s">
        <v>61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240</v>
      </c>
      <c r="B31" s="13" t="s">
        <v>60</v>
      </c>
      <c r="C31" s="14">
        <v>13</v>
      </c>
      <c r="D31" s="14">
        <v>14</v>
      </c>
      <c r="E31" s="14">
        <f t="shared" si="3"/>
        <v>1</v>
      </c>
      <c r="F31" s="15"/>
      <c r="G31" s="15"/>
      <c r="H31" s="15"/>
      <c r="I31" s="15" t="s">
        <v>61</v>
      </c>
      <c r="J31" s="15"/>
      <c r="K31" s="15" t="s">
        <v>61</v>
      </c>
      <c r="L31" s="15"/>
      <c r="M31" s="15"/>
      <c r="N31" s="15" t="s">
        <v>61</v>
      </c>
      <c r="O31" s="15"/>
      <c r="P31" s="15"/>
      <c r="Q31" s="15" t="s">
        <v>61</v>
      </c>
      <c r="R31" s="15"/>
      <c r="S31" s="15"/>
      <c r="T31" s="15" t="s">
        <v>61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240</v>
      </c>
      <c r="B32" s="13" t="s">
        <v>60</v>
      </c>
      <c r="C32" s="14">
        <v>14</v>
      </c>
      <c r="D32" s="14">
        <v>15</v>
      </c>
      <c r="E32" s="14">
        <f t="shared" si="3"/>
        <v>1</v>
      </c>
      <c r="F32" s="15" t="s">
        <v>61</v>
      </c>
      <c r="G32" s="15"/>
      <c r="H32" s="15"/>
      <c r="I32" s="15"/>
      <c r="J32" s="15"/>
      <c r="K32" s="15" t="s">
        <v>61</v>
      </c>
      <c r="L32" s="15"/>
      <c r="M32" s="15"/>
      <c r="N32" s="15" t="s">
        <v>61</v>
      </c>
      <c r="O32" s="15"/>
      <c r="P32" s="15"/>
      <c r="Q32" s="15" t="s">
        <v>61</v>
      </c>
      <c r="R32" s="15"/>
      <c r="S32" s="15"/>
      <c r="T32" s="15" t="s">
        <v>61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240</v>
      </c>
      <c r="B33" s="13" t="s">
        <v>60</v>
      </c>
      <c r="C33" s="14">
        <v>15</v>
      </c>
      <c r="D33" s="14">
        <v>16</v>
      </c>
      <c r="E33" s="14">
        <f t="shared" si="3"/>
        <v>1</v>
      </c>
      <c r="F33" s="15" t="s">
        <v>61</v>
      </c>
      <c r="G33" s="15"/>
      <c r="H33" s="15"/>
      <c r="I33" s="15"/>
      <c r="J33" s="15"/>
      <c r="K33" s="15" t="s">
        <v>61</v>
      </c>
      <c r="L33" s="15"/>
      <c r="M33" s="15"/>
      <c r="N33" s="15" t="s">
        <v>61</v>
      </c>
      <c r="O33" s="15"/>
      <c r="P33" s="15"/>
      <c r="Q33" s="15" t="s">
        <v>61</v>
      </c>
      <c r="R33" s="15"/>
      <c r="S33" s="15"/>
      <c r="T33" s="15" t="s">
        <v>61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240</v>
      </c>
      <c r="B34" s="13" t="s">
        <v>60</v>
      </c>
      <c r="C34" s="14">
        <v>16</v>
      </c>
      <c r="D34" s="14">
        <v>17</v>
      </c>
      <c r="E34" s="14">
        <f t="shared" si="3"/>
        <v>1</v>
      </c>
      <c r="F34" s="15" t="s">
        <v>61</v>
      </c>
      <c r="G34" s="15"/>
      <c r="H34" s="15"/>
      <c r="I34" s="15"/>
      <c r="J34" s="15"/>
      <c r="K34" s="15" t="s">
        <v>61</v>
      </c>
      <c r="L34" s="15"/>
      <c r="M34" s="15"/>
      <c r="N34" s="15" t="s">
        <v>61</v>
      </c>
      <c r="O34" s="15"/>
      <c r="P34" s="15"/>
      <c r="Q34" s="15" t="s">
        <v>61</v>
      </c>
      <c r="R34" s="15"/>
      <c r="S34" s="15"/>
      <c r="T34" s="15" t="s">
        <v>61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240</v>
      </c>
      <c r="B35" s="13" t="s">
        <v>60</v>
      </c>
      <c r="C35" s="14">
        <v>17</v>
      </c>
      <c r="D35" s="14">
        <v>18</v>
      </c>
      <c r="E35" s="14">
        <f t="shared" si="3"/>
        <v>1</v>
      </c>
      <c r="F35" s="15" t="s">
        <v>61</v>
      </c>
      <c r="G35" s="15"/>
      <c r="H35" s="15"/>
      <c r="I35" s="15"/>
      <c r="J35" s="15"/>
      <c r="K35" s="15" t="s">
        <v>61</v>
      </c>
      <c r="L35" s="15"/>
      <c r="M35" s="15"/>
      <c r="N35" s="15" t="s">
        <v>61</v>
      </c>
      <c r="O35" s="15"/>
      <c r="P35" s="15"/>
      <c r="Q35" s="15" t="s">
        <v>61</v>
      </c>
      <c r="R35" s="15"/>
      <c r="S35" s="15"/>
      <c r="T35" s="15" t="s">
        <v>61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240</v>
      </c>
      <c r="B36" s="13" t="s">
        <v>60</v>
      </c>
      <c r="C36" s="14">
        <v>18</v>
      </c>
      <c r="D36" s="14">
        <v>19</v>
      </c>
      <c r="E36" s="14">
        <f t="shared" si="3"/>
        <v>1</v>
      </c>
      <c r="F36" s="15" t="s">
        <v>61</v>
      </c>
      <c r="G36" s="15"/>
      <c r="H36" s="15"/>
      <c r="I36" s="15"/>
      <c r="J36" s="15"/>
      <c r="K36" s="15" t="s">
        <v>61</v>
      </c>
      <c r="L36" s="15"/>
      <c r="M36" s="15"/>
      <c r="N36" s="15" t="s">
        <v>61</v>
      </c>
      <c r="O36" s="15"/>
      <c r="P36" s="15"/>
      <c r="Q36" s="15" t="s">
        <v>61</v>
      </c>
      <c r="R36" s="15"/>
      <c r="S36" s="15"/>
      <c r="T36" s="15" t="s">
        <v>61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240</v>
      </c>
      <c r="B37" s="13" t="s">
        <v>60</v>
      </c>
      <c r="C37" s="14">
        <v>19</v>
      </c>
      <c r="D37" s="14">
        <v>20</v>
      </c>
      <c r="E37" s="14">
        <f t="shared" si="3"/>
        <v>1</v>
      </c>
      <c r="F37" s="15" t="s">
        <v>61</v>
      </c>
      <c r="G37" s="15"/>
      <c r="H37" s="15"/>
      <c r="I37" s="15"/>
      <c r="J37" s="15"/>
      <c r="K37" s="15" t="s">
        <v>61</v>
      </c>
      <c r="L37" s="15"/>
      <c r="M37" s="15"/>
      <c r="N37" s="15" t="s">
        <v>61</v>
      </c>
      <c r="O37" s="15"/>
      <c r="P37" s="15"/>
      <c r="Q37" s="15" t="s">
        <v>61</v>
      </c>
      <c r="R37" s="15"/>
      <c r="S37" s="15"/>
      <c r="T37" s="15" t="s">
        <v>61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240</v>
      </c>
      <c r="B38" s="13" t="s">
        <v>60</v>
      </c>
      <c r="C38" s="14">
        <v>20</v>
      </c>
      <c r="D38" s="14">
        <v>21</v>
      </c>
      <c r="E38" s="14">
        <f t="shared" si="3"/>
        <v>1</v>
      </c>
      <c r="F38" s="15"/>
      <c r="G38" s="15"/>
      <c r="H38" s="15"/>
      <c r="I38" s="15"/>
      <c r="J38" s="15" t="s">
        <v>61</v>
      </c>
      <c r="K38" s="15" t="s">
        <v>61</v>
      </c>
      <c r="L38" s="15"/>
      <c r="M38" s="15"/>
      <c r="N38" s="15" t="s">
        <v>61</v>
      </c>
      <c r="O38" s="15"/>
      <c r="P38" s="15"/>
      <c r="Q38" s="15" t="s">
        <v>61</v>
      </c>
      <c r="R38" s="15"/>
      <c r="S38" s="15"/>
      <c r="T38" s="15" t="s">
        <v>61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240</v>
      </c>
      <c r="B39" s="13" t="s">
        <v>60</v>
      </c>
      <c r="C39" s="14">
        <v>21</v>
      </c>
      <c r="D39" s="14">
        <v>22</v>
      </c>
      <c r="E39" s="14">
        <f t="shared" si="3"/>
        <v>1</v>
      </c>
      <c r="F39" s="15"/>
      <c r="G39" s="15"/>
      <c r="H39" s="15"/>
      <c r="I39" s="15"/>
      <c r="J39" s="15" t="s">
        <v>61</v>
      </c>
      <c r="K39" s="15" t="s">
        <v>61</v>
      </c>
      <c r="L39" s="15"/>
      <c r="M39" s="15"/>
      <c r="N39" s="15" t="s">
        <v>61</v>
      </c>
      <c r="O39" s="15"/>
      <c r="P39" s="15"/>
      <c r="Q39" s="15" t="s">
        <v>61</v>
      </c>
      <c r="R39" s="15"/>
      <c r="S39" s="15"/>
      <c r="T39" s="15" t="s">
        <v>61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240</v>
      </c>
      <c r="B40" s="13" t="s">
        <v>60</v>
      </c>
      <c r="C40" s="14">
        <v>22</v>
      </c>
      <c r="D40" s="14">
        <v>23</v>
      </c>
      <c r="E40" s="14">
        <f t="shared" si="3"/>
        <v>1</v>
      </c>
      <c r="F40" s="15"/>
      <c r="G40" s="15"/>
      <c r="H40" s="15"/>
      <c r="I40" s="15"/>
      <c r="J40" s="15" t="s">
        <v>61</v>
      </c>
      <c r="K40" s="15" t="s">
        <v>61</v>
      </c>
      <c r="L40" s="15"/>
      <c r="M40" s="15"/>
      <c r="N40" s="15" t="s">
        <v>61</v>
      </c>
      <c r="O40" s="15"/>
      <c r="P40" s="15"/>
      <c r="Q40" s="15" t="s">
        <v>61</v>
      </c>
      <c r="R40" s="15"/>
      <c r="S40" s="15"/>
      <c r="T40" s="15" t="s">
        <v>61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240</v>
      </c>
      <c r="B41" s="13" t="s">
        <v>60</v>
      </c>
      <c r="C41" s="14">
        <v>23</v>
      </c>
      <c r="D41" s="14">
        <v>24</v>
      </c>
      <c r="E41" s="14">
        <f t="shared" si="3"/>
        <v>1</v>
      </c>
      <c r="F41" s="15"/>
      <c r="G41" s="15"/>
      <c r="H41" s="15"/>
      <c r="I41" s="15" t="s">
        <v>61</v>
      </c>
      <c r="J41" s="15"/>
      <c r="K41" s="15" t="s">
        <v>61</v>
      </c>
      <c r="L41" s="15"/>
      <c r="M41" s="15"/>
      <c r="N41" s="15" t="s">
        <v>61</v>
      </c>
      <c r="O41" s="15"/>
      <c r="P41" s="15"/>
      <c r="Q41" s="15" t="s">
        <v>61</v>
      </c>
      <c r="R41" s="15"/>
      <c r="S41" s="15"/>
      <c r="T41" s="15" t="s">
        <v>61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240</v>
      </c>
      <c r="B42" s="13" t="s">
        <v>60</v>
      </c>
      <c r="C42" s="14">
        <v>24</v>
      </c>
      <c r="D42" s="14">
        <v>25</v>
      </c>
      <c r="E42" s="14">
        <f t="shared" si="3"/>
        <v>1</v>
      </c>
      <c r="F42" s="15"/>
      <c r="G42" s="15"/>
      <c r="H42" s="15"/>
      <c r="I42" s="15" t="s">
        <v>61</v>
      </c>
      <c r="J42" s="15"/>
      <c r="K42" s="15" t="s">
        <v>61</v>
      </c>
      <c r="L42" s="15"/>
      <c r="M42" s="15"/>
      <c r="N42" s="15" t="s">
        <v>61</v>
      </c>
      <c r="O42" s="15"/>
      <c r="P42" s="15"/>
      <c r="Q42" s="15" t="s">
        <v>61</v>
      </c>
      <c r="R42" s="15"/>
      <c r="S42" s="15"/>
      <c r="T42" s="15" t="s">
        <v>61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240</v>
      </c>
      <c r="B43" s="13" t="s">
        <v>60</v>
      </c>
      <c r="C43" s="14">
        <v>25</v>
      </c>
      <c r="D43" s="14">
        <v>26</v>
      </c>
      <c r="E43" s="14">
        <f t="shared" si="3"/>
        <v>1</v>
      </c>
      <c r="F43" s="15"/>
      <c r="G43" s="15"/>
      <c r="H43" s="15"/>
      <c r="I43" s="15" t="s">
        <v>61</v>
      </c>
      <c r="J43" s="15"/>
      <c r="K43" s="15" t="s">
        <v>61</v>
      </c>
      <c r="L43" s="15"/>
      <c r="M43" s="15"/>
      <c r="N43" s="15" t="s">
        <v>61</v>
      </c>
      <c r="O43" s="15"/>
      <c r="P43" s="15"/>
      <c r="Q43" s="15" t="s">
        <v>61</v>
      </c>
      <c r="R43" s="15"/>
      <c r="S43" s="15"/>
      <c r="T43" s="15" t="s">
        <v>61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240</v>
      </c>
      <c r="B44" s="13" t="s">
        <v>60</v>
      </c>
      <c r="C44" s="14">
        <v>26</v>
      </c>
      <c r="D44" s="14">
        <v>27</v>
      </c>
      <c r="E44" s="14">
        <f t="shared" si="3"/>
        <v>1</v>
      </c>
      <c r="F44" s="15"/>
      <c r="G44" s="15"/>
      <c r="H44" s="15"/>
      <c r="I44" s="15" t="s">
        <v>61</v>
      </c>
      <c r="J44" s="15"/>
      <c r="K44" s="15" t="s">
        <v>61</v>
      </c>
      <c r="L44" s="15"/>
      <c r="M44" s="15"/>
      <c r="N44" s="15" t="s">
        <v>61</v>
      </c>
      <c r="O44" s="15"/>
      <c r="P44" s="15"/>
      <c r="Q44" s="15" t="s">
        <v>61</v>
      </c>
      <c r="R44" s="15"/>
      <c r="S44" s="15"/>
      <c r="T44" s="15" t="s">
        <v>61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240</v>
      </c>
      <c r="B45" s="13" t="s">
        <v>60</v>
      </c>
      <c r="C45" s="14">
        <v>27</v>
      </c>
      <c r="D45" s="14">
        <v>28</v>
      </c>
      <c r="E45" s="14">
        <f t="shared" si="3"/>
        <v>1</v>
      </c>
      <c r="F45" s="15" t="s">
        <v>61</v>
      </c>
      <c r="G45" s="15"/>
      <c r="H45" s="15"/>
      <c r="I45" s="15"/>
      <c r="J45" s="15"/>
      <c r="K45" s="15" t="s">
        <v>61</v>
      </c>
      <c r="L45" s="15"/>
      <c r="M45" s="15"/>
      <c r="N45" s="15" t="s">
        <v>61</v>
      </c>
      <c r="O45" s="15"/>
      <c r="P45" s="15"/>
      <c r="Q45" s="15" t="s">
        <v>61</v>
      </c>
      <c r="R45" s="15"/>
      <c r="S45" s="15"/>
      <c r="T45" s="15" t="s">
        <v>61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240</v>
      </c>
      <c r="B46" s="13" t="s">
        <v>60</v>
      </c>
      <c r="C46" s="14">
        <v>28</v>
      </c>
      <c r="D46" s="14">
        <v>29</v>
      </c>
      <c r="E46" s="14">
        <f t="shared" si="3"/>
        <v>1</v>
      </c>
      <c r="F46" s="15" t="s">
        <v>61</v>
      </c>
      <c r="G46" s="15"/>
      <c r="H46" s="15"/>
      <c r="I46" s="15"/>
      <c r="J46" s="15"/>
      <c r="K46" s="15" t="s">
        <v>61</v>
      </c>
      <c r="L46" s="15"/>
      <c r="M46" s="15"/>
      <c r="N46" s="15" t="s">
        <v>61</v>
      </c>
      <c r="O46" s="15"/>
      <c r="P46" s="15"/>
      <c r="Q46" s="15" t="s">
        <v>61</v>
      </c>
      <c r="R46" s="15"/>
      <c r="S46" s="15"/>
      <c r="T46" s="15" t="s">
        <v>61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240</v>
      </c>
      <c r="B47" s="13" t="s">
        <v>60</v>
      </c>
      <c r="C47" s="14">
        <v>29</v>
      </c>
      <c r="D47" s="14">
        <v>30</v>
      </c>
      <c r="E47" s="14">
        <f t="shared" si="3"/>
        <v>1</v>
      </c>
      <c r="F47" s="15" t="s">
        <v>61</v>
      </c>
      <c r="G47" s="15"/>
      <c r="H47" s="15"/>
      <c r="I47" s="15"/>
      <c r="J47" s="15"/>
      <c r="K47" s="15" t="s">
        <v>61</v>
      </c>
      <c r="L47" s="15"/>
      <c r="M47" s="15"/>
      <c r="N47" s="15" t="s">
        <v>61</v>
      </c>
      <c r="O47" s="15"/>
      <c r="P47" s="15"/>
      <c r="Q47" s="15" t="s">
        <v>61</v>
      </c>
      <c r="R47" s="15"/>
      <c r="S47" s="15"/>
      <c r="T47" s="15" t="s">
        <v>61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240</v>
      </c>
      <c r="B48" s="13" t="s">
        <v>60</v>
      </c>
      <c r="C48" s="14">
        <v>30</v>
      </c>
      <c r="D48" s="14">
        <v>31</v>
      </c>
      <c r="E48" s="14">
        <f t="shared" si="3"/>
        <v>1</v>
      </c>
      <c r="F48" s="15" t="s">
        <v>61</v>
      </c>
      <c r="G48" s="15"/>
      <c r="H48" s="15"/>
      <c r="I48" s="15"/>
      <c r="J48" s="15"/>
      <c r="K48" s="15" t="s">
        <v>61</v>
      </c>
      <c r="L48" s="15"/>
      <c r="M48" s="15"/>
      <c r="N48" s="15" t="s">
        <v>61</v>
      </c>
      <c r="O48" s="15"/>
      <c r="P48" s="15"/>
      <c r="Q48" s="15" t="s">
        <v>61</v>
      </c>
      <c r="R48" s="15"/>
      <c r="S48" s="15"/>
      <c r="T48" s="15" t="s">
        <v>61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8" t="s">
        <v>240</v>
      </c>
      <c r="B49" s="19" t="s">
        <v>60</v>
      </c>
      <c r="C49" s="20">
        <v>31</v>
      </c>
      <c r="D49" s="20">
        <v>31.7178023618</v>
      </c>
      <c r="E49" s="20">
        <f t="shared" si="3"/>
        <v>0.71780236180000045</v>
      </c>
      <c r="F49" s="21" t="s">
        <v>61</v>
      </c>
      <c r="G49" s="21"/>
      <c r="H49" s="21"/>
      <c r="I49" s="21"/>
      <c r="J49" s="21"/>
      <c r="K49" s="21" t="s">
        <v>61</v>
      </c>
      <c r="L49" s="21"/>
      <c r="M49" s="21"/>
      <c r="N49" s="21" t="s">
        <v>61</v>
      </c>
      <c r="O49" s="21"/>
      <c r="P49" s="21"/>
      <c r="Q49" s="21" t="s">
        <v>61</v>
      </c>
      <c r="R49" s="21"/>
      <c r="S49" s="21"/>
      <c r="T49" s="21" t="s">
        <v>61</v>
      </c>
      <c r="U49" s="21"/>
      <c r="V49" s="22"/>
      <c r="W49" s="23" t="str">
        <f t="shared" si="4"/>
        <v>OK</v>
      </c>
    </row>
    <row r="51" spans="1:23" x14ac:dyDescent="0.25">
      <c r="A51" s="38" t="s">
        <v>67</v>
      </c>
      <c r="B51" s="28"/>
      <c r="C51" s="28"/>
      <c r="D51" s="28"/>
      <c r="E51" s="28"/>
      <c r="G51" s="38" t="s">
        <v>67</v>
      </c>
      <c r="H51" s="28"/>
      <c r="I51" s="28"/>
      <c r="J51" s="28"/>
      <c r="K51" s="28"/>
    </row>
    <row r="52" spans="1:23" x14ac:dyDescent="0.25">
      <c r="A52" s="36" t="s">
        <v>68</v>
      </c>
      <c r="B52" s="28"/>
      <c r="C52" s="28"/>
      <c r="D52" s="28"/>
      <c r="E52" s="28"/>
      <c r="G52" s="36" t="s">
        <v>69</v>
      </c>
      <c r="H52" s="28"/>
      <c r="I52" s="28"/>
      <c r="J52" s="28"/>
      <c r="K52" s="28"/>
    </row>
    <row r="54" spans="1:23" x14ac:dyDescent="0.25">
      <c r="A54" s="37" t="s">
        <v>70</v>
      </c>
      <c r="B54" s="28"/>
      <c r="C54" s="28"/>
      <c r="D54" s="28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34" t="s">
        <v>71</v>
      </c>
      <c r="B55" s="28"/>
      <c r="C55" s="28"/>
      <c r="D55" s="28"/>
      <c r="E55" s="28"/>
      <c r="F55" s="9">
        <f t="shared" ref="F55:U55" si="5">SUMIF(F$9:F$49,"X",$E$9:$E$49)</f>
        <v>13.7178023618</v>
      </c>
      <c r="G55" s="9">
        <f t="shared" si="5"/>
        <v>0</v>
      </c>
      <c r="H55" s="9">
        <f t="shared" si="5"/>
        <v>0</v>
      </c>
      <c r="I55" s="9">
        <f t="shared" si="5"/>
        <v>14.424239517330001</v>
      </c>
      <c r="J55" s="9">
        <f t="shared" si="5"/>
        <v>10</v>
      </c>
      <c r="K55" s="9">
        <f t="shared" si="5"/>
        <v>38.142041879130005</v>
      </c>
      <c r="L55" s="9">
        <f t="shared" si="5"/>
        <v>0</v>
      </c>
      <c r="M55" s="9">
        <f t="shared" si="5"/>
        <v>1.4242395173300002</v>
      </c>
      <c r="N55" s="9">
        <f t="shared" si="5"/>
        <v>36.717802361799997</v>
      </c>
      <c r="O55" s="9">
        <f t="shared" si="5"/>
        <v>0</v>
      </c>
      <c r="P55" s="9">
        <f t="shared" si="5"/>
        <v>0</v>
      </c>
      <c r="Q55" s="9">
        <f t="shared" si="5"/>
        <v>35.142041879130005</v>
      </c>
      <c r="R55" s="9">
        <f t="shared" si="5"/>
        <v>3</v>
      </c>
      <c r="S55" s="9">
        <f t="shared" si="5"/>
        <v>0</v>
      </c>
      <c r="T55" s="9">
        <f t="shared" si="5"/>
        <v>35.142041879130005</v>
      </c>
      <c r="U55" s="9">
        <f t="shared" si="5"/>
        <v>3</v>
      </c>
    </row>
    <row r="56" spans="1:23" x14ac:dyDescent="0.25">
      <c r="A56" s="34" t="s">
        <v>72</v>
      </c>
      <c r="B56" s="28"/>
      <c r="C56" s="28"/>
      <c r="D56" s="28"/>
      <c r="E56" s="28"/>
      <c r="F56" s="25">
        <f t="shared" ref="F56:U56" si="6">IF($R58=0,0,F55/$R58)</f>
        <v>0.35965044570164723</v>
      </c>
      <c r="G56" s="25">
        <f t="shared" si="6"/>
        <v>0</v>
      </c>
      <c r="H56" s="25">
        <f t="shared" si="6"/>
        <v>0</v>
      </c>
      <c r="I56" s="25">
        <f t="shared" si="6"/>
        <v>0.3781716658756657</v>
      </c>
      <c r="J56" s="25">
        <f t="shared" si="6"/>
        <v>0.26217788842268697</v>
      </c>
      <c r="K56" s="25">
        <f t="shared" si="6"/>
        <v>1</v>
      </c>
      <c r="L56" s="25">
        <f t="shared" si="6"/>
        <v>0</v>
      </c>
      <c r="M56" s="25">
        <f t="shared" si="6"/>
        <v>3.7340410926172636E-2</v>
      </c>
      <c r="N56" s="25">
        <f t="shared" si="6"/>
        <v>0.9626595890738272</v>
      </c>
      <c r="O56" s="25">
        <f t="shared" si="6"/>
        <v>0</v>
      </c>
      <c r="P56" s="25">
        <f t="shared" si="6"/>
        <v>0</v>
      </c>
      <c r="Q56" s="25">
        <f t="shared" si="6"/>
        <v>0.9213466334731939</v>
      </c>
      <c r="R56" s="25">
        <f t="shared" si="6"/>
        <v>7.8653366526806087E-2</v>
      </c>
      <c r="S56" s="25">
        <f t="shared" si="6"/>
        <v>0</v>
      </c>
      <c r="T56" s="25">
        <f t="shared" si="6"/>
        <v>0.9213466334731939</v>
      </c>
      <c r="U56" s="25">
        <f t="shared" si="6"/>
        <v>7.8653366526806087E-2</v>
      </c>
    </row>
    <row r="57" spans="1:23" x14ac:dyDescent="0.25">
      <c r="A57" s="34" t="s">
        <v>73</v>
      </c>
      <c r="B57" s="28"/>
      <c r="C57" s="28"/>
      <c r="D57" s="28"/>
      <c r="E57" s="28"/>
      <c r="F57" s="31" t="str">
        <f>IF(SUM(F55:J55)=0,"— não preenchido",IF(ROUND(SUM(F55:J55)-$R58,3)=0,"OK — "&amp;ROUND(SUM(F55:J55),3)&amp;" km","ERRO — dif. de "&amp;ROUND(SUM(F55:J55)-$R58,3)&amp;" km"))</f>
        <v>OK — 38,142 km</v>
      </c>
      <c r="G57" s="32"/>
      <c r="H57" s="32"/>
      <c r="I57" s="32"/>
      <c r="J57" s="33"/>
      <c r="K57" s="31" t="str">
        <f>IF(SUM(K55:L55)=0,"— não preenchido",IF(ROUND(SUM(K55:L55)-$R58,3)=0,"OK — "&amp;ROUND(SUM(K55:L55),3)&amp;" km","ERRO — dif. de "&amp;ROUND(SUM(K55:L55)-$R58,3)&amp;" km"))</f>
        <v>OK — 38,142 km</v>
      </c>
      <c r="L57" s="33"/>
      <c r="M57" s="31" t="str">
        <f>IF(SUM(M55:O55)=0,"— não preenchido",IF(ROUND(SUM(M55:O55)-$R58,3)=0,"OK — "&amp;ROUND(SUM(M55:O55),3)&amp;" km","ERRO — dif. de "&amp;ROUND(SUM(M55:O55)-$R58,3)&amp;" km"))</f>
        <v>OK — 38,142 km</v>
      </c>
      <c r="N57" s="32"/>
      <c r="O57" s="33"/>
      <c r="P57" s="31" t="str">
        <f>IF(SUM(P55:R55)=0,"— não preenchido",IF(ROUND(SUM(P55:R55)-$R58,3)=0,"OK — "&amp;ROUND(SUM(P55:R55),3)&amp;" km","ERRO — dif. de "&amp;ROUND(SUM(P55:R55)-$R58,3)&amp;" km"))</f>
        <v>OK — 38,142 km</v>
      </c>
      <c r="Q57" s="32"/>
      <c r="R57" s="33"/>
      <c r="S57" s="31" t="str">
        <f>IF(SUM(S55:U55)=0,"— não preenchido",IF(ROUND(SUM(S55:U55)-$R58,3)=0,"OK — "&amp;ROUND(SUM(S55:U55),3)&amp;" km","ERRO — dif. de "&amp;ROUND(SUM(S55:U55)-$R58,3)&amp;" km"))</f>
        <v>OK — 38,142 km</v>
      </c>
      <c r="T57" s="32"/>
      <c r="U57" s="33"/>
    </row>
    <row r="58" spans="1:23" x14ac:dyDescent="0.25">
      <c r="A58" s="34" t="s">
        <v>74</v>
      </c>
      <c r="B58" s="28"/>
      <c r="C58" s="28"/>
      <c r="D58" s="28"/>
      <c r="E58" s="28"/>
      <c r="R58" s="26">
        <f>SUM(E9:E49)</f>
        <v>38.142041879130005</v>
      </c>
      <c r="V58" s="8" t="str">
        <f>COUNTIF(W9:W49,"OK")&amp;" de "&amp;COUNT($E$9:$E$49)&amp;" linhas conferidas"</f>
        <v>39 de 39 linhas conferidas</v>
      </c>
    </row>
    <row r="60" spans="1:23" x14ac:dyDescent="0.25">
      <c r="A60" s="45" t="s">
        <v>75</v>
      </c>
      <c r="B60" s="28"/>
      <c r="C60" s="28"/>
      <c r="D60" s="28"/>
      <c r="E60" s="28"/>
    </row>
    <row r="61" spans="1:23" x14ac:dyDescent="0.25">
      <c r="A61" s="34" t="s">
        <v>76</v>
      </c>
      <c r="B61" s="28"/>
      <c r="C61" s="28"/>
      <c r="D61" s="28"/>
      <c r="E61" s="29" t="s">
        <v>77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3" x14ac:dyDescent="0.25">
      <c r="A62" s="34" t="s">
        <v>78</v>
      </c>
      <c r="B62" s="28"/>
      <c r="C62" s="28"/>
      <c r="D62" s="28"/>
      <c r="E62" s="29" t="s">
        <v>79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3" x14ac:dyDescent="0.25">
      <c r="A63" s="34" t="s">
        <v>80</v>
      </c>
      <c r="B63" s="28"/>
      <c r="C63" s="28"/>
      <c r="D63" s="28"/>
      <c r="E63" s="29" t="s">
        <v>81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3" x14ac:dyDescent="0.25">
      <c r="A64" s="34" t="s">
        <v>82</v>
      </c>
      <c r="B64" s="28"/>
      <c r="C64" s="28"/>
      <c r="D64" s="28"/>
      <c r="E64" s="29" t="s">
        <v>83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84</v>
      </c>
      <c r="B65" s="28"/>
      <c r="C65" s="28"/>
      <c r="D65" s="28"/>
      <c r="E65" s="29" t="s">
        <v>85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52</v>
      </c>
      <c r="B66" s="28"/>
      <c r="C66" s="28"/>
      <c r="D66" s="28"/>
      <c r="E66" s="29" t="s">
        <v>86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87</v>
      </c>
      <c r="B67" s="28"/>
      <c r="C67" s="28"/>
      <c r="D67" s="28"/>
      <c r="E67" s="29" t="s">
        <v>88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89</v>
      </c>
      <c r="B68" s="28"/>
      <c r="C68" s="28"/>
      <c r="D68" s="28"/>
      <c r="E68" s="29" t="s">
        <v>90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11</v>
      </c>
      <c r="B69" s="28"/>
      <c r="C69" s="28"/>
      <c r="D69" s="28"/>
      <c r="E69" s="29" t="s">
        <v>91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</sheetData>
  <sheetProtection formatCells="0"/>
  <mergeCells count="59">
    <mergeCell ref="E69:V69"/>
    <mergeCell ref="V6:V7"/>
    <mergeCell ref="A4:V4"/>
    <mergeCell ref="E65:V65"/>
    <mergeCell ref="A68:D68"/>
    <mergeCell ref="A69:D69"/>
    <mergeCell ref="E68:V68"/>
    <mergeCell ref="E64:V64"/>
    <mergeCell ref="G52:K52"/>
    <mergeCell ref="F57:J57"/>
    <mergeCell ref="A58:E58"/>
    <mergeCell ref="S57:U57"/>
    <mergeCell ref="A60:E60"/>
    <mergeCell ref="A62:D62"/>
    <mergeCell ref="A8:V8"/>
    <mergeCell ref="A2:F2"/>
    <mergeCell ref="S6:U6"/>
    <mergeCell ref="K2:M2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G2:H2"/>
    <mergeCell ref="I2:J2"/>
    <mergeCell ref="A63:D63"/>
    <mergeCell ref="E63:V63"/>
    <mergeCell ref="W6:W7"/>
    <mergeCell ref="E6:E7"/>
    <mergeCell ref="M57:O57"/>
    <mergeCell ref="B6:B7"/>
    <mergeCell ref="A56:E56"/>
    <mergeCell ref="A55:E55"/>
    <mergeCell ref="A57:E57"/>
    <mergeCell ref="A17:V17"/>
    <mergeCell ref="F6:J6"/>
    <mergeCell ref="A6:A7"/>
    <mergeCell ref="A51:E51"/>
    <mergeCell ref="A1:V1"/>
    <mergeCell ref="T3:V3"/>
    <mergeCell ref="A65:D65"/>
    <mergeCell ref="E66:V66"/>
    <mergeCell ref="A66:D66"/>
    <mergeCell ref="A16:V1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</mergeCells>
  <conditionalFormatting sqref="F9:J49">
    <cfRule type="expression" dxfId="17" priority="1">
      <formula>AND(F9&lt;&gt;"",COUNTIF($F9:$J9,"X")&gt;1)</formula>
    </cfRule>
  </conditionalFormatting>
  <conditionalFormatting sqref="F57:U57">
    <cfRule type="expression" dxfId="16" priority="8">
      <formula>LEFT(F57,4)="ERRO"</formula>
    </cfRule>
    <cfRule type="expression" dxfId="15" priority="9">
      <formula>LEFT(F57,2)="OK"</formula>
    </cfRule>
  </conditionalFormatting>
  <conditionalFormatting sqref="K9:L49">
    <cfRule type="expression" dxfId="14" priority="2">
      <formula>AND(K9&lt;&gt;"",COUNTIF($K9:$L9,"X")&gt;1)</formula>
    </cfRule>
  </conditionalFormatting>
  <conditionalFormatting sqref="M9:O49">
    <cfRule type="expression" dxfId="13" priority="3">
      <formula>AND(M9&lt;&gt;"",COUNTIF($M9:$O9,"X")&gt;1)</formula>
    </cfRule>
  </conditionalFormatting>
  <conditionalFormatting sqref="P9:R49">
    <cfRule type="expression" dxfId="12" priority="4">
      <formula>AND(P9&lt;&gt;"",COUNTIF($P9:$R9,"X")&gt;1)</formula>
    </cfRule>
  </conditionalFormatting>
  <conditionalFormatting sqref="S9:U49">
    <cfRule type="expression" dxfId="11" priority="5">
      <formula>AND(S9&lt;&gt;"",COUNTIF($S9:$U9,"X")&gt;1)</formula>
    </cfRule>
  </conditionalFormatting>
  <conditionalFormatting sqref="W9:W49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AN5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9" sqref="F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9" t="s">
        <v>44</v>
      </c>
      <c r="B2" s="28"/>
      <c r="C2" s="28"/>
      <c r="D2" s="28"/>
      <c r="E2" s="28"/>
      <c r="F2" s="28"/>
      <c r="G2" s="30" t="s">
        <v>45</v>
      </c>
      <c r="H2" s="28"/>
      <c r="I2" s="47">
        <f>IF('39'!I2="","",'39'!I2)</f>
        <v>46235</v>
      </c>
      <c r="J2" s="41"/>
      <c r="K2" s="30" t="s">
        <v>46</v>
      </c>
      <c r="L2" s="28"/>
      <c r="M2" s="28"/>
      <c r="N2" s="50" t="str">
        <f>IF('39'!N2="","",'39'!N2)</f>
        <v/>
      </c>
      <c r="O2" s="41"/>
      <c r="P2" s="30" t="s">
        <v>47</v>
      </c>
      <c r="Q2" s="28"/>
      <c r="R2" s="39" t="str">
        <f>IF('39'!R2="","",'39'!R2)</f>
        <v>ENG. VINICIUS RODRIGUES FERREIRA DE OLIVEIRA</v>
      </c>
      <c r="S2" s="40"/>
      <c r="T2" s="40"/>
      <c r="U2" s="40"/>
      <c r="V2" s="41"/>
      <c r="Y2" s="2" t="e">
        <f t="shared" ref="Y2:AN2" si="0">IF(F43=0,NA(),F43)</f>
        <v>#N/A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28.9906485132</v>
      </c>
      <c r="AF2" s="2" t="e">
        <f t="shared" si="0"/>
        <v>#N/A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28.9906485132</v>
      </c>
      <c r="AL2" s="2" t="e">
        <f t="shared" si="0"/>
        <v>#N/A</v>
      </c>
      <c r="AM2" s="2" t="e">
        <f t="shared" si="0"/>
        <v>#N/A</v>
      </c>
      <c r="AN2" s="2">
        <f t="shared" si="0"/>
        <v>28.9906485132</v>
      </c>
    </row>
    <row r="3" spans="1:40" ht="15" customHeight="1" x14ac:dyDescent="0.25">
      <c r="A3" s="42" t="s">
        <v>241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0" t="s">
        <v>242</v>
      </c>
      <c r="U3" s="28"/>
      <c r="V3" s="28"/>
    </row>
    <row r="4" spans="1:40" ht="20.100000000000001" customHeight="1" x14ac:dyDescent="0.25">
      <c r="A4" s="48" t="s">
        <v>50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43" t="s">
        <v>51</v>
      </c>
      <c r="B6" s="43" t="s">
        <v>52</v>
      </c>
      <c r="C6" s="43" t="s">
        <v>53</v>
      </c>
      <c r="D6" s="43" t="s">
        <v>54</v>
      </c>
      <c r="E6" s="43" t="s">
        <v>55</v>
      </c>
      <c r="F6" s="43" t="s">
        <v>6</v>
      </c>
      <c r="G6" s="32"/>
      <c r="H6" s="32"/>
      <c r="I6" s="32"/>
      <c r="J6" s="33"/>
      <c r="K6" s="43" t="s">
        <v>7</v>
      </c>
      <c r="L6" s="33"/>
      <c r="M6" s="43" t="s">
        <v>8</v>
      </c>
      <c r="N6" s="32"/>
      <c r="O6" s="33"/>
      <c r="P6" s="43" t="s">
        <v>9</v>
      </c>
      <c r="Q6" s="32"/>
      <c r="R6" s="33"/>
      <c r="S6" s="43" t="s">
        <v>10</v>
      </c>
      <c r="T6" s="32"/>
      <c r="U6" s="33"/>
      <c r="V6" s="43" t="s">
        <v>56</v>
      </c>
      <c r="W6" s="43" t="s">
        <v>57</v>
      </c>
    </row>
    <row r="7" spans="1:40" ht="20.100000000000001" customHeight="1" x14ac:dyDescent="0.25">
      <c r="A7" s="44"/>
      <c r="B7" s="44"/>
      <c r="C7" s="44"/>
      <c r="D7" s="44"/>
      <c r="E7" s="44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254</v>
      </c>
      <c r="N7" s="3" t="s">
        <v>255</v>
      </c>
      <c r="O7" s="3" t="s">
        <v>256</v>
      </c>
      <c r="P7" s="3" t="s">
        <v>12</v>
      </c>
      <c r="Q7" s="3" t="s">
        <v>19</v>
      </c>
      <c r="R7" s="3" t="s">
        <v>257</v>
      </c>
      <c r="S7" s="3" t="s">
        <v>12</v>
      </c>
      <c r="T7" s="3" t="s">
        <v>258</v>
      </c>
      <c r="U7" s="3" t="s">
        <v>257</v>
      </c>
      <c r="V7" s="44"/>
      <c r="W7" s="44"/>
    </row>
    <row r="8" spans="1:40" ht="15.95" customHeight="1" x14ac:dyDescent="0.25">
      <c r="A8" s="46" t="s">
        <v>243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4"/>
    </row>
    <row r="9" spans="1:40" ht="20.100000000000001" customHeight="1" x14ac:dyDescent="0.25">
      <c r="A9" s="12" t="s">
        <v>244</v>
      </c>
      <c r="B9" s="13" t="s">
        <v>60</v>
      </c>
      <c r="C9" s="14">
        <v>0</v>
      </c>
      <c r="D9" s="14">
        <v>1</v>
      </c>
      <c r="E9" s="14">
        <f t="shared" ref="E9:E37" si="1">D9-C9</f>
        <v>1</v>
      </c>
      <c r="F9" s="15"/>
      <c r="G9" s="15"/>
      <c r="H9" s="15"/>
      <c r="I9" s="15"/>
      <c r="J9" s="15"/>
      <c r="K9" s="15"/>
      <c r="L9" s="15" t="s">
        <v>61</v>
      </c>
      <c r="M9" s="15"/>
      <c r="N9" s="15"/>
      <c r="O9" s="15"/>
      <c r="P9" s="15"/>
      <c r="Q9" s="15"/>
      <c r="R9" s="15" t="s">
        <v>61</v>
      </c>
      <c r="S9" s="15"/>
      <c r="T9" s="15"/>
      <c r="U9" s="15" t="s">
        <v>61</v>
      </c>
      <c r="V9" s="16" t="s">
        <v>253</v>
      </c>
      <c r="W9" s="17" t="str">
        <f t="shared" ref="W9:W3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CONDIÇÃO DO PAVIMENTO</v>
      </c>
    </row>
    <row r="10" spans="1:40" ht="20.100000000000001" customHeight="1" x14ac:dyDescent="0.25">
      <c r="A10" s="12" t="s">
        <v>244</v>
      </c>
      <c r="B10" s="13" t="s">
        <v>60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/>
      <c r="I10" s="15"/>
      <c r="J10" s="15"/>
      <c r="K10" s="15"/>
      <c r="L10" s="15" t="s">
        <v>61</v>
      </c>
      <c r="M10" s="15"/>
      <c r="N10" s="15"/>
      <c r="O10" s="15"/>
      <c r="P10" s="15"/>
      <c r="Q10" s="15"/>
      <c r="R10" s="15" t="s">
        <v>61</v>
      </c>
      <c r="S10" s="15"/>
      <c r="T10" s="15"/>
      <c r="U10" s="15" t="s">
        <v>61</v>
      </c>
      <c r="V10" s="16"/>
      <c r="W10" s="17" t="str">
        <f t="shared" si="2"/>
        <v>FALTA/DUPLA: CONDIÇÃO DO PAVIMENTO</v>
      </c>
    </row>
    <row r="11" spans="1:40" ht="20.100000000000001" customHeight="1" x14ac:dyDescent="0.25">
      <c r="A11" s="12" t="s">
        <v>244</v>
      </c>
      <c r="B11" s="13" t="s">
        <v>60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/>
      <c r="J11" s="15"/>
      <c r="K11" s="15"/>
      <c r="L11" s="15" t="s">
        <v>61</v>
      </c>
      <c r="M11" s="15"/>
      <c r="N11" s="15"/>
      <c r="O11" s="15"/>
      <c r="P11" s="15"/>
      <c r="Q11" s="15"/>
      <c r="R11" s="15" t="s">
        <v>61</v>
      </c>
      <c r="S11" s="15"/>
      <c r="T11" s="15"/>
      <c r="U11" s="15" t="s">
        <v>61</v>
      </c>
      <c r="V11" s="16"/>
      <c r="W11" s="17" t="str">
        <f t="shared" si="2"/>
        <v>FALTA/DUPLA: CONDIÇÃO DO PAVIMENTO</v>
      </c>
    </row>
    <row r="12" spans="1:40" ht="20.100000000000001" customHeight="1" x14ac:dyDescent="0.25">
      <c r="A12" s="12" t="s">
        <v>244</v>
      </c>
      <c r="B12" s="13" t="s">
        <v>60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/>
      <c r="I12" s="15"/>
      <c r="J12" s="15"/>
      <c r="K12" s="15"/>
      <c r="L12" s="15" t="s">
        <v>61</v>
      </c>
      <c r="M12" s="15"/>
      <c r="N12" s="15"/>
      <c r="O12" s="15"/>
      <c r="P12" s="15"/>
      <c r="Q12" s="15"/>
      <c r="R12" s="15" t="s">
        <v>61</v>
      </c>
      <c r="S12" s="15"/>
      <c r="T12" s="15"/>
      <c r="U12" s="15" t="s">
        <v>61</v>
      </c>
      <c r="V12" s="16"/>
      <c r="W12" s="17" t="str">
        <f t="shared" si="2"/>
        <v>FALTA/DUPLA: CONDIÇÃO DO PAVIMENTO</v>
      </c>
    </row>
    <row r="13" spans="1:40" ht="20.100000000000001" customHeight="1" x14ac:dyDescent="0.25">
      <c r="A13" s="12" t="s">
        <v>244</v>
      </c>
      <c r="B13" s="13" t="s">
        <v>60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/>
      <c r="J13" s="15"/>
      <c r="K13" s="15"/>
      <c r="L13" s="15" t="s">
        <v>61</v>
      </c>
      <c r="M13" s="15"/>
      <c r="N13" s="15"/>
      <c r="O13" s="15"/>
      <c r="P13" s="15"/>
      <c r="Q13" s="15"/>
      <c r="R13" s="15" t="s">
        <v>61</v>
      </c>
      <c r="S13" s="15"/>
      <c r="T13" s="15"/>
      <c r="U13" s="15" t="s">
        <v>61</v>
      </c>
      <c r="V13" s="16"/>
      <c r="W13" s="17" t="str">
        <f t="shared" si="2"/>
        <v>FALTA/DUPLA: CONDIÇÃO DO PAVIMENTO</v>
      </c>
    </row>
    <row r="14" spans="1:40" ht="20.100000000000001" customHeight="1" x14ac:dyDescent="0.25">
      <c r="A14" s="12" t="s">
        <v>244</v>
      </c>
      <c r="B14" s="13" t="s">
        <v>60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/>
      <c r="J14" s="15"/>
      <c r="K14" s="15"/>
      <c r="L14" s="15" t="s">
        <v>61</v>
      </c>
      <c r="M14" s="15"/>
      <c r="N14" s="15"/>
      <c r="O14" s="15"/>
      <c r="P14" s="15"/>
      <c r="Q14" s="15"/>
      <c r="R14" s="15" t="s">
        <v>61</v>
      </c>
      <c r="S14" s="15"/>
      <c r="T14" s="15"/>
      <c r="U14" s="15" t="s">
        <v>61</v>
      </c>
      <c r="V14" s="16"/>
      <c r="W14" s="17" t="str">
        <f t="shared" si="2"/>
        <v>FALTA/DUPLA: CONDIÇÃO DO PAVIMENTO</v>
      </c>
    </row>
    <row r="15" spans="1:40" ht="20.100000000000001" customHeight="1" x14ac:dyDescent="0.25">
      <c r="A15" s="12" t="s">
        <v>244</v>
      </c>
      <c r="B15" s="13" t="s">
        <v>60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/>
      <c r="K15" s="15"/>
      <c r="L15" s="15" t="s">
        <v>61</v>
      </c>
      <c r="M15" s="15"/>
      <c r="N15" s="15"/>
      <c r="O15" s="15"/>
      <c r="P15" s="15"/>
      <c r="Q15" s="15"/>
      <c r="R15" s="15" t="s">
        <v>61</v>
      </c>
      <c r="S15" s="15"/>
      <c r="T15" s="15"/>
      <c r="U15" s="15" t="s">
        <v>61</v>
      </c>
      <c r="V15" s="16"/>
      <c r="W15" s="17" t="str">
        <f t="shared" si="2"/>
        <v>FALTA/DUPLA: CONDIÇÃO DO PAVIMENTO</v>
      </c>
    </row>
    <row r="16" spans="1:40" ht="20.100000000000001" customHeight="1" x14ac:dyDescent="0.25">
      <c r="A16" s="12" t="s">
        <v>244</v>
      </c>
      <c r="B16" s="13" t="s">
        <v>60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/>
      <c r="K16" s="15"/>
      <c r="L16" s="15" t="s">
        <v>61</v>
      </c>
      <c r="M16" s="15"/>
      <c r="N16" s="15"/>
      <c r="O16" s="15"/>
      <c r="P16" s="15"/>
      <c r="Q16" s="15"/>
      <c r="R16" s="15" t="s">
        <v>61</v>
      </c>
      <c r="S16" s="15"/>
      <c r="T16" s="15"/>
      <c r="U16" s="15" t="s">
        <v>61</v>
      </c>
      <c r="V16" s="16"/>
      <c r="W16" s="17" t="str">
        <f t="shared" si="2"/>
        <v>FALTA/DUPLA: CONDIÇÃO DO PAVIMENTO</v>
      </c>
    </row>
    <row r="17" spans="1:23" ht="20.100000000000001" customHeight="1" x14ac:dyDescent="0.25">
      <c r="A17" s="12" t="s">
        <v>244</v>
      </c>
      <c r="B17" s="13" t="s">
        <v>60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/>
      <c r="K17" s="15"/>
      <c r="L17" s="15" t="s">
        <v>61</v>
      </c>
      <c r="M17" s="15"/>
      <c r="N17" s="15"/>
      <c r="O17" s="15"/>
      <c r="P17" s="15"/>
      <c r="Q17" s="15"/>
      <c r="R17" s="15" t="s">
        <v>61</v>
      </c>
      <c r="S17" s="15"/>
      <c r="T17" s="15"/>
      <c r="U17" s="15" t="s">
        <v>61</v>
      </c>
      <c r="V17" s="16"/>
      <c r="W17" s="17" t="str">
        <f t="shared" si="2"/>
        <v>FALTA/DUPLA: CONDIÇÃO DO PAVIMENTO</v>
      </c>
    </row>
    <row r="18" spans="1:23" ht="20.100000000000001" customHeight="1" x14ac:dyDescent="0.25">
      <c r="A18" s="12" t="s">
        <v>244</v>
      </c>
      <c r="B18" s="13" t="s">
        <v>60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/>
      <c r="K18" s="15"/>
      <c r="L18" s="15" t="s">
        <v>61</v>
      </c>
      <c r="M18" s="15"/>
      <c r="N18" s="15"/>
      <c r="O18" s="15"/>
      <c r="P18" s="15"/>
      <c r="Q18" s="15"/>
      <c r="R18" s="15" t="s">
        <v>61</v>
      </c>
      <c r="S18" s="15"/>
      <c r="T18" s="15"/>
      <c r="U18" s="15" t="s">
        <v>61</v>
      </c>
      <c r="V18" s="16"/>
      <c r="W18" s="17" t="str">
        <f t="shared" si="2"/>
        <v>FALTA/DUPLA: CONDIÇÃO DO PAVIMENTO</v>
      </c>
    </row>
    <row r="19" spans="1:23" ht="20.100000000000001" customHeight="1" x14ac:dyDescent="0.25">
      <c r="A19" s="12" t="s">
        <v>244</v>
      </c>
      <c r="B19" s="13" t="s">
        <v>60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/>
      <c r="K19" s="15"/>
      <c r="L19" s="15" t="s">
        <v>61</v>
      </c>
      <c r="M19" s="15"/>
      <c r="N19" s="15"/>
      <c r="O19" s="15"/>
      <c r="P19" s="15"/>
      <c r="Q19" s="15"/>
      <c r="R19" s="15" t="s">
        <v>61</v>
      </c>
      <c r="S19" s="15"/>
      <c r="T19" s="15"/>
      <c r="U19" s="15" t="s">
        <v>61</v>
      </c>
      <c r="V19" s="16"/>
      <c r="W19" s="17" t="str">
        <f t="shared" si="2"/>
        <v>FALTA/DUPLA: CONDIÇÃO DO PAVIMENTO</v>
      </c>
    </row>
    <row r="20" spans="1:23" ht="20.100000000000001" customHeight="1" x14ac:dyDescent="0.25">
      <c r="A20" s="12" t="s">
        <v>244</v>
      </c>
      <c r="B20" s="13" t="s">
        <v>60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/>
      <c r="J20" s="15"/>
      <c r="K20" s="15"/>
      <c r="L20" s="15" t="s">
        <v>61</v>
      </c>
      <c r="M20" s="15"/>
      <c r="N20" s="15"/>
      <c r="O20" s="15"/>
      <c r="P20" s="15"/>
      <c r="Q20" s="15"/>
      <c r="R20" s="15" t="s">
        <v>61</v>
      </c>
      <c r="S20" s="15"/>
      <c r="T20" s="15"/>
      <c r="U20" s="15" t="s">
        <v>61</v>
      </c>
      <c r="V20" s="16"/>
      <c r="W20" s="17" t="str">
        <f t="shared" si="2"/>
        <v>FALTA/DUPLA: CONDIÇÃO DO PAVIMENTO</v>
      </c>
    </row>
    <row r="21" spans="1:23" ht="20.100000000000001" customHeight="1" x14ac:dyDescent="0.25">
      <c r="A21" s="12" t="s">
        <v>244</v>
      </c>
      <c r="B21" s="13" t="s">
        <v>60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/>
      <c r="J21" s="15"/>
      <c r="K21" s="15"/>
      <c r="L21" s="15" t="s">
        <v>61</v>
      </c>
      <c r="M21" s="15"/>
      <c r="N21" s="15"/>
      <c r="O21" s="15"/>
      <c r="P21" s="15"/>
      <c r="Q21" s="15"/>
      <c r="R21" s="15" t="s">
        <v>61</v>
      </c>
      <c r="S21" s="15"/>
      <c r="T21" s="15"/>
      <c r="U21" s="15" t="s">
        <v>61</v>
      </c>
      <c r="V21" s="16"/>
      <c r="W21" s="17" t="str">
        <f t="shared" si="2"/>
        <v>FALTA/DUPLA: CONDIÇÃO DO PAVIMENTO</v>
      </c>
    </row>
    <row r="22" spans="1:23" ht="20.100000000000001" customHeight="1" x14ac:dyDescent="0.25">
      <c r="A22" s="12" t="s">
        <v>244</v>
      </c>
      <c r="B22" s="13" t="s">
        <v>60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/>
      <c r="J22" s="15"/>
      <c r="K22" s="15"/>
      <c r="L22" s="15" t="s">
        <v>61</v>
      </c>
      <c r="M22" s="15"/>
      <c r="N22" s="15"/>
      <c r="O22" s="15"/>
      <c r="P22" s="15"/>
      <c r="Q22" s="15"/>
      <c r="R22" s="15" t="s">
        <v>61</v>
      </c>
      <c r="S22" s="15"/>
      <c r="T22" s="15"/>
      <c r="U22" s="15" t="s">
        <v>61</v>
      </c>
      <c r="V22" s="16"/>
      <c r="W22" s="17" t="str">
        <f t="shared" si="2"/>
        <v>FALTA/DUPLA: CONDIÇÃO DO PAVIMENTO</v>
      </c>
    </row>
    <row r="23" spans="1:23" ht="20.100000000000001" customHeight="1" x14ac:dyDescent="0.25">
      <c r="A23" s="12" t="s">
        <v>244</v>
      </c>
      <c r="B23" s="13" t="s">
        <v>60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/>
      <c r="J23" s="15"/>
      <c r="K23" s="15"/>
      <c r="L23" s="15" t="s">
        <v>61</v>
      </c>
      <c r="M23" s="15"/>
      <c r="N23" s="15"/>
      <c r="O23" s="15"/>
      <c r="P23" s="15"/>
      <c r="Q23" s="15"/>
      <c r="R23" s="15" t="s">
        <v>61</v>
      </c>
      <c r="S23" s="15"/>
      <c r="T23" s="15"/>
      <c r="U23" s="15" t="s">
        <v>61</v>
      </c>
      <c r="V23" s="16"/>
      <c r="W23" s="17" t="str">
        <f t="shared" si="2"/>
        <v>FALTA/DUPLA: CONDIÇÃO DO PAVIMENTO</v>
      </c>
    </row>
    <row r="24" spans="1:23" ht="20.100000000000001" customHeight="1" x14ac:dyDescent="0.25">
      <c r="A24" s="12" t="s">
        <v>244</v>
      </c>
      <c r="B24" s="13" t="s">
        <v>60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/>
      <c r="J24" s="15"/>
      <c r="K24" s="15"/>
      <c r="L24" s="15" t="s">
        <v>61</v>
      </c>
      <c r="M24" s="15"/>
      <c r="N24" s="15"/>
      <c r="O24" s="15"/>
      <c r="P24" s="15"/>
      <c r="Q24" s="15"/>
      <c r="R24" s="15" t="s">
        <v>61</v>
      </c>
      <c r="S24" s="15"/>
      <c r="T24" s="15"/>
      <c r="U24" s="15" t="s">
        <v>61</v>
      </c>
      <c r="V24" s="16"/>
      <c r="W24" s="17" t="str">
        <f t="shared" si="2"/>
        <v>FALTA/DUPLA: CONDIÇÃO DO PAVIMENTO</v>
      </c>
    </row>
    <row r="25" spans="1:23" ht="20.100000000000001" customHeight="1" x14ac:dyDescent="0.25">
      <c r="A25" s="12" t="s">
        <v>244</v>
      </c>
      <c r="B25" s="13" t="s">
        <v>60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/>
      <c r="J25" s="15"/>
      <c r="K25" s="15"/>
      <c r="L25" s="15" t="s">
        <v>61</v>
      </c>
      <c r="M25" s="15"/>
      <c r="N25" s="15"/>
      <c r="O25" s="15"/>
      <c r="P25" s="15"/>
      <c r="Q25" s="15"/>
      <c r="R25" s="15" t="s">
        <v>61</v>
      </c>
      <c r="S25" s="15"/>
      <c r="T25" s="15"/>
      <c r="U25" s="15" t="s">
        <v>61</v>
      </c>
      <c r="V25" s="16"/>
      <c r="W25" s="17" t="str">
        <f t="shared" si="2"/>
        <v>FALTA/DUPLA: CONDIÇÃO DO PAVIMENTO</v>
      </c>
    </row>
    <row r="26" spans="1:23" ht="20.100000000000001" customHeight="1" x14ac:dyDescent="0.25">
      <c r="A26" s="12" t="s">
        <v>244</v>
      </c>
      <c r="B26" s="13" t="s">
        <v>60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/>
      <c r="I26" s="15"/>
      <c r="J26" s="15"/>
      <c r="K26" s="15"/>
      <c r="L26" s="15" t="s">
        <v>61</v>
      </c>
      <c r="M26" s="15"/>
      <c r="N26" s="15"/>
      <c r="O26" s="15"/>
      <c r="P26" s="15"/>
      <c r="Q26" s="15"/>
      <c r="R26" s="15" t="s">
        <v>61</v>
      </c>
      <c r="S26" s="15"/>
      <c r="T26" s="15"/>
      <c r="U26" s="15" t="s">
        <v>61</v>
      </c>
      <c r="V26" s="16"/>
      <c r="W26" s="17" t="str">
        <f t="shared" si="2"/>
        <v>FALTA/DUPLA: CONDIÇÃO DO PAVIMENTO</v>
      </c>
    </row>
    <row r="27" spans="1:23" ht="20.100000000000001" customHeight="1" x14ac:dyDescent="0.25">
      <c r="A27" s="12" t="s">
        <v>244</v>
      </c>
      <c r="B27" s="13" t="s">
        <v>60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/>
      <c r="I27" s="15"/>
      <c r="J27" s="15"/>
      <c r="K27" s="15"/>
      <c r="L27" s="15" t="s">
        <v>61</v>
      </c>
      <c r="M27" s="15"/>
      <c r="N27" s="15"/>
      <c r="O27" s="15"/>
      <c r="P27" s="15"/>
      <c r="Q27" s="15"/>
      <c r="R27" s="15" t="s">
        <v>61</v>
      </c>
      <c r="S27" s="15"/>
      <c r="T27" s="15"/>
      <c r="U27" s="15" t="s">
        <v>61</v>
      </c>
      <c r="V27" s="16"/>
      <c r="W27" s="17" t="str">
        <f t="shared" si="2"/>
        <v>FALTA/DUPLA: CONDIÇÃO DO PAVIMENTO</v>
      </c>
    </row>
    <row r="28" spans="1:23" ht="20.100000000000001" customHeight="1" x14ac:dyDescent="0.25">
      <c r="A28" s="12" t="s">
        <v>244</v>
      </c>
      <c r="B28" s="13" t="s">
        <v>60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/>
      <c r="J28" s="15"/>
      <c r="K28" s="15"/>
      <c r="L28" s="15" t="s">
        <v>61</v>
      </c>
      <c r="M28" s="15"/>
      <c r="N28" s="15"/>
      <c r="O28" s="15"/>
      <c r="P28" s="15"/>
      <c r="Q28" s="15"/>
      <c r="R28" s="15" t="s">
        <v>61</v>
      </c>
      <c r="S28" s="15"/>
      <c r="T28" s="15"/>
      <c r="U28" s="15" t="s">
        <v>61</v>
      </c>
      <c r="V28" s="16"/>
      <c r="W28" s="17" t="str">
        <f t="shared" si="2"/>
        <v>FALTA/DUPLA: CONDIÇÃO DO PAVIMENTO</v>
      </c>
    </row>
    <row r="29" spans="1:23" ht="20.100000000000001" customHeight="1" x14ac:dyDescent="0.25">
      <c r="A29" s="12" t="s">
        <v>244</v>
      </c>
      <c r="B29" s="13" t="s">
        <v>60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/>
      <c r="I29" s="15"/>
      <c r="J29" s="15"/>
      <c r="K29" s="15"/>
      <c r="L29" s="15" t="s">
        <v>61</v>
      </c>
      <c r="M29" s="15"/>
      <c r="N29" s="15"/>
      <c r="O29" s="15"/>
      <c r="P29" s="15"/>
      <c r="Q29" s="15"/>
      <c r="R29" s="15" t="s">
        <v>61</v>
      </c>
      <c r="S29" s="15"/>
      <c r="T29" s="15"/>
      <c r="U29" s="15" t="s">
        <v>61</v>
      </c>
      <c r="V29" s="16"/>
      <c r="W29" s="17" t="str">
        <f t="shared" si="2"/>
        <v>FALTA/DUPLA: CONDIÇÃO DO PAVIMENTO</v>
      </c>
    </row>
    <row r="30" spans="1:23" ht="20.100000000000001" customHeight="1" x14ac:dyDescent="0.25">
      <c r="A30" s="12" t="s">
        <v>244</v>
      </c>
      <c r="B30" s="13" t="s">
        <v>60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/>
      <c r="J30" s="15"/>
      <c r="K30" s="15"/>
      <c r="L30" s="15" t="s">
        <v>61</v>
      </c>
      <c r="M30" s="15"/>
      <c r="N30" s="15"/>
      <c r="O30" s="15"/>
      <c r="P30" s="15"/>
      <c r="Q30" s="15"/>
      <c r="R30" s="15" t="s">
        <v>61</v>
      </c>
      <c r="S30" s="15"/>
      <c r="T30" s="15"/>
      <c r="U30" s="15" t="s">
        <v>61</v>
      </c>
      <c r="V30" s="16"/>
      <c r="W30" s="17" t="str">
        <f t="shared" si="2"/>
        <v>FALTA/DUPLA: CONDIÇÃO DO PAVIMENTO</v>
      </c>
    </row>
    <row r="31" spans="1:23" ht="20.100000000000001" customHeight="1" x14ac:dyDescent="0.25">
      <c r="A31" s="12" t="s">
        <v>244</v>
      </c>
      <c r="B31" s="13" t="s">
        <v>60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/>
      <c r="I31" s="15"/>
      <c r="J31" s="15"/>
      <c r="K31" s="15"/>
      <c r="L31" s="15" t="s">
        <v>61</v>
      </c>
      <c r="M31" s="15"/>
      <c r="N31" s="15"/>
      <c r="O31" s="15"/>
      <c r="P31" s="15"/>
      <c r="Q31" s="15"/>
      <c r="R31" s="15" t="s">
        <v>61</v>
      </c>
      <c r="S31" s="15"/>
      <c r="T31" s="15"/>
      <c r="U31" s="15" t="s">
        <v>61</v>
      </c>
      <c r="V31" s="16"/>
      <c r="W31" s="17" t="str">
        <f t="shared" si="2"/>
        <v>FALTA/DUPLA: CONDIÇÃO DO PAVIMENTO</v>
      </c>
    </row>
    <row r="32" spans="1:23" ht="20.100000000000001" customHeight="1" x14ac:dyDescent="0.25">
      <c r="A32" s="12" t="s">
        <v>244</v>
      </c>
      <c r="B32" s="13" t="s">
        <v>60</v>
      </c>
      <c r="C32" s="14">
        <v>23</v>
      </c>
      <c r="D32" s="14">
        <v>24</v>
      </c>
      <c r="E32" s="14">
        <f t="shared" si="1"/>
        <v>1</v>
      </c>
      <c r="F32" s="15"/>
      <c r="G32" s="15"/>
      <c r="H32" s="15"/>
      <c r="I32" s="15"/>
      <c r="J32" s="15"/>
      <c r="K32" s="15"/>
      <c r="L32" s="15" t="s">
        <v>61</v>
      </c>
      <c r="M32" s="15"/>
      <c r="N32" s="15"/>
      <c r="O32" s="15"/>
      <c r="P32" s="15"/>
      <c r="Q32" s="15"/>
      <c r="R32" s="15" t="s">
        <v>61</v>
      </c>
      <c r="S32" s="15"/>
      <c r="T32" s="15"/>
      <c r="U32" s="15" t="s">
        <v>61</v>
      </c>
      <c r="V32" s="16"/>
      <c r="W32" s="17" t="str">
        <f t="shared" si="2"/>
        <v>FALTA/DUPLA: CONDIÇÃO DO PAVIMENTO</v>
      </c>
    </row>
    <row r="33" spans="1:23" ht="20.100000000000001" customHeight="1" x14ac:dyDescent="0.25">
      <c r="A33" s="12" t="s">
        <v>244</v>
      </c>
      <c r="B33" s="13" t="s">
        <v>60</v>
      </c>
      <c r="C33" s="14">
        <v>24</v>
      </c>
      <c r="D33" s="14">
        <v>25</v>
      </c>
      <c r="E33" s="14">
        <f t="shared" si="1"/>
        <v>1</v>
      </c>
      <c r="F33" s="15"/>
      <c r="G33" s="15"/>
      <c r="H33" s="15"/>
      <c r="I33" s="15"/>
      <c r="J33" s="15"/>
      <c r="K33" s="15"/>
      <c r="L33" s="15" t="s">
        <v>61</v>
      </c>
      <c r="M33" s="15"/>
      <c r="N33" s="15"/>
      <c r="O33" s="15"/>
      <c r="P33" s="15"/>
      <c r="Q33" s="15"/>
      <c r="R33" s="15" t="s">
        <v>61</v>
      </c>
      <c r="S33" s="15"/>
      <c r="T33" s="15"/>
      <c r="U33" s="15" t="s">
        <v>61</v>
      </c>
      <c r="V33" s="16"/>
      <c r="W33" s="17" t="str">
        <f t="shared" si="2"/>
        <v>FALTA/DUPLA: CONDIÇÃO DO PAVIMENTO</v>
      </c>
    </row>
    <row r="34" spans="1:23" ht="20.100000000000001" customHeight="1" x14ac:dyDescent="0.25">
      <c r="A34" s="12" t="s">
        <v>244</v>
      </c>
      <c r="B34" s="13" t="s">
        <v>60</v>
      </c>
      <c r="C34" s="14">
        <v>25</v>
      </c>
      <c r="D34" s="14">
        <v>26</v>
      </c>
      <c r="E34" s="14">
        <f t="shared" si="1"/>
        <v>1</v>
      </c>
      <c r="F34" s="15"/>
      <c r="G34" s="15"/>
      <c r="H34" s="15"/>
      <c r="I34" s="15"/>
      <c r="J34" s="15"/>
      <c r="K34" s="15"/>
      <c r="L34" s="15" t="s">
        <v>61</v>
      </c>
      <c r="M34" s="15"/>
      <c r="N34" s="15"/>
      <c r="O34" s="15"/>
      <c r="P34" s="15"/>
      <c r="Q34" s="15"/>
      <c r="R34" s="15" t="s">
        <v>61</v>
      </c>
      <c r="S34" s="15"/>
      <c r="T34" s="15"/>
      <c r="U34" s="15" t="s">
        <v>61</v>
      </c>
      <c r="V34" s="16"/>
      <c r="W34" s="17" t="str">
        <f t="shared" si="2"/>
        <v>FALTA/DUPLA: CONDIÇÃO DO PAVIMENTO</v>
      </c>
    </row>
    <row r="35" spans="1:23" ht="20.100000000000001" customHeight="1" x14ac:dyDescent="0.25">
      <c r="A35" s="12" t="s">
        <v>244</v>
      </c>
      <c r="B35" s="13" t="s">
        <v>60</v>
      </c>
      <c r="C35" s="14">
        <v>26</v>
      </c>
      <c r="D35" s="14">
        <v>27</v>
      </c>
      <c r="E35" s="14">
        <f t="shared" si="1"/>
        <v>1</v>
      </c>
      <c r="F35" s="15"/>
      <c r="G35" s="15"/>
      <c r="H35" s="15"/>
      <c r="I35" s="15"/>
      <c r="J35" s="15"/>
      <c r="K35" s="15"/>
      <c r="L35" s="15" t="s">
        <v>61</v>
      </c>
      <c r="M35" s="15"/>
      <c r="N35" s="15"/>
      <c r="O35" s="15"/>
      <c r="P35" s="15"/>
      <c r="Q35" s="15"/>
      <c r="R35" s="15" t="s">
        <v>61</v>
      </c>
      <c r="S35" s="15"/>
      <c r="T35" s="15"/>
      <c r="U35" s="15" t="s">
        <v>61</v>
      </c>
      <c r="V35" s="16"/>
      <c r="W35" s="17" t="str">
        <f t="shared" si="2"/>
        <v>FALTA/DUPLA: CONDIÇÃO DO PAVIMENTO</v>
      </c>
    </row>
    <row r="36" spans="1:23" ht="20.100000000000001" customHeight="1" x14ac:dyDescent="0.25">
      <c r="A36" s="12" t="s">
        <v>244</v>
      </c>
      <c r="B36" s="13" t="s">
        <v>60</v>
      </c>
      <c r="C36" s="14">
        <v>27</v>
      </c>
      <c r="D36" s="14">
        <v>28</v>
      </c>
      <c r="E36" s="14">
        <f t="shared" si="1"/>
        <v>1</v>
      </c>
      <c r="F36" s="15"/>
      <c r="G36" s="15"/>
      <c r="H36" s="15"/>
      <c r="I36" s="15"/>
      <c r="J36" s="15"/>
      <c r="K36" s="15"/>
      <c r="L36" s="15" t="s">
        <v>61</v>
      </c>
      <c r="M36" s="15"/>
      <c r="N36" s="15"/>
      <c r="O36" s="15"/>
      <c r="P36" s="15"/>
      <c r="Q36" s="15"/>
      <c r="R36" s="15" t="s">
        <v>61</v>
      </c>
      <c r="S36" s="15"/>
      <c r="T36" s="15"/>
      <c r="U36" s="15" t="s">
        <v>61</v>
      </c>
      <c r="V36" s="16"/>
      <c r="W36" s="17" t="str">
        <f t="shared" si="2"/>
        <v>FALTA/DUPLA: CONDIÇÃO DO PAVIMENTO</v>
      </c>
    </row>
    <row r="37" spans="1:23" ht="20.100000000000001" customHeight="1" x14ac:dyDescent="0.25">
      <c r="A37" s="18" t="s">
        <v>244</v>
      </c>
      <c r="B37" s="19" t="s">
        <v>60</v>
      </c>
      <c r="C37" s="20">
        <v>28</v>
      </c>
      <c r="D37" s="20">
        <v>28.9906485132</v>
      </c>
      <c r="E37" s="20">
        <f t="shared" si="1"/>
        <v>0.99064851320000002</v>
      </c>
      <c r="F37" s="21"/>
      <c r="G37" s="21"/>
      <c r="H37" s="21"/>
      <c r="I37" s="21"/>
      <c r="J37" s="21"/>
      <c r="K37" s="21"/>
      <c r="L37" s="21" t="s">
        <v>61</v>
      </c>
      <c r="M37" s="21"/>
      <c r="N37" s="21"/>
      <c r="O37" s="21"/>
      <c r="P37" s="21"/>
      <c r="Q37" s="21"/>
      <c r="R37" s="21" t="s">
        <v>61</v>
      </c>
      <c r="S37" s="21"/>
      <c r="T37" s="21"/>
      <c r="U37" s="21" t="s">
        <v>61</v>
      </c>
      <c r="V37" s="22"/>
      <c r="W37" s="23" t="str">
        <f t="shared" si="2"/>
        <v>FALTA/DUPLA: CONDIÇÃO DO PAVIMENTO</v>
      </c>
    </row>
    <row r="39" spans="1:23" x14ac:dyDescent="0.25">
      <c r="A39" s="38" t="s">
        <v>67</v>
      </c>
      <c r="B39" s="28"/>
      <c r="C39" s="28"/>
      <c r="D39" s="28"/>
      <c r="E39" s="28"/>
      <c r="G39" s="38" t="s">
        <v>67</v>
      </c>
      <c r="H39" s="28"/>
      <c r="I39" s="28"/>
      <c r="J39" s="28"/>
      <c r="K39" s="28"/>
    </row>
    <row r="40" spans="1:23" x14ac:dyDescent="0.25">
      <c r="A40" s="36" t="s">
        <v>68</v>
      </c>
      <c r="B40" s="28"/>
      <c r="C40" s="28"/>
      <c r="D40" s="28"/>
      <c r="E40" s="28"/>
      <c r="G40" s="36" t="s">
        <v>69</v>
      </c>
      <c r="H40" s="28"/>
      <c r="I40" s="28"/>
      <c r="J40" s="28"/>
      <c r="K40" s="28"/>
    </row>
    <row r="42" spans="1:23" x14ac:dyDescent="0.25">
      <c r="A42" s="37" t="s">
        <v>70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71</v>
      </c>
      <c r="B43" s="28"/>
      <c r="C43" s="28"/>
      <c r="D43" s="28"/>
      <c r="E43" s="28"/>
      <c r="F43" s="9">
        <f t="shared" ref="F43:U43" si="3">SUMIF(F$9:F$37,"X",$E$9:$E$37)</f>
        <v>0</v>
      </c>
      <c r="G43" s="9">
        <f t="shared" si="3"/>
        <v>0</v>
      </c>
      <c r="H43" s="9">
        <f t="shared" si="3"/>
        <v>0</v>
      </c>
      <c r="I43" s="9">
        <f t="shared" si="3"/>
        <v>0</v>
      </c>
      <c r="J43" s="9">
        <f t="shared" si="3"/>
        <v>0</v>
      </c>
      <c r="K43" s="9">
        <f t="shared" si="3"/>
        <v>0</v>
      </c>
      <c r="L43" s="9">
        <f t="shared" si="3"/>
        <v>28.9906485132</v>
      </c>
      <c r="M43" s="9">
        <f t="shared" si="3"/>
        <v>0</v>
      </c>
      <c r="N43" s="9">
        <f t="shared" si="3"/>
        <v>0</v>
      </c>
      <c r="O43" s="9">
        <f t="shared" si="3"/>
        <v>0</v>
      </c>
      <c r="P43" s="9">
        <f t="shared" si="3"/>
        <v>0</v>
      </c>
      <c r="Q43" s="9">
        <f t="shared" si="3"/>
        <v>0</v>
      </c>
      <c r="R43" s="9">
        <f t="shared" si="3"/>
        <v>28.9906485132</v>
      </c>
      <c r="S43" s="9">
        <f t="shared" si="3"/>
        <v>0</v>
      </c>
      <c r="T43" s="9">
        <f t="shared" si="3"/>
        <v>0</v>
      </c>
      <c r="U43" s="9">
        <f t="shared" si="3"/>
        <v>28.9906485132</v>
      </c>
    </row>
    <row r="44" spans="1:23" x14ac:dyDescent="0.25">
      <c r="A44" s="34" t="s">
        <v>72</v>
      </c>
      <c r="B44" s="28"/>
      <c r="C44" s="28"/>
      <c r="D44" s="28"/>
      <c r="E44" s="28"/>
      <c r="F44" s="25">
        <f t="shared" ref="F44:U44" si="4">IF($R46=0,0,F43/$R46)</f>
        <v>0</v>
      </c>
      <c r="G44" s="25">
        <f t="shared" si="4"/>
        <v>0</v>
      </c>
      <c r="H44" s="25">
        <f t="shared" si="4"/>
        <v>0</v>
      </c>
      <c r="I44" s="25">
        <f t="shared" si="4"/>
        <v>0</v>
      </c>
      <c r="J44" s="25">
        <f t="shared" si="4"/>
        <v>0</v>
      </c>
      <c r="K44" s="25">
        <f t="shared" si="4"/>
        <v>0</v>
      </c>
      <c r="L44" s="25">
        <f t="shared" si="4"/>
        <v>1</v>
      </c>
      <c r="M44" s="25">
        <f t="shared" si="4"/>
        <v>0</v>
      </c>
      <c r="N44" s="25">
        <f t="shared" si="4"/>
        <v>0</v>
      </c>
      <c r="O44" s="25">
        <f t="shared" si="4"/>
        <v>0</v>
      </c>
      <c r="P44" s="25">
        <f t="shared" si="4"/>
        <v>0</v>
      </c>
      <c r="Q44" s="25">
        <f t="shared" si="4"/>
        <v>0</v>
      </c>
      <c r="R44" s="25">
        <f t="shared" si="4"/>
        <v>1</v>
      </c>
      <c r="S44" s="25">
        <f t="shared" si="4"/>
        <v>0</v>
      </c>
      <c r="T44" s="25">
        <f t="shared" si="4"/>
        <v>0</v>
      </c>
      <c r="U44" s="25">
        <f t="shared" si="4"/>
        <v>1</v>
      </c>
    </row>
    <row r="45" spans="1:23" x14ac:dyDescent="0.25">
      <c r="A45" s="34" t="s">
        <v>73</v>
      </c>
      <c r="B45" s="28"/>
      <c r="C45" s="28"/>
      <c r="D45" s="28"/>
      <c r="E45" s="28"/>
      <c r="F45" s="31" t="str">
        <f>IF(SUM(F43:J43)=0,"— não preenchido",IF(ROUND(SUM(F43:J43)-$R46,3)=0,"OK — "&amp;ROUND(SUM(F43:J43),3)&amp;" km","ERRO — dif. de "&amp;ROUND(SUM(F43:J43)-$R46,3)&amp;" km"))</f>
        <v>— não preenchido</v>
      </c>
      <c r="G45" s="32"/>
      <c r="H45" s="32"/>
      <c r="I45" s="32"/>
      <c r="J45" s="33"/>
      <c r="K45" s="31" t="str">
        <f>IF(SUM(K43:L43)=0,"— não preenchido",IF(ROUND(SUM(K43:L43)-$R46,3)=0,"OK — "&amp;ROUND(SUM(K43:L43),3)&amp;" km","ERRO — dif. de "&amp;ROUND(SUM(K43:L43)-$R46,3)&amp;" km"))</f>
        <v>OK — 28,991 km</v>
      </c>
      <c r="L45" s="33"/>
      <c r="M45" s="31" t="str">
        <f>IF(SUM(M43:O43)=0,"— não preenchido",IF(ROUND(SUM(M43:O43)-$R46,3)=0,"OK — "&amp;ROUND(SUM(M43:O43),3)&amp;" km","ERRO — dif. de "&amp;ROUND(SUM(M43:O43)-$R46,3)&amp;" km"))</f>
        <v>— não preenchido</v>
      </c>
      <c r="N45" s="32"/>
      <c r="O45" s="33"/>
      <c r="P45" s="31" t="str">
        <f>IF(SUM(P43:R43)=0,"— não preenchido",IF(ROUND(SUM(P43:R43)-$R46,3)=0,"OK — "&amp;ROUND(SUM(P43:R43),3)&amp;" km","ERRO — dif. de "&amp;ROUND(SUM(P43:R43)-$R46,3)&amp;" km"))</f>
        <v>OK — 28,991 km</v>
      </c>
      <c r="Q45" s="32"/>
      <c r="R45" s="33"/>
      <c r="S45" s="31" t="str">
        <f>IF(SUM(S43:U43)=0,"— não preenchido",IF(ROUND(SUM(S43:U43)-$R46,3)=0,"OK — "&amp;ROUND(SUM(S43:U43),3)&amp;" km","ERRO — dif. de "&amp;ROUND(SUM(S43:U43)-$R46,3)&amp;" km"))</f>
        <v>OK — 28,991 km</v>
      </c>
      <c r="T45" s="32"/>
      <c r="U45" s="33"/>
    </row>
    <row r="46" spans="1:23" x14ac:dyDescent="0.25">
      <c r="A46" s="34" t="s">
        <v>74</v>
      </c>
      <c r="B46" s="28"/>
      <c r="C46" s="28"/>
      <c r="D46" s="28"/>
      <c r="E46" s="28"/>
      <c r="R46" s="26">
        <f>SUM(E9:E37)</f>
        <v>28.9906485132</v>
      </c>
      <c r="V46" s="8" t="str">
        <f>COUNTIF(W9:W37,"OK")&amp;" de "&amp;COUNT($E$9:$E$37)&amp;" linhas conferidas"</f>
        <v>0 de 29 linhas conferidas</v>
      </c>
    </row>
    <row r="48" spans="1:23" x14ac:dyDescent="0.25">
      <c r="A48" s="45" t="s">
        <v>75</v>
      </c>
      <c r="B48" s="28"/>
      <c r="C48" s="28"/>
      <c r="D48" s="28"/>
      <c r="E48" s="28"/>
    </row>
    <row r="49" spans="1:22" x14ac:dyDescent="0.25">
      <c r="A49" s="34" t="s">
        <v>76</v>
      </c>
      <c r="B49" s="28"/>
      <c r="C49" s="28"/>
      <c r="D49" s="28"/>
      <c r="E49" s="29" t="s">
        <v>77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78</v>
      </c>
      <c r="B50" s="28"/>
      <c r="C50" s="28"/>
      <c r="D50" s="28"/>
      <c r="E50" s="29" t="s">
        <v>79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80</v>
      </c>
      <c r="B51" s="28"/>
      <c r="C51" s="28"/>
      <c r="D51" s="28"/>
      <c r="E51" s="29" t="s">
        <v>81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82</v>
      </c>
      <c r="B52" s="28"/>
      <c r="C52" s="28"/>
      <c r="D52" s="28"/>
      <c r="E52" s="29" t="s">
        <v>83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84</v>
      </c>
      <c r="B53" s="28"/>
      <c r="C53" s="28"/>
      <c r="D53" s="28"/>
      <c r="E53" s="29" t="s">
        <v>85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52</v>
      </c>
      <c r="B54" s="28"/>
      <c r="C54" s="28"/>
      <c r="D54" s="28"/>
      <c r="E54" s="29" t="s">
        <v>86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87</v>
      </c>
      <c r="B55" s="28"/>
      <c r="C55" s="28"/>
      <c r="D55" s="28"/>
      <c r="E55" s="29" t="s">
        <v>88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89</v>
      </c>
      <c r="B56" s="28"/>
      <c r="C56" s="28"/>
      <c r="D56" s="28"/>
      <c r="E56" s="29" t="s">
        <v>90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29" t="s">
        <v>91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formatCells="0"/>
  <mergeCells count="57">
    <mergeCell ref="W6:W7"/>
    <mergeCell ref="A46:E46"/>
    <mergeCell ref="E6:E7"/>
    <mergeCell ref="F45:J45"/>
    <mergeCell ref="S45:U45"/>
    <mergeCell ref="S6:U6"/>
    <mergeCell ref="A39:E39"/>
    <mergeCell ref="G40:K40"/>
    <mergeCell ref="A8:V8"/>
    <mergeCell ref="A45:E45"/>
    <mergeCell ref="K45:L45"/>
    <mergeCell ref="F6:J6"/>
    <mergeCell ref="A6:A7"/>
    <mergeCell ref="M6:O6"/>
    <mergeCell ref="G39:K39"/>
    <mergeCell ref="V6:V7"/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M45:O45"/>
    <mergeCell ref="E49:V49"/>
    <mergeCell ref="P2:Q2"/>
    <mergeCell ref="A49:D49"/>
    <mergeCell ref="A4:V4"/>
    <mergeCell ref="A2:F2"/>
    <mergeCell ref="R2:V2"/>
    <mergeCell ref="A3:S3"/>
    <mergeCell ref="E52:V52"/>
    <mergeCell ref="C6:C7"/>
    <mergeCell ref="A51:D51"/>
    <mergeCell ref="B6:B7"/>
    <mergeCell ref="K2:M2"/>
    <mergeCell ref="N2:O2"/>
    <mergeCell ref="E51:V51"/>
    <mergeCell ref="A48:E48"/>
    <mergeCell ref="G2:H2"/>
    <mergeCell ref="I2:J2"/>
    <mergeCell ref="A52:D52"/>
    <mergeCell ref="A57:D57"/>
    <mergeCell ref="K6:L6"/>
    <mergeCell ref="D6:D7"/>
    <mergeCell ref="A40:E40"/>
    <mergeCell ref="P6:R6"/>
    <mergeCell ref="E55:V55"/>
    <mergeCell ref="A55:D55"/>
    <mergeCell ref="E57:V57"/>
    <mergeCell ref="E54:V54"/>
    <mergeCell ref="E56:V56"/>
    <mergeCell ref="A56:D56"/>
    <mergeCell ref="A53:D53"/>
  </mergeCells>
  <conditionalFormatting sqref="F9:J37">
    <cfRule type="expression" dxfId="8" priority="1">
      <formula>AND(F9&lt;&gt;"",COUNTIF($F9:$J9,"X")&gt;1)</formula>
    </cfRule>
  </conditionalFormatting>
  <conditionalFormatting sqref="F45:U45">
    <cfRule type="expression" dxfId="7" priority="8">
      <formula>LEFT(F45,4)="ERRO"</formula>
    </cfRule>
    <cfRule type="expression" dxfId="6" priority="9">
      <formula>LEFT(F45,2)="OK"</formula>
    </cfRule>
  </conditionalFormatting>
  <conditionalFormatting sqref="K9:L37">
    <cfRule type="expression" dxfId="5" priority="2">
      <formula>AND(K9&lt;&gt;"",COUNTIF($K9:$L9,"X")&gt;1)</formula>
    </cfRule>
  </conditionalFormatting>
  <conditionalFormatting sqref="M9:O37">
    <cfRule type="expression" dxfId="4" priority="3">
      <formula>AND(M9&lt;&gt;"",COUNTIF($M9:$O9,"X")&gt;1)</formula>
    </cfRule>
  </conditionalFormatting>
  <conditionalFormatting sqref="P9:R37">
    <cfRule type="expression" dxfId="3" priority="4">
      <formula>AND(P9&lt;&gt;"",COUNTIF($P9:$R9,"X")&gt;1)</formula>
    </cfRule>
  </conditionalFormatting>
  <conditionalFormatting sqref="S9:U37">
    <cfRule type="expression" dxfId="2" priority="5">
      <formula>AND(S9&lt;&gt;"",COUNTIF($S9:$U9,"X")&gt;1)</formula>
    </cfRule>
  </conditionalFormatting>
  <conditionalFormatting sqref="W9:W37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1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1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1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1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14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1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63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245</v>
      </c>
    </row>
    <row r="2" spans="1:1" x14ac:dyDescent="0.25">
      <c r="A2" t="s">
        <v>246</v>
      </c>
    </row>
    <row r="3" spans="1:1" x14ac:dyDescent="0.25">
      <c r="A3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41</vt:i4>
      </vt:variant>
    </vt:vector>
  </HeadingPairs>
  <TitlesOfParts>
    <vt:vector size="63" baseType="lpstr">
      <vt:lpstr>RESUMO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61</vt:lpstr>
      <vt:lpstr>63</vt:lpstr>
      <vt:lpstr>LISTAS</vt:lpstr>
      <vt:lpstr>'39'!Area_de_impressao</vt:lpstr>
      <vt:lpstr>'40'!Area_de_impressao</vt:lpstr>
      <vt:lpstr>'41'!Area_de_impressao</vt:lpstr>
      <vt:lpstr>'42'!Area_de_impressao</vt:lpstr>
      <vt:lpstr>'43'!Area_de_impressao</vt:lpstr>
      <vt:lpstr>'44'!Area_de_impressao</vt:lpstr>
      <vt:lpstr>'45'!Area_de_impressao</vt:lpstr>
      <vt:lpstr>'46'!Area_de_impressao</vt:lpstr>
      <vt:lpstr>'47'!Area_de_impressao</vt:lpstr>
      <vt:lpstr>'50'!Area_de_impressao</vt:lpstr>
      <vt:lpstr>'51'!Area_de_impressao</vt:lpstr>
      <vt:lpstr>'52'!Area_de_impressao</vt:lpstr>
      <vt:lpstr>'53'!Area_de_impressao</vt:lpstr>
      <vt:lpstr>'54'!Area_de_impressao</vt:lpstr>
      <vt:lpstr>'55'!Area_de_impressao</vt:lpstr>
      <vt:lpstr>'56'!Area_de_impressao</vt:lpstr>
      <vt:lpstr>'57'!Area_de_impressao</vt:lpstr>
      <vt:lpstr>'58'!Area_de_impressao</vt:lpstr>
      <vt:lpstr>'61'!Area_de_impressao</vt:lpstr>
      <vt:lpstr>'63'!Area_de_impressao</vt:lpstr>
      <vt:lpstr>RESUMO!Area_de_impressao</vt:lpstr>
      <vt:lpstr>'39'!Titulos_de_impressao</vt:lpstr>
      <vt:lpstr>'40'!Titulos_de_impressao</vt:lpstr>
      <vt:lpstr>'41'!Titulos_de_impressao</vt:lpstr>
      <vt:lpstr>'42'!Titulos_de_impressao</vt:lpstr>
      <vt:lpstr>'43'!Titulos_de_impressao</vt:lpstr>
      <vt:lpstr>'44'!Titulos_de_impressao</vt:lpstr>
      <vt:lpstr>'45'!Titulos_de_impressao</vt:lpstr>
      <vt:lpstr>'46'!Titulos_de_impressao</vt:lpstr>
      <vt:lpstr>'47'!Titulos_de_impressao</vt:lpstr>
      <vt:lpstr>'50'!Titulos_de_impressao</vt:lpstr>
      <vt:lpstr>'51'!Titulos_de_impressao</vt:lpstr>
      <vt:lpstr>'52'!Titulos_de_impressao</vt:lpstr>
      <vt:lpstr>'53'!Titulos_de_impressao</vt:lpstr>
      <vt:lpstr>'54'!Titulos_de_impressao</vt:lpstr>
      <vt:lpstr>'55'!Titulos_de_impressao</vt:lpstr>
      <vt:lpstr>'56'!Titulos_de_impressao</vt:lpstr>
      <vt:lpstr>'57'!Titulos_de_impressao</vt:lpstr>
      <vt:lpstr>'58'!Titulos_de_impressao</vt:lpstr>
      <vt:lpstr>'61'!Titulos_de_impressao</vt:lpstr>
      <vt:lpstr>'63'!Titulos_de_impressao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2026-08-17T14:12:04Z</dcterms:created>
  <dcterms:modified xsi:type="dcterms:W3CDTF">2026-08-31T12:30:50Z</dcterms:modified>
</cp:coreProperties>
</file>