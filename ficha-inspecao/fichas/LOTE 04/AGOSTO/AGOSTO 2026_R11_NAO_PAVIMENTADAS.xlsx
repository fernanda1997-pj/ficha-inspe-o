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2E8A003E-3332-4A26-81FF-861104CCBFEF}" xr6:coauthVersionLast="47" xr6:coauthVersionMax="47" xr10:uidLastSave="{00000000-0000-0000-0000-000000000000}"/>
  <bookViews>
    <workbookView xWindow="5115" yWindow="2460" windowWidth="15375" windowHeight="7875" firstSheet="4" activeTab="11" xr2:uid="{00000000-000D-0000-FFFF-FFFF00000000}"/>
  </bookViews>
  <sheets>
    <sheet name="RESUMO" sheetId="1" r:id="rId1"/>
    <sheet name="207" sheetId="2" r:id="rId2"/>
    <sheet name="208" sheetId="3" r:id="rId3"/>
    <sheet name="211" sheetId="4" r:id="rId4"/>
    <sheet name="213" sheetId="5" r:id="rId5"/>
    <sheet name="214" sheetId="6" r:id="rId6"/>
    <sheet name="215" sheetId="7" r:id="rId7"/>
    <sheet name="216" sheetId="8" r:id="rId8"/>
    <sheet name="217" sheetId="9" r:id="rId9"/>
    <sheet name="221" sheetId="10" r:id="rId10"/>
    <sheet name="222" sheetId="11" r:id="rId11"/>
    <sheet name="223" sheetId="12" r:id="rId12"/>
    <sheet name="LISTAS" sheetId="13" state="hidden" r:id="rId13"/>
  </sheets>
  <definedNames>
    <definedName name="_xlnm.Print_Area" localSheetId="1">'207'!$A$1:$M$95</definedName>
    <definedName name="_xlnm.Print_Area" localSheetId="2">'208'!$A$1:$M$71</definedName>
    <definedName name="_xlnm.Print_Area" localSheetId="3">'211'!$A$1:$M$71</definedName>
    <definedName name="_xlnm.Print_Area" localSheetId="4">'213'!$A$1:$M$70</definedName>
    <definedName name="_xlnm.Print_Area" localSheetId="5">'214'!$A$1:$M$75</definedName>
    <definedName name="_xlnm.Print_Area" localSheetId="6">'215'!$A$1:$M$66</definedName>
    <definedName name="_xlnm.Print_Area" localSheetId="7">'216'!$A$1:$M$122</definedName>
    <definedName name="_xlnm.Print_Area" localSheetId="8">'217'!$A$1:$M$32</definedName>
    <definedName name="_xlnm.Print_Area" localSheetId="9">'221'!$A$1:$M$107</definedName>
    <definedName name="_xlnm.Print_Area" localSheetId="10">'222'!$A$1:$M$68</definedName>
    <definedName name="_xlnm.Print_Area" localSheetId="11">'223'!$A$1:$M$93</definedName>
    <definedName name="_xlnm.Print_Area" localSheetId="0">RESUMO!$A$1:$K$18</definedName>
    <definedName name="_xlnm.Print_Titles" localSheetId="1">'207'!$6:$7</definedName>
    <definedName name="_xlnm.Print_Titles" localSheetId="2">'208'!$6:$7</definedName>
    <definedName name="_xlnm.Print_Titles" localSheetId="3">'211'!$6:$7</definedName>
    <definedName name="_xlnm.Print_Titles" localSheetId="4">'213'!$6:$7</definedName>
    <definedName name="_xlnm.Print_Titles" localSheetId="5">'214'!$6:$7</definedName>
    <definedName name="_xlnm.Print_Titles" localSheetId="6">'215'!$6:$7</definedName>
    <definedName name="_xlnm.Print_Titles" localSheetId="7">'216'!$6:$7</definedName>
    <definedName name="_xlnm.Print_Titles" localSheetId="8">'217'!$6:$7</definedName>
    <definedName name="_xlnm.Print_Titles" localSheetId="9">'221'!$6:$7</definedName>
    <definedName name="_xlnm.Print_Titles" localSheetId="10">'222'!$6:$7</definedName>
    <definedName name="_xlnm.Print_Titles" localSheetId="11">'223'!$6:$7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8" i="12" l="1"/>
  <c r="J16" i="1" s="1"/>
  <c r="J78" i="12"/>
  <c r="I78" i="12"/>
  <c r="S2" i="12" s="1"/>
  <c r="H78" i="12"/>
  <c r="F16" i="1" s="1"/>
  <c r="F78" i="12"/>
  <c r="N72" i="12"/>
  <c r="E72" i="12"/>
  <c r="N71" i="12"/>
  <c r="E71" i="12"/>
  <c r="N70" i="12"/>
  <c r="E70" i="12"/>
  <c r="N69" i="12"/>
  <c r="E69" i="12"/>
  <c r="N68" i="12"/>
  <c r="E68" i="12"/>
  <c r="N67" i="12"/>
  <c r="E67" i="12"/>
  <c r="N66" i="12"/>
  <c r="E66" i="12"/>
  <c r="N65" i="12"/>
  <c r="E65" i="12"/>
  <c r="N64" i="12"/>
  <c r="E64" i="12"/>
  <c r="N63" i="12"/>
  <c r="E63" i="12"/>
  <c r="N62" i="12"/>
  <c r="E62" i="12"/>
  <c r="N61" i="12"/>
  <c r="E61" i="12"/>
  <c r="N60" i="12"/>
  <c r="E60" i="12"/>
  <c r="N59" i="12"/>
  <c r="E59" i="12"/>
  <c r="N58" i="12"/>
  <c r="E58" i="12"/>
  <c r="N57" i="12"/>
  <c r="E57" i="12"/>
  <c r="N56" i="12"/>
  <c r="E56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V2" i="12"/>
  <c r="T2" i="12"/>
  <c r="R2" i="12"/>
  <c r="P2" i="12"/>
  <c r="L53" i="11"/>
  <c r="V2" i="11" s="1"/>
  <c r="K53" i="11"/>
  <c r="I53" i="11"/>
  <c r="F53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U2" i="11"/>
  <c r="I92" i="10"/>
  <c r="H92" i="10"/>
  <c r="N86" i="10"/>
  <c r="E86" i="10"/>
  <c r="N85" i="10"/>
  <c r="E85" i="10"/>
  <c r="N84" i="10"/>
  <c r="E84" i="10"/>
  <c r="N83" i="10"/>
  <c r="E83" i="10"/>
  <c r="N82" i="10"/>
  <c r="E82" i="10"/>
  <c r="N81" i="10"/>
  <c r="E81" i="10"/>
  <c r="N80" i="10"/>
  <c r="E80" i="10"/>
  <c r="N79" i="10"/>
  <c r="E79" i="10"/>
  <c r="N78" i="10"/>
  <c r="E78" i="10"/>
  <c r="N77" i="10"/>
  <c r="E77" i="10"/>
  <c r="N76" i="10"/>
  <c r="E76" i="10"/>
  <c r="N75" i="10"/>
  <c r="E75" i="10"/>
  <c r="N74" i="10"/>
  <c r="E74" i="10"/>
  <c r="N73" i="10"/>
  <c r="E73" i="10"/>
  <c r="N72" i="10"/>
  <c r="E72" i="10"/>
  <c r="N71" i="10"/>
  <c r="E71" i="10"/>
  <c r="N70" i="10"/>
  <c r="E70" i="10"/>
  <c r="N69" i="10"/>
  <c r="E69" i="10"/>
  <c r="N68" i="10"/>
  <c r="E68" i="10"/>
  <c r="N67" i="10"/>
  <c r="E67" i="10"/>
  <c r="N66" i="10"/>
  <c r="E66" i="10"/>
  <c r="N65" i="10"/>
  <c r="E65" i="10"/>
  <c r="N64" i="10"/>
  <c r="E64" i="10"/>
  <c r="N63" i="10"/>
  <c r="E63" i="10"/>
  <c r="N62" i="10"/>
  <c r="E62" i="10"/>
  <c r="N61" i="10"/>
  <c r="E61" i="10"/>
  <c r="N60" i="10"/>
  <c r="E60" i="10"/>
  <c r="N59" i="10"/>
  <c r="E59" i="10"/>
  <c r="N58" i="10"/>
  <c r="E58" i="10"/>
  <c r="N57" i="10"/>
  <c r="E57" i="10"/>
  <c r="N56" i="10"/>
  <c r="E56" i="10"/>
  <c r="N55" i="10"/>
  <c r="E55" i="10"/>
  <c r="N54" i="10"/>
  <c r="E54" i="10"/>
  <c r="L92" i="10" s="1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4" i="10"/>
  <c r="E44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G92" i="10" s="1"/>
  <c r="Q2" i="10" s="1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K92" i="10" s="1"/>
  <c r="U2" i="10" s="1"/>
  <c r="N9" i="10"/>
  <c r="E9" i="10"/>
  <c r="R2" i="10"/>
  <c r="K17" i="9"/>
  <c r="J17" i="9"/>
  <c r="T2" i="9" s="1"/>
  <c r="I17" i="9"/>
  <c r="S2" i="9" s="1"/>
  <c r="H17" i="9"/>
  <c r="R2" i="9" s="1"/>
  <c r="F17" i="9"/>
  <c r="N11" i="9"/>
  <c r="E11" i="9"/>
  <c r="N10" i="9"/>
  <c r="E10" i="9"/>
  <c r="N9" i="9"/>
  <c r="E9" i="9"/>
  <c r="U2" i="9"/>
  <c r="K107" i="8"/>
  <c r="I12" i="1" s="1"/>
  <c r="I107" i="8"/>
  <c r="S2" i="8" s="1"/>
  <c r="G107" i="8"/>
  <c r="Q2" i="8" s="1"/>
  <c r="F107" i="8"/>
  <c r="N101" i="8"/>
  <c r="E101" i="8"/>
  <c r="N100" i="8"/>
  <c r="E100" i="8"/>
  <c r="N99" i="8"/>
  <c r="E99" i="8"/>
  <c r="N98" i="8"/>
  <c r="E98" i="8"/>
  <c r="N97" i="8"/>
  <c r="E97" i="8"/>
  <c r="N96" i="8"/>
  <c r="E96" i="8"/>
  <c r="N95" i="8"/>
  <c r="E95" i="8"/>
  <c r="N94" i="8"/>
  <c r="E94" i="8"/>
  <c r="N93" i="8"/>
  <c r="E93" i="8"/>
  <c r="N92" i="8"/>
  <c r="E92" i="8"/>
  <c r="N91" i="8"/>
  <c r="E91" i="8"/>
  <c r="N90" i="8"/>
  <c r="E90" i="8"/>
  <c r="N89" i="8"/>
  <c r="E89" i="8"/>
  <c r="N88" i="8"/>
  <c r="E88" i="8"/>
  <c r="N87" i="8"/>
  <c r="E87" i="8"/>
  <c r="N86" i="8"/>
  <c r="E86" i="8"/>
  <c r="N85" i="8"/>
  <c r="E85" i="8"/>
  <c r="N84" i="8"/>
  <c r="E84" i="8"/>
  <c r="N83" i="8"/>
  <c r="E83" i="8"/>
  <c r="N82" i="8"/>
  <c r="E82" i="8"/>
  <c r="N81" i="8"/>
  <c r="E81" i="8"/>
  <c r="N80" i="8"/>
  <c r="E80" i="8"/>
  <c r="N79" i="8"/>
  <c r="E79" i="8"/>
  <c r="N78" i="8"/>
  <c r="E78" i="8"/>
  <c r="N77" i="8"/>
  <c r="E77" i="8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50" i="8"/>
  <c r="E50" i="8"/>
  <c r="N48" i="8"/>
  <c r="E48" i="8"/>
  <c r="N47" i="8"/>
  <c r="E47" i="8"/>
  <c r="N46" i="8"/>
  <c r="E46" i="8"/>
  <c r="N45" i="8"/>
  <c r="E45" i="8"/>
  <c r="L107" i="8" s="1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0" i="8"/>
  <c r="E10" i="8"/>
  <c r="H107" i="8" s="1"/>
  <c r="F12" i="1" s="1"/>
  <c r="N9" i="8"/>
  <c r="E9" i="8"/>
  <c r="U2" i="8"/>
  <c r="P2" i="8"/>
  <c r="J51" i="7"/>
  <c r="I51" i="7"/>
  <c r="F51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T2" i="7"/>
  <c r="L60" i="6"/>
  <c r="K60" i="6"/>
  <c r="I60" i="6"/>
  <c r="S2" i="6" s="1"/>
  <c r="H60" i="6"/>
  <c r="F10" i="1" s="1"/>
  <c r="F60" i="6"/>
  <c r="N54" i="6"/>
  <c r="E54" i="6"/>
  <c r="N53" i="6"/>
  <c r="E53" i="6"/>
  <c r="N52" i="6"/>
  <c r="E52" i="6"/>
  <c r="N51" i="6"/>
  <c r="E51" i="6"/>
  <c r="N50" i="6"/>
  <c r="E50" i="6"/>
  <c r="N49" i="6"/>
  <c r="E49" i="6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G60" i="6" s="1"/>
  <c r="Q2" i="6" s="1"/>
  <c r="N9" i="6"/>
  <c r="E9" i="6"/>
  <c r="V2" i="6"/>
  <c r="U2" i="6"/>
  <c r="R2" i="6"/>
  <c r="P2" i="6"/>
  <c r="L55" i="5"/>
  <c r="V2" i="5" s="1"/>
  <c r="J55" i="5"/>
  <c r="G55" i="5"/>
  <c r="F55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5" i="5"/>
  <c r="E35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Q2" i="5"/>
  <c r="L56" i="4"/>
  <c r="J8" i="1" s="1"/>
  <c r="J56" i="4"/>
  <c r="I56" i="4"/>
  <c r="G56" i="4"/>
  <c r="E8" i="1" s="1"/>
  <c r="F56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H56" i="4" s="1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T2" i="4"/>
  <c r="Q2" i="4"/>
  <c r="P2" i="4"/>
  <c r="K56" i="3"/>
  <c r="J56" i="3"/>
  <c r="I56" i="3"/>
  <c r="G7" i="1" s="1"/>
  <c r="H56" i="3"/>
  <c r="G56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U2" i="3"/>
  <c r="S2" i="3"/>
  <c r="R2" i="3"/>
  <c r="Q2" i="3"/>
  <c r="L80" i="2"/>
  <c r="J6" i="1" s="1"/>
  <c r="I80" i="2"/>
  <c r="F80" i="2"/>
  <c r="N74" i="2"/>
  <c r="E74" i="2"/>
  <c r="N73" i="2"/>
  <c r="E73" i="2"/>
  <c r="N72" i="2"/>
  <c r="E72" i="2"/>
  <c r="N71" i="2"/>
  <c r="E71" i="2"/>
  <c r="N70" i="2"/>
  <c r="E70" i="2"/>
  <c r="N69" i="2"/>
  <c r="E69" i="2"/>
  <c r="N68" i="2"/>
  <c r="E68" i="2"/>
  <c r="N67" i="2"/>
  <c r="E67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K80" i="2" s="1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V2" i="2"/>
  <c r="S2" i="2"/>
  <c r="H16" i="1"/>
  <c r="D16" i="1"/>
  <c r="J15" i="1"/>
  <c r="I15" i="1"/>
  <c r="F14" i="1"/>
  <c r="I13" i="1"/>
  <c r="H13" i="1"/>
  <c r="D13" i="1"/>
  <c r="D12" i="1"/>
  <c r="H11" i="1"/>
  <c r="J10" i="1"/>
  <c r="I10" i="1"/>
  <c r="E10" i="1"/>
  <c r="D10" i="1"/>
  <c r="E9" i="1"/>
  <c r="D9" i="1"/>
  <c r="H8" i="1"/>
  <c r="D8" i="1"/>
  <c r="I7" i="1"/>
  <c r="F7" i="1"/>
  <c r="E7" i="1"/>
  <c r="G6" i="1"/>
  <c r="E12" i="1" l="1"/>
  <c r="R2" i="8"/>
  <c r="E14" i="1"/>
  <c r="M58" i="5"/>
  <c r="J9" i="1"/>
  <c r="G10" i="1"/>
  <c r="G13" i="1"/>
  <c r="H80" i="2"/>
  <c r="V2" i="4"/>
  <c r="I58" i="5"/>
  <c r="L56" i="5" s="1"/>
  <c r="H55" i="5"/>
  <c r="R2" i="5" s="1"/>
  <c r="M54" i="7"/>
  <c r="M56" i="11"/>
  <c r="G12" i="1"/>
  <c r="F13" i="1"/>
  <c r="I14" i="1"/>
  <c r="I59" i="4"/>
  <c r="K56" i="4"/>
  <c r="I63" i="6"/>
  <c r="F61" i="6" s="1"/>
  <c r="I54" i="7"/>
  <c r="F52" i="7" s="1"/>
  <c r="L51" i="7"/>
  <c r="M110" i="8"/>
  <c r="I20" i="9"/>
  <c r="M95" i="10"/>
  <c r="I56" i="11"/>
  <c r="U2" i="2"/>
  <c r="I6" i="1"/>
  <c r="T2" i="3"/>
  <c r="H7" i="1"/>
  <c r="J80" i="2"/>
  <c r="I83" i="2"/>
  <c r="G80" i="2"/>
  <c r="F82" i="2" s="1"/>
  <c r="D6" i="1"/>
  <c r="P2" i="2"/>
  <c r="F8" i="1"/>
  <c r="F58" i="4"/>
  <c r="R2" i="4"/>
  <c r="S2" i="4"/>
  <c r="G8" i="1"/>
  <c r="H18" i="9"/>
  <c r="J18" i="9"/>
  <c r="P2" i="9"/>
  <c r="S2" i="10"/>
  <c r="G14" i="1"/>
  <c r="I59" i="3"/>
  <c r="L56" i="3"/>
  <c r="F56" i="3"/>
  <c r="J12" i="1"/>
  <c r="V2" i="8"/>
  <c r="I54" i="11"/>
  <c r="L54" i="11"/>
  <c r="C15" i="1"/>
  <c r="K54" i="11"/>
  <c r="F54" i="11"/>
  <c r="T2" i="5"/>
  <c r="H9" i="1"/>
  <c r="G16" i="1"/>
  <c r="M83" i="2"/>
  <c r="G56" i="5"/>
  <c r="C9" i="1"/>
  <c r="J56" i="5"/>
  <c r="L52" i="7"/>
  <c r="J14" i="1"/>
  <c r="V2" i="10"/>
  <c r="H51" i="7"/>
  <c r="K51" i="7"/>
  <c r="F9" i="1"/>
  <c r="M59" i="4"/>
  <c r="J58" i="4"/>
  <c r="M63" i="6"/>
  <c r="S2" i="7"/>
  <c r="G11" i="1"/>
  <c r="L17" i="9"/>
  <c r="S2" i="11"/>
  <c r="G15" i="1"/>
  <c r="K78" i="12"/>
  <c r="M59" i="3"/>
  <c r="K57" i="4"/>
  <c r="G57" i="4"/>
  <c r="H57" i="4"/>
  <c r="L61" i="6"/>
  <c r="H61" i="6"/>
  <c r="F62" i="6"/>
  <c r="C10" i="1"/>
  <c r="K10" i="1" s="1"/>
  <c r="D11" i="1"/>
  <c r="D15" i="1"/>
  <c r="J57" i="4"/>
  <c r="P2" i="5"/>
  <c r="K55" i="5"/>
  <c r="I55" i="5"/>
  <c r="I56" i="5" s="1"/>
  <c r="I61" i="6"/>
  <c r="P2" i="7"/>
  <c r="G51" i="7"/>
  <c r="I110" i="8"/>
  <c r="M20" i="9"/>
  <c r="I95" i="10"/>
  <c r="J92" i="10"/>
  <c r="P2" i="11"/>
  <c r="G53" i="11"/>
  <c r="G54" i="11" s="1"/>
  <c r="H53" i="11"/>
  <c r="J53" i="11"/>
  <c r="M81" i="12"/>
  <c r="J60" i="6"/>
  <c r="J107" i="8"/>
  <c r="G17" i="9"/>
  <c r="F92" i="10"/>
  <c r="I81" i="12"/>
  <c r="G78" i="12"/>
  <c r="R2" i="2" l="1"/>
  <c r="F6" i="1"/>
  <c r="K52" i="7"/>
  <c r="J52" i="7"/>
  <c r="I52" i="7"/>
  <c r="C13" i="1"/>
  <c r="K18" i="9"/>
  <c r="G61" i="6"/>
  <c r="F57" i="5"/>
  <c r="C11" i="1"/>
  <c r="H56" i="5"/>
  <c r="L18" i="9"/>
  <c r="U2" i="4"/>
  <c r="I8" i="1"/>
  <c r="G52" i="7"/>
  <c r="K61" i="6"/>
  <c r="H52" i="7"/>
  <c r="F56" i="5"/>
  <c r="F18" i="9"/>
  <c r="I18" i="9"/>
  <c r="V2" i="7"/>
  <c r="J11" i="1"/>
  <c r="I57" i="4"/>
  <c r="C8" i="1"/>
  <c r="K8" i="1" s="1"/>
  <c r="F57" i="4"/>
  <c r="L57" i="4"/>
  <c r="E13" i="1"/>
  <c r="K13" i="1" s="1"/>
  <c r="Q2" i="9"/>
  <c r="T2" i="11"/>
  <c r="J55" i="11"/>
  <c r="H15" i="1"/>
  <c r="I9" i="1"/>
  <c r="U2" i="5"/>
  <c r="V2" i="3"/>
  <c r="J7" i="1"/>
  <c r="J17" i="1" s="1"/>
  <c r="S2" i="1" s="1"/>
  <c r="E16" i="1"/>
  <c r="Q2" i="12"/>
  <c r="F80" i="12"/>
  <c r="R2" i="11"/>
  <c r="F15" i="1"/>
  <c r="V2" i="9"/>
  <c r="J13" i="1"/>
  <c r="J19" i="9"/>
  <c r="K56" i="5"/>
  <c r="L57" i="3"/>
  <c r="H57" i="3"/>
  <c r="C7" i="1"/>
  <c r="K57" i="3"/>
  <c r="F57" i="3"/>
  <c r="J57" i="3"/>
  <c r="I57" i="3"/>
  <c r="G57" i="3"/>
  <c r="L79" i="12"/>
  <c r="H79" i="12"/>
  <c r="K79" i="12"/>
  <c r="G79" i="12"/>
  <c r="F79" i="12"/>
  <c r="J79" i="12"/>
  <c r="C16" i="1"/>
  <c r="I79" i="12"/>
  <c r="T2" i="6"/>
  <c r="H10" i="1"/>
  <c r="J62" i="6"/>
  <c r="J61" i="6"/>
  <c r="E15" i="1"/>
  <c r="K15" i="1" s="1"/>
  <c r="Q2" i="11"/>
  <c r="F55" i="11"/>
  <c r="J80" i="12"/>
  <c r="I16" i="1"/>
  <c r="U2" i="12"/>
  <c r="H54" i="11"/>
  <c r="Q2" i="2"/>
  <c r="E6" i="1"/>
  <c r="T2" i="10"/>
  <c r="H14" i="1"/>
  <c r="J94" i="10"/>
  <c r="Q2" i="7"/>
  <c r="E11" i="1"/>
  <c r="I11" i="1"/>
  <c r="U2" i="7"/>
  <c r="J53" i="7"/>
  <c r="J57" i="5"/>
  <c r="H6" i="1"/>
  <c r="T2" i="2"/>
  <c r="J82" i="2"/>
  <c r="J58" i="3"/>
  <c r="T2" i="8"/>
  <c r="J109" i="8"/>
  <c r="H12" i="1"/>
  <c r="L93" i="10"/>
  <c r="H93" i="10"/>
  <c r="K93" i="10"/>
  <c r="G93" i="10"/>
  <c r="I93" i="10"/>
  <c r="F93" i="10"/>
  <c r="J93" i="10"/>
  <c r="C14" i="1"/>
  <c r="R2" i="7"/>
  <c r="F11" i="1"/>
  <c r="F17" i="1" s="1"/>
  <c r="O2" i="1" s="1"/>
  <c r="J54" i="11"/>
  <c r="G18" i="9"/>
  <c r="P2" i="10"/>
  <c r="D14" i="1"/>
  <c r="K14" i="1" s="1"/>
  <c r="F94" i="10"/>
  <c r="L108" i="8"/>
  <c r="H108" i="8"/>
  <c r="K108" i="8"/>
  <c r="G108" i="8"/>
  <c r="J108" i="8"/>
  <c r="I108" i="8"/>
  <c r="F108" i="8"/>
  <c r="C12" i="1"/>
  <c r="K12" i="1" s="1"/>
  <c r="F109" i="8"/>
  <c r="S2" i="5"/>
  <c r="G9" i="1"/>
  <c r="G17" i="1" s="1"/>
  <c r="P2" i="1" s="1"/>
  <c r="F53" i="7"/>
  <c r="P2" i="3"/>
  <c r="D7" i="1"/>
  <c r="K7" i="1" s="1"/>
  <c r="F58" i="3"/>
  <c r="F19" i="9"/>
  <c r="I81" i="2"/>
  <c r="L81" i="2"/>
  <c r="G81" i="2"/>
  <c r="C6" i="1"/>
  <c r="K81" i="2"/>
  <c r="F81" i="2"/>
  <c r="J81" i="2"/>
  <c r="H81" i="2"/>
  <c r="H17" i="1" l="1"/>
  <c r="Q2" i="1" s="1"/>
  <c r="K11" i="1"/>
  <c r="E17" i="1"/>
  <c r="N2" i="1" s="1"/>
  <c r="K16" i="1"/>
  <c r="I17" i="1"/>
  <c r="R2" i="1" s="1"/>
  <c r="K6" i="1"/>
  <c r="C17" i="1"/>
  <c r="D17" i="1"/>
  <c r="K9" i="1"/>
  <c r="M2" i="1" l="1"/>
  <c r="D18" i="1"/>
</calcChain>
</file>

<file path=xl/sharedStrings.xml><?xml version="1.0" encoding="utf-8"?>
<sst xmlns="http://schemas.openxmlformats.org/spreadsheetml/2006/main" count="2855" uniqueCount="126">
  <si>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</si>
  <si>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</si>
  <si>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</si>
  <si>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</si>
  <si>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</si>
  <si>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</si>
  <si>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</si>
  <si>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</si>
  <si>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</si>
  <si>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</si>
  <si>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</si>
  <si>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</si>
  <si>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</si>
  <si>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</si>
  <si>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</si>
  <si>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</si>
  <si>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TO-181 - TRECHO ENTR. TO-255 - ENTR. TO-481 (CAPAO DO COCO)</t>
  </si>
  <si>
    <t>RODOVIA TO-181 - TRECHO ENTR. TO-481 (CAPAO DO COCO) - FAZENDA COBRAPE</t>
  </si>
  <si>
    <t>RODOVIA TO-181 - TRECHO FUNDAÇÃO BRADESCO - ENTR. TO-070</t>
  </si>
  <si>
    <t>RODOVIA TO-181 - TRECHO ARAGUAÇU - DIVISA TO-GO</t>
  </si>
  <si>
    <t>RODOVIA TO-362 - TRECHO SANTA RITA DO TOCANTINS - BREJINHO DE NAZARÉ</t>
  </si>
  <si>
    <t>RODOVIA TO-362 - TRECHO BREJINHO DE NAZARÉ - ENTR. TO-365 (ACESSO BALSA)</t>
  </si>
  <si>
    <t>RODOVIA TO-365 - TRECHO RIO TOCANTINS (BALSA) - TREVO DA PRAIA - ENTR. BR-153</t>
  </si>
  <si>
    <t>RODOVIA TO-373 - TRECHO ENTR. TO-365 - RIO TOCANTINS (BALSA)</t>
  </si>
  <si>
    <t>RODOVIA TO-481 - TRECHO DUERÉ - ENTR. TO-181 (CAPAO DO COCO)</t>
  </si>
  <si>
    <t>RODOVIA TO-483 - TRECHO SUCUPIRA - FIGUEIRÓPOLIS</t>
  </si>
  <si>
    <t>RODOVIA TO-484 - TRECHO FIGUEIRÓPOLIS - KM 64 (RIO FORMOSO)</t>
  </si>
  <si>
    <t>TOTAL PERCORRIDO NO MÊS</t>
  </si>
  <si>
    <t>% DA EXTENSÃO DA MALHA (541.98 km)</t>
  </si>
  <si>
    <t>(soma do grupo 'CONDIÇÃO DA PLATAFORMA' dividida pela malha)</t>
  </si>
  <si>
    <t>PROGRAMA DE MANUTENÇÃO RODOVIÁRIA — FICHA DE INSPEÇÃO — RODOVIAS NÃO PAVIMENTADAS</t>
  </si>
  <si>
    <t>REGIÃO:  11 — GURUPI</t>
  </si>
  <si>
    <t>MÊS / ANO:</t>
  </si>
  <si>
    <t>DATA:</t>
  </si>
  <si>
    <t>TÉCNICO:</t>
  </si>
  <si>
    <t>TRECHO 207 — RODOVIA TO-181 - TRECHO ENTR. TO-255 - ENTR. TO-481 (CAPAO DO COCO)</t>
  </si>
  <si>
    <t>EXTENSÃO: 65,902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</si>
  <si>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</si>
  <si>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</si>
  <si>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</si>
  <si>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</si>
  <si>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</si>
  <si>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</si>
  <si>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</si>
  <si>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</si>
  <si>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181ETO0070   |   ENTR. TO-255 - ENTR. TO-481 (CAPAO DO COCO)   |   LEN · Estadual · 65.902 km  ·  início: -11.186191, -49.873813</t>
  </si>
  <si>
    <t>181ETO0070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</si>
  <si>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</si>
  <si>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</si>
  <si>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</si>
  <si>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</si>
  <si>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</si>
  <si>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</si>
  <si>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</si>
  <si>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</si>
  <si>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</si>
  <si>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</si>
  <si>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</si>
  <si>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</si>
  <si>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</si>
  <si>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</si>
  <si>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</si>
  <si>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</si>
  <si>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</si>
  <si>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</si>
  <si>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</si>
  <si>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</si>
  <si>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</si>
  <si>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</si>
  <si>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</si>
  <si>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</si>
  <si>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</si>
  <si>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</si>
  <si>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208 — RODOVIA TO-181 - TRECHO ENTR. TO-481 (CAPAO DO COCO) - FAZENDA COBRAPE</t>
  </si>
  <si>
    <t>EXTENSÃO: 41,633 km  ·  1 S.R.E.</t>
  </si>
  <si>
    <t>S.R.E. 181ETO0090   |   ENTR. TO-481 (CAPAO DO COCO) - INICIO PAVIMENTAÇÃO (FAZ. COBRAPE)   |   LEN · Estadual · 41.633 km  ·  início: -11.186191, -49.873813</t>
  </si>
  <si>
    <t>181ETO0090</t>
  </si>
  <si>
    <t>TRECHO 211 — RODOVIA TO-181 - TRECHO FUNDAÇÃO BRADESCO - ENTR. TO-070</t>
  </si>
  <si>
    <t>EXTENSÃO: 41,819 km  ·  1 S.R.E.</t>
  </si>
  <si>
    <t>S.R.E. 181ETO0150   |   FIM PAVIMENTAÇÃO - ENTR. TO-070   |   LEN · Estadual · 41.819 km  ·  início: -11.979505, -49.896445</t>
  </si>
  <si>
    <t>181ETO0150</t>
  </si>
  <si>
    <t>TRECHO 213 — RODOVIA TO-181 - TRECHO ARAGUAÇU - DIVISA TO-GO</t>
  </si>
  <si>
    <t>EXTENSÃO: 40,379 km  ·  1 S.R.E.</t>
  </si>
  <si>
    <t>S.R.E. 181ETO0230   |   ARAGUAÇU *TRECHO URBANO* - DIV TO-GO   |   LEN · Estadual · 40.379 km  ·  início: -12.946693, -49.8179</t>
  </si>
  <si>
    <t>181ETO0230</t>
  </si>
  <si>
    <t>TRECHO 214 — RODOVIA TO-362 - TRECHO SANTA RITA DO TOCANTINS - BREJINHO DE NAZARÉ</t>
  </si>
  <si>
    <t>EXTENSÃO: 45,215 km  ·  1 S.R.E.</t>
  </si>
  <si>
    <t>S.R.E. 362ETO0100   |   ENTR. BR-153 (STA RITA DO TO) - ENTR. TO-070 (BREJINHO DE NAZARÉ)   |   LEN · Estadual · 45.215 km  ·  início: -10.864649, -48.905564</t>
  </si>
  <si>
    <t>362ETO0100</t>
  </si>
  <si>
    <t>TRECHO 215 — RODOVIA TO-362 - TRECHO BREJINHO DE NAZARÉ - ENTR. TO-365 (ACESSO BALSA)</t>
  </si>
  <si>
    <t>EXTENSÃO: 36,281 km  ·  1 S.R.E.</t>
  </si>
  <si>
    <t>S.R.E. 362ETO0120   |   BREJINHO DE NAZARÉ *TRECHO URBANO* - ENTR. TO-365   |   LEN · Estadual · 36.281 km  ·  início: -11.265538, -48.471305</t>
  </si>
  <si>
    <t>362ETO0120</t>
  </si>
  <si>
    <t>TRECHO 216 — RODOVIA TO-365 - TRECHO RIO TOCANTINS (BALSA) - TREVO DA PRAIA - ENTR. BR-153</t>
  </si>
  <si>
    <t>EXTENSÃO: 89,380 km  ·  4 S.R.E.</t>
  </si>
  <si>
    <t>S.R.E. 365ETO0220   |   RIO TOCANTINS (BALSA) - ENTR. TO-362   |   LEN · Estadual · 1.978 km  ·  início: -11.250884, -48.464147</t>
  </si>
  <si>
    <t>365ETO0220</t>
  </si>
  <si>
    <t>S.R.E. 365ETO0230   |   ENTR. TO-362 - ENTR. TO-373   |   LEN · Estadual · 31.591 km  ·  início: -11.265538, -48.471305</t>
  </si>
  <si>
    <t>365ETO0230</t>
  </si>
  <si>
    <t>S.R.E. 365ETO0240   |   ENTR. TO-373 - TREVO DA PRAIA   |   EOP · Estadual · 3.896 km  ·  início: -11.419316, -48.614256</t>
  </si>
  <si>
    <t>365ETO0240</t>
  </si>
  <si>
    <t>S.R.E. 365ETO0250   |   TREVO DA PRAIA - ENTR. BR-153   |   EOP · Estadual · 51.915 km  ·  início: -11.439639, -48.640822</t>
  </si>
  <si>
    <t>365ETO0250</t>
  </si>
  <si>
    <t>TRECHO 217 — RODOVIA TO-373 - TRECHO ENTR. TO-365 - RIO TOCANTINS (BALSA)</t>
  </si>
  <si>
    <t>EXTENSÃO: 2,378 km  ·  1 S.R.E.</t>
  </si>
  <si>
    <t>S.R.E. 373ETO0100   |   ENTR. TO-365 - RIO TOCANTINS (BALSA)   |   LEN · Estadual · 2.378 km  ·  início: -11.419316, -48.614256</t>
  </si>
  <si>
    <t>373ETO0100</t>
  </si>
  <si>
    <t>TRECHO 221 — RODOVIA TO-481 - TRECHO DUERÉ - ENTR. TO-181 (CAPAO DO COCO)</t>
  </si>
  <si>
    <t>EXTENSÃO: 77,105 km  ·  1 S.R.E.</t>
  </si>
  <si>
    <t>S.R.E. 481ETO0020   |   DUERÉ *TRECHO URBANO* - ENTR. TO-181 (CAPAO DO COCO)   |   LEN · Estadual · 77.105 km  ·  início: -11.186613, -49.873841</t>
  </si>
  <si>
    <t>481ETO0020</t>
  </si>
  <si>
    <t>TRECHO 222 — RODOVIA TO-483 - TRECHO SUCUPIRA - FIGUEIRÓPOLIS</t>
  </si>
  <si>
    <t>EXTENSÃO: 38,013 km  ·  1 S.R.E.</t>
  </si>
  <si>
    <t>S.R.E. 483ETO0020   |   FIM PAVIMENTAÇÃO - FIGUEIRÓPOLIS *TRECHO URBANO*   |   LEN · Estadual · 38.013 km  ·  início: -12.021766, -48.92596</t>
  </si>
  <si>
    <t>483ETO0020</t>
  </si>
  <si>
    <t>TRECHO 223 — RODOVIA TO-484 - TRECHO FIGUEIRÓPOLIS - KM 64 (RIO FORMOSO)</t>
  </si>
  <si>
    <t>EXTENSÃO: 63,875 km  ·  1 S.R.E.</t>
  </si>
  <si>
    <t>S.R.E. 484ETO0010   |   FIGUEIROPOLIS - *FIM TRECHO*- KM 64(RIO FORMOSO)   |   LEN · Estadual · 63.875 km  ·  início: -12.266032, -49.638529</t>
  </si>
  <si>
    <t>484ETO0010</t>
  </si>
  <si>
    <t>TÉCNICOS</t>
  </si>
  <si>
    <t>ENG. VINÍCIUS RODRIGUES FERREIRA DE OLIVEIRA</t>
  </si>
  <si>
    <t>LABORATORISTA CLAUDIOMIRO VIEIRA LOPES</t>
  </si>
  <si>
    <t>ENG. THIAGO BORGES TORQUATO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</si>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</sst>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right" vertic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right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BC-43F0-BC2F-E2B569DC333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BC-43F0-BC2F-E2B569DC333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BC-43F0-BC2F-E2B569DC333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BC-43F0-BC2F-E2B569DC33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112.73775135619999</c:v>
                </c:pt>
                <c:pt idx="1">
                  <c:v>178.25249831485002</c:v>
                </c:pt>
                <c:pt idx="2">
                  <c:v>237.98814916351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BC-43F0-BC2F-E2B569DC33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B1-46FB-9D4C-0CDEC597CFB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B1-46FB-9D4C-0CDEC597CFB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B1-46FB-9D4C-0CDEC597CFB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238.60705740161001</c:v>
                </c:pt>
                <c:pt idx="1">
                  <c:v>222.97457022960003</c:v>
                </c:pt>
                <c:pt idx="2">
                  <c:v>80.396771203349999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B1-46FB-9D4C-0CDEC597CF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4B-449F-958A-D6B16A3CA8E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4B-449F-958A-D6B16A3CA8E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4B-449F-958A-D6B16A3CA8E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4B-449F-958A-D6B16A3CA8E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'207'!$P$2:$S$2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30</c:v>
                </c:pt>
                <c:pt idx="2">
                  <c:v>35.901646228800004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4B-449F-958A-D6B16A3CA8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DA-4BB9-A540-6D224C3E26F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DA-4BB9-A540-6D224C3E26F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DA-4BB9-A540-6D224C3E26F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'207'!$T$2:$V$2</c:f>
              <c:numCache>
                <c:formatCode>#,##0.00</c:formatCode>
                <c:ptCount val="3"/>
                <c:pt idx="0">
                  <c:v>30</c:v>
                </c:pt>
                <c:pt idx="1">
                  <c:v>35.901646228800004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DA-4BB9-A540-6D224C3E26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A8-44DA-B476-40084ACD8D9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A8-44DA-B476-40084ACD8D9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A8-44DA-B476-40084ACD8D9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A8-44DA-B476-40084ACD8D9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'208'!$P$2:$S$2</c:f>
              <c:numCache>
                <c:formatCode>#,##0.00</c:formatCode>
                <c:ptCount val="4"/>
                <c:pt idx="0">
                  <c:v>41.632983258199999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A8-44DA-B476-40084ACD8D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A9-4FBE-9048-8A71564DCB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A9-4FBE-9048-8A71564DCB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A9-4FBE-9048-8A71564DCB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'208'!$T$2:$V$2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41.632983258199999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9-4FBE-9048-8A71564DC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2A-4CA6-9E19-5B9928521A7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2A-4CA6-9E19-5B9928521A7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2A-4CA6-9E19-5B9928521A7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2A-4CA6-9E19-5B9928521A7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30</c:v>
                </c:pt>
                <c:pt idx="2">
                  <c:v>11.818855395600004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2A-4CA6-9E19-5B9928521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1E-49FF-A310-11156038407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1E-49FF-A310-11156038407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1E-49FF-A310-11156038407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41.818855395600004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E-49FF-A310-1115603840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B8-4BAA-B7DA-C75A7C2825E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B8-4BAA-B7DA-C75A7C2825E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B8-4BAA-B7DA-C75A7C2825E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B8-4BAA-B7DA-C75A7C2825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27.379494933700002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B8-4BAA-B7DA-C75A7C282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9F-424B-908C-ADE97F1A13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9F-424B-908C-ADE97F1A13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9F-424B-908C-ADE97F1A13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40.379494933700002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F-424B-908C-ADE97F1A13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95-4199-A957-BB8FABD7B93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95-4199-A957-BB8FABD7B93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95-4199-A957-BB8FABD7B93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95-4199-A957-BB8FABD7B93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'214'!$P$2:$S$2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15</c:v>
                </c:pt>
                <c:pt idx="2">
                  <c:v>30.214542429300003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95-4199-A957-BB8FABD7B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48-422D-B92D-2BE7848BA54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48-422D-B92D-2BE7848BA54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48-422D-B92D-2BE7848BA5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'214'!$T$2:$V$2</c:f>
              <c:numCache>
                <c:formatCode>#,##0.00</c:formatCode>
                <c:ptCount val="3"/>
                <c:pt idx="0">
                  <c:v>45.214542429300003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48-422D-B92D-2BE7848BA5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F2-44D9-8CF0-33C41559D13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F2-44D9-8CF0-33C41559D13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F2-44D9-8CF0-33C41559D13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F2-44D9-8CF0-33C41559D1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11</c:v>
                </c:pt>
                <c:pt idx="2">
                  <c:v>25.2810952038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F2-44D9-8CF0-33C41559D1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F8-4B8E-A454-0AAB238D12B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F8-4B8E-A454-0AAB238D12B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F8-4B8E-A454-0AAB238D12B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33</c:v>
                </c:pt>
                <c:pt idx="2">
                  <c:v>3.2810952037999996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F8-4B8E-A454-0AAB238D12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7C-44AE-ABBB-62C40920A93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7C-44AE-ABBB-62C40920A93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7C-44AE-ABBB-62C40920A93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17C-44AE-ABBB-62C40920A9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89.379776516709995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7C-44AE-ABBB-62C40920A9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1C-4B5E-A7BF-A32EB7458EB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1C-4B5E-A7BF-A32EB7458EB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11C-4B5E-A7BF-A32EB7458EB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'216'!$T$2:$V$2</c:f>
              <c:numCache>
                <c:formatCode>#,##0.00</c:formatCode>
                <c:ptCount val="3"/>
                <c:pt idx="0">
                  <c:v>88.379776516709995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1C-4B5E-A7BF-A32EB7458E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5B-4378-9B69-4DC0F0C1E69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5B-4378-9B69-4DC0F0C1E69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5B-4378-9B69-4DC0F0C1E69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5B-4378-9B69-4DC0F0C1E6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2.3779246433500001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5B-4378-9B69-4DC0F0C1E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28-4A35-9ACA-A43705B4AA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28-4A35-9ACA-A43705B4AA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28-4A35-9ACA-A43705B4AA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2.3779246433500001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28-4A35-9ACA-A43705B4AA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74-4A31-96DB-E269B6B8B62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74-4A31-96DB-E269B6B8B62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74-4A31-96DB-E269B6B8B62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74-4A31-96DB-E269B6B8B62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'221'!$P$2:$S$2</c:f>
              <c:numCache>
                <c:formatCode>#,##0.00</c:formatCode>
                <c:ptCount val="4"/>
                <c:pt idx="0">
                  <c:v>71.104768097999994</c:v>
                </c:pt>
                <c:pt idx="1">
                  <c:v>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74-4A31-96DB-E269B6B8B6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63-4FAC-8F8F-284680244AA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63-4FAC-8F8F-284680244AA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63-4FAC-8F8F-284680244AA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'221'!$T$2:$V$2</c:f>
              <c:numCache>
                <c:formatCode>#,##0.00</c:formatCode>
                <c:ptCount val="3"/>
                <c:pt idx="0">
                  <c:v>37</c:v>
                </c:pt>
                <c:pt idx="1">
                  <c:v>8</c:v>
                </c:pt>
                <c:pt idx="2">
                  <c:v>32.104768097999994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63-4FAC-8F8F-284680244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E9-4A73-A431-D765C5805E6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E9-4A73-A431-D765C5805E6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E9-4A73-A431-D765C5805E6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E9-4A73-A431-D765C5805E6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20</c:v>
                </c:pt>
                <c:pt idx="2">
                  <c:v>18.012738455600001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E9-4A73-A431-D765C5805E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A7-4F95-8656-0C43BFEE569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A7-4F95-8656-0C43BFEE569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A7-4F95-8656-0C43BFEE56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'222'!$T$2:$V$2</c:f>
              <c:numCache>
                <c:formatCode>#,##0.00</c:formatCode>
                <c:ptCount val="3"/>
                <c:pt idx="0">
                  <c:v>38.012738455600001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A7-4F95-8656-0C43BFEE5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91-4446-89C0-A8E58C0F126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91-4446-89C0-A8E58C0F126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91-4446-89C0-A8E58C0F126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591-4446-89C0-A8E58C0F126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63.874573671500002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1-4446-89C0-A8E58C0F12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82-431B-80E3-2050989CA96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82-431B-80E3-2050989CA96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82-431B-80E3-2050989CA9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63.874573671500002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82-431B-80E3-2050989CA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J12" sqref="J12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41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M1" s="1" t="s">
        <v>1</v>
      </c>
    </row>
    <row r="2" spans="1:19" ht="20.100000000000001" customHeight="1" x14ac:dyDescent="0.25">
      <c r="A2" s="49" t="s">
        <v>2</v>
      </c>
      <c r="B2" s="33"/>
      <c r="C2" s="33"/>
      <c r="D2" s="33"/>
      <c r="E2" s="33"/>
      <c r="F2" s="33"/>
      <c r="G2" s="33"/>
      <c r="H2" s="33"/>
      <c r="I2" s="33"/>
      <c r="J2" s="33"/>
      <c r="K2" s="33"/>
      <c r="M2" s="2">
        <f t="shared" ref="M2:S2" si="0">IF(D17=0,NA(),D17)</f>
        <v>112.73775135619999</v>
      </c>
      <c r="N2" s="2">
        <f t="shared" si="0"/>
        <v>178.25249831485002</v>
      </c>
      <c r="O2" s="2">
        <f t="shared" si="0"/>
        <v>237.98814916351</v>
      </c>
      <c r="P2" s="2">
        <f t="shared" si="0"/>
        <v>13</v>
      </c>
      <c r="Q2" s="2">
        <f t="shared" si="0"/>
        <v>238.60705740161001</v>
      </c>
      <c r="R2" s="2">
        <f t="shared" si="0"/>
        <v>222.97457022960003</v>
      </c>
      <c r="S2" s="2">
        <f t="shared" si="0"/>
        <v>80.396771203349999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5"/>
      <c r="F4" s="35"/>
      <c r="G4" s="36"/>
      <c r="H4" s="30" t="s">
        <v>7</v>
      </c>
      <c r="I4" s="35"/>
      <c r="J4" s="36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123</v>
      </c>
      <c r="F5" s="3" t="s">
        <v>124</v>
      </c>
      <c r="G5" s="3" t="s">
        <v>125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207</v>
      </c>
      <c r="B6" s="6" t="s">
        <v>16</v>
      </c>
      <c r="C6" s="7">
        <f>'207'!I83</f>
        <v>65.901646228800004</v>
      </c>
      <c r="D6" s="7">
        <f>'207'!F80</f>
        <v>0</v>
      </c>
      <c r="E6" s="7">
        <f>'207'!G80</f>
        <v>30</v>
      </c>
      <c r="F6" s="7">
        <f>'207'!H80</f>
        <v>35.901646228800004</v>
      </c>
      <c r="G6" s="7">
        <f>'207'!I80</f>
        <v>0</v>
      </c>
      <c r="H6" s="7">
        <f>'207'!J80</f>
        <v>30</v>
      </c>
      <c r="I6" s="7">
        <f>'207'!K80</f>
        <v>35.901646228800004</v>
      </c>
      <c r="J6" s="7">
        <f>'207'!L80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208</v>
      </c>
      <c r="B7" s="6" t="s">
        <v>17</v>
      </c>
      <c r="C7" s="7">
        <f>'208'!I59</f>
        <v>41.632983258199999</v>
      </c>
      <c r="D7" s="7">
        <f>'208'!F56</f>
        <v>41.632983258199999</v>
      </c>
      <c r="E7" s="7">
        <f>'208'!G56</f>
        <v>0</v>
      </c>
      <c r="F7" s="7">
        <f>'208'!H56</f>
        <v>0</v>
      </c>
      <c r="G7" s="7">
        <f>'208'!I56</f>
        <v>0</v>
      </c>
      <c r="H7" s="7">
        <f>'208'!J56</f>
        <v>0</v>
      </c>
      <c r="I7" s="7">
        <f>'208'!K56</f>
        <v>0</v>
      </c>
      <c r="J7" s="7">
        <f>'208'!L56</f>
        <v>41.632983258199999</v>
      </c>
      <c r="K7" s="5" t="str">
        <f t="shared" si="1"/>
        <v>OK</v>
      </c>
    </row>
    <row r="8" spans="1:19" x14ac:dyDescent="0.25">
      <c r="A8" s="5">
        <v>211</v>
      </c>
      <c r="B8" s="6" t="s">
        <v>18</v>
      </c>
      <c r="C8" s="7">
        <f>'211'!I59</f>
        <v>41.818855395600004</v>
      </c>
      <c r="D8" s="7">
        <f>'211'!F56</f>
        <v>0</v>
      </c>
      <c r="E8" s="7">
        <f>'211'!G56</f>
        <v>30</v>
      </c>
      <c r="F8" s="7">
        <f>'211'!H56</f>
        <v>11.818855395600004</v>
      </c>
      <c r="G8" s="7">
        <f>'211'!I56</f>
        <v>0</v>
      </c>
      <c r="H8" s="7">
        <f>'211'!J56</f>
        <v>0</v>
      </c>
      <c r="I8" s="7">
        <f>'211'!K56</f>
        <v>41.818855395600004</v>
      </c>
      <c r="J8" s="7">
        <f>'211'!L56</f>
        <v>0</v>
      </c>
      <c r="K8" s="5" t="str">
        <f t="shared" si="1"/>
        <v>OK</v>
      </c>
    </row>
    <row r="9" spans="1:19" x14ac:dyDescent="0.25">
      <c r="A9" s="5">
        <v>213</v>
      </c>
      <c r="B9" s="6" t="s">
        <v>19</v>
      </c>
      <c r="C9" s="7">
        <f>'213'!I58</f>
        <v>40.379494933700002</v>
      </c>
      <c r="D9" s="7">
        <f>'213'!F55</f>
        <v>0</v>
      </c>
      <c r="E9" s="7">
        <f>'213'!G55</f>
        <v>0</v>
      </c>
      <c r="F9" s="7">
        <f>'213'!H55</f>
        <v>27.379494933700002</v>
      </c>
      <c r="G9" s="7">
        <f>'213'!I55</f>
        <v>13</v>
      </c>
      <c r="H9" s="7">
        <f>'213'!J55</f>
        <v>0</v>
      </c>
      <c r="I9" s="7">
        <f>'213'!K55</f>
        <v>40.379494933700002</v>
      </c>
      <c r="J9" s="7">
        <f>'213'!L55</f>
        <v>0</v>
      </c>
      <c r="K9" s="5" t="str">
        <f t="shared" si="1"/>
        <v>OK</v>
      </c>
    </row>
    <row r="10" spans="1:19" x14ac:dyDescent="0.25">
      <c r="A10" s="5">
        <v>214</v>
      </c>
      <c r="B10" s="6" t="s">
        <v>20</v>
      </c>
      <c r="C10" s="7">
        <f>'214'!I63</f>
        <v>45.214542429300003</v>
      </c>
      <c r="D10" s="7">
        <f>'214'!F60</f>
        <v>0</v>
      </c>
      <c r="E10" s="7">
        <f>'214'!G60</f>
        <v>15</v>
      </c>
      <c r="F10" s="7">
        <f>'214'!H60</f>
        <v>30.214542429300003</v>
      </c>
      <c r="G10" s="7">
        <f>'214'!I60</f>
        <v>0</v>
      </c>
      <c r="H10" s="7">
        <f>'214'!J60</f>
        <v>45.214542429300003</v>
      </c>
      <c r="I10" s="7">
        <f>'214'!K60</f>
        <v>0</v>
      </c>
      <c r="J10" s="7">
        <f>'214'!L60</f>
        <v>0</v>
      </c>
      <c r="K10" s="5" t="str">
        <f t="shared" si="1"/>
        <v>OK</v>
      </c>
    </row>
    <row r="11" spans="1:19" x14ac:dyDescent="0.25">
      <c r="A11" s="5">
        <v>215</v>
      </c>
      <c r="B11" s="6" t="s">
        <v>21</v>
      </c>
      <c r="C11" s="7">
        <f>'215'!I54</f>
        <v>36.2810952038</v>
      </c>
      <c r="D11" s="7">
        <f>'215'!F51</f>
        <v>0</v>
      </c>
      <c r="E11" s="7">
        <f>'215'!G51</f>
        <v>11</v>
      </c>
      <c r="F11" s="7">
        <f>'215'!H51</f>
        <v>25.2810952038</v>
      </c>
      <c r="G11" s="7">
        <f>'215'!I51</f>
        <v>0</v>
      </c>
      <c r="H11" s="7">
        <f>'215'!J51</f>
        <v>0</v>
      </c>
      <c r="I11" s="7">
        <f>'215'!K51</f>
        <v>33</v>
      </c>
      <c r="J11" s="7">
        <f>'215'!L51</f>
        <v>3.2810952037999996</v>
      </c>
      <c r="K11" s="5" t="str">
        <f t="shared" si="1"/>
        <v>OK</v>
      </c>
    </row>
    <row r="12" spans="1:19" x14ac:dyDescent="0.25">
      <c r="A12" s="5">
        <v>216</v>
      </c>
      <c r="B12" s="6" t="s">
        <v>22</v>
      </c>
      <c r="C12" s="7">
        <f>'216'!I110</f>
        <v>89.379776516709995</v>
      </c>
      <c r="D12" s="7">
        <f>'216'!F107</f>
        <v>0</v>
      </c>
      <c r="E12" s="7">
        <f>'216'!G107</f>
        <v>0</v>
      </c>
      <c r="F12" s="7">
        <f>'216'!H107</f>
        <v>89.379776516709995</v>
      </c>
      <c r="G12" s="7">
        <f>'216'!I107</f>
        <v>0</v>
      </c>
      <c r="H12" s="7">
        <f>'216'!J107</f>
        <v>88.379776516709995</v>
      </c>
      <c r="I12" s="7">
        <f>'216'!K107</f>
        <v>0</v>
      </c>
      <c r="J12" s="7">
        <f>'216'!L107</f>
        <v>1</v>
      </c>
      <c r="K12" s="5" t="str">
        <f t="shared" si="1"/>
        <v>OK</v>
      </c>
    </row>
    <row r="13" spans="1:19" x14ac:dyDescent="0.25">
      <c r="A13" s="5">
        <v>217</v>
      </c>
      <c r="B13" s="6" t="s">
        <v>23</v>
      </c>
      <c r="C13" s="7">
        <f>'217'!I20</f>
        <v>2.3779246433500001</v>
      </c>
      <c r="D13" s="7">
        <f>'217'!F17</f>
        <v>0</v>
      </c>
      <c r="E13" s="7">
        <f>'217'!G17</f>
        <v>2.3779246433500001</v>
      </c>
      <c r="F13" s="7">
        <f>'217'!H17</f>
        <v>0</v>
      </c>
      <c r="G13" s="7">
        <f>'217'!I17</f>
        <v>0</v>
      </c>
      <c r="H13" s="7">
        <f>'217'!J17</f>
        <v>0</v>
      </c>
      <c r="I13" s="7">
        <f>'217'!K17</f>
        <v>0</v>
      </c>
      <c r="J13" s="7">
        <f>'217'!L17</f>
        <v>2.3779246433500001</v>
      </c>
      <c r="K13" s="5" t="str">
        <f t="shared" si="1"/>
        <v>OK</v>
      </c>
    </row>
    <row r="14" spans="1:19" x14ac:dyDescent="0.25">
      <c r="A14" s="5">
        <v>221</v>
      </c>
      <c r="B14" s="6" t="s">
        <v>24</v>
      </c>
      <c r="C14" s="7">
        <f>'221'!I95</f>
        <v>77.104768097999994</v>
      </c>
      <c r="D14" s="7">
        <f>'221'!F92</f>
        <v>71.104768097999994</v>
      </c>
      <c r="E14" s="7">
        <f>'221'!G92</f>
        <v>6</v>
      </c>
      <c r="F14" s="7">
        <f>'221'!H92</f>
        <v>0</v>
      </c>
      <c r="G14" s="7">
        <f>'221'!I92</f>
        <v>0</v>
      </c>
      <c r="H14" s="7">
        <f>'221'!J92</f>
        <v>37</v>
      </c>
      <c r="I14" s="7">
        <f>'221'!K92</f>
        <v>8</v>
      </c>
      <c r="J14" s="7">
        <f>'221'!L92</f>
        <v>32.104768097999994</v>
      </c>
      <c r="K14" s="5" t="str">
        <f t="shared" si="1"/>
        <v>OK</v>
      </c>
    </row>
    <row r="15" spans="1:19" x14ac:dyDescent="0.25">
      <c r="A15" s="5">
        <v>222</v>
      </c>
      <c r="B15" s="6" t="s">
        <v>25</v>
      </c>
      <c r="C15" s="7">
        <f>'222'!I56</f>
        <v>38.012738455600001</v>
      </c>
      <c r="D15" s="7">
        <f>'222'!F53</f>
        <v>0</v>
      </c>
      <c r="E15" s="7">
        <f>'222'!G53</f>
        <v>20</v>
      </c>
      <c r="F15" s="7">
        <f>'222'!H53</f>
        <v>18.012738455600001</v>
      </c>
      <c r="G15" s="7">
        <f>'222'!I53</f>
        <v>0</v>
      </c>
      <c r="H15" s="7">
        <f>'222'!J53</f>
        <v>38.012738455600001</v>
      </c>
      <c r="I15" s="7">
        <f>'222'!K53</f>
        <v>0</v>
      </c>
      <c r="J15" s="7">
        <f>'222'!L53</f>
        <v>0</v>
      </c>
      <c r="K15" s="5" t="str">
        <f t="shared" si="1"/>
        <v>OK</v>
      </c>
    </row>
    <row r="16" spans="1:19" x14ac:dyDescent="0.25">
      <c r="A16" s="5">
        <v>223</v>
      </c>
      <c r="B16" s="6" t="s">
        <v>26</v>
      </c>
      <c r="C16" s="7">
        <f>'223'!I81</f>
        <v>63.874573671500002</v>
      </c>
      <c r="D16" s="7">
        <f>'223'!F78</f>
        <v>0</v>
      </c>
      <c r="E16" s="7">
        <f>'223'!G78</f>
        <v>63.874573671500002</v>
      </c>
      <c r="F16" s="7">
        <f>'223'!H78</f>
        <v>0</v>
      </c>
      <c r="G16" s="7">
        <f>'223'!I78</f>
        <v>0</v>
      </c>
      <c r="H16" s="7">
        <f>'223'!J78</f>
        <v>0</v>
      </c>
      <c r="I16" s="7">
        <f>'223'!K78</f>
        <v>63.874573671500002</v>
      </c>
      <c r="J16" s="7">
        <f>'223'!L78</f>
        <v>0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541.97839883456004</v>
      </c>
      <c r="D17" s="9">
        <f t="shared" si="2"/>
        <v>112.73775135619999</v>
      </c>
      <c r="E17" s="9">
        <f t="shared" si="2"/>
        <v>178.25249831485002</v>
      </c>
      <c r="F17" s="9">
        <f t="shared" si="2"/>
        <v>237.98814916351</v>
      </c>
      <c r="G17" s="9">
        <f t="shared" si="2"/>
        <v>13</v>
      </c>
      <c r="H17" s="9">
        <f t="shared" si="2"/>
        <v>238.60705740161001</v>
      </c>
      <c r="I17" s="9">
        <f t="shared" si="2"/>
        <v>222.97457022960003</v>
      </c>
      <c r="J17" s="9">
        <f t="shared" si="2"/>
        <v>80.396771203349999</v>
      </c>
    </row>
    <row r="18" spans="2:10" x14ac:dyDescent="0.25">
      <c r="B18" s="8" t="s">
        <v>28</v>
      </c>
      <c r="D18" s="10">
        <f>SUM(D17:G17)/541.98</f>
        <v>0.99999704571120707</v>
      </c>
      <c r="H18" s="11" t="s">
        <v>29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5"/>
  <sheetViews>
    <sheetView showGridLines="0" workbookViewId="0">
      <pane xSplit="5" ySplit="7" topLeftCell="F56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IF(F80=0,NA(),F80)</f>
        <v>#N/A</v>
      </c>
      <c r="Q2" s="2">
        <f t="shared" si="0"/>
        <v>30</v>
      </c>
      <c r="R2" s="2">
        <f t="shared" si="0"/>
        <v>35.901646228800004</v>
      </c>
      <c r="S2" s="2" t="e">
        <f t="shared" si="0"/>
        <v>#N/A</v>
      </c>
      <c r="T2" s="2">
        <f t="shared" si="0"/>
        <v>30</v>
      </c>
      <c r="U2" s="2">
        <f t="shared" si="0"/>
        <v>35.901646228800004</v>
      </c>
      <c r="V2" s="2" t="e">
        <f t="shared" si="0"/>
        <v>#N/A</v>
      </c>
    </row>
    <row r="3" spans="1:22" ht="15" customHeight="1" x14ac:dyDescent="0.25">
      <c r="A3" s="38" t="s">
        <v>35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36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45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46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48</v>
      </c>
      <c r="H9" s="17"/>
      <c r="I9" s="17"/>
      <c r="J9" s="17" t="s">
        <v>48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46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 t="s">
        <v>48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46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46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46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46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46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46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46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46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46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46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46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46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46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46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46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46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46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46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46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48</v>
      </c>
      <c r="H29" s="17"/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46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48</v>
      </c>
      <c r="H30" s="17"/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46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48</v>
      </c>
      <c r="H31" s="17"/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46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48</v>
      </c>
      <c r="H32" s="17"/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46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48</v>
      </c>
      <c r="H33" s="17"/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46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48</v>
      </c>
      <c r="H34" s="17"/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46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48</v>
      </c>
      <c r="H35" s="17"/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46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48</v>
      </c>
      <c r="H36" s="17"/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46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48</v>
      </c>
      <c r="H37" s="17"/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46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46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46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46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ref="N41:N74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46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/>
      <c r="G42" s="17"/>
      <c r="H42" s="17" t="s">
        <v>48</v>
      </c>
      <c r="I42" s="17"/>
      <c r="J42" s="17"/>
      <c r="K42" s="17" t="s">
        <v>48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46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/>
      <c r="G43" s="17"/>
      <c r="H43" s="17" t="s">
        <v>48</v>
      </c>
      <c r="I43" s="17"/>
      <c r="J43" s="17"/>
      <c r="K43" s="17" t="s">
        <v>48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46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/>
      <c r="G44" s="17"/>
      <c r="H44" s="17" t="s">
        <v>48</v>
      </c>
      <c r="I44" s="17"/>
      <c r="J44" s="17"/>
      <c r="K44" s="17" t="s">
        <v>48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46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/>
      <c r="G45" s="17"/>
      <c r="H45" s="17" t="s">
        <v>48</v>
      </c>
      <c r="I45" s="17"/>
      <c r="J45" s="17"/>
      <c r="K45" s="17" t="s">
        <v>48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46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/>
      <c r="G46" s="17"/>
      <c r="H46" s="17" t="s">
        <v>48</v>
      </c>
      <c r="I46" s="17"/>
      <c r="J46" s="17"/>
      <c r="K46" s="17" t="s">
        <v>48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46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/>
      <c r="G47" s="17"/>
      <c r="H47" s="17" t="s">
        <v>48</v>
      </c>
      <c r="I47" s="17"/>
      <c r="J47" s="17"/>
      <c r="K47" s="17" t="s">
        <v>48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46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/>
      <c r="G48" s="17"/>
      <c r="H48" s="17" t="s">
        <v>48</v>
      </c>
      <c r="I48" s="17"/>
      <c r="J48" s="17"/>
      <c r="K48" s="17" t="s">
        <v>48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46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/>
      <c r="G49" s="17"/>
      <c r="H49" s="17" t="s">
        <v>48</v>
      </c>
      <c r="I49" s="17"/>
      <c r="J49" s="17"/>
      <c r="K49" s="17" t="s">
        <v>48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46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/>
      <c r="G50" s="17"/>
      <c r="H50" s="17" t="s">
        <v>48</v>
      </c>
      <c r="I50" s="17"/>
      <c r="J50" s="17"/>
      <c r="K50" s="17" t="s">
        <v>48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46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/>
      <c r="G51" s="17"/>
      <c r="H51" s="17" t="s">
        <v>48</v>
      </c>
      <c r="I51" s="17"/>
      <c r="J51" s="17"/>
      <c r="K51" s="17" t="s">
        <v>48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46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/>
      <c r="G52" s="17"/>
      <c r="H52" s="17" t="s">
        <v>48</v>
      </c>
      <c r="I52" s="17"/>
      <c r="J52" s="17"/>
      <c r="K52" s="17" t="s">
        <v>48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46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/>
      <c r="G53" s="17"/>
      <c r="H53" s="17" t="s">
        <v>48</v>
      </c>
      <c r="I53" s="17"/>
      <c r="J53" s="17"/>
      <c r="K53" s="17" t="s">
        <v>48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46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/>
      <c r="G54" s="17"/>
      <c r="H54" s="17" t="s">
        <v>48</v>
      </c>
      <c r="I54" s="17"/>
      <c r="J54" s="17"/>
      <c r="K54" s="17" t="s">
        <v>48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46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/>
      <c r="G55" s="17"/>
      <c r="H55" s="17" t="s">
        <v>48</v>
      </c>
      <c r="I55" s="17"/>
      <c r="J55" s="17"/>
      <c r="K55" s="17" t="s">
        <v>48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46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/>
      <c r="G56" s="17"/>
      <c r="H56" s="17" t="s">
        <v>48</v>
      </c>
      <c r="I56" s="17"/>
      <c r="J56" s="17"/>
      <c r="K56" s="17" t="s">
        <v>48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46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/>
      <c r="G57" s="17"/>
      <c r="H57" s="17" t="s">
        <v>48</v>
      </c>
      <c r="I57" s="17"/>
      <c r="J57" s="17"/>
      <c r="K57" s="17" t="s">
        <v>48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46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/>
      <c r="G58" s="17"/>
      <c r="H58" s="17" t="s">
        <v>48</v>
      </c>
      <c r="I58" s="17"/>
      <c r="J58" s="17"/>
      <c r="K58" s="17" t="s">
        <v>48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46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/>
      <c r="G59" s="17"/>
      <c r="H59" s="17" t="s">
        <v>48</v>
      </c>
      <c r="I59" s="17"/>
      <c r="J59" s="17"/>
      <c r="K59" s="17" t="s">
        <v>48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46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/>
      <c r="G60" s="17"/>
      <c r="H60" s="17" t="s">
        <v>48</v>
      </c>
      <c r="I60" s="17"/>
      <c r="J60" s="17"/>
      <c r="K60" s="17" t="s">
        <v>48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46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/>
      <c r="G61" s="17"/>
      <c r="H61" s="17" t="s">
        <v>48</v>
      </c>
      <c r="I61" s="17"/>
      <c r="J61" s="17"/>
      <c r="K61" s="17" t="s">
        <v>48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46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/>
      <c r="G62" s="17"/>
      <c r="H62" s="17" t="s">
        <v>48</v>
      </c>
      <c r="I62" s="17"/>
      <c r="J62" s="17"/>
      <c r="K62" s="17" t="s">
        <v>48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46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/>
      <c r="G63" s="17"/>
      <c r="H63" s="17" t="s">
        <v>48</v>
      </c>
      <c r="I63" s="17"/>
      <c r="J63" s="17"/>
      <c r="K63" s="17" t="s">
        <v>48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46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/>
      <c r="G64" s="17"/>
      <c r="H64" s="17" t="s">
        <v>48</v>
      </c>
      <c r="I64" s="17"/>
      <c r="J64" s="17"/>
      <c r="K64" s="17" t="s">
        <v>48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46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/>
      <c r="G65" s="17"/>
      <c r="H65" s="17" t="s">
        <v>48</v>
      </c>
      <c r="I65" s="17"/>
      <c r="J65" s="17"/>
      <c r="K65" s="17" t="s">
        <v>48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46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/>
      <c r="G66" s="17"/>
      <c r="H66" s="17" t="s">
        <v>48</v>
      </c>
      <c r="I66" s="17"/>
      <c r="J66" s="17"/>
      <c r="K66" s="17" t="s">
        <v>48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46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/>
      <c r="G67" s="17"/>
      <c r="H67" s="17" t="s">
        <v>48</v>
      </c>
      <c r="I67" s="17"/>
      <c r="J67" s="17"/>
      <c r="K67" s="17" t="s">
        <v>48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46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/>
      <c r="G68" s="17"/>
      <c r="H68" s="17" t="s">
        <v>48</v>
      </c>
      <c r="I68" s="17"/>
      <c r="J68" s="17"/>
      <c r="K68" s="17" t="s">
        <v>48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46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/>
      <c r="G69" s="17"/>
      <c r="H69" s="17" t="s">
        <v>48</v>
      </c>
      <c r="I69" s="17"/>
      <c r="J69" s="17"/>
      <c r="K69" s="17" t="s">
        <v>48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46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/>
      <c r="G70" s="17"/>
      <c r="H70" s="17" t="s">
        <v>48</v>
      </c>
      <c r="I70" s="17"/>
      <c r="J70" s="17"/>
      <c r="K70" s="17" t="s">
        <v>48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46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/>
      <c r="G71" s="17"/>
      <c r="H71" s="17" t="s">
        <v>48</v>
      </c>
      <c r="I71" s="17"/>
      <c r="J71" s="17"/>
      <c r="K71" s="17" t="s">
        <v>48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46</v>
      </c>
      <c r="B72" s="15" t="s">
        <v>47</v>
      </c>
      <c r="C72" s="16">
        <v>63</v>
      </c>
      <c r="D72" s="16">
        <v>64</v>
      </c>
      <c r="E72" s="16">
        <f t="shared" si="3"/>
        <v>1</v>
      </c>
      <c r="F72" s="17"/>
      <c r="G72" s="17"/>
      <c r="H72" s="17" t="s">
        <v>48</v>
      </c>
      <c r="I72" s="17"/>
      <c r="J72" s="17"/>
      <c r="K72" s="17" t="s">
        <v>48</v>
      </c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46</v>
      </c>
      <c r="B73" s="15" t="s">
        <v>47</v>
      </c>
      <c r="C73" s="16">
        <v>64</v>
      </c>
      <c r="D73" s="16">
        <v>65</v>
      </c>
      <c r="E73" s="16">
        <f t="shared" ref="E73:E74" si="5">D73-C73</f>
        <v>1</v>
      </c>
      <c r="F73" s="17"/>
      <c r="G73" s="17"/>
      <c r="H73" s="17" t="s">
        <v>48</v>
      </c>
      <c r="I73" s="17"/>
      <c r="J73" s="17"/>
      <c r="K73" s="17" t="s">
        <v>48</v>
      </c>
      <c r="L73" s="17"/>
      <c r="M73" s="18"/>
      <c r="N73" s="19" t="str">
        <f t="shared" si="4"/>
        <v>OK</v>
      </c>
    </row>
    <row r="74" spans="1:14" ht="20.100000000000001" customHeight="1" x14ac:dyDescent="0.25">
      <c r="A74" s="20" t="s">
        <v>46</v>
      </c>
      <c r="B74" s="21" t="s">
        <v>47</v>
      </c>
      <c r="C74" s="22">
        <v>65</v>
      </c>
      <c r="D74" s="22">
        <v>65.901646228800004</v>
      </c>
      <c r="E74" s="22">
        <f t="shared" si="5"/>
        <v>0.90164622880000422</v>
      </c>
      <c r="F74" s="23"/>
      <c r="G74" s="23"/>
      <c r="H74" s="23" t="s">
        <v>48</v>
      </c>
      <c r="I74" s="23"/>
      <c r="J74" s="23"/>
      <c r="K74" s="23" t="s">
        <v>48</v>
      </c>
      <c r="L74" s="23"/>
      <c r="M74" s="24"/>
      <c r="N74" s="25" t="str">
        <f t="shared" si="4"/>
        <v>OK</v>
      </c>
    </row>
    <row r="76" spans="1:14" x14ac:dyDescent="0.25">
      <c r="A76" s="40" t="s">
        <v>49</v>
      </c>
      <c r="B76" s="33"/>
      <c r="C76" s="33"/>
      <c r="D76" s="33"/>
      <c r="E76" s="33"/>
      <c r="G76" s="40" t="s">
        <v>49</v>
      </c>
      <c r="H76" s="33"/>
      <c r="I76" s="33"/>
      <c r="J76" s="33"/>
      <c r="K76" s="33"/>
    </row>
    <row r="77" spans="1:14" x14ac:dyDescent="0.25">
      <c r="A77" s="44" t="s">
        <v>50</v>
      </c>
      <c r="B77" s="33"/>
      <c r="C77" s="33"/>
      <c r="D77" s="33"/>
      <c r="E77" s="33"/>
      <c r="G77" s="44" t="s">
        <v>51</v>
      </c>
      <c r="H77" s="33"/>
      <c r="I77" s="33"/>
      <c r="J77" s="33"/>
      <c r="K77" s="33"/>
    </row>
    <row r="79" spans="1:14" x14ac:dyDescent="0.25">
      <c r="A79" s="50" t="s">
        <v>52</v>
      </c>
      <c r="B79" s="33"/>
      <c r="C79" s="33"/>
      <c r="D79" s="33"/>
      <c r="E79" s="33"/>
      <c r="F79" s="26"/>
      <c r="G79" s="26"/>
      <c r="H79" s="26"/>
      <c r="I79" s="26"/>
      <c r="J79" s="26"/>
      <c r="K79" s="26"/>
      <c r="L79" s="26"/>
      <c r="M79" s="26"/>
    </row>
    <row r="80" spans="1:14" x14ac:dyDescent="0.25">
      <c r="A80" s="37" t="s">
        <v>53</v>
      </c>
      <c r="B80" s="33"/>
      <c r="C80" s="33"/>
      <c r="D80" s="33"/>
      <c r="E80" s="33"/>
      <c r="F80" s="9">
        <f t="shared" ref="F80:L80" si="6">SUMIF(F$9:F$74,"X",$E$9:$E$74)</f>
        <v>0</v>
      </c>
      <c r="G80" s="9">
        <f t="shared" si="6"/>
        <v>30</v>
      </c>
      <c r="H80" s="9">
        <f t="shared" si="6"/>
        <v>35.901646228800004</v>
      </c>
      <c r="I80" s="9">
        <f t="shared" si="6"/>
        <v>0</v>
      </c>
      <c r="J80" s="9">
        <f t="shared" si="6"/>
        <v>30</v>
      </c>
      <c r="K80" s="9">
        <f t="shared" si="6"/>
        <v>35.901646228800004</v>
      </c>
      <c r="L80" s="9">
        <f t="shared" si="6"/>
        <v>0</v>
      </c>
    </row>
    <row r="81" spans="1:13" x14ac:dyDescent="0.25">
      <c r="A81" s="37" t="s">
        <v>54</v>
      </c>
      <c r="B81" s="33"/>
      <c r="C81" s="33"/>
      <c r="D81" s="33"/>
      <c r="E81" s="33"/>
      <c r="F81" s="27">
        <f t="shared" ref="F81:L81" si="7">IF($I83=0,0,F80/$I83)</f>
        <v>0</v>
      </c>
      <c r="G81" s="27">
        <f t="shared" si="7"/>
        <v>0.45522383304120789</v>
      </c>
      <c r="H81" s="27">
        <f t="shared" si="7"/>
        <v>0.54477616695879216</v>
      </c>
      <c r="I81" s="27">
        <f t="shared" si="7"/>
        <v>0</v>
      </c>
      <c r="J81" s="27">
        <f t="shared" si="7"/>
        <v>0.45522383304120789</v>
      </c>
      <c r="K81" s="27">
        <f t="shared" si="7"/>
        <v>0.54477616695879216</v>
      </c>
      <c r="L81" s="27">
        <f t="shared" si="7"/>
        <v>0</v>
      </c>
    </row>
    <row r="82" spans="1:13" x14ac:dyDescent="0.25">
      <c r="A82" s="37" t="s">
        <v>55</v>
      </c>
      <c r="B82" s="33"/>
      <c r="C82" s="33"/>
      <c r="D82" s="33"/>
      <c r="E82" s="33"/>
      <c r="F82" s="34" t="str">
        <f>IF(SUM(F80:I80)=0,"— não preenchido",IF(ROUND(SUM(F80:I80)-$I83,3)=0,"OK — "&amp;ROUND(SUM(F80:I80),3)&amp;" km","ERRO — dif. de "&amp;ROUND(SUM(F80:I80)-$I83,3)&amp;" km"))</f>
        <v>OK — 65,902 km</v>
      </c>
      <c r="G82" s="35"/>
      <c r="H82" s="35"/>
      <c r="I82" s="36"/>
      <c r="J82" s="34" t="str">
        <f>IF(SUM(J80:L80)=0,"— não preenchido",IF(ROUND(SUM(J80:L80)-$I83,3)=0,"OK — "&amp;ROUND(SUM(J80:L80),3)&amp;" km","ERRO — dif. de "&amp;ROUND(SUM(J80:L80)-$I83,3)&amp;" km"))</f>
        <v>OK — 65,902 km</v>
      </c>
      <c r="K82" s="35"/>
      <c r="L82" s="36"/>
    </row>
    <row r="83" spans="1:13" x14ac:dyDescent="0.25">
      <c r="A83" s="37" t="s">
        <v>56</v>
      </c>
      <c r="B83" s="33"/>
      <c r="C83" s="33"/>
      <c r="D83" s="33"/>
      <c r="E83" s="33"/>
      <c r="I83" s="28">
        <f>SUM(E9:E74)</f>
        <v>65.901646228800004</v>
      </c>
      <c r="M83" s="8" t="str">
        <f>COUNTIF(N9:N74,"OK")&amp;" de "&amp;COUNT($E$9:$E$74)&amp;" linhas conferidas"</f>
        <v>66 de 66 linhas conferidas</v>
      </c>
    </row>
    <row r="85" spans="1:13" x14ac:dyDescent="0.25">
      <c r="A85" s="42" t="s">
        <v>57</v>
      </c>
      <c r="B85" s="33"/>
      <c r="C85" s="33"/>
      <c r="D85" s="33"/>
      <c r="E85" s="33"/>
    </row>
    <row r="86" spans="1:13" x14ac:dyDescent="0.25">
      <c r="A86" s="37" t="s">
        <v>10</v>
      </c>
      <c r="B86" s="33"/>
      <c r="C86" s="33"/>
      <c r="D86" s="33"/>
      <c r="E86" s="39" t="s">
        <v>58</v>
      </c>
      <c r="F86" s="33"/>
      <c r="G86" s="33"/>
      <c r="H86" s="33"/>
      <c r="I86" s="33"/>
      <c r="J86" s="33"/>
      <c r="K86" s="33"/>
      <c r="L86" s="33"/>
      <c r="M86" s="33"/>
    </row>
    <row r="87" spans="1:13" x14ac:dyDescent="0.25">
      <c r="A87" s="37" t="s">
        <v>11</v>
      </c>
      <c r="B87" s="33"/>
      <c r="C87" s="33"/>
      <c r="D87" s="33"/>
      <c r="E87" s="39" t="s">
        <v>59</v>
      </c>
      <c r="F87" s="33"/>
      <c r="G87" s="33"/>
      <c r="H87" s="33"/>
      <c r="I87" s="33"/>
      <c r="J87" s="33"/>
      <c r="K87" s="33"/>
      <c r="L87" s="33"/>
      <c r="M87" s="33"/>
    </row>
    <row r="88" spans="1:13" x14ac:dyDescent="0.25">
      <c r="A88" s="37" t="s">
        <v>12</v>
      </c>
      <c r="B88" s="33"/>
      <c r="C88" s="33"/>
      <c r="D88" s="33"/>
      <c r="E88" s="39" t="s">
        <v>60</v>
      </c>
      <c r="F88" s="33"/>
      <c r="G88" s="33"/>
      <c r="H88" s="33"/>
      <c r="I88" s="33"/>
      <c r="J88" s="33"/>
      <c r="K88" s="33"/>
      <c r="L88" s="33"/>
      <c r="M88" s="33"/>
    </row>
    <row r="89" spans="1:13" x14ac:dyDescent="0.25">
      <c r="A89" s="37" t="s">
        <v>61</v>
      </c>
      <c r="B89" s="33"/>
      <c r="C89" s="33"/>
      <c r="D89" s="33"/>
      <c r="E89" s="39" t="s">
        <v>62</v>
      </c>
      <c r="F89" s="33"/>
      <c r="G89" s="33"/>
      <c r="H89" s="33"/>
      <c r="I89" s="33"/>
      <c r="J89" s="33"/>
      <c r="K89" s="33"/>
      <c r="L89" s="33"/>
      <c r="M89" s="33"/>
    </row>
    <row r="90" spans="1:13" x14ac:dyDescent="0.25">
      <c r="A90" s="37" t="s">
        <v>63</v>
      </c>
      <c r="B90" s="33"/>
      <c r="C90" s="33"/>
      <c r="D90" s="33"/>
      <c r="E90" s="39" t="s">
        <v>64</v>
      </c>
      <c r="F90" s="33"/>
      <c r="G90" s="33"/>
      <c r="H90" s="33"/>
      <c r="I90" s="33"/>
      <c r="J90" s="33"/>
      <c r="K90" s="33"/>
      <c r="L90" s="33"/>
      <c r="M90" s="33"/>
    </row>
    <row r="91" spans="1:13" x14ac:dyDescent="0.25">
      <c r="A91" s="37" t="s">
        <v>65</v>
      </c>
      <c r="B91" s="33"/>
      <c r="C91" s="33"/>
      <c r="D91" s="33"/>
      <c r="E91" s="39" t="s">
        <v>66</v>
      </c>
      <c r="F91" s="33"/>
      <c r="G91" s="33"/>
      <c r="H91" s="33"/>
      <c r="I91" s="33"/>
      <c r="J91" s="33"/>
      <c r="K91" s="33"/>
      <c r="L91" s="33"/>
      <c r="M91" s="33"/>
    </row>
    <row r="92" spans="1:13" x14ac:dyDescent="0.25">
      <c r="A92" s="37" t="s">
        <v>39</v>
      </c>
      <c r="B92" s="33"/>
      <c r="C92" s="33"/>
      <c r="D92" s="33"/>
      <c r="E92" s="39" t="s">
        <v>67</v>
      </c>
      <c r="F92" s="33"/>
      <c r="G92" s="33"/>
      <c r="H92" s="33"/>
      <c r="I92" s="33"/>
      <c r="J92" s="33"/>
      <c r="K92" s="33"/>
      <c r="L92" s="33"/>
      <c r="M92" s="33"/>
    </row>
    <row r="93" spans="1:13" x14ac:dyDescent="0.25">
      <c r="A93" s="37" t="s">
        <v>68</v>
      </c>
      <c r="B93" s="33"/>
      <c r="C93" s="33"/>
      <c r="D93" s="33"/>
      <c r="E93" s="39" t="s">
        <v>69</v>
      </c>
      <c r="F93" s="33"/>
      <c r="G93" s="33"/>
      <c r="H93" s="33"/>
      <c r="I93" s="33"/>
      <c r="J93" s="33"/>
      <c r="K93" s="33"/>
      <c r="L93" s="33"/>
      <c r="M93" s="33"/>
    </row>
    <row r="94" spans="1:13" x14ac:dyDescent="0.25">
      <c r="A94" s="37" t="s">
        <v>70</v>
      </c>
      <c r="B94" s="33"/>
      <c r="C94" s="33"/>
      <c r="D94" s="33"/>
      <c r="E94" s="39" t="s">
        <v>71</v>
      </c>
      <c r="F94" s="33"/>
      <c r="G94" s="33"/>
      <c r="H94" s="33"/>
      <c r="I94" s="33"/>
      <c r="J94" s="33"/>
      <c r="K94" s="33"/>
      <c r="L94" s="33"/>
      <c r="M94" s="33"/>
    </row>
    <row r="95" spans="1:13" x14ac:dyDescent="0.25">
      <c r="A95" s="37" t="s">
        <v>8</v>
      </c>
      <c r="B95" s="33"/>
      <c r="C95" s="33"/>
      <c r="D95" s="33"/>
      <c r="E95" s="39" t="s">
        <v>72</v>
      </c>
      <c r="F95" s="33"/>
      <c r="G95" s="33"/>
      <c r="H95" s="33"/>
      <c r="I95" s="33"/>
      <c r="J95" s="33"/>
      <c r="K95" s="33"/>
      <c r="L95" s="33"/>
      <c r="M95" s="33"/>
    </row>
  </sheetData>
  <sheetProtection formatCells="0"/>
  <mergeCells count="50">
    <mergeCell ref="E94:M94"/>
    <mergeCell ref="A91:D91"/>
    <mergeCell ref="A93:D93"/>
    <mergeCell ref="E90:M90"/>
    <mergeCell ref="E86:M86"/>
    <mergeCell ref="E95:M95"/>
    <mergeCell ref="E89:M89"/>
    <mergeCell ref="A92:D92"/>
    <mergeCell ref="M6:M7"/>
    <mergeCell ref="E6:E7"/>
    <mergeCell ref="B6:B7"/>
    <mergeCell ref="A80:E80"/>
    <mergeCell ref="E91:M91"/>
    <mergeCell ref="F6:I6"/>
    <mergeCell ref="A94:D94"/>
    <mergeCell ref="A95:D95"/>
    <mergeCell ref="A8:M8"/>
    <mergeCell ref="G77:K77"/>
    <mergeCell ref="A82:E82"/>
    <mergeCell ref="F82:I82"/>
    <mergeCell ref="A6:A7"/>
    <mergeCell ref="A1:M1"/>
    <mergeCell ref="A88:D88"/>
    <mergeCell ref="A76:E76"/>
    <mergeCell ref="E93:M93"/>
    <mergeCell ref="A87:D87"/>
    <mergeCell ref="A85:E85"/>
    <mergeCell ref="E92:M92"/>
    <mergeCell ref="G2:H2"/>
    <mergeCell ref="A4:M4"/>
    <mergeCell ref="A2:C2"/>
    <mergeCell ref="A79:E79"/>
    <mergeCell ref="K2:M2"/>
    <mergeCell ref="D2:E2"/>
    <mergeCell ref="A77:E77"/>
    <mergeCell ref="J6:L6"/>
    <mergeCell ref="A83:E83"/>
    <mergeCell ref="N6:N7"/>
    <mergeCell ref="K3:M3"/>
    <mergeCell ref="J82:L82"/>
    <mergeCell ref="A90:D90"/>
    <mergeCell ref="A89:D89"/>
    <mergeCell ref="A81:E81"/>
    <mergeCell ref="G76:K76"/>
    <mergeCell ref="A3:J3"/>
    <mergeCell ref="A86:D86"/>
    <mergeCell ref="E88:M88"/>
    <mergeCell ref="C6:C7"/>
    <mergeCell ref="D6:D7"/>
    <mergeCell ref="E87:M87"/>
  </mergeCells>
  <conditionalFormatting sqref="F9:I74">
    <cfRule type="expression" dxfId="65" priority="1">
      <formula>AND(F9&lt;&gt;"",COUNTIF($F9:$I9,"X")&gt;1)</formula>
    </cfRule>
  </conditionalFormatting>
  <conditionalFormatting sqref="F82:L82">
    <cfRule type="expression" dxfId="64" priority="5">
      <formula>LEFT(F82,4)="ERRO"</formula>
    </cfRule>
    <cfRule type="expression" dxfId="63" priority="6">
      <formula>LEFT(F82,2)="OK"</formula>
    </cfRule>
  </conditionalFormatting>
  <conditionalFormatting sqref="J9:L74">
    <cfRule type="expression" dxfId="62" priority="2">
      <formula>AND(J9&lt;&gt;"",COUNTIF($J9:$L9,"X")&gt;1)</formula>
    </cfRule>
  </conditionalFormatting>
  <conditionalFormatting sqref="N9:N74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4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4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74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207</oddHeader>
    <oddFooter>&amp;L&amp;7 RTA / MSI — Programa de Manutenção Rodoviária&amp;C&amp;7 Página &amp;P de &amp;N&amp;R&amp;7 Impresso em &amp;D</oddFooter>
  </headerFooter>
  <rowBreaks count="1" manualBreakCount="1">
    <brk id="77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7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>
        <f t="shared" ref="P2:V2" si="0">IF(F56=0,NA(),F56)</f>
        <v>41.632983258199999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>
        <f t="shared" si="0"/>
        <v>41.632983258199999</v>
      </c>
    </row>
    <row r="3" spans="1:22" ht="15" customHeight="1" x14ac:dyDescent="0.25">
      <c r="A3" s="38" t="s">
        <v>73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74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75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76</v>
      </c>
      <c r="B9" s="15" t="s">
        <v>47</v>
      </c>
      <c r="C9" s="16">
        <v>0</v>
      </c>
      <c r="D9" s="16">
        <v>1</v>
      </c>
      <c r="E9" s="16">
        <f t="shared" ref="E9:E50" si="1">D9-C9</f>
        <v>1</v>
      </c>
      <c r="F9" s="17" t="s">
        <v>48</v>
      </c>
      <c r="G9" s="17"/>
      <c r="H9" s="17"/>
      <c r="I9" s="17"/>
      <c r="J9" s="17"/>
      <c r="K9" s="17"/>
      <c r="L9" s="17" t="s">
        <v>48</v>
      </c>
      <c r="M9" s="18"/>
      <c r="N9" s="19" t="str">
        <f t="shared" ref="N9:N5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76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48</v>
      </c>
      <c r="G10" s="17"/>
      <c r="H10" s="17"/>
      <c r="I10" s="17"/>
      <c r="J10" s="17"/>
      <c r="K10" s="17"/>
      <c r="L10" s="17" t="s">
        <v>48</v>
      </c>
      <c r="M10" s="18"/>
      <c r="N10" s="19" t="str">
        <f t="shared" si="2"/>
        <v>OK</v>
      </c>
    </row>
    <row r="11" spans="1:22" ht="20.100000000000001" customHeight="1" x14ac:dyDescent="0.25">
      <c r="A11" s="14" t="s">
        <v>76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48</v>
      </c>
      <c r="G11" s="17"/>
      <c r="H11" s="17"/>
      <c r="I11" s="17"/>
      <c r="J11" s="17"/>
      <c r="K11" s="17"/>
      <c r="L11" s="17" t="s">
        <v>48</v>
      </c>
      <c r="M11" s="18"/>
      <c r="N11" s="19" t="str">
        <f t="shared" si="2"/>
        <v>OK</v>
      </c>
    </row>
    <row r="12" spans="1:22" ht="20.100000000000001" customHeight="1" x14ac:dyDescent="0.25">
      <c r="A12" s="14" t="s">
        <v>76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48</v>
      </c>
      <c r="G12" s="17"/>
      <c r="H12" s="17"/>
      <c r="I12" s="17"/>
      <c r="J12" s="17"/>
      <c r="K12" s="17"/>
      <c r="L12" s="17" t="s">
        <v>48</v>
      </c>
      <c r="M12" s="18"/>
      <c r="N12" s="19" t="str">
        <f t="shared" si="2"/>
        <v>OK</v>
      </c>
    </row>
    <row r="13" spans="1:22" ht="20.100000000000001" customHeight="1" x14ac:dyDescent="0.25">
      <c r="A13" s="14" t="s">
        <v>76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48</v>
      </c>
      <c r="G13" s="17"/>
      <c r="H13" s="17"/>
      <c r="I13" s="17"/>
      <c r="J13" s="17"/>
      <c r="K13" s="17"/>
      <c r="L13" s="17" t="s">
        <v>48</v>
      </c>
      <c r="M13" s="18"/>
      <c r="N13" s="19" t="str">
        <f t="shared" si="2"/>
        <v>OK</v>
      </c>
    </row>
    <row r="14" spans="1:22" ht="20.100000000000001" customHeight="1" x14ac:dyDescent="0.25">
      <c r="A14" s="14" t="s">
        <v>76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48</v>
      </c>
      <c r="G14" s="17"/>
      <c r="H14" s="17"/>
      <c r="I14" s="17"/>
      <c r="J14" s="17"/>
      <c r="K14" s="17"/>
      <c r="L14" s="17" t="s">
        <v>48</v>
      </c>
      <c r="M14" s="18"/>
      <c r="N14" s="19" t="str">
        <f t="shared" si="2"/>
        <v>OK</v>
      </c>
    </row>
    <row r="15" spans="1:22" ht="20.100000000000001" customHeight="1" x14ac:dyDescent="0.25">
      <c r="A15" s="14" t="s">
        <v>76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48</v>
      </c>
      <c r="G15" s="17"/>
      <c r="H15" s="17"/>
      <c r="I15" s="17"/>
      <c r="J15" s="17"/>
      <c r="K15" s="17"/>
      <c r="L15" s="17" t="s">
        <v>48</v>
      </c>
      <c r="M15" s="18"/>
      <c r="N15" s="19" t="str">
        <f t="shared" si="2"/>
        <v>OK</v>
      </c>
    </row>
    <row r="16" spans="1:22" ht="20.100000000000001" customHeight="1" x14ac:dyDescent="0.25">
      <c r="A16" s="14" t="s">
        <v>76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48</v>
      </c>
      <c r="G16" s="17"/>
      <c r="H16" s="17"/>
      <c r="I16" s="17"/>
      <c r="J16" s="17"/>
      <c r="K16" s="17"/>
      <c r="L16" s="17" t="s">
        <v>48</v>
      </c>
      <c r="M16" s="18"/>
      <c r="N16" s="19" t="str">
        <f t="shared" si="2"/>
        <v>OK</v>
      </c>
    </row>
    <row r="17" spans="1:14" ht="20.100000000000001" customHeight="1" x14ac:dyDescent="0.25">
      <c r="A17" s="14" t="s">
        <v>76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48</v>
      </c>
      <c r="G17" s="17"/>
      <c r="H17" s="17"/>
      <c r="I17" s="17"/>
      <c r="J17" s="17"/>
      <c r="K17" s="17"/>
      <c r="L17" s="17" t="s">
        <v>48</v>
      </c>
      <c r="M17" s="18"/>
      <c r="N17" s="19" t="str">
        <f t="shared" si="2"/>
        <v>OK</v>
      </c>
    </row>
    <row r="18" spans="1:14" ht="20.100000000000001" customHeight="1" x14ac:dyDescent="0.25">
      <c r="A18" s="14" t="s">
        <v>76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48</v>
      </c>
      <c r="G18" s="17"/>
      <c r="H18" s="17"/>
      <c r="I18" s="17"/>
      <c r="J18" s="17"/>
      <c r="K18" s="17"/>
      <c r="L18" s="17" t="s">
        <v>48</v>
      </c>
      <c r="M18" s="18"/>
      <c r="N18" s="19" t="str">
        <f t="shared" si="2"/>
        <v>OK</v>
      </c>
    </row>
    <row r="19" spans="1:14" ht="20.100000000000001" customHeight="1" x14ac:dyDescent="0.25">
      <c r="A19" s="14" t="s">
        <v>76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48</v>
      </c>
      <c r="G19" s="17"/>
      <c r="H19" s="17"/>
      <c r="I19" s="17"/>
      <c r="J19" s="17"/>
      <c r="K19" s="17"/>
      <c r="L19" s="17" t="s">
        <v>48</v>
      </c>
      <c r="M19" s="18"/>
      <c r="N19" s="19" t="str">
        <f t="shared" si="2"/>
        <v>OK</v>
      </c>
    </row>
    <row r="20" spans="1:14" ht="20.100000000000001" customHeight="1" x14ac:dyDescent="0.25">
      <c r="A20" s="14" t="s">
        <v>76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48</v>
      </c>
      <c r="G20" s="17"/>
      <c r="H20" s="17"/>
      <c r="I20" s="17"/>
      <c r="J20" s="17"/>
      <c r="K20" s="17"/>
      <c r="L20" s="17" t="s">
        <v>48</v>
      </c>
      <c r="M20" s="18"/>
      <c r="N20" s="19" t="str">
        <f t="shared" si="2"/>
        <v>OK</v>
      </c>
    </row>
    <row r="21" spans="1:14" ht="20.100000000000001" customHeight="1" x14ac:dyDescent="0.25">
      <c r="A21" s="14" t="s">
        <v>76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48</v>
      </c>
      <c r="G21" s="17"/>
      <c r="H21" s="17"/>
      <c r="I21" s="17"/>
      <c r="J21" s="17"/>
      <c r="K21" s="17"/>
      <c r="L21" s="17" t="s">
        <v>48</v>
      </c>
      <c r="M21" s="18"/>
      <c r="N21" s="19" t="str">
        <f t="shared" si="2"/>
        <v>OK</v>
      </c>
    </row>
    <row r="22" spans="1:14" ht="20.100000000000001" customHeight="1" x14ac:dyDescent="0.25">
      <c r="A22" s="14" t="s">
        <v>76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48</v>
      </c>
      <c r="G22" s="17"/>
      <c r="H22" s="17"/>
      <c r="I22" s="17"/>
      <c r="J22" s="17"/>
      <c r="K22" s="17"/>
      <c r="L22" s="17" t="s">
        <v>48</v>
      </c>
      <c r="M22" s="18"/>
      <c r="N22" s="19" t="str">
        <f t="shared" si="2"/>
        <v>OK</v>
      </c>
    </row>
    <row r="23" spans="1:14" ht="20.100000000000001" customHeight="1" x14ac:dyDescent="0.25">
      <c r="A23" s="14" t="s">
        <v>76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48</v>
      </c>
      <c r="G23" s="17"/>
      <c r="H23" s="17"/>
      <c r="I23" s="17"/>
      <c r="J23" s="17"/>
      <c r="K23" s="17"/>
      <c r="L23" s="17" t="s">
        <v>48</v>
      </c>
      <c r="M23" s="18"/>
      <c r="N23" s="19" t="str">
        <f t="shared" si="2"/>
        <v>OK</v>
      </c>
    </row>
    <row r="24" spans="1:14" ht="20.100000000000001" customHeight="1" x14ac:dyDescent="0.25">
      <c r="A24" s="14" t="s">
        <v>76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48</v>
      </c>
      <c r="G24" s="17"/>
      <c r="H24" s="17"/>
      <c r="I24" s="17"/>
      <c r="J24" s="17"/>
      <c r="K24" s="17"/>
      <c r="L24" s="17" t="s">
        <v>48</v>
      </c>
      <c r="M24" s="18"/>
      <c r="N24" s="19" t="str">
        <f t="shared" si="2"/>
        <v>OK</v>
      </c>
    </row>
    <row r="25" spans="1:14" ht="20.100000000000001" customHeight="1" x14ac:dyDescent="0.25">
      <c r="A25" s="14" t="s">
        <v>76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48</v>
      </c>
      <c r="G25" s="17"/>
      <c r="H25" s="17"/>
      <c r="I25" s="17"/>
      <c r="J25" s="17"/>
      <c r="K25" s="17"/>
      <c r="L25" s="17" t="s">
        <v>48</v>
      </c>
      <c r="M25" s="18"/>
      <c r="N25" s="19" t="str">
        <f t="shared" si="2"/>
        <v>OK</v>
      </c>
    </row>
    <row r="26" spans="1:14" ht="20.100000000000001" customHeight="1" x14ac:dyDescent="0.25">
      <c r="A26" s="14" t="s">
        <v>76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48</v>
      </c>
      <c r="G26" s="17"/>
      <c r="H26" s="17"/>
      <c r="I26" s="17"/>
      <c r="J26" s="17"/>
      <c r="K26" s="17"/>
      <c r="L26" s="17" t="s">
        <v>48</v>
      </c>
      <c r="M26" s="18"/>
      <c r="N26" s="19" t="str">
        <f t="shared" si="2"/>
        <v>OK</v>
      </c>
    </row>
    <row r="27" spans="1:14" ht="20.100000000000001" customHeight="1" x14ac:dyDescent="0.25">
      <c r="A27" s="14" t="s">
        <v>76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48</v>
      </c>
      <c r="G27" s="17"/>
      <c r="H27" s="17"/>
      <c r="I27" s="17"/>
      <c r="J27" s="17"/>
      <c r="K27" s="17"/>
      <c r="L27" s="17" t="s">
        <v>48</v>
      </c>
      <c r="M27" s="18"/>
      <c r="N27" s="19" t="str">
        <f t="shared" si="2"/>
        <v>OK</v>
      </c>
    </row>
    <row r="28" spans="1:14" ht="20.100000000000001" customHeight="1" x14ac:dyDescent="0.25">
      <c r="A28" s="14" t="s">
        <v>76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48</v>
      </c>
      <c r="G28" s="17"/>
      <c r="H28" s="17"/>
      <c r="I28" s="17"/>
      <c r="J28" s="17"/>
      <c r="K28" s="17"/>
      <c r="L28" s="17" t="s">
        <v>48</v>
      </c>
      <c r="M28" s="18"/>
      <c r="N28" s="19" t="str">
        <f t="shared" si="2"/>
        <v>OK</v>
      </c>
    </row>
    <row r="29" spans="1:14" ht="20.100000000000001" customHeight="1" x14ac:dyDescent="0.25">
      <c r="A29" s="14" t="s">
        <v>76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48</v>
      </c>
      <c r="G29" s="17"/>
      <c r="H29" s="17"/>
      <c r="I29" s="17"/>
      <c r="J29" s="17"/>
      <c r="K29" s="17"/>
      <c r="L29" s="17" t="s">
        <v>48</v>
      </c>
      <c r="M29" s="18"/>
      <c r="N29" s="19" t="str">
        <f t="shared" si="2"/>
        <v>OK</v>
      </c>
    </row>
    <row r="30" spans="1:14" ht="20.100000000000001" customHeight="1" x14ac:dyDescent="0.25">
      <c r="A30" s="14" t="s">
        <v>76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48</v>
      </c>
      <c r="G30" s="17"/>
      <c r="H30" s="17"/>
      <c r="I30" s="17"/>
      <c r="J30" s="17"/>
      <c r="K30" s="17"/>
      <c r="L30" s="17" t="s">
        <v>48</v>
      </c>
      <c r="M30" s="18"/>
      <c r="N30" s="19" t="str">
        <f t="shared" si="2"/>
        <v>OK</v>
      </c>
    </row>
    <row r="31" spans="1:14" ht="20.100000000000001" customHeight="1" x14ac:dyDescent="0.25">
      <c r="A31" s="14" t="s">
        <v>76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48</v>
      </c>
      <c r="G31" s="17"/>
      <c r="H31" s="17"/>
      <c r="I31" s="17"/>
      <c r="J31" s="17"/>
      <c r="K31" s="17"/>
      <c r="L31" s="17" t="s">
        <v>48</v>
      </c>
      <c r="M31" s="18"/>
      <c r="N31" s="19" t="str">
        <f t="shared" si="2"/>
        <v>OK</v>
      </c>
    </row>
    <row r="32" spans="1:14" ht="20.100000000000001" customHeight="1" x14ac:dyDescent="0.25">
      <c r="A32" s="14" t="s">
        <v>76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48</v>
      </c>
      <c r="G32" s="17"/>
      <c r="H32" s="17"/>
      <c r="I32" s="17"/>
      <c r="J32" s="17"/>
      <c r="K32" s="17"/>
      <c r="L32" s="17" t="s">
        <v>48</v>
      </c>
      <c r="M32" s="18"/>
      <c r="N32" s="19" t="str">
        <f t="shared" si="2"/>
        <v>OK</v>
      </c>
    </row>
    <row r="33" spans="1:14" ht="20.100000000000001" customHeight="1" x14ac:dyDescent="0.25">
      <c r="A33" s="14" t="s">
        <v>76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48</v>
      </c>
      <c r="G33" s="17"/>
      <c r="H33" s="17"/>
      <c r="I33" s="17"/>
      <c r="J33" s="17"/>
      <c r="K33" s="17"/>
      <c r="L33" s="17" t="s">
        <v>48</v>
      </c>
      <c r="M33" s="18"/>
      <c r="N33" s="19" t="str">
        <f t="shared" si="2"/>
        <v>OK</v>
      </c>
    </row>
    <row r="34" spans="1:14" ht="20.100000000000001" customHeight="1" x14ac:dyDescent="0.25">
      <c r="A34" s="14" t="s">
        <v>76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48</v>
      </c>
      <c r="G34" s="17"/>
      <c r="H34" s="17"/>
      <c r="I34" s="17"/>
      <c r="J34" s="17"/>
      <c r="K34" s="17"/>
      <c r="L34" s="17" t="s">
        <v>48</v>
      </c>
      <c r="M34" s="18"/>
      <c r="N34" s="19" t="str">
        <f t="shared" si="2"/>
        <v>OK</v>
      </c>
    </row>
    <row r="35" spans="1:14" ht="20.100000000000001" customHeight="1" x14ac:dyDescent="0.25">
      <c r="A35" s="14" t="s">
        <v>76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48</v>
      </c>
      <c r="G35" s="17"/>
      <c r="H35" s="17"/>
      <c r="I35" s="17"/>
      <c r="J35" s="17"/>
      <c r="K35" s="17"/>
      <c r="L35" s="17" t="s">
        <v>48</v>
      </c>
      <c r="M35" s="18"/>
      <c r="N35" s="19" t="str">
        <f t="shared" si="2"/>
        <v>OK</v>
      </c>
    </row>
    <row r="36" spans="1:14" ht="20.100000000000001" customHeight="1" x14ac:dyDescent="0.25">
      <c r="A36" s="14" t="s">
        <v>76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48</v>
      </c>
      <c r="G36" s="17"/>
      <c r="H36" s="17"/>
      <c r="I36" s="17"/>
      <c r="J36" s="17"/>
      <c r="K36" s="17"/>
      <c r="L36" s="17" t="s">
        <v>48</v>
      </c>
      <c r="M36" s="18"/>
      <c r="N36" s="19" t="str">
        <f t="shared" si="2"/>
        <v>OK</v>
      </c>
    </row>
    <row r="37" spans="1:14" ht="20.100000000000001" customHeight="1" x14ac:dyDescent="0.25">
      <c r="A37" s="14" t="s">
        <v>76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48</v>
      </c>
      <c r="G37" s="17"/>
      <c r="H37" s="17"/>
      <c r="I37" s="17"/>
      <c r="J37" s="17"/>
      <c r="K37" s="17"/>
      <c r="L37" s="17" t="s">
        <v>48</v>
      </c>
      <c r="M37" s="18"/>
      <c r="N37" s="19" t="str">
        <f t="shared" si="2"/>
        <v>OK</v>
      </c>
    </row>
    <row r="38" spans="1:14" ht="20.100000000000001" customHeight="1" x14ac:dyDescent="0.25">
      <c r="A38" s="14" t="s">
        <v>76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 t="s">
        <v>48</v>
      </c>
      <c r="G38" s="17"/>
      <c r="H38" s="17"/>
      <c r="I38" s="17"/>
      <c r="J38" s="17"/>
      <c r="K38" s="17"/>
      <c r="L38" s="17" t="s">
        <v>48</v>
      </c>
      <c r="M38" s="18"/>
      <c r="N38" s="19" t="str">
        <f t="shared" si="2"/>
        <v>OK</v>
      </c>
    </row>
    <row r="39" spans="1:14" ht="20.100000000000001" customHeight="1" x14ac:dyDescent="0.25">
      <c r="A39" s="14" t="s">
        <v>76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 t="s">
        <v>48</v>
      </c>
      <c r="G39" s="17"/>
      <c r="H39" s="17"/>
      <c r="I39" s="17"/>
      <c r="J39" s="17"/>
      <c r="K39" s="17"/>
      <c r="L39" s="17" t="s">
        <v>48</v>
      </c>
      <c r="M39" s="18"/>
      <c r="N39" s="19" t="str">
        <f t="shared" si="2"/>
        <v>OK</v>
      </c>
    </row>
    <row r="40" spans="1:14" ht="20.100000000000001" customHeight="1" x14ac:dyDescent="0.25">
      <c r="A40" s="14" t="s">
        <v>76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 t="s">
        <v>48</v>
      </c>
      <c r="G40" s="17"/>
      <c r="H40" s="17"/>
      <c r="I40" s="17"/>
      <c r="J40" s="17"/>
      <c r="K40" s="17"/>
      <c r="L40" s="17" t="s">
        <v>48</v>
      </c>
      <c r="M40" s="18"/>
      <c r="N40" s="19" t="str">
        <f t="shared" si="2"/>
        <v>OK</v>
      </c>
    </row>
    <row r="41" spans="1:14" ht="20.100000000000001" customHeight="1" x14ac:dyDescent="0.25">
      <c r="A41" s="14" t="s">
        <v>76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 t="s">
        <v>48</v>
      </c>
      <c r="G41" s="17"/>
      <c r="H41" s="17"/>
      <c r="I41" s="17"/>
      <c r="J41" s="17"/>
      <c r="K41" s="17"/>
      <c r="L41" s="17" t="s">
        <v>48</v>
      </c>
      <c r="M41" s="18"/>
      <c r="N41" s="19" t="str">
        <f t="shared" si="2"/>
        <v>OK</v>
      </c>
    </row>
    <row r="42" spans="1:14" ht="20.100000000000001" customHeight="1" x14ac:dyDescent="0.25">
      <c r="A42" s="14" t="s">
        <v>76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 t="s">
        <v>48</v>
      </c>
      <c r="G42" s="17"/>
      <c r="H42" s="17"/>
      <c r="I42" s="17"/>
      <c r="J42" s="17"/>
      <c r="K42" s="17"/>
      <c r="L42" s="17" t="s">
        <v>48</v>
      </c>
      <c r="M42" s="18"/>
      <c r="N42" s="19" t="str">
        <f t="shared" si="2"/>
        <v>OK</v>
      </c>
    </row>
    <row r="43" spans="1:14" ht="20.100000000000001" customHeight="1" x14ac:dyDescent="0.25">
      <c r="A43" s="14" t="s">
        <v>76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 t="s">
        <v>48</v>
      </c>
      <c r="G43" s="17"/>
      <c r="H43" s="17"/>
      <c r="I43" s="17"/>
      <c r="J43" s="17"/>
      <c r="K43" s="17"/>
      <c r="L43" s="17" t="s">
        <v>48</v>
      </c>
      <c r="M43" s="18"/>
      <c r="N43" s="19" t="str">
        <f t="shared" si="2"/>
        <v>OK</v>
      </c>
    </row>
    <row r="44" spans="1:14" ht="20.100000000000001" customHeight="1" x14ac:dyDescent="0.25">
      <c r="A44" s="14" t="s">
        <v>76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 t="s">
        <v>48</v>
      </c>
      <c r="G44" s="17"/>
      <c r="H44" s="17"/>
      <c r="I44" s="17"/>
      <c r="J44" s="17"/>
      <c r="K44" s="17"/>
      <c r="L44" s="17" t="s">
        <v>48</v>
      </c>
      <c r="M44" s="18"/>
      <c r="N44" s="19" t="str">
        <f t="shared" si="2"/>
        <v>OK</v>
      </c>
    </row>
    <row r="45" spans="1:14" ht="20.100000000000001" customHeight="1" x14ac:dyDescent="0.25">
      <c r="A45" s="14" t="s">
        <v>76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 t="s">
        <v>48</v>
      </c>
      <c r="G45" s="17"/>
      <c r="H45" s="17"/>
      <c r="I45" s="17"/>
      <c r="J45" s="17"/>
      <c r="K45" s="17"/>
      <c r="L45" s="17" t="s">
        <v>48</v>
      </c>
      <c r="M45" s="18"/>
      <c r="N45" s="19" t="str">
        <f t="shared" si="2"/>
        <v>OK</v>
      </c>
    </row>
    <row r="46" spans="1:14" ht="20.100000000000001" customHeight="1" x14ac:dyDescent="0.25">
      <c r="A46" s="14" t="s">
        <v>76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 t="s">
        <v>48</v>
      </c>
      <c r="G46" s="17"/>
      <c r="H46" s="17"/>
      <c r="I46" s="17"/>
      <c r="J46" s="17"/>
      <c r="K46" s="17"/>
      <c r="L46" s="17" t="s">
        <v>48</v>
      </c>
      <c r="M46" s="18"/>
      <c r="N46" s="19" t="str">
        <f t="shared" si="2"/>
        <v>OK</v>
      </c>
    </row>
    <row r="47" spans="1:14" ht="20.100000000000001" customHeight="1" x14ac:dyDescent="0.25">
      <c r="A47" s="14" t="s">
        <v>76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 t="s">
        <v>48</v>
      </c>
      <c r="G47" s="17"/>
      <c r="H47" s="17"/>
      <c r="I47" s="17"/>
      <c r="J47" s="17"/>
      <c r="K47" s="17"/>
      <c r="L47" s="17" t="s">
        <v>48</v>
      </c>
      <c r="M47" s="18"/>
      <c r="N47" s="19" t="str">
        <f t="shared" si="2"/>
        <v>OK</v>
      </c>
    </row>
    <row r="48" spans="1:14" ht="20.100000000000001" customHeight="1" x14ac:dyDescent="0.25">
      <c r="A48" s="14" t="s">
        <v>76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 t="s">
        <v>48</v>
      </c>
      <c r="G48" s="17"/>
      <c r="H48" s="17"/>
      <c r="I48" s="17"/>
      <c r="J48" s="17"/>
      <c r="K48" s="17"/>
      <c r="L48" s="17" t="s">
        <v>48</v>
      </c>
      <c r="M48" s="18"/>
      <c r="N48" s="19" t="str">
        <f t="shared" si="2"/>
        <v>OK</v>
      </c>
    </row>
    <row r="49" spans="1:14" ht="20.100000000000001" customHeight="1" x14ac:dyDescent="0.25">
      <c r="A49" s="14" t="s">
        <v>76</v>
      </c>
      <c r="B49" s="15" t="s">
        <v>47</v>
      </c>
      <c r="C49" s="16">
        <v>40</v>
      </c>
      <c r="D49" s="16">
        <v>41</v>
      </c>
      <c r="E49" s="16">
        <f t="shared" si="1"/>
        <v>1</v>
      </c>
      <c r="F49" s="17" t="s">
        <v>48</v>
      </c>
      <c r="G49" s="17"/>
      <c r="H49" s="17"/>
      <c r="I49" s="17"/>
      <c r="J49" s="17"/>
      <c r="K49" s="17"/>
      <c r="L49" s="17" t="s">
        <v>48</v>
      </c>
      <c r="M49" s="18"/>
      <c r="N49" s="19" t="str">
        <f t="shared" si="2"/>
        <v>OK</v>
      </c>
    </row>
    <row r="50" spans="1:14" ht="20.100000000000001" customHeight="1" x14ac:dyDescent="0.25">
      <c r="A50" s="20" t="s">
        <v>76</v>
      </c>
      <c r="B50" s="21" t="s">
        <v>47</v>
      </c>
      <c r="C50" s="22">
        <v>41</v>
      </c>
      <c r="D50" s="22">
        <v>41.632983258199999</v>
      </c>
      <c r="E50" s="22">
        <f t="shared" si="1"/>
        <v>0.63298325819999945</v>
      </c>
      <c r="F50" s="23" t="s">
        <v>48</v>
      </c>
      <c r="G50" s="23"/>
      <c r="H50" s="23"/>
      <c r="I50" s="23"/>
      <c r="J50" s="23"/>
      <c r="K50" s="23"/>
      <c r="L50" s="23" t="s">
        <v>48</v>
      </c>
      <c r="M50" s="24"/>
      <c r="N50" s="25" t="str">
        <f t="shared" si="2"/>
        <v>OK</v>
      </c>
    </row>
    <row r="52" spans="1:14" x14ac:dyDescent="0.25">
      <c r="A52" s="40" t="s">
        <v>49</v>
      </c>
      <c r="B52" s="33"/>
      <c r="C52" s="33"/>
      <c r="D52" s="33"/>
      <c r="E52" s="33"/>
      <c r="G52" s="40" t="s">
        <v>49</v>
      </c>
      <c r="H52" s="33"/>
      <c r="I52" s="33"/>
      <c r="J52" s="33"/>
      <c r="K52" s="33"/>
    </row>
    <row r="53" spans="1:14" x14ac:dyDescent="0.25">
      <c r="A53" s="44" t="s">
        <v>50</v>
      </c>
      <c r="B53" s="33"/>
      <c r="C53" s="33"/>
      <c r="D53" s="33"/>
      <c r="E53" s="33"/>
      <c r="G53" s="44" t="s">
        <v>51</v>
      </c>
      <c r="H53" s="33"/>
      <c r="I53" s="33"/>
      <c r="J53" s="33"/>
      <c r="K53" s="33"/>
    </row>
    <row r="55" spans="1:14" x14ac:dyDescent="0.25">
      <c r="A55" s="50" t="s">
        <v>52</v>
      </c>
      <c r="B55" s="33"/>
      <c r="C55" s="33"/>
      <c r="D55" s="33"/>
      <c r="E55" s="33"/>
      <c r="F55" s="26"/>
      <c r="G55" s="26"/>
      <c r="H55" s="26"/>
      <c r="I55" s="26"/>
      <c r="J55" s="26"/>
      <c r="K55" s="26"/>
      <c r="L55" s="26"/>
      <c r="M55" s="26"/>
    </row>
    <row r="56" spans="1:14" x14ac:dyDescent="0.25">
      <c r="A56" s="37" t="s">
        <v>53</v>
      </c>
      <c r="B56" s="33"/>
      <c r="C56" s="33"/>
      <c r="D56" s="33"/>
      <c r="E56" s="33"/>
      <c r="F56" s="9">
        <f t="shared" ref="F56:L56" si="3">SUMIF(F$9:F$50,"X",$E$9:$E$50)</f>
        <v>41.632983258199999</v>
      </c>
      <c r="G56" s="9">
        <f t="shared" si="3"/>
        <v>0</v>
      </c>
      <c r="H56" s="9">
        <f t="shared" si="3"/>
        <v>0</v>
      </c>
      <c r="I56" s="9">
        <f t="shared" si="3"/>
        <v>0</v>
      </c>
      <c r="J56" s="9">
        <f t="shared" si="3"/>
        <v>0</v>
      </c>
      <c r="K56" s="9">
        <f t="shared" si="3"/>
        <v>0</v>
      </c>
      <c r="L56" s="9">
        <f t="shared" si="3"/>
        <v>41.632983258199999</v>
      </c>
    </row>
    <row r="57" spans="1:14" x14ac:dyDescent="0.25">
      <c r="A57" s="37" t="s">
        <v>54</v>
      </c>
      <c r="B57" s="33"/>
      <c r="C57" s="33"/>
      <c r="D57" s="33"/>
      <c r="E57" s="33"/>
      <c r="F57" s="27">
        <f t="shared" ref="F57:L57" si="4">IF($I59=0,0,F56/$I59)</f>
        <v>1</v>
      </c>
      <c r="G57" s="27">
        <f t="shared" si="4"/>
        <v>0</v>
      </c>
      <c r="H57" s="27">
        <f t="shared" si="4"/>
        <v>0</v>
      </c>
      <c r="I57" s="27">
        <f t="shared" si="4"/>
        <v>0</v>
      </c>
      <c r="J57" s="27">
        <f t="shared" si="4"/>
        <v>0</v>
      </c>
      <c r="K57" s="27">
        <f t="shared" si="4"/>
        <v>0</v>
      </c>
      <c r="L57" s="27">
        <f t="shared" si="4"/>
        <v>1</v>
      </c>
    </row>
    <row r="58" spans="1:14" x14ac:dyDescent="0.25">
      <c r="A58" s="37" t="s">
        <v>55</v>
      </c>
      <c r="B58" s="33"/>
      <c r="C58" s="33"/>
      <c r="D58" s="33"/>
      <c r="E58" s="33"/>
      <c r="F58" s="34" t="str">
        <f>IF(SUM(F56:I56)=0,"— não preenchido",IF(ROUND(SUM(F56:I56)-$I59,3)=0,"OK — "&amp;ROUND(SUM(F56:I56),3)&amp;" km","ERRO — dif. de "&amp;ROUND(SUM(F56:I56)-$I59,3)&amp;" km"))</f>
        <v>OK — 41,633 km</v>
      </c>
      <c r="G58" s="35"/>
      <c r="H58" s="35"/>
      <c r="I58" s="36"/>
      <c r="J58" s="34" t="str">
        <f>IF(SUM(J56:L56)=0,"— não preenchido",IF(ROUND(SUM(J56:L56)-$I59,3)=0,"OK — "&amp;ROUND(SUM(J56:L56),3)&amp;" km","ERRO — dif. de "&amp;ROUND(SUM(J56:L56)-$I59,3)&amp;" km"))</f>
        <v>OK — 41,633 km</v>
      </c>
      <c r="K58" s="35"/>
      <c r="L58" s="36"/>
    </row>
    <row r="59" spans="1:14" x14ac:dyDescent="0.25">
      <c r="A59" s="37" t="s">
        <v>56</v>
      </c>
      <c r="B59" s="33"/>
      <c r="C59" s="33"/>
      <c r="D59" s="33"/>
      <c r="E59" s="33"/>
      <c r="I59" s="28">
        <f>SUM(E9:E50)</f>
        <v>41.632983258199999</v>
      </c>
      <c r="M59" s="8" t="str">
        <f>COUNTIF(N9:N50,"OK")&amp;" de "&amp;COUNT($E$9:$E$50)&amp;" linhas conferidas"</f>
        <v>42 de 42 linhas conferidas</v>
      </c>
    </row>
    <row r="61" spans="1:14" x14ac:dyDescent="0.25">
      <c r="A61" s="42" t="s">
        <v>57</v>
      </c>
      <c r="B61" s="33"/>
      <c r="C61" s="33"/>
      <c r="D61" s="33"/>
      <c r="E61" s="33"/>
    </row>
    <row r="62" spans="1:14" x14ac:dyDescent="0.25">
      <c r="A62" s="37" t="s">
        <v>10</v>
      </c>
      <c r="B62" s="33"/>
      <c r="C62" s="33"/>
      <c r="D62" s="33"/>
      <c r="E62" s="39" t="s">
        <v>58</v>
      </c>
      <c r="F62" s="33"/>
      <c r="G62" s="33"/>
      <c r="H62" s="33"/>
      <c r="I62" s="33"/>
      <c r="J62" s="33"/>
      <c r="K62" s="33"/>
      <c r="L62" s="33"/>
      <c r="M62" s="33"/>
    </row>
    <row r="63" spans="1:14" x14ac:dyDescent="0.25">
      <c r="A63" s="37" t="s">
        <v>11</v>
      </c>
      <c r="B63" s="33"/>
      <c r="C63" s="33"/>
      <c r="D63" s="33"/>
      <c r="E63" s="39" t="s">
        <v>59</v>
      </c>
      <c r="F63" s="33"/>
      <c r="G63" s="33"/>
      <c r="H63" s="33"/>
      <c r="I63" s="33"/>
      <c r="J63" s="33"/>
      <c r="K63" s="33"/>
      <c r="L63" s="33"/>
      <c r="M63" s="33"/>
    </row>
    <row r="64" spans="1:14" x14ac:dyDescent="0.25">
      <c r="A64" s="37" t="s">
        <v>12</v>
      </c>
      <c r="B64" s="33"/>
      <c r="C64" s="33"/>
      <c r="D64" s="33"/>
      <c r="E64" s="39" t="s">
        <v>60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7" t="s">
        <v>61</v>
      </c>
      <c r="B65" s="33"/>
      <c r="C65" s="33"/>
      <c r="D65" s="33"/>
      <c r="E65" s="39" t="s">
        <v>62</v>
      </c>
      <c r="F65" s="33"/>
      <c r="G65" s="33"/>
      <c r="H65" s="33"/>
      <c r="I65" s="33"/>
      <c r="J65" s="33"/>
      <c r="K65" s="33"/>
      <c r="L65" s="33"/>
      <c r="M65" s="33"/>
    </row>
    <row r="66" spans="1:13" x14ac:dyDescent="0.25">
      <c r="A66" s="37" t="s">
        <v>63</v>
      </c>
      <c r="B66" s="33"/>
      <c r="C66" s="33"/>
      <c r="D66" s="33"/>
      <c r="E66" s="39" t="s">
        <v>64</v>
      </c>
      <c r="F66" s="33"/>
      <c r="G66" s="33"/>
      <c r="H66" s="33"/>
      <c r="I66" s="33"/>
      <c r="J66" s="33"/>
      <c r="K66" s="33"/>
      <c r="L66" s="33"/>
      <c r="M66" s="33"/>
    </row>
    <row r="67" spans="1:13" x14ac:dyDescent="0.25">
      <c r="A67" s="37" t="s">
        <v>65</v>
      </c>
      <c r="B67" s="33"/>
      <c r="C67" s="33"/>
      <c r="D67" s="33"/>
      <c r="E67" s="39" t="s">
        <v>66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7" t="s">
        <v>39</v>
      </c>
      <c r="B68" s="33"/>
      <c r="C68" s="33"/>
      <c r="D68" s="33"/>
      <c r="E68" s="39" t="s">
        <v>67</v>
      </c>
      <c r="F68" s="33"/>
      <c r="G68" s="33"/>
      <c r="H68" s="33"/>
      <c r="I68" s="33"/>
      <c r="J68" s="33"/>
      <c r="K68" s="33"/>
      <c r="L68" s="33"/>
      <c r="M68" s="33"/>
    </row>
    <row r="69" spans="1:13" x14ac:dyDescent="0.25">
      <c r="A69" s="37" t="s">
        <v>68</v>
      </c>
      <c r="B69" s="33"/>
      <c r="C69" s="33"/>
      <c r="D69" s="33"/>
      <c r="E69" s="39" t="s">
        <v>69</v>
      </c>
      <c r="F69" s="33"/>
      <c r="G69" s="33"/>
      <c r="H69" s="33"/>
      <c r="I69" s="33"/>
      <c r="J69" s="33"/>
      <c r="K69" s="33"/>
      <c r="L69" s="33"/>
      <c r="M69" s="33"/>
    </row>
    <row r="70" spans="1:13" x14ac:dyDescent="0.25">
      <c r="A70" s="37" t="s">
        <v>70</v>
      </c>
      <c r="B70" s="33"/>
      <c r="C70" s="33"/>
      <c r="D70" s="33"/>
      <c r="E70" s="39" t="s">
        <v>71</v>
      </c>
      <c r="F70" s="33"/>
      <c r="G70" s="33"/>
      <c r="H70" s="33"/>
      <c r="I70" s="33"/>
      <c r="J70" s="33"/>
      <c r="K70" s="33"/>
      <c r="L70" s="33"/>
      <c r="M70" s="33"/>
    </row>
    <row r="71" spans="1:13" x14ac:dyDescent="0.25">
      <c r="A71" s="37" t="s">
        <v>8</v>
      </c>
      <c r="B71" s="33"/>
      <c r="C71" s="33"/>
      <c r="D71" s="33"/>
      <c r="E71" s="39" t="s">
        <v>72</v>
      </c>
      <c r="F71" s="33"/>
      <c r="G71" s="33"/>
      <c r="H71" s="33"/>
      <c r="I71" s="33"/>
      <c r="J71" s="33"/>
      <c r="K71" s="33"/>
      <c r="L71" s="33"/>
      <c r="M71" s="33"/>
    </row>
  </sheetData>
  <sheetProtection formatCells="0"/>
  <mergeCells count="50">
    <mergeCell ref="G2:H2"/>
    <mergeCell ref="A8:M8"/>
    <mergeCell ref="F58:I58"/>
    <mergeCell ref="A62:D62"/>
    <mergeCell ref="A4:M4"/>
    <mergeCell ref="A2:C2"/>
    <mergeCell ref="K2:M2"/>
    <mergeCell ref="D2:E2"/>
    <mergeCell ref="J6:L6"/>
    <mergeCell ref="G52:K52"/>
    <mergeCell ref="A59:E59"/>
    <mergeCell ref="A58:E58"/>
    <mergeCell ref="A1:M1"/>
    <mergeCell ref="A57:E57"/>
    <mergeCell ref="A69:D69"/>
    <mergeCell ref="J58:L58"/>
    <mergeCell ref="E66:M66"/>
    <mergeCell ref="A65:D65"/>
    <mergeCell ref="E68:M68"/>
    <mergeCell ref="E6:E7"/>
    <mergeCell ref="G53:K53"/>
    <mergeCell ref="B6:B7"/>
    <mergeCell ref="A56:E56"/>
    <mergeCell ref="F6:I6"/>
    <mergeCell ref="A55:E55"/>
    <mergeCell ref="E69:M69"/>
    <mergeCell ref="A6:A7"/>
    <mergeCell ref="A61:E61"/>
    <mergeCell ref="N6:N7"/>
    <mergeCell ref="K3:M3"/>
    <mergeCell ref="A66:D66"/>
    <mergeCell ref="A53:E53"/>
    <mergeCell ref="E62:M62"/>
    <mergeCell ref="E65:M65"/>
    <mergeCell ref="A63:D63"/>
    <mergeCell ref="A64:D64"/>
    <mergeCell ref="M6:M7"/>
    <mergeCell ref="E63:M63"/>
    <mergeCell ref="E71:M71"/>
    <mergeCell ref="E67:M67"/>
    <mergeCell ref="A52:E52"/>
    <mergeCell ref="A3:J3"/>
    <mergeCell ref="C6:C7"/>
    <mergeCell ref="E64:M64"/>
    <mergeCell ref="A71:D71"/>
    <mergeCell ref="D6:D7"/>
    <mergeCell ref="E70:M70"/>
    <mergeCell ref="A70:D70"/>
    <mergeCell ref="A68:D68"/>
    <mergeCell ref="A67:D67"/>
  </mergeCells>
  <conditionalFormatting sqref="F9:I50">
    <cfRule type="expression" dxfId="59" priority="1">
      <formula>AND(F9&lt;&gt;"",COUNTIF($F9:$I9,"X")&gt;1)</formula>
    </cfRule>
  </conditionalFormatting>
  <conditionalFormatting sqref="F58:L58">
    <cfRule type="expression" dxfId="58" priority="5">
      <formula>LEFT(F58,4)="ERRO"</formula>
    </cfRule>
    <cfRule type="expression" dxfId="57" priority="6">
      <formula>LEFT(F58,2)="OK"</formula>
    </cfRule>
  </conditionalFormatting>
  <conditionalFormatting sqref="J9:L50">
    <cfRule type="expression" dxfId="56" priority="2">
      <formula>AND(J9&lt;&gt;"",COUNTIF($J9:$L9,"X")&gt;1)</formula>
    </cfRule>
  </conditionalFormatting>
  <conditionalFormatting sqref="N9:N50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0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0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50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208</oddHeader>
    <oddFooter>&amp;L&amp;7 RTA / MSI — Programa de Manutenção Rodoviária&amp;C&amp;7 Página &amp;P de &amp;N&amp;R&amp;7 Impresso em &amp;D</oddFooter>
  </headerFooter>
  <rowBreaks count="1" manualBreakCount="1">
    <brk id="53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IF(F56=0,NA(),F56)</f>
        <v>#N/A</v>
      </c>
      <c r="Q2" s="2">
        <f t="shared" si="0"/>
        <v>30</v>
      </c>
      <c r="R2" s="2">
        <f t="shared" si="0"/>
        <v>11.818855395600004</v>
      </c>
      <c r="S2" s="2" t="e">
        <f t="shared" si="0"/>
        <v>#N/A</v>
      </c>
      <c r="T2" s="2" t="e">
        <f t="shared" si="0"/>
        <v>#N/A</v>
      </c>
      <c r="U2" s="2">
        <f t="shared" si="0"/>
        <v>41.818855395600004</v>
      </c>
      <c r="V2" s="2" t="e">
        <f t="shared" si="0"/>
        <v>#N/A</v>
      </c>
    </row>
    <row r="3" spans="1:22" ht="15" customHeight="1" x14ac:dyDescent="0.25">
      <c r="A3" s="38" t="s">
        <v>77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78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79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80</v>
      </c>
      <c r="B9" s="15" t="s">
        <v>47</v>
      </c>
      <c r="C9" s="16">
        <v>0</v>
      </c>
      <c r="D9" s="16">
        <v>1</v>
      </c>
      <c r="E9" s="16">
        <f t="shared" ref="E9:E50" si="1">D9-C9</f>
        <v>1</v>
      </c>
      <c r="F9" s="17"/>
      <c r="G9" s="17" t="s">
        <v>48</v>
      </c>
      <c r="H9" s="17"/>
      <c r="I9" s="17"/>
      <c r="J9" s="17"/>
      <c r="K9" s="17" t="s">
        <v>48</v>
      </c>
      <c r="L9" s="17"/>
      <c r="M9" s="18"/>
      <c r="N9" s="19" t="str">
        <f t="shared" ref="N9:N5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80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80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80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80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80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80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80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80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80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80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80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80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80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80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80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80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80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80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80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80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48</v>
      </c>
      <c r="H29" s="17"/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80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48</v>
      </c>
      <c r="H30" s="17"/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80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48</v>
      </c>
      <c r="H31" s="17"/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80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48</v>
      </c>
      <c r="H32" s="17"/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80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48</v>
      </c>
      <c r="H33" s="17"/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80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48</v>
      </c>
      <c r="H34" s="17"/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80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48</v>
      </c>
      <c r="H35" s="17"/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80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48</v>
      </c>
      <c r="H36" s="17"/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80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48</v>
      </c>
      <c r="H37" s="17"/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80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80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80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80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80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/>
      <c r="K42" s="17" t="s">
        <v>48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80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/>
      <c r="K43" s="17" t="s">
        <v>48</v>
      </c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80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/>
      <c r="K44" s="17" t="s">
        <v>48</v>
      </c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80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/>
      <c r="K45" s="17" t="s">
        <v>48</v>
      </c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80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/>
      <c r="K46" s="17" t="s">
        <v>48</v>
      </c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80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/>
      <c r="G47" s="17"/>
      <c r="H47" s="17" t="s">
        <v>48</v>
      </c>
      <c r="I47" s="17"/>
      <c r="J47" s="17"/>
      <c r="K47" s="17" t="s">
        <v>48</v>
      </c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80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/>
      <c r="G48" s="17"/>
      <c r="H48" s="17" t="s">
        <v>48</v>
      </c>
      <c r="I48" s="17"/>
      <c r="J48" s="17"/>
      <c r="K48" s="17" t="s">
        <v>48</v>
      </c>
      <c r="L48" s="17"/>
      <c r="M48" s="18"/>
      <c r="N48" s="19" t="str">
        <f t="shared" si="2"/>
        <v>OK</v>
      </c>
    </row>
    <row r="49" spans="1:14" ht="20.100000000000001" customHeight="1" x14ac:dyDescent="0.25">
      <c r="A49" s="14" t="s">
        <v>80</v>
      </c>
      <c r="B49" s="15" t="s">
        <v>47</v>
      </c>
      <c r="C49" s="16">
        <v>40</v>
      </c>
      <c r="D49" s="16">
        <v>41</v>
      </c>
      <c r="E49" s="16">
        <f t="shared" si="1"/>
        <v>1</v>
      </c>
      <c r="F49" s="17"/>
      <c r="G49" s="17"/>
      <c r="H49" s="17" t="s">
        <v>48</v>
      </c>
      <c r="I49" s="17"/>
      <c r="J49" s="17"/>
      <c r="K49" s="17" t="s">
        <v>48</v>
      </c>
      <c r="L49" s="17"/>
      <c r="M49" s="18"/>
      <c r="N49" s="19" t="str">
        <f t="shared" si="2"/>
        <v>OK</v>
      </c>
    </row>
    <row r="50" spans="1:14" ht="20.100000000000001" customHeight="1" x14ac:dyDescent="0.25">
      <c r="A50" s="20" t="s">
        <v>80</v>
      </c>
      <c r="B50" s="21" t="s">
        <v>47</v>
      </c>
      <c r="C50" s="22">
        <v>41</v>
      </c>
      <c r="D50" s="22">
        <v>41.818855395600004</v>
      </c>
      <c r="E50" s="22">
        <f t="shared" si="1"/>
        <v>0.81885539560000353</v>
      </c>
      <c r="F50" s="23"/>
      <c r="G50" s="23"/>
      <c r="H50" s="23" t="s">
        <v>48</v>
      </c>
      <c r="I50" s="23"/>
      <c r="J50" s="23"/>
      <c r="K50" s="23" t="s">
        <v>48</v>
      </c>
      <c r="L50" s="23"/>
      <c r="M50" s="24"/>
      <c r="N50" s="25" t="str">
        <f t="shared" si="2"/>
        <v>OK</v>
      </c>
    </row>
    <row r="52" spans="1:14" x14ac:dyDescent="0.25">
      <c r="A52" s="40" t="s">
        <v>49</v>
      </c>
      <c r="B52" s="33"/>
      <c r="C52" s="33"/>
      <c r="D52" s="33"/>
      <c r="E52" s="33"/>
      <c r="G52" s="40" t="s">
        <v>49</v>
      </c>
      <c r="H52" s="33"/>
      <c r="I52" s="33"/>
      <c r="J52" s="33"/>
      <c r="K52" s="33"/>
    </row>
    <row r="53" spans="1:14" x14ac:dyDescent="0.25">
      <c r="A53" s="44" t="s">
        <v>50</v>
      </c>
      <c r="B53" s="33"/>
      <c r="C53" s="33"/>
      <c r="D53" s="33"/>
      <c r="E53" s="33"/>
      <c r="G53" s="44" t="s">
        <v>51</v>
      </c>
      <c r="H53" s="33"/>
      <c r="I53" s="33"/>
      <c r="J53" s="33"/>
      <c r="K53" s="33"/>
    </row>
    <row r="55" spans="1:14" x14ac:dyDescent="0.25">
      <c r="A55" s="50" t="s">
        <v>52</v>
      </c>
      <c r="B55" s="33"/>
      <c r="C55" s="33"/>
      <c r="D55" s="33"/>
      <c r="E55" s="33"/>
      <c r="F55" s="26"/>
      <c r="G55" s="26"/>
      <c r="H55" s="26"/>
      <c r="I55" s="26"/>
      <c r="J55" s="26"/>
      <c r="K55" s="26"/>
      <c r="L55" s="26"/>
      <c r="M55" s="26"/>
    </row>
    <row r="56" spans="1:14" x14ac:dyDescent="0.25">
      <c r="A56" s="37" t="s">
        <v>53</v>
      </c>
      <c r="B56" s="33"/>
      <c r="C56" s="33"/>
      <c r="D56" s="33"/>
      <c r="E56" s="33"/>
      <c r="F56" s="9">
        <f t="shared" ref="F56:L56" si="3">SUMIF(F$9:F$50,"X",$E$9:$E$50)</f>
        <v>0</v>
      </c>
      <c r="G56" s="9">
        <f t="shared" si="3"/>
        <v>30</v>
      </c>
      <c r="H56" s="9">
        <f t="shared" si="3"/>
        <v>11.818855395600004</v>
      </c>
      <c r="I56" s="9">
        <f t="shared" si="3"/>
        <v>0</v>
      </c>
      <c r="J56" s="9">
        <f t="shared" si="3"/>
        <v>0</v>
      </c>
      <c r="K56" s="9">
        <f t="shared" si="3"/>
        <v>41.818855395600004</v>
      </c>
      <c r="L56" s="9">
        <f t="shared" si="3"/>
        <v>0</v>
      </c>
    </row>
    <row r="57" spans="1:14" x14ac:dyDescent="0.25">
      <c r="A57" s="37" t="s">
        <v>54</v>
      </c>
      <c r="B57" s="33"/>
      <c r="C57" s="33"/>
      <c r="D57" s="33"/>
      <c r="E57" s="33"/>
      <c r="F57" s="27">
        <f t="shared" ref="F57:L57" si="4">IF($I59=0,0,F56/$I59)</f>
        <v>0</v>
      </c>
      <c r="G57" s="27">
        <f t="shared" si="4"/>
        <v>0.7173797493069709</v>
      </c>
      <c r="H57" s="27">
        <f t="shared" si="4"/>
        <v>0.28262025069302904</v>
      </c>
      <c r="I57" s="27">
        <f t="shared" si="4"/>
        <v>0</v>
      </c>
      <c r="J57" s="27">
        <f t="shared" si="4"/>
        <v>0</v>
      </c>
      <c r="K57" s="27">
        <f t="shared" si="4"/>
        <v>1</v>
      </c>
      <c r="L57" s="27">
        <f t="shared" si="4"/>
        <v>0</v>
      </c>
    </row>
    <row r="58" spans="1:14" x14ac:dyDescent="0.25">
      <c r="A58" s="37" t="s">
        <v>55</v>
      </c>
      <c r="B58" s="33"/>
      <c r="C58" s="33"/>
      <c r="D58" s="33"/>
      <c r="E58" s="33"/>
      <c r="F58" s="34" t="str">
        <f>IF(SUM(F56:I56)=0,"— não preenchido",IF(ROUND(SUM(F56:I56)-$I59,3)=0,"OK — "&amp;ROUND(SUM(F56:I56),3)&amp;" km","ERRO — dif. de "&amp;ROUND(SUM(F56:I56)-$I59,3)&amp;" km"))</f>
        <v>OK — 41,819 km</v>
      </c>
      <c r="G58" s="35"/>
      <c r="H58" s="35"/>
      <c r="I58" s="36"/>
      <c r="J58" s="34" t="str">
        <f>IF(SUM(J56:L56)=0,"— não preenchido",IF(ROUND(SUM(J56:L56)-$I59,3)=0,"OK — "&amp;ROUND(SUM(J56:L56),3)&amp;" km","ERRO — dif. de "&amp;ROUND(SUM(J56:L56)-$I59,3)&amp;" km"))</f>
        <v>OK — 41,819 km</v>
      </c>
      <c r="K58" s="35"/>
      <c r="L58" s="36"/>
    </row>
    <row r="59" spans="1:14" x14ac:dyDescent="0.25">
      <c r="A59" s="37" t="s">
        <v>56</v>
      </c>
      <c r="B59" s="33"/>
      <c r="C59" s="33"/>
      <c r="D59" s="33"/>
      <c r="E59" s="33"/>
      <c r="I59" s="28">
        <f>SUM(E9:E50)</f>
        <v>41.818855395600004</v>
      </c>
      <c r="M59" s="8" t="str">
        <f>COUNTIF(N9:N50,"OK")&amp;" de "&amp;COUNT($E$9:$E$50)&amp;" linhas conferidas"</f>
        <v>42 de 42 linhas conferidas</v>
      </c>
    </row>
    <row r="61" spans="1:14" x14ac:dyDescent="0.25">
      <c r="A61" s="42" t="s">
        <v>57</v>
      </c>
      <c r="B61" s="33"/>
      <c r="C61" s="33"/>
      <c r="D61" s="33"/>
      <c r="E61" s="33"/>
    </row>
    <row r="62" spans="1:14" x14ac:dyDescent="0.25">
      <c r="A62" s="37" t="s">
        <v>10</v>
      </c>
      <c r="B62" s="33"/>
      <c r="C62" s="33"/>
      <c r="D62" s="33"/>
      <c r="E62" s="39" t="s">
        <v>58</v>
      </c>
      <c r="F62" s="33"/>
      <c r="G62" s="33"/>
      <c r="H62" s="33"/>
      <c r="I62" s="33"/>
      <c r="J62" s="33"/>
      <c r="K62" s="33"/>
      <c r="L62" s="33"/>
      <c r="M62" s="33"/>
    </row>
    <row r="63" spans="1:14" x14ac:dyDescent="0.25">
      <c r="A63" s="37" t="s">
        <v>11</v>
      </c>
      <c r="B63" s="33"/>
      <c r="C63" s="33"/>
      <c r="D63" s="33"/>
      <c r="E63" s="39" t="s">
        <v>59</v>
      </c>
      <c r="F63" s="33"/>
      <c r="G63" s="33"/>
      <c r="H63" s="33"/>
      <c r="I63" s="33"/>
      <c r="J63" s="33"/>
      <c r="K63" s="33"/>
      <c r="L63" s="33"/>
      <c r="M63" s="33"/>
    </row>
    <row r="64" spans="1:14" x14ac:dyDescent="0.25">
      <c r="A64" s="37" t="s">
        <v>12</v>
      </c>
      <c r="B64" s="33"/>
      <c r="C64" s="33"/>
      <c r="D64" s="33"/>
      <c r="E64" s="39" t="s">
        <v>60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7" t="s">
        <v>61</v>
      </c>
      <c r="B65" s="33"/>
      <c r="C65" s="33"/>
      <c r="D65" s="33"/>
      <c r="E65" s="39" t="s">
        <v>62</v>
      </c>
      <c r="F65" s="33"/>
      <c r="G65" s="33"/>
      <c r="H65" s="33"/>
      <c r="I65" s="33"/>
      <c r="J65" s="33"/>
      <c r="K65" s="33"/>
      <c r="L65" s="33"/>
      <c r="M65" s="33"/>
    </row>
    <row r="66" spans="1:13" x14ac:dyDescent="0.25">
      <c r="A66" s="37" t="s">
        <v>63</v>
      </c>
      <c r="B66" s="33"/>
      <c r="C66" s="33"/>
      <c r="D66" s="33"/>
      <c r="E66" s="39" t="s">
        <v>64</v>
      </c>
      <c r="F66" s="33"/>
      <c r="G66" s="33"/>
      <c r="H66" s="33"/>
      <c r="I66" s="33"/>
      <c r="J66" s="33"/>
      <c r="K66" s="33"/>
      <c r="L66" s="33"/>
      <c r="M66" s="33"/>
    </row>
    <row r="67" spans="1:13" x14ac:dyDescent="0.25">
      <c r="A67" s="37" t="s">
        <v>65</v>
      </c>
      <c r="B67" s="33"/>
      <c r="C67" s="33"/>
      <c r="D67" s="33"/>
      <c r="E67" s="39" t="s">
        <v>66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7" t="s">
        <v>39</v>
      </c>
      <c r="B68" s="33"/>
      <c r="C68" s="33"/>
      <c r="D68" s="33"/>
      <c r="E68" s="39" t="s">
        <v>67</v>
      </c>
      <c r="F68" s="33"/>
      <c r="G68" s="33"/>
      <c r="H68" s="33"/>
      <c r="I68" s="33"/>
      <c r="J68" s="33"/>
      <c r="K68" s="33"/>
      <c r="L68" s="33"/>
      <c r="M68" s="33"/>
    </row>
    <row r="69" spans="1:13" x14ac:dyDescent="0.25">
      <c r="A69" s="37" t="s">
        <v>68</v>
      </c>
      <c r="B69" s="33"/>
      <c r="C69" s="33"/>
      <c r="D69" s="33"/>
      <c r="E69" s="39" t="s">
        <v>69</v>
      </c>
      <c r="F69" s="33"/>
      <c r="G69" s="33"/>
      <c r="H69" s="33"/>
      <c r="I69" s="33"/>
      <c r="J69" s="33"/>
      <c r="K69" s="33"/>
      <c r="L69" s="33"/>
      <c r="M69" s="33"/>
    </row>
    <row r="70" spans="1:13" x14ac:dyDescent="0.25">
      <c r="A70" s="37" t="s">
        <v>70</v>
      </c>
      <c r="B70" s="33"/>
      <c r="C70" s="33"/>
      <c r="D70" s="33"/>
      <c r="E70" s="39" t="s">
        <v>71</v>
      </c>
      <c r="F70" s="33"/>
      <c r="G70" s="33"/>
      <c r="H70" s="33"/>
      <c r="I70" s="33"/>
      <c r="J70" s="33"/>
      <c r="K70" s="33"/>
      <c r="L70" s="33"/>
      <c r="M70" s="33"/>
    </row>
    <row r="71" spans="1:13" x14ac:dyDescent="0.25">
      <c r="A71" s="37" t="s">
        <v>8</v>
      </c>
      <c r="B71" s="33"/>
      <c r="C71" s="33"/>
      <c r="D71" s="33"/>
      <c r="E71" s="39" t="s">
        <v>72</v>
      </c>
      <c r="F71" s="33"/>
      <c r="G71" s="33"/>
      <c r="H71" s="33"/>
      <c r="I71" s="33"/>
      <c r="J71" s="33"/>
      <c r="K71" s="33"/>
      <c r="L71" s="33"/>
      <c r="M71" s="33"/>
    </row>
  </sheetData>
  <sheetProtection formatCells="0"/>
  <mergeCells count="50">
    <mergeCell ref="G2:H2"/>
    <mergeCell ref="A8:M8"/>
    <mergeCell ref="F58:I58"/>
    <mergeCell ref="A62:D62"/>
    <mergeCell ref="A4:M4"/>
    <mergeCell ref="A2:C2"/>
    <mergeCell ref="K2:M2"/>
    <mergeCell ref="D2:E2"/>
    <mergeCell ref="J6:L6"/>
    <mergeCell ref="G52:K52"/>
    <mergeCell ref="A59:E59"/>
    <mergeCell ref="A58:E58"/>
    <mergeCell ref="A1:M1"/>
    <mergeCell ref="A57:E57"/>
    <mergeCell ref="A69:D69"/>
    <mergeCell ref="J58:L58"/>
    <mergeCell ref="E66:M66"/>
    <mergeCell ref="A65:D65"/>
    <mergeCell ref="E68:M68"/>
    <mergeCell ref="E6:E7"/>
    <mergeCell ref="G53:K53"/>
    <mergeCell ref="B6:B7"/>
    <mergeCell ref="A56:E56"/>
    <mergeCell ref="F6:I6"/>
    <mergeCell ref="A55:E55"/>
    <mergeCell ref="E69:M69"/>
    <mergeCell ref="A6:A7"/>
    <mergeCell ref="A61:E61"/>
    <mergeCell ref="N6:N7"/>
    <mergeCell ref="K3:M3"/>
    <mergeCell ref="A66:D66"/>
    <mergeCell ref="A53:E53"/>
    <mergeCell ref="E62:M62"/>
    <mergeCell ref="E65:M65"/>
    <mergeCell ref="A63:D63"/>
    <mergeCell ref="A64:D64"/>
    <mergeCell ref="M6:M7"/>
    <mergeCell ref="E63:M63"/>
    <mergeCell ref="E71:M71"/>
    <mergeCell ref="E67:M67"/>
    <mergeCell ref="A52:E52"/>
    <mergeCell ref="A3:J3"/>
    <mergeCell ref="C6:C7"/>
    <mergeCell ref="E64:M64"/>
    <mergeCell ref="A71:D71"/>
    <mergeCell ref="D6:D7"/>
    <mergeCell ref="E70:M70"/>
    <mergeCell ref="A70:D70"/>
    <mergeCell ref="A68:D68"/>
    <mergeCell ref="A67:D67"/>
  </mergeCells>
  <conditionalFormatting sqref="F9:I50">
    <cfRule type="expression" dxfId="53" priority="1">
      <formula>AND(F9&lt;&gt;"",COUNTIF($F9:$I9,"X")&gt;1)</formula>
    </cfRule>
  </conditionalFormatting>
  <conditionalFormatting sqref="F58:L58">
    <cfRule type="expression" dxfId="52" priority="5">
      <formula>LEFT(F58,4)="ERRO"</formula>
    </cfRule>
    <cfRule type="expression" dxfId="51" priority="6">
      <formula>LEFT(F58,2)="OK"</formula>
    </cfRule>
  </conditionalFormatting>
  <conditionalFormatting sqref="J9:L50">
    <cfRule type="expression" dxfId="50" priority="2">
      <formula>AND(J9&lt;&gt;"",COUNTIF($J9:$L9,"X")&gt;1)</formula>
    </cfRule>
  </conditionalFormatting>
  <conditionalFormatting sqref="N9:N50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0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0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50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211</oddHeader>
    <oddFooter>&amp;L&amp;7 RTA / MSI — Programa de Manutenção Rodoviária&amp;C&amp;7 Página &amp;P de &amp;N&amp;R&amp;7 Impresso em &amp;D</oddFooter>
  </headerFooter>
  <rowBreaks count="1" manualBreakCount="1">
    <brk id="53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7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IF(F55=0,NA(),F55)</f>
        <v>#N/A</v>
      </c>
      <c r="Q2" s="2" t="e">
        <f t="shared" si="0"/>
        <v>#N/A</v>
      </c>
      <c r="R2" s="2">
        <f t="shared" si="0"/>
        <v>27.379494933700002</v>
      </c>
      <c r="S2" s="2">
        <f t="shared" si="0"/>
        <v>13</v>
      </c>
      <c r="T2" s="2" t="e">
        <f t="shared" si="0"/>
        <v>#N/A</v>
      </c>
      <c r="U2" s="2">
        <f t="shared" si="0"/>
        <v>40.379494933700002</v>
      </c>
      <c r="V2" s="2" t="e">
        <f t="shared" si="0"/>
        <v>#N/A</v>
      </c>
    </row>
    <row r="3" spans="1:22" ht="15" customHeight="1" x14ac:dyDescent="0.25">
      <c r="A3" s="38" t="s">
        <v>81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82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83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84</v>
      </c>
      <c r="B9" s="15" t="s">
        <v>47</v>
      </c>
      <c r="C9" s="16">
        <v>0</v>
      </c>
      <c r="D9" s="16">
        <v>1</v>
      </c>
      <c r="E9" s="16">
        <f t="shared" ref="E9:E49" si="1">D9-C9</f>
        <v>1</v>
      </c>
      <c r="F9" s="17"/>
      <c r="G9" s="17"/>
      <c r="H9" s="17"/>
      <c r="I9" s="17" t="s">
        <v>48</v>
      </c>
      <c r="J9" s="17"/>
      <c r="K9" s="17" t="s">
        <v>48</v>
      </c>
      <c r="L9" s="17"/>
      <c r="M9" s="18"/>
      <c r="N9" s="19" t="str">
        <f t="shared" ref="N9:N49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84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/>
      <c r="H10" s="17"/>
      <c r="I10" s="17" t="s">
        <v>48</v>
      </c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84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/>
      <c r="H11" s="17"/>
      <c r="I11" s="17" t="s">
        <v>48</v>
      </c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84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/>
      <c r="H12" s="17"/>
      <c r="I12" s="17" t="s">
        <v>48</v>
      </c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84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/>
      <c r="H13" s="17"/>
      <c r="I13" s="17" t="s">
        <v>48</v>
      </c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84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/>
      <c r="H14" s="17"/>
      <c r="I14" s="17" t="s">
        <v>48</v>
      </c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84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/>
      <c r="H15" s="17"/>
      <c r="I15" s="17" t="s">
        <v>48</v>
      </c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84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/>
      <c r="H16" s="17"/>
      <c r="I16" s="17" t="s">
        <v>48</v>
      </c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84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/>
      <c r="H17" s="17"/>
      <c r="I17" s="17" t="s">
        <v>48</v>
      </c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84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/>
      <c r="H18" s="17"/>
      <c r="I18" s="17" t="s">
        <v>48</v>
      </c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84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/>
      <c r="H19" s="17"/>
      <c r="I19" s="17" t="s">
        <v>48</v>
      </c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84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/>
      <c r="H20" s="17"/>
      <c r="I20" s="17" t="s">
        <v>48</v>
      </c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84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/>
      <c r="H21" s="17"/>
      <c r="I21" s="17" t="s">
        <v>48</v>
      </c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84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/>
      <c r="H22" s="17" t="s">
        <v>48</v>
      </c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84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/>
      <c r="H23" s="17" t="s">
        <v>48</v>
      </c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84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/>
      <c r="H24" s="17" t="s">
        <v>48</v>
      </c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84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/>
      <c r="H25" s="17" t="s">
        <v>48</v>
      </c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84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/>
      <c r="H26" s="17" t="s">
        <v>48</v>
      </c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84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/>
      <c r="H27" s="17" t="s">
        <v>48</v>
      </c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84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/>
      <c r="H28" s="17" t="s">
        <v>48</v>
      </c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84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84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84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84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84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84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84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84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84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84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84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84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84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84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/>
      <c r="K42" s="17" t="s">
        <v>48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84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/>
      <c r="K43" s="17" t="s">
        <v>48</v>
      </c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84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/>
      <c r="K44" s="17" t="s">
        <v>48</v>
      </c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84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/>
      <c r="K45" s="17" t="s">
        <v>48</v>
      </c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84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/>
      <c r="K46" s="17" t="s">
        <v>48</v>
      </c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84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/>
      <c r="G47" s="17"/>
      <c r="H47" s="17" t="s">
        <v>48</v>
      </c>
      <c r="I47" s="17"/>
      <c r="J47" s="17"/>
      <c r="K47" s="17" t="s">
        <v>48</v>
      </c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84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/>
      <c r="G48" s="17"/>
      <c r="H48" s="17" t="s">
        <v>48</v>
      </c>
      <c r="I48" s="17"/>
      <c r="J48" s="17"/>
      <c r="K48" s="17" t="s">
        <v>48</v>
      </c>
      <c r="L48" s="17"/>
      <c r="M48" s="18"/>
      <c r="N48" s="19" t="str">
        <f t="shared" si="2"/>
        <v>OK</v>
      </c>
    </row>
    <row r="49" spans="1:14" ht="20.100000000000001" customHeight="1" x14ac:dyDescent="0.25">
      <c r="A49" s="20" t="s">
        <v>84</v>
      </c>
      <c r="B49" s="21" t="s">
        <v>47</v>
      </c>
      <c r="C49" s="22">
        <v>40</v>
      </c>
      <c r="D49" s="22">
        <v>40.379494933700002</v>
      </c>
      <c r="E49" s="22">
        <f t="shared" si="1"/>
        <v>0.37949493370000198</v>
      </c>
      <c r="F49" s="23"/>
      <c r="G49" s="23"/>
      <c r="H49" s="23" t="s">
        <v>48</v>
      </c>
      <c r="I49" s="23"/>
      <c r="J49" s="23"/>
      <c r="K49" s="23" t="s">
        <v>48</v>
      </c>
      <c r="L49" s="23"/>
      <c r="M49" s="24"/>
      <c r="N49" s="25" t="str">
        <f t="shared" si="2"/>
        <v>OK</v>
      </c>
    </row>
    <row r="51" spans="1:14" x14ac:dyDescent="0.25">
      <c r="A51" s="40" t="s">
        <v>49</v>
      </c>
      <c r="B51" s="33"/>
      <c r="C51" s="33"/>
      <c r="D51" s="33"/>
      <c r="E51" s="33"/>
      <c r="G51" s="40" t="s">
        <v>49</v>
      </c>
      <c r="H51" s="33"/>
      <c r="I51" s="33"/>
      <c r="J51" s="33"/>
      <c r="K51" s="33"/>
    </row>
    <row r="52" spans="1:14" x14ac:dyDescent="0.25">
      <c r="A52" s="44" t="s">
        <v>50</v>
      </c>
      <c r="B52" s="33"/>
      <c r="C52" s="33"/>
      <c r="D52" s="33"/>
      <c r="E52" s="33"/>
      <c r="G52" s="44" t="s">
        <v>51</v>
      </c>
      <c r="H52" s="33"/>
      <c r="I52" s="33"/>
      <c r="J52" s="33"/>
      <c r="K52" s="33"/>
    </row>
    <row r="54" spans="1:14" x14ac:dyDescent="0.25">
      <c r="A54" s="50" t="s">
        <v>52</v>
      </c>
      <c r="B54" s="33"/>
      <c r="C54" s="33"/>
      <c r="D54" s="33"/>
      <c r="E54" s="33"/>
      <c r="F54" s="26"/>
      <c r="G54" s="26"/>
      <c r="H54" s="26"/>
      <c r="I54" s="26"/>
      <c r="J54" s="26"/>
      <c r="K54" s="26"/>
      <c r="L54" s="26"/>
      <c r="M54" s="26"/>
    </row>
    <row r="55" spans="1:14" x14ac:dyDescent="0.25">
      <c r="A55" s="37" t="s">
        <v>53</v>
      </c>
      <c r="B55" s="33"/>
      <c r="C55" s="33"/>
      <c r="D55" s="33"/>
      <c r="E55" s="33"/>
      <c r="F55" s="9">
        <f t="shared" ref="F55:L55" si="3">SUMIF(F$9:F$49,"X",$E$9:$E$49)</f>
        <v>0</v>
      </c>
      <c r="G55" s="9">
        <f t="shared" si="3"/>
        <v>0</v>
      </c>
      <c r="H55" s="9">
        <f t="shared" si="3"/>
        <v>27.379494933700002</v>
      </c>
      <c r="I55" s="9">
        <f t="shared" si="3"/>
        <v>13</v>
      </c>
      <c r="J55" s="9">
        <f t="shared" si="3"/>
        <v>0</v>
      </c>
      <c r="K55" s="9">
        <f t="shared" si="3"/>
        <v>40.379494933700002</v>
      </c>
      <c r="L55" s="9">
        <f t="shared" si="3"/>
        <v>0</v>
      </c>
    </row>
    <row r="56" spans="1:14" x14ac:dyDescent="0.25">
      <c r="A56" s="37" t="s">
        <v>54</v>
      </c>
      <c r="B56" s="33"/>
      <c r="C56" s="33"/>
      <c r="D56" s="33"/>
      <c r="E56" s="33"/>
      <c r="F56" s="27">
        <f t="shared" ref="F56:L56" si="4">IF($I58=0,0,F55/$I58)</f>
        <v>0</v>
      </c>
      <c r="G56" s="27">
        <f t="shared" si="4"/>
        <v>0</v>
      </c>
      <c r="H56" s="27">
        <f t="shared" si="4"/>
        <v>0.67805441793303778</v>
      </c>
      <c r="I56" s="27">
        <f t="shared" si="4"/>
        <v>0.32194558206696222</v>
      </c>
      <c r="J56" s="27">
        <f t="shared" si="4"/>
        <v>0</v>
      </c>
      <c r="K56" s="27">
        <f t="shared" si="4"/>
        <v>1</v>
      </c>
      <c r="L56" s="27">
        <f t="shared" si="4"/>
        <v>0</v>
      </c>
    </row>
    <row r="57" spans="1:14" x14ac:dyDescent="0.25">
      <c r="A57" s="37" t="s">
        <v>55</v>
      </c>
      <c r="B57" s="33"/>
      <c r="C57" s="33"/>
      <c r="D57" s="33"/>
      <c r="E57" s="33"/>
      <c r="F57" s="34" t="str">
        <f>IF(SUM(F55:I55)=0,"— não preenchido",IF(ROUND(SUM(F55:I55)-$I58,3)=0,"OK — "&amp;ROUND(SUM(F55:I55),3)&amp;" km","ERRO — dif. de "&amp;ROUND(SUM(F55:I55)-$I58,3)&amp;" km"))</f>
        <v>OK — 40,379 km</v>
      </c>
      <c r="G57" s="35"/>
      <c r="H57" s="35"/>
      <c r="I57" s="36"/>
      <c r="J57" s="34" t="str">
        <f>IF(SUM(J55:L55)=0,"— não preenchido",IF(ROUND(SUM(J55:L55)-$I58,3)=0,"OK — "&amp;ROUND(SUM(J55:L55),3)&amp;" km","ERRO — dif. de "&amp;ROUND(SUM(J55:L55)-$I58,3)&amp;" km"))</f>
        <v>OK — 40,379 km</v>
      </c>
      <c r="K57" s="35"/>
      <c r="L57" s="36"/>
    </row>
    <row r="58" spans="1:14" x14ac:dyDescent="0.25">
      <c r="A58" s="37" t="s">
        <v>56</v>
      </c>
      <c r="B58" s="33"/>
      <c r="C58" s="33"/>
      <c r="D58" s="33"/>
      <c r="E58" s="33"/>
      <c r="I58" s="28">
        <f>SUM(E9:E49)</f>
        <v>40.379494933700002</v>
      </c>
      <c r="M58" s="8" t="str">
        <f>COUNTIF(N9:N49,"OK")&amp;" de "&amp;COUNT($E$9:$E$49)&amp;" linhas conferidas"</f>
        <v>41 de 41 linhas conferidas</v>
      </c>
    </row>
    <row r="60" spans="1:14" x14ac:dyDescent="0.25">
      <c r="A60" s="42" t="s">
        <v>57</v>
      </c>
      <c r="B60" s="33"/>
      <c r="C60" s="33"/>
      <c r="D60" s="33"/>
      <c r="E60" s="33"/>
    </row>
    <row r="61" spans="1:14" x14ac:dyDescent="0.25">
      <c r="A61" s="37" t="s">
        <v>10</v>
      </c>
      <c r="B61" s="33"/>
      <c r="C61" s="33"/>
      <c r="D61" s="33"/>
      <c r="E61" s="39" t="s">
        <v>58</v>
      </c>
      <c r="F61" s="33"/>
      <c r="G61" s="33"/>
      <c r="H61" s="33"/>
      <c r="I61" s="33"/>
      <c r="J61" s="33"/>
      <c r="K61" s="33"/>
      <c r="L61" s="33"/>
      <c r="M61" s="33"/>
    </row>
    <row r="62" spans="1:14" x14ac:dyDescent="0.25">
      <c r="A62" s="37" t="s">
        <v>11</v>
      </c>
      <c r="B62" s="33"/>
      <c r="C62" s="33"/>
      <c r="D62" s="33"/>
      <c r="E62" s="39" t="s">
        <v>59</v>
      </c>
      <c r="F62" s="33"/>
      <c r="G62" s="33"/>
      <c r="H62" s="33"/>
      <c r="I62" s="33"/>
      <c r="J62" s="33"/>
      <c r="K62" s="33"/>
      <c r="L62" s="33"/>
      <c r="M62" s="33"/>
    </row>
    <row r="63" spans="1:14" x14ac:dyDescent="0.25">
      <c r="A63" s="37" t="s">
        <v>12</v>
      </c>
      <c r="B63" s="33"/>
      <c r="C63" s="33"/>
      <c r="D63" s="33"/>
      <c r="E63" s="39" t="s">
        <v>60</v>
      </c>
      <c r="F63" s="33"/>
      <c r="G63" s="33"/>
      <c r="H63" s="33"/>
      <c r="I63" s="33"/>
      <c r="J63" s="33"/>
      <c r="K63" s="33"/>
      <c r="L63" s="33"/>
      <c r="M63" s="33"/>
    </row>
    <row r="64" spans="1:14" x14ac:dyDescent="0.25">
      <c r="A64" s="37" t="s">
        <v>61</v>
      </c>
      <c r="B64" s="33"/>
      <c r="C64" s="33"/>
      <c r="D64" s="33"/>
      <c r="E64" s="39" t="s">
        <v>62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7" t="s">
        <v>63</v>
      </c>
      <c r="B65" s="33"/>
      <c r="C65" s="33"/>
      <c r="D65" s="33"/>
      <c r="E65" s="39" t="s">
        <v>64</v>
      </c>
      <c r="F65" s="33"/>
      <c r="G65" s="33"/>
      <c r="H65" s="33"/>
      <c r="I65" s="33"/>
      <c r="J65" s="33"/>
      <c r="K65" s="33"/>
      <c r="L65" s="33"/>
      <c r="M65" s="33"/>
    </row>
    <row r="66" spans="1:13" x14ac:dyDescent="0.25">
      <c r="A66" s="37" t="s">
        <v>65</v>
      </c>
      <c r="B66" s="33"/>
      <c r="C66" s="33"/>
      <c r="D66" s="33"/>
      <c r="E66" s="39" t="s">
        <v>66</v>
      </c>
      <c r="F66" s="33"/>
      <c r="G66" s="33"/>
      <c r="H66" s="33"/>
      <c r="I66" s="33"/>
      <c r="J66" s="33"/>
      <c r="K66" s="33"/>
      <c r="L66" s="33"/>
      <c r="M66" s="33"/>
    </row>
    <row r="67" spans="1:13" x14ac:dyDescent="0.25">
      <c r="A67" s="37" t="s">
        <v>39</v>
      </c>
      <c r="B67" s="33"/>
      <c r="C67" s="33"/>
      <c r="D67" s="33"/>
      <c r="E67" s="39" t="s">
        <v>67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7" t="s">
        <v>68</v>
      </c>
      <c r="B68" s="33"/>
      <c r="C68" s="33"/>
      <c r="D68" s="33"/>
      <c r="E68" s="39" t="s">
        <v>69</v>
      </c>
      <c r="F68" s="33"/>
      <c r="G68" s="33"/>
      <c r="H68" s="33"/>
      <c r="I68" s="33"/>
      <c r="J68" s="33"/>
      <c r="K68" s="33"/>
      <c r="L68" s="33"/>
      <c r="M68" s="33"/>
    </row>
    <row r="69" spans="1:13" x14ac:dyDescent="0.25">
      <c r="A69" s="37" t="s">
        <v>70</v>
      </c>
      <c r="B69" s="33"/>
      <c r="C69" s="33"/>
      <c r="D69" s="33"/>
      <c r="E69" s="39" t="s">
        <v>71</v>
      </c>
      <c r="F69" s="33"/>
      <c r="G69" s="33"/>
      <c r="H69" s="33"/>
      <c r="I69" s="33"/>
      <c r="J69" s="33"/>
      <c r="K69" s="33"/>
      <c r="L69" s="33"/>
      <c r="M69" s="33"/>
    </row>
    <row r="70" spans="1:13" x14ac:dyDescent="0.25">
      <c r="A70" s="37" t="s">
        <v>8</v>
      </c>
      <c r="B70" s="33"/>
      <c r="C70" s="33"/>
      <c r="D70" s="33"/>
      <c r="E70" s="39" t="s">
        <v>72</v>
      </c>
      <c r="F70" s="33"/>
      <c r="G70" s="33"/>
      <c r="H70" s="33"/>
      <c r="I70" s="33"/>
      <c r="J70" s="33"/>
      <c r="K70" s="33"/>
      <c r="L70" s="33"/>
      <c r="M70" s="33"/>
    </row>
  </sheetData>
  <sheetProtection formatCells="0"/>
  <mergeCells count="50">
    <mergeCell ref="G2:H2"/>
    <mergeCell ref="A8:M8"/>
    <mergeCell ref="A62:D62"/>
    <mergeCell ref="A60:E60"/>
    <mergeCell ref="A4:M4"/>
    <mergeCell ref="A51:E51"/>
    <mergeCell ref="E70:M70"/>
    <mergeCell ref="E6:E7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68:D68"/>
    <mergeCell ref="A67:D67"/>
    <mergeCell ref="F57:I57"/>
    <mergeCell ref="A54:E54"/>
    <mergeCell ref="E61:M61"/>
    <mergeCell ref="A1:M1"/>
    <mergeCell ref="A57:E57"/>
    <mergeCell ref="A61:D61"/>
    <mergeCell ref="A69:D69"/>
    <mergeCell ref="E66:M66"/>
    <mergeCell ref="A65:D65"/>
    <mergeCell ref="E68:M68"/>
    <mergeCell ref="E67:M67"/>
    <mergeCell ref="A2:C2"/>
    <mergeCell ref="K2:M2"/>
    <mergeCell ref="D2:E2"/>
    <mergeCell ref="A64:D64"/>
    <mergeCell ref="M6:M7"/>
    <mergeCell ref="J6:L6"/>
    <mergeCell ref="G52:K52"/>
    <mergeCell ref="A58:E58"/>
    <mergeCell ref="N6:N7"/>
    <mergeCell ref="K3:M3"/>
    <mergeCell ref="A66:D66"/>
    <mergeCell ref="E62:M62"/>
    <mergeCell ref="J57:L57"/>
    <mergeCell ref="G51:K51"/>
    <mergeCell ref="A52:E52"/>
    <mergeCell ref="A3:J3"/>
    <mergeCell ref="C6:C7"/>
    <mergeCell ref="E64:M64"/>
    <mergeCell ref="D6:D7"/>
    <mergeCell ref="E63:M63"/>
  </mergeCells>
  <conditionalFormatting sqref="F9:I49">
    <cfRule type="expression" dxfId="47" priority="1">
      <formula>AND(F9&lt;&gt;"",COUNTIF($F9:$I9,"X")&gt;1)</formula>
    </cfRule>
  </conditionalFormatting>
  <conditionalFormatting sqref="F57:L57">
    <cfRule type="expression" dxfId="46" priority="5">
      <formula>LEFT(F57,4)="ERRO"</formula>
    </cfRule>
    <cfRule type="expression" dxfId="45" priority="6">
      <formula>LEFT(F57,2)="OK"</formula>
    </cfRule>
  </conditionalFormatting>
  <conditionalFormatting sqref="J9:L49">
    <cfRule type="expression" dxfId="44" priority="2">
      <formula>AND(J9&lt;&gt;"",COUNTIF($J9:$L9,"X")&gt;1)</formula>
    </cfRule>
  </conditionalFormatting>
  <conditionalFormatting sqref="N9:N49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213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7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IF(F60=0,NA(),F60)</f>
        <v>#N/A</v>
      </c>
      <c r="Q2" s="2">
        <f t="shared" si="0"/>
        <v>15</v>
      </c>
      <c r="R2" s="2">
        <f t="shared" si="0"/>
        <v>30.214542429300003</v>
      </c>
      <c r="S2" s="2" t="e">
        <f t="shared" si="0"/>
        <v>#N/A</v>
      </c>
      <c r="T2" s="2">
        <f t="shared" si="0"/>
        <v>45.214542429300003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38" t="s">
        <v>85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86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87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88</v>
      </c>
      <c r="B9" s="15" t="s">
        <v>47</v>
      </c>
      <c r="C9" s="16">
        <v>0</v>
      </c>
      <c r="D9" s="16">
        <v>1</v>
      </c>
      <c r="E9" s="16">
        <f t="shared" ref="E9:E54" si="1">D9-C9</f>
        <v>1</v>
      </c>
      <c r="F9" s="17"/>
      <c r="G9" s="17" t="s">
        <v>48</v>
      </c>
      <c r="H9" s="17"/>
      <c r="I9" s="17"/>
      <c r="J9" s="17" t="s">
        <v>48</v>
      </c>
      <c r="K9" s="17"/>
      <c r="L9" s="17"/>
      <c r="M9" s="18"/>
      <c r="N9" s="19" t="str">
        <f t="shared" ref="N9:N5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88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 t="s">
        <v>48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88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88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88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88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88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88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88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88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88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88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88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88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88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88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/>
      <c r="H24" s="17" t="s">
        <v>48</v>
      </c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88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/>
      <c r="H25" s="17" t="s">
        <v>48</v>
      </c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88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/>
      <c r="H26" s="17" t="s">
        <v>48</v>
      </c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88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/>
      <c r="H27" s="17" t="s">
        <v>48</v>
      </c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88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/>
      <c r="H28" s="17" t="s">
        <v>48</v>
      </c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88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88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88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88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88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88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88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88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88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88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88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 t="s">
        <v>48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88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 t="s">
        <v>48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88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 t="s">
        <v>48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88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 t="s">
        <v>48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88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 t="s">
        <v>48</v>
      </c>
      <c r="K43" s="17"/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88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 t="s">
        <v>48</v>
      </c>
      <c r="K44" s="17"/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88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 t="s">
        <v>48</v>
      </c>
      <c r="K45" s="17"/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88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 t="s">
        <v>48</v>
      </c>
      <c r="K46" s="17"/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88</v>
      </c>
      <c r="B47" s="15" t="s">
        <v>47</v>
      </c>
      <c r="C47" s="16">
        <v>38</v>
      </c>
      <c r="D47" s="16">
        <v>39</v>
      </c>
      <c r="E47" s="16">
        <f t="shared" si="1"/>
        <v>1</v>
      </c>
      <c r="F47" s="17"/>
      <c r="G47" s="17"/>
      <c r="H47" s="17" t="s">
        <v>48</v>
      </c>
      <c r="I47" s="17"/>
      <c r="J47" s="17" t="s">
        <v>48</v>
      </c>
      <c r="K47" s="17"/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88</v>
      </c>
      <c r="B48" s="15" t="s">
        <v>47</v>
      </c>
      <c r="C48" s="16">
        <v>39</v>
      </c>
      <c r="D48" s="16">
        <v>40</v>
      </c>
      <c r="E48" s="16">
        <f t="shared" si="1"/>
        <v>1</v>
      </c>
      <c r="F48" s="17"/>
      <c r="G48" s="17"/>
      <c r="H48" s="17" t="s">
        <v>48</v>
      </c>
      <c r="I48" s="17"/>
      <c r="J48" s="17" t="s">
        <v>48</v>
      </c>
      <c r="K48" s="17"/>
      <c r="L48" s="17"/>
      <c r="M48" s="18"/>
      <c r="N48" s="19" t="str">
        <f t="shared" si="2"/>
        <v>OK</v>
      </c>
    </row>
    <row r="49" spans="1:14" ht="20.100000000000001" customHeight="1" x14ac:dyDescent="0.25">
      <c r="A49" s="14" t="s">
        <v>88</v>
      </c>
      <c r="B49" s="15" t="s">
        <v>47</v>
      </c>
      <c r="C49" s="16">
        <v>40</v>
      </c>
      <c r="D49" s="16">
        <v>41</v>
      </c>
      <c r="E49" s="16">
        <f t="shared" si="1"/>
        <v>1</v>
      </c>
      <c r="F49" s="17"/>
      <c r="G49" s="17"/>
      <c r="H49" s="17" t="s">
        <v>48</v>
      </c>
      <c r="I49" s="17"/>
      <c r="J49" s="17" t="s">
        <v>48</v>
      </c>
      <c r="K49" s="17"/>
      <c r="L49" s="17"/>
      <c r="M49" s="18"/>
      <c r="N49" s="19" t="str">
        <f t="shared" si="2"/>
        <v>OK</v>
      </c>
    </row>
    <row r="50" spans="1:14" ht="20.100000000000001" customHeight="1" x14ac:dyDescent="0.25">
      <c r="A50" s="14" t="s">
        <v>88</v>
      </c>
      <c r="B50" s="15" t="s">
        <v>47</v>
      </c>
      <c r="C50" s="16">
        <v>41</v>
      </c>
      <c r="D50" s="16">
        <v>42</v>
      </c>
      <c r="E50" s="16">
        <f t="shared" si="1"/>
        <v>1</v>
      </c>
      <c r="F50" s="17"/>
      <c r="G50" s="17"/>
      <c r="H50" s="17" t="s">
        <v>48</v>
      </c>
      <c r="I50" s="17"/>
      <c r="J50" s="17" t="s">
        <v>48</v>
      </c>
      <c r="K50" s="17"/>
      <c r="L50" s="17"/>
      <c r="M50" s="18"/>
      <c r="N50" s="19" t="str">
        <f t="shared" si="2"/>
        <v>OK</v>
      </c>
    </row>
    <row r="51" spans="1:14" ht="20.100000000000001" customHeight="1" x14ac:dyDescent="0.25">
      <c r="A51" s="14" t="s">
        <v>88</v>
      </c>
      <c r="B51" s="15" t="s">
        <v>47</v>
      </c>
      <c r="C51" s="16">
        <v>42</v>
      </c>
      <c r="D51" s="16">
        <v>43</v>
      </c>
      <c r="E51" s="16">
        <f t="shared" si="1"/>
        <v>1</v>
      </c>
      <c r="F51" s="17"/>
      <c r="G51" s="17"/>
      <c r="H51" s="17" t="s">
        <v>48</v>
      </c>
      <c r="I51" s="17"/>
      <c r="J51" s="17" t="s">
        <v>48</v>
      </c>
      <c r="K51" s="17"/>
      <c r="L51" s="17"/>
      <c r="M51" s="18"/>
      <c r="N51" s="19" t="str">
        <f t="shared" si="2"/>
        <v>OK</v>
      </c>
    </row>
    <row r="52" spans="1:14" ht="20.100000000000001" customHeight="1" x14ac:dyDescent="0.25">
      <c r="A52" s="14" t="s">
        <v>88</v>
      </c>
      <c r="B52" s="15" t="s">
        <v>47</v>
      </c>
      <c r="C52" s="16">
        <v>43</v>
      </c>
      <c r="D52" s="16">
        <v>44</v>
      </c>
      <c r="E52" s="16">
        <f t="shared" si="1"/>
        <v>1</v>
      </c>
      <c r="F52" s="17"/>
      <c r="G52" s="17"/>
      <c r="H52" s="17" t="s">
        <v>48</v>
      </c>
      <c r="I52" s="17"/>
      <c r="J52" s="17" t="s">
        <v>48</v>
      </c>
      <c r="K52" s="17"/>
      <c r="L52" s="17"/>
      <c r="M52" s="18"/>
      <c r="N52" s="19" t="str">
        <f t="shared" si="2"/>
        <v>OK</v>
      </c>
    </row>
    <row r="53" spans="1:14" ht="20.100000000000001" customHeight="1" x14ac:dyDescent="0.25">
      <c r="A53" s="14" t="s">
        <v>88</v>
      </c>
      <c r="B53" s="15" t="s">
        <v>47</v>
      </c>
      <c r="C53" s="16">
        <v>44</v>
      </c>
      <c r="D53" s="16">
        <v>45</v>
      </c>
      <c r="E53" s="16">
        <f t="shared" si="1"/>
        <v>1</v>
      </c>
      <c r="F53" s="17"/>
      <c r="G53" s="17"/>
      <c r="H53" s="17" t="s">
        <v>48</v>
      </c>
      <c r="I53" s="17"/>
      <c r="J53" s="17" t="s">
        <v>48</v>
      </c>
      <c r="K53" s="17"/>
      <c r="L53" s="17"/>
      <c r="M53" s="18"/>
      <c r="N53" s="19" t="str">
        <f t="shared" si="2"/>
        <v>OK</v>
      </c>
    </row>
    <row r="54" spans="1:14" ht="20.100000000000001" customHeight="1" x14ac:dyDescent="0.25">
      <c r="A54" s="20" t="s">
        <v>88</v>
      </c>
      <c r="B54" s="21" t="s">
        <v>47</v>
      </c>
      <c r="C54" s="22">
        <v>45</v>
      </c>
      <c r="D54" s="22">
        <v>45.214542429300003</v>
      </c>
      <c r="E54" s="22">
        <f t="shared" si="1"/>
        <v>0.21454242930000333</v>
      </c>
      <c r="F54" s="23"/>
      <c r="G54" s="23"/>
      <c r="H54" s="23" t="s">
        <v>48</v>
      </c>
      <c r="I54" s="23"/>
      <c r="J54" s="23" t="s">
        <v>48</v>
      </c>
      <c r="K54" s="23"/>
      <c r="L54" s="23"/>
      <c r="M54" s="24"/>
      <c r="N54" s="25" t="str">
        <f t="shared" si="2"/>
        <v>OK</v>
      </c>
    </row>
    <row r="56" spans="1:14" x14ac:dyDescent="0.25">
      <c r="A56" s="40" t="s">
        <v>49</v>
      </c>
      <c r="B56" s="33"/>
      <c r="C56" s="33"/>
      <c r="D56" s="33"/>
      <c r="E56" s="33"/>
      <c r="G56" s="40" t="s">
        <v>49</v>
      </c>
      <c r="H56" s="33"/>
      <c r="I56" s="33"/>
      <c r="J56" s="33"/>
      <c r="K56" s="33"/>
    </row>
    <row r="57" spans="1:14" x14ac:dyDescent="0.25">
      <c r="A57" s="44" t="s">
        <v>50</v>
      </c>
      <c r="B57" s="33"/>
      <c r="C57" s="33"/>
      <c r="D57" s="33"/>
      <c r="E57" s="33"/>
      <c r="G57" s="44" t="s">
        <v>51</v>
      </c>
      <c r="H57" s="33"/>
      <c r="I57" s="33"/>
      <c r="J57" s="33"/>
      <c r="K57" s="33"/>
    </row>
    <row r="59" spans="1:14" x14ac:dyDescent="0.25">
      <c r="A59" s="50" t="s">
        <v>52</v>
      </c>
      <c r="B59" s="33"/>
      <c r="C59" s="33"/>
      <c r="D59" s="33"/>
      <c r="E59" s="33"/>
      <c r="F59" s="26"/>
      <c r="G59" s="26"/>
      <c r="H59" s="26"/>
      <c r="I59" s="26"/>
      <c r="J59" s="26"/>
      <c r="K59" s="26"/>
      <c r="L59" s="26"/>
      <c r="M59" s="26"/>
    </row>
    <row r="60" spans="1:14" x14ac:dyDescent="0.25">
      <c r="A60" s="37" t="s">
        <v>53</v>
      </c>
      <c r="B60" s="33"/>
      <c r="C60" s="33"/>
      <c r="D60" s="33"/>
      <c r="E60" s="33"/>
      <c r="F60" s="9">
        <f t="shared" ref="F60:L60" si="3">SUMIF(F$9:F$54,"X",$E$9:$E$54)</f>
        <v>0</v>
      </c>
      <c r="G60" s="9">
        <f t="shared" si="3"/>
        <v>15</v>
      </c>
      <c r="H60" s="9">
        <f t="shared" si="3"/>
        <v>30.214542429300003</v>
      </c>
      <c r="I60" s="9">
        <f t="shared" si="3"/>
        <v>0</v>
      </c>
      <c r="J60" s="9">
        <f t="shared" si="3"/>
        <v>45.214542429300003</v>
      </c>
      <c r="K60" s="9">
        <f t="shared" si="3"/>
        <v>0</v>
      </c>
      <c r="L60" s="9">
        <f t="shared" si="3"/>
        <v>0</v>
      </c>
    </row>
    <row r="61" spans="1:14" x14ac:dyDescent="0.25">
      <c r="A61" s="37" t="s">
        <v>54</v>
      </c>
      <c r="B61" s="33"/>
      <c r="C61" s="33"/>
      <c r="D61" s="33"/>
      <c r="E61" s="33"/>
      <c r="F61" s="27">
        <f t="shared" ref="F61:L61" si="4">IF($I63=0,0,F60/$I63)</f>
        <v>0</v>
      </c>
      <c r="G61" s="27">
        <f t="shared" si="4"/>
        <v>0.3317516709022289</v>
      </c>
      <c r="H61" s="27">
        <f t="shared" si="4"/>
        <v>0.6682483290977711</v>
      </c>
      <c r="I61" s="27">
        <f t="shared" si="4"/>
        <v>0</v>
      </c>
      <c r="J61" s="27">
        <f t="shared" si="4"/>
        <v>1</v>
      </c>
      <c r="K61" s="27">
        <f t="shared" si="4"/>
        <v>0</v>
      </c>
      <c r="L61" s="27">
        <f t="shared" si="4"/>
        <v>0</v>
      </c>
    </row>
    <row r="62" spans="1:14" x14ac:dyDescent="0.25">
      <c r="A62" s="37" t="s">
        <v>55</v>
      </c>
      <c r="B62" s="33"/>
      <c r="C62" s="33"/>
      <c r="D62" s="33"/>
      <c r="E62" s="33"/>
      <c r="F62" s="34" t="str">
        <f>IF(SUM(F60:I60)=0,"— não preenchido",IF(ROUND(SUM(F60:I60)-$I63,3)=0,"OK — "&amp;ROUND(SUM(F60:I60),3)&amp;" km","ERRO — dif. de "&amp;ROUND(SUM(F60:I60)-$I63,3)&amp;" km"))</f>
        <v>OK — 45,215 km</v>
      </c>
      <c r="G62" s="35"/>
      <c r="H62" s="35"/>
      <c r="I62" s="36"/>
      <c r="J62" s="34" t="str">
        <f>IF(SUM(J60:L60)=0,"— não preenchido",IF(ROUND(SUM(J60:L60)-$I63,3)=0,"OK — "&amp;ROUND(SUM(J60:L60),3)&amp;" km","ERRO — dif. de "&amp;ROUND(SUM(J60:L60)-$I63,3)&amp;" km"))</f>
        <v>OK — 45,215 km</v>
      </c>
      <c r="K62" s="35"/>
      <c r="L62" s="36"/>
    </row>
    <row r="63" spans="1:14" x14ac:dyDescent="0.25">
      <c r="A63" s="37" t="s">
        <v>56</v>
      </c>
      <c r="B63" s="33"/>
      <c r="C63" s="33"/>
      <c r="D63" s="33"/>
      <c r="E63" s="33"/>
      <c r="I63" s="28">
        <f>SUM(E9:E54)</f>
        <v>45.214542429300003</v>
      </c>
      <c r="M63" s="8" t="str">
        <f>COUNTIF(N9:N54,"OK")&amp;" de "&amp;COUNT($E$9:$E$54)&amp;" linhas conferidas"</f>
        <v>46 de 46 linhas conferidas</v>
      </c>
    </row>
    <row r="65" spans="1:13" x14ac:dyDescent="0.25">
      <c r="A65" s="42" t="s">
        <v>57</v>
      </c>
      <c r="B65" s="33"/>
      <c r="C65" s="33"/>
      <c r="D65" s="33"/>
      <c r="E65" s="33"/>
    </row>
    <row r="66" spans="1:13" x14ac:dyDescent="0.25">
      <c r="A66" s="37" t="s">
        <v>10</v>
      </c>
      <c r="B66" s="33"/>
      <c r="C66" s="33"/>
      <c r="D66" s="33"/>
      <c r="E66" s="39" t="s">
        <v>58</v>
      </c>
      <c r="F66" s="33"/>
      <c r="G66" s="33"/>
      <c r="H66" s="33"/>
      <c r="I66" s="33"/>
      <c r="J66" s="33"/>
      <c r="K66" s="33"/>
      <c r="L66" s="33"/>
      <c r="M66" s="33"/>
    </row>
    <row r="67" spans="1:13" x14ac:dyDescent="0.25">
      <c r="A67" s="37" t="s">
        <v>11</v>
      </c>
      <c r="B67" s="33"/>
      <c r="C67" s="33"/>
      <c r="D67" s="33"/>
      <c r="E67" s="39" t="s">
        <v>59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7" t="s">
        <v>12</v>
      </c>
      <c r="B68" s="33"/>
      <c r="C68" s="33"/>
      <c r="D68" s="33"/>
      <c r="E68" s="39" t="s">
        <v>60</v>
      </c>
      <c r="F68" s="33"/>
      <c r="G68" s="33"/>
      <c r="H68" s="33"/>
      <c r="I68" s="33"/>
      <c r="J68" s="33"/>
      <c r="K68" s="33"/>
      <c r="L68" s="33"/>
      <c r="M68" s="33"/>
    </row>
    <row r="69" spans="1:13" x14ac:dyDescent="0.25">
      <c r="A69" s="37" t="s">
        <v>61</v>
      </c>
      <c r="B69" s="33"/>
      <c r="C69" s="33"/>
      <c r="D69" s="33"/>
      <c r="E69" s="39" t="s">
        <v>62</v>
      </c>
      <c r="F69" s="33"/>
      <c r="G69" s="33"/>
      <c r="H69" s="33"/>
      <c r="I69" s="33"/>
      <c r="J69" s="33"/>
      <c r="K69" s="33"/>
      <c r="L69" s="33"/>
      <c r="M69" s="33"/>
    </row>
    <row r="70" spans="1:13" x14ac:dyDescent="0.25">
      <c r="A70" s="37" t="s">
        <v>63</v>
      </c>
      <c r="B70" s="33"/>
      <c r="C70" s="33"/>
      <c r="D70" s="33"/>
      <c r="E70" s="39" t="s">
        <v>64</v>
      </c>
      <c r="F70" s="33"/>
      <c r="G70" s="33"/>
      <c r="H70" s="33"/>
      <c r="I70" s="33"/>
      <c r="J70" s="33"/>
      <c r="K70" s="33"/>
      <c r="L70" s="33"/>
      <c r="M70" s="33"/>
    </row>
    <row r="71" spans="1:13" x14ac:dyDescent="0.25">
      <c r="A71" s="37" t="s">
        <v>65</v>
      </c>
      <c r="B71" s="33"/>
      <c r="C71" s="33"/>
      <c r="D71" s="33"/>
      <c r="E71" s="39" t="s">
        <v>66</v>
      </c>
      <c r="F71" s="33"/>
      <c r="G71" s="33"/>
      <c r="H71" s="33"/>
      <c r="I71" s="33"/>
      <c r="J71" s="33"/>
      <c r="K71" s="33"/>
      <c r="L71" s="33"/>
      <c r="M71" s="33"/>
    </row>
    <row r="72" spans="1:13" x14ac:dyDescent="0.25">
      <c r="A72" s="37" t="s">
        <v>39</v>
      </c>
      <c r="B72" s="33"/>
      <c r="C72" s="33"/>
      <c r="D72" s="33"/>
      <c r="E72" s="39" t="s">
        <v>67</v>
      </c>
      <c r="F72" s="33"/>
      <c r="G72" s="33"/>
      <c r="H72" s="33"/>
      <c r="I72" s="33"/>
      <c r="J72" s="33"/>
      <c r="K72" s="33"/>
      <c r="L72" s="33"/>
      <c r="M72" s="33"/>
    </row>
    <row r="73" spans="1:13" x14ac:dyDescent="0.25">
      <c r="A73" s="37" t="s">
        <v>68</v>
      </c>
      <c r="B73" s="33"/>
      <c r="C73" s="33"/>
      <c r="D73" s="33"/>
      <c r="E73" s="39" t="s">
        <v>69</v>
      </c>
      <c r="F73" s="33"/>
      <c r="G73" s="33"/>
      <c r="H73" s="33"/>
      <c r="I73" s="33"/>
      <c r="J73" s="33"/>
      <c r="K73" s="33"/>
      <c r="L73" s="33"/>
      <c r="M73" s="33"/>
    </row>
    <row r="74" spans="1:13" x14ac:dyDescent="0.25">
      <c r="A74" s="37" t="s">
        <v>70</v>
      </c>
      <c r="B74" s="33"/>
      <c r="C74" s="33"/>
      <c r="D74" s="33"/>
      <c r="E74" s="39" t="s">
        <v>71</v>
      </c>
      <c r="F74" s="33"/>
      <c r="G74" s="33"/>
      <c r="H74" s="33"/>
      <c r="I74" s="33"/>
      <c r="J74" s="33"/>
      <c r="K74" s="33"/>
      <c r="L74" s="33"/>
      <c r="M74" s="33"/>
    </row>
    <row r="75" spans="1:13" x14ac:dyDescent="0.25">
      <c r="A75" s="37" t="s">
        <v>8</v>
      </c>
      <c r="B75" s="33"/>
      <c r="C75" s="33"/>
      <c r="D75" s="33"/>
      <c r="E75" s="39" t="s">
        <v>72</v>
      </c>
      <c r="F75" s="33"/>
      <c r="G75" s="33"/>
      <c r="H75" s="33"/>
      <c r="I75" s="33"/>
      <c r="J75" s="33"/>
      <c r="K75" s="33"/>
      <c r="L75" s="33"/>
      <c r="M75" s="33"/>
    </row>
  </sheetData>
  <sheetProtection formatCells="0"/>
  <mergeCells count="50">
    <mergeCell ref="G2:H2"/>
    <mergeCell ref="A8:M8"/>
    <mergeCell ref="A4:M4"/>
    <mergeCell ref="A72:D72"/>
    <mergeCell ref="E69:M69"/>
    <mergeCell ref="A6:A7"/>
    <mergeCell ref="A61:E61"/>
    <mergeCell ref="E72:M72"/>
    <mergeCell ref="G56:K56"/>
    <mergeCell ref="J6:L6"/>
    <mergeCell ref="A59:E59"/>
    <mergeCell ref="E70:M70"/>
    <mergeCell ref="A73:D73"/>
    <mergeCell ref="B6:B7"/>
    <mergeCell ref="A56:E56"/>
    <mergeCell ref="F6:I6"/>
    <mergeCell ref="A70:D70"/>
    <mergeCell ref="A60:E60"/>
    <mergeCell ref="A1:M1"/>
    <mergeCell ref="A57:E57"/>
    <mergeCell ref="J62:L62"/>
    <mergeCell ref="A69:D69"/>
    <mergeCell ref="E75:M75"/>
    <mergeCell ref="E66:M66"/>
    <mergeCell ref="E74:M74"/>
    <mergeCell ref="A2:C2"/>
    <mergeCell ref="A68:D68"/>
    <mergeCell ref="K2:M2"/>
    <mergeCell ref="A65:E65"/>
    <mergeCell ref="A67:D67"/>
    <mergeCell ref="D2:E2"/>
    <mergeCell ref="M6:M7"/>
    <mergeCell ref="G57:K57"/>
    <mergeCell ref="E6:E7"/>
    <mergeCell ref="N6:N7"/>
    <mergeCell ref="K3:M3"/>
    <mergeCell ref="A66:D66"/>
    <mergeCell ref="A75:D75"/>
    <mergeCell ref="E68:M68"/>
    <mergeCell ref="A62:E62"/>
    <mergeCell ref="E71:M71"/>
    <mergeCell ref="A74:D74"/>
    <mergeCell ref="E67:M67"/>
    <mergeCell ref="A3:J3"/>
    <mergeCell ref="A63:E63"/>
    <mergeCell ref="F62:I62"/>
    <mergeCell ref="C6:C7"/>
    <mergeCell ref="A71:D71"/>
    <mergeCell ref="D6:D7"/>
    <mergeCell ref="E73:M73"/>
  </mergeCells>
  <conditionalFormatting sqref="F9:I54">
    <cfRule type="expression" dxfId="41" priority="1">
      <formula>AND(F9&lt;&gt;"",COUNTIF($F9:$I9,"X")&gt;1)</formula>
    </cfRule>
  </conditionalFormatting>
  <conditionalFormatting sqref="F62:L62">
    <cfRule type="expression" dxfId="40" priority="5">
      <formula>LEFT(F62,4)="ERRO"</formula>
    </cfRule>
    <cfRule type="expression" dxfId="39" priority="6">
      <formula>LEFT(F62,2)="OK"</formula>
    </cfRule>
  </conditionalFormatting>
  <conditionalFormatting sqref="J9:L54">
    <cfRule type="expression" dxfId="38" priority="2">
      <formula>AND(J9&lt;&gt;"",COUNTIF($J9:$L9,"X")&gt;1)</formula>
    </cfRule>
  </conditionalFormatting>
  <conditionalFormatting sqref="N9:N54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5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214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66"/>
  <sheetViews>
    <sheetView showGridLines="0" workbookViewId="0">
      <pane xSplit="5" ySplit="7" topLeftCell="F38" activePane="bottomRight" state="frozen"/>
      <selection pane="topRight"/>
      <selection pane="bottomLeft"/>
      <selection pane="bottomRight" activeCell="L15" sqref="L1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IF(F51=0,NA(),F51)</f>
        <v>#N/A</v>
      </c>
      <c r="Q2" s="2">
        <f t="shared" si="0"/>
        <v>11</v>
      </c>
      <c r="R2" s="2">
        <f t="shared" si="0"/>
        <v>25.2810952038</v>
      </c>
      <c r="S2" s="2" t="e">
        <f t="shared" si="0"/>
        <v>#N/A</v>
      </c>
      <c r="T2" s="2" t="e">
        <f t="shared" si="0"/>
        <v>#N/A</v>
      </c>
      <c r="U2" s="2">
        <f t="shared" si="0"/>
        <v>33</v>
      </c>
      <c r="V2" s="2">
        <f t="shared" si="0"/>
        <v>3.2810952037999996</v>
      </c>
    </row>
    <row r="3" spans="1:22" ht="15" customHeight="1" x14ac:dyDescent="0.25">
      <c r="A3" s="38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90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91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92</v>
      </c>
      <c r="B9" s="15" t="s">
        <v>47</v>
      </c>
      <c r="C9" s="16">
        <v>0</v>
      </c>
      <c r="D9" s="16">
        <v>1</v>
      </c>
      <c r="E9" s="16">
        <f t="shared" ref="E9:E45" si="1">D9-C9</f>
        <v>1</v>
      </c>
      <c r="F9" s="17"/>
      <c r="G9" s="17" t="s">
        <v>48</v>
      </c>
      <c r="H9" s="17"/>
      <c r="I9" s="17"/>
      <c r="J9" s="17"/>
      <c r="K9" s="17" t="s">
        <v>48</v>
      </c>
      <c r="L9" s="17"/>
      <c r="M9" s="18"/>
      <c r="N9" s="19" t="str">
        <f t="shared" ref="N9:N4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92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92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92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92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92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92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92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92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92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92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92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/>
      <c r="H20" s="17" t="s">
        <v>48</v>
      </c>
      <c r="I20" s="17"/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92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/>
      <c r="H21" s="17" t="s">
        <v>48</v>
      </c>
      <c r="I21" s="17"/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92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/>
      <c r="H22" s="17" t="s">
        <v>48</v>
      </c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92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/>
      <c r="H23" s="17" t="s">
        <v>48</v>
      </c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92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/>
      <c r="H24" s="17" t="s">
        <v>48</v>
      </c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92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/>
      <c r="H25" s="17" t="s">
        <v>48</v>
      </c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92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/>
      <c r="H26" s="17" t="s">
        <v>48</v>
      </c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92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/>
      <c r="H27" s="17" t="s">
        <v>48</v>
      </c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92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/>
      <c r="H28" s="17" t="s">
        <v>48</v>
      </c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92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92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92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92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92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92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92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92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92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92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92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92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92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/>
      <c r="K41" s="17" t="s">
        <v>48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92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/>
      <c r="K42" s="17"/>
      <c r="L42" s="17" t="s">
        <v>48</v>
      </c>
      <c r="M42" s="18"/>
      <c r="N42" s="19" t="str">
        <f t="shared" si="2"/>
        <v>OK</v>
      </c>
    </row>
    <row r="43" spans="1:14" ht="20.100000000000001" customHeight="1" x14ac:dyDescent="0.25">
      <c r="A43" s="14" t="s">
        <v>92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/>
      <c r="K43" s="17"/>
      <c r="L43" s="17" t="s">
        <v>48</v>
      </c>
      <c r="M43" s="18"/>
      <c r="N43" s="19" t="str">
        <f t="shared" si="2"/>
        <v>OK</v>
      </c>
    </row>
    <row r="44" spans="1:14" ht="20.100000000000001" customHeight="1" x14ac:dyDescent="0.25">
      <c r="A44" s="14" t="s">
        <v>92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/>
      <c r="K44" s="17"/>
      <c r="L44" s="17" t="s">
        <v>48</v>
      </c>
      <c r="M44" s="18"/>
      <c r="N44" s="19" t="str">
        <f t="shared" si="2"/>
        <v>OK</v>
      </c>
    </row>
    <row r="45" spans="1:14" ht="20.100000000000001" customHeight="1" x14ac:dyDescent="0.25">
      <c r="A45" s="20" t="s">
        <v>92</v>
      </c>
      <c r="B45" s="21" t="s">
        <v>47</v>
      </c>
      <c r="C45" s="22">
        <v>36</v>
      </c>
      <c r="D45" s="22">
        <v>36.2810952038</v>
      </c>
      <c r="E45" s="22">
        <f t="shared" si="1"/>
        <v>0.28109520379999964</v>
      </c>
      <c r="F45" s="23"/>
      <c r="G45" s="23"/>
      <c r="H45" s="23" t="s">
        <v>48</v>
      </c>
      <c r="I45" s="23"/>
      <c r="J45" s="23"/>
      <c r="K45" s="23"/>
      <c r="L45" s="23" t="s">
        <v>48</v>
      </c>
      <c r="M45" s="24"/>
      <c r="N45" s="25" t="str">
        <f t="shared" si="2"/>
        <v>OK</v>
      </c>
    </row>
    <row r="47" spans="1:14" x14ac:dyDescent="0.25">
      <c r="A47" s="40" t="s">
        <v>49</v>
      </c>
      <c r="B47" s="33"/>
      <c r="C47" s="33"/>
      <c r="D47" s="33"/>
      <c r="E47" s="33"/>
      <c r="G47" s="40" t="s">
        <v>49</v>
      </c>
      <c r="H47" s="33"/>
      <c r="I47" s="33"/>
      <c r="J47" s="33"/>
      <c r="K47" s="33"/>
    </row>
    <row r="48" spans="1:14" x14ac:dyDescent="0.25">
      <c r="A48" s="44" t="s">
        <v>50</v>
      </c>
      <c r="B48" s="33"/>
      <c r="C48" s="33"/>
      <c r="D48" s="33"/>
      <c r="E48" s="33"/>
      <c r="G48" s="44" t="s">
        <v>51</v>
      </c>
      <c r="H48" s="33"/>
      <c r="I48" s="33"/>
      <c r="J48" s="33"/>
      <c r="K48" s="33"/>
    </row>
    <row r="50" spans="1:13" x14ac:dyDescent="0.25">
      <c r="A50" s="50" t="s">
        <v>52</v>
      </c>
      <c r="B50" s="33"/>
      <c r="C50" s="33"/>
      <c r="D50" s="33"/>
      <c r="E50" s="33"/>
      <c r="F50" s="26"/>
      <c r="G50" s="26"/>
      <c r="H50" s="26"/>
      <c r="I50" s="26"/>
      <c r="J50" s="26"/>
      <c r="K50" s="26"/>
      <c r="L50" s="26"/>
      <c r="M50" s="26"/>
    </row>
    <row r="51" spans="1:13" x14ac:dyDescent="0.25">
      <c r="A51" s="37" t="s">
        <v>53</v>
      </c>
      <c r="B51" s="33"/>
      <c r="C51" s="33"/>
      <c r="D51" s="33"/>
      <c r="E51" s="33"/>
      <c r="F51" s="9">
        <f t="shared" ref="F51:L51" si="3">SUMIF(F$9:F$45,"X",$E$9:$E$45)</f>
        <v>0</v>
      </c>
      <c r="G51" s="9">
        <f t="shared" si="3"/>
        <v>11</v>
      </c>
      <c r="H51" s="9">
        <f t="shared" si="3"/>
        <v>25.2810952038</v>
      </c>
      <c r="I51" s="9">
        <f t="shared" si="3"/>
        <v>0</v>
      </c>
      <c r="J51" s="9">
        <f t="shared" si="3"/>
        <v>0</v>
      </c>
      <c r="K51" s="9">
        <f t="shared" si="3"/>
        <v>33</v>
      </c>
      <c r="L51" s="9">
        <f t="shared" si="3"/>
        <v>3.2810952037999996</v>
      </c>
    </row>
    <row r="52" spans="1:13" x14ac:dyDescent="0.25">
      <c r="A52" s="37" t="s">
        <v>54</v>
      </c>
      <c r="B52" s="33"/>
      <c r="C52" s="33"/>
      <c r="D52" s="33"/>
      <c r="E52" s="33"/>
      <c r="F52" s="27">
        <f t="shared" ref="F52:L52" si="4">IF($I54=0,0,F51/$I54)</f>
        <v>0</v>
      </c>
      <c r="G52" s="27">
        <f t="shared" si="4"/>
        <v>0.30318820140930819</v>
      </c>
      <c r="H52" s="27">
        <f t="shared" si="4"/>
        <v>0.69681179859069176</v>
      </c>
      <c r="I52" s="27">
        <f t="shared" si="4"/>
        <v>0</v>
      </c>
      <c r="J52" s="27">
        <f t="shared" si="4"/>
        <v>0</v>
      </c>
      <c r="K52" s="27">
        <f t="shared" si="4"/>
        <v>0.90956460422792462</v>
      </c>
      <c r="L52" s="27">
        <f t="shared" si="4"/>
        <v>9.0435395772075405E-2</v>
      </c>
    </row>
    <row r="53" spans="1:13" x14ac:dyDescent="0.25">
      <c r="A53" s="37" t="s">
        <v>55</v>
      </c>
      <c r="B53" s="33"/>
      <c r="C53" s="33"/>
      <c r="D53" s="33"/>
      <c r="E53" s="33"/>
      <c r="F53" s="34" t="str">
        <f>IF(SUM(F51:I51)=0,"— não preenchido",IF(ROUND(SUM(F51:I51)-$I54,3)=0,"OK — "&amp;ROUND(SUM(F51:I51),3)&amp;" km","ERRO — dif. de "&amp;ROUND(SUM(F51:I51)-$I54,3)&amp;" km"))</f>
        <v>OK — 36,281 km</v>
      </c>
      <c r="G53" s="35"/>
      <c r="H53" s="35"/>
      <c r="I53" s="36"/>
      <c r="J53" s="34" t="str">
        <f>IF(SUM(J51:L51)=0,"— não preenchido",IF(ROUND(SUM(J51:L51)-$I54,3)=0,"OK — "&amp;ROUND(SUM(J51:L51),3)&amp;" km","ERRO — dif. de "&amp;ROUND(SUM(J51:L51)-$I54,3)&amp;" km"))</f>
        <v>OK — 36,281 km</v>
      </c>
      <c r="K53" s="35"/>
      <c r="L53" s="36"/>
    </row>
    <row r="54" spans="1:13" x14ac:dyDescent="0.25">
      <c r="A54" s="37" t="s">
        <v>56</v>
      </c>
      <c r="B54" s="33"/>
      <c r="C54" s="33"/>
      <c r="D54" s="33"/>
      <c r="E54" s="33"/>
      <c r="I54" s="28">
        <f>SUM(E9:E45)</f>
        <v>36.2810952038</v>
      </c>
      <c r="M54" s="8" t="str">
        <f>COUNTIF(N9:N45,"OK")&amp;" de "&amp;COUNT($E$9:$E$45)&amp;" linhas conferidas"</f>
        <v>37 de 37 linhas conferidas</v>
      </c>
    </row>
    <row r="56" spans="1:13" x14ac:dyDescent="0.25">
      <c r="A56" s="42" t="s">
        <v>57</v>
      </c>
      <c r="B56" s="33"/>
      <c r="C56" s="33"/>
      <c r="D56" s="33"/>
      <c r="E56" s="33"/>
    </row>
    <row r="57" spans="1:13" x14ac:dyDescent="0.25">
      <c r="A57" s="37" t="s">
        <v>10</v>
      </c>
      <c r="B57" s="33"/>
      <c r="C57" s="33"/>
      <c r="D57" s="33"/>
      <c r="E57" s="39" t="s">
        <v>58</v>
      </c>
      <c r="F57" s="33"/>
      <c r="G57" s="33"/>
      <c r="H57" s="33"/>
      <c r="I57" s="33"/>
      <c r="J57" s="33"/>
      <c r="K57" s="33"/>
      <c r="L57" s="33"/>
      <c r="M57" s="33"/>
    </row>
    <row r="58" spans="1:13" x14ac:dyDescent="0.25">
      <c r="A58" s="37" t="s">
        <v>11</v>
      </c>
      <c r="B58" s="33"/>
      <c r="C58" s="33"/>
      <c r="D58" s="33"/>
      <c r="E58" s="39" t="s">
        <v>59</v>
      </c>
      <c r="F58" s="33"/>
      <c r="G58" s="33"/>
      <c r="H58" s="33"/>
      <c r="I58" s="33"/>
      <c r="J58" s="33"/>
      <c r="K58" s="33"/>
      <c r="L58" s="33"/>
      <c r="M58" s="33"/>
    </row>
    <row r="59" spans="1:13" x14ac:dyDescent="0.25">
      <c r="A59" s="37" t="s">
        <v>12</v>
      </c>
      <c r="B59" s="33"/>
      <c r="C59" s="33"/>
      <c r="D59" s="33"/>
      <c r="E59" s="39" t="s">
        <v>60</v>
      </c>
      <c r="F59" s="33"/>
      <c r="G59" s="33"/>
      <c r="H59" s="33"/>
      <c r="I59" s="33"/>
      <c r="J59" s="33"/>
      <c r="K59" s="33"/>
      <c r="L59" s="33"/>
      <c r="M59" s="33"/>
    </row>
    <row r="60" spans="1:13" x14ac:dyDescent="0.25">
      <c r="A60" s="37" t="s">
        <v>61</v>
      </c>
      <c r="B60" s="33"/>
      <c r="C60" s="33"/>
      <c r="D60" s="33"/>
      <c r="E60" s="39" t="s">
        <v>62</v>
      </c>
      <c r="F60" s="33"/>
      <c r="G60" s="33"/>
      <c r="H60" s="33"/>
      <c r="I60" s="33"/>
      <c r="J60" s="33"/>
      <c r="K60" s="33"/>
      <c r="L60" s="33"/>
      <c r="M60" s="33"/>
    </row>
    <row r="61" spans="1:13" x14ac:dyDescent="0.25">
      <c r="A61" s="37" t="s">
        <v>63</v>
      </c>
      <c r="B61" s="33"/>
      <c r="C61" s="33"/>
      <c r="D61" s="33"/>
      <c r="E61" s="39" t="s">
        <v>64</v>
      </c>
      <c r="F61" s="33"/>
      <c r="G61" s="33"/>
      <c r="H61" s="33"/>
      <c r="I61" s="33"/>
      <c r="J61" s="33"/>
      <c r="K61" s="33"/>
      <c r="L61" s="33"/>
      <c r="M61" s="33"/>
    </row>
    <row r="62" spans="1:13" x14ac:dyDescent="0.25">
      <c r="A62" s="37" t="s">
        <v>65</v>
      </c>
      <c r="B62" s="33"/>
      <c r="C62" s="33"/>
      <c r="D62" s="33"/>
      <c r="E62" s="39" t="s">
        <v>66</v>
      </c>
      <c r="F62" s="33"/>
      <c r="G62" s="33"/>
      <c r="H62" s="33"/>
      <c r="I62" s="33"/>
      <c r="J62" s="33"/>
      <c r="K62" s="33"/>
      <c r="L62" s="33"/>
      <c r="M62" s="33"/>
    </row>
    <row r="63" spans="1:13" x14ac:dyDescent="0.25">
      <c r="A63" s="37" t="s">
        <v>39</v>
      </c>
      <c r="B63" s="33"/>
      <c r="C63" s="33"/>
      <c r="D63" s="33"/>
      <c r="E63" s="39" t="s">
        <v>67</v>
      </c>
      <c r="F63" s="33"/>
      <c r="G63" s="33"/>
      <c r="H63" s="33"/>
      <c r="I63" s="33"/>
      <c r="J63" s="33"/>
      <c r="K63" s="33"/>
      <c r="L63" s="33"/>
      <c r="M63" s="33"/>
    </row>
    <row r="64" spans="1:13" x14ac:dyDescent="0.25">
      <c r="A64" s="37" t="s">
        <v>68</v>
      </c>
      <c r="B64" s="33"/>
      <c r="C64" s="33"/>
      <c r="D64" s="33"/>
      <c r="E64" s="39" t="s">
        <v>69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7" t="s">
        <v>70</v>
      </c>
      <c r="B65" s="33"/>
      <c r="C65" s="33"/>
      <c r="D65" s="33"/>
      <c r="E65" s="39" t="s">
        <v>71</v>
      </c>
      <c r="F65" s="33"/>
      <c r="G65" s="33"/>
      <c r="H65" s="33"/>
      <c r="I65" s="33"/>
      <c r="J65" s="33"/>
      <c r="K65" s="33"/>
      <c r="L65" s="33"/>
      <c r="M65" s="33"/>
    </row>
    <row r="66" spans="1:13" x14ac:dyDescent="0.25">
      <c r="A66" s="37" t="s">
        <v>8</v>
      </c>
      <c r="B66" s="33"/>
      <c r="C66" s="33"/>
      <c r="D66" s="33"/>
      <c r="E66" s="39" t="s">
        <v>72</v>
      </c>
      <c r="F66" s="33"/>
      <c r="G66" s="33"/>
      <c r="H66" s="33"/>
      <c r="I66" s="33"/>
      <c r="J66" s="33"/>
      <c r="K66" s="33"/>
      <c r="L66" s="33"/>
      <c r="M66" s="33"/>
    </row>
  </sheetData>
  <sheetProtection formatCells="0"/>
  <mergeCells count="50">
    <mergeCell ref="E6:E7"/>
    <mergeCell ref="B6:B7"/>
    <mergeCell ref="A1:M1"/>
    <mergeCell ref="A61:D61"/>
    <mergeCell ref="E66:M66"/>
    <mergeCell ref="A47:E47"/>
    <mergeCell ref="A65:D65"/>
    <mergeCell ref="E65:M65"/>
    <mergeCell ref="A63:D63"/>
    <mergeCell ref="A2:C2"/>
    <mergeCell ref="G48:K48"/>
    <mergeCell ref="E59:M59"/>
    <mergeCell ref="K2:M2"/>
    <mergeCell ref="D2:E2"/>
    <mergeCell ref="A54:E54"/>
    <mergeCell ref="F53:I53"/>
    <mergeCell ref="E63:M63"/>
    <mergeCell ref="G2:H2"/>
    <mergeCell ref="N6:N7"/>
    <mergeCell ref="K3:M3"/>
    <mergeCell ref="E58:M58"/>
    <mergeCell ref="A3:J3"/>
    <mergeCell ref="C6:C7"/>
    <mergeCell ref="D6:D7"/>
    <mergeCell ref="M6:M7"/>
    <mergeCell ref="J6:L6"/>
    <mergeCell ref="A48:E48"/>
    <mergeCell ref="A8:M8"/>
    <mergeCell ref="A4:M4"/>
    <mergeCell ref="A51:E51"/>
    <mergeCell ref="A6:A7"/>
    <mergeCell ref="E57:M57"/>
    <mergeCell ref="A56:E56"/>
    <mergeCell ref="F6:I6"/>
    <mergeCell ref="A66:D66"/>
    <mergeCell ref="A53:E53"/>
    <mergeCell ref="E62:M62"/>
    <mergeCell ref="A52:E52"/>
    <mergeCell ref="G47:K47"/>
    <mergeCell ref="A57:D57"/>
    <mergeCell ref="E64:M64"/>
    <mergeCell ref="J53:L53"/>
    <mergeCell ref="A64:D64"/>
    <mergeCell ref="A58:D58"/>
    <mergeCell ref="E61:M61"/>
    <mergeCell ref="A62:D62"/>
    <mergeCell ref="E60:M60"/>
    <mergeCell ref="A60:D60"/>
    <mergeCell ref="A50:E50"/>
    <mergeCell ref="A59:D59"/>
  </mergeCells>
  <conditionalFormatting sqref="F9:I45">
    <cfRule type="expression" dxfId="35" priority="1">
      <formula>AND(F9&lt;&gt;"",COUNTIF($F9:$I9,"X")&gt;1)</formula>
    </cfRule>
  </conditionalFormatting>
  <conditionalFormatting sqref="F53:L53">
    <cfRule type="expression" dxfId="34" priority="5">
      <formula>LEFT(F53,4)="ERRO"</formula>
    </cfRule>
    <cfRule type="expression" dxfId="33" priority="6">
      <formula>LEFT(F53,2)="OK"</formula>
    </cfRule>
  </conditionalFormatting>
  <conditionalFormatting sqref="J9:L45">
    <cfRule type="expression" dxfId="32" priority="2">
      <formula>AND(J9&lt;&gt;"",COUNTIF($J9:$L9,"X")&gt;1)</formula>
    </cfRule>
  </conditionalFormatting>
  <conditionalFormatting sqref="N9:N45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5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5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45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215</oddHeader>
    <oddFooter>&amp;L&amp;7 RTA / MSI — Programa de Manutenção Rodoviária&amp;C&amp;7 Página &amp;P de &amp;N&amp;R&amp;7 Impresso em &amp;D</oddFooter>
  </headerFooter>
  <rowBreaks count="1" manualBreakCount="1">
    <brk id="48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22"/>
  <sheetViews>
    <sheetView showGridLines="0" workbookViewId="0">
      <pane xSplit="5" ySplit="7" topLeftCell="F91" activePane="bottomRight" state="frozen"/>
      <selection pane="topRight"/>
      <selection pane="bottomLeft"/>
      <selection pane="bottomRight" activeCell="K50" sqref="K50:K5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IF(F107=0,NA(),F107)</f>
        <v>#N/A</v>
      </c>
      <c r="Q2" s="2" t="e">
        <f t="shared" si="0"/>
        <v>#N/A</v>
      </c>
      <c r="R2" s="2">
        <f t="shared" si="0"/>
        <v>89.379776516709995</v>
      </c>
      <c r="S2" s="2" t="e">
        <f t="shared" si="0"/>
        <v>#N/A</v>
      </c>
      <c r="T2" s="2">
        <f t="shared" si="0"/>
        <v>88.379776516709995</v>
      </c>
      <c r="U2" s="2" t="e">
        <f t="shared" si="0"/>
        <v>#N/A</v>
      </c>
      <c r="V2" s="2">
        <f t="shared" si="0"/>
        <v>1</v>
      </c>
    </row>
    <row r="3" spans="1:22" ht="15" customHeight="1" x14ac:dyDescent="0.25">
      <c r="A3" s="38" t="s">
        <v>93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94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95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96</v>
      </c>
      <c r="B9" s="15" t="s">
        <v>47</v>
      </c>
      <c r="C9" s="16">
        <v>0</v>
      </c>
      <c r="D9" s="16">
        <v>1</v>
      </c>
      <c r="E9" s="16">
        <f>D9-C9</f>
        <v>1</v>
      </c>
      <c r="F9" s="17"/>
      <c r="G9" s="17"/>
      <c r="H9" s="17" t="s">
        <v>48</v>
      </c>
      <c r="I9" s="17"/>
      <c r="J9" s="17" t="s">
        <v>48</v>
      </c>
      <c r="K9" s="17"/>
      <c r="L9" s="17"/>
      <c r="M9" s="18"/>
      <c r="N9" s="19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20" t="s">
        <v>96</v>
      </c>
      <c r="B10" s="21" t="s">
        <v>47</v>
      </c>
      <c r="C10" s="22">
        <v>1</v>
      </c>
      <c r="D10" s="22">
        <v>1.9776353338799999</v>
      </c>
      <c r="E10" s="22">
        <f>D10-C10</f>
        <v>0.9776353338799999</v>
      </c>
      <c r="F10" s="23"/>
      <c r="G10" s="23"/>
      <c r="H10" s="23" t="s">
        <v>48</v>
      </c>
      <c r="I10" s="23"/>
      <c r="J10" s="23" t="s">
        <v>48</v>
      </c>
      <c r="K10" s="23"/>
      <c r="L10" s="23"/>
      <c r="M10" s="24"/>
      <c r="N10" s="25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15.95" customHeight="1" x14ac:dyDescent="0.25">
      <c r="A11" s="48" t="s">
        <v>97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6"/>
      <c r="N11" s="4"/>
    </row>
    <row r="12" spans="1:22" ht="20.100000000000001" customHeight="1" x14ac:dyDescent="0.25">
      <c r="A12" s="14" t="s">
        <v>98</v>
      </c>
      <c r="B12" s="15" t="s">
        <v>47</v>
      </c>
      <c r="C12" s="16">
        <v>0</v>
      </c>
      <c r="D12" s="16">
        <v>1</v>
      </c>
      <c r="E12" s="16">
        <f t="shared" ref="E12:E43" si="1">D12-C12</f>
        <v>1</v>
      </c>
      <c r="F12" s="17"/>
      <c r="G12" s="17"/>
      <c r="H12" s="17" t="s">
        <v>48</v>
      </c>
      <c r="I12" s="17"/>
      <c r="J12" s="17" t="s">
        <v>48</v>
      </c>
      <c r="K12" s="17"/>
      <c r="L12" s="17"/>
      <c r="M12" s="18"/>
      <c r="N12" s="19" t="str">
        <f t="shared" ref="N12:N43" si="2">IF(COUNTA(F12:L12)=0,"— não preenchido",IF(COUNTIF(F12:I12,"X")&lt;&gt;1,"FALTA/DUPLA: CONDIÇÃO DA PLATAFORMA",IF(COUNTIF(J12:L12,"X")&lt;&gt;1,"FALTA/DUPLA: DRENAGEM SUPERFICIAL","OK")))</f>
        <v>OK</v>
      </c>
    </row>
    <row r="13" spans="1:22" ht="20.100000000000001" customHeight="1" x14ac:dyDescent="0.25">
      <c r="A13" s="14" t="s">
        <v>98</v>
      </c>
      <c r="B13" s="15" t="s">
        <v>47</v>
      </c>
      <c r="C13" s="16">
        <v>1</v>
      </c>
      <c r="D13" s="16">
        <v>2</v>
      </c>
      <c r="E13" s="16">
        <f t="shared" si="1"/>
        <v>1</v>
      </c>
      <c r="F13" s="17"/>
      <c r="G13" s="17"/>
      <c r="H13" s="17" t="s">
        <v>48</v>
      </c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98</v>
      </c>
      <c r="B14" s="15" t="s">
        <v>47</v>
      </c>
      <c r="C14" s="16">
        <v>2</v>
      </c>
      <c r="D14" s="16">
        <v>3</v>
      </c>
      <c r="E14" s="16">
        <f t="shared" si="1"/>
        <v>1</v>
      </c>
      <c r="F14" s="17"/>
      <c r="G14" s="17"/>
      <c r="H14" s="17" t="s">
        <v>48</v>
      </c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98</v>
      </c>
      <c r="B15" s="15" t="s">
        <v>47</v>
      </c>
      <c r="C15" s="16">
        <v>3</v>
      </c>
      <c r="D15" s="16">
        <v>4</v>
      </c>
      <c r="E15" s="16">
        <f t="shared" si="1"/>
        <v>1</v>
      </c>
      <c r="F15" s="17"/>
      <c r="G15" s="17"/>
      <c r="H15" s="17" t="s">
        <v>48</v>
      </c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98</v>
      </c>
      <c r="B16" s="15" t="s">
        <v>47</v>
      </c>
      <c r="C16" s="16">
        <v>4</v>
      </c>
      <c r="D16" s="16">
        <v>5</v>
      </c>
      <c r="E16" s="16">
        <f t="shared" si="1"/>
        <v>1</v>
      </c>
      <c r="F16" s="17"/>
      <c r="G16" s="17"/>
      <c r="H16" s="17" t="s">
        <v>48</v>
      </c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98</v>
      </c>
      <c r="B17" s="15" t="s">
        <v>47</v>
      </c>
      <c r="C17" s="16">
        <v>5</v>
      </c>
      <c r="D17" s="16">
        <v>6</v>
      </c>
      <c r="E17" s="16">
        <f t="shared" si="1"/>
        <v>1</v>
      </c>
      <c r="F17" s="17"/>
      <c r="G17" s="17"/>
      <c r="H17" s="17" t="s">
        <v>48</v>
      </c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98</v>
      </c>
      <c r="B18" s="15" t="s">
        <v>47</v>
      </c>
      <c r="C18" s="16">
        <v>6</v>
      </c>
      <c r="D18" s="16">
        <v>7</v>
      </c>
      <c r="E18" s="16">
        <f t="shared" si="1"/>
        <v>1</v>
      </c>
      <c r="F18" s="17"/>
      <c r="G18" s="17"/>
      <c r="H18" s="17" t="s">
        <v>48</v>
      </c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98</v>
      </c>
      <c r="B19" s="15" t="s">
        <v>47</v>
      </c>
      <c r="C19" s="16">
        <v>7</v>
      </c>
      <c r="D19" s="16">
        <v>8</v>
      </c>
      <c r="E19" s="16">
        <f t="shared" si="1"/>
        <v>1</v>
      </c>
      <c r="F19" s="17"/>
      <c r="G19" s="17"/>
      <c r="H19" s="17" t="s">
        <v>48</v>
      </c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98</v>
      </c>
      <c r="B20" s="15" t="s">
        <v>47</v>
      </c>
      <c r="C20" s="16">
        <v>8</v>
      </c>
      <c r="D20" s="16">
        <v>9</v>
      </c>
      <c r="E20" s="16">
        <f t="shared" si="1"/>
        <v>1</v>
      </c>
      <c r="F20" s="17"/>
      <c r="G20" s="17"/>
      <c r="H20" s="17" t="s">
        <v>48</v>
      </c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98</v>
      </c>
      <c r="B21" s="15" t="s">
        <v>47</v>
      </c>
      <c r="C21" s="16">
        <v>9</v>
      </c>
      <c r="D21" s="16">
        <v>10</v>
      </c>
      <c r="E21" s="16">
        <f t="shared" si="1"/>
        <v>1</v>
      </c>
      <c r="F21" s="17"/>
      <c r="G21" s="17"/>
      <c r="H21" s="17" t="s">
        <v>48</v>
      </c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98</v>
      </c>
      <c r="B22" s="15" t="s">
        <v>47</v>
      </c>
      <c r="C22" s="16">
        <v>10</v>
      </c>
      <c r="D22" s="16">
        <v>11</v>
      </c>
      <c r="E22" s="16">
        <f t="shared" si="1"/>
        <v>1</v>
      </c>
      <c r="F22" s="17"/>
      <c r="G22" s="17"/>
      <c r="H22" s="17" t="s">
        <v>48</v>
      </c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98</v>
      </c>
      <c r="B23" s="15" t="s">
        <v>47</v>
      </c>
      <c r="C23" s="16">
        <v>11</v>
      </c>
      <c r="D23" s="16">
        <v>12</v>
      </c>
      <c r="E23" s="16">
        <f t="shared" si="1"/>
        <v>1</v>
      </c>
      <c r="F23" s="17"/>
      <c r="G23" s="17"/>
      <c r="H23" s="17" t="s">
        <v>48</v>
      </c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98</v>
      </c>
      <c r="B24" s="15" t="s">
        <v>47</v>
      </c>
      <c r="C24" s="16">
        <v>12</v>
      </c>
      <c r="D24" s="16">
        <v>13</v>
      </c>
      <c r="E24" s="16">
        <f t="shared" si="1"/>
        <v>1</v>
      </c>
      <c r="F24" s="17"/>
      <c r="G24" s="17"/>
      <c r="H24" s="17" t="s">
        <v>48</v>
      </c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98</v>
      </c>
      <c r="B25" s="15" t="s">
        <v>47</v>
      </c>
      <c r="C25" s="16">
        <v>13</v>
      </c>
      <c r="D25" s="16">
        <v>14</v>
      </c>
      <c r="E25" s="16">
        <f t="shared" si="1"/>
        <v>1</v>
      </c>
      <c r="F25" s="17"/>
      <c r="G25" s="17"/>
      <c r="H25" s="17" t="s">
        <v>48</v>
      </c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98</v>
      </c>
      <c r="B26" s="15" t="s">
        <v>47</v>
      </c>
      <c r="C26" s="16">
        <v>14</v>
      </c>
      <c r="D26" s="16">
        <v>15</v>
      </c>
      <c r="E26" s="16">
        <f t="shared" si="1"/>
        <v>1</v>
      </c>
      <c r="F26" s="17"/>
      <c r="G26" s="17"/>
      <c r="H26" s="17" t="s">
        <v>48</v>
      </c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98</v>
      </c>
      <c r="B27" s="15" t="s">
        <v>47</v>
      </c>
      <c r="C27" s="16">
        <v>15</v>
      </c>
      <c r="D27" s="16">
        <v>16</v>
      </c>
      <c r="E27" s="16">
        <f t="shared" si="1"/>
        <v>1</v>
      </c>
      <c r="F27" s="17"/>
      <c r="G27" s="17"/>
      <c r="H27" s="17" t="s">
        <v>48</v>
      </c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98</v>
      </c>
      <c r="B28" s="15" t="s">
        <v>47</v>
      </c>
      <c r="C28" s="16">
        <v>16</v>
      </c>
      <c r="D28" s="16">
        <v>17</v>
      </c>
      <c r="E28" s="16">
        <f t="shared" si="1"/>
        <v>1</v>
      </c>
      <c r="F28" s="17"/>
      <c r="G28" s="17"/>
      <c r="H28" s="17" t="s">
        <v>48</v>
      </c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98</v>
      </c>
      <c r="B29" s="15" t="s">
        <v>47</v>
      </c>
      <c r="C29" s="16">
        <v>17</v>
      </c>
      <c r="D29" s="16">
        <v>18</v>
      </c>
      <c r="E29" s="16">
        <f t="shared" si="1"/>
        <v>1</v>
      </c>
      <c r="F29" s="17"/>
      <c r="G29" s="17"/>
      <c r="H29" s="17" t="s">
        <v>48</v>
      </c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98</v>
      </c>
      <c r="B30" s="15" t="s">
        <v>47</v>
      </c>
      <c r="C30" s="16">
        <v>18</v>
      </c>
      <c r="D30" s="16">
        <v>19</v>
      </c>
      <c r="E30" s="16">
        <f t="shared" si="1"/>
        <v>1</v>
      </c>
      <c r="F30" s="17"/>
      <c r="G30" s="17"/>
      <c r="H30" s="17" t="s">
        <v>48</v>
      </c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98</v>
      </c>
      <c r="B31" s="15" t="s">
        <v>47</v>
      </c>
      <c r="C31" s="16">
        <v>19</v>
      </c>
      <c r="D31" s="16">
        <v>20</v>
      </c>
      <c r="E31" s="16">
        <f t="shared" si="1"/>
        <v>1</v>
      </c>
      <c r="F31" s="17"/>
      <c r="G31" s="17"/>
      <c r="H31" s="17" t="s">
        <v>48</v>
      </c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98</v>
      </c>
      <c r="B32" s="15" t="s">
        <v>47</v>
      </c>
      <c r="C32" s="16">
        <v>20</v>
      </c>
      <c r="D32" s="16">
        <v>21</v>
      </c>
      <c r="E32" s="16">
        <f t="shared" si="1"/>
        <v>1</v>
      </c>
      <c r="F32" s="17"/>
      <c r="G32" s="17"/>
      <c r="H32" s="17" t="s">
        <v>48</v>
      </c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98</v>
      </c>
      <c r="B33" s="15" t="s">
        <v>47</v>
      </c>
      <c r="C33" s="16">
        <v>21</v>
      </c>
      <c r="D33" s="16">
        <v>22</v>
      </c>
      <c r="E33" s="16">
        <f t="shared" si="1"/>
        <v>1</v>
      </c>
      <c r="F33" s="17"/>
      <c r="G33" s="17"/>
      <c r="H33" s="17" t="s">
        <v>48</v>
      </c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98</v>
      </c>
      <c r="B34" s="15" t="s">
        <v>47</v>
      </c>
      <c r="C34" s="16">
        <v>22</v>
      </c>
      <c r="D34" s="16">
        <v>23</v>
      </c>
      <c r="E34" s="16">
        <f t="shared" si="1"/>
        <v>1</v>
      </c>
      <c r="F34" s="17"/>
      <c r="G34" s="17"/>
      <c r="H34" s="17" t="s">
        <v>48</v>
      </c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98</v>
      </c>
      <c r="B35" s="15" t="s">
        <v>47</v>
      </c>
      <c r="C35" s="16">
        <v>23</v>
      </c>
      <c r="D35" s="16">
        <v>24</v>
      </c>
      <c r="E35" s="16">
        <f t="shared" si="1"/>
        <v>1</v>
      </c>
      <c r="F35" s="17"/>
      <c r="G35" s="17"/>
      <c r="H35" s="17" t="s">
        <v>48</v>
      </c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98</v>
      </c>
      <c r="B36" s="15" t="s">
        <v>47</v>
      </c>
      <c r="C36" s="16">
        <v>24</v>
      </c>
      <c r="D36" s="16">
        <v>25</v>
      </c>
      <c r="E36" s="16">
        <f t="shared" si="1"/>
        <v>1</v>
      </c>
      <c r="F36" s="17"/>
      <c r="G36" s="17"/>
      <c r="H36" s="17" t="s">
        <v>48</v>
      </c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98</v>
      </c>
      <c r="B37" s="15" t="s">
        <v>47</v>
      </c>
      <c r="C37" s="16">
        <v>25</v>
      </c>
      <c r="D37" s="16">
        <v>26</v>
      </c>
      <c r="E37" s="16">
        <f t="shared" si="1"/>
        <v>1</v>
      </c>
      <c r="F37" s="17"/>
      <c r="G37" s="17"/>
      <c r="H37" s="17" t="s">
        <v>48</v>
      </c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98</v>
      </c>
      <c r="B38" s="15" t="s">
        <v>47</v>
      </c>
      <c r="C38" s="16">
        <v>26</v>
      </c>
      <c r="D38" s="16">
        <v>27</v>
      </c>
      <c r="E38" s="16">
        <f t="shared" si="1"/>
        <v>1</v>
      </c>
      <c r="F38" s="17"/>
      <c r="G38" s="17"/>
      <c r="H38" s="17" t="s">
        <v>48</v>
      </c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98</v>
      </c>
      <c r="B39" s="15" t="s">
        <v>47</v>
      </c>
      <c r="C39" s="16">
        <v>27</v>
      </c>
      <c r="D39" s="16">
        <v>28</v>
      </c>
      <c r="E39" s="16">
        <f t="shared" si="1"/>
        <v>1</v>
      </c>
      <c r="F39" s="17"/>
      <c r="G39" s="17"/>
      <c r="H39" s="17" t="s">
        <v>48</v>
      </c>
      <c r="I39" s="17"/>
      <c r="J39" s="17" t="s">
        <v>48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98</v>
      </c>
      <c r="B40" s="15" t="s">
        <v>47</v>
      </c>
      <c r="C40" s="16">
        <v>28</v>
      </c>
      <c r="D40" s="16">
        <v>29</v>
      </c>
      <c r="E40" s="16">
        <f t="shared" si="1"/>
        <v>1</v>
      </c>
      <c r="F40" s="17"/>
      <c r="G40" s="17"/>
      <c r="H40" s="17" t="s">
        <v>48</v>
      </c>
      <c r="I40" s="17"/>
      <c r="J40" s="17" t="s">
        <v>48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98</v>
      </c>
      <c r="B41" s="15" t="s">
        <v>47</v>
      </c>
      <c r="C41" s="16">
        <v>29</v>
      </c>
      <c r="D41" s="16">
        <v>30</v>
      </c>
      <c r="E41" s="16">
        <f t="shared" si="1"/>
        <v>1</v>
      </c>
      <c r="F41" s="17"/>
      <c r="G41" s="17"/>
      <c r="H41" s="17" t="s">
        <v>48</v>
      </c>
      <c r="I41" s="17"/>
      <c r="J41" s="17" t="s">
        <v>48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98</v>
      </c>
      <c r="B42" s="15" t="s">
        <v>47</v>
      </c>
      <c r="C42" s="16">
        <v>30</v>
      </c>
      <c r="D42" s="16">
        <v>31</v>
      </c>
      <c r="E42" s="16">
        <f t="shared" si="1"/>
        <v>1</v>
      </c>
      <c r="F42" s="17"/>
      <c r="G42" s="17"/>
      <c r="H42" s="17" t="s">
        <v>48</v>
      </c>
      <c r="I42" s="17"/>
      <c r="J42" s="17" t="s">
        <v>48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20" t="s">
        <v>98</v>
      </c>
      <c r="B43" s="21" t="s">
        <v>47</v>
      </c>
      <c r="C43" s="22">
        <v>31</v>
      </c>
      <c r="D43" s="22">
        <v>31.591065380500002</v>
      </c>
      <c r="E43" s="22">
        <f t="shared" si="1"/>
        <v>0.59106538050000168</v>
      </c>
      <c r="F43" s="23"/>
      <c r="G43" s="23"/>
      <c r="H43" s="23" t="s">
        <v>48</v>
      </c>
      <c r="I43" s="23"/>
      <c r="J43" s="23" t="s">
        <v>48</v>
      </c>
      <c r="K43" s="23"/>
      <c r="L43" s="23"/>
      <c r="M43" s="24"/>
      <c r="N43" s="25" t="str">
        <f t="shared" si="2"/>
        <v>OK</v>
      </c>
    </row>
    <row r="44" spans="1:14" ht="15.95" customHeight="1" x14ac:dyDescent="0.25">
      <c r="A44" s="48" t="s">
        <v>99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6"/>
      <c r="N44" s="4"/>
    </row>
    <row r="45" spans="1:14" ht="20.100000000000001" customHeight="1" x14ac:dyDescent="0.25">
      <c r="A45" s="14" t="s">
        <v>100</v>
      </c>
      <c r="B45" s="15" t="s">
        <v>47</v>
      </c>
      <c r="C45" s="16">
        <v>0</v>
      </c>
      <c r="D45" s="16">
        <v>1</v>
      </c>
      <c r="E45" s="16">
        <f>D45-C45</f>
        <v>1</v>
      </c>
      <c r="F45" s="17"/>
      <c r="G45" s="17"/>
      <c r="H45" s="17" t="s">
        <v>48</v>
      </c>
      <c r="I45" s="17"/>
      <c r="J45" s="17"/>
      <c r="K45" s="17"/>
      <c r="L45" s="17" t="s">
        <v>48</v>
      </c>
      <c r="M45" s="18"/>
      <c r="N45" s="19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4" t="s">
        <v>100</v>
      </c>
      <c r="B46" s="15" t="s">
        <v>47</v>
      </c>
      <c r="C46" s="16">
        <v>1</v>
      </c>
      <c r="D46" s="16">
        <v>2</v>
      </c>
      <c r="E46" s="16">
        <f>D46-C46</f>
        <v>1</v>
      </c>
      <c r="F46" s="17"/>
      <c r="G46" s="17"/>
      <c r="H46" s="17" t="s">
        <v>48</v>
      </c>
      <c r="I46" s="17"/>
      <c r="J46" s="17" t="s">
        <v>48</v>
      </c>
      <c r="K46" s="17"/>
      <c r="L46" s="17"/>
      <c r="M46" s="18"/>
      <c r="N46" s="19" t="str">
        <f>IF(COUNTA(F46:L46)=0,"— não preenchido",IF(COUNTIF(F46:I46,"X")&lt;&gt;1,"FALTA/DUPLA: CONDIÇÃO DA PLATAFORMA",IF(COUNTIF(J46:L46,"X")&lt;&gt;1,"FALTA/DUPLA: DRENAGEM SUPERFICIAL","OK")))</f>
        <v>OK</v>
      </c>
    </row>
    <row r="47" spans="1:14" ht="20.100000000000001" customHeight="1" x14ac:dyDescent="0.25">
      <c r="A47" s="14" t="s">
        <v>100</v>
      </c>
      <c r="B47" s="15" t="s">
        <v>47</v>
      </c>
      <c r="C47" s="16">
        <v>2</v>
      </c>
      <c r="D47" s="16">
        <v>3</v>
      </c>
      <c r="E47" s="16">
        <f>D47-C47</f>
        <v>1</v>
      </c>
      <c r="F47" s="17"/>
      <c r="G47" s="17"/>
      <c r="H47" s="17" t="s">
        <v>48</v>
      </c>
      <c r="I47" s="17"/>
      <c r="J47" s="17" t="s">
        <v>48</v>
      </c>
      <c r="K47" s="17"/>
      <c r="L47" s="17"/>
      <c r="M47" s="18"/>
      <c r="N47" s="19" t="str">
        <f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20" t="s">
        <v>100</v>
      </c>
      <c r="B48" s="21" t="s">
        <v>47</v>
      </c>
      <c r="C48" s="22">
        <v>3</v>
      </c>
      <c r="D48" s="22">
        <v>3.8962468263300001</v>
      </c>
      <c r="E48" s="22">
        <f>D48-C48</f>
        <v>0.89624682633000008</v>
      </c>
      <c r="F48" s="23"/>
      <c r="G48" s="23"/>
      <c r="H48" s="23" t="s">
        <v>48</v>
      </c>
      <c r="I48" s="23"/>
      <c r="J48" s="23" t="s">
        <v>48</v>
      </c>
      <c r="K48" s="23"/>
      <c r="L48" s="23"/>
      <c r="M48" s="24"/>
      <c r="N48" s="25" t="str">
        <f>IF(COUNTA(F48:L48)=0,"— não preenchido",IF(COUNTIF(F48:I48,"X")&lt;&gt;1,"FALTA/DUPLA: CONDIÇÃO DA PLATAFORMA",IF(COUNTIF(J48:L48,"X")&lt;&gt;1,"FALTA/DUPLA: DRENAGEM SUPERFICIAL","OK")))</f>
        <v>OK</v>
      </c>
    </row>
    <row r="49" spans="1:14" ht="15.95" customHeight="1" x14ac:dyDescent="0.25">
      <c r="A49" s="48" t="s">
        <v>101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6"/>
      <c r="N49" s="4"/>
    </row>
    <row r="50" spans="1:14" ht="20.100000000000001" customHeight="1" x14ac:dyDescent="0.25">
      <c r="A50" s="14" t="s">
        <v>102</v>
      </c>
      <c r="B50" s="15" t="s">
        <v>47</v>
      </c>
      <c r="C50" s="16">
        <v>0</v>
      </c>
      <c r="D50" s="16">
        <v>1</v>
      </c>
      <c r="E50" s="16">
        <f t="shared" ref="E50:E81" si="3">D50-C50</f>
        <v>1</v>
      </c>
      <c r="F50" s="17"/>
      <c r="G50" s="17"/>
      <c r="H50" s="17" t="s">
        <v>48</v>
      </c>
      <c r="I50" s="17"/>
      <c r="J50" s="17" t="s">
        <v>48</v>
      </c>
      <c r="K50" s="17"/>
      <c r="L50" s="17"/>
      <c r="M50" s="18"/>
      <c r="N50" s="19" t="str">
        <f t="shared" ref="N50:N81" si="4">IF(COUNTA(F50:L50)=0,"— não preenchido",IF(COUNTIF(F50:I50,"X")&lt;&gt;1,"FALTA/DUPLA: CONDIÇÃO DA PLATAFORMA",IF(COUNTIF(J50:L50,"X")&lt;&gt;1,"FALTA/DUPLA: DRENAGEM SUPERFICIAL","OK")))</f>
        <v>OK</v>
      </c>
    </row>
    <row r="51" spans="1:14" ht="20.100000000000001" customHeight="1" x14ac:dyDescent="0.25">
      <c r="A51" s="14" t="s">
        <v>102</v>
      </c>
      <c r="B51" s="15" t="s">
        <v>47</v>
      </c>
      <c r="C51" s="16">
        <v>1</v>
      </c>
      <c r="D51" s="16">
        <v>2</v>
      </c>
      <c r="E51" s="16">
        <f t="shared" si="3"/>
        <v>1</v>
      </c>
      <c r="F51" s="17"/>
      <c r="G51" s="17"/>
      <c r="H51" s="17" t="s">
        <v>48</v>
      </c>
      <c r="I51" s="17"/>
      <c r="J51" s="17" t="s">
        <v>48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102</v>
      </c>
      <c r="B52" s="15" t="s">
        <v>47</v>
      </c>
      <c r="C52" s="16">
        <v>2</v>
      </c>
      <c r="D52" s="16">
        <v>3</v>
      </c>
      <c r="E52" s="16">
        <f t="shared" si="3"/>
        <v>1</v>
      </c>
      <c r="F52" s="17"/>
      <c r="G52" s="17"/>
      <c r="H52" s="17" t="s">
        <v>48</v>
      </c>
      <c r="I52" s="17"/>
      <c r="J52" s="17" t="s">
        <v>48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102</v>
      </c>
      <c r="B53" s="15" t="s">
        <v>47</v>
      </c>
      <c r="C53" s="16">
        <v>3</v>
      </c>
      <c r="D53" s="16">
        <v>4</v>
      </c>
      <c r="E53" s="16">
        <f t="shared" si="3"/>
        <v>1</v>
      </c>
      <c r="F53" s="17"/>
      <c r="G53" s="17"/>
      <c r="H53" s="17" t="s">
        <v>48</v>
      </c>
      <c r="I53" s="17"/>
      <c r="J53" s="17" t="s">
        <v>48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102</v>
      </c>
      <c r="B54" s="15" t="s">
        <v>47</v>
      </c>
      <c r="C54" s="16">
        <v>4</v>
      </c>
      <c r="D54" s="16">
        <v>5</v>
      </c>
      <c r="E54" s="16">
        <f t="shared" si="3"/>
        <v>1</v>
      </c>
      <c r="F54" s="17"/>
      <c r="G54" s="17"/>
      <c r="H54" s="17" t="s">
        <v>48</v>
      </c>
      <c r="I54" s="17"/>
      <c r="J54" s="17" t="s">
        <v>48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102</v>
      </c>
      <c r="B55" s="15" t="s">
        <v>47</v>
      </c>
      <c r="C55" s="16">
        <v>5</v>
      </c>
      <c r="D55" s="16">
        <v>6</v>
      </c>
      <c r="E55" s="16">
        <f t="shared" si="3"/>
        <v>1</v>
      </c>
      <c r="F55" s="17"/>
      <c r="G55" s="17"/>
      <c r="H55" s="17" t="s">
        <v>48</v>
      </c>
      <c r="I55" s="17"/>
      <c r="J55" s="17" t="s">
        <v>48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102</v>
      </c>
      <c r="B56" s="15" t="s">
        <v>47</v>
      </c>
      <c r="C56" s="16">
        <v>6</v>
      </c>
      <c r="D56" s="16">
        <v>7</v>
      </c>
      <c r="E56" s="16">
        <f t="shared" si="3"/>
        <v>1</v>
      </c>
      <c r="F56" s="17"/>
      <c r="G56" s="17"/>
      <c r="H56" s="17" t="s">
        <v>48</v>
      </c>
      <c r="I56" s="17"/>
      <c r="J56" s="17" t="s">
        <v>48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102</v>
      </c>
      <c r="B57" s="15" t="s">
        <v>47</v>
      </c>
      <c r="C57" s="16">
        <v>7</v>
      </c>
      <c r="D57" s="16">
        <v>8</v>
      </c>
      <c r="E57" s="16">
        <f t="shared" si="3"/>
        <v>1</v>
      </c>
      <c r="F57" s="17"/>
      <c r="G57" s="17"/>
      <c r="H57" s="17" t="s">
        <v>48</v>
      </c>
      <c r="I57" s="17"/>
      <c r="J57" s="17" t="s">
        <v>48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102</v>
      </c>
      <c r="B58" s="15" t="s">
        <v>47</v>
      </c>
      <c r="C58" s="16">
        <v>8</v>
      </c>
      <c r="D58" s="16">
        <v>9</v>
      </c>
      <c r="E58" s="16">
        <f t="shared" si="3"/>
        <v>1</v>
      </c>
      <c r="F58" s="17"/>
      <c r="G58" s="17"/>
      <c r="H58" s="17" t="s">
        <v>48</v>
      </c>
      <c r="I58" s="17"/>
      <c r="J58" s="17" t="s">
        <v>48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102</v>
      </c>
      <c r="B59" s="15" t="s">
        <v>47</v>
      </c>
      <c r="C59" s="16">
        <v>9</v>
      </c>
      <c r="D59" s="16">
        <v>10</v>
      </c>
      <c r="E59" s="16">
        <f t="shared" si="3"/>
        <v>1</v>
      </c>
      <c r="F59" s="17"/>
      <c r="G59" s="17"/>
      <c r="H59" s="17" t="s">
        <v>48</v>
      </c>
      <c r="I59" s="17"/>
      <c r="J59" s="17" t="s">
        <v>48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102</v>
      </c>
      <c r="B60" s="15" t="s">
        <v>47</v>
      </c>
      <c r="C60" s="16">
        <v>10</v>
      </c>
      <c r="D60" s="16">
        <v>11</v>
      </c>
      <c r="E60" s="16">
        <f t="shared" si="3"/>
        <v>1</v>
      </c>
      <c r="F60" s="17"/>
      <c r="G60" s="17"/>
      <c r="H60" s="17" t="s">
        <v>48</v>
      </c>
      <c r="I60" s="17"/>
      <c r="J60" s="17" t="s">
        <v>48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102</v>
      </c>
      <c r="B61" s="15" t="s">
        <v>47</v>
      </c>
      <c r="C61" s="16">
        <v>11</v>
      </c>
      <c r="D61" s="16">
        <v>12</v>
      </c>
      <c r="E61" s="16">
        <f t="shared" si="3"/>
        <v>1</v>
      </c>
      <c r="F61" s="17"/>
      <c r="G61" s="17"/>
      <c r="H61" s="17" t="s">
        <v>48</v>
      </c>
      <c r="I61" s="17"/>
      <c r="J61" s="17" t="s">
        <v>48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102</v>
      </c>
      <c r="B62" s="15" t="s">
        <v>47</v>
      </c>
      <c r="C62" s="16">
        <v>12</v>
      </c>
      <c r="D62" s="16">
        <v>13</v>
      </c>
      <c r="E62" s="16">
        <f t="shared" si="3"/>
        <v>1</v>
      </c>
      <c r="F62" s="17"/>
      <c r="G62" s="17"/>
      <c r="H62" s="17" t="s">
        <v>48</v>
      </c>
      <c r="I62" s="17"/>
      <c r="J62" s="17" t="s">
        <v>48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102</v>
      </c>
      <c r="B63" s="15" t="s">
        <v>47</v>
      </c>
      <c r="C63" s="16">
        <v>13</v>
      </c>
      <c r="D63" s="16">
        <v>14</v>
      </c>
      <c r="E63" s="16">
        <f t="shared" si="3"/>
        <v>1</v>
      </c>
      <c r="F63" s="17"/>
      <c r="G63" s="17"/>
      <c r="H63" s="17" t="s">
        <v>48</v>
      </c>
      <c r="I63" s="17"/>
      <c r="J63" s="17" t="s">
        <v>48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102</v>
      </c>
      <c r="B64" s="15" t="s">
        <v>47</v>
      </c>
      <c r="C64" s="16">
        <v>14</v>
      </c>
      <c r="D64" s="16">
        <v>15</v>
      </c>
      <c r="E64" s="16">
        <f t="shared" si="3"/>
        <v>1</v>
      </c>
      <c r="F64" s="17"/>
      <c r="G64" s="17"/>
      <c r="H64" s="17" t="s">
        <v>48</v>
      </c>
      <c r="I64" s="17"/>
      <c r="J64" s="17" t="s">
        <v>48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102</v>
      </c>
      <c r="B65" s="15" t="s">
        <v>47</v>
      </c>
      <c r="C65" s="16">
        <v>15</v>
      </c>
      <c r="D65" s="16">
        <v>16</v>
      </c>
      <c r="E65" s="16">
        <f t="shared" si="3"/>
        <v>1</v>
      </c>
      <c r="F65" s="17"/>
      <c r="G65" s="17"/>
      <c r="H65" s="17" t="s">
        <v>48</v>
      </c>
      <c r="I65" s="17"/>
      <c r="J65" s="17" t="s">
        <v>48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102</v>
      </c>
      <c r="B66" s="15" t="s">
        <v>47</v>
      </c>
      <c r="C66" s="16">
        <v>16</v>
      </c>
      <c r="D66" s="16">
        <v>17</v>
      </c>
      <c r="E66" s="16">
        <f t="shared" si="3"/>
        <v>1</v>
      </c>
      <c r="F66" s="17"/>
      <c r="G66" s="17"/>
      <c r="H66" s="17" t="s">
        <v>48</v>
      </c>
      <c r="I66" s="17"/>
      <c r="J66" s="17" t="s">
        <v>48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102</v>
      </c>
      <c r="B67" s="15" t="s">
        <v>47</v>
      </c>
      <c r="C67" s="16">
        <v>17</v>
      </c>
      <c r="D67" s="16">
        <v>18</v>
      </c>
      <c r="E67" s="16">
        <f t="shared" si="3"/>
        <v>1</v>
      </c>
      <c r="F67" s="17"/>
      <c r="G67" s="17"/>
      <c r="H67" s="17" t="s">
        <v>48</v>
      </c>
      <c r="I67" s="17"/>
      <c r="J67" s="17" t="s">
        <v>48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102</v>
      </c>
      <c r="B68" s="15" t="s">
        <v>47</v>
      </c>
      <c r="C68" s="16">
        <v>18</v>
      </c>
      <c r="D68" s="16">
        <v>19</v>
      </c>
      <c r="E68" s="16">
        <f t="shared" si="3"/>
        <v>1</v>
      </c>
      <c r="F68" s="17"/>
      <c r="G68" s="17"/>
      <c r="H68" s="17" t="s">
        <v>48</v>
      </c>
      <c r="I68" s="17"/>
      <c r="J68" s="17" t="s">
        <v>48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102</v>
      </c>
      <c r="B69" s="15" t="s">
        <v>47</v>
      </c>
      <c r="C69" s="16">
        <v>19</v>
      </c>
      <c r="D69" s="16">
        <v>20</v>
      </c>
      <c r="E69" s="16">
        <f t="shared" si="3"/>
        <v>1</v>
      </c>
      <c r="F69" s="17"/>
      <c r="G69" s="17"/>
      <c r="H69" s="17" t="s">
        <v>48</v>
      </c>
      <c r="I69" s="17"/>
      <c r="J69" s="17" t="s">
        <v>48</v>
      </c>
      <c r="K69" s="17"/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102</v>
      </c>
      <c r="B70" s="15" t="s">
        <v>47</v>
      </c>
      <c r="C70" s="16">
        <v>20</v>
      </c>
      <c r="D70" s="16">
        <v>21</v>
      </c>
      <c r="E70" s="16">
        <f t="shared" si="3"/>
        <v>1</v>
      </c>
      <c r="F70" s="17"/>
      <c r="G70" s="17"/>
      <c r="H70" s="17" t="s">
        <v>48</v>
      </c>
      <c r="I70" s="17"/>
      <c r="J70" s="17" t="s">
        <v>48</v>
      </c>
      <c r="K70" s="17"/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102</v>
      </c>
      <c r="B71" s="15" t="s">
        <v>47</v>
      </c>
      <c r="C71" s="16">
        <v>21</v>
      </c>
      <c r="D71" s="16">
        <v>22</v>
      </c>
      <c r="E71" s="16">
        <f t="shared" si="3"/>
        <v>1</v>
      </c>
      <c r="F71" s="17"/>
      <c r="G71" s="17"/>
      <c r="H71" s="17" t="s">
        <v>48</v>
      </c>
      <c r="I71" s="17"/>
      <c r="J71" s="17" t="s">
        <v>48</v>
      </c>
      <c r="K71" s="17"/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102</v>
      </c>
      <c r="B72" s="15" t="s">
        <v>47</v>
      </c>
      <c r="C72" s="16">
        <v>22</v>
      </c>
      <c r="D72" s="16">
        <v>23</v>
      </c>
      <c r="E72" s="16">
        <f t="shared" si="3"/>
        <v>1</v>
      </c>
      <c r="F72" s="17"/>
      <c r="G72" s="17"/>
      <c r="H72" s="17" t="s">
        <v>48</v>
      </c>
      <c r="I72" s="17"/>
      <c r="J72" s="17" t="s">
        <v>48</v>
      </c>
      <c r="K72" s="17"/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102</v>
      </c>
      <c r="B73" s="15" t="s">
        <v>47</v>
      </c>
      <c r="C73" s="16">
        <v>23</v>
      </c>
      <c r="D73" s="16">
        <v>24</v>
      </c>
      <c r="E73" s="16">
        <f t="shared" si="3"/>
        <v>1</v>
      </c>
      <c r="F73" s="17"/>
      <c r="G73" s="17"/>
      <c r="H73" s="17" t="s">
        <v>48</v>
      </c>
      <c r="I73" s="17"/>
      <c r="J73" s="17" t="s">
        <v>48</v>
      </c>
      <c r="K73" s="17"/>
      <c r="L73" s="17"/>
      <c r="M73" s="18"/>
      <c r="N73" s="19" t="str">
        <f t="shared" si="4"/>
        <v>OK</v>
      </c>
    </row>
    <row r="74" spans="1:14" ht="20.100000000000001" customHeight="1" x14ac:dyDescent="0.25">
      <c r="A74" s="14" t="s">
        <v>102</v>
      </c>
      <c r="B74" s="15" t="s">
        <v>47</v>
      </c>
      <c r="C74" s="16">
        <v>24</v>
      </c>
      <c r="D74" s="16">
        <v>25</v>
      </c>
      <c r="E74" s="16">
        <f t="shared" si="3"/>
        <v>1</v>
      </c>
      <c r="F74" s="17"/>
      <c r="G74" s="17"/>
      <c r="H74" s="17" t="s">
        <v>48</v>
      </c>
      <c r="I74" s="17"/>
      <c r="J74" s="17" t="s">
        <v>48</v>
      </c>
      <c r="K74" s="17"/>
      <c r="L74" s="17"/>
      <c r="M74" s="18"/>
      <c r="N74" s="19" t="str">
        <f t="shared" si="4"/>
        <v>OK</v>
      </c>
    </row>
    <row r="75" spans="1:14" ht="20.100000000000001" customHeight="1" x14ac:dyDescent="0.25">
      <c r="A75" s="14" t="s">
        <v>102</v>
      </c>
      <c r="B75" s="15" t="s">
        <v>47</v>
      </c>
      <c r="C75" s="16">
        <v>25</v>
      </c>
      <c r="D75" s="16">
        <v>26</v>
      </c>
      <c r="E75" s="16">
        <f t="shared" si="3"/>
        <v>1</v>
      </c>
      <c r="F75" s="17"/>
      <c r="G75" s="17"/>
      <c r="H75" s="17" t="s">
        <v>48</v>
      </c>
      <c r="I75" s="17"/>
      <c r="J75" s="17" t="s">
        <v>48</v>
      </c>
      <c r="K75" s="17"/>
      <c r="L75" s="17"/>
      <c r="M75" s="18"/>
      <c r="N75" s="19" t="str">
        <f t="shared" si="4"/>
        <v>OK</v>
      </c>
    </row>
    <row r="76" spans="1:14" ht="20.100000000000001" customHeight="1" x14ac:dyDescent="0.25">
      <c r="A76" s="14" t="s">
        <v>102</v>
      </c>
      <c r="B76" s="15" t="s">
        <v>47</v>
      </c>
      <c r="C76" s="16">
        <v>26</v>
      </c>
      <c r="D76" s="16">
        <v>27</v>
      </c>
      <c r="E76" s="16">
        <f t="shared" si="3"/>
        <v>1</v>
      </c>
      <c r="F76" s="17"/>
      <c r="G76" s="17"/>
      <c r="H76" s="17" t="s">
        <v>48</v>
      </c>
      <c r="I76" s="17"/>
      <c r="J76" s="17" t="s">
        <v>48</v>
      </c>
      <c r="K76" s="17"/>
      <c r="L76" s="17"/>
      <c r="M76" s="18"/>
      <c r="N76" s="19" t="str">
        <f t="shared" si="4"/>
        <v>OK</v>
      </c>
    </row>
    <row r="77" spans="1:14" ht="20.100000000000001" customHeight="1" x14ac:dyDescent="0.25">
      <c r="A77" s="14" t="s">
        <v>102</v>
      </c>
      <c r="B77" s="15" t="s">
        <v>47</v>
      </c>
      <c r="C77" s="16">
        <v>27</v>
      </c>
      <c r="D77" s="16">
        <v>28</v>
      </c>
      <c r="E77" s="16">
        <f t="shared" si="3"/>
        <v>1</v>
      </c>
      <c r="F77" s="17"/>
      <c r="G77" s="17"/>
      <c r="H77" s="17" t="s">
        <v>48</v>
      </c>
      <c r="I77" s="17"/>
      <c r="J77" s="17" t="s">
        <v>48</v>
      </c>
      <c r="K77" s="17"/>
      <c r="L77" s="17"/>
      <c r="M77" s="18"/>
      <c r="N77" s="19" t="str">
        <f t="shared" si="4"/>
        <v>OK</v>
      </c>
    </row>
    <row r="78" spans="1:14" ht="20.100000000000001" customHeight="1" x14ac:dyDescent="0.25">
      <c r="A78" s="14" t="s">
        <v>102</v>
      </c>
      <c r="B78" s="15" t="s">
        <v>47</v>
      </c>
      <c r="C78" s="16">
        <v>28</v>
      </c>
      <c r="D78" s="16">
        <v>29</v>
      </c>
      <c r="E78" s="16">
        <f t="shared" si="3"/>
        <v>1</v>
      </c>
      <c r="F78" s="17"/>
      <c r="G78" s="17"/>
      <c r="H78" s="17" t="s">
        <v>48</v>
      </c>
      <c r="I78" s="17"/>
      <c r="J78" s="17" t="s">
        <v>48</v>
      </c>
      <c r="K78" s="17"/>
      <c r="L78" s="17"/>
      <c r="M78" s="18"/>
      <c r="N78" s="19" t="str">
        <f t="shared" si="4"/>
        <v>OK</v>
      </c>
    </row>
    <row r="79" spans="1:14" ht="20.100000000000001" customHeight="1" x14ac:dyDescent="0.25">
      <c r="A79" s="14" t="s">
        <v>102</v>
      </c>
      <c r="B79" s="15" t="s">
        <v>47</v>
      </c>
      <c r="C79" s="16">
        <v>29</v>
      </c>
      <c r="D79" s="16">
        <v>30</v>
      </c>
      <c r="E79" s="16">
        <f t="shared" si="3"/>
        <v>1</v>
      </c>
      <c r="F79" s="17"/>
      <c r="G79" s="17"/>
      <c r="H79" s="17" t="s">
        <v>48</v>
      </c>
      <c r="I79" s="17"/>
      <c r="J79" s="17" t="s">
        <v>48</v>
      </c>
      <c r="K79" s="17"/>
      <c r="L79" s="17"/>
      <c r="M79" s="18"/>
      <c r="N79" s="19" t="str">
        <f t="shared" si="4"/>
        <v>OK</v>
      </c>
    </row>
    <row r="80" spans="1:14" ht="20.100000000000001" customHeight="1" x14ac:dyDescent="0.25">
      <c r="A80" s="14" t="s">
        <v>102</v>
      </c>
      <c r="B80" s="15" t="s">
        <v>47</v>
      </c>
      <c r="C80" s="16">
        <v>30</v>
      </c>
      <c r="D80" s="16">
        <v>31</v>
      </c>
      <c r="E80" s="16">
        <f t="shared" si="3"/>
        <v>1</v>
      </c>
      <c r="F80" s="17"/>
      <c r="G80" s="17"/>
      <c r="H80" s="17" t="s">
        <v>48</v>
      </c>
      <c r="I80" s="17"/>
      <c r="J80" s="17" t="s">
        <v>48</v>
      </c>
      <c r="K80" s="17"/>
      <c r="L80" s="17"/>
      <c r="M80" s="18"/>
      <c r="N80" s="19" t="str">
        <f t="shared" si="4"/>
        <v>OK</v>
      </c>
    </row>
    <row r="81" spans="1:14" ht="20.100000000000001" customHeight="1" x14ac:dyDescent="0.25">
      <c r="A81" s="14" t="s">
        <v>102</v>
      </c>
      <c r="B81" s="15" t="s">
        <v>47</v>
      </c>
      <c r="C81" s="16">
        <v>31</v>
      </c>
      <c r="D81" s="16">
        <v>32</v>
      </c>
      <c r="E81" s="16">
        <f t="shared" si="3"/>
        <v>1</v>
      </c>
      <c r="F81" s="17"/>
      <c r="G81" s="17"/>
      <c r="H81" s="17" t="s">
        <v>48</v>
      </c>
      <c r="I81" s="17"/>
      <c r="J81" s="17" t="s">
        <v>48</v>
      </c>
      <c r="K81" s="17"/>
      <c r="L81" s="17"/>
      <c r="M81" s="18"/>
      <c r="N81" s="19" t="str">
        <f t="shared" si="4"/>
        <v>OK</v>
      </c>
    </row>
    <row r="82" spans="1:14" ht="20.100000000000001" customHeight="1" x14ac:dyDescent="0.25">
      <c r="A82" s="14" t="s">
        <v>102</v>
      </c>
      <c r="B82" s="15" t="s">
        <v>47</v>
      </c>
      <c r="C82" s="16">
        <v>32</v>
      </c>
      <c r="D82" s="16">
        <v>33</v>
      </c>
      <c r="E82" s="16">
        <f t="shared" ref="E82:E101" si="5">D82-C82</f>
        <v>1</v>
      </c>
      <c r="F82" s="17"/>
      <c r="G82" s="17"/>
      <c r="H82" s="17" t="s">
        <v>48</v>
      </c>
      <c r="I82" s="17"/>
      <c r="J82" s="17" t="s">
        <v>48</v>
      </c>
      <c r="K82" s="17"/>
      <c r="L82" s="17"/>
      <c r="M82" s="18"/>
      <c r="N82" s="19" t="str">
        <f t="shared" ref="N82:N101" si="6">IF(COUNTA(F82:L82)=0,"— não preenchido",IF(COUNTIF(F82:I82,"X")&lt;&gt;1,"FALTA/DUPLA: CONDIÇÃO DA PLATAFORMA",IF(COUNTIF(J82:L82,"X")&lt;&gt;1,"FALTA/DUPLA: DRENAGEM SUPERFICIAL","OK")))</f>
        <v>OK</v>
      </c>
    </row>
    <row r="83" spans="1:14" ht="20.100000000000001" customHeight="1" x14ac:dyDescent="0.25">
      <c r="A83" s="14" t="s">
        <v>102</v>
      </c>
      <c r="B83" s="15" t="s">
        <v>47</v>
      </c>
      <c r="C83" s="16">
        <v>33</v>
      </c>
      <c r="D83" s="16">
        <v>34</v>
      </c>
      <c r="E83" s="16">
        <f t="shared" si="5"/>
        <v>1</v>
      </c>
      <c r="F83" s="17"/>
      <c r="G83" s="17"/>
      <c r="H83" s="17" t="s">
        <v>48</v>
      </c>
      <c r="I83" s="17"/>
      <c r="J83" s="17" t="s">
        <v>48</v>
      </c>
      <c r="K83" s="17"/>
      <c r="L83" s="17"/>
      <c r="M83" s="18"/>
      <c r="N83" s="19" t="str">
        <f t="shared" si="6"/>
        <v>OK</v>
      </c>
    </row>
    <row r="84" spans="1:14" ht="20.100000000000001" customHeight="1" x14ac:dyDescent="0.25">
      <c r="A84" s="14" t="s">
        <v>102</v>
      </c>
      <c r="B84" s="15" t="s">
        <v>47</v>
      </c>
      <c r="C84" s="16">
        <v>34</v>
      </c>
      <c r="D84" s="16">
        <v>35</v>
      </c>
      <c r="E84" s="16">
        <f t="shared" si="5"/>
        <v>1</v>
      </c>
      <c r="F84" s="17"/>
      <c r="G84" s="17"/>
      <c r="H84" s="17" t="s">
        <v>48</v>
      </c>
      <c r="I84" s="17"/>
      <c r="J84" s="17" t="s">
        <v>48</v>
      </c>
      <c r="K84" s="17"/>
      <c r="L84" s="17"/>
      <c r="M84" s="18"/>
      <c r="N84" s="19" t="str">
        <f t="shared" si="6"/>
        <v>OK</v>
      </c>
    </row>
    <row r="85" spans="1:14" ht="20.100000000000001" customHeight="1" x14ac:dyDescent="0.25">
      <c r="A85" s="14" t="s">
        <v>102</v>
      </c>
      <c r="B85" s="15" t="s">
        <v>47</v>
      </c>
      <c r="C85" s="16">
        <v>35</v>
      </c>
      <c r="D85" s="16">
        <v>36</v>
      </c>
      <c r="E85" s="16">
        <f t="shared" si="5"/>
        <v>1</v>
      </c>
      <c r="F85" s="17"/>
      <c r="G85" s="17"/>
      <c r="H85" s="17" t="s">
        <v>48</v>
      </c>
      <c r="I85" s="17"/>
      <c r="J85" s="17" t="s">
        <v>48</v>
      </c>
      <c r="K85" s="17"/>
      <c r="L85" s="17"/>
      <c r="M85" s="18"/>
      <c r="N85" s="19" t="str">
        <f t="shared" si="6"/>
        <v>OK</v>
      </c>
    </row>
    <row r="86" spans="1:14" ht="20.100000000000001" customHeight="1" x14ac:dyDescent="0.25">
      <c r="A86" s="14" t="s">
        <v>102</v>
      </c>
      <c r="B86" s="15" t="s">
        <v>47</v>
      </c>
      <c r="C86" s="16">
        <v>36</v>
      </c>
      <c r="D86" s="16">
        <v>37</v>
      </c>
      <c r="E86" s="16">
        <f t="shared" si="5"/>
        <v>1</v>
      </c>
      <c r="F86" s="17"/>
      <c r="G86" s="17"/>
      <c r="H86" s="17" t="s">
        <v>48</v>
      </c>
      <c r="I86" s="17"/>
      <c r="J86" s="17" t="s">
        <v>48</v>
      </c>
      <c r="K86" s="17"/>
      <c r="L86" s="17"/>
      <c r="M86" s="18"/>
      <c r="N86" s="19" t="str">
        <f t="shared" si="6"/>
        <v>OK</v>
      </c>
    </row>
    <row r="87" spans="1:14" ht="20.100000000000001" customHeight="1" x14ac:dyDescent="0.25">
      <c r="A87" s="14" t="s">
        <v>102</v>
      </c>
      <c r="B87" s="15" t="s">
        <v>47</v>
      </c>
      <c r="C87" s="16">
        <v>37</v>
      </c>
      <c r="D87" s="16">
        <v>38</v>
      </c>
      <c r="E87" s="16">
        <f t="shared" si="5"/>
        <v>1</v>
      </c>
      <c r="F87" s="17"/>
      <c r="G87" s="17"/>
      <c r="H87" s="17" t="s">
        <v>48</v>
      </c>
      <c r="I87" s="17"/>
      <c r="J87" s="17" t="s">
        <v>48</v>
      </c>
      <c r="K87" s="17"/>
      <c r="L87" s="17"/>
      <c r="M87" s="18"/>
      <c r="N87" s="19" t="str">
        <f t="shared" si="6"/>
        <v>OK</v>
      </c>
    </row>
    <row r="88" spans="1:14" ht="20.100000000000001" customHeight="1" x14ac:dyDescent="0.25">
      <c r="A88" s="14" t="s">
        <v>102</v>
      </c>
      <c r="B88" s="15" t="s">
        <v>47</v>
      </c>
      <c r="C88" s="16">
        <v>38</v>
      </c>
      <c r="D88" s="16">
        <v>39</v>
      </c>
      <c r="E88" s="16">
        <f t="shared" si="5"/>
        <v>1</v>
      </c>
      <c r="F88" s="17"/>
      <c r="G88" s="17"/>
      <c r="H88" s="17" t="s">
        <v>48</v>
      </c>
      <c r="I88" s="17"/>
      <c r="J88" s="17" t="s">
        <v>48</v>
      </c>
      <c r="K88" s="17"/>
      <c r="L88" s="17"/>
      <c r="M88" s="18"/>
      <c r="N88" s="19" t="str">
        <f t="shared" si="6"/>
        <v>OK</v>
      </c>
    </row>
    <row r="89" spans="1:14" ht="20.100000000000001" customHeight="1" x14ac:dyDescent="0.25">
      <c r="A89" s="14" t="s">
        <v>102</v>
      </c>
      <c r="B89" s="15" t="s">
        <v>47</v>
      </c>
      <c r="C89" s="16">
        <v>39</v>
      </c>
      <c r="D89" s="16">
        <v>40</v>
      </c>
      <c r="E89" s="16">
        <f t="shared" si="5"/>
        <v>1</v>
      </c>
      <c r="F89" s="17"/>
      <c r="G89" s="17"/>
      <c r="H89" s="17" t="s">
        <v>48</v>
      </c>
      <c r="I89" s="17"/>
      <c r="J89" s="17" t="s">
        <v>48</v>
      </c>
      <c r="K89" s="17"/>
      <c r="L89" s="17"/>
      <c r="M89" s="18"/>
      <c r="N89" s="19" t="str">
        <f t="shared" si="6"/>
        <v>OK</v>
      </c>
    </row>
    <row r="90" spans="1:14" ht="20.100000000000001" customHeight="1" x14ac:dyDescent="0.25">
      <c r="A90" s="14" t="s">
        <v>102</v>
      </c>
      <c r="B90" s="15" t="s">
        <v>47</v>
      </c>
      <c r="C90" s="16">
        <v>40</v>
      </c>
      <c r="D90" s="16">
        <v>41</v>
      </c>
      <c r="E90" s="16">
        <f t="shared" si="5"/>
        <v>1</v>
      </c>
      <c r="F90" s="17"/>
      <c r="G90" s="17"/>
      <c r="H90" s="17" t="s">
        <v>48</v>
      </c>
      <c r="I90" s="17"/>
      <c r="J90" s="17" t="s">
        <v>48</v>
      </c>
      <c r="K90" s="17"/>
      <c r="L90" s="17"/>
      <c r="M90" s="18"/>
      <c r="N90" s="19" t="str">
        <f t="shared" si="6"/>
        <v>OK</v>
      </c>
    </row>
    <row r="91" spans="1:14" ht="20.100000000000001" customHeight="1" x14ac:dyDescent="0.25">
      <c r="A91" s="14" t="s">
        <v>102</v>
      </c>
      <c r="B91" s="15" t="s">
        <v>47</v>
      </c>
      <c r="C91" s="16">
        <v>41</v>
      </c>
      <c r="D91" s="16">
        <v>42</v>
      </c>
      <c r="E91" s="16">
        <f t="shared" si="5"/>
        <v>1</v>
      </c>
      <c r="F91" s="17"/>
      <c r="G91" s="17"/>
      <c r="H91" s="17" t="s">
        <v>48</v>
      </c>
      <c r="I91" s="17"/>
      <c r="J91" s="17" t="s">
        <v>48</v>
      </c>
      <c r="K91" s="17"/>
      <c r="L91" s="17"/>
      <c r="M91" s="18"/>
      <c r="N91" s="19" t="str">
        <f t="shared" si="6"/>
        <v>OK</v>
      </c>
    </row>
    <row r="92" spans="1:14" ht="20.100000000000001" customHeight="1" x14ac:dyDescent="0.25">
      <c r="A92" s="14" t="s">
        <v>102</v>
      </c>
      <c r="B92" s="15" t="s">
        <v>47</v>
      </c>
      <c r="C92" s="16">
        <v>42</v>
      </c>
      <c r="D92" s="16">
        <v>43</v>
      </c>
      <c r="E92" s="16">
        <f t="shared" si="5"/>
        <v>1</v>
      </c>
      <c r="F92" s="17"/>
      <c r="G92" s="17"/>
      <c r="H92" s="17" t="s">
        <v>48</v>
      </c>
      <c r="I92" s="17"/>
      <c r="J92" s="17" t="s">
        <v>48</v>
      </c>
      <c r="K92" s="17"/>
      <c r="L92" s="17"/>
      <c r="M92" s="18"/>
      <c r="N92" s="19" t="str">
        <f t="shared" si="6"/>
        <v>OK</v>
      </c>
    </row>
    <row r="93" spans="1:14" ht="20.100000000000001" customHeight="1" x14ac:dyDescent="0.25">
      <c r="A93" s="14" t="s">
        <v>102</v>
      </c>
      <c r="B93" s="15" t="s">
        <v>47</v>
      </c>
      <c r="C93" s="16">
        <v>43</v>
      </c>
      <c r="D93" s="16">
        <v>44</v>
      </c>
      <c r="E93" s="16">
        <f t="shared" si="5"/>
        <v>1</v>
      </c>
      <c r="F93" s="17"/>
      <c r="G93" s="17"/>
      <c r="H93" s="17" t="s">
        <v>48</v>
      </c>
      <c r="I93" s="17"/>
      <c r="J93" s="17" t="s">
        <v>48</v>
      </c>
      <c r="K93" s="17"/>
      <c r="L93" s="17"/>
      <c r="M93" s="18"/>
      <c r="N93" s="19" t="str">
        <f t="shared" si="6"/>
        <v>OK</v>
      </c>
    </row>
    <row r="94" spans="1:14" ht="20.100000000000001" customHeight="1" x14ac:dyDescent="0.25">
      <c r="A94" s="14" t="s">
        <v>102</v>
      </c>
      <c r="B94" s="15" t="s">
        <v>47</v>
      </c>
      <c r="C94" s="16">
        <v>44</v>
      </c>
      <c r="D94" s="16">
        <v>45</v>
      </c>
      <c r="E94" s="16">
        <f t="shared" si="5"/>
        <v>1</v>
      </c>
      <c r="F94" s="17"/>
      <c r="G94" s="17"/>
      <c r="H94" s="17" t="s">
        <v>48</v>
      </c>
      <c r="I94" s="17"/>
      <c r="J94" s="17" t="s">
        <v>48</v>
      </c>
      <c r="K94" s="17"/>
      <c r="L94" s="17"/>
      <c r="M94" s="18"/>
      <c r="N94" s="19" t="str">
        <f t="shared" si="6"/>
        <v>OK</v>
      </c>
    </row>
    <row r="95" spans="1:14" ht="20.100000000000001" customHeight="1" x14ac:dyDescent="0.25">
      <c r="A95" s="14" t="s">
        <v>102</v>
      </c>
      <c r="B95" s="15" t="s">
        <v>47</v>
      </c>
      <c r="C95" s="16">
        <v>45</v>
      </c>
      <c r="D95" s="16">
        <v>46</v>
      </c>
      <c r="E95" s="16">
        <f t="shared" si="5"/>
        <v>1</v>
      </c>
      <c r="F95" s="17"/>
      <c r="G95" s="17"/>
      <c r="H95" s="17" t="s">
        <v>48</v>
      </c>
      <c r="I95" s="17"/>
      <c r="J95" s="17" t="s">
        <v>48</v>
      </c>
      <c r="K95" s="17"/>
      <c r="L95" s="17"/>
      <c r="M95" s="18"/>
      <c r="N95" s="19" t="str">
        <f t="shared" si="6"/>
        <v>OK</v>
      </c>
    </row>
    <row r="96" spans="1:14" ht="20.100000000000001" customHeight="1" x14ac:dyDescent="0.25">
      <c r="A96" s="14" t="s">
        <v>102</v>
      </c>
      <c r="B96" s="15" t="s">
        <v>47</v>
      </c>
      <c r="C96" s="16">
        <v>46</v>
      </c>
      <c r="D96" s="16">
        <v>47</v>
      </c>
      <c r="E96" s="16">
        <f t="shared" si="5"/>
        <v>1</v>
      </c>
      <c r="F96" s="17"/>
      <c r="G96" s="17"/>
      <c r="H96" s="17" t="s">
        <v>48</v>
      </c>
      <c r="I96" s="17"/>
      <c r="J96" s="17" t="s">
        <v>48</v>
      </c>
      <c r="K96" s="17"/>
      <c r="L96" s="17"/>
      <c r="M96" s="18"/>
      <c r="N96" s="19" t="str">
        <f t="shared" si="6"/>
        <v>OK</v>
      </c>
    </row>
    <row r="97" spans="1:14" ht="20.100000000000001" customHeight="1" x14ac:dyDescent="0.25">
      <c r="A97" s="14" t="s">
        <v>102</v>
      </c>
      <c r="B97" s="15" t="s">
        <v>47</v>
      </c>
      <c r="C97" s="16">
        <v>47</v>
      </c>
      <c r="D97" s="16">
        <v>48</v>
      </c>
      <c r="E97" s="16">
        <f t="shared" si="5"/>
        <v>1</v>
      </c>
      <c r="F97" s="17"/>
      <c r="G97" s="17"/>
      <c r="H97" s="17" t="s">
        <v>48</v>
      </c>
      <c r="I97" s="17"/>
      <c r="J97" s="17" t="s">
        <v>48</v>
      </c>
      <c r="K97" s="17"/>
      <c r="L97" s="17"/>
      <c r="M97" s="18"/>
      <c r="N97" s="19" t="str">
        <f t="shared" si="6"/>
        <v>OK</v>
      </c>
    </row>
    <row r="98" spans="1:14" ht="20.100000000000001" customHeight="1" x14ac:dyDescent="0.25">
      <c r="A98" s="14" t="s">
        <v>102</v>
      </c>
      <c r="B98" s="15" t="s">
        <v>47</v>
      </c>
      <c r="C98" s="16">
        <v>48</v>
      </c>
      <c r="D98" s="16">
        <v>49</v>
      </c>
      <c r="E98" s="16">
        <f t="shared" si="5"/>
        <v>1</v>
      </c>
      <c r="F98" s="17"/>
      <c r="G98" s="17"/>
      <c r="H98" s="17" t="s">
        <v>48</v>
      </c>
      <c r="I98" s="17"/>
      <c r="J98" s="17" t="s">
        <v>48</v>
      </c>
      <c r="K98" s="17"/>
      <c r="L98" s="17"/>
      <c r="M98" s="18"/>
      <c r="N98" s="19" t="str">
        <f t="shared" si="6"/>
        <v>OK</v>
      </c>
    </row>
    <row r="99" spans="1:14" ht="20.100000000000001" customHeight="1" x14ac:dyDescent="0.25">
      <c r="A99" s="14" t="s">
        <v>102</v>
      </c>
      <c r="B99" s="15" t="s">
        <v>47</v>
      </c>
      <c r="C99" s="16">
        <v>49</v>
      </c>
      <c r="D99" s="16">
        <v>50</v>
      </c>
      <c r="E99" s="16">
        <f t="shared" si="5"/>
        <v>1</v>
      </c>
      <c r="F99" s="17"/>
      <c r="G99" s="17"/>
      <c r="H99" s="17" t="s">
        <v>48</v>
      </c>
      <c r="I99" s="17"/>
      <c r="J99" s="17" t="s">
        <v>48</v>
      </c>
      <c r="K99" s="17"/>
      <c r="L99" s="17"/>
      <c r="M99" s="18"/>
      <c r="N99" s="19" t="str">
        <f t="shared" si="6"/>
        <v>OK</v>
      </c>
    </row>
    <row r="100" spans="1:14" ht="20.100000000000001" customHeight="1" x14ac:dyDescent="0.25">
      <c r="A100" s="14" t="s">
        <v>102</v>
      </c>
      <c r="B100" s="15" t="s">
        <v>47</v>
      </c>
      <c r="C100" s="16">
        <v>50</v>
      </c>
      <c r="D100" s="16">
        <v>51</v>
      </c>
      <c r="E100" s="16">
        <f t="shared" si="5"/>
        <v>1</v>
      </c>
      <c r="F100" s="17"/>
      <c r="G100" s="17"/>
      <c r="H100" s="17" t="s">
        <v>48</v>
      </c>
      <c r="I100" s="17"/>
      <c r="J100" s="17" t="s">
        <v>48</v>
      </c>
      <c r="K100" s="17"/>
      <c r="L100" s="17"/>
      <c r="M100" s="18"/>
      <c r="N100" s="19" t="str">
        <f t="shared" si="6"/>
        <v>OK</v>
      </c>
    </row>
    <row r="101" spans="1:14" ht="20.100000000000001" customHeight="1" x14ac:dyDescent="0.25">
      <c r="A101" s="20" t="s">
        <v>102</v>
      </c>
      <c r="B101" s="21" t="s">
        <v>47</v>
      </c>
      <c r="C101" s="22">
        <v>51</v>
      </c>
      <c r="D101" s="22">
        <v>51.914828976000003</v>
      </c>
      <c r="E101" s="22">
        <f t="shared" si="5"/>
        <v>0.91482897600000257</v>
      </c>
      <c r="F101" s="23"/>
      <c r="G101" s="23"/>
      <c r="H101" s="17" t="s">
        <v>48</v>
      </c>
      <c r="I101" s="23"/>
      <c r="J101" s="17" t="s">
        <v>48</v>
      </c>
      <c r="K101" s="23"/>
      <c r="L101" s="23"/>
      <c r="M101" s="24"/>
      <c r="N101" s="25" t="str">
        <f t="shared" si="6"/>
        <v>OK</v>
      </c>
    </row>
    <row r="103" spans="1:14" x14ac:dyDescent="0.25">
      <c r="A103" s="40" t="s">
        <v>49</v>
      </c>
      <c r="B103" s="33"/>
      <c r="C103" s="33"/>
      <c r="D103" s="33"/>
      <c r="E103" s="33"/>
      <c r="G103" s="40" t="s">
        <v>49</v>
      </c>
      <c r="H103" s="33"/>
      <c r="I103" s="33"/>
      <c r="J103" s="33"/>
      <c r="K103" s="33"/>
    </row>
    <row r="104" spans="1:14" x14ac:dyDescent="0.25">
      <c r="A104" s="44" t="s">
        <v>50</v>
      </c>
      <c r="B104" s="33"/>
      <c r="C104" s="33"/>
      <c r="D104" s="33"/>
      <c r="E104" s="33"/>
      <c r="G104" s="44" t="s">
        <v>51</v>
      </c>
      <c r="H104" s="33"/>
      <c r="I104" s="33"/>
      <c r="J104" s="33"/>
      <c r="K104" s="33"/>
    </row>
    <row r="106" spans="1:14" x14ac:dyDescent="0.25">
      <c r="A106" s="50" t="s">
        <v>52</v>
      </c>
      <c r="B106" s="33"/>
      <c r="C106" s="33"/>
      <c r="D106" s="33"/>
      <c r="E106" s="33"/>
      <c r="F106" s="26"/>
      <c r="G106" s="26"/>
      <c r="H106" s="26"/>
      <c r="I106" s="26"/>
      <c r="J106" s="26"/>
      <c r="K106" s="26"/>
      <c r="L106" s="26"/>
      <c r="M106" s="26"/>
    </row>
    <row r="107" spans="1:14" x14ac:dyDescent="0.25">
      <c r="A107" s="37" t="s">
        <v>53</v>
      </c>
      <c r="B107" s="33"/>
      <c r="C107" s="33"/>
      <c r="D107" s="33"/>
      <c r="E107" s="33"/>
      <c r="F107" s="9">
        <f t="shared" ref="F107:L107" si="7">SUMIF(F$9:F$101,"X",$E$9:$E$101)</f>
        <v>0</v>
      </c>
      <c r="G107" s="9">
        <f t="shared" si="7"/>
        <v>0</v>
      </c>
      <c r="H107" s="9">
        <f t="shared" si="7"/>
        <v>89.379776516709995</v>
      </c>
      <c r="I107" s="9">
        <f t="shared" si="7"/>
        <v>0</v>
      </c>
      <c r="J107" s="9">
        <f t="shared" si="7"/>
        <v>88.379776516709995</v>
      </c>
      <c r="K107" s="9">
        <f t="shared" si="7"/>
        <v>0</v>
      </c>
      <c r="L107" s="9">
        <f t="shared" si="7"/>
        <v>1</v>
      </c>
    </row>
    <row r="108" spans="1:14" x14ac:dyDescent="0.25">
      <c r="A108" s="37" t="s">
        <v>54</v>
      </c>
      <c r="B108" s="33"/>
      <c r="C108" s="33"/>
      <c r="D108" s="33"/>
      <c r="E108" s="33"/>
      <c r="F108" s="27">
        <f t="shared" ref="F108:L108" si="8">IF($I110=0,0,F107/$I110)</f>
        <v>0</v>
      </c>
      <c r="G108" s="27">
        <f t="shared" si="8"/>
        <v>0</v>
      </c>
      <c r="H108" s="27">
        <f t="shared" si="8"/>
        <v>1</v>
      </c>
      <c r="I108" s="27">
        <f t="shared" si="8"/>
        <v>0</v>
      </c>
      <c r="J108" s="27">
        <f t="shared" si="8"/>
        <v>0.98881178674895154</v>
      </c>
      <c r="K108" s="27">
        <f t="shared" si="8"/>
        <v>0</v>
      </c>
      <c r="L108" s="27">
        <f t="shared" si="8"/>
        <v>1.1188213251048407E-2</v>
      </c>
    </row>
    <row r="109" spans="1:14" x14ac:dyDescent="0.25">
      <c r="A109" s="37" t="s">
        <v>55</v>
      </c>
      <c r="B109" s="33"/>
      <c r="C109" s="33"/>
      <c r="D109" s="33"/>
      <c r="E109" s="33"/>
      <c r="F109" s="34" t="str">
        <f>IF(SUM(F107:I107)=0,"— não preenchido",IF(ROUND(SUM(F107:I107)-$I110,3)=0,"OK — "&amp;ROUND(SUM(F107:I107),3)&amp;" km","ERRO — dif. de "&amp;ROUND(SUM(F107:I107)-$I110,3)&amp;" km"))</f>
        <v>OK — 89,38 km</v>
      </c>
      <c r="G109" s="35"/>
      <c r="H109" s="35"/>
      <c r="I109" s="36"/>
      <c r="J109" s="34" t="str">
        <f>IF(SUM(J107:L107)=0,"— não preenchido",IF(ROUND(SUM(J107:L107)-$I110,3)=0,"OK — "&amp;ROUND(SUM(J107:L107),3)&amp;" km","ERRO — dif. de "&amp;ROUND(SUM(J107:L107)-$I110,3)&amp;" km"))</f>
        <v>OK — 89,38 km</v>
      </c>
      <c r="K109" s="35"/>
      <c r="L109" s="36"/>
    </row>
    <row r="110" spans="1:14" x14ac:dyDescent="0.25">
      <c r="A110" s="37" t="s">
        <v>56</v>
      </c>
      <c r="B110" s="33"/>
      <c r="C110" s="33"/>
      <c r="D110" s="33"/>
      <c r="E110" s="33"/>
      <c r="I110" s="28">
        <f>SUM(E9:E101)</f>
        <v>89.379776516709995</v>
      </c>
      <c r="M110" s="8" t="str">
        <f>COUNTIF(N9:N101,"OK")&amp;" de "&amp;COUNT($E$9:$E$101)&amp;" linhas conferidas"</f>
        <v>90 de 90 linhas conferidas</v>
      </c>
    </row>
    <row r="112" spans="1:14" x14ac:dyDescent="0.25">
      <c r="A112" s="42" t="s">
        <v>57</v>
      </c>
      <c r="B112" s="33"/>
      <c r="C112" s="33"/>
      <c r="D112" s="33"/>
      <c r="E112" s="33"/>
    </row>
    <row r="113" spans="1:13" x14ac:dyDescent="0.25">
      <c r="A113" s="37" t="s">
        <v>10</v>
      </c>
      <c r="B113" s="33"/>
      <c r="C113" s="33"/>
      <c r="D113" s="33"/>
      <c r="E113" s="39" t="s">
        <v>58</v>
      </c>
      <c r="F113" s="33"/>
      <c r="G113" s="33"/>
      <c r="H113" s="33"/>
      <c r="I113" s="33"/>
      <c r="J113" s="33"/>
      <c r="K113" s="33"/>
      <c r="L113" s="33"/>
      <c r="M113" s="33"/>
    </row>
    <row r="114" spans="1:13" x14ac:dyDescent="0.25">
      <c r="A114" s="37" t="s">
        <v>11</v>
      </c>
      <c r="B114" s="33"/>
      <c r="C114" s="33"/>
      <c r="D114" s="33"/>
      <c r="E114" s="39" t="s">
        <v>59</v>
      </c>
      <c r="F114" s="33"/>
      <c r="G114" s="33"/>
      <c r="H114" s="33"/>
      <c r="I114" s="33"/>
      <c r="J114" s="33"/>
      <c r="K114" s="33"/>
      <c r="L114" s="33"/>
      <c r="M114" s="33"/>
    </row>
    <row r="115" spans="1:13" x14ac:dyDescent="0.25">
      <c r="A115" s="37" t="s">
        <v>12</v>
      </c>
      <c r="B115" s="33"/>
      <c r="C115" s="33"/>
      <c r="D115" s="33"/>
      <c r="E115" s="39" t="s">
        <v>60</v>
      </c>
      <c r="F115" s="33"/>
      <c r="G115" s="33"/>
      <c r="H115" s="33"/>
      <c r="I115" s="33"/>
      <c r="J115" s="33"/>
      <c r="K115" s="33"/>
      <c r="L115" s="33"/>
      <c r="M115" s="33"/>
    </row>
    <row r="116" spans="1:13" x14ac:dyDescent="0.25">
      <c r="A116" s="37" t="s">
        <v>61</v>
      </c>
      <c r="B116" s="33"/>
      <c r="C116" s="33"/>
      <c r="D116" s="33"/>
      <c r="E116" s="39" t="s">
        <v>62</v>
      </c>
      <c r="F116" s="33"/>
      <c r="G116" s="33"/>
      <c r="H116" s="33"/>
      <c r="I116" s="33"/>
      <c r="J116" s="33"/>
      <c r="K116" s="33"/>
      <c r="L116" s="33"/>
      <c r="M116" s="33"/>
    </row>
    <row r="117" spans="1:13" x14ac:dyDescent="0.25">
      <c r="A117" s="37" t="s">
        <v>63</v>
      </c>
      <c r="B117" s="33"/>
      <c r="C117" s="33"/>
      <c r="D117" s="33"/>
      <c r="E117" s="39" t="s">
        <v>64</v>
      </c>
      <c r="F117" s="33"/>
      <c r="G117" s="33"/>
      <c r="H117" s="33"/>
      <c r="I117" s="33"/>
      <c r="J117" s="33"/>
      <c r="K117" s="33"/>
      <c r="L117" s="33"/>
      <c r="M117" s="33"/>
    </row>
    <row r="118" spans="1:13" x14ac:dyDescent="0.25">
      <c r="A118" s="37" t="s">
        <v>65</v>
      </c>
      <c r="B118" s="33"/>
      <c r="C118" s="33"/>
      <c r="D118" s="33"/>
      <c r="E118" s="39" t="s">
        <v>66</v>
      </c>
      <c r="F118" s="33"/>
      <c r="G118" s="33"/>
      <c r="H118" s="33"/>
      <c r="I118" s="33"/>
      <c r="J118" s="33"/>
      <c r="K118" s="33"/>
      <c r="L118" s="33"/>
      <c r="M118" s="33"/>
    </row>
    <row r="119" spans="1:13" x14ac:dyDescent="0.25">
      <c r="A119" s="37" t="s">
        <v>39</v>
      </c>
      <c r="B119" s="33"/>
      <c r="C119" s="33"/>
      <c r="D119" s="33"/>
      <c r="E119" s="39" t="s">
        <v>67</v>
      </c>
      <c r="F119" s="33"/>
      <c r="G119" s="33"/>
      <c r="H119" s="33"/>
      <c r="I119" s="33"/>
      <c r="J119" s="33"/>
      <c r="K119" s="33"/>
      <c r="L119" s="33"/>
      <c r="M119" s="33"/>
    </row>
    <row r="120" spans="1:13" x14ac:dyDescent="0.25">
      <c r="A120" s="37" t="s">
        <v>68</v>
      </c>
      <c r="B120" s="33"/>
      <c r="C120" s="33"/>
      <c r="D120" s="33"/>
      <c r="E120" s="39" t="s">
        <v>69</v>
      </c>
      <c r="F120" s="33"/>
      <c r="G120" s="33"/>
      <c r="H120" s="33"/>
      <c r="I120" s="33"/>
      <c r="J120" s="33"/>
      <c r="K120" s="33"/>
      <c r="L120" s="33"/>
      <c r="M120" s="33"/>
    </row>
    <row r="121" spans="1:13" x14ac:dyDescent="0.25">
      <c r="A121" s="37" t="s">
        <v>70</v>
      </c>
      <c r="B121" s="33"/>
      <c r="C121" s="33"/>
      <c r="D121" s="33"/>
      <c r="E121" s="39" t="s">
        <v>71</v>
      </c>
      <c r="F121" s="33"/>
      <c r="G121" s="33"/>
      <c r="H121" s="33"/>
      <c r="I121" s="33"/>
      <c r="J121" s="33"/>
      <c r="K121" s="33"/>
      <c r="L121" s="33"/>
      <c r="M121" s="33"/>
    </row>
    <row r="122" spans="1:13" x14ac:dyDescent="0.25">
      <c r="A122" s="37" t="s">
        <v>8</v>
      </c>
      <c r="B122" s="33"/>
      <c r="C122" s="33"/>
      <c r="D122" s="33"/>
      <c r="E122" s="39" t="s">
        <v>72</v>
      </c>
      <c r="F122" s="33"/>
      <c r="G122" s="33"/>
      <c r="H122" s="33"/>
      <c r="I122" s="33"/>
      <c r="J122" s="33"/>
      <c r="K122" s="33"/>
      <c r="L122" s="33"/>
      <c r="M122" s="33"/>
    </row>
  </sheetData>
  <sheetProtection formatCells="0"/>
  <mergeCells count="53">
    <mergeCell ref="D2:E2"/>
    <mergeCell ref="A114:D114"/>
    <mergeCell ref="G103:K103"/>
    <mergeCell ref="A108:E108"/>
    <mergeCell ref="B6:B7"/>
    <mergeCell ref="J6:L6"/>
    <mergeCell ref="G2:H2"/>
    <mergeCell ref="A8:M8"/>
    <mergeCell ref="A4:M4"/>
    <mergeCell ref="A107:E107"/>
    <mergeCell ref="A103:E103"/>
    <mergeCell ref="A6:A7"/>
    <mergeCell ref="E114:M114"/>
    <mergeCell ref="A110:E110"/>
    <mergeCell ref="A2:C2"/>
    <mergeCell ref="A1:M1"/>
    <mergeCell ref="A119:D119"/>
    <mergeCell ref="A104:E104"/>
    <mergeCell ref="E115:M115"/>
    <mergeCell ref="G104:K104"/>
    <mergeCell ref="E119:M119"/>
    <mergeCell ref="M6:M7"/>
    <mergeCell ref="J109:L109"/>
    <mergeCell ref="E116:M116"/>
    <mergeCell ref="E6:E7"/>
    <mergeCell ref="E113:M113"/>
    <mergeCell ref="A11:M11"/>
    <mergeCell ref="A49:M49"/>
    <mergeCell ref="F6:I6"/>
    <mergeCell ref="K2:M2"/>
    <mergeCell ref="A44:M44"/>
    <mergeCell ref="N6:N7"/>
    <mergeCell ref="K3:M3"/>
    <mergeCell ref="E121:M121"/>
    <mergeCell ref="A106:E106"/>
    <mergeCell ref="A118:D118"/>
    <mergeCell ref="A109:E109"/>
    <mergeCell ref="A120:D120"/>
    <mergeCell ref="E120:M120"/>
    <mergeCell ref="A116:D116"/>
    <mergeCell ref="E118:M118"/>
    <mergeCell ref="A121:D121"/>
    <mergeCell ref="A117:D117"/>
    <mergeCell ref="A115:D115"/>
    <mergeCell ref="E122:M122"/>
    <mergeCell ref="E117:M117"/>
    <mergeCell ref="A112:E112"/>
    <mergeCell ref="A3:J3"/>
    <mergeCell ref="F109:I109"/>
    <mergeCell ref="A113:D113"/>
    <mergeCell ref="C6:C7"/>
    <mergeCell ref="D6:D7"/>
    <mergeCell ref="A122:D122"/>
  </mergeCells>
  <conditionalFormatting sqref="F9:I101">
    <cfRule type="expression" dxfId="29" priority="1">
      <formula>AND(F9&lt;&gt;"",COUNTIF($F9:$I9,"X")&gt;1)</formula>
    </cfRule>
  </conditionalFormatting>
  <conditionalFormatting sqref="F109:L109">
    <cfRule type="expression" dxfId="28" priority="5">
      <formula>LEFT(F109,4)="ERRO"</formula>
    </cfRule>
    <cfRule type="expression" dxfId="27" priority="6">
      <formula>LEFT(F109,2)="OK"</formula>
    </cfRule>
  </conditionalFormatting>
  <conditionalFormatting sqref="J9:L101">
    <cfRule type="expression" dxfId="26" priority="2">
      <formula>AND(J9&lt;&gt;"",COUNTIF($J9:$L9,"X")&gt;1)</formula>
    </cfRule>
  </conditionalFormatting>
  <conditionalFormatting sqref="N9:N101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1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1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101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216</oddHeader>
    <oddFooter>&amp;L&amp;7 RTA / MSI — Programa de Manutenção Rodoviária&amp;C&amp;7 Página &amp;P de &amp;N&amp;R&amp;7 Impresso em &amp;D</oddFooter>
  </headerFooter>
  <rowBreaks count="1" manualBreakCount="1">
    <brk id="104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3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IF(F17=0,NA(),F17)</f>
        <v>#N/A</v>
      </c>
      <c r="Q2" s="2">
        <f t="shared" si="0"/>
        <v>2.3779246433500001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>
        <f t="shared" si="0"/>
        <v>2.3779246433500001</v>
      </c>
    </row>
    <row r="3" spans="1:22" ht="15" customHeight="1" x14ac:dyDescent="0.25">
      <c r="A3" s="38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104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105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106</v>
      </c>
      <c r="B9" s="15" t="s">
        <v>47</v>
      </c>
      <c r="C9" s="16">
        <v>0</v>
      </c>
      <c r="D9" s="16">
        <v>1</v>
      </c>
      <c r="E9" s="16">
        <f>D9-C9</f>
        <v>1</v>
      </c>
      <c r="F9" s="17"/>
      <c r="G9" s="17" t="s">
        <v>48</v>
      </c>
      <c r="H9" s="17"/>
      <c r="I9" s="17"/>
      <c r="J9" s="17"/>
      <c r="K9" s="17"/>
      <c r="L9" s="17" t="s">
        <v>48</v>
      </c>
      <c r="M9" s="18"/>
      <c r="N9" s="19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106</v>
      </c>
      <c r="B10" s="15" t="s">
        <v>47</v>
      </c>
      <c r="C10" s="16">
        <v>1</v>
      </c>
      <c r="D10" s="16">
        <v>2</v>
      </c>
      <c r="E10" s="16">
        <f>D10-C10</f>
        <v>1</v>
      </c>
      <c r="F10" s="17"/>
      <c r="G10" s="17" t="s">
        <v>48</v>
      </c>
      <c r="H10" s="17"/>
      <c r="I10" s="17"/>
      <c r="J10" s="17"/>
      <c r="K10" s="17"/>
      <c r="L10" s="17" t="s">
        <v>48</v>
      </c>
      <c r="M10" s="18"/>
      <c r="N10" s="19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20.100000000000001" customHeight="1" x14ac:dyDescent="0.25">
      <c r="A11" s="20" t="s">
        <v>106</v>
      </c>
      <c r="B11" s="21" t="s">
        <v>47</v>
      </c>
      <c r="C11" s="22">
        <v>2</v>
      </c>
      <c r="D11" s="22">
        <v>2.3779246433500001</v>
      </c>
      <c r="E11" s="22">
        <f>D11-C11</f>
        <v>0.37792464335000009</v>
      </c>
      <c r="F11" s="23"/>
      <c r="G11" s="23" t="s">
        <v>48</v>
      </c>
      <c r="H11" s="23"/>
      <c r="I11" s="23"/>
      <c r="J11" s="23"/>
      <c r="K11" s="23"/>
      <c r="L11" s="23" t="s">
        <v>48</v>
      </c>
      <c r="M11" s="24"/>
      <c r="N11" s="25" t="str">
        <f>IF(COUNTA(F11:L11)=0,"— não preenchido",IF(COUNTIF(F11:I11,"X")&lt;&gt;1,"FALTA/DUPLA: CONDIÇÃO DA PLATAFORMA",IF(COUNTIF(J11:L11,"X")&lt;&gt;1,"FALTA/DUPLA: DRENAGEM SUPERFICIAL","OK")))</f>
        <v>OK</v>
      </c>
    </row>
    <row r="13" spans="1:22" x14ac:dyDescent="0.25">
      <c r="A13" s="40" t="s">
        <v>49</v>
      </c>
      <c r="B13" s="33"/>
      <c r="C13" s="33"/>
      <c r="D13" s="33"/>
      <c r="E13" s="33"/>
      <c r="G13" s="40" t="s">
        <v>49</v>
      </c>
      <c r="H13" s="33"/>
      <c r="I13" s="33"/>
      <c r="J13" s="33"/>
      <c r="K13" s="33"/>
    </row>
    <row r="14" spans="1:22" x14ac:dyDescent="0.25">
      <c r="A14" s="44" t="s">
        <v>50</v>
      </c>
      <c r="B14" s="33"/>
      <c r="C14" s="33"/>
      <c r="D14" s="33"/>
      <c r="E14" s="33"/>
      <c r="G14" s="44" t="s">
        <v>51</v>
      </c>
      <c r="H14" s="33"/>
      <c r="I14" s="33"/>
      <c r="J14" s="33"/>
      <c r="K14" s="33"/>
    </row>
    <row r="16" spans="1:22" x14ac:dyDescent="0.25">
      <c r="A16" s="50" t="s">
        <v>52</v>
      </c>
      <c r="B16" s="33"/>
      <c r="C16" s="33"/>
      <c r="D16" s="33"/>
      <c r="E16" s="33"/>
      <c r="F16" s="26"/>
      <c r="G16" s="26"/>
      <c r="H16" s="26"/>
      <c r="I16" s="26"/>
      <c r="J16" s="26"/>
      <c r="K16" s="26"/>
      <c r="L16" s="26"/>
      <c r="M16" s="26"/>
    </row>
    <row r="17" spans="1:13" x14ac:dyDescent="0.25">
      <c r="A17" s="37" t="s">
        <v>53</v>
      </c>
      <c r="B17" s="33"/>
      <c r="C17" s="33"/>
      <c r="D17" s="33"/>
      <c r="E17" s="33"/>
      <c r="F17" s="9">
        <f t="shared" ref="F17:L17" si="1">SUMIF(F$9:F$11,"X",$E$9:$E$11)</f>
        <v>0</v>
      </c>
      <c r="G17" s="9">
        <f t="shared" si="1"/>
        <v>2.3779246433500001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0</v>
      </c>
      <c r="L17" s="9">
        <f t="shared" si="1"/>
        <v>2.3779246433500001</v>
      </c>
    </row>
    <row r="18" spans="1:13" x14ac:dyDescent="0.25">
      <c r="A18" s="37" t="s">
        <v>54</v>
      </c>
      <c r="B18" s="33"/>
      <c r="C18" s="33"/>
      <c r="D18" s="33"/>
      <c r="E18" s="33"/>
      <c r="F18" s="27">
        <f t="shared" ref="F18:L18" si="2">IF($I20=0,0,F17/$I20)</f>
        <v>0</v>
      </c>
      <c r="G18" s="27">
        <f t="shared" si="2"/>
        <v>1</v>
      </c>
      <c r="H18" s="27">
        <f t="shared" si="2"/>
        <v>0</v>
      </c>
      <c r="I18" s="27">
        <f t="shared" si="2"/>
        <v>0</v>
      </c>
      <c r="J18" s="27">
        <f t="shared" si="2"/>
        <v>0</v>
      </c>
      <c r="K18" s="27">
        <f t="shared" si="2"/>
        <v>0</v>
      </c>
      <c r="L18" s="27">
        <f t="shared" si="2"/>
        <v>1</v>
      </c>
    </row>
    <row r="19" spans="1:13" x14ac:dyDescent="0.25">
      <c r="A19" s="37" t="s">
        <v>55</v>
      </c>
      <c r="B19" s="33"/>
      <c r="C19" s="33"/>
      <c r="D19" s="33"/>
      <c r="E19" s="33"/>
      <c r="F19" s="34" t="str">
        <f>IF(SUM(F17:I17)=0,"— não preenchido",IF(ROUND(SUM(F17:I17)-$I20,3)=0,"OK — "&amp;ROUND(SUM(F17:I17),3)&amp;" km","ERRO — dif. de "&amp;ROUND(SUM(F17:I17)-$I20,3)&amp;" km"))</f>
        <v>OK — 2,378 km</v>
      </c>
      <c r="G19" s="35"/>
      <c r="H19" s="35"/>
      <c r="I19" s="36"/>
      <c r="J19" s="34" t="str">
        <f>IF(SUM(J17:L17)=0,"— não preenchido",IF(ROUND(SUM(J17:L17)-$I20,3)=0,"OK — "&amp;ROUND(SUM(J17:L17),3)&amp;" km","ERRO — dif. de "&amp;ROUND(SUM(J17:L17)-$I20,3)&amp;" km"))</f>
        <v>OK — 2,378 km</v>
      </c>
      <c r="K19" s="35"/>
      <c r="L19" s="36"/>
    </row>
    <row r="20" spans="1:13" x14ac:dyDescent="0.25">
      <c r="A20" s="37" t="s">
        <v>56</v>
      </c>
      <c r="B20" s="33"/>
      <c r="C20" s="33"/>
      <c r="D20" s="33"/>
      <c r="E20" s="33"/>
      <c r="I20" s="28">
        <f>SUM(E9:E11)</f>
        <v>2.3779246433500001</v>
      </c>
      <c r="M20" s="8" t="str">
        <f>COUNTIF(N9:N11,"OK")&amp;" de "&amp;COUNT($E$9:$E$11)&amp;" linhas conferidas"</f>
        <v>3 de 3 linhas conferidas</v>
      </c>
    </row>
    <row r="22" spans="1:13" x14ac:dyDescent="0.25">
      <c r="A22" s="42" t="s">
        <v>57</v>
      </c>
      <c r="B22" s="33"/>
      <c r="C22" s="33"/>
      <c r="D22" s="33"/>
      <c r="E22" s="33"/>
    </row>
    <row r="23" spans="1:13" x14ac:dyDescent="0.25">
      <c r="A23" s="37" t="s">
        <v>10</v>
      </c>
      <c r="B23" s="33"/>
      <c r="C23" s="33"/>
      <c r="D23" s="33"/>
      <c r="E23" s="39" t="s">
        <v>58</v>
      </c>
      <c r="F23" s="33"/>
      <c r="G23" s="33"/>
      <c r="H23" s="33"/>
      <c r="I23" s="33"/>
      <c r="J23" s="33"/>
      <c r="K23" s="33"/>
      <c r="L23" s="33"/>
      <c r="M23" s="33"/>
    </row>
    <row r="24" spans="1:13" x14ac:dyDescent="0.25">
      <c r="A24" s="37" t="s">
        <v>11</v>
      </c>
      <c r="B24" s="33"/>
      <c r="C24" s="33"/>
      <c r="D24" s="33"/>
      <c r="E24" s="39" t="s">
        <v>59</v>
      </c>
      <c r="F24" s="33"/>
      <c r="G24" s="33"/>
      <c r="H24" s="33"/>
      <c r="I24" s="33"/>
      <c r="J24" s="33"/>
      <c r="K24" s="33"/>
      <c r="L24" s="33"/>
      <c r="M24" s="33"/>
    </row>
    <row r="25" spans="1:13" x14ac:dyDescent="0.25">
      <c r="A25" s="37" t="s">
        <v>12</v>
      </c>
      <c r="B25" s="33"/>
      <c r="C25" s="33"/>
      <c r="D25" s="33"/>
      <c r="E25" s="39" t="s">
        <v>60</v>
      </c>
      <c r="F25" s="33"/>
      <c r="G25" s="33"/>
      <c r="H25" s="33"/>
      <c r="I25" s="33"/>
      <c r="J25" s="33"/>
      <c r="K25" s="33"/>
      <c r="L25" s="33"/>
      <c r="M25" s="33"/>
    </row>
    <row r="26" spans="1:13" x14ac:dyDescent="0.25">
      <c r="A26" s="37" t="s">
        <v>61</v>
      </c>
      <c r="B26" s="33"/>
      <c r="C26" s="33"/>
      <c r="D26" s="33"/>
      <c r="E26" s="39" t="s">
        <v>62</v>
      </c>
      <c r="F26" s="33"/>
      <c r="G26" s="33"/>
      <c r="H26" s="33"/>
      <c r="I26" s="33"/>
      <c r="J26" s="33"/>
      <c r="K26" s="33"/>
      <c r="L26" s="33"/>
      <c r="M26" s="33"/>
    </row>
    <row r="27" spans="1:13" x14ac:dyDescent="0.25">
      <c r="A27" s="37" t="s">
        <v>63</v>
      </c>
      <c r="B27" s="33"/>
      <c r="C27" s="33"/>
      <c r="D27" s="33"/>
      <c r="E27" s="39" t="s">
        <v>64</v>
      </c>
      <c r="F27" s="33"/>
      <c r="G27" s="33"/>
      <c r="H27" s="33"/>
      <c r="I27" s="33"/>
      <c r="J27" s="33"/>
      <c r="K27" s="33"/>
      <c r="L27" s="33"/>
      <c r="M27" s="33"/>
    </row>
    <row r="28" spans="1:13" x14ac:dyDescent="0.25">
      <c r="A28" s="37" t="s">
        <v>65</v>
      </c>
      <c r="B28" s="33"/>
      <c r="C28" s="33"/>
      <c r="D28" s="33"/>
      <c r="E28" s="39" t="s">
        <v>66</v>
      </c>
      <c r="F28" s="33"/>
      <c r="G28" s="33"/>
      <c r="H28" s="33"/>
      <c r="I28" s="33"/>
      <c r="J28" s="33"/>
      <c r="K28" s="33"/>
      <c r="L28" s="33"/>
      <c r="M28" s="33"/>
    </row>
    <row r="29" spans="1:13" x14ac:dyDescent="0.25">
      <c r="A29" s="37" t="s">
        <v>39</v>
      </c>
      <c r="B29" s="33"/>
      <c r="C29" s="33"/>
      <c r="D29" s="33"/>
      <c r="E29" s="39" t="s">
        <v>67</v>
      </c>
      <c r="F29" s="33"/>
      <c r="G29" s="33"/>
      <c r="H29" s="33"/>
      <c r="I29" s="33"/>
      <c r="J29" s="33"/>
      <c r="K29" s="33"/>
      <c r="L29" s="33"/>
      <c r="M29" s="33"/>
    </row>
    <row r="30" spans="1:13" x14ac:dyDescent="0.25">
      <c r="A30" s="37" t="s">
        <v>68</v>
      </c>
      <c r="B30" s="33"/>
      <c r="C30" s="33"/>
      <c r="D30" s="33"/>
      <c r="E30" s="39" t="s">
        <v>69</v>
      </c>
      <c r="F30" s="33"/>
      <c r="G30" s="33"/>
      <c r="H30" s="33"/>
      <c r="I30" s="33"/>
      <c r="J30" s="33"/>
      <c r="K30" s="33"/>
      <c r="L30" s="33"/>
      <c r="M30" s="33"/>
    </row>
    <row r="31" spans="1:13" x14ac:dyDescent="0.25">
      <c r="A31" s="37" t="s">
        <v>70</v>
      </c>
      <c r="B31" s="33"/>
      <c r="C31" s="33"/>
      <c r="D31" s="33"/>
      <c r="E31" s="39" t="s">
        <v>71</v>
      </c>
      <c r="F31" s="33"/>
      <c r="G31" s="33"/>
      <c r="H31" s="33"/>
      <c r="I31" s="33"/>
      <c r="J31" s="33"/>
      <c r="K31" s="33"/>
      <c r="L31" s="33"/>
      <c r="M31" s="33"/>
    </row>
    <row r="32" spans="1:13" x14ac:dyDescent="0.25">
      <c r="A32" s="37" t="s">
        <v>8</v>
      </c>
      <c r="B32" s="33"/>
      <c r="C32" s="33"/>
      <c r="D32" s="33"/>
      <c r="E32" s="39" t="s">
        <v>72</v>
      </c>
      <c r="F32" s="33"/>
      <c r="G32" s="33"/>
      <c r="H32" s="33"/>
      <c r="I32" s="33"/>
      <c r="J32" s="33"/>
      <c r="K32" s="33"/>
      <c r="L32" s="33"/>
      <c r="M32" s="33"/>
    </row>
  </sheetData>
  <sheetProtection formatCells="0"/>
  <mergeCells count="50">
    <mergeCell ref="A29:D29"/>
    <mergeCell ref="F19:I19"/>
    <mergeCell ref="B6:B7"/>
    <mergeCell ref="A18:E18"/>
    <mergeCell ref="F6:I6"/>
    <mergeCell ref="A31:D31"/>
    <mergeCell ref="D2:E2"/>
    <mergeCell ref="A16:E16"/>
    <mergeCell ref="E27:M27"/>
    <mergeCell ref="A30:D30"/>
    <mergeCell ref="M6:M7"/>
    <mergeCell ref="E26:M26"/>
    <mergeCell ref="G13:K13"/>
    <mergeCell ref="E6:E7"/>
    <mergeCell ref="A24:D24"/>
    <mergeCell ref="J6:L6"/>
    <mergeCell ref="E29:M29"/>
    <mergeCell ref="A23:D23"/>
    <mergeCell ref="G2:H2"/>
    <mergeCell ref="A8:M8"/>
    <mergeCell ref="E28:M28"/>
    <mergeCell ref="E32:M32"/>
    <mergeCell ref="E25:M25"/>
    <mergeCell ref="A1:M1"/>
    <mergeCell ref="G14:K14"/>
    <mergeCell ref="A25:D25"/>
    <mergeCell ref="E24:M24"/>
    <mergeCell ref="A27:D27"/>
    <mergeCell ref="E23:M23"/>
    <mergeCell ref="A26:D26"/>
    <mergeCell ref="A32:D32"/>
    <mergeCell ref="E31:M31"/>
    <mergeCell ref="A6:A7"/>
    <mergeCell ref="A28:D28"/>
    <mergeCell ref="A2:C2"/>
    <mergeCell ref="E30:M30"/>
    <mergeCell ref="K2:M2"/>
    <mergeCell ref="N6:N7"/>
    <mergeCell ref="K3:M3"/>
    <mergeCell ref="A14:E14"/>
    <mergeCell ref="A22:E22"/>
    <mergeCell ref="A17:E17"/>
    <mergeCell ref="A20:E20"/>
    <mergeCell ref="J19:L19"/>
    <mergeCell ref="A3:J3"/>
    <mergeCell ref="A19:E19"/>
    <mergeCell ref="C6:C7"/>
    <mergeCell ref="A13:E13"/>
    <mergeCell ref="D6:D7"/>
    <mergeCell ref="A4:M4"/>
  </mergeCells>
  <conditionalFormatting sqref="F9:I11">
    <cfRule type="expression" dxfId="23" priority="1">
      <formula>AND(F9&lt;&gt;"",COUNTIF($F9:$I9,"X")&gt;1)</formula>
    </cfRule>
  </conditionalFormatting>
  <conditionalFormatting sqref="F19:L19">
    <cfRule type="expression" dxfId="22" priority="5">
      <formula>LEFT(F19,4)="ERRO"</formula>
    </cfRule>
    <cfRule type="expression" dxfId="21" priority="6">
      <formula>LEFT(F19,2)="OK"</formula>
    </cfRule>
  </conditionalFormatting>
  <conditionalFormatting sqref="J9:L11">
    <cfRule type="expression" dxfId="20" priority="2">
      <formula>AND(J9&lt;&gt;"",COUNTIF($J9:$L9,"X")&gt;1)</formula>
    </cfRule>
  </conditionalFormatting>
  <conditionalFormatting sqref="N9:N11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1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1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11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217</oddHeader>
    <oddFooter>&amp;L&amp;7 RTA / MSI — Programa de Manutenção Rodoviária&amp;C&amp;7 Página &amp;P de &amp;N&amp;R&amp;7 Impresso em &amp;D</oddFooter>
  </headerFooter>
  <rowBreaks count="1" manualBreakCount="1">
    <brk id="14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10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>
        <f t="shared" ref="P2:V2" si="0">IF(F92=0,NA(),F92)</f>
        <v>71.104768097999994</v>
      </c>
      <c r="Q2" s="2">
        <f t="shared" si="0"/>
        <v>6</v>
      </c>
      <c r="R2" s="2" t="e">
        <f t="shared" si="0"/>
        <v>#N/A</v>
      </c>
      <c r="S2" s="2" t="e">
        <f t="shared" si="0"/>
        <v>#N/A</v>
      </c>
      <c r="T2" s="2">
        <f t="shared" si="0"/>
        <v>37</v>
      </c>
      <c r="U2" s="2">
        <f t="shared" si="0"/>
        <v>8</v>
      </c>
      <c r="V2" s="2">
        <f t="shared" si="0"/>
        <v>32.104768097999994</v>
      </c>
    </row>
    <row r="3" spans="1:22" ht="15" customHeight="1" x14ac:dyDescent="0.25">
      <c r="A3" s="38" t="s">
        <v>107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108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109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110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 t="s">
        <v>48</v>
      </c>
      <c r="G9" s="17"/>
      <c r="H9" s="17"/>
      <c r="I9" s="17"/>
      <c r="J9" s="17"/>
      <c r="K9" s="17" t="s">
        <v>48</v>
      </c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110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48</v>
      </c>
      <c r="G10" s="17"/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110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48</v>
      </c>
      <c r="G11" s="17"/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110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48</v>
      </c>
      <c r="G12" s="17"/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110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48</v>
      </c>
      <c r="G13" s="17"/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110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48</v>
      </c>
      <c r="G14" s="17"/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110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48</v>
      </c>
      <c r="G15" s="17"/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110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48</v>
      </c>
      <c r="G16" s="17"/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110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48</v>
      </c>
      <c r="G17" s="17"/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110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48</v>
      </c>
      <c r="G18" s="17"/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110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48</v>
      </c>
      <c r="G19" s="17"/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110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48</v>
      </c>
      <c r="G20" s="17"/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110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48</v>
      </c>
      <c r="G21" s="17"/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110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48</v>
      </c>
      <c r="G22" s="17"/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110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48</v>
      </c>
      <c r="G23" s="17"/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110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48</v>
      </c>
      <c r="G24" s="17"/>
      <c r="H24" s="17"/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110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48</v>
      </c>
      <c r="G25" s="17"/>
      <c r="H25" s="17"/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110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48</v>
      </c>
      <c r="G26" s="17"/>
      <c r="H26" s="17"/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110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48</v>
      </c>
      <c r="G27" s="17"/>
      <c r="H27" s="17"/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110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48</v>
      </c>
      <c r="G28" s="17"/>
      <c r="H28" s="17"/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110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48</v>
      </c>
      <c r="G29" s="17"/>
      <c r="H29" s="17"/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110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48</v>
      </c>
      <c r="G30" s="17"/>
      <c r="H30" s="17"/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110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48</v>
      </c>
      <c r="G31" s="17"/>
      <c r="H31" s="17"/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110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48</v>
      </c>
      <c r="G32" s="17"/>
      <c r="H32" s="17"/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110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48</v>
      </c>
      <c r="G33" s="17"/>
      <c r="H33" s="17"/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110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48</v>
      </c>
      <c r="G34" s="17"/>
      <c r="H34" s="17"/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110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48</v>
      </c>
      <c r="G35" s="17"/>
      <c r="H35" s="17"/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110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48</v>
      </c>
      <c r="G36" s="17"/>
      <c r="H36" s="17"/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110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48</v>
      </c>
      <c r="G37" s="17"/>
      <c r="H37" s="17"/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110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110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 t="s">
        <v>48</v>
      </c>
      <c r="H39" s="17"/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110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 t="s">
        <v>48</v>
      </c>
      <c r="H40" s="17"/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110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/>
      <c r="G41" s="17" t="s">
        <v>48</v>
      </c>
      <c r="H41" s="17"/>
      <c r="I41" s="17"/>
      <c r="J41" s="17"/>
      <c r="K41" s="17" t="s">
        <v>48</v>
      </c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110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/>
      <c r="G42" s="17" t="s">
        <v>48</v>
      </c>
      <c r="H42" s="17"/>
      <c r="I42" s="17"/>
      <c r="J42" s="17"/>
      <c r="K42" s="17" t="s">
        <v>48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110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/>
      <c r="G43" s="17" t="s">
        <v>48</v>
      </c>
      <c r="H43" s="17"/>
      <c r="I43" s="17"/>
      <c r="J43" s="17"/>
      <c r="K43" s="17" t="s">
        <v>48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110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 t="s">
        <v>48</v>
      </c>
      <c r="G44" s="17"/>
      <c r="H44" s="17"/>
      <c r="I44" s="17"/>
      <c r="J44" s="17" t="s">
        <v>48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110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 t="s">
        <v>48</v>
      </c>
      <c r="G45" s="17"/>
      <c r="H45" s="17"/>
      <c r="I45" s="17"/>
      <c r="J45" s="17" t="s">
        <v>48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110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 t="s">
        <v>48</v>
      </c>
      <c r="G46" s="17"/>
      <c r="H46" s="17"/>
      <c r="I46" s="17"/>
      <c r="J46" s="17" t="s">
        <v>48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110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 t="s">
        <v>48</v>
      </c>
      <c r="G47" s="17"/>
      <c r="H47" s="17"/>
      <c r="I47" s="17"/>
      <c r="J47" s="17" t="s">
        <v>48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110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 t="s">
        <v>48</v>
      </c>
      <c r="G48" s="17"/>
      <c r="H48" s="17"/>
      <c r="I48" s="17"/>
      <c r="J48" s="17" t="s">
        <v>48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110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 t="s">
        <v>48</v>
      </c>
      <c r="G49" s="17"/>
      <c r="H49" s="17"/>
      <c r="I49" s="17"/>
      <c r="J49" s="17" t="s">
        <v>48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110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 t="s">
        <v>48</v>
      </c>
      <c r="G50" s="17"/>
      <c r="H50" s="17"/>
      <c r="I50" s="17"/>
      <c r="J50" s="17" t="s">
        <v>48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110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 t="s">
        <v>48</v>
      </c>
      <c r="G51" s="17"/>
      <c r="H51" s="17"/>
      <c r="I51" s="17"/>
      <c r="J51" s="17" t="s">
        <v>48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110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 t="s">
        <v>48</v>
      </c>
      <c r="G52" s="17"/>
      <c r="H52" s="17"/>
      <c r="I52" s="17"/>
      <c r="J52" s="17" t="s">
        <v>48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110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 t="s">
        <v>48</v>
      </c>
      <c r="G53" s="17"/>
      <c r="H53" s="17"/>
      <c r="I53" s="17"/>
      <c r="J53" s="17" t="s">
        <v>48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110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 t="s">
        <v>48</v>
      </c>
      <c r="G54" s="17"/>
      <c r="H54" s="17"/>
      <c r="I54" s="17"/>
      <c r="J54" s="17"/>
      <c r="K54" s="17"/>
      <c r="L54" s="17" t="s">
        <v>48</v>
      </c>
      <c r="M54" s="18"/>
      <c r="N54" s="19" t="str">
        <f t="shared" si="4"/>
        <v>OK</v>
      </c>
    </row>
    <row r="55" spans="1:14" ht="20.100000000000001" customHeight="1" x14ac:dyDescent="0.25">
      <c r="A55" s="14" t="s">
        <v>110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 t="s">
        <v>48</v>
      </c>
      <c r="G55" s="17"/>
      <c r="H55" s="17"/>
      <c r="I55" s="17"/>
      <c r="J55" s="17"/>
      <c r="K55" s="17"/>
      <c r="L55" s="17" t="s">
        <v>48</v>
      </c>
      <c r="M55" s="18"/>
      <c r="N55" s="19" t="str">
        <f t="shared" si="4"/>
        <v>OK</v>
      </c>
    </row>
    <row r="56" spans="1:14" ht="20.100000000000001" customHeight="1" x14ac:dyDescent="0.25">
      <c r="A56" s="14" t="s">
        <v>110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 t="s">
        <v>48</v>
      </c>
      <c r="G56" s="17"/>
      <c r="H56" s="17"/>
      <c r="I56" s="17"/>
      <c r="J56" s="17"/>
      <c r="K56" s="17"/>
      <c r="L56" s="17" t="s">
        <v>48</v>
      </c>
      <c r="M56" s="18"/>
      <c r="N56" s="19" t="str">
        <f t="shared" si="4"/>
        <v>OK</v>
      </c>
    </row>
    <row r="57" spans="1:14" ht="20.100000000000001" customHeight="1" x14ac:dyDescent="0.25">
      <c r="A57" s="14" t="s">
        <v>110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 t="s">
        <v>48</v>
      </c>
      <c r="G57" s="17"/>
      <c r="H57" s="17"/>
      <c r="I57" s="17"/>
      <c r="J57" s="17"/>
      <c r="K57" s="17"/>
      <c r="L57" s="17" t="s">
        <v>48</v>
      </c>
      <c r="M57" s="18"/>
      <c r="N57" s="19" t="str">
        <f t="shared" si="4"/>
        <v>OK</v>
      </c>
    </row>
    <row r="58" spans="1:14" ht="20.100000000000001" customHeight="1" x14ac:dyDescent="0.25">
      <c r="A58" s="14" t="s">
        <v>110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 t="s">
        <v>48</v>
      </c>
      <c r="G58" s="17"/>
      <c r="H58" s="17"/>
      <c r="I58" s="17"/>
      <c r="J58" s="17"/>
      <c r="K58" s="17"/>
      <c r="L58" s="17" t="s">
        <v>48</v>
      </c>
      <c r="M58" s="18"/>
      <c r="N58" s="19" t="str">
        <f t="shared" si="4"/>
        <v>OK</v>
      </c>
    </row>
    <row r="59" spans="1:14" ht="20.100000000000001" customHeight="1" x14ac:dyDescent="0.25">
      <c r="A59" s="14" t="s">
        <v>110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 t="s">
        <v>48</v>
      </c>
      <c r="G59" s="17"/>
      <c r="H59" s="17"/>
      <c r="I59" s="17"/>
      <c r="J59" s="17"/>
      <c r="K59" s="17"/>
      <c r="L59" s="17" t="s">
        <v>48</v>
      </c>
      <c r="M59" s="18"/>
      <c r="N59" s="19" t="str">
        <f t="shared" si="4"/>
        <v>OK</v>
      </c>
    </row>
    <row r="60" spans="1:14" ht="20.100000000000001" customHeight="1" x14ac:dyDescent="0.25">
      <c r="A60" s="14" t="s">
        <v>110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 t="s">
        <v>48</v>
      </c>
      <c r="G60" s="17"/>
      <c r="H60" s="17"/>
      <c r="I60" s="17"/>
      <c r="J60" s="17"/>
      <c r="K60" s="17"/>
      <c r="L60" s="17" t="s">
        <v>48</v>
      </c>
      <c r="M60" s="18"/>
      <c r="N60" s="19" t="str">
        <f t="shared" si="4"/>
        <v>OK</v>
      </c>
    </row>
    <row r="61" spans="1:14" ht="20.100000000000001" customHeight="1" x14ac:dyDescent="0.25">
      <c r="A61" s="14" t="s">
        <v>110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 t="s">
        <v>48</v>
      </c>
      <c r="G61" s="17"/>
      <c r="H61" s="17"/>
      <c r="I61" s="17"/>
      <c r="J61" s="17"/>
      <c r="K61" s="17"/>
      <c r="L61" s="17" t="s">
        <v>48</v>
      </c>
      <c r="M61" s="18"/>
      <c r="N61" s="19" t="str">
        <f t="shared" si="4"/>
        <v>OK</v>
      </c>
    </row>
    <row r="62" spans="1:14" ht="20.100000000000001" customHeight="1" x14ac:dyDescent="0.25">
      <c r="A62" s="14" t="s">
        <v>110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 t="s">
        <v>48</v>
      </c>
      <c r="G62" s="17"/>
      <c r="H62" s="17"/>
      <c r="I62" s="17"/>
      <c r="J62" s="17"/>
      <c r="K62" s="17"/>
      <c r="L62" s="17" t="s">
        <v>48</v>
      </c>
      <c r="M62" s="18"/>
      <c r="N62" s="19" t="str">
        <f t="shared" si="4"/>
        <v>OK</v>
      </c>
    </row>
    <row r="63" spans="1:14" ht="20.100000000000001" customHeight="1" x14ac:dyDescent="0.25">
      <c r="A63" s="14" t="s">
        <v>110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 t="s">
        <v>48</v>
      </c>
      <c r="G63" s="17"/>
      <c r="H63" s="17"/>
      <c r="I63" s="17"/>
      <c r="J63" s="17"/>
      <c r="K63" s="17"/>
      <c r="L63" s="17" t="s">
        <v>48</v>
      </c>
      <c r="M63" s="18"/>
      <c r="N63" s="19" t="str">
        <f t="shared" si="4"/>
        <v>OK</v>
      </c>
    </row>
    <row r="64" spans="1:14" ht="20.100000000000001" customHeight="1" x14ac:dyDescent="0.25">
      <c r="A64" s="14" t="s">
        <v>110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 t="s">
        <v>48</v>
      </c>
      <c r="G64" s="17"/>
      <c r="H64" s="17"/>
      <c r="I64" s="17"/>
      <c r="J64" s="17"/>
      <c r="K64" s="17"/>
      <c r="L64" s="17" t="s">
        <v>48</v>
      </c>
      <c r="M64" s="18"/>
      <c r="N64" s="19" t="str">
        <f t="shared" si="4"/>
        <v>OK</v>
      </c>
    </row>
    <row r="65" spans="1:14" ht="20.100000000000001" customHeight="1" x14ac:dyDescent="0.25">
      <c r="A65" s="14" t="s">
        <v>110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 t="s">
        <v>48</v>
      </c>
      <c r="G65" s="17"/>
      <c r="H65" s="17"/>
      <c r="I65" s="17"/>
      <c r="J65" s="17"/>
      <c r="K65" s="17"/>
      <c r="L65" s="17" t="s">
        <v>48</v>
      </c>
      <c r="M65" s="18"/>
      <c r="N65" s="19" t="str">
        <f t="shared" si="4"/>
        <v>OK</v>
      </c>
    </row>
    <row r="66" spans="1:14" ht="20.100000000000001" customHeight="1" x14ac:dyDescent="0.25">
      <c r="A66" s="14" t="s">
        <v>110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 t="s">
        <v>48</v>
      </c>
      <c r="G66" s="17"/>
      <c r="H66" s="17"/>
      <c r="I66" s="17"/>
      <c r="J66" s="17"/>
      <c r="K66" s="17"/>
      <c r="L66" s="17" t="s">
        <v>48</v>
      </c>
      <c r="M66" s="18"/>
      <c r="N66" s="19" t="str">
        <f t="shared" si="4"/>
        <v>OK</v>
      </c>
    </row>
    <row r="67" spans="1:14" ht="20.100000000000001" customHeight="1" x14ac:dyDescent="0.25">
      <c r="A67" s="14" t="s">
        <v>110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 t="s">
        <v>48</v>
      </c>
      <c r="G67" s="17"/>
      <c r="H67" s="17"/>
      <c r="I67" s="17"/>
      <c r="J67" s="17"/>
      <c r="K67" s="17"/>
      <c r="L67" s="17" t="s">
        <v>48</v>
      </c>
      <c r="M67" s="18"/>
      <c r="N67" s="19" t="str">
        <f t="shared" si="4"/>
        <v>OK</v>
      </c>
    </row>
    <row r="68" spans="1:14" ht="20.100000000000001" customHeight="1" x14ac:dyDescent="0.25">
      <c r="A68" s="14" t="s">
        <v>110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 t="s">
        <v>48</v>
      </c>
      <c r="G68" s="17"/>
      <c r="H68" s="17"/>
      <c r="I68" s="17"/>
      <c r="J68" s="17"/>
      <c r="K68" s="17"/>
      <c r="L68" s="17" t="s">
        <v>48</v>
      </c>
      <c r="M68" s="18"/>
      <c r="N68" s="19" t="str">
        <f t="shared" si="4"/>
        <v>OK</v>
      </c>
    </row>
    <row r="69" spans="1:14" ht="20.100000000000001" customHeight="1" x14ac:dyDescent="0.25">
      <c r="A69" s="14" t="s">
        <v>110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 t="s">
        <v>48</v>
      </c>
      <c r="G69" s="17"/>
      <c r="H69" s="17"/>
      <c r="I69" s="17"/>
      <c r="J69" s="17"/>
      <c r="K69" s="17"/>
      <c r="L69" s="17" t="s">
        <v>48</v>
      </c>
      <c r="M69" s="18"/>
      <c r="N69" s="19" t="str">
        <f t="shared" si="4"/>
        <v>OK</v>
      </c>
    </row>
    <row r="70" spans="1:14" ht="20.100000000000001" customHeight="1" x14ac:dyDescent="0.25">
      <c r="A70" s="14" t="s">
        <v>110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 t="s">
        <v>48</v>
      </c>
      <c r="G70" s="17"/>
      <c r="H70" s="17"/>
      <c r="I70" s="17"/>
      <c r="J70" s="17"/>
      <c r="K70" s="17"/>
      <c r="L70" s="17" t="s">
        <v>48</v>
      </c>
      <c r="M70" s="18"/>
      <c r="N70" s="19" t="str">
        <f t="shared" si="4"/>
        <v>OK</v>
      </c>
    </row>
    <row r="71" spans="1:14" ht="20.100000000000001" customHeight="1" x14ac:dyDescent="0.25">
      <c r="A71" s="14" t="s">
        <v>110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 t="s">
        <v>48</v>
      </c>
      <c r="G71" s="17"/>
      <c r="H71" s="17"/>
      <c r="I71" s="17"/>
      <c r="J71" s="17"/>
      <c r="K71" s="17"/>
      <c r="L71" s="17" t="s">
        <v>48</v>
      </c>
      <c r="M71" s="18"/>
      <c r="N71" s="19" t="str">
        <f t="shared" si="4"/>
        <v>OK</v>
      </c>
    </row>
    <row r="72" spans="1:14" ht="20.100000000000001" customHeight="1" x14ac:dyDescent="0.25">
      <c r="A72" s="14" t="s">
        <v>110</v>
      </c>
      <c r="B72" s="15" t="s">
        <v>47</v>
      </c>
      <c r="C72" s="16">
        <v>63</v>
      </c>
      <c r="D72" s="16">
        <v>64</v>
      </c>
      <c r="E72" s="16">
        <f t="shared" si="3"/>
        <v>1</v>
      </c>
      <c r="F72" s="17" t="s">
        <v>48</v>
      </c>
      <c r="G72" s="17"/>
      <c r="H72" s="17"/>
      <c r="I72" s="17"/>
      <c r="J72" s="17"/>
      <c r="K72" s="17"/>
      <c r="L72" s="17" t="s">
        <v>48</v>
      </c>
      <c r="M72" s="18"/>
      <c r="N72" s="19" t="str">
        <f t="shared" si="4"/>
        <v>OK</v>
      </c>
    </row>
    <row r="73" spans="1:14" ht="20.100000000000001" customHeight="1" x14ac:dyDescent="0.25">
      <c r="A73" s="14" t="s">
        <v>110</v>
      </c>
      <c r="B73" s="15" t="s">
        <v>47</v>
      </c>
      <c r="C73" s="16">
        <v>64</v>
      </c>
      <c r="D73" s="16">
        <v>65</v>
      </c>
      <c r="E73" s="16">
        <f t="shared" ref="E73:E86" si="5">D73-C73</f>
        <v>1</v>
      </c>
      <c r="F73" s="17" t="s">
        <v>48</v>
      </c>
      <c r="G73" s="17"/>
      <c r="H73" s="17"/>
      <c r="I73" s="17"/>
      <c r="J73" s="17"/>
      <c r="K73" s="17"/>
      <c r="L73" s="17" t="s">
        <v>48</v>
      </c>
      <c r="M73" s="18"/>
      <c r="N73" s="19" t="str">
        <f t="shared" ref="N73:N86" si="6">IF(COUNTA(F73:L73)=0,"— não preenchido",IF(COUNTIF(F73:I73,"X")&lt;&gt;1,"FALTA/DUPLA: CONDIÇÃO DA PLATAFORMA",IF(COUNTIF(J73:L73,"X")&lt;&gt;1,"FALTA/DUPLA: DRENAGEM SUPERFICIAL","OK")))</f>
        <v>OK</v>
      </c>
    </row>
    <row r="74" spans="1:14" ht="20.100000000000001" customHeight="1" x14ac:dyDescent="0.25">
      <c r="A74" s="14" t="s">
        <v>110</v>
      </c>
      <c r="B74" s="15" t="s">
        <v>47</v>
      </c>
      <c r="C74" s="16">
        <v>65</v>
      </c>
      <c r="D74" s="16">
        <v>66</v>
      </c>
      <c r="E74" s="16">
        <f t="shared" si="5"/>
        <v>1</v>
      </c>
      <c r="F74" s="17" t="s">
        <v>48</v>
      </c>
      <c r="G74" s="17"/>
      <c r="H74" s="17"/>
      <c r="I74" s="17"/>
      <c r="J74" s="17"/>
      <c r="K74" s="17"/>
      <c r="L74" s="17" t="s">
        <v>48</v>
      </c>
      <c r="M74" s="18"/>
      <c r="N74" s="19" t="str">
        <f t="shared" si="6"/>
        <v>OK</v>
      </c>
    </row>
    <row r="75" spans="1:14" ht="20.100000000000001" customHeight="1" x14ac:dyDescent="0.25">
      <c r="A75" s="14" t="s">
        <v>110</v>
      </c>
      <c r="B75" s="15" t="s">
        <v>47</v>
      </c>
      <c r="C75" s="16">
        <v>66</v>
      </c>
      <c r="D75" s="16">
        <v>67</v>
      </c>
      <c r="E75" s="16">
        <f t="shared" si="5"/>
        <v>1</v>
      </c>
      <c r="F75" s="17" t="s">
        <v>48</v>
      </c>
      <c r="G75" s="17"/>
      <c r="H75" s="17"/>
      <c r="I75" s="17"/>
      <c r="J75" s="17"/>
      <c r="K75" s="17"/>
      <c r="L75" s="17" t="s">
        <v>48</v>
      </c>
      <c r="M75" s="18"/>
      <c r="N75" s="19" t="str">
        <f t="shared" si="6"/>
        <v>OK</v>
      </c>
    </row>
    <row r="76" spans="1:14" ht="20.100000000000001" customHeight="1" x14ac:dyDescent="0.25">
      <c r="A76" s="14" t="s">
        <v>110</v>
      </c>
      <c r="B76" s="15" t="s">
        <v>47</v>
      </c>
      <c r="C76" s="16">
        <v>67</v>
      </c>
      <c r="D76" s="16">
        <v>68</v>
      </c>
      <c r="E76" s="16">
        <f t="shared" si="5"/>
        <v>1</v>
      </c>
      <c r="F76" s="17" t="s">
        <v>48</v>
      </c>
      <c r="G76" s="17"/>
      <c r="H76" s="17"/>
      <c r="I76" s="17"/>
      <c r="J76" s="17"/>
      <c r="K76" s="17"/>
      <c r="L76" s="17" t="s">
        <v>48</v>
      </c>
      <c r="M76" s="18"/>
      <c r="N76" s="19" t="str">
        <f t="shared" si="6"/>
        <v>OK</v>
      </c>
    </row>
    <row r="77" spans="1:14" ht="20.100000000000001" customHeight="1" x14ac:dyDescent="0.25">
      <c r="A77" s="14" t="s">
        <v>110</v>
      </c>
      <c r="B77" s="15" t="s">
        <v>47</v>
      </c>
      <c r="C77" s="16">
        <v>68</v>
      </c>
      <c r="D77" s="16">
        <v>69</v>
      </c>
      <c r="E77" s="16">
        <f t="shared" si="5"/>
        <v>1</v>
      </c>
      <c r="F77" s="17" t="s">
        <v>48</v>
      </c>
      <c r="G77" s="17"/>
      <c r="H77" s="17"/>
      <c r="I77" s="17"/>
      <c r="J77" s="17"/>
      <c r="K77" s="17"/>
      <c r="L77" s="17" t="s">
        <v>48</v>
      </c>
      <c r="M77" s="18"/>
      <c r="N77" s="19" t="str">
        <f t="shared" si="6"/>
        <v>OK</v>
      </c>
    </row>
    <row r="78" spans="1:14" ht="20.100000000000001" customHeight="1" x14ac:dyDescent="0.25">
      <c r="A78" s="14" t="s">
        <v>110</v>
      </c>
      <c r="B78" s="15" t="s">
        <v>47</v>
      </c>
      <c r="C78" s="16">
        <v>69</v>
      </c>
      <c r="D78" s="16">
        <v>70</v>
      </c>
      <c r="E78" s="16">
        <f t="shared" si="5"/>
        <v>1</v>
      </c>
      <c r="F78" s="17" t="s">
        <v>48</v>
      </c>
      <c r="G78" s="17"/>
      <c r="H78" s="17"/>
      <c r="I78" s="17"/>
      <c r="J78" s="17"/>
      <c r="K78" s="17"/>
      <c r="L78" s="17" t="s">
        <v>48</v>
      </c>
      <c r="M78" s="18"/>
      <c r="N78" s="19" t="str">
        <f t="shared" si="6"/>
        <v>OK</v>
      </c>
    </row>
    <row r="79" spans="1:14" ht="20.100000000000001" customHeight="1" x14ac:dyDescent="0.25">
      <c r="A79" s="14" t="s">
        <v>110</v>
      </c>
      <c r="B79" s="15" t="s">
        <v>47</v>
      </c>
      <c r="C79" s="16">
        <v>70</v>
      </c>
      <c r="D79" s="16">
        <v>71</v>
      </c>
      <c r="E79" s="16">
        <f t="shared" si="5"/>
        <v>1</v>
      </c>
      <c r="F79" s="17" t="s">
        <v>48</v>
      </c>
      <c r="G79" s="17"/>
      <c r="H79" s="17"/>
      <c r="I79" s="17"/>
      <c r="J79" s="17"/>
      <c r="K79" s="17"/>
      <c r="L79" s="17" t="s">
        <v>48</v>
      </c>
      <c r="M79" s="18"/>
      <c r="N79" s="19" t="str">
        <f t="shared" si="6"/>
        <v>OK</v>
      </c>
    </row>
    <row r="80" spans="1:14" ht="20.100000000000001" customHeight="1" x14ac:dyDescent="0.25">
      <c r="A80" s="14" t="s">
        <v>110</v>
      </c>
      <c r="B80" s="15" t="s">
        <v>47</v>
      </c>
      <c r="C80" s="16">
        <v>71</v>
      </c>
      <c r="D80" s="16">
        <v>72</v>
      </c>
      <c r="E80" s="16">
        <f t="shared" si="5"/>
        <v>1</v>
      </c>
      <c r="F80" s="17" t="s">
        <v>48</v>
      </c>
      <c r="G80" s="17"/>
      <c r="H80" s="17"/>
      <c r="I80" s="17"/>
      <c r="J80" s="17"/>
      <c r="K80" s="17"/>
      <c r="L80" s="17" t="s">
        <v>48</v>
      </c>
      <c r="M80" s="18"/>
      <c r="N80" s="19" t="str">
        <f t="shared" si="6"/>
        <v>OK</v>
      </c>
    </row>
    <row r="81" spans="1:14" ht="20.100000000000001" customHeight="1" x14ac:dyDescent="0.25">
      <c r="A81" s="14" t="s">
        <v>110</v>
      </c>
      <c r="B81" s="15" t="s">
        <v>47</v>
      </c>
      <c r="C81" s="16">
        <v>72</v>
      </c>
      <c r="D81" s="16">
        <v>73</v>
      </c>
      <c r="E81" s="16">
        <f t="shared" si="5"/>
        <v>1</v>
      </c>
      <c r="F81" s="17" t="s">
        <v>48</v>
      </c>
      <c r="G81" s="17"/>
      <c r="H81" s="17"/>
      <c r="I81" s="17"/>
      <c r="J81" s="17"/>
      <c r="K81" s="17"/>
      <c r="L81" s="17" t="s">
        <v>48</v>
      </c>
      <c r="M81" s="18"/>
      <c r="N81" s="19" t="str">
        <f t="shared" si="6"/>
        <v>OK</v>
      </c>
    </row>
    <row r="82" spans="1:14" ht="20.100000000000001" customHeight="1" x14ac:dyDescent="0.25">
      <c r="A82" s="14" t="s">
        <v>110</v>
      </c>
      <c r="B82" s="15" t="s">
        <v>47</v>
      </c>
      <c r="C82" s="16">
        <v>73</v>
      </c>
      <c r="D82" s="16">
        <v>74</v>
      </c>
      <c r="E82" s="16">
        <f t="shared" si="5"/>
        <v>1</v>
      </c>
      <c r="F82" s="17" t="s">
        <v>48</v>
      </c>
      <c r="G82" s="17"/>
      <c r="H82" s="17"/>
      <c r="I82" s="17"/>
      <c r="J82" s="17"/>
      <c r="K82" s="17"/>
      <c r="L82" s="17" t="s">
        <v>48</v>
      </c>
      <c r="M82" s="18"/>
      <c r="N82" s="19" t="str">
        <f t="shared" si="6"/>
        <v>OK</v>
      </c>
    </row>
    <row r="83" spans="1:14" ht="20.100000000000001" customHeight="1" x14ac:dyDescent="0.25">
      <c r="A83" s="14" t="s">
        <v>110</v>
      </c>
      <c r="B83" s="15" t="s">
        <v>47</v>
      </c>
      <c r="C83" s="16">
        <v>74</v>
      </c>
      <c r="D83" s="16">
        <v>75</v>
      </c>
      <c r="E83" s="16">
        <f t="shared" si="5"/>
        <v>1</v>
      </c>
      <c r="F83" s="17" t="s">
        <v>48</v>
      </c>
      <c r="G83" s="17"/>
      <c r="H83" s="17"/>
      <c r="I83" s="17"/>
      <c r="J83" s="17"/>
      <c r="K83" s="17"/>
      <c r="L83" s="17" t="s">
        <v>48</v>
      </c>
      <c r="M83" s="18"/>
      <c r="N83" s="19" t="str">
        <f t="shared" si="6"/>
        <v>OK</v>
      </c>
    </row>
    <row r="84" spans="1:14" ht="20.100000000000001" customHeight="1" x14ac:dyDescent="0.25">
      <c r="A84" s="14" t="s">
        <v>110</v>
      </c>
      <c r="B84" s="15" t="s">
        <v>47</v>
      </c>
      <c r="C84" s="16">
        <v>75</v>
      </c>
      <c r="D84" s="16">
        <v>76</v>
      </c>
      <c r="E84" s="16">
        <f t="shared" si="5"/>
        <v>1</v>
      </c>
      <c r="F84" s="17" t="s">
        <v>48</v>
      </c>
      <c r="G84" s="17"/>
      <c r="H84" s="17"/>
      <c r="I84" s="17"/>
      <c r="J84" s="17"/>
      <c r="K84" s="17"/>
      <c r="L84" s="17" t="s">
        <v>48</v>
      </c>
      <c r="M84" s="18"/>
      <c r="N84" s="19" t="str">
        <f t="shared" si="6"/>
        <v>OK</v>
      </c>
    </row>
    <row r="85" spans="1:14" ht="20.100000000000001" customHeight="1" x14ac:dyDescent="0.25">
      <c r="A85" s="14" t="s">
        <v>110</v>
      </c>
      <c r="B85" s="15" t="s">
        <v>47</v>
      </c>
      <c r="C85" s="16">
        <v>76</v>
      </c>
      <c r="D85" s="16">
        <v>77</v>
      </c>
      <c r="E85" s="16">
        <f t="shared" si="5"/>
        <v>1</v>
      </c>
      <c r="F85" s="17" t="s">
        <v>48</v>
      </c>
      <c r="G85" s="17"/>
      <c r="H85" s="17"/>
      <c r="I85" s="17"/>
      <c r="J85" s="17"/>
      <c r="K85" s="17"/>
      <c r="L85" s="17" t="s">
        <v>48</v>
      </c>
      <c r="M85" s="18"/>
      <c r="N85" s="19" t="str">
        <f t="shared" si="6"/>
        <v>OK</v>
      </c>
    </row>
    <row r="86" spans="1:14" ht="20.100000000000001" customHeight="1" x14ac:dyDescent="0.25">
      <c r="A86" s="20" t="s">
        <v>110</v>
      </c>
      <c r="B86" s="21" t="s">
        <v>47</v>
      </c>
      <c r="C86" s="22">
        <v>77</v>
      </c>
      <c r="D86" s="22">
        <v>77.104768097999994</v>
      </c>
      <c r="E86" s="22">
        <f t="shared" si="5"/>
        <v>0.10476809799999387</v>
      </c>
      <c r="F86" s="23" t="s">
        <v>48</v>
      </c>
      <c r="G86" s="23"/>
      <c r="H86" s="23"/>
      <c r="I86" s="23"/>
      <c r="J86" s="23"/>
      <c r="K86" s="23"/>
      <c r="L86" s="23" t="s">
        <v>48</v>
      </c>
      <c r="M86" s="24"/>
      <c r="N86" s="25" t="str">
        <f t="shared" si="6"/>
        <v>OK</v>
      </c>
    </row>
    <row r="88" spans="1:14" x14ac:dyDescent="0.25">
      <c r="A88" s="40" t="s">
        <v>49</v>
      </c>
      <c r="B88" s="33"/>
      <c r="C88" s="33"/>
      <c r="D88" s="33"/>
      <c r="E88" s="33"/>
      <c r="G88" s="40" t="s">
        <v>49</v>
      </c>
      <c r="H88" s="33"/>
      <c r="I88" s="33"/>
      <c r="J88" s="33"/>
      <c r="K88" s="33"/>
    </row>
    <row r="89" spans="1:14" x14ac:dyDescent="0.25">
      <c r="A89" s="44" t="s">
        <v>50</v>
      </c>
      <c r="B89" s="33"/>
      <c r="C89" s="33"/>
      <c r="D89" s="33"/>
      <c r="E89" s="33"/>
      <c r="G89" s="44" t="s">
        <v>51</v>
      </c>
      <c r="H89" s="33"/>
      <c r="I89" s="33"/>
      <c r="J89" s="33"/>
      <c r="K89" s="33"/>
    </row>
    <row r="91" spans="1:14" x14ac:dyDescent="0.25">
      <c r="A91" s="50" t="s">
        <v>52</v>
      </c>
      <c r="B91" s="33"/>
      <c r="C91" s="33"/>
      <c r="D91" s="33"/>
      <c r="E91" s="33"/>
      <c r="F91" s="26"/>
      <c r="G91" s="26"/>
      <c r="H91" s="26"/>
      <c r="I91" s="26"/>
      <c r="J91" s="26"/>
      <c r="K91" s="26"/>
      <c r="L91" s="26"/>
      <c r="M91" s="26"/>
    </row>
    <row r="92" spans="1:14" x14ac:dyDescent="0.25">
      <c r="A92" s="37" t="s">
        <v>53</v>
      </c>
      <c r="B92" s="33"/>
      <c r="C92" s="33"/>
      <c r="D92" s="33"/>
      <c r="E92" s="33"/>
      <c r="F92" s="9">
        <f t="shared" ref="F92:L92" si="7">SUMIF(F$9:F$86,"X",$E$9:$E$86)</f>
        <v>71.104768097999994</v>
      </c>
      <c r="G92" s="9">
        <f t="shared" si="7"/>
        <v>6</v>
      </c>
      <c r="H92" s="9">
        <f t="shared" si="7"/>
        <v>0</v>
      </c>
      <c r="I92" s="9">
        <f t="shared" si="7"/>
        <v>0</v>
      </c>
      <c r="J92" s="9">
        <f t="shared" si="7"/>
        <v>37</v>
      </c>
      <c r="K92" s="9">
        <f t="shared" si="7"/>
        <v>8</v>
      </c>
      <c r="L92" s="9">
        <f t="shared" si="7"/>
        <v>32.104768097999994</v>
      </c>
    </row>
    <row r="93" spans="1:14" x14ac:dyDescent="0.25">
      <c r="A93" s="37" t="s">
        <v>54</v>
      </c>
      <c r="B93" s="33"/>
      <c r="C93" s="33"/>
      <c r="D93" s="33"/>
      <c r="E93" s="33"/>
      <c r="F93" s="27">
        <f t="shared" ref="F93:L93" si="8">IF($I95=0,0,F92/$I95)</f>
        <v>0.92218380071678563</v>
      </c>
      <c r="G93" s="27">
        <f t="shared" si="8"/>
        <v>7.7816199283214399E-2</v>
      </c>
      <c r="H93" s="27">
        <f t="shared" si="8"/>
        <v>0</v>
      </c>
      <c r="I93" s="27">
        <f t="shared" si="8"/>
        <v>0</v>
      </c>
      <c r="J93" s="27">
        <f t="shared" si="8"/>
        <v>0.47986656224648883</v>
      </c>
      <c r="K93" s="27">
        <f t="shared" si="8"/>
        <v>0.10375493237761921</v>
      </c>
      <c r="L93" s="27">
        <f t="shared" si="8"/>
        <v>0.41637850537589199</v>
      </c>
    </row>
    <row r="94" spans="1:14" x14ac:dyDescent="0.25">
      <c r="A94" s="37" t="s">
        <v>55</v>
      </c>
      <c r="B94" s="33"/>
      <c r="C94" s="33"/>
      <c r="D94" s="33"/>
      <c r="E94" s="33"/>
      <c r="F94" s="34" t="str">
        <f>IF(SUM(F92:I92)=0,"— não preenchido",IF(ROUND(SUM(F92:I92)-$I95,3)=0,"OK — "&amp;ROUND(SUM(F92:I92),3)&amp;" km","ERRO — dif. de "&amp;ROUND(SUM(F92:I92)-$I95,3)&amp;" km"))</f>
        <v>OK — 77,105 km</v>
      </c>
      <c r="G94" s="35"/>
      <c r="H94" s="35"/>
      <c r="I94" s="36"/>
      <c r="J94" s="34" t="str">
        <f>IF(SUM(J92:L92)=0,"— não preenchido",IF(ROUND(SUM(J92:L92)-$I95,3)=0,"OK — "&amp;ROUND(SUM(J92:L92),3)&amp;" km","ERRO — dif. de "&amp;ROUND(SUM(J92:L92)-$I95,3)&amp;" km"))</f>
        <v>OK — 77,105 km</v>
      </c>
      <c r="K94" s="35"/>
      <c r="L94" s="36"/>
    </row>
    <row r="95" spans="1:14" x14ac:dyDescent="0.25">
      <c r="A95" s="37" t="s">
        <v>56</v>
      </c>
      <c r="B95" s="33"/>
      <c r="C95" s="33"/>
      <c r="D95" s="33"/>
      <c r="E95" s="33"/>
      <c r="I95" s="28">
        <f>SUM(E9:E86)</f>
        <v>77.104768097999994</v>
      </c>
      <c r="M95" s="8" t="str">
        <f>COUNTIF(N9:N86,"OK")&amp;" de "&amp;COUNT($E$9:$E$86)&amp;" linhas conferidas"</f>
        <v>78 de 78 linhas conferidas</v>
      </c>
    </row>
    <row r="97" spans="1:13" x14ac:dyDescent="0.25">
      <c r="A97" s="42" t="s">
        <v>57</v>
      </c>
      <c r="B97" s="33"/>
      <c r="C97" s="33"/>
      <c r="D97" s="33"/>
      <c r="E97" s="33"/>
    </row>
    <row r="98" spans="1:13" x14ac:dyDescent="0.25">
      <c r="A98" s="37" t="s">
        <v>10</v>
      </c>
      <c r="B98" s="33"/>
      <c r="C98" s="33"/>
      <c r="D98" s="33"/>
      <c r="E98" s="39" t="s">
        <v>58</v>
      </c>
      <c r="F98" s="33"/>
      <c r="G98" s="33"/>
      <c r="H98" s="33"/>
      <c r="I98" s="33"/>
      <c r="J98" s="33"/>
      <c r="K98" s="33"/>
      <c r="L98" s="33"/>
      <c r="M98" s="33"/>
    </row>
    <row r="99" spans="1:13" x14ac:dyDescent="0.25">
      <c r="A99" s="37" t="s">
        <v>11</v>
      </c>
      <c r="B99" s="33"/>
      <c r="C99" s="33"/>
      <c r="D99" s="33"/>
      <c r="E99" s="39" t="s">
        <v>59</v>
      </c>
      <c r="F99" s="33"/>
      <c r="G99" s="33"/>
      <c r="H99" s="33"/>
      <c r="I99" s="33"/>
      <c r="J99" s="33"/>
      <c r="K99" s="33"/>
      <c r="L99" s="33"/>
      <c r="M99" s="33"/>
    </row>
    <row r="100" spans="1:13" x14ac:dyDescent="0.25">
      <c r="A100" s="37" t="s">
        <v>12</v>
      </c>
      <c r="B100" s="33"/>
      <c r="C100" s="33"/>
      <c r="D100" s="33"/>
      <c r="E100" s="39" t="s">
        <v>60</v>
      </c>
      <c r="F100" s="33"/>
      <c r="G100" s="33"/>
      <c r="H100" s="33"/>
      <c r="I100" s="33"/>
      <c r="J100" s="33"/>
      <c r="K100" s="33"/>
      <c r="L100" s="33"/>
      <c r="M100" s="33"/>
    </row>
    <row r="101" spans="1:13" x14ac:dyDescent="0.25">
      <c r="A101" s="37" t="s">
        <v>61</v>
      </c>
      <c r="B101" s="33"/>
      <c r="C101" s="33"/>
      <c r="D101" s="33"/>
      <c r="E101" s="39" t="s">
        <v>62</v>
      </c>
      <c r="F101" s="33"/>
      <c r="G101" s="33"/>
      <c r="H101" s="33"/>
      <c r="I101" s="33"/>
      <c r="J101" s="33"/>
      <c r="K101" s="33"/>
      <c r="L101" s="33"/>
      <c r="M101" s="33"/>
    </row>
    <row r="102" spans="1:13" x14ac:dyDescent="0.25">
      <c r="A102" s="37" t="s">
        <v>63</v>
      </c>
      <c r="B102" s="33"/>
      <c r="C102" s="33"/>
      <c r="D102" s="33"/>
      <c r="E102" s="39" t="s">
        <v>64</v>
      </c>
      <c r="F102" s="33"/>
      <c r="G102" s="33"/>
      <c r="H102" s="33"/>
      <c r="I102" s="33"/>
      <c r="J102" s="33"/>
      <c r="K102" s="33"/>
      <c r="L102" s="33"/>
      <c r="M102" s="33"/>
    </row>
    <row r="103" spans="1:13" x14ac:dyDescent="0.25">
      <c r="A103" s="37" t="s">
        <v>65</v>
      </c>
      <c r="B103" s="33"/>
      <c r="C103" s="33"/>
      <c r="D103" s="33"/>
      <c r="E103" s="39" t="s">
        <v>66</v>
      </c>
      <c r="F103" s="33"/>
      <c r="G103" s="33"/>
      <c r="H103" s="33"/>
      <c r="I103" s="33"/>
      <c r="J103" s="33"/>
      <c r="K103" s="33"/>
      <c r="L103" s="33"/>
      <c r="M103" s="33"/>
    </row>
    <row r="104" spans="1:13" x14ac:dyDescent="0.25">
      <c r="A104" s="37" t="s">
        <v>39</v>
      </c>
      <c r="B104" s="33"/>
      <c r="C104" s="33"/>
      <c r="D104" s="33"/>
      <c r="E104" s="39" t="s">
        <v>67</v>
      </c>
      <c r="F104" s="33"/>
      <c r="G104" s="33"/>
      <c r="H104" s="33"/>
      <c r="I104" s="33"/>
      <c r="J104" s="33"/>
      <c r="K104" s="33"/>
      <c r="L104" s="33"/>
      <c r="M104" s="33"/>
    </row>
    <row r="105" spans="1:13" x14ac:dyDescent="0.25">
      <c r="A105" s="37" t="s">
        <v>68</v>
      </c>
      <c r="B105" s="33"/>
      <c r="C105" s="33"/>
      <c r="D105" s="33"/>
      <c r="E105" s="39" t="s">
        <v>69</v>
      </c>
      <c r="F105" s="33"/>
      <c r="G105" s="33"/>
      <c r="H105" s="33"/>
      <c r="I105" s="33"/>
      <c r="J105" s="33"/>
      <c r="K105" s="33"/>
      <c r="L105" s="33"/>
      <c r="M105" s="33"/>
    </row>
    <row r="106" spans="1:13" x14ac:dyDescent="0.25">
      <c r="A106" s="37" t="s">
        <v>70</v>
      </c>
      <c r="B106" s="33"/>
      <c r="C106" s="33"/>
      <c r="D106" s="33"/>
      <c r="E106" s="39" t="s">
        <v>71</v>
      </c>
      <c r="F106" s="33"/>
      <c r="G106" s="33"/>
      <c r="H106" s="33"/>
      <c r="I106" s="33"/>
      <c r="J106" s="33"/>
      <c r="K106" s="33"/>
      <c r="L106" s="33"/>
      <c r="M106" s="33"/>
    </row>
    <row r="107" spans="1:13" x14ac:dyDescent="0.25">
      <c r="A107" s="37" t="s">
        <v>8</v>
      </c>
      <c r="B107" s="33"/>
      <c r="C107" s="33"/>
      <c r="D107" s="33"/>
      <c r="E107" s="39" t="s">
        <v>72</v>
      </c>
      <c r="F107" s="33"/>
      <c r="G107" s="33"/>
      <c r="H107" s="33"/>
      <c r="I107" s="33"/>
      <c r="J107" s="33"/>
      <c r="K107" s="33"/>
      <c r="L107" s="33"/>
      <c r="M107" s="33"/>
    </row>
  </sheetData>
  <sheetProtection formatCells="0"/>
  <mergeCells count="50">
    <mergeCell ref="A2:C2"/>
    <mergeCell ref="A100:D100"/>
    <mergeCell ref="A4:M4"/>
    <mergeCell ref="A94:E94"/>
    <mergeCell ref="A6:A7"/>
    <mergeCell ref="A88:E88"/>
    <mergeCell ref="A107:D107"/>
    <mergeCell ref="B6:B7"/>
    <mergeCell ref="A98:D98"/>
    <mergeCell ref="F6:I6"/>
    <mergeCell ref="E100:M100"/>
    <mergeCell ref="A103:D103"/>
    <mergeCell ref="E106:M106"/>
    <mergeCell ref="A105:D105"/>
    <mergeCell ref="A104:D104"/>
    <mergeCell ref="D6:D7"/>
    <mergeCell ref="E107:M107"/>
    <mergeCell ref="A92:E92"/>
    <mergeCell ref="E104:M104"/>
    <mergeCell ref="A106:D106"/>
    <mergeCell ref="A102:D102"/>
    <mergeCell ref="M6:M7"/>
    <mergeCell ref="E103:M103"/>
    <mergeCell ref="E105:M105"/>
    <mergeCell ref="A1:M1"/>
    <mergeCell ref="A95:E95"/>
    <mergeCell ref="G89:K89"/>
    <mergeCell ref="E102:M102"/>
    <mergeCell ref="A101:D101"/>
    <mergeCell ref="E99:M99"/>
    <mergeCell ref="J94:L94"/>
    <mergeCell ref="K2:M2"/>
    <mergeCell ref="D2:E2"/>
    <mergeCell ref="E101:M101"/>
    <mergeCell ref="E6:E7"/>
    <mergeCell ref="A89:E89"/>
    <mergeCell ref="J6:L6"/>
    <mergeCell ref="G2:H2"/>
    <mergeCell ref="N6:N7"/>
    <mergeCell ref="K3:M3"/>
    <mergeCell ref="A99:D99"/>
    <mergeCell ref="A97:E97"/>
    <mergeCell ref="G88:K88"/>
    <mergeCell ref="A91:E91"/>
    <mergeCell ref="F94:I94"/>
    <mergeCell ref="E98:M98"/>
    <mergeCell ref="A3:J3"/>
    <mergeCell ref="A93:E93"/>
    <mergeCell ref="C6:C7"/>
    <mergeCell ref="A8:M8"/>
  </mergeCells>
  <conditionalFormatting sqref="F9:I86">
    <cfRule type="expression" dxfId="17" priority="1">
      <formula>AND(F9&lt;&gt;"",COUNTIF($F9:$I9,"X")&gt;1)</formula>
    </cfRule>
  </conditionalFormatting>
  <conditionalFormatting sqref="F94:L94">
    <cfRule type="expression" dxfId="16" priority="5">
      <formula>LEFT(F94,4)="ERRO"</formula>
    </cfRule>
    <cfRule type="expression" dxfId="15" priority="6">
      <formula>LEFT(F94,2)="OK"</formula>
    </cfRule>
  </conditionalFormatting>
  <conditionalFormatting sqref="J9:L86">
    <cfRule type="expression" dxfId="14" priority="2">
      <formula>AND(J9&lt;&gt;"",COUNTIF($J9:$L9,"X")&gt;1)</formula>
    </cfRule>
  </conditionalFormatting>
  <conditionalFormatting sqref="N9:N86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6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6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86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221</oddHeader>
    <oddFooter>&amp;L&amp;7 RTA / MSI — Programa de Manutenção Rodoviária&amp;C&amp;7 Página &amp;P de &amp;N&amp;R&amp;7 Impresso em &amp;D</oddFooter>
  </headerFooter>
  <rowBreaks count="1" manualBreakCount="1">
    <brk id="89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68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IF(F53=0,NA(),F53)</f>
        <v>#N/A</v>
      </c>
      <c r="Q2" s="2">
        <f t="shared" si="0"/>
        <v>20</v>
      </c>
      <c r="R2" s="2">
        <f t="shared" si="0"/>
        <v>18.012738455600001</v>
      </c>
      <c r="S2" s="2" t="e">
        <f t="shared" si="0"/>
        <v>#N/A</v>
      </c>
      <c r="T2" s="2">
        <f t="shared" si="0"/>
        <v>38.012738455600001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38" t="s">
        <v>111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112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113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114</v>
      </c>
      <c r="B9" s="15" t="s">
        <v>47</v>
      </c>
      <c r="C9" s="16">
        <v>0</v>
      </c>
      <c r="D9" s="16">
        <v>1</v>
      </c>
      <c r="E9" s="16">
        <f t="shared" ref="E9:E47" si="1">D9-C9</f>
        <v>1</v>
      </c>
      <c r="F9" s="17"/>
      <c r="G9" s="17" t="s">
        <v>48</v>
      </c>
      <c r="H9" s="17"/>
      <c r="I9" s="17"/>
      <c r="J9" s="17" t="s">
        <v>48</v>
      </c>
      <c r="K9" s="17"/>
      <c r="L9" s="17"/>
      <c r="M9" s="18"/>
      <c r="N9" s="19" t="str">
        <f t="shared" ref="N9:N4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114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 t="s">
        <v>48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114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 t="s">
        <v>48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114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 t="s">
        <v>48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114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 t="s">
        <v>48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114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 t="s">
        <v>48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114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 t="s">
        <v>48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114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 t="s">
        <v>48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114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 t="s">
        <v>48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114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 t="s">
        <v>48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114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 t="s">
        <v>48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114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 t="s">
        <v>48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114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 t="s">
        <v>48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114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 t="s">
        <v>48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114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 t="s">
        <v>48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114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 t="s">
        <v>48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114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 t="s">
        <v>48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114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 t="s">
        <v>48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114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 t="s">
        <v>48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114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 t="s">
        <v>48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114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/>
      <c r="H29" s="17" t="s">
        <v>48</v>
      </c>
      <c r="I29" s="17"/>
      <c r="J29" s="17" t="s">
        <v>48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114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/>
      <c r="H30" s="17" t="s">
        <v>48</v>
      </c>
      <c r="I30" s="17"/>
      <c r="J30" s="17" t="s">
        <v>48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114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/>
      <c r="H31" s="17" t="s">
        <v>48</v>
      </c>
      <c r="I31" s="17"/>
      <c r="J31" s="17" t="s">
        <v>48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114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/>
      <c r="H32" s="17" t="s">
        <v>48</v>
      </c>
      <c r="I32" s="17"/>
      <c r="J32" s="17" t="s">
        <v>48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114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/>
      <c r="H33" s="17" t="s">
        <v>48</v>
      </c>
      <c r="I33" s="17"/>
      <c r="J33" s="17" t="s">
        <v>48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114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/>
      <c r="H34" s="17" t="s">
        <v>48</v>
      </c>
      <c r="I34" s="17"/>
      <c r="J34" s="17" t="s">
        <v>48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114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/>
      <c r="H35" s="17" t="s">
        <v>48</v>
      </c>
      <c r="I35" s="17"/>
      <c r="J35" s="17" t="s">
        <v>48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114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/>
      <c r="H36" s="17" t="s">
        <v>48</v>
      </c>
      <c r="I36" s="17"/>
      <c r="J36" s="17" t="s">
        <v>48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114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/>
      <c r="H37" s="17" t="s">
        <v>48</v>
      </c>
      <c r="I37" s="17"/>
      <c r="J37" s="17" t="s">
        <v>48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114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/>
      <c r="H38" s="17" t="s">
        <v>48</v>
      </c>
      <c r="I38" s="17"/>
      <c r="J38" s="17" t="s">
        <v>48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114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/>
      <c r="H39" s="17" t="s">
        <v>48</v>
      </c>
      <c r="I39" s="17"/>
      <c r="J39" s="17" t="s">
        <v>48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114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/>
      <c r="H40" s="17" t="s">
        <v>48</v>
      </c>
      <c r="I40" s="17"/>
      <c r="J40" s="17" t="s">
        <v>48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114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/>
      <c r="H41" s="17" t="s">
        <v>48</v>
      </c>
      <c r="I41" s="17"/>
      <c r="J41" s="17" t="s">
        <v>48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114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/>
      <c r="H42" s="17" t="s">
        <v>48</v>
      </c>
      <c r="I42" s="17"/>
      <c r="J42" s="17" t="s">
        <v>48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114</v>
      </c>
      <c r="B43" s="15" t="s">
        <v>47</v>
      </c>
      <c r="C43" s="16">
        <v>34</v>
      </c>
      <c r="D43" s="16">
        <v>35</v>
      </c>
      <c r="E43" s="16">
        <f t="shared" si="1"/>
        <v>1</v>
      </c>
      <c r="F43" s="17"/>
      <c r="G43" s="17"/>
      <c r="H43" s="17" t="s">
        <v>48</v>
      </c>
      <c r="I43" s="17"/>
      <c r="J43" s="17" t="s">
        <v>48</v>
      </c>
      <c r="K43" s="17"/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114</v>
      </c>
      <c r="B44" s="15" t="s">
        <v>47</v>
      </c>
      <c r="C44" s="16">
        <v>35</v>
      </c>
      <c r="D44" s="16">
        <v>36</v>
      </c>
      <c r="E44" s="16">
        <f t="shared" si="1"/>
        <v>1</v>
      </c>
      <c r="F44" s="17"/>
      <c r="G44" s="17"/>
      <c r="H44" s="17" t="s">
        <v>48</v>
      </c>
      <c r="I44" s="17"/>
      <c r="J44" s="17" t="s">
        <v>48</v>
      </c>
      <c r="K44" s="17"/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114</v>
      </c>
      <c r="B45" s="15" t="s">
        <v>47</v>
      </c>
      <c r="C45" s="16">
        <v>36</v>
      </c>
      <c r="D45" s="16">
        <v>37</v>
      </c>
      <c r="E45" s="16">
        <f t="shared" si="1"/>
        <v>1</v>
      </c>
      <c r="F45" s="17"/>
      <c r="G45" s="17"/>
      <c r="H45" s="17" t="s">
        <v>48</v>
      </c>
      <c r="I45" s="17"/>
      <c r="J45" s="17" t="s">
        <v>48</v>
      </c>
      <c r="K45" s="17"/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114</v>
      </c>
      <c r="B46" s="15" t="s">
        <v>47</v>
      </c>
      <c r="C46" s="16">
        <v>37</v>
      </c>
      <c r="D46" s="16">
        <v>38</v>
      </c>
      <c r="E46" s="16">
        <f t="shared" si="1"/>
        <v>1</v>
      </c>
      <c r="F46" s="17"/>
      <c r="G46" s="17"/>
      <c r="H46" s="17" t="s">
        <v>48</v>
      </c>
      <c r="I46" s="17"/>
      <c r="J46" s="17" t="s">
        <v>48</v>
      </c>
      <c r="K46" s="17"/>
      <c r="L46" s="17"/>
      <c r="M46" s="18"/>
      <c r="N46" s="19" t="str">
        <f t="shared" si="2"/>
        <v>OK</v>
      </c>
    </row>
    <row r="47" spans="1:14" ht="20.100000000000001" customHeight="1" x14ac:dyDescent="0.25">
      <c r="A47" s="20" t="s">
        <v>114</v>
      </c>
      <c r="B47" s="21" t="s">
        <v>47</v>
      </c>
      <c r="C47" s="22">
        <v>38</v>
      </c>
      <c r="D47" s="22">
        <v>38.012738455600001</v>
      </c>
      <c r="E47" s="22">
        <f t="shared" si="1"/>
        <v>1.2738455600000975E-2</v>
      </c>
      <c r="F47" s="23"/>
      <c r="G47" s="23"/>
      <c r="H47" s="23" t="s">
        <v>48</v>
      </c>
      <c r="I47" s="23"/>
      <c r="J47" s="23" t="s">
        <v>48</v>
      </c>
      <c r="K47" s="23"/>
      <c r="L47" s="23"/>
      <c r="M47" s="24"/>
      <c r="N47" s="25" t="str">
        <f t="shared" si="2"/>
        <v>OK</v>
      </c>
    </row>
    <row r="49" spans="1:13" x14ac:dyDescent="0.25">
      <c r="A49" s="40" t="s">
        <v>49</v>
      </c>
      <c r="B49" s="33"/>
      <c r="C49" s="33"/>
      <c r="D49" s="33"/>
      <c r="E49" s="33"/>
      <c r="G49" s="40" t="s">
        <v>49</v>
      </c>
      <c r="H49" s="33"/>
      <c r="I49" s="33"/>
      <c r="J49" s="33"/>
      <c r="K49" s="33"/>
    </row>
    <row r="50" spans="1:13" x14ac:dyDescent="0.25">
      <c r="A50" s="44" t="s">
        <v>50</v>
      </c>
      <c r="B50" s="33"/>
      <c r="C50" s="33"/>
      <c r="D50" s="33"/>
      <c r="E50" s="33"/>
      <c r="G50" s="44" t="s">
        <v>51</v>
      </c>
      <c r="H50" s="33"/>
      <c r="I50" s="33"/>
      <c r="J50" s="33"/>
      <c r="K50" s="33"/>
    </row>
    <row r="52" spans="1:13" x14ac:dyDescent="0.25">
      <c r="A52" s="50" t="s">
        <v>52</v>
      </c>
      <c r="B52" s="33"/>
      <c r="C52" s="33"/>
      <c r="D52" s="33"/>
      <c r="E52" s="33"/>
      <c r="F52" s="26"/>
      <c r="G52" s="26"/>
      <c r="H52" s="26"/>
      <c r="I52" s="26"/>
      <c r="J52" s="26"/>
      <c r="K52" s="26"/>
      <c r="L52" s="26"/>
      <c r="M52" s="26"/>
    </row>
    <row r="53" spans="1:13" x14ac:dyDescent="0.25">
      <c r="A53" s="37" t="s">
        <v>53</v>
      </c>
      <c r="B53" s="33"/>
      <c r="C53" s="33"/>
      <c r="D53" s="33"/>
      <c r="E53" s="33"/>
      <c r="F53" s="9">
        <f t="shared" ref="F53:L53" si="3">SUMIF(F$9:F$47,"X",$E$9:$E$47)</f>
        <v>0</v>
      </c>
      <c r="G53" s="9">
        <f t="shared" si="3"/>
        <v>20</v>
      </c>
      <c r="H53" s="9">
        <f t="shared" si="3"/>
        <v>18.012738455600001</v>
      </c>
      <c r="I53" s="9">
        <f t="shared" si="3"/>
        <v>0</v>
      </c>
      <c r="J53" s="9">
        <f t="shared" si="3"/>
        <v>38.012738455600001</v>
      </c>
      <c r="K53" s="9">
        <f t="shared" si="3"/>
        <v>0</v>
      </c>
      <c r="L53" s="9">
        <f t="shared" si="3"/>
        <v>0</v>
      </c>
    </row>
    <row r="54" spans="1:13" x14ac:dyDescent="0.25">
      <c r="A54" s="37" t="s">
        <v>54</v>
      </c>
      <c r="B54" s="33"/>
      <c r="C54" s="33"/>
      <c r="D54" s="33"/>
      <c r="E54" s="33"/>
      <c r="F54" s="27">
        <f t="shared" ref="F54:L54" si="4">IF($I56=0,0,F53/$I56)</f>
        <v>0</v>
      </c>
      <c r="G54" s="27">
        <f t="shared" si="4"/>
        <v>0.52613941569509892</v>
      </c>
      <c r="H54" s="27">
        <f t="shared" si="4"/>
        <v>0.47386058430490113</v>
      </c>
      <c r="I54" s="27">
        <f t="shared" si="4"/>
        <v>0</v>
      </c>
      <c r="J54" s="27">
        <f t="shared" si="4"/>
        <v>1</v>
      </c>
      <c r="K54" s="27">
        <f t="shared" si="4"/>
        <v>0</v>
      </c>
      <c r="L54" s="27">
        <f t="shared" si="4"/>
        <v>0</v>
      </c>
    </row>
    <row r="55" spans="1:13" x14ac:dyDescent="0.25">
      <c r="A55" s="37" t="s">
        <v>55</v>
      </c>
      <c r="B55" s="33"/>
      <c r="C55" s="33"/>
      <c r="D55" s="33"/>
      <c r="E55" s="33"/>
      <c r="F55" s="34" t="str">
        <f>IF(SUM(F53:I53)=0,"— não preenchido",IF(ROUND(SUM(F53:I53)-$I56,3)=0,"OK — "&amp;ROUND(SUM(F53:I53),3)&amp;" km","ERRO — dif. de "&amp;ROUND(SUM(F53:I53)-$I56,3)&amp;" km"))</f>
        <v>OK — 38,013 km</v>
      </c>
      <c r="G55" s="35"/>
      <c r="H55" s="35"/>
      <c r="I55" s="36"/>
      <c r="J55" s="34" t="str">
        <f>IF(SUM(J53:L53)=0,"— não preenchido",IF(ROUND(SUM(J53:L53)-$I56,3)=0,"OK — "&amp;ROUND(SUM(J53:L53),3)&amp;" km","ERRO — dif. de "&amp;ROUND(SUM(J53:L53)-$I56,3)&amp;" km"))</f>
        <v>OK — 38,013 km</v>
      </c>
      <c r="K55" s="35"/>
      <c r="L55" s="36"/>
    </row>
    <row r="56" spans="1:13" x14ac:dyDescent="0.25">
      <c r="A56" s="37" t="s">
        <v>56</v>
      </c>
      <c r="B56" s="33"/>
      <c r="C56" s="33"/>
      <c r="D56" s="33"/>
      <c r="E56" s="33"/>
      <c r="I56" s="28">
        <f>SUM(E9:E47)</f>
        <v>38.012738455600001</v>
      </c>
      <c r="M56" s="8" t="str">
        <f>COUNTIF(N9:N47,"OK")&amp;" de "&amp;COUNT($E$9:$E$47)&amp;" linhas conferidas"</f>
        <v>39 de 39 linhas conferidas</v>
      </c>
    </row>
    <row r="58" spans="1:13" x14ac:dyDescent="0.25">
      <c r="A58" s="42" t="s">
        <v>57</v>
      </c>
      <c r="B58" s="33"/>
      <c r="C58" s="33"/>
      <c r="D58" s="33"/>
      <c r="E58" s="33"/>
    </row>
    <row r="59" spans="1:13" x14ac:dyDescent="0.25">
      <c r="A59" s="37" t="s">
        <v>10</v>
      </c>
      <c r="B59" s="33"/>
      <c r="C59" s="33"/>
      <c r="D59" s="33"/>
      <c r="E59" s="39" t="s">
        <v>58</v>
      </c>
      <c r="F59" s="33"/>
      <c r="G59" s="33"/>
      <c r="H59" s="33"/>
      <c r="I59" s="33"/>
      <c r="J59" s="33"/>
      <c r="K59" s="33"/>
      <c r="L59" s="33"/>
      <c r="M59" s="33"/>
    </row>
    <row r="60" spans="1:13" x14ac:dyDescent="0.25">
      <c r="A60" s="37" t="s">
        <v>11</v>
      </c>
      <c r="B60" s="33"/>
      <c r="C60" s="33"/>
      <c r="D60" s="33"/>
      <c r="E60" s="39" t="s">
        <v>59</v>
      </c>
      <c r="F60" s="33"/>
      <c r="G60" s="33"/>
      <c r="H60" s="33"/>
      <c r="I60" s="33"/>
      <c r="J60" s="33"/>
      <c r="K60" s="33"/>
      <c r="L60" s="33"/>
      <c r="M60" s="33"/>
    </row>
    <row r="61" spans="1:13" x14ac:dyDescent="0.25">
      <c r="A61" s="37" t="s">
        <v>12</v>
      </c>
      <c r="B61" s="33"/>
      <c r="C61" s="33"/>
      <c r="D61" s="33"/>
      <c r="E61" s="39" t="s">
        <v>60</v>
      </c>
      <c r="F61" s="33"/>
      <c r="G61" s="33"/>
      <c r="H61" s="33"/>
      <c r="I61" s="33"/>
      <c r="J61" s="33"/>
      <c r="K61" s="33"/>
      <c r="L61" s="33"/>
      <c r="M61" s="33"/>
    </row>
    <row r="62" spans="1:13" x14ac:dyDescent="0.25">
      <c r="A62" s="37" t="s">
        <v>61</v>
      </c>
      <c r="B62" s="33"/>
      <c r="C62" s="33"/>
      <c r="D62" s="33"/>
      <c r="E62" s="39" t="s">
        <v>62</v>
      </c>
      <c r="F62" s="33"/>
      <c r="G62" s="33"/>
      <c r="H62" s="33"/>
      <c r="I62" s="33"/>
      <c r="J62" s="33"/>
      <c r="K62" s="33"/>
      <c r="L62" s="33"/>
      <c r="M62" s="33"/>
    </row>
    <row r="63" spans="1:13" x14ac:dyDescent="0.25">
      <c r="A63" s="37" t="s">
        <v>63</v>
      </c>
      <c r="B63" s="33"/>
      <c r="C63" s="33"/>
      <c r="D63" s="33"/>
      <c r="E63" s="39" t="s">
        <v>64</v>
      </c>
      <c r="F63" s="33"/>
      <c r="G63" s="33"/>
      <c r="H63" s="33"/>
      <c r="I63" s="33"/>
      <c r="J63" s="33"/>
      <c r="K63" s="33"/>
      <c r="L63" s="33"/>
      <c r="M63" s="33"/>
    </row>
    <row r="64" spans="1:13" x14ac:dyDescent="0.25">
      <c r="A64" s="37" t="s">
        <v>65</v>
      </c>
      <c r="B64" s="33"/>
      <c r="C64" s="33"/>
      <c r="D64" s="33"/>
      <c r="E64" s="39" t="s">
        <v>66</v>
      </c>
      <c r="F64" s="33"/>
      <c r="G64" s="33"/>
      <c r="H64" s="33"/>
      <c r="I64" s="33"/>
      <c r="J64" s="33"/>
      <c r="K64" s="33"/>
      <c r="L64" s="33"/>
      <c r="M64" s="33"/>
    </row>
    <row r="65" spans="1:13" x14ac:dyDescent="0.25">
      <c r="A65" s="37" t="s">
        <v>39</v>
      </c>
      <c r="B65" s="33"/>
      <c r="C65" s="33"/>
      <c r="D65" s="33"/>
      <c r="E65" s="39" t="s">
        <v>67</v>
      </c>
      <c r="F65" s="33"/>
      <c r="G65" s="33"/>
      <c r="H65" s="33"/>
      <c r="I65" s="33"/>
      <c r="J65" s="33"/>
      <c r="K65" s="33"/>
      <c r="L65" s="33"/>
      <c r="M65" s="33"/>
    </row>
    <row r="66" spans="1:13" x14ac:dyDescent="0.25">
      <c r="A66" s="37" t="s">
        <v>68</v>
      </c>
      <c r="B66" s="33"/>
      <c r="C66" s="33"/>
      <c r="D66" s="33"/>
      <c r="E66" s="39" t="s">
        <v>69</v>
      </c>
      <c r="F66" s="33"/>
      <c r="G66" s="33"/>
      <c r="H66" s="33"/>
      <c r="I66" s="33"/>
      <c r="J66" s="33"/>
      <c r="K66" s="33"/>
      <c r="L66" s="33"/>
      <c r="M66" s="33"/>
    </row>
    <row r="67" spans="1:13" x14ac:dyDescent="0.25">
      <c r="A67" s="37" t="s">
        <v>70</v>
      </c>
      <c r="B67" s="33"/>
      <c r="C67" s="33"/>
      <c r="D67" s="33"/>
      <c r="E67" s="39" t="s">
        <v>71</v>
      </c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37" t="s">
        <v>8</v>
      </c>
      <c r="B68" s="33"/>
      <c r="C68" s="33"/>
      <c r="D68" s="33"/>
      <c r="E68" s="39" t="s">
        <v>72</v>
      </c>
      <c r="F68" s="33"/>
      <c r="G68" s="33"/>
      <c r="H68" s="33"/>
      <c r="I68" s="33"/>
      <c r="J68" s="33"/>
      <c r="K68" s="33"/>
      <c r="L68" s="33"/>
      <c r="M68" s="33"/>
    </row>
  </sheetData>
  <sheetProtection formatCells="0"/>
  <mergeCells count="50">
    <mergeCell ref="G2:H2"/>
    <mergeCell ref="A8:M8"/>
    <mergeCell ref="A62:D62"/>
    <mergeCell ref="A4:M4"/>
    <mergeCell ref="A49:E49"/>
    <mergeCell ref="E60:M60"/>
    <mergeCell ref="J55:L55"/>
    <mergeCell ref="A6:A7"/>
    <mergeCell ref="A56:E56"/>
    <mergeCell ref="G49:K49"/>
    <mergeCell ref="F6:I6"/>
    <mergeCell ref="A55:E55"/>
    <mergeCell ref="A50:E50"/>
    <mergeCell ref="A1:M1"/>
    <mergeCell ref="A61:D61"/>
    <mergeCell ref="F55:I55"/>
    <mergeCell ref="E66:M66"/>
    <mergeCell ref="A65:D65"/>
    <mergeCell ref="E65:M65"/>
    <mergeCell ref="A63:D63"/>
    <mergeCell ref="A2:C2"/>
    <mergeCell ref="E59:M59"/>
    <mergeCell ref="K2:M2"/>
    <mergeCell ref="D2:E2"/>
    <mergeCell ref="A54:E54"/>
    <mergeCell ref="E61:M61"/>
    <mergeCell ref="A64:D64"/>
    <mergeCell ref="M6:M7"/>
    <mergeCell ref="A59:D59"/>
    <mergeCell ref="N6:N7"/>
    <mergeCell ref="K3:M3"/>
    <mergeCell ref="A66:D66"/>
    <mergeCell ref="A53:E53"/>
    <mergeCell ref="E62:M62"/>
    <mergeCell ref="E6:E7"/>
    <mergeCell ref="B6:B7"/>
    <mergeCell ref="A60:D60"/>
    <mergeCell ref="J6:L6"/>
    <mergeCell ref="A58:E58"/>
    <mergeCell ref="E63:M63"/>
    <mergeCell ref="E68:M68"/>
    <mergeCell ref="E67:M67"/>
    <mergeCell ref="A52:E52"/>
    <mergeCell ref="A3:J3"/>
    <mergeCell ref="G50:K50"/>
    <mergeCell ref="C6:C7"/>
    <mergeCell ref="E64:M64"/>
    <mergeCell ref="D6:D7"/>
    <mergeCell ref="A68:D68"/>
    <mergeCell ref="A67:D67"/>
  </mergeCells>
  <conditionalFormatting sqref="F9:I47">
    <cfRule type="expression" dxfId="11" priority="1">
      <formula>AND(F9&lt;&gt;"",COUNTIF($F9:$I9,"X")&gt;1)</formula>
    </cfRule>
  </conditionalFormatting>
  <conditionalFormatting sqref="F55:L55">
    <cfRule type="expression" dxfId="10" priority="5">
      <formula>LEFT(F55,4)="ERRO"</formula>
    </cfRule>
    <cfRule type="expression" dxfId="9" priority="6">
      <formula>LEFT(F55,2)="OK"</formula>
    </cfRule>
  </conditionalFormatting>
  <conditionalFormatting sqref="J9:L47">
    <cfRule type="expression" dxfId="8" priority="2">
      <formula>AND(J9&lt;&gt;"",COUNTIF($J9:$L9,"X")&gt;1)</formula>
    </cfRule>
  </conditionalFormatting>
  <conditionalFormatting sqref="N9:N47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7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7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7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222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93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1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P1" s="1" t="s">
        <v>1</v>
      </c>
    </row>
    <row r="2" spans="1:22" ht="17.100000000000001" customHeight="1" x14ac:dyDescent="0.25">
      <c r="A2" s="43" t="s">
        <v>31</v>
      </c>
      <c r="B2" s="33"/>
      <c r="C2" s="33"/>
      <c r="D2" s="32" t="s">
        <v>32</v>
      </c>
      <c r="E2" s="33"/>
      <c r="F2" s="29">
        <v>46235</v>
      </c>
      <c r="G2" s="32" t="s">
        <v>33</v>
      </c>
      <c r="H2" s="33"/>
      <c r="I2" s="13"/>
      <c r="J2" s="12" t="s">
        <v>34</v>
      </c>
      <c r="K2" s="45" t="s">
        <v>122</v>
      </c>
      <c r="L2" s="46"/>
      <c r="M2" s="47"/>
      <c r="P2" s="2" t="e">
        <f t="shared" ref="P2:V2" si="0">IF(F78=0,NA(),F78)</f>
        <v>#N/A</v>
      </c>
      <c r="Q2" s="2">
        <f t="shared" si="0"/>
        <v>63.874573671500002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63.874573671500002</v>
      </c>
      <c r="V2" s="2" t="e">
        <f t="shared" si="0"/>
        <v>#N/A</v>
      </c>
    </row>
    <row r="3" spans="1:22" ht="15" customHeight="1" x14ac:dyDescent="0.25">
      <c r="A3" s="38" t="s">
        <v>115</v>
      </c>
      <c r="B3" s="33"/>
      <c r="C3" s="33"/>
      <c r="D3" s="33"/>
      <c r="E3" s="33"/>
      <c r="F3" s="33"/>
      <c r="G3" s="33"/>
      <c r="H3" s="33"/>
      <c r="I3" s="33"/>
      <c r="J3" s="33"/>
      <c r="K3" s="32" t="s">
        <v>116</v>
      </c>
      <c r="L3" s="33"/>
      <c r="M3" s="33"/>
    </row>
    <row r="4" spans="1:22" ht="20.100000000000001" customHeight="1" x14ac:dyDescent="0.25">
      <c r="A4" s="49" t="s">
        <v>37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5"/>
      <c r="H6" s="35"/>
      <c r="I6" s="36"/>
      <c r="J6" s="30" t="s">
        <v>7</v>
      </c>
      <c r="K6" s="35"/>
      <c r="L6" s="36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123</v>
      </c>
      <c r="H7" s="3" t="s">
        <v>124</v>
      </c>
      <c r="I7" s="3" t="s">
        <v>125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8" t="s">
        <v>117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4"/>
    </row>
    <row r="9" spans="1:22" ht="20.100000000000001" customHeight="1" x14ac:dyDescent="0.25">
      <c r="A9" s="14" t="s">
        <v>118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48</v>
      </c>
      <c r="H9" s="17"/>
      <c r="I9" s="17"/>
      <c r="J9" s="17"/>
      <c r="K9" s="17" t="s">
        <v>48</v>
      </c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118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48</v>
      </c>
      <c r="H10" s="17"/>
      <c r="I10" s="17"/>
      <c r="J10" s="17"/>
      <c r="K10" s="17" t="s">
        <v>48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118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48</v>
      </c>
      <c r="H11" s="17"/>
      <c r="I11" s="17"/>
      <c r="J11" s="17"/>
      <c r="K11" s="17" t="s">
        <v>48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118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48</v>
      </c>
      <c r="H12" s="17"/>
      <c r="I12" s="17"/>
      <c r="J12" s="17"/>
      <c r="K12" s="17" t="s">
        <v>48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118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48</v>
      </c>
      <c r="H13" s="17"/>
      <c r="I13" s="17"/>
      <c r="J13" s="17"/>
      <c r="K13" s="17" t="s">
        <v>48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118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48</v>
      </c>
      <c r="H14" s="17"/>
      <c r="I14" s="17"/>
      <c r="J14" s="17"/>
      <c r="K14" s="17" t="s">
        <v>48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118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48</v>
      </c>
      <c r="H15" s="17"/>
      <c r="I15" s="17"/>
      <c r="J15" s="17"/>
      <c r="K15" s="17" t="s">
        <v>48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118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48</v>
      </c>
      <c r="H16" s="17"/>
      <c r="I16" s="17"/>
      <c r="J16" s="17"/>
      <c r="K16" s="17" t="s">
        <v>48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118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48</v>
      </c>
      <c r="H17" s="17"/>
      <c r="I17" s="17"/>
      <c r="J17" s="17"/>
      <c r="K17" s="17" t="s">
        <v>48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118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48</v>
      </c>
      <c r="H18" s="17"/>
      <c r="I18" s="17"/>
      <c r="J18" s="17"/>
      <c r="K18" s="17" t="s">
        <v>48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118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48</v>
      </c>
      <c r="H19" s="17"/>
      <c r="I19" s="17"/>
      <c r="J19" s="17"/>
      <c r="K19" s="17" t="s">
        <v>48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118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48</v>
      </c>
      <c r="H20" s="17"/>
      <c r="I20" s="17"/>
      <c r="J20" s="17"/>
      <c r="K20" s="17" t="s">
        <v>48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118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48</v>
      </c>
      <c r="H21" s="17"/>
      <c r="I21" s="17"/>
      <c r="J21" s="17"/>
      <c r="K21" s="17" t="s">
        <v>48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118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48</v>
      </c>
      <c r="H22" s="17"/>
      <c r="I22" s="17"/>
      <c r="J22" s="17"/>
      <c r="K22" s="17" t="s">
        <v>48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118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48</v>
      </c>
      <c r="H23" s="17"/>
      <c r="I23" s="17"/>
      <c r="J23" s="17"/>
      <c r="K23" s="17" t="s">
        <v>48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118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48</v>
      </c>
      <c r="H24" s="17"/>
      <c r="I24" s="17"/>
      <c r="J24" s="17"/>
      <c r="K24" s="17" t="s">
        <v>48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118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48</v>
      </c>
      <c r="H25" s="17"/>
      <c r="I25" s="17"/>
      <c r="J25" s="17"/>
      <c r="K25" s="17" t="s">
        <v>48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118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48</v>
      </c>
      <c r="H26" s="17"/>
      <c r="I26" s="17"/>
      <c r="J26" s="17"/>
      <c r="K26" s="17" t="s">
        <v>48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118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48</v>
      </c>
      <c r="H27" s="17"/>
      <c r="I27" s="17"/>
      <c r="J27" s="17"/>
      <c r="K27" s="17" t="s">
        <v>48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118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48</v>
      </c>
      <c r="H28" s="17"/>
      <c r="I28" s="17"/>
      <c r="J28" s="17"/>
      <c r="K28" s="17" t="s">
        <v>48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118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48</v>
      </c>
      <c r="H29" s="17"/>
      <c r="I29" s="17"/>
      <c r="J29" s="17"/>
      <c r="K29" s="17" t="s">
        <v>48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118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48</v>
      </c>
      <c r="H30" s="17"/>
      <c r="I30" s="17"/>
      <c r="J30" s="17"/>
      <c r="K30" s="17" t="s">
        <v>48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118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48</v>
      </c>
      <c r="H31" s="17"/>
      <c r="I31" s="17"/>
      <c r="J31" s="17"/>
      <c r="K31" s="17" t="s">
        <v>48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118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48</v>
      </c>
      <c r="H32" s="17"/>
      <c r="I32" s="17"/>
      <c r="J32" s="17"/>
      <c r="K32" s="17" t="s">
        <v>48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118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48</v>
      </c>
      <c r="H33" s="17"/>
      <c r="I33" s="17"/>
      <c r="J33" s="17"/>
      <c r="K33" s="17" t="s">
        <v>48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118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48</v>
      </c>
      <c r="H34" s="17"/>
      <c r="I34" s="17"/>
      <c r="J34" s="17"/>
      <c r="K34" s="17" t="s">
        <v>48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118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48</v>
      </c>
      <c r="H35" s="17"/>
      <c r="I35" s="17"/>
      <c r="J35" s="17"/>
      <c r="K35" s="17" t="s">
        <v>48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118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48</v>
      </c>
      <c r="H36" s="17"/>
      <c r="I36" s="17"/>
      <c r="J36" s="17"/>
      <c r="K36" s="17" t="s">
        <v>48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118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48</v>
      </c>
      <c r="H37" s="17"/>
      <c r="I37" s="17"/>
      <c r="J37" s="17"/>
      <c r="K37" s="17" t="s">
        <v>48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118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48</v>
      </c>
      <c r="H38" s="17"/>
      <c r="I38" s="17"/>
      <c r="J38" s="17"/>
      <c r="K38" s="17" t="s">
        <v>48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118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 t="s">
        <v>48</v>
      </c>
      <c r="H39" s="17"/>
      <c r="I39" s="17"/>
      <c r="J39" s="17"/>
      <c r="K39" s="17" t="s">
        <v>48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118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 t="s">
        <v>48</v>
      </c>
      <c r="H40" s="17"/>
      <c r="I40" s="17"/>
      <c r="J40" s="17"/>
      <c r="K40" s="17" t="s">
        <v>48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118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/>
      <c r="G41" s="17" t="s">
        <v>48</v>
      </c>
      <c r="H41" s="17"/>
      <c r="I41" s="17"/>
      <c r="J41" s="17"/>
      <c r="K41" s="17" t="s">
        <v>48</v>
      </c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118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/>
      <c r="G42" s="17" t="s">
        <v>48</v>
      </c>
      <c r="H42" s="17"/>
      <c r="I42" s="17"/>
      <c r="J42" s="17"/>
      <c r="K42" s="17" t="s">
        <v>48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118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/>
      <c r="G43" s="17" t="s">
        <v>48</v>
      </c>
      <c r="H43" s="17"/>
      <c r="I43" s="17"/>
      <c r="J43" s="17"/>
      <c r="K43" s="17" t="s">
        <v>48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118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/>
      <c r="G44" s="17" t="s">
        <v>48</v>
      </c>
      <c r="H44" s="17"/>
      <c r="I44" s="17"/>
      <c r="J44" s="17"/>
      <c r="K44" s="17" t="s">
        <v>48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118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/>
      <c r="G45" s="17" t="s">
        <v>48</v>
      </c>
      <c r="H45" s="17"/>
      <c r="I45" s="17"/>
      <c r="J45" s="17"/>
      <c r="K45" s="17" t="s">
        <v>48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118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/>
      <c r="G46" s="17" t="s">
        <v>48</v>
      </c>
      <c r="H46" s="17"/>
      <c r="I46" s="17"/>
      <c r="J46" s="17"/>
      <c r="K46" s="17" t="s">
        <v>48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118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/>
      <c r="G47" s="17" t="s">
        <v>48</v>
      </c>
      <c r="H47" s="17"/>
      <c r="I47" s="17"/>
      <c r="J47" s="17"/>
      <c r="K47" s="17" t="s">
        <v>48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118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/>
      <c r="G48" s="17" t="s">
        <v>48</v>
      </c>
      <c r="H48" s="17"/>
      <c r="I48" s="17"/>
      <c r="J48" s="17"/>
      <c r="K48" s="17" t="s">
        <v>48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118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/>
      <c r="G49" s="17" t="s">
        <v>48</v>
      </c>
      <c r="H49" s="17"/>
      <c r="I49" s="17"/>
      <c r="J49" s="17"/>
      <c r="K49" s="17" t="s">
        <v>48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118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/>
      <c r="G50" s="17" t="s">
        <v>48</v>
      </c>
      <c r="H50" s="17"/>
      <c r="I50" s="17"/>
      <c r="J50" s="17"/>
      <c r="K50" s="17" t="s">
        <v>48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118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/>
      <c r="G51" s="17" t="s">
        <v>48</v>
      </c>
      <c r="H51" s="17"/>
      <c r="I51" s="17"/>
      <c r="J51" s="17"/>
      <c r="K51" s="17" t="s">
        <v>48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118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/>
      <c r="G52" s="17" t="s">
        <v>48</v>
      </c>
      <c r="H52" s="17"/>
      <c r="I52" s="17"/>
      <c r="J52" s="17"/>
      <c r="K52" s="17" t="s">
        <v>48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118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/>
      <c r="G53" s="17" t="s">
        <v>48</v>
      </c>
      <c r="H53" s="17"/>
      <c r="I53" s="17"/>
      <c r="J53" s="17"/>
      <c r="K53" s="17" t="s">
        <v>48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118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/>
      <c r="G54" s="17" t="s">
        <v>48</v>
      </c>
      <c r="H54" s="17"/>
      <c r="I54" s="17"/>
      <c r="J54" s="17"/>
      <c r="K54" s="17" t="s">
        <v>48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118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/>
      <c r="G55" s="17" t="s">
        <v>48</v>
      </c>
      <c r="H55" s="17"/>
      <c r="I55" s="17"/>
      <c r="J55" s="17"/>
      <c r="K55" s="17" t="s">
        <v>48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118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/>
      <c r="G56" s="17" t="s">
        <v>48</v>
      </c>
      <c r="H56" s="17"/>
      <c r="I56" s="17"/>
      <c r="J56" s="17"/>
      <c r="K56" s="17" t="s">
        <v>48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118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/>
      <c r="G57" s="17" t="s">
        <v>48</v>
      </c>
      <c r="H57" s="17"/>
      <c r="I57" s="17"/>
      <c r="J57" s="17"/>
      <c r="K57" s="17" t="s">
        <v>48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118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/>
      <c r="G58" s="17" t="s">
        <v>48</v>
      </c>
      <c r="H58" s="17"/>
      <c r="I58" s="17"/>
      <c r="J58" s="17"/>
      <c r="K58" s="17" t="s">
        <v>48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118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/>
      <c r="G59" s="17" t="s">
        <v>48</v>
      </c>
      <c r="H59" s="17"/>
      <c r="I59" s="17"/>
      <c r="J59" s="17"/>
      <c r="K59" s="17" t="s">
        <v>48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118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/>
      <c r="G60" s="17" t="s">
        <v>48</v>
      </c>
      <c r="H60" s="17"/>
      <c r="I60" s="17"/>
      <c r="J60" s="17"/>
      <c r="K60" s="17" t="s">
        <v>48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118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/>
      <c r="G61" s="17" t="s">
        <v>48</v>
      </c>
      <c r="H61" s="17"/>
      <c r="I61" s="17"/>
      <c r="J61" s="17"/>
      <c r="K61" s="17" t="s">
        <v>48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118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/>
      <c r="G62" s="17" t="s">
        <v>48</v>
      </c>
      <c r="H62" s="17"/>
      <c r="I62" s="17"/>
      <c r="J62" s="17"/>
      <c r="K62" s="17" t="s">
        <v>48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118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/>
      <c r="G63" s="17" t="s">
        <v>48</v>
      </c>
      <c r="H63" s="17"/>
      <c r="I63" s="17"/>
      <c r="J63" s="17"/>
      <c r="K63" s="17" t="s">
        <v>48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118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/>
      <c r="G64" s="17" t="s">
        <v>48</v>
      </c>
      <c r="H64" s="17"/>
      <c r="I64" s="17"/>
      <c r="J64" s="17"/>
      <c r="K64" s="17" t="s">
        <v>48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118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/>
      <c r="G65" s="17" t="s">
        <v>48</v>
      </c>
      <c r="H65" s="17"/>
      <c r="I65" s="17"/>
      <c r="J65" s="17"/>
      <c r="K65" s="17" t="s">
        <v>48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118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/>
      <c r="G66" s="17" t="s">
        <v>48</v>
      </c>
      <c r="H66" s="17"/>
      <c r="I66" s="17"/>
      <c r="J66" s="17"/>
      <c r="K66" s="17" t="s">
        <v>48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118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/>
      <c r="G67" s="17" t="s">
        <v>48</v>
      </c>
      <c r="H67" s="17"/>
      <c r="I67" s="17"/>
      <c r="J67" s="17"/>
      <c r="K67" s="17" t="s">
        <v>48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118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/>
      <c r="G68" s="17" t="s">
        <v>48</v>
      </c>
      <c r="H68" s="17"/>
      <c r="I68" s="17"/>
      <c r="J68" s="17"/>
      <c r="K68" s="17" t="s">
        <v>48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118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/>
      <c r="G69" s="17" t="s">
        <v>48</v>
      </c>
      <c r="H69" s="17"/>
      <c r="I69" s="17"/>
      <c r="J69" s="17"/>
      <c r="K69" s="17" t="s">
        <v>48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118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/>
      <c r="G70" s="17" t="s">
        <v>48</v>
      </c>
      <c r="H70" s="17"/>
      <c r="I70" s="17"/>
      <c r="J70" s="17"/>
      <c r="K70" s="17" t="s">
        <v>48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118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/>
      <c r="G71" s="17" t="s">
        <v>48</v>
      </c>
      <c r="H71" s="17"/>
      <c r="I71" s="17"/>
      <c r="J71" s="17"/>
      <c r="K71" s="17" t="s">
        <v>48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20" t="s">
        <v>118</v>
      </c>
      <c r="B72" s="21" t="s">
        <v>47</v>
      </c>
      <c r="C72" s="22">
        <v>63</v>
      </c>
      <c r="D72" s="22">
        <v>63.874573671500002</v>
      </c>
      <c r="E72" s="22">
        <f t="shared" si="3"/>
        <v>0.87457367150000209</v>
      </c>
      <c r="F72" s="23"/>
      <c r="G72" s="23" t="s">
        <v>48</v>
      </c>
      <c r="H72" s="23"/>
      <c r="I72" s="23"/>
      <c r="J72" s="23"/>
      <c r="K72" s="23" t="s">
        <v>48</v>
      </c>
      <c r="L72" s="23"/>
      <c r="M72" s="24"/>
      <c r="N72" s="25" t="str">
        <f t="shared" si="4"/>
        <v>OK</v>
      </c>
    </row>
    <row r="74" spans="1:14" x14ac:dyDescent="0.25">
      <c r="A74" s="40" t="s">
        <v>49</v>
      </c>
      <c r="B74" s="33"/>
      <c r="C74" s="33"/>
      <c r="D74" s="33"/>
      <c r="E74" s="33"/>
      <c r="G74" s="40" t="s">
        <v>49</v>
      </c>
      <c r="H74" s="33"/>
      <c r="I74" s="33"/>
      <c r="J74" s="33"/>
      <c r="K74" s="33"/>
    </row>
    <row r="75" spans="1:14" x14ac:dyDescent="0.25">
      <c r="A75" s="44" t="s">
        <v>50</v>
      </c>
      <c r="B75" s="33"/>
      <c r="C75" s="33"/>
      <c r="D75" s="33"/>
      <c r="E75" s="33"/>
      <c r="G75" s="44" t="s">
        <v>51</v>
      </c>
      <c r="H75" s="33"/>
      <c r="I75" s="33"/>
      <c r="J75" s="33"/>
      <c r="K75" s="33"/>
    </row>
    <row r="77" spans="1:14" x14ac:dyDescent="0.25">
      <c r="A77" s="50" t="s">
        <v>52</v>
      </c>
      <c r="B77" s="33"/>
      <c r="C77" s="33"/>
      <c r="D77" s="33"/>
      <c r="E77" s="33"/>
      <c r="F77" s="26"/>
      <c r="G77" s="26"/>
      <c r="H77" s="26"/>
      <c r="I77" s="26"/>
      <c r="J77" s="26"/>
      <c r="K77" s="26"/>
      <c r="L77" s="26"/>
      <c r="M77" s="26"/>
    </row>
    <row r="78" spans="1:14" x14ac:dyDescent="0.25">
      <c r="A78" s="37" t="s">
        <v>53</v>
      </c>
      <c r="B78" s="33"/>
      <c r="C78" s="33"/>
      <c r="D78" s="33"/>
      <c r="E78" s="33"/>
      <c r="F78" s="9">
        <f t="shared" ref="F78:L78" si="5">SUMIF(F$9:F$72,"X",$E$9:$E$72)</f>
        <v>0</v>
      </c>
      <c r="G78" s="9">
        <f t="shared" si="5"/>
        <v>63.874573671500002</v>
      </c>
      <c r="H78" s="9">
        <f t="shared" si="5"/>
        <v>0</v>
      </c>
      <c r="I78" s="9">
        <f t="shared" si="5"/>
        <v>0</v>
      </c>
      <c r="J78" s="9">
        <f t="shared" si="5"/>
        <v>0</v>
      </c>
      <c r="K78" s="9">
        <f t="shared" si="5"/>
        <v>63.874573671500002</v>
      </c>
      <c r="L78" s="9">
        <f t="shared" si="5"/>
        <v>0</v>
      </c>
    </row>
    <row r="79" spans="1:14" x14ac:dyDescent="0.25">
      <c r="A79" s="37" t="s">
        <v>54</v>
      </c>
      <c r="B79" s="33"/>
      <c r="C79" s="33"/>
      <c r="D79" s="33"/>
      <c r="E79" s="33"/>
      <c r="F79" s="27">
        <f t="shared" ref="F79:L79" si="6">IF($I81=0,0,F78/$I81)</f>
        <v>0</v>
      </c>
      <c r="G79" s="27">
        <f t="shared" si="6"/>
        <v>1</v>
      </c>
      <c r="H79" s="27">
        <f t="shared" si="6"/>
        <v>0</v>
      </c>
      <c r="I79" s="27">
        <f t="shared" si="6"/>
        <v>0</v>
      </c>
      <c r="J79" s="27">
        <f t="shared" si="6"/>
        <v>0</v>
      </c>
      <c r="K79" s="27">
        <f t="shared" si="6"/>
        <v>1</v>
      </c>
      <c r="L79" s="27">
        <f t="shared" si="6"/>
        <v>0</v>
      </c>
    </row>
    <row r="80" spans="1:14" x14ac:dyDescent="0.25">
      <c r="A80" s="37" t="s">
        <v>55</v>
      </c>
      <c r="B80" s="33"/>
      <c r="C80" s="33"/>
      <c r="D80" s="33"/>
      <c r="E80" s="33"/>
      <c r="F80" s="34" t="str">
        <f>IF(SUM(F78:I78)=0,"— não preenchido",IF(ROUND(SUM(F78:I78)-$I81,3)=0,"OK — "&amp;ROUND(SUM(F78:I78),3)&amp;" km","ERRO — dif. de "&amp;ROUND(SUM(F78:I78)-$I81,3)&amp;" km"))</f>
        <v>OK — 63,875 km</v>
      </c>
      <c r="G80" s="35"/>
      <c r="H80" s="35"/>
      <c r="I80" s="36"/>
      <c r="J80" s="34" t="str">
        <f>IF(SUM(J78:L78)=0,"— não preenchido",IF(ROUND(SUM(J78:L78)-$I81,3)=0,"OK — "&amp;ROUND(SUM(J78:L78),3)&amp;" km","ERRO — dif. de "&amp;ROUND(SUM(J78:L78)-$I81,3)&amp;" km"))</f>
        <v>OK — 63,875 km</v>
      </c>
      <c r="K80" s="35"/>
      <c r="L80" s="36"/>
    </row>
    <row r="81" spans="1:13" x14ac:dyDescent="0.25">
      <c r="A81" s="37" t="s">
        <v>56</v>
      </c>
      <c r="B81" s="33"/>
      <c r="C81" s="33"/>
      <c r="D81" s="33"/>
      <c r="E81" s="33"/>
      <c r="I81" s="28">
        <f>SUM(E9:E72)</f>
        <v>63.874573671500002</v>
      </c>
      <c r="M81" s="8" t="str">
        <f>COUNTIF(N9:N72,"OK")&amp;" de "&amp;COUNT($E$9:$E$72)&amp;" linhas conferidas"</f>
        <v>64 de 64 linhas conferidas</v>
      </c>
    </row>
    <row r="83" spans="1:13" x14ac:dyDescent="0.25">
      <c r="A83" s="42" t="s">
        <v>57</v>
      </c>
      <c r="B83" s="33"/>
      <c r="C83" s="33"/>
      <c r="D83" s="33"/>
      <c r="E83" s="33"/>
    </row>
    <row r="84" spans="1:13" x14ac:dyDescent="0.25">
      <c r="A84" s="37" t="s">
        <v>10</v>
      </c>
      <c r="B84" s="33"/>
      <c r="C84" s="33"/>
      <c r="D84" s="33"/>
      <c r="E84" s="39" t="s">
        <v>58</v>
      </c>
      <c r="F84" s="33"/>
      <c r="G84" s="33"/>
      <c r="H84" s="33"/>
      <c r="I84" s="33"/>
      <c r="J84" s="33"/>
      <c r="K84" s="33"/>
      <c r="L84" s="33"/>
      <c r="M84" s="33"/>
    </row>
    <row r="85" spans="1:13" x14ac:dyDescent="0.25">
      <c r="A85" s="37" t="s">
        <v>11</v>
      </c>
      <c r="B85" s="33"/>
      <c r="C85" s="33"/>
      <c r="D85" s="33"/>
      <c r="E85" s="39" t="s">
        <v>59</v>
      </c>
      <c r="F85" s="33"/>
      <c r="G85" s="33"/>
      <c r="H85" s="33"/>
      <c r="I85" s="33"/>
      <c r="J85" s="33"/>
      <c r="K85" s="33"/>
      <c r="L85" s="33"/>
      <c r="M85" s="33"/>
    </row>
    <row r="86" spans="1:13" x14ac:dyDescent="0.25">
      <c r="A86" s="37" t="s">
        <v>12</v>
      </c>
      <c r="B86" s="33"/>
      <c r="C86" s="33"/>
      <c r="D86" s="33"/>
      <c r="E86" s="39" t="s">
        <v>60</v>
      </c>
      <c r="F86" s="33"/>
      <c r="G86" s="33"/>
      <c r="H86" s="33"/>
      <c r="I86" s="33"/>
      <c r="J86" s="33"/>
      <c r="K86" s="33"/>
      <c r="L86" s="33"/>
      <c r="M86" s="33"/>
    </row>
    <row r="87" spans="1:13" x14ac:dyDescent="0.25">
      <c r="A87" s="37" t="s">
        <v>61</v>
      </c>
      <c r="B87" s="33"/>
      <c r="C87" s="33"/>
      <c r="D87" s="33"/>
      <c r="E87" s="39" t="s">
        <v>62</v>
      </c>
      <c r="F87" s="33"/>
      <c r="G87" s="33"/>
      <c r="H87" s="33"/>
      <c r="I87" s="33"/>
      <c r="J87" s="33"/>
      <c r="K87" s="33"/>
      <c r="L87" s="33"/>
      <c r="M87" s="33"/>
    </row>
    <row r="88" spans="1:13" x14ac:dyDescent="0.25">
      <c r="A88" s="37" t="s">
        <v>63</v>
      </c>
      <c r="B88" s="33"/>
      <c r="C88" s="33"/>
      <c r="D88" s="33"/>
      <c r="E88" s="39" t="s">
        <v>64</v>
      </c>
      <c r="F88" s="33"/>
      <c r="G88" s="33"/>
      <c r="H88" s="33"/>
      <c r="I88" s="33"/>
      <c r="J88" s="33"/>
      <c r="K88" s="33"/>
      <c r="L88" s="33"/>
      <c r="M88" s="33"/>
    </row>
    <row r="89" spans="1:13" x14ac:dyDescent="0.25">
      <c r="A89" s="37" t="s">
        <v>65</v>
      </c>
      <c r="B89" s="33"/>
      <c r="C89" s="33"/>
      <c r="D89" s="33"/>
      <c r="E89" s="39" t="s">
        <v>66</v>
      </c>
      <c r="F89" s="33"/>
      <c r="G89" s="33"/>
      <c r="H89" s="33"/>
      <c r="I89" s="33"/>
      <c r="J89" s="33"/>
      <c r="K89" s="33"/>
      <c r="L89" s="33"/>
      <c r="M89" s="33"/>
    </row>
    <row r="90" spans="1:13" x14ac:dyDescent="0.25">
      <c r="A90" s="37" t="s">
        <v>39</v>
      </c>
      <c r="B90" s="33"/>
      <c r="C90" s="33"/>
      <c r="D90" s="33"/>
      <c r="E90" s="39" t="s">
        <v>67</v>
      </c>
      <c r="F90" s="33"/>
      <c r="G90" s="33"/>
      <c r="H90" s="33"/>
      <c r="I90" s="33"/>
      <c r="J90" s="33"/>
      <c r="K90" s="33"/>
      <c r="L90" s="33"/>
      <c r="M90" s="33"/>
    </row>
    <row r="91" spans="1:13" x14ac:dyDescent="0.25">
      <c r="A91" s="37" t="s">
        <v>68</v>
      </c>
      <c r="B91" s="33"/>
      <c r="C91" s="33"/>
      <c r="D91" s="33"/>
      <c r="E91" s="39" t="s">
        <v>69</v>
      </c>
      <c r="F91" s="33"/>
      <c r="G91" s="33"/>
      <c r="H91" s="33"/>
      <c r="I91" s="33"/>
      <c r="J91" s="33"/>
      <c r="K91" s="33"/>
      <c r="L91" s="33"/>
      <c r="M91" s="33"/>
    </row>
    <row r="92" spans="1:13" x14ac:dyDescent="0.25">
      <c r="A92" s="37" t="s">
        <v>70</v>
      </c>
      <c r="B92" s="33"/>
      <c r="C92" s="33"/>
      <c r="D92" s="33"/>
      <c r="E92" s="39" t="s">
        <v>71</v>
      </c>
      <c r="F92" s="33"/>
      <c r="G92" s="33"/>
      <c r="H92" s="33"/>
      <c r="I92" s="33"/>
      <c r="J92" s="33"/>
      <c r="K92" s="33"/>
      <c r="L92" s="33"/>
      <c r="M92" s="33"/>
    </row>
    <row r="93" spans="1:13" x14ac:dyDescent="0.25">
      <c r="A93" s="37" t="s">
        <v>8</v>
      </c>
      <c r="B93" s="33"/>
      <c r="C93" s="33"/>
      <c r="D93" s="33"/>
      <c r="E93" s="39" t="s">
        <v>72</v>
      </c>
      <c r="F93" s="33"/>
      <c r="G93" s="33"/>
      <c r="H93" s="33"/>
      <c r="I93" s="33"/>
      <c r="J93" s="33"/>
      <c r="K93" s="33"/>
      <c r="L93" s="33"/>
      <c r="M93" s="33"/>
    </row>
  </sheetData>
  <sheetProtection formatCells="0"/>
  <mergeCells count="50">
    <mergeCell ref="G2:H2"/>
    <mergeCell ref="A8:M8"/>
    <mergeCell ref="A4:M4"/>
    <mergeCell ref="E84:M84"/>
    <mergeCell ref="A6:A7"/>
    <mergeCell ref="A80:E80"/>
    <mergeCell ref="F6:I6"/>
    <mergeCell ref="G74:K74"/>
    <mergeCell ref="C6:C7"/>
    <mergeCell ref="D6:D7"/>
    <mergeCell ref="A77:E77"/>
    <mergeCell ref="J6:L6"/>
    <mergeCell ref="A92:D92"/>
    <mergeCell ref="M6:M7"/>
    <mergeCell ref="A75:E75"/>
    <mergeCell ref="E6:E7"/>
    <mergeCell ref="A91:D91"/>
    <mergeCell ref="E91:M91"/>
    <mergeCell ref="E85:M85"/>
    <mergeCell ref="E87:M87"/>
    <mergeCell ref="A1:M1"/>
    <mergeCell ref="A88:D88"/>
    <mergeCell ref="E93:M93"/>
    <mergeCell ref="A87:D87"/>
    <mergeCell ref="E92:M92"/>
    <mergeCell ref="A83:E83"/>
    <mergeCell ref="J80:L80"/>
    <mergeCell ref="A93:D93"/>
    <mergeCell ref="A2:C2"/>
    <mergeCell ref="A79:E79"/>
    <mergeCell ref="G75:K75"/>
    <mergeCell ref="E90:M90"/>
    <mergeCell ref="K2:M2"/>
    <mergeCell ref="E86:M86"/>
    <mergeCell ref="A78:E78"/>
    <mergeCell ref="D2:E2"/>
    <mergeCell ref="N6:N7"/>
    <mergeCell ref="K3:M3"/>
    <mergeCell ref="F80:I80"/>
    <mergeCell ref="A84:D84"/>
    <mergeCell ref="A90:D90"/>
    <mergeCell ref="A89:D89"/>
    <mergeCell ref="A81:E81"/>
    <mergeCell ref="A3:J3"/>
    <mergeCell ref="A86:D86"/>
    <mergeCell ref="A85:D85"/>
    <mergeCell ref="E88:M88"/>
    <mergeCell ref="A74:E74"/>
    <mergeCell ref="B6:B7"/>
    <mergeCell ref="E89:M89"/>
  </mergeCells>
  <conditionalFormatting sqref="F9:I72">
    <cfRule type="expression" dxfId="5" priority="1">
      <formula>AND(F9&lt;&gt;"",COUNTIF($F9:$I9,"X")&gt;1)</formula>
    </cfRule>
  </conditionalFormatting>
  <conditionalFormatting sqref="F80:L80">
    <cfRule type="expression" dxfId="4" priority="5">
      <formula>LEFT(F80,4)="ERRO"</formula>
    </cfRule>
    <cfRule type="expression" dxfId="3" priority="6">
      <formula>LEFT(F80,2)="OK"</formula>
    </cfRule>
  </conditionalFormatting>
  <conditionalFormatting sqref="J9:L72">
    <cfRule type="expression" dxfId="2" priority="2">
      <formula>AND(J9&lt;&gt;"",COUNTIF($J9:$L9,"X")&gt;1)</formula>
    </cfRule>
  </conditionalFormatting>
  <conditionalFormatting sqref="N9:N7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7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223</oddHeader>
    <oddFooter>&amp;L&amp;7 RTA / MSI — Programa de Manutenção Rodoviária&amp;C&amp;7 Página &amp;P de &amp;N&amp;R&amp;7 Impresso em &amp;D</oddFooter>
  </headerFooter>
  <rowBreaks count="1" manualBreakCount="1">
    <brk id="7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207</vt:lpstr>
      <vt:lpstr>208</vt:lpstr>
      <vt:lpstr>211</vt:lpstr>
      <vt:lpstr>213</vt:lpstr>
      <vt:lpstr>214</vt:lpstr>
      <vt:lpstr>215</vt:lpstr>
      <vt:lpstr>216</vt:lpstr>
      <vt:lpstr>217</vt:lpstr>
      <vt:lpstr>221</vt:lpstr>
      <vt:lpstr>222</vt:lpstr>
      <vt:lpstr>223</vt:lpstr>
      <vt:lpstr>LISTAS</vt:lpstr>
      <vt:lpstr>'207'!Area_de_impressao</vt:lpstr>
      <vt:lpstr>'208'!Area_de_impressao</vt:lpstr>
      <vt:lpstr>'211'!Area_de_impressao</vt:lpstr>
      <vt:lpstr>'213'!Area_de_impressao</vt:lpstr>
      <vt:lpstr>'214'!Area_de_impressao</vt:lpstr>
      <vt:lpstr>'215'!Area_de_impressao</vt:lpstr>
      <vt:lpstr>'216'!Area_de_impressao</vt:lpstr>
      <vt:lpstr>'217'!Area_de_impressao</vt:lpstr>
      <vt:lpstr>'221'!Area_de_impressao</vt:lpstr>
      <vt:lpstr>'222'!Area_de_impressao</vt:lpstr>
      <vt:lpstr>'223'!Area_de_impressao</vt:lpstr>
      <vt:lpstr>RESUMO!Area_de_impressao</vt:lpstr>
      <vt:lpstr>'207'!Titulos_de_impressao</vt:lpstr>
      <vt:lpstr>'208'!Titulos_de_impressao</vt:lpstr>
      <vt:lpstr>'211'!Titulos_de_impressao</vt:lpstr>
      <vt:lpstr>'213'!Titulos_de_impressao</vt:lpstr>
      <vt:lpstr>'214'!Titulos_de_impressao</vt:lpstr>
      <vt:lpstr>'215'!Titulos_de_impressao</vt:lpstr>
      <vt:lpstr>'216'!Titulos_de_impressao</vt:lpstr>
      <vt:lpstr>'217'!Titulos_de_impressao</vt:lpstr>
      <vt:lpstr>'221'!Titulos_de_impressao</vt:lpstr>
      <vt:lpstr>'222'!Titulos_de_impressao</vt:lpstr>
      <vt:lpstr>'223'!Titulos_de_impressao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2026-08-12T19:05:37Z</dcterms:created>
  <dcterms:modified xsi:type="dcterms:W3CDTF">2026-08-31T11:53:11Z</dcterms:modified>
</cp:coreProperties>
</file>