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A6F69F8B-E2FB-4DA3-858F-947E1FEC1CE0}" xr6:coauthVersionLast="47" xr6:coauthVersionMax="47" xr10:uidLastSave="{00000000-0000-0000-0000-000000000000}"/>
  <bookViews>
    <workbookView xWindow="5115" yWindow="2460" windowWidth="15375" windowHeight="7875" xr2:uid="{00000000-000D-0000-FFFF-FFFF00000000}"/>
  </bookViews>
  <sheets>
    <sheet name="RESUMO" sheetId="1" r:id="rId1"/>
    <sheet name="228" sheetId="2" r:id="rId2"/>
    <sheet name="229" sheetId="3" r:id="rId3"/>
    <sheet name="231" sheetId="4" r:id="rId4"/>
    <sheet name="232" sheetId="5" r:id="rId5"/>
    <sheet name="236" sheetId="6" r:id="rId6"/>
    <sheet name="237" sheetId="7" r:id="rId7"/>
    <sheet name="238" sheetId="8" r:id="rId8"/>
    <sheet name="239" sheetId="9" r:id="rId9"/>
    <sheet name="240" sheetId="10" r:id="rId10"/>
    <sheet name="241" sheetId="11" r:id="rId11"/>
    <sheet name="242" sheetId="12" r:id="rId12"/>
    <sheet name="LISTAS" sheetId="13" state="hidden" r:id="rId13"/>
  </sheets>
  <definedNames>
    <definedName name="_xlnm.Print_Area" localSheetId="1">'228'!$A$1:$M$42</definedName>
    <definedName name="_xlnm.Print_Area" localSheetId="2">'229'!$A$1:$M$114</definedName>
    <definedName name="_xlnm.Print_Area" localSheetId="3">'231'!$A$1:$M$70</definedName>
    <definedName name="_xlnm.Print_Area" localSheetId="4">'232'!$A$1:$M$121</definedName>
    <definedName name="_xlnm.Print_Area" localSheetId="5">'236'!$A$1:$M$67</definedName>
    <definedName name="_xlnm.Print_Area" localSheetId="6">'237'!$A$1:$M$56</definedName>
    <definedName name="_xlnm.Print_Area" localSheetId="7">'238'!$A$1:$M$106</definedName>
    <definedName name="_xlnm.Print_Area" localSheetId="8">'239'!$A$1:$M$93</definedName>
    <definedName name="_xlnm.Print_Area" localSheetId="9">'240'!$A$1:$M$112</definedName>
    <definedName name="_xlnm.Print_Area" localSheetId="10">'241'!$A$1:$M$90</definedName>
    <definedName name="_xlnm.Print_Area" localSheetId="11">'242'!$A$1:$M$53</definedName>
    <definedName name="_xlnm.Print_Area" localSheetId="0">RESUMO!$A$1:$K$18</definedName>
    <definedName name="_xlnm.Print_Titles" localSheetId="1">'228'!$6:$7</definedName>
    <definedName name="_xlnm.Print_Titles" localSheetId="2">'229'!$6:$7</definedName>
    <definedName name="_xlnm.Print_Titles" localSheetId="3">'231'!$6:$7</definedName>
    <definedName name="_xlnm.Print_Titles" localSheetId="4">'232'!$6:$7</definedName>
    <definedName name="_xlnm.Print_Titles" localSheetId="5">'236'!$6:$7</definedName>
    <definedName name="_xlnm.Print_Titles" localSheetId="6">'237'!$6:$7</definedName>
    <definedName name="_xlnm.Print_Titles" localSheetId="7">'238'!$6:$7</definedName>
    <definedName name="_xlnm.Print_Titles" localSheetId="8">'239'!$6:$7</definedName>
    <definedName name="_xlnm.Print_Titles" localSheetId="9">'240'!$6:$7</definedName>
    <definedName name="_xlnm.Print_Titles" localSheetId="10">'241'!$6:$7</definedName>
    <definedName name="_xlnm.Print_Titles" localSheetId="11">'242'!$6:$7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12" l="1"/>
  <c r="I38" i="12"/>
  <c r="H38" i="12"/>
  <c r="R2" i="12" s="1"/>
  <c r="G38" i="12"/>
  <c r="Q2" i="12" s="1"/>
  <c r="N32" i="12"/>
  <c r="E32" i="12"/>
  <c r="N31" i="12"/>
  <c r="E31" i="12"/>
  <c r="N30" i="12"/>
  <c r="E30" i="12"/>
  <c r="N29" i="12"/>
  <c r="E29" i="12"/>
  <c r="N28" i="12"/>
  <c r="E28" i="12"/>
  <c r="N27" i="12"/>
  <c r="E27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U2" i="12"/>
  <c r="S2" i="12"/>
  <c r="L75" i="11"/>
  <c r="K75" i="11"/>
  <c r="U2" i="11" s="1"/>
  <c r="I75" i="11"/>
  <c r="S2" i="11" s="1"/>
  <c r="H75" i="11"/>
  <c r="N69" i="11"/>
  <c r="E69" i="11"/>
  <c r="N68" i="11"/>
  <c r="E68" i="11"/>
  <c r="N67" i="11"/>
  <c r="E67" i="11"/>
  <c r="N66" i="11"/>
  <c r="E66" i="11"/>
  <c r="N65" i="11"/>
  <c r="E65" i="11"/>
  <c r="N64" i="11"/>
  <c r="E64" i="11"/>
  <c r="N63" i="11"/>
  <c r="E63" i="11"/>
  <c r="N62" i="11"/>
  <c r="E62" i="11"/>
  <c r="N61" i="11"/>
  <c r="E61" i="11"/>
  <c r="N60" i="11"/>
  <c r="E60" i="11"/>
  <c r="N59" i="11"/>
  <c r="E59" i="11"/>
  <c r="N58" i="11"/>
  <c r="E58" i="11"/>
  <c r="N57" i="11"/>
  <c r="E57" i="11"/>
  <c r="N56" i="11"/>
  <c r="E56" i="11"/>
  <c r="N55" i="11"/>
  <c r="E55" i="11"/>
  <c r="N54" i="11"/>
  <c r="E54" i="11"/>
  <c r="N53" i="11"/>
  <c r="E53" i="11"/>
  <c r="N52" i="11"/>
  <c r="E52" i="11"/>
  <c r="N51" i="11"/>
  <c r="E51" i="11"/>
  <c r="N50" i="11"/>
  <c r="E50" i="11"/>
  <c r="N49" i="11"/>
  <c r="E49" i="11"/>
  <c r="N48" i="11"/>
  <c r="E48" i="11"/>
  <c r="N47" i="11"/>
  <c r="E47" i="11"/>
  <c r="N46" i="11"/>
  <c r="E46" i="11"/>
  <c r="G75" i="11" s="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I78" i="11" s="1"/>
  <c r="V2" i="11"/>
  <c r="R2" i="11"/>
  <c r="I100" i="10"/>
  <c r="L97" i="10"/>
  <c r="J97" i="10"/>
  <c r="I97" i="10"/>
  <c r="G97" i="10"/>
  <c r="E14" i="1" s="1"/>
  <c r="F97" i="10"/>
  <c r="N91" i="10"/>
  <c r="E91" i="10"/>
  <c r="N90" i="10"/>
  <c r="E90" i="10"/>
  <c r="N89" i="10"/>
  <c r="E89" i="10"/>
  <c r="N88" i="10"/>
  <c r="E88" i="10"/>
  <c r="N87" i="10"/>
  <c r="E87" i="10"/>
  <c r="N86" i="10"/>
  <c r="E86" i="10"/>
  <c r="N85" i="10"/>
  <c r="E85" i="10"/>
  <c r="N84" i="10"/>
  <c r="E84" i="10"/>
  <c r="N83" i="10"/>
  <c r="E83" i="10"/>
  <c r="N82" i="10"/>
  <c r="E82" i="10"/>
  <c r="N81" i="10"/>
  <c r="E81" i="10"/>
  <c r="N80" i="10"/>
  <c r="E80" i="10"/>
  <c r="N79" i="10"/>
  <c r="E79" i="10"/>
  <c r="N78" i="10"/>
  <c r="E78" i="10"/>
  <c r="N77" i="10"/>
  <c r="E77" i="10"/>
  <c r="N76" i="10"/>
  <c r="E76" i="10"/>
  <c r="N75" i="10"/>
  <c r="E75" i="10"/>
  <c r="N74" i="10"/>
  <c r="E74" i="10"/>
  <c r="N73" i="10"/>
  <c r="E73" i="10"/>
  <c r="N72" i="10"/>
  <c r="E72" i="10"/>
  <c r="N71" i="10"/>
  <c r="E71" i="10"/>
  <c r="N70" i="10"/>
  <c r="E70" i="10"/>
  <c r="N69" i="10"/>
  <c r="E69" i="10"/>
  <c r="N68" i="10"/>
  <c r="E68" i="10"/>
  <c r="N67" i="10"/>
  <c r="E67" i="10"/>
  <c r="N66" i="10"/>
  <c r="E66" i="10"/>
  <c r="N65" i="10"/>
  <c r="E65" i="10"/>
  <c r="N64" i="10"/>
  <c r="E64" i="10"/>
  <c r="N63" i="10"/>
  <c r="E63" i="10"/>
  <c r="N62" i="10"/>
  <c r="E62" i="10"/>
  <c r="N61" i="10"/>
  <c r="E61" i="10"/>
  <c r="N60" i="10"/>
  <c r="E60" i="10"/>
  <c r="N59" i="10"/>
  <c r="E59" i="10"/>
  <c r="N58" i="10"/>
  <c r="E58" i="10"/>
  <c r="N57" i="10"/>
  <c r="E57" i="10"/>
  <c r="N56" i="10"/>
  <c r="E56" i="10"/>
  <c r="N55" i="10"/>
  <c r="E55" i="10"/>
  <c r="N54" i="10"/>
  <c r="E54" i="10"/>
  <c r="N53" i="10"/>
  <c r="E53" i="10"/>
  <c r="N52" i="10"/>
  <c r="E52" i="10"/>
  <c r="N51" i="10"/>
  <c r="E51" i="10"/>
  <c r="N50" i="10"/>
  <c r="E50" i="10"/>
  <c r="N49" i="10"/>
  <c r="E49" i="10"/>
  <c r="N48" i="10"/>
  <c r="E48" i="10"/>
  <c r="N47" i="10"/>
  <c r="E47" i="10"/>
  <c r="N46" i="10"/>
  <c r="E46" i="10"/>
  <c r="N45" i="10"/>
  <c r="E45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V2" i="10"/>
  <c r="S2" i="10"/>
  <c r="Q2" i="10"/>
  <c r="L78" i="9"/>
  <c r="K78" i="9"/>
  <c r="I78" i="9"/>
  <c r="H78" i="9"/>
  <c r="G78" i="9"/>
  <c r="N72" i="9"/>
  <c r="E72" i="9"/>
  <c r="N71" i="9"/>
  <c r="E71" i="9"/>
  <c r="N70" i="9"/>
  <c r="E70" i="9"/>
  <c r="N69" i="9"/>
  <c r="E69" i="9"/>
  <c r="N68" i="9"/>
  <c r="E68" i="9"/>
  <c r="N67" i="9"/>
  <c r="E67" i="9"/>
  <c r="N66" i="9"/>
  <c r="E66" i="9"/>
  <c r="N65" i="9"/>
  <c r="E65" i="9"/>
  <c r="N64" i="9"/>
  <c r="E64" i="9"/>
  <c r="N63" i="9"/>
  <c r="E63" i="9"/>
  <c r="N62" i="9"/>
  <c r="E62" i="9"/>
  <c r="N61" i="9"/>
  <c r="E61" i="9"/>
  <c r="N60" i="9"/>
  <c r="E60" i="9"/>
  <c r="N59" i="9"/>
  <c r="E59" i="9"/>
  <c r="N58" i="9"/>
  <c r="E58" i="9"/>
  <c r="N57" i="9"/>
  <c r="E57" i="9"/>
  <c r="N56" i="9"/>
  <c r="E56" i="9"/>
  <c r="N55" i="9"/>
  <c r="E55" i="9"/>
  <c r="N54" i="9"/>
  <c r="E54" i="9"/>
  <c r="N53" i="9"/>
  <c r="E53" i="9"/>
  <c r="N52" i="9"/>
  <c r="E52" i="9"/>
  <c r="N51" i="9"/>
  <c r="E51" i="9"/>
  <c r="N50" i="9"/>
  <c r="E50" i="9"/>
  <c r="N49" i="9"/>
  <c r="E49" i="9"/>
  <c r="N48" i="9"/>
  <c r="E48" i="9"/>
  <c r="N47" i="9"/>
  <c r="E47" i="9"/>
  <c r="N46" i="9"/>
  <c r="E46" i="9"/>
  <c r="N45" i="9"/>
  <c r="E45" i="9"/>
  <c r="N44" i="9"/>
  <c r="E44" i="9"/>
  <c r="N43" i="9"/>
  <c r="E43" i="9"/>
  <c r="N42" i="9"/>
  <c r="E42" i="9"/>
  <c r="N41" i="9"/>
  <c r="E41" i="9"/>
  <c r="N40" i="9"/>
  <c r="E40" i="9"/>
  <c r="N39" i="9"/>
  <c r="E39" i="9"/>
  <c r="N38" i="9"/>
  <c r="E38" i="9"/>
  <c r="N37" i="9"/>
  <c r="E37" i="9"/>
  <c r="N36" i="9"/>
  <c r="E36" i="9"/>
  <c r="N35" i="9"/>
  <c r="E35" i="9"/>
  <c r="N34" i="9"/>
  <c r="E34" i="9"/>
  <c r="N33" i="9"/>
  <c r="E33" i="9"/>
  <c r="N32" i="9"/>
  <c r="E32" i="9"/>
  <c r="N31" i="9"/>
  <c r="E31" i="9"/>
  <c r="N30" i="9"/>
  <c r="E30" i="9"/>
  <c r="N29" i="9"/>
  <c r="E29" i="9"/>
  <c r="N28" i="9"/>
  <c r="E28" i="9"/>
  <c r="N27" i="9"/>
  <c r="E27" i="9"/>
  <c r="N26" i="9"/>
  <c r="E26" i="9"/>
  <c r="N25" i="9"/>
  <c r="E25" i="9"/>
  <c r="N24" i="9"/>
  <c r="E24" i="9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N11" i="9"/>
  <c r="E11" i="9"/>
  <c r="N10" i="9"/>
  <c r="E10" i="9"/>
  <c r="N9" i="9"/>
  <c r="E9" i="9"/>
  <c r="V2" i="9"/>
  <c r="S2" i="9"/>
  <c r="R2" i="9"/>
  <c r="L91" i="8"/>
  <c r="K91" i="8"/>
  <c r="U2" i="8" s="1"/>
  <c r="I91" i="8"/>
  <c r="S2" i="8" s="1"/>
  <c r="H91" i="8"/>
  <c r="G91" i="8"/>
  <c r="N85" i="8"/>
  <c r="E85" i="8"/>
  <c r="N84" i="8"/>
  <c r="E84" i="8"/>
  <c r="N83" i="8"/>
  <c r="E83" i="8"/>
  <c r="N82" i="8"/>
  <c r="E82" i="8"/>
  <c r="N81" i="8"/>
  <c r="E81" i="8"/>
  <c r="N80" i="8"/>
  <c r="E80" i="8"/>
  <c r="N79" i="8"/>
  <c r="E79" i="8"/>
  <c r="N78" i="8"/>
  <c r="E78" i="8"/>
  <c r="N77" i="8"/>
  <c r="E77" i="8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49" i="8"/>
  <c r="E49" i="8"/>
  <c r="N48" i="8"/>
  <c r="E48" i="8"/>
  <c r="N47" i="8"/>
  <c r="E47" i="8"/>
  <c r="N46" i="8"/>
  <c r="E46" i="8"/>
  <c r="N45" i="8"/>
  <c r="E45" i="8"/>
  <c r="N44" i="8"/>
  <c r="E44" i="8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E9" i="8"/>
  <c r="Q2" i="8"/>
  <c r="L41" i="7"/>
  <c r="V2" i="7" s="1"/>
  <c r="K41" i="7"/>
  <c r="U2" i="7" s="1"/>
  <c r="I41" i="7"/>
  <c r="S2" i="7" s="1"/>
  <c r="H41" i="7"/>
  <c r="G41" i="7"/>
  <c r="Q2" i="7" s="1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M44" i="7" s="1"/>
  <c r="E9" i="7"/>
  <c r="I44" i="7" s="1"/>
  <c r="H42" i="7" s="1"/>
  <c r="R2" i="7"/>
  <c r="L52" i="6"/>
  <c r="K52" i="6"/>
  <c r="U2" i="6" s="1"/>
  <c r="I52" i="6"/>
  <c r="F52" i="6"/>
  <c r="N46" i="6"/>
  <c r="E46" i="6"/>
  <c r="N45" i="6"/>
  <c r="E45" i="6"/>
  <c r="N44" i="6"/>
  <c r="E44" i="6"/>
  <c r="N43" i="6"/>
  <c r="E43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8" i="6"/>
  <c r="E18" i="6"/>
  <c r="N17" i="6"/>
  <c r="E17" i="6"/>
  <c r="N16" i="6"/>
  <c r="E16" i="6"/>
  <c r="N15" i="6"/>
  <c r="E15" i="6"/>
  <c r="H52" i="6" s="1"/>
  <c r="R2" i="6" s="1"/>
  <c r="N14" i="6"/>
  <c r="E14" i="6"/>
  <c r="N13" i="6"/>
  <c r="E13" i="6"/>
  <c r="N12" i="6"/>
  <c r="E12" i="6"/>
  <c r="N11" i="6"/>
  <c r="E11" i="6"/>
  <c r="N10" i="6"/>
  <c r="E10" i="6"/>
  <c r="N9" i="6"/>
  <c r="E9" i="6"/>
  <c r="G52" i="6" s="1"/>
  <c r="V2" i="6"/>
  <c r="S2" i="6"/>
  <c r="K106" i="5"/>
  <c r="I106" i="5"/>
  <c r="H106" i="5"/>
  <c r="R2" i="5" s="1"/>
  <c r="G106" i="5"/>
  <c r="Q2" i="5" s="1"/>
  <c r="N100" i="5"/>
  <c r="E100" i="5"/>
  <c r="N99" i="5"/>
  <c r="E99" i="5"/>
  <c r="N98" i="5"/>
  <c r="E98" i="5"/>
  <c r="N97" i="5"/>
  <c r="E97" i="5"/>
  <c r="N96" i="5"/>
  <c r="E96" i="5"/>
  <c r="N95" i="5"/>
  <c r="E95" i="5"/>
  <c r="N94" i="5"/>
  <c r="E94" i="5"/>
  <c r="N93" i="5"/>
  <c r="E93" i="5"/>
  <c r="N92" i="5"/>
  <c r="E92" i="5"/>
  <c r="N91" i="5"/>
  <c r="E91" i="5"/>
  <c r="N90" i="5"/>
  <c r="E90" i="5"/>
  <c r="N89" i="5"/>
  <c r="E89" i="5"/>
  <c r="N88" i="5"/>
  <c r="E88" i="5"/>
  <c r="N87" i="5"/>
  <c r="E87" i="5"/>
  <c r="N86" i="5"/>
  <c r="E86" i="5"/>
  <c r="N85" i="5"/>
  <c r="E85" i="5"/>
  <c r="N84" i="5"/>
  <c r="E84" i="5"/>
  <c r="N83" i="5"/>
  <c r="E83" i="5"/>
  <c r="N82" i="5"/>
  <c r="E82" i="5"/>
  <c r="N81" i="5"/>
  <c r="E81" i="5"/>
  <c r="N80" i="5"/>
  <c r="E80" i="5"/>
  <c r="J106" i="5" s="1"/>
  <c r="N78" i="5"/>
  <c r="E78" i="5"/>
  <c r="N77" i="5"/>
  <c r="E77" i="5"/>
  <c r="N75" i="5"/>
  <c r="E75" i="5"/>
  <c r="N74" i="5"/>
  <c r="E74" i="5"/>
  <c r="N73" i="5"/>
  <c r="E73" i="5"/>
  <c r="N72" i="5"/>
  <c r="E72" i="5"/>
  <c r="N71" i="5"/>
  <c r="E71" i="5"/>
  <c r="N70" i="5"/>
  <c r="E70" i="5"/>
  <c r="N69" i="5"/>
  <c r="E69" i="5"/>
  <c r="N68" i="5"/>
  <c r="E68" i="5"/>
  <c r="N67" i="5"/>
  <c r="E67" i="5"/>
  <c r="N66" i="5"/>
  <c r="E66" i="5"/>
  <c r="N65" i="5"/>
  <c r="E65" i="5"/>
  <c r="N64" i="5"/>
  <c r="E64" i="5"/>
  <c r="N63" i="5"/>
  <c r="E63" i="5"/>
  <c r="N62" i="5"/>
  <c r="E62" i="5"/>
  <c r="N61" i="5"/>
  <c r="E61" i="5"/>
  <c r="N60" i="5"/>
  <c r="E60" i="5"/>
  <c r="N59" i="5"/>
  <c r="E59" i="5"/>
  <c r="N58" i="5"/>
  <c r="E58" i="5"/>
  <c r="N57" i="5"/>
  <c r="E57" i="5"/>
  <c r="N56" i="5"/>
  <c r="E56" i="5"/>
  <c r="N55" i="5"/>
  <c r="E55" i="5"/>
  <c r="N54" i="5"/>
  <c r="E54" i="5"/>
  <c r="N53" i="5"/>
  <c r="E53" i="5"/>
  <c r="N52" i="5"/>
  <c r="E52" i="5"/>
  <c r="N51" i="5"/>
  <c r="E51" i="5"/>
  <c r="N50" i="5"/>
  <c r="E50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I109" i="5" s="1"/>
  <c r="H107" i="5" s="1"/>
  <c r="S2" i="5"/>
  <c r="L55" i="4"/>
  <c r="V2" i="4" s="1"/>
  <c r="K55" i="4"/>
  <c r="I55" i="4"/>
  <c r="H55" i="4"/>
  <c r="R2" i="4" s="1"/>
  <c r="G55" i="4"/>
  <c r="Q2" i="4" s="1"/>
  <c r="N49" i="4"/>
  <c r="E49" i="4"/>
  <c r="N48" i="4"/>
  <c r="E48" i="4"/>
  <c r="N45" i="4"/>
  <c r="E45" i="4"/>
  <c r="N44" i="4"/>
  <c r="E44" i="4"/>
  <c r="N43" i="4"/>
  <c r="E43" i="4"/>
  <c r="N42" i="4"/>
  <c r="E42" i="4"/>
  <c r="N41" i="4"/>
  <c r="E41" i="4"/>
  <c r="N40" i="4"/>
  <c r="E40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F55" i="4" s="1"/>
  <c r="N9" i="4"/>
  <c r="E9" i="4"/>
  <c r="U2" i="4"/>
  <c r="S2" i="4"/>
  <c r="L99" i="3"/>
  <c r="V2" i="3" s="1"/>
  <c r="K99" i="3"/>
  <c r="U2" i="3" s="1"/>
  <c r="I99" i="3"/>
  <c r="S2" i="3" s="1"/>
  <c r="H99" i="3"/>
  <c r="G99" i="3"/>
  <c r="Q2" i="3" s="1"/>
  <c r="N93" i="3"/>
  <c r="E93" i="3"/>
  <c r="N92" i="3"/>
  <c r="E92" i="3"/>
  <c r="N91" i="3"/>
  <c r="E91" i="3"/>
  <c r="N90" i="3"/>
  <c r="E90" i="3"/>
  <c r="N89" i="3"/>
  <c r="E89" i="3"/>
  <c r="N88" i="3"/>
  <c r="E88" i="3"/>
  <c r="N87" i="3"/>
  <c r="E87" i="3"/>
  <c r="N86" i="3"/>
  <c r="E86" i="3"/>
  <c r="N85" i="3"/>
  <c r="E85" i="3"/>
  <c r="N84" i="3"/>
  <c r="E84" i="3"/>
  <c r="N83" i="3"/>
  <c r="E83" i="3"/>
  <c r="N82" i="3"/>
  <c r="E82" i="3"/>
  <c r="N81" i="3"/>
  <c r="E81" i="3"/>
  <c r="N80" i="3"/>
  <c r="E80" i="3"/>
  <c r="N79" i="3"/>
  <c r="E79" i="3"/>
  <c r="N78" i="3"/>
  <c r="E78" i="3"/>
  <c r="N77" i="3"/>
  <c r="E77" i="3"/>
  <c r="N76" i="3"/>
  <c r="E76" i="3"/>
  <c r="N75" i="3"/>
  <c r="E75" i="3"/>
  <c r="N74" i="3"/>
  <c r="E74" i="3"/>
  <c r="N73" i="3"/>
  <c r="E73" i="3"/>
  <c r="N72" i="3"/>
  <c r="E72" i="3"/>
  <c r="N71" i="3"/>
  <c r="E71" i="3"/>
  <c r="N70" i="3"/>
  <c r="E70" i="3"/>
  <c r="N69" i="3"/>
  <c r="E69" i="3"/>
  <c r="N68" i="3"/>
  <c r="E68" i="3"/>
  <c r="N67" i="3"/>
  <c r="E67" i="3"/>
  <c r="N66" i="3"/>
  <c r="E66" i="3"/>
  <c r="N65" i="3"/>
  <c r="E65" i="3"/>
  <c r="N64" i="3"/>
  <c r="E64" i="3"/>
  <c r="N63" i="3"/>
  <c r="E63" i="3"/>
  <c r="N62" i="3"/>
  <c r="E62" i="3"/>
  <c r="N61" i="3"/>
  <c r="E61" i="3"/>
  <c r="N60" i="3"/>
  <c r="E60" i="3"/>
  <c r="N59" i="3"/>
  <c r="E59" i="3"/>
  <c r="N58" i="3"/>
  <c r="E58" i="3"/>
  <c r="N57" i="3"/>
  <c r="E57" i="3"/>
  <c r="N56" i="3"/>
  <c r="E56" i="3"/>
  <c r="N55" i="3"/>
  <c r="E55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I102" i="3" s="1"/>
  <c r="R2" i="3"/>
  <c r="L27" i="2"/>
  <c r="V2" i="2" s="1"/>
  <c r="K27" i="2"/>
  <c r="U2" i="2" s="1"/>
  <c r="J27" i="2"/>
  <c r="H6" i="1" s="1"/>
  <c r="I27" i="2"/>
  <c r="H27" i="2"/>
  <c r="R2" i="2" s="1"/>
  <c r="G27" i="2"/>
  <c r="E6" i="1" s="1"/>
  <c r="F27" i="2"/>
  <c r="P2" i="2" s="1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S2" i="2"/>
  <c r="I16" i="1"/>
  <c r="G16" i="1"/>
  <c r="F16" i="1"/>
  <c r="J15" i="1"/>
  <c r="I15" i="1"/>
  <c r="G15" i="1"/>
  <c r="F15" i="1"/>
  <c r="J14" i="1"/>
  <c r="G14" i="1"/>
  <c r="J13" i="1"/>
  <c r="G13" i="1"/>
  <c r="F13" i="1"/>
  <c r="I12" i="1"/>
  <c r="G12" i="1"/>
  <c r="E12" i="1"/>
  <c r="J11" i="1"/>
  <c r="G11" i="1"/>
  <c r="F11" i="1"/>
  <c r="E11" i="1"/>
  <c r="J10" i="1"/>
  <c r="I10" i="1"/>
  <c r="G10" i="1"/>
  <c r="G9" i="1"/>
  <c r="F9" i="1"/>
  <c r="C9" i="1"/>
  <c r="I8" i="1"/>
  <c r="G8" i="1"/>
  <c r="F8" i="1"/>
  <c r="I7" i="1"/>
  <c r="F7" i="1"/>
  <c r="C7" i="1"/>
  <c r="G6" i="1"/>
  <c r="I6" i="1" l="1"/>
  <c r="Q2" i="2"/>
  <c r="Q2" i="11"/>
  <c r="E15" i="1"/>
  <c r="I55" i="6"/>
  <c r="K53" i="6" s="1"/>
  <c r="E7" i="1"/>
  <c r="J7" i="1"/>
  <c r="E16" i="1"/>
  <c r="F29" i="2"/>
  <c r="M102" i="3"/>
  <c r="I81" i="9"/>
  <c r="J8" i="1"/>
  <c r="J29" i="2"/>
  <c r="M81" i="9"/>
  <c r="I41" i="12"/>
  <c r="L38" i="12"/>
  <c r="E8" i="1"/>
  <c r="F10" i="1"/>
  <c r="M109" i="5"/>
  <c r="D6" i="1"/>
  <c r="G7" i="1"/>
  <c r="G17" i="1" s="1"/>
  <c r="P2" i="1" s="1"/>
  <c r="M78" i="11"/>
  <c r="M41" i="12"/>
  <c r="P2" i="4"/>
  <c r="D8" i="1"/>
  <c r="J55" i="4"/>
  <c r="E10" i="1"/>
  <c r="Q2" i="6"/>
  <c r="F54" i="6"/>
  <c r="P2" i="6"/>
  <c r="I94" i="8"/>
  <c r="J91" i="8"/>
  <c r="F91" i="8"/>
  <c r="J99" i="10"/>
  <c r="H14" i="1"/>
  <c r="T2" i="10"/>
  <c r="J98" i="10"/>
  <c r="F98" i="10"/>
  <c r="I98" i="10"/>
  <c r="L98" i="10"/>
  <c r="C14" i="1"/>
  <c r="K76" i="11"/>
  <c r="G76" i="11"/>
  <c r="C15" i="1"/>
  <c r="I76" i="11"/>
  <c r="L76" i="11"/>
  <c r="H76" i="11"/>
  <c r="F6" i="1"/>
  <c r="J6" i="1"/>
  <c r="E9" i="1"/>
  <c r="D10" i="1"/>
  <c r="I11" i="1"/>
  <c r="I100" i="3"/>
  <c r="L100" i="3"/>
  <c r="H100" i="3"/>
  <c r="K100" i="3"/>
  <c r="G100" i="3"/>
  <c r="I58" i="4"/>
  <c r="K107" i="5"/>
  <c r="G107" i="5"/>
  <c r="J107" i="5"/>
  <c r="I107" i="5"/>
  <c r="T2" i="5"/>
  <c r="H9" i="1"/>
  <c r="M55" i="6"/>
  <c r="G53" i="6"/>
  <c r="M94" i="8"/>
  <c r="I13" i="1"/>
  <c r="U2" i="9"/>
  <c r="H97" i="10"/>
  <c r="H98" i="10" s="1"/>
  <c r="K97" i="10"/>
  <c r="K98" i="10" s="1"/>
  <c r="D14" i="1"/>
  <c r="P2" i="10"/>
  <c r="I30" i="2"/>
  <c r="U2" i="5"/>
  <c r="I9" i="1"/>
  <c r="J52" i="6"/>
  <c r="J53" i="6" s="1"/>
  <c r="V2" i="8"/>
  <c r="J12" i="1"/>
  <c r="K79" i="9"/>
  <c r="G79" i="9"/>
  <c r="I79" i="9"/>
  <c r="E13" i="1"/>
  <c r="Q2" i="9"/>
  <c r="M100" i="10"/>
  <c r="G98" i="10"/>
  <c r="L39" i="12"/>
  <c r="H39" i="12"/>
  <c r="C16" i="1"/>
  <c r="K39" i="12"/>
  <c r="G39" i="12"/>
  <c r="F39" i="12"/>
  <c r="I39" i="12"/>
  <c r="V2" i="12"/>
  <c r="J16" i="1"/>
  <c r="K6" i="1"/>
  <c r="M30" i="2"/>
  <c r="M58" i="4"/>
  <c r="F53" i="6"/>
  <c r="I53" i="6"/>
  <c r="L53" i="6"/>
  <c r="H53" i="6"/>
  <c r="C10" i="1"/>
  <c r="K42" i="7"/>
  <c r="G42" i="7"/>
  <c r="C11" i="1"/>
  <c r="I42" i="7"/>
  <c r="L42" i="7"/>
  <c r="R2" i="8"/>
  <c r="F12" i="1"/>
  <c r="T2" i="2"/>
  <c r="F99" i="3"/>
  <c r="J99" i="3"/>
  <c r="J100" i="3" s="1"/>
  <c r="L106" i="5"/>
  <c r="F38" i="12"/>
  <c r="J38" i="12"/>
  <c r="J39" i="12" s="1"/>
  <c r="F106" i="5"/>
  <c r="F107" i="5" s="1"/>
  <c r="F41" i="7"/>
  <c r="J41" i="7"/>
  <c r="J42" i="7" s="1"/>
  <c r="F78" i="9"/>
  <c r="J78" i="9"/>
  <c r="J79" i="9" s="1"/>
  <c r="F75" i="11"/>
  <c r="J75" i="11"/>
  <c r="J76" i="11" s="1"/>
  <c r="E17" i="1" l="1"/>
  <c r="N2" i="1" s="1"/>
  <c r="L79" i="9"/>
  <c r="H79" i="9"/>
  <c r="C13" i="1"/>
  <c r="F101" i="3"/>
  <c r="D7" i="1"/>
  <c r="P2" i="3"/>
  <c r="F100" i="3"/>
  <c r="J56" i="4"/>
  <c r="F56" i="4"/>
  <c r="C8" i="1"/>
  <c r="I56" i="4"/>
  <c r="L56" i="4"/>
  <c r="H56" i="4"/>
  <c r="G56" i="4"/>
  <c r="K56" i="4"/>
  <c r="K10" i="1"/>
  <c r="H15" i="1"/>
  <c r="J77" i="11"/>
  <c r="T2" i="11"/>
  <c r="H11" i="1"/>
  <c r="J43" i="7"/>
  <c r="T2" i="7"/>
  <c r="P2" i="12"/>
  <c r="F40" i="12"/>
  <c r="D16" i="1"/>
  <c r="K16" i="1" s="1"/>
  <c r="L28" i="2"/>
  <c r="H28" i="2"/>
  <c r="K28" i="2"/>
  <c r="G28" i="2"/>
  <c r="J28" i="2"/>
  <c r="F28" i="2"/>
  <c r="C6" i="1"/>
  <c r="I28" i="2"/>
  <c r="I14" i="1"/>
  <c r="I17" i="1" s="1"/>
  <c r="R2" i="1" s="1"/>
  <c r="U2" i="10"/>
  <c r="P2" i="8"/>
  <c r="D12" i="1"/>
  <c r="F93" i="8"/>
  <c r="K8" i="1"/>
  <c r="J57" i="4"/>
  <c r="T2" i="4"/>
  <c r="H8" i="1"/>
  <c r="D11" i="1"/>
  <c r="K11" i="1" s="1"/>
  <c r="P2" i="7"/>
  <c r="F43" i="7"/>
  <c r="J9" i="1"/>
  <c r="J17" i="1" s="1"/>
  <c r="S2" i="1" s="1"/>
  <c r="L107" i="5"/>
  <c r="V2" i="5"/>
  <c r="J54" i="6"/>
  <c r="H10" i="1"/>
  <c r="T2" i="6"/>
  <c r="R2" i="10"/>
  <c r="F14" i="1"/>
  <c r="F17" i="1" s="1"/>
  <c r="O2" i="1" s="1"/>
  <c r="J108" i="5"/>
  <c r="J93" i="8"/>
  <c r="T2" i="8"/>
  <c r="H12" i="1"/>
  <c r="F57" i="4"/>
  <c r="F80" i="9"/>
  <c r="D13" i="1"/>
  <c r="P2" i="9"/>
  <c r="J40" i="12"/>
  <c r="T2" i="12"/>
  <c r="H16" i="1"/>
  <c r="F79" i="9"/>
  <c r="D15" i="1"/>
  <c r="K15" i="1" s="1"/>
  <c r="P2" i="11"/>
  <c r="F77" i="11"/>
  <c r="J80" i="9"/>
  <c r="H13" i="1"/>
  <c r="T2" i="9"/>
  <c r="P2" i="5"/>
  <c r="F108" i="5"/>
  <c r="D9" i="1"/>
  <c r="K9" i="1" s="1"/>
  <c r="H7" i="1"/>
  <c r="T2" i="3"/>
  <c r="J101" i="3"/>
  <c r="F42" i="7"/>
  <c r="F99" i="10"/>
  <c r="F76" i="11"/>
  <c r="L92" i="8"/>
  <c r="H92" i="8"/>
  <c r="C12" i="1"/>
  <c r="K92" i="8"/>
  <c r="G92" i="8"/>
  <c r="J92" i="8"/>
  <c r="F92" i="8"/>
  <c r="I92" i="8"/>
  <c r="K14" i="1" l="1"/>
  <c r="H17" i="1"/>
  <c r="Q2" i="1" s="1"/>
  <c r="K13" i="1"/>
  <c r="K12" i="1"/>
  <c r="K7" i="1"/>
  <c r="D17" i="1"/>
  <c r="C17" i="1"/>
  <c r="M2" i="1" l="1"/>
  <c r="D18" i="1"/>
</calcChain>
</file>

<file path=xl/sharedStrings.xml><?xml version="1.0" encoding="utf-8"?>
<sst xmlns="http://schemas.openxmlformats.org/spreadsheetml/2006/main" count="3035" uniqueCount="150">
  <si>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</si>
  <si>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</si>
  <si>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</si>
  <si>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</si>
  <si>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</si>
  <si>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</si>
  <si>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</si>
  <si>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</si>
  <si>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</si>
  <si>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</si>
  <si>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</si>
  <si>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</si>
  <si>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</si>
  <si>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</si>
  <si>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</si>
  <si>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</si>
  <si>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TO-296 - TRECHO SÃO SALVADOR DO TOCANTINS - PARANÃ</t>
  </si>
  <si>
    <t>RODOVIA TO-296 - TRECHO JAÚ DO TOCANTINS - SÃO SALVADOR DO TOCANTINS</t>
  </si>
  <si>
    <t>RODOVIA TO-365 - TRECHO IPUEIRAS - SILVANÓPOLIS</t>
  </si>
  <si>
    <t>RODOVIA TO-373 - TRECHO ENTR. TO-365 (BALSA) - SÃO MIGUEL - LAGOA DO ROMÃO -ENTR. TO-280</t>
  </si>
  <si>
    <t>RODOVIA TO-458 - TRECHO ENTR. TO-365 (IPUEIRAS) - ENTR. BR-010</t>
  </si>
  <si>
    <t>RODOVIA TO-479 - TRECHO PEIXE - POVOADO LAGOA DO ROMÃO (ENTR. TO-373)</t>
  </si>
  <si>
    <t>RODOVIA TO-482 - TRECHO: ENTR. TO-280 (SÃO VALÉRIO DE NATIVIDADE) / ENTR. TO-458</t>
  </si>
  <si>
    <t>RODOVIA TO-486 - TRECHO SANTA ROSA DO TOCANTINS - ENTR. TO-280 (NATIVIDADE)</t>
  </si>
  <si>
    <t>RODOVIA TO-490 - TRECHO SÃO VALÉRIO DE NATIVIDADE - ENTR. BR-242</t>
  </si>
  <si>
    <t>RODOVIA TO-491 - TRECHO ENTR. BR-242 - ENTR. TO-296 (POVOADO RETIRO)</t>
  </si>
  <si>
    <t>RODOVIA TO-495 - TRECHO DIVISA TO-GO - LOURENÇO BORGES - ENTR. TO-296</t>
  </si>
  <si>
    <t>TOTAL PERCORRIDO NO MÊS</t>
  </si>
  <si>
    <t>% DA EXTENSÃO DA MALHA (576.68 km)</t>
  </si>
  <si>
    <t>(soma do grupo 'CONDIÇÃO DA PLATAFORMA' dividida pela malha)</t>
  </si>
  <si>
    <t>PROGRAMA DE MANUTENÇÃO RODOVIÁRIA — FICHA DE INSPEÇÃO — RODOVIAS NÃO PAVIMENTADAS</t>
  </si>
  <si>
    <t>REGIÃO:  12 — PEIXE</t>
  </si>
  <si>
    <t>MÊS / ANO:</t>
  </si>
  <si>
    <t>DATA:</t>
  </si>
  <si>
    <t>TÉCNICO:</t>
  </si>
  <si>
    <t>TRECHO 228 — RODOVIA TO-296 - TRECHO SÃO SALVADOR DO TOCANTINS - PARANÃ</t>
  </si>
  <si>
    <t>EXTENSÃO: 12,317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</si>
  <si>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</si>
  <si>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</si>
  <si>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</si>
  <si>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</si>
  <si>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</si>
  <si>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</si>
  <si>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</si>
  <si>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</si>
  <si>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ACESSO02   |   ENTR. TO-387 - UHE SÃO SALVADOR  (código antigo: ACESSO)   |   LEN · Outros · 12.317 km  ·  início: -12.729837, -48.234105</t>
  </si>
  <si>
    <t>ACESSO02</t>
  </si>
  <si>
    <t>C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</si>
  <si>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</si>
  <si>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</si>
  <si>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</si>
  <si>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</si>
  <si>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</si>
  <si>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</si>
  <si>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</si>
  <si>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</si>
  <si>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</si>
  <si>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</si>
  <si>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</si>
  <si>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</si>
  <si>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</si>
  <si>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</si>
  <si>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</si>
  <si>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</si>
  <si>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</si>
  <si>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</si>
  <si>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</si>
  <si>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</si>
  <si>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</si>
  <si>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</si>
  <si>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</si>
  <si>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</si>
  <si>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229 — RODOVIA TO-296 - TRECHO JAÚ DO TOCANTINS - SÃO SALVADOR DO TOCANTINS</t>
  </si>
  <si>
    <t>EXTENSÃO: 81,718 km  ·  3 S.R.E.</t>
  </si>
  <si>
    <t>S.R.E. 296ETO0240   |   ENTR. TO-387 - RETIRO   |   EOP · Estadual · 22.432 km  ·  início: -12.613204, -48.284007</t>
  </si>
  <si>
    <t>296ETO0240</t>
  </si>
  <si>
    <t>X</t>
  </si>
  <si>
    <t>S.R.E. 296ETO0250   |   RETIRO - ENTR. TO-491   |   EOP · Estadual · 7.658 km  ·  início: -12.610954, -48.286</t>
  </si>
  <si>
    <t>296ETO0250</t>
  </si>
  <si>
    <t>S.R.E. 296ETO0260   |   ENTR. TO-491 - JAÚ DO TOCANTINS *TRECHO URBANO*   |   EOP · Estadual · 51.628 km  ·  início: -12.570387, -48.319684</t>
  </si>
  <si>
    <t>296ETO0260</t>
  </si>
  <si>
    <t>TRECHO 231 — RODOVIA TO-365 - TRECHO IPUEIRAS - SILVANÓPOLIS</t>
  </si>
  <si>
    <t>EXTENSÃO: 34,255 km  ·  4 S.R.E.</t>
  </si>
  <si>
    <t>S.R.E. 365ETO0170   |   ENTR- TO-050-BR-010 (SILVANÓPOLIS) - SURUBIM   |   LEN · Estadual · 21.354 km  ·  início: -11.15112, -48.182983</t>
  </si>
  <si>
    <t>365ETO0170</t>
  </si>
  <si>
    <t>S.R.E. 365ETO0180   |   SURUBIM - ENTR. TO-458   |   LEN · Estadual · 6.239 km  ·  início: -11.246862, -48.34366</t>
  </si>
  <si>
    <t>365ETO0180</t>
  </si>
  <si>
    <t>S.R.E. 365ETO0190   |   ENTR. TO-458 - IPUEIRAS *TRECHO URBANO*   |   LEN · Estadual · 5.330 km  ·  início: -11.259612, -48.398791</t>
  </si>
  <si>
    <t>365ETO0190</t>
  </si>
  <si>
    <t>▲ AQUI HÁ 1.125 km FORA DO ESCOPO DO CONTRATO (perímetro urbano de jurisdição municipal). Você passa por ele, mas NÃO preenche.</t>
  </si>
  <si>
    <t>S.R.E. 365ETO0210   |   ENTR. TO-458 (IPUEIRAS *TRECHO URBANO*) - RIO TOCANTINS( BALSA)   |   LEN · Estadual · 1.331 km  ·  início: -11.240851, -48.448866</t>
  </si>
  <si>
    <t>365ETO0210</t>
  </si>
  <si>
    <t>TRECHO 232 — RODOVIA TO-373 - TRECHO ENTR. TO-365 (BALSA) - SÃO MIGUEL - LAGOA DO ROMÃO -ENTR. TO-280</t>
  </si>
  <si>
    <t>EXTENSÃO: 87,831 km  ·  4 S.R.E.</t>
  </si>
  <si>
    <t>S.R.E. 373ETO0120   |   RIO TOCANTINS (BALSA) - SÃO MIGUEL   |   LEN · Estadual · 25.933 km  ·  início: -11.428717, -48.58823</t>
  </si>
  <si>
    <t>373ETO0120</t>
  </si>
  <si>
    <t>S.R.E. 373ETO0130   |   SÃO MIGUEL - LAGOA DO ROMÃO   |   LEN · Estadual · 39.401 km  ·  início: -11.59937, -48.527765</t>
  </si>
  <si>
    <t>373ETO0130</t>
  </si>
  <si>
    <t>S.R.E. 373ETO0140   |   LAGOA DO ROMÃO - ENTR. TO-479   |   LEN · Estadual · 1.552 km  ·  início: -11.842096, -48.39303</t>
  </si>
  <si>
    <t>373ETO0140</t>
  </si>
  <si>
    <t>S.R.E. 373ETO0150   |   ENTR.TO- 479 - ENTR. TO-280   |   LEN · Estadual · 20.945 km  ·  início: -11.853915, -48.395878</t>
  </si>
  <si>
    <t>373ETO0150</t>
  </si>
  <si>
    <t>TRECHO 236 — RODOVIA TO-458 - TRECHO ENTR. TO-365 (IPUEIRAS) - ENTR. BR-010</t>
  </si>
  <si>
    <t>EXTENSÃO: 33,967 km  ·  3 S.R.E.</t>
  </si>
  <si>
    <t>S.R.E. 458ETO0050   |   ENTR. TO-365 - MORRO DE SÃO JOÃO   |   LEN · Estadual · 9.478 km  ·  início: -11.259612, -48.398791</t>
  </si>
  <si>
    <t>458ETO0050</t>
  </si>
  <si>
    <t>S.R.E. 458ETO0060   |   MORRO DE SÃO JOÃO - ENTR. TO-482   |   LEN · Estadual · 21.461 km  ·  início: -11.39927, -48.20139</t>
  </si>
  <si>
    <t>458ETO0060</t>
  </si>
  <si>
    <t>S.R.E. 458ETO0070   |   ENTR. TO-482 - ENTR. TO-050-BR-010   |   LEN · Estadual · 3.027 km  ·  início: -11.399238, -48.201314</t>
  </si>
  <si>
    <t>458ETO0070</t>
  </si>
  <si>
    <t>TRECHO 237 — RODOVIA TO-479 - TRECHO PEIXE - POVOADO LAGOA DO ROMÃO (ENTR. TO-373)</t>
  </si>
  <si>
    <t>EXTENSÃO: 26,044 km  ·  1 S.R.E.</t>
  </si>
  <si>
    <t>S.R.E. 479ETO0010   |   ENTROC. TO-373 - PEIXE (RIO TOCANTINS)   |   LEN · Estadual · 26.044 km  ·  início: -11.853915, -48.395878</t>
  </si>
  <si>
    <t>479ETO0010</t>
  </si>
  <si>
    <t>TRECHO 238 — RODOVIA TO-482 - TRECHO: ENTR. TO-280 (SÃO VALÉRIO DE NATIVIDADE) / ENTR. TO-458</t>
  </si>
  <si>
    <t>EXTENSÃO: 73,554 km  ·  3 S.R.E.</t>
  </si>
  <si>
    <t>S.R.E. 482ETO0010   |   ENTR. TO-458 - POV. APINAJE (BALSA)   |   LEN · Estadual · 21.698 km  ·  início: -11.39927, -48.20139</t>
  </si>
  <si>
    <t>482ETO0010</t>
  </si>
  <si>
    <t>S.R.E. 482ETO0020   |   POV. APINAJE (BALSA) - POV. SÃO PEDRO   |   LEN · Estadual · 17.368 km  ·  início: -11.536082, -48.293071</t>
  </si>
  <si>
    <t>482ETO0020</t>
  </si>
  <si>
    <t>S.R.E. 482ETO0030   |   POV. SÃO PEDRO - ENTR. TO-280   |   LEN · Estadual · 34.488 km  ·  início: -11.678081, -48.280162</t>
  </si>
  <si>
    <t>482ETO0030</t>
  </si>
  <si>
    <t>TRECHO 239 — RODOVIA TO-486 - TRECHO SANTA ROSA DO TOCANTINS - ENTR. TO-280 (NATIVIDADE)</t>
  </si>
  <si>
    <t>EXTENSÃO: 63,930 km  ·  1 S.R.E.</t>
  </si>
  <si>
    <t>S.R.E. 486ETO0010   |   SANTA ROSA *TRECHO URBANO* - ENTR. TO-280 (NATIVIDADE)   |   LEN · Estadual · 63.930 km  ·  início: -11.454148, -48.116724</t>
  </si>
  <si>
    <t>486ETO0010</t>
  </si>
  <si>
    <t>TRECHO 240 — RODOVIA TO-490 - TRECHO SÃO VALÉRIO DE NATIVIDADE - ENTR. BR-242</t>
  </si>
  <si>
    <t>EXTENSÃO: 81,076 km  ·  2 S.R.E.</t>
  </si>
  <si>
    <t>S.R.E. 490ETO0010   |   ENTR. TO-280 (SÃO VALÉRIO DA NATIVIDADE) - TIGRE   |   LEN · Estadual · 34.769 km  ·  início: -11.990464, -48.242908</t>
  </si>
  <si>
    <t>490ETO0010</t>
  </si>
  <si>
    <t>S.R.E. 490ETO0020   |   TIGRE - ENTR. BR-242   |   LEN · Estadual · 46.307 km  ·  início: -12.163853, -48.054423</t>
  </si>
  <si>
    <t>490ETO0020</t>
  </si>
  <si>
    <t>TRECHO 241 — RODOVIA TO-491 - TRECHO ENTR. BR-242 - ENTR. TO-296 (POVOADO RETIRO)</t>
  </si>
  <si>
    <t>EXTENSÃO: 60,310 km  ·  1 S.R.E.</t>
  </si>
  <si>
    <t>S.R.E. 491ETO0010   |   ENTR. TO-373-BR-242 - ENTR. TO-296   |   LEN · Estadual · 60.310 km  ·  início: -12.570387, -48.319684</t>
  </si>
  <si>
    <t>491ETO0010</t>
  </si>
  <si>
    <t>TRECHO 242 — RODOVIA TO-495 - TRECHO DIVISA TO-GO - LOURENÇO BORGES - ENTR. TO-296</t>
  </si>
  <si>
    <t>EXTENSÃO: 21,676 km  ·  2 S.R.E.</t>
  </si>
  <si>
    <t>S.R.E. 495ETO0010   |   ENTR. TO-296 - POV LORENÇO BORGES   |   LEN · Estadual · 16.272 km  ·  início: -12.743445, -48.67785</t>
  </si>
  <si>
    <t>495ETO0010</t>
  </si>
  <si>
    <t>S.R.E. 495ETO0020   |   POV LORENÇO BORGES - DIVISA TO-GO   |   LEN · Estadual · 5.404 km  ·  início: -12.854602, -48.761424</t>
  </si>
  <si>
    <t>495ETO0020</t>
  </si>
  <si>
    <t>TÉCNICOS</t>
  </si>
  <si>
    <t>ENG. VINÍCIUS RODRIGUES FERREIRA DE OLIVEIRA</t>
  </si>
  <si>
    <t>LABORATORISTA CLAUDIOMIRO VIEIRA LOPES</t>
  </si>
  <si>
    <t>ENG. THIAGO BORGES TORQUATO</t>
  </si>
  <si>
    <t>x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</si>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</sst>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6" fillId="2" borderId="0" xfId="0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C9-4704-A5D2-C0EC15B6488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C9-4704-A5D2-C0EC15B6488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C9-4704-A5D2-C0EC15B6488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C9-4704-A5D2-C0EC15B6488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441.31856591196998</c:v>
                </c:pt>
                <c:pt idx="1">
                  <c:v>134.36019574906999</c:v>
                </c:pt>
                <c:pt idx="2">
                  <c:v>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C9-4704-A5D2-C0EC15B648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2E-45B6-B9DE-7224E1968DF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2E-45B6-B9DE-7224E1968DF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2E-45B6-B9DE-7224E1968DF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420.31287830336993</c:v>
                </c:pt>
                <c:pt idx="1">
                  <c:v>84.076208041699999</c:v>
                </c:pt>
                <c:pt idx="2">
                  <c:v>72.289675315969987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2E-45B6-B9DE-7224E1968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32-4F34-9304-2DDC8E0205A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32-4F34-9304-2DDC8E0205A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32-4F34-9304-2DDC8E0205A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32-4F34-9304-2DDC8E0205A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12.3173480749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32-4F34-9304-2DDC8E0205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6A-47B8-9A58-8F264794525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6A-47B8-9A58-8F264794525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6A-47B8-9A58-8F264794525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'228'!$T$2:$V$2</c:f>
              <c:numCache>
                <c:formatCode>#,##0.00</c:formatCode>
                <c:ptCount val="3"/>
                <c:pt idx="0">
                  <c:v>9.3173480748999999</c:v>
                </c:pt>
                <c:pt idx="1">
                  <c:v>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6A-47B8-9A58-8F2647945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88-4365-8C2E-106640BAE4E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88-4365-8C2E-106640BAE4E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88-4365-8C2E-106640BAE4E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88-4365-8C2E-106640BAE4E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'229'!$P$2:$S$2</c:f>
              <c:numCache>
                <c:formatCode>#,##0.00</c:formatCode>
                <c:ptCount val="4"/>
                <c:pt idx="0">
                  <c:v>81.717854452119994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88-4365-8C2E-106640BAE4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AF-4262-819C-F0A0D0C47D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AF-4262-819C-F0A0D0C47D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AF-4262-819C-F0A0D0C47DC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'229'!$T$2:$V$2</c:f>
              <c:numCache>
                <c:formatCode>#,##0.00</c:formatCode>
                <c:ptCount val="3"/>
                <c:pt idx="0">
                  <c:v>81.717854452119994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AF-4262-819C-F0A0D0C47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9C-4781-8DD7-D44D082E3B9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9C-4781-8DD7-D44D082E3B9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9C-4781-8DD7-D44D082E3B9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59C-4781-8DD7-D44D082E3B9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'231'!$P$2:$S$2</c:f>
              <c:numCache>
                <c:formatCode>#,##0.00</c:formatCode>
                <c:ptCount val="4"/>
                <c:pt idx="0">
                  <c:v>34.254615762579995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9C-4781-8DD7-D44D082E3B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B-4812-9620-8E1C2AA96AB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2B-4812-9620-8E1C2AA96AB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2B-4812-9620-8E1C2AA96AB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'231'!$T$2:$V$2</c:f>
              <c:numCache>
                <c:formatCode>#,##0.00</c:formatCode>
                <c:ptCount val="3"/>
                <c:pt idx="0">
                  <c:v>34.254615762579995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2B-4812-9620-8E1C2AA96A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5E-48F9-A61E-F4869761C48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5E-48F9-A61E-F4869761C48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5E-48F9-A61E-F4869761C48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5E-48F9-A61E-F4869761C4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'232'!$P$2:$S$2</c:f>
              <c:numCache>
                <c:formatCode>#,##0.00</c:formatCode>
                <c:ptCount val="4"/>
                <c:pt idx="0">
                  <c:v>87.831044979669983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5E-48F9-A61E-F4869761C4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F8-46BA-BF61-35FDB909CC8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F8-46BA-BF61-35FDB909CC8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F8-46BA-BF61-35FDB909CC8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'232'!$T$2:$V$2</c:f>
              <c:numCache>
                <c:formatCode>#,##0.00</c:formatCode>
                <c:ptCount val="3"/>
                <c:pt idx="0">
                  <c:v>20.9453418423</c:v>
                </c:pt>
                <c:pt idx="1">
                  <c:v>#N/A</c:v>
                </c:pt>
                <c:pt idx="2">
                  <c:v>66.885703137369987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F8-46BA-BF61-35FDB909CC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64-474E-9DEF-F944758EC87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64-474E-9DEF-F944758EC87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64-474E-9DEF-F944758EC87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664-474E-9DEF-F944758EC87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'236'!$P$2:$S$2</c:f>
              <c:numCache>
                <c:formatCode>#,##0.00</c:formatCode>
                <c:ptCount val="4"/>
                <c:pt idx="0">
                  <c:v>6</c:v>
                </c:pt>
                <c:pt idx="1">
                  <c:v>26.966639632470002</c:v>
                </c:pt>
                <c:pt idx="2">
                  <c:v>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64-474E-9DEF-F944758EC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5A-4573-8C6A-C45E777A833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95A-4573-8C6A-C45E777A833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95A-4573-8C6A-C45E777A833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'236'!$T$2:$V$2</c:f>
              <c:numCache>
                <c:formatCode>#,##0.00</c:formatCode>
                <c:ptCount val="3"/>
                <c:pt idx="0">
                  <c:v>33.966639632469999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5A-4573-8C6A-C45E777A83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2C-4FE4-AFAA-9C157851CF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2C-4FE4-AFAA-9C157851CF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2C-4FE4-AFAA-9C157851CF1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A2C-4FE4-AFAA-9C157851CF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'237'!$P$2:$S$2</c:f>
              <c:numCache>
                <c:formatCode>#,##0.00</c:formatCode>
                <c:ptCount val="4"/>
                <c:pt idx="0">
                  <c:v>26.043992977599999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2C-4FE4-AFAA-9C157851CF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5E-41BB-84D8-457C07EED1A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5E-41BB-84D8-457C07EED1A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5E-41BB-84D8-457C07EED1A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'237'!$T$2:$V$2</c:f>
              <c:numCache>
                <c:formatCode>#,##0.00</c:formatCode>
                <c:ptCount val="3"/>
                <c:pt idx="0">
                  <c:v>26.043992977599999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5E-41BB-84D8-457C07EED1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EB-441C-A830-0A901A4CFE6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EB-441C-A830-0A901A4CFE6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EB-441C-A830-0A901A4CFE6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0EB-441C-A830-0A901A4CFE6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'238'!$P$2:$S$2</c:f>
              <c:numCache>
                <c:formatCode>#,##0.00</c:formatCode>
                <c:ptCount val="4"/>
                <c:pt idx="0">
                  <c:v>73.554481171600003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EB-441C-A830-0A901A4CFE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56-4577-BC84-B17A9FF70C3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56-4577-BC84-B17A9FF70C3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56-4577-BC84-B17A9FF70C3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'238'!$T$2:$V$2</c:f>
              <c:numCache>
                <c:formatCode>#,##0.00</c:formatCode>
                <c:ptCount val="3"/>
                <c:pt idx="0">
                  <c:v>73.554481171600003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56-4577-BC84-B17A9FF70C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B3-4277-ABE2-4FC3A840EB5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B3-4277-ABE2-4FC3A840EB5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B3-4277-ABE2-4FC3A840EB5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CB3-4277-ABE2-4FC3A840EB5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'239'!$P$2:$S$2</c:f>
              <c:numCache>
                <c:formatCode>#,##0.00</c:formatCode>
                <c:ptCount val="4"/>
                <c:pt idx="0">
                  <c:v>63.930071377099999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B3-4277-ABE2-4FC3A840EB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56-459C-9CD6-9D9E6E445E3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56-459C-9CD6-9D9E6E445E3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56-459C-9CD6-9D9E6E445E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'239'!$T$2:$V$2</c:f>
              <c:numCache>
                <c:formatCode>#,##0.00</c:formatCode>
                <c:ptCount val="3"/>
                <c:pt idx="0">
                  <c:v>63.930071377099999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56-459C-9CD6-9D9E6E445E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900-4DFD-8AA6-13137A21BF6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900-4DFD-8AA6-13137A21BF6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900-4DFD-8AA6-13137A21BF6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900-4DFD-8AA6-13137A21BF6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'240'!$P$2:$S$2</c:f>
              <c:numCache>
                <c:formatCode>#,##0.00</c:formatCode>
                <c:ptCount val="4"/>
                <c:pt idx="0">
                  <c:v>#N/A</c:v>
                </c:pt>
                <c:pt idx="1">
                  <c:v>81.076208041699999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00-4DFD-8AA6-13137A21BF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3E-470C-B905-ECCB35FCE09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3E-470C-B905-ECCB35FCE09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3E-470C-B905-ECCB35FCE09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'240'!$T$2:$V$2</c:f>
              <c:numCache>
                <c:formatCode>#,##0.00</c:formatCode>
                <c:ptCount val="3"/>
                <c:pt idx="0">
                  <c:v>#N/A</c:v>
                </c:pt>
                <c:pt idx="1">
                  <c:v>81.076208041699999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3E-470C-B905-ECCB35FCE0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77-45FC-95A5-5EABD069CEA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77-45FC-95A5-5EABD069CEA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77-45FC-95A5-5EABD069CEA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77-45FC-95A5-5EABD069CEA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'241'!$P$2:$S$2</c:f>
              <c:numCache>
                <c:formatCode>#,##0.00</c:formatCode>
                <c:ptCount val="4"/>
                <c:pt idx="0">
                  <c:v>46.310112592999999</c:v>
                </c:pt>
                <c:pt idx="1">
                  <c:v>14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77-45FC-95A5-5EABD069CE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6C-40FA-8B89-161AE63A8E7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6C-40FA-8B89-161AE63A8E7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6C-40FA-8B89-161AE63A8E7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'241'!$T$2:$V$2</c:f>
              <c:numCache>
                <c:formatCode>#,##0.00</c:formatCode>
                <c:ptCount val="3"/>
                <c:pt idx="0">
                  <c:v>60.310112592999999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6C-40FA-8B89-161AE63A8E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32-4764-AEF3-B42380241F4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32-4764-AEF3-B42380241F4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32-4764-AEF3-B42380241F4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32-4764-AEF3-B42380241F4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'242'!$P$2:$S$2</c:f>
              <c:numCache>
                <c:formatCode>#,##0.00</c:formatCode>
                <c:ptCount val="4"/>
                <c:pt idx="0">
                  <c:v>21.676392598300001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32-4764-AEF3-B42380241F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CF-4903-9FD7-1CC00819F76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CF-4903-9FD7-1CC00819F76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CF-4903-9FD7-1CC00819F76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'242'!$T$2:$V$2</c:f>
              <c:numCache>
                <c:formatCode>#,##0.00</c:formatCode>
                <c:ptCount val="3"/>
                <c:pt idx="0">
                  <c:v>16.272420419700001</c:v>
                </c:pt>
                <c:pt idx="1">
                  <c:v>#N/A</c:v>
                </c:pt>
                <c:pt idx="2">
                  <c:v>5.4039721786000001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CF-4903-9FD7-1CC00819F7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tabSelected="1" workbookViewId="0">
      <pane xSplit="3" ySplit="5" topLeftCell="I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M1" s="1" t="s">
        <v>1</v>
      </c>
    </row>
    <row r="2" spans="1:19" ht="20.100000000000001" customHeight="1" x14ac:dyDescent="0.25">
      <c r="A2" s="36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M2" s="2">
        <f t="shared" ref="M2:S2" si="0">IF(D17=0,NA(),D17)</f>
        <v>441.31856591196998</v>
      </c>
      <c r="N2" s="2">
        <f t="shared" si="0"/>
        <v>134.36019574906999</v>
      </c>
      <c r="O2" s="2">
        <f t="shared" si="0"/>
        <v>1</v>
      </c>
      <c r="P2" s="2" t="e">
        <f t="shared" si="0"/>
        <v>#N/A</v>
      </c>
      <c r="Q2" s="2">
        <f t="shared" si="0"/>
        <v>420.31287830336993</v>
      </c>
      <c r="R2" s="2">
        <f t="shared" si="0"/>
        <v>84.076208041699999</v>
      </c>
      <c r="S2" s="2">
        <f t="shared" si="0"/>
        <v>72.289675315969987</v>
      </c>
    </row>
    <row r="4" spans="1:19" ht="26.1" customHeight="1" x14ac:dyDescent="0.25">
      <c r="A4" s="32" t="s">
        <v>3</v>
      </c>
      <c r="B4" s="32" t="s">
        <v>4</v>
      </c>
      <c r="C4" s="32" t="s">
        <v>5</v>
      </c>
      <c r="D4" s="32" t="s">
        <v>6</v>
      </c>
      <c r="E4" s="33"/>
      <c r="F4" s="33"/>
      <c r="G4" s="34"/>
      <c r="H4" s="32" t="s">
        <v>7</v>
      </c>
      <c r="I4" s="33"/>
      <c r="J4" s="34"/>
      <c r="K4" s="32" t="s">
        <v>8</v>
      </c>
    </row>
    <row r="5" spans="1:19" ht="18" customHeight="1" x14ac:dyDescent="0.25">
      <c r="A5" s="35"/>
      <c r="B5" s="35"/>
      <c r="C5" s="35"/>
      <c r="D5" s="3" t="s">
        <v>9</v>
      </c>
      <c r="E5" s="3" t="s">
        <v>147</v>
      </c>
      <c r="F5" s="3" t="s">
        <v>148</v>
      </c>
      <c r="G5" s="3" t="s">
        <v>149</v>
      </c>
      <c r="H5" s="3" t="s">
        <v>13</v>
      </c>
      <c r="I5" s="3" t="s">
        <v>14</v>
      </c>
      <c r="J5" s="3" t="s">
        <v>15</v>
      </c>
      <c r="K5" s="35"/>
    </row>
    <row r="6" spans="1:19" x14ac:dyDescent="0.25">
      <c r="A6" s="5">
        <v>228</v>
      </c>
      <c r="B6" s="6" t="s">
        <v>16</v>
      </c>
      <c r="C6" s="7">
        <f>'228'!I30</f>
        <v>12.3173480749</v>
      </c>
      <c r="D6" s="7">
        <f>'228'!F27</f>
        <v>0</v>
      </c>
      <c r="E6" s="7">
        <f>'228'!G27</f>
        <v>12.3173480749</v>
      </c>
      <c r="F6" s="7">
        <f>'228'!H27</f>
        <v>0</v>
      </c>
      <c r="G6" s="7">
        <f>'228'!I27</f>
        <v>0</v>
      </c>
      <c r="H6" s="7">
        <f>'228'!J27</f>
        <v>9.3173480748999999</v>
      </c>
      <c r="I6" s="7">
        <f>'228'!K27</f>
        <v>3</v>
      </c>
      <c r="J6" s="7">
        <f>'228'!L27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229</v>
      </c>
      <c r="B7" s="6" t="s">
        <v>17</v>
      </c>
      <c r="C7" s="7">
        <f>'229'!I102</f>
        <v>81.717854452119994</v>
      </c>
      <c r="D7" s="7">
        <f>'229'!F99</f>
        <v>81.717854452119994</v>
      </c>
      <c r="E7" s="7">
        <f>'229'!G99</f>
        <v>0</v>
      </c>
      <c r="F7" s="7">
        <f>'229'!H99</f>
        <v>0</v>
      </c>
      <c r="G7" s="7">
        <f>'229'!I99</f>
        <v>0</v>
      </c>
      <c r="H7" s="7">
        <f>'229'!J99</f>
        <v>81.717854452119994</v>
      </c>
      <c r="I7" s="7">
        <f>'229'!K99</f>
        <v>0</v>
      </c>
      <c r="J7" s="7">
        <f>'229'!L99</f>
        <v>0</v>
      </c>
      <c r="K7" s="5" t="str">
        <f t="shared" si="1"/>
        <v>OK</v>
      </c>
    </row>
    <row r="8" spans="1:19" x14ac:dyDescent="0.25">
      <c r="A8" s="5">
        <v>231</v>
      </c>
      <c r="B8" s="6" t="s">
        <v>18</v>
      </c>
      <c r="C8" s="7">
        <f>'231'!I58</f>
        <v>34.254615762579995</v>
      </c>
      <c r="D8" s="7">
        <f>'231'!F55</f>
        <v>34.254615762579995</v>
      </c>
      <c r="E8" s="7">
        <f>'231'!G55</f>
        <v>0</v>
      </c>
      <c r="F8" s="7">
        <f>'231'!H55</f>
        <v>0</v>
      </c>
      <c r="G8" s="7">
        <f>'231'!I55</f>
        <v>0</v>
      </c>
      <c r="H8" s="7">
        <f>'231'!J55</f>
        <v>34.254615762579995</v>
      </c>
      <c r="I8" s="7">
        <f>'231'!K55</f>
        <v>0</v>
      </c>
      <c r="J8" s="7">
        <f>'231'!L55</f>
        <v>0</v>
      </c>
      <c r="K8" s="5" t="str">
        <f t="shared" si="1"/>
        <v>OK</v>
      </c>
    </row>
    <row r="9" spans="1:19" x14ac:dyDescent="0.25">
      <c r="A9" s="5">
        <v>232</v>
      </c>
      <c r="B9" s="6" t="s">
        <v>19</v>
      </c>
      <c r="C9" s="7">
        <f>'232'!I109</f>
        <v>87.831044979669983</v>
      </c>
      <c r="D9" s="7">
        <f>'232'!F106</f>
        <v>87.831044979669983</v>
      </c>
      <c r="E9" s="7">
        <f>'232'!G106</f>
        <v>0</v>
      </c>
      <c r="F9" s="7">
        <f>'232'!H106</f>
        <v>0</v>
      </c>
      <c r="G9" s="7">
        <f>'232'!I106</f>
        <v>0</v>
      </c>
      <c r="H9" s="7">
        <f>'232'!J106</f>
        <v>20.9453418423</v>
      </c>
      <c r="I9" s="7">
        <f>'232'!K106</f>
        <v>0</v>
      </c>
      <c r="J9" s="7">
        <f>'232'!L106</f>
        <v>66.885703137369987</v>
      </c>
      <c r="K9" s="5" t="str">
        <f t="shared" si="1"/>
        <v>OK</v>
      </c>
    </row>
    <row r="10" spans="1:19" x14ac:dyDescent="0.25">
      <c r="A10" s="5">
        <v>236</v>
      </c>
      <c r="B10" s="6" t="s">
        <v>20</v>
      </c>
      <c r="C10" s="7">
        <f>'236'!I55</f>
        <v>33.966639632469999</v>
      </c>
      <c r="D10" s="7">
        <f>'236'!F52</f>
        <v>6</v>
      </c>
      <c r="E10" s="7">
        <f>'236'!G52</f>
        <v>26.966639632470002</v>
      </c>
      <c r="F10" s="7">
        <f>'236'!H52</f>
        <v>1</v>
      </c>
      <c r="G10" s="7">
        <f>'236'!I52</f>
        <v>0</v>
      </c>
      <c r="H10" s="7">
        <f>'236'!J52</f>
        <v>33.966639632469999</v>
      </c>
      <c r="I10" s="7">
        <f>'236'!K52</f>
        <v>0</v>
      </c>
      <c r="J10" s="7">
        <f>'236'!L52</f>
        <v>0</v>
      </c>
      <c r="K10" s="5" t="str">
        <f t="shared" si="1"/>
        <v>OK</v>
      </c>
    </row>
    <row r="11" spans="1:19" x14ac:dyDescent="0.25">
      <c r="A11" s="5">
        <v>237</v>
      </c>
      <c r="B11" s="6" t="s">
        <v>21</v>
      </c>
      <c r="C11" s="7">
        <f>'237'!I44</f>
        <v>26.043992977599999</v>
      </c>
      <c r="D11" s="7">
        <f>'237'!F41</f>
        <v>26.043992977599999</v>
      </c>
      <c r="E11" s="7">
        <f>'237'!G41</f>
        <v>0</v>
      </c>
      <c r="F11" s="7">
        <f>'237'!H41</f>
        <v>0</v>
      </c>
      <c r="G11" s="7">
        <f>'237'!I41</f>
        <v>0</v>
      </c>
      <c r="H11" s="7">
        <f>'237'!J41</f>
        <v>26.043992977599999</v>
      </c>
      <c r="I11" s="7">
        <f>'237'!K41</f>
        <v>0</v>
      </c>
      <c r="J11" s="7">
        <f>'237'!L41</f>
        <v>0</v>
      </c>
      <c r="K11" s="5" t="str">
        <f t="shared" si="1"/>
        <v>OK</v>
      </c>
    </row>
    <row r="12" spans="1:19" x14ac:dyDescent="0.25">
      <c r="A12" s="5">
        <v>238</v>
      </c>
      <c r="B12" s="6" t="s">
        <v>22</v>
      </c>
      <c r="C12" s="7">
        <f>'238'!I94</f>
        <v>73.554481171600003</v>
      </c>
      <c r="D12" s="7">
        <f>'238'!F91</f>
        <v>73.554481171600003</v>
      </c>
      <c r="E12" s="7">
        <f>'238'!G91</f>
        <v>0</v>
      </c>
      <c r="F12" s="7">
        <f>'238'!H91</f>
        <v>0</v>
      </c>
      <c r="G12" s="7">
        <f>'238'!I91</f>
        <v>0</v>
      </c>
      <c r="H12" s="7">
        <f>'238'!J91</f>
        <v>73.554481171600003</v>
      </c>
      <c r="I12" s="7">
        <f>'238'!K91</f>
        <v>0</v>
      </c>
      <c r="J12" s="7">
        <f>'238'!L91</f>
        <v>0</v>
      </c>
      <c r="K12" s="5" t="str">
        <f t="shared" si="1"/>
        <v>OK</v>
      </c>
    </row>
    <row r="13" spans="1:19" x14ac:dyDescent="0.25">
      <c r="A13" s="5">
        <v>239</v>
      </c>
      <c r="B13" s="6" t="s">
        <v>23</v>
      </c>
      <c r="C13" s="7">
        <f>'239'!I81</f>
        <v>63.930071377099999</v>
      </c>
      <c r="D13" s="7">
        <f>'239'!F78</f>
        <v>63.930071377099999</v>
      </c>
      <c r="E13" s="7">
        <f>'239'!G78</f>
        <v>0</v>
      </c>
      <c r="F13" s="7">
        <f>'239'!H78</f>
        <v>0</v>
      </c>
      <c r="G13" s="7">
        <f>'239'!I78</f>
        <v>0</v>
      </c>
      <c r="H13" s="7">
        <f>'239'!J78</f>
        <v>63.930071377099999</v>
      </c>
      <c r="I13" s="7">
        <f>'239'!K78</f>
        <v>0</v>
      </c>
      <c r="J13" s="7">
        <f>'239'!L78</f>
        <v>0</v>
      </c>
      <c r="K13" s="5" t="str">
        <f t="shared" si="1"/>
        <v>OK</v>
      </c>
    </row>
    <row r="14" spans="1:19" x14ac:dyDescent="0.25">
      <c r="A14" s="5">
        <v>240</v>
      </c>
      <c r="B14" s="6" t="s">
        <v>24</v>
      </c>
      <c r="C14" s="7">
        <f>'240'!I100</f>
        <v>81.076208041699999</v>
      </c>
      <c r="D14" s="7">
        <f>'240'!F97</f>
        <v>0</v>
      </c>
      <c r="E14" s="7">
        <f>'240'!G97</f>
        <v>81.076208041699999</v>
      </c>
      <c r="F14" s="7">
        <f>'240'!H97</f>
        <v>0</v>
      </c>
      <c r="G14" s="7">
        <f>'240'!I97</f>
        <v>0</v>
      </c>
      <c r="H14" s="7">
        <f>'240'!J97</f>
        <v>0</v>
      </c>
      <c r="I14" s="7">
        <f>'240'!K97</f>
        <v>81.076208041699999</v>
      </c>
      <c r="J14" s="7">
        <f>'240'!L97</f>
        <v>0</v>
      </c>
      <c r="K14" s="5" t="str">
        <f t="shared" si="1"/>
        <v>OK</v>
      </c>
    </row>
    <row r="15" spans="1:19" x14ac:dyDescent="0.25">
      <c r="A15" s="5">
        <v>241</v>
      </c>
      <c r="B15" s="6" t="s">
        <v>25</v>
      </c>
      <c r="C15" s="7">
        <f>'241'!I78</f>
        <v>60.310112592999999</v>
      </c>
      <c r="D15" s="7">
        <f>'241'!F75</f>
        <v>46.310112592999999</v>
      </c>
      <c r="E15" s="7">
        <f>'241'!G75</f>
        <v>14</v>
      </c>
      <c r="F15" s="7">
        <f>'241'!H75</f>
        <v>0</v>
      </c>
      <c r="G15" s="7">
        <f>'241'!I75</f>
        <v>0</v>
      </c>
      <c r="H15" s="7">
        <f>'241'!J75</f>
        <v>60.310112592999999</v>
      </c>
      <c r="I15" s="7">
        <f>'241'!K75</f>
        <v>0</v>
      </c>
      <c r="J15" s="7">
        <f>'241'!L75</f>
        <v>0</v>
      </c>
      <c r="K15" s="5" t="str">
        <f t="shared" si="1"/>
        <v>OK</v>
      </c>
    </row>
    <row r="16" spans="1:19" x14ac:dyDescent="0.25">
      <c r="A16" s="5">
        <v>242</v>
      </c>
      <c r="B16" s="6" t="s">
        <v>26</v>
      </c>
      <c r="C16" s="7">
        <f>'242'!I41</f>
        <v>21.676392598300001</v>
      </c>
      <c r="D16" s="7">
        <f>'242'!F38</f>
        <v>21.676392598300001</v>
      </c>
      <c r="E16" s="7">
        <f>'242'!G38</f>
        <v>0</v>
      </c>
      <c r="F16" s="7">
        <f>'242'!H38</f>
        <v>0</v>
      </c>
      <c r="G16" s="7">
        <f>'242'!I38</f>
        <v>0</v>
      </c>
      <c r="H16" s="7">
        <f>'242'!J38</f>
        <v>16.272420419700001</v>
      </c>
      <c r="I16" s="7">
        <f>'242'!K38</f>
        <v>0</v>
      </c>
      <c r="J16" s="7">
        <f>'242'!L38</f>
        <v>5.4039721786000001</v>
      </c>
      <c r="K16" s="5" t="str">
        <f t="shared" si="1"/>
        <v>OK</v>
      </c>
    </row>
    <row r="17" spans="2:10" x14ac:dyDescent="0.25">
      <c r="B17" s="8" t="s">
        <v>27</v>
      </c>
      <c r="C17" s="9">
        <f t="shared" ref="C17:J17" si="2">SUM(C6:C16)</f>
        <v>576.67876166103997</v>
      </c>
      <c r="D17" s="9">
        <f t="shared" si="2"/>
        <v>441.31856591196998</v>
      </c>
      <c r="E17" s="9">
        <f t="shared" si="2"/>
        <v>134.36019574906999</v>
      </c>
      <c r="F17" s="9">
        <f t="shared" si="2"/>
        <v>1</v>
      </c>
      <c r="G17" s="9">
        <f t="shared" si="2"/>
        <v>0</v>
      </c>
      <c r="H17" s="9">
        <f t="shared" si="2"/>
        <v>420.31287830336993</v>
      </c>
      <c r="I17" s="9">
        <f t="shared" si="2"/>
        <v>84.076208041699999</v>
      </c>
      <c r="J17" s="9">
        <f t="shared" si="2"/>
        <v>72.289675315969987</v>
      </c>
    </row>
    <row r="18" spans="2:10" x14ac:dyDescent="0.25">
      <c r="B18" s="8" t="s">
        <v>28</v>
      </c>
      <c r="D18" s="10">
        <f>SUM(D17:G17)/576.68</f>
        <v>0.99999785264104879</v>
      </c>
      <c r="H18" s="11" t="s">
        <v>29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J13" sqref="J13:J2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 t="e">
        <f t="shared" ref="P2:V2" si="0">IF(F27=0,NA(),F27)</f>
        <v>#N/A</v>
      </c>
      <c r="Q2" s="2">
        <f t="shared" si="0"/>
        <v>12.3173480749</v>
      </c>
      <c r="R2" s="2" t="e">
        <f t="shared" si="0"/>
        <v>#N/A</v>
      </c>
      <c r="S2" s="2" t="e">
        <f t="shared" si="0"/>
        <v>#N/A</v>
      </c>
      <c r="T2" s="2">
        <f t="shared" si="0"/>
        <v>9.3173480748999999</v>
      </c>
      <c r="U2" s="2">
        <f t="shared" si="0"/>
        <v>3</v>
      </c>
      <c r="V2" s="2" t="e">
        <f t="shared" si="0"/>
        <v>#N/A</v>
      </c>
    </row>
    <row r="3" spans="1:22" ht="15" customHeight="1" x14ac:dyDescent="0.25">
      <c r="A3" s="50" t="s">
        <v>35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36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45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46</v>
      </c>
      <c r="B9" s="15" t="s">
        <v>47</v>
      </c>
      <c r="C9" s="16">
        <v>0</v>
      </c>
      <c r="D9" s="16">
        <v>1</v>
      </c>
      <c r="E9" s="16">
        <f t="shared" ref="E9:E21" si="1">D9-C9</f>
        <v>1</v>
      </c>
      <c r="F9" s="17"/>
      <c r="G9" s="17" t="s">
        <v>146</v>
      </c>
      <c r="H9" s="17"/>
      <c r="I9" s="17"/>
      <c r="J9" s="17" t="s">
        <v>146</v>
      </c>
      <c r="K9" s="17"/>
      <c r="L9" s="17"/>
      <c r="M9" s="18"/>
      <c r="N9" s="19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46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146</v>
      </c>
      <c r="H10" s="17"/>
      <c r="I10" s="17"/>
      <c r="J10" s="17"/>
      <c r="K10" s="17" t="s">
        <v>146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46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146</v>
      </c>
      <c r="H11" s="17"/>
      <c r="I11" s="17"/>
      <c r="J11" s="17"/>
      <c r="K11" s="17" t="s">
        <v>146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46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146</v>
      </c>
      <c r="H12" s="17"/>
      <c r="I12" s="17"/>
      <c r="J12" s="17"/>
      <c r="K12" s="17" t="s">
        <v>146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46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146</v>
      </c>
      <c r="H13" s="17"/>
      <c r="I13" s="17"/>
      <c r="J13" s="17" t="s">
        <v>146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46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146</v>
      </c>
      <c r="H14" s="17"/>
      <c r="I14" s="17"/>
      <c r="J14" s="17" t="s">
        <v>146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46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146</v>
      </c>
      <c r="H15" s="17"/>
      <c r="I15" s="17"/>
      <c r="J15" s="17" t="s">
        <v>146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46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146</v>
      </c>
      <c r="H16" s="17"/>
      <c r="I16" s="17"/>
      <c r="J16" s="17" t="s">
        <v>146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46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146</v>
      </c>
      <c r="H17" s="17"/>
      <c r="I17" s="17"/>
      <c r="J17" s="17" t="s">
        <v>146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46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146</v>
      </c>
      <c r="H18" s="17"/>
      <c r="I18" s="17"/>
      <c r="J18" s="17" t="s">
        <v>146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46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146</v>
      </c>
      <c r="H19" s="17"/>
      <c r="I19" s="17"/>
      <c r="J19" s="17" t="s">
        <v>146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46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146</v>
      </c>
      <c r="H20" s="17"/>
      <c r="I20" s="17"/>
      <c r="J20" s="17" t="s">
        <v>146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20" t="s">
        <v>46</v>
      </c>
      <c r="B21" s="21" t="s">
        <v>47</v>
      </c>
      <c r="C21" s="22">
        <v>12</v>
      </c>
      <c r="D21" s="22">
        <v>12.3173480749</v>
      </c>
      <c r="E21" s="22">
        <f t="shared" si="1"/>
        <v>0.31734807489999994</v>
      </c>
      <c r="F21" s="23"/>
      <c r="G21" s="17" t="s">
        <v>146</v>
      </c>
      <c r="H21" s="23"/>
      <c r="I21" s="23"/>
      <c r="J21" s="17" t="s">
        <v>146</v>
      </c>
      <c r="K21" s="23"/>
      <c r="L21" s="23"/>
      <c r="M21" s="24"/>
      <c r="N21" s="25" t="str">
        <f t="shared" si="2"/>
        <v>OK</v>
      </c>
    </row>
    <row r="23" spans="1:14" x14ac:dyDescent="0.25">
      <c r="A23" s="46" t="s">
        <v>48</v>
      </c>
      <c r="B23" s="31"/>
      <c r="C23" s="31"/>
      <c r="D23" s="31"/>
      <c r="E23" s="31"/>
      <c r="G23" s="46" t="s">
        <v>48</v>
      </c>
      <c r="H23" s="31"/>
      <c r="I23" s="31"/>
      <c r="J23" s="31"/>
      <c r="K23" s="31"/>
    </row>
    <row r="24" spans="1:14" x14ac:dyDescent="0.25">
      <c r="A24" s="45" t="s">
        <v>49</v>
      </c>
      <c r="B24" s="31"/>
      <c r="C24" s="31"/>
      <c r="D24" s="31"/>
      <c r="E24" s="31"/>
      <c r="G24" s="45" t="s">
        <v>50</v>
      </c>
      <c r="H24" s="31"/>
      <c r="I24" s="31"/>
      <c r="J24" s="31"/>
      <c r="K24" s="31"/>
    </row>
    <row r="26" spans="1:14" x14ac:dyDescent="0.25">
      <c r="A26" s="43" t="s">
        <v>51</v>
      </c>
      <c r="B26" s="31"/>
      <c r="C26" s="31"/>
      <c r="D26" s="31"/>
      <c r="E26" s="31"/>
      <c r="F26" s="26"/>
      <c r="G26" s="26"/>
      <c r="H26" s="26"/>
      <c r="I26" s="26"/>
      <c r="J26" s="26"/>
      <c r="K26" s="26"/>
      <c r="L26" s="26"/>
      <c r="M26" s="26"/>
    </row>
    <row r="27" spans="1:14" x14ac:dyDescent="0.25">
      <c r="A27" s="47" t="s">
        <v>52</v>
      </c>
      <c r="B27" s="31"/>
      <c r="C27" s="31"/>
      <c r="D27" s="31"/>
      <c r="E27" s="31"/>
      <c r="F27" s="9">
        <f t="shared" ref="F27:L27" si="3">SUMIF(F$9:F$21,"X",$E$9:$E$21)</f>
        <v>0</v>
      </c>
      <c r="G27" s="9">
        <f t="shared" si="3"/>
        <v>12.3173480749</v>
      </c>
      <c r="H27" s="9">
        <f t="shared" si="3"/>
        <v>0</v>
      </c>
      <c r="I27" s="9">
        <f t="shared" si="3"/>
        <v>0</v>
      </c>
      <c r="J27" s="9">
        <f t="shared" si="3"/>
        <v>9.3173480748999999</v>
      </c>
      <c r="K27" s="9">
        <f t="shared" si="3"/>
        <v>3</v>
      </c>
      <c r="L27" s="9">
        <f t="shared" si="3"/>
        <v>0</v>
      </c>
    </row>
    <row r="28" spans="1:14" x14ac:dyDescent="0.25">
      <c r="A28" s="47" t="s">
        <v>53</v>
      </c>
      <c r="B28" s="31"/>
      <c r="C28" s="31"/>
      <c r="D28" s="31"/>
      <c r="E28" s="31"/>
      <c r="F28" s="27">
        <f t="shared" ref="F28:L28" si="4">IF($I30=0,0,F27/$I30)</f>
        <v>0</v>
      </c>
      <c r="G28" s="27">
        <f t="shared" si="4"/>
        <v>1</v>
      </c>
      <c r="H28" s="27">
        <f t="shared" si="4"/>
        <v>0</v>
      </c>
      <c r="I28" s="27">
        <f t="shared" si="4"/>
        <v>0</v>
      </c>
      <c r="J28" s="27">
        <f t="shared" si="4"/>
        <v>0.75644107954427875</v>
      </c>
      <c r="K28" s="27">
        <f t="shared" si="4"/>
        <v>0.24355892045572122</v>
      </c>
      <c r="L28" s="27">
        <f t="shared" si="4"/>
        <v>0</v>
      </c>
    </row>
    <row r="29" spans="1:14" x14ac:dyDescent="0.25">
      <c r="A29" s="47" t="s">
        <v>54</v>
      </c>
      <c r="B29" s="31"/>
      <c r="C29" s="31"/>
      <c r="D29" s="31"/>
      <c r="E29" s="31"/>
      <c r="F29" s="49" t="str">
        <f>IF(SUM(F27:I27)=0,"— não preenchido",IF(ROUND(SUM(F27:I27)-$I30,3)=0,"OK — "&amp;ROUND(SUM(F27:I27),3)&amp;" km","ERRO — dif. de "&amp;ROUND(SUM(F27:I27)-$I30,3)&amp;" km"))</f>
        <v>OK — 12,317 km</v>
      </c>
      <c r="G29" s="33"/>
      <c r="H29" s="33"/>
      <c r="I29" s="34"/>
      <c r="J29" s="49" t="str">
        <f>IF(SUM(J27:L27)=0,"— não preenchido",IF(ROUND(SUM(J27:L27)-$I30,3)=0,"OK — "&amp;ROUND(SUM(J27:L27),3)&amp;" km","ERRO — dif. de "&amp;ROUND(SUM(J27:L27)-$I30,3)&amp;" km"))</f>
        <v>OK — 12,317 km</v>
      </c>
      <c r="K29" s="33"/>
      <c r="L29" s="34"/>
    </row>
    <row r="30" spans="1:14" x14ac:dyDescent="0.25">
      <c r="A30" s="47" t="s">
        <v>55</v>
      </c>
      <c r="B30" s="31"/>
      <c r="C30" s="31"/>
      <c r="D30" s="31"/>
      <c r="E30" s="31"/>
      <c r="I30" s="28">
        <f>SUM(E9:E21)</f>
        <v>12.3173480749</v>
      </c>
      <c r="M30" s="8" t="str">
        <f>COUNTIF(N9:N21,"OK")&amp;" de "&amp;COUNT($E$9:$E$21)&amp;" linhas conferidas"</f>
        <v>13 de 13 linhas conferidas</v>
      </c>
    </row>
    <row r="32" spans="1:14" x14ac:dyDescent="0.25">
      <c r="A32" s="48" t="s">
        <v>56</v>
      </c>
      <c r="B32" s="31"/>
      <c r="C32" s="31"/>
      <c r="D32" s="31"/>
      <c r="E32" s="31"/>
    </row>
    <row r="33" spans="1:13" x14ac:dyDescent="0.25">
      <c r="A33" s="47" t="s">
        <v>10</v>
      </c>
      <c r="B33" s="31"/>
      <c r="C33" s="31"/>
      <c r="D33" s="31"/>
      <c r="E33" s="44" t="s">
        <v>57</v>
      </c>
      <c r="F33" s="31"/>
      <c r="G33" s="31"/>
      <c r="H33" s="31"/>
      <c r="I33" s="31"/>
      <c r="J33" s="31"/>
      <c r="K33" s="31"/>
      <c r="L33" s="31"/>
      <c r="M33" s="31"/>
    </row>
    <row r="34" spans="1:13" x14ac:dyDescent="0.25">
      <c r="A34" s="47" t="s">
        <v>11</v>
      </c>
      <c r="B34" s="31"/>
      <c r="C34" s="31"/>
      <c r="D34" s="31"/>
      <c r="E34" s="44" t="s">
        <v>58</v>
      </c>
      <c r="F34" s="31"/>
      <c r="G34" s="31"/>
      <c r="H34" s="31"/>
      <c r="I34" s="31"/>
      <c r="J34" s="31"/>
      <c r="K34" s="31"/>
      <c r="L34" s="31"/>
      <c r="M34" s="31"/>
    </row>
    <row r="35" spans="1:13" x14ac:dyDescent="0.25">
      <c r="A35" s="47" t="s">
        <v>12</v>
      </c>
      <c r="B35" s="31"/>
      <c r="C35" s="31"/>
      <c r="D35" s="31"/>
      <c r="E35" s="44" t="s">
        <v>59</v>
      </c>
      <c r="F35" s="31"/>
      <c r="G35" s="31"/>
      <c r="H35" s="31"/>
      <c r="I35" s="31"/>
      <c r="J35" s="31"/>
      <c r="K35" s="31"/>
      <c r="L35" s="31"/>
      <c r="M35" s="31"/>
    </row>
    <row r="36" spans="1:13" x14ac:dyDescent="0.25">
      <c r="A36" s="47" t="s">
        <v>60</v>
      </c>
      <c r="B36" s="31"/>
      <c r="C36" s="31"/>
      <c r="D36" s="31"/>
      <c r="E36" s="44" t="s">
        <v>61</v>
      </c>
      <c r="F36" s="31"/>
      <c r="G36" s="31"/>
      <c r="H36" s="31"/>
      <c r="I36" s="31"/>
      <c r="J36" s="31"/>
      <c r="K36" s="31"/>
      <c r="L36" s="31"/>
      <c r="M36" s="31"/>
    </row>
    <row r="37" spans="1:13" x14ac:dyDescent="0.25">
      <c r="A37" s="47" t="s">
        <v>62</v>
      </c>
      <c r="B37" s="31"/>
      <c r="C37" s="31"/>
      <c r="D37" s="31"/>
      <c r="E37" s="44" t="s">
        <v>63</v>
      </c>
      <c r="F37" s="31"/>
      <c r="G37" s="31"/>
      <c r="H37" s="31"/>
      <c r="I37" s="31"/>
      <c r="J37" s="31"/>
      <c r="K37" s="31"/>
      <c r="L37" s="31"/>
      <c r="M37" s="31"/>
    </row>
    <row r="38" spans="1:13" x14ac:dyDescent="0.25">
      <c r="A38" s="47" t="s">
        <v>64</v>
      </c>
      <c r="B38" s="31"/>
      <c r="C38" s="31"/>
      <c r="D38" s="31"/>
      <c r="E38" s="44" t="s">
        <v>65</v>
      </c>
      <c r="F38" s="31"/>
      <c r="G38" s="31"/>
      <c r="H38" s="31"/>
      <c r="I38" s="31"/>
      <c r="J38" s="31"/>
      <c r="K38" s="31"/>
      <c r="L38" s="31"/>
      <c r="M38" s="31"/>
    </row>
    <row r="39" spans="1:13" x14ac:dyDescent="0.25">
      <c r="A39" s="47" t="s">
        <v>39</v>
      </c>
      <c r="B39" s="31"/>
      <c r="C39" s="31"/>
      <c r="D39" s="31"/>
      <c r="E39" s="44" t="s">
        <v>66</v>
      </c>
      <c r="F39" s="31"/>
      <c r="G39" s="31"/>
      <c r="H39" s="31"/>
      <c r="I39" s="31"/>
      <c r="J39" s="31"/>
      <c r="K39" s="31"/>
      <c r="L39" s="31"/>
      <c r="M39" s="31"/>
    </row>
    <row r="40" spans="1:13" x14ac:dyDescent="0.25">
      <c r="A40" s="47" t="s">
        <v>67</v>
      </c>
      <c r="B40" s="31"/>
      <c r="C40" s="31"/>
      <c r="D40" s="31"/>
      <c r="E40" s="44" t="s">
        <v>68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47" t="s">
        <v>69</v>
      </c>
      <c r="B41" s="31"/>
      <c r="C41" s="31"/>
      <c r="D41" s="31"/>
      <c r="E41" s="44" t="s">
        <v>70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47" t="s">
        <v>8</v>
      </c>
      <c r="B42" s="31"/>
      <c r="C42" s="31"/>
      <c r="D42" s="31"/>
      <c r="E42" s="44" t="s">
        <v>71</v>
      </c>
      <c r="F42" s="31"/>
      <c r="G42" s="31"/>
      <c r="H42" s="31"/>
      <c r="I42" s="31"/>
      <c r="J42" s="31"/>
      <c r="K42" s="31"/>
      <c r="L42" s="31"/>
      <c r="M42" s="31"/>
    </row>
  </sheetData>
  <sheetProtection formatCells="0"/>
  <mergeCells count="50">
    <mergeCell ref="E42:M42"/>
    <mergeCell ref="A28:E28"/>
    <mergeCell ref="A3:J3"/>
    <mergeCell ref="E39:M39"/>
    <mergeCell ref="C6:C7"/>
    <mergeCell ref="A33:D33"/>
    <mergeCell ref="D6:D7"/>
    <mergeCell ref="A42:D42"/>
    <mergeCell ref="E35:M35"/>
    <mergeCell ref="E38:M38"/>
    <mergeCell ref="J6:L6"/>
    <mergeCell ref="A24:E24"/>
    <mergeCell ref="N6:N7"/>
    <mergeCell ref="A32:E32"/>
    <mergeCell ref="K3:M3"/>
    <mergeCell ref="A41:D41"/>
    <mergeCell ref="J29:L29"/>
    <mergeCell ref="A37:D37"/>
    <mergeCell ref="A29:E29"/>
    <mergeCell ref="E33:M33"/>
    <mergeCell ref="A36:D36"/>
    <mergeCell ref="A39:D39"/>
    <mergeCell ref="M6:M7"/>
    <mergeCell ref="F29:I29"/>
    <mergeCell ref="E6:E7"/>
    <mergeCell ref="B6:B7"/>
    <mergeCell ref="A27:E27"/>
    <mergeCell ref="A30:E30"/>
    <mergeCell ref="A1:M1"/>
    <mergeCell ref="A26:E26"/>
    <mergeCell ref="E41:M41"/>
    <mergeCell ref="G24:K24"/>
    <mergeCell ref="E37:M37"/>
    <mergeCell ref="A23:E23"/>
    <mergeCell ref="A35:D35"/>
    <mergeCell ref="A38:D38"/>
    <mergeCell ref="A4:M4"/>
    <mergeCell ref="E40:M40"/>
    <mergeCell ref="A6:A7"/>
    <mergeCell ref="G23:K23"/>
    <mergeCell ref="E34:M34"/>
    <mergeCell ref="A40:D40"/>
    <mergeCell ref="A34:D34"/>
    <mergeCell ref="E36:M36"/>
    <mergeCell ref="G2:H2"/>
    <mergeCell ref="A8:M8"/>
    <mergeCell ref="A2:C2"/>
    <mergeCell ref="K2:M2"/>
    <mergeCell ref="D2:E2"/>
    <mergeCell ref="F6:I6"/>
  </mergeCells>
  <conditionalFormatting sqref="F9:I21">
    <cfRule type="expression" dxfId="65" priority="1">
      <formula>AND(F9&lt;&gt;"",COUNTIF($F9:$I9,"X")&gt;1)</formula>
    </cfRule>
  </conditionalFormatting>
  <conditionalFormatting sqref="F29:L29">
    <cfRule type="expression" dxfId="64" priority="5">
      <formula>LEFT(F29,4)="ERRO"</formula>
    </cfRule>
    <cfRule type="expression" dxfId="63" priority="6">
      <formula>LEFT(F29,2)="OK"</formula>
    </cfRule>
  </conditionalFormatting>
  <conditionalFormatting sqref="J9:L21">
    <cfRule type="expression" dxfId="62" priority="2">
      <formula>AND(J9&lt;&gt;"",COUNTIF($J9:$L9,"X")&gt;1)</formula>
    </cfRule>
  </conditionalFormatting>
  <conditionalFormatting sqref="N9:N21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1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1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21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228</oddHeader>
    <oddFooter>&amp;L&amp;7 RTA / MSI — Programa de Manutenção Rodoviária&amp;C&amp;7 Página &amp;P de &amp;N&amp;R&amp;7 Impresso em &amp;D</oddFooter>
  </headerFooter>
  <rowBreaks count="1" manualBreakCount="1">
    <brk id="24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14"/>
  <sheetViews>
    <sheetView showGridLines="0" workbookViewId="0">
      <pane xSplit="5" ySplit="7" topLeftCell="F71" activePane="bottomRight" state="frozen"/>
      <selection pane="topRight"/>
      <selection pane="bottomLeft"/>
      <selection pane="bottomRight" activeCell="H85" sqref="H8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IF(F99=0,NA(),F99)</f>
        <v>81.717854452119994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81.717854452119994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72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73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74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75</v>
      </c>
      <c r="B9" s="15" t="s">
        <v>47</v>
      </c>
      <c r="C9" s="16">
        <v>0</v>
      </c>
      <c r="D9" s="16">
        <v>1</v>
      </c>
      <c r="E9" s="16">
        <f t="shared" ref="E9:E31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75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75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75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75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75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75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75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75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75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75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75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75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75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75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75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75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75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75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75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75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75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20" t="s">
        <v>75</v>
      </c>
      <c r="B31" s="21" t="s">
        <v>47</v>
      </c>
      <c r="C31" s="22">
        <v>22</v>
      </c>
      <c r="D31" s="22">
        <v>22.432306739400001</v>
      </c>
      <c r="E31" s="22">
        <f t="shared" si="1"/>
        <v>0.43230673940000131</v>
      </c>
      <c r="F31" s="23" t="s">
        <v>76</v>
      </c>
      <c r="G31" s="23"/>
      <c r="H31" s="23"/>
      <c r="I31" s="23"/>
      <c r="J31" s="23" t="s">
        <v>76</v>
      </c>
      <c r="K31" s="23"/>
      <c r="L31" s="23"/>
      <c r="M31" s="24"/>
      <c r="N31" s="25" t="str">
        <f t="shared" si="2"/>
        <v>OK</v>
      </c>
    </row>
    <row r="32" spans="1:14" ht="15.95" customHeight="1" x14ac:dyDescent="0.25">
      <c r="A32" s="38" t="s">
        <v>77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4"/>
      <c r="N32" s="4"/>
    </row>
    <row r="33" spans="1:14" ht="20.100000000000001" customHeight="1" x14ac:dyDescent="0.25">
      <c r="A33" s="14" t="s">
        <v>78</v>
      </c>
      <c r="B33" s="15" t="s">
        <v>47</v>
      </c>
      <c r="C33" s="16">
        <v>0</v>
      </c>
      <c r="D33" s="16">
        <v>1</v>
      </c>
      <c r="E33" s="16">
        <f t="shared" ref="E33:E40" si="3">D33-C33</f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ref="N33:N40" si="4">IF(COUNTA(F33:L33)=0,"— não preenchido",IF(COUNTIF(F33:I33,"X")&lt;&gt;1,"FALTA/DUPLA: CONDIÇÃO DA PLATAFORMA",IF(COUNTIF(J33:L33,"X")&lt;&gt;1,"FALTA/DUPLA: DRENAGEM SUPERFICIAL","OK")))</f>
        <v>OK</v>
      </c>
    </row>
    <row r="34" spans="1:14" ht="20.100000000000001" customHeight="1" x14ac:dyDescent="0.25">
      <c r="A34" s="14" t="s">
        <v>78</v>
      </c>
      <c r="B34" s="15" t="s">
        <v>47</v>
      </c>
      <c r="C34" s="16">
        <v>1</v>
      </c>
      <c r="D34" s="16">
        <v>2</v>
      </c>
      <c r="E34" s="16">
        <f t="shared" si="3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78</v>
      </c>
      <c r="B35" s="15" t="s">
        <v>47</v>
      </c>
      <c r="C35" s="16">
        <v>2</v>
      </c>
      <c r="D35" s="16">
        <v>3</v>
      </c>
      <c r="E35" s="16">
        <f t="shared" si="3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78</v>
      </c>
      <c r="B36" s="15" t="s">
        <v>47</v>
      </c>
      <c r="C36" s="16">
        <v>3</v>
      </c>
      <c r="D36" s="16">
        <v>4</v>
      </c>
      <c r="E36" s="16">
        <f t="shared" si="3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78</v>
      </c>
      <c r="B37" s="15" t="s">
        <v>47</v>
      </c>
      <c r="C37" s="16">
        <v>4</v>
      </c>
      <c r="D37" s="16">
        <v>5</v>
      </c>
      <c r="E37" s="16">
        <f t="shared" si="3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78</v>
      </c>
      <c r="B38" s="15" t="s">
        <v>47</v>
      </c>
      <c r="C38" s="16">
        <v>5</v>
      </c>
      <c r="D38" s="16">
        <v>6</v>
      </c>
      <c r="E38" s="16">
        <f t="shared" si="3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78</v>
      </c>
      <c r="B39" s="15" t="s">
        <v>47</v>
      </c>
      <c r="C39" s="16">
        <v>6</v>
      </c>
      <c r="D39" s="16">
        <v>7</v>
      </c>
      <c r="E39" s="16">
        <f t="shared" si="3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4"/>
        <v>OK</v>
      </c>
    </row>
    <row r="40" spans="1:14" ht="20.100000000000001" customHeight="1" x14ac:dyDescent="0.25">
      <c r="A40" s="20" t="s">
        <v>78</v>
      </c>
      <c r="B40" s="21" t="s">
        <v>47</v>
      </c>
      <c r="C40" s="22">
        <v>7</v>
      </c>
      <c r="D40" s="22">
        <v>7.6576127770199998</v>
      </c>
      <c r="E40" s="22">
        <f t="shared" si="3"/>
        <v>0.65761277701999976</v>
      </c>
      <c r="F40" s="23" t="s">
        <v>76</v>
      </c>
      <c r="G40" s="23"/>
      <c r="H40" s="23"/>
      <c r="I40" s="23"/>
      <c r="J40" s="23" t="s">
        <v>76</v>
      </c>
      <c r="K40" s="23"/>
      <c r="L40" s="23"/>
      <c r="M40" s="24"/>
      <c r="N40" s="25" t="str">
        <f t="shared" si="4"/>
        <v>OK</v>
      </c>
    </row>
    <row r="41" spans="1:14" ht="15.95" customHeight="1" x14ac:dyDescent="0.25">
      <c r="A41" s="38" t="s">
        <v>79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4"/>
      <c r="N41" s="4"/>
    </row>
    <row r="42" spans="1:14" ht="20.100000000000001" customHeight="1" x14ac:dyDescent="0.25">
      <c r="A42" s="14" t="s">
        <v>80</v>
      </c>
      <c r="B42" s="15" t="s">
        <v>47</v>
      </c>
      <c r="C42" s="16">
        <v>0</v>
      </c>
      <c r="D42" s="16">
        <v>1</v>
      </c>
      <c r="E42" s="16">
        <f t="shared" ref="E42:E73" si="5">D42-C42</f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ref="N42:N73" si="6">IF(COUNTA(F42:L42)=0,"— não preenchido",IF(COUNTIF(F42:I42,"X")&lt;&gt;1,"FALTA/DUPLA: CONDIÇÃO DA PLATAFORMA",IF(COUNTIF(J42:L42,"X")&lt;&gt;1,"FALTA/DUPLA: DRENAGEM SUPERFICIAL","OK")))</f>
        <v>OK</v>
      </c>
    </row>
    <row r="43" spans="1:14" ht="20.100000000000001" customHeight="1" x14ac:dyDescent="0.25">
      <c r="A43" s="14" t="s">
        <v>80</v>
      </c>
      <c r="B43" s="15" t="s">
        <v>47</v>
      </c>
      <c r="C43" s="16">
        <v>1</v>
      </c>
      <c r="D43" s="16">
        <v>2</v>
      </c>
      <c r="E43" s="16">
        <f t="shared" si="5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6"/>
        <v>OK</v>
      </c>
    </row>
    <row r="44" spans="1:14" ht="20.100000000000001" customHeight="1" x14ac:dyDescent="0.25">
      <c r="A44" s="14" t="s">
        <v>80</v>
      </c>
      <c r="B44" s="15" t="s">
        <v>47</v>
      </c>
      <c r="C44" s="16">
        <v>2</v>
      </c>
      <c r="D44" s="16">
        <v>3</v>
      </c>
      <c r="E44" s="16">
        <f t="shared" si="5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6"/>
        <v>OK</v>
      </c>
    </row>
    <row r="45" spans="1:14" ht="20.100000000000001" customHeight="1" x14ac:dyDescent="0.25">
      <c r="A45" s="14" t="s">
        <v>80</v>
      </c>
      <c r="B45" s="15" t="s">
        <v>47</v>
      </c>
      <c r="C45" s="16">
        <v>3</v>
      </c>
      <c r="D45" s="16">
        <v>4</v>
      </c>
      <c r="E45" s="16">
        <f t="shared" si="5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6"/>
        <v>OK</v>
      </c>
    </row>
    <row r="46" spans="1:14" ht="20.100000000000001" customHeight="1" x14ac:dyDescent="0.25">
      <c r="A46" s="14" t="s">
        <v>80</v>
      </c>
      <c r="B46" s="15" t="s">
        <v>47</v>
      </c>
      <c r="C46" s="16">
        <v>4</v>
      </c>
      <c r="D46" s="16">
        <v>5</v>
      </c>
      <c r="E46" s="16">
        <f t="shared" si="5"/>
        <v>1</v>
      </c>
      <c r="F46" s="17" t="s">
        <v>76</v>
      </c>
      <c r="G46" s="17"/>
      <c r="H46" s="17"/>
      <c r="I46" s="17"/>
      <c r="J46" s="17" t="s">
        <v>76</v>
      </c>
      <c r="K46" s="17"/>
      <c r="L46" s="17"/>
      <c r="M46" s="18"/>
      <c r="N46" s="19" t="str">
        <f t="shared" si="6"/>
        <v>OK</v>
      </c>
    </row>
    <row r="47" spans="1:14" ht="20.100000000000001" customHeight="1" x14ac:dyDescent="0.25">
      <c r="A47" s="14" t="s">
        <v>80</v>
      </c>
      <c r="B47" s="15" t="s">
        <v>47</v>
      </c>
      <c r="C47" s="16">
        <v>5</v>
      </c>
      <c r="D47" s="16">
        <v>6</v>
      </c>
      <c r="E47" s="16">
        <f t="shared" si="5"/>
        <v>1</v>
      </c>
      <c r="F47" s="17" t="s">
        <v>76</v>
      </c>
      <c r="G47" s="17"/>
      <c r="H47" s="17"/>
      <c r="I47" s="17"/>
      <c r="J47" s="17" t="s">
        <v>76</v>
      </c>
      <c r="K47" s="17"/>
      <c r="L47" s="17"/>
      <c r="M47" s="18"/>
      <c r="N47" s="19" t="str">
        <f t="shared" si="6"/>
        <v>OK</v>
      </c>
    </row>
    <row r="48" spans="1:14" ht="20.100000000000001" customHeight="1" x14ac:dyDescent="0.25">
      <c r="A48" s="14" t="s">
        <v>80</v>
      </c>
      <c r="B48" s="15" t="s">
        <v>47</v>
      </c>
      <c r="C48" s="16">
        <v>6</v>
      </c>
      <c r="D48" s="16">
        <v>7</v>
      </c>
      <c r="E48" s="16">
        <f t="shared" si="5"/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 t="shared" si="6"/>
        <v>OK</v>
      </c>
    </row>
    <row r="49" spans="1:14" ht="20.100000000000001" customHeight="1" x14ac:dyDescent="0.25">
      <c r="A49" s="14" t="s">
        <v>80</v>
      </c>
      <c r="B49" s="15" t="s">
        <v>47</v>
      </c>
      <c r="C49" s="16">
        <v>7</v>
      </c>
      <c r="D49" s="16">
        <v>8</v>
      </c>
      <c r="E49" s="16">
        <f t="shared" si="5"/>
        <v>1</v>
      </c>
      <c r="F49" s="17" t="s">
        <v>76</v>
      </c>
      <c r="G49" s="17"/>
      <c r="H49" s="17"/>
      <c r="I49" s="17"/>
      <c r="J49" s="17" t="s">
        <v>76</v>
      </c>
      <c r="K49" s="17"/>
      <c r="L49" s="17"/>
      <c r="M49" s="18"/>
      <c r="N49" s="19" t="str">
        <f t="shared" si="6"/>
        <v>OK</v>
      </c>
    </row>
    <row r="50" spans="1:14" ht="20.100000000000001" customHeight="1" x14ac:dyDescent="0.25">
      <c r="A50" s="14" t="s">
        <v>80</v>
      </c>
      <c r="B50" s="15" t="s">
        <v>47</v>
      </c>
      <c r="C50" s="16">
        <v>8</v>
      </c>
      <c r="D50" s="16">
        <v>9</v>
      </c>
      <c r="E50" s="16">
        <f t="shared" si="5"/>
        <v>1</v>
      </c>
      <c r="F50" s="17" t="s">
        <v>76</v>
      </c>
      <c r="G50" s="17"/>
      <c r="H50" s="17"/>
      <c r="I50" s="17"/>
      <c r="J50" s="17" t="s">
        <v>76</v>
      </c>
      <c r="K50" s="17"/>
      <c r="L50" s="17"/>
      <c r="M50" s="18"/>
      <c r="N50" s="19" t="str">
        <f t="shared" si="6"/>
        <v>OK</v>
      </c>
    </row>
    <row r="51" spans="1:14" ht="20.100000000000001" customHeight="1" x14ac:dyDescent="0.25">
      <c r="A51" s="14" t="s">
        <v>80</v>
      </c>
      <c r="B51" s="15" t="s">
        <v>47</v>
      </c>
      <c r="C51" s="16">
        <v>9</v>
      </c>
      <c r="D51" s="16">
        <v>10</v>
      </c>
      <c r="E51" s="16">
        <f t="shared" si="5"/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si="6"/>
        <v>OK</v>
      </c>
    </row>
    <row r="52" spans="1:14" ht="20.100000000000001" customHeight="1" x14ac:dyDescent="0.25">
      <c r="A52" s="14" t="s">
        <v>80</v>
      </c>
      <c r="B52" s="15" t="s">
        <v>47</v>
      </c>
      <c r="C52" s="16">
        <v>10</v>
      </c>
      <c r="D52" s="16">
        <v>11</v>
      </c>
      <c r="E52" s="16">
        <f t="shared" si="5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6"/>
        <v>OK</v>
      </c>
    </row>
    <row r="53" spans="1:14" ht="20.100000000000001" customHeight="1" x14ac:dyDescent="0.25">
      <c r="A53" s="14" t="s">
        <v>80</v>
      </c>
      <c r="B53" s="15" t="s">
        <v>47</v>
      </c>
      <c r="C53" s="16">
        <v>11</v>
      </c>
      <c r="D53" s="16">
        <v>12</v>
      </c>
      <c r="E53" s="16">
        <f t="shared" si="5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6"/>
        <v>OK</v>
      </c>
    </row>
    <row r="54" spans="1:14" ht="20.100000000000001" customHeight="1" x14ac:dyDescent="0.25">
      <c r="A54" s="14" t="s">
        <v>80</v>
      </c>
      <c r="B54" s="15" t="s">
        <v>47</v>
      </c>
      <c r="C54" s="16">
        <v>12</v>
      </c>
      <c r="D54" s="16">
        <v>13</v>
      </c>
      <c r="E54" s="16">
        <f t="shared" si="5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6"/>
        <v>OK</v>
      </c>
    </row>
    <row r="55" spans="1:14" ht="20.100000000000001" customHeight="1" x14ac:dyDescent="0.25">
      <c r="A55" s="14" t="s">
        <v>80</v>
      </c>
      <c r="B55" s="15" t="s">
        <v>47</v>
      </c>
      <c r="C55" s="16">
        <v>13</v>
      </c>
      <c r="D55" s="16">
        <v>14</v>
      </c>
      <c r="E55" s="16">
        <f t="shared" si="5"/>
        <v>1</v>
      </c>
      <c r="F55" s="17" t="s">
        <v>76</v>
      </c>
      <c r="G55" s="17"/>
      <c r="H55" s="17"/>
      <c r="I55" s="17"/>
      <c r="J55" s="17" t="s">
        <v>76</v>
      </c>
      <c r="K55" s="17"/>
      <c r="L55" s="17"/>
      <c r="M55" s="18"/>
      <c r="N55" s="19" t="str">
        <f t="shared" si="6"/>
        <v>OK</v>
      </c>
    </row>
    <row r="56" spans="1:14" ht="20.100000000000001" customHeight="1" x14ac:dyDescent="0.25">
      <c r="A56" s="14" t="s">
        <v>80</v>
      </c>
      <c r="B56" s="15" t="s">
        <v>47</v>
      </c>
      <c r="C56" s="16">
        <v>14</v>
      </c>
      <c r="D56" s="16">
        <v>15</v>
      </c>
      <c r="E56" s="16">
        <f t="shared" si="5"/>
        <v>1</v>
      </c>
      <c r="F56" s="17" t="s">
        <v>76</v>
      </c>
      <c r="G56" s="17"/>
      <c r="H56" s="17"/>
      <c r="I56" s="17"/>
      <c r="J56" s="17" t="s">
        <v>76</v>
      </c>
      <c r="K56" s="17"/>
      <c r="L56" s="17"/>
      <c r="M56" s="18"/>
      <c r="N56" s="19" t="str">
        <f t="shared" si="6"/>
        <v>OK</v>
      </c>
    </row>
    <row r="57" spans="1:14" ht="20.100000000000001" customHeight="1" x14ac:dyDescent="0.25">
      <c r="A57" s="14" t="s">
        <v>80</v>
      </c>
      <c r="B57" s="15" t="s">
        <v>47</v>
      </c>
      <c r="C57" s="16">
        <v>15</v>
      </c>
      <c r="D57" s="16">
        <v>16</v>
      </c>
      <c r="E57" s="16">
        <f t="shared" si="5"/>
        <v>1</v>
      </c>
      <c r="F57" s="17" t="s">
        <v>76</v>
      </c>
      <c r="G57" s="17"/>
      <c r="H57" s="17"/>
      <c r="I57" s="17"/>
      <c r="J57" s="17" t="s">
        <v>76</v>
      </c>
      <c r="K57" s="17"/>
      <c r="L57" s="17"/>
      <c r="M57" s="18"/>
      <c r="N57" s="19" t="str">
        <f t="shared" si="6"/>
        <v>OK</v>
      </c>
    </row>
    <row r="58" spans="1:14" ht="20.100000000000001" customHeight="1" x14ac:dyDescent="0.25">
      <c r="A58" s="14" t="s">
        <v>80</v>
      </c>
      <c r="B58" s="15" t="s">
        <v>47</v>
      </c>
      <c r="C58" s="16">
        <v>16</v>
      </c>
      <c r="D58" s="16">
        <v>17</v>
      </c>
      <c r="E58" s="16">
        <f t="shared" si="5"/>
        <v>1</v>
      </c>
      <c r="F58" s="17" t="s">
        <v>76</v>
      </c>
      <c r="G58" s="17"/>
      <c r="H58" s="17"/>
      <c r="I58" s="17"/>
      <c r="J58" s="17" t="s">
        <v>76</v>
      </c>
      <c r="K58" s="17"/>
      <c r="L58" s="17"/>
      <c r="M58" s="18"/>
      <c r="N58" s="19" t="str">
        <f t="shared" si="6"/>
        <v>OK</v>
      </c>
    </row>
    <row r="59" spans="1:14" ht="20.100000000000001" customHeight="1" x14ac:dyDescent="0.25">
      <c r="A59" s="14" t="s">
        <v>80</v>
      </c>
      <c r="B59" s="15" t="s">
        <v>47</v>
      </c>
      <c r="C59" s="16">
        <v>17</v>
      </c>
      <c r="D59" s="16">
        <v>18</v>
      </c>
      <c r="E59" s="16">
        <f t="shared" si="5"/>
        <v>1</v>
      </c>
      <c r="F59" s="17" t="s">
        <v>76</v>
      </c>
      <c r="G59" s="17"/>
      <c r="H59" s="17"/>
      <c r="I59" s="17"/>
      <c r="J59" s="17" t="s">
        <v>76</v>
      </c>
      <c r="K59" s="17"/>
      <c r="L59" s="17"/>
      <c r="M59" s="18"/>
      <c r="N59" s="19" t="str">
        <f t="shared" si="6"/>
        <v>OK</v>
      </c>
    </row>
    <row r="60" spans="1:14" ht="20.100000000000001" customHeight="1" x14ac:dyDescent="0.25">
      <c r="A60" s="14" t="s">
        <v>80</v>
      </c>
      <c r="B60" s="15" t="s">
        <v>47</v>
      </c>
      <c r="C60" s="16">
        <v>18</v>
      </c>
      <c r="D60" s="16">
        <v>19</v>
      </c>
      <c r="E60" s="16">
        <f t="shared" si="5"/>
        <v>1</v>
      </c>
      <c r="F60" s="17" t="s">
        <v>76</v>
      </c>
      <c r="G60" s="17"/>
      <c r="H60" s="17"/>
      <c r="I60" s="17"/>
      <c r="J60" s="17" t="s">
        <v>76</v>
      </c>
      <c r="K60" s="17"/>
      <c r="L60" s="17"/>
      <c r="M60" s="18"/>
      <c r="N60" s="19" t="str">
        <f t="shared" si="6"/>
        <v>OK</v>
      </c>
    </row>
    <row r="61" spans="1:14" ht="20.100000000000001" customHeight="1" x14ac:dyDescent="0.25">
      <c r="A61" s="14" t="s">
        <v>80</v>
      </c>
      <c r="B61" s="15" t="s">
        <v>47</v>
      </c>
      <c r="C61" s="16">
        <v>19</v>
      </c>
      <c r="D61" s="16">
        <v>20</v>
      </c>
      <c r="E61" s="16">
        <f t="shared" si="5"/>
        <v>1</v>
      </c>
      <c r="F61" s="17" t="s">
        <v>76</v>
      </c>
      <c r="G61" s="17"/>
      <c r="H61" s="17"/>
      <c r="I61" s="17"/>
      <c r="J61" s="17" t="s">
        <v>76</v>
      </c>
      <c r="K61" s="17"/>
      <c r="L61" s="17"/>
      <c r="M61" s="18"/>
      <c r="N61" s="19" t="str">
        <f t="shared" si="6"/>
        <v>OK</v>
      </c>
    </row>
    <row r="62" spans="1:14" ht="20.100000000000001" customHeight="1" x14ac:dyDescent="0.25">
      <c r="A62" s="14" t="s">
        <v>80</v>
      </c>
      <c r="B62" s="15" t="s">
        <v>47</v>
      </c>
      <c r="C62" s="16">
        <v>20</v>
      </c>
      <c r="D62" s="16">
        <v>21</v>
      </c>
      <c r="E62" s="16">
        <f t="shared" si="5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6"/>
        <v>OK</v>
      </c>
    </row>
    <row r="63" spans="1:14" ht="20.100000000000001" customHeight="1" x14ac:dyDescent="0.25">
      <c r="A63" s="14" t="s">
        <v>80</v>
      </c>
      <c r="B63" s="15" t="s">
        <v>47</v>
      </c>
      <c r="C63" s="16">
        <v>21</v>
      </c>
      <c r="D63" s="16">
        <v>22</v>
      </c>
      <c r="E63" s="16">
        <f t="shared" si="5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6"/>
        <v>OK</v>
      </c>
    </row>
    <row r="64" spans="1:14" ht="20.100000000000001" customHeight="1" x14ac:dyDescent="0.25">
      <c r="A64" s="14" t="s">
        <v>80</v>
      </c>
      <c r="B64" s="15" t="s">
        <v>47</v>
      </c>
      <c r="C64" s="16">
        <v>22</v>
      </c>
      <c r="D64" s="16">
        <v>23</v>
      </c>
      <c r="E64" s="16">
        <f t="shared" si="5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6"/>
        <v>OK</v>
      </c>
    </row>
    <row r="65" spans="1:14" ht="20.100000000000001" customHeight="1" x14ac:dyDescent="0.25">
      <c r="A65" s="14" t="s">
        <v>80</v>
      </c>
      <c r="B65" s="15" t="s">
        <v>47</v>
      </c>
      <c r="C65" s="16">
        <v>23</v>
      </c>
      <c r="D65" s="16">
        <v>24</v>
      </c>
      <c r="E65" s="16">
        <f t="shared" si="5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6"/>
        <v>OK</v>
      </c>
    </row>
    <row r="66" spans="1:14" ht="20.100000000000001" customHeight="1" x14ac:dyDescent="0.25">
      <c r="A66" s="14" t="s">
        <v>80</v>
      </c>
      <c r="B66" s="15" t="s">
        <v>47</v>
      </c>
      <c r="C66" s="16">
        <v>24</v>
      </c>
      <c r="D66" s="16">
        <v>25</v>
      </c>
      <c r="E66" s="16">
        <f t="shared" si="5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6"/>
        <v>OK</v>
      </c>
    </row>
    <row r="67" spans="1:14" ht="20.100000000000001" customHeight="1" x14ac:dyDescent="0.25">
      <c r="A67" s="14" t="s">
        <v>80</v>
      </c>
      <c r="B67" s="15" t="s">
        <v>47</v>
      </c>
      <c r="C67" s="16">
        <v>25</v>
      </c>
      <c r="D67" s="16">
        <v>26</v>
      </c>
      <c r="E67" s="16">
        <f t="shared" si="5"/>
        <v>1</v>
      </c>
      <c r="F67" s="17" t="s">
        <v>76</v>
      </c>
      <c r="G67" s="17"/>
      <c r="H67" s="17"/>
      <c r="I67" s="17"/>
      <c r="J67" s="17" t="s">
        <v>76</v>
      </c>
      <c r="K67" s="17"/>
      <c r="L67" s="17"/>
      <c r="M67" s="18"/>
      <c r="N67" s="19" t="str">
        <f t="shared" si="6"/>
        <v>OK</v>
      </c>
    </row>
    <row r="68" spans="1:14" ht="20.100000000000001" customHeight="1" x14ac:dyDescent="0.25">
      <c r="A68" s="14" t="s">
        <v>80</v>
      </c>
      <c r="B68" s="15" t="s">
        <v>47</v>
      </c>
      <c r="C68" s="16">
        <v>26</v>
      </c>
      <c r="D68" s="16">
        <v>27</v>
      </c>
      <c r="E68" s="16">
        <f t="shared" si="5"/>
        <v>1</v>
      </c>
      <c r="F68" s="17" t="s">
        <v>76</v>
      </c>
      <c r="G68" s="17"/>
      <c r="H68" s="17"/>
      <c r="I68" s="17"/>
      <c r="J68" s="17" t="s">
        <v>76</v>
      </c>
      <c r="K68" s="17"/>
      <c r="L68" s="17"/>
      <c r="M68" s="18"/>
      <c r="N68" s="19" t="str">
        <f t="shared" si="6"/>
        <v>OK</v>
      </c>
    </row>
    <row r="69" spans="1:14" ht="20.100000000000001" customHeight="1" x14ac:dyDescent="0.25">
      <c r="A69" s="14" t="s">
        <v>80</v>
      </c>
      <c r="B69" s="15" t="s">
        <v>47</v>
      </c>
      <c r="C69" s="16">
        <v>27</v>
      </c>
      <c r="D69" s="16">
        <v>28</v>
      </c>
      <c r="E69" s="16">
        <f t="shared" si="5"/>
        <v>1</v>
      </c>
      <c r="F69" s="17" t="s">
        <v>76</v>
      </c>
      <c r="G69" s="17"/>
      <c r="H69" s="17"/>
      <c r="I69" s="17"/>
      <c r="J69" s="17" t="s">
        <v>76</v>
      </c>
      <c r="K69" s="17"/>
      <c r="L69" s="17"/>
      <c r="M69" s="18"/>
      <c r="N69" s="19" t="str">
        <f t="shared" si="6"/>
        <v>OK</v>
      </c>
    </row>
    <row r="70" spans="1:14" ht="20.100000000000001" customHeight="1" x14ac:dyDescent="0.25">
      <c r="A70" s="14" t="s">
        <v>80</v>
      </c>
      <c r="B70" s="15" t="s">
        <v>47</v>
      </c>
      <c r="C70" s="16">
        <v>28</v>
      </c>
      <c r="D70" s="16">
        <v>29</v>
      </c>
      <c r="E70" s="16">
        <f t="shared" si="5"/>
        <v>1</v>
      </c>
      <c r="F70" s="17" t="s">
        <v>76</v>
      </c>
      <c r="G70" s="17"/>
      <c r="H70" s="17"/>
      <c r="I70" s="17"/>
      <c r="J70" s="17" t="s">
        <v>76</v>
      </c>
      <c r="K70" s="17"/>
      <c r="L70" s="17"/>
      <c r="M70" s="18"/>
      <c r="N70" s="19" t="str">
        <f t="shared" si="6"/>
        <v>OK</v>
      </c>
    </row>
    <row r="71" spans="1:14" ht="20.100000000000001" customHeight="1" x14ac:dyDescent="0.25">
      <c r="A71" s="14" t="s">
        <v>80</v>
      </c>
      <c r="B71" s="15" t="s">
        <v>47</v>
      </c>
      <c r="C71" s="16">
        <v>29</v>
      </c>
      <c r="D71" s="16">
        <v>30</v>
      </c>
      <c r="E71" s="16">
        <f t="shared" si="5"/>
        <v>1</v>
      </c>
      <c r="F71" s="17" t="s">
        <v>76</v>
      </c>
      <c r="G71" s="17"/>
      <c r="H71" s="17"/>
      <c r="I71" s="17"/>
      <c r="J71" s="17" t="s">
        <v>76</v>
      </c>
      <c r="K71" s="17"/>
      <c r="L71" s="17"/>
      <c r="M71" s="18"/>
      <c r="N71" s="19" t="str">
        <f t="shared" si="6"/>
        <v>OK</v>
      </c>
    </row>
    <row r="72" spans="1:14" ht="20.100000000000001" customHeight="1" x14ac:dyDescent="0.25">
      <c r="A72" s="14" t="s">
        <v>80</v>
      </c>
      <c r="B72" s="15" t="s">
        <v>47</v>
      </c>
      <c r="C72" s="16">
        <v>30</v>
      </c>
      <c r="D72" s="16">
        <v>31</v>
      </c>
      <c r="E72" s="16">
        <f t="shared" si="5"/>
        <v>1</v>
      </c>
      <c r="F72" s="17" t="s">
        <v>76</v>
      </c>
      <c r="G72" s="17"/>
      <c r="H72" s="17"/>
      <c r="I72" s="17"/>
      <c r="J72" s="17" t="s">
        <v>76</v>
      </c>
      <c r="K72" s="17"/>
      <c r="L72" s="17"/>
      <c r="M72" s="18"/>
      <c r="N72" s="19" t="str">
        <f t="shared" si="6"/>
        <v>OK</v>
      </c>
    </row>
    <row r="73" spans="1:14" ht="20.100000000000001" customHeight="1" x14ac:dyDescent="0.25">
      <c r="A73" s="14" t="s">
        <v>80</v>
      </c>
      <c r="B73" s="15" t="s">
        <v>47</v>
      </c>
      <c r="C73" s="16">
        <v>31</v>
      </c>
      <c r="D73" s="16">
        <v>32</v>
      </c>
      <c r="E73" s="16">
        <f t="shared" si="5"/>
        <v>1</v>
      </c>
      <c r="F73" s="17" t="s">
        <v>76</v>
      </c>
      <c r="G73" s="17"/>
      <c r="H73" s="17"/>
      <c r="I73" s="17"/>
      <c r="J73" s="17" t="s">
        <v>76</v>
      </c>
      <c r="K73" s="17"/>
      <c r="L73" s="17"/>
      <c r="M73" s="18"/>
      <c r="N73" s="19" t="str">
        <f t="shared" si="6"/>
        <v>OK</v>
      </c>
    </row>
    <row r="74" spans="1:14" ht="20.100000000000001" customHeight="1" x14ac:dyDescent="0.25">
      <c r="A74" s="14" t="s">
        <v>80</v>
      </c>
      <c r="B74" s="15" t="s">
        <v>47</v>
      </c>
      <c r="C74" s="16">
        <v>32</v>
      </c>
      <c r="D74" s="16">
        <v>33</v>
      </c>
      <c r="E74" s="16">
        <f t="shared" ref="E74:E93" si="7">D74-C74</f>
        <v>1</v>
      </c>
      <c r="F74" s="17" t="s">
        <v>76</v>
      </c>
      <c r="G74" s="17"/>
      <c r="H74" s="17"/>
      <c r="I74" s="17"/>
      <c r="J74" s="17" t="s">
        <v>76</v>
      </c>
      <c r="K74" s="17"/>
      <c r="L74" s="17"/>
      <c r="M74" s="18"/>
      <c r="N74" s="19" t="str">
        <f t="shared" ref="N74:N93" si="8">IF(COUNTA(F74:L74)=0,"— não preenchido",IF(COUNTIF(F74:I74,"X")&lt;&gt;1,"FALTA/DUPLA: CONDIÇÃO DA PLATAFORMA",IF(COUNTIF(J74:L74,"X")&lt;&gt;1,"FALTA/DUPLA: DRENAGEM SUPERFICIAL","OK")))</f>
        <v>OK</v>
      </c>
    </row>
    <row r="75" spans="1:14" ht="20.100000000000001" customHeight="1" x14ac:dyDescent="0.25">
      <c r="A75" s="14" t="s">
        <v>80</v>
      </c>
      <c r="B75" s="15" t="s">
        <v>47</v>
      </c>
      <c r="C75" s="16">
        <v>33</v>
      </c>
      <c r="D75" s="16">
        <v>34</v>
      </c>
      <c r="E75" s="16">
        <f t="shared" si="7"/>
        <v>1</v>
      </c>
      <c r="F75" s="17" t="s">
        <v>76</v>
      </c>
      <c r="G75" s="17"/>
      <c r="H75" s="17"/>
      <c r="I75" s="17"/>
      <c r="J75" s="17" t="s">
        <v>76</v>
      </c>
      <c r="K75" s="17"/>
      <c r="L75" s="17"/>
      <c r="M75" s="18"/>
      <c r="N75" s="19" t="str">
        <f t="shared" si="8"/>
        <v>OK</v>
      </c>
    </row>
    <row r="76" spans="1:14" ht="20.100000000000001" customHeight="1" x14ac:dyDescent="0.25">
      <c r="A76" s="14" t="s">
        <v>80</v>
      </c>
      <c r="B76" s="15" t="s">
        <v>47</v>
      </c>
      <c r="C76" s="16">
        <v>34</v>
      </c>
      <c r="D76" s="16">
        <v>35</v>
      </c>
      <c r="E76" s="16">
        <f t="shared" si="7"/>
        <v>1</v>
      </c>
      <c r="F76" s="17" t="s">
        <v>76</v>
      </c>
      <c r="G76" s="17"/>
      <c r="H76" s="17"/>
      <c r="I76" s="17"/>
      <c r="J76" s="17" t="s">
        <v>76</v>
      </c>
      <c r="K76" s="17"/>
      <c r="L76" s="17"/>
      <c r="M76" s="18"/>
      <c r="N76" s="19" t="str">
        <f t="shared" si="8"/>
        <v>OK</v>
      </c>
    </row>
    <row r="77" spans="1:14" ht="20.100000000000001" customHeight="1" x14ac:dyDescent="0.25">
      <c r="A77" s="14" t="s">
        <v>80</v>
      </c>
      <c r="B77" s="15" t="s">
        <v>47</v>
      </c>
      <c r="C77" s="16">
        <v>35</v>
      </c>
      <c r="D77" s="16">
        <v>36</v>
      </c>
      <c r="E77" s="16">
        <f t="shared" si="7"/>
        <v>1</v>
      </c>
      <c r="F77" s="17" t="s">
        <v>76</v>
      </c>
      <c r="G77" s="17"/>
      <c r="H77" s="17"/>
      <c r="I77" s="17"/>
      <c r="J77" s="17" t="s">
        <v>76</v>
      </c>
      <c r="K77" s="17"/>
      <c r="L77" s="17"/>
      <c r="M77" s="18"/>
      <c r="N77" s="19" t="str">
        <f t="shared" si="8"/>
        <v>OK</v>
      </c>
    </row>
    <row r="78" spans="1:14" ht="20.100000000000001" customHeight="1" x14ac:dyDescent="0.25">
      <c r="A78" s="14" t="s">
        <v>80</v>
      </c>
      <c r="B78" s="15" t="s">
        <v>47</v>
      </c>
      <c r="C78" s="16">
        <v>36</v>
      </c>
      <c r="D78" s="16">
        <v>37</v>
      </c>
      <c r="E78" s="16">
        <f t="shared" si="7"/>
        <v>1</v>
      </c>
      <c r="F78" s="17" t="s">
        <v>76</v>
      </c>
      <c r="G78" s="17"/>
      <c r="H78" s="17"/>
      <c r="I78" s="17"/>
      <c r="J78" s="17" t="s">
        <v>76</v>
      </c>
      <c r="K78" s="17"/>
      <c r="L78" s="17"/>
      <c r="M78" s="18"/>
      <c r="N78" s="19" t="str">
        <f t="shared" si="8"/>
        <v>OK</v>
      </c>
    </row>
    <row r="79" spans="1:14" ht="20.100000000000001" customHeight="1" x14ac:dyDescent="0.25">
      <c r="A79" s="14" t="s">
        <v>80</v>
      </c>
      <c r="B79" s="15" t="s">
        <v>47</v>
      </c>
      <c r="C79" s="16">
        <v>37</v>
      </c>
      <c r="D79" s="16">
        <v>38</v>
      </c>
      <c r="E79" s="16">
        <f t="shared" si="7"/>
        <v>1</v>
      </c>
      <c r="F79" s="17" t="s">
        <v>76</v>
      </c>
      <c r="G79" s="17"/>
      <c r="H79" s="17"/>
      <c r="I79" s="17"/>
      <c r="J79" s="17" t="s">
        <v>76</v>
      </c>
      <c r="K79" s="17"/>
      <c r="L79" s="17"/>
      <c r="M79" s="18"/>
      <c r="N79" s="19" t="str">
        <f t="shared" si="8"/>
        <v>OK</v>
      </c>
    </row>
    <row r="80" spans="1:14" ht="20.100000000000001" customHeight="1" x14ac:dyDescent="0.25">
      <c r="A80" s="14" t="s">
        <v>80</v>
      </c>
      <c r="B80" s="15" t="s">
        <v>47</v>
      </c>
      <c r="C80" s="16">
        <v>38</v>
      </c>
      <c r="D80" s="16">
        <v>39</v>
      </c>
      <c r="E80" s="16">
        <f t="shared" si="7"/>
        <v>1</v>
      </c>
      <c r="F80" s="17" t="s">
        <v>76</v>
      </c>
      <c r="G80" s="17"/>
      <c r="H80" s="17"/>
      <c r="I80" s="17"/>
      <c r="J80" s="17" t="s">
        <v>76</v>
      </c>
      <c r="K80" s="17"/>
      <c r="L80" s="17"/>
      <c r="M80" s="18"/>
      <c r="N80" s="19" t="str">
        <f t="shared" si="8"/>
        <v>OK</v>
      </c>
    </row>
    <row r="81" spans="1:14" ht="20.100000000000001" customHeight="1" x14ac:dyDescent="0.25">
      <c r="A81" s="14" t="s">
        <v>80</v>
      </c>
      <c r="B81" s="15" t="s">
        <v>47</v>
      </c>
      <c r="C81" s="16">
        <v>39</v>
      </c>
      <c r="D81" s="16">
        <v>40</v>
      </c>
      <c r="E81" s="16">
        <f t="shared" si="7"/>
        <v>1</v>
      </c>
      <c r="F81" s="17" t="s">
        <v>76</v>
      </c>
      <c r="G81" s="17"/>
      <c r="H81" s="17"/>
      <c r="I81" s="17"/>
      <c r="J81" s="17" t="s">
        <v>76</v>
      </c>
      <c r="K81" s="17"/>
      <c r="L81" s="17"/>
      <c r="M81" s="18"/>
      <c r="N81" s="19" t="str">
        <f t="shared" si="8"/>
        <v>OK</v>
      </c>
    </row>
    <row r="82" spans="1:14" ht="20.100000000000001" customHeight="1" x14ac:dyDescent="0.25">
      <c r="A82" s="14" t="s">
        <v>80</v>
      </c>
      <c r="B82" s="15" t="s">
        <v>47</v>
      </c>
      <c r="C82" s="16">
        <v>40</v>
      </c>
      <c r="D82" s="16">
        <v>41</v>
      </c>
      <c r="E82" s="16">
        <f t="shared" si="7"/>
        <v>1</v>
      </c>
      <c r="F82" s="17" t="s">
        <v>76</v>
      </c>
      <c r="G82" s="17"/>
      <c r="H82" s="17"/>
      <c r="I82" s="17"/>
      <c r="J82" s="17" t="s">
        <v>76</v>
      </c>
      <c r="K82" s="17"/>
      <c r="L82" s="17"/>
      <c r="M82" s="18"/>
      <c r="N82" s="19" t="str">
        <f t="shared" si="8"/>
        <v>OK</v>
      </c>
    </row>
    <row r="83" spans="1:14" ht="20.100000000000001" customHeight="1" x14ac:dyDescent="0.25">
      <c r="A83" s="14" t="s">
        <v>80</v>
      </c>
      <c r="B83" s="15" t="s">
        <v>47</v>
      </c>
      <c r="C83" s="16">
        <v>41</v>
      </c>
      <c r="D83" s="16">
        <v>42</v>
      </c>
      <c r="E83" s="16">
        <f t="shared" si="7"/>
        <v>1</v>
      </c>
      <c r="F83" s="17" t="s">
        <v>76</v>
      </c>
      <c r="G83" s="17"/>
      <c r="H83" s="17"/>
      <c r="I83" s="17"/>
      <c r="J83" s="17" t="s">
        <v>76</v>
      </c>
      <c r="K83" s="17"/>
      <c r="L83" s="17"/>
      <c r="M83" s="18"/>
      <c r="N83" s="19" t="str">
        <f t="shared" si="8"/>
        <v>OK</v>
      </c>
    </row>
    <row r="84" spans="1:14" ht="20.100000000000001" customHeight="1" x14ac:dyDescent="0.25">
      <c r="A84" s="14" t="s">
        <v>80</v>
      </c>
      <c r="B84" s="15" t="s">
        <v>47</v>
      </c>
      <c r="C84" s="16">
        <v>42</v>
      </c>
      <c r="D84" s="16">
        <v>43</v>
      </c>
      <c r="E84" s="16">
        <f t="shared" si="7"/>
        <v>1</v>
      </c>
      <c r="F84" s="17" t="s">
        <v>76</v>
      </c>
      <c r="G84" s="17"/>
      <c r="H84" s="17"/>
      <c r="I84" s="17"/>
      <c r="J84" s="17" t="s">
        <v>76</v>
      </c>
      <c r="K84" s="17"/>
      <c r="L84" s="17"/>
      <c r="M84" s="18"/>
      <c r="N84" s="19" t="str">
        <f t="shared" si="8"/>
        <v>OK</v>
      </c>
    </row>
    <row r="85" spans="1:14" ht="20.100000000000001" customHeight="1" x14ac:dyDescent="0.25">
      <c r="A85" s="14" t="s">
        <v>80</v>
      </c>
      <c r="B85" s="15" t="s">
        <v>47</v>
      </c>
      <c r="C85" s="16">
        <v>43</v>
      </c>
      <c r="D85" s="16">
        <v>44</v>
      </c>
      <c r="E85" s="16">
        <f t="shared" si="7"/>
        <v>1</v>
      </c>
      <c r="F85" s="17" t="s">
        <v>76</v>
      </c>
      <c r="G85" s="17"/>
      <c r="H85" s="17"/>
      <c r="I85" s="17"/>
      <c r="J85" s="17" t="s">
        <v>76</v>
      </c>
      <c r="K85" s="17"/>
      <c r="L85" s="17"/>
      <c r="M85" s="18"/>
      <c r="N85" s="19" t="str">
        <f t="shared" si="8"/>
        <v>OK</v>
      </c>
    </row>
    <row r="86" spans="1:14" ht="20.100000000000001" customHeight="1" x14ac:dyDescent="0.25">
      <c r="A86" s="14" t="s">
        <v>80</v>
      </c>
      <c r="B86" s="15" t="s">
        <v>47</v>
      </c>
      <c r="C86" s="16">
        <v>44</v>
      </c>
      <c r="D86" s="16">
        <v>45</v>
      </c>
      <c r="E86" s="16">
        <f t="shared" si="7"/>
        <v>1</v>
      </c>
      <c r="F86" s="17" t="s">
        <v>76</v>
      </c>
      <c r="G86" s="17"/>
      <c r="H86" s="17"/>
      <c r="I86" s="17"/>
      <c r="J86" s="17" t="s">
        <v>76</v>
      </c>
      <c r="K86" s="17"/>
      <c r="L86" s="17"/>
      <c r="M86" s="18"/>
      <c r="N86" s="19" t="str">
        <f t="shared" si="8"/>
        <v>OK</v>
      </c>
    </row>
    <row r="87" spans="1:14" ht="20.100000000000001" customHeight="1" x14ac:dyDescent="0.25">
      <c r="A87" s="14" t="s">
        <v>80</v>
      </c>
      <c r="B87" s="15" t="s">
        <v>47</v>
      </c>
      <c r="C87" s="16">
        <v>45</v>
      </c>
      <c r="D87" s="16">
        <v>46</v>
      </c>
      <c r="E87" s="16">
        <f t="shared" si="7"/>
        <v>1</v>
      </c>
      <c r="F87" s="17" t="s">
        <v>76</v>
      </c>
      <c r="G87" s="17"/>
      <c r="H87" s="17"/>
      <c r="I87" s="17"/>
      <c r="J87" s="17" t="s">
        <v>76</v>
      </c>
      <c r="K87" s="17"/>
      <c r="L87" s="17"/>
      <c r="M87" s="18"/>
      <c r="N87" s="19" t="str">
        <f t="shared" si="8"/>
        <v>OK</v>
      </c>
    </row>
    <row r="88" spans="1:14" ht="20.100000000000001" customHeight="1" x14ac:dyDescent="0.25">
      <c r="A88" s="14" t="s">
        <v>80</v>
      </c>
      <c r="B88" s="15" t="s">
        <v>47</v>
      </c>
      <c r="C88" s="16">
        <v>46</v>
      </c>
      <c r="D88" s="16">
        <v>47</v>
      </c>
      <c r="E88" s="16">
        <f t="shared" si="7"/>
        <v>1</v>
      </c>
      <c r="F88" s="17" t="s">
        <v>76</v>
      </c>
      <c r="G88" s="17"/>
      <c r="H88" s="17"/>
      <c r="I88" s="17"/>
      <c r="J88" s="17" t="s">
        <v>76</v>
      </c>
      <c r="K88" s="17"/>
      <c r="L88" s="17"/>
      <c r="M88" s="18"/>
      <c r="N88" s="19" t="str">
        <f t="shared" si="8"/>
        <v>OK</v>
      </c>
    </row>
    <row r="89" spans="1:14" ht="20.100000000000001" customHeight="1" x14ac:dyDescent="0.25">
      <c r="A89" s="14" t="s">
        <v>80</v>
      </c>
      <c r="B89" s="15" t="s">
        <v>47</v>
      </c>
      <c r="C89" s="16">
        <v>47</v>
      </c>
      <c r="D89" s="16">
        <v>48</v>
      </c>
      <c r="E89" s="16">
        <f t="shared" si="7"/>
        <v>1</v>
      </c>
      <c r="F89" s="17" t="s">
        <v>76</v>
      </c>
      <c r="G89" s="17"/>
      <c r="H89" s="17"/>
      <c r="I89" s="17"/>
      <c r="J89" s="17" t="s">
        <v>76</v>
      </c>
      <c r="K89" s="17"/>
      <c r="L89" s="17"/>
      <c r="M89" s="18"/>
      <c r="N89" s="19" t="str">
        <f t="shared" si="8"/>
        <v>OK</v>
      </c>
    </row>
    <row r="90" spans="1:14" ht="20.100000000000001" customHeight="1" x14ac:dyDescent="0.25">
      <c r="A90" s="14" t="s">
        <v>80</v>
      </c>
      <c r="B90" s="15" t="s">
        <v>47</v>
      </c>
      <c r="C90" s="16">
        <v>48</v>
      </c>
      <c r="D90" s="16">
        <v>49</v>
      </c>
      <c r="E90" s="16">
        <f t="shared" si="7"/>
        <v>1</v>
      </c>
      <c r="F90" s="17" t="s">
        <v>76</v>
      </c>
      <c r="G90" s="17"/>
      <c r="H90" s="17"/>
      <c r="I90" s="17"/>
      <c r="J90" s="17" t="s">
        <v>76</v>
      </c>
      <c r="K90" s="17"/>
      <c r="L90" s="17"/>
      <c r="M90" s="18"/>
      <c r="N90" s="19" t="str">
        <f t="shared" si="8"/>
        <v>OK</v>
      </c>
    </row>
    <row r="91" spans="1:14" ht="20.100000000000001" customHeight="1" x14ac:dyDescent="0.25">
      <c r="A91" s="14" t="s">
        <v>80</v>
      </c>
      <c r="B91" s="15" t="s">
        <v>47</v>
      </c>
      <c r="C91" s="16">
        <v>49</v>
      </c>
      <c r="D91" s="16">
        <v>50</v>
      </c>
      <c r="E91" s="16">
        <f t="shared" si="7"/>
        <v>1</v>
      </c>
      <c r="F91" s="17" t="s">
        <v>76</v>
      </c>
      <c r="G91" s="17"/>
      <c r="H91" s="17"/>
      <c r="I91" s="17"/>
      <c r="J91" s="17" t="s">
        <v>76</v>
      </c>
      <c r="K91" s="17"/>
      <c r="L91" s="17"/>
      <c r="M91" s="18"/>
      <c r="N91" s="19" t="str">
        <f t="shared" si="8"/>
        <v>OK</v>
      </c>
    </row>
    <row r="92" spans="1:14" ht="20.100000000000001" customHeight="1" x14ac:dyDescent="0.25">
      <c r="A92" s="14" t="s">
        <v>80</v>
      </c>
      <c r="B92" s="15" t="s">
        <v>47</v>
      </c>
      <c r="C92" s="16">
        <v>50</v>
      </c>
      <c r="D92" s="16">
        <v>51</v>
      </c>
      <c r="E92" s="16">
        <f t="shared" si="7"/>
        <v>1</v>
      </c>
      <c r="F92" s="17" t="s">
        <v>76</v>
      </c>
      <c r="G92" s="17"/>
      <c r="H92" s="17"/>
      <c r="I92" s="17"/>
      <c r="J92" s="17" t="s">
        <v>76</v>
      </c>
      <c r="K92" s="17"/>
      <c r="L92" s="17"/>
      <c r="M92" s="18"/>
      <c r="N92" s="19" t="str">
        <f t="shared" si="8"/>
        <v>OK</v>
      </c>
    </row>
    <row r="93" spans="1:14" ht="20.100000000000001" customHeight="1" x14ac:dyDescent="0.25">
      <c r="A93" s="20" t="s">
        <v>80</v>
      </c>
      <c r="B93" s="21" t="s">
        <v>47</v>
      </c>
      <c r="C93" s="22">
        <v>51</v>
      </c>
      <c r="D93" s="22">
        <v>51.627934935699997</v>
      </c>
      <c r="E93" s="22">
        <f t="shared" si="7"/>
        <v>0.62793493569999725</v>
      </c>
      <c r="F93" s="23" t="s">
        <v>76</v>
      </c>
      <c r="G93" s="23"/>
      <c r="H93" s="23"/>
      <c r="I93" s="23"/>
      <c r="J93" s="23" t="s">
        <v>76</v>
      </c>
      <c r="K93" s="23"/>
      <c r="L93" s="23"/>
      <c r="M93" s="24"/>
      <c r="N93" s="25" t="str">
        <f t="shared" si="8"/>
        <v>OK</v>
      </c>
    </row>
    <row r="95" spans="1:14" x14ac:dyDescent="0.25">
      <c r="A95" s="46" t="s">
        <v>48</v>
      </c>
      <c r="B95" s="31"/>
      <c r="C95" s="31"/>
      <c r="D95" s="31"/>
      <c r="E95" s="31"/>
      <c r="G95" s="46" t="s">
        <v>48</v>
      </c>
      <c r="H95" s="31"/>
      <c r="I95" s="31"/>
      <c r="J95" s="31"/>
      <c r="K95" s="31"/>
    </row>
    <row r="96" spans="1:14" x14ac:dyDescent="0.25">
      <c r="A96" s="45" t="s">
        <v>49</v>
      </c>
      <c r="B96" s="31"/>
      <c r="C96" s="31"/>
      <c r="D96" s="31"/>
      <c r="E96" s="31"/>
      <c r="G96" s="45" t="s">
        <v>50</v>
      </c>
      <c r="H96" s="31"/>
      <c r="I96" s="31"/>
      <c r="J96" s="31"/>
      <c r="K96" s="31"/>
    </row>
    <row r="98" spans="1:13" x14ac:dyDescent="0.25">
      <c r="A98" s="43" t="s">
        <v>51</v>
      </c>
      <c r="B98" s="31"/>
      <c r="C98" s="31"/>
      <c r="D98" s="31"/>
      <c r="E98" s="31"/>
      <c r="F98" s="26"/>
      <c r="G98" s="26"/>
      <c r="H98" s="26"/>
      <c r="I98" s="26"/>
      <c r="J98" s="26"/>
      <c r="K98" s="26"/>
      <c r="L98" s="26"/>
      <c r="M98" s="26"/>
    </row>
    <row r="99" spans="1:13" x14ac:dyDescent="0.25">
      <c r="A99" s="47" t="s">
        <v>52</v>
      </c>
      <c r="B99" s="31"/>
      <c r="C99" s="31"/>
      <c r="D99" s="31"/>
      <c r="E99" s="31"/>
      <c r="F99" s="9">
        <f t="shared" ref="F99:L99" si="9">SUMIF(F$9:F$93,"X",$E$9:$E$93)</f>
        <v>81.717854452119994</v>
      </c>
      <c r="G99" s="9">
        <f t="shared" si="9"/>
        <v>0</v>
      </c>
      <c r="H99" s="9">
        <f t="shared" si="9"/>
        <v>0</v>
      </c>
      <c r="I99" s="9">
        <f t="shared" si="9"/>
        <v>0</v>
      </c>
      <c r="J99" s="9">
        <f t="shared" si="9"/>
        <v>81.717854452119994</v>
      </c>
      <c r="K99" s="9">
        <f t="shared" si="9"/>
        <v>0</v>
      </c>
      <c r="L99" s="9">
        <f t="shared" si="9"/>
        <v>0</v>
      </c>
    </row>
    <row r="100" spans="1:13" x14ac:dyDescent="0.25">
      <c r="A100" s="47" t="s">
        <v>53</v>
      </c>
      <c r="B100" s="31"/>
      <c r="C100" s="31"/>
      <c r="D100" s="31"/>
      <c r="E100" s="31"/>
      <c r="F100" s="27">
        <f t="shared" ref="F100:L100" si="10">IF($I102=0,0,F99/$I102)</f>
        <v>1</v>
      </c>
      <c r="G100" s="27">
        <f t="shared" si="10"/>
        <v>0</v>
      </c>
      <c r="H100" s="27">
        <f t="shared" si="10"/>
        <v>0</v>
      </c>
      <c r="I100" s="27">
        <f t="shared" si="10"/>
        <v>0</v>
      </c>
      <c r="J100" s="27">
        <f t="shared" si="10"/>
        <v>1</v>
      </c>
      <c r="K100" s="27">
        <f t="shared" si="10"/>
        <v>0</v>
      </c>
      <c r="L100" s="27">
        <f t="shared" si="10"/>
        <v>0</v>
      </c>
    </row>
    <row r="101" spans="1:13" x14ac:dyDescent="0.25">
      <c r="A101" s="47" t="s">
        <v>54</v>
      </c>
      <c r="B101" s="31"/>
      <c r="C101" s="31"/>
      <c r="D101" s="31"/>
      <c r="E101" s="31"/>
      <c r="F101" s="49" t="str">
        <f>IF(SUM(F99:I99)=0,"— não preenchido",IF(ROUND(SUM(F99:I99)-$I102,3)=0,"OK — "&amp;ROUND(SUM(F99:I99),3)&amp;" km","ERRO — dif. de "&amp;ROUND(SUM(F99:I99)-$I102,3)&amp;" km"))</f>
        <v>OK — 81,718 km</v>
      </c>
      <c r="G101" s="33"/>
      <c r="H101" s="33"/>
      <c r="I101" s="34"/>
      <c r="J101" s="49" t="str">
        <f>IF(SUM(J99:L99)=0,"— não preenchido",IF(ROUND(SUM(J99:L99)-$I102,3)=0,"OK — "&amp;ROUND(SUM(J99:L99),3)&amp;" km","ERRO — dif. de "&amp;ROUND(SUM(J99:L99)-$I102,3)&amp;" km"))</f>
        <v>OK — 81,718 km</v>
      </c>
      <c r="K101" s="33"/>
      <c r="L101" s="34"/>
    </row>
    <row r="102" spans="1:13" x14ac:dyDescent="0.25">
      <c r="A102" s="47" t="s">
        <v>55</v>
      </c>
      <c r="B102" s="31"/>
      <c r="C102" s="31"/>
      <c r="D102" s="31"/>
      <c r="E102" s="31"/>
      <c r="I102" s="28">
        <f>SUM(E9:E93)</f>
        <v>81.717854452119994</v>
      </c>
      <c r="M102" s="8" t="str">
        <f>COUNTIF(N9:N93,"OK")&amp;" de "&amp;COUNT($E$9:$E$93)&amp;" linhas conferidas"</f>
        <v>83 de 83 linhas conferidas</v>
      </c>
    </row>
    <row r="104" spans="1:13" x14ac:dyDescent="0.25">
      <c r="A104" s="48" t="s">
        <v>56</v>
      </c>
      <c r="B104" s="31"/>
      <c r="C104" s="31"/>
      <c r="D104" s="31"/>
      <c r="E104" s="31"/>
    </row>
    <row r="105" spans="1:13" x14ac:dyDescent="0.25">
      <c r="A105" s="47" t="s">
        <v>10</v>
      </c>
      <c r="B105" s="31"/>
      <c r="C105" s="31"/>
      <c r="D105" s="31"/>
      <c r="E105" s="44" t="s">
        <v>57</v>
      </c>
      <c r="F105" s="31"/>
      <c r="G105" s="31"/>
      <c r="H105" s="31"/>
      <c r="I105" s="31"/>
      <c r="J105" s="31"/>
      <c r="K105" s="31"/>
      <c r="L105" s="31"/>
      <c r="M105" s="31"/>
    </row>
    <row r="106" spans="1:13" x14ac:dyDescent="0.25">
      <c r="A106" s="47" t="s">
        <v>11</v>
      </c>
      <c r="B106" s="31"/>
      <c r="C106" s="31"/>
      <c r="D106" s="31"/>
      <c r="E106" s="44" t="s">
        <v>58</v>
      </c>
      <c r="F106" s="31"/>
      <c r="G106" s="31"/>
      <c r="H106" s="31"/>
      <c r="I106" s="31"/>
      <c r="J106" s="31"/>
      <c r="K106" s="31"/>
      <c r="L106" s="31"/>
      <c r="M106" s="31"/>
    </row>
    <row r="107" spans="1:13" x14ac:dyDescent="0.25">
      <c r="A107" s="47" t="s">
        <v>12</v>
      </c>
      <c r="B107" s="31"/>
      <c r="C107" s="31"/>
      <c r="D107" s="31"/>
      <c r="E107" s="44" t="s">
        <v>59</v>
      </c>
      <c r="F107" s="31"/>
      <c r="G107" s="31"/>
      <c r="H107" s="31"/>
      <c r="I107" s="31"/>
      <c r="J107" s="31"/>
      <c r="K107" s="31"/>
      <c r="L107" s="31"/>
      <c r="M107" s="31"/>
    </row>
    <row r="108" spans="1:13" x14ac:dyDescent="0.25">
      <c r="A108" s="47" t="s">
        <v>60</v>
      </c>
      <c r="B108" s="31"/>
      <c r="C108" s="31"/>
      <c r="D108" s="31"/>
      <c r="E108" s="44" t="s">
        <v>61</v>
      </c>
      <c r="F108" s="31"/>
      <c r="G108" s="31"/>
      <c r="H108" s="31"/>
      <c r="I108" s="31"/>
      <c r="J108" s="31"/>
      <c r="K108" s="31"/>
      <c r="L108" s="31"/>
      <c r="M108" s="31"/>
    </row>
    <row r="109" spans="1:13" x14ac:dyDescent="0.25">
      <c r="A109" s="47" t="s">
        <v>62</v>
      </c>
      <c r="B109" s="31"/>
      <c r="C109" s="31"/>
      <c r="D109" s="31"/>
      <c r="E109" s="44" t="s">
        <v>63</v>
      </c>
      <c r="F109" s="31"/>
      <c r="G109" s="31"/>
      <c r="H109" s="31"/>
      <c r="I109" s="31"/>
      <c r="J109" s="31"/>
      <c r="K109" s="31"/>
      <c r="L109" s="31"/>
      <c r="M109" s="31"/>
    </row>
    <row r="110" spans="1:13" x14ac:dyDescent="0.25">
      <c r="A110" s="47" t="s">
        <v>64</v>
      </c>
      <c r="B110" s="31"/>
      <c r="C110" s="31"/>
      <c r="D110" s="31"/>
      <c r="E110" s="44" t="s">
        <v>65</v>
      </c>
      <c r="F110" s="31"/>
      <c r="G110" s="31"/>
      <c r="H110" s="31"/>
      <c r="I110" s="31"/>
      <c r="J110" s="31"/>
      <c r="K110" s="31"/>
      <c r="L110" s="31"/>
      <c r="M110" s="31"/>
    </row>
    <row r="111" spans="1:13" x14ac:dyDescent="0.25">
      <c r="A111" s="47" t="s">
        <v>39</v>
      </c>
      <c r="B111" s="31"/>
      <c r="C111" s="31"/>
      <c r="D111" s="31"/>
      <c r="E111" s="44" t="s">
        <v>66</v>
      </c>
      <c r="F111" s="31"/>
      <c r="G111" s="31"/>
      <c r="H111" s="31"/>
      <c r="I111" s="31"/>
      <c r="J111" s="31"/>
      <c r="K111" s="31"/>
      <c r="L111" s="31"/>
      <c r="M111" s="31"/>
    </row>
    <row r="112" spans="1:13" x14ac:dyDescent="0.25">
      <c r="A112" s="47" t="s">
        <v>67</v>
      </c>
      <c r="B112" s="31"/>
      <c r="C112" s="31"/>
      <c r="D112" s="31"/>
      <c r="E112" s="44" t="s">
        <v>68</v>
      </c>
      <c r="F112" s="31"/>
      <c r="G112" s="31"/>
      <c r="H112" s="31"/>
      <c r="I112" s="31"/>
      <c r="J112" s="31"/>
      <c r="K112" s="31"/>
      <c r="L112" s="31"/>
      <c r="M112" s="31"/>
    </row>
    <row r="113" spans="1:13" x14ac:dyDescent="0.25">
      <c r="A113" s="47" t="s">
        <v>69</v>
      </c>
      <c r="B113" s="31"/>
      <c r="C113" s="31"/>
      <c r="D113" s="31"/>
      <c r="E113" s="44" t="s">
        <v>70</v>
      </c>
      <c r="F113" s="31"/>
      <c r="G113" s="31"/>
      <c r="H113" s="31"/>
      <c r="I113" s="31"/>
      <c r="J113" s="31"/>
      <c r="K113" s="31"/>
      <c r="L113" s="31"/>
      <c r="M113" s="31"/>
    </row>
    <row r="114" spans="1:13" x14ac:dyDescent="0.25">
      <c r="A114" s="47" t="s">
        <v>8</v>
      </c>
      <c r="B114" s="31"/>
      <c r="C114" s="31"/>
      <c r="D114" s="31"/>
      <c r="E114" s="44" t="s">
        <v>71</v>
      </c>
      <c r="F114" s="31"/>
      <c r="G114" s="31"/>
      <c r="H114" s="31"/>
      <c r="I114" s="31"/>
      <c r="J114" s="31"/>
      <c r="K114" s="31"/>
      <c r="L114" s="31"/>
      <c r="M114" s="31"/>
    </row>
  </sheetData>
  <sheetProtection formatCells="0"/>
  <mergeCells count="52">
    <mergeCell ref="N6:N7"/>
    <mergeCell ref="E109:M109"/>
    <mergeCell ref="A110:D110"/>
    <mergeCell ref="F101:I101"/>
    <mergeCell ref="A100:E100"/>
    <mergeCell ref="A96:E96"/>
    <mergeCell ref="A105:D105"/>
    <mergeCell ref="A102:E102"/>
    <mergeCell ref="J6:L6"/>
    <mergeCell ref="A32:M32"/>
    <mergeCell ref="C6:C7"/>
    <mergeCell ref="D6:D7"/>
    <mergeCell ref="A1:M1"/>
    <mergeCell ref="A95:E95"/>
    <mergeCell ref="A101:E101"/>
    <mergeCell ref="E112:M112"/>
    <mergeCell ref="A104:E104"/>
    <mergeCell ref="G95:K95"/>
    <mergeCell ref="E111:M111"/>
    <mergeCell ref="A109:D109"/>
    <mergeCell ref="A112:D112"/>
    <mergeCell ref="J101:L101"/>
    <mergeCell ref="A6:A7"/>
    <mergeCell ref="M6:M7"/>
    <mergeCell ref="A99:E99"/>
    <mergeCell ref="E6:E7"/>
    <mergeCell ref="B6:B7"/>
    <mergeCell ref="G96:K96"/>
    <mergeCell ref="E114:M114"/>
    <mergeCell ref="E105:M105"/>
    <mergeCell ref="A111:D111"/>
    <mergeCell ref="E108:M108"/>
    <mergeCell ref="A114:D114"/>
    <mergeCell ref="E110:M110"/>
    <mergeCell ref="A107:D107"/>
    <mergeCell ref="E113:M113"/>
    <mergeCell ref="A106:D106"/>
    <mergeCell ref="A108:D108"/>
    <mergeCell ref="E106:M106"/>
    <mergeCell ref="A113:D113"/>
    <mergeCell ref="E107:M107"/>
    <mergeCell ref="G2:H2"/>
    <mergeCell ref="A8:M8"/>
    <mergeCell ref="A98:E98"/>
    <mergeCell ref="A4:M4"/>
    <mergeCell ref="A2:C2"/>
    <mergeCell ref="K2:M2"/>
    <mergeCell ref="D2:E2"/>
    <mergeCell ref="F6:I6"/>
    <mergeCell ref="K3:M3"/>
    <mergeCell ref="A41:M41"/>
    <mergeCell ref="A3:J3"/>
  </mergeCells>
  <conditionalFormatting sqref="F9:I93">
    <cfRule type="expression" dxfId="59" priority="1">
      <formula>AND(F9&lt;&gt;"",COUNTIF($F9:$I9,"X")&gt;1)</formula>
    </cfRule>
  </conditionalFormatting>
  <conditionalFormatting sqref="F101:L101">
    <cfRule type="expression" dxfId="58" priority="5">
      <formula>LEFT(F101,4)="ERRO"</formula>
    </cfRule>
    <cfRule type="expression" dxfId="57" priority="6">
      <formula>LEFT(F101,2)="OK"</formula>
    </cfRule>
  </conditionalFormatting>
  <conditionalFormatting sqref="J9:L93">
    <cfRule type="expression" dxfId="56" priority="2">
      <formula>AND(J9&lt;&gt;"",COUNTIF($J9:$L9,"X")&gt;1)</formula>
    </cfRule>
  </conditionalFormatting>
  <conditionalFormatting sqref="N9:N93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3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3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93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229</oddHeader>
    <oddFooter>&amp;L&amp;7 RTA / MSI — Programa de Manutenção Rodoviária&amp;C&amp;7 Página &amp;P de &amp;N&amp;R&amp;7 Impresso em &amp;D</oddFooter>
  </headerFooter>
  <rowBreaks count="1" manualBreakCount="1">
    <brk id="9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0"/>
  <sheetViews>
    <sheetView showGridLines="0" workbookViewId="0">
      <pane xSplit="5" ySplit="7" topLeftCell="F3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IF(F55=0,NA(),F55)</f>
        <v>34.254615762579995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34.254615762579995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81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82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83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84</v>
      </c>
      <c r="B9" s="15" t="s">
        <v>47</v>
      </c>
      <c r="C9" s="16">
        <v>0</v>
      </c>
      <c r="D9" s="16">
        <v>1</v>
      </c>
      <c r="E9" s="16">
        <f t="shared" ref="E9:E30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84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84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84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84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84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84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84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84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84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84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84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84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84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84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84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84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84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84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84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84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84</v>
      </c>
      <c r="B30" s="21" t="s">
        <v>47</v>
      </c>
      <c r="C30" s="22">
        <v>21</v>
      </c>
      <c r="D30" s="22">
        <v>21.3542155608</v>
      </c>
      <c r="E30" s="22">
        <f t="shared" si="1"/>
        <v>0.35421556080000016</v>
      </c>
      <c r="F30" s="23" t="s">
        <v>76</v>
      </c>
      <c r="G30" s="23"/>
      <c r="H30" s="23"/>
      <c r="I30" s="23"/>
      <c r="J30" s="23" t="s">
        <v>76</v>
      </c>
      <c r="K30" s="23"/>
      <c r="L30" s="23"/>
      <c r="M30" s="24"/>
      <c r="N30" s="25" t="str">
        <f t="shared" si="2"/>
        <v>OK</v>
      </c>
    </row>
    <row r="31" spans="1:14" ht="15.95" customHeight="1" x14ac:dyDescent="0.25">
      <c r="A31" s="38" t="s">
        <v>85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4"/>
    </row>
    <row r="32" spans="1:14" ht="20.100000000000001" customHeight="1" x14ac:dyDescent="0.25">
      <c r="A32" s="14" t="s">
        <v>86</v>
      </c>
      <c r="B32" s="15" t="s">
        <v>47</v>
      </c>
      <c r="C32" s="16">
        <v>0</v>
      </c>
      <c r="D32" s="16">
        <v>1</v>
      </c>
      <c r="E32" s="16">
        <f t="shared" ref="E32:E38" si="3">D32-C32</f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ref="N32:N38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4" t="s">
        <v>86</v>
      </c>
      <c r="B33" s="15" t="s">
        <v>47</v>
      </c>
      <c r="C33" s="16">
        <v>1</v>
      </c>
      <c r="D33" s="16">
        <v>2</v>
      </c>
      <c r="E33" s="16">
        <f t="shared" si="3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86</v>
      </c>
      <c r="B34" s="15" t="s">
        <v>47</v>
      </c>
      <c r="C34" s="16">
        <v>2</v>
      </c>
      <c r="D34" s="16">
        <v>3</v>
      </c>
      <c r="E34" s="16">
        <f t="shared" si="3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86</v>
      </c>
      <c r="B35" s="15" t="s">
        <v>47</v>
      </c>
      <c r="C35" s="16">
        <v>3</v>
      </c>
      <c r="D35" s="16">
        <v>4</v>
      </c>
      <c r="E35" s="16">
        <f t="shared" si="3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86</v>
      </c>
      <c r="B36" s="15" t="s">
        <v>47</v>
      </c>
      <c r="C36" s="16">
        <v>4</v>
      </c>
      <c r="D36" s="16">
        <v>5</v>
      </c>
      <c r="E36" s="16">
        <f t="shared" si="3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86</v>
      </c>
      <c r="B37" s="15" t="s">
        <v>47</v>
      </c>
      <c r="C37" s="16">
        <v>5</v>
      </c>
      <c r="D37" s="16">
        <v>6</v>
      </c>
      <c r="E37" s="16">
        <f t="shared" si="3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20" t="s">
        <v>86</v>
      </c>
      <c r="B38" s="21" t="s">
        <v>47</v>
      </c>
      <c r="C38" s="22">
        <v>6</v>
      </c>
      <c r="D38" s="22">
        <v>6.2394458372699999</v>
      </c>
      <c r="E38" s="22">
        <f t="shared" si="3"/>
        <v>0.23944583726999991</v>
      </c>
      <c r="F38" s="23" t="s">
        <v>76</v>
      </c>
      <c r="G38" s="23"/>
      <c r="H38" s="23"/>
      <c r="I38" s="23"/>
      <c r="J38" s="23" t="s">
        <v>76</v>
      </c>
      <c r="K38" s="23"/>
      <c r="L38" s="23"/>
      <c r="M38" s="24"/>
      <c r="N38" s="25" t="str">
        <f t="shared" si="4"/>
        <v>OK</v>
      </c>
    </row>
    <row r="39" spans="1:14" ht="15.95" customHeight="1" x14ac:dyDescent="0.25">
      <c r="A39" s="38" t="s">
        <v>87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4"/>
      <c r="N39" s="4"/>
    </row>
    <row r="40" spans="1:14" ht="20.100000000000001" customHeight="1" x14ac:dyDescent="0.25">
      <c r="A40" s="14" t="s">
        <v>88</v>
      </c>
      <c r="B40" s="15" t="s">
        <v>47</v>
      </c>
      <c r="C40" s="16">
        <v>0</v>
      </c>
      <c r="D40" s="16">
        <v>1</v>
      </c>
      <c r="E40" s="16">
        <f t="shared" ref="E40:E45" si="5">D40-C40</f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ref="N40:N45" si="6">IF(COUNTA(F40:L40)=0,"— não preenchido",IF(COUNTIF(F40:I40,"X")&lt;&gt;1,"FALTA/DUPLA: CONDIÇÃO DA PLATAFORMA",IF(COUNTIF(J40:L40,"X")&lt;&gt;1,"FALTA/DUPLA: DRENAGEM SUPERFICIAL","OK")))</f>
        <v>OK</v>
      </c>
    </row>
    <row r="41" spans="1:14" ht="20.100000000000001" customHeight="1" x14ac:dyDescent="0.25">
      <c r="A41" s="14" t="s">
        <v>88</v>
      </c>
      <c r="B41" s="15" t="s">
        <v>47</v>
      </c>
      <c r="C41" s="16">
        <v>1</v>
      </c>
      <c r="D41" s="16">
        <v>2</v>
      </c>
      <c r="E41" s="16">
        <f t="shared" si="5"/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si="6"/>
        <v>OK</v>
      </c>
    </row>
    <row r="42" spans="1:14" ht="20.100000000000001" customHeight="1" x14ac:dyDescent="0.25">
      <c r="A42" s="14" t="s">
        <v>88</v>
      </c>
      <c r="B42" s="15" t="s">
        <v>47</v>
      </c>
      <c r="C42" s="16">
        <v>2</v>
      </c>
      <c r="D42" s="16">
        <v>3</v>
      </c>
      <c r="E42" s="16">
        <f t="shared" si="5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6"/>
        <v>OK</v>
      </c>
    </row>
    <row r="43" spans="1:14" ht="20.100000000000001" customHeight="1" x14ac:dyDescent="0.25">
      <c r="A43" s="14" t="s">
        <v>88</v>
      </c>
      <c r="B43" s="15" t="s">
        <v>47</v>
      </c>
      <c r="C43" s="16">
        <v>3</v>
      </c>
      <c r="D43" s="16">
        <v>4</v>
      </c>
      <c r="E43" s="16">
        <f t="shared" si="5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6"/>
        <v>OK</v>
      </c>
    </row>
    <row r="44" spans="1:14" ht="20.100000000000001" customHeight="1" x14ac:dyDescent="0.25">
      <c r="A44" s="14" t="s">
        <v>88</v>
      </c>
      <c r="B44" s="15" t="s">
        <v>47</v>
      </c>
      <c r="C44" s="16">
        <v>4</v>
      </c>
      <c r="D44" s="16">
        <v>5</v>
      </c>
      <c r="E44" s="16">
        <f t="shared" si="5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6"/>
        <v>OK</v>
      </c>
    </row>
    <row r="45" spans="1:14" ht="20.100000000000001" customHeight="1" x14ac:dyDescent="0.25">
      <c r="A45" s="20" t="s">
        <v>88</v>
      </c>
      <c r="B45" s="21" t="s">
        <v>47</v>
      </c>
      <c r="C45" s="22">
        <v>5</v>
      </c>
      <c r="D45" s="22">
        <v>5.3298941924200003</v>
      </c>
      <c r="E45" s="22">
        <f t="shared" si="5"/>
        <v>0.32989419242000029</v>
      </c>
      <c r="F45" s="23" t="s">
        <v>76</v>
      </c>
      <c r="G45" s="23"/>
      <c r="H45" s="23"/>
      <c r="I45" s="23"/>
      <c r="J45" s="23" t="s">
        <v>76</v>
      </c>
      <c r="K45" s="23"/>
      <c r="L45" s="23"/>
      <c r="M45" s="24"/>
      <c r="N45" s="25" t="str">
        <f t="shared" si="6"/>
        <v>OK</v>
      </c>
    </row>
    <row r="46" spans="1:14" ht="15" customHeight="1" x14ac:dyDescent="0.25">
      <c r="A46" s="51" t="s">
        <v>89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4"/>
      <c r="N46" s="4"/>
    </row>
    <row r="47" spans="1:14" ht="15.95" customHeight="1" x14ac:dyDescent="0.25">
      <c r="A47" s="38" t="s">
        <v>90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4"/>
      <c r="N47" s="4"/>
    </row>
    <row r="48" spans="1:14" ht="20.100000000000001" customHeight="1" x14ac:dyDescent="0.25">
      <c r="A48" s="14" t="s">
        <v>91</v>
      </c>
      <c r="B48" s="15" t="s">
        <v>47</v>
      </c>
      <c r="C48" s="16">
        <v>0</v>
      </c>
      <c r="D48" s="16">
        <v>1</v>
      </c>
      <c r="E48" s="16">
        <f>D48-C48</f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>IF(COUNTA(F48:L48)=0,"— não preenchido",IF(COUNTIF(F48:I48,"X")&lt;&gt;1,"FALTA/DUPLA: CONDIÇÃO DA PLATAFORMA",IF(COUNTIF(J48:L48,"X")&lt;&gt;1,"FALTA/DUPLA: DRENAGEM SUPERFICIAL","OK")))</f>
        <v>OK</v>
      </c>
    </row>
    <row r="49" spans="1:14" ht="20.100000000000001" customHeight="1" x14ac:dyDescent="0.25">
      <c r="A49" s="20" t="s">
        <v>91</v>
      </c>
      <c r="B49" s="21" t="s">
        <v>47</v>
      </c>
      <c r="C49" s="22">
        <v>1</v>
      </c>
      <c r="D49" s="22">
        <v>1.3310601720899999</v>
      </c>
      <c r="E49" s="22">
        <f>D49-C49</f>
        <v>0.33106017208999994</v>
      </c>
      <c r="F49" s="23" t="s">
        <v>76</v>
      </c>
      <c r="G49" s="23"/>
      <c r="H49" s="23"/>
      <c r="I49" s="23"/>
      <c r="J49" s="23" t="s">
        <v>76</v>
      </c>
      <c r="K49" s="23"/>
      <c r="L49" s="23"/>
      <c r="M49" s="24"/>
      <c r="N49" s="25" t="str">
        <f>IF(COUNTA(F49:L49)=0,"— não preenchido",IF(COUNTIF(F49:I49,"X")&lt;&gt;1,"FALTA/DUPLA: CONDIÇÃO DA PLATAFORMA",IF(COUNTIF(J49:L49,"X")&lt;&gt;1,"FALTA/DUPLA: DRENAGEM SUPERFICIAL","OK")))</f>
        <v>OK</v>
      </c>
    </row>
    <row r="51" spans="1:14" x14ac:dyDescent="0.25">
      <c r="A51" s="46" t="s">
        <v>48</v>
      </c>
      <c r="B51" s="31"/>
      <c r="C51" s="31"/>
      <c r="D51" s="31"/>
      <c r="E51" s="31"/>
      <c r="G51" s="46" t="s">
        <v>48</v>
      </c>
      <c r="H51" s="31"/>
      <c r="I51" s="31"/>
      <c r="J51" s="31"/>
      <c r="K51" s="31"/>
    </row>
    <row r="52" spans="1:14" x14ac:dyDescent="0.25">
      <c r="A52" s="45" t="s">
        <v>49</v>
      </c>
      <c r="B52" s="31"/>
      <c r="C52" s="31"/>
      <c r="D52" s="31"/>
      <c r="E52" s="31"/>
      <c r="G52" s="45" t="s">
        <v>50</v>
      </c>
      <c r="H52" s="31"/>
      <c r="I52" s="31"/>
      <c r="J52" s="31"/>
      <c r="K52" s="31"/>
    </row>
    <row r="54" spans="1:14" x14ac:dyDescent="0.25">
      <c r="A54" s="43" t="s">
        <v>51</v>
      </c>
      <c r="B54" s="31"/>
      <c r="C54" s="31"/>
      <c r="D54" s="31"/>
      <c r="E54" s="31"/>
      <c r="F54" s="26"/>
      <c r="G54" s="26"/>
      <c r="H54" s="26"/>
      <c r="I54" s="26"/>
      <c r="J54" s="26"/>
      <c r="K54" s="26"/>
      <c r="L54" s="26"/>
      <c r="M54" s="26"/>
    </row>
    <row r="55" spans="1:14" x14ac:dyDescent="0.25">
      <c r="A55" s="47" t="s">
        <v>52</v>
      </c>
      <c r="B55" s="31"/>
      <c r="C55" s="31"/>
      <c r="D55" s="31"/>
      <c r="E55" s="31"/>
      <c r="F55" s="9">
        <f t="shared" ref="F55:L55" si="7">SUMIF(F$9:F$49,"X",$E$9:$E$49)</f>
        <v>34.254615762579995</v>
      </c>
      <c r="G55" s="9">
        <f t="shared" si="7"/>
        <v>0</v>
      </c>
      <c r="H55" s="9">
        <f t="shared" si="7"/>
        <v>0</v>
      </c>
      <c r="I55" s="9">
        <f t="shared" si="7"/>
        <v>0</v>
      </c>
      <c r="J55" s="9">
        <f t="shared" si="7"/>
        <v>34.254615762579995</v>
      </c>
      <c r="K55" s="9">
        <f t="shared" si="7"/>
        <v>0</v>
      </c>
      <c r="L55" s="9">
        <f t="shared" si="7"/>
        <v>0</v>
      </c>
    </row>
    <row r="56" spans="1:14" x14ac:dyDescent="0.25">
      <c r="A56" s="47" t="s">
        <v>53</v>
      </c>
      <c r="B56" s="31"/>
      <c r="C56" s="31"/>
      <c r="D56" s="31"/>
      <c r="E56" s="31"/>
      <c r="F56" s="27">
        <f t="shared" ref="F56:L56" si="8">IF($I58=0,0,F55/$I58)</f>
        <v>1</v>
      </c>
      <c r="G56" s="27">
        <f t="shared" si="8"/>
        <v>0</v>
      </c>
      <c r="H56" s="27">
        <f t="shared" si="8"/>
        <v>0</v>
      </c>
      <c r="I56" s="27">
        <f t="shared" si="8"/>
        <v>0</v>
      </c>
      <c r="J56" s="27">
        <f t="shared" si="8"/>
        <v>1</v>
      </c>
      <c r="K56" s="27">
        <f t="shared" si="8"/>
        <v>0</v>
      </c>
      <c r="L56" s="27">
        <f t="shared" si="8"/>
        <v>0</v>
      </c>
    </row>
    <row r="57" spans="1:14" x14ac:dyDescent="0.25">
      <c r="A57" s="47" t="s">
        <v>54</v>
      </c>
      <c r="B57" s="31"/>
      <c r="C57" s="31"/>
      <c r="D57" s="31"/>
      <c r="E57" s="31"/>
      <c r="F57" s="49" t="str">
        <f>IF(SUM(F55:I55)=0,"— não preenchido",IF(ROUND(SUM(F55:I55)-$I58,3)=0,"OK — "&amp;ROUND(SUM(F55:I55),3)&amp;" km","ERRO — dif. de "&amp;ROUND(SUM(F55:I55)-$I58,3)&amp;" km"))</f>
        <v>OK — 34,255 km</v>
      </c>
      <c r="G57" s="33"/>
      <c r="H57" s="33"/>
      <c r="I57" s="34"/>
      <c r="J57" s="49" t="str">
        <f>IF(SUM(J55:L55)=0,"— não preenchido",IF(ROUND(SUM(J55:L55)-$I58,3)=0,"OK — "&amp;ROUND(SUM(J55:L55),3)&amp;" km","ERRO — dif. de "&amp;ROUND(SUM(J55:L55)-$I58,3)&amp;" km"))</f>
        <v>OK — 34,255 km</v>
      </c>
      <c r="K57" s="33"/>
      <c r="L57" s="34"/>
    </row>
    <row r="58" spans="1:14" x14ac:dyDescent="0.25">
      <c r="A58" s="47" t="s">
        <v>55</v>
      </c>
      <c r="B58" s="31"/>
      <c r="C58" s="31"/>
      <c r="D58" s="31"/>
      <c r="E58" s="31"/>
      <c r="I58" s="28">
        <f>SUM(E9:E49)</f>
        <v>34.254615762579995</v>
      </c>
      <c r="M58" s="8" t="str">
        <f>COUNTIF(N9:N49,"OK")&amp;" de "&amp;COUNT($E$9:$E$49)&amp;" linhas conferidas"</f>
        <v>37 de 37 linhas conferidas</v>
      </c>
    </row>
    <row r="60" spans="1:14" x14ac:dyDescent="0.25">
      <c r="A60" s="48" t="s">
        <v>56</v>
      </c>
      <c r="B60" s="31"/>
      <c r="C60" s="31"/>
      <c r="D60" s="31"/>
      <c r="E60" s="31"/>
    </row>
    <row r="61" spans="1:14" x14ac:dyDescent="0.25">
      <c r="A61" s="47" t="s">
        <v>10</v>
      </c>
      <c r="B61" s="31"/>
      <c r="C61" s="31"/>
      <c r="D61" s="31"/>
      <c r="E61" s="44" t="s">
        <v>57</v>
      </c>
      <c r="F61" s="31"/>
      <c r="G61" s="31"/>
      <c r="H61" s="31"/>
      <c r="I61" s="31"/>
      <c r="J61" s="31"/>
      <c r="K61" s="31"/>
      <c r="L61" s="31"/>
      <c r="M61" s="31"/>
    </row>
    <row r="62" spans="1:14" x14ac:dyDescent="0.25">
      <c r="A62" s="47" t="s">
        <v>11</v>
      </c>
      <c r="B62" s="31"/>
      <c r="C62" s="31"/>
      <c r="D62" s="31"/>
      <c r="E62" s="44" t="s">
        <v>58</v>
      </c>
      <c r="F62" s="31"/>
      <c r="G62" s="31"/>
      <c r="H62" s="31"/>
      <c r="I62" s="31"/>
      <c r="J62" s="31"/>
      <c r="K62" s="31"/>
      <c r="L62" s="31"/>
      <c r="M62" s="31"/>
    </row>
    <row r="63" spans="1:14" x14ac:dyDescent="0.25">
      <c r="A63" s="47" t="s">
        <v>12</v>
      </c>
      <c r="B63" s="31"/>
      <c r="C63" s="31"/>
      <c r="D63" s="31"/>
      <c r="E63" s="44" t="s">
        <v>59</v>
      </c>
      <c r="F63" s="31"/>
      <c r="G63" s="31"/>
      <c r="H63" s="31"/>
      <c r="I63" s="31"/>
      <c r="J63" s="31"/>
      <c r="K63" s="31"/>
      <c r="L63" s="31"/>
      <c r="M63" s="31"/>
    </row>
    <row r="64" spans="1:14" x14ac:dyDescent="0.25">
      <c r="A64" s="47" t="s">
        <v>60</v>
      </c>
      <c r="B64" s="31"/>
      <c r="C64" s="31"/>
      <c r="D64" s="31"/>
      <c r="E64" s="44" t="s">
        <v>61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47" t="s">
        <v>62</v>
      </c>
      <c r="B65" s="31"/>
      <c r="C65" s="31"/>
      <c r="D65" s="31"/>
      <c r="E65" s="44" t="s">
        <v>63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47" t="s">
        <v>64</v>
      </c>
      <c r="B66" s="31"/>
      <c r="C66" s="31"/>
      <c r="D66" s="31"/>
      <c r="E66" s="44" t="s">
        <v>65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47" t="s">
        <v>39</v>
      </c>
      <c r="B67" s="31"/>
      <c r="C67" s="31"/>
      <c r="D67" s="31"/>
      <c r="E67" s="44" t="s">
        <v>66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47" t="s">
        <v>67</v>
      </c>
      <c r="B68" s="31"/>
      <c r="C68" s="31"/>
      <c r="D68" s="31"/>
      <c r="E68" s="44" t="s">
        <v>68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47" t="s">
        <v>69</v>
      </c>
      <c r="B69" s="31"/>
      <c r="C69" s="31"/>
      <c r="D69" s="31"/>
      <c r="E69" s="44" t="s">
        <v>70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47" t="s">
        <v>8</v>
      </c>
      <c r="B70" s="31"/>
      <c r="C70" s="31"/>
      <c r="D70" s="31"/>
      <c r="E70" s="44" t="s">
        <v>71</v>
      </c>
      <c r="F70" s="31"/>
      <c r="G70" s="31"/>
      <c r="H70" s="31"/>
      <c r="I70" s="31"/>
      <c r="J70" s="31"/>
      <c r="K70" s="31"/>
      <c r="L70" s="31"/>
      <c r="M70" s="31"/>
    </row>
  </sheetData>
  <sheetProtection formatCells="0"/>
  <mergeCells count="54">
    <mergeCell ref="N6:N7"/>
    <mergeCell ref="K3:M3"/>
    <mergeCell ref="A66:D66"/>
    <mergeCell ref="A46:M46"/>
    <mergeCell ref="E62:M62"/>
    <mergeCell ref="J57:L57"/>
    <mergeCell ref="G51:K51"/>
    <mergeCell ref="A52:E52"/>
    <mergeCell ref="A3:J3"/>
    <mergeCell ref="C6:C7"/>
    <mergeCell ref="E64:M64"/>
    <mergeCell ref="D6:D7"/>
    <mergeCell ref="A47:M47"/>
    <mergeCell ref="A58:E58"/>
    <mergeCell ref="E63:M63"/>
    <mergeCell ref="A1:M1"/>
    <mergeCell ref="A57:E57"/>
    <mergeCell ref="A61:D61"/>
    <mergeCell ref="A69:D69"/>
    <mergeCell ref="E66:M66"/>
    <mergeCell ref="A65:D65"/>
    <mergeCell ref="E68:M68"/>
    <mergeCell ref="E67:M67"/>
    <mergeCell ref="A2:C2"/>
    <mergeCell ref="K2:M2"/>
    <mergeCell ref="D2:E2"/>
    <mergeCell ref="A64:D64"/>
    <mergeCell ref="M6:M7"/>
    <mergeCell ref="A39:M39"/>
    <mergeCell ref="J6:L6"/>
    <mergeCell ref="G52:K52"/>
    <mergeCell ref="E70:M70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68:D68"/>
    <mergeCell ref="A67:D67"/>
    <mergeCell ref="F57:I57"/>
    <mergeCell ref="A54:E54"/>
    <mergeCell ref="A31:M31"/>
    <mergeCell ref="E61:M61"/>
    <mergeCell ref="G2:H2"/>
    <mergeCell ref="A8:M8"/>
    <mergeCell ref="A62:D62"/>
    <mergeCell ref="A60:E60"/>
    <mergeCell ref="A4:M4"/>
    <mergeCell ref="A51:E51"/>
    <mergeCell ref="E6:E7"/>
  </mergeCells>
  <conditionalFormatting sqref="F9:I49">
    <cfRule type="expression" dxfId="53" priority="1">
      <formula>AND(F9&lt;&gt;"",COUNTIF($F9:$I9,"X")&gt;1)</formula>
    </cfRule>
  </conditionalFormatting>
  <conditionalFormatting sqref="F57:L57">
    <cfRule type="expression" dxfId="52" priority="5">
      <formula>LEFT(F57,4)="ERRO"</formula>
    </cfRule>
    <cfRule type="expression" dxfId="51" priority="6">
      <formula>LEFT(F57,2)="OK"</formula>
    </cfRule>
  </conditionalFormatting>
  <conditionalFormatting sqref="J9:L49">
    <cfRule type="expression" dxfId="50" priority="2">
      <formula>AND(J9&lt;&gt;"",COUNTIF($J9:$L9,"X")&gt;1)</formula>
    </cfRule>
  </conditionalFormatting>
  <conditionalFormatting sqref="N9:N49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21"/>
  <sheetViews>
    <sheetView showGridLines="0" workbookViewId="0">
      <pane xSplit="5" ySplit="7" topLeftCell="F61" activePane="bottomRight" state="frozen"/>
      <selection pane="topRight"/>
      <selection pane="bottomLeft"/>
      <selection pane="bottomRight" activeCell="L77" sqref="L77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IF(F106=0,NA(),F106)</f>
        <v>87.831044979669983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20.9453418423</v>
      </c>
      <c r="U2" s="2" t="e">
        <f t="shared" si="0"/>
        <v>#N/A</v>
      </c>
      <c r="V2" s="2">
        <f t="shared" si="0"/>
        <v>66.885703137369987</v>
      </c>
    </row>
    <row r="3" spans="1:22" ht="15" customHeight="1" x14ac:dyDescent="0.25">
      <c r="A3" s="50" t="s">
        <v>92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93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94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95</v>
      </c>
      <c r="B9" s="15" t="s">
        <v>47</v>
      </c>
      <c r="C9" s="16">
        <v>0</v>
      </c>
      <c r="D9" s="16">
        <v>1</v>
      </c>
      <c r="E9" s="16">
        <f t="shared" ref="E9:E34" si="1">D9-C9</f>
        <v>1</v>
      </c>
      <c r="F9" s="17" t="s">
        <v>76</v>
      </c>
      <c r="G9" s="17"/>
      <c r="H9" s="17"/>
      <c r="I9" s="17"/>
      <c r="J9" s="17"/>
      <c r="K9" s="17"/>
      <c r="L9" s="17" t="s">
        <v>76</v>
      </c>
      <c r="M9" s="18"/>
      <c r="N9" s="19" t="str">
        <f t="shared" ref="N9:N3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/>
      <c r="K10" s="17"/>
      <c r="L10" s="17" t="s">
        <v>76</v>
      </c>
      <c r="M10" s="18"/>
      <c r="N10" s="19" t="str">
        <f t="shared" si="2"/>
        <v>OK</v>
      </c>
    </row>
    <row r="11" spans="1:22" ht="20.100000000000001" customHeight="1" x14ac:dyDescent="0.25">
      <c r="A11" s="14" t="s">
        <v>95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/>
      <c r="K11" s="17"/>
      <c r="L11" s="17" t="s">
        <v>76</v>
      </c>
      <c r="M11" s="18"/>
      <c r="N11" s="19" t="str">
        <f t="shared" si="2"/>
        <v>OK</v>
      </c>
    </row>
    <row r="12" spans="1:22" ht="20.100000000000001" customHeight="1" x14ac:dyDescent="0.25">
      <c r="A12" s="14" t="s">
        <v>95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/>
      <c r="K12" s="17"/>
      <c r="L12" s="17" t="s">
        <v>76</v>
      </c>
      <c r="M12" s="18"/>
      <c r="N12" s="19" t="str">
        <f t="shared" si="2"/>
        <v>OK</v>
      </c>
    </row>
    <row r="13" spans="1:22" ht="20.100000000000001" customHeight="1" x14ac:dyDescent="0.25">
      <c r="A13" s="14" t="s">
        <v>95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/>
      <c r="K13" s="17"/>
      <c r="L13" s="17" t="s">
        <v>76</v>
      </c>
      <c r="M13" s="18"/>
      <c r="N13" s="19" t="str">
        <f t="shared" si="2"/>
        <v>OK</v>
      </c>
    </row>
    <row r="14" spans="1:22" ht="20.100000000000001" customHeight="1" x14ac:dyDescent="0.25">
      <c r="A14" s="14" t="s">
        <v>95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/>
      <c r="K14" s="17"/>
      <c r="L14" s="17" t="s">
        <v>76</v>
      </c>
      <c r="M14" s="18"/>
      <c r="N14" s="19" t="str">
        <f t="shared" si="2"/>
        <v>OK</v>
      </c>
    </row>
    <row r="15" spans="1:22" ht="20.100000000000001" customHeight="1" x14ac:dyDescent="0.25">
      <c r="A15" s="14" t="s">
        <v>95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/>
      <c r="K15" s="17"/>
      <c r="L15" s="17" t="s">
        <v>76</v>
      </c>
      <c r="M15" s="18"/>
      <c r="N15" s="19" t="str">
        <f t="shared" si="2"/>
        <v>OK</v>
      </c>
    </row>
    <row r="16" spans="1:22" ht="20.100000000000001" customHeight="1" x14ac:dyDescent="0.25">
      <c r="A16" s="14" t="s">
        <v>95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/>
      <c r="K16" s="17"/>
      <c r="L16" s="17" t="s">
        <v>76</v>
      </c>
      <c r="M16" s="18"/>
      <c r="N16" s="19" t="str">
        <f t="shared" si="2"/>
        <v>OK</v>
      </c>
    </row>
    <row r="17" spans="1:14" ht="20.100000000000001" customHeight="1" x14ac:dyDescent="0.25">
      <c r="A17" s="14" t="s">
        <v>95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/>
      <c r="K17" s="17"/>
      <c r="L17" s="17" t="s">
        <v>76</v>
      </c>
      <c r="M17" s="18"/>
      <c r="N17" s="19" t="str">
        <f t="shared" si="2"/>
        <v>OK</v>
      </c>
    </row>
    <row r="18" spans="1:14" ht="20.100000000000001" customHeight="1" x14ac:dyDescent="0.25">
      <c r="A18" s="14" t="s">
        <v>95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/>
      <c r="K18" s="17"/>
      <c r="L18" s="17" t="s">
        <v>76</v>
      </c>
      <c r="M18" s="18"/>
      <c r="N18" s="19" t="str">
        <f t="shared" si="2"/>
        <v>OK</v>
      </c>
    </row>
    <row r="19" spans="1:14" ht="20.100000000000001" customHeight="1" x14ac:dyDescent="0.25">
      <c r="A19" s="14" t="s">
        <v>95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/>
      <c r="K19" s="17"/>
      <c r="L19" s="17" t="s">
        <v>76</v>
      </c>
      <c r="M19" s="18"/>
      <c r="N19" s="19" t="str">
        <f t="shared" si="2"/>
        <v>OK</v>
      </c>
    </row>
    <row r="20" spans="1:14" ht="20.100000000000001" customHeight="1" x14ac:dyDescent="0.25">
      <c r="A20" s="14" t="s">
        <v>95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/>
      <c r="K20" s="17"/>
      <c r="L20" s="17" t="s">
        <v>76</v>
      </c>
      <c r="M20" s="18"/>
      <c r="N20" s="19" t="str">
        <f t="shared" si="2"/>
        <v>OK</v>
      </c>
    </row>
    <row r="21" spans="1:14" ht="20.100000000000001" customHeight="1" x14ac:dyDescent="0.25">
      <c r="A21" s="14" t="s">
        <v>95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/>
      <c r="K21" s="17"/>
      <c r="L21" s="17" t="s">
        <v>76</v>
      </c>
      <c r="M21" s="18"/>
      <c r="N21" s="19" t="str">
        <f t="shared" si="2"/>
        <v>OK</v>
      </c>
    </row>
    <row r="22" spans="1:14" ht="20.100000000000001" customHeight="1" x14ac:dyDescent="0.25">
      <c r="A22" s="14" t="s">
        <v>95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/>
      <c r="K22" s="17"/>
      <c r="L22" s="17" t="s">
        <v>76</v>
      </c>
      <c r="M22" s="18"/>
      <c r="N22" s="19" t="str">
        <f t="shared" si="2"/>
        <v>OK</v>
      </c>
    </row>
    <row r="23" spans="1:14" ht="20.100000000000001" customHeight="1" x14ac:dyDescent="0.25">
      <c r="A23" s="14" t="s">
        <v>95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/>
      <c r="K23" s="17"/>
      <c r="L23" s="17" t="s">
        <v>76</v>
      </c>
      <c r="M23" s="18"/>
      <c r="N23" s="19" t="str">
        <f t="shared" si="2"/>
        <v>OK</v>
      </c>
    </row>
    <row r="24" spans="1:14" ht="20.100000000000001" customHeight="1" x14ac:dyDescent="0.25">
      <c r="A24" s="14" t="s">
        <v>95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/>
      <c r="K24" s="17"/>
      <c r="L24" s="17" t="s">
        <v>76</v>
      </c>
      <c r="M24" s="18"/>
      <c r="N24" s="19" t="str">
        <f t="shared" si="2"/>
        <v>OK</v>
      </c>
    </row>
    <row r="25" spans="1:14" ht="20.100000000000001" customHeight="1" x14ac:dyDescent="0.25">
      <c r="A25" s="14" t="s">
        <v>95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/>
      <c r="K25" s="17"/>
      <c r="L25" s="17" t="s">
        <v>76</v>
      </c>
      <c r="M25" s="18"/>
      <c r="N25" s="19" t="str">
        <f t="shared" si="2"/>
        <v>OK</v>
      </c>
    </row>
    <row r="26" spans="1:14" ht="20.100000000000001" customHeight="1" x14ac:dyDescent="0.25">
      <c r="A26" s="14" t="s">
        <v>95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/>
      <c r="K26" s="17"/>
      <c r="L26" s="17" t="s">
        <v>76</v>
      </c>
      <c r="M26" s="18"/>
      <c r="N26" s="19" t="str">
        <f t="shared" si="2"/>
        <v>OK</v>
      </c>
    </row>
    <row r="27" spans="1:14" ht="20.100000000000001" customHeight="1" x14ac:dyDescent="0.25">
      <c r="A27" s="14" t="s">
        <v>95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/>
      <c r="K27" s="17"/>
      <c r="L27" s="17" t="s">
        <v>76</v>
      </c>
      <c r="M27" s="18"/>
      <c r="N27" s="19" t="str">
        <f t="shared" si="2"/>
        <v>OK</v>
      </c>
    </row>
    <row r="28" spans="1:14" ht="20.100000000000001" customHeight="1" x14ac:dyDescent="0.25">
      <c r="A28" s="14" t="s">
        <v>95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/>
      <c r="K28" s="17"/>
      <c r="L28" s="17" t="s">
        <v>76</v>
      </c>
      <c r="M28" s="18"/>
      <c r="N28" s="19" t="str">
        <f t="shared" si="2"/>
        <v>OK</v>
      </c>
    </row>
    <row r="29" spans="1:14" ht="20.100000000000001" customHeight="1" x14ac:dyDescent="0.25">
      <c r="A29" s="14" t="s">
        <v>95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/>
      <c r="K29" s="17"/>
      <c r="L29" s="17" t="s">
        <v>76</v>
      </c>
      <c r="M29" s="18"/>
      <c r="N29" s="19" t="str">
        <f t="shared" si="2"/>
        <v>OK</v>
      </c>
    </row>
    <row r="30" spans="1:14" ht="20.100000000000001" customHeight="1" x14ac:dyDescent="0.25">
      <c r="A30" s="14" t="s">
        <v>95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/>
      <c r="K30" s="17"/>
      <c r="L30" s="17" t="s">
        <v>76</v>
      </c>
      <c r="M30" s="18"/>
      <c r="N30" s="19" t="str">
        <f t="shared" si="2"/>
        <v>OK</v>
      </c>
    </row>
    <row r="31" spans="1:14" ht="20.100000000000001" customHeight="1" x14ac:dyDescent="0.25">
      <c r="A31" s="14" t="s">
        <v>95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/>
      <c r="K31" s="17"/>
      <c r="L31" s="17" t="s">
        <v>76</v>
      </c>
      <c r="M31" s="18"/>
      <c r="N31" s="19" t="str">
        <f t="shared" si="2"/>
        <v>OK</v>
      </c>
    </row>
    <row r="32" spans="1:14" ht="20.100000000000001" customHeight="1" x14ac:dyDescent="0.25">
      <c r="A32" s="14" t="s">
        <v>95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/>
      <c r="K32" s="17"/>
      <c r="L32" s="17" t="s">
        <v>76</v>
      </c>
      <c r="M32" s="18"/>
      <c r="N32" s="19" t="str">
        <f t="shared" si="2"/>
        <v>OK</v>
      </c>
    </row>
    <row r="33" spans="1:14" ht="20.100000000000001" customHeight="1" x14ac:dyDescent="0.25">
      <c r="A33" s="14" t="s">
        <v>95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/>
      <c r="K33" s="17"/>
      <c r="L33" s="17" t="s">
        <v>76</v>
      </c>
      <c r="M33" s="18"/>
      <c r="N33" s="19" t="str">
        <f t="shared" si="2"/>
        <v>OK</v>
      </c>
    </row>
    <row r="34" spans="1:14" ht="20.100000000000001" customHeight="1" x14ac:dyDescent="0.25">
      <c r="A34" s="20" t="s">
        <v>95</v>
      </c>
      <c r="B34" s="21" t="s">
        <v>47</v>
      </c>
      <c r="C34" s="22">
        <v>25</v>
      </c>
      <c r="D34" s="22">
        <v>25.932626726399999</v>
      </c>
      <c r="E34" s="22">
        <f t="shared" si="1"/>
        <v>0.93262672639999877</v>
      </c>
      <c r="F34" s="23" t="s">
        <v>76</v>
      </c>
      <c r="G34" s="23"/>
      <c r="H34" s="23"/>
      <c r="I34" s="23"/>
      <c r="J34" s="23"/>
      <c r="K34" s="23"/>
      <c r="L34" s="23" t="s">
        <v>76</v>
      </c>
      <c r="M34" s="24"/>
      <c r="N34" s="25" t="str">
        <f t="shared" si="2"/>
        <v>OK</v>
      </c>
    </row>
    <row r="35" spans="1:14" ht="15.95" customHeight="1" x14ac:dyDescent="0.25">
      <c r="A35" s="38" t="s">
        <v>96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4"/>
      <c r="N35" s="4"/>
    </row>
    <row r="36" spans="1:14" ht="20.100000000000001" customHeight="1" x14ac:dyDescent="0.25">
      <c r="A36" s="14" t="s">
        <v>97</v>
      </c>
      <c r="B36" s="15" t="s">
        <v>47</v>
      </c>
      <c r="C36" s="16">
        <v>0</v>
      </c>
      <c r="D36" s="16">
        <v>1</v>
      </c>
      <c r="E36" s="16">
        <f t="shared" ref="E36:E75" si="3">D36-C36</f>
        <v>1</v>
      </c>
      <c r="F36" s="17" t="s">
        <v>76</v>
      </c>
      <c r="G36" s="17"/>
      <c r="H36" s="17"/>
      <c r="I36" s="17"/>
      <c r="J36" s="17"/>
      <c r="K36" s="17"/>
      <c r="L36" s="17" t="s">
        <v>76</v>
      </c>
      <c r="M36" s="18"/>
      <c r="N36" s="19" t="str">
        <f t="shared" ref="N36:N75" si="4">IF(COUNTA(F36:L36)=0,"— não preenchido",IF(COUNTIF(F36:I36,"X")&lt;&gt;1,"FALTA/DUPLA: CONDIÇÃO DA PLATAFORMA",IF(COUNTIF(J36:L36,"X")&lt;&gt;1,"FALTA/DUPLA: DRENAGEM SUPERFICIAL","OK")))</f>
        <v>OK</v>
      </c>
    </row>
    <row r="37" spans="1:14" ht="20.100000000000001" customHeight="1" x14ac:dyDescent="0.25">
      <c r="A37" s="14" t="s">
        <v>97</v>
      </c>
      <c r="B37" s="15" t="s">
        <v>47</v>
      </c>
      <c r="C37" s="16">
        <v>1</v>
      </c>
      <c r="D37" s="16">
        <v>2</v>
      </c>
      <c r="E37" s="16">
        <f t="shared" si="3"/>
        <v>1</v>
      </c>
      <c r="F37" s="17" t="s">
        <v>76</v>
      </c>
      <c r="G37" s="17"/>
      <c r="H37" s="17"/>
      <c r="I37" s="17"/>
      <c r="J37" s="17"/>
      <c r="K37" s="17"/>
      <c r="L37" s="17" t="s">
        <v>76</v>
      </c>
      <c r="M37" s="18"/>
      <c r="N37" s="19" t="str">
        <f t="shared" si="4"/>
        <v>OK</v>
      </c>
    </row>
    <row r="38" spans="1:14" ht="20.100000000000001" customHeight="1" x14ac:dyDescent="0.25">
      <c r="A38" s="14" t="s">
        <v>97</v>
      </c>
      <c r="B38" s="15" t="s">
        <v>47</v>
      </c>
      <c r="C38" s="16">
        <v>2</v>
      </c>
      <c r="D38" s="16">
        <v>3</v>
      </c>
      <c r="E38" s="16">
        <f t="shared" si="3"/>
        <v>1</v>
      </c>
      <c r="F38" s="17" t="s">
        <v>76</v>
      </c>
      <c r="G38" s="17"/>
      <c r="H38" s="17"/>
      <c r="I38" s="17"/>
      <c r="J38" s="17"/>
      <c r="K38" s="17"/>
      <c r="L38" s="17" t="s">
        <v>76</v>
      </c>
      <c r="M38" s="18"/>
      <c r="N38" s="19" t="str">
        <f t="shared" si="4"/>
        <v>OK</v>
      </c>
    </row>
    <row r="39" spans="1:14" ht="20.100000000000001" customHeight="1" x14ac:dyDescent="0.25">
      <c r="A39" s="14" t="s">
        <v>97</v>
      </c>
      <c r="B39" s="15" t="s">
        <v>47</v>
      </c>
      <c r="C39" s="16">
        <v>3</v>
      </c>
      <c r="D39" s="16">
        <v>4</v>
      </c>
      <c r="E39" s="16">
        <f t="shared" si="3"/>
        <v>1</v>
      </c>
      <c r="F39" s="17" t="s">
        <v>76</v>
      </c>
      <c r="G39" s="17"/>
      <c r="H39" s="17"/>
      <c r="I39" s="17"/>
      <c r="J39" s="17"/>
      <c r="K39" s="17"/>
      <c r="L39" s="17" t="s">
        <v>76</v>
      </c>
      <c r="M39" s="18"/>
      <c r="N39" s="19" t="str">
        <f t="shared" si="4"/>
        <v>OK</v>
      </c>
    </row>
    <row r="40" spans="1:14" ht="20.100000000000001" customHeight="1" x14ac:dyDescent="0.25">
      <c r="A40" s="14" t="s">
        <v>97</v>
      </c>
      <c r="B40" s="15" t="s">
        <v>47</v>
      </c>
      <c r="C40" s="16">
        <v>4</v>
      </c>
      <c r="D40" s="16">
        <v>5</v>
      </c>
      <c r="E40" s="16">
        <f t="shared" si="3"/>
        <v>1</v>
      </c>
      <c r="F40" s="17" t="s">
        <v>76</v>
      </c>
      <c r="G40" s="17"/>
      <c r="H40" s="17"/>
      <c r="I40" s="17"/>
      <c r="J40" s="17"/>
      <c r="K40" s="17"/>
      <c r="L40" s="17" t="s">
        <v>76</v>
      </c>
      <c r="M40" s="18"/>
      <c r="N40" s="19" t="str">
        <f t="shared" si="4"/>
        <v>OK</v>
      </c>
    </row>
    <row r="41" spans="1:14" ht="20.100000000000001" customHeight="1" x14ac:dyDescent="0.25">
      <c r="A41" s="14" t="s">
        <v>97</v>
      </c>
      <c r="B41" s="15" t="s">
        <v>47</v>
      </c>
      <c r="C41" s="16">
        <v>5</v>
      </c>
      <c r="D41" s="16">
        <v>6</v>
      </c>
      <c r="E41" s="16">
        <f t="shared" si="3"/>
        <v>1</v>
      </c>
      <c r="F41" s="17" t="s">
        <v>76</v>
      </c>
      <c r="G41" s="17"/>
      <c r="H41" s="17"/>
      <c r="I41" s="17"/>
      <c r="J41" s="17"/>
      <c r="K41" s="17"/>
      <c r="L41" s="17" t="s">
        <v>76</v>
      </c>
      <c r="M41" s="18"/>
      <c r="N41" s="19" t="str">
        <f t="shared" si="4"/>
        <v>OK</v>
      </c>
    </row>
    <row r="42" spans="1:14" ht="20.100000000000001" customHeight="1" x14ac:dyDescent="0.25">
      <c r="A42" s="14" t="s">
        <v>97</v>
      </c>
      <c r="B42" s="15" t="s">
        <v>47</v>
      </c>
      <c r="C42" s="16">
        <v>6</v>
      </c>
      <c r="D42" s="16">
        <v>7</v>
      </c>
      <c r="E42" s="16">
        <f t="shared" si="3"/>
        <v>1</v>
      </c>
      <c r="F42" s="17" t="s">
        <v>76</v>
      </c>
      <c r="G42" s="17"/>
      <c r="H42" s="17"/>
      <c r="I42" s="17"/>
      <c r="J42" s="17"/>
      <c r="K42" s="17"/>
      <c r="L42" s="17" t="s">
        <v>76</v>
      </c>
      <c r="M42" s="18"/>
      <c r="N42" s="19" t="str">
        <f t="shared" si="4"/>
        <v>OK</v>
      </c>
    </row>
    <row r="43" spans="1:14" ht="20.100000000000001" customHeight="1" x14ac:dyDescent="0.25">
      <c r="A43" s="14" t="s">
        <v>97</v>
      </c>
      <c r="B43" s="15" t="s">
        <v>47</v>
      </c>
      <c r="C43" s="16">
        <v>7</v>
      </c>
      <c r="D43" s="16">
        <v>8</v>
      </c>
      <c r="E43" s="16">
        <f t="shared" si="3"/>
        <v>1</v>
      </c>
      <c r="F43" s="17" t="s">
        <v>76</v>
      </c>
      <c r="G43" s="17"/>
      <c r="H43" s="17"/>
      <c r="I43" s="17"/>
      <c r="J43" s="17"/>
      <c r="K43" s="17"/>
      <c r="L43" s="17" t="s">
        <v>76</v>
      </c>
      <c r="M43" s="18"/>
      <c r="N43" s="19" t="str">
        <f t="shared" si="4"/>
        <v>OK</v>
      </c>
    </row>
    <row r="44" spans="1:14" ht="20.100000000000001" customHeight="1" x14ac:dyDescent="0.25">
      <c r="A44" s="14" t="s">
        <v>97</v>
      </c>
      <c r="B44" s="15" t="s">
        <v>47</v>
      </c>
      <c r="C44" s="16">
        <v>8</v>
      </c>
      <c r="D44" s="16">
        <v>9</v>
      </c>
      <c r="E44" s="16">
        <f t="shared" si="3"/>
        <v>1</v>
      </c>
      <c r="F44" s="17" t="s">
        <v>76</v>
      </c>
      <c r="G44" s="17"/>
      <c r="H44" s="17"/>
      <c r="I44" s="17"/>
      <c r="J44" s="17"/>
      <c r="K44" s="17"/>
      <c r="L44" s="17" t="s">
        <v>76</v>
      </c>
      <c r="M44" s="18"/>
      <c r="N44" s="19" t="str">
        <f t="shared" si="4"/>
        <v>OK</v>
      </c>
    </row>
    <row r="45" spans="1:14" ht="20.100000000000001" customHeight="1" x14ac:dyDescent="0.25">
      <c r="A45" s="14" t="s">
        <v>97</v>
      </c>
      <c r="B45" s="15" t="s">
        <v>47</v>
      </c>
      <c r="C45" s="16">
        <v>9</v>
      </c>
      <c r="D45" s="16">
        <v>10</v>
      </c>
      <c r="E45" s="16">
        <f t="shared" si="3"/>
        <v>1</v>
      </c>
      <c r="F45" s="17" t="s">
        <v>76</v>
      </c>
      <c r="G45" s="17"/>
      <c r="H45" s="17"/>
      <c r="I45" s="17"/>
      <c r="J45" s="17"/>
      <c r="K45" s="17"/>
      <c r="L45" s="17" t="s">
        <v>76</v>
      </c>
      <c r="M45" s="18"/>
      <c r="N45" s="19" t="str">
        <f t="shared" si="4"/>
        <v>OK</v>
      </c>
    </row>
    <row r="46" spans="1:14" ht="20.100000000000001" customHeight="1" x14ac:dyDescent="0.25">
      <c r="A46" s="14" t="s">
        <v>97</v>
      </c>
      <c r="B46" s="15" t="s">
        <v>47</v>
      </c>
      <c r="C46" s="16">
        <v>10</v>
      </c>
      <c r="D46" s="16">
        <v>11</v>
      </c>
      <c r="E46" s="16">
        <f t="shared" si="3"/>
        <v>1</v>
      </c>
      <c r="F46" s="17" t="s">
        <v>76</v>
      </c>
      <c r="G46" s="17"/>
      <c r="H46" s="17"/>
      <c r="I46" s="17"/>
      <c r="J46" s="17"/>
      <c r="K46" s="17"/>
      <c r="L46" s="17" t="s">
        <v>76</v>
      </c>
      <c r="M46" s="18"/>
      <c r="N46" s="19" t="str">
        <f t="shared" si="4"/>
        <v>OK</v>
      </c>
    </row>
    <row r="47" spans="1:14" ht="20.100000000000001" customHeight="1" x14ac:dyDescent="0.25">
      <c r="A47" s="14" t="s">
        <v>97</v>
      </c>
      <c r="B47" s="15" t="s">
        <v>47</v>
      </c>
      <c r="C47" s="16">
        <v>11</v>
      </c>
      <c r="D47" s="16">
        <v>12</v>
      </c>
      <c r="E47" s="16">
        <f t="shared" si="3"/>
        <v>1</v>
      </c>
      <c r="F47" s="17" t="s">
        <v>76</v>
      </c>
      <c r="G47" s="17"/>
      <c r="H47" s="17"/>
      <c r="I47" s="17"/>
      <c r="J47" s="17"/>
      <c r="K47" s="17"/>
      <c r="L47" s="17" t="s">
        <v>76</v>
      </c>
      <c r="M47" s="18"/>
      <c r="N47" s="19" t="str">
        <f t="shared" si="4"/>
        <v>OK</v>
      </c>
    </row>
    <row r="48" spans="1:14" ht="20.100000000000001" customHeight="1" x14ac:dyDescent="0.25">
      <c r="A48" s="14" t="s">
        <v>97</v>
      </c>
      <c r="B48" s="15" t="s">
        <v>47</v>
      </c>
      <c r="C48" s="16">
        <v>12</v>
      </c>
      <c r="D48" s="16">
        <v>13</v>
      </c>
      <c r="E48" s="16">
        <f t="shared" si="3"/>
        <v>1</v>
      </c>
      <c r="F48" s="17" t="s">
        <v>76</v>
      </c>
      <c r="G48" s="17"/>
      <c r="H48" s="17"/>
      <c r="I48" s="17"/>
      <c r="J48" s="17"/>
      <c r="K48" s="17"/>
      <c r="L48" s="17" t="s">
        <v>76</v>
      </c>
      <c r="M48" s="18"/>
      <c r="N48" s="19" t="str">
        <f t="shared" si="4"/>
        <v>OK</v>
      </c>
    </row>
    <row r="49" spans="1:14" ht="20.100000000000001" customHeight="1" x14ac:dyDescent="0.25">
      <c r="A49" s="14" t="s">
        <v>97</v>
      </c>
      <c r="B49" s="15" t="s">
        <v>47</v>
      </c>
      <c r="C49" s="16">
        <v>13</v>
      </c>
      <c r="D49" s="16">
        <v>14</v>
      </c>
      <c r="E49" s="16">
        <f t="shared" si="3"/>
        <v>1</v>
      </c>
      <c r="F49" s="17" t="s">
        <v>76</v>
      </c>
      <c r="G49" s="17"/>
      <c r="H49" s="17"/>
      <c r="I49" s="17"/>
      <c r="J49" s="17"/>
      <c r="K49" s="17"/>
      <c r="L49" s="17" t="s">
        <v>76</v>
      </c>
      <c r="M49" s="18"/>
      <c r="N49" s="19" t="str">
        <f t="shared" si="4"/>
        <v>OK</v>
      </c>
    </row>
    <row r="50" spans="1:14" ht="20.100000000000001" customHeight="1" x14ac:dyDescent="0.25">
      <c r="A50" s="14" t="s">
        <v>97</v>
      </c>
      <c r="B50" s="15" t="s">
        <v>47</v>
      </c>
      <c r="C50" s="16">
        <v>14</v>
      </c>
      <c r="D50" s="16">
        <v>15</v>
      </c>
      <c r="E50" s="16">
        <f t="shared" si="3"/>
        <v>1</v>
      </c>
      <c r="F50" s="17" t="s">
        <v>76</v>
      </c>
      <c r="G50" s="17"/>
      <c r="H50" s="17"/>
      <c r="I50" s="17"/>
      <c r="J50" s="17"/>
      <c r="K50" s="17"/>
      <c r="L50" s="17" t="s">
        <v>76</v>
      </c>
      <c r="M50" s="18"/>
      <c r="N50" s="19" t="str">
        <f t="shared" si="4"/>
        <v>OK</v>
      </c>
    </row>
    <row r="51" spans="1:14" ht="20.100000000000001" customHeight="1" x14ac:dyDescent="0.25">
      <c r="A51" s="14" t="s">
        <v>97</v>
      </c>
      <c r="B51" s="15" t="s">
        <v>47</v>
      </c>
      <c r="C51" s="16">
        <v>15</v>
      </c>
      <c r="D51" s="16">
        <v>16</v>
      </c>
      <c r="E51" s="16">
        <f t="shared" si="3"/>
        <v>1</v>
      </c>
      <c r="F51" s="17" t="s">
        <v>76</v>
      </c>
      <c r="G51" s="17"/>
      <c r="H51" s="17"/>
      <c r="I51" s="17"/>
      <c r="J51" s="17"/>
      <c r="K51" s="17"/>
      <c r="L51" s="17" t="s">
        <v>76</v>
      </c>
      <c r="M51" s="18"/>
      <c r="N51" s="19" t="str">
        <f t="shared" si="4"/>
        <v>OK</v>
      </c>
    </row>
    <row r="52" spans="1:14" ht="20.100000000000001" customHeight="1" x14ac:dyDescent="0.25">
      <c r="A52" s="14" t="s">
        <v>97</v>
      </c>
      <c r="B52" s="15" t="s">
        <v>47</v>
      </c>
      <c r="C52" s="16">
        <v>16</v>
      </c>
      <c r="D52" s="16">
        <v>17</v>
      </c>
      <c r="E52" s="16">
        <f t="shared" si="3"/>
        <v>1</v>
      </c>
      <c r="F52" s="17" t="s">
        <v>76</v>
      </c>
      <c r="G52" s="17"/>
      <c r="H52" s="17"/>
      <c r="I52" s="17"/>
      <c r="J52" s="17"/>
      <c r="K52" s="17"/>
      <c r="L52" s="17" t="s">
        <v>76</v>
      </c>
      <c r="M52" s="18"/>
      <c r="N52" s="19" t="str">
        <f t="shared" si="4"/>
        <v>OK</v>
      </c>
    </row>
    <row r="53" spans="1:14" ht="20.100000000000001" customHeight="1" x14ac:dyDescent="0.25">
      <c r="A53" s="14" t="s">
        <v>97</v>
      </c>
      <c r="B53" s="15" t="s">
        <v>47</v>
      </c>
      <c r="C53" s="16">
        <v>17</v>
      </c>
      <c r="D53" s="16">
        <v>18</v>
      </c>
      <c r="E53" s="16">
        <f t="shared" si="3"/>
        <v>1</v>
      </c>
      <c r="F53" s="17" t="s">
        <v>76</v>
      </c>
      <c r="G53" s="17"/>
      <c r="H53" s="17"/>
      <c r="I53" s="17"/>
      <c r="J53" s="17"/>
      <c r="K53" s="17"/>
      <c r="L53" s="17" t="s">
        <v>76</v>
      </c>
      <c r="M53" s="18"/>
      <c r="N53" s="19" t="str">
        <f t="shared" si="4"/>
        <v>OK</v>
      </c>
    </row>
    <row r="54" spans="1:14" ht="20.100000000000001" customHeight="1" x14ac:dyDescent="0.25">
      <c r="A54" s="14" t="s">
        <v>97</v>
      </c>
      <c r="B54" s="15" t="s">
        <v>47</v>
      </c>
      <c r="C54" s="16">
        <v>18</v>
      </c>
      <c r="D54" s="16">
        <v>19</v>
      </c>
      <c r="E54" s="16">
        <f t="shared" si="3"/>
        <v>1</v>
      </c>
      <c r="F54" s="17" t="s">
        <v>76</v>
      </c>
      <c r="G54" s="17"/>
      <c r="H54" s="17"/>
      <c r="I54" s="17"/>
      <c r="J54" s="17"/>
      <c r="K54" s="17"/>
      <c r="L54" s="17" t="s">
        <v>76</v>
      </c>
      <c r="M54" s="18"/>
      <c r="N54" s="19" t="str">
        <f t="shared" si="4"/>
        <v>OK</v>
      </c>
    </row>
    <row r="55" spans="1:14" ht="20.100000000000001" customHeight="1" x14ac:dyDescent="0.25">
      <c r="A55" s="14" t="s">
        <v>97</v>
      </c>
      <c r="B55" s="15" t="s">
        <v>47</v>
      </c>
      <c r="C55" s="16">
        <v>19</v>
      </c>
      <c r="D55" s="16">
        <v>20</v>
      </c>
      <c r="E55" s="16">
        <f t="shared" si="3"/>
        <v>1</v>
      </c>
      <c r="F55" s="17" t="s">
        <v>76</v>
      </c>
      <c r="G55" s="17"/>
      <c r="H55" s="17"/>
      <c r="I55" s="17"/>
      <c r="J55" s="17"/>
      <c r="K55" s="17"/>
      <c r="L55" s="17" t="s">
        <v>76</v>
      </c>
      <c r="M55" s="18"/>
      <c r="N55" s="19" t="str">
        <f t="shared" si="4"/>
        <v>OK</v>
      </c>
    </row>
    <row r="56" spans="1:14" ht="20.100000000000001" customHeight="1" x14ac:dyDescent="0.25">
      <c r="A56" s="14" t="s">
        <v>97</v>
      </c>
      <c r="B56" s="15" t="s">
        <v>47</v>
      </c>
      <c r="C56" s="16">
        <v>20</v>
      </c>
      <c r="D56" s="16">
        <v>21</v>
      </c>
      <c r="E56" s="16">
        <f t="shared" si="3"/>
        <v>1</v>
      </c>
      <c r="F56" s="17" t="s">
        <v>76</v>
      </c>
      <c r="G56" s="17"/>
      <c r="H56" s="17"/>
      <c r="I56" s="17"/>
      <c r="J56" s="17"/>
      <c r="K56" s="17"/>
      <c r="L56" s="17" t="s">
        <v>76</v>
      </c>
      <c r="M56" s="18"/>
      <c r="N56" s="19" t="str">
        <f t="shared" si="4"/>
        <v>OK</v>
      </c>
    </row>
    <row r="57" spans="1:14" ht="20.100000000000001" customHeight="1" x14ac:dyDescent="0.25">
      <c r="A57" s="14" t="s">
        <v>97</v>
      </c>
      <c r="B57" s="15" t="s">
        <v>47</v>
      </c>
      <c r="C57" s="16">
        <v>21</v>
      </c>
      <c r="D57" s="16">
        <v>22</v>
      </c>
      <c r="E57" s="16">
        <f t="shared" si="3"/>
        <v>1</v>
      </c>
      <c r="F57" s="17" t="s">
        <v>76</v>
      </c>
      <c r="G57" s="17"/>
      <c r="H57" s="17"/>
      <c r="I57" s="17"/>
      <c r="J57" s="17"/>
      <c r="K57" s="17"/>
      <c r="L57" s="17" t="s">
        <v>76</v>
      </c>
      <c r="M57" s="18"/>
      <c r="N57" s="19" t="str">
        <f t="shared" si="4"/>
        <v>OK</v>
      </c>
    </row>
    <row r="58" spans="1:14" ht="20.100000000000001" customHeight="1" x14ac:dyDescent="0.25">
      <c r="A58" s="14" t="s">
        <v>97</v>
      </c>
      <c r="B58" s="15" t="s">
        <v>47</v>
      </c>
      <c r="C58" s="16">
        <v>22</v>
      </c>
      <c r="D58" s="16">
        <v>23</v>
      </c>
      <c r="E58" s="16">
        <f t="shared" si="3"/>
        <v>1</v>
      </c>
      <c r="F58" s="17" t="s">
        <v>76</v>
      </c>
      <c r="G58" s="17"/>
      <c r="H58" s="17"/>
      <c r="I58" s="17"/>
      <c r="J58" s="17"/>
      <c r="K58" s="17"/>
      <c r="L58" s="17" t="s">
        <v>76</v>
      </c>
      <c r="M58" s="18"/>
      <c r="N58" s="19" t="str">
        <f t="shared" si="4"/>
        <v>OK</v>
      </c>
    </row>
    <row r="59" spans="1:14" ht="20.100000000000001" customHeight="1" x14ac:dyDescent="0.25">
      <c r="A59" s="14" t="s">
        <v>97</v>
      </c>
      <c r="B59" s="15" t="s">
        <v>47</v>
      </c>
      <c r="C59" s="16">
        <v>23</v>
      </c>
      <c r="D59" s="16">
        <v>24</v>
      </c>
      <c r="E59" s="16">
        <f t="shared" si="3"/>
        <v>1</v>
      </c>
      <c r="F59" s="17" t="s">
        <v>76</v>
      </c>
      <c r="G59" s="17"/>
      <c r="H59" s="17"/>
      <c r="I59" s="17"/>
      <c r="J59" s="17"/>
      <c r="K59" s="17"/>
      <c r="L59" s="17" t="s">
        <v>76</v>
      </c>
      <c r="M59" s="18"/>
      <c r="N59" s="19" t="str">
        <f t="shared" si="4"/>
        <v>OK</v>
      </c>
    </row>
    <row r="60" spans="1:14" ht="20.100000000000001" customHeight="1" x14ac:dyDescent="0.25">
      <c r="A60" s="14" t="s">
        <v>97</v>
      </c>
      <c r="B60" s="15" t="s">
        <v>47</v>
      </c>
      <c r="C60" s="16">
        <v>24</v>
      </c>
      <c r="D60" s="16">
        <v>25</v>
      </c>
      <c r="E60" s="16">
        <f t="shared" si="3"/>
        <v>1</v>
      </c>
      <c r="F60" s="17" t="s">
        <v>76</v>
      </c>
      <c r="G60" s="17"/>
      <c r="H60" s="17"/>
      <c r="I60" s="17"/>
      <c r="J60" s="17"/>
      <c r="K60" s="17"/>
      <c r="L60" s="17" t="s">
        <v>76</v>
      </c>
      <c r="M60" s="18"/>
      <c r="N60" s="19" t="str">
        <f t="shared" si="4"/>
        <v>OK</v>
      </c>
    </row>
    <row r="61" spans="1:14" ht="20.100000000000001" customHeight="1" x14ac:dyDescent="0.25">
      <c r="A61" s="14" t="s">
        <v>97</v>
      </c>
      <c r="B61" s="15" t="s">
        <v>47</v>
      </c>
      <c r="C61" s="16">
        <v>25</v>
      </c>
      <c r="D61" s="16">
        <v>26</v>
      </c>
      <c r="E61" s="16">
        <f t="shared" si="3"/>
        <v>1</v>
      </c>
      <c r="F61" s="17" t="s">
        <v>76</v>
      </c>
      <c r="G61" s="17"/>
      <c r="H61" s="17"/>
      <c r="I61" s="17"/>
      <c r="J61" s="17"/>
      <c r="K61" s="17"/>
      <c r="L61" s="17" t="s">
        <v>76</v>
      </c>
      <c r="M61" s="18"/>
      <c r="N61" s="19" t="str">
        <f t="shared" si="4"/>
        <v>OK</v>
      </c>
    </row>
    <row r="62" spans="1:14" ht="20.100000000000001" customHeight="1" x14ac:dyDescent="0.25">
      <c r="A62" s="14" t="s">
        <v>97</v>
      </c>
      <c r="B62" s="15" t="s">
        <v>47</v>
      </c>
      <c r="C62" s="16">
        <v>26</v>
      </c>
      <c r="D62" s="16">
        <v>27</v>
      </c>
      <c r="E62" s="16">
        <f t="shared" si="3"/>
        <v>1</v>
      </c>
      <c r="F62" s="17" t="s">
        <v>76</v>
      </c>
      <c r="G62" s="17"/>
      <c r="H62" s="17"/>
      <c r="I62" s="17"/>
      <c r="J62" s="17"/>
      <c r="K62" s="17"/>
      <c r="L62" s="17" t="s">
        <v>76</v>
      </c>
      <c r="M62" s="18"/>
      <c r="N62" s="19" t="str">
        <f t="shared" si="4"/>
        <v>OK</v>
      </c>
    </row>
    <row r="63" spans="1:14" ht="20.100000000000001" customHeight="1" x14ac:dyDescent="0.25">
      <c r="A63" s="14" t="s">
        <v>97</v>
      </c>
      <c r="B63" s="15" t="s">
        <v>47</v>
      </c>
      <c r="C63" s="16">
        <v>27</v>
      </c>
      <c r="D63" s="16">
        <v>28</v>
      </c>
      <c r="E63" s="16">
        <f t="shared" si="3"/>
        <v>1</v>
      </c>
      <c r="F63" s="17" t="s">
        <v>76</v>
      </c>
      <c r="G63" s="17"/>
      <c r="H63" s="17"/>
      <c r="I63" s="17"/>
      <c r="J63" s="17"/>
      <c r="K63" s="17"/>
      <c r="L63" s="17" t="s">
        <v>76</v>
      </c>
      <c r="M63" s="18"/>
      <c r="N63" s="19" t="str">
        <f t="shared" si="4"/>
        <v>OK</v>
      </c>
    </row>
    <row r="64" spans="1:14" ht="20.100000000000001" customHeight="1" x14ac:dyDescent="0.25">
      <c r="A64" s="14" t="s">
        <v>97</v>
      </c>
      <c r="B64" s="15" t="s">
        <v>47</v>
      </c>
      <c r="C64" s="16">
        <v>28</v>
      </c>
      <c r="D64" s="16">
        <v>29</v>
      </c>
      <c r="E64" s="16">
        <f t="shared" si="3"/>
        <v>1</v>
      </c>
      <c r="F64" s="17" t="s">
        <v>76</v>
      </c>
      <c r="G64" s="17"/>
      <c r="H64" s="17"/>
      <c r="I64" s="17"/>
      <c r="J64" s="17"/>
      <c r="K64" s="17"/>
      <c r="L64" s="17" t="s">
        <v>76</v>
      </c>
      <c r="M64" s="18"/>
      <c r="N64" s="19" t="str">
        <f t="shared" si="4"/>
        <v>OK</v>
      </c>
    </row>
    <row r="65" spans="1:14" ht="20.100000000000001" customHeight="1" x14ac:dyDescent="0.25">
      <c r="A65" s="14" t="s">
        <v>97</v>
      </c>
      <c r="B65" s="15" t="s">
        <v>47</v>
      </c>
      <c r="C65" s="16">
        <v>29</v>
      </c>
      <c r="D65" s="16">
        <v>30</v>
      </c>
      <c r="E65" s="16">
        <f t="shared" si="3"/>
        <v>1</v>
      </c>
      <c r="F65" s="17" t="s">
        <v>76</v>
      </c>
      <c r="G65" s="17"/>
      <c r="H65" s="17"/>
      <c r="I65" s="17"/>
      <c r="J65" s="17"/>
      <c r="K65" s="17"/>
      <c r="L65" s="17" t="s">
        <v>76</v>
      </c>
      <c r="M65" s="18"/>
      <c r="N65" s="19" t="str">
        <f t="shared" si="4"/>
        <v>OK</v>
      </c>
    </row>
    <row r="66" spans="1:14" ht="20.100000000000001" customHeight="1" x14ac:dyDescent="0.25">
      <c r="A66" s="14" t="s">
        <v>97</v>
      </c>
      <c r="B66" s="15" t="s">
        <v>47</v>
      </c>
      <c r="C66" s="16">
        <v>30</v>
      </c>
      <c r="D66" s="16">
        <v>31</v>
      </c>
      <c r="E66" s="16">
        <f t="shared" si="3"/>
        <v>1</v>
      </c>
      <c r="F66" s="17" t="s">
        <v>76</v>
      </c>
      <c r="G66" s="17"/>
      <c r="H66" s="17"/>
      <c r="I66" s="17"/>
      <c r="J66" s="17"/>
      <c r="K66" s="17"/>
      <c r="L66" s="17" t="s">
        <v>76</v>
      </c>
      <c r="M66" s="18"/>
      <c r="N66" s="19" t="str">
        <f t="shared" si="4"/>
        <v>OK</v>
      </c>
    </row>
    <row r="67" spans="1:14" ht="20.100000000000001" customHeight="1" x14ac:dyDescent="0.25">
      <c r="A67" s="14" t="s">
        <v>97</v>
      </c>
      <c r="B67" s="15" t="s">
        <v>47</v>
      </c>
      <c r="C67" s="16">
        <v>31</v>
      </c>
      <c r="D67" s="16">
        <v>32</v>
      </c>
      <c r="E67" s="16">
        <f t="shared" si="3"/>
        <v>1</v>
      </c>
      <c r="F67" s="17" t="s">
        <v>76</v>
      </c>
      <c r="G67" s="17"/>
      <c r="H67" s="17"/>
      <c r="I67" s="17"/>
      <c r="J67" s="17"/>
      <c r="K67" s="17"/>
      <c r="L67" s="17" t="s">
        <v>76</v>
      </c>
      <c r="M67" s="18"/>
      <c r="N67" s="19" t="str">
        <f t="shared" si="4"/>
        <v>OK</v>
      </c>
    </row>
    <row r="68" spans="1:14" ht="20.100000000000001" customHeight="1" x14ac:dyDescent="0.25">
      <c r="A68" s="14" t="s">
        <v>97</v>
      </c>
      <c r="B68" s="15" t="s">
        <v>47</v>
      </c>
      <c r="C68" s="16">
        <v>32</v>
      </c>
      <c r="D68" s="16">
        <v>33</v>
      </c>
      <c r="E68" s="16">
        <f t="shared" si="3"/>
        <v>1</v>
      </c>
      <c r="F68" s="17" t="s">
        <v>76</v>
      </c>
      <c r="G68" s="17"/>
      <c r="H68" s="17"/>
      <c r="I68" s="17"/>
      <c r="J68" s="17"/>
      <c r="K68" s="17"/>
      <c r="L68" s="17" t="s">
        <v>76</v>
      </c>
      <c r="M68" s="18"/>
      <c r="N68" s="19" t="str">
        <f t="shared" si="4"/>
        <v>OK</v>
      </c>
    </row>
    <row r="69" spans="1:14" ht="20.100000000000001" customHeight="1" x14ac:dyDescent="0.25">
      <c r="A69" s="14" t="s">
        <v>97</v>
      </c>
      <c r="B69" s="15" t="s">
        <v>47</v>
      </c>
      <c r="C69" s="16">
        <v>33</v>
      </c>
      <c r="D69" s="16">
        <v>34</v>
      </c>
      <c r="E69" s="16">
        <f t="shared" si="3"/>
        <v>1</v>
      </c>
      <c r="F69" s="17" t="s">
        <v>76</v>
      </c>
      <c r="G69" s="17"/>
      <c r="H69" s="17"/>
      <c r="I69" s="17"/>
      <c r="J69" s="17"/>
      <c r="K69" s="17"/>
      <c r="L69" s="17" t="s">
        <v>76</v>
      </c>
      <c r="M69" s="18"/>
      <c r="N69" s="19" t="str">
        <f t="shared" si="4"/>
        <v>OK</v>
      </c>
    </row>
    <row r="70" spans="1:14" ht="20.100000000000001" customHeight="1" x14ac:dyDescent="0.25">
      <c r="A70" s="14" t="s">
        <v>97</v>
      </c>
      <c r="B70" s="15" t="s">
        <v>47</v>
      </c>
      <c r="C70" s="16">
        <v>34</v>
      </c>
      <c r="D70" s="16">
        <v>35</v>
      </c>
      <c r="E70" s="16">
        <f t="shared" si="3"/>
        <v>1</v>
      </c>
      <c r="F70" s="17" t="s">
        <v>76</v>
      </c>
      <c r="G70" s="17"/>
      <c r="H70" s="17"/>
      <c r="I70" s="17"/>
      <c r="J70" s="17"/>
      <c r="K70" s="17"/>
      <c r="L70" s="17" t="s">
        <v>76</v>
      </c>
      <c r="M70" s="18"/>
      <c r="N70" s="19" t="str">
        <f t="shared" si="4"/>
        <v>OK</v>
      </c>
    </row>
    <row r="71" spans="1:14" ht="20.100000000000001" customHeight="1" x14ac:dyDescent="0.25">
      <c r="A71" s="14" t="s">
        <v>97</v>
      </c>
      <c r="B71" s="15" t="s">
        <v>47</v>
      </c>
      <c r="C71" s="16">
        <v>35</v>
      </c>
      <c r="D71" s="16">
        <v>36</v>
      </c>
      <c r="E71" s="16">
        <f t="shared" si="3"/>
        <v>1</v>
      </c>
      <c r="F71" s="17" t="s">
        <v>76</v>
      </c>
      <c r="G71" s="17"/>
      <c r="H71" s="17"/>
      <c r="I71" s="17"/>
      <c r="J71" s="17"/>
      <c r="K71" s="17"/>
      <c r="L71" s="17" t="s">
        <v>76</v>
      </c>
      <c r="M71" s="18"/>
      <c r="N71" s="19" t="str">
        <f t="shared" si="4"/>
        <v>OK</v>
      </c>
    </row>
    <row r="72" spans="1:14" ht="20.100000000000001" customHeight="1" x14ac:dyDescent="0.25">
      <c r="A72" s="14" t="s">
        <v>97</v>
      </c>
      <c r="B72" s="15" t="s">
        <v>47</v>
      </c>
      <c r="C72" s="16">
        <v>36</v>
      </c>
      <c r="D72" s="16">
        <v>37</v>
      </c>
      <c r="E72" s="16">
        <f t="shared" si="3"/>
        <v>1</v>
      </c>
      <c r="F72" s="17" t="s">
        <v>76</v>
      </c>
      <c r="G72" s="17"/>
      <c r="H72" s="17"/>
      <c r="I72" s="17"/>
      <c r="J72" s="17"/>
      <c r="K72" s="17"/>
      <c r="L72" s="17" t="s">
        <v>76</v>
      </c>
      <c r="M72" s="18"/>
      <c r="N72" s="19" t="str">
        <f t="shared" si="4"/>
        <v>OK</v>
      </c>
    </row>
    <row r="73" spans="1:14" ht="20.100000000000001" customHeight="1" x14ac:dyDescent="0.25">
      <c r="A73" s="14" t="s">
        <v>97</v>
      </c>
      <c r="B73" s="15" t="s">
        <v>47</v>
      </c>
      <c r="C73" s="16">
        <v>37</v>
      </c>
      <c r="D73" s="16">
        <v>38</v>
      </c>
      <c r="E73" s="16">
        <f t="shared" si="3"/>
        <v>1</v>
      </c>
      <c r="F73" s="17" t="s">
        <v>76</v>
      </c>
      <c r="G73" s="17"/>
      <c r="H73" s="17"/>
      <c r="I73" s="17"/>
      <c r="J73" s="17"/>
      <c r="K73" s="17"/>
      <c r="L73" s="17" t="s">
        <v>76</v>
      </c>
      <c r="M73" s="18"/>
      <c r="N73" s="19" t="str">
        <f t="shared" si="4"/>
        <v>OK</v>
      </c>
    </row>
    <row r="74" spans="1:14" ht="20.100000000000001" customHeight="1" x14ac:dyDescent="0.25">
      <c r="A74" s="14" t="s">
        <v>97</v>
      </c>
      <c r="B74" s="15" t="s">
        <v>47</v>
      </c>
      <c r="C74" s="16">
        <v>38</v>
      </c>
      <c r="D74" s="16">
        <v>39</v>
      </c>
      <c r="E74" s="16">
        <f t="shared" si="3"/>
        <v>1</v>
      </c>
      <c r="F74" s="17" t="s">
        <v>76</v>
      </c>
      <c r="G74" s="17"/>
      <c r="H74" s="17"/>
      <c r="I74" s="17"/>
      <c r="J74" s="17"/>
      <c r="K74" s="17"/>
      <c r="L74" s="17" t="s">
        <v>76</v>
      </c>
      <c r="M74" s="18"/>
      <c r="N74" s="19" t="str">
        <f t="shared" si="4"/>
        <v>OK</v>
      </c>
    </row>
    <row r="75" spans="1:14" ht="20.100000000000001" customHeight="1" x14ac:dyDescent="0.25">
      <c r="A75" s="20" t="s">
        <v>97</v>
      </c>
      <c r="B75" s="21" t="s">
        <v>47</v>
      </c>
      <c r="C75" s="22">
        <v>39</v>
      </c>
      <c r="D75" s="22">
        <v>39.401207841999998</v>
      </c>
      <c r="E75" s="22">
        <f t="shared" si="3"/>
        <v>0.40120784199999804</v>
      </c>
      <c r="F75" s="23" t="s">
        <v>76</v>
      </c>
      <c r="G75" s="23"/>
      <c r="H75" s="23"/>
      <c r="I75" s="23"/>
      <c r="J75" s="23"/>
      <c r="K75" s="23"/>
      <c r="L75" s="23" t="s">
        <v>76</v>
      </c>
      <c r="M75" s="24"/>
      <c r="N75" s="25" t="str">
        <f t="shared" si="4"/>
        <v>OK</v>
      </c>
    </row>
    <row r="76" spans="1:14" ht="15.95" customHeight="1" x14ac:dyDescent="0.25">
      <c r="A76" s="38" t="s">
        <v>98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4"/>
      <c r="N76" s="4"/>
    </row>
    <row r="77" spans="1:14" ht="20.100000000000001" customHeight="1" x14ac:dyDescent="0.25">
      <c r="A77" s="14" t="s">
        <v>99</v>
      </c>
      <c r="B77" s="15" t="s">
        <v>47</v>
      </c>
      <c r="C77" s="16">
        <v>0</v>
      </c>
      <c r="D77" s="16">
        <v>1</v>
      </c>
      <c r="E77" s="16">
        <f>D77-C77</f>
        <v>1</v>
      </c>
      <c r="F77" s="17" t="s">
        <v>76</v>
      </c>
      <c r="G77" s="17"/>
      <c r="H77" s="17"/>
      <c r="I77" s="17"/>
      <c r="J77" s="17"/>
      <c r="K77" s="17"/>
      <c r="L77" s="17" t="s">
        <v>76</v>
      </c>
      <c r="M77" s="18"/>
      <c r="N77" s="19" t="str">
        <f>IF(COUNTA(F77:L77)=0,"— não preenchido",IF(COUNTIF(F77:I77,"X")&lt;&gt;1,"FALTA/DUPLA: CONDIÇÃO DA PLATAFORMA",IF(COUNTIF(J77:L77,"X")&lt;&gt;1,"FALTA/DUPLA: DRENAGEM SUPERFICIAL","OK")))</f>
        <v>OK</v>
      </c>
    </row>
    <row r="78" spans="1:14" ht="20.100000000000001" customHeight="1" x14ac:dyDescent="0.25">
      <c r="A78" s="20" t="s">
        <v>99</v>
      </c>
      <c r="B78" s="21" t="s">
        <v>47</v>
      </c>
      <c r="C78" s="22">
        <v>1</v>
      </c>
      <c r="D78" s="22">
        <v>1.55186856897</v>
      </c>
      <c r="E78" s="22">
        <f>D78-C78</f>
        <v>0.55186856897000003</v>
      </c>
      <c r="F78" s="23" t="s">
        <v>76</v>
      </c>
      <c r="G78" s="23"/>
      <c r="H78" s="23"/>
      <c r="I78" s="23"/>
      <c r="J78" s="23"/>
      <c r="K78" s="23"/>
      <c r="L78" s="23" t="s">
        <v>76</v>
      </c>
      <c r="M78" s="24"/>
      <c r="N78" s="25" t="str">
        <f>IF(COUNTA(F78:L78)=0,"— não preenchido",IF(COUNTIF(F78:I78,"X")&lt;&gt;1,"FALTA/DUPLA: CONDIÇÃO DA PLATAFORMA",IF(COUNTIF(J78:L78,"X")&lt;&gt;1,"FALTA/DUPLA: DRENAGEM SUPERFICIAL","OK")))</f>
        <v>OK</v>
      </c>
    </row>
    <row r="79" spans="1:14" ht="15.95" customHeight="1" x14ac:dyDescent="0.25">
      <c r="A79" s="38" t="s">
        <v>100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4"/>
      <c r="N79" s="4"/>
    </row>
    <row r="80" spans="1:14" ht="20.100000000000001" customHeight="1" x14ac:dyDescent="0.25">
      <c r="A80" s="14" t="s">
        <v>101</v>
      </c>
      <c r="B80" s="15" t="s">
        <v>47</v>
      </c>
      <c r="C80" s="16">
        <v>0</v>
      </c>
      <c r="D80" s="16">
        <v>1</v>
      </c>
      <c r="E80" s="16">
        <f t="shared" ref="E80:E100" si="5">D80-C80</f>
        <v>1</v>
      </c>
      <c r="F80" s="17" t="s">
        <v>76</v>
      </c>
      <c r="G80" s="17"/>
      <c r="H80" s="17"/>
      <c r="I80" s="17"/>
      <c r="J80" s="17" t="s">
        <v>76</v>
      </c>
      <c r="K80" s="17"/>
      <c r="L80" s="17"/>
      <c r="M80" s="18"/>
      <c r="N80" s="19" t="str">
        <f t="shared" ref="N80:N100" si="6">IF(COUNTA(F80:L80)=0,"— não preenchido",IF(COUNTIF(F80:I80,"X")&lt;&gt;1,"FALTA/DUPLA: CONDIÇÃO DA PLATAFORMA",IF(COUNTIF(J80:L80,"X")&lt;&gt;1,"FALTA/DUPLA: DRENAGEM SUPERFICIAL","OK")))</f>
        <v>OK</v>
      </c>
    </row>
    <row r="81" spans="1:14" ht="20.100000000000001" customHeight="1" x14ac:dyDescent="0.25">
      <c r="A81" s="14" t="s">
        <v>101</v>
      </c>
      <c r="B81" s="15" t="s">
        <v>47</v>
      </c>
      <c r="C81" s="16">
        <v>1</v>
      </c>
      <c r="D81" s="16">
        <v>2</v>
      </c>
      <c r="E81" s="16">
        <f t="shared" si="5"/>
        <v>1</v>
      </c>
      <c r="F81" s="17" t="s">
        <v>76</v>
      </c>
      <c r="G81" s="17"/>
      <c r="H81" s="17"/>
      <c r="I81" s="17"/>
      <c r="J81" s="17" t="s">
        <v>76</v>
      </c>
      <c r="K81" s="17"/>
      <c r="L81" s="17"/>
      <c r="M81" s="18"/>
      <c r="N81" s="19" t="str">
        <f t="shared" si="6"/>
        <v>OK</v>
      </c>
    </row>
    <row r="82" spans="1:14" ht="20.100000000000001" customHeight="1" x14ac:dyDescent="0.25">
      <c r="A82" s="14" t="s">
        <v>101</v>
      </c>
      <c r="B82" s="15" t="s">
        <v>47</v>
      </c>
      <c r="C82" s="16">
        <v>2</v>
      </c>
      <c r="D82" s="16">
        <v>3</v>
      </c>
      <c r="E82" s="16">
        <f t="shared" si="5"/>
        <v>1</v>
      </c>
      <c r="F82" s="17" t="s">
        <v>76</v>
      </c>
      <c r="G82" s="17"/>
      <c r="H82" s="17"/>
      <c r="I82" s="17"/>
      <c r="J82" s="17" t="s">
        <v>76</v>
      </c>
      <c r="K82" s="17"/>
      <c r="L82" s="17"/>
      <c r="M82" s="18"/>
      <c r="N82" s="19" t="str">
        <f t="shared" si="6"/>
        <v>OK</v>
      </c>
    </row>
    <row r="83" spans="1:14" ht="20.100000000000001" customHeight="1" x14ac:dyDescent="0.25">
      <c r="A83" s="14" t="s">
        <v>101</v>
      </c>
      <c r="B83" s="15" t="s">
        <v>47</v>
      </c>
      <c r="C83" s="16">
        <v>3</v>
      </c>
      <c r="D83" s="16">
        <v>4</v>
      </c>
      <c r="E83" s="16">
        <f t="shared" si="5"/>
        <v>1</v>
      </c>
      <c r="F83" s="17" t="s">
        <v>76</v>
      </c>
      <c r="G83" s="17"/>
      <c r="H83" s="17"/>
      <c r="I83" s="17"/>
      <c r="J83" s="17" t="s">
        <v>76</v>
      </c>
      <c r="K83" s="17"/>
      <c r="L83" s="17"/>
      <c r="M83" s="18"/>
      <c r="N83" s="19" t="str">
        <f t="shared" si="6"/>
        <v>OK</v>
      </c>
    </row>
    <row r="84" spans="1:14" ht="20.100000000000001" customHeight="1" x14ac:dyDescent="0.25">
      <c r="A84" s="14" t="s">
        <v>101</v>
      </c>
      <c r="B84" s="15" t="s">
        <v>47</v>
      </c>
      <c r="C84" s="16">
        <v>4</v>
      </c>
      <c r="D84" s="16">
        <v>5</v>
      </c>
      <c r="E84" s="16">
        <f t="shared" si="5"/>
        <v>1</v>
      </c>
      <c r="F84" s="17" t="s">
        <v>76</v>
      </c>
      <c r="G84" s="17"/>
      <c r="H84" s="17"/>
      <c r="I84" s="17"/>
      <c r="J84" s="17" t="s">
        <v>76</v>
      </c>
      <c r="K84" s="17"/>
      <c r="L84" s="17"/>
      <c r="M84" s="18"/>
      <c r="N84" s="19" t="str">
        <f t="shared" si="6"/>
        <v>OK</v>
      </c>
    </row>
    <row r="85" spans="1:14" ht="20.100000000000001" customHeight="1" x14ac:dyDescent="0.25">
      <c r="A85" s="14" t="s">
        <v>101</v>
      </c>
      <c r="B85" s="15" t="s">
        <v>47</v>
      </c>
      <c r="C85" s="16">
        <v>5</v>
      </c>
      <c r="D85" s="16">
        <v>6</v>
      </c>
      <c r="E85" s="16">
        <f t="shared" si="5"/>
        <v>1</v>
      </c>
      <c r="F85" s="17" t="s">
        <v>76</v>
      </c>
      <c r="G85" s="17"/>
      <c r="H85" s="17"/>
      <c r="I85" s="17"/>
      <c r="J85" s="17" t="s">
        <v>76</v>
      </c>
      <c r="K85" s="17"/>
      <c r="L85" s="17"/>
      <c r="M85" s="18"/>
      <c r="N85" s="19" t="str">
        <f t="shared" si="6"/>
        <v>OK</v>
      </c>
    </row>
    <row r="86" spans="1:14" ht="20.100000000000001" customHeight="1" x14ac:dyDescent="0.25">
      <c r="A86" s="14" t="s">
        <v>101</v>
      </c>
      <c r="B86" s="15" t="s">
        <v>47</v>
      </c>
      <c r="C86" s="16">
        <v>6</v>
      </c>
      <c r="D86" s="16">
        <v>7</v>
      </c>
      <c r="E86" s="16">
        <f t="shared" si="5"/>
        <v>1</v>
      </c>
      <c r="F86" s="17" t="s">
        <v>76</v>
      </c>
      <c r="G86" s="17"/>
      <c r="H86" s="17"/>
      <c r="I86" s="17"/>
      <c r="J86" s="17" t="s">
        <v>76</v>
      </c>
      <c r="K86" s="17"/>
      <c r="L86" s="17"/>
      <c r="M86" s="18"/>
      <c r="N86" s="19" t="str">
        <f t="shared" si="6"/>
        <v>OK</v>
      </c>
    </row>
    <row r="87" spans="1:14" ht="20.100000000000001" customHeight="1" x14ac:dyDescent="0.25">
      <c r="A87" s="14" t="s">
        <v>101</v>
      </c>
      <c r="B87" s="15" t="s">
        <v>47</v>
      </c>
      <c r="C87" s="16">
        <v>7</v>
      </c>
      <c r="D87" s="16">
        <v>8</v>
      </c>
      <c r="E87" s="16">
        <f t="shared" si="5"/>
        <v>1</v>
      </c>
      <c r="F87" s="17" t="s">
        <v>76</v>
      </c>
      <c r="G87" s="17"/>
      <c r="H87" s="17"/>
      <c r="I87" s="17"/>
      <c r="J87" s="17" t="s">
        <v>76</v>
      </c>
      <c r="K87" s="17"/>
      <c r="L87" s="17"/>
      <c r="M87" s="18"/>
      <c r="N87" s="19" t="str">
        <f t="shared" si="6"/>
        <v>OK</v>
      </c>
    </row>
    <row r="88" spans="1:14" ht="20.100000000000001" customHeight="1" x14ac:dyDescent="0.25">
      <c r="A88" s="14" t="s">
        <v>101</v>
      </c>
      <c r="B88" s="15" t="s">
        <v>47</v>
      </c>
      <c r="C88" s="16">
        <v>8</v>
      </c>
      <c r="D88" s="16">
        <v>9</v>
      </c>
      <c r="E88" s="16">
        <f t="shared" si="5"/>
        <v>1</v>
      </c>
      <c r="F88" s="17" t="s">
        <v>76</v>
      </c>
      <c r="G88" s="17"/>
      <c r="H88" s="17"/>
      <c r="I88" s="17"/>
      <c r="J88" s="17" t="s">
        <v>76</v>
      </c>
      <c r="K88" s="17"/>
      <c r="L88" s="17"/>
      <c r="M88" s="18"/>
      <c r="N88" s="19" t="str">
        <f t="shared" si="6"/>
        <v>OK</v>
      </c>
    </row>
    <row r="89" spans="1:14" ht="20.100000000000001" customHeight="1" x14ac:dyDescent="0.25">
      <c r="A89" s="14" t="s">
        <v>101</v>
      </c>
      <c r="B89" s="15" t="s">
        <v>47</v>
      </c>
      <c r="C89" s="16">
        <v>9</v>
      </c>
      <c r="D89" s="16">
        <v>10</v>
      </c>
      <c r="E89" s="16">
        <f t="shared" si="5"/>
        <v>1</v>
      </c>
      <c r="F89" s="17" t="s">
        <v>76</v>
      </c>
      <c r="G89" s="17"/>
      <c r="H89" s="17"/>
      <c r="I89" s="17"/>
      <c r="J89" s="17" t="s">
        <v>76</v>
      </c>
      <c r="K89" s="17"/>
      <c r="L89" s="17"/>
      <c r="M89" s="18"/>
      <c r="N89" s="19" t="str">
        <f t="shared" si="6"/>
        <v>OK</v>
      </c>
    </row>
    <row r="90" spans="1:14" ht="20.100000000000001" customHeight="1" x14ac:dyDescent="0.25">
      <c r="A90" s="14" t="s">
        <v>101</v>
      </c>
      <c r="B90" s="15" t="s">
        <v>47</v>
      </c>
      <c r="C90" s="16">
        <v>10</v>
      </c>
      <c r="D90" s="16">
        <v>11</v>
      </c>
      <c r="E90" s="16">
        <f t="shared" si="5"/>
        <v>1</v>
      </c>
      <c r="F90" s="17" t="s">
        <v>76</v>
      </c>
      <c r="G90" s="17"/>
      <c r="H90" s="17"/>
      <c r="I90" s="17"/>
      <c r="J90" s="17" t="s">
        <v>76</v>
      </c>
      <c r="K90" s="17"/>
      <c r="L90" s="17"/>
      <c r="M90" s="18"/>
      <c r="N90" s="19" t="str">
        <f t="shared" si="6"/>
        <v>OK</v>
      </c>
    </row>
    <row r="91" spans="1:14" ht="20.100000000000001" customHeight="1" x14ac:dyDescent="0.25">
      <c r="A91" s="14" t="s">
        <v>101</v>
      </c>
      <c r="B91" s="15" t="s">
        <v>47</v>
      </c>
      <c r="C91" s="16">
        <v>11</v>
      </c>
      <c r="D91" s="16">
        <v>12</v>
      </c>
      <c r="E91" s="16">
        <f t="shared" si="5"/>
        <v>1</v>
      </c>
      <c r="F91" s="17" t="s">
        <v>76</v>
      </c>
      <c r="G91" s="17"/>
      <c r="H91" s="17"/>
      <c r="I91" s="17"/>
      <c r="J91" s="17" t="s">
        <v>76</v>
      </c>
      <c r="K91" s="17"/>
      <c r="L91" s="17"/>
      <c r="M91" s="18"/>
      <c r="N91" s="19" t="str">
        <f t="shared" si="6"/>
        <v>OK</v>
      </c>
    </row>
    <row r="92" spans="1:14" ht="20.100000000000001" customHeight="1" x14ac:dyDescent="0.25">
      <c r="A92" s="14" t="s">
        <v>101</v>
      </c>
      <c r="B92" s="15" t="s">
        <v>47</v>
      </c>
      <c r="C92" s="16">
        <v>12</v>
      </c>
      <c r="D92" s="16">
        <v>13</v>
      </c>
      <c r="E92" s="16">
        <f t="shared" si="5"/>
        <v>1</v>
      </c>
      <c r="F92" s="17" t="s">
        <v>76</v>
      </c>
      <c r="G92" s="17"/>
      <c r="H92" s="17"/>
      <c r="I92" s="17"/>
      <c r="J92" s="17" t="s">
        <v>76</v>
      </c>
      <c r="K92" s="17"/>
      <c r="L92" s="17"/>
      <c r="M92" s="18"/>
      <c r="N92" s="19" t="str">
        <f t="shared" si="6"/>
        <v>OK</v>
      </c>
    </row>
    <row r="93" spans="1:14" ht="20.100000000000001" customHeight="1" x14ac:dyDescent="0.25">
      <c r="A93" s="14" t="s">
        <v>101</v>
      </c>
      <c r="B93" s="15" t="s">
        <v>47</v>
      </c>
      <c r="C93" s="16">
        <v>13</v>
      </c>
      <c r="D93" s="16">
        <v>14</v>
      </c>
      <c r="E93" s="16">
        <f t="shared" si="5"/>
        <v>1</v>
      </c>
      <c r="F93" s="17" t="s">
        <v>76</v>
      </c>
      <c r="G93" s="17"/>
      <c r="H93" s="17"/>
      <c r="I93" s="17"/>
      <c r="J93" s="17" t="s">
        <v>76</v>
      </c>
      <c r="K93" s="17"/>
      <c r="L93" s="17"/>
      <c r="M93" s="18"/>
      <c r="N93" s="19" t="str">
        <f t="shared" si="6"/>
        <v>OK</v>
      </c>
    </row>
    <row r="94" spans="1:14" ht="20.100000000000001" customHeight="1" x14ac:dyDescent="0.25">
      <c r="A94" s="14" t="s">
        <v>101</v>
      </c>
      <c r="B94" s="15" t="s">
        <v>47</v>
      </c>
      <c r="C94" s="16">
        <v>14</v>
      </c>
      <c r="D94" s="16">
        <v>15</v>
      </c>
      <c r="E94" s="16">
        <f t="shared" si="5"/>
        <v>1</v>
      </c>
      <c r="F94" s="17" t="s">
        <v>76</v>
      </c>
      <c r="G94" s="17"/>
      <c r="H94" s="17"/>
      <c r="I94" s="17"/>
      <c r="J94" s="17" t="s">
        <v>76</v>
      </c>
      <c r="K94" s="17"/>
      <c r="L94" s="17"/>
      <c r="M94" s="18"/>
      <c r="N94" s="19" t="str">
        <f t="shared" si="6"/>
        <v>OK</v>
      </c>
    </row>
    <row r="95" spans="1:14" ht="20.100000000000001" customHeight="1" x14ac:dyDescent="0.25">
      <c r="A95" s="14" t="s">
        <v>101</v>
      </c>
      <c r="B95" s="15" t="s">
        <v>47</v>
      </c>
      <c r="C95" s="16">
        <v>15</v>
      </c>
      <c r="D95" s="16">
        <v>16</v>
      </c>
      <c r="E95" s="16">
        <f t="shared" si="5"/>
        <v>1</v>
      </c>
      <c r="F95" s="17" t="s">
        <v>76</v>
      </c>
      <c r="G95" s="17"/>
      <c r="H95" s="17"/>
      <c r="I95" s="17"/>
      <c r="J95" s="17" t="s">
        <v>76</v>
      </c>
      <c r="K95" s="17"/>
      <c r="L95" s="17"/>
      <c r="M95" s="18"/>
      <c r="N95" s="19" t="str">
        <f t="shared" si="6"/>
        <v>OK</v>
      </c>
    </row>
    <row r="96" spans="1:14" ht="20.100000000000001" customHeight="1" x14ac:dyDescent="0.25">
      <c r="A96" s="14" t="s">
        <v>101</v>
      </c>
      <c r="B96" s="15" t="s">
        <v>47</v>
      </c>
      <c r="C96" s="16">
        <v>16</v>
      </c>
      <c r="D96" s="16">
        <v>17</v>
      </c>
      <c r="E96" s="16">
        <f t="shared" si="5"/>
        <v>1</v>
      </c>
      <c r="F96" s="17" t="s">
        <v>76</v>
      </c>
      <c r="G96" s="17"/>
      <c r="H96" s="17"/>
      <c r="I96" s="17"/>
      <c r="J96" s="17" t="s">
        <v>76</v>
      </c>
      <c r="K96" s="17"/>
      <c r="L96" s="17"/>
      <c r="M96" s="18"/>
      <c r="N96" s="19" t="str">
        <f t="shared" si="6"/>
        <v>OK</v>
      </c>
    </row>
    <row r="97" spans="1:14" ht="20.100000000000001" customHeight="1" x14ac:dyDescent="0.25">
      <c r="A97" s="14" t="s">
        <v>101</v>
      </c>
      <c r="B97" s="15" t="s">
        <v>47</v>
      </c>
      <c r="C97" s="16">
        <v>17</v>
      </c>
      <c r="D97" s="16">
        <v>18</v>
      </c>
      <c r="E97" s="16">
        <f t="shared" si="5"/>
        <v>1</v>
      </c>
      <c r="F97" s="17" t="s">
        <v>76</v>
      </c>
      <c r="G97" s="17"/>
      <c r="H97" s="17"/>
      <c r="I97" s="17"/>
      <c r="J97" s="17" t="s">
        <v>76</v>
      </c>
      <c r="K97" s="17"/>
      <c r="L97" s="17"/>
      <c r="M97" s="18"/>
      <c r="N97" s="19" t="str">
        <f t="shared" si="6"/>
        <v>OK</v>
      </c>
    </row>
    <row r="98" spans="1:14" ht="20.100000000000001" customHeight="1" x14ac:dyDescent="0.25">
      <c r="A98" s="14" t="s">
        <v>101</v>
      </c>
      <c r="B98" s="15" t="s">
        <v>47</v>
      </c>
      <c r="C98" s="16">
        <v>18</v>
      </c>
      <c r="D98" s="16">
        <v>19</v>
      </c>
      <c r="E98" s="16">
        <f t="shared" si="5"/>
        <v>1</v>
      </c>
      <c r="F98" s="17" t="s">
        <v>76</v>
      </c>
      <c r="G98" s="17"/>
      <c r="H98" s="17"/>
      <c r="I98" s="17"/>
      <c r="J98" s="17" t="s">
        <v>76</v>
      </c>
      <c r="K98" s="17"/>
      <c r="L98" s="17"/>
      <c r="M98" s="18"/>
      <c r="N98" s="19" t="str">
        <f t="shared" si="6"/>
        <v>OK</v>
      </c>
    </row>
    <row r="99" spans="1:14" ht="20.100000000000001" customHeight="1" x14ac:dyDescent="0.25">
      <c r="A99" s="14" t="s">
        <v>101</v>
      </c>
      <c r="B99" s="15" t="s">
        <v>47</v>
      </c>
      <c r="C99" s="16">
        <v>19</v>
      </c>
      <c r="D99" s="16">
        <v>20</v>
      </c>
      <c r="E99" s="16">
        <f t="shared" si="5"/>
        <v>1</v>
      </c>
      <c r="F99" s="17" t="s">
        <v>76</v>
      </c>
      <c r="G99" s="17"/>
      <c r="H99" s="17"/>
      <c r="I99" s="17"/>
      <c r="J99" s="17" t="s">
        <v>76</v>
      </c>
      <c r="K99" s="17"/>
      <c r="L99" s="17"/>
      <c r="M99" s="18"/>
      <c r="N99" s="19" t="str">
        <f t="shared" si="6"/>
        <v>OK</v>
      </c>
    </row>
    <row r="100" spans="1:14" ht="20.100000000000001" customHeight="1" x14ac:dyDescent="0.25">
      <c r="A100" s="20" t="s">
        <v>101</v>
      </c>
      <c r="B100" s="21" t="s">
        <v>47</v>
      </c>
      <c r="C100" s="22">
        <v>20</v>
      </c>
      <c r="D100" s="22">
        <v>20.9453418423</v>
      </c>
      <c r="E100" s="22">
        <f t="shared" si="5"/>
        <v>0.94534184229999951</v>
      </c>
      <c r="F100" s="23" t="s">
        <v>76</v>
      </c>
      <c r="G100" s="23"/>
      <c r="H100" s="23"/>
      <c r="I100" s="23"/>
      <c r="J100" s="23" t="s">
        <v>76</v>
      </c>
      <c r="K100" s="23"/>
      <c r="L100" s="23"/>
      <c r="M100" s="24"/>
      <c r="N100" s="25" t="str">
        <f t="shared" si="6"/>
        <v>OK</v>
      </c>
    </row>
    <row r="102" spans="1:14" x14ac:dyDescent="0.25">
      <c r="A102" s="46" t="s">
        <v>48</v>
      </c>
      <c r="B102" s="31"/>
      <c r="C102" s="31"/>
      <c r="D102" s="31"/>
      <c r="E102" s="31"/>
      <c r="G102" s="46" t="s">
        <v>48</v>
      </c>
      <c r="H102" s="31"/>
      <c r="I102" s="31"/>
      <c r="J102" s="31"/>
      <c r="K102" s="31"/>
    </row>
    <row r="103" spans="1:14" x14ac:dyDescent="0.25">
      <c r="A103" s="45" t="s">
        <v>49</v>
      </c>
      <c r="B103" s="31"/>
      <c r="C103" s="31"/>
      <c r="D103" s="31"/>
      <c r="E103" s="31"/>
      <c r="G103" s="45" t="s">
        <v>50</v>
      </c>
      <c r="H103" s="31"/>
      <c r="I103" s="31"/>
      <c r="J103" s="31"/>
      <c r="K103" s="31"/>
    </row>
    <row r="105" spans="1:14" x14ac:dyDescent="0.25">
      <c r="A105" s="43" t="s">
        <v>51</v>
      </c>
      <c r="B105" s="31"/>
      <c r="C105" s="31"/>
      <c r="D105" s="31"/>
      <c r="E105" s="31"/>
      <c r="F105" s="26"/>
      <c r="G105" s="26"/>
      <c r="H105" s="26"/>
      <c r="I105" s="26"/>
      <c r="J105" s="26"/>
      <c r="K105" s="26"/>
      <c r="L105" s="26"/>
      <c r="M105" s="26"/>
    </row>
    <row r="106" spans="1:14" x14ac:dyDescent="0.25">
      <c r="A106" s="47" t="s">
        <v>52</v>
      </c>
      <c r="B106" s="31"/>
      <c r="C106" s="31"/>
      <c r="D106" s="31"/>
      <c r="E106" s="31"/>
      <c r="F106" s="9">
        <f t="shared" ref="F106:L106" si="7">SUMIF(F$9:F$100,"X",$E$9:$E$100)</f>
        <v>87.831044979669983</v>
      </c>
      <c r="G106" s="9">
        <f t="shared" si="7"/>
        <v>0</v>
      </c>
      <c r="H106" s="9">
        <f t="shared" si="7"/>
        <v>0</v>
      </c>
      <c r="I106" s="9">
        <f t="shared" si="7"/>
        <v>0</v>
      </c>
      <c r="J106" s="9">
        <f t="shared" si="7"/>
        <v>20.9453418423</v>
      </c>
      <c r="K106" s="9">
        <f t="shared" si="7"/>
        <v>0</v>
      </c>
      <c r="L106" s="9">
        <f t="shared" si="7"/>
        <v>66.885703137369987</v>
      </c>
    </row>
    <row r="107" spans="1:14" x14ac:dyDescent="0.25">
      <c r="A107" s="47" t="s">
        <v>53</v>
      </c>
      <c r="B107" s="31"/>
      <c r="C107" s="31"/>
      <c r="D107" s="31"/>
      <c r="E107" s="31"/>
      <c r="F107" s="27">
        <f t="shared" ref="F107:L107" si="8">IF($I109=0,0,F106/$I109)</f>
        <v>1</v>
      </c>
      <c r="G107" s="27">
        <f t="shared" si="8"/>
        <v>0</v>
      </c>
      <c r="H107" s="27">
        <f t="shared" si="8"/>
        <v>0</v>
      </c>
      <c r="I107" s="27">
        <f t="shared" si="8"/>
        <v>0</v>
      </c>
      <c r="J107" s="27">
        <f t="shared" si="8"/>
        <v>0.23847310307133612</v>
      </c>
      <c r="K107" s="27">
        <f t="shared" si="8"/>
        <v>0</v>
      </c>
      <c r="L107" s="27">
        <f t="shared" si="8"/>
        <v>0.76152689692866393</v>
      </c>
    </row>
    <row r="108" spans="1:14" x14ac:dyDescent="0.25">
      <c r="A108" s="47" t="s">
        <v>54</v>
      </c>
      <c r="B108" s="31"/>
      <c r="C108" s="31"/>
      <c r="D108" s="31"/>
      <c r="E108" s="31"/>
      <c r="F108" s="49" t="str">
        <f>IF(SUM(F106:I106)=0,"— não preenchido",IF(ROUND(SUM(F106:I106)-$I109,3)=0,"OK — "&amp;ROUND(SUM(F106:I106),3)&amp;" km","ERRO — dif. de "&amp;ROUND(SUM(F106:I106)-$I109,3)&amp;" km"))</f>
        <v>OK — 87,831 km</v>
      </c>
      <c r="G108" s="33"/>
      <c r="H108" s="33"/>
      <c r="I108" s="34"/>
      <c r="J108" s="49" t="str">
        <f>IF(SUM(J106:L106)=0,"— não preenchido",IF(ROUND(SUM(J106:L106)-$I109,3)=0,"OK — "&amp;ROUND(SUM(J106:L106),3)&amp;" km","ERRO — dif. de "&amp;ROUND(SUM(J106:L106)-$I109,3)&amp;" km"))</f>
        <v>OK — 87,831 km</v>
      </c>
      <c r="K108" s="33"/>
      <c r="L108" s="34"/>
    </row>
    <row r="109" spans="1:14" x14ac:dyDescent="0.25">
      <c r="A109" s="47" t="s">
        <v>55</v>
      </c>
      <c r="B109" s="31"/>
      <c r="C109" s="31"/>
      <c r="D109" s="31"/>
      <c r="E109" s="31"/>
      <c r="I109" s="28">
        <f>SUM(E9:E100)</f>
        <v>87.831044979669983</v>
      </c>
      <c r="M109" s="8" t="str">
        <f>COUNTIF(N9:N100,"OK")&amp;" de "&amp;COUNT($E$9:$E$100)&amp;" linhas conferidas"</f>
        <v>89 de 89 linhas conferidas</v>
      </c>
    </row>
    <row r="111" spans="1:14" x14ac:dyDescent="0.25">
      <c r="A111" s="48" t="s">
        <v>56</v>
      </c>
      <c r="B111" s="31"/>
      <c r="C111" s="31"/>
      <c r="D111" s="31"/>
      <c r="E111" s="31"/>
    </row>
    <row r="112" spans="1:14" x14ac:dyDescent="0.25">
      <c r="A112" s="47" t="s">
        <v>10</v>
      </c>
      <c r="B112" s="31"/>
      <c r="C112" s="31"/>
      <c r="D112" s="31"/>
      <c r="E112" s="44" t="s">
        <v>57</v>
      </c>
      <c r="F112" s="31"/>
      <c r="G112" s="31"/>
      <c r="H112" s="31"/>
      <c r="I112" s="31"/>
      <c r="J112" s="31"/>
      <c r="K112" s="31"/>
      <c r="L112" s="31"/>
      <c r="M112" s="31"/>
    </row>
    <row r="113" spans="1:13" x14ac:dyDescent="0.25">
      <c r="A113" s="47" t="s">
        <v>11</v>
      </c>
      <c r="B113" s="31"/>
      <c r="C113" s="31"/>
      <c r="D113" s="31"/>
      <c r="E113" s="44" t="s">
        <v>58</v>
      </c>
      <c r="F113" s="31"/>
      <c r="G113" s="31"/>
      <c r="H113" s="31"/>
      <c r="I113" s="31"/>
      <c r="J113" s="31"/>
      <c r="K113" s="31"/>
      <c r="L113" s="31"/>
      <c r="M113" s="31"/>
    </row>
    <row r="114" spans="1:13" x14ac:dyDescent="0.25">
      <c r="A114" s="47" t="s">
        <v>12</v>
      </c>
      <c r="B114" s="31"/>
      <c r="C114" s="31"/>
      <c r="D114" s="31"/>
      <c r="E114" s="44" t="s">
        <v>59</v>
      </c>
      <c r="F114" s="31"/>
      <c r="G114" s="31"/>
      <c r="H114" s="31"/>
      <c r="I114" s="31"/>
      <c r="J114" s="31"/>
      <c r="K114" s="31"/>
      <c r="L114" s="31"/>
      <c r="M114" s="31"/>
    </row>
    <row r="115" spans="1:13" x14ac:dyDescent="0.25">
      <c r="A115" s="47" t="s">
        <v>60</v>
      </c>
      <c r="B115" s="31"/>
      <c r="C115" s="31"/>
      <c r="D115" s="31"/>
      <c r="E115" s="44" t="s">
        <v>61</v>
      </c>
      <c r="F115" s="31"/>
      <c r="G115" s="31"/>
      <c r="H115" s="31"/>
      <c r="I115" s="31"/>
      <c r="J115" s="31"/>
      <c r="K115" s="31"/>
      <c r="L115" s="31"/>
      <c r="M115" s="31"/>
    </row>
    <row r="116" spans="1:13" x14ac:dyDescent="0.25">
      <c r="A116" s="47" t="s">
        <v>62</v>
      </c>
      <c r="B116" s="31"/>
      <c r="C116" s="31"/>
      <c r="D116" s="31"/>
      <c r="E116" s="44" t="s">
        <v>63</v>
      </c>
      <c r="F116" s="31"/>
      <c r="G116" s="31"/>
      <c r="H116" s="31"/>
      <c r="I116" s="31"/>
      <c r="J116" s="31"/>
      <c r="K116" s="31"/>
      <c r="L116" s="31"/>
      <c r="M116" s="31"/>
    </row>
    <row r="117" spans="1:13" x14ac:dyDescent="0.25">
      <c r="A117" s="47" t="s">
        <v>64</v>
      </c>
      <c r="B117" s="31"/>
      <c r="C117" s="31"/>
      <c r="D117" s="31"/>
      <c r="E117" s="44" t="s">
        <v>65</v>
      </c>
      <c r="F117" s="31"/>
      <c r="G117" s="31"/>
      <c r="H117" s="31"/>
      <c r="I117" s="31"/>
      <c r="J117" s="31"/>
      <c r="K117" s="31"/>
      <c r="L117" s="31"/>
      <c r="M117" s="31"/>
    </row>
    <row r="118" spans="1:13" x14ac:dyDescent="0.25">
      <c r="A118" s="47" t="s">
        <v>39</v>
      </c>
      <c r="B118" s="31"/>
      <c r="C118" s="31"/>
      <c r="D118" s="31"/>
      <c r="E118" s="44" t="s">
        <v>66</v>
      </c>
      <c r="F118" s="31"/>
      <c r="G118" s="31"/>
      <c r="H118" s="31"/>
      <c r="I118" s="31"/>
      <c r="J118" s="31"/>
      <c r="K118" s="31"/>
      <c r="L118" s="31"/>
      <c r="M118" s="31"/>
    </row>
    <row r="119" spans="1:13" x14ac:dyDescent="0.25">
      <c r="A119" s="47" t="s">
        <v>67</v>
      </c>
      <c r="B119" s="31"/>
      <c r="C119" s="31"/>
      <c r="D119" s="31"/>
      <c r="E119" s="44" t="s">
        <v>68</v>
      </c>
      <c r="F119" s="31"/>
      <c r="G119" s="31"/>
      <c r="H119" s="31"/>
      <c r="I119" s="31"/>
      <c r="J119" s="31"/>
      <c r="K119" s="31"/>
      <c r="L119" s="31"/>
      <c r="M119" s="31"/>
    </row>
    <row r="120" spans="1:13" x14ac:dyDescent="0.25">
      <c r="A120" s="47" t="s">
        <v>69</v>
      </c>
      <c r="B120" s="31"/>
      <c r="C120" s="31"/>
      <c r="D120" s="31"/>
      <c r="E120" s="44" t="s">
        <v>70</v>
      </c>
      <c r="F120" s="31"/>
      <c r="G120" s="31"/>
      <c r="H120" s="31"/>
      <c r="I120" s="31"/>
      <c r="J120" s="31"/>
      <c r="K120" s="31"/>
      <c r="L120" s="31"/>
      <c r="M120" s="31"/>
    </row>
    <row r="121" spans="1:13" x14ac:dyDescent="0.25">
      <c r="A121" s="47" t="s">
        <v>8</v>
      </c>
      <c r="B121" s="31"/>
      <c r="C121" s="31"/>
      <c r="D121" s="31"/>
      <c r="E121" s="44" t="s">
        <v>71</v>
      </c>
      <c r="F121" s="31"/>
      <c r="G121" s="31"/>
      <c r="H121" s="31"/>
      <c r="I121" s="31"/>
      <c r="J121" s="31"/>
      <c r="K121" s="31"/>
      <c r="L121" s="31"/>
      <c r="M121" s="31"/>
    </row>
  </sheetData>
  <sheetProtection formatCells="0"/>
  <mergeCells count="53">
    <mergeCell ref="N6:N7"/>
    <mergeCell ref="K3:M3"/>
    <mergeCell ref="E121:M121"/>
    <mergeCell ref="A106:E106"/>
    <mergeCell ref="A118:D118"/>
    <mergeCell ref="A109:E109"/>
    <mergeCell ref="A120:D120"/>
    <mergeCell ref="E117:M117"/>
    <mergeCell ref="A3:J3"/>
    <mergeCell ref="A102:E102"/>
    <mergeCell ref="A113:D113"/>
    <mergeCell ref="C6:C7"/>
    <mergeCell ref="A111:E111"/>
    <mergeCell ref="D6:D7"/>
    <mergeCell ref="G102:K102"/>
    <mergeCell ref="F108:I108"/>
    <mergeCell ref="A1:M1"/>
    <mergeCell ref="A119:D119"/>
    <mergeCell ref="E112:M112"/>
    <mergeCell ref="A79:M79"/>
    <mergeCell ref="E115:M115"/>
    <mergeCell ref="E118:M118"/>
    <mergeCell ref="A6:A7"/>
    <mergeCell ref="G103:K103"/>
    <mergeCell ref="A108:E108"/>
    <mergeCell ref="M6:M7"/>
    <mergeCell ref="E6:E7"/>
    <mergeCell ref="B6:B7"/>
    <mergeCell ref="E113:M113"/>
    <mergeCell ref="A76:M76"/>
    <mergeCell ref="J6:L6"/>
    <mergeCell ref="G2:H2"/>
    <mergeCell ref="A121:D121"/>
    <mergeCell ref="E114:M114"/>
    <mergeCell ref="A117:D117"/>
    <mergeCell ref="A115:D115"/>
    <mergeCell ref="A114:D114"/>
    <mergeCell ref="E119:M119"/>
    <mergeCell ref="E116:M116"/>
    <mergeCell ref="E120:M120"/>
    <mergeCell ref="A116:D116"/>
    <mergeCell ref="A112:D112"/>
    <mergeCell ref="A2:C2"/>
    <mergeCell ref="K2:M2"/>
    <mergeCell ref="D2:E2"/>
    <mergeCell ref="F6:I6"/>
    <mergeCell ref="A105:E105"/>
    <mergeCell ref="A8:M8"/>
    <mergeCell ref="A35:M35"/>
    <mergeCell ref="A4:M4"/>
    <mergeCell ref="A107:E107"/>
    <mergeCell ref="J108:L108"/>
    <mergeCell ref="A103:E103"/>
  </mergeCells>
  <conditionalFormatting sqref="F9:I100">
    <cfRule type="expression" dxfId="47" priority="1">
      <formula>AND(F9&lt;&gt;"",COUNTIF($F9:$I9,"X")&gt;1)</formula>
    </cfRule>
  </conditionalFormatting>
  <conditionalFormatting sqref="F108:L108">
    <cfRule type="expression" dxfId="46" priority="5">
      <formula>LEFT(F108,4)="ERRO"</formula>
    </cfRule>
    <cfRule type="expression" dxfId="45" priority="6">
      <formula>LEFT(F108,2)="OK"</formula>
    </cfRule>
  </conditionalFormatting>
  <conditionalFormatting sqref="J9:L100">
    <cfRule type="expression" dxfId="44" priority="2">
      <formula>AND(J9&lt;&gt;"",COUNTIF($J9:$L9,"X")&gt;1)</formula>
    </cfRule>
  </conditionalFormatting>
  <conditionalFormatting sqref="N9:N100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0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0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100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232</oddHeader>
    <oddFooter>&amp;L&amp;7 RTA / MSI — Programa de Manutenção Rodoviária&amp;C&amp;7 Página &amp;P de &amp;N&amp;R&amp;7 Impresso em &amp;D</oddFooter>
  </headerFooter>
  <rowBreaks count="1" manualBreakCount="1">
    <brk id="103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67"/>
  <sheetViews>
    <sheetView showGridLines="0" workbookViewId="0">
      <pane xSplit="5" ySplit="7" topLeftCell="F36" activePane="bottomRight" state="frozen"/>
      <selection pane="topRight"/>
      <selection pane="bottomLeft"/>
      <selection pane="bottomRight" activeCell="K47" sqref="K47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IF(F52=0,NA(),F52)</f>
        <v>6</v>
      </c>
      <c r="Q2" s="2">
        <f t="shared" si="0"/>
        <v>26.966639632470002</v>
      </c>
      <c r="R2" s="2">
        <f t="shared" si="0"/>
        <v>1</v>
      </c>
      <c r="S2" s="2" t="e">
        <f t="shared" si="0"/>
        <v>#N/A</v>
      </c>
      <c r="T2" s="2">
        <f t="shared" si="0"/>
        <v>33.966639632469999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102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103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104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105</v>
      </c>
      <c r="B9" s="15" t="s">
        <v>47</v>
      </c>
      <c r="C9" s="16">
        <v>0</v>
      </c>
      <c r="D9" s="16">
        <v>1</v>
      </c>
      <c r="E9" s="16">
        <f t="shared" ref="E9:E18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1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76</v>
      </c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76</v>
      </c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76</v>
      </c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20" t="s">
        <v>105</v>
      </c>
      <c r="B18" s="21" t="s">
        <v>47</v>
      </c>
      <c r="C18" s="22">
        <v>9</v>
      </c>
      <c r="D18" s="22">
        <v>9.4784747975600006</v>
      </c>
      <c r="E18" s="22">
        <f t="shared" si="1"/>
        <v>0.47847479756000055</v>
      </c>
      <c r="F18" s="23"/>
      <c r="G18" s="23" t="s">
        <v>76</v>
      </c>
      <c r="H18" s="23"/>
      <c r="I18" s="23"/>
      <c r="J18" s="23" t="s">
        <v>76</v>
      </c>
      <c r="K18" s="23"/>
      <c r="L18" s="23"/>
      <c r="M18" s="24"/>
      <c r="N18" s="25" t="str">
        <f t="shared" si="2"/>
        <v>OK</v>
      </c>
    </row>
    <row r="19" spans="1:14" ht="15.95" customHeight="1" x14ac:dyDescent="0.25">
      <c r="A19" s="38" t="s">
        <v>106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4"/>
    </row>
    <row r="20" spans="1:14" ht="20.100000000000001" customHeight="1" x14ac:dyDescent="0.25">
      <c r="A20" s="14" t="s">
        <v>107</v>
      </c>
      <c r="B20" s="15" t="s">
        <v>47</v>
      </c>
      <c r="C20" s="16">
        <v>0</v>
      </c>
      <c r="D20" s="16">
        <v>1</v>
      </c>
      <c r="E20" s="16">
        <f t="shared" ref="E20:E41" si="3">D20-C20</f>
        <v>1</v>
      </c>
      <c r="F20" s="17"/>
      <c r="G20" s="17" t="s">
        <v>76</v>
      </c>
      <c r="H20" s="17"/>
      <c r="I20" s="17"/>
      <c r="J20" s="17" t="s">
        <v>76</v>
      </c>
      <c r="K20" s="17"/>
      <c r="L20" s="17"/>
      <c r="M20" s="18"/>
      <c r="N20" s="19" t="str">
        <f t="shared" ref="N20:N41" si="4">IF(COUNTA(F20:L20)=0,"— não preenchido",IF(COUNTIF(F20:I20,"X")&lt;&gt;1,"FALTA/DUPLA: CONDIÇÃO DA PLATAFORMA",IF(COUNTIF(J20:L20,"X")&lt;&gt;1,"FALTA/DUPLA: DRENAGEM SUPERFICIAL","OK")))</f>
        <v>OK</v>
      </c>
    </row>
    <row r="21" spans="1:14" ht="20.100000000000001" customHeight="1" x14ac:dyDescent="0.25">
      <c r="A21" s="14" t="s">
        <v>107</v>
      </c>
      <c r="B21" s="15" t="s">
        <v>47</v>
      </c>
      <c r="C21" s="16">
        <v>1</v>
      </c>
      <c r="D21" s="16">
        <v>2</v>
      </c>
      <c r="E21" s="16">
        <f t="shared" si="3"/>
        <v>1</v>
      </c>
      <c r="F21" s="17"/>
      <c r="G21" s="17" t="s">
        <v>76</v>
      </c>
      <c r="H21" s="17"/>
      <c r="I21" s="17"/>
      <c r="J21" s="17" t="s">
        <v>76</v>
      </c>
      <c r="K21" s="17"/>
      <c r="L21" s="17"/>
      <c r="M21" s="18"/>
      <c r="N21" s="19" t="str">
        <f t="shared" si="4"/>
        <v>OK</v>
      </c>
    </row>
    <row r="22" spans="1:14" ht="20.100000000000001" customHeight="1" x14ac:dyDescent="0.25">
      <c r="A22" s="14" t="s">
        <v>107</v>
      </c>
      <c r="B22" s="15" t="s">
        <v>47</v>
      </c>
      <c r="C22" s="16">
        <v>2</v>
      </c>
      <c r="D22" s="16">
        <v>3</v>
      </c>
      <c r="E22" s="16">
        <f t="shared" si="3"/>
        <v>1</v>
      </c>
      <c r="F22" s="17"/>
      <c r="G22" s="17" t="s">
        <v>76</v>
      </c>
      <c r="H22" s="17"/>
      <c r="I22" s="17"/>
      <c r="J22" s="17" t="s">
        <v>76</v>
      </c>
      <c r="K22" s="17"/>
      <c r="L22" s="17"/>
      <c r="M22" s="18"/>
      <c r="N22" s="19" t="str">
        <f t="shared" si="4"/>
        <v>OK</v>
      </c>
    </row>
    <row r="23" spans="1:14" ht="20.100000000000001" customHeight="1" x14ac:dyDescent="0.25">
      <c r="A23" s="14" t="s">
        <v>107</v>
      </c>
      <c r="B23" s="15" t="s">
        <v>47</v>
      </c>
      <c r="C23" s="16">
        <v>3</v>
      </c>
      <c r="D23" s="16">
        <v>4</v>
      </c>
      <c r="E23" s="16">
        <f t="shared" si="3"/>
        <v>1</v>
      </c>
      <c r="F23" s="17"/>
      <c r="G23" s="17" t="s">
        <v>76</v>
      </c>
      <c r="H23" s="17"/>
      <c r="I23" s="17"/>
      <c r="J23" s="17" t="s">
        <v>76</v>
      </c>
      <c r="K23" s="17"/>
      <c r="L23" s="17"/>
      <c r="M23" s="18"/>
      <c r="N23" s="19" t="str">
        <f t="shared" si="4"/>
        <v>OK</v>
      </c>
    </row>
    <row r="24" spans="1:14" ht="20.100000000000001" customHeight="1" x14ac:dyDescent="0.25">
      <c r="A24" s="14" t="s">
        <v>107</v>
      </c>
      <c r="B24" s="15" t="s">
        <v>47</v>
      </c>
      <c r="C24" s="16">
        <v>4</v>
      </c>
      <c r="D24" s="16">
        <v>5</v>
      </c>
      <c r="E24" s="16">
        <f t="shared" si="3"/>
        <v>1</v>
      </c>
      <c r="F24" s="17"/>
      <c r="G24" s="17" t="s">
        <v>76</v>
      </c>
      <c r="H24" s="17"/>
      <c r="I24" s="17"/>
      <c r="J24" s="17" t="s">
        <v>76</v>
      </c>
      <c r="K24" s="17"/>
      <c r="L24" s="17"/>
      <c r="M24" s="18"/>
      <c r="N24" s="19" t="str">
        <f t="shared" si="4"/>
        <v>OK</v>
      </c>
    </row>
    <row r="25" spans="1:14" ht="20.100000000000001" customHeight="1" x14ac:dyDescent="0.25">
      <c r="A25" s="14" t="s">
        <v>107</v>
      </c>
      <c r="B25" s="15" t="s">
        <v>47</v>
      </c>
      <c r="C25" s="16">
        <v>5</v>
      </c>
      <c r="D25" s="16">
        <v>6</v>
      </c>
      <c r="E25" s="16">
        <f t="shared" si="3"/>
        <v>1</v>
      </c>
      <c r="F25" s="17"/>
      <c r="G25" s="17" t="s">
        <v>76</v>
      </c>
      <c r="H25" s="17"/>
      <c r="I25" s="17"/>
      <c r="J25" s="17" t="s">
        <v>76</v>
      </c>
      <c r="K25" s="17"/>
      <c r="L25" s="17"/>
      <c r="M25" s="18"/>
      <c r="N25" s="19" t="str">
        <f t="shared" si="4"/>
        <v>OK</v>
      </c>
    </row>
    <row r="26" spans="1:14" ht="20.100000000000001" customHeight="1" x14ac:dyDescent="0.25">
      <c r="A26" s="14" t="s">
        <v>107</v>
      </c>
      <c r="B26" s="15" t="s">
        <v>47</v>
      </c>
      <c r="C26" s="16">
        <v>6</v>
      </c>
      <c r="D26" s="16">
        <v>7</v>
      </c>
      <c r="E26" s="16">
        <f t="shared" si="3"/>
        <v>1</v>
      </c>
      <c r="F26" s="17"/>
      <c r="G26" s="17" t="s">
        <v>76</v>
      </c>
      <c r="H26" s="17"/>
      <c r="I26" s="17"/>
      <c r="J26" s="17" t="s">
        <v>76</v>
      </c>
      <c r="K26" s="17"/>
      <c r="L26" s="17"/>
      <c r="M26" s="18"/>
      <c r="N26" s="19" t="str">
        <f t="shared" si="4"/>
        <v>OK</v>
      </c>
    </row>
    <row r="27" spans="1:14" ht="20.100000000000001" customHeight="1" x14ac:dyDescent="0.25">
      <c r="A27" s="14" t="s">
        <v>107</v>
      </c>
      <c r="B27" s="15" t="s">
        <v>47</v>
      </c>
      <c r="C27" s="16">
        <v>7</v>
      </c>
      <c r="D27" s="16">
        <v>8</v>
      </c>
      <c r="E27" s="16">
        <f t="shared" si="3"/>
        <v>1</v>
      </c>
      <c r="F27" s="17"/>
      <c r="G27" s="17" t="s">
        <v>76</v>
      </c>
      <c r="H27" s="17"/>
      <c r="I27" s="17"/>
      <c r="J27" s="17" t="s">
        <v>76</v>
      </c>
      <c r="K27" s="17"/>
      <c r="L27" s="17"/>
      <c r="M27" s="18"/>
      <c r="N27" s="19" t="str">
        <f t="shared" si="4"/>
        <v>OK</v>
      </c>
    </row>
    <row r="28" spans="1:14" ht="20.100000000000001" customHeight="1" x14ac:dyDescent="0.25">
      <c r="A28" s="14" t="s">
        <v>107</v>
      </c>
      <c r="B28" s="15" t="s">
        <v>47</v>
      </c>
      <c r="C28" s="16">
        <v>8</v>
      </c>
      <c r="D28" s="16">
        <v>9</v>
      </c>
      <c r="E28" s="16">
        <f t="shared" si="3"/>
        <v>1</v>
      </c>
      <c r="F28" s="17"/>
      <c r="G28" s="17" t="s">
        <v>76</v>
      </c>
      <c r="H28" s="17"/>
      <c r="I28" s="17"/>
      <c r="J28" s="17" t="s">
        <v>76</v>
      </c>
      <c r="K28" s="17"/>
      <c r="L28" s="17"/>
      <c r="M28" s="18"/>
      <c r="N28" s="19" t="str">
        <f t="shared" si="4"/>
        <v>OK</v>
      </c>
    </row>
    <row r="29" spans="1:14" ht="20.100000000000001" customHeight="1" x14ac:dyDescent="0.25">
      <c r="A29" s="14" t="s">
        <v>107</v>
      </c>
      <c r="B29" s="15" t="s">
        <v>47</v>
      </c>
      <c r="C29" s="16">
        <v>9</v>
      </c>
      <c r="D29" s="16">
        <v>10</v>
      </c>
      <c r="E29" s="16">
        <f t="shared" si="3"/>
        <v>1</v>
      </c>
      <c r="F29" s="17"/>
      <c r="G29" s="17" t="s">
        <v>76</v>
      </c>
      <c r="H29" s="17"/>
      <c r="I29" s="17"/>
      <c r="J29" s="17" t="s">
        <v>76</v>
      </c>
      <c r="K29" s="17"/>
      <c r="L29" s="17"/>
      <c r="M29" s="18"/>
      <c r="N29" s="19" t="str">
        <f t="shared" si="4"/>
        <v>OK</v>
      </c>
    </row>
    <row r="30" spans="1:14" ht="20.100000000000001" customHeight="1" x14ac:dyDescent="0.25">
      <c r="A30" s="14" t="s">
        <v>107</v>
      </c>
      <c r="B30" s="15" t="s">
        <v>47</v>
      </c>
      <c r="C30" s="16">
        <v>10</v>
      </c>
      <c r="D30" s="16">
        <v>11</v>
      </c>
      <c r="E30" s="16">
        <f t="shared" si="3"/>
        <v>1</v>
      </c>
      <c r="F30" s="17"/>
      <c r="G30" s="17" t="s">
        <v>76</v>
      </c>
      <c r="H30" s="17"/>
      <c r="I30" s="17"/>
      <c r="J30" s="17" t="s">
        <v>76</v>
      </c>
      <c r="K30" s="17"/>
      <c r="L30" s="17"/>
      <c r="M30" s="18"/>
      <c r="N30" s="19" t="str">
        <f t="shared" si="4"/>
        <v>OK</v>
      </c>
    </row>
    <row r="31" spans="1:14" ht="20.100000000000001" customHeight="1" x14ac:dyDescent="0.25">
      <c r="A31" s="14" t="s">
        <v>107</v>
      </c>
      <c r="B31" s="15" t="s">
        <v>47</v>
      </c>
      <c r="C31" s="16">
        <v>11</v>
      </c>
      <c r="D31" s="16">
        <v>12</v>
      </c>
      <c r="E31" s="16">
        <f t="shared" si="3"/>
        <v>1</v>
      </c>
      <c r="F31" s="17"/>
      <c r="G31" s="17" t="s">
        <v>76</v>
      </c>
      <c r="H31" s="17"/>
      <c r="I31" s="17"/>
      <c r="J31" s="17" t="s">
        <v>76</v>
      </c>
      <c r="K31" s="17"/>
      <c r="L31" s="17"/>
      <c r="M31" s="18"/>
      <c r="N31" s="19" t="str">
        <f t="shared" si="4"/>
        <v>OK</v>
      </c>
    </row>
    <row r="32" spans="1:14" ht="20.100000000000001" customHeight="1" x14ac:dyDescent="0.25">
      <c r="A32" s="14" t="s">
        <v>107</v>
      </c>
      <c r="B32" s="15" t="s">
        <v>47</v>
      </c>
      <c r="C32" s="16">
        <v>12</v>
      </c>
      <c r="D32" s="16">
        <v>13</v>
      </c>
      <c r="E32" s="16">
        <f t="shared" si="3"/>
        <v>1</v>
      </c>
      <c r="F32" s="17"/>
      <c r="G32" s="17" t="s">
        <v>76</v>
      </c>
      <c r="H32" s="17"/>
      <c r="I32" s="17"/>
      <c r="J32" s="17" t="s">
        <v>76</v>
      </c>
      <c r="K32" s="17"/>
      <c r="L32" s="17"/>
      <c r="M32" s="18"/>
      <c r="N32" s="19" t="str">
        <f t="shared" si="4"/>
        <v>OK</v>
      </c>
    </row>
    <row r="33" spans="1:14" ht="20.100000000000001" customHeight="1" x14ac:dyDescent="0.25">
      <c r="A33" s="14" t="s">
        <v>107</v>
      </c>
      <c r="B33" s="15" t="s">
        <v>47</v>
      </c>
      <c r="C33" s="16">
        <v>13</v>
      </c>
      <c r="D33" s="16">
        <v>14</v>
      </c>
      <c r="E33" s="16">
        <f t="shared" si="3"/>
        <v>1</v>
      </c>
      <c r="F33" s="17"/>
      <c r="G33" s="17" t="s">
        <v>76</v>
      </c>
      <c r="H33" s="17"/>
      <c r="I33" s="17"/>
      <c r="J33" s="17" t="s">
        <v>76</v>
      </c>
      <c r="K33" s="17"/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107</v>
      </c>
      <c r="B34" s="15" t="s">
        <v>47</v>
      </c>
      <c r="C34" s="16">
        <v>14</v>
      </c>
      <c r="D34" s="16">
        <v>15</v>
      </c>
      <c r="E34" s="16">
        <f t="shared" si="3"/>
        <v>1</v>
      </c>
      <c r="F34" s="17"/>
      <c r="G34" s="17" t="s">
        <v>76</v>
      </c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107</v>
      </c>
      <c r="B35" s="15" t="s">
        <v>47</v>
      </c>
      <c r="C35" s="16">
        <v>15</v>
      </c>
      <c r="D35" s="16">
        <v>16</v>
      </c>
      <c r="E35" s="16">
        <f t="shared" si="3"/>
        <v>1</v>
      </c>
      <c r="F35" s="17"/>
      <c r="G35" s="17" t="s">
        <v>76</v>
      </c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107</v>
      </c>
      <c r="B36" s="15" t="s">
        <v>47</v>
      </c>
      <c r="C36" s="16">
        <v>16</v>
      </c>
      <c r="D36" s="16">
        <v>17</v>
      </c>
      <c r="E36" s="16">
        <f t="shared" si="3"/>
        <v>1</v>
      </c>
      <c r="F36" s="17"/>
      <c r="G36" s="17" t="s">
        <v>76</v>
      </c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107</v>
      </c>
      <c r="B37" s="15" t="s">
        <v>47</v>
      </c>
      <c r="C37" s="16">
        <v>17</v>
      </c>
      <c r="D37" s="16">
        <v>18</v>
      </c>
      <c r="E37" s="16">
        <f t="shared" si="3"/>
        <v>1</v>
      </c>
      <c r="F37" s="17"/>
      <c r="G37" s="17" t="s">
        <v>76</v>
      </c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107</v>
      </c>
      <c r="B38" s="15" t="s">
        <v>47</v>
      </c>
      <c r="C38" s="16">
        <v>18</v>
      </c>
      <c r="D38" s="16">
        <v>19</v>
      </c>
      <c r="E38" s="16">
        <f t="shared" si="3"/>
        <v>1</v>
      </c>
      <c r="F38" s="17"/>
      <c r="G38" s="17" t="s">
        <v>76</v>
      </c>
      <c r="H38" s="17"/>
      <c r="I38" s="17"/>
      <c r="J38" s="17" t="s">
        <v>76</v>
      </c>
      <c r="K38" s="17"/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107</v>
      </c>
      <c r="B39" s="15" t="s">
        <v>47</v>
      </c>
      <c r="C39" s="16">
        <v>19</v>
      </c>
      <c r="D39" s="16">
        <v>20</v>
      </c>
      <c r="E39" s="16">
        <f t="shared" si="3"/>
        <v>1</v>
      </c>
      <c r="F39" s="17"/>
      <c r="G39" s="17" t="s">
        <v>76</v>
      </c>
      <c r="H39" s="17"/>
      <c r="I39" s="17"/>
      <c r="J39" s="17" t="s">
        <v>76</v>
      </c>
      <c r="K39" s="17"/>
      <c r="L39" s="17"/>
      <c r="M39" s="18"/>
      <c r="N39" s="19" t="str">
        <f t="shared" si="4"/>
        <v>OK</v>
      </c>
    </row>
    <row r="40" spans="1:14" ht="20.100000000000001" customHeight="1" x14ac:dyDescent="0.25">
      <c r="A40" s="14" t="s">
        <v>107</v>
      </c>
      <c r="B40" s="15" t="s">
        <v>47</v>
      </c>
      <c r="C40" s="16">
        <v>20</v>
      </c>
      <c r="D40" s="16">
        <v>21</v>
      </c>
      <c r="E40" s="16">
        <f t="shared" si="3"/>
        <v>1</v>
      </c>
      <c r="F40" s="17"/>
      <c r="G40" s="17" t="s">
        <v>76</v>
      </c>
      <c r="H40" s="17"/>
      <c r="I40" s="17"/>
      <c r="J40" s="17" t="s">
        <v>76</v>
      </c>
      <c r="K40" s="17"/>
      <c r="L40" s="17"/>
      <c r="M40" s="18"/>
      <c r="N40" s="19" t="str">
        <f t="shared" si="4"/>
        <v>OK</v>
      </c>
    </row>
    <row r="41" spans="1:14" ht="20.100000000000001" customHeight="1" x14ac:dyDescent="0.25">
      <c r="A41" s="20" t="s">
        <v>107</v>
      </c>
      <c r="B41" s="21" t="s">
        <v>47</v>
      </c>
      <c r="C41" s="22">
        <v>21</v>
      </c>
      <c r="D41" s="22">
        <v>21.460758116600001</v>
      </c>
      <c r="E41" s="22">
        <f t="shared" si="3"/>
        <v>0.46075811660000099</v>
      </c>
      <c r="F41" s="23"/>
      <c r="G41" s="23" t="s">
        <v>76</v>
      </c>
      <c r="H41" s="23"/>
      <c r="I41" s="23"/>
      <c r="J41" s="23" t="s">
        <v>76</v>
      </c>
      <c r="K41" s="23"/>
      <c r="L41" s="23"/>
      <c r="M41" s="24"/>
      <c r="N41" s="25" t="str">
        <f t="shared" si="4"/>
        <v>OK</v>
      </c>
    </row>
    <row r="42" spans="1:14" ht="15.95" customHeight="1" x14ac:dyDescent="0.25">
      <c r="A42" s="38" t="s">
        <v>108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  <c r="N42" s="4"/>
    </row>
    <row r="43" spans="1:14" ht="20.100000000000001" customHeight="1" x14ac:dyDescent="0.25">
      <c r="A43" s="14" t="s">
        <v>109</v>
      </c>
      <c r="B43" s="15" t="s">
        <v>47</v>
      </c>
      <c r="C43" s="16">
        <v>0</v>
      </c>
      <c r="D43" s="16">
        <v>1</v>
      </c>
      <c r="E43" s="16">
        <f>D43-C43</f>
        <v>1</v>
      </c>
      <c r="F43" s="17"/>
      <c r="G43" s="17" t="s">
        <v>76</v>
      </c>
      <c r="H43" s="17"/>
      <c r="I43" s="17"/>
      <c r="J43" s="17" t="s">
        <v>76</v>
      </c>
      <c r="K43" s="17"/>
      <c r="L43" s="17"/>
      <c r="M43" s="18"/>
      <c r="N43" s="19" t="str">
        <f>IF(COUNTA(F43:L43)=0,"— não preenchido",IF(COUNTIF(F43:I43,"X")&lt;&gt;1,"FALTA/DUPLA: CONDIÇÃO DA PLATAFORMA",IF(COUNTIF(J43:L43,"X")&lt;&gt;1,"FALTA/DUPLA: DRENAGEM SUPERFICIAL","OK")))</f>
        <v>OK</v>
      </c>
    </row>
    <row r="44" spans="1:14" ht="20.100000000000001" customHeight="1" x14ac:dyDescent="0.25">
      <c r="A44" s="14" t="s">
        <v>109</v>
      </c>
      <c r="B44" s="15" t="s">
        <v>47</v>
      </c>
      <c r="C44" s="16">
        <v>1</v>
      </c>
      <c r="D44" s="16">
        <v>2</v>
      </c>
      <c r="E44" s="16">
        <f>D44-C44</f>
        <v>1</v>
      </c>
      <c r="F44" s="17"/>
      <c r="G44" s="17"/>
      <c r="H44" s="17" t="s">
        <v>76</v>
      </c>
      <c r="I44" s="17"/>
      <c r="J44" s="17" t="s">
        <v>76</v>
      </c>
      <c r="K44" s="17"/>
      <c r="L44" s="17"/>
      <c r="M44" s="18"/>
      <c r="N44" s="19" t="str">
        <f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4" t="s">
        <v>109</v>
      </c>
      <c r="B45" s="15" t="s">
        <v>47</v>
      </c>
      <c r="C45" s="16">
        <v>2</v>
      </c>
      <c r="D45" s="16">
        <v>3</v>
      </c>
      <c r="E45" s="16">
        <f>D45-C45</f>
        <v>1</v>
      </c>
      <c r="F45" s="17"/>
      <c r="G45" s="17" t="s">
        <v>76</v>
      </c>
      <c r="H45" s="17"/>
      <c r="I45" s="17"/>
      <c r="J45" s="17" t="s">
        <v>76</v>
      </c>
      <c r="K45" s="17"/>
      <c r="L45" s="17"/>
      <c r="M45" s="18"/>
      <c r="N45" s="19" t="str">
        <f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20" t="s">
        <v>109</v>
      </c>
      <c r="B46" s="21" t="s">
        <v>47</v>
      </c>
      <c r="C46" s="22">
        <v>3</v>
      </c>
      <c r="D46" s="22">
        <v>3.02740671831</v>
      </c>
      <c r="E46" s="22">
        <f>D46-C46</f>
        <v>2.7406718309999967E-2</v>
      </c>
      <c r="F46" s="23"/>
      <c r="G46" s="23" t="s">
        <v>76</v>
      </c>
      <c r="H46" s="23"/>
      <c r="I46" s="23"/>
      <c r="J46" s="23" t="s">
        <v>76</v>
      </c>
      <c r="K46" s="23"/>
      <c r="L46" s="23"/>
      <c r="M46" s="24"/>
      <c r="N46" s="25" t="str">
        <f>IF(COUNTA(F46:L46)=0,"— não preenchido",IF(COUNTIF(F46:I46,"X")&lt;&gt;1,"FALTA/DUPLA: CONDIÇÃO DA PLATAFORMA",IF(COUNTIF(J46:L46,"X")&lt;&gt;1,"FALTA/DUPLA: DRENAGEM SUPERFICIAL","OK")))</f>
        <v>OK</v>
      </c>
    </row>
    <row r="48" spans="1:14" x14ac:dyDescent="0.25">
      <c r="A48" s="46" t="s">
        <v>48</v>
      </c>
      <c r="B48" s="31"/>
      <c r="C48" s="31"/>
      <c r="D48" s="31"/>
      <c r="E48" s="31"/>
      <c r="G48" s="46" t="s">
        <v>48</v>
      </c>
      <c r="H48" s="31"/>
      <c r="I48" s="31"/>
      <c r="J48" s="31"/>
      <c r="K48" s="31"/>
    </row>
    <row r="49" spans="1:13" x14ac:dyDescent="0.25">
      <c r="A49" s="45" t="s">
        <v>49</v>
      </c>
      <c r="B49" s="31"/>
      <c r="C49" s="31"/>
      <c r="D49" s="31"/>
      <c r="E49" s="31"/>
      <c r="G49" s="45" t="s">
        <v>50</v>
      </c>
      <c r="H49" s="31"/>
      <c r="I49" s="31"/>
      <c r="J49" s="31"/>
      <c r="K49" s="31"/>
    </row>
    <row r="51" spans="1:13" x14ac:dyDescent="0.25">
      <c r="A51" s="43" t="s">
        <v>51</v>
      </c>
      <c r="B51" s="31"/>
      <c r="C51" s="31"/>
      <c r="D51" s="31"/>
      <c r="E51" s="31"/>
      <c r="F51" s="26"/>
      <c r="G51" s="26"/>
      <c r="H51" s="26"/>
      <c r="I51" s="26"/>
      <c r="J51" s="26"/>
      <c r="K51" s="26"/>
      <c r="L51" s="26"/>
      <c r="M51" s="26"/>
    </row>
    <row r="52" spans="1:13" x14ac:dyDescent="0.25">
      <c r="A52" s="47" t="s">
        <v>52</v>
      </c>
      <c r="B52" s="31"/>
      <c r="C52" s="31"/>
      <c r="D52" s="31"/>
      <c r="E52" s="31"/>
      <c r="F52" s="9">
        <f t="shared" ref="F52:L52" si="5">SUMIF(F$9:F$46,"X",$E$9:$E$46)</f>
        <v>6</v>
      </c>
      <c r="G52" s="9">
        <f t="shared" si="5"/>
        <v>26.966639632470002</v>
      </c>
      <c r="H52" s="9">
        <f t="shared" si="5"/>
        <v>1</v>
      </c>
      <c r="I52" s="9">
        <f t="shared" si="5"/>
        <v>0</v>
      </c>
      <c r="J52" s="9">
        <f t="shared" si="5"/>
        <v>33.966639632469999</v>
      </c>
      <c r="K52" s="9">
        <f t="shared" si="5"/>
        <v>0</v>
      </c>
      <c r="L52" s="9">
        <f t="shared" si="5"/>
        <v>0</v>
      </c>
    </row>
    <row r="53" spans="1:13" x14ac:dyDescent="0.25">
      <c r="A53" s="47" t="s">
        <v>53</v>
      </c>
      <c r="B53" s="31"/>
      <c r="C53" s="31"/>
      <c r="D53" s="31"/>
      <c r="E53" s="31"/>
      <c r="F53" s="27">
        <f t="shared" ref="F53:L53" si="6">IF($I55=0,0,F52/$I55)</f>
        <v>0.17664390899193844</v>
      </c>
      <c r="G53" s="27">
        <f t="shared" si="6"/>
        <v>0.79391543950940524</v>
      </c>
      <c r="H53" s="27">
        <f t="shared" si="6"/>
        <v>2.9440651498656406E-2</v>
      </c>
      <c r="I53" s="27">
        <f t="shared" si="6"/>
        <v>0</v>
      </c>
      <c r="J53" s="27">
        <f t="shared" si="6"/>
        <v>1</v>
      </c>
      <c r="K53" s="27">
        <f t="shared" si="6"/>
        <v>0</v>
      </c>
      <c r="L53" s="27">
        <f t="shared" si="6"/>
        <v>0</v>
      </c>
    </row>
    <row r="54" spans="1:13" x14ac:dyDescent="0.25">
      <c r="A54" s="47" t="s">
        <v>54</v>
      </c>
      <c r="B54" s="31"/>
      <c r="C54" s="31"/>
      <c r="D54" s="31"/>
      <c r="E54" s="31"/>
      <c r="F54" s="49" t="str">
        <f>IF(SUM(F52:I52)=0,"— não preenchido",IF(ROUND(SUM(F52:I52)-$I55,3)=0,"OK — "&amp;ROUND(SUM(F52:I52),3)&amp;" km","ERRO — dif. de "&amp;ROUND(SUM(F52:I52)-$I55,3)&amp;" km"))</f>
        <v>OK — 33,967 km</v>
      </c>
      <c r="G54" s="33"/>
      <c r="H54" s="33"/>
      <c r="I54" s="34"/>
      <c r="J54" s="49" t="str">
        <f>IF(SUM(J52:L52)=0,"— não preenchido",IF(ROUND(SUM(J52:L52)-$I55,3)=0,"OK — "&amp;ROUND(SUM(J52:L52),3)&amp;" km","ERRO — dif. de "&amp;ROUND(SUM(J52:L52)-$I55,3)&amp;" km"))</f>
        <v>OK — 33,967 km</v>
      </c>
      <c r="K54" s="33"/>
      <c r="L54" s="34"/>
    </row>
    <row r="55" spans="1:13" x14ac:dyDescent="0.25">
      <c r="A55" s="47" t="s">
        <v>55</v>
      </c>
      <c r="B55" s="31"/>
      <c r="C55" s="31"/>
      <c r="D55" s="31"/>
      <c r="E55" s="31"/>
      <c r="I55" s="28">
        <f>SUM(E9:E46)</f>
        <v>33.966639632469999</v>
      </c>
      <c r="M55" s="8" t="str">
        <f>COUNTIF(N9:N46,"OK")&amp;" de "&amp;COUNT($E$9:$E$46)&amp;" linhas conferidas"</f>
        <v>36 de 36 linhas conferidas</v>
      </c>
    </row>
    <row r="57" spans="1:13" x14ac:dyDescent="0.25">
      <c r="A57" s="48" t="s">
        <v>56</v>
      </c>
      <c r="B57" s="31"/>
      <c r="C57" s="31"/>
      <c r="D57" s="31"/>
      <c r="E57" s="31"/>
    </row>
    <row r="58" spans="1:13" x14ac:dyDescent="0.25">
      <c r="A58" s="47" t="s">
        <v>10</v>
      </c>
      <c r="B58" s="31"/>
      <c r="C58" s="31"/>
      <c r="D58" s="31"/>
      <c r="E58" s="44" t="s">
        <v>57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47" t="s">
        <v>11</v>
      </c>
      <c r="B59" s="31"/>
      <c r="C59" s="31"/>
      <c r="D59" s="31"/>
      <c r="E59" s="44" t="s">
        <v>58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47" t="s">
        <v>12</v>
      </c>
      <c r="B60" s="31"/>
      <c r="C60" s="31"/>
      <c r="D60" s="31"/>
      <c r="E60" s="44" t="s">
        <v>59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47" t="s">
        <v>60</v>
      </c>
      <c r="B61" s="31"/>
      <c r="C61" s="31"/>
      <c r="D61" s="31"/>
      <c r="E61" s="44" t="s">
        <v>61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47" t="s">
        <v>62</v>
      </c>
      <c r="B62" s="31"/>
      <c r="C62" s="31"/>
      <c r="D62" s="31"/>
      <c r="E62" s="44" t="s">
        <v>63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47" t="s">
        <v>64</v>
      </c>
      <c r="B63" s="31"/>
      <c r="C63" s="31"/>
      <c r="D63" s="31"/>
      <c r="E63" s="44" t="s">
        <v>65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47" t="s">
        <v>39</v>
      </c>
      <c r="B64" s="31"/>
      <c r="C64" s="31"/>
      <c r="D64" s="31"/>
      <c r="E64" s="44" t="s">
        <v>66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47" t="s">
        <v>67</v>
      </c>
      <c r="B65" s="31"/>
      <c r="C65" s="31"/>
      <c r="D65" s="31"/>
      <c r="E65" s="44" t="s">
        <v>68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47" t="s">
        <v>69</v>
      </c>
      <c r="B66" s="31"/>
      <c r="C66" s="31"/>
      <c r="D66" s="31"/>
      <c r="E66" s="44" t="s">
        <v>70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47" t="s">
        <v>8</v>
      </c>
      <c r="B67" s="31"/>
      <c r="C67" s="31"/>
      <c r="D67" s="31"/>
      <c r="E67" s="44" t="s">
        <v>71</v>
      </c>
      <c r="F67" s="31"/>
      <c r="G67" s="31"/>
      <c r="H67" s="31"/>
      <c r="I67" s="31"/>
      <c r="J67" s="31"/>
      <c r="K67" s="31"/>
      <c r="L67" s="31"/>
      <c r="M67" s="31"/>
    </row>
  </sheetData>
  <sheetProtection formatCells="0"/>
  <mergeCells count="52">
    <mergeCell ref="N6:N7"/>
    <mergeCell ref="K3:M3"/>
    <mergeCell ref="E58:M58"/>
    <mergeCell ref="A66:D66"/>
    <mergeCell ref="A53:E53"/>
    <mergeCell ref="E62:M62"/>
    <mergeCell ref="A52:E52"/>
    <mergeCell ref="A3:J3"/>
    <mergeCell ref="C6:C7"/>
    <mergeCell ref="E64:M64"/>
    <mergeCell ref="D6:D7"/>
    <mergeCell ref="A42:M42"/>
    <mergeCell ref="A1:M1"/>
    <mergeCell ref="A57:E57"/>
    <mergeCell ref="A61:D61"/>
    <mergeCell ref="E66:M66"/>
    <mergeCell ref="A65:D65"/>
    <mergeCell ref="E65:M65"/>
    <mergeCell ref="A63:D63"/>
    <mergeCell ref="A2:C2"/>
    <mergeCell ref="G48:K48"/>
    <mergeCell ref="A19:M19"/>
    <mergeCell ref="E59:M59"/>
    <mergeCell ref="K2:M2"/>
    <mergeCell ref="J54:L54"/>
    <mergeCell ref="J6:L6"/>
    <mergeCell ref="A48:E48"/>
    <mergeCell ref="E63:M63"/>
    <mergeCell ref="A67:D67"/>
    <mergeCell ref="D2:E2"/>
    <mergeCell ref="A54:E54"/>
    <mergeCell ref="A58:D58"/>
    <mergeCell ref="E61:M61"/>
    <mergeCell ref="A64:D64"/>
    <mergeCell ref="M6:M7"/>
    <mergeCell ref="A59:D59"/>
    <mergeCell ref="F54:I54"/>
    <mergeCell ref="E6:E7"/>
    <mergeCell ref="B6:B7"/>
    <mergeCell ref="A60:D60"/>
    <mergeCell ref="G49:K49"/>
    <mergeCell ref="F6:I6"/>
    <mergeCell ref="A55:E55"/>
    <mergeCell ref="E67:M67"/>
    <mergeCell ref="G2:H2"/>
    <mergeCell ref="A8:M8"/>
    <mergeCell ref="A62:D62"/>
    <mergeCell ref="A4:M4"/>
    <mergeCell ref="A49:E49"/>
    <mergeCell ref="A51:E51"/>
    <mergeCell ref="E60:M60"/>
    <mergeCell ref="A6:A7"/>
  </mergeCells>
  <conditionalFormatting sqref="F9:I46">
    <cfRule type="expression" dxfId="41" priority="1">
      <formula>AND(F9&lt;&gt;"",COUNTIF($F9:$I9,"X")&gt;1)</formula>
    </cfRule>
  </conditionalFormatting>
  <conditionalFormatting sqref="F54:L54">
    <cfRule type="expression" dxfId="40" priority="5">
      <formula>LEFT(F54,4)="ERRO"</formula>
    </cfRule>
    <cfRule type="expression" dxfId="39" priority="6">
      <formula>LEFT(F54,2)="OK"</formula>
    </cfRule>
  </conditionalFormatting>
  <conditionalFormatting sqref="J9:L46">
    <cfRule type="expression" dxfId="38" priority="2">
      <formula>AND(J9&lt;&gt;"",COUNTIF($J9:$L9,"X")&gt;1)</formula>
    </cfRule>
  </conditionalFormatting>
  <conditionalFormatting sqref="N9:N46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6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6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46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236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56"/>
  <sheetViews>
    <sheetView showGridLines="0" workbookViewId="0">
      <pane xSplit="5" ySplit="7" topLeftCell="F2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IF(F41=0,NA(),F41)</f>
        <v>26.043992977599999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26.043992977599999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110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111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112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113</v>
      </c>
      <c r="B9" s="15" t="s">
        <v>47</v>
      </c>
      <c r="C9" s="16">
        <v>0</v>
      </c>
      <c r="D9" s="16">
        <v>1</v>
      </c>
      <c r="E9" s="16">
        <f t="shared" ref="E9:E35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113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113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113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113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113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113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113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113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113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113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113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113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113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113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113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113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113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113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113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113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113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113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 t="s">
        <v>76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113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113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113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20" t="s">
        <v>113</v>
      </c>
      <c r="B35" s="21" t="s">
        <v>47</v>
      </c>
      <c r="C35" s="22">
        <v>26</v>
      </c>
      <c r="D35" s="22">
        <v>26.043992977599999</v>
      </c>
      <c r="E35" s="22">
        <f t="shared" si="1"/>
        <v>4.399297759999854E-2</v>
      </c>
      <c r="F35" s="23" t="s">
        <v>76</v>
      </c>
      <c r="G35" s="23"/>
      <c r="H35" s="23"/>
      <c r="I35" s="23"/>
      <c r="J35" s="23" t="s">
        <v>76</v>
      </c>
      <c r="K35" s="23"/>
      <c r="L35" s="23"/>
      <c r="M35" s="24"/>
      <c r="N35" s="25" t="str">
        <f t="shared" si="2"/>
        <v>OK</v>
      </c>
    </row>
    <row r="37" spans="1:14" x14ac:dyDescent="0.25">
      <c r="A37" s="46" t="s">
        <v>48</v>
      </c>
      <c r="B37" s="31"/>
      <c r="C37" s="31"/>
      <c r="D37" s="31"/>
      <c r="E37" s="31"/>
      <c r="G37" s="46" t="s">
        <v>48</v>
      </c>
      <c r="H37" s="31"/>
      <c r="I37" s="31"/>
      <c r="J37" s="31"/>
      <c r="K37" s="31"/>
    </row>
    <row r="38" spans="1:14" x14ac:dyDescent="0.25">
      <c r="A38" s="45" t="s">
        <v>49</v>
      </c>
      <c r="B38" s="31"/>
      <c r="C38" s="31"/>
      <c r="D38" s="31"/>
      <c r="E38" s="31"/>
      <c r="G38" s="45" t="s">
        <v>50</v>
      </c>
      <c r="H38" s="31"/>
      <c r="I38" s="31"/>
      <c r="J38" s="31"/>
      <c r="K38" s="31"/>
    </row>
    <row r="40" spans="1:14" x14ac:dyDescent="0.25">
      <c r="A40" s="43" t="s">
        <v>51</v>
      </c>
      <c r="B40" s="31"/>
      <c r="C40" s="31"/>
      <c r="D40" s="31"/>
      <c r="E40" s="31"/>
      <c r="F40" s="26"/>
      <c r="G40" s="26"/>
      <c r="H40" s="26"/>
      <c r="I40" s="26"/>
      <c r="J40" s="26"/>
      <c r="K40" s="26"/>
      <c r="L40" s="26"/>
      <c r="M40" s="26"/>
    </row>
    <row r="41" spans="1:14" x14ac:dyDescent="0.25">
      <c r="A41" s="47" t="s">
        <v>52</v>
      </c>
      <c r="B41" s="31"/>
      <c r="C41" s="31"/>
      <c r="D41" s="31"/>
      <c r="E41" s="31"/>
      <c r="F41" s="9">
        <f t="shared" ref="F41:L41" si="3">SUMIF(F$9:F$35,"X",$E$9:$E$35)</f>
        <v>26.043992977599999</v>
      </c>
      <c r="G41" s="9">
        <f t="shared" si="3"/>
        <v>0</v>
      </c>
      <c r="H41" s="9">
        <f t="shared" si="3"/>
        <v>0</v>
      </c>
      <c r="I41" s="9">
        <f t="shared" si="3"/>
        <v>0</v>
      </c>
      <c r="J41" s="9">
        <f t="shared" si="3"/>
        <v>26.043992977599999</v>
      </c>
      <c r="K41" s="9">
        <f t="shared" si="3"/>
        <v>0</v>
      </c>
      <c r="L41" s="9">
        <f t="shared" si="3"/>
        <v>0</v>
      </c>
    </row>
    <row r="42" spans="1:14" x14ac:dyDescent="0.25">
      <c r="A42" s="47" t="s">
        <v>53</v>
      </c>
      <c r="B42" s="31"/>
      <c r="C42" s="31"/>
      <c r="D42" s="31"/>
      <c r="E42" s="31"/>
      <c r="F42" s="27">
        <f t="shared" ref="F42:L42" si="4">IF($I44=0,0,F41/$I44)</f>
        <v>1</v>
      </c>
      <c r="G42" s="27">
        <f t="shared" si="4"/>
        <v>0</v>
      </c>
      <c r="H42" s="27">
        <f t="shared" si="4"/>
        <v>0</v>
      </c>
      <c r="I42" s="27">
        <f t="shared" si="4"/>
        <v>0</v>
      </c>
      <c r="J42" s="27">
        <f t="shared" si="4"/>
        <v>1</v>
      </c>
      <c r="K42" s="27">
        <f t="shared" si="4"/>
        <v>0</v>
      </c>
      <c r="L42" s="27">
        <f t="shared" si="4"/>
        <v>0</v>
      </c>
    </row>
    <row r="43" spans="1:14" x14ac:dyDescent="0.25">
      <c r="A43" s="47" t="s">
        <v>54</v>
      </c>
      <c r="B43" s="31"/>
      <c r="C43" s="31"/>
      <c r="D43" s="31"/>
      <c r="E43" s="31"/>
      <c r="F43" s="49" t="str">
        <f>IF(SUM(F41:I41)=0,"— não preenchido",IF(ROUND(SUM(F41:I41)-$I44,3)=0,"OK — "&amp;ROUND(SUM(F41:I41),3)&amp;" km","ERRO — dif. de "&amp;ROUND(SUM(F41:I41)-$I44,3)&amp;" km"))</f>
        <v>OK — 26,044 km</v>
      </c>
      <c r="G43" s="33"/>
      <c r="H43" s="33"/>
      <c r="I43" s="34"/>
      <c r="J43" s="49" t="str">
        <f>IF(SUM(J41:L41)=0,"— não preenchido",IF(ROUND(SUM(J41:L41)-$I44,3)=0,"OK — "&amp;ROUND(SUM(J41:L41),3)&amp;" km","ERRO — dif. de "&amp;ROUND(SUM(J41:L41)-$I44,3)&amp;" km"))</f>
        <v>OK — 26,044 km</v>
      </c>
      <c r="K43" s="33"/>
      <c r="L43" s="34"/>
    </row>
    <row r="44" spans="1:14" x14ac:dyDescent="0.25">
      <c r="A44" s="47" t="s">
        <v>55</v>
      </c>
      <c r="B44" s="31"/>
      <c r="C44" s="31"/>
      <c r="D44" s="31"/>
      <c r="E44" s="31"/>
      <c r="I44" s="28">
        <f>SUM(E9:E35)</f>
        <v>26.043992977599999</v>
      </c>
      <c r="M44" s="8" t="str">
        <f>COUNTIF(N9:N35,"OK")&amp;" de "&amp;COUNT($E$9:$E$35)&amp;" linhas conferidas"</f>
        <v>27 de 27 linhas conferidas</v>
      </c>
    </row>
    <row r="46" spans="1:14" x14ac:dyDescent="0.25">
      <c r="A46" s="48" t="s">
        <v>56</v>
      </c>
      <c r="B46" s="31"/>
      <c r="C46" s="31"/>
      <c r="D46" s="31"/>
      <c r="E46" s="31"/>
    </row>
    <row r="47" spans="1:14" x14ac:dyDescent="0.25">
      <c r="A47" s="47" t="s">
        <v>10</v>
      </c>
      <c r="B47" s="31"/>
      <c r="C47" s="31"/>
      <c r="D47" s="31"/>
      <c r="E47" s="44" t="s">
        <v>57</v>
      </c>
      <c r="F47" s="31"/>
      <c r="G47" s="31"/>
      <c r="H47" s="31"/>
      <c r="I47" s="31"/>
      <c r="J47" s="31"/>
      <c r="K47" s="31"/>
      <c r="L47" s="31"/>
      <c r="M47" s="31"/>
    </row>
    <row r="48" spans="1:14" x14ac:dyDescent="0.25">
      <c r="A48" s="47" t="s">
        <v>11</v>
      </c>
      <c r="B48" s="31"/>
      <c r="C48" s="31"/>
      <c r="D48" s="31"/>
      <c r="E48" s="44" t="s">
        <v>58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47" t="s">
        <v>12</v>
      </c>
      <c r="B49" s="31"/>
      <c r="C49" s="31"/>
      <c r="D49" s="31"/>
      <c r="E49" s="44" t="s">
        <v>59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47" t="s">
        <v>60</v>
      </c>
      <c r="B50" s="31"/>
      <c r="C50" s="31"/>
      <c r="D50" s="31"/>
      <c r="E50" s="44" t="s">
        <v>61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47" t="s">
        <v>62</v>
      </c>
      <c r="B51" s="31"/>
      <c r="C51" s="31"/>
      <c r="D51" s="31"/>
      <c r="E51" s="44" t="s">
        <v>63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47" t="s">
        <v>64</v>
      </c>
      <c r="B52" s="31"/>
      <c r="C52" s="31"/>
      <c r="D52" s="31"/>
      <c r="E52" s="44" t="s">
        <v>65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47" t="s">
        <v>39</v>
      </c>
      <c r="B53" s="31"/>
      <c r="C53" s="31"/>
      <c r="D53" s="31"/>
      <c r="E53" s="44" t="s">
        <v>66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47" t="s">
        <v>67</v>
      </c>
      <c r="B54" s="31"/>
      <c r="C54" s="31"/>
      <c r="D54" s="31"/>
      <c r="E54" s="44" t="s">
        <v>68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47" t="s">
        <v>69</v>
      </c>
      <c r="B55" s="31"/>
      <c r="C55" s="31"/>
      <c r="D55" s="31"/>
      <c r="E55" s="44" t="s">
        <v>70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47" t="s">
        <v>8</v>
      </c>
      <c r="B56" s="31"/>
      <c r="C56" s="31"/>
      <c r="D56" s="31"/>
      <c r="E56" s="44" t="s">
        <v>71</v>
      </c>
      <c r="F56" s="31"/>
      <c r="G56" s="31"/>
      <c r="H56" s="31"/>
      <c r="I56" s="31"/>
      <c r="J56" s="31"/>
      <c r="K56" s="31"/>
      <c r="L56" s="31"/>
      <c r="M56" s="31"/>
    </row>
  </sheetData>
  <sheetProtection formatCells="0"/>
  <mergeCells count="50">
    <mergeCell ref="N6:N7"/>
    <mergeCell ref="E53:M53"/>
    <mergeCell ref="K3:M3"/>
    <mergeCell ref="E47:M47"/>
    <mergeCell ref="E50:M50"/>
    <mergeCell ref="A43:E43"/>
    <mergeCell ref="A38:E38"/>
    <mergeCell ref="A50:D50"/>
    <mergeCell ref="A3:J3"/>
    <mergeCell ref="E52:M52"/>
    <mergeCell ref="E48:M48"/>
    <mergeCell ref="C6:C7"/>
    <mergeCell ref="A44:E44"/>
    <mergeCell ref="D6:D7"/>
    <mergeCell ref="A40:E40"/>
    <mergeCell ref="E51:M51"/>
    <mergeCell ref="E56:M56"/>
    <mergeCell ref="E55:M55"/>
    <mergeCell ref="A56:D56"/>
    <mergeCell ref="A55:D55"/>
    <mergeCell ref="A46:E46"/>
    <mergeCell ref="A49:D49"/>
    <mergeCell ref="A51:D51"/>
    <mergeCell ref="A41:E41"/>
    <mergeCell ref="G37:K37"/>
    <mergeCell ref="E54:M54"/>
    <mergeCell ref="A1:M1"/>
    <mergeCell ref="A42:E42"/>
    <mergeCell ref="A54:D54"/>
    <mergeCell ref="B6:B7"/>
    <mergeCell ref="F6:I6"/>
    <mergeCell ref="M6:M7"/>
    <mergeCell ref="A37:E37"/>
    <mergeCell ref="E6:E7"/>
    <mergeCell ref="J43:L43"/>
    <mergeCell ref="J6:L6"/>
    <mergeCell ref="A53:D53"/>
    <mergeCell ref="G2:H2"/>
    <mergeCell ref="A8:M8"/>
    <mergeCell ref="F43:I43"/>
    <mergeCell ref="A4:M4"/>
    <mergeCell ref="A52:D52"/>
    <mergeCell ref="A6:A7"/>
    <mergeCell ref="A2:C2"/>
    <mergeCell ref="A47:D47"/>
    <mergeCell ref="K2:M2"/>
    <mergeCell ref="D2:E2"/>
    <mergeCell ref="E49:M49"/>
    <mergeCell ref="G38:K38"/>
    <mergeCell ref="A48:D48"/>
  </mergeCells>
  <conditionalFormatting sqref="F9:I35">
    <cfRule type="expression" dxfId="35" priority="1">
      <formula>AND(F9&lt;&gt;"",COUNTIF($F9:$I9,"X")&gt;1)</formula>
    </cfRule>
  </conditionalFormatting>
  <conditionalFormatting sqref="F43:L43">
    <cfRule type="expression" dxfId="34" priority="5">
      <formula>LEFT(F43,4)="ERRO"</formula>
    </cfRule>
    <cfRule type="expression" dxfId="33" priority="6">
      <formula>LEFT(F43,2)="OK"</formula>
    </cfRule>
  </conditionalFormatting>
  <conditionalFormatting sqref="J9:L35">
    <cfRule type="expression" dxfId="32" priority="2">
      <formula>AND(J9&lt;&gt;"",COUNTIF($J9:$L9,"X")&gt;1)</formula>
    </cfRule>
  </conditionalFormatting>
  <conditionalFormatting sqref="N9:N35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5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5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5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237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06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H33" sqref="H3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IF(F91=0,NA(),F91)</f>
        <v>73.554481171600003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73.554481171600003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114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115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116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117</v>
      </c>
      <c r="B9" s="15" t="s">
        <v>47</v>
      </c>
      <c r="C9" s="16">
        <v>0</v>
      </c>
      <c r="D9" s="16">
        <v>1</v>
      </c>
      <c r="E9" s="16">
        <f t="shared" ref="E9:E30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117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117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117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117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117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117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117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117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117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117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117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117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117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117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117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117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117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117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117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117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117</v>
      </c>
      <c r="B30" s="21" t="s">
        <v>47</v>
      </c>
      <c r="C30" s="22">
        <v>21</v>
      </c>
      <c r="D30" s="22">
        <v>21.698196634199999</v>
      </c>
      <c r="E30" s="22">
        <f t="shared" si="1"/>
        <v>0.69819663419999856</v>
      </c>
      <c r="F30" s="23" t="s">
        <v>76</v>
      </c>
      <c r="G30" s="23"/>
      <c r="H30" s="23"/>
      <c r="I30" s="23"/>
      <c r="J30" s="23" t="s">
        <v>76</v>
      </c>
      <c r="K30" s="23"/>
      <c r="L30" s="23"/>
      <c r="M30" s="24"/>
      <c r="N30" s="25" t="str">
        <f t="shared" si="2"/>
        <v>OK</v>
      </c>
    </row>
    <row r="31" spans="1:14" ht="15.95" customHeight="1" x14ac:dyDescent="0.25">
      <c r="A31" s="38" t="s">
        <v>118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4"/>
    </row>
    <row r="32" spans="1:14" ht="20.100000000000001" customHeight="1" x14ac:dyDescent="0.25">
      <c r="A32" s="14" t="s">
        <v>119</v>
      </c>
      <c r="B32" s="15" t="s">
        <v>47</v>
      </c>
      <c r="C32" s="16">
        <v>0</v>
      </c>
      <c r="D32" s="16">
        <v>1</v>
      </c>
      <c r="E32" s="16">
        <f t="shared" ref="E32:E49" si="3">D32-C32</f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ref="N32:N49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4" t="s">
        <v>119</v>
      </c>
      <c r="B33" s="15" t="s">
        <v>47</v>
      </c>
      <c r="C33" s="16">
        <v>1</v>
      </c>
      <c r="D33" s="16">
        <v>2</v>
      </c>
      <c r="E33" s="16">
        <f t="shared" si="3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119</v>
      </c>
      <c r="B34" s="15" t="s">
        <v>47</v>
      </c>
      <c r="C34" s="16">
        <v>2</v>
      </c>
      <c r="D34" s="16">
        <v>3</v>
      </c>
      <c r="E34" s="16">
        <f t="shared" si="3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119</v>
      </c>
      <c r="B35" s="15" t="s">
        <v>47</v>
      </c>
      <c r="C35" s="16">
        <v>3</v>
      </c>
      <c r="D35" s="16">
        <v>4</v>
      </c>
      <c r="E35" s="16">
        <f t="shared" si="3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119</v>
      </c>
      <c r="B36" s="15" t="s">
        <v>47</v>
      </c>
      <c r="C36" s="16">
        <v>4</v>
      </c>
      <c r="D36" s="16">
        <v>5</v>
      </c>
      <c r="E36" s="16">
        <f t="shared" si="3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119</v>
      </c>
      <c r="B37" s="15" t="s">
        <v>47</v>
      </c>
      <c r="C37" s="16">
        <v>5</v>
      </c>
      <c r="D37" s="16">
        <v>6</v>
      </c>
      <c r="E37" s="16">
        <f t="shared" si="3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119</v>
      </c>
      <c r="B38" s="15" t="s">
        <v>47</v>
      </c>
      <c r="C38" s="16">
        <v>6</v>
      </c>
      <c r="D38" s="16">
        <v>7</v>
      </c>
      <c r="E38" s="16">
        <f t="shared" si="3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119</v>
      </c>
      <c r="B39" s="15" t="s">
        <v>47</v>
      </c>
      <c r="C39" s="16">
        <v>7</v>
      </c>
      <c r="D39" s="16">
        <v>8</v>
      </c>
      <c r="E39" s="16">
        <f t="shared" si="3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4"/>
        <v>OK</v>
      </c>
    </row>
    <row r="40" spans="1:14" ht="20.100000000000001" customHeight="1" x14ac:dyDescent="0.25">
      <c r="A40" s="14" t="s">
        <v>119</v>
      </c>
      <c r="B40" s="15" t="s">
        <v>47</v>
      </c>
      <c r="C40" s="16">
        <v>8</v>
      </c>
      <c r="D40" s="16">
        <v>9</v>
      </c>
      <c r="E40" s="16">
        <f t="shared" si="3"/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si="4"/>
        <v>OK</v>
      </c>
    </row>
    <row r="41" spans="1:14" ht="20.100000000000001" customHeight="1" x14ac:dyDescent="0.25">
      <c r="A41" s="14" t="s">
        <v>119</v>
      </c>
      <c r="B41" s="15" t="s">
        <v>47</v>
      </c>
      <c r="C41" s="16">
        <v>9</v>
      </c>
      <c r="D41" s="16">
        <v>10</v>
      </c>
      <c r="E41" s="16">
        <f t="shared" si="3"/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si="4"/>
        <v>OK</v>
      </c>
    </row>
    <row r="42" spans="1:14" ht="20.100000000000001" customHeight="1" x14ac:dyDescent="0.25">
      <c r="A42" s="14" t="s">
        <v>119</v>
      </c>
      <c r="B42" s="15" t="s">
        <v>47</v>
      </c>
      <c r="C42" s="16">
        <v>10</v>
      </c>
      <c r="D42" s="16">
        <v>11</v>
      </c>
      <c r="E42" s="16">
        <f t="shared" si="3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119</v>
      </c>
      <c r="B43" s="15" t="s">
        <v>47</v>
      </c>
      <c r="C43" s="16">
        <v>11</v>
      </c>
      <c r="D43" s="16">
        <v>12</v>
      </c>
      <c r="E43" s="16">
        <f t="shared" si="3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119</v>
      </c>
      <c r="B44" s="15" t="s">
        <v>47</v>
      </c>
      <c r="C44" s="16">
        <v>12</v>
      </c>
      <c r="D44" s="16">
        <v>13</v>
      </c>
      <c r="E44" s="16">
        <f t="shared" si="3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119</v>
      </c>
      <c r="B45" s="15" t="s">
        <v>47</v>
      </c>
      <c r="C45" s="16">
        <v>13</v>
      </c>
      <c r="D45" s="16">
        <v>14</v>
      </c>
      <c r="E45" s="16">
        <f t="shared" si="3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119</v>
      </c>
      <c r="B46" s="15" t="s">
        <v>47</v>
      </c>
      <c r="C46" s="16">
        <v>14</v>
      </c>
      <c r="D46" s="16">
        <v>15</v>
      </c>
      <c r="E46" s="16">
        <f t="shared" si="3"/>
        <v>1</v>
      </c>
      <c r="F46" s="17" t="s">
        <v>76</v>
      </c>
      <c r="G46" s="17"/>
      <c r="H46" s="17"/>
      <c r="I46" s="17"/>
      <c r="J46" s="17" t="s">
        <v>76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119</v>
      </c>
      <c r="B47" s="15" t="s">
        <v>47</v>
      </c>
      <c r="C47" s="16">
        <v>15</v>
      </c>
      <c r="D47" s="16">
        <v>16</v>
      </c>
      <c r="E47" s="16">
        <f t="shared" si="3"/>
        <v>1</v>
      </c>
      <c r="F47" s="17" t="s">
        <v>76</v>
      </c>
      <c r="G47" s="17"/>
      <c r="H47" s="17"/>
      <c r="I47" s="17"/>
      <c r="J47" s="17" t="s">
        <v>76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119</v>
      </c>
      <c r="B48" s="15" t="s">
        <v>47</v>
      </c>
      <c r="C48" s="16">
        <v>16</v>
      </c>
      <c r="D48" s="16">
        <v>17</v>
      </c>
      <c r="E48" s="16">
        <f t="shared" si="3"/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20" t="s">
        <v>119</v>
      </c>
      <c r="B49" s="21" t="s">
        <v>47</v>
      </c>
      <c r="C49" s="22">
        <v>17</v>
      </c>
      <c r="D49" s="22">
        <v>17.3678422658</v>
      </c>
      <c r="E49" s="22">
        <f t="shared" si="3"/>
        <v>0.36784226580000023</v>
      </c>
      <c r="F49" s="23" t="s">
        <v>76</v>
      </c>
      <c r="G49" s="23"/>
      <c r="H49" s="23"/>
      <c r="I49" s="23"/>
      <c r="J49" s="23" t="s">
        <v>76</v>
      </c>
      <c r="K49" s="23"/>
      <c r="L49" s="23"/>
      <c r="M49" s="24"/>
      <c r="N49" s="25" t="str">
        <f t="shared" si="4"/>
        <v>OK</v>
      </c>
    </row>
    <row r="50" spans="1:14" ht="15.95" customHeight="1" x14ac:dyDescent="0.25">
      <c r="A50" s="38" t="s">
        <v>120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4"/>
      <c r="N50" s="4"/>
    </row>
    <row r="51" spans="1:14" ht="20.100000000000001" customHeight="1" x14ac:dyDescent="0.25">
      <c r="A51" s="14" t="s">
        <v>121</v>
      </c>
      <c r="B51" s="15" t="s">
        <v>47</v>
      </c>
      <c r="C51" s="16">
        <v>0</v>
      </c>
      <c r="D51" s="16">
        <v>1</v>
      </c>
      <c r="E51" s="16">
        <f t="shared" ref="E51:E85" si="5">D51-C51</f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ref="N51:N85" si="6">IF(COUNTA(F51:L51)=0,"— não preenchido",IF(COUNTIF(F51:I51,"X")&lt;&gt;1,"FALTA/DUPLA: CONDIÇÃO DA PLATAFORMA",IF(COUNTIF(J51:L51,"X")&lt;&gt;1,"FALTA/DUPLA: DRENAGEM SUPERFICIAL","OK")))</f>
        <v>OK</v>
      </c>
    </row>
    <row r="52" spans="1:14" ht="20.100000000000001" customHeight="1" x14ac:dyDescent="0.25">
      <c r="A52" s="14" t="s">
        <v>121</v>
      </c>
      <c r="B52" s="15" t="s">
        <v>47</v>
      </c>
      <c r="C52" s="16">
        <v>1</v>
      </c>
      <c r="D52" s="16">
        <v>2</v>
      </c>
      <c r="E52" s="16">
        <f t="shared" si="5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6"/>
        <v>OK</v>
      </c>
    </row>
    <row r="53" spans="1:14" ht="20.100000000000001" customHeight="1" x14ac:dyDescent="0.25">
      <c r="A53" s="14" t="s">
        <v>121</v>
      </c>
      <c r="B53" s="15" t="s">
        <v>47</v>
      </c>
      <c r="C53" s="16">
        <v>2</v>
      </c>
      <c r="D53" s="16">
        <v>3</v>
      </c>
      <c r="E53" s="16">
        <f t="shared" si="5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6"/>
        <v>OK</v>
      </c>
    </row>
    <row r="54" spans="1:14" ht="20.100000000000001" customHeight="1" x14ac:dyDescent="0.25">
      <c r="A54" s="14" t="s">
        <v>121</v>
      </c>
      <c r="B54" s="15" t="s">
        <v>47</v>
      </c>
      <c r="C54" s="16">
        <v>3</v>
      </c>
      <c r="D54" s="16">
        <v>4</v>
      </c>
      <c r="E54" s="16">
        <f t="shared" si="5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6"/>
        <v>OK</v>
      </c>
    </row>
    <row r="55" spans="1:14" ht="20.100000000000001" customHeight="1" x14ac:dyDescent="0.25">
      <c r="A55" s="14" t="s">
        <v>121</v>
      </c>
      <c r="B55" s="15" t="s">
        <v>47</v>
      </c>
      <c r="C55" s="16">
        <v>4</v>
      </c>
      <c r="D55" s="16">
        <v>5</v>
      </c>
      <c r="E55" s="16">
        <f t="shared" si="5"/>
        <v>1</v>
      </c>
      <c r="F55" s="17" t="s">
        <v>76</v>
      </c>
      <c r="G55" s="17"/>
      <c r="H55" s="17"/>
      <c r="I55" s="17"/>
      <c r="J55" s="17" t="s">
        <v>76</v>
      </c>
      <c r="K55" s="17"/>
      <c r="L55" s="17"/>
      <c r="M55" s="18"/>
      <c r="N55" s="19" t="str">
        <f t="shared" si="6"/>
        <v>OK</v>
      </c>
    </row>
    <row r="56" spans="1:14" ht="20.100000000000001" customHeight="1" x14ac:dyDescent="0.25">
      <c r="A56" s="14" t="s">
        <v>121</v>
      </c>
      <c r="B56" s="15" t="s">
        <v>47</v>
      </c>
      <c r="C56" s="16">
        <v>5</v>
      </c>
      <c r="D56" s="16">
        <v>6</v>
      </c>
      <c r="E56" s="16">
        <f t="shared" si="5"/>
        <v>1</v>
      </c>
      <c r="F56" s="17" t="s">
        <v>76</v>
      </c>
      <c r="G56" s="17"/>
      <c r="H56" s="17"/>
      <c r="I56" s="17"/>
      <c r="J56" s="17" t="s">
        <v>76</v>
      </c>
      <c r="K56" s="17"/>
      <c r="L56" s="17"/>
      <c r="M56" s="18"/>
      <c r="N56" s="19" t="str">
        <f t="shared" si="6"/>
        <v>OK</v>
      </c>
    </row>
    <row r="57" spans="1:14" ht="20.100000000000001" customHeight="1" x14ac:dyDescent="0.25">
      <c r="A57" s="14" t="s">
        <v>121</v>
      </c>
      <c r="B57" s="15" t="s">
        <v>47</v>
      </c>
      <c r="C57" s="16">
        <v>6</v>
      </c>
      <c r="D57" s="16">
        <v>7</v>
      </c>
      <c r="E57" s="16">
        <f t="shared" si="5"/>
        <v>1</v>
      </c>
      <c r="F57" s="17" t="s">
        <v>76</v>
      </c>
      <c r="G57" s="17"/>
      <c r="H57" s="17"/>
      <c r="I57" s="17"/>
      <c r="J57" s="17" t="s">
        <v>76</v>
      </c>
      <c r="K57" s="17"/>
      <c r="L57" s="17"/>
      <c r="M57" s="18"/>
      <c r="N57" s="19" t="str">
        <f t="shared" si="6"/>
        <v>OK</v>
      </c>
    </row>
    <row r="58" spans="1:14" ht="20.100000000000001" customHeight="1" x14ac:dyDescent="0.25">
      <c r="A58" s="14" t="s">
        <v>121</v>
      </c>
      <c r="B58" s="15" t="s">
        <v>47</v>
      </c>
      <c r="C58" s="16">
        <v>7</v>
      </c>
      <c r="D58" s="16">
        <v>8</v>
      </c>
      <c r="E58" s="16">
        <f t="shared" si="5"/>
        <v>1</v>
      </c>
      <c r="F58" s="17" t="s">
        <v>76</v>
      </c>
      <c r="G58" s="17"/>
      <c r="H58" s="17"/>
      <c r="I58" s="17"/>
      <c r="J58" s="17" t="s">
        <v>76</v>
      </c>
      <c r="K58" s="17"/>
      <c r="L58" s="17"/>
      <c r="M58" s="18"/>
      <c r="N58" s="19" t="str">
        <f t="shared" si="6"/>
        <v>OK</v>
      </c>
    </row>
    <row r="59" spans="1:14" ht="20.100000000000001" customHeight="1" x14ac:dyDescent="0.25">
      <c r="A59" s="14" t="s">
        <v>121</v>
      </c>
      <c r="B59" s="15" t="s">
        <v>47</v>
      </c>
      <c r="C59" s="16">
        <v>8</v>
      </c>
      <c r="D59" s="16">
        <v>9</v>
      </c>
      <c r="E59" s="16">
        <f t="shared" si="5"/>
        <v>1</v>
      </c>
      <c r="F59" s="17" t="s">
        <v>76</v>
      </c>
      <c r="G59" s="17"/>
      <c r="H59" s="17"/>
      <c r="I59" s="17"/>
      <c r="J59" s="17" t="s">
        <v>76</v>
      </c>
      <c r="K59" s="17"/>
      <c r="L59" s="17"/>
      <c r="M59" s="18"/>
      <c r="N59" s="19" t="str">
        <f t="shared" si="6"/>
        <v>OK</v>
      </c>
    </row>
    <row r="60" spans="1:14" ht="20.100000000000001" customHeight="1" x14ac:dyDescent="0.25">
      <c r="A60" s="14" t="s">
        <v>121</v>
      </c>
      <c r="B60" s="15" t="s">
        <v>47</v>
      </c>
      <c r="C60" s="16">
        <v>9</v>
      </c>
      <c r="D60" s="16">
        <v>10</v>
      </c>
      <c r="E60" s="16">
        <f t="shared" si="5"/>
        <v>1</v>
      </c>
      <c r="F60" s="17" t="s">
        <v>76</v>
      </c>
      <c r="G60" s="17"/>
      <c r="H60" s="17"/>
      <c r="I60" s="17"/>
      <c r="J60" s="17" t="s">
        <v>76</v>
      </c>
      <c r="K60" s="17"/>
      <c r="L60" s="17"/>
      <c r="M60" s="18"/>
      <c r="N60" s="19" t="str">
        <f t="shared" si="6"/>
        <v>OK</v>
      </c>
    </row>
    <row r="61" spans="1:14" ht="20.100000000000001" customHeight="1" x14ac:dyDescent="0.25">
      <c r="A61" s="14" t="s">
        <v>121</v>
      </c>
      <c r="B61" s="15" t="s">
        <v>47</v>
      </c>
      <c r="C61" s="16">
        <v>10</v>
      </c>
      <c r="D61" s="16">
        <v>11</v>
      </c>
      <c r="E61" s="16">
        <f t="shared" si="5"/>
        <v>1</v>
      </c>
      <c r="F61" s="17" t="s">
        <v>76</v>
      </c>
      <c r="G61" s="17"/>
      <c r="H61" s="17"/>
      <c r="I61" s="17"/>
      <c r="J61" s="17" t="s">
        <v>76</v>
      </c>
      <c r="K61" s="17"/>
      <c r="L61" s="17"/>
      <c r="M61" s="18"/>
      <c r="N61" s="19" t="str">
        <f t="shared" si="6"/>
        <v>OK</v>
      </c>
    </row>
    <row r="62" spans="1:14" ht="20.100000000000001" customHeight="1" x14ac:dyDescent="0.25">
      <c r="A62" s="14" t="s">
        <v>121</v>
      </c>
      <c r="B62" s="15" t="s">
        <v>47</v>
      </c>
      <c r="C62" s="16">
        <v>11</v>
      </c>
      <c r="D62" s="16">
        <v>12</v>
      </c>
      <c r="E62" s="16">
        <f t="shared" si="5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6"/>
        <v>OK</v>
      </c>
    </row>
    <row r="63" spans="1:14" ht="20.100000000000001" customHeight="1" x14ac:dyDescent="0.25">
      <c r="A63" s="14" t="s">
        <v>121</v>
      </c>
      <c r="B63" s="15" t="s">
        <v>47</v>
      </c>
      <c r="C63" s="16">
        <v>12</v>
      </c>
      <c r="D63" s="16">
        <v>13</v>
      </c>
      <c r="E63" s="16">
        <f t="shared" si="5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6"/>
        <v>OK</v>
      </c>
    </row>
    <row r="64" spans="1:14" ht="20.100000000000001" customHeight="1" x14ac:dyDescent="0.25">
      <c r="A64" s="14" t="s">
        <v>121</v>
      </c>
      <c r="B64" s="15" t="s">
        <v>47</v>
      </c>
      <c r="C64" s="16">
        <v>13</v>
      </c>
      <c r="D64" s="16">
        <v>14</v>
      </c>
      <c r="E64" s="16">
        <f t="shared" si="5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6"/>
        <v>OK</v>
      </c>
    </row>
    <row r="65" spans="1:14" ht="20.100000000000001" customHeight="1" x14ac:dyDescent="0.25">
      <c r="A65" s="14" t="s">
        <v>121</v>
      </c>
      <c r="B65" s="15" t="s">
        <v>47</v>
      </c>
      <c r="C65" s="16">
        <v>14</v>
      </c>
      <c r="D65" s="16">
        <v>15</v>
      </c>
      <c r="E65" s="16">
        <f t="shared" si="5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6"/>
        <v>OK</v>
      </c>
    </row>
    <row r="66" spans="1:14" ht="20.100000000000001" customHeight="1" x14ac:dyDescent="0.25">
      <c r="A66" s="14" t="s">
        <v>121</v>
      </c>
      <c r="B66" s="15" t="s">
        <v>47</v>
      </c>
      <c r="C66" s="16">
        <v>15</v>
      </c>
      <c r="D66" s="16">
        <v>16</v>
      </c>
      <c r="E66" s="16">
        <f t="shared" si="5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6"/>
        <v>OK</v>
      </c>
    </row>
    <row r="67" spans="1:14" ht="20.100000000000001" customHeight="1" x14ac:dyDescent="0.25">
      <c r="A67" s="14" t="s">
        <v>121</v>
      </c>
      <c r="B67" s="15" t="s">
        <v>47</v>
      </c>
      <c r="C67" s="16">
        <v>16</v>
      </c>
      <c r="D67" s="16">
        <v>17</v>
      </c>
      <c r="E67" s="16">
        <f t="shared" si="5"/>
        <v>1</v>
      </c>
      <c r="F67" s="17" t="s">
        <v>76</v>
      </c>
      <c r="G67" s="17"/>
      <c r="H67" s="17"/>
      <c r="I67" s="17"/>
      <c r="J67" s="17" t="s">
        <v>76</v>
      </c>
      <c r="K67" s="17"/>
      <c r="L67" s="17"/>
      <c r="M67" s="18"/>
      <c r="N67" s="19" t="str">
        <f t="shared" si="6"/>
        <v>OK</v>
      </c>
    </row>
    <row r="68" spans="1:14" ht="20.100000000000001" customHeight="1" x14ac:dyDescent="0.25">
      <c r="A68" s="14" t="s">
        <v>121</v>
      </c>
      <c r="B68" s="15" t="s">
        <v>47</v>
      </c>
      <c r="C68" s="16">
        <v>17</v>
      </c>
      <c r="D68" s="16">
        <v>18</v>
      </c>
      <c r="E68" s="16">
        <f t="shared" si="5"/>
        <v>1</v>
      </c>
      <c r="F68" s="17" t="s">
        <v>76</v>
      </c>
      <c r="G68" s="17"/>
      <c r="H68" s="17"/>
      <c r="I68" s="17"/>
      <c r="J68" s="17" t="s">
        <v>76</v>
      </c>
      <c r="K68" s="17"/>
      <c r="L68" s="17"/>
      <c r="M68" s="18"/>
      <c r="N68" s="19" t="str">
        <f t="shared" si="6"/>
        <v>OK</v>
      </c>
    </row>
    <row r="69" spans="1:14" ht="20.100000000000001" customHeight="1" x14ac:dyDescent="0.25">
      <c r="A69" s="14" t="s">
        <v>121</v>
      </c>
      <c r="B69" s="15" t="s">
        <v>47</v>
      </c>
      <c r="C69" s="16">
        <v>18</v>
      </c>
      <c r="D69" s="16">
        <v>19</v>
      </c>
      <c r="E69" s="16">
        <f t="shared" si="5"/>
        <v>1</v>
      </c>
      <c r="F69" s="17" t="s">
        <v>76</v>
      </c>
      <c r="G69" s="17"/>
      <c r="H69" s="17"/>
      <c r="I69" s="17"/>
      <c r="J69" s="17" t="s">
        <v>76</v>
      </c>
      <c r="K69" s="17"/>
      <c r="L69" s="17"/>
      <c r="M69" s="18"/>
      <c r="N69" s="19" t="str">
        <f t="shared" si="6"/>
        <v>OK</v>
      </c>
    </row>
    <row r="70" spans="1:14" ht="20.100000000000001" customHeight="1" x14ac:dyDescent="0.25">
      <c r="A70" s="14" t="s">
        <v>121</v>
      </c>
      <c r="B70" s="15" t="s">
        <v>47</v>
      </c>
      <c r="C70" s="16">
        <v>19</v>
      </c>
      <c r="D70" s="16">
        <v>20</v>
      </c>
      <c r="E70" s="16">
        <f t="shared" si="5"/>
        <v>1</v>
      </c>
      <c r="F70" s="17" t="s">
        <v>76</v>
      </c>
      <c r="G70" s="17"/>
      <c r="H70" s="17"/>
      <c r="I70" s="17"/>
      <c r="J70" s="17" t="s">
        <v>76</v>
      </c>
      <c r="K70" s="17"/>
      <c r="L70" s="17"/>
      <c r="M70" s="18"/>
      <c r="N70" s="19" t="str">
        <f t="shared" si="6"/>
        <v>OK</v>
      </c>
    </row>
    <row r="71" spans="1:14" ht="20.100000000000001" customHeight="1" x14ac:dyDescent="0.25">
      <c r="A71" s="14" t="s">
        <v>121</v>
      </c>
      <c r="B71" s="15" t="s">
        <v>47</v>
      </c>
      <c r="C71" s="16">
        <v>20</v>
      </c>
      <c r="D71" s="16">
        <v>21</v>
      </c>
      <c r="E71" s="16">
        <f t="shared" si="5"/>
        <v>1</v>
      </c>
      <c r="F71" s="17" t="s">
        <v>76</v>
      </c>
      <c r="G71" s="17"/>
      <c r="H71" s="17"/>
      <c r="I71" s="17"/>
      <c r="J71" s="17" t="s">
        <v>76</v>
      </c>
      <c r="K71" s="17"/>
      <c r="L71" s="17"/>
      <c r="M71" s="18"/>
      <c r="N71" s="19" t="str">
        <f t="shared" si="6"/>
        <v>OK</v>
      </c>
    </row>
    <row r="72" spans="1:14" ht="20.100000000000001" customHeight="1" x14ac:dyDescent="0.25">
      <c r="A72" s="14" t="s">
        <v>121</v>
      </c>
      <c r="B72" s="15" t="s">
        <v>47</v>
      </c>
      <c r="C72" s="16">
        <v>21</v>
      </c>
      <c r="D72" s="16">
        <v>22</v>
      </c>
      <c r="E72" s="16">
        <f t="shared" si="5"/>
        <v>1</v>
      </c>
      <c r="F72" s="17" t="s">
        <v>76</v>
      </c>
      <c r="G72" s="17"/>
      <c r="H72" s="17"/>
      <c r="I72" s="17"/>
      <c r="J72" s="17" t="s">
        <v>76</v>
      </c>
      <c r="K72" s="17"/>
      <c r="L72" s="17"/>
      <c r="M72" s="18"/>
      <c r="N72" s="19" t="str">
        <f t="shared" si="6"/>
        <v>OK</v>
      </c>
    </row>
    <row r="73" spans="1:14" ht="20.100000000000001" customHeight="1" x14ac:dyDescent="0.25">
      <c r="A73" s="14" t="s">
        <v>121</v>
      </c>
      <c r="B73" s="15" t="s">
        <v>47</v>
      </c>
      <c r="C73" s="16">
        <v>22</v>
      </c>
      <c r="D73" s="16">
        <v>23</v>
      </c>
      <c r="E73" s="16">
        <f t="shared" si="5"/>
        <v>1</v>
      </c>
      <c r="F73" s="17" t="s">
        <v>76</v>
      </c>
      <c r="G73" s="17"/>
      <c r="H73" s="17"/>
      <c r="I73" s="17"/>
      <c r="J73" s="17" t="s">
        <v>76</v>
      </c>
      <c r="K73" s="17"/>
      <c r="L73" s="17"/>
      <c r="M73" s="18"/>
      <c r="N73" s="19" t="str">
        <f t="shared" si="6"/>
        <v>OK</v>
      </c>
    </row>
    <row r="74" spans="1:14" ht="20.100000000000001" customHeight="1" x14ac:dyDescent="0.25">
      <c r="A74" s="14" t="s">
        <v>121</v>
      </c>
      <c r="B74" s="15" t="s">
        <v>47</v>
      </c>
      <c r="C74" s="16">
        <v>23</v>
      </c>
      <c r="D74" s="16">
        <v>24</v>
      </c>
      <c r="E74" s="16">
        <f t="shared" si="5"/>
        <v>1</v>
      </c>
      <c r="F74" s="17" t="s">
        <v>76</v>
      </c>
      <c r="G74" s="17"/>
      <c r="H74" s="17"/>
      <c r="I74" s="17"/>
      <c r="J74" s="17" t="s">
        <v>76</v>
      </c>
      <c r="K74" s="17"/>
      <c r="L74" s="17"/>
      <c r="M74" s="18"/>
      <c r="N74" s="19" t="str">
        <f t="shared" si="6"/>
        <v>OK</v>
      </c>
    </row>
    <row r="75" spans="1:14" ht="20.100000000000001" customHeight="1" x14ac:dyDescent="0.25">
      <c r="A75" s="14" t="s">
        <v>121</v>
      </c>
      <c r="B75" s="15" t="s">
        <v>47</v>
      </c>
      <c r="C75" s="16">
        <v>24</v>
      </c>
      <c r="D75" s="16">
        <v>25</v>
      </c>
      <c r="E75" s="16">
        <f t="shared" si="5"/>
        <v>1</v>
      </c>
      <c r="F75" s="17" t="s">
        <v>76</v>
      </c>
      <c r="G75" s="17"/>
      <c r="H75" s="17"/>
      <c r="I75" s="17"/>
      <c r="J75" s="17" t="s">
        <v>76</v>
      </c>
      <c r="K75" s="17"/>
      <c r="L75" s="17"/>
      <c r="M75" s="18"/>
      <c r="N75" s="19" t="str">
        <f t="shared" si="6"/>
        <v>OK</v>
      </c>
    </row>
    <row r="76" spans="1:14" ht="20.100000000000001" customHeight="1" x14ac:dyDescent="0.25">
      <c r="A76" s="14" t="s">
        <v>121</v>
      </c>
      <c r="B76" s="15" t="s">
        <v>47</v>
      </c>
      <c r="C76" s="16">
        <v>25</v>
      </c>
      <c r="D76" s="16">
        <v>26</v>
      </c>
      <c r="E76" s="16">
        <f t="shared" si="5"/>
        <v>1</v>
      </c>
      <c r="F76" s="17" t="s">
        <v>76</v>
      </c>
      <c r="G76" s="17"/>
      <c r="H76" s="17"/>
      <c r="I76" s="17"/>
      <c r="J76" s="17" t="s">
        <v>76</v>
      </c>
      <c r="K76" s="17"/>
      <c r="L76" s="17"/>
      <c r="M76" s="18"/>
      <c r="N76" s="19" t="str">
        <f t="shared" si="6"/>
        <v>OK</v>
      </c>
    </row>
    <row r="77" spans="1:14" ht="20.100000000000001" customHeight="1" x14ac:dyDescent="0.25">
      <c r="A77" s="14" t="s">
        <v>121</v>
      </c>
      <c r="B77" s="15" t="s">
        <v>47</v>
      </c>
      <c r="C77" s="16">
        <v>26</v>
      </c>
      <c r="D77" s="16">
        <v>27</v>
      </c>
      <c r="E77" s="16">
        <f t="shared" si="5"/>
        <v>1</v>
      </c>
      <c r="F77" s="17" t="s">
        <v>76</v>
      </c>
      <c r="G77" s="17"/>
      <c r="H77" s="17"/>
      <c r="I77" s="17"/>
      <c r="J77" s="17" t="s">
        <v>76</v>
      </c>
      <c r="K77" s="17"/>
      <c r="L77" s="17"/>
      <c r="M77" s="18"/>
      <c r="N77" s="19" t="str">
        <f t="shared" si="6"/>
        <v>OK</v>
      </c>
    </row>
    <row r="78" spans="1:14" ht="20.100000000000001" customHeight="1" x14ac:dyDescent="0.25">
      <c r="A78" s="14" t="s">
        <v>121</v>
      </c>
      <c r="B78" s="15" t="s">
        <v>47</v>
      </c>
      <c r="C78" s="16">
        <v>27</v>
      </c>
      <c r="D78" s="16">
        <v>28</v>
      </c>
      <c r="E78" s="16">
        <f t="shared" si="5"/>
        <v>1</v>
      </c>
      <c r="F78" s="17" t="s">
        <v>76</v>
      </c>
      <c r="G78" s="17"/>
      <c r="H78" s="17"/>
      <c r="I78" s="17"/>
      <c r="J78" s="17" t="s">
        <v>76</v>
      </c>
      <c r="K78" s="17"/>
      <c r="L78" s="17"/>
      <c r="M78" s="18"/>
      <c r="N78" s="19" t="str">
        <f t="shared" si="6"/>
        <v>OK</v>
      </c>
    </row>
    <row r="79" spans="1:14" ht="20.100000000000001" customHeight="1" x14ac:dyDescent="0.25">
      <c r="A79" s="14" t="s">
        <v>121</v>
      </c>
      <c r="B79" s="15" t="s">
        <v>47</v>
      </c>
      <c r="C79" s="16">
        <v>28</v>
      </c>
      <c r="D79" s="16">
        <v>29</v>
      </c>
      <c r="E79" s="16">
        <f t="shared" si="5"/>
        <v>1</v>
      </c>
      <c r="F79" s="17" t="s">
        <v>76</v>
      </c>
      <c r="G79" s="17"/>
      <c r="H79" s="17"/>
      <c r="I79" s="17"/>
      <c r="J79" s="17" t="s">
        <v>76</v>
      </c>
      <c r="K79" s="17"/>
      <c r="L79" s="17"/>
      <c r="M79" s="18"/>
      <c r="N79" s="19" t="str">
        <f t="shared" si="6"/>
        <v>OK</v>
      </c>
    </row>
    <row r="80" spans="1:14" ht="20.100000000000001" customHeight="1" x14ac:dyDescent="0.25">
      <c r="A80" s="14" t="s">
        <v>121</v>
      </c>
      <c r="B80" s="15" t="s">
        <v>47</v>
      </c>
      <c r="C80" s="16">
        <v>29</v>
      </c>
      <c r="D80" s="16">
        <v>30</v>
      </c>
      <c r="E80" s="16">
        <f t="shared" si="5"/>
        <v>1</v>
      </c>
      <c r="F80" s="17" t="s">
        <v>76</v>
      </c>
      <c r="G80" s="17"/>
      <c r="H80" s="17"/>
      <c r="I80" s="17"/>
      <c r="J80" s="17" t="s">
        <v>76</v>
      </c>
      <c r="K80" s="17"/>
      <c r="L80" s="17"/>
      <c r="M80" s="18"/>
      <c r="N80" s="19" t="str">
        <f t="shared" si="6"/>
        <v>OK</v>
      </c>
    </row>
    <row r="81" spans="1:14" ht="20.100000000000001" customHeight="1" x14ac:dyDescent="0.25">
      <c r="A81" s="14" t="s">
        <v>121</v>
      </c>
      <c r="B81" s="15" t="s">
        <v>47</v>
      </c>
      <c r="C81" s="16">
        <v>30</v>
      </c>
      <c r="D81" s="16">
        <v>31</v>
      </c>
      <c r="E81" s="16">
        <f t="shared" si="5"/>
        <v>1</v>
      </c>
      <c r="F81" s="17" t="s">
        <v>76</v>
      </c>
      <c r="G81" s="17"/>
      <c r="H81" s="17"/>
      <c r="I81" s="17"/>
      <c r="J81" s="17" t="s">
        <v>76</v>
      </c>
      <c r="K81" s="17"/>
      <c r="L81" s="17"/>
      <c r="M81" s="18"/>
      <c r="N81" s="19" t="str">
        <f t="shared" si="6"/>
        <v>OK</v>
      </c>
    </row>
    <row r="82" spans="1:14" ht="20.100000000000001" customHeight="1" x14ac:dyDescent="0.25">
      <c r="A82" s="14" t="s">
        <v>121</v>
      </c>
      <c r="B82" s="15" t="s">
        <v>47</v>
      </c>
      <c r="C82" s="16">
        <v>31</v>
      </c>
      <c r="D82" s="16">
        <v>32</v>
      </c>
      <c r="E82" s="16">
        <f t="shared" si="5"/>
        <v>1</v>
      </c>
      <c r="F82" s="17" t="s">
        <v>76</v>
      </c>
      <c r="G82" s="17"/>
      <c r="H82" s="17"/>
      <c r="I82" s="17"/>
      <c r="J82" s="17" t="s">
        <v>76</v>
      </c>
      <c r="K82" s="17"/>
      <c r="L82" s="17"/>
      <c r="M82" s="18"/>
      <c r="N82" s="19" t="str">
        <f t="shared" si="6"/>
        <v>OK</v>
      </c>
    </row>
    <row r="83" spans="1:14" ht="20.100000000000001" customHeight="1" x14ac:dyDescent="0.25">
      <c r="A83" s="14" t="s">
        <v>121</v>
      </c>
      <c r="B83" s="15" t="s">
        <v>47</v>
      </c>
      <c r="C83" s="16">
        <v>32</v>
      </c>
      <c r="D83" s="16">
        <v>33</v>
      </c>
      <c r="E83" s="16">
        <f t="shared" si="5"/>
        <v>1</v>
      </c>
      <c r="F83" s="17" t="s">
        <v>76</v>
      </c>
      <c r="G83" s="17"/>
      <c r="H83" s="17"/>
      <c r="I83" s="17"/>
      <c r="J83" s="17" t="s">
        <v>76</v>
      </c>
      <c r="K83" s="17"/>
      <c r="L83" s="17"/>
      <c r="M83" s="18"/>
      <c r="N83" s="19" t="str">
        <f t="shared" si="6"/>
        <v>OK</v>
      </c>
    </row>
    <row r="84" spans="1:14" ht="20.100000000000001" customHeight="1" x14ac:dyDescent="0.25">
      <c r="A84" s="14" t="s">
        <v>121</v>
      </c>
      <c r="B84" s="15" t="s">
        <v>47</v>
      </c>
      <c r="C84" s="16">
        <v>33</v>
      </c>
      <c r="D84" s="16">
        <v>34</v>
      </c>
      <c r="E84" s="16">
        <f t="shared" si="5"/>
        <v>1</v>
      </c>
      <c r="F84" s="17" t="s">
        <v>76</v>
      </c>
      <c r="G84" s="17"/>
      <c r="H84" s="17"/>
      <c r="I84" s="17"/>
      <c r="J84" s="17" t="s">
        <v>76</v>
      </c>
      <c r="K84" s="17"/>
      <c r="L84" s="17"/>
      <c r="M84" s="18"/>
      <c r="N84" s="19" t="str">
        <f t="shared" si="6"/>
        <v>OK</v>
      </c>
    </row>
    <row r="85" spans="1:14" ht="20.100000000000001" customHeight="1" x14ac:dyDescent="0.25">
      <c r="A85" s="20" t="s">
        <v>121</v>
      </c>
      <c r="B85" s="21" t="s">
        <v>47</v>
      </c>
      <c r="C85" s="22">
        <v>34</v>
      </c>
      <c r="D85" s="22">
        <v>34.4884422716</v>
      </c>
      <c r="E85" s="22">
        <f t="shared" si="5"/>
        <v>0.48844227160000031</v>
      </c>
      <c r="F85" s="23" t="s">
        <v>76</v>
      </c>
      <c r="G85" s="23"/>
      <c r="H85" s="23"/>
      <c r="I85" s="23"/>
      <c r="J85" s="23" t="s">
        <v>76</v>
      </c>
      <c r="K85" s="23"/>
      <c r="L85" s="23"/>
      <c r="M85" s="24"/>
      <c r="N85" s="25" t="str">
        <f t="shared" si="6"/>
        <v>OK</v>
      </c>
    </row>
    <row r="87" spans="1:14" x14ac:dyDescent="0.25">
      <c r="A87" s="46" t="s">
        <v>48</v>
      </c>
      <c r="B87" s="31"/>
      <c r="C87" s="31"/>
      <c r="D87" s="31"/>
      <c r="E87" s="31"/>
      <c r="G87" s="46" t="s">
        <v>48</v>
      </c>
      <c r="H87" s="31"/>
      <c r="I87" s="31"/>
      <c r="J87" s="31"/>
      <c r="K87" s="31"/>
    </row>
    <row r="88" spans="1:14" x14ac:dyDescent="0.25">
      <c r="A88" s="45" t="s">
        <v>49</v>
      </c>
      <c r="B88" s="31"/>
      <c r="C88" s="31"/>
      <c r="D88" s="31"/>
      <c r="E88" s="31"/>
      <c r="G88" s="45" t="s">
        <v>50</v>
      </c>
      <c r="H88" s="31"/>
      <c r="I88" s="31"/>
      <c r="J88" s="31"/>
      <c r="K88" s="31"/>
    </row>
    <row r="90" spans="1:14" x14ac:dyDescent="0.25">
      <c r="A90" s="43" t="s">
        <v>51</v>
      </c>
      <c r="B90" s="31"/>
      <c r="C90" s="31"/>
      <c r="D90" s="31"/>
      <c r="E90" s="31"/>
      <c r="F90" s="26"/>
      <c r="G90" s="26"/>
      <c r="H90" s="26"/>
      <c r="I90" s="26"/>
      <c r="J90" s="26"/>
      <c r="K90" s="26"/>
      <c r="L90" s="26"/>
      <c r="M90" s="26"/>
    </row>
    <row r="91" spans="1:14" x14ac:dyDescent="0.25">
      <c r="A91" s="47" t="s">
        <v>52</v>
      </c>
      <c r="B91" s="31"/>
      <c r="C91" s="31"/>
      <c r="D91" s="31"/>
      <c r="E91" s="31"/>
      <c r="F91" s="9">
        <f t="shared" ref="F91:L91" si="7">SUMIF(F$9:F$85,"X",$E$9:$E$85)</f>
        <v>73.554481171600003</v>
      </c>
      <c r="G91" s="9">
        <f t="shared" si="7"/>
        <v>0</v>
      </c>
      <c r="H91" s="9">
        <f t="shared" si="7"/>
        <v>0</v>
      </c>
      <c r="I91" s="9">
        <f t="shared" si="7"/>
        <v>0</v>
      </c>
      <c r="J91" s="9">
        <f t="shared" si="7"/>
        <v>73.554481171600003</v>
      </c>
      <c r="K91" s="9">
        <f t="shared" si="7"/>
        <v>0</v>
      </c>
      <c r="L91" s="9">
        <f t="shared" si="7"/>
        <v>0</v>
      </c>
    </row>
    <row r="92" spans="1:14" x14ac:dyDescent="0.25">
      <c r="A92" s="47" t="s">
        <v>53</v>
      </c>
      <c r="B92" s="31"/>
      <c r="C92" s="31"/>
      <c r="D92" s="31"/>
      <c r="E92" s="31"/>
      <c r="F92" s="27">
        <f t="shared" ref="F92:L92" si="8">IF($I94=0,0,F91/$I94)</f>
        <v>1</v>
      </c>
      <c r="G92" s="27">
        <f t="shared" si="8"/>
        <v>0</v>
      </c>
      <c r="H92" s="27">
        <f t="shared" si="8"/>
        <v>0</v>
      </c>
      <c r="I92" s="27">
        <f t="shared" si="8"/>
        <v>0</v>
      </c>
      <c r="J92" s="27">
        <f t="shared" si="8"/>
        <v>1</v>
      </c>
      <c r="K92" s="27">
        <f t="shared" si="8"/>
        <v>0</v>
      </c>
      <c r="L92" s="27">
        <f t="shared" si="8"/>
        <v>0</v>
      </c>
    </row>
    <row r="93" spans="1:14" x14ac:dyDescent="0.25">
      <c r="A93" s="47" t="s">
        <v>54</v>
      </c>
      <c r="B93" s="31"/>
      <c r="C93" s="31"/>
      <c r="D93" s="31"/>
      <c r="E93" s="31"/>
      <c r="F93" s="49" t="str">
        <f>IF(SUM(F91:I91)=0,"— não preenchido",IF(ROUND(SUM(F91:I91)-$I94,3)=0,"OK — "&amp;ROUND(SUM(F91:I91),3)&amp;" km","ERRO — dif. de "&amp;ROUND(SUM(F91:I91)-$I94,3)&amp;" km"))</f>
        <v>OK — 73,554 km</v>
      </c>
      <c r="G93" s="33"/>
      <c r="H93" s="33"/>
      <c r="I93" s="34"/>
      <c r="J93" s="49" t="str">
        <f>IF(SUM(J91:L91)=0,"— não preenchido",IF(ROUND(SUM(J91:L91)-$I94,3)=0,"OK — "&amp;ROUND(SUM(J91:L91),3)&amp;" km","ERRO — dif. de "&amp;ROUND(SUM(J91:L91)-$I94,3)&amp;" km"))</f>
        <v>OK — 73,554 km</v>
      </c>
      <c r="K93" s="33"/>
      <c r="L93" s="34"/>
    </row>
    <row r="94" spans="1:14" x14ac:dyDescent="0.25">
      <c r="A94" s="47" t="s">
        <v>55</v>
      </c>
      <c r="B94" s="31"/>
      <c r="C94" s="31"/>
      <c r="D94" s="31"/>
      <c r="E94" s="31"/>
      <c r="I94" s="28">
        <f>SUM(E9:E85)</f>
        <v>73.554481171600003</v>
      </c>
      <c r="M94" s="8" t="str">
        <f>COUNTIF(N9:N85,"OK")&amp;" de "&amp;COUNT($E$9:$E$85)&amp;" linhas conferidas"</f>
        <v>75 de 75 linhas conferidas</v>
      </c>
    </row>
    <row r="96" spans="1:14" x14ac:dyDescent="0.25">
      <c r="A96" s="48" t="s">
        <v>56</v>
      </c>
      <c r="B96" s="31"/>
      <c r="C96" s="31"/>
      <c r="D96" s="31"/>
      <c r="E96" s="31"/>
    </row>
    <row r="97" spans="1:13" x14ac:dyDescent="0.25">
      <c r="A97" s="47" t="s">
        <v>10</v>
      </c>
      <c r="B97" s="31"/>
      <c r="C97" s="31"/>
      <c r="D97" s="31"/>
      <c r="E97" s="44" t="s">
        <v>57</v>
      </c>
      <c r="F97" s="31"/>
      <c r="G97" s="31"/>
      <c r="H97" s="31"/>
      <c r="I97" s="31"/>
      <c r="J97" s="31"/>
      <c r="K97" s="31"/>
      <c r="L97" s="31"/>
      <c r="M97" s="31"/>
    </row>
    <row r="98" spans="1:13" x14ac:dyDescent="0.25">
      <c r="A98" s="47" t="s">
        <v>11</v>
      </c>
      <c r="B98" s="31"/>
      <c r="C98" s="31"/>
      <c r="D98" s="31"/>
      <c r="E98" s="44" t="s">
        <v>58</v>
      </c>
      <c r="F98" s="31"/>
      <c r="G98" s="31"/>
      <c r="H98" s="31"/>
      <c r="I98" s="31"/>
      <c r="J98" s="31"/>
      <c r="K98" s="31"/>
      <c r="L98" s="31"/>
      <c r="M98" s="31"/>
    </row>
    <row r="99" spans="1:13" x14ac:dyDescent="0.25">
      <c r="A99" s="47" t="s">
        <v>12</v>
      </c>
      <c r="B99" s="31"/>
      <c r="C99" s="31"/>
      <c r="D99" s="31"/>
      <c r="E99" s="44" t="s">
        <v>59</v>
      </c>
      <c r="F99" s="31"/>
      <c r="G99" s="31"/>
      <c r="H99" s="31"/>
      <c r="I99" s="31"/>
      <c r="J99" s="31"/>
      <c r="K99" s="31"/>
      <c r="L99" s="31"/>
      <c r="M99" s="31"/>
    </row>
    <row r="100" spans="1:13" x14ac:dyDescent="0.25">
      <c r="A100" s="47" t="s">
        <v>60</v>
      </c>
      <c r="B100" s="31"/>
      <c r="C100" s="31"/>
      <c r="D100" s="31"/>
      <c r="E100" s="44" t="s">
        <v>61</v>
      </c>
      <c r="F100" s="31"/>
      <c r="G100" s="31"/>
      <c r="H100" s="31"/>
      <c r="I100" s="31"/>
      <c r="J100" s="31"/>
      <c r="K100" s="31"/>
      <c r="L100" s="31"/>
      <c r="M100" s="31"/>
    </row>
    <row r="101" spans="1:13" x14ac:dyDescent="0.25">
      <c r="A101" s="47" t="s">
        <v>62</v>
      </c>
      <c r="B101" s="31"/>
      <c r="C101" s="31"/>
      <c r="D101" s="31"/>
      <c r="E101" s="44" t="s">
        <v>63</v>
      </c>
      <c r="F101" s="31"/>
      <c r="G101" s="31"/>
      <c r="H101" s="31"/>
      <c r="I101" s="31"/>
      <c r="J101" s="31"/>
      <c r="K101" s="31"/>
      <c r="L101" s="31"/>
      <c r="M101" s="31"/>
    </row>
    <row r="102" spans="1:13" x14ac:dyDescent="0.25">
      <c r="A102" s="47" t="s">
        <v>64</v>
      </c>
      <c r="B102" s="31"/>
      <c r="C102" s="31"/>
      <c r="D102" s="31"/>
      <c r="E102" s="44" t="s">
        <v>65</v>
      </c>
      <c r="F102" s="31"/>
      <c r="G102" s="31"/>
      <c r="H102" s="31"/>
      <c r="I102" s="31"/>
      <c r="J102" s="31"/>
      <c r="K102" s="31"/>
      <c r="L102" s="31"/>
      <c r="M102" s="31"/>
    </row>
    <row r="103" spans="1:13" x14ac:dyDescent="0.25">
      <c r="A103" s="47" t="s">
        <v>39</v>
      </c>
      <c r="B103" s="31"/>
      <c r="C103" s="31"/>
      <c r="D103" s="31"/>
      <c r="E103" s="44" t="s">
        <v>66</v>
      </c>
      <c r="F103" s="31"/>
      <c r="G103" s="31"/>
      <c r="H103" s="31"/>
      <c r="I103" s="31"/>
      <c r="J103" s="31"/>
      <c r="K103" s="31"/>
      <c r="L103" s="31"/>
      <c r="M103" s="31"/>
    </row>
    <row r="104" spans="1:13" x14ac:dyDescent="0.25">
      <c r="A104" s="47" t="s">
        <v>67</v>
      </c>
      <c r="B104" s="31"/>
      <c r="C104" s="31"/>
      <c r="D104" s="31"/>
      <c r="E104" s="44" t="s">
        <v>68</v>
      </c>
      <c r="F104" s="31"/>
      <c r="G104" s="31"/>
      <c r="H104" s="31"/>
      <c r="I104" s="31"/>
      <c r="J104" s="31"/>
      <c r="K104" s="31"/>
      <c r="L104" s="31"/>
      <c r="M104" s="31"/>
    </row>
    <row r="105" spans="1:13" x14ac:dyDescent="0.25">
      <c r="A105" s="47" t="s">
        <v>69</v>
      </c>
      <c r="B105" s="31"/>
      <c r="C105" s="31"/>
      <c r="D105" s="31"/>
      <c r="E105" s="44" t="s">
        <v>70</v>
      </c>
      <c r="F105" s="31"/>
      <c r="G105" s="31"/>
      <c r="H105" s="31"/>
      <c r="I105" s="31"/>
      <c r="J105" s="31"/>
      <c r="K105" s="31"/>
      <c r="L105" s="31"/>
      <c r="M105" s="31"/>
    </row>
    <row r="106" spans="1:13" x14ac:dyDescent="0.25">
      <c r="A106" s="47" t="s">
        <v>8</v>
      </c>
      <c r="B106" s="31"/>
      <c r="C106" s="31"/>
      <c r="D106" s="31"/>
      <c r="E106" s="44" t="s">
        <v>71</v>
      </c>
      <c r="F106" s="31"/>
      <c r="G106" s="31"/>
      <c r="H106" s="31"/>
      <c r="I106" s="31"/>
      <c r="J106" s="31"/>
      <c r="K106" s="31"/>
      <c r="L106" s="31"/>
      <c r="M106" s="31"/>
    </row>
  </sheetData>
  <sheetProtection formatCells="0"/>
  <mergeCells count="52">
    <mergeCell ref="J93:L93"/>
    <mergeCell ref="A104:D104"/>
    <mergeCell ref="A93:E93"/>
    <mergeCell ref="C6:C7"/>
    <mergeCell ref="D6:D7"/>
    <mergeCell ref="A92:E92"/>
    <mergeCell ref="A88:E88"/>
    <mergeCell ref="A1:M1"/>
    <mergeCell ref="E97:M97"/>
    <mergeCell ref="E102:M102"/>
    <mergeCell ref="N6:N7"/>
    <mergeCell ref="K3:M3"/>
    <mergeCell ref="A99:D99"/>
    <mergeCell ref="G88:K88"/>
    <mergeCell ref="A91:E91"/>
    <mergeCell ref="A96:E96"/>
    <mergeCell ref="E98:M98"/>
    <mergeCell ref="G2:H2"/>
    <mergeCell ref="A8:M8"/>
    <mergeCell ref="A100:D100"/>
    <mergeCell ref="A4:M4"/>
    <mergeCell ref="A94:E94"/>
    <mergeCell ref="A6:A7"/>
    <mergeCell ref="A2:C2"/>
    <mergeCell ref="E99:M99"/>
    <mergeCell ref="A87:E87"/>
    <mergeCell ref="K2:M2"/>
    <mergeCell ref="D2:E2"/>
    <mergeCell ref="A31:M31"/>
    <mergeCell ref="A90:E90"/>
    <mergeCell ref="M6:M7"/>
    <mergeCell ref="E6:E7"/>
    <mergeCell ref="F93:I93"/>
    <mergeCell ref="J6:L6"/>
    <mergeCell ref="B6:B7"/>
    <mergeCell ref="G87:K87"/>
    <mergeCell ref="F6:I6"/>
    <mergeCell ref="A3:J3"/>
    <mergeCell ref="A50:M50"/>
    <mergeCell ref="A106:D106"/>
    <mergeCell ref="E103:M103"/>
    <mergeCell ref="A97:D97"/>
    <mergeCell ref="E105:M105"/>
    <mergeCell ref="A102:D102"/>
    <mergeCell ref="E104:M104"/>
    <mergeCell ref="E101:M101"/>
    <mergeCell ref="A98:D98"/>
    <mergeCell ref="E100:M100"/>
    <mergeCell ref="A103:D103"/>
    <mergeCell ref="E106:M106"/>
    <mergeCell ref="A105:D105"/>
    <mergeCell ref="A101:D101"/>
  </mergeCells>
  <conditionalFormatting sqref="F9:I85">
    <cfRule type="expression" dxfId="29" priority="1">
      <formula>AND(F9&lt;&gt;"",COUNTIF($F9:$I9,"X")&gt;1)</formula>
    </cfRule>
  </conditionalFormatting>
  <conditionalFormatting sqref="F93:L93">
    <cfRule type="expression" dxfId="28" priority="5">
      <formula>LEFT(F93,4)="ERRO"</formula>
    </cfRule>
    <cfRule type="expression" dxfId="27" priority="6">
      <formula>LEFT(F93,2)="OK"</formula>
    </cfRule>
  </conditionalFormatting>
  <conditionalFormatting sqref="J9:L85">
    <cfRule type="expression" dxfId="26" priority="2">
      <formula>AND(J9&lt;&gt;"",COUNTIF($J9:$L9,"X")&gt;1)</formula>
    </cfRule>
  </conditionalFormatting>
  <conditionalFormatting sqref="N9:N85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5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5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85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238</oddHeader>
    <oddFooter>&amp;L&amp;7 RTA / MSI — Programa de Manutenção Rodoviária&amp;C&amp;7 Página &amp;P de &amp;N&amp;R&amp;7 Impresso em &amp;D</oddFooter>
  </headerFooter>
  <rowBreaks count="1" manualBreakCount="1">
    <brk id="88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93"/>
  <sheetViews>
    <sheetView showGridLines="0" workbookViewId="0">
      <pane xSplit="5" ySplit="7" topLeftCell="F61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IF(F78=0,NA(),F78)</f>
        <v>63.930071377099999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63.930071377099999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122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123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124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125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125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125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125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125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125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125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125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125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125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125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125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125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125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125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125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125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125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125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125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125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125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125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 t="s">
        <v>76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125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125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125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125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125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125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125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125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125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125</v>
      </c>
      <c r="B41" s="15" t="s">
        <v>47</v>
      </c>
      <c r="C41" s="16">
        <v>32</v>
      </c>
      <c r="D41" s="16">
        <v>33</v>
      </c>
      <c r="E41" s="16">
        <f t="shared" ref="E41:E72" si="3">D41-C41</f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125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125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125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125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125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 t="s">
        <v>76</v>
      </c>
      <c r="G46" s="17"/>
      <c r="H46" s="17"/>
      <c r="I46" s="17"/>
      <c r="J46" s="17" t="s">
        <v>76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125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 t="s">
        <v>76</v>
      </c>
      <c r="G47" s="17"/>
      <c r="H47" s="17"/>
      <c r="I47" s="17"/>
      <c r="J47" s="17" t="s">
        <v>76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125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 t="s">
        <v>76</v>
      </c>
      <c r="G48" s="17"/>
      <c r="H48" s="17"/>
      <c r="I48" s="17"/>
      <c r="J48" s="17" t="s">
        <v>76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125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 t="s">
        <v>76</v>
      </c>
      <c r="G49" s="17"/>
      <c r="H49" s="17"/>
      <c r="I49" s="17"/>
      <c r="J49" s="17" t="s">
        <v>76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125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 t="s">
        <v>76</v>
      </c>
      <c r="G50" s="17"/>
      <c r="H50" s="17"/>
      <c r="I50" s="17"/>
      <c r="J50" s="17" t="s">
        <v>76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125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125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125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125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125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 t="s">
        <v>76</v>
      </c>
      <c r="G55" s="17"/>
      <c r="H55" s="17"/>
      <c r="I55" s="17"/>
      <c r="J55" s="17" t="s">
        <v>76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125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 t="s">
        <v>76</v>
      </c>
      <c r="G56" s="17"/>
      <c r="H56" s="17"/>
      <c r="I56" s="17"/>
      <c r="J56" s="17" t="s">
        <v>76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125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 t="s">
        <v>76</v>
      </c>
      <c r="G57" s="17"/>
      <c r="H57" s="17"/>
      <c r="I57" s="17"/>
      <c r="J57" s="17" t="s">
        <v>76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125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 t="s">
        <v>76</v>
      </c>
      <c r="G58" s="17"/>
      <c r="H58" s="17"/>
      <c r="I58" s="17"/>
      <c r="J58" s="17" t="s">
        <v>76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125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 t="s">
        <v>76</v>
      </c>
      <c r="G59" s="17"/>
      <c r="H59" s="17"/>
      <c r="I59" s="17"/>
      <c r="J59" s="17" t="s">
        <v>76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125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 t="s">
        <v>76</v>
      </c>
      <c r="G60" s="17"/>
      <c r="H60" s="17"/>
      <c r="I60" s="17"/>
      <c r="J60" s="17" t="s">
        <v>76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125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 t="s">
        <v>76</v>
      </c>
      <c r="G61" s="17"/>
      <c r="H61" s="17"/>
      <c r="I61" s="17"/>
      <c r="J61" s="17" t="s">
        <v>76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125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125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125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125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125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125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 t="s">
        <v>76</v>
      </c>
      <c r="G67" s="17"/>
      <c r="H67" s="17"/>
      <c r="I67" s="17"/>
      <c r="J67" s="17" t="s">
        <v>76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125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 t="s">
        <v>76</v>
      </c>
      <c r="G68" s="17"/>
      <c r="H68" s="17"/>
      <c r="I68" s="17"/>
      <c r="J68" s="17" t="s">
        <v>76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125</v>
      </c>
      <c r="B69" s="15" t="s">
        <v>47</v>
      </c>
      <c r="C69" s="16">
        <v>60</v>
      </c>
      <c r="D69" s="16">
        <v>61</v>
      </c>
      <c r="E69" s="16">
        <f t="shared" si="3"/>
        <v>1</v>
      </c>
      <c r="F69" s="17" t="s">
        <v>76</v>
      </c>
      <c r="G69" s="17"/>
      <c r="H69" s="17"/>
      <c r="I69" s="17"/>
      <c r="J69" s="17" t="s">
        <v>76</v>
      </c>
      <c r="K69" s="17"/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125</v>
      </c>
      <c r="B70" s="15" t="s">
        <v>47</v>
      </c>
      <c r="C70" s="16">
        <v>61</v>
      </c>
      <c r="D70" s="16">
        <v>62</v>
      </c>
      <c r="E70" s="16">
        <f t="shared" si="3"/>
        <v>1</v>
      </c>
      <c r="F70" s="17" t="s">
        <v>76</v>
      </c>
      <c r="G70" s="17"/>
      <c r="H70" s="17"/>
      <c r="I70" s="17"/>
      <c r="J70" s="17" t="s">
        <v>76</v>
      </c>
      <c r="K70" s="17"/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125</v>
      </c>
      <c r="B71" s="15" t="s">
        <v>47</v>
      </c>
      <c r="C71" s="16">
        <v>62</v>
      </c>
      <c r="D71" s="16">
        <v>63</v>
      </c>
      <c r="E71" s="16">
        <f t="shared" si="3"/>
        <v>1</v>
      </c>
      <c r="F71" s="17" t="s">
        <v>76</v>
      </c>
      <c r="G71" s="17"/>
      <c r="H71" s="17"/>
      <c r="I71" s="17"/>
      <c r="J71" s="17" t="s">
        <v>76</v>
      </c>
      <c r="K71" s="17"/>
      <c r="L71" s="17"/>
      <c r="M71" s="18"/>
      <c r="N71" s="19" t="str">
        <f t="shared" si="4"/>
        <v>OK</v>
      </c>
    </row>
    <row r="72" spans="1:14" ht="20.100000000000001" customHeight="1" x14ac:dyDescent="0.25">
      <c r="A72" s="20" t="s">
        <v>125</v>
      </c>
      <c r="B72" s="21" t="s">
        <v>47</v>
      </c>
      <c r="C72" s="22">
        <v>63</v>
      </c>
      <c r="D72" s="22">
        <v>63.930071377099999</v>
      </c>
      <c r="E72" s="22">
        <f t="shared" si="3"/>
        <v>0.9300713770999991</v>
      </c>
      <c r="F72" s="23" t="s">
        <v>76</v>
      </c>
      <c r="G72" s="23"/>
      <c r="H72" s="23"/>
      <c r="I72" s="23"/>
      <c r="J72" s="23" t="s">
        <v>76</v>
      </c>
      <c r="K72" s="23"/>
      <c r="L72" s="23"/>
      <c r="M72" s="24"/>
      <c r="N72" s="25" t="str">
        <f t="shared" si="4"/>
        <v>OK</v>
      </c>
    </row>
    <row r="74" spans="1:14" x14ac:dyDescent="0.25">
      <c r="A74" s="46" t="s">
        <v>48</v>
      </c>
      <c r="B74" s="31"/>
      <c r="C74" s="31"/>
      <c r="D74" s="31"/>
      <c r="E74" s="31"/>
      <c r="G74" s="46" t="s">
        <v>48</v>
      </c>
      <c r="H74" s="31"/>
      <c r="I74" s="31"/>
      <c r="J74" s="31"/>
      <c r="K74" s="31"/>
    </row>
    <row r="75" spans="1:14" x14ac:dyDescent="0.25">
      <c r="A75" s="45" t="s">
        <v>49</v>
      </c>
      <c r="B75" s="31"/>
      <c r="C75" s="31"/>
      <c r="D75" s="31"/>
      <c r="E75" s="31"/>
      <c r="G75" s="45" t="s">
        <v>50</v>
      </c>
      <c r="H75" s="31"/>
      <c r="I75" s="31"/>
      <c r="J75" s="31"/>
      <c r="K75" s="31"/>
    </row>
    <row r="77" spans="1:14" x14ac:dyDescent="0.25">
      <c r="A77" s="43" t="s">
        <v>51</v>
      </c>
      <c r="B77" s="31"/>
      <c r="C77" s="31"/>
      <c r="D77" s="31"/>
      <c r="E77" s="31"/>
      <c r="F77" s="26"/>
      <c r="G77" s="26"/>
      <c r="H77" s="26"/>
      <c r="I77" s="26"/>
      <c r="J77" s="26"/>
      <c r="K77" s="26"/>
      <c r="L77" s="26"/>
      <c r="M77" s="26"/>
    </row>
    <row r="78" spans="1:14" x14ac:dyDescent="0.25">
      <c r="A78" s="47" t="s">
        <v>52</v>
      </c>
      <c r="B78" s="31"/>
      <c r="C78" s="31"/>
      <c r="D78" s="31"/>
      <c r="E78" s="31"/>
      <c r="F78" s="9">
        <f t="shared" ref="F78:L78" si="5">SUMIF(F$9:F$72,"X",$E$9:$E$72)</f>
        <v>63.930071377099999</v>
      </c>
      <c r="G78" s="9">
        <f t="shared" si="5"/>
        <v>0</v>
      </c>
      <c r="H78" s="9">
        <f t="shared" si="5"/>
        <v>0</v>
      </c>
      <c r="I78" s="9">
        <f t="shared" si="5"/>
        <v>0</v>
      </c>
      <c r="J78" s="9">
        <f t="shared" si="5"/>
        <v>63.930071377099999</v>
      </c>
      <c r="K78" s="9">
        <f t="shared" si="5"/>
        <v>0</v>
      </c>
      <c r="L78" s="9">
        <f t="shared" si="5"/>
        <v>0</v>
      </c>
    </row>
    <row r="79" spans="1:14" x14ac:dyDescent="0.25">
      <c r="A79" s="47" t="s">
        <v>53</v>
      </c>
      <c r="B79" s="31"/>
      <c r="C79" s="31"/>
      <c r="D79" s="31"/>
      <c r="E79" s="31"/>
      <c r="F79" s="27">
        <f t="shared" ref="F79:L79" si="6">IF($I81=0,0,F78/$I81)</f>
        <v>1</v>
      </c>
      <c r="G79" s="27">
        <f t="shared" si="6"/>
        <v>0</v>
      </c>
      <c r="H79" s="27">
        <f t="shared" si="6"/>
        <v>0</v>
      </c>
      <c r="I79" s="27">
        <f t="shared" si="6"/>
        <v>0</v>
      </c>
      <c r="J79" s="27">
        <f t="shared" si="6"/>
        <v>1</v>
      </c>
      <c r="K79" s="27">
        <f t="shared" si="6"/>
        <v>0</v>
      </c>
      <c r="L79" s="27">
        <f t="shared" si="6"/>
        <v>0</v>
      </c>
    </row>
    <row r="80" spans="1:14" x14ac:dyDescent="0.25">
      <c r="A80" s="47" t="s">
        <v>54</v>
      </c>
      <c r="B80" s="31"/>
      <c r="C80" s="31"/>
      <c r="D80" s="31"/>
      <c r="E80" s="31"/>
      <c r="F80" s="49" t="str">
        <f>IF(SUM(F78:I78)=0,"— não preenchido",IF(ROUND(SUM(F78:I78)-$I81,3)=0,"OK — "&amp;ROUND(SUM(F78:I78),3)&amp;" km","ERRO — dif. de "&amp;ROUND(SUM(F78:I78)-$I81,3)&amp;" km"))</f>
        <v>OK — 63,93 km</v>
      </c>
      <c r="G80" s="33"/>
      <c r="H80" s="33"/>
      <c r="I80" s="34"/>
      <c r="J80" s="49" t="str">
        <f>IF(SUM(J78:L78)=0,"— não preenchido",IF(ROUND(SUM(J78:L78)-$I81,3)=0,"OK — "&amp;ROUND(SUM(J78:L78),3)&amp;" km","ERRO — dif. de "&amp;ROUND(SUM(J78:L78)-$I81,3)&amp;" km"))</f>
        <v>OK — 63,93 km</v>
      </c>
      <c r="K80" s="33"/>
      <c r="L80" s="34"/>
    </row>
    <row r="81" spans="1:13" x14ac:dyDescent="0.25">
      <c r="A81" s="47" t="s">
        <v>55</v>
      </c>
      <c r="B81" s="31"/>
      <c r="C81" s="31"/>
      <c r="D81" s="31"/>
      <c r="E81" s="31"/>
      <c r="I81" s="28">
        <f>SUM(E9:E72)</f>
        <v>63.930071377099999</v>
      </c>
      <c r="M81" s="8" t="str">
        <f>COUNTIF(N9:N72,"OK")&amp;" de "&amp;COUNT($E$9:$E$72)&amp;" linhas conferidas"</f>
        <v>64 de 64 linhas conferidas</v>
      </c>
    </row>
    <row r="83" spans="1:13" x14ac:dyDescent="0.25">
      <c r="A83" s="48" t="s">
        <v>56</v>
      </c>
      <c r="B83" s="31"/>
      <c r="C83" s="31"/>
      <c r="D83" s="31"/>
      <c r="E83" s="31"/>
    </row>
    <row r="84" spans="1:13" x14ac:dyDescent="0.25">
      <c r="A84" s="47" t="s">
        <v>10</v>
      </c>
      <c r="B84" s="31"/>
      <c r="C84" s="31"/>
      <c r="D84" s="31"/>
      <c r="E84" s="44" t="s">
        <v>57</v>
      </c>
      <c r="F84" s="31"/>
      <c r="G84" s="31"/>
      <c r="H84" s="31"/>
      <c r="I84" s="31"/>
      <c r="J84" s="31"/>
      <c r="K84" s="31"/>
      <c r="L84" s="31"/>
      <c r="M84" s="31"/>
    </row>
    <row r="85" spans="1:13" x14ac:dyDescent="0.25">
      <c r="A85" s="47" t="s">
        <v>11</v>
      </c>
      <c r="B85" s="31"/>
      <c r="C85" s="31"/>
      <c r="D85" s="31"/>
      <c r="E85" s="44" t="s">
        <v>58</v>
      </c>
      <c r="F85" s="31"/>
      <c r="G85" s="31"/>
      <c r="H85" s="31"/>
      <c r="I85" s="31"/>
      <c r="J85" s="31"/>
      <c r="K85" s="31"/>
      <c r="L85" s="31"/>
      <c r="M85" s="31"/>
    </row>
    <row r="86" spans="1:13" x14ac:dyDescent="0.25">
      <c r="A86" s="47" t="s">
        <v>12</v>
      </c>
      <c r="B86" s="31"/>
      <c r="C86" s="31"/>
      <c r="D86" s="31"/>
      <c r="E86" s="44" t="s">
        <v>59</v>
      </c>
      <c r="F86" s="31"/>
      <c r="G86" s="31"/>
      <c r="H86" s="31"/>
      <c r="I86" s="31"/>
      <c r="J86" s="31"/>
      <c r="K86" s="31"/>
      <c r="L86" s="31"/>
      <c r="M86" s="31"/>
    </row>
    <row r="87" spans="1:13" x14ac:dyDescent="0.25">
      <c r="A87" s="47" t="s">
        <v>60</v>
      </c>
      <c r="B87" s="31"/>
      <c r="C87" s="31"/>
      <c r="D87" s="31"/>
      <c r="E87" s="44" t="s">
        <v>61</v>
      </c>
      <c r="F87" s="31"/>
      <c r="G87" s="31"/>
      <c r="H87" s="31"/>
      <c r="I87" s="31"/>
      <c r="J87" s="31"/>
      <c r="K87" s="31"/>
      <c r="L87" s="31"/>
      <c r="M87" s="31"/>
    </row>
    <row r="88" spans="1:13" x14ac:dyDescent="0.25">
      <c r="A88" s="47" t="s">
        <v>62</v>
      </c>
      <c r="B88" s="31"/>
      <c r="C88" s="31"/>
      <c r="D88" s="31"/>
      <c r="E88" s="44" t="s">
        <v>63</v>
      </c>
      <c r="F88" s="31"/>
      <c r="G88" s="31"/>
      <c r="H88" s="31"/>
      <c r="I88" s="31"/>
      <c r="J88" s="31"/>
      <c r="K88" s="31"/>
      <c r="L88" s="31"/>
      <c r="M88" s="31"/>
    </row>
    <row r="89" spans="1:13" x14ac:dyDescent="0.25">
      <c r="A89" s="47" t="s">
        <v>64</v>
      </c>
      <c r="B89" s="31"/>
      <c r="C89" s="31"/>
      <c r="D89" s="31"/>
      <c r="E89" s="44" t="s">
        <v>65</v>
      </c>
      <c r="F89" s="31"/>
      <c r="G89" s="31"/>
      <c r="H89" s="31"/>
      <c r="I89" s="31"/>
      <c r="J89" s="31"/>
      <c r="K89" s="31"/>
      <c r="L89" s="31"/>
      <c r="M89" s="31"/>
    </row>
    <row r="90" spans="1:13" x14ac:dyDescent="0.25">
      <c r="A90" s="47" t="s">
        <v>39</v>
      </c>
      <c r="B90" s="31"/>
      <c r="C90" s="31"/>
      <c r="D90" s="31"/>
      <c r="E90" s="44" t="s">
        <v>66</v>
      </c>
      <c r="F90" s="31"/>
      <c r="G90" s="31"/>
      <c r="H90" s="31"/>
      <c r="I90" s="31"/>
      <c r="J90" s="31"/>
      <c r="K90" s="31"/>
      <c r="L90" s="31"/>
      <c r="M90" s="31"/>
    </row>
    <row r="91" spans="1:13" x14ac:dyDescent="0.25">
      <c r="A91" s="47" t="s">
        <v>67</v>
      </c>
      <c r="B91" s="31"/>
      <c r="C91" s="31"/>
      <c r="D91" s="31"/>
      <c r="E91" s="44" t="s">
        <v>68</v>
      </c>
      <c r="F91" s="31"/>
      <c r="G91" s="31"/>
      <c r="H91" s="31"/>
      <c r="I91" s="31"/>
      <c r="J91" s="31"/>
      <c r="K91" s="31"/>
      <c r="L91" s="31"/>
      <c r="M91" s="31"/>
    </row>
    <row r="92" spans="1:13" x14ac:dyDescent="0.25">
      <c r="A92" s="47" t="s">
        <v>69</v>
      </c>
      <c r="B92" s="31"/>
      <c r="C92" s="31"/>
      <c r="D92" s="31"/>
      <c r="E92" s="44" t="s">
        <v>70</v>
      </c>
      <c r="F92" s="31"/>
      <c r="G92" s="31"/>
      <c r="H92" s="31"/>
      <c r="I92" s="31"/>
      <c r="J92" s="31"/>
      <c r="K92" s="31"/>
      <c r="L92" s="31"/>
      <c r="M92" s="31"/>
    </row>
    <row r="93" spans="1:13" x14ac:dyDescent="0.25">
      <c r="A93" s="47" t="s">
        <v>8</v>
      </c>
      <c r="B93" s="31"/>
      <c r="C93" s="31"/>
      <c r="D93" s="31"/>
      <c r="E93" s="44" t="s">
        <v>71</v>
      </c>
      <c r="F93" s="31"/>
      <c r="G93" s="31"/>
      <c r="H93" s="31"/>
      <c r="I93" s="31"/>
      <c r="J93" s="31"/>
      <c r="K93" s="31"/>
      <c r="L93" s="31"/>
      <c r="M93" s="31"/>
    </row>
  </sheetData>
  <sheetProtection formatCells="0"/>
  <mergeCells count="50">
    <mergeCell ref="N6:N7"/>
    <mergeCell ref="K3:M3"/>
    <mergeCell ref="F80:I80"/>
    <mergeCell ref="A84:D84"/>
    <mergeCell ref="A90:D90"/>
    <mergeCell ref="A89:D89"/>
    <mergeCell ref="A81:E81"/>
    <mergeCell ref="A3:J3"/>
    <mergeCell ref="A86:D86"/>
    <mergeCell ref="A85:D85"/>
    <mergeCell ref="E88:M88"/>
    <mergeCell ref="A74:E74"/>
    <mergeCell ref="B6:B7"/>
    <mergeCell ref="E89:M89"/>
    <mergeCell ref="A1:M1"/>
    <mergeCell ref="A88:D88"/>
    <mergeCell ref="E93:M93"/>
    <mergeCell ref="A87:D87"/>
    <mergeCell ref="E92:M92"/>
    <mergeCell ref="A83:E83"/>
    <mergeCell ref="J80:L80"/>
    <mergeCell ref="A93:D93"/>
    <mergeCell ref="A2:C2"/>
    <mergeCell ref="A79:E79"/>
    <mergeCell ref="G75:K75"/>
    <mergeCell ref="E90:M90"/>
    <mergeCell ref="K2:M2"/>
    <mergeCell ref="E86:M86"/>
    <mergeCell ref="A78:E78"/>
    <mergeCell ref="D2:E2"/>
    <mergeCell ref="A92:D92"/>
    <mergeCell ref="M6:M7"/>
    <mergeCell ref="A75:E75"/>
    <mergeCell ref="E6:E7"/>
    <mergeCell ref="A91:D91"/>
    <mergeCell ref="E91:M91"/>
    <mergeCell ref="E85:M85"/>
    <mergeCell ref="E87:M87"/>
    <mergeCell ref="G2:H2"/>
    <mergeCell ref="A8:M8"/>
    <mergeCell ref="A4:M4"/>
    <mergeCell ref="E84:M84"/>
    <mergeCell ref="A6:A7"/>
    <mergeCell ref="A80:E80"/>
    <mergeCell ref="F6:I6"/>
    <mergeCell ref="G74:K74"/>
    <mergeCell ref="C6:C7"/>
    <mergeCell ref="D6:D7"/>
    <mergeCell ref="A77:E77"/>
    <mergeCell ref="J6:L6"/>
  </mergeCells>
  <conditionalFormatting sqref="F9:I72">
    <cfRule type="expression" dxfId="23" priority="1">
      <formula>AND(F9&lt;&gt;"",COUNTIF($F9:$I9,"X")&gt;1)</formula>
    </cfRule>
  </conditionalFormatting>
  <conditionalFormatting sqref="F80:L80">
    <cfRule type="expression" dxfId="22" priority="5">
      <formula>LEFT(F80,4)="ERRO"</formula>
    </cfRule>
    <cfRule type="expression" dxfId="21" priority="6">
      <formula>LEFT(F80,2)="OK"</formula>
    </cfRule>
  </conditionalFormatting>
  <conditionalFormatting sqref="J9:L72">
    <cfRule type="expression" dxfId="20" priority="2">
      <formula>AND(J9&lt;&gt;"",COUNTIF($J9:$L9,"X")&gt;1)</formula>
    </cfRule>
  </conditionalFormatting>
  <conditionalFormatting sqref="N9:N72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2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2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72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239</oddHeader>
    <oddFooter>&amp;L&amp;7 RTA / MSI — Programa de Manutenção Rodoviária&amp;C&amp;7 Página &amp;P de &amp;N&amp;R&amp;7 Impresso em &amp;D</oddFooter>
  </headerFooter>
  <rowBreaks count="1" manualBreakCount="1">
    <brk id="75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11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H91" sqref="H45:H9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 t="e">
        <f t="shared" ref="P2:V2" si="0">IF(F97=0,NA(),F97)</f>
        <v>#N/A</v>
      </c>
      <c r="Q2" s="2">
        <f t="shared" si="0"/>
        <v>81.076208041699999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81.076208041699999</v>
      </c>
      <c r="V2" s="2" t="e">
        <f t="shared" si="0"/>
        <v>#N/A</v>
      </c>
    </row>
    <row r="3" spans="1:22" ht="15" customHeight="1" x14ac:dyDescent="0.25">
      <c r="A3" s="50" t="s">
        <v>126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127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128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129</v>
      </c>
      <c r="B9" s="15" t="s">
        <v>47</v>
      </c>
      <c r="C9" s="16">
        <v>0</v>
      </c>
      <c r="D9" s="16">
        <v>1</v>
      </c>
      <c r="E9" s="16">
        <f t="shared" ref="E9:E43" si="1">D9-C9</f>
        <v>1</v>
      </c>
      <c r="F9" s="17"/>
      <c r="G9" s="17" t="s">
        <v>76</v>
      </c>
      <c r="H9" s="17"/>
      <c r="I9" s="17"/>
      <c r="J9" s="17"/>
      <c r="K9" s="17" t="s">
        <v>76</v>
      </c>
      <c r="L9" s="17"/>
      <c r="M9" s="18"/>
      <c r="N9" s="19" t="str">
        <f t="shared" ref="N9:N4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129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/>
      <c r="G10" s="17" t="s">
        <v>76</v>
      </c>
      <c r="H10" s="17"/>
      <c r="I10" s="17"/>
      <c r="J10" s="17"/>
      <c r="K10" s="17" t="s">
        <v>76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129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/>
      <c r="G11" s="17" t="s">
        <v>76</v>
      </c>
      <c r="H11" s="17"/>
      <c r="I11" s="17"/>
      <c r="J11" s="17"/>
      <c r="K11" s="17" t="s">
        <v>76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129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/>
      <c r="G12" s="17" t="s">
        <v>76</v>
      </c>
      <c r="H12" s="17"/>
      <c r="I12" s="17"/>
      <c r="J12" s="17"/>
      <c r="K12" s="17" t="s">
        <v>76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129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/>
      <c r="G13" s="17" t="s">
        <v>76</v>
      </c>
      <c r="H13" s="17"/>
      <c r="I13" s="17"/>
      <c r="J13" s="17"/>
      <c r="K13" s="17" t="s">
        <v>76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129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/>
      <c r="G14" s="17" t="s">
        <v>76</v>
      </c>
      <c r="H14" s="17"/>
      <c r="I14" s="17"/>
      <c r="J14" s="17"/>
      <c r="K14" s="17" t="s">
        <v>76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129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/>
      <c r="G15" s="17" t="s">
        <v>76</v>
      </c>
      <c r="H15" s="17"/>
      <c r="I15" s="17"/>
      <c r="J15" s="17"/>
      <c r="K15" s="17" t="s">
        <v>76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129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/>
      <c r="G16" s="17" t="s">
        <v>76</v>
      </c>
      <c r="H16" s="17"/>
      <c r="I16" s="17"/>
      <c r="J16" s="17"/>
      <c r="K16" s="17" t="s">
        <v>76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129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/>
      <c r="G17" s="17" t="s">
        <v>76</v>
      </c>
      <c r="H17" s="17"/>
      <c r="I17" s="17"/>
      <c r="J17" s="17"/>
      <c r="K17" s="17" t="s">
        <v>76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129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/>
      <c r="G18" s="17" t="s">
        <v>76</v>
      </c>
      <c r="H18" s="17"/>
      <c r="I18" s="17"/>
      <c r="J18" s="17"/>
      <c r="K18" s="17" t="s">
        <v>76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129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/>
      <c r="G19" s="17" t="s">
        <v>76</v>
      </c>
      <c r="H19" s="17"/>
      <c r="I19" s="17"/>
      <c r="J19" s="17"/>
      <c r="K19" s="17" t="s">
        <v>76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129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/>
      <c r="G20" s="17" t="s">
        <v>76</v>
      </c>
      <c r="H20" s="17"/>
      <c r="I20" s="17"/>
      <c r="J20" s="17"/>
      <c r="K20" s="17" t="s">
        <v>76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129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/>
      <c r="G21" s="17" t="s">
        <v>76</v>
      </c>
      <c r="H21" s="17"/>
      <c r="I21" s="17"/>
      <c r="J21" s="17"/>
      <c r="K21" s="17" t="s">
        <v>76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129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/>
      <c r="G22" s="17" t="s">
        <v>76</v>
      </c>
      <c r="H22" s="17"/>
      <c r="I22" s="17"/>
      <c r="J22" s="17"/>
      <c r="K22" s="17" t="s">
        <v>76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129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/>
      <c r="G23" s="17" t="s">
        <v>76</v>
      </c>
      <c r="H23" s="17"/>
      <c r="I23" s="17"/>
      <c r="J23" s="17"/>
      <c r="K23" s="17" t="s">
        <v>76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129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/>
      <c r="G24" s="17" t="s">
        <v>76</v>
      </c>
      <c r="H24" s="17"/>
      <c r="I24" s="17"/>
      <c r="J24" s="17"/>
      <c r="K24" s="17" t="s">
        <v>76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129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/>
      <c r="G25" s="17" t="s">
        <v>76</v>
      </c>
      <c r="H25" s="17"/>
      <c r="I25" s="17"/>
      <c r="J25" s="17"/>
      <c r="K25" s="17" t="s">
        <v>76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129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/>
      <c r="G26" s="17" t="s">
        <v>76</v>
      </c>
      <c r="H26" s="17"/>
      <c r="I26" s="17"/>
      <c r="J26" s="17"/>
      <c r="K26" s="17" t="s">
        <v>76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129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/>
      <c r="G27" s="17" t="s">
        <v>76</v>
      </c>
      <c r="H27" s="17"/>
      <c r="I27" s="17"/>
      <c r="J27" s="17"/>
      <c r="K27" s="17" t="s">
        <v>76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129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/>
      <c r="G28" s="17" t="s">
        <v>76</v>
      </c>
      <c r="H28" s="17"/>
      <c r="I28" s="17"/>
      <c r="J28" s="17"/>
      <c r="K28" s="17" t="s">
        <v>76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129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/>
      <c r="G29" s="17" t="s">
        <v>76</v>
      </c>
      <c r="H29" s="17"/>
      <c r="I29" s="17"/>
      <c r="J29" s="17"/>
      <c r="K29" s="17" t="s">
        <v>76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129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/>
      <c r="G30" s="17" t="s">
        <v>76</v>
      </c>
      <c r="H30" s="17"/>
      <c r="I30" s="17"/>
      <c r="J30" s="17"/>
      <c r="K30" s="17" t="s">
        <v>76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129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/>
      <c r="G31" s="17" t="s">
        <v>76</v>
      </c>
      <c r="H31" s="17"/>
      <c r="I31" s="17"/>
      <c r="J31" s="17"/>
      <c r="K31" s="17" t="s">
        <v>76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129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/>
      <c r="G32" s="17" t="s">
        <v>76</v>
      </c>
      <c r="H32" s="17"/>
      <c r="I32" s="17"/>
      <c r="J32" s="17"/>
      <c r="K32" s="17" t="s">
        <v>76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129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/>
      <c r="G33" s="17" t="s">
        <v>76</v>
      </c>
      <c r="H33" s="17"/>
      <c r="I33" s="17"/>
      <c r="J33" s="17"/>
      <c r="K33" s="17" t="s">
        <v>76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129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/>
      <c r="G34" s="17" t="s">
        <v>76</v>
      </c>
      <c r="H34" s="17"/>
      <c r="I34" s="17"/>
      <c r="J34" s="17"/>
      <c r="K34" s="17" t="s">
        <v>76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129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/>
      <c r="G35" s="17" t="s">
        <v>76</v>
      </c>
      <c r="H35" s="17"/>
      <c r="I35" s="17"/>
      <c r="J35" s="17"/>
      <c r="K35" s="17" t="s">
        <v>76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129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/>
      <c r="G36" s="17" t="s">
        <v>76</v>
      </c>
      <c r="H36" s="17"/>
      <c r="I36" s="17"/>
      <c r="J36" s="17"/>
      <c r="K36" s="17" t="s">
        <v>76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129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/>
      <c r="G37" s="17" t="s">
        <v>76</v>
      </c>
      <c r="H37" s="17"/>
      <c r="I37" s="17"/>
      <c r="J37" s="17"/>
      <c r="K37" s="17" t="s">
        <v>76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129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/>
      <c r="G38" s="17" t="s">
        <v>76</v>
      </c>
      <c r="H38" s="17"/>
      <c r="I38" s="17"/>
      <c r="J38" s="17"/>
      <c r="K38" s="17" t="s">
        <v>76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129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/>
      <c r="G39" s="17" t="s">
        <v>76</v>
      </c>
      <c r="H39" s="17"/>
      <c r="I39" s="17"/>
      <c r="J39" s="17"/>
      <c r="K39" s="17" t="s">
        <v>76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129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/>
      <c r="G40" s="17" t="s">
        <v>76</v>
      </c>
      <c r="H40" s="17"/>
      <c r="I40" s="17"/>
      <c r="J40" s="17"/>
      <c r="K40" s="17" t="s">
        <v>76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129</v>
      </c>
      <c r="B41" s="15" t="s">
        <v>47</v>
      </c>
      <c r="C41" s="16">
        <v>32</v>
      </c>
      <c r="D41" s="16">
        <v>33</v>
      </c>
      <c r="E41" s="16">
        <f t="shared" si="1"/>
        <v>1</v>
      </c>
      <c r="F41" s="17"/>
      <c r="G41" s="17" t="s">
        <v>76</v>
      </c>
      <c r="H41" s="17"/>
      <c r="I41" s="17"/>
      <c r="J41" s="17"/>
      <c r="K41" s="17" t="s">
        <v>76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129</v>
      </c>
      <c r="B42" s="15" t="s">
        <v>47</v>
      </c>
      <c r="C42" s="16">
        <v>33</v>
      </c>
      <c r="D42" s="16">
        <v>34</v>
      </c>
      <c r="E42" s="16">
        <f t="shared" si="1"/>
        <v>1</v>
      </c>
      <c r="F42" s="17"/>
      <c r="G42" s="17" t="s">
        <v>76</v>
      </c>
      <c r="H42" s="17"/>
      <c r="I42" s="17"/>
      <c r="J42" s="17"/>
      <c r="K42" s="17" t="s">
        <v>76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20" t="s">
        <v>129</v>
      </c>
      <c r="B43" s="21" t="s">
        <v>47</v>
      </c>
      <c r="C43" s="22">
        <v>34</v>
      </c>
      <c r="D43" s="22">
        <v>34.7691744595</v>
      </c>
      <c r="E43" s="22">
        <f t="shared" si="1"/>
        <v>0.7691744595000003</v>
      </c>
      <c r="F43" s="23"/>
      <c r="G43" s="23" t="s">
        <v>76</v>
      </c>
      <c r="H43" s="23"/>
      <c r="I43" s="23"/>
      <c r="J43" s="23"/>
      <c r="K43" s="23" t="s">
        <v>76</v>
      </c>
      <c r="L43" s="23"/>
      <c r="M43" s="24"/>
      <c r="N43" s="25" t="str">
        <f t="shared" si="2"/>
        <v>OK</v>
      </c>
    </row>
    <row r="44" spans="1:14" ht="15.95" customHeight="1" x14ac:dyDescent="0.25">
      <c r="A44" s="38" t="s">
        <v>130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4"/>
      <c r="N44" s="4"/>
    </row>
    <row r="45" spans="1:14" ht="20.100000000000001" customHeight="1" x14ac:dyDescent="0.25">
      <c r="A45" s="14" t="s">
        <v>131</v>
      </c>
      <c r="B45" s="15" t="s">
        <v>47</v>
      </c>
      <c r="C45" s="16">
        <v>0</v>
      </c>
      <c r="D45" s="16">
        <v>1</v>
      </c>
      <c r="E45" s="16">
        <f t="shared" ref="E45:E91" si="3">D45-C45</f>
        <v>1</v>
      </c>
      <c r="F45" s="17"/>
      <c r="G45" s="17" t="s">
        <v>76</v>
      </c>
      <c r="H45" s="17"/>
      <c r="I45" s="17"/>
      <c r="J45" s="17"/>
      <c r="K45" s="17" t="s">
        <v>76</v>
      </c>
      <c r="L45" s="17"/>
      <c r="M45" s="18"/>
      <c r="N45" s="19" t="str">
        <f t="shared" ref="N45:N91" si="4">IF(COUNTA(F45:L45)=0,"— não preenchido",IF(COUNTIF(F45:I45,"X")&lt;&gt;1,"FALTA/DUPLA: CONDIÇÃO DA PLATAFORMA",IF(COUNTIF(J45:L45,"X")&lt;&gt;1,"FALTA/DUPLA: DRENAGEM SUPERFICIAL","OK")))</f>
        <v>OK</v>
      </c>
    </row>
    <row r="46" spans="1:14" ht="20.100000000000001" customHeight="1" x14ac:dyDescent="0.25">
      <c r="A46" s="14" t="s">
        <v>131</v>
      </c>
      <c r="B46" s="15" t="s">
        <v>47</v>
      </c>
      <c r="C46" s="16">
        <v>1</v>
      </c>
      <c r="D46" s="16">
        <v>2</v>
      </c>
      <c r="E46" s="16">
        <f t="shared" si="3"/>
        <v>1</v>
      </c>
      <c r="F46" s="17"/>
      <c r="G46" s="17" t="s">
        <v>76</v>
      </c>
      <c r="H46" s="17"/>
      <c r="I46" s="17"/>
      <c r="J46" s="17"/>
      <c r="K46" s="17" t="s">
        <v>76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131</v>
      </c>
      <c r="B47" s="15" t="s">
        <v>47</v>
      </c>
      <c r="C47" s="16">
        <v>2</v>
      </c>
      <c r="D47" s="16">
        <v>3</v>
      </c>
      <c r="E47" s="16">
        <f t="shared" si="3"/>
        <v>1</v>
      </c>
      <c r="F47" s="17"/>
      <c r="G47" s="17" t="s">
        <v>76</v>
      </c>
      <c r="H47" s="17"/>
      <c r="I47" s="17"/>
      <c r="J47" s="17"/>
      <c r="K47" s="17" t="s">
        <v>76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131</v>
      </c>
      <c r="B48" s="15" t="s">
        <v>47</v>
      </c>
      <c r="C48" s="16">
        <v>3</v>
      </c>
      <c r="D48" s="16">
        <v>4</v>
      </c>
      <c r="E48" s="16">
        <f t="shared" si="3"/>
        <v>1</v>
      </c>
      <c r="F48" s="17"/>
      <c r="G48" s="17" t="s">
        <v>76</v>
      </c>
      <c r="H48" s="17"/>
      <c r="I48" s="17"/>
      <c r="J48" s="17"/>
      <c r="K48" s="17" t="s">
        <v>76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131</v>
      </c>
      <c r="B49" s="15" t="s">
        <v>47</v>
      </c>
      <c r="C49" s="16">
        <v>4</v>
      </c>
      <c r="D49" s="16">
        <v>5</v>
      </c>
      <c r="E49" s="16">
        <f t="shared" si="3"/>
        <v>1</v>
      </c>
      <c r="F49" s="17"/>
      <c r="G49" s="17" t="s">
        <v>76</v>
      </c>
      <c r="H49" s="17"/>
      <c r="I49" s="17"/>
      <c r="J49" s="17"/>
      <c r="K49" s="17" t="s">
        <v>76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131</v>
      </c>
      <c r="B50" s="15" t="s">
        <v>47</v>
      </c>
      <c r="C50" s="16">
        <v>5</v>
      </c>
      <c r="D50" s="16">
        <v>6</v>
      </c>
      <c r="E50" s="16">
        <f t="shared" si="3"/>
        <v>1</v>
      </c>
      <c r="F50" s="17"/>
      <c r="G50" s="17" t="s">
        <v>76</v>
      </c>
      <c r="H50" s="17"/>
      <c r="I50" s="17"/>
      <c r="J50" s="17"/>
      <c r="K50" s="17" t="s">
        <v>76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131</v>
      </c>
      <c r="B51" s="15" t="s">
        <v>47</v>
      </c>
      <c r="C51" s="16">
        <v>6</v>
      </c>
      <c r="D51" s="16">
        <v>7</v>
      </c>
      <c r="E51" s="16">
        <f t="shared" si="3"/>
        <v>1</v>
      </c>
      <c r="F51" s="17"/>
      <c r="G51" s="17" t="s">
        <v>76</v>
      </c>
      <c r="H51" s="17"/>
      <c r="I51" s="17"/>
      <c r="J51" s="17"/>
      <c r="K51" s="17" t="s">
        <v>76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131</v>
      </c>
      <c r="B52" s="15" t="s">
        <v>47</v>
      </c>
      <c r="C52" s="16">
        <v>7</v>
      </c>
      <c r="D52" s="16">
        <v>8</v>
      </c>
      <c r="E52" s="16">
        <f t="shared" si="3"/>
        <v>1</v>
      </c>
      <c r="F52" s="17"/>
      <c r="G52" s="17" t="s">
        <v>76</v>
      </c>
      <c r="H52" s="17"/>
      <c r="I52" s="17"/>
      <c r="J52" s="17"/>
      <c r="K52" s="17" t="s">
        <v>76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131</v>
      </c>
      <c r="B53" s="15" t="s">
        <v>47</v>
      </c>
      <c r="C53" s="16">
        <v>8</v>
      </c>
      <c r="D53" s="16">
        <v>9</v>
      </c>
      <c r="E53" s="16">
        <f t="shared" si="3"/>
        <v>1</v>
      </c>
      <c r="F53" s="17"/>
      <c r="G53" s="17" t="s">
        <v>76</v>
      </c>
      <c r="H53" s="17"/>
      <c r="I53" s="17"/>
      <c r="J53" s="17"/>
      <c r="K53" s="17" t="s">
        <v>76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131</v>
      </c>
      <c r="B54" s="15" t="s">
        <v>47</v>
      </c>
      <c r="C54" s="16">
        <v>9</v>
      </c>
      <c r="D54" s="16">
        <v>10</v>
      </c>
      <c r="E54" s="16">
        <f t="shared" si="3"/>
        <v>1</v>
      </c>
      <c r="F54" s="17"/>
      <c r="G54" s="17" t="s">
        <v>76</v>
      </c>
      <c r="H54" s="17"/>
      <c r="I54" s="17"/>
      <c r="J54" s="17"/>
      <c r="K54" s="17" t="s">
        <v>76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131</v>
      </c>
      <c r="B55" s="15" t="s">
        <v>47</v>
      </c>
      <c r="C55" s="16">
        <v>10</v>
      </c>
      <c r="D55" s="16">
        <v>11</v>
      </c>
      <c r="E55" s="16">
        <f t="shared" si="3"/>
        <v>1</v>
      </c>
      <c r="F55" s="17"/>
      <c r="G55" s="17" t="s">
        <v>76</v>
      </c>
      <c r="H55" s="17"/>
      <c r="I55" s="17"/>
      <c r="J55" s="17"/>
      <c r="K55" s="17" t="s">
        <v>76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131</v>
      </c>
      <c r="B56" s="15" t="s">
        <v>47</v>
      </c>
      <c r="C56" s="16">
        <v>11</v>
      </c>
      <c r="D56" s="16">
        <v>12</v>
      </c>
      <c r="E56" s="16">
        <f t="shared" si="3"/>
        <v>1</v>
      </c>
      <c r="F56" s="17"/>
      <c r="G56" s="17" t="s">
        <v>76</v>
      </c>
      <c r="H56" s="17"/>
      <c r="I56" s="17"/>
      <c r="J56" s="17"/>
      <c r="K56" s="17" t="s">
        <v>76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131</v>
      </c>
      <c r="B57" s="15" t="s">
        <v>47</v>
      </c>
      <c r="C57" s="16">
        <v>12</v>
      </c>
      <c r="D57" s="16">
        <v>13</v>
      </c>
      <c r="E57" s="16">
        <f t="shared" si="3"/>
        <v>1</v>
      </c>
      <c r="F57" s="17"/>
      <c r="G57" s="17" t="s">
        <v>76</v>
      </c>
      <c r="H57" s="17"/>
      <c r="I57" s="17"/>
      <c r="J57" s="17"/>
      <c r="K57" s="17" t="s">
        <v>76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131</v>
      </c>
      <c r="B58" s="15" t="s">
        <v>47</v>
      </c>
      <c r="C58" s="16">
        <v>13</v>
      </c>
      <c r="D58" s="16">
        <v>14</v>
      </c>
      <c r="E58" s="16">
        <f t="shared" si="3"/>
        <v>1</v>
      </c>
      <c r="F58" s="17"/>
      <c r="G58" s="17" t="s">
        <v>76</v>
      </c>
      <c r="H58" s="17"/>
      <c r="I58" s="17"/>
      <c r="J58" s="17"/>
      <c r="K58" s="17" t="s">
        <v>76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131</v>
      </c>
      <c r="B59" s="15" t="s">
        <v>47</v>
      </c>
      <c r="C59" s="16">
        <v>14</v>
      </c>
      <c r="D59" s="16">
        <v>15</v>
      </c>
      <c r="E59" s="16">
        <f t="shared" si="3"/>
        <v>1</v>
      </c>
      <c r="F59" s="17"/>
      <c r="G59" s="17" t="s">
        <v>76</v>
      </c>
      <c r="H59" s="17"/>
      <c r="I59" s="17"/>
      <c r="J59" s="17"/>
      <c r="K59" s="17" t="s">
        <v>76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131</v>
      </c>
      <c r="B60" s="15" t="s">
        <v>47</v>
      </c>
      <c r="C60" s="16">
        <v>15</v>
      </c>
      <c r="D60" s="16">
        <v>16</v>
      </c>
      <c r="E60" s="16">
        <f t="shared" si="3"/>
        <v>1</v>
      </c>
      <c r="F60" s="17"/>
      <c r="G60" s="17" t="s">
        <v>76</v>
      </c>
      <c r="H60" s="17"/>
      <c r="I60" s="17"/>
      <c r="J60" s="17"/>
      <c r="K60" s="17" t="s">
        <v>76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131</v>
      </c>
      <c r="B61" s="15" t="s">
        <v>47</v>
      </c>
      <c r="C61" s="16">
        <v>16</v>
      </c>
      <c r="D61" s="16">
        <v>17</v>
      </c>
      <c r="E61" s="16">
        <f t="shared" si="3"/>
        <v>1</v>
      </c>
      <c r="F61" s="17"/>
      <c r="G61" s="17" t="s">
        <v>76</v>
      </c>
      <c r="H61" s="17"/>
      <c r="I61" s="17"/>
      <c r="J61" s="17"/>
      <c r="K61" s="17" t="s">
        <v>76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131</v>
      </c>
      <c r="B62" s="15" t="s">
        <v>47</v>
      </c>
      <c r="C62" s="16">
        <v>17</v>
      </c>
      <c r="D62" s="16">
        <v>18</v>
      </c>
      <c r="E62" s="16">
        <f t="shared" si="3"/>
        <v>1</v>
      </c>
      <c r="F62" s="17"/>
      <c r="G62" s="17" t="s">
        <v>76</v>
      </c>
      <c r="H62" s="17"/>
      <c r="I62" s="17"/>
      <c r="J62" s="17"/>
      <c r="K62" s="17" t="s">
        <v>76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131</v>
      </c>
      <c r="B63" s="15" t="s">
        <v>47</v>
      </c>
      <c r="C63" s="16">
        <v>18</v>
      </c>
      <c r="D63" s="16">
        <v>19</v>
      </c>
      <c r="E63" s="16">
        <f t="shared" si="3"/>
        <v>1</v>
      </c>
      <c r="F63" s="17"/>
      <c r="G63" s="17" t="s">
        <v>76</v>
      </c>
      <c r="H63" s="17"/>
      <c r="I63" s="17"/>
      <c r="J63" s="17"/>
      <c r="K63" s="17" t="s">
        <v>76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131</v>
      </c>
      <c r="B64" s="15" t="s">
        <v>47</v>
      </c>
      <c r="C64" s="16">
        <v>19</v>
      </c>
      <c r="D64" s="16">
        <v>20</v>
      </c>
      <c r="E64" s="16">
        <f t="shared" si="3"/>
        <v>1</v>
      </c>
      <c r="F64" s="17"/>
      <c r="G64" s="17" t="s">
        <v>76</v>
      </c>
      <c r="H64" s="17"/>
      <c r="I64" s="17"/>
      <c r="J64" s="17"/>
      <c r="K64" s="17" t="s">
        <v>76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131</v>
      </c>
      <c r="B65" s="15" t="s">
        <v>47</v>
      </c>
      <c r="C65" s="16">
        <v>20</v>
      </c>
      <c r="D65" s="16">
        <v>21</v>
      </c>
      <c r="E65" s="16">
        <f t="shared" si="3"/>
        <v>1</v>
      </c>
      <c r="F65" s="17"/>
      <c r="G65" s="17" t="s">
        <v>76</v>
      </c>
      <c r="H65" s="17"/>
      <c r="I65" s="17"/>
      <c r="J65" s="17"/>
      <c r="K65" s="17" t="s">
        <v>76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131</v>
      </c>
      <c r="B66" s="15" t="s">
        <v>47</v>
      </c>
      <c r="C66" s="16">
        <v>21</v>
      </c>
      <c r="D66" s="16">
        <v>22</v>
      </c>
      <c r="E66" s="16">
        <f t="shared" si="3"/>
        <v>1</v>
      </c>
      <c r="F66" s="17"/>
      <c r="G66" s="17" t="s">
        <v>76</v>
      </c>
      <c r="H66" s="17"/>
      <c r="I66" s="17"/>
      <c r="J66" s="17"/>
      <c r="K66" s="17" t="s">
        <v>76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131</v>
      </c>
      <c r="B67" s="15" t="s">
        <v>47</v>
      </c>
      <c r="C67" s="16">
        <v>22</v>
      </c>
      <c r="D67" s="16">
        <v>23</v>
      </c>
      <c r="E67" s="16">
        <f t="shared" si="3"/>
        <v>1</v>
      </c>
      <c r="F67" s="17"/>
      <c r="G67" s="17" t="s">
        <v>76</v>
      </c>
      <c r="H67" s="17"/>
      <c r="I67" s="17"/>
      <c r="J67" s="17"/>
      <c r="K67" s="17" t="s">
        <v>76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131</v>
      </c>
      <c r="B68" s="15" t="s">
        <v>47</v>
      </c>
      <c r="C68" s="16">
        <v>23</v>
      </c>
      <c r="D68" s="16">
        <v>24</v>
      </c>
      <c r="E68" s="16">
        <f t="shared" si="3"/>
        <v>1</v>
      </c>
      <c r="F68" s="17"/>
      <c r="G68" s="17" t="s">
        <v>76</v>
      </c>
      <c r="H68" s="17"/>
      <c r="I68" s="17"/>
      <c r="J68" s="17"/>
      <c r="K68" s="17" t="s">
        <v>76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131</v>
      </c>
      <c r="B69" s="15" t="s">
        <v>47</v>
      </c>
      <c r="C69" s="16">
        <v>24</v>
      </c>
      <c r="D69" s="16">
        <v>25</v>
      </c>
      <c r="E69" s="16">
        <f t="shared" si="3"/>
        <v>1</v>
      </c>
      <c r="F69" s="17"/>
      <c r="G69" s="17" t="s">
        <v>76</v>
      </c>
      <c r="H69" s="17"/>
      <c r="I69" s="17"/>
      <c r="J69" s="17"/>
      <c r="K69" s="17" t="s">
        <v>76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131</v>
      </c>
      <c r="B70" s="15" t="s">
        <v>47</v>
      </c>
      <c r="C70" s="16">
        <v>25</v>
      </c>
      <c r="D70" s="16">
        <v>26</v>
      </c>
      <c r="E70" s="16">
        <f t="shared" si="3"/>
        <v>1</v>
      </c>
      <c r="F70" s="17"/>
      <c r="G70" s="17" t="s">
        <v>76</v>
      </c>
      <c r="H70" s="17"/>
      <c r="I70" s="17"/>
      <c r="J70" s="17"/>
      <c r="K70" s="17" t="s">
        <v>76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131</v>
      </c>
      <c r="B71" s="15" t="s">
        <v>47</v>
      </c>
      <c r="C71" s="16">
        <v>26</v>
      </c>
      <c r="D71" s="16">
        <v>27</v>
      </c>
      <c r="E71" s="16">
        <f t="shared" si="3"/>
        <v>1</v>
      </c>
      <c r="F71" s="17"/>
      <c r="G71" s="17" t="s">
        <v>76</v>
      </c>
      <c r="H71" s="17"/>
      <c r="I71" s="17"/>
      <c r="J71" s="17"/>
      <c r="K71" s="17" t="s">
        <v>76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131</v>
      </c>
      <c r="B72" s="15" t="s">
        <v>47</v>
      </c>
      <c r="C72" s="16">
        <v>27</v>
      </c>
      <c r="D72" s="16">
        <v>28</v>
      </c>
      <c r="E72" s="16">
        <f t="shared" si="3"/>
        <v>1</v>
      </c>
      <c r="F72" s="17"/>
      <c r="G72" s="17" t="s">
        <v>76</v>
      </c>
      <c r="H72" s="17"/>
      <c r="I72" s="17"/>
      <c r="J72" s="17"/>
      <c r="K72" s="17" t="s">
        <v>76</v>
      </c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131</v>
      </c>
      <c r="B73" s="15" t="s">
        <v>47</v>
      </c>
      <c r="C73" s="16">
        <v>28</v>
      </c>
      <c r="D73" s="16">
        <v>29</v>
      </c>
      <c r="E73" s="16">
        <f t="shared" si="3"/>
        <v>1</v>
      </c>
      <c r="F73" s="17"/>
      <c r="G73" s="17" t="s">
        <v>76</v>
      </c>
      <c r="H73" s="17"/>
      <c r="I73" s="17"/>
      <c r="J73" s="17"/>
      <c r="K73" s="17" t="s">
        <v>76</v>
      </c>
      <c r="L73" s="17"/>
      <c r="M73" s="18"/>
      <c r="N73" s="19" t="str">
        <f t="shared" si="4"/>
        <v>OK</v>
      </c>
    </row>
    <row r="74" spans="1:14" ht="20.100000000000001" customHeight="1" x14ac:dyDescent="0.25">
      <c r="A74" s="14" t="s">
        <v>131</v>
      </c>
      <c r="B74" s="15" t="s">
        <v>47</v>
      </c>
      <c r="C74" s="16">
        <v>29</v>
      </c>
      <c r="D74" s="16">
        <v>30</v>
      </c>
      <c r="E74" s="16">
        <f t="shared" si="3"/>
        <v>1</v>
      </c>
      <c r="F74" s="17"/>
      <c r="G74" s="17" t="s">
        <v>76</v>
      </c>
      <c r="H74" s="17"/>
      <c r="I74" s="17"/>
      <c r="J74" s="17"/>
      <c r="K74" s="17" t="s">
        <v>76</v>
      </c>
      <c r="L74" s="17"/>
      <c r="M74" s="18"/>
      <c r="N74" s="19" t="str">
        <f t="shared" si="4"/>
        <v>OK</v>
      </c>
    </row>
    <row r="75" spans="1:14" ht="20.100000000000001" customHeight="1" x14ac:dyDescent="0.25">
      <c r="A75" s="14" t="s">
        <v>131</v>
      </c>
      <c r="B75" s="15" t="s">
        <v>47</v>
      </c>
      <c r="C75" s="16">
        <v>30</v>
      </c>
      <c r="D75" s="16">
        <v>31</v>
      </c>
      <c r="E75" s="16">
        <f t="shared" si="3"/>
        <v>1</v>
      </c>
      <c r="F75" s="17"/>
      <c r="G75" s="17" t="s">
        <v>76</v>
      </c>
      <c r="H75" s="17"/>
      <c r="I75" s="17"/>
      <c r="J75" s="17"/>
      <c r="K75" s="17" t="s">
        <v>76</v>
      </c>
      <c r="L75" s="17"/>
      <c r="M75" s="18"/>
      <c r="N75" s="19" t="str">
        <f t="shared" si="4"/>
        <v>OK</v>
      </c>
    </row>
    <row r="76" spans="1:14" ht="20.100000000000001" customHeight="1" x14ac:dyDescent="0.25">
      <c r="A76" s="14" t="s">
        <v>131</v>
      </c>
      <c r="B76" s="15" t="s">
        <v>47</v>
      </c>
      <c r="C76" s="16">
        <v>31</v>
      </c>
      <c r="D76" s="16">
        <v>32</v>
      </c>
      <c r="E76" s="16">
        <f t="shared" si="3"/>
        <v>1</v>
      </c>
      <c r="F76" s="17"/>
      <c r="G76" s="17" t="s">
        <v>76</v>
      </c>
      <c r="H76" s="17"/>
      <c r="I76" s="17"/>
      <c r="J76" s="17"/>
      <c r="K76" s="17" t="s">
        <v>76</v>
      </c>
      <c r="L76" s="17"/>
      <c r="M76" s="18"/>
      <c r="N76" s="19" t="str">
        <f t="shared" si="4"/>
        <v>OK</v>
      </c>
    </row>
    <row r="77" spans="1:14" ht="20.100000000000001" customHeight="1" x14ac:dyDescent="0.25">
      <c r="A77" s="14" t="s">
        <v>131</v>
      </c>
      <c r="B77" s="15" t="s">
        <v>47</v>
      </c>
      <c r="C77" s="16">
        <v>32</v>
      </c>
      <c r="D77" s="16">
        <v>33</v>
      </c>
      <c r="E77" s="16">
        <f t="shared" si="3"/>
        <v>1</v>
      </c>
      <c r="F77" s="17"/>
      <c r="G77" s="17" t="s">
        <v>76</v>
      </c>
      <c r="H77" s="17"/>
      <c r="I77" s="17"/>
      <c r="J77" s="17"/>
      <c r="K77" s="17" t="s">
        <v>76</v>
      </c>
      <c r="L77" s="17"/>
      <c r="M77" s="18"/>
      <c r="N77" s="19" t="str">
        <f t="shared" si="4"/>
        <v>OK</v>
      </c>
    </row>
    <row r="78" spans="1:14" ht="20.100000000000001" customHeight="1" x14ac:dyDescent="0.25">
      <c r="A78" s="14" t="s">
        <v>131</v>
      </c>
      <c r="B78" s="15" t="s">
        <v>47</v>
      </c>
      <c r="C78" s="16">
        <v>33</v>
      </c>
      <c r="D78" s="16">
        <v>34</v>
      </c>
      <c r="E78" s="16">
        <f t="shared" si="3"/>
        <v>1</v>
      </c>
      <c r="F78" s="17"/>
      <c r="G78" s="17" t="s">
        <v>76</v>
      </c>
      <c r="H78" s="17"/>
      <c r="I78" s="17"/>
      <c r="J78" s="17"/>
      <c r="K78" s="17" t="s">
        <v>76</v>
      </c>
      <c r="L78" s="17"/>
      <c r="M78" s="18"/>
      <c r="N78" s="19" t="str">
        <f t="shared" si="4"/>
        <v>OK</v>
      </c>
    </row>
    <row r="79" spans="1:14" ht="20.100000000000001" customHeight="1" x14ac:dyDescent="0.25">
      <c r="A79" s="14" t="s">
        <v>131</v>
      </c>
      <c r="B79" s="15" t="s">
        <v>47</v>
      </c>
      <c r="C79" s="16">
        <v>34</v>
      </c>
      <c r="D79" s="16">
        <v>35</v>
      </c>
      <c r="E79" s="16">
        <f t="shared" si="3"/>
        <v>1</v>
      </c>
      <c r="F79" s="17"/>
      <c r="G79" s="17" t="s">
        <v>76</v>
      </c>
      <c r="H79" s="17"/>
      <c r="I79" s="17"/>
      <c r="J79" s="17"/>
      <c r="K79" s="17" t="s">
        <v>76</v>
      </c>
      <c r="L79" s="17"/>
      <c r="M79" s="18"/>
      <c r="N79" s="19" t="str">
        <f t="shared" si="4"/>
        <v>OK</v>
      </c>
    </row>
    <row r="80" spans="1:14" ht="20.100000000000001" customHeight="1" x14ac:dyDescent="0.25">
      <c r="A80" s="14" t="s">
        <v>131</v>
      </c>
      <c r="B80" s="15" t="s">
        <v>47</v>
      </c>
      <c r="C80" s="16">
        <v>35</v>
      </c>
      <c r="D80" s="16">
        <v>36</v>
      </c>
      <c r="E80" s="16">
        <f t="shared" si="3"/>
        <v>1</v>
      </c>
      <c r="F80" s="17"/>
      <c r="G80" s="17" t="s">
        <v>76</v>
      </c>
      <c r="H80" s="17"/>
      <c r="I80" s="17"/>
      <c r="J80" s="17"/>
      <c r="K80" s="17" t="s">
        <v>76</v>
      </c>
      <c r="L80" s="17"/>
      <c r="M80" s="18"/>
      <c r="N80" s="19" t="str">
        <f t="shared" si="4"/>
        <v>OK</v>
      </c>
    </row>
    <row r="81" spans="1:14" ht="20.100000000000001" customHeight="1" x14ac:dyDescent="0.25">
      <c r="A81" s="14" t="s">
        <v>131</v>
      </c>
      <c r="B81" s="15" t="s">
        <v>47</v>
      </c>
      <c r="C81" s="16">
        <v>36</v>
      </c>
      <c r="D81" s="16">
        <v>37</v>
      </c>
      <c r="E81" s="16">
        <f t="shared" si="3"/>
        <v>1</v>
      </c>
      <c r="F81" s="17"/>
      <c r="G81" s="17" t="s">
        <v>76</v>
      </c>
      <c r="H81" s="17"/>
      <c r="I81" s="17"/>
      <c r="J81" s="17"/>
      <c r="K81" s="17" t="s">
        <v>76</v>
      </c>
      <c r="L81" s="17"/>
      <c r="M81" s="18"/>
      <c r="N81" s="19" t="str">
        <f t="shared" si="4"/>
        <v>OK</v>
      </c>
    </row>
    <row r="82" spans="1:14" ht="20.100000000000001" customHeight="1" x14ac:dyDescent="0.25">
      <c r="A82" s="14" t="s">
        <v>131</v>
      </c>
      <c r="B82" s="15" t="s">
        <v>47</v>
      </c>
      <c r="C82" s="16">
        <v>37</v>
      </c>
      <c r="D82" s="16">
        <v>38</v>
      </c>
      <c r="E82" s="16">
        <f t="shared" si="3"/>
        <v>1</v>
      </c>
      <c r="F82" s="17"/>
      <c r="G82" s="17" t="s">
        <v>76</v>
      </c>
      <c r="H82" s="17"/>
      <c r="I82" s="17"/>
      <c r="J82" s="17"/>
      <c r="K82" s="17" t="s">
        <v>76</v>
      </c>
      <c r="L82" s="17"/>
      <c r="M82" s="18"/>
      <c r="N82" s="19" t="str">
        <f t="shared" si="4"/>
        <v>OK</v>
      </c>
    </row>
    <row r="83" spans="1:14" ht="20.100000000000001" customHeight="1" x14ac:dyDescent="0.25">
      <c r="A83" s="14" t="s">
        <v>131</v>
      </c>
      <c r="B83" s="15" t="s">
        <v>47</v>
      </c>
      <c r="C83" s="16">
        <v>38</v>
      </c>
      <c r="D83" s="16">
        <v>39</v>
      </c>
      <c r="E83" s="16">
        <f t="shared" si="3"/>
        <v>1</v>
      </c>
      <c r="F83" s="17"/>
      <c r="G83" s="17" t="s">
        <v>76</v>
      </c>
      <c r="H83" s="17"/>
      <c r="I83" s="17"/>
      <c r="J83" s="17"/>
      <c r="K83" s="17" t="s">
        <v>76</v>
      </c>
      <c r="L83" s="17"/>
      <c r="M83" s="18"/>
      <c r="N83" s="19" t="str">
        <f t="shared" si="4"/>
        <v>OK</v>
      </c>
    </row>
    <row r="84" spans="1:14" ht="20.100000000000001" customHeight="1" x14ac:dyDescent="0.25">
      <c r="A84" s="14" t="s">
        <v>131</v>
      </c>
      <c r="B84" s="15" t="s">
        <v>47</v>
      </c>
      <c r="C84" s="16">
        <v>39</v>
      </c>
      <c r="D84" s="16">
        <v>40</v>
      </c>
      <c r="E84" s="16">
        <f t="shared" si="3"/>
        <v>1</v>
      </c>
      <c r="F84" s="17"/>
      <c r="G84" s="17" t="s">
        <v>76</v>
      </c>
      <c r="H84" s="17"/>
      <c r="I84" s="17"/>
      <c r="J84" s="17"/>
      <c r="K84" s="17" t="s">
        <v>76</v>
      </c>
      <c r="L84" s="17"/>
      <c r="M84" s="18"/>
      <c r="N84" s="19" t="str">
        <f t="shared" si="4"/>
        <v>OK</v>
      </c>
    </row>
    <row r="85" spans="1:14" ht="20.100000000000001" customHeight="1" x14ac:dyDescent="0.25">
      <c r="A85" s="14" t="s">
        <v>131</v>
      </c>
      <c r="B85" s="15" t="s">
        <v>47</v>
      </c>
      <c r="C85" s="16">
        <v>40</v>
      </c>
      <c r="D85" s="16">
        <v>41</v>
      </c>
      <c r="E85" s="16">
        <f t="shared" si="3"/>
        <v>1</v>
      </c>
      <c r="F85" s="17"/>
      <c r="G85" s="17" t="s">
        <v>76</v>
      </c>
      <c r="H85" s="17"/>
      <c r="I85" s="17"/>
      <c r="J85" s="17"/>
      <c r="K85" s="17" t="s">
        <v>76</v>
      </c>
      <c r="L85" s="17"/>
      <c r="M85" s="18"/>
      <c r="N85" s="19" t="str">
        <f t="shared" si="4"/>
        <v>OK</v>
      </c>
    </row>
    <row r="86" spans="1:14" ht="20.100000000000001" customHeight="1" x14ac:dyDescent="0.25">
      <c r="A86" s="14" t="s">
        <v>131</v>
      </c>
      <c r="B86" s="15" t="s">
        <v>47</v>
      </c>
      <c r="C86" s="16">
        <v>41</v>
      </c>
      <c r="D86" s="16">
        <v>42</v>
      </c>
      <c r="E86" s="16">
        <f t="shared" si="3"/>
        <v>1</v>
      </c>
      <c r="F86" s="17"/>
      <c r="G86" s="17" t="s">
        <v>76</v>
      </c>
      <c r="H86" s="17"/>
      <c r="I86" s="17"/>
      <c r="J86" s="17"/>
      <c r="K86" s="17" t="s">
        <v>76</v>
      </c>
      <c r="L86" s="17"/>
      <c r="M86" s="18"/>
      <c r="N86" s="19" t="str">
        <f t="shared" si="4"/>
        <v>OK</v>
      </c>
    </row>
    <row r="87" spans="1:14" ht="20.100000000000001" customHeight="1" x14ac:dyDescent="0.25">
      <c r="A87" s="14" t="s">
        <v>131</v>
      </c>
      <c r="B87" s="15" t="s">
        <v>47</v>
      </c>
      <c r="C87" s="16">
        <v>42</v>
      </c>
      <c r="D87" s="16">
        <v>43</v>
      </c>
      <c r="E87" s="16">
        <f t="shared" si="3"/>
        <v>1</v>
      </c>
      <c r="F87" s="17"/>
      <c r="G87" s="17" t="s">
        <v>76</v>
      </c>
      <c r="H87" s="17"/>
      <c r="I87" s="17"/>
      <c r="J87" s="17"/>
      <c r="K87" s="17" t="s">
        <v>76</v>
      </c>
      <c r="L87" s="17"/>
      <c r="M87" s="18"/>
      <c r="N87" s="19" t="str">
        <f t="shared" si="4"/>
        <v>OK</v>
      </c>
    </row>
    <row r="88" spans="1:14" ht="20.100000000000001" customHeight="1" x14ac:dyDescent="0.25">
      <c r="A88" s="14" t="s">
        <v>131</v>
      </c>
      <c r="B88" s="15" t="s">
        <v>47</v>
      </c>
      <c r="C88" s="16">
        <v>43</v>
      </c>
      <c r="D88" s="16">
        <v>44</v>
      </c>
      <c r="E88" s="16">
        <f t="shared" si="3"/>
        <v>1</v>
      </c>
      <c r="F88" s="17"/>
      <c r="G88" s="17" t="s">
        <v>76</v>
      </c>
      <c r="H88" s="17"/>
      <c r="I88" s="17"/>
      <c r="J88" s="17"/>
      <c r="K88" s="17" t="s">
        <v>76</v>
      </c>
      <c r="L88" s="17"/>
      <c r="M88" s="18"/>
      <c r="N88" s="19" t="str">
        <f t="shared" si="4"/>
        <v>OK</v>
      </c>
    </row>
    <row r="89" spans="1:14" ht="20.100000000000001" customHeight="1" x14ac:dyDescent="0.25">
      <c r="A89" s="14" t="s">
        <v>131</v>
      </c>
      <c r="B89" s="15" t="s">
        <v>47</v>
      </c>
      <c r="C89" s="16">
        <v>44</v>
      </c>
      <c r="D89" s="16">
        <v>45</v>
      </c>
      <c r="E89" s="16">
        <f t="shared" si="3"/>
        <v>1</v>
      </c>
      <c r="F89" s="17"/>
      <c r="G89" s="17" t="s">
        <v>76</v>
      </c>
      <c r="H89" s="17"/>
      <c r="I89" s="17"/>
      <c r="J89" s="17"/>
      <c r="K89" s="17" t="s">
        <v>76</v>
      </c>
      <c r="L89" s="17"/>
      <c r="M89" s="18"/>
      <c r="N89" s="19" t="str">
        <f t="shared" si="4"/>
        <v>OK</v>
      </c>
    </row>
    <row r="90" spans="1:14" ht="20.100000000000001" customHeight="1" x14ac:dyDescent="0.25">
      <c r="A90" s="14" t="s">
        <v>131</v>
      </c>
      <c r="B90" s="15" t="s">
        <v>47</v>
      </c>
      <c r="C90" s="16">
        <v>45</v>
      </c>
      <c r="D90" s="16">
        <v>46</v>
      </c>
      <c r="E90" s="16">
        <f t="shared" si="3"/>
        <v>1</v>
      </c>
      <c r="F90" s="17"/>
      <c r="G90" s="17" t="s">
        <v>76</v>
      </c>
      <c r="H90" s="17"/>
      <c r="I90" s="17"/>
      <c r="J90" s="17"/>
      <c r="K90" s="17" t="s">
        <v>76</v>
      </c>
      <c r="L90" s="17"/>
      <c r="M90" s="18"/>
      <c r="N90" s="19" t="str">
        <f t="shared" si="4"/>
        <v>OK</v>
      </c>
    </row>
    <row r="91" spans="1:14" ht="20.100000000000001" customHeight="1" x14ac:dyDescent="0.25">
      <c r="A91" s="20" t="s">
        <v>131</v>
      </c>
      <c r="B91" s="21" t="s">
        <v>47</v>
      </c>
      <c r="C91" s="22">
        <v>46</v>
      </c>
      <c r="D91" s="22">
        <v>46.307033582199999</v>
      </c>
      <c r="E91" s="22">
        <f t="shared" si="3"/>
        <v>0.30703358219999899</v>
      </c>
      <c r="F91" s="23"/>
      <c r="G91" s="23" t="s">
        <v>76</v>
      </c>
      <c r="H91" s="23"/>
      <c r="I91" s="23"/>
      <c r="J91" s="23"/>
      <c r="K91" s="23" t="s">
        <v>76</v>
      </c>
      <c r="L91" s="23"/>
      <c r="M91" s="24"/>
      <c r="N91" s="25" t="str">
        <f t="shared" si="4"/>
        <v>OK</v>
      </c>
    </row>
    <row r="93" spans="1:14" x14ac:dyDescent="0.25">
      <c r="A93" s="46" t="s">
        <v>48</v>
      </c>
      <c r="B93" s="31"/>
      <c r="C93" s="31"/>
      <c r="D93" s="31"/>
      <c r="E93" s="31"/>
      <c r="G93" s="46" t="s">
        <v>48</v>
      </c>
      <c r="H93" s="31"/>
      <c r="I93" s="31"/>
      <c r="J93" s="31"/>
      <c r="K93" s="31"/>
    </row>
    <row r="94" spans="1:14" x14ac:dyDescent="0.25">
      <c r="A94" s="45" t="s">
        <v>49</v>
      </c>
      <c r="B94" s="31"/>
      <c r="C94" s="31"/>
      <c r="D94" s="31"/>
      <c r="E94" s="31"/>
      <c r="G94" s="45" t="s">
        <v>50</v>
      </c>
      <c r="H94" s="31"/>
      <c r="I94" s="31"/>
      <c r="J94" s="31"/>
      <c r="K94" s="31"/>
    </row>
    <row r="96" spans="1:14" x14ac:dyDescent="0.25">
      <c r="A96" s="43" t="s">
        <v>51</v>
      </c>
      <c r="B96" s="31"/>
      <c r="C96" s="31"/>
      <c r="D96" s="31"/>
      <c r="E96" s="31"/>
      <c r="F96" s="26"/>
      <c r="G96" s="26"/>
      <c r="H96" s="26"/>
      <c r="I96" s="26"/>
      <c r="J96" s="26"/>
      <c r="K96" s="26"/>
      <c r="L96" s="26"/>
      <c r="M96" s="26"/>
    </row>
    <row r="97" spans="1:13" x14ac:dyDescent="0.25">
      <c r="A97" s="47" t="s">
        <v>52</v>
      </c>
      <c r="B97" s="31"/>
      <c r="C97" s="31"/>
      <c r="D97" s="31"/>
      <c r="E97" s="31"/>
      <c r="F97" s="9">
        <f t="shared" ref="F97:L97" si="5">SUMIF(F$9:F$91,"X",$E$9:$E$91)</f>
        <v>0</v>
      </c>
      <c r="G97" s="9">
        <f t="shared" si="5"/>
        <v>81.076208041699999</v>
      </c>
      <c r="H97" s="9">
        <f t="shared" si="5"/>
        <v>0</v>
      </c>
      <c r="I97" s="9">
        <f t="shared" si="5"/>
        <v>0</v>
      </c>
      <c r="J97" s="9">
        <f t="shared" si="5"/>
        <v>0</v>
      </c>
      <c r="K97" s="9">
        <f t="shared" si="5"/>
        <v>81.076208041699999</v>
      </c>
      <c r="L97" s="9">
        <f t="shared" si="5"/>
        <v>0</v>
      </c>
    </row>
    <row r="98" spans="1:13" x14ac:dyDescent="0.25">
      <c r="A98" s="47" t="s">
        <v>53</v>
      </c>
      <c r="B98" s="31"/>
      <c r="C98" s="31"/>
      <c r="D98" s="31"/>
      <c r="E98" s="31"/>
      <c r="F98" s="27">
        <f t="shared" ref="F98:L98" si="6">IF($I100=0,0,F97/$I100)</f>
        <v>0</v>
      </c>
      <c r="G98" s="27">
        <f t="shared" si="6"/>
        <v>1</v>
      </c>
      <c r="H98" s="27">
        <f t="shared" si="6"/>
        <v>0</v>
      </c>
      <c r="I98" s="27">
        <f t="shared" si="6"/>
        <v>0</v>
      </c>
      <c r="J98" s="27">
        <f t="shared" si="6"/>
        <v>0</v>
      </c>
      <c r="K98" s="27">
        <f t="shared" si="6"/>
        <v>1</v>
      </c>
      <c r="L98" s="27">
        <f t="shared" si="6"/>
        <v>0</v>
      </c>
    </row>
    <row r="99" spans="1:13" x14ac:dyDescent="0.25">
      <c r="A99" s="47" t="s">
        <v>54</v>
      </c>
      <c r="B99" s="31"/>
      <c r="C99" s="31"/>
      <c r="D99" s="31"/>
      <c r="E99" s="31"/>
      <c r="F99" s="49" t="str">
        <f>IF(SUM(F97:I97)=0,"— não preenchido",IF(ROUND(SUM(F97:I97)-$I100,3)=0,"OK — "&amp;ROUND(SUM(F97:I97),3)&amp;" km","ERRO — dif. de "&amp;ROUND(SUM(F97:I97)-$I100,3)&amp;" km"))</f>
        <v>OK — 81,076 km</v>
      </c>
      <c r="G99" s="33"/>
      <c r="H99" s="33"/>
      <c r="I99" s="34"/>
      <c r="J99" s="49" t="str">
        <f>IF(SUM(J97:L97)=0,"— não preenchido",IF(ROUND(SUM(J97:L97)-$I100,3)=0,"OK — "&amp;ROUND(SUM(J97:L97),3)&amp;" km","ERRO — dif. de "&amp;ROUND(SUM(J97:L97)-$I100,3)&amp;" km"))</f>
        <v>OK — 81,076 km</v>
      </c>
      <c r="K99" s="33"/>
      <c r="L99" s="34"/>
    </row>
    <row r="100" spans="1:13" x14ac:dyDescent="0.25">
      <c r="A100" s="47" t="s">
        <v>55</v>
      </c>
      <c r="B100" s="31"/>
      <c r="C100" s="31"/>
      <c r="D100" s="31"/>
      <c r="E100" s="31"/>
      <c r="I100" s="28">
        <f>SUM(E9:E91)</f>
        <v>81.076208041699999</v>
      </c>
      <c r="M100" s="8" t="str">
        <f>COUNTIF(N9:N91,"OK")&amp;" de "&amp;COUNT($E$9:$E$91)&amp;" linhas conferidas"</f>
        <v>82 de 82 linhas conferidas</v>
      </c>
    </row>
    <row r="102" spans="1:13" x14ac:dyDescent="0.25">
      <c r="A102" s="48" t="s">
        <v>56</v>
      </c>
      <c r="B102" s="31"/>
      <c r="C102" s="31"/>
      <c r="D102" s="31"/>
      <c r="E102" s="31"/>
    </row>
    <row r="103" spans="1:13" x14ac:dyDescent="0.25">
      <c r="A103" s="47" t="s">
        <v>10</v>
      </c>
      <c r="B103" s="31"/>
      <c r="C103" s="31"/>
      <c r="D103" s="31"/>
      <c r="E103" s="44" t="s">
        <v>57</v>
      </c>
      <c r="F103" s="31"/>
      <c r="G103" s="31"/>
      <c r="H103" s="31"/>
      <c r="I103" s="31"/>
      <c r="J103" s="31"/>
      <c r="K103" s="31"/>
      <c r="L103" s="31"/>
      <c r="M103" s="31"/>
    </row>
    <row r="104" spans="1:13" x14ac:dyDescent="0.25">
      <c r="A104" s="47" t="s">
        <v>11</v>
      </c>
      <c r="B104" s="31"/>
      <c r="C104" s="31"/>
      <c r="D104" s="31"/>
      <c r="E104" s="44" t="s">
        <v>58</v>
      </c>
      <c r="F104" s="31"/>
      <c r="G104" s="31"/>
      <c r="H104" s="31"/>
      <c r="I104" s="31"/>
      <c r="J104" s="31"/>
      <c r="K104" s="31"/>
      <c r="L104" s="31"/>
      <c r="M104" s="31"/>
    </row>
    <row r="105" spans="1:13" x14ac:dyDescent="0.25">
      <c r="A105" s="47" t="s">
        <v>12</v>
      </c>
      <c r="B105" s="31"/>
      <c r="C105" s="31"/>
      <c r="D105" s="31"/>
      <c r="E105" s="44" t="s">
        <v>59</v>
      </c>
      <c r="F105" s="31"/>
      <c r="G105" s="31"/>
      <c r="H105" s="31"/>
      <c r="I105" s="31"/>
      <c r="J105" s="31"/>
      <c r="K105" s="31"/>
      <c r="L105" s="31"/>
      <c r="M105" s="31"/>
    </row>
    <row r="106" spans="1:13" x14ac:dyDescent="0.25">
      <c r="A106" s="47" t="s">
        <v>60</v>
      </c>
      <c r="B106" s="31"/>
      <c r="C106" s="31"/>
      <c r="D106" s="31"/>
      <c r="E106" s="44" t="s">
        <v>61</v>
      </c>
      <c r="F106" s="31"/>
      <c r="G106" s="31"/>
      <c r="H106" s="31"/>
      <c r="I106" s="31"/>
      <c r="J106" s="31"/>
      <c r="K106" s="31"/>
      <c r="L106" s="31"/>
      <c r="M106" s="31"/>
    </row>
    <row r="107" spans="1:13" x14ac:dyDescent="0.25">
      <c r="A107" s="47" t="s">
        <v>62</v>
      </c>
      <c r="B107" s="31"/>
      <c r="C107" s="31"/>
      <c r="D107" s="31"/>
      <c r="E107" s="44" t="s">
        <v>63</v>
      </c>
      <c r="F107" s="31"/>
      <c r="G107" s="31"/>
      <c r="H107" s="31"/>
      <c r="I107" s="31"/>
      <c r="J107" s="31"/>
      <c r="K107" s="31"/>
      <c r="L107" s="31"/>
      <c r="M107" s="31"/>
    </row>
    <row r="108" spans="1:13" x14ac:dyDescent="0.25">
      <c r="A108" s="47" t="s">
        <v>64</v>
      </c>
      <c r="B108" s="31"/>
      <c r="C108" s="31"/>
      <c r="D108" s="31"/>
      <c r="E108" s="44" t="s">
        <v>65</v>
      </c>
      <c r="F108" s="31"/>
      <c r="G108" s="31"/>
      <c r="H108" s="31"/>
      <c r="I108" s="31"/>
      <c r="J108" s="31"/>
      <c r="K108" s="31"/>
      <c r="L108" s="31"/>
      <c r="M108" s="31"/>
    </row>
    <row r="109" spans="1:13" x14ac:dyDescent="0.25">
      <c r="A109" s="47" t="s">
        <v>39</v>
      </c>
      <c r="B109" s="31"/>
      <c r="C109" s="31"/>
      <c r="D109" s="31"/>
      <c r="E109" s="44" t="s">
        <v>66</v>
      </c>
      <c r="F109" s="31"/>
      <c r="G109" s="31"/>
      <c r="H109" s="31"/>
      <c r="I109" s="31"/>
      <c r="J109" s="31"/>
      <c r="K109" s="31"/>
      <c r="L109" s="31"/>
      <c r="M109" s="31"/>
    </row>
    <row r="110" spans="1:13" x14ac:dyDescent="0.25">
      <c r="A110" s="47" t="s">
        <v>67</v>
      </c>
      <c r="B110" s="31"/>
      <c r="C110" s="31"/>
      <c r="D110" s="31"/>
      <c r="E110" s="44" t="s">
        <v>68</v>
      </c>
      <c r="F110" s="31"/>
      <c r="G110" s="31"/>
      <c r="H110" s="31"/>
      <c r="I110" s="31"/>
      <c r="J110" s="31"/>
      <c r="K110" s="31"/>
      <c r="L110" s="31"/>
      <c r="M110" s="31"/>
    </row>
    <row r="111" spans="1:13" x14ac:dyDescent="0.25">
      <c r="A111" s="47" t="s">
        <v>69</v>
      </c>
      <c r="B111" s="31"/>
      <c r="C111" s="31"/>
      <c r="D111" s="31"/>
      <c r="E111" s="44" t="s">
        <v>70</v>
      </c>
      <c r="F111" s="31"/>
      <c r="G111" s="31"/>
      <c r="H111" s="31"/>
      <c r="I111" s="31"/>
      <c r="J111" s="31"/>
      <c r="K111" s="31"/>
      <c r="L111" s="31"/>
      <c r="M111" s="31"/>
    </row>
    <row r="112" spans="1:13" x14ac:dyDescent="0.25">
      <c r="A112" s="47" t="s">
        <v>8</v>
      </c>
      <c r="B112" s="31"/>
      <c r="C112" s="31"/>
      <c r="D112" s="31"/>
      <c r="E112" s="44" t="s">
        <v>71</v>
      </c>
      <c r="F112" s="31"/>
      <c r="G112" s="31"/>
      <c r="H112" s="31"/>
      <c r="I112" s="31"/>
      <c r="J112" s="31"/>
      <c r="K112" s="31"/>
      <c r="L112" s="31"/>
      <c r="M112" s="31"/>
    </row>
  </sheetData>
  <sheetProtection formatCells="0"/>
  <mergeCells count="51">
    <mergeCell ref="A97:E97"/>
    <mergeCell ref="A3:J3"/>
    <mergeCell ref="G94:K94"/>
    <mergeCell ref="A96:E96"/>
    <mergeCell ref="A105:D105"/>
    <mergeCell ref="A104:D104"/>
    <mergeCell ref="A1:M1"/>
    <mergeCell ref="A106:D106"/>
    <mergeCell ref="E103:M103"/>
    <mergeCell ref="G2:H2"/>
    <mergeCell ref="A8:M8"/>
    <mergeCell ref="A98:E98"/>
    <mergeCell ref="A4:M4"/>
    <mergeCell ref="A2:C2"/>
    <mergeCell ref="K2:M2"/>
    <mergeCell ref="D2:E2"/>
    <mergeCell ref="F6:I6"/>
    <mergeCell ref="F99:I99"/>
    <mergeCell ref="K3:M3"/>
    <mergeCell ref="N6:N7"/>
    <mergeCell ref="E109:M109"/>
    <mergeCell ref="E111:M111"/>
    <mergeCell ref="A109:D109"/>
    <mergeCell ref="A110:D110"/>
    <mergeCell ref="A103:D103"/>
    <mergeCell ref="A102:E102"/>
    <mergeCell ref="A93:E93"/>
    <mergeCell ref="A6:A7"/>
    <mergeCell ref="E105:M105"/>
    <mergeCell ref="A111:D111"/>
    <mergeCell ref="E108:M108"/>
    <mergeCell ref="A44:M44"/>
    <mergeCell ref="E104:M104"/>
    <mergeCell ref="A94:E94"/>
    <mergeCell ref="C6:C7"/>
    <mergeCell ref="E110:M110"/>
    <mergeCell ref="E6:E7"/>
    <mergeCell ref="A107:D107"/>
    <mergeCell ref="G93:K93"/>
    <mergeCell ref="E112:M112"/>
    <mergeCell ref="A112:D112"/>
    <mergeCell ref="D6:D7"/>
    <mergeCell ref="E107:M107"/>
    <mergeCell ref="B6:B7"/>
    <mergeCell ref="J6:L6"/>
    <mergeCell ref="J99:L99"/>
    <mergeCell ref="M6:M7"/>
    <mergeCell ref="A99:E99"/>
    <mergeCell ref="A108:D108"/>
    <mergeCell ref="E106:M106"/>
    <mergeCell ref="A100:E100"/>
  </mergeCells>
  <conditionalFormatting sqref="F9:I91">
    <cfRule type="expression" dxfId="17" priority="1">
      <formula>AND(F9&lt;&gt;"",COUNTIF($F9:$I9,"X")&gt;1)</formula>
    </cfRule>
  </conditionalFormatting>
  <conditionalFormatting sqref="F99:L99">
    <cfRule type="expression" dxfId="16" priority="5">
      <formula>LEFT(F99,4)="ERRO"</formula>
    </cfRule>
    <cfRule type="expression" dxfId="15" priority="6">
      <formula>LEFT(F99,2)="OK"</formula>
    </cfRule>
  </conditionalFormatting>
  <conditionalFormatting sqref="J9:L91">
    <cfRule type="expression" dxfId="14" priority="2">
      <formula>AND(J9&lt;&gt;"",COUNTIF($J9:$L9,"X")&gt;1)</formula>
    </cfRule>
  </conditionalFormatting>
  <conditionalFormatting sqref="N9:N91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1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1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91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240</oddHeader>
    <oddFooter>&amp;L&amp;7 RTA / MSI — Programa de Manutenção Rodoviária&amp;C&amp;7 Página &amp;P de &amp;N&amp;R&amp;7 Impresso em &amp;D</oddFooter>
  </headerFooter>
  <rowBreaks count="1" manualBreakCount="1">
    <brk id="94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90"/>
  <sheetViews>
    <sheetView showGridLines="0" workbookViewId="0">
      <pane xSplit="5" ySplit="7" topLeftCell="F63" activePane="bottomRight" state="frozen"/>
      <selection pane="topRight"/>
      <selection pane="bottomLeft"/>
      <selection pane="bottomRight" activeCell="F67" sqref="F67:F68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IF(F75=0,NA(),F75)</f>
        <v>46.310112592999999</v>
      </c>
      <c r="Q2" s="2">
        <f t="shared" si="0"/>
        <v>14</v>
      </c>
      <c r="R2" s="2" t="e">
        <f t="shared" si="0"/>
        <v>#N/A</v>
      </c>
      <c r="S2" s="2" t="e">
        <f t="shared" si="0"/>
        <v>#N/A</v>
      </c>
      <c r="T2" s="2">
        <f t="shared" si="0"/>
        <v>60.310112592999999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132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133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134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135</v>
      </c>
      <c r="B9" s="15" t="s">
        <v>47</v>
      </c>
      <c r="C9" s="16">
        <v>0</v>
      </c>
      <c r="D9" s="16">
        <v>1</v>
      </c>
      <c r="E9" s="16">
        <f t="shared" ref="E9:E40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135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135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135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135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135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135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135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135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135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135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135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135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135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135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135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135</v>
      </c>
      <c r="B25" s="15" t="s">
        <v>47</v>
      </c>
      <c r="C25" s="16">
        <v>16</v>
      </c>
      <c r="D25" s="16">
        <v>17</v>
      </c>
      <c r="E25" s="16">
        <f t="shared" si="1"/>
        <v>1</v>
      </c>
      <c r="F25" s="17" t="s">
        <v>76</v>
      </c>
      <c r="G25" s="17"/>
      <c r="H25" s="17"/>
      <c r="I25" s="17"/>
      <c r="J25" s="17" t="s">
        <v>76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135</v>
      </c>
      <c r="B26" s="15" t="s">
        <v>47</v>
      </c>
      <c r="C26" s="16">
        <v>17</v>
      </c>
      <c r="D26" s="16">
        <v>18</v>
      </c>
      <c r="E26" s="16">
        <f t="shared" si="1"/>
        <v>1</v>
      </c>
      <c r="F26" s="17" t="s">
        <v>76</v>
      </c>
      <c r="G26" s="17"/>
      <c r="H26" s="17"/>
      <c r="I26" s="17"/>
      <c r="J26" s="17" t="s">
        <v>76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135</v>
      </c>
      <c r="B27" s="15" t="s">
        <v>47</v>
      </c>
      <c r="C27" s="16">
        <v>18</v>
      </c>
      <c r="D27" s="16">
        <v>19</v>
      </c>
      <c r="E27" s="16">
        <f t="shared" si="1"/>
        <v>1</v>
      </c>
      <c r="F27" s="17" t="s">
        <v>76</v>
      </c>
      <c r="G27" s="17"/>
      <c r="H27" s="17"/>
      <c r="I27" s="17"/>
      <c r="J27" s="17" t="s">
        <v>76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135</v>
      </c>
      <c r="B28" s="15" t="s">
        <v>47</v>
      </c>
      <c r="C28" s="16">
        <v>19</v>
      </c>
      <c r="D28" s="16">
        <v>20</v>
      </c>
      <c r="E28" s="16">
        <f t="shared" si="1"/>
        <v>1</v>
      </c>
      <c r="F28" s="17" t="s">
        <v>76</v>
      </c>
      <c r="G28" s="17"/>
      <c r="H28" s="17"/>
      <c r="I28" s="17"/>
      <c r="J28" s="17" t="s">
        <v>76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135</v>
      </c>
      <c r="B29" s="15" t="s">
        <v>47</v>
      </c>
      <c r="C29" s="16">
        <v>20</v>
      </c>
      <c r="D29" s="16">
        <v>21</v>
      </c>
      <c r="E29" s="16">
        <f t="shared" si="1"/>
        <v>1</v>
      </c>
      <c r="F29" s="17" t="s">
        <v>76</v>
      </c>
      <c r="G29" s="17"/>
      <c r="H29" s="17"/>
      <c r="I29" s="17"/>
      <c r="J29" s="17" t="s">
        <v>76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135</v>
      </c>
      <c r="B30" s="15" t="s">
        <v>47</v>
      </c>
      <c r="C30" s="16">
        <v>21</v>
      </c>
      <c r="D30" s="16">
        <v>22</v>
      </c>
      <c r="E30" s="16">
        <f t="shared" si="1"/>
        <v>1</v>
      </c>
      <c r="F30" s="17" t="s">
        <v>76</v>
      </c>
      <c r="G30" s="17"/>
      <c r="H30" s="17"/>
      <c r="I30" s="17"/>
      <c r="J30" s="17" t="s">
        <v>76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135</v>
      </c>
      <c r="B31" s="15" t="s">
        <v>47</v>
      </c>
      <c r="C31" s="16">
        <v>22</v>
      </c>
      <c r="D31" s="16">
        <v>23</v>
      </c>
      <c r="E31" s="16">
        <f t="shared" si="1"/>
        <v>1</v>
      </c>
      <c r="F31" s="17" t="s">
        <v>76</v>
      </c>
      <c r="G31" s="17"/>
      <c r="H31" s="17"/>
      <c r="I31" s="17"/>
      <c r="J31" s="17" t="s">
        <v>76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135</v>
      </c>
      <c r="B32" s="15" t="s">
        <v>47</v>
      </c>
      <c r="C32" s="16">
        <v>23</v>
      </c>
      <c r="D32" s="16">
        <v>24</v>
      </c>
      <c r="E32" s="16">
        <f t="shared" si="1"/>
        <v>1</v>
      </c>
      <c r="F32" s="17" t="s">
        <v>76</v>
      </c>
      <c r="G32" s="17"/>
      <c r="H32" s="17"/>
      <c r="I32" s="17"/>
      <c r="J32" s="17" t="s">
        <v>76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135</v>
      </c>
      <c r="B33" s="15" t="s">
        <v>47</v>
      </c>
      <c r="C33" s="16">
        <v>24</v>
      </c>
      <c r="D33" s="16">
        <v>25</v>
      </c>
      <c r="E33" s="16">
        <f t="shared" si="1"/>
        <v>1</v>
      </c>
      <c r="F33" s="17" t="s">
        <v>76</v>
      </c>
      <c r="G33" s="17"/>
      <c r="H33" s="17"/>
      <c r="I33" s="17"/>
      <c r="J33" s="17" t="s">
        <v>76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135</v>
      </c>
      <c r="B34" s="15" t="s">
        <v>47</v>
      </c>
      <c r="C34" s="16">
        <v>25</v>
      </c>
      <c r="D34" s="16">
        <v>26</v>
      </c>
      <c r="E34" s="16">
        <f t="shared" si="1"/>
        <v>1</v>
      </c>
      <c r="F34" s="17" t="s">
        <v>76</v>
      </c>
      <c r="G34" s="17"/>
      <c r="H34" s="17"/>
      <c r="I34" s="17"/>
      <c r="J34" s="17" t="s">
        <v>76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135</v>
      </c>
      <c r="B35" s="15" t="s">
        <v>47</v>
      </c>
      <c r="C35" s="16">
        <v>26</v>
      </c>
      <c r="D35" s="16">
        <v>27</v>
      </c>
      <c r="E35" s="16">
        <f t="shared" si="1"/>
        <v>1</v>
      </c>
      <c r="F35" s="17" t="s">
        <v>76</v>
      </c>
      <c r="G35" s="17"/>
      <c r="H35" s="17"/>
      <c r="I35" s="17"/>
      <c r="J35" s="17" t="s">
        <v>76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135</v>
      </c>
      <c r="B36" s="15" t="s">
        <v>47</v>
      </c>
      <c r="C36" s="16">
        <v>27</v>
      </c>
      <c r="D36" s="16">
        <v>28</v>
      </c>
      <c r="E36" s="16">
        <f t="shared" si="1"/>
        <v>1</v>
      </c>
      <c r="F36" s="17" t="s">
        <v>76</v>
      </c>
      <c r="G36" s="17"/>
      <c r="H36" s="17"/>
      <c r="I36" s="17"/>
      <c r="J36" s="17" t="s">
        <v>76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135</v>
      </c>
      <c r="B37" s="15" t="s">
        <v>47</v>
      </c>
      <c r="C37" s="16">
        <v>28</v>
      </c>
      <c r="D37" s="16">
        <v>29</v>
      </c>
      <c r="E37" s="16">
        <f t="shared" si="1"/>
        <v>1</v>
      </c>
      <c r="F37" s="17" t="s">
        <v>76</v>
      </c>
      <c r="G37" s="17"/>
      <c r="H37" s="17"/>
      <c r="I37" s="17"/>
      <c r="J37" s="17" t="s">
        <v>76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135</v>
      </c>
      <c r="B38" s="15" t="s">
        <v>47</v>
      </c>
      <c r="C38" s="16">
        <v>29</v>
      </c>
      <c r="D38" s="16">
        <v>30</v>
      </c>
      <c r="E38" s="16">
        <f t="shared" si="1"/>
        <v>1</v>
      </c>
      <c r="F38" s="17" t="s">
        <v>76</v>
      </c>
      <c r="G38" s="17"/>
      <c r="H38" s="17"/>
      <c r="I38" s="17"/>
      <c r="J38" s="17" t="s">
        <v>76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135</v>
      </c>
      <c r="B39" s="15" t="s">
        <v>47</v>
      </c>
      <c r="C39" s="16">
        <v>30</v>
      </c>
      <c r="D39" s="16">
        <v>31</v>
      </c>
      <c r="E39" s="16">
        <f t="shared" si="1"/>
        <v>1</v>
      </c>
      <c r="F39" s="17" t="s">
        <v>76</v>
      </c>
      <c r="G39" s="17"/>
      <c r="H39" s="17"/>
      <c r="I39" s="17"/>
      <c r="J39" s="17" t="s">
        <v>76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135</v>
      </c>
      <c r="B40" s="15" t="s">
        <v>47</v>
      </c>
      <c r="C40" s="16">
        <v>31</v>
      </c>
      <c r="D40" s="16">
        <v>32</v>
      </c>
      <c r="E40" s="16">
        <f t="shared" si="1"/>
        <v>1</v>
      </c>
      <c r="F40" s="17" t="s">
        <v>76</v>
      </c>
      <c r="G40" s="17"/>
      <c r="H40" s="17"/>
      <c r="I40" s="17"/>
      <c r="J40" s="17" t="s">
        <v>76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135</v>
      </c>
      <c r="B41" s="15" t="s">
        <v>47</v>
      </c>
      <c r="C41" s="16">
        <v>32</v>
      </c>
      <c r="D41" s="16">
        <v>33</v>
      </c>
      <c r="E41" s="16">
        <f t="shared" ref="E41:E69" si="3">D41-C41</f>
        <v>1</v>
      </c>
      <c r="F41" s="17" t="s">
        <v>76</v>
      </c>
      <c r="G41" s="17"/>
      <c r="H41" s="17"/>
      <c r="I41" s="17"/>
      <c r="J41" s="17" t="s">
        <v>76</v>
      </c>
      <c r="K41" s="17"/>
      <c r="L41" s="17"/>
      <c r="M41" s="18"/>
      <c r="N41" s="19" t="str">
        <f t="shared" ref="N41:N69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135</v>
      </c>
      <c r="B42" s="15" t="s">
        <v>47</v>
      </c>
      <c r="C42" s="16">
        <v>33</v>
      </c>
      <c r="D42" s="16">
        <v>34</v>
      </c>
      <c r="E42" s="16">
        <f t="shared" si="3"/>
        <v>1</v>
      </c>
      <c r="F42" s="17" t="s">
        <v>76</v>
      </c>
      <c r="G42" s="17"/>
      <c r="H42" s="17"/>
      <c r="I42" s="17"/>
      <c r="J42" s="17" t="s">
        <v>76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135</v>
      </c>
      <c r="B43" s="15" t="s">
        <v>47</v>
      </c>
      <c r="C43" s="16">
        <v>34</v>
      </c>
      <c r="D43" s="16">
        <v>35</v>
      </c>
      <c r="E43" s="16">
        <f t="shared" si="3"/>
        <v>1</v>
      </c>
      <c r="F43" s="17" t="s">
        <v>76</v>
      </c>
      <c r="G43" s="17"/>
      <c r="H43" s="17"/>
      <c r="I43" s="17"/>
      <c r="J43" s="17" t="s">
        <v>76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135</v>
      </c>
      <c r="B44" s="15" t="s">
        <v>47</v>
      </c>
      <c r="C44" s="16">
        <v>35</v>
      </c>
      <c r="D44" s="16">
        <v>36</v>
      </c>
      <c r="E44" s="16">
        <f t="shared" si="3"/>
        <v>1</v>
      </c>
      <c r="F44" s="17" t="s">
        <v>76</v>
      </c>
      <c r="G44" s="17"/>
      <c r="H44" s="17"/>
      <c r="I44" s="17"/>
      <c r="J44" s="17" t="s">
        <v>76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135</v>
      </c>
      <c r="B45" s="15" t="s">
        <v>47</v>
      </c>
      <c r="C45" s="16">
        <v>36</v>
      </c>
      <c r="D45" s="16">
        <v>37</v>
      </c>
      <c r="E45" s="16">
        <f t="shared" si="3"/>
        <v>1</v>
      </c>
      <c r="F45" s="17" t="s">
        <v>76</v>
      </c>
      <c r="G45" s="17"/>
      <c r="H45" s="17"/>
      <c r="I45" s="17"/>
      <c r="J45" s="17" t="s">
        <v>76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135</v>
      </c>
      <c r="B46" s="15" t="s">
        <v>47</v>
      </c>
      <c r="C46" s="16">
        <v>37</v>
      </c>
      <c r="D46" s="16">
        <v>38</v>
      </c>
      <c r="E46" s="16">
        <f t="shared" si="3"/>
        <v>1</v>
      </c>
      <c r="F46" s="17"/>
      <c r="G46" s="17" t="s">
        <v>76</v>
      </c>
      <c r="H46" s="17"/>
      <c r="I46" s="17"/>
      <c r="J46" s="17" t="s">
        <v>76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135</v>
      </c>
      <c r="B47" s="15" t="s">
        <v>47</v>
      </c>
      <c r="C47" s="16">
        <v>38</v>
      </c>
      <c r="D47" s="16">
        <v>39</v>
      </c>
      <c r="E47" s="16">
        <f t="shared" si="3"/>
        <v>1</v>
      </c>
      <c r="F47" s="17"/>
      <c r="G47" s="17" t="s">
        <v>76</v>
      </c>
      <c r="H47" s="17"/>
      <c r="I47" s="17"/>
      <c r="J47" s="17" t="s">
        <v>76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135</v>
      </c>
      <c r="B48" s="15" t="s">
        <v>47</v>
      </c>
      <c r="C48" s="16">
        <v>39</v>
      </c>
      <c r="D48" s="16">
        <v>40</v>
      </c>
      <c r="E48" s="16">
        <f t="shared" si="3"/>
        <v>1</v>
      </c>
      <c r="F48" s="17"/>
      <c r="G48" s="17" t="s">
        <v>76</v>
      </c>
      <c r="H48" s="17"/>
      <c r="I48" s="17"/>
      <c r="J48" s="17" t="s">
        <v>76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135</v>
      </c>
      <c r="B49" s="15" t="s">
        <v>47</v>
      </c>
      <c r="C49" s="16">
        <v>40</v>
      </c>
      <c r="D49" s="16">
        <v>41</v>
      </c>
      <c r="E49" s="16">
        <f t="shared" si="3"/>
        <v>1</v>
      </c>
      <c r="F49" s="17"/>
      <c r="G49" s="17" t="s">
        <v>76</v>
      </c>
      <c r="H49" s="17"/>
      <c r="I49" s="17"/>
      <c r="J49" s="17" t="s">
        <v>76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135</v>
      </c>
      <c r="B50" s="15" t="s">
        <v>47</v>
      </c>
      <c r="C50" s="16">
        <v>41</v>
      </c>
      <c r="D50" s="16">
        <v>42</v>
      </c>
      <c r="E50" s="16">
        <f t="shared" si="3"/>
        <v>1</v>
      </c>
      <c r="F50" s="17"/>
      <c r="G50" s="17" t="s">
        <v>76</v>
      </c>
      <c r="H50" s="17"/>
      <c r="I50" s="17"/>
      <c r="J50" s="17" t="s">
        <v>76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135</v>
      </c>
      <c r="B51" s="15" t="s">
        <v>47</v>
      </c>
      <c r="C51" s="16">
        <v>42</v>
      </c>
      <c r="D51" s="16">
        <v>43</v>
      </c>
      <c r="E51" s="16">
        <f t="shared" si="3"/>
        <v>1</v>
      </c>
      <c r="F51" s="17" t="s">
        <v>76</v>
      </c>
      <c r="G51" s="17"/>
      <c r="H51" s="17"/>
      <c r="I51" s="17"/>
      <c r="J51" s="17" t="s">
        <v>76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135</v>
      </c>
      <c r="B52" s="15" t="s">
        <v>47</v>
      </c>
      <c r="C52" s="16">
        <v>43</v>
      </c>
      <c r="D52" s="16">
        <v>44</v>
      </c>
      <c r="E52" s="16">
        <f t="shared" si="3"/>
        <v>1</v>
      </c>
      <c r="F52" s="17" t="s">
        <v>76</v>
      </c>
      <c r="G52" s="17"/>
      <c r="H52" s="17"/>
      <c r="I52" s="17"/>
      <c r="J52" s="17" t="s">
        <v>76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135</v>
      </c>
      <c r="B53" s="15" t="s">
        <v>47</v>
      </c>
      <c r="C53" s="16">
        <v>44</v>
      </c>
      <c r="D53" s="16">
        <v>45</v>
      </c>
      <c r="E53" s="16">
        <f t="shared" si="3"/>
        <v>1</v>
      </c>
      <c r="F53" s="17" t="s">
        <v>76</v>
      </c>
      <c r="G53" s="17"/>
      <c r="H53" s="17"/>
      <c r="I53" s="17"/>
      <c r="J53" s="17" t="s">
        <v>76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135</v>
      </c>
      <c r="B54" s="15" t="s">
        <v>47</v>
      </c>
      <c r="C54" s="16">
        <v>45</v>
      </c>
      <c r="D54" s="16">
        <v>46</v>
      </c>
      <c r="E54" s="16">
        <f t="shared" si="3"/>
        <v>1</v>
      </c>
      <c r="F54" s="17" t="s">
        <v>76</v>
      </c>
      <c r="G54" s="17"/>
      <c r="H54" s="17"/>
      <c r="I54" s="17"/>
      <c r="J54" s="17" t="s">
        <v>76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135</v>
      </c>
      <c r="B55" s="15" t="s">
        <v>47</v>
      </c>
      <c r="C55" s="16">
        <v>46</v>
      </c>
      <c r="D55" s="16">
        <v>47</v>
      </c>
      <c r="E55" s="16">
        <f t="shared" si="3"/>
        <v>1</v>
      </c>
      <c r="F55" s="17"/>
      <c r="G55" s="17" t="s">
        <v>76</v>
      </c>
      <c r="H55" s="17"/>
      <c r="I55" s="17"/>
      <c r="J55" s="17" t="s">
        <v>76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135</v>
      </c>
      <c r="B56" s="15" t="s">
        <v>47</v>
      </c>
      <c r="C56" s="16">
        <v>47</v>
      </c>
      <c r="D56" s="16">
        <v>48</v>
      </c>
      <c r="E56" s="16">
        <f t="shared" si="3"/>
        <v>1</v>
      </c>
      <c r="F56" s="17"/>
      <c r="G56" s="17" t="s">
        <v>76</v>
      </c>
      <c r="H56" s="17"/>
      <c r="I56" s="17"/>
      <c r="J56" s="17" t="s">
        <v>76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135</v>
      </c>
      <c r="B57" s="15" t="s">
        <v>47</v>
      </c>
      <c r="C57" s="16">
        <v>48</v>
      </c>
      <c r="D57" s="16">
        <v>49</v>
      </c>
      <c r="E57" s="16">
        <f t="shared" si="3"/>
        <v>1</v>
      </c>
      <c r="F57" s="17"/>
      <c r="G57" s="17" t="s">
        <v>76</v>
      </c>
      <c r="H57" s="17"/>
      <c r="I57" s="17"/>
      <c r="J57" s="17" t="s">
        <v>76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135</v>
      </c>
      <c r="B58" s="15" t="s">
        <v>47</v>
      </c>
      <c r="C58" s="16">
        <v>49</v>
      </c>
      <c r="D58" s="16">
        <v>50</v>
      </c>
      <c r="E58" s="16">
        <f t="shared" si="3"/>
        <v>1</v>
      </c>
      <c r="F58" s="17"/>
      <c r="G58" s="17" t="s">
        <v>76</v>
      </c>
      <c r="H58" s="17"/>
      <c r="I58" s="17"/>
      <c r="J58" s="17" t="s">
        <v>76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135</v>
      </c>
      <c r="B59" s="15" t="s">
        <v>47</v>
      </c>
      <c r="C59" s="16">
        <v>50</v>
      </c>
      <c r="D59" s="16">
        <v>51</v>
      </c>
      <c r="E59" s="16">
        <f t="shared" si="3"/>
        <v>1</v>
      </c>
      <c r="F59" s="17"/>
      <c r="G59" s="17" t="s">
        <v>76</v>
      </c>
      <c r="H59" s="17"/>
      <c r="I59" s="17"/>
      <c r="J59" s="17" t="s">
        <v>76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135</v>
      </c>
      <c r="B60" s="15" t="s">
        <v>47</v>
      </c>
      <c r="C60" s="16">
        <v>51</v>
      </c>
      <c r="D60" s="16">
        <v>52</v>
      </c>
      <c r="E60" s="16">
        <f t="shared" si="3"/>
        <v>1</v>
      </c>
      <c r="F60" s="17"/>
      <c r="G60" s="17" t="s">
        <v>76</v>
      </c>
      <c r="H60" s="17"/>
      <c r="I60" s="17"/>
      <c r="J60" s="17" t="s">
        <v>76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135</v>
      </c>
      <c r="B61" s="15" t="s">
        <v>47</v>
      </c>
      <c r="C61" s="16">
        <v>52</v>
      </c>
      <c r="D61" s="16">
        <v>53</v>
      </c>
      <c r="E61" s="16">
        <f t="shared" si="3"/>
        <v>1</v>
      </c>
      <c r="F61" s="17"/>
      <c r="G61" s="17" t="s">
        <v>76</v>
      </c>
      <c r="H61" s="17"/>
      <c r="I61" s="17"/>
      <c r="J61" s="17" t="s">
        <v>76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135</v>
      </c>
      <c r="B62" s="15" t="s">
        <v>47</v>
      </c>
      <c r="C62" s="16">
        <v>53</v>
      </c>
      <c r="D62" s="16">
        <v>54</v>
      </c>
      <c r="E62" s="16">
        <f t="shared" si="3"/>
        <v>1</v>
      </c>
      <c r="F62" s="17" t="s">
        <v>76</v>
      </c>
      <c r="G62" s="17"/>
      <c r="H62" s="17"/>
      <c r="I62" s="17"/>
      <c r="J62" s="17" t="s">
        <v>76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135</v>
      </c>
      <c r="B63" s="15" t="s">
        <v>47</v>
      </c>
      <c r="C63" s="16">
        <v>54</v>
      </c>
      <c r="D63" s="16">
        <v>55</v>
      </c>
      <c r="E63" s="16">
        <f t="shared" si="3"/>
        <v>1</v>
      </c>
      <c r="F63" s="17" t="s">
        <v>76</v>
      </c>
      <c r="G63" s="17"/>
      <c r="H63" s="17"/>
      <c r="I63" s="17"/>
      <c r="J63" s="17" t="s">
        <v>76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135</v>
      </c>
      <c r="B64" s="15" t="s">
        <v>47</v>
      </c>
      <c r="C64" s="16">
        <v>55</v>
      </c>
      <c r="D64" s="16">
        <v>56</v>
      </c>
      <c r="E64" s="16">
        <f t="shared" si="3"/>
        <v>1</v>
      </c>
      <c r="F64" s="17" t="s">
        <v>76</v>
      </c>
      <c r="G64" s="17"/>
      <c r="H64" s="17"/>
      <c r="I64" s="17"/>
      <c r="J64" s="17" t="s">
        <v>76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135</v>
      </c>
      <c r="B65" s="15" t="s">
        <v>47</v>
      </c>
      <c r="C65" s="16">
        <v>56</v>
      </c>
      <c r="D65" s="16">
        <v>57</v>
      </c>
      <c r="E65" s="16">
        <f t="shared" si="3"/>
        <v>1</v>
      </c>
      <c r="F65" s="17" t="s">
        <v>76</v>
      </c>
      <c r="G65" s="17"/>
      <c r="H65" s="17"/>
      <c r="I65" s="17"/>
      <c r="J65" s="17" t="s">
        <v>76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135</v>
      </c>
      <c r="B66" s="15" t="s">
        <v>47</v>
      </c>
      <c r="C66" s="16">
        <v>57</v>
      </c>
      <c r="D66" s="16">
        <v>58</v>
      </c>
      <c r="E66" s="16">
        <f t="shared" si="3"/>
        <v>1</v>
      </c>
      <c r="F66" s="17" t="s">
        <v>76</v>
      </c>
      <c r="G66" s="17"/>
      <c r="H66" s="17"/>
      <c r="I66" s="17"/>
      <c r="J66" s="17" t="s">
        <v>76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135</v>
      </c>
      <c r="B67" s="15" t="s">
        <v>47</v>
      </c>
      <c r="C67" s="16">
        <v>58</v>
      </c>
      <c r="D67" s="16">
        <v>59</v>
      </c>
      <c r="E67" s="16">
        <f t="shared" si="3"/>
        <v>1</v>
      </c>
      <c r="F67" s="17"/>
      <c r="G67" s="17" t="s">
        <v>76</v>
      </c>
      <c r="H67" s="17"/>
      <c r="I67" s="17"/>
      <c r="J67" s="17" t="s">
        <v>76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135</v>
      </c>
      <c r="B68" s="15" t="s">
        <v>47</v>
      </c>
      <c r="C68" s="16">
        <v>59</v>
      </c>
      <c r="D68" s="16">
        <v>60</v>
      </c>
      <c r="E68" s="16">
        <f t="shared" si="3"/>
        <v>1</v>
      </c>
      <c r="F68" s="17"/>
      <c r="G68" s="17" t="s">
        <v>76</v>
      </c>
      <c r="H68" s="17"/>
      <c r="I68" s="17"/>
      <c r="J68" s="17" t="s">
        <v>76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20" t="s">
        <v>135</v>
      </c>
      <c r="B69" s="21" t="s">
        <v>47</v>
      </c>
      <c r="C69" s="22">
        <v>60</v>
      </c>
      <c r="D69" s="22">
        <v>60.310112592999999</v>
      </c>
      <c r="E69" s="22">
        <f t="shared" si="3"/>
        <v>0.31011259299999949</v>
      </c>
      <c r="F69" s="23" t="s">
        <v>76</v>
      </c>
      <c r="G69" s="23"/>
      <c r="H69" s="23"/>
      <c r="I69" s="23"/>
      <c r="J69" s="23" t="s">
        <v>76</v>
      </c>
      <c r="K69" s="23"/>
      <c r="L69" s="23"/>
      <c r="M69" s="24"/>
      <c r="N69" s="25" t="str">
        <f t="shared" si="4"/>
        <v>OK</v>
      </c>
    </row>
    <row r="71" spans="1:14" x14ac:dyDescent="0.25">
      <c r="A71" s="46" t="s">
        <v>48</v>
      </c>
      <c r="B71" s="31"/>
      <c r="C71" s="31"/>
      <c r="D71" s="31"/>
      <c r="E71" s="31"/>
      <c r="G71" s="46" t="s">
        <v>48</v>
      </c>
      <c r="H71" s="31"/>
      <c r="I71" s="31"/>
      <c r="J71" s="31"/>
      <c r="K71" s="31"/>
    </row>
    <row r="72" spans="1:14" x14ac:dyDescent="0.25">
      <c r="A72" s="45" t="s">
        <v>49</v>
      </c>
      <c r="B72" s="31"/>
      <c r="C72" s="31"/>
      <c r="D72" s="31"/>
      <c r="E72" s="31"/>
      <c r="G72" s="45" t="s">
        <v>50</v>
      </c>
      <c r="H72" s="31"/>
      <c r="I72" s="31"/>
      <c r="J72" s="31"/>
      <c r="K72" s="31"/>
    </row>
    <row r="74" spans="1:14" x14ac:dyDescent="0.25">
      <c r="A74" s="43" t="s">
        <v>51</v>
      </c>
      <c r="B74" s="31"/>
      <c r="C74" s="31"/>
      <c r="D74" s="31"/>
      <c r="E74" s="31"/>
      <c r="F74" s="26"/>
      <c r="G74" s="26"/>
      <c r="H74" s="26"/>
      <c r="I74" s="26"/>
      <c r="J74" s="26"/>
      <c r="K74" s="26"/>
      <c r="L74" s="26"/>
      <c r="M74" s="26"/>
    </row>
    <row r="75" spans="1:14" x14ac:dyDescent="0.25">
      <c r="A75" s="47" t="s">
        <v>52</v>
      </c>
      <c r="B75" s="31"/>
      <c r="C75" s="31"/>
      <c r="D75" s="31"/>
      <c r="E75" s="31"/>
      <c r="F75" s="9">
        <f t="shared" ref="F75:L75" si="5">SUMIF(F$9:F$69,"X",$E$9:$E$69)</f>
        <v>46.310112592999999</v>
      </c>
      <c r="G75" s="9">
        <f t="shared" si="5"/>
        <v>14</v>
      </c>
      <c r="H75" s="9">
        <f t="shared" si="5"/>
        <v>0</v>
      </c>
      <c r="I75" s="9">
        <f t="shared" si="5"/>
        <v>0</v>
      </c>
      <c r="J75" s="9">
        <f t="shared" si="5"/>
        <v>60.310112592999999</v>
      </c>
      <c r="K75" s="9">
        <f t="shared" si="5"/>
        <v>0</v>
      </c>
      <c r="L75" s="9">
        <f t="shared" si="5"/>
        <v>0</v>
      </c>
    </row>
    <row r="76" spans="1:14" x14ac:dyDescent="0.25">
      <c r="A76" s="47" t="s">
        <v>53</v>
      </c>
      <c r="B76" s="31"/>
      <c r="C76" s="31"/>
      <c r="D76" s="31"/>
      <c r="E76" s="31"/>
      <c r="F76" s="27">
        <f t="shared" ref="F76:L76" si="6">IF($I78=0,0,F75/$I78)</f>
        <v>0.7678664589058497</v>
      </c>
      <c r="G76" s="27">
        <f t="shared" si="6"/>
        <v>0.23213354109415035</v>
      </c>
      <c r="H76" s="27">
        <f t="shared" si="6"/>
        <v>0</v>
      </c>
      <c r="I76" s="27">
        <f t="shared" si="6"/>
        <v>0</v>
      </c>
      <c r="J76" s="27">
        <f t="shared" si="6"/>
        <v>1</v>
      </c>
      <c r="K76" s="27">
        <f t="shared" si="6"/>
        <v>0</v>
      </c>
      <c r="L76" s="27">
        <f t="shared" si="6"/>
        <v>0</v>
      </c>
    </row>
    <row r="77" spans="1:14" x14ac:dyDescent="0.25">
      <c r="A77" s="47" t="s">
        <v>54</v>
      </c>
      <c r="B77" s="31"/>
      <c r="C77" s="31"/>
      <c r="D77" s="31"/>
      <c r="E77" s="31"/>
      <c r="F77" s="49" t="str">
        <f>IF(SUM(F75:I75)=0,"— não preenchido",IF(ROUND(SUM(F75:I75)-$I78,3)=0,"OK — "&amp;ROUND(SUM(F75:I75),3)&amp;" km","ERRO — dif. de "&amp;ROUND(SUM(F75:I75)-$I78,3)&amp;" km"))</f>
        <v>OK — 60,31 km</v>
      </c>
      <c r="G77" s="33"/>
      <c r="H77" s="33"/>
      <c r="I77" s="34"/>
      <c r="J77" s="49" t="str">
        <f>IF(SUM(J75:L75)=0,"— não preenchido",IF(ROUND(SUM(J75:L75)-$I78,3)=0,"OK — "&amp;ROUND(SUM(J75:L75),3)&amp;" km","ERRO — dif. de "&amp;ROUND(SUM(J75:L75)-$I78,3)&amp;" km"))</f>
        <v>OK — 60,31 km</v>
      </c>
      <c r="K77" s="33"/>
      <c r="L77" s="34"/>
    </row>
    <row r="78" spans="1:14" x14ac:dyDescent="0.25">
      <c r="A78" s="47" t="s">
        <v>55</v>
      </c>
      <c r="B78" s="31"/>
      <c r="C78" s="31"/>
      <c r="D78" s="31"/>
      <c r="E78" s="31"/>
      <c r="I78" s="28">
        <f>SUM(E9:E69)</f>
        <v>60.310112592999999</v>
      </c>
      <c r="M78" s="8" t="str">
        <f>COUNTIF(N9:N69,"OK")&amp;" de "&amp;COUNT($E$9:$E$69)&amp;" linhas conferidas"</f>
        <v>61 de 61 linhas conferidas</v>
      </c>
    </row>
    <row r="80" spans="1:14" x14ac:dyDescent="0.25">
      <c r="A80" s="48" t="s">
        <v>56</v>
      </c>
      <c r="B80" s="31"/>
      <c r="C80" s="31"/>
      <c r="D80" s="31"/>
      <c r="E80" s="31"/>
    </row>
    <row r="81" spans="1:13" x14ac:dyDescent="0.25">
      <c r="A81" s="47" t="s">
        <v>10</v>
      </c>
      <c r="B81" s="31"/>
      <c r="C81" s="31"/>
      <c r="D81" s="31"/>
      <c r="E81" s="44" t="s">
        <v>57</v>
      </c>
      <c r="F81" s="31"/>
      <c r="G81" s="31"/>
      <c r="H81" s="31"/>
      <c r="I81" s="31"/>
      <c r="J81" s="31"/>
      <c r="K81" s="31"/>
      <c r="L81" s="31"/>
      <c r="M81" s="31"/>
    </row>
    <row r="82" spans="1:13" x14ac:dyDescent="0.25">
      <c r="A82" s="47" t="s">
        <v>11</v>
      </c>
      <c r="B82" s="31"/>
      <c r="C82" s="31"/>
      <c r="D82" s="31"/>
      <c r="E82" s="44" t="s">
        <v>58</v>
      </c>
      <c r="F82" s="31"/>
      <c r="G82" s="31"/>
      <c r="H82" s="31"/>
      <c r="I82" s="31"/>
      <c r="J82" s="31"/>
      <c r="K82" s="31"/>
      <c r="L82" s="31"/>
      <c r="M82" s="31"/>
    </row>
    <row r="83" spans="1:13" x14ac:dyDescent="0.25">
      <c r="A83" s="47" t="s">
        <v>12</v>
      </c>
      <c r="B83" s="31"/>
      <c r="C83" s="31"/>
      <c r="D83" s="31"/>
      <c r="E83" s="44" t="s">
        <v>59</v>
      </c>
      <c r="F83" s="31"/>
      <c r="G83" s="31"/>
      <c r="H83" s="31"/>
      <c r="I83" s="31"/>
      <c r="J83" s="31"/>
      <c r="K83" s="31"/>
      <c r="L83" s="31"/>
      <c r="M83" s="31"/>
    </row>
    <row r="84" spans="1:13" x14ac:dyDescent="0.25">
      <c r="A84" s="47" t="s">
        <v>60</v>
      </c>
      <c r="B84" s="31"/>
      <c r="C84" s="31"/>
      <c r="D84" s="31"/>
      <c r="E84" s="44" t="s">
        <v>61</v>
      </c>
      <c r="F84" s="31"/>
      <c r="G84" s="31"/>
      <c r="H84" s="31"/>
      <c r="I84" s="31"/>
      <c r="J84" s="31"/>
      <c r="K84" s="31"/>
      <c r="L84" s="31"/>
      <c r="M84" s="31"/>
    </row>
    <row r="85" spans="1:13" x14ac:dyDescent="0.25">
      <c r="A85" s="47" t="s">
        <v>62</v>
      </c>
      <c r="B85" s="31"/>
      <c r="C85" s="31"/>
      <c r="D85" s="31"/>
      <c r="E85" s="44" t="s">
        <v>63</v>
      </c>
      <c r="F85" s="31"/>
      <c r="G85" s="31"/>
      <c r="H85" s="31"/>
      <c r="I85" s="31"/>
      <c r="J85" s="31"/>
      <c r="K85" s="31"/>
      <c r="L85" s="31"/>
      <c r="M85" s="31"/>
    </row>
    <row r="86" spans="1:13" x14ac:dyDescent="0.25">
      <c r="A86" s="47" t="s">
        <v>64</v>
      </c>
      <c r="B86" s="31"/>
      <c r="C86" s="31"/>
      <c r="D86" s="31"/>
      <c r="E86" s="44" t="s">
        <v>65</v>
      </c>
      <c r="F86" s="31"/>
      <c r="G86" s="31"/>
      <c r="H86" s="31"/>
      <c r="I86" s="31"/>
      <c r="J86" s="31"/>
      <c r="K86" s="31"/>
      <c r="L86" s="31"/>
      <c r="M86" s="31"/>
    </row>
    <row r="87" spans="1:13" x14ac:dyDescent="0.25">
      <c r="A87" s="47" t="s">
        <v>39</v>
      </c>
      <c r="B87" s="31"/>
      <c r="C87" s="31"/>
      <c r="D87" s="31"/>
      <c r="E87" s="44" t="s">
        <v>66</v>
      </c>
      <c r="F87" s="31"/>
      <c r="G87" s="31"/>
      <c r="H87" s="31"/>
      <c r="I87" s="31"/>
      <c r="J87" s="31"/>
      <c r="K87" s="31"/>
      <c r="L87" s="31"/>
      <c r="M87" s="31"/>
    </row>
    <row r="88" spans="1:13" x14ac:dyDescent="0.25">
      <c r="A88" s="47" t="s">
        <v>67</v>
      </c>
      <c r="B88" s="31"/>
      <c r="C88" s="31"/>
      <c r="D88" s="31"/>
      <c r="E88" s="44" t="s">
        <v>68</v>
      </c>
      <c r="F88" s="31"/>
      <c r="G88" s="31"/>
      <c r="H88" s="31"/>
      <c r="I88" s="31"/>
      <c r="J88" s="31"/>
      <c r="K88" s="31"/>
      <c r="L88" s="31"/>
      <c r="M88" s="31"/>
    </row>
    <row r="89" spans="1:13" x14ac:dyDescent="0.25">
      <c r="A89" s="47" t="s">
        <v>69</v>
      </c>
      <c r="B89" s="31"/>
      <c r="C89" s="31"/>
      <c r="D89" s="31"/>
      <c r="E89" s="44" t="s">
        <v>70</v>
      </c>
      <c r="F89" s="31"/>
      <c r="G89" s="31"/>
      <c r="H89" s="31"/>
      <c r="I89" s="31"/>
      <c r="J89" s="31"/>
      <c r="K89" s="31"/>
      <c r="L89" s="31"/>
      <c r="M89" s="31"/>
    </row>
    <row r="90" spans="1:13" x14ac:dyDescent="0.25">
      <c r="A90" s="47" t="s">
        <v>8</v>
      </c>
      <c r="B90" s="31"/>
      <c r="C90" s="31"/>
      <c r="D90" s="31"/>
      <c r="E90" s="44" t="s">
        <v>71</v>
      </c>
      <c r="F90" s="31"/>
      <c r="G90" s="31"/>
      <c r="H90" s="31"/>
      <c r="I90" s="31"/>
      <c r="J90" s="31"/>
      <c r="K90" s="31"/>
      <c r="L90" s="31"/>
      <c r="M90" s="31"/>
    </row>
  </sheetData>
  <sheetProtection formatCells="0"/>
  <mergeCells count="50">
    <mergeCell ref="A90:D90"/>
    <mergeCell ref="A89:D89"/>
    <mergeCell ref="A72:E72"/>
    <mergeCell ref="A3:J3"/>
    <mergeCell ref="E83:M83"/>
    <mergeCell ref="A86:D86"/>
    <mergeCell ref="A85:D85"/>
    <mergeCell ref="E88:M88"/>
    <mergeCell ref="C6:C7"/>
    <mergeCell ref="E82:M82"/>
    <mergeCell ref="D6:D7"/>
    <mergeCell ref="J77:L77"/>
    <mergeCell ref="E87:M87"/>
    <mergeCell ref="E85:M85"/>
    <mergeCell ref="E90:M90"/>
    <mergeCell ref="E86:M86"/>
    <mergeCell ref="G2:H2"/>
    <mergeCell ref="A8:M8"/>
    <mergeCell ref="N6:N7"/>
    <mergeCell ref="K3:M3"/>
    <mergeCell ref="A84:D84"/>
    <mergeCell ref="F6:I6"/>
    <mergeCell ref="K2:M2"/>
    <mergeCell ref="A78:E78"/>
    <mergeCell ref="D2:E2"/>
    <mergeCell ref="A83:D83"/>
    <mergeCell ref="A1:M1"/>
    <mergeCell ref="E81:M81"/>
    <mergeCell ref="A88:D88"/>
    <mergeCell ref="A76:E76"/>
    <mergeCell ref="A71:E71"/>
    <mergeCell ref="A87:D87"/>
    <mergeCell ref="E84:M84"/>
    <mergeCell ref="G71:K71"/>
    <mergeCell ref="A81:D81"/>
    <mergeCell ref="A6:A7"/>
    <mergeCell ref="A2:C2"/>
    <mergeCell ref="A77:E77"/>
    <mergeCell ref="J6:L6"/>
    <mergeCell ref="G72:K72"/>
    <mergeCell ref="F77:I77"/>
    <mergeCell ref="A4:M4"/>
    <mergeCell ref="E89:M89"/>
    <mergeCell ref="M6:M7"/>
    <mergeCell ref="A82:D82"/>
    <mergeCell ref="A75:E75"/>
    <mergeCell ref="E6:E7"/>
    <mergeCell ref="B6:B7"/>
    <mergeCell ref="A74:E74"/>
    <mergeCell ref="A80:E80"/>
  </mergeCells>
  <conditionalFormatting sqref="F9:I69">
    <cfRule type="expression" dxfId="11" priority="1">
      <formula>AND(F9&lt;&gt;"",COUNTIF($F9:$I9,"X")&gt;1)</formula>
    </cfRule>
  </conditionalFormatting>
  <conditionalFormatting sqref="F77:L77">
    <cfRule type="expression" dxfId="10" priority="5">
      <formula>LEFT(F77,4)="ERRO"</formula>
    </cfRule>
    <cfRule type="expression" dxfId="9" priority="6">
      <formula>LEFT(F77,2)="OK"</formula>
    </cfRule>
  </conditionalFormatting>
  <conditionalFormatting sqref="J9:L69">
    <cfRule type="expression" dxfId="8" priority="2">
      <formula>AND(J9&lt;&gt;"",COUNTIF($J9:$L9,"X")&gt;1)</formula>
    </cfRule>
  </conditionalFormatting>
  <conditionalFormatting sqref="N9:N69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9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9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69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241</oddHeader>
    <oddFooter>&amp;L&amp;7 RTA / MSI — Programa de Manutenção Rodoviária&amp;C&amp;7 Página &amp;P de &amp;N&amp;R&amp;7 Impresso em &amp;D</oddFooter>
  </headerFooter>
  <rowBreaks count="1" manualBreakCount="1">
    <brk id="72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53"/>
  <sheetViews>
    <sheetView showGridLines="0" workbookViewId="0">
      <pane xSplit="5" ySplit="7" topLeftCell="F29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39" t="s">
        <v>31</v>
      </c>
      <c r="B2" s="31"/>
      <c r="C2" s="31"/>
      <c r="D2" s="37" t="s">
        <v>32</v>
      </c>
      <c r="E2" s="31"/>
      <c r="F2" s="29">
        <v>46235</v>
      </c>
      <c r="G2" s="37" t="s">
        <v>33</v>
      </c>
      <c r="H2" s="31"/>
      <c r="I2" s="13"/>
      <c r="J2" s="12" t="s">
        <v>34</v>
      </c>
      <c r="K2" s="40" t="s">
        <v>145</v>
      </c>
      <c r="L2" s="41"/>
      <c r="M2" s="42"/>
      <c r="P2" s="2">
        <f t="shared" ref="P2:V2" si="0">IF(F38=0,NA(),F38)</f>
        <v>21.676392598300001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16.272420419700001</v>
      </c>
      <c r="U2" s="2" t="e">
        <f t="shared" si="0"/>
        <v>#N/A</v>
      </c>
      <c r="V2" s="2">
        <f t="shared" si="0"/>
        <v>5.4039721786000001</v>
      </c>
    </row>
    <row r="3" spans="1:22" ht="15" customHeight="1" x14ac:dyDescent="0.25">
      <c r="A3" s="50" t="s">
        <v>136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137</v>
      </c>
      <c r="L3" s="31"/>
      <c r="M3" s="31"/>
    </row>
    <row r="4" spans="1:22" ht="20.100000000000001" customHeight="1" x14ac:dyDescent="0.25">
      <c r="A4" s="36" t="s">
        <v>37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43</v>
      </c>
      <c r="N6" s="32" t="s">
        <v>44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147</v>
      </c>
      <c r="H7" s="3" t="s">
        <v>148</v>
      </c>
      <c r="I7" s="3" t="s">
        <v>149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38" t="s">
        <v>138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139</v>
      </c>
      <c r="B9" s="15" t="s">
        <v>47</v>
      </c>
      <c r="C9" s="16">
        <v>0</v>
      </c>
      <c r="D9" s="16">
        <v>1</v>
      </c>
      <c r="E9" s="16">
        <f t="shared" ref="E9:E25" si="1">D9-C9</f>
        <v>1</v>
      </c>
      <c r="F9" s="17" t="s">
        <v>76</v>
      </c>
      <c r="G9" s="17"/>
      <c r="H9" s="17"/>
      <c r="I9" s="17"/>
      <c r="J9" s="17" t="s">
        <v>76</v>
      </c>
      <c r="K9" s="17"/>
      <c r="L9" s="17"/>
      <c r="M9" s="18"/>
      <c r="N9" s="19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139</v>
      </c>
      <c r="B10" s="15" t="s">
        <v>47</v>
      </c>
      <c r="C10" s="16">
        <v>1</v>
      </c>
      <c r="D10" s="16">
        <v>2</v>
      </c>
      <c r="E10" s="16">
        <f t="shared" si="1"/>
        <v>1</v>
      </c>
      <c r="F10" s="17" t="s">
        <v>76</v>
      </c>
      <c r="G10" s="17"/>
      <c r="H10" s="17"/>
      <c r="I10" s="17"/>
      <c r="J10" s="17" t="s">
        <v>76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139</v>
      </c>
      <c r="B11" s="15" t="s">
        <v>47</v>
      </c>
      <c r="C11" s="16">
        <v>2</v>
      </c>
      <c r="D11" s="16">
        <v>3</v>
      </c>
      <c r="E11" s="16">
        <f t="shared" si="1"/>
        <v>1</v>
      </c>
      <c r="F11" s="17" t="s">
        <v>76</v>
      </c>
      <c r="G11" s="17"/>
      <c r="H11" s="17"/>
      <c r="I11" s="17"/>
      <c r="J11" s="17" t="s">
        <v>76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139</v>
      </c>
      <c r="B12" s="15" t="s">
        <v>47</v>
      </c>
      <c r="C12" s="16">
        <v>3</v>
      </c>
      <c r="D12" s="16">
        <v>4</v>
      </c>
      <c r="E12" s="16">
        <f t="shared" si="1"/>
        <v>1</v>
      </c>
      <c r="F12" s="17" t="s">
        <v>76</v>
      </c>
      <c r="G12" s="17"/>
      <c r="H12" s="17"/>
      <c r="I12" s="17"/>
      <c r="J12" s="17" t="s">
        <v>76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139</v>
      </c>
      <c r="B13" s="15" t="s">
        <v>47</v>
      </c>
      <c r="C13" s="16">
        <v>4</v>
      </c>
      <c r="D13" s="16">
        <v>5</v>
      </c>
      <c r="E13" s="16">
        <f t="shared" si="1"/>
        <v>1</v>
      </c>
      <c r="F13" s="17" t="s">
        <v>76</v>
      </c>
      <c r="G13" s="17"/>
      <c r="H13" s="17"/>
      <c r="I13" s="17"/>
      <c r="J13" s="17" t="s">
        <v>76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139</v>
      </c>
      <c r="B14" s="15" t="s">
        <v>47</v>
      </c>
      <c r="C14" s="16">
        <v>5</v>
      </c>
      <c r="D14" s="16">
        <v>6</v>
      </c>
      <c r="E14" s="16">
        <f t="shared" si="1"/>
        <v>1</v>
      </c>
      <c r="F14" s="17" t="s">
        <v>76</v>
      </c>
      <c r="G14" s="17"/>
      <c r="H14" s="17"/>
      <c r="I14" s="17"/>
      <c r="J14" s="17" t="s">
        <v>76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139</v>
      </c>
      <c r="B15" s="15" t="s">
        <v>47</v>
      </c>
      <c r="C15" s="16">
        <v>6</v>
      </c>
      <c r="D15" s="16">
        <v>7</v>
      </c>
      <c r="E15" s="16">
        <f t="shared" si="1"/>
        <v>1</v>
      </c>
      <c r="F15" s="17" t="s">
        <v>76</v>
      </c>
      <c r="G15" s="17"/>
      <c r="H15" s="17"/>
      <c r="I15" s="17"/>
      <c r="J15" s="17" t="s">
        <v>76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139</v>
      </c>
      <c r="B16" s="15" t="s">
        <v>47</v>
      </c>
      <c r="C16" s="16">
        <v>7</v>
      </c>
      <c r="D16" s="16">
        <v>8</v>
      </c>
      <c r="E16" s="16">
        <f t="shared" si="1"/>
        <v>1</v>
      </c>
      <c r="F16" s="17" t="s">
        <v>76</v>
      </c>
      <c r="G16" s="17"/>
      <c r="H16" s="17"/>
      <c r="I16" s="17"/>
      <c r="J16" s="17" t="s">
        <v>76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139</v>
      </c>
      <c r="B17" s="15" t="s">
        <v>47</v>
      </c>
      <c r="C17" s="16">
        <v>8</v>
      </c>
      <c r="D17" s="16">
        <v>9</v>
      </c>
      <c r="E17" s="16">
        <f t="shared" si="1"/>
        <v>1</v>
      </c>
      <c r="F17" s="17" t="s">
        <v>76</v>
      </c>
      <c r="G17" s="17"/>
      <c r="H17" s="17"/>
      <c r="I17" s="17"/>
      <c r="J17" s="17" t="s">
        <v>76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139</v>
      </c>
      <c r="B18" s="15" t="s">
        <v>47</v>
      </c>
      <c r="C18" s="16">
        <v>9</v>
      </c>
      <c r="D18" s="16">
        <v>10</v>
      </c>
      <c r="E18" s="16">
        <f t="shared" si="1"/>
        <v>1</v>
      </c>
      <c r="F18" s="17" t="s">
        <v>76</v>
      </c>
      <c r="G18" s="17"/>
      <c r="H18" s="17"/>
      <c r="I18" s="17"/>
      <c r="J18" s="17" t="s">
        <v>76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139</v>
      </c>
      <c r="B19" s="15" t="s">
        <v>47</v>
      </c>
      <c r="C19" s="16">
        <v>10</v>
      </c>
      <c r="D19" s="16">
        <v>11</v>
      </c>
      <c r="E19" s="16">
        <f t="shared" si="1"/>
        <v>1</v>
      </c>
      <c r="F19" s="17" t="s">
        <v>76</v>
      </c>
      <c r="G19" s="17"/>
      <c r="H19" s="17"/>
      <c r="I19" s="17"/>
      <c r="J19" s="17" t="s">
        <v>76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139</v>
      </c>
      <c r="B20" s="15" t="s">
        <v>47</v>
      </c>
      <c r="C20" s="16">
        <v>11</v>
      </c>
      <c r="D20" s="16">
        <v>12</v>
      </c>
      <c r="E20" s="16">
        <f t="shared" si="1"/>
        <v>1</v>
      </c>
      <c r="F20" s="17" t="s">
        <v>76</v>
      </c>
      <c r="G20" s="17"/>
      <c r="H20" s="17"/>
      <c r="I20" s="17"/>
      <c r="J20" s="17" t="s">
        <v>76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139</v>
      </c>
      <c r="B21" s="15" t="s">
        <v>47</v>
      </c>
      <c r="C21" s="16">
        <v>12</v>
      </c>
      <c r="D21" s="16">
        <v>13</v>
      </c>
      <c r="E21" s="16">
        <f t="shared" si="1"/>
        <v>1</v>
      </c>
      <c r="F21" s="17" t="s">
        <v>76</v>
      </c>
      <c r="G21" s="17"/>
      <c r="H21" s="17"/>
      <c r="I21" s="17"/>
      <c r="J21" s="17" t="s">
        <v>76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139</v>
      </c>
      <c r="B22" s="15" t="s">
        <v>47</v>
      </c>
      <c r="C22" s="16">
        <v>13</v>
      </c>
      <c r="D22" s="16">
        <v>14</v>
      </c>
      <c r="E22" s="16">
        <f t="shared" si="1"/>
        <v>1</v>
      </c>
      <c r="F22" s="17" t="s">
        <v>76</v>
      </c>
      <c r="G22" s="17"/>
      <c r="H22" s="17"/>
      <c r="I22" s="17"/>
      <c r="J22" s="17" t="s">
        <v>76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139</v>
      </c>
      <c r="B23" s="15" t="s">
        <v>47</v>
      </c>
      <c r="C23" s="16">
        <v>14</v>
      </c>
      <c r="D23" s="16">
        <v>15</v>
      </c>
      <c r="E23" s="16">
        <f t="shared" si="1"/>
        <v>1</v>
      </c>
      <c r="F23" s="17" t="s">
        <v>76</v>
      </c>
      <c r="G23" s="17"/>
      <c r="H23" s="17"/>
      <c r="I23" s="17"/>
      <c r="J23" s="17" t="s">
        <v>76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139</v>
      </c>
      <c r="B24" s="15" t="s">
        <v>47</v>
      </c>
      <c r="C24" s="16">
        <v>15</v>
      </c>
      <c r="D24" s="16">
        <v>16</v>
      </c>
      <c r="E24" s="16">
        <f t="shared" si="1"/>
        <v>1</v>
      </c>
      <c r="F24" s="17" t="s">
        <v>76</v>
      </c>
      <c r="G24" s="17"/>
      <c r="H24" s="17"/>
      <c r="I24" s="17"/>
      <c r="J24" s="17" t="s">
        <v>76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20" t="s">
        <v>139</v>
      </c>
      <c r="B25" s="21" t="s">
        <v>47</v>
      </c>
      <c r="C25" s="22">
        <v>16</v>
      </c>
      <c r="D25" s="22">
        <v>16.272420419700001</v>
      </c>
      <c r="E25" s="22">
        <f t="shared" si="1"/>
        <v>0.2724204197000013</v>
      </c>
      <c r="F25" s="23" t="s">
        <v>76</v>
      </c>
      <c r="G25" s="23"/>
      <c r="H25" s="23"/>
      <c r="I25" s="23"/>
      <c r="J25" s="23" t="s">
        <v>76</v>
      </c>
      <c r="K25" s="23"/>
      <c r="L25" s="23"/>
      <c r="M25" s="24"/>
      <c r="N25" s="25" t="str">
        <f t="shared" si="2"/>
        <v>OK</v>
      </c>
    </row>
    <row r="26" spans="1:14" ht="15.95" customHeight="1" x14ac:dyDescent="0.25">
      <c r="A26" s="38" t="s">
        <v>140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  <c r="N26" s="4"/>
    </row>
    <row r="27" spans="1:14" ht="20.100000000000001" customHeight="1" x14ac:dyDescent="0.25">
      <c r="A27" s="14" t="s">
        <v>141</v>
      </c>
      <c r="B27" s="15" t="s">
        <v>47</v>
      </c>
      <c r="C27" s="16">
        <v>0</v>
      </c>
      <c r="D27" s="16">
        <v>1</v>
      </c>
      <c r="E27" s="16">
        <f t="shared" ref="E27:E32" si="3">D27-C27</f>
        <v>1</v>
      </c>
      <c r="F27" s="17" t="s">
        <v>76</v>
      </c>
      <c r="G27" s="17"/>
      <c r="H27" s="17"/>
      <c r="I27" s="17"/>
      <c r="J27" s="17"/>
      <c r="K27" s="17"/>
      <c r="L27" s="17" t="s">
        <v>76</v>
      </c>
      <c r="M27" s="18"/>
      <c r="N27" s="19" t="str">
        <f t="shared" ref="N27:N32" si="4">IF(COUNTA(F27:L27)=0,"— não preenchido",IF(COUNTIF(F27:I27,"X")&lt;&gt;1,"FALTA/DUPLA: CONDIÇÃO DA PLATAFORMA",IF(COUNTIF(J27:L27,"X")&lt;&gt;1,"FALTA/DUPLA: DRENAGEM SUPERFICIAL","OK")))</f>
        <v>OK</v>
      </c>
    </row>
    <row r="28" spans="1:14" ht="20.100000000000001" customHeight="1" x14ac:dyDescent="0.25">
      <c r="A28" s="14" t="s">
        <v>141</v>
      </c>
      <c r="B28" s="15" t="s">
        <v>47</v>
      </c>
      <c r="C28" s="16">
        <v>1</v>
      </c>
      <c r="D28" s="16">
        <v>2</v>
      </c>
      <c r="E28" s="16">
        <f t="shared" si="3"/>
        <v>1</v>
      </c>
      <c r="F28" s="17" t="s">
        <v>76</v>
      </c>
      <c r="G28" s="17"/>
      <c r="H28" s="17"/>
      <c r="I28" s="17"/>
      <c r="J28" s="17"/>
      <c r="K28" s="17"/>
      <c r="L28" s="17" t="s">
        <v>76</v>
      </c>
      <c r="M28" s="18"/>
      <c r="N28" s="19" t="str">
        <f t="shared" si="4"/>
        <v>OK</v>
      </c>
    </row>
    <row r="29" spans="1:14" ht="20.100000000000001" customHeight="1" x14ac:dyDescent="0.25">
      <c r="A29" s="14" t="s">
        <v>141</v>
      </c>
      <c r="B29" s="15" t="s">
        <v>47</v>
      </c>
      <c r="C29" s="16">
        <v>2</v>
      </c>
      <c r="D29" s="16">
        <v>3</v>
      </c>
      <c r="E29" s="16">
        <f t="shared" si="3"/>
        <v>1</v>
      </c>
      <c r="F29" s="17" t="s">
        <v>76</v>
      </c>
      <c r="G29" s="17"/>
      <c r="H29" s="17"/>
      <c r="I29" s="17"/>
      <c r="J29" s="17"/>
      <c r="K29" s="17"/>
      <c r="L29" s="17" t="s">
        <v>76</v>
      </c>
      <c r="M29" s="18"/>
      <c r="N29" s="19" t="str">
        <f t="shared" si="4"/>
        <v>OK</v>
      </c>
    </row>
    <row r="30" spans="1:14" ht="20.100000000000001" customHeight="1" x14ac:dyDescent="0.25">
      <c r="A30" s="14" t="s">
        <v>141</v>
      </c>
      <c r="B30" s="15" t="s">
        <v>47</v>
      </c>
      <c r="C30" s="16">
        <v>3</v>
      </c>
      <c r="D30" s="16">
        <v>4</v>
      </c>
      <c r="E30" s="16">
        <f t="shared" si="3"/>
        <v>1</v>
      </c>
      <c r="F30" s="17" t="s">
        <v>76</v>
      </c>
      <c r="G30" s="17"/>
      <c r="H30" s="17"/>
      <c r="I30" s="17"/>
      <c r="J30" s="17"/>
      <c r="K30" s="17"/>
      <c r="L30" s="17" t="s">
        <v>76</v>
      </c>
      <c r="M30" s="18"/>
      <c r="N30" s="19" t="str">
        <f t="shared" si="4"/>
        <v>OK</v>
      </c>
    </row>
    <row r="31" spans="1:14" ht="20.100000000000001" customHeight="1" x14ac:dyDescent="0.25">
      <c r="A31" s="14" t="s">
        <v>141</v>
      </c>
      <c r="B31" s="15" t="s">
        <v>47</v>
      </c>
      <c r="C31" s="16">
        <v>4</v>
      </c>
      <c r="D31" s="16">
        <v>5</v>
      </c>
      <c r="E31" s="16">
        <f t="shared" si="3"/>
        <v>1</v>
      </c>
      <c r="F31" s="17" t="s">
        <v>76</v>
      </c>
      <c r="G31" s="17"/>
      <c r="H31" s="17"/>
      <c r="I31" s="17"/>
      <c r="J31" s="17"/>
      <c r="K31" s="17"/>
      <c r="L31" s="17" t="s">
        <v>76</v>
      </c>
      <c r="M31" s="18"/>
      <c r="N31" s="19" t="str">
        <f t="shared" si="4"/>
        <v>OK</v>
      </c>
    </row>
    <row r="32" spans="1:14" ht="20.100000000000001" customHeight="1" x14ac:dyDescent="0.25">
      <c r="A32" s="20" t="s">
        <v>141</v>
      </c>
      <c r="B32" s="21" t="s">
        <v>47</v>
      </c>
      <c r="C32" s="22">
        <v>5</v>
      </c>
      <c r="D32" s="22">
        <v>5.4039721786000001</v>
      </c>
      <c r="E32" s="22">
        <f t="shared" si="3"/>
        <v>0.40397217860000012</v>
      </c>
      <c r="F32" s="23" t="s">
        <v>76</v>
      </c>
      <c r="G32" s="23"/>
      <c r="H32" s="23"/>
      <c r="I32" s="23"/>
      <c r="J32" s="23"/>
      <c r="K32" s="23"/>
      <c r="L32" s="23" t="s">
        <v>76</v>
      </c>
      <c r="M32" s="24"/>
      <c r="N32" s="25" t="str">
        <f t="shared" si="4"/>
        <v>OK</v>
      </c>
    </row>
    <row r="34" spans="1:13" x14ac:dyDescent="0.25">
      <c r="A34" s="46" t="s">
        <v>48</v>
      </c>
      <c r="B34" s="31"/>
      <c r="C34" s="31"/>
      <c r="D34" s="31"/>
      <c r="E34" s="31"/>
      <c r="G34" s="46" t="s">
        <v>48</v>
      </c>
      <c r="H34" s="31"/>
      <c r="I34" s="31"/>
      <c r="J34" s="31"/>
      <c r="K34" s="31"/>
    </row>
    <row r="35" spans="1:13" x14ac:dyDescent="0.25">
      <c r="A35" s="45" t="s">
        <v>49</v>
      </c>
      <c r="B35" s="31"/>
      <c r="C35" s="31"/>
      <c r="D35" s="31"/>
      <c r="E35" s="31"/>
      <c r="G35" s="45" t="s">
        <v>50</v>
      </c>
      <c r="H35" s="31"/>
      <c r="I35" s="31"/>
      <c r="J35" s="31"/>
      <c r="K35" s="31"/>
    </row>
    <row r="37" spans="1:13" x14ac:dyDescent="0.25">
      <c r="A37" s="43" t="s">
        <v>51</v>
      </c>
      <c r="B37" s="31"/>
      <c r="C37" s="31"/>
      <c r="D37" s="31"/>
      <c r="E37" s="31"/>
      <c r="F37" s="26"/>
      <c r="G37" s="26"/>
      <c r="H37" s="26"/>
      <c r="I37" s="26"/>
      <c r="J37" s="26"/>
      <c r="K37" s="26"/>
      <c r="L37" s="26"/>
      <c r="M37" s="26"/>
    </row>
    <row r="38" spans="1:13" x14ac:dyDescent="0.25">
      <c r="A38" s="47" t="s">
        <v>52</v>
      </c>
      <c r="B38" s="31"/>
      <c r="C38" s="31"/>
      <c r="D38" s="31"/>
      <c r="E38" s="31"/>
      <c r="F38" s="9">
        <f t="shared" ref="F38:L38" si="5">SUMIF(F$9:F$32,"X",$E$9:$E$32)</f>
        <v>21.676392598300001</v>
      </c>
      <c r="G38" s="9">
        <f t="shared" si="5"/>
        <v>0</v>
      </c>
      <c r="H38" s="9">
        <f t="shared" si="5"/>
        <v>0</v>
      </c>
      <c r="I38" s="9">
        <f t="shared" si="5"/>
        <v>0</v>
      </c>
      <c r="J38" s="9">
        <f t="shared" si="5"/>
        <v>16.272420419700001</v>
      </c>
      <c r="K38" s="9">
        <f t="shared" si="5"/>
        <v>0</v>
      </c>
      <c r="L38" s="9">
        <f t="shared" si="5"/>
        <v>5.4039721786000001</v>
      </c>
    </row>
    <row r="39" spans="1:13" x14ac:dyDescent="0.25">
      <c r="A39" s="47" t="s">
        <v>53</v>
      </c>
      <c r="B39" s="31"/>
      <c r="C39" s="31"/>
      <c r="D39" s="31"/>
      <c r="E39" s="31"/>
      <c r="F39" s="27">
        <f t="shared" ref="F39:L39" si="6">IF($I41=0,0,F38/$I41)</f>
        <v>1</v>
      </c>
      <c r="G39" s="27">
        <f t="shared" si="6"/>
        <v>0</v>
      </c>
      <c r="H39" s="27">
        <f t="shared" si="6"/>
        <v>0</v>
      </c>
      <c r="I39" s="27">
        <f t="shared" si="6"/>
        <v>0</v>
      </c>
      <c r="J39" s="27">
        <f t="shared" si="6"/>
        <v>0.75069780849864232</v>
      </c>
      <c r="K39" s="27">
        <f t="shared" si="6"/>
        <v>0</v>
      </c>
      <c r="L39" s="27">
        <f t="shared" si="6"/>
        <v>0.24930219150135771</v>
      </c>
    </row>
    <row r="40" spans="1:13" x14ac:dyDescent="0.25">
      <c r="A40" s="47" t="s">
        <v>54</v>
      </c>
      <c r="B40" s="31"/>
      <c r="C40" s="31"/>
      <c r="D40" s="31"/>
      <c r="E40" s="31"/>
      <c r="F40" s="49" t="str">
        <f>IF(SUM(F38:I38)=0,"— não preenchido",IF(ROUND(SUM(F38:I38)-$I41,3)=0,"OK — "&amp;ROUND(SUM(F38:I38),3)&amp;" km","ERRO — dif. de "&amp;ROUND(SUM(F38:I38)-$I41,3)&amp;" km"))</f>
        <v>OK — 21,676 km</v>
      </c>
      <c r="G40" s="33"/>
      <c r="H40" s="33"/>
      <c r="I40" s="34"/>
      <c r="J40" s="49" t="str">
        <f>IF(SUM(J38:L38)=0,"— não preenchido",IF(ROUND(SUM(J38:L38)-$I41,3)=0,"OK — "&amp;ROUND(SUM(J38:L38),3)&amp;" km","ERRO — dif. de "&amp;ROUND(SUM(J38:L38)-$I41,3)&amp;" km"))</f>
        <v>OK — 21,676 km</v>
      </c>
      <c r="K40" s="33"/>
      <c r="L40" s="34"/>
    </row>
    <row r="41" spans="1:13" x14ac:dyDescent="0.25">
      <c r="A41" s="47" t="s">
        <v>55</v>
      </c>
      <c r="B41" s="31"/>
      <c r="C41" s="31"/>
      <c r="D41" s="31"/>
      <c r="E41" s="31"/>
      <c r="I41" s="28">
        <f>SUM(E9:E32)</f>
        <v>21.676392598300001</v>
      </c>
      <c r="M41" s="8" t="str">
        <f>COUNTIF(N9:N32,"OK")&amp;" de "&amp;COUNT($E$9:$E$32)&amp;" linhas conferidas"</f>
        <v>23 de 23 linhas conferidas</v>
      </c>
    </row>
    <row r="43" spans="1:13" x14ac:dyDescent="0.25">
      <c r="A43" s="48" t="s">
        <v>56</v>
      </c>
      <c r="B43" s="31"/>
      <c r="C43" s="31"/>
      <c r="D43" s="31"/>
      <c r="E43" s="31"/>
    </row>
    <row r="44" spans="1:13" x14ac:dyDescent="0.25">
      <c r="A44" s="47" t="s">
        <v>10</v>
      </c>
      <c r="B44" s="31"/>
      <c r="C44" s="31"/>
      <c r="D44" s="31"/>
      <c r="E44" s="44" t="s">
        <v>57</v>
      </c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47" t="s">
        <v>11</v>
      </c>
      <c r="B45" s="31"/>
      <c r="C45" s="31"/>
      <c r="D45" s="31"/>
      <c r="E45" s="44" t="s">
        <v>58</v>
      </c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47" t="s">
        <v>12</v>
      </c>
      <c r="B46" s="31"/>
      <c r="C46" s="31"/>
      <c r="D46" s="31"/>
      <c r="E46" s="44" t="s">
        <v>59</v>
      </c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47" t="s">
        <v>60</v>
      </c>
      <c r="B47" s="31"/>
      <c r="C47" s="31"/>
      <c r="D47" s="31"/>
      <c r="E47" s="44" t="s">
        <v>61</v>
      </c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47" t="s">
        <v>62</v>
      </c>
      <c r="B48" s="31"/>
      <c r="C48" s="31"/>
      <c r="D48" s="31"/>
      <c r="E48" s="44" t="s">
        <v>63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47" t="s">
        <v>64</v>
      </c>
      <c r="B49" s="31"/>
      <c r="C49" s="31"/>
      <c r="D49" s="31"/>
      <c r="E49" s="44" t="s">
        <v>65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47" t="s">
        <v>39</v>
      </c>
      <c r="B50" s="31"/>
      <c r="C50" s="31"/>
      <c r="D50" s="31"/>
      <c r="E50" s="44" t="s">
        <v>66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47" t="s">
        <v>67</v>
      </c>
      <c r="B51" s="31"/>
      <c r="C51" s="31"/>
      <c r="D51" s="31"/>
      <c r="E51" s="44" t="s">
        <v>68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47" t="s">
        <v>69</v>
      </c>
      <c r="B52" s="31"/>
      <c r="C52" s="31"/>
      <c r="D52" s="31"/>
      <c r="E52" s="44" t="s">
        <v>70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47" t="s">
        <v>8</v>
      </c>
      <c r="B53" s="31"/>
      <c r="C53" s="31"/>
      <c r="D53" s="31"/>
      <c r="E53" s="44" t="s">
        <v>71</v>
      </c>
      <c r="F53" s="31"/>
      <c r="G53" s="31"/>
      <c r="H53" s="31"/>
      <c r="I53" s="31"/>
      <c r="J53" s="31"/>
      <c r="K53" s="31"/>
      <c r="L53" s="31"/>
      <c r="M53" s="31"/>
    </row>
  </sheetData>
  <sheetProtection formatCells="0"/>
  <mergeCells count="51">
    <mergeCell ref="N6:N7"/>
    <mergeCell ref="E53:M53"/>
    <mergeCell ref="K3:M3"/>
    <mergeCell ref="E47:M47"/>
    <mergeCell ref="A46:D46"/>
    <mergeCell ref="E50:M50"/>
    <mergeCell ref="A35:E35"/>
    <mergeCell ref="G35:K35"/>
    <mergeCell ref="A43:E43"/>
    <mergeCell ref="A38:E38"/>
    <mergeCell ref="A50:D50"/>
    <mergeCell ref="A3:J3"/>
    <mergeCell ref="E52:M52"/>
    <mergeCell ref="A26:M26"/>
    <mergeCell ref="E45:M45"/>
    <mergeCell ref="A48:D48"/>
    <mergeCell ref="A1:M1"/>
    <mergeCell ref="G34:K34"/>
    <mergeCell ref="A39:E39"/>
    <mergeCell ref="J6:L6"/>
    <mergeCell ref="A34:E34"/>
    <mergeCell ref="A49:D49"/>
    <mergeCell ref="A51:D51"/>
    <mergeCell ref="B6:B7"/>
    <mergeCell ref="F6:I6"/>
    <mergeCell ref="A45:D45"/>
    <mergeCell ref="F40:I40"/>
    <mergeCell ref="E48:M48"/>
    <mergeCell ref="C6:C7"/>
    <mergeCell ref="J40:L40"/>
    <mergeCell ref="D6:D7"/>
    <mergeCell ref="A40:E40"/>
    <mergeCell ref="E51:M51"/>
    <mergeCell ref="E44:M44"/>
    <mergeCell ref="A41:E41"/>
    <mergeCell ref="A53:D53"/>
    <mergeCell ref="G2:H2"/>
    <mergeCell ref="A8:M8"/>
    <mergeCell ref="A4:M4"/>
    <mergeCell ref="A52:D52"/>
    <mergeCell ref="A6:A7"/>
    <mergeCell ref="A2:C2"/>
    <mergeCell ref="A47:D47"/>
    <mergeCell ref="A44:D44"/>
    <mergeCell ref="E46:M46"/>
    <mergeCell ref="K2:M2"/>
    <mergeCell ref="D2:E2"/>
    <mergeCell ref="E49:M49"/>
    <mergeCell ref="M6:M7"/>
    <mergeCell ref="A37:E37"/>
    <mergeCell ref="E6:E7"/>
  </mergeCells>
  <conditionalFormatting sqref="F9:I32">
    <cfRule type="expression" dxfId="5" priority="1">
      <formula>AND(F9&lt;&gt;"",COUNTIF($F9:$I9,"X")&gt;1)</formula>
    </cfRule>
  </conditionalFormatting>
  <conditionalFormatting sqref="F40:L40">
    <cfRule type="expression" dxfId="4" priority="5">
      <formula>LEFT(F40,4)="ERRO"</formula>
    </cfRule>
    <cfRule type="expression" dxfId="3" priority="6">
      <formula>LEFT(F40,2)="OK"</formula>
    </cfRule>
  </conditionalFormatting>
  <conditionalFormatting sqref="J9:L32">
    <cfRule type="expression" dxfId="2" priority="2">
      <formula>AND(J9&lt;&gt;"",COUNTIF($J9:$L9,"X")&gt;1)</formula>
    </cfRule>
  </conditionalFormatting>
  <conditionalFormatting sqref="N9:N32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2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2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32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242</oddHeader>
    <oddFooter>&amp;L&amp;7 RTA / MSI — Programa de Manutenção Rodoviária&amp;C&amp;7 Página &amp;P de &amp;N&amp;R&amp;7 Impresso em &amp;D</oddFooter>
  </headerFooter>
  <rowBreaks count="1" manualBreakCount="1">
    <brk id="3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142</v>
      </c>
    </row>
    <row r="2" spans="1:1" x14ac:dyDescent="0.25">
      <c r="A2" t="s">
        <v>143</v>
      </c>
    </row>
    <row r="3" spans="1:1" x14ac:dyDescent="0.25">
      <c r="A3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228</vt:lpstr>
      <vt:lpstr>229</vt:lpstr>
      <vt:lpstr>231</vt:lpstr>
      <vt:lpstr>232</vt:lpstr>
      <vt:lpstr>236</vt:lpstr>
      <vt:lpstr>237</vt:lpstr>
      <vt:lpstr>238</vt:lpstr>
      <vt:lpstr>239</vt:lpstr>
      <vt:lpstr>240</vt:lpstr>
      <vt:lpstr>241</vt:lpstr>
      <vt:lpstr>242</vt:lpstr>
      <vt:lpstr>LISTAS</vt:lpstr>
      <vt:lpstr>'228'!Area_de_impressao</vt:lpstr>
      <vt:lpstr>'229'!Area_de_impressao</vt:lpstr>
      <vt:lpstr>'231'!Area_de_impressao</vt:lpstr>
      <vt:lpstr>'232'!Area_de_impressao</vt:lpstr>
      <vt:lpstr>'236'!Area_de_impressao</vt:lpstr>
      <vt:lpstr>'237'!Area_de_impressao</vt:lpstr>
      <vt:lpstr>'238'!Area_de_impressao</vt:lpstr>
      <vt:lpstr>'239'!Area_de_impressao</vt:lpstr>
      <vt:lpstr>'240'!Area_de_impressao</vt:lpstr>
      <vt:lpstr>'241'!Area_de_impressao</vt:lpstr>
      <vt:lpstr>'242'!Area_de_impressao</vt:lpstr>
      <vt:lpstr>RESUMO!Area_de_impressao</vt:lpstr>
      <vt:lpstr>'228'!Titulos_de_impressao</vt:lpstr>
      <vt:lpstr>'229'!Titulos_de_impressao</vt:lpstr>
      <vt:lpstr>'231'!Titulos_de_impressao</vt:lpstr>
      <vt:lpstr>'232'!Titulos_de_impressao</vt:lpstr>
      <vt:lpstr>'236'!Titulos_de_impressao</vt:lpstr>
      <vt:lpstr>'237'!Titulos_de_impressao</vt:lpstr>
      <vt:lpstr>'238'!Titulos_de_impressao</vt:lpstr>
      <vt:lpstr>'239'!Titulos_de_impressao</vt:lpstr>
      <vt:lpstr>'240'!Titulos_de_impressao</vt:lpstr>
      <vt:lpstr>'241'!Titulos_de_impressao</vt:lpstr>
      <vt:lpstr>'242'!Titulos_de_impressao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2026-08-12T19:05:42Z</dcterms:created>
  <dcterms:modified xsi:type="dcterms:W3CDTF">2026-08-31T12:02:13Z</dcterms:modified>
</cp:coreProperties>
</file>