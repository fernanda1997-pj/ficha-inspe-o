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1. Projetos\RTA\"/>
    </mc:Choice>
  </mc:AlternateContent>
  <xr:revisionPtr revIDLastSave="0" documentId="13_ncr:1_{A6DCBA7A-2467-4354-B214-C3789B750C78}" xr6:coauthVersionLast="47" xr6:coauthVersionMax="47" xr10:uidLastSave="{00000000-0000-0000-0000-000000000000}"/>
  <bookViews>
    <workbookView xWindow="-28920" yWindow="-1785" windowWidth="29040" windowHeight="15720" tabRatio="850" activeTab="4" xr2:uid="{B3ADFE79-E3C6-47F3-8176-221C62BDF425}"/>
  </bookViews>
  <sheets>
    <sheet name="Trechos" sheetId="27" r:id="rId1"/>
    <sheet name="202" sheetId="1" r:id="rId2"/>
    <sheet name="203" sheetId="15" r:id="rId3"/>
    <sheet name="204" sheetId="16" r:id="rId4"/>
    <sheet name="205" sheetId="17" r:id="rId5"/>
    <sheet name="206" sheetId="18" r:id="rId6"/>
    <sheet name="209" sheetId="19" r:id="rId7"/>
    <sheet name="210" sheetId="20" r:id="rId8"/>
    <sheet name="212" sheetId="21" r:id="rId9"/>
    <sheet name="214" sheetId="22" r:id="rId10"/>
    <sheet name="218" sheetId="23" r:id="rId11"/>
    <sheet name="219" sheetId="24" r:id="rId12"/>
    <sheet name="220" sheetId="25" r:id="rId13"/>
    <sheet name="TT" sheetId="2" r:id="rId14"/>
  </sheets>
  <externalReferences>
    <externalReference r:id="rId15"/>
    <externalReference r:id="rId16"/>
  </externalReferences>
  <definedNames>
    <definedName name="_xlnm.Print_Area" localSheetId="1">'202'!$A$1:$U$60</definedName>
    <definedName name="_xlnm.Print_Area" localSheetId="2">'203'!$A$1:$U$34</definedName>
    <definedName name="_xlnm.Print_Area" localSheetId="3">'204'!$A$1:$U$34</definedName>
    <definedName name="_xlnm.Print_Area" localSheetId="4">'205'!$A$1:$U$34</definedName>
    <definedName name="_xlnm.Print_Area" localSheetId="5">'206'!$A$1:$U$56</definedName>
    <definedName name="_xlnm.Print_Area" localSheetId="6">'209'!$A$1:$U$34</definedName>
    <definedName name="_xlnm.Print_Area" localSheetId="7">'210'!$A$1:$U$34</definedName>
    <definedName name="_xlnm.Print_Area" localSheetId="8">'212'!$A$1:$U$55</definedName>
    <definedName name="_xlnm.Print_Area" localSheetId="9">'214'!$A$1:$U$34</definedName>
    <definedName name="_xlnm.Print_Area" localSheetId="10">'218'!$A$1:$U$34</definedName>
    <definedName name="_xlnm.Print_Area" localSheetId="11">'219'!$A$1:$U$98</definedName>
    <definedName name="_xlnm.Print_Area" localSheetId="12">'220'!$A$1:$U$34</definedName>
    <definedName name="_xlnm.Print_Area" localSheetId="0">Trechos!$A$1:$G$28</definedName>
    <definedName name="_xlnm.Print_Area" localSheetId="13">TT!$A$1:$S$20</definedName>
    <definedName name="_xlnm.Print_Titles" localSheetId="5">'206'!$2:$6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5" l="1"/>
  <c r="O2" i="24"/>
  <c r="O2" i="23"/>
  <c r="O2" i="22"/>
  <c r="O2" i="21"/>
  <c r="O2" i="20"/>
  <c r="O2" i="19"/>
  <c r="O2" i="18"/>
  <c r="O2" i="17"/>
  <c r="O2" i="16"/>
  <c r="O2" i="15"/>
  <c r="J2" i="25" l="1"/>
  <c r="J2" i="24"/>
  <c r="J2" i="23"/>
  <c r="J2" i="20"/>
  <c r="J2" i="19"/>
  <c r="J2" i="18"/>
  <c r="J2" i="17"/>
  <c r="J2" i="16"/>
  <c r="J2" i="15"/>
  <c r="C17" i="19"/>
  <c r="C11" i="19"/>
  <c r="C12" i="19"/>
  <c r="C13" i="19"/>
  <c r="C14" i="19"/>
  <c r="C15" i="19"/>
  <c r="C9" i="19"/>
  <c r="C10" i="19"/>
  <c r="C8" i="19"/>
  <c r="F40" i="23"/>
  <c r="G40" i="23"/>
  <c r="H40" i="23"/>
  <c r="H72" i="23" s="1"/>
  <c r="H104" i="23" s="1"/>
  <c r="I40" i="23"/>
  <c r="J40" i="23"/>
  <c r="J72" i="23" s="1"/>
  <c r="J104" i="23" s="1"/>
  <c r="L40" i="23"/>
  <c r="N40" i="23"/>
  <c r="O40" i="23"/>
  <c r="P40" i="23"/>
  <c r="R40" i="23"/>
  <c r="T40" i="23"/>
  <c r="F41" i="23"/>
  <c r="G41" i="23"/>
  <c r="H41" i="23"/>
  <c r="H73" i="23" s="1"/>
  <c r="H105" i="23" s="1"/>
  <c r="I41" i="23"/>
  <c r="I73" i="23" s="1"/>
  <c r="I105" i="23" s="1"/>
  <c r="J41" i="23"/>
  <c r="J73" i="23" s="1"/>
  <c r="J105" i="23" s="1"/>
  <c r="L41" i="23"/>
  <c r="N41" i="23"/>
  <c r="O41" i="23"/>
  <c r="P41" i="23"/>
  <c r="R41" i="23"/>
  <c r="T41" i="23"/>
  <c r="E42" i="23"/>
  <c r="F42" i="23"/>
  <c r="G42" i="23"/>
  <c r="H42" i="23"/>
  <c r="I42" i="23"/>
  <c r="J42" i="23"/>
  <c r="J74" i="23" s="1"/>
  <c r="J106" i="23" s="1"/>
  <c r="K42" i="23"/>
  <c r="L42" i="23"/>
  <c r="M42" i="23"/>
  <c r="N42" i="23"/>
  <c r="O42" i="23"/>
  <c r="P42" i="23"/>
  <c r="Q42" i="23"/>
  <c r="R42" i="23"/>
  <c r="S42" i="23"/>
  <c r="T42" i="23"/>
  <c r="E43" i="23"/>
  <c r="F43" i="23"/>
  <c r="G43" i="23"/>
  <c r="H43" i="23"/>
  <c r="I43" i="23"/>
  <c r="I75" i="23" s="1"/>
  <c r="I107" i="23" s="1"/>
  <c r="J43" i="23"/>
  <c r="J75" i="23" s="1"/>
  <c r="J107" i="23" s="1"/>
  <c r="K43" i="23"/>
  <c r="K75" i="23" s="1"/>
  <c r="K107" i="23" s="1"/>
  <c r="L43" i="23"/>
  <c r="M43" i="23"/>
  <c r="N43" i="23"/>
  <c r="O43" i="23"/>
  <c r="P43" i="23"/>
  <c r="Q43" i="23"/>
  <c r="R43" i="23"/>
  <c r="S43" i="23"/>
  <c r="T43" i="23"/>
  <c r="E44" i="23"/>
  <c r="F44" i="23"/>
  <c r="G44" i="23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E45" i="23"/>
  <c r="F45" i="23"/>
  <c r="G45" i="23"/>
  <c r="H45" i="23"/>
  <c r="H77" i="23" s="1"/>
  <c r="H109" i="23" s="1"/>
  <c r="I45" i="23"/>
  <c r="J45" i="23"/>
  <c r="K45" i="23"/>
  <c r="L45" i="23"/>
  <c r="M45" i="23"/>
  <c r="N45" i="23"/>
  <c r="O45" i="23"/>
  <c r="P45" i="23"/>
  <c r="Q45" i="23"/>
  <c r="R45" i="23"/>
  <c r="S45" i="23"/>
  <c r="T45" i="23"/>
  <c r="E46" i="23"/>
  <c r="F46" i="23"/>
  <c r="G46" i="23"/>
  <c r="H46" i="23"/>
  <c r="I46" i="23"/>
  <c r="J46" i="23"/>
  <c r="K46" i="23"/>
  <c r="L46" i="23"/>
  <c r="M46" i="23"/>
  <c r="N46" i="23"/>
  <c r="O46" i="23"/>
  <c r="P46" i="23"/>
  <c r="Q46" i="23"/>
  <c r="R46" i="23"/>
  <c r="S46" i="23"/>
  <c r="T46" i="23"/>
  <c r="E47" i="23"/>
  <c r="F47" i="23"/>
  <c r="G47" i="23"/>
  <c r="H47" i="23"/>
  <c r="I47" i="23"/>
  <c r="J47" i="23"/>
  <c r="K47" i="23"/>
  <c r="L47" i="23"/>
  <c r="M47" i="23"/>
  <c r="N47" i="23"/>
  <c r="O47" i="23"/>
  <c r="P47" i="23"/>
  <c r="Q47" i="23"/>
  <c r="R47" i="23"/>
  <c r="S47" i="23"/>
  <c r="T47" i="23"/>
  <c r="E48" i="23"/>
  <c r="F48" i="23"/>
  <c r="G48" i="23"/>
  <c r="H48" i="23"/>
  <c r="I48" i="23"/>
  <c r="J48" i="23"/>
  <c r="K48" i="23"/>
  <c r="L48" i="23"/>
  <c r="M48" i="23"/>
  <c r="N48" i="23"/>
  <c r="O48" i="23"/>
  <c r="P48" i="23"/>
  <c r="Q48" i="23"/>
  <c r="R48" i="23"/>
  <c r="S48" i="23"/>
  <c r="T48" i="23"/>
  <c r="E49" i="23"/>
  <c r="F49" i="23"/>
  <c r="G49" i="23"/>
  <c r="H49" i="23"/>
  <c r="I49" i="23"/>
  <c r="J49" i="23"/>
  <c r="K49" i="23"/>
  <c r="L49" i="23"/>
  <c r="M49" i="23"/>
  <c r="N49" i="23"/>
  <c r="O49" i="23"/>
  <c r="P49" i="23"/>
  <c r="Q49" i="23"/>
  <c r="R49" i="23"/>
  <c r="S49" i="23"/>
  <c r="T49" i="23"/>
  <c r="E50" i="23"/>
  <c r="F50" i="23"/>
  <c r="G50" i="23"/>
  <c r="H50" i="23"/>
  <c r="I50" i="23"/>
  <c r="J50" i="23"/>
  <c r="K50" i="23"/>
  <c r="L50" i="23"/>
  <c r="M50" i="23"/>
  <c r="N50" i="23"/>
  <c r="O50" i="23"/>
  <c r="P50" i="23"/>
  <c r="Q50" i="23"/>
  <c r="R50" i="23"/>
  <c r="S50" i="23"/>
  <c r="T50" i="23"/>
  <c r="E51" i="23"/>
  <c r="F51" i="23"/>
  <c r="G51" i="23"/>
  <c r="H51" i="23"/>
  <c r="I51" i="23"/>
  <c r="J51" i="23"/>
  <c r="K51" i="23"/>
  <c r="L51" i="23"/>
  <c r="M51" i="23"/>
  <c r="N51" i="23"/>
  <c r="O51" i="23"/>
  <c r="P51" i="23"/>
  <c r="Q51" i="23"/>
  <c r="R51" i="23"/>
  <c r="S51" i="23"/>
  <c r="T51" i="23"/>
  <c r="E52" i="23"/>
  <c r="F52" i="23"/>
  <c r="G52" i="23"/>
  <c r="H52" i="23"/>
  <c r="I52" i="23"/>
  <c r="J52" i="23"/>
  <c r="K52" i="23"/>
  <c r="L52" i="23"/>
  <c r="M52" i="23"/>
  <c r="N52" i="23"/>
  <c r="O52" i="23"/>
  <c r="P52" i="23"/>
  <c r="Q52" i="23"/>
  <c r="R52" i="23"/>
  <c r="S52" i="23"/>
  <c r="T52" i="23"/>
  <c r="E53" i="23"/>
  <c r="F53" i="23"/>
  <c r="G53" i="23"/>
  <c r="H53" i="23"/>
  <c r="I53" i="23"/>
  <c r="J53" i="23"/>
  <c r="K53" i="23"/>
  <c r="L53" i="23"/>
  <c r="M53" i="23"/>
  <c r="N53" i="23"/>
  <c r="O53" i="23"/>
  <c r="P53" i="23"/>
  <c r="Q53" i="23"/>
  <c r="R53" i="23"/>
  <c r="S53" i="23"/>
  <c r="T53" i="23"/>
  <c r="E54" i="23"/>
  <c r="F54" i="23"/>
  <c r="G54" i="23"/>
  <c r="H54" i="23"/>
  <c r="I54" i="23"/>
  <c r="J54" i="23"/>
  <c r="K54" i="23"/>
  <c r="L54" i="23"/>
  <c r="M54" i="23"/>
  <c r="N54" i="23"/>
  <c r="O54" i="23"/>
  <c r="P54" i="23"/>
  <c r="Q54" i="23"/>
  <c r="R54" i="23"/>
  <c r="S54" i="23"/>
  <c r="T54" i="23"/>
  <c r="E55" i="23"/>
  <c r="F55" i="23"/>
  <c r="G55" i="23"/>
  <c r="H55" i="23"/>
  <c r="I55" i="23"/>
  <c r="J55" i="23"/>
  <c r="K55" i="23"/>
  <c r="L55" i="23"/>
  <c r="M55" i="23"/>
  <c r="N55" i="23"/>
  <c r="O55" i="23"/>
  <c r="P55" i="23"/>
  <c r="Q55" i="23"/>
  <c r="R55" i="23"/>
  <c r="S55" i="23"/>
  <c r="T55" i="23"/>
  <c r="E56" i="23"/>
  <c r="F56" i="23"/>
  <c r="G56" i="23"/>
  <c r="H56" i="23"/>
  <c r="I56" i="23"/>
  <c r="J56" i="23"/>
  <c r="K56" i="23"/>
  <c r="L56" i="23"/>
  <c r="M56" i="23"/>
  <c r="N56" i="23"/>
  <c r="O56" i="23"/>
  <c r="P56" i="23"/>
  <c r="Q56" i="23"/>
  <c r="R56" i="23"/>
  <c r="S56" i="23"/>
  <c r="T56" i="23"/>
  <c r="E57" i="23"/>
  <c r="F57" i="23"/>
  <c r="G57" i="23"/>
  <c r="H57" i="23"/>
  <c r="I57" i="23"/>
  <c r="J57" i="23"/>
  <c r="K57" i="23"/>
  <c r="L57" i="23"/>
  <c r="M57" i="23"/>
  <c r="N57" i="23"/>
  <c r="O57" i="23"/>
  <c r="P57" i="23"/>
  <c r="Q57" i="23"/>
  <c r="R57" i="23"/>
  <c r="S57" i="23"/>
  <c r="T57" i="23"/>
  <c r="E58" i="23"/>
  <c r="F58" i="23"/>
  <c r="G58" i="23"/>
  <c r="H58" i="23"/>
  <c r="I58" i="23"/>
  <c r="J58" i="23"/>
  <c r="K58" i="23"/>
  <c r="L58" i="23"/>
  <c r="M58" i="23"/>
  <c r="N58" i="23"/>
  <c r="O58" i="23"/>
  <c r="P58" i="23"/>
  <c r="Q58" i="23"/>
  <c r="R58" i="23"/>
  <c r="S58" i="23"/>
  <c r="T58" i="23"/>
  <c r="E59" i="23"/>
  <c r="F59" i="23"/>
  <c r="G59" i="23"/>
  <c r="H59" i="23"/>
  <c r="I59" i="23"/>
  <c r="J59" i="23"/>
  <c r="K59" i="23"/>
  <c r="L59" i="23"/>
  <c r="M59" i="23"/>
  <c r="N59" i="23"/>
  <c r="O59" i="23"/>
  <c r="P59" i="23"/>
  <c r="Q59" i="23"/>
  <c r="R59" i="23"/>
  <c r="S59" i="23"/>
  <c r="T59" i="23"/>
  <c r="E60" i="23"/>
  <c r="F60" i="23"/>
  <c r="G60" i="23"/>
  <c r="H60" i="23"/>
  <c r="I60" i="23"/>
  <c r="J60" i="23"/>
  <c r="K60" i="23"/>
  <c r="L60" i="23"/>
  <c r="M60" i="23"/>
  <c r="N60" i="23"/>
  <c r="O60" i="23"/>
  <c r="P60" i="23"/>
  <c r="Q60" i="23"/>
  <c r="R60" i="23"/>
  <c r="S60" i="23"/>
  <c r="T60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E68" i="23"/>
  <c r="F68" i="23"/>
  <c r="G68" i="23"/>
  <c r="H68" i="23"/>
  <c r="I68" i="23"/>
  <c r="J68" i="23"/>
  <c r="K68" i="23"/>
  <c r="L68" i="23"/>
  <c r="M68" i="23"/>
  <c r="N68" i="23"/>
  <c r="O68" i="23"/>
  <c r="P68" i="23"/>
  <c r="Q68" i="23"/>
  <c r="R68" i="23"/>
  <c r="S68" i="23"/>
  <c r="T68" i="23"/>
  <c r="E69" i="23"/>
  <c r="F69" i="23"/>
  <c r="G69" i="23"/>
  <c r="H69" i="23"/>
  <c r="I69" i="23"/>
  <c r="J69" i="23"/>
  <c r="K69" i="23"/>
  <c r="L69" i="23"/>
  <c r="M69" i="23"/>
  <c r="N69" i="23"/>
  <c r="O69" i="23"/>
  <c r="P69" i="23"/>
  <c r="Q69" i="23"/>
  <c r="R69" i="23"/>
  <c r="S69" i="23"/>
  <c r="T69" i="23"/>
  <c r="E70" i="23"/>
  <c r="F70" i="23"/>
  <c r="G70" i="23"/>
  <c r="H70" i="23"/>
  <c r="I70" i="23"/>
  <c r="J70" i="23"/>
  <c r="K70" i="23"/>
  <c r="L70" i="23"/>
  <c r="M70" i="23"/>
  <c r="N70" i="23"/>
  <c r="O70" i="23"/>
  <c r="P70" i="23"/>
  <c r="Q70" i="23"/>
  <c r="R70" i="23"/>
  <c r="S70" i="23"/>
  <c r="T70" i="23"/>
  <c r="F72" i="23"/>
  <c r="G72" i="23"/>
  <c r="I72" i="23"/>
  <c r="I104" i="23" s="1"/>
  <c r="L72" i="23"/>
  <c r="N72" i="23"/>
  <c r="O72" i="23"/>
  <c r="P72" i="23"/>
  <c r="R72" i="23"/>
  <c r="T72" i="23"/>
  <c r="F73" i="23"/>
  <c r="G73" i="23"/>
  <c r="L73" i="23"/>
  <c r="N73" i="23"/>
  <c r="O73" i="23"/>
  <c r="P73" i="23"/>
  <c r="R73" i="23"/>
  <c r="T73" i="23"/>
  <c r="E74" i="23"/>
  <c r="F74" i="23"/>
  <c r="G74" i="23"/>
  <c r="H74" i="23"/>
  <c r="I74" i="23"/>
  <c r="K74" i="23"/>
  <c r="K106" i="23" s="1"/>
  <c r="L74" i="23"/>
  <c r="M74" i="23"/>
  <c r="N74" i="23"/>
  <c r="O74" i="23"/>
  <c r="P74" i="23"/>
  <c r="Q74" i="23"/>
  <c r="R74" i="23"/>
  <c r="S74" i="23"/>
  <c r="T74" i="23"/>
  <c r="E75" i="23"/>
  <c r="F75" i="23"/>
  <c r="G75" i="23"/>
  <c r="H75" i="23"/>
  <c r="H107" i="23" s="1"/>
  <c r="L75" i="23"/>
  <c r="M75" i="23"/>
  <c r="N75" i="23"/>
  <c r="O75" i="23"/>
  <c r="P75" i="23"/>
  <c r="Q75" i="23"/>
  <c r="R75" i="23"/>
  <c r="S75" i="23"/>
  <c r="T75" i="23"/>
  <c r="E76" i="23"/>
  <c r="F76" i="23"/>
  <c r="G76" i="23"/>
  <c r="H76" i="23"/>
  <c r="I76" i="23"/>
  <c r="J76" i="23"/>
  <c r="J108" i="23" s="1"/>
  <c r="K76" i="23"/>
  <c r="L76" i="23"/>
  <c r="M76" i="23"/>
  <c r="N76" i="23"/>
  <c r="O76" i="23"/>
  <c r="P76" i="23"/>
  <c r="Q76" i="23"/>
  <c r="R76" i="23"/>
  <c r="S76" i="23"/>
  <c r="T76" i="23"/>
  <c r="E77" i="23"/>
  <c r="F77" i="23"/>
  <c r="G77" i="23"/>
  <c r="I77" i="23"/>
  <c r="J77" i="23"/>
  <c r="J109" i="23" s="1"/>
  <c r="K77" i="23"/>
  <c r="L77" i="23"/>
  <c r="M77" i="23"/>
  <c r="N77" i="23"/>
  <c r="O77" i="23"/>
  <c r="P77" i="23"/>
  <c r="Q77" i="23"/>
  <c r="R77" i="23"/>
  <c r="S77" i="23"/>
  <c r="T77" i="23"/>
  <c r="E78" i="23"/>
  <c r="F78" i="23"/>
  <c r="G78" i="23"/>
  <c r="H78" i="23"/>
  <c r="I78" i="23"/>
  <c r="J78" i="23"/>
  <c r="J110" i="23" s="1"/>
  <c r="K78" i="23"/>
  <c r="L78" i="23"/>
  <c r="M78" i="23"/>
  <c r="N78" i="23"/>
  <c r="O78" i="23"/>
  <c r="P78" i="23"/>
  <c r="Q78" i="23"/>
  <c r="R78" i="23"/>
  <c r="S78" i="23"/>
  <c r="T78" i="23"/>
  <c r="E79" i="23"/>
  <c r="F79" i="23"/>
  <c r="G79" i="23"/>
  <c r="H79" i="23"/>
  <c r="I79" i="23"/>
  <c r="J79" i="23"/>
  <c r="J111" i="23" s="1"/>
  <c r="K79" i="23"/>
  <c r="L79" i="23"/>
  <c r="M79" i="23"/>
  <c r="N79" i="23"/>
  <c r="O79" i="23"/>
  <c r="P79" i="23"/>
  <c r="Q79" i="23"/>
  <c r="R79" i="23"/>
  <c r="S79" i="23"/>
  <c r="T79" i="23"/>
  <c r="E80" i="23"/>
  <c r="F80" i="23"/>
  <c r="G80" i="23"/>
  <c r="H80" i="23"/>
  <c r="I80" i="23"/>
  <c r="J80" i="23"/>
  <c r="J112" i="23" s="1"/>
  <c r="K80" i="23"/>
  <c r="L80" i="23"/>
  <c r="M80" i="23"/>
  <c r="N80" i="23"/>
  <c r="O80" i="23"/>
  <c r="P80" i="23"/>
  <c r="Q80" i="23"/>
  <c r="R80" i="23"/>
  <c r="S80" i="23"/>
  <c r="T80" i="23"/>
  <c r="E81" i="23"/>
  <c r="F81" i="23"/>
  <c r="G81" i="23"/>
  <c r="H81" i="23"/>
  <c r="I81" i="23"/>
  <c r="J81" i="23"/>
  <c r="J113" i="23" s="1"/>
  <c r="K81" i="23"/>
  <c r="L81" i="23"/>
  <c r="M81" i="23"/>
  <c r="N81" i="23"/>
  <c r="O81" i="23"/>
  <c r="P81" i="23"/>
  <c r="Q81" i="23"/>
  <c r="R81" i="23"/>
  <c r="S81" i="23"/>
  <c r="T81" i="23"/>
  <c r="E82" i="23"/>
  <c r="F82" i="23"/>
  <c r="G82" i="23"/>
  <c r="H82" i="23"/>
  <c r="I82" i="23"/>
  <c r="J82" i="23"/>
  <c r="J114" i="23" s="1"/>
  <c r="K82" i="23"/>
  <c r="L82" i="23"/>
  <c r="M82" i="23"/>
  <c r="N82" i="23"/>
  <c r="O82" i="23"/>
  <c r="P82" i="23"/>
  <c r="Q82" i="23"/>
  <c r="R82" i="23"/>
  <c r="S82" i="23"/>
  <c r="T82" i="23"/>
  <c r="E83" i="23"/>
  <c r="F83" i="23"/>
  <c r="G83" i="23"/>
  <c r="H83" i="23"/>
  <c r="I83" i="23"/>
  <c r="J83" i="23"/>
  <c r="J115" i="23" s="1"/>
  <c r="K83" i="23"/>
  <c r="L83" i="23"/>
  <c r="M83" i="23"/>
  <c r="N83" i="23"/>
  <c r="O83" i="23"/>
  <c r="P83" i="23"/>
  <c r="Q83" i="23"/>
  <c r="R83" i="23"/>
  <c r="S83" i="23"/>
  <c r="T83" i="23"/>
  <c r="E84" i="23"/>
  <c r="F84" i="23"/>
  <c r="G84" i="23"/>
  <c r="H84" i="23"/>
  <c r="I84" i="23"/>
  <c r="J84" i="23"/>
  <c r="J116" i="23" s="1"/>
  <c r="K84" i="23"/>
  <c r="L84" i="23"/>
  <c r="M84" i="23"/>
  <c r="N84" i="23"/>
  <c r="O84" i="23"/>
  <c r="P84" i="23"/>
  <c r="Q84" i="23"/>
  <c r="R84" i="23"/>
  <c r="S84" i="23"/>
  <c r="T84" i="23"/>
  <c r="E85" i="23"/>
  <c r="F85" i="23"/>
  <c r="G85" i="23"/>
  <c r="H85" i="23"/>
  <c r="I85" i="23"/>
  <c r="J85" i="23"/>
  <c r="J117" i="23" s="1"/>
  <c r="K85" i="23"/>
  <c r="L85" i="23"/>
  <c r="M85" i="23"/>
  <c r="N85" i="23"/>
  <c r="O85" i="23"/>
  <c r="P85" i="23"/>
  <c r="Q85" i="23"/>
  <c r="R85" i="23"/>
  <c r="S85" i="23"/>
  <c r="T85" i="23"/>
  <c r="E86" i="23"/>
  <c r="F86" i="23"/>
  <c r="G86" i="23"/>
  <c r="H86" i="23"/>
  <c r="I86" i="23"/>
  <c r="J86" i="23"/>
  <c r="J118" i="23" s="1"/>
  <c r="K86" i="23"/>
  <c r="L86" i="23"/>
  <c r="M86" i="23"/>
  <c r="N86" i="23"/>
  <c r="O86" i="23"/>
  <c r="P86" i="23"/>
  <c r="Q86" i="23"/>
  <c r="R86" i="23"/>
  <c r="S86" i="23"/>
  <c r="T86" i="23"/>
  <c r="E87" i="23"/>
  <c r="F87" i="23"/>
  <c r="G87" i="23"/>
  <c r="H87" i="23"/>
  <c r="I87" i="23"/>
  <c r="J87" i="23"/>
  <c r="J119" i="23" s="1"/>
  <c r="K87" i="23"/>
  <c r="L87" i="23"/>
  <c r="M87" i="23"/>
  <c r="N87" i="23"/>
  <c r="O87" i="23"/>
  <c r="P87" i="23"/>
  <c r="Q87" i="23"/>
  <c r="R87" i="23"/>
  <c r="S87" i="23"/>
  <c r="T87" i="23"/>
  <c r="E88" i="23"/>
  <c r="F88" i="23"/>
  <c r="G88" i="23"/>
  <c r="H88" i="23"/>
  <c r="I88" i="23"/>
  <c r="J88" i="23"/>
  <c r="J120" i="23" s="1"/>
  <c r="K88" i="23"/>
  <c r="L88" i="23"/>
  <c r="M88" i="23"/>
  <c r="N88" i="23"/>
  <c r="O88" i="23"/>
  <c r="P88" i="23"/>
  <c r="Q88" i="23"/>
  <c r="R88" i="23"/>
  <c r="S88" i="23"/>
  <c r="T88" i="23"/>
  <c r="E89" i="23"/>
  <c r="F89" i="23"/>
  <c r="G89" i="23"/>
  <c r="H89" i="23"/>
  <c r="I89" i="23"/>
  <c r="J89" i="23"/>
  <c r="J121" i="23" s="1"/>
  <c r="K89" i="23"/>
  <c r="L89" i="23"/>
  <c r="M89" i="23"/>
  <c r="N89" i="23"/>
  <c r="O89" i="23"/>
  <c r="P89" i="23"/>
  <c r="Q89" i="23"/>
  <c r="R89" i="23"/>
  <c r="S89" i="23"/>
  <c r="T89" i="23"/>
  <c r="E90" i="23"/>
  <c r="F90" i="23"/>
  <c r="G90" i="23"/>
  <c r="H90" i="23"/>
  <c r="I90" i="23"/>
  <c r="J90" i="23"/>
  <c r="J122" i="23" s="1"/>
  <c r="K90" i="23"/>
  <c r="L90" i="23"/>
  <c r="M90" i="23"/>
  <c r="N90" i="23"/>
  <c r="O90" i="23"/>
  <c r="P90" i="23"/>
  <c r="Q90" i="23"/>
  <c r="R90" i="23"/>
  <c r="S90" i="23"/>
  <c r="T90" i="23"/>
  <c r="E91" i="23"/>
  <c r="F91" i="23"/>
  <c r="G91" i="23"/>
  <c r="H91" i="23"/>
  <c r="I91" i="23"/>
  <c r="J91" i="23"/>
  <c r="J123" i="23" s="1"/>
  <c r="K91" i="23"/>
  <c r="L91" i="23"/>
  <c r="M91" i="23"/>
  <c r="N91" i="23"/>
  <c r="O91" i="23"/>
  <c r="P91" i="23"/>
  <c r="Q91" i="23"/>
  <c r="R91" i="23"/>
  <c r="S91" i="23"/>
  <c r="T91" i="23"/>
  <c r="E92" i="23"/>
  <c r="F92" i="23"/>
  <c r="G92" i="23"/>
  <c r="H92" i="23"/>
  <c r="I92" i="23"/>
  <c r="J92" i="23"/>
  <c r="J124" i="23" s="1"/>
  <c r="K92" i="23"/>
  <c r="L92" i="23"/>
  <c r="M92" i="23"/>
  <c r="N92" i="23"/>
  <c r="O92" i="23"/>
  <c r="P92" i="23"/>
  <c r="Q92" i="23"/>
  <c r="R92" i="23"/>
  <c r="S92" i="23"/>
  <c r="T92" i="23"/>
  <c r="E93" i="23"/>
  <c r="F93" i="23"/>
  <c r="G93" i="23"/>
  <c r="H93" i="23"/>
  <c r="I93" i="23"/>
  <c r="J93" i="23"/>
  <c r="J125" i="23" s="1"/>
  <c r="K93" i="23"/>
  <c r="L93" i="23"/>
  <c r="M93" i="23"/>
  <c r="N93" i="23"/>
  <c r="O93" i="23"/>
  <c r="P93" i="23"/>
  <c r="Q93" i="23"/>
  <c r="R93" i="23"/>
  <c r="S93" i="23"/>
  <c r="T93" i="23"/>
  <c r="E94" i="23"/>
  <c r="F94" i="23"/>
  <c r="G94" i="23"/>
  <c r="H94" i="23"/>
  <c r="I94" i="23"/>
  <c r="J94" i="23"/>
  <c r="J126" i="23" s="1"/>
  <c r="K94" i="23"/>
  <c r="L94" i="23"/>
  <c r="M94" i="23"/>
  <c r="N94" i="23"/>
  <c r="O94" i="23"/>
  <c r="P94" i="23"/>
  <c r="Q94" i="23"/>
  <c r="R94" i="23"/>
  <c r="S94" i="23"/>
  <c r="T94" i="23"/>
  <c r="E95" i="23"/>
  <c r="F95" i="23"/>
  <c r="G95" i="23"/>
  <c r="H95" i="23"/>
  <c r="I95" i="23"/>
  <c r="J95" i="23"/>
  <c r="J127" i="23" s="1"/>
  <c r="K95" i="23"/>
  <c r="L95" i="23"/>
  <c r="M95" i="23"/>
  <c r="N95" i="23"/>
  <c r="O95" i="23"/>
  <c r="P95" i="23"/>
  <c r="Q95" i="23"/>
  <c r="R95" i="23"/>
  <c r="S95" i="23"/>
  <c r="T95" i="23"/>
  <c r="E96" i="23"/>
  <c r="F96" i="23"/>
  <c r="G96" i="23"/>
  <c r="H96" i="23"/>
  <c r="I96" i="23"/>
  <c r="J96" i="23"/>
  <c r="K96" i="23"/>
  <c r="L96" i="23"/>
  <c r="M96" i="23"/>
  <c r="N96" i="23"/>
  <c r="O96" i="23"/>
  <c r="P96" i="23"/>
  <c r="Q96" i="23"/>
  <c r="R96" i="23"/>
  <c r="S96" i="23"/>
  <c r="T96" i="23"/>
  <c r="E97" i="23"/>
  <c r="F97" i="23"/>
  <c r="G97" i="23"/>
  <c r="H97" i="23"/>
  <c r="I97" i="23"/>
  <c r="J97" i="23"/>
  <c r="K97" i="23"/>
  <c r="L97" i="23"/>
  <c r="M97" i="23"/>
  <c r="N97" i="23"/>
  <c r="O97" i="23"/>
  <c r="P97" i="23"/>
  <c r="Q97" i="23"/>
  <c r="R97" i="23"/>
  <c r="S97" i="23"/>
  <c r="T97" i="23"/>
  <c r="E98" i="23"/>
  <c r="F98" i="23"/>
  <c r="G98" i="23"/>
  <c r="H98" i="23"/>
  <c r="I98" i="23"/>
  <c r="J98" i="23"/>
  <c r="K98" i="23"/>
  <c r="L98" i="23"/>
  <c r="M98" i="23"/>
  <c r="N98" i="23"/>
  <c r="O98" i="23"/>
  <c r="P98" i="23"/>
  <c r="Q98" i="23"/>
  <c r="R98" i="23"/>
  <c r="S98" i="23"/>
  <c r="T98" i="23"/>
  <c r="E99" i="23"/>
  <c r="F99" i="23"/>
  <c r="G99" i="23"/>
  <c r="H99" i="23"/>
  <c r="I99" i="23"/>
  <c r="J99" i="23"/>
  <c r="K99" i="23"/>
  <c r="L99" i="23"/>
  <c r="M99" i="23"/>
  <c r="N99" i="23"/>
  <c r="O99" i="23"/>
  <c r="P99" i="23"/>
  <c r="Q99" i="23"/>
  <c r="R99" i="23"/>
  <c r="S99" i="23"/>
  <c r="T99" i="23"/>
  <c r="E100" i="23"/>
  <c r="F100" i="23"/>
  <c r="G100" i="23"/>
  <c r="H100" i="23"/>
  <c r="I100" i="23"/>
  <c r="J100" i="23"/>
  <c r="K100" i="23"/>
  <c r="L100" i="23"/>
  <c r="M100" i="23"/>
  <c r="N100" i="23"/>
  <c r="O100" i="23"/>
  <c r="P100" i="23"/>
  <c r="Q100" i="23"/>
  <c r="R100" i="23"/>
  <c r="S100" i="23"/>
  <c r="T100" i="23"/>
  <c r="E101" i="23"/>
  <c r="F101" i="23"/>
  <c r="G101" i="23"/>
  <c r="H101" i="23"/>
  <c r="I101" i="23"/>
  <c r="J101" i="23"/>
  <c r="K101" i="23"/>
  <c r="L101" i="23"/>
  <c r="M101" i="23"/>
  <c r="N101" i="23"/>
  <c r="O101" i="23"/>
  <c r="P101" i="23"/>
  <c r="Q101" i="23"/>
  <c r="R101" i="23"/>
  <c r="S101" i="23"/>
  <c r="T101" i="23"/>
  <c r="E102" i="23"/>
  <c r="F102" i="23"/>
  <c r="G102" i="23"/>
  <c r="H102" i="23"/>
  <c r="I102" i="23"/>
  <c r="J102" i="23"/>
  <c r="K102" i="23"/>
  <c r="L102" i="23"/>
  <c r="M102" i="23"/>
  <c r="N102" i="23"/>
  <c r="O102" i="23"/>
  <c r="P102" i="23"/>
  <c r="Q102" i="23"/>
  <c r="R102" i="23"/>
  <c r="S102" i="23"/>
  <c r="T102" i="23"/>
  <c r="F104" i="23"/>
  <c r="G104" i="23"/>
  <c r="L104" i="23"/>
  <c r="N104" i="23"/>
  <c r="O104" i="23"/>
  <c r="P104" i="23"/>
  <c r="R104" i="23"/>
  <c r="T104" i="23"/>
  <c r="F105" i="23"/>
  <c r="G105" i="23"/>
  <c r="L105" i="23"/>
  <c r="N105" i="23"/>
  <c r="O105" i="23"/>
  <c r="P105" i="23"/>
  <c r="R105" i="23"/>
  <c r="T105" i="23"/>
  <c r="E106" i="23"/>
  <c r="F106" i="23"/>
  <c r="G106" i="23"/>
  <c r="H106" i="23"/>
  <c r="I106" i="23"/>
  <c r="L106" i="23"/>
  <c r="M106" i="23"/>
  <c r="N106" i="23"/>
  <c r="O106" i="23"/>
  <c r="P106" i="23"/>
  <c r="Q106" i="23"/>
  <c r="R106" i="23"/>
  <c r="S106" i="23"/>
  <c r="T106" i="23"/>
  <c r="E107" i="23"/>
  <c r="F107" i="23"/>
  <c r="G107" i="23"/>
  <c r="L107" i="23"/>
  <c r="M107" i="23"/>
  <c r="N107" i="23"/>
  <c r="O107" i="23"/>
  <c r="P107" i="23"/>
  <c r="Q107" i="23"/>
  <c r="R107" i="23"/>
  <c r="S107" i="23"/>
  <c r="T107" i="23"/>
  <c r="E108" i="23"/>
  <c r="F108" i="23"/>
  <c r="G108" i="23"/>
  <c r="H108" i="23"/>
  <c r="I108" i="23"/>
  <c r="K108" i="23"/>
  <c r="L108" i="23"/>
  <c r="M108" i="23"/>
  <c r="N108" i="23"/>
  <c r="O108" i="23"/>
  <c r="P108" i="23"/>
  <c r="Q108" i="23"/>
  <c r="R108" i="23"/>
  <c r="S108" i="23"/>
  <c r="T108" i="23"/>
  <c r="E109" i="23"/>
  <c r="F109" i="23"/>
  <c r="G109" i="23"/>
  <c r="I109" i="23"/>
  <c r="K109" i="23"/>
  <c r="L109" i="23"/>
  <c r="M109" i="23"/>
  <c r="N109" i="23"/>
  <c r="O109" i="23"/>
  <c r="P109" i="23"/>
  <c r="Q109" i="23"/>
  <c r="R109" i="23"/>
  <c r="S109" i="23"/>
  <c r="T109" i="23"/>
  <c r="E110" i="23"/>
  <c r="F110" i="23"/>
  <c r="G110" i="23"/>
  <c r="H110" i="23"/>
  <c r="I110" i="23"/>
  <c r="K110" i="23"/>
  <c r="L110" i="23"/>
  <c r="M110" i="23"/>
  <c r="N110" i="23"/>
  <c r="O110" i="23"/>
  <c r="P110" i="23"/>
  <c r="Q110" i="23"/>
  <c r="R110" i="23"/>
  <c r="S110" i="23"/>
  <c r="T110" i="23"/>
  <c r="E111" i="23"/>
  <c r="F111" i="23"/>
  <c r="G111" i="23"/>
  <c r="H111" i="23"/>
  <c r="I111" i="23"/>
  <c r="K111" i="23"/>
  <c r="L111" i="23"/>
  <c r="M111" i="23"/>
  <c r="N111" i="23"/>
  <c r="O111" i="23"/>
  <c r="P111" i="23"/>
  <c r="Q111" i="23"/>
  <c r="R111" i="23"/>
  <c r="S111" i="23"/>
  <c r="T111" i="23"/>
  <c r="E112" i="23"/>
  <c r="F112" i="23"/>
  <c r="G112" i="23"/>
  <c r="H112" i="23"/>
  <c r="I112" i="23"/>
  <c r="K112" i="23"/>
  <c r="L112" i="23"/>
  <c r="M112" i="23"/>
  <c r="N112" i="23"/>
  <c r="O112" i="23"/>
  <c r="P112" i="23"/>
  <c r="Q112" i="23"/>
  <c r="R112" i="23"/>
  <c r="S112" i="23"/>
  <c r="T112" i="23"/>
  <c r="E113" i="23"/>
  <c r="F113" i="23"/>
  <c r="G113" i="23"/>
  <c r="H113" i="23"/>
  <c r="I113" i="23"/>
  <c r="K113" i="23"/>
  <c r="L113" i="23"/>
  <c r="M113" i="23"/>
  <c r="N113" i="23"/>
  <c r="O113" i="23"/>
  <c r="P113" i="23"/>
  <c r="Q113" i="23"/>
  <c r="R113" i="23"/>
  <c r="S113" i="23"/>
  <c r="T113" i="23"/>
  <c r="E114" i="23"/>
  <c r="F114" i="23"/>
  <c r="G114" i="23"/>
  <c r="H114" i="23"/>
  <c r="I114" i="23"/>
  <c r="K114" i="23"/>
  <c r="L114" i="23"/>
  <c r="M114" i="23"/>
  <c r="N114" i="23"/>
  <c r="O114" i="23"/>
  <c r="P114" i="23"/>
  <c r="Q114" i="23"/>
  <c r="R114" i="23"/>
  <c r="S114" i="23"/>
  <c r="T114" i="23"/>
  <c r="E115" i="23"/>
  <c r="F115" i="23"/>
  <c r="G115" i="23"/>
  <c r="H115" i="23"/>
  <c r="I115" i="23"/>
  <c r="K115" i="23"/>
  <c r="L115" i="23"/>
  <c r="M115" i="23"/>
  <c r="N115" i="23"/>
  <c r="O115" i="23"/>
  <c r="P115" i="23"/>
  <c r="Q115" i="23"/>
  <c r="R115" i="23"/>
  <c r="S115" i="23"/>
  <c r="T115" i="23"/>
  <c r="E116" i="23"/>
  <c r="F116" i="23"/>
  <c r="G116" i="23"/>
  <c r="H116" i="23"/>
  <c r="I116" i="23"/>
  <c r="K116" i="23"/>
  <c r="L116" i="23"/>
  <c r="M116" i="23"/>
  <c r="N116" i="23"/>
  <c r="O116" i="23"/>
  <c r="P116" i="23"/>
  <c r="Q116" i="23"/>
  <c r="R116" i="23"/>
  <c r="S116" i="23"/>
  <c r="T116" i="23"/>
  <c r="E117" i="23"/>
  <c r="F117" i="23"/>
  <c r="G117" i="23"/>
  <c r="H117" i="23"/>
  <c r="I117" i="23"/>
  <c r="K117" i="23"/>
  <c r="L117" i="23"/>
  <c r="M117" i="23"/>
  <c r="N117" i="23"/>
  <c r="O117" i="23"/>
  <c r="P117" i="23"/>
  <c r="Q117" i="23"/>
  <c r="R117" i="23"/>
  <c r="S117" i="23"/>
  <c r="T117" i="23"/>
  <c r="E118" i="23"/>
  <c r="F118" i="23"/>
  <c r="G118" i="23"/>
  <c r="H118" i="23"/>
  <c r="I118" i="23"/>
  <c r="K118" i="23"/>
  <c r="L118" i="23"/>
  <c r="M118" i="23"/>
  <c r="N118" i="23"/>
  <c r="O118" i="23"/>
  <c r="P118" i="23"/>
  <c r="Q118" i="23"/>
  <c r="R118" i="23"/>
  <c r="S118" i="23"/>
  <c r="T118" i="23"/>
  <c r="E119" i="23"/>
  <c r="F119" i="23"/>
  <c r="G119" i="23"/>
  <c r="H119" i="23"/>
  <c r="I119" i="23"/>
  <c r="K119" i="23"/>
  <c r="L119" i="23"/>
  <c r="M119" i="23"/>
  <c r="N119" i="23"/>
  <c r="O119" i="23"/>
  <c r="P119" i="23"/>
  <c r="Q119" i="23"/>
  <c r="R119" i="23"/>
  <c r="S119" i="23"/>
  <c r="T119" i="23"/>
  <c r="E120" i="23"/>
  <c r="F120" i="23"/>
  <c r="G120" i="23"/>
  <c r="H120" i="23"/>
  <c r="I120" i="23"/>
  <c r="K120" i="23"/>
  <c r="L120" i="23"/>
  <c r="M120" i="23"/>
  <c r="N120" i="23"/>
  <c r="O120" i="23"/>
  <c r="P120" i="23"/>
  <c r="Q120" i="23"/>
  <c r="R120" i="23"/>
  <c r="S120" i="23"/>
  <c r="T120" i="23"/>
  <c r="E121" i="23"/>
  <c r="F121" i="23"/>
  <c r="G121" i="23"/>
  <c r="H121" i="23"/>
  <c r="I121" i="23"/>
  <c r="K121" i="23"/>
  <c r="L121" i="23"/>
  <c r="M121" i="23"/>
  <c r="N121" i="23"/>
  <c r="O121" i="23"/>
  <c r="P121" i="23"/>
  <c r="Q121" i="23"/>
  <c r="R121" i="23"/>
  <c r="S121" i="23"/>
  <c r="T121" i="23"/>
  <c r="E122" i="23"/>
  <c r="F122" i="23"/>
  <c r="G122" i="23"/>
  <c r="H122" i="23"/>
  <c r="I122" i="23"/>
  <c r="K122" i="23"/>
  <c r="L122" i="23"/>
  <c r="M122" i="23"/>
  <c r="N122" i="23"/>
  <c r="O122" i="23"/>
  <c r="P122" i="23"/>
  <c r="Q122" i="23"/>
  <c r="R122" i="23"/>
  <c r="S122" i="23"/>
  <c r="T122" i="23"/>
  <c r="E123" i="23"/>
  <c r="F123" i="23"/>
  <c r="G123" i="23"/>
  <c r="H123" i="23"/>
  <c r="I123" i="23"/>
  <c r="K123" i="23"/>
  <c r="L123" i="23"/>
  <c r="M123" i="23"/>
  <c r="N123" i="23"/>
  <c r="O123" i="23"/>
  <c r="P123" i="23"/>
  <c r="Q123" i="23"/>
  <c r="R123" i="23"/>
  <c r="S123" i="23"/>
  <c r="T123" i="23"/>
  <c r="E124" i="23"/>
  <c r="F124" i="23"/>
  <c r="G124" i="23"/>
  <c r="H124" i="23"/>
  <c r="I124" i="23"/>
  <c r="K124" i="23"/>
  <c r="L124" i="23"/>
  <c r="M124" i="23"/>
  <c r="N124" i="23"/>
  <c r="O124" i="23"/>
  <c r="P124" i="23"/>
  <c r="Q124" i="23"/>
  <c r="R124" i="23"/>
  <c r="S124" i="23"/>
  <c r="T124" i="23"/>
  <c r="E125" i="23"/>
  <c r="F125" i="23"/>
  <c r="G125" i="23"/>
  <c r="H125" i="23"/>
  <c r="I125" i="23"/>
  <c r="K125" i="23"/>
  <c r="L125" i="23"/>
  <c r="M125" i="23"/>
  <c r="N125" i="23"/>
  <c r="O125" i="23"/>
  <c r="P125" i="23"/>
  <c r="Q125" i="23"/>
  <c r="R125" i="23"/>
  <c r="S125" i="23"/>
  <c r="T125" i="23"/>
  <c r="E126" i="23"/>
  <c r="F126" i="23"/>
  <c r="G126" i="23"/>
  <c r="H126" i="23"/>
  <c r="I126" i="23"/>
  <c r="K126" i="23"/>
  <c r="L126" i="23"/>
  <c r="M126" i="23"/>
  <c r="N126" i="23"/>
  <c r="O126" i="23"/>
  <c r="P126" i="23"/>
  <c r="Q126" i="23"/>
  <c r="R126" i="23"/>
  <c r="S126" i="23"/>
  <c r="T126" i="23"/>
  <c r="E127" i="23"/>
  <c r="F127" i="23"/>
  <c r="G127" i="23"/>
  <c r="H127" i="23"/>
  <c r="I127" i="23"/>
  <c r="K127" i="23"/>
  <c r="L127" i="23"/>
  <c r="M127" i="23"/>
  <c r="N127" i="23"/>
  <c r="O127" i="23"/>
  <c r="P127" i="23"/>
  <c r="Q127" i="23"/>
  <c r="R127" i="23"/>
  <c r="S127" i="23"/>
  <c r="T127" i="23"/>
  <c r="C9" i="23"/>
  <c r="E41" i="23" s="1"/>
  <c r="E73" i="23" s="1"/>
  <c r="E105" i="23" s="1"/>
  <c r="C8" i="23"/>
  <c r="K40" i="23" s="1"/>
  <c r="K72" i="23" s="1"/>
  <c r="K104" i="23" s="1"/>
  <c r="E40" i="16"/>
  <c r="F40" i="16"/>
  <c r="G40" i="16"/>
  <c r="H40" i="16"/>
  <c r="I40" i="16"/>
  <c r="K40" i="16"/>
  <c r="L40" i="16"/>
  <c r="N40" i="16"/>
  <c r="O40" i="16"/>
  <c r="P40" i="16"/>
  <c r="Q40" i="16"/>
  <c r="R40" i="16"/>
  <c r="S40" i="16"/>
  <c r="T40" i="16"/>
  <c r="E41" i="16"/>
  <c r="F41" i="16"/>
  <c r="G41" i="16"/>
  <c r="H41" i="16"/>
  <c r="I41" i="16"/>
  <c r="J41" i="16"/>
  <c r="K41" i="16"/>
  <c r="L41" i="16"/>
  <c r="N41" i="16"/>
  <c r="O41" i="16"/>
  <c r="P41" i="16"/>
  <c r="Q41" i="16"/>
  <c r="R41" i="16"/>
  <c r="S41" i="16"/>
  <c r="T41" i="16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E43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E45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E46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E49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E50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E51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E52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E53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E54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E55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R56" i="16"/>
  <c r="S56" i="16"/>
  <c r="T56" i="16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R59" i="16"/>
  <c r="S59" i="16"/>
  <c r="T59" i="16"/>
  <c r="C9" i="16"/>
  <c r="M41" i="16" s="1"/>
  <c r="C8" i="16"/>
  <c r="M40" i="16" s="1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E64" i="18"/>
  <c r="G64" i="18"/>
  <c r="H64" i="18"/>
  <c r="I64" i="18"/>
  <c r="L64" i="18"/>
  <c r="N64" i="18"/>
  <c r="O64" i="18"/>
  <c r="Q64" i="18"/>
  <c r="R64" i="18"/>
  <c r="T64" i="18"/>
  <c r="F65" i="18"/>
  <c r="G65" i="18"/>
  <c r="H65" i="18"/>
  <c r="I65" i="18"/>
  <c r="L65" i="18"/>
  <c r="N65" i="18"/>
  <c r="O65" i="18"/>
  <c r="Q65" i="18"/>
  <c r="R65" i="18"/>
  <c r="T65" i="18"/>
  <c r="E66" i="18"/>
  <c r="G66" i="18"/>
  <c r="H66" i="18"/>
  <c r="I66" i="18"/>
  <c r="L66" i="18"/>
  <c r="N66" i="18"/>
  <c r="O66" i="18"/>
  <c r="Q66" i="18"/>
  <c r="R66" i="18"/>
  <c r="T66" i="18"/>
  <c r="F67" i="18"/>
  <c r="G67" i="18"/>
  <c r="H67" i="18"/>
  <c r="I67" i="18"/>
  <c r="L67" i="18"/>
  <c r="N67" i="18"/>
  <c r="O67" i="18"/>
  <c r="Q67" i="18"/>
  <c r="R67" i="18"/>
  <c r="T67" i="18"/>
  <c r="E68" i="18"/>
  <c r="F68" i="18"/>
  <c r="H68" i="18"/>
  <c r="I68" i="18"/>
  <c r="L68" i="18"/>
  <c r="N68" i="18"/>
  <c r="O68" i="18"/>
  <c r="Q68" i="18"/>
  <c r="R68" i="18"/>
  <c r="T68" i="18"/>
  <c r="E69" i="18"/>
  <c r="G69" i="18"/>
  <c r="H69" i="18"/>
  <c r="I69" i="18"/>
  <c r="L69" i="18"/>
  <c r="N69" i="18"/>
  <c r="O69" i="18"/>
  <c r="Q69" i="18"/>
  <c r="R69" i="18"/>
  <c r="T69" i="18"/>
  <c r="E70" i="18"/>
  <c r="G70" i="18"/>
  <c r="H70" i="18"/>
  <c r="I70" i="18"/>
  <c r="L70" i="18"/>
  <c r="N70" i="18"/>
  <c r="O70" i="18"/>
  <c r="Q70" i="18"/>
  <c r="R70" i="18"/>
  <c r="T70" i="18"/>
  <c r="E71" i="18"/>
  <c r="F71" i="18"/>
  <c r="H71" i="18"/>
  <c r="I71" i="18"/>
  <c r="L71" i="18"/>
  <c r="N71" i="18"/>
  <c r="O71" i="18"/>
  <c r="Q71" i="18"/>
  <c r="R71" i="18"/>
  <c r="T71" i="18"/>
  <c r="E72" i="18"/>
  <c r="G72" i="18"/>
  <c r="H72" i="18"/>
  <c r="I72" i="18"/>
  <c r="L72" i="18"/>
  <c r="N72" i="18"/>
  <c r="O72" i="18"/>
  <c r="Q72" i="18"/>
  <c r="R72" i="18"/>
  <c r="T72" i="18"/>
  <c r="E73" i="18"/>
  <c r="F73" i="18"/>
  <c r="I73" i="18"/>
  <c r="L73" i="18"/>
  <c r="N73" i="18"/>
  <c r="O73" i="18"/>
  <c r="Q73" i="18"/>
  <c r="R73" i="18"/>
  <c r="T73" i="18"/>
  <c r="E74" i="18"/>
  <c r="G74" i="18"/>
  <c r="H74" i="18"/>
  <c r="I74" i="18"/>
  <c r="L74" i="18"/>
  <c r="N74" i="18"/>
  <c r="O74" i="18"/>
  <c r="Q74" i="18"/>
  <c r="R74" i="18"/>
  <c r="T74" i="18"/>
  <c r="E75" i="18"/>
  <c r="F75" i="18"/>
  <c r="H75" i="18"/>
  <c r="I75" i="18"/>
  <c r="L75" i="18"/>
  <c r="N75" i="18"/>
  <c r="O75" i="18"/>
  <c r="Q75" i="18"/>
  <c r="R75" i="18"/>
  <c r="T75" i="18"/>
  <c r="E76" i="18"/>
  <c r="G76" i="18"/>
  <c r="H76" i="18"/>
  <c r="I76" i="18"/>
  <c r="L76" i="18"/>
  <c r="N76" i="18"/>
  <c r="O76" i="18"/>
  <c r="Q76" i="18"/>
  <c r="R76" i="18"/>
  <c r="T76" i="18"/>
  <c r="E77" i="18"/>
  <c r="F77" i="18"/>
  <c r="G77" i="18"/>
  <c r="H77" i="18"/>
  <c r="I77" i="18"/>
  <c r="J77" i="18"/>
  <c r="K77" i="18"/>
  <c r="L77" i="18"/>
  <c r="M77" i="18"/>
  <c r="N77" i="18"/>
  <c r="O77" i="18"/>
  <c r="P77" i="18"/>
  <c r="Q77" i="18"/>
  <c r="R77" i="18"/>
  <c r="S77" i="18"/>
  <c r="T77" i="18"/>
  <c r="E78" i="18"/>
  <c r="F78" i="18"/>
  <c r="G78" i="18"/>
  <c r="H78" i="18"/>
  <c r="I78" i="18"/>
  <c r="J78" i="18"/>
  <c r="K78" i="18"/>
  <c r="L78" i="18"/>
  <c r="M78" i="18"/>
  <c r="N78" i="18"/>
  <c r="O78" i="18"/>
  <c r="P78" i="18"/>
  <c r="Q78" i="18"/>
  <c r="R78" i="18"/>
  <c r="S78" i="18"/>
  <c r="T78" i="18"/>
  <c r="E79" i="18"/>
  <c r="F79" i="18"/>
  <c r="G79" i="18"/>
  <c r="H79" i="18"/>
  <c r="I79" i="18"/>
  <c r="J79" i="18"/>
  <c r="K79" i="18"/>
  <c r="L79" i="18"/>
  <c r="M79" i="18"/>
  <c r="N79" i="18"/>
  <c r="O79" i="18"/>
  <c r="P79" i="18"/>
  <c r="Q79" i="18"/>
  <c r="R79" i="18"/>
  <c r="S79" i="18"/>
  <c r="T79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Q80" i="18"/>
  <c r="R80" i="18"/>
  <c r="S80" i="18"/>
  <c r="T80" i="18"/>
  <c r="E81" i="18"/>
  <c r="F81" i="18"/>
  <c r="G81" i="18"/>
  <c r="H81" i="18"/>
  <c r="I81" i="18"/>
  <c r="J81" i="18"/>
  <c r="K81" i="18"/>
  <c r="L81" i="18"/>
  <c r="M81" i="18"/>
  <c r="N81" i="18"/>
  <c r="O81" i="18"/>
  <c r="P81" i="18"/>
  <c r="Q81" i="18"/>
  <c r="R81" i="18"/>
  <c r="S81" i="18"/>
  <c r="T81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Q82" i="18"/>
  <c r="R82" i="18"/>
  <c r="S82" i="18"/>
  <c r="T82" i="18"/>
  <c r="E83" i="18"/>
  <c r="F83" i="18"/>
  <c r="G83" i="18"/>
  <c r="H83" i="18"/>
  <c r="I83" i="18"/>
  <c r="J83" i="18"/>
  <c r="K83" i="18"/>
  <c r="L83" i="18"/>
  <c r="M83" i="18"/>
  <c r="N83" i="18"/>
  <c r="O83" i="18"/>
  <c r="P83" i="18"/>
  <c r="Q83" i="18"/>
  <c r="R83" i="18"/>
  <c r="S83" i="18"/>
  <c r="T83" i="18"/>
  <c r="E84" i="18"/>
  <c r="F84" i="18"/>
  <c r="G84" i="18"/>
  <c r="H84" i="18"/>
  <c r="I84" i="18"/>
  <c r="J84" i="18"/>
  <c r="K84" i="18"/>
  <c r="L84" i="18"/>
  <c r="M84" i="18"/>
  <c r="N84" i="18"/>
  <c r="O84" i="18"/>
  <c r="P84" i="18"/>
  <c r="Q84" i="18"/>
  <c r="R84" i="18"/>
  <c r="S84" i="18"/>
  <c r="T84" i="18"/>
  <c r="E85" i="18"/>
  <c r="F85" i="18"/>
  <c r="G85" i="18"/>
  <c r="H85" i="18"/>
  <c r="I85" i="18"/>
  <c r="J85" i="18"/>
  <c r="K85" i="18"/>
  <c r="L85" i="18"/>
  <c r="M85" i="18"/>
  <c r="N85" i="18"/>
  <c r="O85" i="18"/>
  <c r="P85" i="18"/>
  <c r="Q85" i="18"/>
  <c r="R85" i="18"/>
  <c r="S85" i="18"/>
  <c r="T85" i="18"/>
  <c r="E86" i="18"/>
  <c r="F86" i="18"/>
  <c r="G86" i="18"/>
  <c r="H86" i="18"/>
  <c r="I86" i="18"/>
  <c r="J86" i="18"/>
  <c r="K86" i="18"/>
  <c r="L86" i="18"/>
  <c r="M86" i="18"/>
  <c r="N86" i="18"/>
  <c r="O86" i="18"/>
  <c r="P86" i="18"/>
  <c r="Q86" i="18"/>
  <c r="R86" i="18"/>
  <c r="S86" i="18"/>
  <c r="T86" i="18"/>
  <c r="E87" i="18"/>
  <c r="F87" i="18"/>
  <c r="G87" i="18"/>
  <c r="H87" i="18"/>
  <c r="I87" i="18"/>
  <c r="J87" i="18"/>
  <c r="K87" i="18"/>
  <c r="L87" i="18"/>
  <c r="M87" i="18"/>
  <c r="N87" i="18"/>
  <c r="O87" i="18"/>
  <c r="P87" i="18"/>
  <c r="Q87" i="18"/>
  <c r="R87" i="18"/>
  <c r="S87" i="18"/>
  <c r="T87" i="18"/>
  <c r="E88" i="18"/>
  <c r="F88" i="18"/>
  <c r="G88" i="18"/>
  <c r="H88" i="18"/>
  <c r="I88" i="18"/>
  <c r="J88" i="18"/>
  <c r="K88" i="18"/>
  <c r="L88" i="18"/>
  <c r="M88" i="18"/>
  <c r="N88" i="18"/>
  <c r="O88" i="18"/>
  <c r="P88" i="18"/>
  <c r="Q88" i="18"/>
  <c r="R88" i="18"/>
  <c r="S88" i="18"/>
  <c r="T88" i="18"/>
  <c r="E89" i="18"/>
  <c r="F89" i="18"/>
  <c r="G89" i="18"/>
  <c r="H89" i="18"/>
  <c r="I89" i="18"/>
  <c r="J89" i="18"/>
  <c r="K89" i="18"/>
  <c r="L89" i="18"/>
  <c r="M89" i="18"/>
  <c r="N89" i="18"/>
  <c r="O89" i="18"/>
  <c r="P89" i="18"/>
  <c r="Q89" i="18"/>
  <c r="R89" i="18"/>
  <c r="S89" i="18"/>
  <c r="T89" i="18"/>
  <c r="E90" i="18"/>
  <c r="F90" i="18"/>
  <c r="G90" i="18"/>
  <c r="H90" i="18"/>
  <c r="I90" i="18"/>
  <c r="J90" i="18"/>
  <c r="K90" i="18"/>
  <c r="L90" i="18"/>
  <c r="M90" i="18"/>
  <c r="N90" i="18"/>
  <c r="O90" i="18"/>
  <c r="P90" i="18"/>
  <c r="Q90" i="18"/>
  <c r="R90" i="18"/>
  <c r="S90" i="18"/>
  <c r="T90" i="18"/>
  <c r="E91" i="18"/>
  <c r="F91" i="18"/>
  <c r="G91" i="18"/>
  <c r="H91" i="18"/>
  <c r="I91" i="18"/>
  <c r="J91" i="18"/>
  <c r="K91" i="18"/>
  <c r="L91" i="18"/>
  <c r="M91" i="18"/>
  <c r="N91" i="18"/>
  <c r="O91" i="18"/>
  <c r="P91" i="18"/>
  <c r="Q91" i="18"/>
  <c r="R91" i="18"/>
  <c r="S91" i="18"/>
  <c r="T91" i="18"/>
  <c r="E92" i="18"/>
  <c r="F92" i="18"/>
  <c r="G92" i="18"/>
  <c r="H92" i="18"/>
  <c r="I92" i="18"/>
  <c r="J92" i="18"/>
  <c r="K92" i="18"/>
  <c r="L92" i="18"/>
  <c r="M92" i="18"/>
  <c r="N92" i="18"/>
  <c r="O92" i="18"/>
  <c r="P92" i="18"/>
  <c r="Q92" i="18"/>
  <c r="R92" i="18"/>
  <c r="S92" i="18"/>
  <c r="T92" i="18"/>
  <c r="E93" i="18"/>
  <c r="F93" i="18"/>
  <c r="G93" i="18"/>
  <c r="H93" i="18"/>
  <c r="I93" i="18"/>
  <c r="J93" i="18"/>
  <c r="K93" i="18"/>
  <c r="L93" i="18"/>
  <c r="M93" i="18"/>
  <c r="N93" i="18"/>
  <c r="O93" i="18"/>
  <c r="P93" i="18"/>
  <c r="Q93" i="18"/>
  <c r="R93" i="18"/>
  <c r="S93" i="18"/>
  <c r="T93" i="18"/>
  <c r="E94" i="18"/>
  <c r="F94" i="18"/>
  <c r="G94" i="18"/>
  <c r="H94" i="18"/>
  <c r="I94" i="18"/>
  <c r="J94" i="18"/>
  <c r="K94" i="18"/>
  <c r="L94" i="18"/>
  <c r="M94" i="18"/>
  <c r="N94" i="18"/>
  <c r="O94" i="18"/>
  <c r="P94" i="18"/>
  <c r="Q94" i="18"/>
  <c r="R94" i="18"/>
  <c r="S94" i="18"/>
  <c r="T94" i="18"/>
  <c r="E95" i="18"/>
  <c r="F95" i="18"/>
  <c r="G95" i="18"/>
  <c r="H95" i="18"/>
  <c r="I95" i="18"/>
  <c r="J95" i="18"/>
  <c r="K95" i="18"/>
  <c r="L95" i="18"/>
  <c r="M95" i="18"/>
  <c r="N95" i="18"/>
  <c r="O95" i="18"/>
  <c r="P95" i="18"/>
  <c r="Q95" i="18"/>
  <c r="R95" i="18"/>
  <c r="S95" i="18"/>
  <c r="T95" i="18"/>
  <c r="E96" i="18"/>
  <c r="F96" i="18"/>
  <c r="G96" i="18"/>
  <c r="H96" i="18"/>
  <c r="I96" i="18"/>
  <c r="J96" i="18"/>
  <c r="K96" i="18"/>
  <c r="L96" i="18"/>
  <c r="M96" i="18"/>
  <c r="N96" i="18"/>
  <c r="O96" i="18"/>
  <c r="P96" i="18"/>
  <c r="Q96" i="18"/>
  <c r="R96" i="18"/>
  <c r="S96" i="18"/>
  <c r="T96" i="18"/>
  <c r="E97" i="18"/>
  <c r="F97" i="18"/>
  <c r="G97" i="18"/>
  <c r="H97" i="18"/>
  <c r="I97" i="18"/>
  <c r="J97" i="18"/>
  <c r="K97" i="18"/>
  <c r="L97" i="18"/>
  <c r="M97" i="18"/>
  <c r="N97" i="18"/>
  <c r="O97" i="18"/>
  <c r="P97" i="18"/>
  <c r="Q97" i="18"/>
  <c r="R97" i="18"/>
  <c r="S97" i="18"/>
  <c r="T97" i="18"/>
  <c r="E98" i="18"/>
  <c r="F98" i="18"/>
  <c r="G98" i="18"/>
  <c r="H98" i="18"/>
  <c r="I98" i="18"/>
  <c r="J98" i="18"/>
  <c r="K98" i="18"/>
  <c r="L98" i="18"/>
  <c r="M98" i="18"/>
  <c r="N98" i="18"/>
  <c r="O98" i="18"/>
  <c r="P98" i="18"/>
  <c r="Q98" i="18"/>
  <c r="R98" i="18"/>
  <c r="S98" i="18"/>
  <c r="T98" i="18"/>
  <c r="E99" i="18"/>
  <c r="F99" i="18"/>
  <c r="G99" i="18"/>
  <c r="H99" i="18"/>
  <c r="I99" i="18"/>
  <c r="J99" i="18"/>
  <c r="K99" i="18"/>
  <c r="L99" i="18"/>
  <c r="M99" i="18"/>
  <c r="N99" i="18"/>
  <c r="O99" i="18"/>
  <c r="P99" i="18"/>
  <c r="Q99" i="18"/>
  <c r="R99" i="18"/>
  <c r="S99" i="18"/>
  <c r="T99" i="18"/>
  <c r="E100" i="18"/>
  <c r="F100" i="18"/>
  <c r="G100" i="18"/>
  <c r="H100" i="18"/>
  <c r="I100" i="18"/>
  <c r="J100" i="18"/>
  <c r="K100" i="18"/>
  <c r="L100" i="18"/>
  <c r="M100" i="18"/>
  <c r="N100" i="18"/>
  <c r="O100" i="18"/>
  <c r="P100" i="18"/>
  <c r="Q100" i="18"/>
  <c r="R100" i="18"/>
  <c r="S100" i="18"/>
  <c r="T100" i="18"/>
  <c r="E101" i="18"/>
  <c r="F101" i="18"/>
  <c r="G101" i="18"/>
  <c r="H101" i="18"/>
  <c r="I101" i="18"/>
  <c r="J101" i="18"/>
  <c r="K101" i="18"/>
  <c r="L101" i="18"/>
  <c r="M101" i="18"/>
  <c r="N101" i="18"/>
  <c r="O101" i="18"/>
  <c r="P101" i="18"/>
  <c r="Q101" i="18"/>
  <c r="R101" i="18"/>
  <c r="S101" i="18"/>
  <c r="T101" i="18"/>
  <c r="E102" i="18"/>
  <c r="F102" i="18"/>
  <c r="G102" i="18"/>
  <c r="H102" i="18"/>
  <c r="I102" i="18"/>
  <c r="J102" i="18"/>
  <c r="K102" i="18"/>
  <c r="L102" i="18"/>
  <c r="M102" i="18"/>
  <c r="N102" i="18"/>
  <c r="O102" i="18"/>
  <c r="P102" i="18"/>
  <c r="Q102" i="18"/>
  <c r="R102" i="18"/>
  <c r="S102" i="18"/>
  <c r="T102" i="18"/>
  <c r="E103" i="18"/>
  <c r="F103" i="18"/>
  <c r="G103" i="18"/>
  <c r="H103" i="18"/>
  <c r="I103" i="18"/>
  <c r="J103" i="18"/>
  <c r="K103" i="18"/>
  <c r="L103" i="18"/>
  <c r="M103" i="18"/>
  <c r="N103" i="18"/>
  <c r="O103" i="18"/>
  <c r="P103" i="18"/>
  <c r="Q103" i="18"/>
  <c r="R103" i="18"/>
  <c r="S103" i="18"/>
  <c r="T103" i="18"/>
  <c r="E104" i="18"/>
  <c r="F104" i="18"/>
  <c r="G104" i="18"/>
  <c r="H104" i="18"/>
  <c r="I104" i="18"/>
  <c r="J104" i="18"/>
  <c r="K104" i="18"/>
  <c r="L104" i="18"/>
  <c r="M104" i="18"/>
  <c r="N104" i="18"/>
  <c r="O104" i="18"/>
  <c r="P104" i="18"/>
  <c r="Q104" i="18"/>
  <c r="R104" i="18"/>
  <c r="S104" i="18"/>
  <c r="T104" i="18"/>
  <c r="E105" i="18"/>
  <c r="F105" i="18"/>
  <c r="G105" i="18"/>
  <c r="H105" i="18"/>
  <c r="I105" i="18"/>
  <c r="J105" i="18"/>
  <c r="K105" i="18"/>
  <c r="L105" i="18"/>
  <c r="M105" i="18"/>
  <c r="N105" i="18"/>
  <c r="O105" i="18"/>
  <c r="P105" i="18"/>
  <c r="Q105" i="18"/>
  <c r="R105" i="18"/>
  <c r="S105" i="18"/>
  <c r="T105" i="18"/>
  <c r="E106" i="18"/>
  <c r="F106" i="18"/>
  <c r="G106" i="18"/>
  <c r="H106" i="18"/>
  <c r="I106" i="18"/>
  <c r="J106" i="18"/>
  <c r="K106" i="18"/>
  <c r="L106" i="18"/>
  <c r="M106" i="18"/>
  <c r="N106" i="18"/>
  <c r="O106" i="18"/>
  <c r="P106" i="18"/>
  <c r="Q106" i="18"/>
  <c r="R106" i="18"/>
  <c r="S106" i="18"/>
  <c r="T106" i="18"/>
  <c r="E107" i="18"/>
  <c r="F107" i="18"/>
  <c r="G107" i="18"/>
  <c r="H107" i="18"/>
  <c r="I107" i="18"/>
  <c r="J107" i="18"/>
  <c r="K107" i="18"/>
  <c r="L107" i="18"/>
  <c r="M107" i="18"/>
  <c r="N107" i="18"/>
  <c r="O107" i="18"/>
  <c r="P107" i="18"/>
  <c r="Q107" i="18"/>
  <c r="R107" i="18"/>
  <c r="S107" i="18"/>
  <c r="T107" i="18"/>
  <c r="E108" i="18"/>
  <c r="F108" i="18"/>
  <c r="G108" i="18"/>
  <c r="H108" i="18"/>
  <c r="I108" i="18"/>
  <c r="J108" i="18"/>
  <c r="K108" i="18"/>
  <c r="L108" i="18"/>
  <c r="M108" i="18"/>
  <c r="N108" i="18"/>
  <c r="O108" i="18"/>
  <c r="P108" i="18"/>
  <c r="Q108" i="18"/>
  <c r="R108" i="18"/>
  <c r="S108" i="18"/>
  <c r="T108" i="18"/>
  <c r="E109" i="18"/>
  <c r="F109" i="18"/>
  <c r="G109" i="18"/>
  <c r="H109" i="18"/>
  <c r="I109" i="18"/>
  <c r="J109" i="18"/>
  <c r="K109" i="18"/>
  <c r="L109" i="18"/>
  <c r="M109" i="18"/>
  <c r="N109" i="18"/>
  <c r="O109" i="18"/>
  <c r="P109" i="18"/>
  <c r="Q109" i="18"/>
  <c r="R109" i="18"/>
  <c r="S109" i="18"/>
  <c r="T109" i="18"/>
  <c r="E110" i="18"/>
  <c r="F110" i="18"/>
  <c r="G110" i="18"/>
  <c r="H110" i="18"/>
  <c r="I110" i="18"/>
  <c r="J110" i="18"/>
  <c r="K110" i="18"/>
  <c r="L110" i="18"/>
  <c r="M110" i="18"/>
  <c r="N110" i="18"/>
  <c r="O110" i="18"/>
  <c r="P110" i="18"/>
  <c r="Q110" i="18"/>
  <c r="R110" i="18"/>
  <c r="S110" i="18"/>
  <c r="T110" i="18"/>
  <c r="E111" i="18"/>
  <c r="F111" i="18"/>
  <c r="G111" i="18"/>
  <c r="H111" i="18"/>
  <c r="I111" i="18"/>
  <c r="J111" i="18"/>
  <c r="K111" i="18"/>
  <c r="L111" i="18"/>
  <c r="M111" i="18"/>
  <c r="N111" i="18"/>
  <c r="O111" i="18"/>
  <c r="P111" i="18"/>
  <c r="Q111" i="18"/>
  <c r="R111" i="18"/>
  <c r="S111" i="18"/>
  <c r="T111" i="18"/>
  <c r="E112" i="18"/>
  <c r="F112" i="18"/>
  <c r="G112" i="18"/>
  <c r="H112" i="18"/>
  <c r="I112" i="18"/>
  <c r="J112" i="18"/>
  <c r="K112" i="18"/>
  <c r="L112" i="18"/>
  <c r="M112" i="18"/>
  <c r="N112" i="18"/>
  <c r="O112" i="18"/>
  <c r="P112" i="18"/>
  <c r="Q112" i="18"/>
  <c r="R112" i="18"/>
  <c r="S112" i="18"/>
  <c r="T112" i="18"/>
  <c r="E40" i="17"/>
  <c r="G40" i="17"/>
  <c r="H40" i="17"/>
  <c r="I40" i="17"/>
  <c r="K40" i="17"/>
  <c r="L40" i="17"/>
  <c r="N40" i="17"/>
  <c r="P40" i="17"/>
  <c r="Q40" i="17"/>
  <c r="R40" i="17"/>
  <c r="T40" i="17"/>
  <c r="F41" i="17"/>
  <c r="G41" i="17"/>
  <c r="H41" i="17"/>
  <c r="I41" i="17"/>
  <c r="K41" i="17"/>
  <c r="L41" i="17"/>
  <c r="N41" i="17"/>
  <c r="P41" i="17"/>
  <c r="Q41" i="17"/>
  <c r="R41" i="17"/>
  <c r="T41" i="17"/>
  <c r="E42" i="17"/>
  <c r="G42" i="17"/>
  <c r="H42" i="17"/>
  <c r="I42" i="17"/>
  <c r="K42" i="17"/>
  <c r="L42" i="17"/>
  <c r="N42" i="17"/>
  <c r="O42" i="17"/>
  <c r="P42" i="17"/>
  <c r="Q42" i="17"/>
  <c r="R42" i="17"/>
  <c r="S42" i="17"/>
  <c r="T42" i="17"/>
  <c r="F43" i="17"/>
  <c r="G43" i="17"/>
  <c r="H43" i="17"/>
  <c r="I43" i="17"/>
  <c r="K43" i="17"/>
  <c r="L43" i="17"/>
  <c r="N43" i="17"/>
  <c r="P43" i="17"/>
  <c r="Q43" i="17"/>
  <c r="R43" i="17"/>
  <c r="T43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F45" i="17"/>
  <c r="G45" i="17"/>
  <c r="H45" i="17"/>
  <c r="I45" i="17"/>
  <c r="K45" i="17"/>
  <c r="L45" i="17"/>
  <c r="N45" i="17"/>
  <c r="P45" i="17"/>
  <c r="Q45" i="17"/>
  <c r="R45" i="17"/>
  <c r="T45" i="17"/>
  <c r="E46" i="17"/>
  <c r="G46" i="17"/>
  <c r="H46" i="17"/>
  <c r="I46" i="17"/>
  <c r="K46" i="17"/>
  <c r="L46" i="17"/>
  <c r="N46" i="17"/>
  <c r="P46" i="17"/>
  <c r="Q46" i="17"/>
  <c r="R46" i="17"/>
  <c r="T46" i="17"/>
  <c r="E47" i="17"/>
  <c r="F47" i="17"/>
  <c r="H47" i="17"/>
  <c r="I47" i="17"/>
  <c r="K47" i="17"/>
  <c r="L47" i="17"/>
  <c r="N47" i="17"/>
  <c r="P47" i="17"/>
  <c r="Q47" i="17"/>
  <c r="R47" i="17"/>
  <c r="T47" i="17"/>
  <c r="E48" i="17"/>
  <c r="G48" i="17"/>
  <c r="H48" i="17"/>
  <c r="I48" i="17"/>
  <c r="K48" i="17"/>
  <c r="L48" i="17"/>
  <c r="N48" i="17"/>
  <c r="P48" i="17"/>
  <c r="Q48" i="17"/>
  <c r="R48" i="17"/>
  <c r="T48" i="17"/>
  <c r="F49" i="17"/>
  <c r="G49" i="17"/>
  <c r="H49" i="17"/>
  <c r="I49" i="17"/>
  <c r="K49" i="17"/>
  <c r="L49" i="17"/>
  <c r="N49" i="17"/>
  <c r="P49" i="17"/>
  <c r="Q49" i="17"/>
  <c r="R49" i="17"/>
  <c r="T49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C9" i="17"/>
  <c r="E41" i="17" s="1"/>
  <c r="C10" i="17"/>
  <c r="M42" i="17" s="1"/>
  <c r="C11" i="17"/>
  <c r="E43" i="17" s="1"/>
  <c r="E40" i="20"/>
  <c r="E72" i="20" s="1"/>
  <c r="F40" i="20"/>
  <c r="F72" i="20" s="1"/>
  <c r="G40" i="20"/>
  <c r="H40" i="20"/>
  <c r="I40" i="20"/>
  <c r="I72" i="20" s="1"/>
  <c r="J40" i="20"/>
  <c r="J72" i="20" s="1"/>
  <c r="K40" i="20"/>
  <c r="K72" i="20" s="1"/>
  <c r="L40" i="20"/>
  <c r="M40" i="20"/>
  <c r="N40" i="20"/>
  <c r="O40" i="20"/>
  <c r="P40" i="20"/>
  <c r="Q40" i="20"/>
  <c r="R40" i="20"/>
  <c r="S40" i="20"/>
  <c r="T40" i="20"/>
  <c r="E41" i="20"/>
  <c r="F41" i="20"/>
  <c r="F73" i="20" s="1"/>
  <c r="G41" i="20"/>
  <c r="H41" i="20"/>
  <c r="I41" i="20"/>
  <c r="I73" i="20" s="1"/>
  <c r="J41" i="20"/>
  <c r="J73" i="20" s="1"/>
  <c r="K41" i="20"/>
  <c r="K73" i="20" s="1"/>
  <c r="L41" i="20"/>
  <c r="M41" i="20"/>
  <c r="M73" i="20" s="1"/>
  <c r="N41" i="20"/>
  <c r="N73" i="20" s="1"/>
  <c r="O41" i="20"/>
  <c r="P41" i="20"/>
  <c r="Q41" i="20"/>
  <c r="Q73" i="20" s="1"/>
  <c r="R41" i="20"/>
  <c r="R73" i="20" s="1"/>
  <c r="S41" i="20"/>
  <c r="T41" i="20"/>
  <c r="E42" i="20"/>
  <c r="E74" i="20" s="1"/>
  <c r="F42" i="20"/>
  <c r="F74" i="20" s="1"/>
  <c r="G42" i="20"/>
  <c r="G74" i="20" s="1"/>
  <c r="H42" i="20"/>
  <c r="I42" i="20"/>
  <c r="I74" i="20" s="1"/>
  <c r="J42" i="20"/>
  <c r="J74" i="20" s="1"/>
  <c r="K42" i="20"/>
  <c r="K74" i="20" s="1"/>
  <c r="L42" i="20"/>
  <c r="M42" i="20"/>
  <c r="N42" i="20"/>
  <c r="N74" i="20" s="1"/>
  <c r="O42" i="20"/>
  <c r="P42" i="20"/>
  <c r="Q42" i="20"/>
  <c r="R42" i="20"/>
  <c r="R74" i="20" s="1"/>
  <c r="S42" i="20"/>
  <c r="T42" i="20"/>
  <c r="E43" i="20"/>
  <c r="F43" i="20"/>
  <c r="F75" i="20" s="1"/>
  <c r="G43" i="20"/>
  <c r="H43" i="20"/>
  <c r="I43" i="20"/>
  <c r="I75" i="20" s="1"/>
  <c r="J43" i="20"/>
  <c r="J75" i="20" s="1"/>
  <c r="K43" i="20"/>
  <c r="L43" i="20"/>
  <c r="M43" i="20"/>
  <c r="N43" i="20"/>
  <c r="N75" i="20" s="1"/>
  <c r="O43" i="20"/>
  <c r="P43" i="20"/>
  <c r="Q43" i="20"/>
  <c r="R43" i="20"/>
  <c r="R75" i="20" s="1"/>
  <c r="S43" i="20"/>
  <c r="T43" i="20"/>
  <c r="E44" i="20"/>
  <c r="F44" i="20"/>
  <c r="F76" i="20" s="1"/>
  <c r="G44" i="20"/>
  <c r="H44" i="20"/>
  <c r="I44" i="20"/>
  <c r="J44" i="20"/>
  <c r="J76" i="20" s="1"/>
  <c r="K44" i="20"/>
  <c r="L44" i="20"/>
  <c r="M44" i="20"/>
  <c r="N44" i="20"/>
  <c r="N76" i="20" s="1"/>
  <c r="O44" i="20"/>
  <c r="P44" i="20"/>
  <c r="Q44" i="20"/>
  <c r="R44" i="20"/>
  <c r="R76" i="20" s="1"/>
  <c r="S44" i="20"/>
  <c r="T44" i="20"/>
  <c r="E45" i="20"/>
  <c r="F45" i="20"/>
  <c r="G45" i="20"/>
  <c r="H45" i="20"/>
  <c r="I45" i="20"/>
  <c r="J45" i="20"/>
  <c r="K45" i="20"/>
  <c r="L45" i="20"/>
  <c r="M45" i="20"/>
  <c r="N45" i="20"/>
  <c r="O45" i="20"/>
  <c r="P45" i="20"/>
  <c r="Q45" i="20"/>
  <c r="R45" i="20"/>
  <c r="S45" i="20"/>
  <c r="T45" i="20"/>
  <c r="E46" i="20"/>
  <c r="F46" i="20"/>
  <c r="G46" i="20"/>
  <c r="H46" i="20"/>
  <c r="I46" i="20"/>
  <c r="J46" i="20"/>
  <c r="K46" i="20"/>
  <c r="L46" i="20"/>
  <c r="M46" i="20"/>
  <c r="N46" i="20"/>
  <c r="O46" i="20"/>
  <c r="P46" i="20"/>
  <c r="Q46" i="20"/>
  <c r="R46" i="20"/>
  <c r="S46" i="20"/>
  <c r="T46" i="20"/>
  <c r="E47" i="20"/>
  <c r="F47" i="20"/>
  <c r="G47" i="20"/>
  <c r="H47" i="20"/>
  <c r="I47" i="20"/>
  <c r="J47" i="20"/>
  <c r="K47" i="20"/>
  <c r="L47" i="20"/>
  <c r="M47" i="20"/>
  <c r="N47" i="20"/>
  <c r="O47" i="20"/>
  <c r="P47" i="20"/>
  <c r="Q47" i="20"/>
  <c r="R47" i="20"/>
  <c r="S47" i="20"/>
  <c r="T47" i="20"/>
  <c r="E48" i="20"/>
  <c r="F48" i="20"/>
  <c r="G48" i="20"/>
  <c r="H48" i="20"/>
  <c r="I48" i="20"/>
  <c r="J48" i="20"/>
  <c r="K48" i="20"/>
  <c r="L48" i="20"/>
  <c r="M48" i="20"/>
  <c r="N48" i="20"/>
  <c r="O48" i="20"/>
  <c r="P48" i="20"/>
  <c r="Q48" i="20"/>
  <c r="R48" i="20"/>
  <c r="S48" i="20"/>
  <c r="T48" i="20"/>
  <c r="E49" i="20"/>
  <c r="F49" i="20"/>
  <c r="G49" i="20"/>
  <c r="H49" i="20"/>
  <c r="I49" i="20"/>
  <c r="J49" i="20"/>
  <c r="K49" i="20"/>
  <c r="L49" i="20"/>
  <c r="M49" i="20"/>
  <c r="N49" i="20"/>
  <c r="O49" i="20"/>
  <c r="P49" i="20"/>
  <c r="Q49" i="20"/>
  <c r="R49" i="20"/>
  <c r="S49" i="20"/>
  <c r="T49" i="20"/>
  <c r="E50" i="20"/>
  <c r="F50" i="20"/>
  <c r="G50" i="20"/>
  <c r="H50" i="20"/>
  <c r="I50" i="20"/>
  <c r="J50" i="20"/>
  <c r="K50" i="20"/>
  <c r="L50" i="20"/>
  <c r="M50" i="20"/>
  <c r="N50" i="20"/>
  <c r="O50" i="20"/>
  <c r="P50" i="20"/>
  <c r="Q50" i="20"/>
  <c r="R50" i="20"/>
  <c r="S50" i="20"/>
  <c r="T50" i="20"/>
  <c r="E51" i="20"/>
  <c r="F51" i="20"/>
  <c r="G51" i="20"/>
  <c r="H51" i="20"/>
  <c r="I51" i="20"/>
  <c r="J51" i="20"/>
  <c r="K51" i="20"/>
  <c r="L51" i="20"/>
  <c r="M51" i="20"/>
  <c r="N51" i="20"/>
  <c r="O51" i="20"/>
  <c r="P51" i="20"/>
  <c r="Q51" i="20"/>
  <c r="R51" i="20"/>
  <c r="S51" i="20"/>
  <c r="T51" i="20"/>
  <c r="E52" i="20"/>
  <c r="F52" i="20"/>
  <c r="G52" i="20"/>
  <c r="H52" i="20"/>
  <c r="I52" i="20"/>
  <c r="J52" i="20"/>
  <c r="K52" i="20"/>
  <c r="L52" i="20"/>
  <c r="M52" i="20"/>
  <c r="N52" i="20"/>
  <c r="O52" i="20"/>
  <c r="P52" i="20"/>
  <c r="Q52" i="20"/>
  <c r="R52" i="20"/>
  <c r="S52" i="20"/>
  <c r="T52" i="20"/>
  <c r="E53" i="20"/>
  <c r="F53" i="20"/>
  <c r="G53" i="20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E54" i="20"/>
  <c r="F54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E55" i="20"/>
  <c r="F55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E56" i="20"/>
  <c r="F56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E57" i="20"/>
  <c r="F57" i="20"/>
  <c r="G57" i="20"/>
  <c r="H57" i="20"/>
  <c r="I57" i="20"/>
  <c r="J57" i="20"/>
  <c r="K57" i="20"/>
  <c r="L57" i="20"/>
  <c r="M57" i="20"/>
  <c r="N57" i="20"/>
  <c r="O57" i="20"/>
  <c r="P57" i="20"/>
  <c r="Q57" i="20"/>
  <c r="R57" i="20"/>
  <c r="S57" i="20"/>
  <c r="T57" i="20"/>
  <c r="E58" i="20"/>
  <c r="F58" i="20"/>
  <c r="G58" i="20"/>
  <c r="H58" i="20"/>
  <c r="I58" i="20"/>
  <c r="J58" i="20"/>
  <c r="K58" i="20"/>
  <c r="L58" i="20"/>
  <c r="M58" i="20"/>
  <c r="N58" i="20"/>
  <c r="O58" i="20"/>
  <c r="P58" i="20"/>
  <c r="Q58" i="20"/>
  <c r="R58" i="20"/>
  <c r="S58" i="20"/>
  <c r="T58" i="20"/>
  <c r="E59" i="20"/>
  <c r="F59" i="20"/>
  <c r="G59" i="20"/>
  <c r="H59" i="20"/>
  <c r="I59" i="20"/>
  <c r="J59" i="20"/>
  <c r="K59" i="20"/>
  <c r="L59" i="20"/>
  <c r="M59" i="20"/>
  <c r="N59" i="20"/>
  <c r="O59" i="20"/>
  <c r="P59" i="20"/>
  <c r="Q59" i="20"/>
  <c r="R59" i="20"/>
  <c r="S59" i="20"/>
  <c r="T59" i="20"/>
  <c r="E60" i="20"/>
  <c r="F60" i="20"/>
  <c r="G60" i="20"/>
  <c r="H60" i="20"/>
  <c r="I60" i="20"/>
  <c r="J60" i="20"/>
  <c r="K60" i="20"/>
  <c r="L60" i="20"/>
  <c r="M60" i="20"/>
  <c r="N60" i="20"/>
  <c r="O60" i="20"/>
  <c r="P60" i="20"/>
  <c r="Q60" i="20"/>
  <c r="R60" i="20"/>
  <c r="S60" i="20"/>
  <c r="T60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E68" i="20"/>
  <c r="F68" i="20"/>
  <c r="G68" i="20"/>
  <c r="H68" i="20"/>
  <c r="I68" i="20"/>
  <c r="J68" i="20"/>
  <c r="K68" i="20"/>
  <c r="L68" i="20"/>
  <c r="M68" i="20"/>
  <c r="N68" i="20"/>
  <c r="O68" i="20"/>
  <c r="P68" i="20"/>
  <c r="Q68" i="20"/>
  <c r="R68" i="20"/>
  <c r="S68" i="20"/>
  <c r="T68" i="20"/>
  <c r="E69" i="20"/>
  <c r="F69" i="20"/>
  <c r="G69" i="20"/>
  <c r="H69" i="20"/>
  <c r="I69" i="20"/>
  <c r="J69" i="20"/>
  <c r="K69" i="20"/>
  <c r="L69" i="20"/>
  <c r="M69" i="20"/>
  <c r="N69" i="20"/>
  <c r="O69" i="20"/>
  <c r="P69" i="20"/>
  <c r="Q69" i="20"/>
  <c r="R69" i="20"/>
  <c r="S69" i="20"/>
  <c r="T69" i="20"/>
  <c r="E70" i="20"/>
  <c r="F70" i="20"/>
  <c r="G70" i="20"/>
  <c r="H70" i="20"/>
  <c r="I70" i="20"/>
  <c r="J70" i="20"/>
  <c r="K70" i="20"/>
  <c r="L70" i="20"/>
  <c r="M70" i="20"/>
  <c r="N70" i="20"/>
  <c r="O70" i="20"/>
  <c r="P70" i="20"/>
  <c r="Q70" i="20"/>
  <c r="R70" i="20"/>
  <c r="S70" i="20"/>
  <c r="T70" i="20"/>
  <c r="G72" i="20"/>
  <c r="H72" i="20"/>
  <c r="L72" i="20"/>
  <c r="M72" i="20"/>
  <c r="N72" i="20"/>
  <c r="O72" i="20"/>
  <c r="P72" i="20"/>
  <c r="Q72" i="20"/>
  <c r="R72" i="20"/>
  <c r="S72" i="20"/>
  <c r="T72" i="20"/>
  <c r="E73" i="20"/>
  <c r="G73" i="20"/>
  <c r="H73" i="20"/>
  <c r="L73" i="20"/>
  <c r="O73" i="20"/>
  <c r="P73" i="20"/>
  <c r="S73" i="20"/>
  <c r="T73" i="20"/>
  <c r="H74" i="20"/>
  <c r="L74" i="20"/>
  <c r="M74" i="20"/>
  <c r="O74" i="20"/>
  <c r="P74" i="20"/>
  <c r="Q74" i="20"/>
  <c r="S74" i="20"/>
  <c r="T74" i="20"/>
  <c r="E75" i="20"/>
  <c r="G75" i="20"/>
  <c r="H75" i="20"/>
  <c r="K75" i="20"/>
  <c r="L75" i="20"/>
  <c r="M75" i="20"/>
  <c r="O75" i="20"/>
  <c r="P75" i="20"/>
  <c r="Q75" i="20"/>
  <c r="S75" i="20"/>
  <c r="T75" i="20"/>
  <c r="E76" i="20"/>
  <c r="G76" i="20"/>
  <c r="H76" i="20"/>
  <c r="I76" i="20"/>
  <c r="K76" i="20"/>
  <c r="L76" i="20"/>
  <c r="M76" i="20"/>
  <c r="O76" i="20"/>
  <c r="P76" i="20"/>
  <c r="Q76" i="20"/>
  <c r="S76" i="20"/>
  <c r="T76" i="20"/>
  <c r="E40" i="25"/>
  <c r="F40" i="25"/>
  <c r="G40" i="25"/>
  <c r="I40" i="25"/>
  <c r="J40" i="25"/>
  <c r="L40" i="25"/>
  <c r="O40" i="25"/>
  <c r="Q40" i="25"/>
  <c r="R40" i="25"/>
  <c r="S40" i="25"/>
  <c r="E41" i="25"/>
  <c r="F41" i="25"/>
  <c r="G41" i="25"/>
  <c r="I41" i="25"/>
  <c r="J41" i="25"/>
  <c r="L41" i="25"/>
  <c r="O41" i="25"/>
  <c r="Q41" i="25"/>
  <c r="R41" i="25"/>
  <c r="S41" i="25"/>
  <c r="E42" i="25"/>
  <c r="G42" i="25"/>
  <c r="H42" i="25"/>
  <c r="I42" i="25"/>
  <c r="J42" i="25"/>
  <c r="L42" i="25"/>
  <c r="O42" i="25"/>
  <c r="P42" i="25"/>
  <c r="Q42" i="25"/>
  <c r="R42" i="25"/>
  <c r="S42" i="25"/>
  <c r="T42" i="25"/>
  <c r="E43" i="25"/>
  <c r="F43" i="25"/>
  <c r="G43" i="25"/>
  <c r="H43" i="25"/>
  <c r="I43" i="25"/>
  <c r="J43" i="25"/>
  <c r="K43" i="25"/>
  <c r="L43" i="25"/>
  <c r="M43" i="25"/>
  <c r="N43" i="25"/>
  <c r="O43" i="25"/>
  <c r="P43" i="25"/>
  <c r="Q43" i="25"/>
  <c r="R43" i="25"/>
  <c r="S43" i="25"/>
  <c r="T43" i="25"/>
  <c r="E44" i="25"/>
  <c r="F44" i="25"/>
  <c r="G44" i="25"/>
  <c r="H44" i="25"/>
  <c r="I44" i="25"/>
  <c r="J44" i="25"/>
  <c r="K44" i="25"/>
  <c r="L44" i="25"/>
  <c r="M44" i="25"/>
  <c r="N44" i="25"/>
  <c r="O44" i="25"/>
  <c r="P44" i="25"/>
  <c r="Q44" i="25"/>
  <c r="R44" i="25"/>
  <c r="S44" i="25"/>
  <c r="T44" i="25"/>
  <c r="E45" i="25"/>
  <c r="F45" i="25"/>
  <c r="G45" i="25"/>
  <c r="H45" i="25"/>
  <c r="I45" i="25"/>
  <c r="J45" i="25"/>
  <c r="K45" i="25"/>
  <c r="L45" i="25"/>
  <c r="M45" i="25"/>
  <c r="N45" i="25"/>
  <c r="O45" i="25"/>
  <c r="P45" i="25"/>
  <c r="Q45" i="25"/>
  <c r="R45" i="25"/>
  <c r="S45" i="25"/>
  <c r="T45" i="25"/>
  <c r="E46" i="25"/>
  <c r="F46" i="25"/>
  <c r="G46" i="25"/>
  <c r="H46" i="25"/>
  <c r="I46" i="25"/>
  <c r="J46" i="25"/>
  <c r="K46" i="25"/>
  <c r="L46" i="25"/>
  <c r="M46" i="25"/>
  <c r="N46" i="25"/>
  <c r="O46" i="25"/>
  <c r="P46" i="25"/>
  <c r="Q46" i="25"/>
  <c r="R46" i="25"/>
  <c r="S46" i="25"/>
  <c r="T46" i="25"/>
  <c r="E47" i="25"/>
  <c r="F47" i="25"/>
  <c r="G47" i="25"/>
  <c r="H47" i="25"/>
  <c r="I47" i="25"/>
  <c r="J47" i="25"/>
  <c r="K47" i="25"/>
  <c r="L47" i="25"/>
  <c r="M47" i="25"/>
  <c r="N47" i="25"/>
  <c r="O47" i="25"/>
  <c r="P47" i="25"/>
  <c r="Q47" i="25"/>
  <c r="R47" i="25"/>
  <c r="S47" i="25"/>
  <c r="T47" i="25"/>
  <c r="E48" i="25"/>
  <c r="F48" i="25"/>
  <c r="G48" i="25"/>
  <c r="H48" i="25"/>
  <c r="I48" i="25"/>
  <c r="J48" i="25"/>
  <c r="K48" i="25"/>
  <c r="L48" i="25"/>
  <c r="M48" i="25"/>
  <c r="N48" i="25"/>
  <c r="O48" i="25"/>
  <c r="P48" i="25"/>
  <c r="Q48" i="25"/>
  <c r="R48" i="25"/>
  <c r="S48" i="25"/>
  <c r="T48" i="25"/>
  <c r="E49" i="25"/>
  <c r="F49" i="25"/>
  <c r="G49" i="25"/>
  <c r="H49" i="25"/>
  <c r="I49" i="25"/>
  <c r="J49" i="25"/>
  <c r="K49" i="25"/>
  <c r="L49" i="25"/>
  <c r="M49" i="25"/>
  <c r="N49" i="25"/>
  <c r="O49" i="25"/>
  <c r="P49" i="25"/>
  <c r="Q49" i="25"/>
  <c r="R49" i="25"/>
  <c r="S49" i="25"/>
  <c r="T49" i="25"/>
  <c r="E50" i="25"/>
  <c r="F50" i="25"/>
  <c r="G50" i="25"/>
  <c r="H50" i="25"/>
  <c r="I50" i="25"/>
  <c r="J50" i="25"/>
  <c r="K50" i="25"/>
  <c r="L50" i="25"/>
  <c r="M50" i="25"/>
  <c r="N50" i="25"/>
  <c r="O50" i="25"/>
  <c r="P50" i="25"/>
  <c r="Q50" i="25"/>
  <c r="R50" i="25"/>
  <c r="S50" i="25"/>
  <c r="T50" i="25"/>
  <c r="E51" i="25"/>
  <c r="F51" i="25"/>
  <c r="G51" i="25"/>
  <c r="H51" i="25"/>
  <c r="I51" i="25"/>
  <c r="J51" i="25"/>
  <c r="K51" i="25"/>
  <c r="L51" i="25"/>
  <c r="M51" i="25"/>
  <c r="N51" i="25"/>
  <c r="O51" i="25"/>
  <c r="P51" i="25"/>
  <c r="Q51" i="25"/>
  <c r="R51" i="25"/>
  <c r="S51" i="25"/>
  <c r="T51" i="25"/>
  <c r="E52" i="25"/>
  <c r="F52" i="25"/>
  <c r="G52" i="25"/>
  <c r="H52" i="25"/>
  <c r="I52" i="25"/>
  <c r="J52" i="25"/>
  <c r="K52" i="25"/>
  <c r="L52" i="25"/>
  <c r="M52" i="25"/>
  <c r="N52" i="25"/>
  <c r="O52" i="25"/>
  <c r="P52" i="25"/>
  <c r="Q52" i="25"/>
  <c r="R52" i="25"/>
  <c r="S52" i="25"/>
  <c r="T52" i="25"/>
  <c r="E53" i="25"/>
  <c r="F53" i="25"/>
  <c r="G53" i="25"/>
  <c r="H53" i="25"/>
  <c r="I53" i="25"/>
  <c r="J53" i="25"/>
  <c r="K53" i="25"/>
  <c r="L53" i="25"/>
  <c r="M53" i="25"/>
  <c r="N53" i="25"/>
  <c r="O53" i="25"/>
  <c r="P53" i="25"/>
  <c r="Q53" i="25"/>
  <c r="R53" i="25"/>
  <c r="S53" i="25"/>
  <c r="T53" i="25"/>
  <c r="E54" i="25"/>
  <c r="F54" i="25"/>
  <c r="G54" i="25"/>
  <c r="H54" i="25"/>
  <c r="I54" i="25"/>
  <c r="J54" i="25"/>
  <c r="K54" i="25"/>
  <c r="L54" i="25"/>
  <c r="M54" i="25"/>
  <c r="N54" i="25"/>
  <c r="O54" i="25"/>
  <c r="P54" i="25"/>
  <c r="Q54" i="25"/>
  <c r="R54" i="25"/>
  <c r="S54" i="25"/>
  <c r="T54" i="25"/>
  <c r="E55" i="25"/>
  <c r="F55" i="25"/>
  <c r="G55" i="25"/>
  <c r="H55" i="25"/>
  <c r="I55" i="25"/>
  <c r="J55" i="25"/>
  <c r="K55" i="25"/>
  <c r="L55" i="25"/>
  <c r="M55" i="25"/>
  <c r="N55" i="25"/>
  <c r="O55" i="25"/>
  <c r="P55" i="25"/>
  <c r="Q55" i="25"/>
  <c r="R55" i="25"/>
  <c r="S55" i="25"/>
  <c r="T55" i="25"/>
  <c r="E56" i="25"/>
  <c r="F56" i="25"/>
  <c r="G56" i="25"/>
  <c r="H56" i="25"/>
  <c r="I56" i="25"/>
  <c r="J56" i="25"/>
  <c r="K56" i="25"/>
  <c r="L56" i="25"/>
  <c r="M56" i="25"/>
  <c r="N56" i="25"/>
  <c r="O56" i="25"/>
  <c r="P56" i="25"/>
  <c r="Q56" i="25"/>
  <c r="R56" i="25"/>
  <c r="S56" i="25"/>
  <c r="T56" i="25"/>
  <c r="E57" i="25"/>
  <c r="F57" i="25"/>
  <c r="G57" i="25"/>
  <c r="H57" i="25"/>
  <c r="I57" i="25"/>
  <c r="J57" i="25"/>
  <c r="K57" i="25"/>
  <c r="L57" i="25"/>
  <c r="M57" i="25"/>
  <c r="N57" i="25"/>
  <c r="O57" i="25"/>
  <c r="P57" i="25"/>
  <c r="Q57" i="25"/>
  <c r="R57" i="25"/>
  <c r="S57" i="25"/>
  <c r="T57" i="25"/>
  <c r="E58" i="25"/>
  <c r="F58" i="25"/>
  <c r="G58" i="25"/>
  <c r="H58" i="25"/>
  <c r="I58" i="25"/>
  <c r="J58" i="25"/>
  <c r="K58" i="25"/>
  <c r="L58" i="25"/>
  <c r="M58" i="25"/>
  <c r="N58" i="25"/>
  <c r="O58" i="25"/>
  <c r="P58" i="25"/>
  <c r="Q58" i="25"/>
  <c r="R58" i="25"/>
  <c r="S58" i="25"/>
  <c r="T58" i="25"/>
  <c r="E59" i="25"/>
  <c r="F59" i="25"/>
  <c r="G59" i="25"/>
  <c r="H59" i="25"/>
  <c r="I59" i="25"/>
  <c r="J59" i="25"/>
  <c r="K59" i="25"/>
  <c r="L59" i="25"/>
  <c r="M59" i="25"/>
  <c r="N59" i="25"/>
  <c r="O59" i="25"/>
  <c r="P59" i="25"/>
  <c r="Q59" i="25"/>
  <c r="R59" i="25"/>
  <c r="S59" i="25"/>
  <c r="T59" i="25"/>
  <c r="E60" i="25"/>
  <c r="F60" i="25"/>
  <c r="G60" i="25"/>
  <c r="H60" i="25"/>
  <c r="I60" i="25"/>
  <c r="J60" i="25"/>
  <c r="K60" i="25"/>
  <c r="L60" i="25"/>
  <c r="M60" i="25"/>
  <c r="N60" i="25"/>
  <c r="O60" i="25"/>
  <c r="P60" i="25"/>
  <c r="Q60" i="25"/>
  <c r="R60" i="25"/>
  <c r="S60" i="25"/>
  <c r="T60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C9" i="25"/>
  <c r="M41" i="25" s="1"/>
  <c r="C10" i="25"/>
  <c r="M42" i="25" s="1"/>
  <c r="C8" i="25"/>
  <c r="M40" i="25" s="1"/>
  <c r="K41" i="23" l="1"/>
  <c r="K73" i="23" s="1"/>
  <c r="K105" i="23" s="1"/>
  <c r="S41" i="23"/>
  <c r="S73" i="23" s="1"/>
  <c r="S105" i="23" s="1"/>
  <c r="T41" i="25"/>
  <c r="H41" i="25"/>
  <c r="P40" i="25"/>
  <c r="Q41" i="23"/>
  <c r="Q73" i="23" s="1"/>
  <c r="Q105" i="23" s="1"/>
  <c r="M41" i="23"/>
  <c r="M73" i="23" s="1"/>
  <c r="M105" i="23" s="1"/>
  <c r="Q40" i="23"/>
  <c r="Q72" i="23" s="1"/>
  <c r="Q104" i="23" s="1"/>
  <c r="M40" i="23"/>
  <c r="M72" i="23" s="1"/>
  <c r="M104" i="23" s="1"/>
  <c r="E40" i="23"/>
  <c r="E72" i="23" s="1"/>
  <c r="E104" i="23" s="1"/>
  <c r="P41" i="25"/>
  <c r="T40" i="25"/>
  <c r="J40" i="16"/>
  <c r="H40" i="25"/>
  <c r="S40" i="23"/>
  <c r="S72" i="23" s="1"/>
  <c r="S104" i="23" s="1"/>
  <c r="S41" i="17"/>
  <c r="O41" i="17"/>
  <c r="S43" i="17"/>
  <c r="J43" i="17"/>
  <c r="J42" i="17"/>
  <c r="F42" i="17"/>
  <c r="J41" i="17"/>
  <c r="O43" i="17"/>
  <c r="M43" i="17"/>
  <c r="M41" i="17"/>
  <c r="K42" i="25"/>
  <c r="K41" i="25"/>
  <c r="K40" i="25"/>
  <c r="N42" i="25"/>
  <c r="F42" i="25"/>
  <c r="N41" i="25"/>
  <c r="N40" i="25"/>
  <c r="E165" i="24" l="1"/>
  <c r="G165" i="24"/>
  <c r="H165" i="24"/>
  <c r="I165" i="24"/>
  <c r="L165" i="24"/>
  <c r="N165" i="24"/>
  <c r="O165" i="24"/>
  <c r="P165" i="24"/>
  <c r="R165" i="24"/>
  <c r="S165" i="24"/>
  <c r="E166" i="24"/>
  <c r="F166" i="24"/>
  <c r="G166" i="24"/>
  <c r="I166" i="24"/>
  <c r="L166" i="24"/>
  <c r="N166" i="24"/>
  <c r="O166" i="24"/>
  <c r="P166" i="24"/>
  <c r="R166" i="24"/>
  <c r="S166" i="24"/>
  <c r="E167" i="24"/>
  <c r="G167" i="24"/>
  <c r="H167" i="24"/>
  <c r="I167" i="24"/>
  <c r="K167" i="24"/>
  <c r="L167" i="24"/>
  <c r="N167" i="24"/>
  <c r="O167" i="24"/>
  <c r="P167" i="24"/>
  <c r="R167" i="24"/>
  <c r="S167" i="24"/>
  <c r="E168" i="24"/>
  <c r="F168" i="24"/>
  <c r="G168" i="24"/>
  <c r="I168" i="24"/>
  <c r="J168" i="24"/>
  <c r="K168" i="24"/>
  <c r="L168" i="24"/>
  <c r="N168" i="24"/>
  <c r="O168" i="24"/>
  <c r="P168" i="24"/>
  <c r="Q168" i="24"/>
  <c r="R168" i="24"/>
  <c r="S168" i="24"/>
  <c r="T168" i="24"/>
  <c r="E169" i="24"/>
  <c r="G169" i="24"/>
  <c r="H169" i="24"/>
  <c r="I169" i="24"/>
  <c r="J169" i="24"/>
  <c r="L169" i="24"/>
  <c r="N169" i="24"/>
  <c r="O169" i="24"/>
  <c r="P169" i="24"/>
  <c r="R169" i="24"/>
  <c r="S169" i="24"/>
  <c r="T169" i="24"/>
  <c r="E170" i="24"/>
  <c r="F170" i="24"/>
  <c r="G170" i="24"/>
  <c r="I170" i="24"/>
  <c r="J170" i="24"/>
  <c r="L170" i="24"/>
  <c r="N170" i="24"/>
  <c r="O170" i="24"/>
  <c r="P170" i="24"/>
  <c r="R170" i="24"/>
  <c r="S170" i="24"/>
  <c r="E171" i="24"/>
  <c r="G171" i="24"/>
  <c r="H171" i="24"/>
  <c r="I171" i="24"/>
  <c r="J171" i="24"/>
  <c r="K171" i="24"/>
  <c r="L171" i="24"/>
  <c r="N171" i="24"/>
  <c r="O171" i="24"/>
  <c r="P171" i="24"/>
  <c r="Q171" i="24"/>
  <c r="R171" i="24"/>
  <c r="S171" i="24"/>
  <c r="T171" i="24"/>
  <c r="E172" i="24"/>
  <c r="F172" i="24"/>
  <c r="G172" i="24"/>
  <c r="I172" i="24"/>
  <c r="K172" i="24"/>
  <c r="L172" i="24"/>
  <c r="N172" i="24"/>
  <c r="O172" i="24"/>
  <c r="P172" i="24"/>
  <c r="R172" i="24"/>
  <c r="S172" i="24"/>
  <c r="E173" i="24"/>
  <c r="G173" i="24"/>
  <c r="H173" i="24"/>
  <c r="I173" i="24"/>
  <c r="L173" i="24"/>
  <c r="N173" i="24"/>
  <c r="O173" i="24"/>
  <c r="P173" i="24"/>
  <c r="R173" i="24"/>
  <c r="S173" i="24"/>
  <c r="E174" i="24"/>
  <c r="F174" i="24"/>
  <c r="G174" i="24"/>
  <c r="I174" i="24"/>
  <c r="L174" i="24"/>
  <c r="N174" i="24"/>
  <c r="O174" i="24"/>
  <c r="P174" i="24"/>
  <c r="R174" i="24"/>
  <c r="S174" i="24"/>
  <c r="E175" i="24"/>
  <c r="G175" i="24"/>
  <c r="H175" i="24"/>
  <c r="I175" i="24"/>
  <c r="L175" i="24"/>
  <c r="N175" i="24"/>
  <c r="O175" i="24"/>
  <c r="P175" i="24"/>
  <c r="R175" i="24"/>
  <c r="S175" i="24"/>
  <c r="E151" i="24"/>
  <c r="G151" i="24"/>
  <c r="H151" i="24"/>
  <c r="I151" i="24"/>
  <c r="L151" i="24"/>
  <c r="N151" i="24"/>
  <c r="O151" i="24"/>
  <c r="P151" i="24"/>
  <c r="R151" i="24"/>
  <c r="S151" i="24"/>
  <c r="E152" i="24"/>
  <c r="F152" i="24"/>
  <c r="G152" i="24"/>
  <c r="I152" i="24"/>
  <c r="J152" i="24"/>
  <c r="L152" i="24"/>
  <c r="N152" i="24"/>
  <c r="O152" i="24"/>
  <c r="P152" i="24"/>
  <c r="R152" i="24"/>
  <c r="S152" i="24"/>
  <c r="E153" i="24"/>
  <c r="G153" i="24"/>
  <c r="H153" i="24"/>
  <c r="I153" i="24"/>
  <c r="J153" i="24"/>
  <c r="L153" i="24"/>
  <c r="N153" i="24"/>
  <c r="O153" i="24"/>
  <c r="P153" i="24"/>
  <c r="R153" i="24"/>
  <c r="S153" i="24"/>
  <c r="E154" i="24"/>
  <c r="F154" i="24"/>
  <c r="G154" i="24"/>
  <c r="I154" i="24"/>
  <c r="J154" i="24"/>
  <c r="L154" i="24"/>
  <c r="N154" i="24"/>
  <c r="O154" i="24"/>
  <c r="P154" i="24"/>
  <c r="R154" i="24"/>
  <c r="S154" i="24"/>
  <c r="E155" i="24"/>
  <c r="F155" i="24"/>
  <c r="G155" i="24"/>
  <c r="H155" i="24"/>
  <c r="I155" i="24"/>
  <c r="J155" i="24"/>
  <c r="L155" i="24"/>
  <c r="N155" i="24"/>
  <c r="O155" i="24"/>
  <c r="P155" i="24"/>
  <c r="R155" i="24"/>
  <c r="S155" i="24"/>
  <c r="E156" i="24"/>
  <c r="F156" i="24"/>
  <c r="G156" i="24"/>
  <c r="I156" i="24"/>
  <c r="L156" i="24"/>
  <c r="N156" i="24"/>
  <c r="O156" i="24"/>
  <c r="P156" i="24"/>
  <c r="R156" i="24"/>
  <c r="S156" i="24"/>
  <c r="E157" i="24"/>
  <c r="G157" i="24"/>
  <c r="H157" i="24"/>
  <c r="I157" i="24"/>
  <c r="L157" i="24"/>
  <c r="N157" i="24"/>
  <c r="O157" i="24"/>
  <c r="P157" i="24"/>
  <c r="R157" i="24"/>
  <c r="S157" i="24"/>
  <c r="E158" i="24"/>
  <c r="F158" i="24"/>
  <c r="G158" i="24"/>
  <c r="I158" i="24"/>
  <c r="J158" i="24"/>
  <c r="L158" i="24"/>
  <c r="N158" i="24"/>
  <c r="O158" i="24"/>
  <c r="P158" i="24"/>
  <c r="R158" i="24"/>
  <c r="S158" i="24"/>
  <c r="E159" i="24"/>
  <c r="G159" i="24"/>
  <c r="H159" i="24"/>
  <c r="I159" i="24"/>
  <c r="L159" i="24"/>
  <c r="N159" i="24"/>
  <c r="O159" i="24"/>
  <c r="P159" i="24"/>
  <c r="R159" i="24"/>
  <c r="S159" i="24"/>
  <c r="T159" i="24"/>
  <c r="E160" i="24"/>
  <c r="F160" i="24"/>
  <c r="G160" i="24"/>
  <c r="I160" i="24"/>
  <c r="J160" i="24"/>
  <c r="L160" i="24"/>
  <c r="N160" i="24"/>
  <c r="O160" i="24"/>
  <c r="P160" i="24"/>
  <c r="R160" i="24"/>
  <c r="S160" i="24"/>
  <c r="E161" i="24"/>
  <c r="G161" i="24"/>
  <c r="H161" i="24"/>
  <c r="I161" i="24"/>
  <c r="L161" i="24"/>
  <c r="N161" i="24"/>
  <c r="O161" i="24"/>
  <c r="P161" i="24"/>
  <c r="R161" i="24"/>
  <c r="S161" i="24"/>
  <c r="E162" i="24"/>
  <c r="F162" i="24"/>
  <c r="G162" i="24"/>
  <c r="I162" i="24"/>
  <c r="J162" i="24"/>
  <c r="L162" i="24"/>
  <c r="N162" i="24"/>
  <c r="O162" i="24"/>
  <c r="P162" i="24"/>
  <c r="R162" i="24"/>
  <c r="S162" i="24"/>
  <c r="E163" i="24"/>
  <c r="F163" i="24"/>
  <c r="G163" i="24"/>
  <c r="H163" i="24"/>
  <c r="I163" i="24"/>
  <c r="J163" i="24"/>
  <c r="K163" i="24"/>
  <c r="L163" i="24"/>
  <c r="N163" i="24"/>
  <c r="O163" i="24"/>
  <c r="P163" i="24"/>
  <c r="R163" i="24"/>
  <c r="S163" i="24"/>
  <c r="T163" i="24"/>
  <c r="E164" i="24"/>
  <c r="F164" i="24"/>
  <c r="G164" i="24"/>
  <c r="I164" i="24"/>
  <c r="L164" i="24"/>
  <c r="N164" i="24"/>
  <c r="O164" i="24"/>
  <c r="P164" i="24"/>
  <c r="R164" i="24"/>
  <c r="S164" i="24"/>
  <c r="E123" i="24"/>
  <c r="G123" i="24"/>
  <c r="H123" i="24"/>
  <c r="I123" i="24"/>
  <c r="J123" i="24"/>
  <c r="L123" i="24"/>
  <c r="N123" i="24"/>
  <c r="O123" i="24"/>
  <c r="P123" i="24"/>
  <c r="Q123" i="24"/>
  <c r="R123" i="24"/>
  <c r="S123" i="24"/>
  <c r="E124" i="24"/>
  <c r="F124" i="24"/>
  <c r="G124" i="24"/>
  <c r="I124" i="24"/>
  <c r="J124" i="24"/>
  <c r="K124" i="24"/>
  <c r="L124" i="24"/>
  <c r="N124" i="24"/>
  <c r="O124" i="24"/>
  <c r="P124" i="24"/>
  <c r="R124" i="24"/>
  <c r="S124" i="24"/>
  <c r="T124" i="24"/>
  <c r="E125" i="24"/>
  <c r="G125" i="24"/>
  <c r="H125" i="24"/>
  <c r="I125" i="24"/>
  <c r="K125" i="24"/>
  <c r="L125" i="24"/>
  <c r="N125" i="24"/>
  <c r="O125" i="24"/>
  <c r="P125" i="24"/>
  <c r="R125" i="24"/>
  <c r="S125" i="24"/>
  <c r="E126" i="24"/>
  <c r="F126" i="24"/>
  <c r="G126" i="24"/>
  <c r="I126" i="24"/>
  <c r="L126" i="24"/>
  <c r="N126" i="24"/>
  <c r="O126" i="24"/>
  <c r="P126" i="24"/>
  <c r="R126" i="24"/>
  <c r="S126" i="24"/>
  <c r="E127" i="24"/>
  <c r="G127" i="24"/>
  <c r="H127" i="24"/>
  <c r="I127" i="24"/>
  <c r="J127" i="24"/>
  <c r="K127" i="24"/>
  <c r="L127" i="24"/>
  <c r="N127" i="24"/>
  <c r="O127" i="24"/>
  <c r="P127" i="24"/>
  <c r="R127" i="24"/>
  <c r="S127" i="24"/>
  <c r="T127" i="24"/>
  <c r="E128" i="24"/>
  <c r="F128" i="24"/>
  <c r="G128" i="24"/>
  <c r="I128" i="24"/>
  <c r="J128" i="24"/>
  <c r="L128" i="24"/>
  <c r="N128" i="24"/>
  <c r="O128" i="24"/>
  <c r="P128" i="24"/>
  <c r="R128" i="24"/>
  <c r="S128" i="24"/>
  <c r="T128" i="24"/>
  <c r="E129" i="24"/>
  <c r="G129" i="24"/>
  <c r="H129" i="24"/>
  <c r="I129" i="24"/>
  <c r="L129" i="24"/>
  <c r="N129" i="24"/>
  <c r="O129" i="24"/>
  <c r="P129" i="24"/>
  <c r="R129" i="24"/>
  <c r="S129" i="24"/>
  <c r="E130" i="24"/>
  <c r="F130" i="24"/>
  <c r="G130" i="24"/>
  <c r="I130" i="24"/>
  <c r="J130" i="24"/>
  <c r="L130" i="24"/>
  <c r="N130" i="24"/>
  <c r="O130" i="24"/>
  <c r="P130" i="24"/>
  <c r="R130" i="24"/>
  <c r="S130" i="24"/>
  <c r="E131" i="24"/>
  <c r="G131" i="24"/>
  <c r="H131" i="24"/>
  <c r="I131" i="24"/>
  <c r="J131" i="24"/>
  <c r="K131" i="24"/>
  <c r="L131" i="24"/>
  <c r="N131" i="24"/>
  <c r="O131" i="24"/>
  <c r="P131" i="24"/>
  <c r="Q131" i="24"/>
  <c r="R131" i="24"/>
  <c r="S131" i="24"/>
  <c r="T131" i="24"/>
  <c r="E132" i="24"/>
  <c r="F132" i="24"/>
  <c r="G132" i="24"/>
  <c r="I132" i="24"/>
  <c r="K132" i="24"/>
  <c r="L132" i="24"/>
  <c r="N132" i="24"/>
  <c r="O132" i="24"/>
  <c r="P132" i="24"/>
  <c r="R132" i="24"/>
  <c r="T132" i="24"/>
  <c r="E133" i="24"/>
  <c r="G133" i="24"/>
  <c r="H133" i="24"/>
  <c r="I133" i="24"/>
  <c r="L133" i="24"/>
  <c r="N133" i="24"/>
  <c r="O133" i="24"/>
  <c r="P133" i="24"/>
  <c r="R133" i="24"/>
  <c r="S133" i="24"/>
  <c r="E134" i="24"/>
  <c r="F134" i="24"/>
  <c r="G134" i="24"/>
  <c r="I134" i="24"/>
  <c r="L134" i="24"/>
  <c r="N134" i="24"/>
  <c r="O134" i="24"/>
  <c r="P134" i="24"/>
  <c r="R134" i="24"/>
  <c r="S134" i="24"/>
  <c r="E135" i="24"/>
  <c r="G135" i="24"/>
  <c r="H135" i="24"/>
  <c r="I135" i="24"/>
  <c r="L135" i="24"/>
  <c r="N135" i="24"/>
  <c r="O135" i="24"/>
  <c r="P135" i="24"/>
  <c r="R135" i="24"/>
  <c r="S135" i="24"/>
  <c r="E136" i="24"/>
  <c r="F136" i="24"/>
  <c r="G136" i="24"/>
  <c r="I136" i="24"/>
  <c r="J136" i="24"/>
  <c r="K136" i="24"/>
  <c r="L136" i="24"/>
  <c r="N136" i="24"/>
  <c r="O136" i="24"/>
  <c r="P136" i="24"/>
  <c r="Q136" i="24"/>
  <c r="R136" i="24"/>
  <c r="S136" i="24"/>
  <c r="E137" i="24"/>
  <c r="F137" i="24"/>
  <c r="G137" i="24"/>
  <c r="H137" i="24"/>
  <c r="I137" i="24"/>
  <c r="J137" i="24"/>
  <c r="L137" i="24"/>
  <c r="N137" i="24"/>
  <c r="O137" i="24"/>
  <c r="P137" i="24"/>
  <c r="R137" i="24"/>
  <c r="S137" i="24"/>
  <c r="E138" i="24"/>
  <c r="F138" i="24"/>
  <c r="G138" i="24"/>
  <c r="I138" i="24"/>
  <c r="J138" i="24"/>
  <c r="L138" i="24"/>
  <c r="N138" i="24"/>
  <c r="O138" i="24"/>
  <c r="P138" i="24"/>
  <c r="R138" i="24"/>
  <c r="T138" i="24"/>
  <c r="E139" i="24"/>
  <c r="F139" i="24"/>
  <c r="G139" i="24"/>
  <c r="H139" i="24"/>
  <c r="I139" i="24"/>
  <c r="J139" i="24"/>
  <c r="K139" i="24"/>
  <c r="L139" i="24"/>
  <c r="N139" i="24"/>
  <c r="O139" i="24"/>
  <c r="P139" i="24"/>
  <c r="R139" i="24"/>
  <c r="S139" i="24"/>
  <c r="E140" i="24"/>
  <c r="F140" i="24"/>
  <c r="G140" i="24"/>
  <c r="I140" i="24"/>
  <c r="J140" i="24"/>
  <c r="K140" i="24"/>
  <c r="L140" i="24"/>
  <c r="N140" i="24"/>
  <c r="O140" i="24"/>
  <c r="P140" i="24"/>
  <c r="R140" i="24"/>
  <c r="S140" i="24"/>
  <c r="E141" i="24"/>
  <c r="G141" i="24"/>
  <c r="H141" i="24"/>
  <c r="I141" i="24"/>
  <c r="L141" i="24"/>
  <c r="N141" i="24"/>
  <c r="O141" i="24"/>
  <c r="P141" i="24"/>
  <c r="R141" i="24"/>
  <c r="S141" i="24"/>
  <c r="E142" i="24"/>
  <c r="F142" i="24"/>
  <c r="G142" i="24"/>
  <c r="I142" i="24"/>
  <c r="L142" i="24"/>
  <c r="N142" i="24"/>
  <c r="O142" i="24"/>
  <c r="P142" i="24"/>
  <c r="R142" i="24"/>
  <c r="S142" i="24"/>
  <c r="E143" i="24"/>
  <c r="G143" i="24"/>
  <c r="H143" i="24"/>
  <c r="I143" i="24"/>
  <c r="L143" i="24"/>
  <c r="N143" i="24"/>
  <c r="O143" i="24"/>
  <c r="P143" i="24"/>
  <c r="Q143" i="24"/>
  <c r="R143" i="24"/>
  <c r="S143" i="24"/>
  <c r="E144" i="24"/>
  <c r="F144" i="24"/>
  <c r="G144" i="24"/>
  <c r="I144" i="24"/>
  <c r="L144" i="24"/>
  <c r="N144" i="24"/>
  <c r="O144" i="24"/>
  <c r="P144" i="24"/>
  <c r="Q144" i="24"/>
  <c r="R144" i="24"/>
  <c r="S144" i="24"/>
  <c r="E145" i="24"/>
  <c r="G145" i="24"/>
  <c r="H145" i="24"/>
  <c r="I145" i="24"/>
  <c r="L145" i="24"/>
  <c r="N145" i="24"/>
  <c r="O145" i="24"/>
  <c r="P145" i="24"/>
  <c r="R145" i="24"/>
  <c r="S145" i="24"/>
  <c r="E146" i="24"/>
  <c r="F146" i="24"/>
  <c r="G146" i="24"/>
  <c r="I146" i="24"/>
  <c r="J146" i="24"/>
  <c r="L146" i="24"/>
  <c r="N146" i="24"/>
  <c r="O146" i="24"/>
  <c r="P146" i="24"/>
  <c r="R146" i="24"/>
  <c r="S146" i="24"/>
  <c r="E147" i="24"/>
  <c r="G147" i="24"/>
  <c r="H147" i="24"/>
  <c r="I147" i="24"/>
  <c r="J147" i="24"/>
  <c r="K147" i="24"/>
  <c r="L147" i="24"/>
  <c r="N147" i="24"/>
  <c r="O147" i="24"/>
  <c r="P147" i="24"/>
  <c r="R147" i="24"/>
  <c r="S147" i="24"/>
  <c r="E148" i="24"/>
  <c r="F148" i="24"/>
  <c r="G148" i="24"/>
  <c r="I148" i="24"/>
  <c r="L148" i="24"/>
  <c r="N148" i="24"/>
  <c r="O148" i="24"/>
  <c r="P148" i="24"/>
  <c r="R148" i="24"/>
  <c r="S148" i="24"/>
  <c r="E149" i="24"/>
  <c r="G149" i="24"/>
  <c r="H149" i="24"/>
  <c r="I149" i="24"/>
  <c r="L149" i="24"/>
  <c r="N149" i="24"/>
  <c r="O149" i="24"/>
  <c r="P149" i="24"/>
  <c r="R149" i="24"/>
  <c r="S149" i="24"/>
  <c r="E150" i="24"/>
  <c r="F150" i="24"/>
  <c r="G150" i="24"/>
  <c r="I150" i="24"/>
  <c r="L150" i="24"/>
  <c r="N150" i="24"/>
  <c r="O150" i="24"/>
  <c r="P150" i="24"/>
  <c r="R150" i="24"/>
  <c r="S150" i="24"/>
  <c r="C9" i="24"/>
  <c r="F105" i="24" s="1"/>
  <c r="C10" i="24"/>
  <c r="C11" i="24"/>
  <c r="C12" i="24"/>
  <c r="J108" i="24" s="1"/>
  <c r="C13" i="24"/>
  <c r="F109" i="24" s="1"/>
  <c r="C14" i="24"/>
  <c r="C15" i="24"/>
  <c r="C16" i="24"/>
  <c r="C17" i="24"/>
  <c r="F113" i="24" s="1"/>
  <c r="C18" i="24"/>
  <c r="C19" i="24"/>
  <c r="C20" i="24"/>
  <c r="M116" i="24" s="1"/>
  <c r="C21" i="24"/>
  <c r="F117" i="24" s="1"/>
  <c r="C22" i="24"/>
  <c r="C23" i="24"/>
  <c r="F119" i="24" s="1"/>
  <c r="C24" i="24"/>
  <c r="C25" i="24"/>
  <c r="F121" i="24" s="1"/>
  <c r="C26" i="24"/>
  <c r="C27" i="24"/>
  <c r="M123" i="24" s="1"/>
  <c r="C28" i="24"/>
  <c r="C29" i="24"/>
  <c r="C30" i="24"/>
  <c r="C31" i="24"/>
  <c r="Q127" i="24" s="1"/>
  <c r="C32" i="24"/>
  <c r="K128" i="24" s="1"/>
  <c r="C33" i="24"/>
  <c r="K129" i="24" s="1"/>
  <c r="C34" i="24"/>
  <c r="C35" i="24"/>
  <c r="M131" i="24" s="1"/>
  <c r="C36" i="24"/>
  <c r="Q132" i="24" s="1"/>
  <c r="C37" i="24"/>
  <c r="T133" i="24" s="1"/>
  <c r="C38" i="24"/>
  <c r="K134" i="24" s="1"/>
  <c r="C39" i="24"/>
  <c r="F135" i="24" s="1"/>
  <c r="C40" i="24"/>
  <c r="C41" i="24"/>
  <c r="M137" i="24" s="1"/>
  <c r="C42" i="24"/>
  <c r="C43" i="24"/>
  <c r="T139" i="24" s="1"/>
  <c r="C44" i="24"/>
  <c r="Q140" i="24" s="1"/>
  <c r="C45" i="24"/>
  <c r="J141" i="24" s="1"/>
  <c r="C46" i="24"/>
  <c r="K142" i="24" s="1"/>
  <c r="C47" i="24"/>
  <c r="F143" i="24" s="1"/>
  <c r="C48" i="24"/>
  <c r="M144" i="24" s="1"/>
  <c r="C49" i="24"/>
  <c r="Q145" i="24" s="1"/>
  <c r="C50" i="24"/>
  <c r="C51" i="24"/>
  <c r="F147" i="24" s="1"/>
  <c r="C52" i="24"/>
  <c r="T148" i="24" s="1"/>
  <c r="C53" i="24"/>
  <c r="Q149" i="24" s="1"/>
  <c r="C54" i="24"/>
  <c r="J150" i="24" s="1"/>
  <c r="C55" i="24"/>
  <c r="Q151" i="24" s="1"/>
  <c r="C56" i="24"/>
  <c r="K152" i="24" s="1"/>
  <c r="C57" i="24"/>
  <c r="K153" i="24" s="1"/>
  <c r="C58" i="24"/>
  <c r="C59" i="24"/>
  <c r="M155" i="24" s="1"/>
  <c r="C60" i="24"/>
  <c r="J156" i="24" s="1"/>
  <c r="C61" i="24"/>
  <c r="K157" i="24" s="1"/>
  <c r="C62" i="24"/>
  <c r="C63" i="24"/>
  <c r="Q159" i="24" s="1"/>
  <c r="C64" i="24"/>
  <c r="T160" i="24" s="1"/>
  <c r="C65" i="24"/>
  <c r="K161" i="24" s="1"/>
  <c r="C66" i="24"/>
  <c r="C67" i="24"/>
  <c r="M163" i="24" s="1"/>
  <c r="C68" i="24"/>
  <c r="J164" i="24" s="1"/>
  <c r="C69" i="24"/>
  <c r="K165" i="24" s="1"/>
  <c r="C70" i="24"/>
  <c r="K166" i="24" s="1"/>
  <c r="C71" i="24"/>
  <c r="Q167" i="24" s="1"/>
  <c r="C72" i="24"/>
  <c r="C73" i="24"/>
  <c r="Q169" i="24" s="1"/>
  <c r="C74" i="24"/>
  <c r="C75" i="24"/>
  <c r="M171" i="24" s="1"/>
  <c r="C76" i="24"/>
  <c r="C77" i="24"/>
  <c r="J173" i="24" s="1"/>
  <c r="C78" i="24"/>
  <c r="C79" i="24"/>
  <c r="J175" i="24" s="1"/>
  <c r="C8" i="24"/>
  <c r="E79" i="21"/>
  <c r="G79" i="21"/>
  <c r="H79" i="21"/>
  <c r="I79" i="21"/>
  <c r="K79" i="21"/>
  <c r="L79" i="21"/>
  <c r="N79" i="21"/>
  <c r="O79" i="21"/>
  <c r="P79" i="21"/>
  <c r="Q79" i="21"/>
  <c r="R79" i="21"/>
  <c r="T79" i="21"/>
  <c r="E80" i="21"/>
  <c r="F80" i="21"/>
  <c r="G80" i="21"/>
  <c r="I80" i="21"/>
  <c r="K80" i="21"/>
  <c r="L80" i="21"/>
  <c r="N80" i="21"/>
  <c r="O80" i="21"/>
  <c r="Q80" i="21"/>
  <c r="R80" i="21"/>
  <c r="T80" i="21"/>
  <c r="E81" i="21"/>
  <c r="G81" i="21"/>
  <c r="H81" i="21"/>
  <c r="I81" i="21"/>
  <c r="K81" i="21"/>
  <c r="L81" i="21"/>
  <c r="N81" i="21"/>
  <c r="O81" i="21"/>
  <c r="Q81" i="21"/>
  <c r="R81" i="21"/>
  <c r="T81" i="21"/>
  <c r="E82" i="21"/>
  <c r="F82" i="21"/>
  <c r="G82" i="21"/>
  <c r="I82" i="21"/>
  <c r="K82" i="21"/>
  <c r="L82" i="21"/>
  <c r="N82" i="21"/>
  <c r="O82" i="21"/>
  <c r="Q82" i="21"/>
  <c r="R82" i="21"/>
  <c r="S82" i="21"/>
  <c r="T82" i="21"/>
  <c r="E83" i="21"/>
  <c r="G83" i="21"/>
  <c r="H83" i="21"/>
  <c r="I83" i="21"/>
  <c r="K83" i="21"/>
  <c r="L83" i="21"/>
  <c r="M83" i="21"/>
  <c r="N83" i="21"/>
  <c r="O83" i="21"/>
  <c r="Q83" i="21"/>
  <c r="R83" i="21"/>
  <c r="T83" i="21"/>
  <c r="E84" i="21"/>
  <c r="F84" i="21"/>
  <c r="H84" i="21"/>
  <c r="I84" i="21"/>
  <c r="J84" i="21"/>
  <c r="L84" i="21"/>
  <c r="N84" i="21"/>
  <c r="O84" i="21"/>
  <c r="Q84" i="21"/>
  <c r="R84" i="21"/>
  <c r="T84" i="21"/>
  <c r="E85" i="21"/>
  <c r="G85" i="21"/>
  <c r="H85" i="21"/>
  <c r="I85" i="21"/>
  <c r="K85" i="21"/>
  <c r="L85" i="21"/>
  <c r="N85" i="21"/>
  <c r="O85" i="21"/>
  <c r="Q85" i="21"/>
  <c r="R85" i="21"/>
  <c r="T85" i="21"/>
  <c r="E86" i="21"/>
  <c r="F86" i="21"/>
  <c r="H86" i="21"/>
  <c r="I86" i="21"/>
  <c r="K86" i="21"/>
  <c r="L86" i="21"/>
  <c r="N86" i="21"/>
  <c r="O86" i="21"/>
  <c r="Q86" i="21"/>
  <c r="R86" i="21"/>
  <c r="T86" i="21"/>
  <c r="E87" i="21"/>
  <c r="G87" i="21"/>
  <c r="H87" i="21"/>
  <c r="I87" i="21"/>
  <c r="K87" i="21"/>
  <c r="L87" i="21"/>
  <c r="M87" i="21"/>
  <c r="N87" i="21"/>
  <c r="O87" i="21"/>
  <c r="Q87" i="21"/>
  <c r="R87" i="21"/>
  <c r="T87" i="21"/>
  <c r="E88" i="21"/>
  <c r="F88" i="21"/>
  <c r="H88" i="21"/>
  <c r="I88" i="21"/>
  <c r="K88" i="21"/>
  <c r="L88" i="21"/>
  <c r="N88" i="21"/>
  <c r="O88" i="21"/>
  <c r="Q88" i="21"/>
  <c r="R88" i="21"/>
  <c r="T88" i="21"/>
  <c r="E89" i="21"/>
  <c r="G89" i="21"/>
  <c r="H89" i="21"/>
  <c r="I89" i="21"/>
  <c r="K89" i="21"/>
  <c r="L89" i="21"/>
  <c r="N89" i="21"/>
  <c r="O89" i="21"/>
  <c r="P89" i="21"/>
  <c r="Q89" i="21"/>
  <c r="R89" i="21"/>
  <c r="T89" i="21"/>
  <c r="E90" i="21"/>
  <c r="F90" i="21"/>
  <c r="H90" i="21"/>
  <c r="I90" i="21"/>
  <c r="J90" i="21"/>
  <c r="K90" i="21"/>
  <c r="L90" i="21"/>
  <c r="N90" i="21"/>
  <c r="O90" i="21"/>
  <c r="Q90" i="21"/>
  <c r="R90" i="21"/>
  <c r="T90" i="21"/>
  <c r="E91" i="21"/>
  <c r="G91" i="21"/>
  <c r="H91" i="21"/>
  <c r="I91" i="21"/>
  <c r="J91" i="21"/>
  <c r="K91" i="21"/>
  <c r="L91" i="21"/>
  <c r="N91" i="21"/>
  <c r="O91" i="21"/>
  <c r="Q91" i="21"/>
  <c r="R91" i="21"/>
  <c r="T91" i="21"/>
  <c r="E92" i="21"/>
  <c r="F92" i="21"/>
  <c r="G92" i="21"/>
  <c r="I92" i="21"/>
  <c r="J92" i="21"/>
  <c r="K92" i="21"/>
  <c r="L92" i="21"/>
  <c r="N92" i="21"/>
  <c r="O92" i="21"/>
  <c r="Q92" i="21"/>
  <c r="R92" i="21"/>
  <c r="T92" i="21"/>
  <c r="E93" i="21"/>
  <c r="G93" i="21"/>
  <c r="H93" i="21"/>
  <c r="I93" i="21"/>
  <c r="K93" i="21"/>
  <c r="L93" i="21"/>
  <c r="N93" i="21"/>
  <c r="O93" i="21"/>
  <c r="Q93" i="21"/>
  <c r="R93" i="21"/>
  <c r="T93" i="21"/>
  <c r="E94" i="21"/>
  <c r="F94" i="21"/>
  <c r="H94" i="21"/>
  <c r="I94" i="21"/>
  <c r="K94" i="21"/>
  <c r="L94" i="21"/>
  <c r="M94" i="21"/>
  <c r="N94" i="21"/>
  <c r="O94" i="21"/>
  <c r="Q94" i="21"/>
  <c r="R94" i="21"/>
  <c r="T94" i="21"/>
  <c r="E95" i="21"/>
  <c r="G95" i="21"/>
  <c r="H95" i="21"/>
  <c r="I95" i="21"/>
  <c r="K95" i="21"/>
  <c r="L95" i="21"/>
  <c r="N95" i="21"/>
  <c r="O95" i="21"/>
  <c r="Q95" i="21"/>
  <c r="R95" i="21"/>
  <c r="S95" i="21"/>
  <c r="T95" i="21"/>
  <c r="C41" i="21"/>
  <c r="G94" i="21" s="1"/>
  <c r="C42" i="21"/>
  <c r="F95" i="21" s="1"/>
  <c r="C39" i="21"/>
  <c r="C40" i="21"/>
  <c r="M93" i="21" s="1"/>
  <c r="C9" i="21"/>
  <c r="F62" i="21" s="1"/>
  <c r="C10" i="21"/>
  <c r="J63" i="21" s="1"/>
  <c r="C11" i="21"/>
  <c r="C12" i="21"/>
  <c r="J65" i="21" s="1"/>
  <c r="C13" i="21"/>
  <c r="C14" i="21"/>
  <c r="P67" i="21" s="1"/>
  <c r="C15" i="21"/>
  <c r="C16" i="21"/>
  <c r="S69" i="21" s="1"/>
  <c r="C17" i="21"/>
  <c r="F70" i="21" s="1"/>
  <c r="C18" i="21"/>
  <c r="J71" i="21" s="1"/>
  <c r="C19" i="21"/>
  <c r="C20" i="21"/>
  <c r="C21" i="21"/>
  <c r="C22" i="21"/>
  <c r="F75" i="21" s="1"/>
  <c r="C23" i="21"/>
  <c r="C24" i="21"/>
  <c r="P77" i="21" s="1"/>
  <c r="C25" i="21"/>
  <c r="C26" i="21"/>
  <c r="F79" i="21" s="1"/>
  <c r="C27" i="21"/>
  <c r="C28" i="21"/>
  <c r="F81" i="21" s="1"/>
  <c r="C29" i="21"/>
  <c r="H82" i="21" s="1"/>
  <c r="C30" i="21"/>
  <c r="F83" i="21" s="1"/>
  <c r="C31" i="21"/>
  <c r="C32" i="21"/>
  <c r="M85" i="21" s="1"/>
  <c r="C33" i="21"/>
  <c r="M86" i="21" s="1"/>
  <c r="C34" i="21"/>
  <c r="F87" i="21" s="1"/>
  <c r="C35" i="21"/>
  <c r="P88" i="21" s="1"/>
  <c r="C36" i="21"/>
  <c r="C37" i="21"/>
  <c r="G90" i="21" s="1"/>
  <c r="C38" i="21"/>
  <c r="F91" i="21" s="1"/>
  <c r="C8" i="2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E98" i="1"/>
  <c r="G98" i="1"/>
  <c r="H98" i="1"/>
  <c r="I98" i="1"/>
  <c r="J98" i="1"/>
  <c r="L98" i="1"/>
  <c r="M98" i="1"/>
  <c r="N98" i="1"/>
  <c r="O98" i="1"/>
  <c r="Q98" i="1"/>
  <c r="R98" i="1"/>
  <c r="T98" i="1"/>
  <c r="E99" i="1"/>
  <c r="F99" i="1"/>
  <c r="H99" i="1"/>
  <c r="I99" i="1"/>
  <c r="J99" i="1"/>
  <c r="L99" i="1"/>
  <c r="N99" i="1"/>
  <c r="O99" i="1"/>
  <c r="P99" i="1"/>
  <c r="Q99" i="1"/>
  <c r="R99" i="1"/>
  <c r="T99" i="1"/>
  <c r="E100" i="1"/>
  <c r="G100" i="1"/>
  <c r="H100" i="1"/>
  <c r="I100" i="1"/>
  <c r="J100" i="1"/>
  <c r="L100" i="1"/>
  <c r="M100" i="1"/>
  <c r="N100" i="1"/>
  <c r="O100" i="1"/>
  <c r="Q100" i="1"/>
  <c r="R100" i="1"/>
  <c r="T100" i="1"/>
  <c r="E101" i="1"/>
  <c r="F101" i="1"/>
  <c r="H101" i="1"/>
  <c r="I101" i="1"/>
  <c r="K101" i="1"/>
  <c r="L101" i="1"/>
  <c r="N101" i="1"/>
  <c r="O101" i="1"/>
  <c r="Q101" i="1"/>
  <c r="R101" i="1"/>
  <c r="T101" i="1"/>
  <c r="E102" i="1"/>
  <c r="G102" i="1"/>
  <c r="H102" i="1"/>
  <c r="I102" i="1"/>
  <c r="J102" i="1"/>
  <c r="L102" i="1"/>
  <c r="N102" i="1"/>
  <c r="O102" i="1"/>
  <c r="Q102" i="1"/>
  <c r="R102" i="1"/>
  <c r="T102" i="1"/>
  <c r="E96" i="1"/>
  <c r="F96" i="1"/>
  <c r="G96" i="1"/>
  <c r="H96" i="1"/>
  <c r="I96" i="1"/>
  <c r="J96" i="1"/>
  <c r="L96" i="1"/>
  <c r="N96" i="1"/>
  <c r="O96" i="1"/>
  <c r="Q96" i="1"/>
  <c r="R96" i="1"/>
  <c r="T96" i="1"/>
  <c r="E97" i="1"/>
  <c r="F97" i="1"/>
  <c r="G97" i="1"/>
  <c r="I97" i="1"/>
  <c r="J97" i="1"/>
  <c r="L97" i="1"/>
  <c r="N97" i="1"/>
  <c r="O97" i="1"/>
  <c r="P97" i="1"/>
  <c r="Q97" i="1"/>
  <c r="R97" i="1"/>
  <c r="T97" i="1"/>
  <c r="E93" i="1"/>
  <c r="G93" i="1"/>
  <c r="H93" i="1"/>
  <c r="I93" i="1"/>
  <c r="J93" i="1"/>
  <c r="L93" i="1"/>
  <c r="N93" i="1"/>
  <c r="O93" i="1"/>
  <c r="Q93" i="1"/>
  <c r="R93" i="1"/>
  <c r="T93" i="1"/>
  <c r="E94" i="1"/>
  <c r="F94" i="1"/>
  <c r="H94" i="1"/>
  <c r="I94" i="1"/>
  <c r="J94" i="1"/>
  <c r="L94" i="1"/>
  <c r="N94" i="1"/>
  <c r="O94" i="1"/>
  <c r="P94" i="1"/>
  <c r="Q94" i="1"/>
  <c r="R94" i="1"/>
  <c r="T94" i="1"/>
  <c r="E95" i="1"/>
  <c r="G95" i="1"/>
  <c r="H95" i="1"/>
  <c r="I95" i="1"/>
  <c r="J95" i="1"/>
  <c r="L95" i="1"/>
  <c r="N95" i="1"/>
  <c r="O95" i="1"/>
  <c r="Q95" i="1"/>
  <c r="R95" i="1"/>
  <c r="T95" i="1"/>
  <c r="E66" i="1"/>
  <c r="F66" i="1"/>
  <c r="H66" i="1"/>
  <c r="I66" i="1"/>
  <c r="K66" i="1"/>
  <c r="L66" i="1"/>
  <c r="N66" i="1"/>
  <c r="O66" i="1"/>
  <c r="Q66" i="1"/>
  <c r="R66" i="1"/>
  <c r="T66" i="1"/>
  <c r="E67" i="1"/>
  <c r="G67" i="1"/>
  <c r="H67" i="1"/>
  <c r="I67" i="1"/>
  <c r="K67" i="1"/>
  <c r="L67" i="1"/>
  <c r="N67" i="1"/>
  <c r="O67" i="1"/>
  <c r="Q67" i="1"/>
  <c r="R67" i="1"/>
  <c r="T67" i="1"/>
  <c r="E68" i="1"/>
  <c r="F68" i="1"/>
  <c r="H68" i="1"/>
  <c r="I68" i="1"/>
  <c r="J68" i="1"/>
  <c r="K68" i="1"/>
  <c r="L68" i="1"/>
  <c r="N68" i="1"/>
  <c r="O68" i="1"/>
  <c r="Q68" i="1"/>
  <c r="R68" i="1"/>
  <c r="T68" i="1"/>
  <c r="E69" i="1"/>
  <c r="G69" i="1"/>
  <c r="H69" i="1"/>
  <c r="I69" i="1"/>
  <c r="J69" i="1"/>
  <c r="L69" i="1"/>
  <c r="M69" i="1"/>
  <c r="N69" i="1"/>
  <c r="O69" i="1"/>
  <c r="Q69" i="1"/>
  <c r="R69" i="1"/>
  <c r="T69" i="1"/>
  <c r="E70" i="1"/>
  <c r="F70" i="1"/>
  <c r="G70" i="1"/>
  <c r="H70" i="1"/>
  <c r="I70" i="1"/>
  <c r="J70" i="1"/>
  <c r="L70" i="1"/>
  <c r="N70" i="1"/>
  <c r="O70" i="1"/>
  <c r="P70" i="1"/>
  <c r="Q70" i="1"/>
  <c r="R70" i="1"/>
  <c r="T70" i="1"/>
  <c r="E71" i="1"/>
  <c r="G71" i="1"/>
  <c r="H71" i="1"/>
  <c r="I71" i="1"/>
  <c r="J71" i="1"/>
  <c r="L71" i="1"/>
  <c r="N71" i="1"/>
  <c r="O71" i="1"/>
  <c r="Q71" i="1"/>
  <c r="R71" i="1"/>
  <c r="T71" i="1"/>
  <c r="E72" i="1"/>
  <c r="F72" i="1"/>
  <c r="H72" i="1"/>
  <c r="I72" i="1"/>
  <c r="J72" i="1"/>
  <c r="L72" i="1"/>
  <c r="N72" i="1"/>
  <c r="O72" i="1"/>
  <c r="Q72" i="1"/>
  <c r="R72" i="1"/>
  <c r="T72" i="1"/>
  <c r="E73" i="1"/>
  <c r="G73" i="1"/>
  <c r="H73" i="1"/>
  <c r="I73" i="1"/>
  <c r="K73" i="1"/>
  <c r="L73" i="1"/>
  <c r="N73" i="1"/>
  <c r="O73" i="1"/>
  <c r="Q73" i="1"/>
  <c r="R73" i="1"/>
  <c r="T73" i="1"/>
  <c r="E74" i="1"/>
  <c r="F74" i="1"/>
  <c r="H74" i="1"/>
  <c r="I74" i="1"/>
  <c r="K74" i="1"/>
  <c r="L74" i="1"/>
  <c r="N74" i="1"/>
  <c r="O74" i="1"/>
  <c r="Q74" i="1"/>
  <c r="R74" i="1"/>
  <c r="T74" i="1"/>
  <c r="E75" i="1"/>
  <c r="G75" i="1"/>
  <c r="H75" i="1"/>
  <c r="I75" i="1"/>
  <c r="K75" i="1"/>
  <c r="L75" i="1"/>
  <c r="N75" i="1"/>
  <c r="O75" i="1"/>
  <c r="Q75" i="1"/>
  <c r="R75" i="1"/>
  <c r="T75" i="1"/>
  <c r="E76" i="1"/>
  <c r="F76" i="1"/>
  <c r="G76" i="1"/>
  <c r="I76" i="1"/>
  <c r="J76" i="1"/>
  <c r="L76" i="1"/>
  <c r="N76" i="1"/>
  <c r="O76" i="1"/>
  <c r="Q76" i="1"/>
  <c r="R76" i="1"/>
  <c r="T76" i="1"/>
  <c r="E77" i="1"/>
  <c r="F77" i="1"/>
  <c r="G77" i="1"/>
  <c r="H77" i="1"/>
  <c r="I77" i="1"/>
  <c r="J77" i="1"/>
  <c r="L77" i="1"/>
  <c r="N77" i="1"/>
  <c r="O77" i="1"/>
  <c r="P77" i="1"/>
  <c r="Q77" i="1"/>
  <c r="R77" i="1"/>
  <c r="T77" i="1"/>
  <c r="E78" i="1"/>
  <c r="F78" i="1"/>
  <c r="G78" i="1"/>
  <c r="H78" i="1"/>
  <c r="I78" i="1"/>
  <c r="J78" i="1"/>
  <c r="L78" i="1"/>
  <c r="M78" i="1"/>
  <c r="N78" i="1"/>
  <c r="O78" i="1"/>
  <c r="Q78" i="1"/>
  <c r="R78" i="1"/>
  <c r="T78" i="1"/>
  <c r="E79" i="1"/>
  <c r="G79" i="1"/>
  <c r="H79" i="1"/>
  <c r="I79" i="1"/>
  <c r="J79" i="1"/>
  <c r="L79" i="1"/>
  <c r="N79" i="1"/>
  <c r="O79" i="1"/>
  <c r="Q79" i="1"/>
  <c r="R79" i="1"/>
  <c r="T79" i="1"/>
  <c r="E80" i="1"/>
  <c r="F80" i="1"/>
  <c r="G80" i="1"/>
  <c r="H80" i="1"/>
  <c r="I80" i="1"/>
  <c r="J80" i="1"/>
  <c r="L80" i="1"/>
  <c r="N80" i="1"/>
  <c r="O80" i="1"/>
  <c r="P80" i="1"/>
  <c r="Q80" i="1"/>
  <c r="R80" i="1"/>
  <c r="T80" i="1"/>
  <c r="E81" i="1"/>
  <c r="G81" i="1"/>
  <c r="H81" i="1"/>
  <c r="I81" i="1"/>
  <c r="J81" i="1"/>
  <c r="L81" i="1"/>
  <c r="M81" i="1"/>
  <c r="N81" i="1"/>
  <c r="O81" i="1"/>
  <c r="Q81" i="1"/>
  <c r="R81" i="1"/>
  <c r="T81" i="1"/>
  <c r="E82" i="1"/>
  <c r="F82" i="1"/>
  <c r="G82" i="1"/>
  <c r="H82" i="1"/>
  <c r="I82" i="1"/>
  <c r="J82" i="1"/>
  <c r="L82" i="1"/>
  <c r="M82" i="1"/>
  <c r="N82" i="1"/>
  <c r="O82" i="1"/>
  <c r="P82" i="1"/>
  <c r="Q82" i="1"/>
  <c r="R82" i="1"/>
  <c r="T82" i="1"/>
  <c r="E83" i="1"/>
  <c r="F83" i="1"/>
  <c r="G83" i="1"/>
  <c r="I83" i="1"/>
  <c r="J83" i="1"/>
  <c r="L83" i="1"/>
  <c r="N83" i="1"/>
  <c r="O83" i="1"/>
  <c r="Q83" i="1"/>
  <c r="R83" i="1"/>
  <c r="T83" i="1"/>
  <c r="E84" i="1"/>
  <c r="G84" i="1"/>
  <c r="H84" i="1"/>
  <c r="I84" i="1"/>
  <c r="J84" i="1"/>
  <c r="L84" i="1"/>
  <c r="N84" i="1"/>
  <c r="O84" i="1"/>
  <c r="Q84" i="1"/>
  <c r="R84" i="1"/>
  <c r="T84" i="1"/>
  <c r="E85" i="1"/>
  <c r="F85" i="1"/>
  <c r="G85" i="1"/>
  <c r="I85" i="1"/>
  <c r="J85" i="1"/>
  <c r="L85" i="1"/>
  <c r="N85" i="1"/>
  <c r="O85" i="1"/>
  <c r="P85" i="1"/>
  <c r="Q85" i="1"/>
  <c r="R85" i="1"/>
  <c r="T85" i="1"/>
  <c r="E86" i="1"/>
  <c r="F86" i="1"/>
  <c r="H86" i="1"/>
  <c r="I86" i="1"/>
  <c r="J86" i="1"/>
  <c r="L86" i="1"/>
  <c r="N86" i="1"/>
  <c r="O86" i="1"/>
  <c r="Q86" i="1"/>
  <c r="R86" i="1"/>
  <c r="T86" i="1"/>
  <c r="E87" i="1"/>
  <c r="G87" i="1"/>
  <c r="H87" i="1"/>
  <c r="I87" i="1"/>
  <c r="J87" i="1"/>
  <c r="L87" i="1"/>
  <c r="N87" i="1"/>
  <c r="O87" i="1"/>
  <c r="Q87" i="1"/>
  <c r="R87" i="1"/>
  <c r="T87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E90" i="1"/>
  <c r="F90" i="1"/>
  <c r="G90" i="1"/>
  <c r="I90" i="1"/>
  <c r="J90" i="1"/>
  <c r="L90" i="1"/>
  <c r="N90" i="1"/>
  <c r="O90" i="1"/>
  <c r="Q90" i="1"/>
  <c r="R90" i="1"/>
  <c r="T90" i="1"/>
  <c r="E91" i="1"/>
  <c r="G91" i="1"/>
  <c r="H91" i="1"/>
  <c r="I91" i="1"/>
  <c r="J91" i="1"/>
  <c r="L91" i="1"/>
  <c r="N91" i="1"/>
  <c r="O91" i="1"/>
  <c r="Q91" i="1"/>
  <c r="R91" i="1"/>
  <c r="T91" i="1"/>
  <c r="E92" i="1"/>
  <c r="F92" i="1"/>
  <c r="H92" i="1"/>
  <c r="I92" i="1"/>
  <c r="J92" i="1"/>
  <c r="L92" i="1"/>
  <c r="N92" i="1"/>
  <c r="O92" i="1"/>
  <c r="P92" i="1"/>
  <c r="Q92" i="1"/>
  <c r="R92" i="1"/>
  <c r="T92" i="1"/>
  <c r="C33" i="1"/>
  <c r="P91" i="1" s="1"/>
  <c r="C34" i="1"/>
  <c r="G92" i="1" s="1"/>
  <c r="C35" i="1"/>
  <c r="C36" i="1"/>
  <c r="M94" i="1" s="1"/>
  <c r="C37" i="1"/>
  <c r="M95" i="1" s="1"/>
  <c r="C38" i="1"/>
  <c r="M96" i="1" s="1"/>
  <c r="C39" i="1"/>
  <c r="K97" i="1" s="1"/>
  <c r="C40" i="1"/>
  <c r="K98" i="1" s="1"/>
  <c r="C41" i="1"/>
  <c r="G99" i="1" s="1"/>
  <c r="C42" i="1"/>
  <c r="F100" i="1" s="1"/>
  <c r="C43" i="1"/>
  <c r="C44" i="1"/>
  <c r="M102" i="1" s="1"/>
  <c r="C32" i="1"/>
  <c r="M90" i="1" s="1"/>
  <c r="C23" i="1"/>
  <c r="F81" i="1" s="1"/>
  <c r="C24" i="1"/>
  <c r="K82" i="1" s="1"/>
  <c r="C25" i="1"/>
  <c r="K83" i="1" s="1"/>
  <c r="C26" i="1"/>
  <c r="M84" i="1" s="1"/>
  <c r="C27" i="1"/>
  <c r="H85" i="1" s="1"/>
  <c r="C28" i="1"/>
  <c r="G86" i="1" s="1"/>
  <c r="C29" i="1"/>
  <c r="P87" i="1" s="1"/>
  <c r="C9" i="1"/>
  <c r="C10" i="1"/>
  <c r="S68" i="1" s="1"/>
  <c r="C11" i="1"/>
  <c r="K69" i="1" s="1"/>
  <c r="C12" i="1"/>
  <c r="K70" i="1" s="1"/>
  <c r="C13" i="1"/>
  <c r="C14" i="1"/>
  <c r="G72" i="1" s="1"/>
  <c r="C15" i="1"/>
  <c r="C16" i="1"/>
  <c r="S74" i="1" s="1"/>
  <c r="C17" i="1"/>
  <c r="C18" i="1"/>
  <c r="M76" i="1" s="1"/>
  <c r="C19" i="1"/>
  <c r="K77" i="1" s="1"/>
  <c r="C20" i="1"/>
  <c r="K78" i="1" s="1"/>
  <c r="C21" i="1"/>
  <c r="P79" i="1" s="1"/>
  <c r="C22" i="1"/>
  <c r="M80" i="1" s="1"/>
  <c r="C8" i="1"/>
  <c r="C13" i="17"/>
  <c r="C14" i="17"/>
  <c r="C15" i="17"/>
  <c r="C16" i="17"/>
  <c r="C17" i="17"/>
  <c r="C8" i="17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F71" i="25" s="1"/>
  <c r="E39" i="25"/>
  <c r="E104" i="24"/>
  <c r="F104" i="24"/>
  <c r="G104" i="24"/>
  <c r="H104" i="24"/>
  <c r="I104" i="24"/>
  <c r="J104" i="24"/>
  <c r="K104" i="24"/>
  <c r="L104" i="24"/>
  <c r="M104" i="24"/>
  <c r="N104" i="24"/>
  <c r="O104" i="24"/>
  <c r="P104" i="24"/>
  <c r="Q104" i="24"/>
  <c r="R104" i="24"/>
  <c r="S104" i="24"/>
  <c r="T104" i="24"/>
  <c r="E105" i="24"/>
  <c r="G105" i="24"/>
  <c r="H105" i="24"/>
  <c r="I105" i="24"/>
  <c r="L105" i="24"/>
  <c r="M105" i="24"/>
  <c r="N105" i="24"/>
  <c r="O105" i="24"/>
  <c r="P105" i="24"/>
  <c r="Q105" i="24"/>
  <c r="R105" i="24"/>
  <c r="S105" i="24"/>
  <c r="E106" i="24"/>
  <c r="F106" i="24"/>
  <c r="G106" i="24"/>
  <c r="I106" i="24"/>
  <c r="J106" i="24"/>
  <c r="L106" i="24"/>
  <c r="N106" i="24"/>
  <c r="O106" i="24"/>
  <c r="P106" i="24"/>
  <c r="R106" i="24"/>
  <c r="S106" i="24"/>
  <c r="E107" i="24"/>
  <c r="F107" i="24"/>
  <c r="G107" i="24"/>
  <c r="H107" i="24"/>
  <c r="I107" i="24"/>
  <c r="J107" i="24"/>
  <c r="K107" i="24"/>
  <c r="L107" i="24"/>
  <c r="M107" i="24"/>
  <c r="N107" i="24"/>
  <c r="O107" i="24"/>
  <c r="P107" i="24"/>
  <c r="Q107" i="24"/>
  <c r="R107" i="24"/>
  <c r="S107" i="24"/>
  <c r="T107" i="24"/>
  <c r="E108" i="24"/>
  <c r="F108" i="24"/>
  <c r="G108" i="24"/>
  <c r="I108" i="24"/>
  <c r="K108" i="24"/>
  <c r="L108" i="24"/>
  <c r="M108" i="24"/>
  <c r="N108" i="24"/>
  <c r="O108" i="24"/>
  <c r="P108" i="24"/>
  <c r="R108" i="24"/>
  <c r="S108" i="24"/>
  <c r="T108" i="24"/>
  <c r="E109" i="24"/>
  <c r="G109" i="24"/>
  <c r="H109" i="24"/>
  <c r="I109" i="24"/>
  <c r="K109" i="24"/>
  <c r="L109" i="24"/>
  <c r="N109" i="24"/>
  <c r="O109" i="24"/>
  <c r="P109" i="24"/>
  <c r="R109" i="24"/>
  <c r="S109" i="24"/>
  <c r="E110" i="24"/>
  <c r="F110" i="24"/>
  <c r="G110" i="24"/>
  <c r="I110" i="24"/>
  <c r="J110" i="24"/>
  <c r="L110" i="24"/>
  <c r="N110" i="24"/>
  <c r="O110" i="24"/>
  <c r="P110" i="24"/>
  <c r="R110" i="24"/>
  <c r="S110" i="24"/>
  <c r="E111" i="24"/>
  <c r="G111" i="24"/>
  <c r="H111" i="24"/>
  <c r="I111" i="24"/>
  <c r="J111" i="24"/>
  <c r="K111" i="24"/>
  <c r="L111" i="24"/>
  <c r="M111" i="24"/>
  <c r="N111" i="24"/>
  <c r="O111" i="24"/>
  <c r="P111" i="24"/>
  <c r="Q111" i="24"/>
  <c r="R111" i="24"/>
  <c r="S111" i="24"/>
  <c r="E112" i="24"/>
  <c r="F112" i="24"/>
  <c r="G112" i="24"/>
  <c r="H112" i="24"/>
  <c r="I112" i="24"/>
  <c r="J112" i="24"/>
  <c r="K112" i="24"/>
  <c r="L112" i="24"/>
  <c r="M112" i="24"/>
  <c r="N112" i="24"/>
  <c r="O112" i="24"/>
  <c r="P112" i="24"/>
  <c r="Q112" i="24"/>
  <c r="R112" i="24"/>
  <c r="S112" i="24"/>
  <c r="T112" i="24"/>
  <c r="E113" i="24"/>
  <c r="G113" i="24"/>
  <c r="H113" i="24"/>
  <c r="I113" i="24"/>
  <c r="J113" i="24"/>
  <c r="L113" i="24"/>
  <c r="N113" i="24"/>
  <c r="O113" i="24"/>
  <c r="P113" i="24"/>
  <c r="Q113" i="24"/>
  <c r="R113" i="24"/>
  <c r="S113" i="24"/>
  <c r="E114" i="24"/>
  <c r="F114" i="24"/>
  <c r="G114" i="24"/>
  <c r="I114" i="24"/>
  <c r="J114" i="24"/>
  <c r="L114" i="24"/>
  <c r="N114" i="24"/>
  <c r="O114" i="24"/>
  <c r="P114" i="24"/>
  <c r="R114" i="24"/>
  <c r="S114" i="24"/>
  <c r="E115" i="24"/>
  <c r="F115" i="24"/>
  <c r="G115" i="24"/>
  <c r="H115" i="24"/>
  <c r="I115" i="24"/>
  <c r="J115" i="24"/>
  <c r="K115" i="24"/>
  <c r="L115" i="24"/>
  <c r="M115" i="24"/>
  <c r="N115" i="24"/>
  <c r="O115" i="24"/>
  <c r="P115" i="24"/>
  <c r="Q115" i="24"/>
  <c r="R115" i="24"/>
  <c r="S115" i="24"/>
  <c r="T115" i="24"/>
  <c r="E116" i="24"/>
  <c r="F116" i="24"/>
  <c r="G116" i="24"/>
  <c r="I116" i="24"/>
  <c r="J116" i="24"/>
  <c r="K116" i="24"/>
  <c r="L116" i="24"/>
  <c r="N116" i="24"/>
  <c r="O116" i="24"/>
  <c r="P116" i="24"/>
  <c r="R116" i="24"/>
  <c r="S116" i="24"/>
  <c r="E117" i="24"/>
  <c r="G117" i="24"/>
  <c r="H117" i="24"/>
  <c r="I117" i="24"/>
  <c r="K117" i="24"/>
  <c r="L117" i="24"/>
  <c r="N117" i="24"/>
  <c r="O117" i="24"/>
  <c r="P117" i="24"/>
  <c r="R117" i="24"/>
  <c r="S117" i="24"/>
  <c r="E118" i="24"/>
  <c r="F118" i="24"/>
  <c r="G118" i="24"/>
  <c r="I118" i="24"/>
  <c r="J118" i="24"/>
  <c r="L118" i="24"/>
  <c r="N118" i="24"/>
  <c r="O118" i="24"/>
  <c r="P118" i="24"/>
  <c r="R118" i="24"/>
  <c r="S118" i="24"/>
  <c r="E119" i="24"/>
  <c r="G119" i="24"/>
  <c r="H119" i="24"/>
  <c r="I119" i="24"/>
  <c r="J119" i="24"/>
  <c r="K119" i="24"/>
  <c r="L119" i="24"/>
  <c r="M119" i="24"/>
  <c r="N119" i="24"/>
  <c r="O119" i="24"/>
  <c r="P119" i="24"/>
  <c r="Q119" i="24"/>
  <c r="R119" i="24"/>
  <c r="S119" i="24"/>
  <c r="T119" i="24"/>
  <c r="E120" i="24"/>
  <c r="F120" i="24"/>
  <c r="G120" i="24"/>
  <c r="H120" i="24"/>
  <c r="I120" i="24"/>
  <c r="J120" i="24"/>
  <c r="K120" i="24"/>
  <c r="L120" i="24"/>
  <c r="M120" i="24"/>
  <c r="N120" i="24"/>
  <c r="O120" i="24"/>
  <c r="P120" i="24"/>
  <c r="Q120" i="24"/>
  <c r="R120" i="24"/>
  <c r="S120" i="24"/>
  <c r="T120" i="24"/>
  <c r="E121" i="24"/>
  <c r="G121" i="24"/>
  <c r="H121" i="24"/>
  <c r="I121" i="24"/>
  <c r="J121" i="24"/>
  <c r="K121" i="24"/>
  <c r="L121" i="24"/>
  <c r="N121" i="24"/>
  <c r="O121" i="24"/>
  <c r="P121" i="24"/>
  <c r="R121" i="24"/>
  <c r="S121" i="24"/>
  <c r="T121" i="24"/>
  <c r="E122" i="24"/>
  <c r="F122" i="24"/>
  <c r="G122" i="24"/>
  <c r="H122" i="24"/>
  <c r="I122" i="24"/>
  <c r="J122" i="24"/>
  <c r="L122" i="24"/>
  <c r="N122" i="24"/>
  <c r="O122" i="24"/>
  <c r="P122" i="24"/>
  <c r="R122" i="24"/>
  <c r="S122" i="24"/>
  <c r="T122" i="24"/>
  <c r="T103" i="24"/>
  <c r="S103" i="24"/>
  <c r="R103" i="24"/>
  <c r="Q103" i="24"/>
  <c r="P103" i="24"/>
  <c r="O103" i="24"/>
  <c r="N103" i="24"/>
  <c r="M103" i="24"/>
  <c r="L103" i="24"/>
  <c r="K103" i="24"/>
  <c r="J103" i="24"/>
  <c r="I103" i="24"/>
  <c r="H103" i="24"/>
  <c r="G103" i="24"/>
  <c r="F103" i="24"/>
  <c r="E103" i="24"/>
  <c r="E40" i="22"/>
  <c r="F40" i="22"/>
  <c r="G40" i="22"/>
  <c r="H40" i="22"/>
  <c r="I40" i="22"/>
  <c r="J40" i="22"/>
  <c r="K40" i="22"/>
  <c r="L40" i="22"/>
  <c r="M40" i="22"/>
  <c r="N40" i="22"/>
  <c r="O40" i="22"/>
  <c r="P40" i="22"/>
  <c r="Q40" i="22"/>
  <c r="R40" i="22"/>
  <c r="S40" i="22"/>
  <c r="T40" i="22"/>
  <c r="E41" i="22"/>
  <c r="F41" i="22"/>
  <c r="G41" i="22"/>
  <c r="H41" i="22"/>
  <c r="I41" i="22"/>
  <c r="J41" i="22"/>
  <c r="K41" i="22"/>
  <c r="L41" i="22"/>
  <c r="M41" i="22"/>
  <c r="N41" i="22"/>
  <c r="O41" i="22"/>
  <c r="P41" i="22"/>
  <c r="Q41" i="22"/>
  <c r="R41" i="22"/>
  <c r="S41" i="22"/>
  <c r="T41" i="22"/>
  <c r="E42" i="22"/>
  <c r="F42" i="22"/>
  <c r="G42" i="22"/>
  <c r="H42" i="22"/>
  <c r="I42" i="22"/>
  <c r="J42" i="22"/>
  <c r="K42" i="22"/>
  <c r="L42" i="22"/>
  <c r="M42" i="22"/>
  <c r="N42" i="22"/>
  <c r="O42" i="22"/>
  <c r="P42" i="22"/>
  <c r="Q42" i="22"/>
  <c r="R42" i="22"/>
  <c r="S42" i="22"/>
  <c r="T42" i="22"/>
  <c r="E43" i="22"/>
  <c r="F43" i="22"/>
  <c r="G43" i="22"/>
  <c r="H43" i="22"/>
  <c r="I43" i="22"/>
  <c r="J43" i="22"/>
  <c r="K43" i="22"/>
  <c r="L43" i="22"/>
  <c r="M43" i="22"/>
  <c r="N43" i="22"/>
  <c r="O43" i="22"/>
  <c r="P43" i="22"/>
  <c r="Q43" i="22"/>
  <c r="R43" i="22"/>
  <c r="S43" i="22"/>
  <c r="T43" i="22"/>
  <c r="E44" i="22"/>
  <c r="F44" i="22"/>
  <c r="G44" i="22"/>
  <c r="H44" i="22"/>
  <c r="I44" i="22"/>
  <c r="J44" i="22"/>
  <c r="K44" i="22"/>
  <c r="L44" i="22"/>
  <c r="M44" i="22"/>
  <c r="N44" i="22"/>
  <c r="O44" i="22"/>
  <c r="P44" i="22"/>
  <c r="Q44" i="22"/>
  <c r="R44" i="22"/>
  <c r="S44" i="22"/>
  <c r="T44" i="22"/>
  <c r="E45" i="22"/>
  <c r="F45" i="22"/>
  <c r="G45" i="22"/>
  <c r="H45" i="22"/>
  <c r="I45" i="22"/>
  <c r="J45" i="22"/>
  <c r="K45" i="22"/>
  <c r="L45" i="22"/>
  <c r="M45" i="22"/>
  <c r="N45" i="22"/>
  <c r="O45" i="22"/>
  <c r="P45" i="22"/>
  <c r="Q45" i="22"/>
  <c r="R45" i="22"/>
  <c r="S45" i="22"/>
  <c r="T45" i="22"/>
  <c r="E46" i="22"/>
  <c r="F46" i="22"/>
  <c r="G46" i="22"/>
  <c r="H46" i="22"/>
  <c r="I46" i="22"/>
  <c r="J46" i="22"/>
  <c r="K46" i="22"/>
  <c r="L46" i="22"/>
  <c r="M46" i="22"/>
  <c r="N46" i="22"/>
  <c r="O46" i="22"/>
  <c r="P46" i="22"/>
  <c r="Q46" i="22"/>
  <c r="R46" i="22"/>
  <c r="S46" i="22"/>
  <c r="T46" i="22"/>
  <c r="E47" i="22"/>
  <c r="F47" i="22"/>
  <c r="G47" i="22"/>
  <c r="H47" i="22"/>
  <c r="I47" i="22"/>
  <c r="J47" i="22"/>
  <c r="K47" i="22"/>
  <c r="L47" i="22"/>
  <c r="M47" i="22"/>
  <c r="N47" i="22"/>
  <c r="O47" i="22"/>
  <c r="P47" i="22"/>
  <c r="Q47" i="22"/>
  <c r="R47" i="22"/>
  <c r="S47" i="22"/>
  <c r="T47" i="22"/>
  <c r="E48" i="22"/>
  <c r="F48" i="22"/>
  <c r="G48" i="22"/>
  <c r="H48" i="22"/>
  <c r="I48" i="22"/>
  <c r="J48" i="22"/>
  <c r="K48" i="22"/>
  <c r="L48" i="22"/>
  <c r="M48" i="22"/>
  <c r="N48" i="22"/>
  <c r="O48" i="22"/>
  <c r="P48" i="22"/>
  <c r="Q48" i="22"/>
  <c r="R48" i="22"/>
  <c r="S48" i="22"/>
  <c r="T48" i="22"/>
  <c r="E49" i="22"/>
  <c r="F49" i="22"/>
  <c r="G49" i="22"/>
  <c r="H49" i="22"/>
  <c r="I49" i="22"/>
  <c r="J49" i="22"/>
  <c r="K49" i="22"/>
  <c r="L49" i="22"/>
  <c r="M49" i="22"/>
  <c r="N49" i="22"/>
  <c r="O49" i="22"/>
  <c r="P49" i="22"/>
  <c r="Q49" i="22"/>
  <c r="R49" i="22"/>
  <c r="S49" i="22"/>
  <c r="T49" i="22"/>
  <c r="E50" i="22"/>
  <c r="F50" i="22"/>
  <c r="G50" i="22"/>
  <c r="H50" i="22"/>
  <c r="I50" i="22"/>
  <c r="J50" i="22"/>
  <c r="K50" i="22"/>
  <c r="L50" i="22"/>
  <c r="M50" i="22"/>
  <c r="N50" i="22"/>
  <c r="O50" i="22"/>
  <c r="P50" i="22"/>
  <c r="Q50" i="22"/>
  <c r="R50" i="22"/>
  <c r="S50" i="22"/>
  <c r="T50" i="22"/>
  <c r="E51" i="22"/>
  <c r="F51" i="22"/>
  <c r="G51" i="22"/>
  <c r="H51" i="22"/>
  <c r="I51" i="22"/>
  <c r="J51" i="22"/>
  <c r="K51" i="22"/>
  <c r="L51" i="22"/>
  <c r="M51" i="22"/>
  <c r="N51" i="22"/>
  <c r="O51" i="22"/>
  <c r="P51" i="22"/>
  <c r="Q51" i="22"/>
  <c r="R51" i="22"/>
  <c r="S51" i="22"/>
  <c r="T51" i="22"/>
  <c r="E52" i="22"/>
  <c r="F52" i="22"/>
  <c r="G52" i="22"/>
  <c r="H52" i="22"/>
  <c r="I52" i="22"/>
  <c r="J52" i="22"/>
  <c r="K52" i="22"/>
  <c r="L52" i="22"/>
  <c r="M52" i="22"/>
  <c r="N52" i="22"/>
  <c r="O52" i="22"/>
  <c r="P52" i="22"/>
  <c r="Q52" i="22"/>
  <c r="R52" i="22"/>
  <c r="S52" i="22"/>
  <c r="T52" i="22"/>
  <c r="E53" i="22"/>
  <c r="F53" i="22"/>
  <c r="G53" i="22"/>
  <c r="H53" i="22"/>
  <c r="I53" i="22"/>
  <c r="J53" i="22"/>
  <c r="K53" i="22"/>
  <c r="L53" i="22"/>
  <c r="M53" i="22"/>
  <c r="N53" i="22"/>
  <c r="O53" i="22"/>
  <c r="P53" i="22"/>
  <c r="Q53" i="22"/>
  <c r="R53" i="22"/>
  <c r="S53" i="22"/>
  <c r="T53" i="22"/>
  <c r="E54" i="22"/>
  <c r="F54" i="22"/>
  <c r="G54" i="22"/>
  <c r="H54" i="22"/>
  <c r="I54" i="22"/>
  <c r="J54" i="22"/>
  <c r="K54" i="22"/>
  <c r="L54" i="22"/>
  <c r="M54" i="22"/>
  <c r="N54" i="22"/>
  <c r="O54" i="22"/>
  <c r="P54" i="22"/>
  <c r="Q54" i="22"/>
  <c r="R54" i="22"/>
  <c r="S54" i="22"/>
  <c r="T54" i="22"/>
  <c r="E55" i="22"/>
  <c r="F55" i="22"/>
  <c r="G55" i="22"/>
  <c r="H55" i="22"/>
  <c r="I55" i="22"/>
  <c r="J55" i="22"/>
  <c r="K55" i="22"/>
  <c r="L55" i="22"/>
  <c r="M55" i="22"/>
  <c r="N55" i="22"/>
  <c r="O55" i="22"/>
  <c r="P55" i="22"/>
  <c r="Q55" i="22"/>
  <c r="R55" i="22"/>
  <c r="S55" i="22"/>
  <c r="T55" i="22"/>
  <c r="E56" i="22"/>
  <c r="F56" i="22"/>
  <c r="G56" i="22"/>
  <c r="H56" i="22"/>
  <c r="I56" i="22"/>
  <c r="J56" i="22"/>
  <c r="K56" i="22"/>
  <c r="L56" i="22"/>
  <c r="M56" i="22"/>
  <c r="N56" i="22"/>
  <c r="O56" i="22"/>
  <c r="P56" i="22"/>
  <c r="Q56" i="22"/>
  <c r="R56" i="22"/>
  <c r="S56" i="22"/>
  <c r="T56" i="22"/>
  <c r="E57" i="22"/>
  <c r="F57" i="22"/>
  <c r="G57" i="22"/>
  <c r="H57" i="22"/>
  <c r="I57" i="22"/>
  <c r="J57" i="22"/>
  <c r="K57" i="22"/>
  <c r="L57" i="22"/>
  <c r="M57" i="22"/>
  <c r="N57" i="22"/>
  <c r="O57" i="22"/>
  <c r="P57" i="22"/>
  <c r="Q57" i="22"/>
  <c r="R57" i="22"/>
  <c r="S57" i="22"/>
  <c r="T57" i="22"/>
  <c r="E58" i="22"/>
  <c r="F58" i="22"/>
  <c r="G58" i="22"/>
  <c r="H58" i="22"/>
  <c r="I58" i="22"/>
  <c r="J58" i="22"/>
  <c r="K58" i="22"/>
  <c r="L58" i="22"/>
  <c r="M58" i="22"/>
  <c r="N58" i="22"/>
  <c r="O58" i="22"/>
  <c r="P58" i="22"/>
  <c r="Q58" i="22"/>
  <c r="R58" i="22"/>
  <c r="S58" i="22"/>
  <c r="T58" i="22"/>
  <c r="E59" i="22"/>
  <c r="F59" i="22"/>
  <c r="G59" i="22"/>
  <c r="H59" i="22"/>
  <c r="I59" i="22"/>
  <c r="J59" i="22"/>
  <c r="K59" i="22"/>
  <c r="L59" i="22"/>
  <c r="M59" i="22"/>
  <c r="N59" i="22"/>
  <c r="O59" i="22"/>
  <c r="P59" i="22"/>
  <c r="Q59" i="22"/>
  <c r="R59" i="22"/>
  <c r="S59" i="22"/>
  <c r="T59" i="22"/>
  <c r="E60" i="22"/>
  <c r="F60" i="22"/>
  <c r="G60" i="22"/>
  <c r="H60" i="22"/>
  <c r="I60" i="22"/>
  <c r="J60" i="22"/>
  <c r="K60" i="22"/>
  <c r="L60" i="22"/>
  <c r="M60" i="22"/>
  <c r="N60" i="22"/>
  <c r="O60" i="22"/>
  <c r="P60" i="22"/>
  <c r="Q60" i="22"/>
  <c r="R60" i="22"/>
  <c r="S60" i="22"/>
  <c r="T60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P39" i="22"/>
  <c r="Q39" i="22"/>
  <c r="R39" i="22"/>
  <c r="S39" i="22"/>
  <c r="T39" i="22"/>
  <c r="O39" i="22"/>
  <c r="N39" i="22"/>
  <c r="M39" i="22"/>
  <c r="L39" i="22"/>
  <c r="K39" i="22"/>
  <c r="J39" i="22"/>
  <c r="I39" i="22"/>
  <c r="H39" i="22"/>
  <c r="G39" i="22"/>
  <c r="F39" i="22"/>
  <c r="E39" i="22"/>
  <c r="E61" i="21"/>
  <c r="F61" i="21"/>
  <c r="H61" i="21"/>
  <c r="I61" i="21"/>
  <c r="J61" i="21"/>
  <c r="L61" i="21"/>
  <c r="N61" i="21"/>
  <c r="O61" i="21"/>
  <c r="P61" i="21"/>
  <c r="Q61" i="21"/>
  <c r="R61" i="21"/>
  <c r="T61" i="21"/>
  <c r="E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E63" i="21"/>
  <c r="F63" i="21"/>
  <c r="G63" i="21"/>
  <c r="H63" i="21"/>
  <c r="I63" i="21"/>
  <c r="K63" i="21"/>
  <c r="L63" i="21"/>
  <c r="M63" i="21"/>
  <c r="N63" i="21"/>
  <c r="O63" i="21"/>
  <c r="P63" i="21"/>
  <c r="Q63" i="21"/>
  <c r="R63" i="21"/>
  <c r="T63" i="21"/>
  <c r="E64" i="21"/>
  <c r="G64" i="21"/>
  <c r="H64" i="21"/>
  <c r="I64" i="21"/>
  <c r="K64" i="21"/>
  <c r="L64" i="21"/>
  <c r="N64" i="21"/>
  <c r="O64" i="21"/>
  <c r="Q64" i="21"/>
  <c r="R64" i="21"/>
  <c r="S64" i="21"/>
  <c r="T64" i="21"/>
  <c r="E65" i="21"/>
  <c r="F65" i="21"/>
  <c r="G65" i="21"/>
  <c r="H65" i="21"/>
  <c r="I65" i="21"/>
  <c r="K65" i="21"/>
  <c r="L65" i="21"/>
  <c r="M65" i="21"/>
  <c r="N65" i="21"/>
  <c r="O65" i="21"/>
  <c r="P65" i="21"/>
  <c r="Q65" i="21"/>
  <c r="R65" i="21"/>
  <c r="S65" i="21"/>
  <c r="T65" i="21"/>
  <c r="E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T66" i="21"/>
  <c r="E67" i="21"/>
  <c r="F67" i="21"/>
  <c r="G67" i="21"/>
  <c r="H67" i="21"/>
  <c r="I67" i="21"/>
  <c r="J67" i="21"/>
  <c r="K67" i="21"/>
  <c r="L67" i="21"/>
  <c r="M67" i="21"/>
  <c r="N67" i="21"/>
  <c r="O67" i="21"/>
  <c r="Q67" i="21"/>
  <c r="R67" i="21"/>
  <c r="S67" i="21"/>
  <c r="T67" i="21"/>
  <c r="E68" i="21"/>
  <c r="F68" i="21"/>
  <c r="G68" i="21"/>
  <c r="H68" i="21"/>
  <c r="I68" i="21"/>
  <c r="J68" i="21"/>
  <c r="K68" i="21"/>
  <c r="L68" i="21"/>
  <c r="N68" i="21"/>
  <c r="O68" i="21"/>
  <c r="Q68" i="21"/>
  <c r="R68" i="21"/>
  <c r="T68" i="21"/>
  <c r="E69" i="21"/>
  <c r="F69" i="21"/>
  <c r="G69" i="21"/>
  <c r="I69" i="21"/>
  <c r="K69" i="21"/>
  <c r="L69" i="21"/>
  <c r="N69" i="21"/>
  <c r="O69" i="21"/>
  <c r="Q69" i="21"/>
  <c r="R69" i="21"/>
  <c r="T69" i="21"/>
  <c r="E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E71" i="21"/>
  <c r="F71" i="21"/>
  <c r="G71" i="21"/>
  <c r="H71" i="21"/>
  <c r="I71" i="21"/>
  <c r="K71" i="21"/>
  <c r="L71" i="21"/>
  <c r="M71" i="21"/>
  <c r="N71" i="21"/>
  <c r="O71" i="21"/>
  <c r="P71" i="21"/>
  <c r="Q71" i="21"/>
  <c r="R71" i="21"/>
  <c r="S71" i="21"/>
  <c r="T71" i="21"/>
  <c r="E72" i="21"/>
  <c r="F72" i="21"/>
  <c r="G72" i="21"/>
  <c r="H72" i="21"/>
  <c r="I72" i="21"/>
  <c r="K72" i="21"/>
  <c r="L72" i="21"/>
  <c r="N72" i="21"/>
  <c r="O72" i="21"/>
  <c r="P72" i="21"/>
  <c r="Q72" i="21"/>
  <c r="R72" i="21"/>
  <c r="T72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E75" i="21"/>
  <c r="G75" i="21"/>
  <c r="H75" i="21"/>
  <c r="I75" i="21"/>
  <c r="K75" i="21"/>
  <c r="L75" i="21"/>
  <c r="M75" i="21"/>
  <c r="N75" i="21"/>
  <c r="O75" i="21"/>
  <c r="P75" i="21"/>
  <c r="Q75" i="21"/>
  <c r="R75" i="21"/>
  <c r="S75" i="21"/>
  <c r="T75" i="21"/>
  <c r="E76" i="21"/>
  <c r="F76" i="21"/>
  <c r="G76" i="21"/>
  <c r="H76" i="21"/>
  <c r="I76" i="21"/>
  <c r="K76" i="21"/>
  <c r="L76" i="21"/>
  <c r="N76" i="21"/>
  <c r="O76" i="21"/>
  <c r="P76" i="21"/>
  <c r="Q76" i="21"/>
  <c r="R76" i="21"/>
  <c r="T76" i="21"/>
  <c r="E77" i="21"/>
  <c r="F77" i="21"/>
  <c r="G77" i="21"/>
  <c r="H77" i="21"/>
  <c r="I77" i="21"/>
  <c r="K77" i="21"/>
  <c r="L77" i="21"/>
  <c r="N77" i="21"/>
  <c r="O77" i="21"/>
  <c r="Q77" i="21"/>
  <c r="R77" i="21"/>
  <c r="T77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T39" i="20"/>
  <c r="T71" i="20" s="1"/>
  <c r="S39" i="20"/>
  <c r="S71" i="20" s="1"/>
  <c r="R39" i="20"/>
  <c r="R71" i="20" s="1"/>
  <c r="Q39" i="20"/>
  <c r="Q71" i="20" s="1"/>
  <c r="P39" i="20"/>
  <c r="P71" i="20" s="1"/>
  <c r="O39" i="20"/>
  <c r="O71" i="20" s="1"/>
  <c r="N39" i="20"/>
  <c r="N71" i="20" s="1"/>
  <c r="M39" i="20"/>
  <c r="M71" i="20" s="1"/>
  <c r="L39" i="20"/>
  <c r="L71" i="20" s="1"/>
  <c r="K39" i="20"/>
  <c r="K71" i="20" s="1"/>
  <c r="J39" i="20"/>
  <c r="J71" i="20" s="1"/>
  <c r="I39" i="20"/>
  <c r="I71" i="20" s="1"/>
  <c r="H39" i="20"/>
  <c r="H71" i="20" s="1"/>
  <c r="G39" i="20"/>
  <c r="G71" i="20" s="1"/>
  <c r="F39" i="20"/>
  <c r="F71" i="20" s="1"/>
  <c r="E39" i="20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S40" i="19"/>
  <c r="T40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E42" i="19"/>
  <c r="F42" i="19"/>
  <c r="G42" i="19"/>
  <c r="H42" i="19"/>
  <c r="I42" i="19"/>
  <c r="J42" i="19"/>
  <c r="K42" i="19"/>
  <c r="L42" i="19"/>
  <c r="M42" i="19"/>
  <c r="N42" i="19"/>
  <c r="O42" i="19"/>
  <c r="P42" i="19"/>
  <c r="Q42" i="19"/>
  <c r="R42" i="19"/>
  <c r="S42" i="19"/>
  <c r="T42" i="19"/>
  <c r="E43" i="19"/>
  <c r="F43" i="19"/>
  <c r="G43" i="19"/>
  <c r="H43" i="19"/>
  <c r="I43" i="19"/>
  <c r="J43" i="19"/>
  <c r="K43" i="19"/>
  <c r="L43" i="19"/>
  <c r="M43" i="19"/>
  <c r="N43" i="19"/>
  <c r="O43" i="19"/>
  <c r="P43" i="19"/>
  <c r="Q43" i="19"/>
  <c r="R43" i="19"/>
  <c r="S43" i="19"/>
  <c r="T43" i="19"/>
  <c r="E44" i="19"/>
  <c r="F44" i="19"/>
  <c r="G44" i="19"/>
  <c r="H44" i="19"/>
  <c r="I44" i="19"/>
  <c r="J44" i="19"/>
  <c r="K44" i="19"/>
  <c r="L44" i="19"/>
  <c r="M44" i="19"/>
  <c r="N44" i="19"/>
  <c r="O44" i="19"/>
  <c r="P44" i="19"/>
  <c r="Q44" i="19"/>
  <c r="R44" i="19"/>
  <c r="S44" i="19"/>
  <c r="T44" i="19"/>
  <c r="E45" i="19"/>
  <c r="F45" i="19"/>
  <c r="G45" i="19"/>
  <c r="H45" i="19"/>
  <c r="I45" i="19"/>
  <c r="J45" i="19"/>
  <c r="K45" i="19"/>
  <c r="L45" i="19"/>
  <c r="M45" i="19"/>
  <c r="N45" i="19"/>
  <c r="O45" i="19"/>
  <c r="P45" i="19"/>
  <c r="Q45" i="19"/>
  <c r="R45" i="19"/>
  <c r="S45" i="19"/>
  <c r="T45" i="19"/>
  <c r="E46" i="19"/>
  <c r="F46" i="19"/>
  <c r="G46" i="19"/>
  <c r="H46" i="19"/>
  <c r="I46" i="19"/>
  <c r="J46" i="19"/>
  <c r="K46" i="19"/>
  <c r="L46" i="19"/>
  <c r="M46" i="19"/>
  <c r="N46" i="19"/>
  <c r="O46" i="19"/>
  <c r="P46" i="19"/>
  <c r="Q46" i="19"/>
  <c r="R46" i="19"/>
  <c r="S46" i="19"/>
  <c r="T46" i="19"/>
  <c r="E47" i="19"/>
  <c r="F47" i="19"/>
  <c r="G47" i="19"/>
  <c r="H47" i="19"/>
  <c r="I47" i="19"/>
  <c r="J47" i="19"/>
  <c r="K47" i="19"/>
  <c r="L47" i="19"/>
  <c r="M47" i="19"/>
  <c r="N47" i="19"/>
  <c r="O47" i="19"/>
  <c r="P47" i="19"/>
  <c r="Q47" i="19"/>
  <c r="R47" i="19"/>
  <c r="S47" i="19"/>
  <c r="T47" i="19"/>
  <c r="E48" i="19"/>
  <c r="F48" i="19"/>
  <c r="G48" i="19"/>
  <c r="H48" i="19"/>
  <c r="I48" i="19"/>
  <c r="J48" i="19"/>
  <c r="K48" i="19"/>
  <c r="L48" i="19"/>
  <c r="M48" i="19"/>
  <c r="N48" i="19"/>
  <c r="O48" i="19"/>
  <c r="P48" i="19"/>
  <c r="Q48" i="19"/>
  <c r="R48" i="19"/>
  <c r="S48" i="19"/>
  <c r="T48" i="19"/>
  <c r="E49" i="19"/>
  <c r="F49" i="19"/>
  <c r="G49" i="19"/>
  <c r="H49" i="19"/>
  <c r="I49" i="19"/>
  <c r="J49" i="19"/>
  <c r="K49" i="19"/>
  <c r="L49" i="19"/>
  <c r="M49" i="19"/>
  <c r="N49" i="19"/>
  <c r="O49" i="19"/>
  <c r="P49" i="19"/>
  <c r="Q49" i="19"/>
  <c r="R49" i="19"/>
  <c r="S49" i="19"/>
  <c r="T49" i="19"/>
  <c r="E50" i="19"/>
  <c r="F50" i="19"/>
  <c r="G50" i="19"/>
  <c r="H50" i="19"/>
  <c r="I50" i="19"/>
  <c r="J50" i="19"/>
  <c r="K50" i="19"/>
  <c r="L50" i="19"/>
  <c r="M50" i="19"/>
  <c r="N50" i="19"/>
  <c r="O50" i="19"/>
  <c r="P50" i="19"/>
  <c r="Q50" i="19"/>
  <c r="R50" i="19"/>
  <c r="S50" i="19"/>
  <c r="T50" i="19"/>
  <c r="E51" i="19"/>
  <c r="F51" i="19"/>
  <c r="G51" i="19"/>
  <c r="H51" i="19"/>
  <c r="I51" i="19"/>
  <c r="J51" i="19"/>
  <c r="K51" i="19"/>
  <c r="L51" i="19"/>
  <c r="M51" i="19"/>
  <c r="N51" i="19"/>
  <c r="O51" i="19"/>
  <c r="P51" i="19"/>
  <c r="Q51" i="19"/>
  <c r="R51" i="19"/>
  <c r="S51" i="19"/>
  <c r="T51" i="19"/>
  <c r="E52" i="19"/>
  <c r="F52" i="19"/>
  <c r="G52" i="19"/>
  <c r="H52" i="19"/>
  <c r="I52" i="19"/>
  <c r="J52" i="19"/>
  <c r="K52" i="19"/>
  <c r="L52" i="19"/>
  <c r="M52" i="19"/>
  <c r="N52" i="19"/>
  <c r="O52" i="19"/>
  <c r="P52" i="19"/>
  <c r="Q52" i="19"/>
  <c r="R52" i="19"/>
  <c r="S52" i="19"/>
  <c r="T52" i="19"/>
  <c r="E53" i="19"/>
  <c r="F53" i="19"/>
  <c r="G53" i="19"/>
  <c r="H53" i="19"/>
  <c r="I53" i="19"/>
  <c r="J53" i="19"/>
  <c r="K53" i="19"/>
  <c r="L53" i="19"/>
  <c r="M53" i="19"/>
  <c r="N53" i="19"/>
  <c r="O53" i="19"/>
  <c r="P53" i="19"/>
  <c r="Q53" i="19"/>
  <c r="R53" i="19"/>
  <c r="S53" i="19"/>
  <c r="T53" i="19"/>
  <c r="E54" i="19"/>
  <c r="F54" i="19"/>
  <c r="G54" i="19"/>
  <c r="H54" i="19"/>
  <c r="I54" i="19"/>
  <c r="J54" i="19"/>
  <c r="K54" i="19"/>
  <c r="L54" i="19"/>
  <c r="M54" i="19"/>
  <c r="N54" i="19"/>
  <c r="O54" i="19"/>
  <c r="P54" i="19"/>
  <c r="Q54" i="19"/>
  <c r="R54" i="19"/>
  <c r="S54" i="19"/>
  <c r="T54" i="19"/>
  <c r="E55" i="19"/>
  <c r="F55" i="19"/>
  <c r="G55" i="19"/>
  <c r="H55" i="19"/>
  <c r="I55" i="19"/>
  <c r="J55" i="19"/>
  <c r="K55" i="19"/>
  <c r="L55" i="19"/>
  <c r="M55" i="19"/>
  <c r="N55" i="19"/>
  <c r="O55" i="19"/>
  <c r="P55" i="19"/>
  <c r="Q55" i="19"/>
  <c r="R55" i="19"/>
  <c r="S55" i="19"/>
  <c r="T55" i="19"/>
  <c r="E56" i="19"/>
  <c r="F56" i="19"/>
  <c r="G56" i="19"/>
  <c r="H56" i="19"/>
  <c r="I56" i="19"/>
  <c r="J56" i="19"/>
  <c r="K56" i="19"/>
  <c r="L56" i="19"/>
  <c r="M56" i="19"/>
  <c r="N56" i="19"/>
  <c r="O56" i="19"/>
  <c r="P56" i="19"/>
  <c r="Q56" i="19"/>
  <c r="R56" i="19"/>
  <c r="S56" i="19"/>
  <c r="T56" i="19"/>
  <c r="E57" i="19"/>
  <c r="F57" i="19"/>
  <c r="G57" i="19"/>
  <c r="H57" i="19"/>
  <c r="I57" i="19"/>
  <c r="J57" i="19"/>
  <c r="K57" i="19"/>
  <c r="L57" i="19"/>
  <c r="M57" i="19"/>
  <c r="N57" i="19"/>
  <c r="O57" i="19"/>
  <c r="P57" i="19"/>
  <c r="Q57" i="19"/>
  <c r="R57" i="19"/>
  <c r="S57" i="19"/>
  <c r="T57" i="19"/>
  <c r="E58" i="19"/>
  <c r="F58" i="19"/>
  <c r="G58" i="19"/>
  <c r="H58" i="19"/>
  <c r="I58" i="19"/>
  <c r="J58" i="19"/>
  <c r="K58" i="19"/>
  <c r="L58" i="19"/>
  <c r="M58" i="19"/>
  <c r="N58" i="19"/>
  <c r="O58" i="19"/>
  <c r="P58" i="19"/>
  <c r="Q58" i="19"/>
  <c r="R58" i="19"/>
  <c r="S58" i="19"/>
  <c r="T58" i="19"/>
  <c r="E59" i="19"/>
  <c r="F59" i="19"/>
  <c r="G59" i="19"/>
  <c r="H59" i="19"/>
  <c r="I59" i="19"/>
  <c r="J59" i="19"/>
  <c r="K59" i="19"/>
  <c r="L59" i="19"/>
  <c r="M59" i="19"/>
  <c r="N59" i="19"/>
  <c r="O59" i="19"/>
  <c r="P59" i="19"/>
  <c r="Q59" i="19"/>
  <c r="R59" i="19"/>
  <c r="S59" i="19"/>
  <c r="T5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E61" i="16" s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T39" i="23"/>
  <c r="T71" i="23" s="1"/>
  <c r="T103" i="23" s="1"/>
  <c r="S39" i="23"/>
  <c r="S71" i="23" s="1"/>
  <c r="S103" i="23" s="1"/>
  <c r="R39" i="23"/>
  <c r="R71" i="23" s="1"/>
  <c r="R103" i="23" s="1"/>
  <c r="Q39" i="23"/>
  <c r="Q71" i="23" s="1"/>
  <c r="Q103" i="23" s="1"/>
  <c r="P39" i="23"/>
  <c r="P71" i="23" s="1"/>
  <c r="P103" i="23" s="1"/>
  <c r="O39" i="23"/>
  <c r="O71" i="23" s="1"/>
  <c r="O103" i="23" s="1"/>
  <c r="N39" i="23"/>
  <c r="N71" i="23" s="1"/>
  <c r="N103" i="23" s="1"/>
  <c r="M39" i="23"/>
  <c r="M71" i="23" s="1"/>
  <c r="M103" i="23" s="1"/>
  <c r="L39" i="23"/>
  <c r="L71" i="23" s="1"/>
  <c r="L103" i="23" s="1"/>
  <c r="K39" i="23"/>
  <c r="K71" i="23" s="1"/>
  <c r="K103" i="23" s="1"/>
  <c r="J39" i="23"/>
  <c r="J71" i="23" s="1"/>
  <c r="J103" i="23" s="1"/>
  <c r="I39" i="23"/>
  <c r="I71" i="23" s="1"/>
  <c r="I103" i="23" s="1"/>
  <c r="H39" i="23"/>
  <c r="H71" i="23" s="1"/>
  <c r="H103" i="23" s="1"/>
  <c r="G39" i="23"/>
  <c r="G71" i="23" s="1"/>
  <c r="G103" i="23" s="1"/>
  <c r="F39" i="23"/>
  <c r="F71" i="23" s="1"/>
  <c r="F103" i="23" s="1"/>
  <c r="E39" i="23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E40" i="15"/>
  <c r="F40" i="15"/>
  <c r="H40" i="15"/>
  <c r="I40" i="15"/>
  <c r="K40" i="15"/>
  <c r="M40" i="15"/>
  <c r="N40" i="15"/>
  <c r="O40" i="15"/>
  <c r="P40" i="15"/>
  <c r="Q40" i="15"/>
  <c r="R40" i="15"/>
  <c r="T40" i="15"/>
  <c r="E41" i="15"/>
  <c r="G41" i="15"/>
  <c r="H41" i="15"/>
  <c r="I41" i="15"/>
  <c r="K41" i="15"/>
  <c r="M41" i="15"/>
  <c r="N41" i="15"/>
  <c r="O41" i="15"/>
  <c r="P41" i="15"/>
  <c r="R41" i="15"/>
  <c r="T41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T42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T43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T44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E46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R46" i="15"/>
  <c r="S46" i="15"/>
  <c r="T46" i="15"/>
  <c r="E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T47" i="15"/>
  <c r="E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R48" i="15"/>
  <c r="S48" i="15"/>
  <c r="T48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T50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T52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E54" i="15"/>
  <c r="F54" i="15"/>
  <c r="G54" i="15"/>
  <c r="H54" i="15"/>
  <c r="I54" i="15"/>
  <c r="J54" i="15"/>
  <c r="K54" i="15"/>
  <c r="L54" i="15"/>
  <c r="M54" i="15"/>
  <c r="N54" i="15"/>
  <c r="O54" i="15"/>
  <c r="P54" i="15"/>
  <c r="Q54" i="15"/>
  <c r="R54" i="15"/>
  <c r="S54" i="15"/>
  <c r="T54" i="15"/>
  <c r="E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T57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T58" i="15"/>
  <c r="E59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T59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T60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F61" i="18"/>
  <c r="E61" i="18"/>
  <c r="C22" i="18"/>
  <c r="C11" i="18"/>
  <c r="K65" i="18" s="1"/>
  <c r="C12" i="18"/>
  <c r="K66" i="18" s="1"/>
  <c r="C13" i="18"/>
  <c r="K67" i="18" s="1"/>
  <c r="C14" i="18"/>
  <c r="K68" i="18" s="1"/>
  <c r="C15" i="18"/>
  <c r="K69" i="18" s="1"/>
  <c r="C16" i="18"/>
  <c r="K70" i="18" s="1"/>
  <c r="C17" i="18"/>
  <c r="K71" i="18" s="1"/>
  <c r="C18" i="18"/>
  <c r="K72" i="18" s="1"/>
  <c r="C19" i="18"/>
  <c r="K73" i="18" s="1"/>
  <c r="C20" i="18"/>
  <c r="K74" i="18" s="1"/>
  <c r="C21" i="18"/>
  <c r="K75" i="18" s="1"/>
  <c r="C10" i="18"/>
  <c r="K64" i="18" s="1"/>
  <c r="L41" i="15"/>
  <c r="L40" i="15"/>
  <c r="F28" i="27"/>
  <c r="B3" i="25"/>
  <c r="B3" i="24"/>
  <c r="B3" i="23"/>
  <c r="B3" i="22"/>
  <c r="B3" i="21"/>
  <c r="B3" i="20"/>
  <c r="B3" i="19"/>
  <c r="B3" i="18"/>
  <c r="B3" i="17"/>
  <c r="B3" i="16"/>
  <c r="B3" i="15"/>
  <c r="E71" i="20" l="1"/>
  <c r="E78" i="20" s="1"/>
  <c r="P90" i="1"/>
  <c r="M61" i="21"/>
  <c r="G61" i="21"/>
  <c r="K61" i="21"/>
  <c r="S61" i="21"/>
  <c r="G84" i="21"/>
  <c r="K84" i="21"/>
  <c r="S84" i="21"/>
  <c r="P84" i="21"/>
  <c r="M84" i="21"/>
  <c r="M80" i="21"/>
  <c r="J80" i="21"/>
  <c r="S80" i="21"/>
  <c r="P80" i="21"/>
  <c r="M76" i="21"/>
  <c r="J76" i="21"/>
  <c r="S76" i="21"/>
  <c r="M72" i="21"/>
  <c r="J72" i="21"/>
  <c r="S72" i="21"/>
  <c r="S68" i="21"/>
  <c r="P68" i="21"/>
  <c r="M68" i="21"/>
  <c r="P64" i="21"/>
  <c r="M64" i="21"/>
  <c r="S92" i="21"/>
  <c r="H92" i="21"/>
  <c r="P92" i="21"/>
  <c r="M92" i="21"/>
  <c r="F76" i="18"/>
  <c r="K76" i="18"/>
  <c r="E71" i="23"/>
  <c r="E103" i="23" s="1"/>
  <c r="S75" i="1"/>
  <c r="F75" i="1"/>
  <c r="J75" i="1"/>
  <c r="P75" i="1"/>
  <c r="S67" i="1"/>
  <c r="M67" i="1"/>
  <c r="P95" i="1"/>
  <c r="Q174" i="24"/>
  <c r="T174" i="24"/>
  <c r="K174" i="24"/>
  <c r="M170" i="24"/>
  <c r="Q170" i="24"/>
  <c r="H170" i="24"/>
  <c r="K170" i="24"/>
  <c r="T170" i="24"/>
  <c r="H162" i="24"/>
  <c r="T162" i="24"/>
  <c r="M162" i="24"/>
  <c r="Q162" i="24"/>
  <c r="K162" i="24"/>
  <c r="Q158" i="24"/>
  <c r="K158" i="24"/>
  <c r="T158" i="24"/>
  <c r="K154" i="24"/>
  <c r="H154" i="24"/>
  <c r="T154" i="24"/>
  <c r="M154" i="24"/>
  <c r="Q154" i="24"/>
  <c r="K146" i="24"/>
  <c r="H146" i="24"/>
  <c r="T146" i="24"/>
  <c r="M146" i="24"/>
  <c r="Q146" i="24"/>
  <c r="H138" i="24"/>
  <c r="K138" i="24"/>
  <c r="M138" i="24"/>
  <c r="Q138" i="24"/>
  <c r="S138" i="24"/>
  <c r="M130" i="24"/>
  <c r="Q130" i="24"/>
  <c r="T130" i="24"/>
  <c r="K130" i="24"/>
  <c r="H130" i="24"/>
  <c r="T126" i="24"/>
  <c r="K126" i="24"/>
  <c r="Q126" i="24"/>
  <c r="M122" i="24"/>
  <c r="Q122" i="24"/>
  <c r="K122" i="24"/>
  <c r="K118" i="24"/>
  <c r="H118" i="24"/>
  <c r="T118" i="24"/>
  <c r="M118" i="24"/>
  <c r="Q118" i="24"/>
  <c r="K114" i="24"/>
  <c r="H114" i="24"/>
  <c r="T114" i="24"/>
  <c r="M114" i="24"/>
  <c r="Q114" i="24"/>
  <c r="K110" i="24"/>
  <c r="H110" i="24"/>
  <c r="T110" i="24"/>
  <c r="M110" i="24"/>
  <c r="Q110" i="24"/>
  <c r="K106" i="24"/>
  <c r="H106" i="24"/>
  <c r="T106" i="24"/>
  <c r="M106" i="24"/>
  <c r="Q106" i="24"/>
  <c r="K150" i="24"/>
  <c r="T142" i="24"/>
  <c r="M83" i="1"/>
  <c r="H83" i="1"/>
  <c r="P78" i="1"/>
  <c r="P98" i="1"/>
  <c r="J95" i="21"/>
  <c r="M91" i="21"/>
  <c r="P87" i="21"/>
  <c r="P83" i="21"/>
  <c r="S79" i="21"/>
  <c r="J79" i="21"/>
  <c r="K145" i="24"/>
  <c r="K133" i="24"/>
  <c r="Q161" i="24"/>
  <c r="Q153" i="24"/>
  <c r="K173" i="24"/>
  <c r="J75" i="21"/>
  <c r="S63" i="21"/>
  <c r="T117" i="24"/>
  <c r="T113" i="24"/>
  <c r="K113" i="24"/>
  <c r="T105" i="24"/>
  <c r="P83" i="1"/>
  <c r="P81" i="1"/>
  <c r="M77" i="1"/>
  <c r="G74" i="1"/>
  <c r="M72" i="1"/>
  <c r="P69" i="1"/>
  <c r="M68" i="1"/>
  <c r="P96" i="1"/>
  <c r="P100" i="1"/>
  <c r="F98" i="1"/>
  <c r="M95" i="21"/>
  <c r="P91" i="21"/>
  <c r="S90" i="21"/>
  <c r="S83" i="21"/>
  <c r="M82" i="21"/>
  <c r="S81" i="21"/>
  <c r="K148" i="24"/>
  <c r="Q147" i="24"/>
  <c r="M147" i="24"/>
  <c r="T145" i="24"/>
  <c r="T144" i="24"/>
  <c r="K144" i="24"/>
  <c r="K143" i="24"/>
  <c r="K141" i="24"/>
  <c r="Q139" i="24"/>
  <c r="M139" i="24"/>
  <c r="Q137" i="24"/>
  <c r="Q135" i="24"/>
  <c r="F131" i="24"/>
  <c r="Q129" i="24"/>
  <c r="T123" i="24"/>
  <c r="K123" i="24"/>
  <c r="K160" i="24"/>
  <c r="K156" i="24"/>
  <c r="Q155" i="24"/>
  <c r="T153" i="24"/>
  <c r="Q152" i="24"/>
  <c r="K175" i="24"/>
  <c r="F171" i="24"/>
  <c r="Q121" i="24"/>
  <c r="M121" i="24"/>
  <c r="K105" i="24"/>
  <c r="M87" i="1"/>
  <c r="M85" i="1"/>
  <c r="P74" i="1"/>
  <c r="P72" i="1"/>
  <c r="M70" i="1"/>
  <c r="F69" i="1"/>
  <c r="G94" i="1"/>
  <c r="M97" i="1"/>
  <c r="H97" i="1"/>
  <c r="P95" i="21"/>
  <c r="S94" i="21"/>
  <c r="S91" i="21"/>
  <c r="J87" i="21"/>
  <c r="J83" i="21"/>
  <c r="M81" i="21"/>
  <c r="K149" i="24"/>
  <c r="T147" i="24"/>
  <c r="T137" i="24"/>
  <c r="K137" i="24"/>
  <c r="T135" i="24"/>
  <c r="K135" i="24"/>
  <c r="F123" i="24"/>
  <c r="K164" i="24"/>
  <c r="Q163" i="24"/>
  <c r="K159" i="24"/>
  <c r="T155" i="24"/>
  <c r="K155" i="24"/>
  <c r="K151" i="24"/>
  <c r="K169" i="24"/>
  <c r="G40" i="15"/>
  <c r="M69" i="18"/>
  <c r="F69" i="18"/>
  <c r="J69" i="18"/>
  <c r="P69" i="18"/>
  <c r="S69" i="18"/>
  <c r="M76" i="18"/>
  <c r="J76" i="18"/>
  <c r="P76" i="18"/>
  <c r="S76" i="18"/>
  <c r="E65" i="18"/>
  <c r="M65" i="18"/>
  <c r="J65" i="18"/>
  <c r="S65" i="18"/>
  <c r="P65" i="18"/>
  <c r="M68" i="18"/>
  <c r="J68" i="18"/>
  <c r="G68" i="18"/>
  <c r="S68" i="18"/>
  <c r="P68" i="18"/>
  <c r="M75" i="18"/>
  <c r="J75" i="18"/>
  <c r="G75" i="18"/>
  <c r="S75" i="18"/>
  <c r="P75" i="18"/>
  <c r="M71" i="18"/>
  <c r="J71" i="18"/>
  <c r="P71" i="18"/>
  <c r="G71" i="18"/>
  <c r="S71" i="18"/>
  <c r="E67" i="18"/>
  <c r="M67" i="18"/>
  <c r="J67" i="18"/>
  <c r="P67" i="18"/>
  <c r="S67" i="18"/>
  <c r="M73" i="18"/>
  <c r="J73" i="18"/>
  <c r="H73" i="18"/>
  <c r="H113" i="18" s="1"/>
  <c r="G8" i="2" s="1"/>
  <c r="P73" i="18"/>
  <c r="G73" i="18"/>
  <c r="S73" i="18"/>
  <c r="M64" i="18"/>
  <c r="F64" i="18"/>
  <c r="J64" i="18"/>
  <c r="S64" i="18"/>
  <c r="P64" i="18"/>
  <c r="M72" i="18"/>
  <c r="P72" i="18"/>
  <c r="F72" i="18"/>
  <c r="J72" i="18"/>
  <c r="S72" i="18"/>
  <c r="M74" i="18"/>
  <c r="P74" i="18"/>
  <c r="F74" i="18"/>
  <c r="J74" i="18"/>
  <c r="S74" i="18"/>
  <c r="M70" i="18"/>
  <c r="F70" i="18"/>
  <c r="J70" i="18"/>
  <c r="S70" i="18"/>
  <c r="P70" i="18"/>
  <c r="M66" i="18"/>
  <c r="F66" i="18"/>
  <c r="J66" i="18"/>
  <c r="S66" i="18"/>
  <c r="P66" i="18"/>
  <c r="M46" i="17"/>
  <c r="S46" i="17"/>
  <c r="F46" i="17"/>
  <c r="J46" i="17"/>
  <c r="O46" i="17"/>
  <c r="E49" i="17"/>
  <c r="M49" i="17"/>
  <c r="O49" i="17"/>
  <c r="J49" i="17"/>
  <c r="S49" i="17"/>
  <c r="E45" i="17"/>
  <c r="E84" i="17" s="1"/>
  <c r="D7" i="2" s="1"/>
  <c r="M45" i="17"/>
  <c r="S45" i="17"/>
  <c r="J45" i="17"/>
  <c r="O45" i="17"/>
  <c r="M40" i="17"/>
  <c r="S40" i="17"/>
  <c r="F40" i="17"/>
  <c r="J40" i="17"/>
  <c r="O40" i="17"/>
  <c r="M48" i="17"/>
  <c r="O48" i="17"/>
  <c r="F48" i="17"/>
  <c r="J48" i="17"/>
  <c r="S48" i="17"/>
  <c r="M47" i="17"/>
  <c r="J47" i="17"/>
  <c r="G47" i="17"/>
  <c r="G84" i="17" s="1"/>
  <c r="F7" i="2" s="1"/>
  <c r="O47" i="17"/>
  <c r="S47" i="17"/>
  <c r="S101" i="1"/>
  <c r="M101" i="1"/>
  <c r="M165" i="24"/>
  <c r="F165" i="24"/>
  <c r="Q165" i="24"/>
  <c r="M77" i="21"/>
  <c r="K99" i="1"/>
  <c r="S99" i="1"/>
  <c r="T156" i="24"/>
  <c r="Q173" i="24"/>
  <c r="S73" i="1"/>
  <c r="M73" i="1"/>
  <c r="M141" i="24"/>
  <c r="Q141" i="24"/>
  <c r="M125" i="24"/>
  <c r="F125" i="24"/>
  <c r="J125" i="24"/>
  <c r="T125" i="24"/>
  <c r="F73" i="1"/>
  <c r="P85" i="21"/>
  <c r="M156" i="24"/>
  <c r="H156" i="24"/>
  <c r="Q156" i="24"/>
  <c r="J117" i="24"/>
  <c r="K84" i="1"/>
  <c r="S84" i="1"/>
  <c r="F41" i="15"/>
  <c r="S77" i="21"/>
  <c r="Q117" i="24"/>
  <c r="P86" i="1"/>
  <c r="J67" i="1"/>
  <c r="F95" i="1"/>
  <c r="M99" i="1"/>
  <c r="F66" i="21"/>
  <c r="S66" i="21"/>
  <c r="S93" i="21"/>
  <c r="J93" i="21"/>
  <c r="P90" i="21"/>
  <c r="P86" i="21"/>
  <c r="J82" i="21"/>
  <c r="J81" i="21"/>
  <c r="H80" i="21"/>
  <c r="J149" i="24"/>
  <c r="H148" i="24"/>
  <c r="S132" i="24"/>
  <c r="J132" i="24"/>
  <c r="J159" i="24"/>
  <c r="J174" i="24"/>
  <c r="T165" i="24"/>
  <c r="J165" i="24"/>
  <c r="S66" i="1"/>
  <c r="J66" i="1"/>
  <c r="K93" i="1"/>
  <c r="S93" i="1"/>
  <c r="M93" i="1"/>
  <c r="J101" i="1"/>
  <c r="M172" i="24"/>
  <c r="H172" i="24"/>
  <c r="J172" i="24"/>
  <c r="T172" i="24"/>
  <c r="M140" i="24"/>
  <c r="H140" i="24"/>
  <c r="M124" i="24"/>
  <c r="H124" i="24"/>
  <c r="Q124" i="24"/>
  <c r="J148" i="24"/>
  <c r="K71" i="1"/>
  <c r="S71" i="1"/>
  <c r="K91" i="1"/>
  <c r="S91" i="1"/>
  <c r="Q148" i="24"/>
  <c r="J77" i="21"/>
  <c r="P69" i="21"/>
  <c r="H69" i="21"/>
  <c r="J109" i="24"/>
  <c r="Q108" i="24"/>
  <c r="H108" i="24"/>
  <c r="F91" i="1"/>
  <c r="M74" i="1"/>
  <c r="P71" i="1"/>
  <c r="P66" i="1"/>
  <c r="G66" i="1"/>
  <c r="P101" i="1"/>
  <c r="G101" i="1"/>
  <c r="F89" i="21"/>
  <c r="M89" i="21"/>
  <c r="T164" i="24"/>
  <c r="K86" i="1"/>
  <c r="S86" i="1"/>
  <c r="M86" i="1"/>
  <c r="P73" i="1"/>
  <c r="F85" i="21"/>
  <c r="J85" i="21"/>
  <c r="F93" i="21"/>
  <c r="P93" i="21"/>
  <c r="M173" i="24"/>
  <c r="F173" i="24"/>
  <c r="T173" i="24"/>
  <c r="M133" i="24"/>
  <c r="F133" i="24"/>
  <c r="Q41" i="15"/>
  <c r="Q109" i="24"/>
  <c r="K76" i="1"/>
  <c r="S76" i="1"/>
  <c r="H76" i="1"/>
  <c r="K81" i="1"/>
  <c r="S81" i="1"/>
  <c r="K96" i="1"/>
  <c r="S96" i="1"/>
  <c r="P76" i="1"/>
  <c r="M75" i="1"/>
  <c r="J73" i="1"/>
  <c r="F71" i="1"/>
  <c r="P67" i="1"/>
  <c r="G88" i="21"/>
  <c r="M88" i="21"/>
  <c r="F64" i="21"/>
  <c r="J64" i="21"/>
  <c r="J94" i="21"/>
  <c r="S88" i="21"/>
  <c r="J88" i="21"/>
  <c r="P82" i="21"/>
  <c r="P81" i="21"/>
  <c r="F141" i="24"/>
  <c r="J133" i="24"/>
  <c r="T175" i="24"/>
  <c r="M157" i="24"/>
  <c r="F157" i="24"/>
  <c r="J157" i="24"/>
  <c r="T157" i="24"/>
  <c r="M164" i="24"/>
  <c r="H164" i="24"/>
  <c r="M132" i="24"/>
  <c r="H132" i="24"/>
  <c r="T141" i="24"/>
  <c r="J69" i="21"/>
  <c r="Q116" i="24"/>
  <c r="T109" i="24"/>
  <c r="K79" i="1"/>
  <c r="S79" i="1"/>
  <c r="F79" i="1"/>
  <c r="E113" i="18"/>
  <c r="D8" i="2" s="1"/>
  <c r="S40" i="15"/>
  <c r="J40" i="15"/>
  <c r="K90" i="1"/>
  <c r="S90" i="1"/>
  <c r="H90" i="1"/>
  <c r="K95" i="1"/>
  <c r="S95" i="1"/>
  <c r="M91" i="1"/>
  <c r="P84" i="1"/>
  <c r="P68" i="1"/>
  <c r="P93" i="1"/>
  <c r="F93" i="1"/>
  <c r="M90" i="21"/>
  <c r="S85" i="21"/>
  <c r="M175" i="24"/>
  <c r="F175" i="24"/>
  <c r="Q175" i="24"/>
  <c r="M167" i="24"/>
  <c r="F167" i="24"/>
  <c r="J167" i="24"/>
  <c r="T167" i="24"/>
  <c r="M159" i="24"/>
  <c r="F159" i="24"/>
  <c r="M151" i="24"/>
  <c r="F151" i="24"/>
  <c r="J151" i="24"/>
  <c r="T151" i="24"/>
  <c r="M143" i="24"/>
  <c r="J143" i="24"/>
  <c r="T143" i="24"/>
  <c r="M135" i="24"/>
  <c r="J135" i="24"/>
  <c r="M127" i="24"/>
  <c r="F127" i="24"/>
  <c r="F111" i="24"/>
  <c r="T111" i="24"/>
  <c r="M148" i="24"/>
  <c r="Q125" i="24"/>
  <c r="F149" i="24"/>
  <c r="T149" i="24"/>
  <c r="M149" i="24"/>
  <c r="Q157" i="24"/>
  <c r="F113" i="18"/>
  <c r="E8" i="2" s="1"/>
  <c r="M109" i="24"/>
  <c r="H116" i="24"/>
  <c r="S41" i="15"/>
  <c r="J41" i="15"/>
  <c r="M69" i="21"/>
  <c r="M117" i="24"/>
  <c r="T116" i="24"/>
  <c r="K87" i="1"/>
  <c r="S87" i="1"/>
  <c r="F87" i="1"/>
  <c r="K102" i="1"/>
  <c r="S102" i="1"/>
  <c r="F102" i="1"/>
  <c r="K94" i="1"/>
  <c r="S94" i="1"/>
  <c r="F84" i="1"/>
  <c r="M79" i="1"/>
  <c r="J74" i="1"/>
  <c r="M71" i="1"/>
  <c r="G68" i="1"/>
  <c r="F67" i="1"/>
  <c r="M66" i="1"/>
  <c r="P102" i="1"/>
  <c r="G86" i="21"/>
  <c r="G149" i="21" s="1"/>
  <c r="F11" i="2" s="1"/>
  <c r="J86" i="21"/>
  <c r="S86" i="21"/>
  <c r="P94" i="21"/>
  <c r="S89" i="21"/>
  <c r="J89" i="21"/>
  <c r="M174" i="24"/>
  <c r="H174" i="24"/>
  <c r="M166" i="24"/>
  <c r="H166" i="24"/>
  <c r="Q166" i="24"/>
  <c r="J166" i="24"/>
  <c r="M158" i="24"/>
  <c r="H158" i="24"/>
  <c r="T150" i="24"/>
  <c r="M150" i="24"/>
  <c r="M142" i="24"/>
  <c r="H142" i="24"/>
  <c r="J142" i="24"/>
  <c r="M134" i="24"/>
  <c r="H134" i="24"/>
  <c r="Q134" i="24"/>
  <c r="M126" i="24"/>
  <c r="H126" i="24"/>
  <c r="Q150" i="24"/>
  <c r="H150" i="24"/>
  <c r="Q142" i="24"/>
  <c r="T140" i="24"/>
  <c r="T134" i="24"/>
  <c r="J134" i="24"/>
  <c r="Q133" i="24"/>
  <c r="J126" i="24"/>
  <c r="Q164" i="24"/>
  <c r="Q172" i="24"/>
  <c r="T166" i="24"/>
  <c r="M169" i="24"/>
  <c r="F169" i="24"/>
  <c r="M161" i="24"/>
  <c r="F161" i="24"/>
  <c r="M153" i="24"/>
  <c r="F153" i="24"/>
  <c r="M129" i="24"/>
  <c r="F129" i="24"/>
  <c r="T129" i="24"/>
  <c r="T161" i="24"/>
  <c r="M113" i="24"/>
  <c r="J105" i="24"/>
  <c r="K80" i="1"/>
  <c r="S80" i="1"/>
  <c r="K72" i="1"/>
  <c r="S72" i="1"/>
  <c r="K85" i="1"/>
  <c r="S85" i="1"/>
  <c r="K100" i="1"/>
  <c r="S100" i="1"/>
  <c r="K92" i="1"/>
  <c r="S92" i="1"/>
  <c r="M92" i="1"/>
  <c r="S87" i="21"/>
  <c r="M79" i="21"/>
  <c r="M168" i="24"/>
  <c r="H168" i="24"/>
  <c r="M160" i="24"/>
  <c r="H160" i="24"/>
  <c r="M152" i="24"/>
  <c r="H152" i="24"/>
  <c r="M136" i="24"/>
  <c r="H136" i="24"/>
  <c r="M128" i="24"/>
  <c r="H128" i="24"/>
  <c r="T136" i="24"/>
  <c r="J129" i="24"/>
  <c r="Q128" i="24"/>
  <c r="J161" i="24"/>
  <c r="Q160" i="24"/>
  <c r="T152" i="24"/>
  <c r="S83" i="1"/>
  <c r="S82" i="1"/>
  <c r="S78" i="1"/>
  <c r="S77" i="1"/>
  <c r="S70" i="1"/>
  <c r="S69" i="1"/>
  <c r="S97" i="1"/>
  <c r="S98" i="1"/>
  <c r="E225" i="24"/>
  <c r="F145" i="24"/>
  <c r="M145" i="24"/>
  <c r="J145" i="24"/>
  <c r="J144" i="24"/>
  <c r="H144" i="24"/>
  <c r="S71" i="25"/>
  <c r="R15" i="2" s="1"/>
  <c r="L225" i="24"/>
  <c r="K14" i="2" s="1"/>
  <c r="I128" i="23"/>
  <c r="H13" i="2" s="1"/>
  <c r="Q128" i="23"/>
  <c r="P13" i="2" s="1"/>
  <c r="F128" i="23"/>
  <c r="E13" i="2" s="1"/>
  <c r="R128" i="23"/>
  <c r="Q13" i="2" s="1"/>
  <c r="N128" i="22"/>
  <c r="M12" i="2" s="1"/>
  <c r="E149" i="21"/>
  <c r="D11" i="2" s="1"/>
  <c r="L78" i="20"/>
  <c r="K10" i="2" s="1"/>
  <c r="G78" i="20"/>
  <c r="F10" i="2" s="1"/>
  <c r="H78" i="20"/>
  <c r="G10" i="2" s="1"/>
  <c r="T78" i="20"/>
  <c r="S10" i="2" s="1"/>
  <c r="M128" i="19"/>
  <c r="L9" i="2" s="1"/>
  <c r="F128" i="19"/>
  <c r="E9" i="2" s="1"/>
  <c r="P128" i="19"/>
  <c r="O9" i="2" s="1"/>
  <c r="H128" i="19"/>
  <c r="G9" i="2" s="1"/>
  <c r="R128" i="19"/>
  <c r="Q9" i="2" s="1"/>
  <c r="N113" i="18"/>
  <c r="M8" i="2" s="1"/>
  <c r="O113" i="18"/>
  <c r="N8" i="2" s="1"/>
  <c r="O61" i="16"/>
  <c r="N6" i="2" s="1"/>
  <c r="G61" i="16"/>
  <c r="F6" i="2" s="1"/>
  <c r="J61" i="16"/>
  <c r="I6" i="2" s="1"/>
  <c r="T61" i="16"/>
  <c r="S6" i="2" s="1"/>
  <c r="S61" i="16"/>
  <c r="R6" i="2" s="1"/>
  <c r="L61" i="16"/>
  <c r="K6" i="2" s="1"/>
  <c r="R61" i="16"/>
  <c r="Q6" i="2" s="1"/>
  <c r="F61" i="16"/>
  <c r="E6" i="2" s="1"/>
  <c r="N61" i="16"/>
  <c r="M6" i="2" s="1"/>
  <c r="F128" i="15"/>
  <c r="E5" i="2" s="1"/>
  <c r="N128" i="15"/>
  <c r="M5" i="2" s="1"/>
  <c r="I128" i="15"/>
  <c r="H5" i="2" s="1"/>
  <c r="J113" i="18" l="1"/>
  <c r="I8" i="2" s="1"/>
  <c r="E128" i="23"/>
  <c r="O84" i="17"/>
  <c r="N7" i="2" s="1"/>
  <c r="J128" i="23"/>
  <c r="I13" i="2" s="1"/>
  <c r="S113" i="18"/>
  <c r="R8" i="2" s="1"/>
  <c r="G113" i="18"/>
  <c r="F8" i="2" s="1"/>
  <c r="M84" i="17"/>
  <c r="L7" i="2" s="1"/>
  <c r="M71" i="25"/>
  <c r="L15" i="2" s="1"/>
  <c r="J71" i="25"/>
  <c r="I15" i="2" s="1"/>
  <c r="N225" i="24"/>
  <c r="M14" i="2" s="1"/>
  <c r="P225" i="24"/>
  <c r="O14" i="2" s="1"/>
  <c r="S128" i="22"/>
  <c r="R12" i="2" s="1"/>
  <c r="P128" i="22"/>
  <c r="O12" i="2" s="1"/>
  <c r="I128" i="19"/>
  <c r="H9" i="2" s="1"/>
  <c r="E128" i="19"/>
  <c r="D9" i="2" s="1"/>
  <c r="J128" i="19"/>
  <c r="I9" i="2" s="1"/>
  <c r="P84" i="17"/>
  <c r="O7" i="2" s="1"/>
  <c r="I113" i="18"/>
  <c r="H8" i="2" s="1"/>
  <c r="O128" i="23"/>
  <c r="N13" i="2" s="1"/>
  <c r="S128" i="15"/>
  <c r="R5" i="2" s="1"/>
  <c r="N84" i="17"/>
  <c r="M7" i="2" s="1"/>
  <c r="F84" i="17"/>
  <c r="E7" i="2" s="1"/>
  <c r="M128" i="22"/>
  <c r="L12" i="2" s="1"/>
  <c r="E71" i="25"/>
  <c r="D15" i="2" s="1"/>
  <c r="H71" i="25"/>
  <c r="G15" i="2" s="1"/>
  <c r="K128" i="15"/>
  <c r="J5" i="2" s="1"/>
  <c r="R78" i="20"/>
  <c r="Q10" i="2" s="1"/>
  <c r="T149" i="21"/>
  <c r="S11" i="2" s="1"/>
  <c r="E128" i="22"/>
  <c r="D12" i="2" s="1"/>
  <c r="R71" i="25"/>
  <c r="Q15" i="2" s="1"/>
  <c r="E128" i="15"/>
  <c r="D5" i="2" s="1"/>
  <c r="R128" i="22"/>
  <c r="Q12" i="2" s="1"/>
  <c r="H128" i="22"/>
  <c r="G12" i="2" s="1"/>
  <c r="I61" i="16"/>
  <c r="H6" i="2" s="1"/>
  <c r="Q84" i="17"/>
  <c r="P7" i="2" s="1"/>
  <c r="L113" i="18"/>
  <c r="K8" i="2" s="1"/>
  <c r="I84" i="17"/>
  <c r="H7" i="2" s="1"/>
  <c r="S84" i="17"/>
  <c r="R7" i="2" s="1"/>
  <c r="M78" i="20"/>
  <c r="L10" i="2" s="1"/>
  <c r="J128" i="22"/>
  <c r="I12" i="2" s="1"/>
  <c r="T128" i="23"/>
  <c r="S13" i="2" s="1"/>
  <c r="F225" i="24"/>
  <c r="E14" i="2" s="1"/>
  <c r="M128" i="15"/>
  <c r="L5" i="2" s="1"/>
  <c r="T128" i="19"/>
  <c r="S9" i="2" s="1"/>
  <c r="M128" i="23"/>
  <c r="L13" i="2" s="1"/>
  <c r="P128" i="23"/>
  <c r="O13" i="2" s="1"/>
  <c r="K71" i="25"/>
  <c r="J15" i="2" s="1"/>
  <c r="Q71" i="25"/>
  <c r="P15" i="2" s="1"/>
  <c r="N71" i="25"/>
  <c r="M15" i="2" s="1"/>
  <c r="P71" i="25"/>
  <c r="O15" i="2" s="1"/>
  <c r="I71" i="25"/>
  <c r="H15" i="2" s="1"/>
  <c r="E15" i="2"/>
  <c r="T71" i="25"/>
  <c r="S15" i="2" s="1"/>
  <c r="O71" i="25"/>
  <c r="N15" i="2" s="1"/>
  <c r="L71" i="25"/>
  <c r="K15" i="2" s="1"/>
  <c r="G71" i="25"/>
  <c r="F15" i="2" s="1"/>
  <c r="Q225" i="24"/>
  <c r="P14" i="2" s="1"/>
  <c r="I225" i="24"/>
  <c r="H14" i="2" s="1"/>
  <c r="O225" i="24"/>
  <c r="N14" i="2" s="1"/>
  <c r="S225" i="24"/>
  <c r="R14" i="2" s="1"/>
  <c r="G225" i="24"/>
  <c r="F14" i="2" s="1"/>
  <c r="K225" i="24"/>
  <c r="J14" i="2" s="1"/>
  <c r="J225" i="24"/>
  <c r="I14" i="2" s="1"/>
  <c r="R225" i="24"/>
  <c r="Q14" i="2" s="1"/>
  <c r="M225" i="24"/>
  <c r="L14" i="2" s="1"/>
  <c r="H225" i="24"/>
  <c r="G14" i="2" s="1"/>
  <c r="T225" i="24"/>
  <c r="S14" i="2" s="1"/>
  <c r="D14" i="2"/>
  <c r="H128" i="23"/>
  <c r="G13" i="2" s="1"/>
  <c r="L128" i="23"/>
  <c r="K13" i="2" s="1"/>
  <c r="N128" i="23"/>
  <c r="M13" i="2" s="1"/>
  <c r="G128" i="23"/>
  <c r="F13" i="2" s="1"/>
  <c r="S128" i="23"/>
  <c r="R13" i="2" s="1"/>
  <c r="K128" i="23"/>
  <c r="J13" i="2" s="1"/>
  <c r="D13" i="2"/>
  <c r="K128" i="22"/>
  <c r="J12" i="2" s="1"/>
  <c r="T128" i="22"/>
  <c r="S12" i="2" s="1"/>
  <c r="L128" i="22"/>
  <c r="K12" i="2" s="1"/>
  <c r="F128" i="22"/>
  <c r="E12" i="2" s="1"/>
  <c r="Q128" i="22"/>
  <c r="P12" i="2" s="1"/>
  <c r="O128" i="22"/>
  <c r="N12" i="2" s="1"/>
  <c r="I128" i="22"/>
  <c r="H12" i="2" s="1"/>
  <c r="G128" i="22"/>
  <c r="F12" i="2" s="1"/>
  <c r="L149" i="21"/>
  <c r="K11" i="2" s="1"/>
  <c r="R149" i="21"/>
  <c r="Q11" i="2" s="1"/>
  <c r="O149" i="21"/>
  <c r="N11" i="2" s="1"/>
  <c r="J149" i="21"/>
  <c r="I11" i="2" s="1"/>
  <c r="N149" i="21"/>
  <c r="M11" i="2" s="1"/>
  <c r="Q149" i="21"/>
  <c r="P11" i="2" s="1"/>
  <c r="F149" i="21"/>
  <c r="E11" i="2" s="1"/>
  <c r="S149" i="21"/>
  <c r="R11" i="2" s="1"/>
  <c r="P149" i="21"/>
  <c r="O11" i="2" s="1"/>
  <c r="M149" i="21"/>
  <c r="L11" i="2" s="1"/>
  <c r="K149" i="21"/>
  <c r="J11" i="2" s="1"/>
  <c r="H149" i="21"/>
  <c r="G11" i="2" s="1"/>
  <c r="I149" i="21"/>
  <c r="H11" i="2" s="1"/>
  <c r="D10" i="2"/>
  <c r="J78" i="20"/>
  <c r="I10" i="2" s="1"/>
  <c r="N78" i="20"/>
  <c r="M10" i="2" s="1"/>
  <c r="P78" i="20"/>
  <c r="O10" i="2" s="1"/>
  <c r="F78" i="20"/>
  <c r="E10" i="2" s="1"/>
  <c r="S78" i="20"/>
  <c r="R10" i="2" s="1"/>
  <c r="O78" i="20"/>
  <c r="N10" i="2" s="1"/>
  <c r="K78" i="20"/>
  <c r="J10" i="2" s="1"/>
  <c r="Q78" i="20"/>
  <c r="P10" i="2" s="1"/>
  <c r="I78" i="20"/>
  <c r="H10" i="2" s="1"/>
  <c r="L128" i="19"/>
  <c r="K9" i="2" s="1"/>
  <c r="N128" i="19"/>
  <c r="M9" i="2" s="1"/>
  <c r="O128" i="19"/>
  <c r="N9" i="2" s="1"/>
  <c r="S128" i="19"/>
  <c r="R9" i="2" s="1"/>
  <c r="K128" i="19"/>
  <c r="J9" i="2" s="1"/>
  <c r="Q128" i="19"/>
  <c r="P9" i="2" s="1"/>
  <c r="G128" i="19"/>
  <c r="F9" i="2" s="1"/>
  <c r="T113" i="18"/>
  <c r="S8" i="2" s="1"/>
  <c r="R113" i="18"/>
  <c r="Q8" i="2" s="1"/>
  <c r="P113" i="18"/>
  <c r="O8" i="2" s="1"/>
  <c r="K113" i="18"/>
  <c r="J8" i="2" s="1"/>
  <c r="Q113" i="18"/>
  <c r="P8" i="2" s="1"/>
  <c r="M113" i="18"/>
  <c r="L8" i="2" s="1"/>
  <c r="T84" i="17"/>
  <c r="S7" i="2" s="1"/>
  <c r="H84" i="17"/>
  <c r="G7" i="2" s="1"/>
  <c r="K84" i="17"/>
  <c r="J7" i="2" s="1"/>
  <c r="L84" i="17"/>
  <c r="K7" i="2" s="1"/>
  <c r="R84" i="17"/>
  <c r="Q7" i="2" s="1"/>
  <c r="J84" i="17"/>
  <c r="I7" i="2" s="1"/>
  <c r="K61" i="16"/>
  <c r="J6" i="2" s="1"/>
  <c r="P61" i="16"/>
  <c r="O6" i="2" s="1"/>
  <c r="H61" i="16"/>
  <c r="G6" i="2" s="1"/>
  <c r="D6" i="2"/>
  <c r="Q61" i="16"/>
  <c r="P6" i="2" s="1"/>
  <c r="M61" i="16"/>
  <c r="L6" i="2" s="1"/>
  <c r="Q128" i="15"/>
  <c r="P5" i="2" s="1"/>
  <c r="R128" i="15"/>
  <c r="Q5" i="2" s="1"/>
  <c r="T128" i="15"/>
  <c r="S5" i="2" s="1"/>
  <c r="G128" i="15"/>
  <c r="F5" i="2" s="1"/>
  <c r="J128" i="15"/>
  <c r="I5" i="2" s="1"/>
  <c r="L128" i="15"/>
  <c r="K5" i="2" s="1"/>
  <c r="P128" i="15"/>
  <c r="O5" i="2" s="1"/>
  <c r="O128" i="15"/>
  <c r="N5" i="2" s="1"/>
  <c r="H128" i="15"/>
  <c r="G5" i="2" s="1"/>
  <c r="B3" i="1" l="1"/>
  <c r="K154" i="1" l="1"/>
  <c r="J4" i="2" s="1"/>
  <c r="J18" i="2" s="1"/>
  <c r="S154" i="1"/>
  <c r="R4" i="2" s="1"/>
  <c r="R18" i="2" s="1"/>
  <c r="T154" i="1"/>
  <c r="S4" i="2" s="1"/>
  <c r="S18" i="2" s="1"/>
  <c r="G154" i="1"/>
  <c r="F4" i="2" s="1"/>
  <c r="F18" i="2" s="1"/>
  <c r="N154" i="1"/>
  <c r="M4" i="2" s="1"/>
  <c r="M18" i="2" s="1"/>
  <c r="L154" i="1"/>
  <c r="K4" i="2" s="1"/>
  <c r="K18" i="2" s="1"/>
  <c r="O154" i="1" l="1"/>
  <c r="N4" i="2" s="1"/>
  <c r="N18" i="2" s="1"/>
  <c r="H154" i="1"/>
  <c r="G4" i="2" s="1"/>
  <c r="G18" i="2" s="1"/>
  <c r="R154" i="1"/>
  <c r="Q4" i="2" s="1"/>
  <c r="Q18" i="2" s="1"/>
  <c r="F154" i="1"/>
  <c r="E4" i="2" s="1"/>
  <c r="E18" i="2" s="1"/>
  <c r="M154" i="1"/>
  <c r="L4" i="2" s="1"/>
  <c r="L18" i="2" s="1"/>
  <c r="P154" i="1"/>
  <c r="O4" i="2" s="1"/>
  <c r="O18" i="2" s="1"/>
  <c r="E154" i="1"/>
  <c r="D4" i="2" s="1"/>
  <c r="D18" i="2" s="1"/>
  <c r="I154" i="1"/>
  <c r="H4" i="2" s="1"/>
  <c r="H18" i="2" s="1"/>
  <c r="Q154" i="1"/>
  <c r="P4" i="2" s="1"/>
  <c r="P18" i="2" s="1"/>
  <c r="J154" i="1"/>
  <c r="I4" i="2" s="1"/>
  <c r="I18" i="2" s="1"/>
  <c r="H19" i="2" l="1"/>
  <c r="H20" i="2" s="1"/>
</calcChain>
</file>

<file path=xl/sharedStrings.xml><?xml version="1.0" encoding="utf-8"?>
<sst xmlns="http://schemas.openxmlformats.org/spreadsheetml/2006/main" count="1819" uniqueCount="119">
  <si>
    <t>S.R.E.</t>
  </si>
  <si>
    <t>CONDIÇÃO DO PAVIMENTO</t>
  </si>
  <si>
    <t>BOM</t>
  </si>
  <si>
    <t>REM. L</t>
  </si>
  <si>
    <t>BUR. I</t>
  </si>
  <si>
    <t>BUR. L</t>
  </si>
  <si>
    <t>LEGENDA</t>
  </si>
  <si>
    <t>REM. I.</t>
  </si>
  <si>
    <t>REM. I</t>
  </si>
  <si>
    <t>REMENDOS ISOLADOS</t>
  </si>
  <si>
    <t>REMENDOS AO LONGO</t>
  </si>
  <si>
    <t>BURACOS ISOLADOS</t>
  </si>
  <si>
    <t>BURACOS AO LONGO</t>
  </si>
  <si>
    <t>ATÉ 10 REMENDOS/KM</t>
  </si>
  <si>
    <t>MAIS DE 10 REMENDOS/KM</t>
  </si>
  <si>
    <t>ATÉ 5 BURACOS/KM</t>
  </si>
  <si>
    <t>MAIS DE 5 BURACOS/KM</t>
  </si>
  <si>
    <t>VEGETAÇÃO</t>
  </si>
  <si>
    <t>ADEQ.</t>
  </si>
  <si>
    <t>LIMPOS</t>
  </si>
  <si>
    <t>SUJOS</t>
  </si>
  <si>
    <t>SIN. HOR.</t>
  </si>
  <si>
    <t>REG.</t>
  </si>
  <si>
    <t>INEXIST.</t>
  </si>
  <si>
    <t>SIN. VERTICAL</t>
  </si>
  <si>
    <t>POUCAS</t>
  </si>
  <si>
    <t>DATA:</t>
  </si>
  <si>
    <t>TÉCNICO RESP.</t>
  </si>
  <si>
    <t>INÍCIO
(KM)</t>
  </si>
  <si>
    <t>FIM
(KM)</t>
  </si>
  <si>
    <t>DAN.</t>
  </si>
  <si>
    <t>ELEM. DE DRENAGEM</t>
  </si>
  <si>
    <t>SENTIDO</t>
  </si>
  <si>
    <t>OBSERV.</t>
  </si>
  <si>
    <t>INADED.</t>
  </si>
  <si>
    <t>RODOVIAS PAVIMENTADAS</t>
  </si>
  <si>
    <t>Nº DO TRECHO</t>
  </si>
  <si>
    <t>TRECHO</t>
  </si>
  <si>
    <t>FICHA DE INSPEÇÃO:</t>
  </si>
  <si>
    <t>RODOVIA TO-070 - TRECHO SANDOLÂNDIA - FORMOSO DO ARAGUAIA</t>
  </si>
  <si>
    <t>RODOVIA TO-373 - TRECHO ALVORADA - ARAGUAÇU</t>
  </si>
  <si>
    <t>RODOVIA TO-070 - TRECHO ALIANÇA DO TOCANTINS - BREJINHO DE NAZARÉ</t>
  </si>
  <si>
    <t>RODOVIA TO-070 - TRECHO DUERÉ - ALIANÇA DO TOCANTINS</t>
  </si>
  <si>
    <t>RODOVIA TO-070 - TRECHO FORMOSO DO ARAGUAIA - DUERÉ</t>
  </si>
  <si>
    <t>RODOVIA TO-181 - TRECHO FAZENDA COBRAPE - ENTR. BR-242</t>
  </si>
  <si>
    <t>RODOVIA TO-181 - TRECHO ENTR. BR-242 - FUNDAÇÃO BRADESCO</t>
  </si>
  <si>
    <t>RODOVIA TO-181 - TRECHO ARAGUAÇU - SANDOLÂNDIA</t>
  </si>
  <si>
    <t>RODOVIA TO-362 - TRECHO SANTA RITA DO TOCANTINS - BREJINHO DE NAZARÉ</t>
  </si>
  <si>
    <t>RODOVIA TO-373 - TRECHO ALVORADA - ARAGUAÇU - DIVISA TO-GO</t>
  </si>
  <si>
    <t>RODOVIA TO-374 - TRECHO DUERÉ - GURUPI</t>
  </si>
  <si>
    <t>PERCORRIDO NO MÊS</t>
  </si>
  <si>
    <t>TOTAL</t>
  </si>
  <si>
    <t>% DA EXTENSÃO DA MALHA:</t>
  </si>
  <si>
    <t>LOTE</t>
  </si>
  <si>
    <t>S.R.E</t>
  </si>
  <si>
    <t>TIPO</t>
  </si>
  <si>
    <t>181ETO0171</t>
  </si>
  <si>
    <t>PERÍMETRO URBANO DE SANDOLÂNDIA</t>
  </si>
  <si>
    <t>PSU</t>
  </si>
  <si>
    <t>373ETO0221</t>
  </si>
  <si>
    <t>ALVORADA *TRECHO URBANO*</t>
  </si>
  <si>
    <t>070ETO0120</t>
  </si>
  <si>
    <t>BREJINHO DE NAZARÉ *TRECHO URBANO* - ALIANCA *TRECHO URBANO*</t>
  </si>
  <si>
    <t>PPS</t>
  </si>
  <si>
    <t>070ETO0121</t>
  </si>
  <si>
    <t>ALIANCA *TRECHO URBANO*</t>
  </si>
  <si>
    <t>070ETO0140</t>
  </si>
  <si>
    <t>ENTR. BR-153 (B) - ENTR. TO-164</t>
  </si>
  <si>
    <t>070ETO0150</t>
  </si>
  <si>
    <t>ENTR. TO-164 - ENTR. TO-374</t>
  </si>
  <si>
    <t>070ETO0160</t>
  </si>
  <si>
    <t>ENTR. TO-374 - DUERÉ *TRECHO URBANO*</t>
  </si>
  <si>
    <t>070ETO0170</t>
  </si>
  <si>
    <t>DUERÉ *TRECHO URBANO* - ENTR.TO-374</t>
  </si>
  <si>
    <t>070ETO0200</t>
  </si>
  <si>
    <t>ENTR. TO-374 (DUERE) - FORMOSO DO ARAGUAIA *TRECHO URBANO*</t>
  </si>
  <si>
    <t>070ETO0201</t>
  </si>
  <si>
    <t>FORMOSO DO ARAGUAIA *TRECHO URBANO*</t>
  </si>
  <si>
    <t>PDU</t>
  </si>
  <si>
    <t>070ETO0230</t>
  </si>
  <si>
    <t>ENTR. BR-242 (FORMOSO DO ARAGUAIA ) - DORILÂNDIA</t>
  </si>
  <si>
    <t>070ETO0240</t>
  </si>
  <si>
    <t>DORILÂNDIA - ENTR. TO-181</t>
  </si>
  <si>
    <t>070ETO0250</t>
  </si>
  <si>
    <t>ENTR. TO-181 - SANDOLÂNDIA *TRECHO URBANO*</t>
  </si>
  <si>
    <t>181ETO0110</t>
  </si>
  <si>
    <t>FAZ. COBRAPE - LAGOA DA ONÇA</t>
  </si>
  <si>
    <t>181ETO0120</t>
  </si>
  <si>
    <t>LAGOA DA ONÇA - ENTR. BR-242</t>
  </si>
  <si>
    <t>181ETO0140</t>
  </si>
  <si>
    <t>ENTR. BR-242 (B) - FUNDAÇÃO BRADESCO</t>
  </si>
  <si>
    <t>181ETO0200</t>
  </si>
  <si>
    <t>SANDOLANDIA *TRECHO URBANO* - ENTR. TO-373 (ARAGUAÇU *TRECHO URBANO*)</t>
  </si>
  <si>
    <t>362ETO0110</t>
  </si>
  <si>
    <t>ENTR. TO-070 - BREJINHO DE NAZARÉ *TRECHO URBANO*</t>
  </si>
  <si>
    <t>373ETO0240</t>
  </si>
  <si>
    <t>ALVORADA *TRECHO URBANO* - ENTR. TO-181 (ARAGUAÇU *TRECHO URBANO*)</t>
  </si>
  <si>
    <t>373ETO0250</t>
  </si>
  <si>
    <t>ENTR. TO-181 (ARAGUAÇU *TRECHO URBANO*) - ARAGUAÇU (ACESSO SUL)</t>
  </si>
  <si>
    <t>373ETO0260</t>
  </si>
  <si>
    <t>ARAGUAÇU (ACESSO SUL) - DIV TO-GO</t>
  </si>
  <si>
    <t>374ETO0200</t>
  </si>
  <si>
    <t>ENTR. TO-070 - GURUPI *TRECHO URBANO*</t>
  </si>
  <si>
    <t>460ETO0010</t>
  </si>
  <si>
    <t>BR-242 (VILA QUIXABA) - SUCUPIRA *TRECHO URBANO*</t>
  </si>
  <si>
    <t>483ETO0010</t>
  </si>
  <si>
    <t>SUCUPIRA *TRECHO URBANO* - FIM PAVIMENTAÇÃO</t>
  </si>
  <si>
    <t>N.</t>
  </si>
  <si>
    <t>EXT. (KM)</t>
  </si>
  <si>
    <t>RELAÇÃO DE SEGMENTOS PAVIMENTADOS R.11</t>
  </si>
  <si>
    <t>SUBTRECHOS</t>
  </si>
  <si>
    <t>REGIÃO:</t>
  </si>
  <si>
    <t>PROGRAMA DE MANUTENÇÃO RODOVIÁRIA</t>
  </si>
  <si>
    <t>C</t>
  </si>
  <si>
    <t>X</t>
  </si>
  <si>
    <t>D</t>
  </si>
  <si>
    <t xml:space="preserve">RODOVIA TO-460/483 - TRECHO BR-242 (VILA QUIXABA) - SUCUPIRA </t>
  </si>
  <si>
    <t>ENG. THIAGO TORQUATO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</si>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</sst>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1"/>
      <name val="Times New Roman"/>
      <family val="1"/>
    </font>
    <font>
      <sz val="15"/>
      <color rgb="FFFF0000"/>
      <name val="Times New Roman"/>
      <family val="1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20"/>
      <color indexed="8"/>
      <name val="Times New Roman"/>
      <family val="1"/>
    </font>
    <font>
      <sz val="14"/>
      <color theme="1"/>
      <name val="Times New Roman"/>
      <family val="1"/>
    </font>
    <font>
      <b/>
      <sz val="15"/>
      <color rgb="FFFF0000"/>
      <name val="Times New Roman"/>
      <family val="1"/>
    </font>
    <font>
      <sz val="20"/>
      <color theme="1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right"/>
    </xf>
    <xf numFmtId="0" fontId="4" fillId="0" borderId="4" xfId="0" applyFont="1" applyBorder="1" applyAlignment="1">
      <alignment horizontal="center" vertical="center"/>
    </xf>
    <xf numFmtId="0" fontId="8" fillId="0" borderId="3" xfId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9" fontId="8" fillId="0" borderId="9" xfId="1" applyNumberFormat="1" applyFont="1" applyBorder="1" applyAlignment="1">
      <alignment horizontal="center" vertical="center" wrapText="1"/>
    </xf>
    <xf numFmtId="4" fontId="0" fillId="0" borderId="4" xfId="0" applyNumberFormat="1" applyBorder="1" applyAlignment="1">
      <alignment horizontal="center" vertical="center"/>
    </xf>
    <xf numFmtId="49" fontId="8" fillId="0" borderId="10" xfId="1" applyNumberFormat="1" applyFont="1" applyBorder="1" applyAlignment="1">
      <alignment horizontal="center" vertical="center" wrapText="1"/>
    </xf>
    <xf numFmtId="0" fontId="8" fillId="0" borderId="5" xfId="1" applyFont="1" applyBorder="1" applyAlignment="1">
      <alignment horizontal="left" vertical="center"/>
    </xf>
    <xf numFmtId="4" fontId="0" fillId="0" borderId="5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0" fontId="7" fillId="0" borderId="3" xfId="1" applyFont="1" applyBorder="1" applyAlignment="1">
      <alignment vertical="center"/>
    </xf>
    <xf numFmtId="4" fontId="10" fillId="0" borderId="3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4" fontId="10" fillId="0" borderId="3" xfId="0" applyNumberFormat="1" applyFont="1" applyBorder="1" applyAlignment="1">
      <alignment vertical="center"/>
    </xf>
    <xf numFmtId="10" fontId="10" fillId="0" borderId="3" xfId="2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4" fontId="16" fillId="0" borderId="3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4" fontId="16" fillId="0" borderId="5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4" fontId="16" fillId="0" borderId="12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2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8" fillId="0" borderId="3" xfId="0" applyFont="1" applyBorder="1"/>
    <xf numFmtId="0" fontId="1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4" fontId="1" fillId="3" borderId="3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49" fontId="8" fillId="2" borderId="9" xfId="1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4" fontId="1" fillId="3" borderId="5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4" fontId="12" fillId="0" borderId="3" xfId="0" applyNumberFormat="1" applyFont="1" applyBorder="1" applyAlignment="1">
      <alignment horizontal="center" vertical="center"/>
    </xf>
    <xf numFmtId="49" fontId="8" fillId="3" borderId="9" xfId="1" applyNumberFormat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17" fillId="0" borderId="7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3">
    <cellStyle name="Normal" xfId="0" builtinId="0"/>
    <cellStyle name="Normal 9" xfId="1" xr:uid="{F8D9944F-528D-44D9-B95F-8DA620BB9BBD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5C-450F-8C7D-C9B22DE88457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5C-450F-8C7D-C9B22DE88457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5C-450F-8C7D-C9B22DE8845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A5C-450F-8C7D-C9B22DE88457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A5C-450F-8C7D-C9B22DE8845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5C-450F-8C7D-C9B22DE88457}"/>
                </c:ext>
              </c:extLst>
            </c:dLbl>
            <c:dLbl>
              <c:idx val="3"/>
              <c:layout>
                <c:manualLayout>
                  <c:x val="6.5982037055494588E-2"/>
                  <c:y val="0.147372535797603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5C-450F-8C7D-C9B22DE8845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5C-450F-8C7D-C9B22DE88457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'202'!$E$154:$I$154</c:f>
              <c:numCache>
                <c:formatCode>General</c:formatCode>
                <c:ptCount val="5"/>
                <c:pt idx="0">
                  <c:v>0</c:v>
                </c:pt>
                <c:pt idx="1">
                  <c:v>81.600000000000023</c:v>
                </c:pt>
                <c:pt idx="2">
                  <c:v>17.500000000000007</c:v>
                </c:pt>
                <c:pt idx="3">
                  <c:v>8.9999999999999893</c:v>
                </c:pt>
                <c:pt idx="4">
                  <c:v>7.099999999999997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5C-450F-8C7D-C9B22DE88457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A5C-450F-8C7D-C9B22DE884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7A5C-450F-8C7D-C9B22DE884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7A5C-450F-8C7D-C9B22DE884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7A5C-450F-8C7D-C9B22DE884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7A5C-450F-8C7D-C9B22DE8845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'202'!$E$154:$I$154</c:f>
              <c:numCache>
                <c:formatCode>General</c:formatCode>
                <c:ptCount val="5"/>
                <c:pt idx="0">
                  <c:v>0</c:v>
                </c:pt>
                <c:pt idx="1">
                  <c:v>81.600000000000023</c:v>
                </c:pt>
                <c:pt idx="2">
                  <c:v>17.500000000000007</c:v>
                </c:pt>
                <c:pt idx="3">
                  <c:v>8.9999999999999893</c:v>
                </c:pt>
                <c:pt idx="4">
                  <c:v>7.099999999999997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A5C-450F-8C7D-C9B22DE88457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A5C-450F-8C7D-C9B22DE884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A5C-450F-8C7D-C9B22DE884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A5C-450F-8C7D-C9B22DE884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A5C-450F-8C7D-C9B22DE884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7A5C-450F-8C7D-C9B22DE8845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'202'!$E$154:$I$154</c:f>
              <c:numCache>
                <c:formatCode>General</c:formatCode>
                <c:ptCount val="5"/>
                <c:pt idx="0">
                  <c:v>0</c:v>
                </c:pt>
                <c:pt idx="1">
                  <c:v>81.600000000000023</c:v>
                </c:pt>
                <c:pt idx="2">
                  <c:v>17.500000000000007</c:v>
                </c:pt>
                <c:pt idx="3">
                  <c:v>8.9999999999999893</c:v>
                </c:pt>
                <c:pt idx="4">
                  <c:v>7.099999999999997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A5C-450F-8C7D-C9B22DE8845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D90-4016-9E02-7E321AA6FC2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D90-4016-9E02-7E321AA6FC2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D90-4016-9E02-7E321AA6FC24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90-4016-9E02-7E321AA6FC2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'202'!$L$154:$N$154</c:f>
              <c:numCache>
                <c:formatCode>General</c:formatCode>
                <c:ptCount val="3"/>
                <c:pt idx="0">
                  <c:v>0</c:v>
                </c:pt>
                <c:pt idx="1">
                  <c:v>101.24999999999999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90-4016-9E02-7E321AA6FC2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8BD-4D32-95D7-B49A82D47C9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F8BD-4D32-95D7-B49A82D47C9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8BD-4D32-95D7-B49A82D47C9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8BD-4D32-95D7-B49A82D47C9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8BD-4D32-95D7-B49A82D47C9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'202'!$O$154:$Q$154</c:f>
              <c:numCache>
                <c:formatCode>General</c:formatCode>
                <c:ptCount val="3"/>
                <c:pt idx="0">
                  <c:v>0</c:v>
                </c:pt>
                <c:pt idx="1">
                  <c:v>102.39999999999999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8BD-4D32-95D7-B49A82D47C90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F8BD-4D32-95D7-B49A82D47C9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F8BD-4D32-95D7-B49A82D47C9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F8BD-4D32-95D7-B49A82D47C90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8BD-4D32-95D7-B49A82D47C9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'202'!$R$154:$T$154</c:f>
              <c:numCache>
                <c:formatCode>General</c:formatCode>
                <c:ptCount val="3"/>
                <c:pt idx="0">
                  <c:v>0</c:v>
                </c:pt>
                <c:pt idx="1">
                  <c:v>102.39999999999999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8BD-4D32-95D7-B49A82D47C9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1B-458F-8C3C-F26E10D5E1F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1B-458F-8C3C-F26E10D5E1F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1B-458F-8C3C-F26E10D5E1F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1B-458F-8C3C-F26E10D5E1F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1B-458F-8C3C-F26E10D5E1F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'202'!$R$154:$T$154</c:f>
              <c:numCache>
                <c:formatCode>General</c:formatCode>
                <c:ptCount val="3"/>
                <c:pt idx="0">
                  <c:v>0</c:v>
                </c:pt>
                <c:pt idx="1">
                  <c:v>102.39999999999999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1B-458F-8C3C-F26E10D5E1F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864-4590-A733-486A47C5B2F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864-4590-A733-486A47C5B2F8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64-4590-A733-486A47C5B2F8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64-4590-A733-486A47C5B2F8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'202'!$J$154:$K$154</c:f>
              <c:numCache>
                <c:formatCode>General</c:formatCode>
                <c:ptCount val="2"/>
                <c:pt idx="0">
                  <c:v>25.659999999999997</c:v>
                </c:pt>
                <c:pt idx="1">
                  <c:v>76.739999999999995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64-4590-A733-486A47C5B2F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E864-4590-A733-486A47C5B2F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E864-4590-A733-486A47C5B2F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E864-4590-A733-486A47C5B2F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E864-4590-A733-486A47C5B2F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E864-4590-A733-486A47C5B2F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E864-4590-A733-486A47C5B2F8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E864-4590-A733-486A47C5B2F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E864-4590-A733-486A47C5B2F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E864-4590-A733-486A47C5B2F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E864-4590-A733-486A47C5B2F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E864-4590-A733-486A47C5B2F8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E864-4590-A733-486A47C5B2F8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E864-4590-A733-486A47C5B2F8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E864-4590-A733-486A47C5B2F8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864-4590-A733-486A47C5B2F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BD-4FAE-B7CC-C213497293EE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BD-4FAE-B7CC-C213497293EE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9BD-4FAE-B7CC-C213497293E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9BD-4FAE-B7CC-C213497293EE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9BD-4FAE-B7CC-C213497293E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BD-4FAE-B7CC-C213497293E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BD-4FAE-B7CC-C213497293E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BD-4FAE-B7CC-C213497293E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'203'!$E$128:$I$128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1.1499999999999999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BD-4FAE-B7CC-C213497293EE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39BD-4FAE-B7CC-C213497293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39BD-4FAE-B7CC-C213497293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39BD-4FAE-B7CC-C213497293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39BD-4FAE-B7CC-C213497293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39BD-4FAE-B7CC-C213497293E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'203'!$E$128:$I$128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1.1499999999999999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9BD-4FAE-B7CC-C213497293EE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9BD-4FAE-B7CC-C213497293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9BD-4FAE-B7CC-C213497293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9BD-4FAE-B7CC-C213497293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9BD-4FAE-B7CC-C213497293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9BD-4FAE-B7CC-C213497293E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'203'!$E$128:$I$128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1.1499999999999999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9BD-4FAE-B7CC-C213497293E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3D-47A9-A086-930383A9025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3D-47A9-A086-930383A9025F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3D-47A9-A086-930383A9025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'203'!$J$128:$K$128</c:f>
              <c:numCache>
                <c:formatCode>General</c:formatCode>
                <c:ptCount val="2"/>
                <c:pt idx="0">
                  <c:v>1.1499999999999999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3D-47A9-A086-930383A9025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2D3D-47A9-A086-930383A9025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2D3D-47A9-A086-930383A9025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2D3D-47A9-A086-930383A9025F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2D3D-47A9-A086-930383A9025F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2D3D-47A9-A086-930383A9025F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2D3D-47A9-A086-930383A9025F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2D3D-47A9-A086-930383A9025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2D3D-47A9-A086-930383A9025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2D3D-47A9-A086-930383A9025F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2D3D-47A9-A086-930383A9025F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2D3D-47A9-A086-930383A9025F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D3D-47A9-A086-930383A9025F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A0-4FAB-98A8-29C9B201986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A0-4FAB-98A8-29C9B201986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A0-4FAB-98A8-29C9B2019866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A0-4FAB-98A8-29C9B201986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A0-4FAB-98A8-29C9B201986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'203'!$L$128:$N$128</c:f>
              <c:numCache>
                <c:formatCode>General</c:formatCode>
                <c:ptCount val="3"/>
                <c:pt idx="0">
                  <c:v>1.1499999999999999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A0-4FAB-98A8-29C9B201986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621-4D6A-9F59-E540649606B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621-4D6A-9F59-E540649606B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621-4D6A-9F59-E540649606B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21-4D6A-9F59-E540649606B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21-4D6A-9F59-E540649606B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'203'!$O$128:$Q$128</c:f>
              <c:numCache>
                <c:formatCode>General</c:formatCode>
                <c:ptCount val="3"/>
                <c:pt idx="0">
                  <c:v>0</c:v>
                </c:pt>
                <c:pt idx="1">
                  <c:v>1.1499999999999999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21-4D6A-9F59-E540649606B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3F2-4BC2-A452-6528897D0B7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F2-4BC2-A452-6528897D0B7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3F2-4BC2-A452-6528897D0B7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F2-4BC2-A452-6528897D0B7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F2-4BC2-A452-6528897D0B7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'203'!$R$128:$T$128</c:f>
              <c:numCache>
                <c:formatCode>General</c:formatCode>
                <c:ptCount val="3"/>
                <c:pt idx="0">
                  <c:v>0</c:v>
                </c:pt>
                <c:pt idx="1">
                  <c:v>1.1499999999999999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F2-4BC2-A452-6528897D0B7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DA-489C-BA01-A6FD2F220B0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DA-489C-BA01-A6FD2F220B0F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8DA-489C-BA01-A6FD2F220B0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8DA-489C-BA01-A6FD2F220B0F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8DA-489C-BA01-A6FD2F220B0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DA-489C-BA01-A6FD2F220B0F}"/>
                </c:ext>
              </c:extLst>
            </c:dLbl>
            <c:dLbl>
              <c:idx val="1"/>
              <c:layout>
                <c:manualLayout>
                  <c:x val="-4.0697320431657115E-2"/>
                  <c:y val="-0.27815910864353538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531815553701006"/>
                      <c:h val="8.60407412329579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8DA-489C-BA01-A6FD2F220B0F}"/>
                </c:ext>
              </c:extLst>
            </c:dLbl>
            <c:dLbl>
              <c:idx val="2"/>
              <c:layout>
                <c:manualLayout>
                  <c:x val="-7.0750849539396976E-2"/>
                  <c:y val="-3.976936515278519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DA-489C-BA01-A6FD2F220B0F}"/>
                </c:ext>
              </c:extLst>
            </c:dLbl>
            <c:dLbl>
              <c:idx val="3"/>
              <c:layout>
                <c:manualLayout>
                  <c:x val="0.11599514561995655"/>
                  <c:y val="-4.137305839893481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DA-489C-BA01-A6FD2F220B0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DA-489C-BA01-A6FD2F220B0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'204'!$E$61:$I$61</c:f>
              <c:numCache>
                <c:formatCode>General</c:formatCode>
                <c:ptCount val="5"/>
                <c:pt idx="0">
                  <c:v>0</c:v>
                </c:pt>
                <c:pt idx="1">
                  <c:v>57.8</c:v>
                </c:pt>
                <c:pt idx="2">
                  <c:v>1.9500000000000008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8DA-489C-BA01-A6FD2F220B0F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C8DA-489C-BA01-A6FD2F220B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C8DA-489C-BA01-A6FD2F220B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C8DA-489C-BA01-A6FD2F220B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C8DA-489C-BA01-A6FD2F220B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C8DA-489C-BA01-A6FD2F220B0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'204'!$E$61:$I$61</c:f>
              <c:numCache>
                <c:formatCode>General</c:formatCode>
                <c:ptCount val="5"/>
                <c:pt idx="0">
                  <c:v>0</c:v>
                </c:pt>
                <c:pt idx="1">
                  <c:v>57.8</c:v>
                </c:pt>
                <c:pt idx="2">
                  <c:v>1.9500000000000008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8DA-489C-BA01-A6FD2F220B0F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8DA-489C-BA01-A6FD2F220B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8DA-489C-BA01-A6FD2F220B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8DA-489C-BA01-A6FD2F220B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8DA-489C-BA01-A6FD2F220B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8DA-489C-BA01-A6FD2F220B0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'204'!$E$61:$I$61</c:f>
              <c:numCache>
                <c:formatCode>General</c:formatCode>
                <c:ptCount val="5"/>
                <c:pt idx="0">
                  <c:v>0</c:v>
                </c:pt>
                <c:pt idx="1">
                  <c:v>57.8</c:v>
                </c:pt>
                <c:pt idx="2">
                  <c:v>1.9500000000000008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8DA-489C-BA01-A6FD2F220B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FB-49B7-BB90-364B9EA07DC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FB-49B7-BB90-364B9EA07DC9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FB-49B7-BB90-364B9EA07DC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'204'!$J$61:$K$61</c:f>
              <c:numCache>
                <c:formatCode>General</c:formatCode>
                <c:ptCount val="2"/>
                <c:pt idx="0">
                  <c:v>59.75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FB-49B7-BB90-364B9EA07DC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95FB-49B7-BB90-364B9EA07DC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95FB-49B7-BB90-364B9EA07DC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95FB-49B7-BB90-364B9EA07DC9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95FB-49B7-BB90-364B9EA07DC9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95FB-49B7-BB90-364B9EA07DC9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95FB-49B7-BB90-364B9EA07DC9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95FB-49B7-BB90-364B9EA07DC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95FB-49B7-BB90-364B9EA07DC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95FB-49B7-BB90-364B9EA07DC9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95FB-49B7-BB90-364B9EA07DC9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95FB-49B7-BB90-364B9EA07DC9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95FB-49B7-BB90-364B9EA07DC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BAC-4D18-916E-3FC569ADFC5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BAC-4D18-916E-3FC569ADFC5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BAC-4D18-916E-3FC569ADFC5F}"/>
              </c:ext>
            </c:extLst>
          </c:dPt>
          <c:dLbls>
            <c:dLbl>
              <c:idx val="1"/>
              <c:layout>
                <c:manualLayout>
                  <c:x val="1.789106507449666E-2"/>
                  <c:y val="-0.3059539712882253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AC-4D18-916E-3FC569ADFC5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AC-4D18-916E-3FC569ADFC5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'204'!$L$61:$N$61</c:f>
              <c:numCache>
                <c:formatCode>General</c:formatCode>
                <c:ptCount val="3"/>
                <c:pt idx="0">
                  <c:v>0.99</c:v>
                </c:pt>
                <c:pt idx="1">
                  <c:v>58.76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C-4D18-916E-3FC569ADFC5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CD-4140-8F67-70CE668ACE5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CD-4140-8F67-70CE668ACE5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CD-4140-8F67-70CE668ACE5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CD-4140-8F67-70CE668ACE5B}"/>
                </c:ext>
              </c:extLst>
            </c:dLbl>
            <c:dLbl>
              <c:idx val="1"/>
              <c:layout>
                <c:manualLayout>
                  <c:x val="-1.9890107180656525E-2"/>
                  <c:y val="-0.307825092723277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CD-4140-8F67-70CE668ACE5B}"/>
                </c:ext>
              </c:extLst>
            </c:dLbl>
            <c:dLbl>
              <c:idx val="2"/>
              <c:layout>
                <c:manualLayout>
                  <c:x val="-6.816934488939946E-4"/>
                  <c:y val="-2.002873171393344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CD-4140-8F67-70CE668ACE5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'204'!$O$61:$Q$61</c:f>
              <c:numCache>
                <c:formatCode>General</c:formatCode>
                <c:ptCount val="3"/>
                <c:pt idx="0">
                  <c:v>0</c:v>
                </c:pt>
                <c:pt idx="1">
                  <c:v>58.76</c:v>
                </c:pt>
                <c:pt idx="2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CD-4140-8F67-70CE668ACE5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39-441D-AA04-6446EA22A7A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639-441D-AA04-6446EA22A7A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639-441D-AA04-6446EA22A7A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39-441D-AA04-6446EA22A7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39-441D-AA04-6446EA22A7A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'204'!$R$61:$T$61</c:f>
              <c:numCache>
                <c:formatCode>General</c:formatCode>
                <c:ptCount val="3"/>
                <c:pt idx="0">
                  <c:v>0</c:v>
                </c:pt>
                <c:pt idx="1">
                  <c:v>59.75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39-441D-AA04-6446EA22A7A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06985189511"/>
          <c:y val="2.3127750028624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4B2-4A73-BAB8-3126BA42AB51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4B2-4A73-BAB8-3126BA42AB51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4B2-4A73-BAB8-3126BA42AB5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4B2-4A73-BAB8-3126BA42AB51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4B2-4A73-BAB8-3126BA42AB51}"/>
              </c:ext>
            </c:extLst>
          </c:dPt>
          <c:dLbls>
            <c:dLbl>
              <c:idx val="0"/>
              <c:layout>
                <c:manualLayout>
                  <c:x val="-0.19720382634289918"/>
                  <c:y val="-1.2437885459622636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235467255334805"/>
                      <c:h val="6.69267184329440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4B2-4A73-BAB8-3126BA42AB5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B2-4A73-BAB8-3126BA42AB5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B2-4A73-BAB8-3126BA42AB5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'205'!$E$84:$I$84</c:f>
              <c:numCache>
                <c:formatCode>General</c:formatCode>
                <c:ptCount val="5"/>
                <c:pt idx="0">
                  <c:v>27.940000000000005</c:v>
                </c:pt>
                <c:pt idx="1">
                  <c:v>8.9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B2-4A73-BAB8-3126BA42AB51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44B2-4A73-BAB8-3126BA42AB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44B2-4A73-BAB8-3126BA42AB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4B2-4A73-BAB8-3126BA42AB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4B2-4A73-BAB8-3126BA42AB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44B2-4A73-BAB8-3126BA42AB5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'205'!$E$84:$I$84</c:f>
              <c:numCache>
                <c:formatCode>General</c:formatCode>
                <c:ptCount val="5"/>
                <c:pt idx="0">
                  <c:v>27.940000000000005</c:v>
                </c:pt>
                <c:pt idx="1">
                  <c:v>8.9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4B2-4A73-BAB8-3126BA42AB51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4B2-4A73-BAB8-3126BA42AB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4B2-4A73-BAB8-3126BA42AB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4B2-4A73-BAB8-3126BA42AB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4B2-4A73-BAB8-3126BA42AB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4B2-4A73-BAB8-3126BA42AB5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'205'!$E$84:$I$84</c:f>
              <c:numCache>
                <c:formatCode>General</c:formatCode>
                <c:ptCount val="5"/>
                <c:pt idx="0">
                  <c:v>27.940000000000005</c:v>
                </c:pt>
                <c:pt idx="1">
                  <c:v>8.9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4B2-4A73-BAB8-3126BA42AB5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392-46F0-8624-FB57967C59D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92-46F0-8624-FB57967C59D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2-46F0-8624-FB57967C59D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'205'!$J$84:$K$84</c:f>
              <c:numCache>
                <c:formatCode>General</c:formatCode>
                <c:ptCount val="2"/>
                <c:pt idx="0">
                  <c:v>46.84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92-46F0-8624-FB57967C59D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7392-46F0-8624-FB57967C59D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7392-46F0-8624-FB57967C59D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7392-46F0-8624-FB57967C59D1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7392-46F0-8624-FB57967C59D1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7392-46F0-8624-FB57967C59D1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7392-46F0-8624-FB57967C59D1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7392-46F0-8624-FB57967C59D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7392-46F0-8624-FB57967C59D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7392-46F0-8624-FB57967C59D1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7392-46F0-8624-FB57967C59D1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7392-46F0-8624-FB57967C59D1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7392-46F0-8624-FB57967C59D1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EE8-426F-92E1-ABA3B0571E4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EE8-426F-92E1-ABA3B0571E4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EE8-426F-92E1-ABA3B0571E4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E8-426F-92E1-ABA3B0571E48}"/>
                </c:ext>
              </c:extLst>
            </c:dLbl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EE8-426F-92E1-ABA3B0571E4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E8-426F-92E1-ABA3B0571E4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'205'!$L$84:$N$84</c:f>
              <c:numCache>
                <c:formatCode>General</c:formatCode>
                <c:ptCount val="3"/>
                <c:pt idx="0">
                  <c:v>0</c:v>
                </c:pt>
                <c:pt idx="1">
                  <c:v>46.84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E8-426F-92E1-ABA3B0571E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B00-4C69-A362-EDF25B25431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B00-4C69-A362-EDF25B25431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B00-4C69-A362-EDF25B25431C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910063102210645"/>
                      <c:h val="8.28147326078342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B00-4C69-A362-EDF25B2543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00-4C69-A362-EDF25B2543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00-4C69-A362-EDF25B25431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'205'!$O$84:$Q$84</c:f>
              <c:numCache>
                <c:formatCode>General</c:formatCode>
                <c:ptCount val="3"/>
                <c:pt idx="0">
                  <c:v>46.84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00-4C69-A362-EDF25B25431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DF3-4990-8C88-A6A2562209F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DF3-4990-8C88-A6A2562209F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DF3-4990-8C88-A6A2562209F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F3-4990-8C88-A6A2562209F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F3-4990-8C88-A6A2562209F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'205'!$R$84:$T$84</c:f>
              <c:numCache>
                <c:formatCode>General</c:formatCode>
                <c:ptCount val="3"/>
                <c:pt idx="0">
                  <c:v>0</c:v>
                </c:pt>
                <c:pt idx="1">
                  <c:v>46.84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F3-4990-8C88-A6A2562209F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22C-4B3F-AA0A-46558DBDB672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22C-4B3F-AA0A-46558DBDB672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22C-4B3F-AA0A-46558DBDB67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22C-4B3F-AA0A-46558DBDB672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22C-4B3F-AA0A-46558DBDB672}"/>
              </c:ext>
            </c:extLst>
          </c:dPt>
          <c:dLbls>
            <c:dLbl>
              <c:idx val="1"/>
              <c:layout>
                <c:manualLayout>
                  <c:x val="-0.13827596351868196"/>
                  <c:y val="-0.22730526918671246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167107972933216"/>
                      <c:h val="8.084568852517093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22C-4B3F-AA0A-46558DBDB67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22C-4B3F-AA0A-46558DBDB67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'206'!$E$113:$I$113</c:f>
              <c:numCache>
                <c:formatCode>General</c:formatCode>
                <c:ptCount val="5"/>
                <c:pt idx="0">
                  <c:v>6.3000000000000007</c:v>
                </c:pt>
                <c:pt idx="1">
                  <c:v>47.69</c:v>
                </c:pt>
                <c:pt idx="2">
                  <c:v>12.93</c:v>
                </c:pt>
                <c:pt idx="3">
                  <c:v>19.799999999999997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22C-4B3F-AA0A-46558DBDB672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22C-4B3F-AA0A-46558DBDB6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22C-4B3F-AA0A-46558DBDB6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22C-4B3F-AA0A-46558DBDB6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122C-4B3F-AA0A-46558DBDB6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122C-4B3F-AA0A-46558DBDB67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'206'!$E$113:$I$113</c:f>
              <c:numCache>
                <c:formatCode>General</c:formatCode>
                <c:ptCount val="5"/>
                <c:pt idx="0">
                  <c:v>6.3000000000000007</c:v>
                </c:pt>
                <c:pt idx="1">
                  <c:v>47.69</c:v>
                </c:pt>
                <c:pt idx="2">
                  <c:v>12.93</c:v>
                </c:pt>
                <c:pt idx="3">
                  <c:v>19.799999999999997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22C-4B3F-AA0A-46558DBDB672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22C-4B3F-AA0A-46558DBDB6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22C-4B3F-AA0A-46558DBDB6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22C-4B3F-AA0A-46558DBDB6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22C-4B3F-AA0A-46558DBDB6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22C-4B3F-AA0A-46558DBDB67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'206'!$E$113:$I$113</c:f>
              <c:numCache>
                <c:formatCode>General</c:formatCode>
                <c:ptCount val="5"/>
                <c:pt idx="0">
                  <c:v>6.3000000000000007</c:v>
                </c:pt>
                <c:pt idx="1">
                  <c:v>47.69</c:v>
                </c:pt>
                <c:pt idx="2">
                  <c:v>12.93</c:v>
                </c:pt>
                <c:pt idx="3">
                  <c:v>19.799999999999997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22C-4B3F-AA0A-46558DBDB67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61-4EE3-AE91-0009BE5688B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61-4EE3-AE91-0009BE5688B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'206'!$J$113:$K$113</c:f>
              <c:numCache>
                <c:formatCode>General</c:formatCode>
                <c:ptCount val="2"/>
                <c:pt idx="0">
                  <c:v>64.919999999999987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61-4EE3-AE91-0009BE5688B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3061-4EE3-AE91-0009BE5688B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3061-4EE3-AE91-0009BE5688B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3061-4EE3-AE91-0009BE5688B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3061-4EE3-AE91-0009BE5688B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3061-4EE3-AE91-0009BE5688B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3061-4EE3-AE91-0009BE5688B0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3061-4EE3-AE91-0009BE5688B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3061-4EE3-AE91-0009BE5688B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3061-4EE3-AE91-0009BE5688B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3061-4EE3-AE91-0009BE5688B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3061-4EE3-AE91-0009BE5688B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3061-4EE3-AE91-0009BE5688B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1D-4DFE-AF01-005EEF4B1F9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1D-4DFE-AF01-005EEF4B1F9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1D-4DFE-AF01-005EEF4B1F9A}"/>
              </c:ext>
            </c:extLst>
          </c:dPt>
          <c:dLbls>
            <c:dLbl>
              <c:idx val="1"/>
              <c:layout>
                <c:manualLayout>
                  <c:x val="7.3423689750795287E-2"/>
                  <c:y val="-0.3041114821245714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1D-4DFE-AF01-005EEF4B1F9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1D-4DFE-AF01-005EEF4B1F9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'206'!$L$113:$N$113</c:f>
              <c:numCache>
                <c:formatCode>General</c:formatCode>
                <c:ptCount val="3"/>
                <c:pt idx="0">
                  <c:v>0</c:v>
                </c:pt>
                <c:pt idx="1">
                  <c:v>64.919999999999987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1D-4DFE-AF01-005EEF4B1F9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71B-45BB-A5AA-CB9142E6BFF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71B-45BB-A5AA-CB9142E6BFF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71B-45BB-A5AA-CB9142E6BFF3}"/>
              </c:ext>
            </c:extLst>
          </c:dPt>
          <c:dLbls>
            <c:dLbl>
              <c:idx val="1"/>
              <c:layout>
                <c:manualLayout>
                  <c:x val="-6.2136097626571324E-2"/>
                  <c:y val="-0.3075366319638606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1B-45BB-A5AA-CB9142E6BFF3}"/>
                </c:ext>
              </c:extLst>
            </c:dLbl>
            <c:dLbl>
              <c:idx val="2"/>
              <c:layout>
                <c:manualLayout>
                  <c:x val="-5.5250888065361069E-2"/>
                  <c:y val="-5.7265525596192825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1B-45BB-A5AA-CB9142E6BFF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'206'!$O$113:$Q$113</c:f>
              <c:numCache>
                <c:formatCode>General</c:formatCode>
                <c:ptCount val="3"/>
                <c:pt idx="0">
                  <c:v>0.42</c:v>
                </c:pt>
                <c:pt idx="1">
                  <c:v>60.37</c:v>
                </c:pt>
                <c:pt idx="2">
                  <c:v>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1B-45BB-A5AA-CB9142E6BFF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A1-457C-A347-EA5699E0041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A1-457C-A347-EA5699E0041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A1-457C-A347-EA5699E0041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A1-457C-A347-EA5699E00416}"/>
                </c:ext>
              </c:extLst>
            </c:dLbl>
            <c:dLbl>
              <c:idx val="1"/>
              <c:layout>
                <c:manualLayout>
                  <c:x val="-6.8791434183309921E-2"/>
                  <c:y val="-0.3184649911970127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A1-457C-A347-EA5699E0041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'206'!$R$113:$T$113</c:f>
              <c:numCache>
                <c:formatCode>General</c:formatCode>
                <c:ptCount val="3"/>
                <c:pt idx="0">
                  <c:v>0</c:v>
                </c:pt>
                <c:pt idx="1">
                  <c:v>60.79</c:v>
                </c:pt>
                <c:pt idx="2">
                  <c:v>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A1-457C-A347-EA5699E0041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829832954686513"/>
          <c:y val="0.22913837301287979"/>
          <c:w val="0.42875113442526974"/>
          <c:h val="0.7097183521974205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6E-4F05-8FF8-67A7DDA101B1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6E-4F05-8FF8-67A7DDA101B1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56E-4F05-8FF8-67A7DDA101B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56E-4F05-8FF8-67A7DDA101B1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56E-4F05-8FF8-67A7DDA101B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6E-4F05-8FF8-67A7DDA101B1}"/>
                </c:ext>
              </c:extLst>
            </c:dLbl>
            <c:dLbl>
              <c:idx val="1"/>
              <c:layout>
                <c:manualLayout>
                  <c:x val="3.5622027490649938E-2"/>
                  <c:y val="5.659926642001002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6E-4F05-8FF8-67A7DDA101B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'209'!$E$128:$I$128</c:f>
              <c:numCache>
                <c:formatCode>General</c:formatCode>
                <c:ptCount val="5"/>
                <c:pt idx="0">
                  <c:v>0</c:v>
                </c:pt>
                <c:pt idx="1">
                  <c:v>5.5</c:v>
                </c:pt>
                <c:pt idx="2">
                  <c:v>30.169999999999995</c:v>
                </c:pt>
                <c:pt idx="3">
                  <c:v>5.5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6E-4F05-8FF8-67A7DDA101B1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C56E-4F05-8FF8-67A7DDA101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C56E-4F05-8FF8-67A7DDA101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C56E-4F05-8FF8-67A7DDA101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C56E-4F05-8FF8-67A7DDA101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C56E-4F05-8FF8-67A7DDA101B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'209'!$E$128:$I$128</c:f>
              <c:numCache>
                <c:formatCode>General</c:formatCode>
                <c:ptCount val="5"/>
                <c:pt idx="0">
                  <c:v>0</c:v>
                </c:pt>
                <c:pt idx="1">
                  <c:v>5.5</c:v>
                </c:pt>
                <c:pt idx="2">
                  <c:v>30.169999999999995</c:v>
                </c:pt>
                <c:pt idx="3">
                  <c:v>5.5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56E-4F05-8FF8-67A7DDA101B1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56E-4F05-8FF8-67A7DDA101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56E-4F05-8FF8-67A7DDA101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56E-4F05-8FF8-67A7DDA101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56E-4F05-8FF8-67A7DDA101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56E-4F05-8FF8-67A7DDA101B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'209'!$E$128:$I$128</c:f>
              <c:numCache>
                <c:formatCode>General</c:formatCode>
                <c:ptCount val="5"/>
                <c:pt idx="0">
                  <c:v>0</c:v>
                </c:pt>
                <c:pt idx="1">
                  <c:v>5.5</c:v>
                </c:pt>
                <c:pt idx="2">
                  <c:v>30.169999999999995</c:v>
                </c:pt>
                <c:pt idx="3">
                  <c:v>5.5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56E-4F05-8FF8-67A7DDA101B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29B-4F71-898A-ADD3C89EAAE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9B-4F71-898A-ADD3C89EAAE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'209'!$J$128:$K$128</c:f>
              <c:numCache>
                <c:formatCode>General</c:formatCode>
                <c:ptCount val="2"/>
                <c:pt idx="0">
                  <c:v>35.669999999999995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9B-4F71-898A-ADD3C89EAA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929B-4F71-898A-ADD3C89EAAE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929B-4F71-898A-ADD3C89EAAE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929B-4F71-898A-ADD3C89EAAE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929B-4F71-898A-ADD3C89EAAE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929B-4F71-898A-ADD3C89EAAE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929B-4F71-898A-ADD3C89EAAE0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929B-4F71-898A-ADD3C89EAAE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929B-4F71-898A-ADD3C89EAAE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929B-4F71-898A-ADD3C89EAAE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929B-4F71-898A-ADD3C89EAAE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929B-4F71-898A-ADD3C89EAAE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929B-4F71-898A-ADD3C89EAAE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2A-41B5-865B-C8389BF0E3B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2A-41B5-865B-C8389BF0E3B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A2A-41B5-865B-C8389BF0E3B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2A-41B5-865B-C8389BF0E3B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2A-41B5-865B-C8389BF0E3B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'209'!$L$128:$N$128</c:f>
              <c:numCache>
                <c:formatCode>General</c:formatCode>
                <c:ptCount val="3"/>
                <c:pt idx="0">
                  <c:v>19.669999999999998</c:v>
                </c:pt>
                <c:pt idx="1">
                  <c:v>16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2A-41B5-865B-C8389BF0E3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2C-4E56-AC62-45D946DECD9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2C-4E56-AC62-45D946DECD9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02C-4E56-AC62-45D946DECD9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2C-4E56-AC62-45D946DECD9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'209'!$O$128:$Q$128</c:f>
              <c:numCache>
                <c:formatCode>General</c:formatCode>
                <c:ptCount val="3"/>
                <c:pt idx="0">
                  <c:v>0</c:v>
                </c:pt>
                <c:pt idx="1">
                  <c:v>27.169999999999995</c:v>
                </c:pt>
                <c:pt idx="2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2C-4E56-AC62-45D946DECD9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47B-443F-ACC9-DA8CDA2772B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47B-443F-ACC9-DA8CDA2772B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47B-443F-ACC9-DA8CDA2772B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7B-443F-ACC9-DA8CDA2772B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7B-443F-ACC9-DA8CDA2772B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'209'!$R$128:$T$128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35.669999999999995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7B-443F-ACC9-DA8CDA2772B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736273033350476"/>
          <c:y val="0.24265752960055451"/>
          <c:w val="0.42777131423181541"/>
          <c:h val="0.70559916824459779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B0F-4D15-9E4B-C7AABECD5C08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B0F-4D15-9E4B-C7AABECD5C08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B0F-4D15-9E4B-C7AABECD5C0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B0F-4D15-9E4B-C7AABECD5C08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B0F-4D15-9E4B-C7AABECD5C0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0F-4D15-9E4B-C7AABECD5C0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0F-4D15-9E4B-C7AABECD5C08}"/>
                </c:ext>
              </c:extLst>
            </c:dLbl>
            <c:dLbl>
              <c:idx val="3"/>
              <c:layout>
                <c:manualLayout>
                  <c:x val="7.8317055940770555E-2"/>
                  <c:y val="-8.7115677036154845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213074612589224"/>
                      <c:h val="9.06475865810055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B0F-4D15-9E4B-C7AABECD5C0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'210'!$E$78:$I$78</c:f>
              <c:numCache>
                <c:formatCode>General</c:formatCode>
                <c:ptCount val="5"/>
                <c:pt idx="0">
                  <c:v>1</c:v>
                </c:pt>
                <c:pt idx="1">
                  <c:v>23.560000000000002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0F-4D15-9E4B-C7AABECD5C08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B0F-4D15-9E4B-C7AABECD5C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B0F-4D15-9E4B-C7AABECD5C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B0F-4D15-9E4B-C7AABECD5C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B0F-4D15-9E4B-C7AABECD5C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B0F-4D15-9E4B-C7AABECD5C0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'210'!$E$78:$I$78</c:f>
              <c:numCache>
                <c:formatCode>General</c:formatCode>
                <c:ptCount val="5"/>
                <c:pt idx="0">
                  <c:v>1</c:v>
                </c:pt>
                <c:pt idx="1">
                  <c:v>23.560000000000002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B0F-4D15-9E4B-C7AABECD5C08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B0F-4D15-9E4B-C7AABECD5C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B0F-4D15-9E4B-C7AABECD5C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B0F-4D15-9E4B-C7AABECD5C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B0F-4D15-9E4B-C7AABECD5C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B0F-4D15-9E4B-C7AABECD5C0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'210'!$E$78:$I$78</c:f>
              <c:numCache>
                <c:formatCode>General</c:formatCode>
                <c:ptCount val="5"/>
                <c:pt idx="0">
                  <c:v>1</c:v>
                </c:pt>
                <c:pt idx="1">
                  <c:v>23.560000000000002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B0F-4D15-9E4B-C7AABECD5C0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408081625314634"/>
          <c:y val="0.23345561523017566"/>
          <c:w val="0.43906778137360669"/>
          <c:h val="0.724229609221854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9D-44FA-BC0D-3DE1646C686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9D-44FA-BC0D-3DE1646C6868}"/>
              </c:ext>
            </c:extLst>
          </c:dPt>
          <c:dLbls>
            <c:dLbl>
              <c:idx val="0"/>
              <c:layout>
                <c:manualLayout>
                  <c:x val="0.11536906389371908"/>
                  <c:y val="3.860766666070226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9D-44FA-BC0D-3DE1646C686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'210'!$J$78:$K$78</c:f>
              <c:numCache>
                <c:formatCode>General</c:formatCode>
                <c:ptCount val="2"/>
                <c:pt idx="0">
                  <c:v>40.56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9D-44FA-BC0D-3DE1646C68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509D-44FA-BC0D-3DE1646C686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509D-44FA-BC0D-3DE1646C686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509D-44FA-BC0D-3DE1646C686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509D-44FA-BC0D-3DE1646C686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509D-44FA-BC0D-3DE1646C686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509D-44FA-BC0D-3DE1646C6868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509D-44FA-BC0D-3DE1646C686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509D-44FA-BC0D-3DE1646C686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509D-44FA-BC0D-3DE1646C686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509D-44FA-BC0D-3DE1646C686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509D-44FA-BC0D-3DE1646C686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509D-44FA-BC0D-3DE1646C686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29A-4FDF-8470-52D9BD421FD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29A-4FDF-8470-52D9BD421FD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29A-4FDF-8470-52D9BD421FD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'210'!$L$78:$N$78</c:f>
              <c:numCache>
                <c:formatCode>General</c:formatCode>
                <c:ptCount val="3"/>
                <c:pt idx="0">
                  <c:v>1</c:v>
                </c:pt>
                <c:pt idx="1">
                  <c:v>39.56</c:v>
                </c:pt>
                <c:pt idx="2">
                  <c:v>39.56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9A-4FDF-8470-52D9BD421FD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C2E-4AE1-8573-A9BF25CF502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2E-4AE1-8573-A9BF25CF502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C2E-4AE1-8573-A9BF25CF502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2E-4AE1-8573-A9BF25CF502C}"/>
                </c:ext>
              </c:extLst>
            </c:dLbl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335155409231183"/>
                      <c:h val="6.90942824471332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C2E-4AE1-8573-A9BF25CF502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2E-4AE1-8573-A9BF25CF502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'210'!$O$78:$Q$78</c:f>
              <c:numCache>
                <c:formatCode>General</c:formatCode>
                <c:ptCount val="3"/>
                <c:pt idx="0">
                  <c:v>0</c:v>
                </c:pt>
                <c:pt idx="1">
                  <c:v>40.56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2E-4AE1-8573-A9BF25CF502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F4-407E-9BE7-0436F9BE304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F4-407E-9BE7-0436F9BE304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AF4-407E-9BE7-0436F9BE304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'210'!$R$78:$T$78</c:f>
              <c:numCache>
                <c:formatCode>General</c:formatCode>
                <c:ptCount val="3"/>
                <c:pt idx="0">
                  <c:v>1</c:v>
                </c:pt>
                <c:pt idx="1">
                  <c:v>14.56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F4-407E-9BE7-0436F9BE30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322185413926854"/>
          <c:y val="0.21354813490272753"/>
          <c:w val="0.4373682253777475"/>
          <c:h val="0.725296138621806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47-4EE8-A851-FEFB184075C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47-4EE8-A851-FEFB184075CF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547-4EE8-A851-FEFB184075C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547-4EE8-A851-FEFB184075CF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547-4EE8-A851-FEFB184075C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47-4EE8-A851-FEFB184075CF}"/>
                </c:ext>
              </c:extLst>
            </c:dLbl>
            <c:dLbl>
              <c:idx val="4"/>
              <c:layout>
                <c:manualLayout>
                  <c:x val="4.3752226531937159E-2"/>
                  <c:y val="0.1097639798557274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47-4EE8-A851-FEFB184075C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'212'!$E$149:$I$149</c:f>
              <c:numCache>
                <c:formatCode>General</c:formatCode>
                <c:ptCount val="5"/>
                <c:pt idx="0">
                  <c:v>0</c:v>
                </c:pt>
                <c:pt idx="1">
                  <c:v>36.75</c:v>
                </c:pt>
                <c:pt idx="2">
                  <c:v>7.5000000000000018</c:v>
                </c:pt>
                <c:pt idx="3">
                  <c:v>4.4999999999999964</c:v>
                </c:pt>
                <c:pt idx="4">
                  <c:v>1.4000000000000004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47-4EE8-A851-FEFB184075CF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5547-4EE8-A851-FEFB184075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5547-4EE8-A851-FEFB184075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5547-4EE8-A851-FEFB184075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5547-4EE8-A851-FEFB184075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5547-4EE8-A851-FEFB184075C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'212'!$E$149:$I$149</c:f>
              <c:numCache>
                <c:formatCode>General</c:formatCode>
                <c:ptCount val="5"/>
                <c:pt idx="0">
                  <c:v>0</c:v>
                </c:pt>
                <c:pt idx="1">
                  <c:v>36.75</c:v>
                </c:pt>
                <c:pt idx="2">
                  <c:v>7.5000000000000018</c:v>
                </c:pt>
                <c:pt idx="3">
                  <c:v>4.4999999999999964</c:v>
                </c:pt>
                <c:pt idx="4">
                  <c:v>1.4000000000000004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547-4EE8-A851-FEFB184075CF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547-4EE8-A851-FEFB184075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547-4EE8-A851-FEFB184075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547-4EE8-A851-FEFB184075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547-4EE8-A851-FEFB184075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547-4EE8-A851-FEFB184075C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'212'!$E$149:$I$149</c:f>
              <c:numCache>
                <c:formatCode>General</c:formatCode>
                <c:ptCount val="5"/>
                <c:pt idx="0">
                  <c:v>0</c:v>
                </c:pt>
                <c:pt idx="1">
                  <c:v>36.75</c:v>
                </c:pt>
                <c:pt idx="2">
                  <c:v>7.5000000000000018</c:v>
                </c:pt>
                <c:pt idx="3">
                  <c:v>4.4999999999999964</c:v>
                </c:pt>
                <c:pt idx="4">
                  <c:v>1.4000000000000004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547-4EE8-A851-FEFB184075C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F7D-465C-98D7-8286A9777D9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F7D-465C-98D7-8286A9777D9B}"/>
              </c:ext>
            </c:extLst>
          </c:dPt>
          <c:dLbls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'212'!$J$149:$K$149</c:f>
              <c:numCache>
                <c:formatCode>General</c:formatCode>
                <c:ptCount val="2"/>
                <c:pt idx="0">
                  <c:v>48.65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7D-465C-98D7-8286A9777D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8F7D-465C-98D7-8286A9777D9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8F7D-465C-98D7-8286A9777D9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8F7D-465C-98D7-8286A9777D9B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8F7D-465C-98D7-8286A9777D9B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8F7D-465C-98D7-8286A9777D9B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8F7D-465C-98D7-8286A9777D9B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8F7D-465C-98D7-8286A9777D9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8F7D-465C-98D7-8286A9777D9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8F7D-465C-98D7-8286A9777D9B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8F7D-465C-98D7-8286A9777D9B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8F7D-465C-98D7-8286A9777D9B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8F7D-465C-98D7-8286A9777D9B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8F7D-465C-98D7-8286A9777D9B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8F7D-465C-98D7-8286A9777D9B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F7D-465C-98D7-8286A9777D9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D3-46FD-946C-8958AF9B183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D3-46FD-946C-8958AF9B183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6D3-46FD-946C-8958AF9B183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D3-46FD-946C-8958AF9B183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D3-46FD-946C-8958AF9B183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'212'!$L$149:$N$149</c:f>
              <c:numCache>
                <c:formatCode>General</c:formatCode>
                <c:ptCount val="3"/>
                <c:pt idx="0">
                  <c:v>0</c:v>
                </c:pt>
                <c:pt idx="1">
                  <c:v>48.65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D3-46FD-946C-8958AF9B183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B9-43DF-8CD6-AACEC402DAF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B9-43DF-8CD6-AACEC402DAF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B9-43DF-8CD6-AACEC402DAF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B9-43DF-8CD6-AACEC402DAF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B9-43DF-8CD6-AACEC402DAF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'212'!$O$149:$Q$149</c:f>
              <c:numCache>
                <c:formatCode>General</c:formatCode>
                <c:ptCount val="3"/>
                <c:pt idx="0">
                  <c:v>0</c:v>
                </c:pt>
                <c:pt idx="1">
                  <c:v>48.65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B9-43DF-8CD6-AACEC402DAF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F4D-462F-A6B3-46819A32461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F4D-462F-A6B3-46819A32461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F4D-462F-A6B3-46819A32461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4D-462F-A6B3-46819A32461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4D-462F-A6B3-46819A32461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'212'!$R$149:$T$149</c:f>
              <c:numCache>
                <c:formatCode>General</c:formatCode>
                <c:ptCount val="3"/>
                <c:pt idx="0">
                  <c:v>0</c:v>
                </c:pt>
                <c:pt idx="1">
                  <c:v>48.65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4D-462F-A6B3-46819A3246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2F6-4B8D-BDA6-95B08280F84B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2F6-4B8D-BDA6-95B08280F84B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2F6-4B8D-BDA6-95B08280F84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2F6-4B8D-BDA6-95B08280F84B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2F6-4B8D-BDA6-95B08280F84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F6-4B8D-BDA6-95B08280F84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F6-4B8D-BDA6-95B08280F84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F6-4B8D-BDA6-95B08280F84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2F6-4B8D-BDA6-95B08280F84B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'214'!$E$128:$I$128</c:f>
              <c:numCache>
                <c:formatCode>General</c:formatCode>
                <c:ptCount val="5"/>
                <c:pt idx="0">
                  <c:v>0</c:v>
                </c:pt>
                <c:pt idx="1">
                  <c:v>0.37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F6-4B8D-BDA6-95B08280F84B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22F6-4B8D-BDA6-95B08280F8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22F6-4B8D-BDA6-95B08280F8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22F6-4B8D-BDA6-95B08280F8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22F6-4B8D-BDA6-95B08280F8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22F6-4B8D-BDA6-95B08280F84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'214'!$E$128:$I$128</c:f>
              <c:numCache>
                <c:formatCode>General</c:formatCode>
                <c:ptCount val="5"/>
                <c:pt idx="0">
                  <c:v>0</c:v>
                </c:pt>
                <c:pt idx="1">
                  <c:v>0.37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2F6-4B8D-BDA6-95B08280F84B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2F6-4B8D-BDA6-95B08280F8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2F6-4B8D-BDA6-95B08280F8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2F6-4B8D-BDA6-95B08280F8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2F6-4B8D-BDA6-95B08280F8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2F6-4B8D-BDA6-95B08280F84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'214'!$E$128:$I$128</c:f>
              <c:numCache>
                <c:formatCode>General</c:formatCode>
                <c:ptCount val="5"/>
                <c:pt idx="0">
                  <c:v>0</c:v>
                </c:pt>
                <c:pt idx="1">
                  <c:v>0.37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2F6-4B8D-BDA6-95B08280F84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EF-4C89-9943-7CE8FB7433F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EF-4C89-9943-7CE8FB7433F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EF-4C89-9943-7CE8FB7433F2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'214'!$J$128:$K$128</c:f>
              <c:numCache>
                <c:formatCode>General</c:formatCode>
                <c:ptCount val="2"/>
                <c:pt idx="0">
                  <c:v>0.37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EF-4C89-9943-7CE8FB7433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03EF-4C89-9943-7CE8FB7433F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03EF-4C89-9943-7CE8FB7433F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03EF-4C89-9943-7CE8FB7433F2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03EF-4C89-9943-7CE8FB7433F2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03EF-4C89-9943-7CE8FB7433F2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03EF-4C89-9943-7CE8FB7433F2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03EF-4C89-9943-7CE8FB7433F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03EF-4C89-9943-7CE8FB7433F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03EF-4C89-9943-7CE8FB7433F2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03EF-4C89-9943-7CE8FB7433F2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03EF-4C89-9943-7CE8FB7433F2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03EF-4C89-9943-7CE8FB7433F2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03EF-4C89-9943-7CE8FB7433F2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03EF-4C89-9943-7CE8FB7433F2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3EF-4C89-9943-7CE8FB7433F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BF-4882-984F-1B3ECE85557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BF-4882-984F-1B3ECE85557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7BF-4882-984F-1B3ECE85557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F-4882-984F-1B3ECE85557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BF-4882-984F-1B3ECE85557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'214'!$L$128:$N$128</c:f>
              <c:numCache>
                <c:formatCode>General</c:formatCode>
                <c:ptCount val="3"/>
                <c:pt idx="0">
                  <c:v>0</c:v>
                </c:pt>
                <c:pt idx="1">
                  <c:v>0.37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BF-4882-984F-1B3ECE85557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EA-4055-AFB9-16B59FF4C25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EA-4055-AFB9-16B59FF4C25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5EA-4055-AFB9-16B59FF4C25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EA-4055-AFB9-16B59FF4C25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EA-4055-AFB9-16B59FF4C25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'214'!$O$128:$Q$128</c:f>
              <c:numCache>
                <c:formatCode>General</c:formatCode>
                <c:ptCount val="3"/>
                <c:pt idx="0">
                  <c:v>0</c:v>
                </c:pt>
                <c:pt idx="1">
                  <c:v>0.37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A-4055-AFB9-16B59FF4C25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87-4693-9098-B4FAA679B73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87-4693-9098-B4FAA679B73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487-4693-9098-B4FAA679B73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87-4693-9098-B4FAA679B73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87-4693-9098-B4FAA679B73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'214'!$R$128:$T$128</c:f>
              <c:numCache>
                <c:formatCode>General</c:formatCode>
                <c:ptCount val="3"/>
                <c:pt idx="0">
                  <c:v>0</c:v>
                </c:pt>
                <c:pt idx="1">
                  <c:v>0.37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87-4693-9098-B4FAA679B73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A4-41D4-B0A0-02654284D8BA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A4-41D4-B0A0-02654284D8BA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A4-41D4-B0A0-02654284D8B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A4-41D4-B0A0-02654284D8B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A4-41D4-B0A0-02654284D8BA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62783171521034"/>
                      <c:h val="7.02176526072864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A4-41D4-B0A0-02654284D8B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A4-41D4-B0A0-02654284D8B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A4-41D4-B0A0-02654284D8B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A4-41D4-B0A0-02654284D8B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A4-41D4-B0A0-02654284D8B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'218'!$E$128:$I$128</c:f>
              <c:numCache>
                <c:formatCode>General</c:formatCode>
                <c:ptCount val="5"/>
                <c:pt idx="0">
                  <c:v>112.31</c:v>
                </c:pt>
                <c:pt idx="1">
                  <c:v>0</c:v>
                </c:pt>
                <c:pt idx="2">
                  <c:v>0</c:v>
                </c:pt>
                <c:pt idx="3">
                  <c:v>103.14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1A4-41D4-B0A0-02654284D8BA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81A4-41D4-B0A0-02654284D8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81A4-41D4-B0A0-02654284D8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81A4-41D4-B0A0-02654284D8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81A4-41D4-B0A0-02654284D8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81A4-41D4-B0A0-02654284D8B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'218'!$E$128:$I$128</c:f>
              <c:numCache>
                <c:formatCode>General</c:formatCode>
                <c:ptCount val="5"/>
                <c:pt idx="0">
                  <c:v>112.31</c:v>
                </c:pt>
                <c:pt idx="1">
                  <c:v>0</c:v>
                </c:pt>
                <c:pt idx="2">
                  <c:v>0</c:v>
                </c:pt>
                <c:pt idx="3">
                  <c:v>103.14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1A4-41D4-B0A0-02654284D8BA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1A4-41D4-B0A0-02654284D8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1A4-41D4-B0A0-02654284D8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1A4-41D4-B0A0-02654284D8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1A4-41D4-B0A0-02654284D8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1A4-41D4-B0A0-02654284D8B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'218'!$E$128:$I$128</c:f>
              <c:numCache>
                <c:formatCode>General</c:formatCode>
                <c:ptCount val="5"/>
                <c:pt idx="0">
                  <c:v>112.31</c:v>
                </c:pt>
                <c:pt idx="1">
                  <c:v>0</c:v>
                </c:pt>
                <c:pt idx="2">
                  <c:v>0</c:v>
                </c:pt>
                <c:pt idx="3">
                  <c:v>103.14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1A4-41D4-B0A0-02654284D8B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08-4C99-BDE2-FFCFBD88EFE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F08-4C99-BDE2-FFCFBD88EFE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08-4C99-BDE2-FFCFBD88EFEA}"/>
                </c:ext>
              </c:extLst>
            </c:dLbl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968670983340947"/>
                      <c:h val="6.67855934276850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F08-4C99-BDE2-FFCFBD88EFE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'218'!$J$128:$K$128</c:f>
              <c:numCache>
                <c:formatCode>General</c:formatCode>
                <c:ptCount val="2"/>
                <c:pt idx="0">
                  <c:v>112.31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08-4C99-BDE2-FFCFBD88EF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FF08-4C99-BDE2-FFCFBD88EFE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FF08-4C99-BDE2-FFCFBD88EFE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FF08-4C99-BDE2-FFCFBD88EFEA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FF08-4C99-BDE2-FFCFBD88EFEA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FF08-4C99-BDE2-FFCFBD88EFEA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FF08-4C99-BDE2-FFCFBD88EFEA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FF08-4C99-BDE2-FFCFBD88EFE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FF08-4C99-BDE2-FFCFBD88EFE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FF08-4C99-BDE2-FFCFBD88EFEA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FF08-4C99-BDE2-FFCFBD88EFEA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FF08-4C99-BDE2-FFCFBD88EFEA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FF08-4C99-BDE2-FFCFBD88EFE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0C0-4D91-890D-EDB9836AFF1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0C0-4D91-890D-EDB9836AFF1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C0-4D91-890D-EDB9836AFF1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C0-4D91-890D-EDB9836AFF10}"/>
                </c:ext>
              </c:extLst>
            </c:dLbl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68197879858654"/>
                      <c:h val="8.24579385355270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0C0-4D91-890D-EDB9836AFF1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C0-4D91-890D-EDB9836AFF1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'218'!$L$128:$N$128</c:f>
              <c:numCache>
                <c:formatCode>General</c:formatCode>
                <c:ptCount val="3"/>
                <c:pt idx="0">
                  <c:v>0</c:v>
                </c:pt>
                <c:pt idx="1">
                  <c:v>112.31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C0-4D91-890D-EDB9836AFF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104-41B8-8ECF-C946D1BFE6C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104-41B8-8ECF-C946D1BFE6C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104-41B8-8ECF-C946D1BFE6C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04-41B8-8ECF-C946D1BFE6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04-41B8-8ECF-C946D1BFE6CA}"/>
                </c:ext>
              </c:extLst>
            </c:dLbl>
            <c:dLbl>
              <c:idx val="2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79236205081946"/>
                      <c:h val="0.100965870802274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104-41B8-8ECF-C946D1BFE6C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'218'!$O$128:$Q$128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112.31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04-41B8-8ECF-C946D1BFE6C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2B-4EE1-9DC4-B7D5737FCAF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2B-4EE1-9DC4-B7D5737FCAF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2B-4EE1-9DC4-B7D5737FCAF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2B-4EE1-9DC4-B7D5737FCAFD}"/>
                </c:ext>
              </c:extLst>
            </c:dLbl>
            <c:dLbl>
              <c:idx val="1"/>
              <c:layout>
                <c:manualLayout>
                  <c:x val="-0.14788965948792826"/>
                  <c:y val="-0.2493756937234020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2B-4EE1-9DC4-B7D5737FCAF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'218'!$R$128:$T$128</c:f>
              <c:numCache>
                <c:formatCode>General</c:formatCode>
                <c:ptCount val="3"/>
                <c:pt idx="0">
                  <c:v>0</c:v>
                </c:pt>
                <c:pt idx="1">
                  <c:v>95.25</c:v>
                </c:pt>
                <c:pt idx="2">
                  <c:v>17.060000000000002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2B-4EE1-9DC4-B7D5737FCAF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D2-47FC-8A5C-487C13DFAE73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D2-47FC-8A5C-487C13DFAE73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D2-47FC-8A5C-487C13DFAE7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BD2-47FC-8A5C-487C13DFAE7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BD2-47FC-8A5C-487C13DFAE7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D2-47FC-8A5C-487C13DFAE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D2-47FC-8A5C-487C13DFAE7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BD2-47FC-8A5C-487C13DFAE7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'219'!$E$225:$I$225</c:f>
              <c:numCache>
                <c:formatCode>General</c:formatCode>
                <c:ptCount val="5"/>
                <c:pt idx="0">
                  <c:v>50.199999999999996</c:v>
                </c:pt>
                <c:pt idx="1">
                  <c:v>0.10000000000000053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D2-47FC-8A5C-487C13DFAE73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2BD2-47FC-8A5C-487C13DFAE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2BD2-47FC-8A5C-487C13DFAE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2BD2-47FC-8A5C-487C13DFAE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2BD2-47FC-8A5C-487C13DFAE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2BD2-47FC-8A5C-487C13DFAE7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'219'!$E$225:$I$225</c:f>
              <c:numCache>
                <c:formatCode>General</c:formatCode>
                <c:ptCount val="5"/>
                <c:pt idx="0">
                  <c:v>50.199999999999996</c:v>
                </c:pt>
                <c:pt idx="1">
                  <c:v>0.10000000000000053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BD2-47FC-8A5C-487C13DFAE73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BD2-47FC-8A5C-487C13DFAE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BD2-47FC-8A5C-487C13DFAE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BD2-47FC-8A5C-487C13DFAE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BD2-47FC-8A5C-487C13DFAE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BD2-47FC-8A5C-487C13DFAE7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'219'!$E$225:$I$225</c:f>
              <c:numCache>
                <c:formatCode>General</c:formatCode>
                <c:ptCount val="5"/>
                <c:pt idx="0">
                  <c:v>50.199999999999996</c:v>
                </c:pt>
                <c:pt idx="1">
                  <c:v>0.10000000000000053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BD2-47FC-8A5C-487C13DFAE7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280-4E54-9CA7-350F6449CB9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280-4E54-9CA7-350F6449CB9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80-4E54-9CA7-350F6449CB9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'219'!$J$225:$K$225</c:f>
              <c:numCache>
                <c:formatCode>General</c:formatCode>
                <c:ptCount val="2"/>
                <c:pt idx="0">
                  <c:v>50.3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80-4E54-9CA7-350F6449CB9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5280-4E54-9CA7-350F6449CB9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5280-4E54-9CA7-350F6449CB9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5280-4E54-9CA7-350F6449CB9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5280-4E54-9CA7-350F6449CB9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5280-4E54-9CA7-350F6449CB9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5280-4E54-9CA7-350F6449CB9E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5280-4E54-9CA7-350F6449CB9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5280-4E54-9CA7-350F6449CB9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5280-4E54-9CA7-350F6449CB9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5280-4E54-9CA7-350F6449CB9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5280-4E54-9CA7-350F6449CB9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5280-4E54-9CA7-350F6449CB9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24-4832-9DCA-AC628A6675B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24-4832-9DCA-AC628A6675B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24-4832-9DCA-AC628A6675BD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24-4832-9DCA-AC628A6675B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'219'!$L$225:$N$225</c:f>
              <c:numCache>
                <c:formatCode>General</c:formatCode>
                <c:ptCount val="3"/>
                <c:pt idx="0">
                  <c:v>0</c:v>
                </c:pt>
                <c:pt idx="1">
                  <c:v>50.3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24-4832-9DCA-AC628A6675B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C86-4152-BDEB-B44AE3D5AA8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86-4152-BDEB-B44AE3D5AA8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C86-4152-BDEB-B44AE3D5AA8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86-4152-BDEB-B44AE3D5AA8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'219'!$O$225:$Q$225</c:f>
              <c:numCache>
                <c:formatCode>General</c:formatCode>
                <c:ptCount val="3"/>
                <c:pt idx="0">
                  <c:v>50.3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86-4152-BDEB-B44AE3D5AA8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C7-4CEE-B82D-62665E21D07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C7-4CEE-B82D-62665E21D07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C7-4CEE-B82D-62665E21D07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C7-4CEE-B82D-62665E21D07D}"/>
                </c:ext>
              </c:extLst>
            </c:dLbl>
            <c:dLbl>
              <c:idx val="1"/>
              <c:layout>
                <c:manualLayout>
                  <c:x val="5.0752811527698109E-2"/>
                  <c:y val="1.041919703285230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C7-4CEE-B82D-62665E21D07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'219'!$R$225:$T$225</c:f>
              <c:numCache>
                <c:formatCode>General</c:formatCode>
                <c:ptCount val="3"/>
                <c:pt idx="0">
                  <c:v>0</c:v>
                </c:pt>
                <c:pt idx="1">
                  <c:v>4.2999999999999954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C7-4CEE-B82D-62665E21D07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C0-48AD-B0BD-9B2AB3B2DE28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C0-48AD-B0BD-9B2AB3B2DE28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8C0-48AD-B0BD-9B2AB3B2DE2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8C0-48AD-B0BD-9B2AB3B2DE28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8C0-48AD-B0BD-9B2AB3B2DE2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C0-48AD-B0BD-9B2AB3B2DE28}"/>
                </c:ext>
              </c:extLst>
            </c:dLbl>
            <c:dLbl>
              <c:idx val="1"/>
              <c:layout>
                <c:manualLayout>
                  <c:x val="-0.15592821418064137"/>
                  <c:y val="3.3054965465375952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34392468373051"/>
                      <c:h val="9.522802701450738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8C0-48AD-B0BD-9B2AB3B2DE28}"/>
                </c:ext>
              </c:extLst>
            </c:dLbl>
            <c:dLbl>
              <c:idx val="3"/>
              <c:layout>
                <c:manualLayout>
                  <c:x val="0.12650779641070903"/>
                  <c:y val="-3.9702320538631271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22653721682848"/>
                      <c:h val="9.05254083965070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8C0-48AD-B0BD-9B2AB3B2DE2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'220'!$E$71:$I$71</c:f>
              <c:numCache>
                <c:formatCode>General</c:formatCode>
                <c:ptCount val="5"/>
                <c:pt idx="0">
                  <c:v>0</c:v>
                </c:pt>
                <c:pt idx="1">
                  <c:v>12.54</c:v>
                </c:pt>
                <c:pt idx="2">
                  <c:v>14.52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8C0-48AD-B0BD-9B2AB3B2DE28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C8C0-48AD-B0BD-9B2AB3B2DE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C8C0-48AD-B0BD-9B2AB3B2DE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C8C0-48AD-B0BD-9B2AB3B2DE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C8C0-48AD-B0BD-9B2AB3B2DE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C8C0-48AD-B0BD-9B2AB3B2DE2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'220'!$E$71:$I$71</c:f>
              <c:numCache>
                <c:formatCode>General</c:formatCode>
                <c:ptCount val="5"/>
                <c:pt idx="0">
                  <c:v>0</c:v>
                </c:pt>
                <c:pt idx="1">
                  <c:v>12.54</c:v>
                </c:pt>
                <c:pt idx="2">
                  <c:v>14.52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8C0-48AD-B0BD-9B2AB3B2DE28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8C0-48AD-B0BD-9B2AB3B2DE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8C0-48AD-B0BD-9B2AB3B2DE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8C0-48AD-B0BD-9B2AB3B2DE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8C0-48AD-B0BD-9B2AB3B2DE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8C0-48AD-B0BD-9B2AB3B2DE2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'220'!$E$71:$I$71</c:f>
              <c:numCache>
                <c:formatCode>General</c:formatCode>
                <c:ptCount val="5"/>
                <c:pt idx="0">
                  <c:v>0</c:v>
                </c:pt>
                <c:pt idx="1">
                  <c:v>12.54</c:v>
                </c:pt>
                <c:pt idx="2">
                  <c:v>14.52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8C0-48AD-B0BD-9B2AB3B2DE2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7E-4B87-9695-A76ED556D21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7E-4B87-9695-A76ED556D217}"/>
              </c:ext>
            </c:extLst>
          </c:dPt>
          <c:dLbls>
            <c:dLbl>
              <c:idx val="1"/>
              <c:layout>
                <c:manualLayout>
                  <c:x val="0.13613206441409501"/>
                  <c:y val="-0.28120249864288427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866128492170775"/>
                      <c:h val="8.55324266705439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87E-4B87-9695-A76ED556D21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'220'!$J$71:$K$71</c:f>
              <c:numCache>
                <c:formatCode>General</c:formatCode>
                <c:ptCount val="2"/>
                <c:pt idx="0">
                  <c:v>15.02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7E-4B87-9695-A76ED556D2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387E-4B87-9695-A76ED556D21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387E-4B87-9695-A76ED556D21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387E-4B87-9695-A76ED556D217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387E-4B87-9695-A76ED556D217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387E-4B87-9695-A76ED556D217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387E-4B87-9695-A76ED556D217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387E-4B87-9695-A76ED556D21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387E-4B87-9695-A76ED556D21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387E-4B87-9695-A76ED556D217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387E-4B87-9695-A76ED556D217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387E-4B87-9695-A76ED556D217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387E-4B87-9695-A76ED556D21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BD-45C9-BFE7-4D8563DC73E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BD-45C9-BFE7-4D8563DC73E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BD-45C9-BFE7-4D8563DC73E2}"/>
              </c:ext>
            </c:extLst>
          </c:dPt>
          <c:dLbls>
            <c:dLbl>
              <c:idx val="2"/>
              <c:layout>
                <c:manualLayout>
                  <c:x val="0.19706138764456563"/>
                  <c:y val="-3.742741089107318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BD-45C9-BFE7-4D8563DC73E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'220'!$L$71:$N$71</c:f>
              <c:numCache>
                <c:formatCode>General</c:formatCode>
                <c:ptCount val="3"/>
                <c:pt idx="0">
                  <c:v>1.48</c:v>
                </c:pt>
                <c:pt idx="1">
                  <c:v>13.54</c:v>
                </c:pt>
                <c:pt idx="2">
                  <c:v>14.52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BD-45C9-BFE7-4D8563DC73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FD-4EFA-855A-38460CFC9B7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FD-4EFA-855A-38460CFC9B7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FD-4EFA-855A-38460CFC9B7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FD-4EFA-855A-38460CFC9B7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'220'!$O$71:$Q$71</c:f>
              <c:numCache>
                <c:formatCode>General</c:formatCode>
                <c:ptCount val="3"/>
                <c:pt idx="0">
                  <c:v>0</c:v>
                </c:pt>
                <c:pt idx="1">
                  <c:v>13.54</c:v>
                </c:pt>
                <c:pt idx="2">
                  <c:v>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FD-4EFA-855A-38460CFC9B7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4FF-4373-A20D-111FDBB58CA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4FF-4373-A20D-111FDBB58CA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4FF-4373-A20D-111FDBB58CA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FF-4373-A20D-111FDBB58CA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FF-4373-A20D-111FDBB58CA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'220'!$R$71:$T$71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15.02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FF-4373-A20D-111FDBB58C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/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C9D-47CA-9170-E3AE692A0D61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9D-47CA-9170-E3AE692A0D61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C9D-47CA-9170-E3AE692A0D6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C9D-47CA-9170-E3AE692A0D61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C9D-47CA-9170-E3AE692A0D61}"/>
              </c:ext>
            </c:extLst>
          </c:dPt>
          <c:dLbls>
            <c:dLbl>
              <c:idx val="0"/>
              <c:layout>
                <c:manualLayout>
                  <c:x val="-4.6662511465216223E-2"/>
                  <c:y val="0.1054709638148983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877106910928379"/>
                      <c:h val="7.78907300520444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C9D-47CA-9170-E3AE692A0D61}"/>
                </c:ext>
              </c:extLst>
            </c:dLbl>
            <c:dLbl>
              <c:idx val="1"/>
              <c:layout>
                <c:manualLayout>
                  <c:x val="-7.070077494729736E-2"/>
                  <c:y val="-0.21868851316613766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159910010717571"/>
                      <c:h val="8.24061346927427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C9D-47CA-9170-E3AE692A0D6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TT!$D$18:$H$18</c:f>
              <c:numCache>
                <c:formatCode>#,##0.00</c:formatCode>
                <c:ptCount val="5"/>
                <c:pt idx="0">
                  <c:v>197.75</c:v>
                </c:pt>
                <c:pt idx="1">
                  <c:v>274.81000000000012</c:v>
                </c:pt>
                <c:pt idx="2">
                  <c:v>112.71999999999998</c:v>
                </c:pt>
                <c:pt idx="3">
                  <c:v>141.94</c:v>
                </c:pt>
                <c:pt idx="4">
                  <c:v>12.499999999999998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9D-47CA-9170-E3AE692A0D61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C-7C9D-47CA-9170-E3AE692A0D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E-7C9D-47CA-9170-E3AE692A0D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0-7C9D-47CA-9170-E3AE692A0D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2-7C9D-47CA-9170-E3AE692A0D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4-7C9D-47CA-9170-E3AE692A0D6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  <c:extLst xmlns:c15="http://schemas.microsoft.com/office/drawing/2012/chart"/>
            </c:strRef>
          </c:cat>
          <c:val>
            <c:numRef>
              <c:f>TT!$D$18:$H$18</c:f>
              <c:numCache>
                <c:formatCode>#,##0.00</c:formatCode>
                <c:ptCount val="5"/>
                <c:pt idx="0">
                  <c:v>197.75</c:v>
                </c:pt>
                <c:pt idx="1">
                  <c:v>274.81000000000012</c:v>
                </c:pt>
                <c:pt idx="2">
                  <c:v>112.71999999999998</c:v>
                </c:pt>
                <c:pt idx="3">
                  <c:v>141.94</c:v>
                </c:pt>
                <c:pt idx="4">
                  <c:v>12.499999999999998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5-7C9D-47CA-9170-E3AE692A0D61}"/>
            </c:ext>
          </c:extLst>
        </c:ser>
        <c:ser>
          <c:idx val="0"/>
          <c:order val="2"/>
          <c:tx>
            <c:strRef>
              <c:f>[2]TT!$D$34:$H$34</c:f>
              <c:strCache>
                <c:ptCount val="1"/>
                <c:pt idx="0">
                  <c:v>241,5732542 120,3975719 88,17 67,42680348 74,97614981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7-7C9D-47CA-9170-E3AE692A0D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9-7C9D-47CA-9170-E3AE692A0D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B-7C9D-47CA-9170-E3AE692A0D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D-7C9D-47CA-9170-E3AE692A0D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F-7C9D-47CA-9170-E3AE692A0D6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  <c:extLst xmlns:c15="http://schemas.microsoft.com/office/drawing/2012/chart"/>
            </c:strRef>
          </c:cat>
          <c:val>
            <c:numRef>
              <c:f>TT!$D$18:$H$18</c:f>
              <c:numCache>
                <c:formatCode>#,##0.00</c:formatCode>
                <c:ptCount val="5"/>
                <c:pt idx="0">
                  <c:v>197.75</c:v>
                </c:pt>
                <c:pt idx="1">
                  <c:v>274.81000000000012</c:v>
                </c:pt>
                <c:pt idx="2">
                  <c:v>112.71999999999998</c:v>
                </c:pt>
                <c:pt idx="3">
                  <c:v>141.94</c:v>
                </c:pt>
                <c:pt idx="4">
                  <c:v>12.499999999999998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20-7C9D-47CA-9170-E3AE692A0D6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/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TT!$I$18:$J$18</c:f>
              <c:strCache>
                <c:ptCount val="2"/>
                <c:pt idx="0">
                  <c:v>501,20</c:v>
                </c:pt>
                <c:pt idx="1">
                  <c:v>76,74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08-41BF-893F-AE566CB5EED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08-41BF-893F-AE566CB5EEDC}"/>
              </c:ext>
            </c:extLst>
          </c:dPt>
          <c:dLbls>
            <c:dLbl>
              <c:idx val="0"/>
              <c:layout>
                <c:manualLayout>
                  <c:x val="-0.14535943863472994"/>
                  <c:y val="-6.1095601216495246E-3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020114900610457"/>
                      <c:h val="8.71228832676310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408-41BF-893F-AE566CB5EEDC}"/>
                </c:ext>
              </c:extLst>
            </c:dLbl>
            <c:dLbl>
              <c:idx val="1"/>
              <c:layout>
                <c:manualLayout>
                  <c:x val="0.14963471624163374"/>
                  <c:y val="3.4159939046945684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50077886356613"/>
                      <c:h val="7.35452910700781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408-41BF-893F-AE566CB5EED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TT!$I$18:$J$18</c:f>
              <c:numCache>
                <c:formatCode>#,##0.00</c:formatCode>
                <c:ptCount val="2"/>
                <c:pt idx="0">
                  <c:v>501.19999999999993</c:v>
                </c:pt>
                <c:pt idx="1">
                  <c:v>76.739999999999995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08-41BF-893F-AE566CB5EED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2408-41BF-893F-AE566CB5EED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2408-41BF-893F-AE566CB5EED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2408-41BF-893F-AE566CB5EED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2408-41BF-893F-AE566CB5EED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2408-41BF-893F-AE566CB5EEDC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2408-41BF-893F-AE566CB5EEDC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2408-41BF-893F-AE566CB5EED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2408-41BF-893F-AE566CB5EED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2408-41BF-893F-AE566CB5EED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2408-41BF-893F-AE566CB5EED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2408-41BF-893F-AE566CB5EEDC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408-41BF-893F-AE566CB5EED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/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580717291543475"/>
          <c:y val="4.1186461372566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63-4751-9366-AF4413BBCE8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63-4751-9366-AF4413BBCE8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63-4751-9366-AF4413BBCE8C}"/>
              </c:ext>
            </c:extLst>
          </c:dPt>
          <c:dLbls>
            <c:dLbl>
              <c:idx val="0"/>
              <c:layout>
                <c:manualLayout>
                  <c:x val="3.4407671578428431E-2"/>
                  <c:y val="3.793651698784571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63-4751-9366-AF4413BBCE8C}"/>
                </c:ext>
              </c:extLst>
            </c:dLbl>
            <c:dLbl>
              <c:idx val="1"/>
              <c:layout>
                <c:manualLayout>
                  <c:x val="-0.14167172185579693"/>
                  <c:y val="-0.24270572846807911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479861755172079"/>
                      <c:h val="9.101471453213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D63-4751-9366-AF4413BBCE8C}"/>
                </c:ext>
              </c:extLst>
            </c:dLbl>
            <c:dLbl>
              <c:idx val="2"/>
              <c:layout>
                <c:manualLayout>
                  <c:x val="-2.297893050769468E-2"/>
                  <c:y val="2.462278649047726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63-4751-9366-AF4413BBCE8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TT!$K$18:$M$18</c:f>
              <c:numCache>
                <c:formatCode>#,##0.00</c:formatCode>
                <c:ptCount val="3"/>
                <c:pt idx="0">
                  <c:v>24.29</c:v>
                </c:pt>
                <c:pt idx="1">
                  <c:v>552.49999999999989</c:v>
                </c:pt>
                <c:pt idx="2">
                  <c:v>54.08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63-4751-9366-AF4413BBCE8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CA0-4473-B196-B3FEA600450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CA0-4473-B196-B3FEA600450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CA0-4473-B196-B3FEA6004500}"/>
              </c:ext>
            </c:extLst>
          </c:dPt>
          <c:dLbls>
            <c:dLbl>
              <c:idx val="1"/>
              <c:layout>
                <c:manualLayout>
                  <c:x val="-0.17682481116641727"/>
                  <c:y val="-0.19730849753498833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63193872887797"/>
                      <c:h val="8.635577058594760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CA0-4473-B196-B3FEA6004500}"/>
                </c:ext>
              </c:extLst>
            </c:dLbl>
            <c:dLbl>
              <c:idx val="2"/>
              <c:layout>
                <c:manualLayout>
                  <c:x val="9.1264418666537936E-2"/>
                  <c:y val="6.8587092783840217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63193872887797"/>
                      <c:h val="8.635577058594760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CA0-4473-B196-B3FEA600450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TT!$N$18:$P$18</c:f>
              <c:numCache>
                <c:formatCode>#,##0.00</c:formatCode>
                <c:ptCount val="3"/>
                <c:pt idx="0">
                  <c:v>97.56</c:v>
                </c:pt>
                <c:pt idx="1">
                  <c:v>352.96999999999997</c:v>
                </c:pt>
                <c:pt idx="2">
                  <c:v>126.41000000000001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A0-4473-B196-B3FEA600450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A7-40D3-988D-B464B003F31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A7-40D3-988D-B464B003F31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9A7-40D3-988D-B464B003F311}"/>
              </c:ext>
            </c:extLst>
          </c:dPt>
          <c:dLbls>
            <c:dLbl>
              <c:idx val="0"/>
              <c:layout>
                <c:manualLayout>
                  <c:x val="3.6746083558921202E-3"/>
                  <c:y val="3.420430449892624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A7-40D3-988D-B464B003F311}"/>
                </c:ext>
              </c:extLst>
            </c:dLbl>
            <c:dLbl>
              <c:idx val="1"/>
              <c:layout>
                <c:manualLayout>
                  <c:x val="-0.18349110385154263"/>
                  <c:y val="-0.2059181791670248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A7-40D3-988D-B464B003F311}"/>
                </c:ext>
              </c:extLst>
            </c:dLbl>
            <c:dLbl>
              <c:idx val="2"/>
              <c:layout>
                <c:manualLayout>
                  <c:x val="9.5478900687673354E-2"/>
                  <c:y val="0.1350621941495862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A7-40D3-988D-B464B003F31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TT!$Q$18:$S$18</c:f>
              <c:numCache>
                <c:formatCode>#,##0.00</c:formatCode>
                <c:ptCount val="3"/>
                <c:pt idx="0">
                  <c:v>1</c:v>
                </c:pt>
                <c:pt idx="1">
                  <c:v>434.06</c:v>
                </c:pt>
                <c:pt idx="2">
                  <c:v>141.88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A7-40D3-988D-B464B003F31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362469</xdr:colOff>
      <xdr:row>8</xdr:row>
      <xdr:rowOff>67454</xdr:rowOff>
    </xdr:from>
    <xdr:to>
      <xdr:col>31</xdr:col>
      <xdr:colOff>583449</xdr:colOff>
      <xdr:row>14</xdr:row>
      <xdr:rowOff>4589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E2FF7D-E9D9-4379-A1BB-787667805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389660</xdr:colOff>
      <xdr:row>14</xdr:row>
      <xdr:rowOff>99580</xdr:rowOff>
    </xdr:from>
    <xdr:to>
      <xdr:col>31</xdr:col>
      <xdr:colOff>606830</xdr:colOff>
      <xdr:row>20</xdr:row>
      <xdr:rowOff>122180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F46EBD4-A6C8-4987-82DD-E3BE83C8B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59748</xdr:colOff>
      <xdr:row>14</xdr:row>
      <xdr:rowOff>113434</xdr:rowOff>
    </xdr:from>
    <xdr:to>
      <xdr:col>39</xdr:col>
      <xdr:colOff>282633</xdr:colOff>
      <xdr:row>20</xdr:row>
      <xdr:rowOff>136294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9759B8D-87E9-4B1C-ABD7-F3E220E17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389659</xdr:colOff>
      <xdr:row>20</xdr:row>
      <xdr:rowOff>244186</xdr:rowOff>
    </xdr:from>
    <xdr:to>
      <xdr:col>31</xdr:col>
      <xdr:colOff>608734</xdr:colOff>
      <xdr:row>26</xdr:row>
      <xdr:rowOff>259427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444C383-22DA-448D-AF71-343CBEED4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69273</xdr:colOff>
      <xdr:row>8</xdr:row>
      <xdr:rowOff>69273</xdr:rowOff>
    </xdr:from>
    <xdr:to>
      <xdr:col>39</xdr:col>
      <xdr:colOff>280258</xdr:colOff>
      <xdr:row>14</xdr:row>
      <xdr:rowOff>15577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417A4B-FF1F-4610-B0E8-133AF56A0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120015</xdr:colOff>
      <xdr:row>8</xdr:row>
      <xdr:rowOff>84772</xdr:rowOff>
    </xdr:from>
    <xdr:to>
      <xdr:col>31</xdr:col>
      <xdr:colOff>340995</xdr:colOff>
      <xdr:row>14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FD4ED8-B085-4B44-8309-56FCBEBC0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456431</xdr:colOff>
      <xdr:row>8</xdr:row>
      <xdr:rowOff>79545</xdr:rowOff>
    </xdr:from>
    <xdr:to>
      <xdr:col>39</xdr:col>
      <xdr:colOff>66995</xdr:colOff>
      <xdr:row>14</xdr:row>
      <xdr:rowOff>13478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166911-112F-4C6D-BCC1-DD2AE7033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136071</xdr:colOff>
      <xdr:row>14</xdr:row>
      <xdr:rowOff>129269</xdr:rowOff>
    </xdr:from>
    <xdr:to>
      <xdr:col>31</xdr:col>
      <xdr:colOff>353241</xdr:colOff>
      <xdr:row>20</xdr:row>
      <xdr:rowOff>164239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59F576C-510D-47E5-9FB8-D71FF2C13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462643</xdr:colOff>
      <xdr:row>14</xdr:row>
      <xdr:rowOff>108856</xdr:rowOff>
    </xdr:from>
    <xdr:to>
      <xdr:col>39</xdr:col>
      <xdr:colOff>5171</xdr:colOff>
      <xdr:row>20</xdr:row>
      <xdr:rowOff>131717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2BF3234-DBDC-49BC-9A00-C1B5DE796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144730</xdr:colOff>
      <xdr:row>20</xdr:row>
      <xdr:rowOff>238744</xdr:rowOff>
    </xdr:from>
    <xdr:to>
      <xdr:col>31</xdr:col>
      <xdr:colOff>363805</xdr:colOff>
      <xdr:row>26</xdr:row>
      <xdr:rowOff>253985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52D20D1-903C-4DAF-9D37-07AEE09E8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377190</xdr:colOff>
      <xdr:row>8</xdr:row>
      <xdr:rowOff>427672</xdr:rowOff>
    </xdr:from>
    <xdr:to>
      <xdr:col>31</xdr:col>
      <xdr:colOff>598170</xdr:colOff>
      <xdr:row>14</xdr:row>
      <xdr:rowOff>364807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9A8AA2-ACEF-44E4-87A7-55BB4DFAC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81754</xdr:colOff>
      <xdr:row>8</xdr:row>
      <xdr:rowOff>430930</xdr:rowOff>
    </xdr:from>
    <xdr:to>
      <xdr:col>39</xdr:col>
      <xdr:colOff>313764</xdr:colOff>
      <xdr:row>14</xdr:row>
      <xdr:rowOff>370306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3C23F3-0AB8-458E-8941-48330043D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381000</xdr:colOff>
      <xdr:row>15</xdr:row>
      <xdr:rowOff>9526</xdr:rowOff>
    </xdr:from>
    <xdr:to>
      <xdr:col>31</xdr:col>
      <xdr:colOff>598170</xdr:colOff>
      <xdr:row>21</xdr:row>
      <xdr:rowOff>39053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224F9B4-51D4-43E8-B08D-E493DC823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89647</xdr:colOff>
      <xdr:row>15</xdr:row>
      <xdr:rowOff>11205</xdr:rowOff>
    </xdr:from>
    <xdr:to>
      <xdr:col>39</xdr:col>
      <xdr:colOff>312532</xdr:colOff>
      <xdr:row>21</xdr:row>
      <xdr:rowOff>34065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6A79859-7566-4EC0-BA4E-DEBEB871B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380134</xdr:colOff>
      <xdr:row>21</xdr:row>
      <xdr:rowOff>110836</xdr:rowOff>
    </xdr:from>
    <xdr:to>
      <xdr:col>31</xdr:col>
      <xdr:colOff>599209</xdr:colOff>
      <xdr:row>27</xdr:row>
      <xdr:rowOff>126077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17DA6D0-41D3-434C-8736-A67ED4656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278802</xdr:colOff>
      <xdr:row>8</xdr:row>
      <xdr:rowOff>41854</xdr:rowOff>
    </xdr:from>
    <xdr:to>
      <xdr:col>31</xdr:col>
      <xdr:colOff>497877</xdr:colOff>
      <xdr:row>13</xdr:row>
      <xdr:rowOff>432716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59CB8A-9970-4E28-B771-87347625A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563383</xdr:colOff>
      <xdr:row>8</xdr:row>
      <xdr:rowOff>38724</xdr:rowOff>
    </xdr:from>
    <xdr:to>
      <xdr:col>39</xdr:col>
      <xdr:colOff>172042</xdr:colOff>
      <xdr:row>13</xdr:row>
      <xdr:rowOff>439110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4EA271C-2FEA-4CE3-8521-B1F42605E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274544</xdr:colOff>
      <xdr:row>14</xdr:row>
      <xdr:rowOff>47626</xdr:rowOff>
    </xdr:from>
    <xdr:to>
      <xdr:col>31</xdr:col>
      <xdr:colOff>491714</xdr:colOff>
      <xdr:row>20</xdr:row>
      <xdr:rowOff>79394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E3EE217-548A-4314-BC39-4AF8BAA3D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560294</xdr:colOff>
      <xdr:row>14</xdr:row>
      <xdr:rowOff>44824</xdr:rowOff>
    </xdr:from>
    <xdr:to>
      <xdr:col>39</xdr:col>
      <xdr:colOff>110826</xdr:colOff>
      <xdr:row>20</xdr:row>
      <xdr:rowOff>67684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B42422B-DE8E-4518-844A-3C816F4AC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271997</xdr:colOff>
      <xdr:row>20</xdr:row>
      <xdr:rowOff>157900</xdr:rowOff>
    </xdr:from>
    <xdr:to>
      <xdr:col>31</xdr:col>
      <xdr:colOff>491072</xdr:colOff>
      <xdr:row>26</xdr:row>
      <xdr:rowOff>173141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4CEF027-DB3F-498D-BF38-242F257FB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246642</xdr:colOff>
      <xdr:row>8</xdr:row>
      <xdr:rowOff>28743</xdr:rowOff>
    </xdr:from>
    <xdr:to>
      <xdr:col>31</xdr:col>
      <xdr:colOff>467622</xdr:colOff>
      <xdr:row>13</xdr:row>
      <xdr:rowOff>425320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98B229-5E21-43DD-B647-4AE807022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565288</xdr:colOff>
      <xdr:row>8</xdr:row>
      <xdr:rowOff>38724</xdr:rowOff>
    </xdr:from>
    <xdr:to>
      <xdr:col>39</xdr:col>
      <xdr:colOff>104775</xdr:colOff>
      <xdr:row>13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C58E96-697A-4B3A-BC65-2D53F40A2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252132</xdr:colOff>
      <xdr:row>14</xdr:row>
      <xdr:rowOff>47626</xdr:rowOff>
    </xdr:from>
    <xdr:to>
      <xdr:col>31</xdr:col>
      <xdr:colOff>469302</xdr:colOff>
      <xdr:row>20</xdr:row>
      <xdr:rowOff>79394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E37812B-05FD-487E-8C74-D79B3253E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560294</xdr:colOff>
      <xdr:row>14</xdr:row>
      <xdr:rowOff>44824</xdr:rowOff>
    </xdr:from>
    <xdr:to>
      <xdr:col>39</xdr:col>
      <xdr:colOff>110826</xdr:colOff>
      <xdr:row>20</xdr:row>
      <xdr:rowOff>67684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15DD9D5-067E-4DAD-8FDD-3B9AF714D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241895</xdr:colOff>
      <xdr:row>20</xdr:row>
      <xdr:rowOff>166183</xdr:rowOff>
    </xdr:from>
    <xdr:to>
      <xdr:col>31</xdr:col>
      <xdr:colOff>460970</xdr:colOff>
      <xdr:row>26</xdr:row>
      <xdr:rowOff>181424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04384D3-275F-4FD9-B641-6A6868FFF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283301</xdr:colOff>
      <xdr:row>8</xdr:row>
      <xdr:rowOff>43951</xdr:rowOff>
    </xdr:from>
    <xdr:to>
      <xdr:col>31</xdr:col>
      <xdr:colOff>504281</xdr:colOff>
      <xdr:row>13</xdr:row>
      <xdr:rowOff>443729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DB7E0A-A7A5-43F1-9692-9AAE2151D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565288</xdr:colOff>
      <xdr:row>8</xdr:row>
      <xdr:rowOff>38724</xdr:rowOff>
    </xdr:from>
    <xdr:to>
      <xdr:col>39</xdr:col>
      <xdr:colOff>175852</xdr:colOff>
      <xdr:row>13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1DAEBF-3459-449F-95DF-4B0F490CB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285750</xdr:colOff>
      <xdr:row>14</xdr:row>
      <xdr:rowOff>61233</xdr:rowOff>
    </xdr:from>
    <xdr:to>
      <xdr:col>31</xdr:col>
      <xdr:colOff>502920</xdr:colOff>
      <xdr:row>20</xdr:row>
      <xdr:rowOff>96203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7B7D7CB-F679-4A03-8F9A-0AA2056C8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14</xdr:row>
      <xdr:rowOff>68035</xdr:rowOff>
    </xdr:from>
    <xdr:to>
      <xdr:col>39</xdr:col>
      <xdr:colOff>176893</xdr:colOff>
      <xdr:row>20</xdr:row>
      <xdr:rowOff>90896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AAF99F2-D6E2-4DA1-900C-AB351931E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294409</xdr:colOff>
      <xdr:row>20</xdr:row>
      <xdr:rowOff>184315</xdr:rowOff>
    </xdr:from>
    <xdr:to>
      <xdr:col>31</xdr:col>
      <xdr:colOff>513484</xdr:colOff>
      <xdr:row>26</xdr:row>
      <xdr:rowOff>199556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A532DF8-B53C-4774-B4A9-83072B70F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260889</xdr:colOff>
      <xdr:row>8</xdr:row>
      <xdr:rowOff>41549</xdr:rowOff>
    </xdr:from>
    <xdr:to>
      <xdr:col>31</xdr:col>
      <xdr:colOff>481869</xdr:colOff>
      <xdr:row>13</xdr:row>
      <xdr:rowOff>441327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D4258B-BD4B-4C8D-B2BF-0A24385C2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565288</xdr:colOff>
      <xdr:row>8</xdr:row>
      <xdr:rowOff>38724</xdr:rowOff>
    </xdr:from>
    <xdr:to>
      <xdr:col>39</xdr:col>
      <xdr:colOff>112059</xdr:colOff>
      <xdr:row>13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CE28B47-0BFB-4DDC-A01D-52282ABF2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265740</xdr:colOff>
      <xdr:row>14</xdr:row>
      <xdr:rowOff>25214</xdr:rowOff>
    </xdr:from>
    <xdr:to>
      <xdr:col>31</xdr:col>
      <xdr:colOff>482910</xdr:colOff>
      <xdr:row>20</xdr:row>
      <xdr:rowOff>60184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825B3CE-19D8-463C-83AB-42030DF24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562695</xdr:colOff>
      <xdr:row>14</xdr:row>
      <xdr:rowOff>32017</xdr:rowOff>
    </xdr:from>
    <xdr:to>
      <xdr:col>39</xdr:col>
      <xdr:colOff>105223</xdr:colOff>
      <xdr:row>20</xdr:row>
      <xdr:rowOff>54878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C4C637C-F7F1-4EEB-B159-475D8BAB4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251987</xdr:colOff>
      <xdr:row>20</xdr:row>
      <xdr:rowOff>109876</xdr:rowOff>
    </xdr:from>
    <xdr:to>
      <xdr:col>31</xdr:col>
      <xdr:colOff>471062</xdr:colOff>
      <xdr:row>26</xdr:row>
      <xdr:rowOff>125117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706FEC7-7777-4CFC-900F-E2B97AB24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296908</xdr:colOff>
      <xdr:row>8</xdr:row>
      <xdr:rowOff>30344</xdr:rowOff>
    </xdr:from>
    <xdr:to>
      <xdr:col>31</xdr:col>
      <xdr:colOff>517888</xdr:colOff>
      <xdr:row>13</xdr:row>
      <xdr:rowOff>430122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FE8F83-D76E-439F-957E-05C7113CE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565288</xdr:colOff>
      <xdr:row>8</xdr:row>
      <xdr:rowOff>38724</xdr:rowOff>
    </xdr:from>
    <xdr:to>
      <xdr:col>39</xdr:col>
      <xdr:colOff>175852</xdr:colOff>
      <xdr:row>13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88DB90-E57D-4A75-9DF1-B1E3BA25F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312964</xdr:colOff>
      <xdr:row>14</xdr:row>
      <xdr:rowOff>20411</xdr:rowOff>
    </xdr:from>
    <xdr:to>
      <xdr:col>31</xdr:col>
      <xdr:colOff>530134</xdr:colOff>
      <xdr:row>20</xdr:row>
      <xdr:rowOff>55381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704562F-FBC1-4DE9-8904-7DA3ED585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580753</xdr:colOff>
      <xdr:row>14</xdr:row>
      <xdr:rowOff>27213</xdr:rowOff>
    </xdr:from>
    <xdr:to>
      <xdr:col>39</xdr:col>
      <xdr:colOff>123281</xdr:colOff>
      <xdr:row>20</xdr:row>
      <xdr:rowOff>50074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9370769-233F-4DA6-819E-D4D9CE907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321624</xdr:colOff>
      <xdr:row>20</xdr:row>
      <xdr:rowOff>102671</xdr:rowOff>
    </xdr:from>
    <xdr:to>
      <xdr:col>31</xdr:col>
      <xdr:colOff>540699</xdr:colOff>
      <xdr:row>26</xdr:row>
      <xdr:rowOff>117912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F1DD5C5-1AE1-4EB0-A762-940074B11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275879</xdr:colOff>
      <xdr:row>8</xdr:row>
      <xdr:rowOff>50136</xdr:rowOff>
    </xdr:from>
    <xdr:to>
      <xdr:col>31</xdr:col>
      <xdr:colOff>496859</xdr:colOff>
      <xdr:row>13</xdr:row>
      <xdr:rowOff>437544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489621-94E1-4937-9461-7140E7EFD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565288</xdr:colOff>
      <xdr:row>8</xdr:row>
      <xdr:rowOff>38724</xdr:rowOff>
    </xdr:from>
    <xdr:to>
      <xdr:col>39</xdr:col>
      <xdr:colOff>175852</xdr:colOff>
      <xdr:row>13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4BA0CC-4010-4E04-82AC-D55F6DDA0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285750</xdr:colOff>
      <xdr:row>14</xdr:row>
      <xdr:rowOff>30308</xdr:rowOff>
    </xdr:from>
    <xdr:to>
      <xdr:col>31</xdr:col>
      <xdr:colOff>502920</xdr:colOff>
      <xdr:row>20</xdr:row>
      <xdr:rowOff>52908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ABB1AF3-C5A9-4FEE-B604-925831BED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588818</xdr:colOff>
      <xdr:row>14</xdr:row>
      <xdr:rowOff>51955</xdr:rowOff>
    </xdr:from>
    <xdr:to>
      <xdr:col>39</xdr:col>
      <xdr:colOff>136294</xdr:colOff>
      <xdr:row>20</xdr:row>
      <xdr:rowOff>74815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CAF4125-CA57-45F1-8B0D-51456CA0B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277091</xdr:colOff>
      <xdr:row>20</xdr:row>
      <xdr:rowOff>121227</xdr:rowOff>
    </xdr:from>
    <xdr:to>
      <xdr:col>31</xdr:col>
      <xdr:colOff>496166</xdr:colOff>
      <xdr:row>26</xdr:row>
      <xdr:rowOff>136467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6B911BD-606D-4AB9-B3D8-1D75B3118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296908</xdr:colOff>
      <xdr:row>8</xdr:row>
      <xdr:rowOff>30344</xdr:rowOff>
    </xdr:from>
    <xdr:to>
      <xdr:col>31</xdr:col>
      <xdr:colOff>517888</xdr:colOff>
      <xdr:row>13</xdr:row>
      <xdr:rowOff>430122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CC4AF2-2683-46A8-9DC3-DF07AA2F4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565288</xdr:colOff>
      <xdr:row>8</xdr:row>
      <xdr:rowOff>38724</xdr:rowOff>
    </xdr:from>
    <xdr:to>
      <xdr:col>39</xdr:col>
      <xdr:colOff>175852</xdr:colOff>
      <xdr:row>13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8B98FDD-52CE-4F2E-9F34-B06B2A731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299358</xdr:colOff>
      <xdr:row>14</xdr:row>
      <xdr:rowOff>34019</xdr:rowOff>
    </xdr:from>
    <xdr:to>
      <xdr:col>31</xdr:col>
      <xdr:colOff>516528</xdr:colOff>
      <xdr:row>20</xdr:row>
      <xdr:rowOff>68989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E5A7CE3-0D62-4B22-A786-BCAD062BF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571500</xdr:colOff>
      <xdr:row>14</xdr:row>
      <xdr:rowOff>40820</xdr:rowOff>
    </xdr:from>
    <xdr:to>
      <xdr:col>39</xdr:col>
      <xdr:colOff>114028</xdr:colOff>
      <xdr:row>20</xdr:row>
      <xdr:rowOff>63681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CCA8242-C3CC-42A1-9965-507D34A45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308017</xdr:colOff>
      <xdr:row>20</xdr:row>
      <xdr:rowOff>116279</xdr:rowOff>
    </xdr:from>
    <xdr:to>
      <xdr:col>31</xdr:col>
      <xdr:colOff>527092</xdr:colOff>
      <xdr:row>26</xdr:row>
      <xdr:rowOff>131520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5A416AD-033A-4FD9-B048-27B0AD275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283300</xdr:colOff>
      <xdr:row>8</xdr:row>
      <xdr:rowOff>30343</xdr:rowOff>
    </xdr:from>
    <xdr:to>
      <xdr:col>31</xdr:col>
      <xdr:colOff>504280</xdr:colOff>
      <xdr:row>13</xdr:row>
      <xdr:rowOff>430121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087A22-1527-427F-B4F1-519731BAD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565288</xdr:colOff>
      <xdr:row>8</xdr:row>
      <xdr:rowOff>38724</xdr:rowOff>
    </xdr:from>
    <xdr:to>
      <xdr:col>39</xdr:col>
      <xdr:colOff>175852</xdr:colOff>
      <xdr:row>13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7C604E7-8D15-4EE9-B0FD-6F18CF859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299357</xdr:colOff>
      <xdr:row>14</xdr:row>
      <xdr:rowOff>34019</xdr:rowOff>
    </xdr:from>
    <xdr:to>
      <xdr:col>31</xdr:col>
      <xdr:colOff>516527</xdr:colOff>
      <xdr:row>20</xdr:row>
      <xdr:rowOff>68989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85D52E3-716E-44FB-8987-01C1A8B39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585107</xdr:colOff>
      <xdr:row>14</xdr:row>
      <xdr:rowOff>27213</xdr:rowOff>
    </xdr:from>
    <xdr:to>
      <xdr:col>39</xdr:col>
      <xdr:colOff>127635</xdr:colOff>
      <xdr:row>20</xdr:row>
      <xdr:rowOff>50074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F538DC3-44B4-4DB0-B475-C41F663DA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308016</xdr:colOff>
      <xdr:row>20</xdr:row>
      <xdr:rowOff>129887</xdr:rowOff>
    </xdr:from>
    <xdr:to>
      <xdr:col>31</xdr:col>
      <xdr:colOff>527091</xdr:colOff>
      <xdr:row>26</xdr:row>
      <xdr:rowOff>145128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67ACFE9-64E6-4C47-A442-0F205DE08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258561</xdr:colOff>
      <xdr:row>8</xdr:row>
      <xdr:rowOff>32818</xdr:rowOff>
    </xdr:from>
    <xdr:to>
      <xdr:col>31</xdr:col>
      <xdr:colOff>479541</xdr:colOff>
      <xdr:row>13</xdr:row>
      <xdr:rowOff>420226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FB6A91-C87B-4E93-BD21-7CA733DE0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565288</xdr:colOff>
      <xdr:row>8</xdr:row>
      <xdr:rowOff>19674</xdr:rowOff>
    </xdr:from>
    <xdr:to>
      <xdr:col>39</xdr:col>
      <xdr:colOff>114300</xdr:colOff>
      <xdr:row>13</xdr:row>
      <xdr:rowOff>416250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74EB753-42D7-4C5D-88C7-7C352D0B1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251114</xdr:colOff>
      <xdr:row>14</xdr:row>
      <xdr:rowOff>30307</xdr:rowOff>
    </xdr:from>
    <xdr:to>
      <xdr:col>31</xdr:col>
      <xdr:colOff>468284</xdr:colOff>
      <xdr:row>20</xdr:row>
      <xdr:rowOff>52907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7A0B3D8-C24E-4DBA-8A93-1A1C222AA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549088</xdr:colOff>
      <xdr:row>14</xdr:row>
      <xdr:rowOff>40749</xdr:rowOff>
    </xdr:from>
    <xdr:to>
      <xdr:col>39</xdr:col>
      <xdr:colOff>96564</xdr:colOff>
      <xdr:row>20</xdr:row>
      <xdr:rowOff>63609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C244918-3A8E-4FAA-AA03-22719522D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244136</xdr:colOff>
      <xdr:row>20</xdr:row>
      <xdr:rowOff>131772</xdr:rowOff>
    </xdr:from>
    <xdr:to>
      <xdr:col>31</xdr:col>
      <xdr:colOff>463211</xdr:colOff>
      <xdr:row>26</xdr:row>
      <xdr:rowOff>147012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E1C4995-8B6B-46C2-A72B-DFC7930FE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591001</xdr:colOff>
      <xdr:row>1</xdr:row>
      <xdr:rowOff>245769</xdr:rowOff>
    </xdr:from>
    <xdr:to>
      <xdr:col>28</xdr:col>
      <xdr:colOff>204958</xdr:colOff>
      <xdr:row>9</xdr:row>
      <xdr:rowOff>258013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70CA35-9D70-41FE-AF7B-E2D24BA8B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286821</xdr:colOff>
      <xdr:row>2</xdr:row>
      <xdr:rowOff>5107</xdr:rowOff>
    </xdr:from>
    <xdr:to>
      <xdr:col>35</xdr:col>
      <xdr:colOff>506848</xdr:colOff>
      <xdr:row>9</xdr:row>
      <xdr:rowOff>267466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93A289-62FA-44E5-A9EE-D47E35BF4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662139</xdr:colOff>
      <xdr:row>9</xdr:row>
      <xdr:rowOff>347686</xdr:rowOff>
    </xdr:from>
    <xdr:to>
      <xdr:col>28</xdr:col>
      <xdr:colOff>210382</xdr:colOff>
      <xdr:row>17</xdr:row>
      <xdr:rowOff>201528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EE04249-C8EA-4303-B416-67B237257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304159</xdr:colOff>
      <xdr:row>9</xdr:row>
      <xdr:rowOff>359388</xdr:rowOff>
    </xdr:from>
    <xdr:to>
      <xdr:col>35</xdr:col>
      <xdr:colOff>521330</xdr:colOff>
      <xdr:row>17</xdr:row>
      <xdr:rowOff>220850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E1A200D-3D78-4D3C-986E-72D51639D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665910</xdr:colOff>
      <xdr:row>18</xdr:row>
      <xdr:rowOff>14481</xdr:rowOff>
    </xdr:from>
    <xdr:to>
      <xdr:col>28</xdr:col>
      <xdr:colOff>208504</xdr:colOff>
      <xdr:row>28</xdr:row>
      <xdr:rowOff>161196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1E1FBA1-A4A1-48A9-8C4C-56E444628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3144b48bf6ffb4c/Desktop/TO/CONS&#211;RCIO%20RTA%20MSI/Atividades/Lote%2001/Julho%2025/Regi&#227;o%2003/ficha%20de%20inspe&#231;&#227;o_rodovias%20pavimentadas_R.03.xlsx" TargetMode="External"/><Relationship Id="rId1" Type="http://schemas.openxmlformats.org/officeDocument/2006/relationships/externalLinkPath" Target="https://d.docs.live.net/03144b48bf6ffb4c/Desktop/TO/CONS&#211;RCIO%20RTA%20MSI/Atividades/Lote%2001/Julho%2025/Regi&#227;o%2003/ficha%20de%20inspe&#231;&#227;o_rodovias%20pavimentadas_R.0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3144b48bf6ffb4c/Desktop/TO/CONS&#211;RCIO%20RTA%20MSI/Atividades/Lote%2001/Julho%2025/Regi&#227;o%2001/ficha%20de%20inspe&#231;&#227;o_rodovias%20pavimentadas_R.01.xlsx" TargetMode="External"/><Relationship Id="rId1" Type="http://schemas.openxmlformats.org/officeDocument/2006/relationships/externalLinkPath" Target="https://d.docs.live.net/03144b48bf6ffb4c/Desktop/TO/CONS&#211;RCIO%20RTA%20MSI/Atividades/Lote%2001/Julho%2025/Regi&#227;o%2001/ficha%20de%20inspe&#231;&#227;o_rodovias%20pavimentadas_R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chos"/>
      <sheetName val="68"/>
      <sheetName val="70"/>
      <sheetName val="73"/>
      <sheetName val="74"/>
      <sheetName val="75"/>
      <sheetName val="78"/>
      <sheetName val="80"/>
      <sheetName val="TT"/>
      <sheetName val="71"/>
      <sheetName val="77"/>
    </sheetNames>
    <sheetDataSet>
      <sheetData sheetId="0"/>
      <sheetData sheetId="1">
        <row r="6">
          <cell r="E6" t="str">
            <v>BOM</v>
          </cell>
          <cell r="F6" t="str">
            <v>REM. I.</v>
          </cell>
          <cell r="G6" t="str">
            <v>REM. L</v>
          </cell>
          <cell r="H6" t="str">
            <v>BUR. I</v>
          </cell>
          <cell r="I6" t="str">
            <v>BUR. L</v>
          </cell>
          <cell r="J6" t="str">
            <v>ADEQ.</v>
          </cell>
          <cell r="K6" t="str">
            <v>INADED.</v>
          </cell>
          <cell r="L6" t="str">
            <v>LIMPOS</v>
          </cell>
          <cell r="M6" t="str">
            <v>SUJOS</v>
          </cell>
          <cell r="N6" t="str">
            <v>DAN.</v>
          </cell>
          <cell r="O6" t="str">
            <v>BOM</v>
          </cell>
          <cell r="P6" t="str">
            <v>REG.</v>
          </cell>
          <cell r="Q6" t="str">
            <v>INEXIST.</v>
          </cell>
          <cell r="R6" t="str">
            <v>BOM</v>
          </cell>
          <cell r="S6" t="str">
            <v>POUCAS</v>
          </cell>
          <cell r="T6" t="str">
            <v>INEXIST.</v>
          </cell>
        </row>
        <row r="137">
          <cell r="E137">
            <v>18.450000000000003</v>
          </cell>
          <cell r="F137">
            <v>22.46</v>
          </cell>
          <cell r="G137">
            <v>16.420000000000002</v>
          </cell>
          <cell r="H137">
            <v>8.3999999999999986</v>
          </cell>
          <cell r="I137">
            <v>6.6999999999999993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4">
          <cell r="D14">
            <v>123.02000000000001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cho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3"/>
      <sheetName val="14"/>
      <sheetName val="15"/>
      <sheetName val="16"/>
      <sheetName val="17"/>
      <sheetName val="18"/>
      <sheetName val="19"/>
      <sheetName val="23"/>
      <sheetName val="24"/>
      <sheetName val="25"/>
      <sheetName val="28"/>
      <sheetName val="29"/>
      <sheetName val="30"/>
      <sheetName val="32"/>
      <sheetName val="35"/>
      <sheetName val="36"/>
      <sheetName val="38"/>
      <sheetName val="T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34">
          <cell r="D34">
            <v>241.57325415548002</v>
          </cell>
          <cell r="E34">
            <v>120.39757187029001</v>
          </cell>
          <cell r="F34">
            <v>88.17</v>
          </cell>
          <cell r="G34">
            <v>67.426803475690008</v>
          </cell>
          <cell r="H34">
            <v>74.976149810709998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91AE-7989-4E4E-9A14-5E6D5AC5902A}">
  <sheetPr>
    <pageSetUpPr fitToPage="1"/>
  </sheetPr>
  <dimension ref="A1:I28"/>
  <sheetViews>
    <sheetView view="pageBreakPreview" zoomScale="70" zoomScaleNormal="100" zoomScaleSheetLayoutView="70" workbookViewId="0">
      <selection activeCell="B2" sqref="B1:B1048576"/>
    </sheetView>
  </sheetViews>
  <sheetFormatPr defaultColWidth="8.85546875" defaultRowHeight="15" x14ac:dyDescent="0.25"/>
  <cols>
    <col min="1" max="1" width="6.28515625" style="40" bestFit="1" customWidth="1"/>
    <col min="2" max="2" width="6.5703125" style="40" customWidth="1"/>
    <col min="3" max="3" width="71.7109375" style="41" customWidth="1"/>
    <col min="4" max="4" width="14" style="40" bestFit="1" customWidth="1"/>
    <col min="5" max="5" width="65" style="41" customWidth="1"/>
    <col min="6" max="6" width="11.85546875" style="42" customWidth="1"/>
    <col min="7" max="7" width="17.42578125" style="40" customWidth="1"/>
    <col min="8" max="16384" width="8.85546875" style="40"/>
  </cols>
  <sheetData>
    <row r="1" spans="1:9" ht="24.95" customHeight="1" thickBot="1" x14ac:dyDescent="0.3">
      <c r="A1" s="71" t="s">
        <v>109</v>
      </c>
      <c r="B1" s="71"/>
      <c r="C1" s="71"/>
      <c r="D1" s="71"/>
      <c r="E1" s="71"/>
      <c r="F1" s="71"/>
      <c r="G1" s="71"/>
    </row>
    <row r="2" spans="1:9" ht="24.95" customHeight="1" x14ac:dyDescent="0.25">
      <c r="A2" s="43" t="s">
        <v>53</v>
      </c>
      <c r="B2" s="44" t="s">
        <v>107</v>
      </c>
      <c r="C2" s="45" t="s">
        <v>37</v>
      </c>
      <c r="D2" s="44" t="s">
        <v>54</v>
      </c>
      <c r="E2" s="45" t="s">
        <v>110</v>
      </c>
      <c r="F2" s="46" t="s">
        <v>108</v>
      </c>
      <c r="G2" s="47" t="s">
        <v>55</v>
      </c>
      <c r="H2" s="48">
        <v>45839</v>
      </c>
      <c r="I2" s="48">
        <v>45870</v>
      </c>
    </row>
    <row r="3" spans="1:9" ht="24.95" customHeight="1" x14ac:dyDescent="0.25">
      <c r="A3" s="56">
        <v>11</v>
      </c>
      <c r="B3" s="57">
        <v>202</v>
      </c>
      <c r="C3" s="58" t="s">
        <v>39</v>
      </c>
      <c r="D3" s="57" t="s">
        <v>56</v>
      </c>
      <c r="E3" s="58" t="s">
        <v>57</v>
      </c>
      <c r="F3" s="59">
        <v>1.1468162850200001</v>
      </c>
      <c r="G3" s="60" t="s">
        <v>58</v>
      </c>
    </row>
    <row r="4" spans="1:9" ht="24.95" customHeight="1" x14ac:dyDescent="0.25">
      <c r="A4" s="56">
        <v>11</v>
      </c>
      <c r="B4" s="57">
        <v>202</v>
      </c>
      <c r="C4" s="58" t="s">
        <v>39</v>
      </c>
      <c r="D4" s="57" t="s">
        <v>79</v>
      </c>
      <c r="E4" s="58" t="s">
        <v>80</v>
      </c>
      <c r="F4" s="59">
        <v>59.748298006200002</v>
      </c>
      <c r="G4" s="60" t="s">
        <v>63</v>
      </c>
    </row>
    <row r="5" spans="1:9" ht="24.95" customHeight="1" x14ac:dyDescent="0.25">
      <c r="A5" s="56">
        <v>11</v>
      </c>
      <c r="B5" s="57">
        <v>202</v>
      </c>
      <c r="C5" s="58" t="s">
        <v>39</v>
      </c>
      <c r="D5" s="57" t="s">
        <v>81</v>
      </c>
      <c r="E5" s="58" t="s">
        <v>82</v>
      </c>
      <c r="F5" s="59">
        <v>9.4908128442200006</v>
      </c>
      <c r="G5" s="60" t="s">
        <v>63</v>
      </c>
    </row>
    <row r="6" spans="1:9" ht="24.95" customHeight="1" x14ac:dyDescent="0.25">
      <c r="A6" s="56">
        <v>11</v>
      </c>
      <c r="B6" s="57">
        <v>202</v>
      </c>
      <c r="C6" s="58" t="s">
        <v>39</v>
      </c>
      <c r="D6" s="57" t="s">
        <v>83</v>
      </c>
      <c r="E6" s="58" t="s">
        <v>84</v>
      </c>
      <c r="F6" s="59">
        <v>32.011003797500003</v>
      </c>
      <c r="G6" s="60" t="s">
        <v>63</v>
      </c>
    </row>
    <row r="7" spans="1:9" ht="24.95" customHeight="1" x14ac:dyDescent="0.25">
      <c r="A7" s="56">
        <v>11</v>
      </c>
      <c r="B7" s="57">
        <v>203</v>
      </c>
      <c r="C7" s="58" t="s">
        <v>40</v>
      </c>
      <c r="D7" s="57" t="s">
        <v>59</v>
      </c>
      <c r="E7" s="58" t="s">
        <v>60</v>
      </c>
      <c r="F7" s="59">
        <v>0.99985588713600004</v>
      </c>
      <c r="G7" s="60" t="s">
        <v>58</v>
      </c>
    </row>
    <row r="8" spans="1:9" ht="24.95" customHeight="1" x14ac:dyDescent="0.25">
      <c r="A8" s="56">
        <v>11</v>
      </c>
      <c r="B8" s="57">
        <v>204</v>
      </c>
      <c r="C8" s="58" t="s">
        <v>41</v>
      </c>
      <c r="D8" s="57" t="s">
        <v>61</v>
      </c>
      <c r="E8" s="58" t="s">
        <v>62</v>
      </c>
      <c r="F8" s="59">
        <v>58.7553489107</v>
      </c>
      <c r="G8" s="60" t="s">
        <v>63</v>
      </c>
    </row>
    <row r="9" spans="1:9" ht="24.95" customHeight="1" x14ac:dyDescent="0.25">
      <c r="A9" s="56">
        <v>11</v>
      </c>
      <c r="B9" s="57">
        <v>204</v>
      </c>
      <c r="C9" s="58" t="s">
        <v>41</v>
      </c>
      <c r="D9" s="57" t="s">
        <v>64</v>
      </c>
      <c r="E9" s="58" t="s">
        <v>65</v>
      </c>
      <c r="F9" s="59">
        <v>0.99026287712899996</v>
      </c>
      <c r="G9" s="60" t="s">
        <v>63</v>
      </c>
    </row>
    <row r="10" spans="1:9" ht="24.95" customHeight="1" x14ac:dyDescent="0.25">
      <c r="A10" s="56">
        <v>11</v>
      </c>
      <c r="B10" s="57">
        <v>205</v>
      </c>
      <c r="C10" s="58" t="s">
        <v>42</v>
      </c>
      <c r="D10" s="57" t="s">
        <v>66</v>
      </c>
      <c r="E10" s="58" t="s">
        <v>67</v>
      </c>
      <c r="F10" s="59">
        <v>26.907003094499998</v>
      </c>
      <c r="G10" s="60" t="s">
        <v>63</v>
      </c>
    </row>
    <row r="11" spans="1:9" ht="24.95" customHeight="1" x14ac:dyDescent="0.25">
      <c r="A11" s="56">
        <v>11</v>
      </c>
      <c r="B11" s="57">
        <v>205</v>
      </c>
      <c r="C11" s="58" t="s">
        <v>42</v>
      </c>
      <c r="D11" s="57" t="s">
        <v>68</v>
      </c>
      <c r="E11" s="58" t="s">
        <v>69</v>
      </c>
      <c r="F11" s="59">
        <v>16.263874520800002</v>
      </c>
      <c r="G11" s="60" t="s">
        <v>63</v>
      </c>
    </row>
    <row r="12" spans="1:9" ht="24.95" customHeight="1" x14ac:dyDescent="0.25">
      <c r="A12" s="56">
        <v>11</v>
      </c>
      <c r="B12" s="57">
        <v>205</v>
      </c>
      <c r="C12" s="58" t="s">
        <v>42</v>
      </c>
      <c r="D12" s="57" t="s">
        <v>70</v>
      </c>
      <c r="E12" s="58" t="s">
        <v>71</v>
      </c>
      <c r="F12" s="59">
        <v>3.6652383672800002</v>
      </c>
      <c r="G12" s="60" t="s">
        <v>63</v>
      </c>
    </row>
    <row r="13" spans="1:9" ht="24.95" customHeight="1" x14ac:dyDescent="0.25">
      <c r="A13" s="56">
        <v>11</v>
      </c>
      <c r="B13" s="57">
        <v>206</v>
      </c>
      <c r="C13" s="58" t="s">
        <v>43</v>
      </c>
      <c r="D13" s="57" t="s">
        <v>72</v>
      </c>
      <c r="E13" s="58" t="s">
        <v>73</v>
      </c>
      <c r="F13" s="59">
        <v>0.41866269148200003</v>
      </c>
      <c r="G13" s="60" t="s">
        <v>63</v>
      </c>
    </row>
    <row r="14" spans="1:9" ht="24.95" customHeight="1" x14ac:dyDescent="0.25">
      <c r="A14" s="56">
        <v>11</v>
      </c>
      <c r="B14" s="57">
        <v>206</v>
      </c>
      <c r="C14" s="58" t="s">
        <v>43</v>
      </c>
      <c r="D14" s="57" t="s">
        <v>74</v>
      </c>
      <c r="E14" s="58" t="s">
        <v>75</v>
      </c>
      <c r="F14" s="59">
        <v>61.3723223752</v>
      </c>
      <c r="G14" s="60" t="s">
        <v>63</v>
      </c>
    </row>
    <row r="15" spans="1:9" ht="24.95" customHeight="1" x14ac:dyDescent="0.25">
      <c r="A15" s="56">
        <v>11</v>
      </c>
      <c r="B15" s="57">
        <v>206</v>
      </c>
      <c r="C15" s="58" t="s">
        <v>43</v>
      </c>
      <c r="D15" s="57" t="s">
        <v>76</v>
      </c>
      <c r="E15" s="58" t="s">
        <v>77</v>
      </c>
      <c r="F15" s="59">
        <v>3.1347063349800002</v>
      </c>
      <c r="G15" s="60" t="s">
        <v>78</v>
      </c>
    </row>
    <row r="16" spans="1:9" ht="24.95" customHeight="1" x14ac:dyDescent="0.25">
      <c r="A16" s="56"/>
      <c r="B16" s="57"/>
      <c r="C16" s="58"/>
      <c r="D16" s="57"/>
      <c r="E16" s="58"/>
      <c r="F16" s="59"/>
      <c r="G16" s="60"/>
    </row>
    <row r="17" spans="1:8" ht="24.95" customHeight="1" x14ac:dyDescent="0.25">
      <c r="A17" s="56">
        <v>11</v>
      </c>
      <c r="B17" s="57">
        <v>209</v>
      </c>
      <c r="C17" s="58" t="s">
        <v>44</v>
      </c>
      <c r="D17" s="57" t="s">
        <v>85</v>
      </c>
      <c r="E17" s="58" t="s">
        <v>86</v>
      </c>
      <c r="F17" s="59">
        <v>18.3114871348</v>
      </c>
      <c r="G17" s="60" t="s">
        <v>63</v>
      </c>
    </row>
    <row r="18" spans="1:8" ht="24.95" customHeight="1" x14ac:dyDescent="0.25">
      <c r="A18" s="56">
        <v>11</v>
      </c>
      <c r="B18" s="57">
        <v>209</v>
      </c>
      <c r="C18" s="58" t="s">
        <v>44</v>
      </c>
      <c r="D18" s="57" t="s">
        <v>87</v>
      </c>
      <c r="E18" s="58" t="s">
        <v>88</v>
      </c>
      <c r="F18" s="59">
        <v>17.364398039200001</v>
      </c>
      <c r="G18" s="60" t="s">
        <v>63</v>
      </c>
    </row>
    <row r="19" spans="1:8" ht="24.95" customHeight="1" x14ac:dyDescent="0.25">
      <c r="A19" s="56">
        <v>11</v>
      </c>
      <c r="B19" s="57">
        <v>210</v>
      </c>
      <c r="C19" s="58" t="s">
        <v>45</v>
      </c>
      <c r="D19" s="57" t="s">
        <v>89</v>
      </c>
      <c r="E19" s="58" t="s">
        <v>90</v>
      </c>
      <c r="F19" s="59">
        <v>26.160324791800001</v>
      </c>
      <c r="G19" s="60" t="s">
        <v>63</v>
      </c>
    </row>
    <row r="20" spans="1:8" ht="24.95" customHeight="1" x14ac:dyDescent="0.25">
      <c r="A20" s="56">
        <v>11</v>
      </c>
      <c r="B20" s="57">
        <v>212</v>
      </c>
      <c r="C20" s="58" t="s">
        <v>46</v>
      </c>
      <c r="D20" s="57" t="s">
        <v>91</v>
      </c>
      <c r="E20" s="58" t="s">
        <v>92</v>
      </c>
      <c r="F20" s="59">
        <v>48.649724135100001</v>
      </c>
      <c r="G20" s="60" t="s">
        <v>63</v>
      </c>
    </row>
    <row r="21" spans="1:8" ht="24.95" customHeight="1" x14ac:dyDescent="0.25">
      <c r="A21" s="56">
        <v>11</v>
      </c>
      <c r="B21" s="57">
        <v>214</v>
      </c>
      <c r="C21" s="58" t="s">
        <v>47</v>
      </c>
      <c r="D21" s="57" t="s">
        <v>93</v>
      </c>
      <c r="E21" s="58" t="s">
        <v>94</v>
      </c>
      <c r="F21" s="59">
        <v>0.37470221966700001</v>
      </c>
      <c r="G21" s="60" t="s">
        <v>58</v>
      </c>
      <c r="H21" s="40" t="s">
        <v>63</v>
      </c>
    </row>
    <row r="22" spans="1:8" ht="24.95" customHeight="1" x14ac:dyDescent="0.25">
      <c r="A22" s="56">
        <v>11</v>
      </c>
      <c r="B22" s="57">
        <v>218</v>
      </c>
      <c r="C22" s="58" t="s">
        <v>48</v>
      </c>
      <c r="D22" s="57" t="s">
        <v>95</v>
      </c>
      <c r="E22" s="58" t="s">
        <v>96</v>
      </c>
      <c r="F22" s="59">
        <v>95.248502135300001</v>
      </c>
      <c r="G22" s="60" t="s">
        <v>63</v>
      </c>
    </row>
    <row r="23" spans="1:8" ht="24.95" customHeight="1" x14ac:dyDescent="0.25">
      <c r="A23" s="56">
        <v>11</v>
      </c>
      <c r="B23" s="57">
        <v>218</v>
      </c>
      <c r="C23" s="58" t="s">
        <v>48</v>
      </c>
      <c r="D23" s="57" t="s">
        <v>97</v>
      </c>
      <c r="E23" s="58" t="s">
        <v>98</v>
      </c>
      <c r="F23" s="59">
        <v>6.1686927579599997</v>
      </c>
      <c r="G23" s="60" t="s">
        <v>63</v>
      </c>
    </row>
    <row r="24" spans="1:8" ht="24.95" customHeight="1" x14ac:dyDescent="0.25">
      <c r="A24" s="56">
        <v>11</v>
      </c>
      <c r="B24" s="57">
        <v>218</v>
      </c>
      <c r="C24" s="58" t="s">
        <v>48</v>
      </c>
      <c r="D24" s="57" t="s">
        <v>99</v>
      </c>
      <c r="E24" s="58" t="s">
        <v>100</v>
      </c>
      <c r="F24" s="59">
        <v>10.8919492962</v>
      </c>
      <c r="G24" s="60" t="s">
        <v>63</v>
      </c>
    </row>
    <row r="25" spans="1:8" ht="24.95" customHeight="1" x14ac:dyDescent="0.25">
      <c r="A25" s="56">
        <v>11</v>
      </c>
      <c r="B25" s="57">
        <v>219</v>
      </c>
      <c r="C25" s="58" t="s">
        <v>49</v>
      </c>
      <c r="D25" s="57" t="s">
        <v>101</v>
      </c>
      <c r="E25" s="58" t="s">
        <v>102</v>
      </c>
      <c r="F25" s="59">
        <v>50.300052115100002</v>
      </c>
      <c r="G25" s="60" t="s">
        <v>63</v>
      </c>
    </row>
    <row r="26" spans="1:8" ht="24.95" customHeight="1" x14ac:dyDescent="0.25">
      <c r="A26" s="56">
        <v>11</v>
      </c>
      <c r="B26" s="57">
        <v>220</v>
      </c>
      <c r="C26" s="58" t="s">
        <v>116</v>
      </c>
      <c r="D26" s="57" t="s">
        <v>103</v>
      </c>
      <c r="E26" s="58" t="s">
        <v>104</v>
      </c>
      <c r="F26" s="59">
        <v>14.0411420562</v>
      </c>
      <c r="G26" s="60" t="s">
        <v>63</v>
      </c>
    </row>
    <row r="27" spans="1:8" ht="24.95" customHeight="1" thickBot="1" x14ac:dyDescent="0.3">
      <c r="A27" s="63">
        <v>11</v>
      </c>
      <c r="B27" s="64">
        <v>220</v>
      </c>
      <c r="C27" s="58" t="s">
        <v>116</v>
      </c>
      <c r="D27" s="64" t="s">
        <v>105</v>
      </c>
      <c r="E27" s="65" t="s">
        <v>106</v>
      </c>
      <c r="F27" s="66">
        <v>0.98012924831600001</v>
      </c>
      <c r="G27" s="67" t="s">
        <v>63</v>
      </c>
    </row>
    <row r="28" spans="1:8" x14ac:dyDescent="0.25">
      <c r="F28" s="42">
        <f>SUM(F3:F27)</f>
        <v>563.39530992178993</v>
      </c>
    </row>
  </sheetData>
  <mergeCells count="1">
    <mergeCell ref="A1:G1"/>
  </mergeCells>
  <pageMargins left="0.51181102362204722" right="0.51181102362204722" top="0.78740157480314965" bottom="0.78740157480314965" header="0.31496062992125984" footer="0.31496062992125984"/>
  <pageSetup paperSize="9" scale="6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6608-2901-40AB-9043-4697D0AE0595}">
  <dimension ref="A1:AP154"/>
  <sheetViews>
    <sheetView zoomScale="70" zoomScaleNormal="70" zoomScaleSheetLayoutView="55" workbookViewId="0">
      <pane ySplit="6" topLeftCell="A37" activePane="bottomLeft" state="frozen"/>
      <selection activeCell="W16" sqref="W16"/>
      <selection pane="bottomLeft" activeCell="D45" sqref="D45"/>
    </sheetView>
  </sheetViews>
  <sheetFormatPr defaultColWidth="8.85546875" defaultRowHeight="15" x14ac:dyDescent="0.25"/>
  <cols>
    <col min="1" max="1" width="32.42578125" style="1" customWidth="1"/>
    <col min="2" max="2" width="14.42578125" style="1" customWidth="1"/>
    <col min="3" max="4" width="12" style="1" customWidth="1"/>
    <col min="5" max="9" width="11.42578125" style="2" customWidth="1"/>
    <col min="10" max="10" width="10.5703125" style="2" bestFit="1" customWidth="1"/>
    <col min="11" max="11" width="14" style="2" bestFit="1" customWidth="1"/>
    <col min="12" max="13" width="12.42578125" style="2" customWidth="1"/>
    <col min="14" max="14" width="10.42578125" style="2" customWidth="1"/>
    <col min="15" max="17" width="13.5703125" style="1" customWidth="1"/>
    <col min="18" max="20" width="14.42578125" style="1" customWidth="1"/>
    <col min="21" max="21" width="42.42578125" style="1" customWidth="1"/>
    <col min="22" max="16384" width="8.85546875" style="1"/>
  </cols>
  <sheetData>
    <row r="1" spans="1:42" ht="19.5" x14ac:dyDescent="0.3">
      <c r="A1" s="3" t="s">
        <v>112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2" ht="20.25" thickBot="1" x14ac:dyDescent="0.35">
      <c r="A2" s="3"/>
      <c r="B2" s="4"/>
      <c r="C2" s="4"/>
      <c r="D2" s="3" t="s">
        <v>35</v>
      </c>
      <c r="E2" s="5"/>
      <c r="F2" s="5"/>
      <c r="G2" s="5"/>
      <c r="H2" s="5"/>
      <c r="I2" s="6" t="s">
        <v>26</v>
      </c>
      <c r="J2" s="77">
        <v>46204</v>
      </c>
      <c r="K2" s="77"/>
      <c r="L2" s="7"/>
      <c r="M2" s="6"/>
      <c r="N2" s="12" t="s">
        <v>27</v>
      </c>
      <c r="O2" s="78" t="s">
        <v>117</v>
      </c>
      <c r="P2" s="78"/>
      <c r="Q2" s="78"/>
      <c r="R2" s="78"/>
      <c r="S2" s="78"/>
      <c r="T2" s="4"/>
      <c r="U2" s="4"/>
    </row>
    <row r="3" spans="1:42" ht="25.5" x14ac:dyDescent="0.35">
      <c r="A3" s="3" t="s">
        <v>38</v>
      </c>
      <c r="B3" s="31" t="str">
        <f>TT!C4</f>
        <v>RODOVIA TO-070 - TRECHO SANDOLÂNDIA - FORMOSO DO ARAGUAIA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80" t="s">
        <v>111</v>
      </c>
      <c r="R3" s="80"/>
      <c r="S3" s="31">
        <v>11</v>
      </c>
      <c r="T3" s="4"/>
      <c r="U3" s="4"/>
    </row>
    <row r="4" spans="1:42" ht="20.25" thickBot="1" x14ac:dyDescent="0.35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2" s="8" customFormat="1" ht="39" customHeight="1" x14ac:dyDescent="0.25">
      <c r="A5" s="72" t="s">
        <v>0</v>
      </c>
      <c r="B5" s="72" t="s">
        <v>32</v>
      </c>
      <c r="C5" s="79" t="s">
        <v>28</v>
      </c>
      <c r="D5" s="79" t="s">
        <v>29</v>
      </c>
      <c r="E5" s="72" t="s">
        <v>1</v>
      </c>
      <c r="F5" s="72"/>
      <c r="G5" s="72"/>
      <c r="H5" s="72"/>
      <c r="I5" s="72"/>
      <c r="J5" s="72" t="s">
        <v>17</v>
      </c>
      <c r="K5" s="72"/>
      <c r="L5" s="72" t="s">
        <v>31</v>
      </c>
      <c r="M5" s="72"/>
      <c r="N5" s="72"/>
      <c r="O5" s="72" t="s">
        <v>21</v>
      </c>
      <c r="P5" s="72"/>
      <c r="Q5" s="72"/>
      <c r="R5" s="72" t="s">
        <v>24</v>
      </c>
      <c r="S5" s="72"/>
      <c r="T5" s="72"/>
      <c r="U5" s="74" t="s">
        <v>33</v>
      </c>
    </row>
    <row r="6" spans="1:42" s="10" customFormat="1" ht="39" customHeight="1" x14ac:dyDescent="0.25">
      <c r="A6" s="73"/>
      <c r="B6" s="73"/>
      <c r="C6" s="73"/>
      <c r="D6" s="73"/>
      <c r="E6" s="9" t="s">
        <v>2</v>
      </c>
      <c r="F6" s="9" t="s">
        <v>7</v>
      </c>
      <c r="G6" s="9" t="s">
        <v>3</v>
      </c>
      <c r="H6" s="9" t="s">
        <v>4</v>
      </c>
      <c r="I6" s="9" t="s">
        <v>5</v>
      </c>
      <c r="J6" s="9" t="s">
        <v>18</v>
      </c>
      <c r="K6" s="9" t="s">
        <v>34</v>
      </c>
      <c r="L6" s="9" t="s">
        <v>19</v>
      </c>
      <c r="M6" s="9" t="s">
        <v>20</v>
      </c>
      <c r="N6" s="9" t="s">
        <v>30</v>
      </c>
      <c r="O6" s="9" t="s">
        <v>2</v>
      </c>
      <c r="P6" s="9" t="s">
        <v>22</v>
      </c>
      <c r="Q6" s="9" t="s">
        <v>23</v>
      </c>
      <c r="R6" s="9" t="s">
        <v>2</v>
      </c>
      <c r="S6" s="9" t="s">
        <v>25</v>
      </c>
      <c r="T6" s="9" t="s">
        <v>23</v>
      </c>
      <c r="U6" s="75"/>
    </row>
    <row r="7" spans="1:42" ht="36" customHeight="1" x14ac:dyDescent="0.25">
      <c r="A7" s="34" t="s">
        <v>79</v>
      </c>
      <c r="B7" s="34" t="s">
        <v>115</v>
      </c>
      <c r="C7" s="35">
        <v>0</v>
      </c>
      <c r="D7" s="35">
        <v>1</v>
      </c>
      <c r="E7" s="34"/>
      <c r="F7" s="34" t="s">
        <v>114</v>
      </c>
      <c r="G7" s="34"/>
      <c r="H7" s="34"/>
      <c r="I7" s="34"/>
      <c r="J7" s="34"/>
      <c r="K7" s="34" t="s">
        <v>114</v>
      </c>
      <c r="L7" s="34"/>
      <c r="M7" s="34" t="s">
        <v>114</v>
      </c>
      <c r="N7" s="34"/>
      <c r="O7" s="34"/>
      <c r="P7" s="34" t="s">
        <v>114</v>
      </c>
      <c r="Q7" s="34"/>
      <c r="R7" s="34"/>
      <c r="S7" s="34" t="s">
        <v>114</v>
      </c>
      <c r="T7" s="34"/>
      <c r="U7" s="36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36" customHeight="1" x14ac:dyDescent="0.25">
      <c r="A8" s="34"/>
      <c r="B8" s="34"/>
      <c r="C8" s="35">
        <f>D7</f>
        <v>1</v>
      </c>
      <c r="D8" s="35">
        <v>1.3</v>
      </c>
      <c r="E8" s="34"/>
      <c r="F8" s="34"/>
      <c r="G8" s="34" t="s">
        <v>114</v>
      </c>
      <c r="H8" s="34"/>
      <c r="I8" s="34" t="s">
        <v>114</v>
      </c>
      <c r="J8" s="34"/>
      <c r="K8" s="34" t="s">
        <v>114</v>
      </c>
      <c r="L8" s="34"/>
      <c r="M8" s="34" t="s">
        <v>114</v>
      </c>
      <c r="N8" s="34"/>
      <c r="O8" s="34"/>
      <c r="P8" s="34" t="s">
        <v>114</v>
      </c>
      <c r="Q8" s="34"/>
      <c r="R8" s="34"/>
      <c r="S8" s="34" t="s">
        <v>114</v>
      </c>
      <c r="T8" s="34"/>
      <c r="U8" s="36"/>
    </row>
    <row r="9" spans="1:42" ht="36" customHeight="1" x14ac:dyDescent="0.25">
      <c r="A9" s="34"/>
      <c r="B9" s="34"/>
      <c r="C9" s="35">
        <f t="shared" ref="C9:C29" si="0">D8</f>
        <v>1.3</v>
      </c>
      <c r="D9" s="35">
        <v>1.8</v>
      </c>
      <c r="E9" s="34"/>
      <c r="F9" s="34" t="s">
        <v>114</v>
      </c>
      <c r="G9" s="34"/>
      <c r="H9" s="34"/>
      <c r="I9" s="34"/>
      <c r="J9" s="34"/>
      <c r="K9" s="34" t="s">
        <v>114</v>
      </c>
      <c r="L9" s="34"/>
      <c r="M9" s="34" t="s">
        <v>114</v>
      </c>
      <c r="N9" s="34"/>
      <c r="O9" s="34"/>
      <c r="P9" s="34" t="s">
        <v>114</v>
      </c>
      <c r="Q9" s="34"/>
      <c r="R9" s="34"/>
      <c r="S9" s="34" t="s">
        <v>114</v>
      </c>
      <c r="T9" s="34"/>
      <c r="U9" s="36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2" ht="36" customHeight="1" x14ac:dyDescent="0.25">
      <c r="A10" s="34"/>
      <c r="B10" s="34"/>
      <c r="C10" s="35">
        <f t="shared" si="0"/>
        <v>1.8</v>
      </c>
      <c r="D10" s="35">
        <v>2.7</v>
      </c>
      <c r="E10" s="34"/>
      <c r="F10" s="34"/>
      <c r="G10" s="34" t="s">
        <v>114</v>
      </c>
      <c r="H10" s="34"/>
      <c r="I10" s="34"/>
      <c r="J10" s="34"/>
      <c r="K10" s="34" t="s">
        <v>114</v>
      </c>
      <c r="L10" s="34"/>
      <c r="M10" s="34" t="s">
        <v>114</v>
      </c>
      <c r="N10" s="34"/>
      <c r="O10" s="34"/>
      <c r="P10" s="34" t="s">
        <v>114</v>
      </c>
      <c r="Q10" s="34"/>
      <c r="R10" s="34"/>
      <c r="S10" s="34" t="s">
        <v>114</v>
      </c>
      <c r="T10" s="34"/>
      <c r="U10" s="36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2" ht="36" customHeight="1" x14ac:dyDescent="0.25">
      <c r="A11" s="34"/>
      <c r="B11" s="34"/>
      <c r="C11" s="35">
        <f t="shared" si="0"/>
        <v>2.7</v>
      </c>
      <c r="D11" s="35">
        <v>4.4000000000000004</v>
      </c>
      <c r="E11" s="34"/>
      <c r="F11" s="34" t="s">
        <v>114</v>
      </c>
      <c r="G11" s="34"/>
      <c r="H11" s="34"/>
      <c r="I11" s="34"/>
      <c r="J11" s="34"/>
      <c r="K11" s="34" t="s">
        <v>114</v>
      </c>
      <c r="L11" s="34"/>
      <c r="M11" s="34" t="s">
        <v>114</v>
      </c>
      <c r="N11" s="34"/>
      <c r="O11" s="34"/>
      <c r="P11" s="34" t="s">
        <v>114</v>
      </c>
      <c r="Q11" s="34"/>
      <c r="R11" s="34"/>
      <c r="S11" s="34" t="s">
        <v>114</v>
      </c>
      <c r="T11" s="34"/>
      <c r="U11" s="36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2" ht="36" customHeight="1" x14ac:dyDescent="0.25">
      <c r="A12" s="34"/>
      <c r="B12" s="34"/>
      <c r="C12" s="35">
        <f t="shared" si="0"/>
        <v>4.4000000000000004</v>
      </c>
      <c r="D12" s="35">
        <v>5</v>
      </c>
      <c r="E12" s="34"/>
      <c r="F12" s="34"/>
      <c r="G12" s="34" t="s">
        <v>114</v>
      </c>
      <c r="H12" s="34"/>
      <c r="I12" s="34" t="s">
        <v>114</v>
      </c>
      <c r="J12" s="34"/>
      <c r="K12" s="34" t="s">
        <v>114</v>
      </c>
      <c r="L12" s="34"/>
      <c r="M12" s="34" t="s">
        <v>114</v>
      </c>
      <c r="N12" s="34"/>
      <c r="O12" s="34"/>
      <c r="P12" s="34" t="s">
        <v>114</v>
      </c>
      <c r="Q12" s="34"/>
      <c r="R12" s="34"/>
      <c r="S12" s="34" t="s">
        <v>114</v>
      </c>
      <c r="T12" s="34"/>
      <c r="U12" s="36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2" ht="36" customHeight="1" x14ac:dyDescent="0.25">
      <c r="A13" s="34"/>
      <c r="B13" s="34"/>
      <c r="C13" s="35">
        <f t="shared" si="0"/>
        <v>5</v>
      </c>
      <c r="D13" s="35">
        <v>5.3</v>
      </c>
      <c r="E13" s="34"/>
      <c r="F13" s="34" t="s">
        <v>114</v>
      </c>
      <c r="G13" s="34"/>
      <c r="H13" s="34"/>
      <c r="I13" s="34" t="s">
        <v>114</v>
      </c>
      <c r="J13" s="34"/>
      <c r="K13" s="34" t="s">
        <v>114</v>
      </c>
      <c r="L13" s="34"/>
      <c r="M13" s="34" t="s">
        <v>114</v>
      </c>
      <c r="N13" s="34"/>
      <c r="O13" s="34"/>
      <c r="P13" s="34" t="s">
        <v>114</v>
      </c>
      <c r="Q13" s="34"/>
      <c r="R13" s="34"/>
      <c r="S13" s="34" t="s">
        <v>114</v>
      </c>
      <c r="T13" s="34"/>
      <c r="U13" s="36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2" ht="36" customHeight="1" x14ac:dyDescent="0.25">
      <c r="A14" s="34"/>
      <c r="B14" s="34"/>
      <c r="C14" s="35">
        <f t="shared" si="0"/>
        <v>5.3</v>
      </c>
      <c r="D14" s="35">
        <v>5.4</v>
      </c>
      <c r="E14" s="34"/>
      <c r="F14" s="34"/>
      <c r="G14" s="34" t="s">
        <v>114</v>
      </c>
      <c r="H14" s="34"/>
      <c r="I14" s="34" t="s">
        <v>114</v>
      </c>
      <c r="J14" s="34"/>
      <c r="K14" s="34" t="s">
        <v>114</v>
      </c>
      <c r="L14" s="34"/>
      <c r="M14" s="34" t="s">
        <v>114</v>
      </c>
      <c r="N14" s="34"/>
      <c r="O14" s="34"/>
      <c r="P14" s="34" t="s">
        <v>114</v>
      </c>
      <c r="Q14" s="34"/>
      <c r="R14" s="34"/>
      <c r="S14" s="34" t="s">
        <v>114</v>
      </c>
      <c r="T14" s="34"/>
      <c r="U14" s="36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2" ht="36" customHeight="1" x14ac:dyDescent="0.25">
      <c r="A15" s="34"/>
      <c r="B15" s="34"/>
      <c r="C15" s="35">
        <f t="shared" si="0"/>
        <v>5.4</v>
      </c>
      <c r="D15" s="35">
        <v>6.7</v>
      </c>
      <c r="E15" s="34"/>
      <c r="F15" s="34" t="s">
        <v>114</v>
      </c>
      <c r="G15" s="34"/>
      <c r="H15" s="34"/>
      <c r="I15" s="34"/>
      <c r="J15" s="34"/>
      <c r="K15" s="34" t="s">
        <v>114</v>
      </c>
      <c r="L15" s="34"/>
      <c r="M15" s="34" t="s">
        <v>114</v>
      </c>
      <c r="N15" s="34"/>
      <c r="O15" s="34"/>
      <c r="P15" s="34" t="s">
        <v>114</v>
      </c>
      <c r="Q15" s="34"/>
      <c r="R15" s="34"/>
      <c r="S15" s="34" t="s">
        <v>114</v>
      </c>
      <c r="T15" s="34"/>
      <c r="U15" s="36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2" ht="36" customHeight="1" x14ac:dyDescent="0.25">
      <c r="A16" s="34"/>
      <c r="B16" s="34"/>
      <c r="C16" s="35">
        <f t="shared" si="0"/>
        <v>6.7</v>
      </c>
      <c r="D16" s="35">
        <v>7.1</v>
      </c>
      <c r="E16" s="34"/>
      <c r="F16" s="34"/>
      <c r="G16" s="34" t="s">
        <v>114</v>
      </c>
      <c r="H16" s="34"/>
      <c r="I16" s="34"/>
      <c r="J16" s="34"/>
      <c r="K16" s="34" t="s">
        <v>114</v>
      </c>
      <c r="L16" s="34"/>
      <c r="M16" s="34" t="s">
        <v>114</v>
      </c>
      <c r="N16" s="34"/>
      <c r="O16" s="34"/>
      <c r="P16" s="34" t="s">
        <v>114</v>
      </c>
      <c r="Q16" s="34"/>
      <c r="R16" s="34"/>
      <c r="S16" s="34" t="s">
        <v>114</v>
      </c>
      <c r="T16" s="34"/>
      <c r="U16" s="36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34"/>
      <c r="B17" s="34"/>
      <c r="C17" s="35">
        <f t="shared" si="0"/>
        <v>7.1</v>
      </c>
      <c r="D17" s="35">
        <v>11</v>
      </c>
      <c r="E17" s="34"/>
      <c r="F17" s="34" t="s">
        <v>114</v>
      </c>
      <c r="G17" s="34"/>
      <c r="H17" s="34"/>
      <c r="I17" s="34"/>
      <c r="J17" s="34"/>
      <c r="K17" s="34" t="s">
        <v>114</v>
      </c>
      <c r="L17" s="34"/>
      <c r="M17" s="34" t="s">
        <v>114</v>
      </c>
      <c r="N17" s="34"/>
      <c r="O17" s="34"/>
      <c r="P17" s="34" t="s">
        <v>114</v>
      </c>
      <c r="Q17" s="34"/>
      <c r="R17" s="34"/>
      <c r="S17" s="34" t="s">
        <v>114</v>
      </c>
      <c r="T17" s="34"/>
      <c r="U17" s="36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34"/>
      <c r="B18" s="34"/>
      <c r="C18" s="35">
        <f t="shared" si="0"/>
        <v>11</v>
      </c>
      <c r="D18" s="35">
        <v>11.1</v>
      </c>
      <c r="E18" s="34"/>
      <c r="F18" s="34"/>
      <c r="G18" s="34"/>
      <c r="H18" s="34" t="s">
        <v>114</v>
      </c>
      <c r="I18" s="34"/>
      <c r="J18" s="34"/>
      <c r="K18" s="34" t="s">
        <v>114</v>
      </c>
      <c r="L18" s="34"/>
      <c r="M18" s="34" t="s">
        <v>114</v>
      </c>
      <c r="N18" s="34"/>
      <c r="O18" s="34"/>
      <c r="P18" s="34" t="s">
        <v>114</v>
      </c>
      <c r="Q18" s="34"/>
      <c r="R18" s="34"/>
      <c r="S18" s="34" t="s">
        <v>114</v>
      </c>
      <c r="T18" s="34"/>
      <c r="U18" s="36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34"/>
      <c r="B19" s="34"/>
      <c r="C19" s="35">
        <f t="shared" si="0"/>
        <v>11.1</v>
      </c>
      <c r="D19" s="35">
        <v>17.3</v>
      </c>
      <c r="E19" s="34"/>
      <c r="F19" s="34" t="s">
        <v>114</v>
      </c>
      <c r="G19" s="34"/>
      <c r="H19" s="34"/>
      <c r="I19" s="34"/>
      <c r="J19" s="34"/>
      <c r="K19" s="34" t="s">
        <v>114</v>
      </c>
      <c r="L19" s="34"/>
      <c r="M19" s="34" t="s">
        <v>114</v>
      </c>
      <c r="N19" s="34"/>
      <c r="O19" s="34"/>
      <c r="P19" s="34" t="s">
        <v>114</v>
      </c>
      <c r="Q19" s="34"/>
      <c r="R19" s="34"/>
      <c r="S19" s="34" t="s">
        <v>114</v>
      </c>
      <c r="T19" s="34"/>
      <c r="U19" s="36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34"/>
      <c r="B20" s="34"/>
      <c r="C20" s="35">
        <f t="shared" si="0"/>
        <v>17.3</v>
      </c>
      <c r="D20" s="35">
        <v>17.399999999999999</v>
      </c>
      <c r="E20" s="34"/>
      <c r="F20" s="34"/>
      <c r="G20" s="34"/>
      <c r="H20" s="34" t="s">
        <v>114</v>
      </c>
      <c r="I20" s="34"/>
      <c r="J20" s="34"/>
      <c r="K20" s="34" t="s">
        <v>114</v>
      </c>
      <c r="L20" s="34"/>
      <c r="M20" s="34" t="s">
        <v>114</v>
      </c>
      <c r="N20" s="34"/>
      <c r="O20" s="34"/>
      <c r="P20" s="34" t="s">
        <v>114</v>
      </c>
      <c r="Q20" s="34"/>
      <c r="R20" s="34"/>
      <c r="S20" s="34" t="s">
        <v>114</v>
      </c>
      <c r="T20" s="34"/>
      <c r="U20" s="36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34"/>
      <c r="B21" s="34"/>
      <c r="C21" s="35">
        <f t="shared" si="0"/>
        <v>17.399999999999999</v>
      </c>
      <c r="D21" s="35">
        <v>21.9</v>
      </c>
      <c r="E21" s="34"/>
      <c r="F21" s="34" t="s">
        <v>114</v>
      </c>
      <c r="G21" s="34"/>
      <c r="H21" s="34"/>
      <c r="I21" s="34" t="s">
        <v>114</v>
      </c>
      <c r="J21" s="34"/>
      <c r="K21" s="34" t="s">
        <v>114</v>
      </c>
      <c r="L21" s="34"/>
      <c r="M21" s="34" t="s">
        <v>114</v>
      </c>
      <c r="N21" s="34"/>
      <c r="O21" s="34"/>
      <c r="P21" s="34" t="s">
        <v>114</v>
      </c>
      <c r="Q21" s="34"/>
      <c r="R21" s="34"/>
      <c r="S21" s="34" t="s">
        <v>114</v>
      </c>
      <c r="T21" s="34"/>
      <c r="U21" s="36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34"/>
      <c r="B22" s="34"/>
      <c r="C22" s="35">
        <f t="shared" si="0"/>
        <v>21.9</v>
      </c>
      <c r="D22" s="35">
        <v>22.1</v>
      </c>
      <c r="E22" s="34"/>
      <c r="F22" s="34"/>
      <c r="G22" s="34" t="s">
        <v>114</v>
      </c>
      <c r="H22" s="34"/>
      <c r="I22" s="34" t="s">
        <v>114</v>
      </c>
      <c r="J22" s="34"/>
      <c r="K22" s="34" t="s">
        <v>114</v>
      </c>
      <c r="L22" s="34"/>
      <c r="M22" s="34" t="s">
        <v>114</v>
      </c>
      <c r="N22" s="34"/>
      <c r="O22" s="34"/>
      <c r="P22" s="34" t="s">
        <v>114</v>
      </c>
      <c r="Q22" s="34"/>
      <c r="R22" s="34"/>
      <c r="S22" s="34" t="s">
        <v>114</v>
      </c>
      <c r="T22" s="34"/>
      <c r="U22" s="36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34"/>
      <c r="B23" s="34"/>
      <c r="C23" s="35">
        <f t="shared" si="0"/>
        <v>22.1</v>
      </c>
      <c r="D23" s="35">
        <v>33</v>
      </c>
      <c r="E23" s="34"/>
      <c r="F23" s="34" t="s">
        <v>114</v>
      </c>
      <c r="G23" s="34"/>
      <c r="H23" s="34"/>
      <c r="I23" s="34"/>
      <c r="J23" s="34"/>
      <c r="K23" s="34" t="s">
        <v>114</v>
      </c>
      <c r="L23" s="34"/>
      <c r="M23" s="34" t="s">
        <v>114</v>
      </c>
      <c r="N23" s="34"/>
      <c r="O23" s="34"/>
      <c r="P23" s="34" t="s">
        <v>114</v>
      </c>
      <c r="Q23" s="34"/>
      <c r="R23" s="34"/>
      <c r="S23" s="34" t="s">
        <v>114</v>
      </c>
      <c r="T23" s="34"/>
      <c r="U23" s="36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34"/>
      <c r="B24" s="34"/>
      <c r="C24" s="35">
        <f t="shared" si="0"/>
        <v>33</v>
      </c>
      <c r="D24" s="35">
        <v>33.700000000000003</v>
      </c>
      <c r="E24" s="34"/>
      <c r="F24" s="34"/>
      <c r="G24" s="34" t="s">
        <v>114</v>
      </c>
      <c r="H24" s="34"/>
      <c r="I24" s="34" t="s">
        <v>114</v>
      </c>
      <c r="J24" s="34"/>
      <c r="K24" s="34" t="s">
        <v>114</v>
      </c>
      <c r="L24" s="34"/>
      <c r="M24" s="34" t="s">
        <v>114</v>
      </c>
      <c r="N24" s="34"/>
      <c r="O24" s="34"/>
      <c r="P24" s="34" t="s">
        <v>114</v>
      </c>
      <c r="Q24" s="34"/>
      <c r="R24" s="34"/>
      <c r="S24" s="34" t="s">
        <v>114</v>
      </c>
      <c r="T24" s="34"/>
      <c r="U24" s="36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34"/>
      <c r="B25" s="34"/>
      <c r="C25" s="35">
        <f t="shared" si="0"/>
        <v>33.700000000000003</v>
      </c>
      <c r="D25" s="35">
        <v>33.799999999999997</v>
      </c>
      <c r="E25" s="34"/>
      <c r="F25" s="34"/>
      <c r="G25" s="34"/>
      <c r="H25" s="34" t="s">
        <v>114</v>
      </c>
      <c r="I25" s="34" t="s">
        <v>114</v>
      </c>
      <c r="J25" s="34"/>
      <c r="K25" s="34" t="s">
        <v>114</v>
      </c>
      <c r="L25" s="34"/>
      <c r="M25" s="34" t="s">
        <v>114</v>
      </c>
      <c r="N25" s="34"/>
      <c r="O25" s="34"/>
      <c r="P25" s="34" t="s">
        <v>114</v>
      </c>
      <c r="Q25" s="34"/>
      <c r="R25" s="34"/>
      <c r="S25" s="34" t="s">
        <v>114</v>
      </c>
      <c r="T25" s="34"/>
      <c r="U25" s="36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34"/>
      <c r="B26" s="34"/>
      <c r="C26" s="35">
        <f t="shared" si="0"/>
        <v>33.799999999999997</v>
      </c>
      <c r="D26" s="35">
        <v>55.7</v>
      </c>
      <c r="E26" s="34"/>
      <c r="F26" s="34" t="s">
        <v>114</v>
      </c>
      <c r="G26" s="34"/>
      <c r="H26" s="34"/>
      <c r="I26" s="34"/>
      <c r="J26" s="34"/>
      <c r="K26" s="34" t="s">
        <v>114</v>
      </c>
      <c r="L26" s="34"/>
      <c r="M26" s="34" t="s">
        <v>114</v>
      </c>
      <c r="N26" s="34"/>
      <c r="O26" s="34"/>
      <c r="P26" s="34" t="s">
        <v>114</v>
      </c>
      <c r="Q26" s="34"/>
      <c r="R26" s="34"/>
      <c r="S26" s="34" t="s">
        <v>114</v>
      </c>
      <c r="T26" s="34"/>
      <c r="U26" s="36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34"/>
      <c r="B27" s="34"/>
      <c r="C27" s="35">
        <f t="shared" si="0"/>
        <v>55.7</v>
      </c>
      <c r="D27" s="35">
        <v>56</v>
      </c>
      <c r="E27" s="34"/>
      <c r="F27" s="34"/>
      <c r="G27" s="34"/>
      <c r="H27" s="34" t="s">
        <v>114</v>
      </c>
      <c r="I27" s="34" t="s">
        <v>114</v>
      </c>
      <c r="J27" s="34"/>
      <c r="K27" s="34" t="s">
        <v>114</v>
      </c>
      <c r="L27" s="34"/>
      <c r="M27" s="34" t="s">
        <v>114</v>
      </c>
      <c r="N27" s="34"/>
      <c r="O27" s="34"/>
      <c r="P27" s="34" t="s">
        <v>114</v>
      </c>
      <c r="Q27" s="34"/>
      <c r="R27" s="34"/>
      <c r="S27" s="34" t="s">
        <v>114</v>
      </c>
      <c r="T27" s="34"/>
      <c r="U27" s="36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34"/>
      <c r="B28" s="34"/>
      <c r="C28" s="35">
        <f t="shared" si="0"/>
        <v>56</v>
      </c>
      <c r="D28" s="35">
        <v>56.4</v>
      </c>
      <c r="E28" s="34"/>
      <c r="F28" s="34"/>
      <c r="G28" s="34" t="s">
        <v>114</v>
      </c>
      <c r="H28" s="34"/>
      <c r="I28" s="34"/>
      <c r="J28" s="34"/>
      <c r="K28" s="34" t="s">
        <v>114</v>
      </c>
      <c r="L28" s="34"/>
      <c r="M28" s="34" t="s">
        <v>114</v>
      </c>
      <c r="N28" s="34"/>
      <c r="O28" s="34"/>
      <c r="P28" s="34" t="s">
        <v>114</v>
      </c>
      <c r="Q28" s="34"/>
      <c r="R28" s="34"/>
      <c r="S28" s="34" t="s">
        <v>114</v>
      </c>
      <c r="T28" s="34"/>
      <c r="U28" s="36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34"/>
      <c r="B29" s="34"/>
      <c r="C29" s="35">
        <f t="shared" si="0"/>
        <v>56.4</v>
      </c>
      <c r="D29" s="35">
        <v>59.75</v>
      </c>
      <c r="E29" s="34"/>
      <c r="F29" s="34" t="s">
        <v>114</v>
      </c>
      <c r="G29" s="34"/>
      <c r="H29" s="34"/>
      <c r="I29" s="34"/>
      <c r="J29" s="34"/>
      <c r="K29" s="34" t="s">
        <v>114</v>
      </c>
      <c r="L29" s="34"/>
      <c r="M29" s="34" t="s">
        <v>114</v>
      </c>
      <c r="N29" s="34"/>
      <c r="O29" s="34"/>
      <c r="P29" s="34" t="s">
        <v>114</v>
      </c>
      <c r="Q29" s="34"/>
      <c r="R29" s="34"/>
      <c r="S29" s="34" t="s">
        <v>114</v>
      </c>
      <c r="T29" s="34"/>
      <c r="U29" s="36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x14ac:dyDescent="0.25">
      <c r="A30" s="49" t="s">
        <v>81</v>
      </c>
      <c r="B30" s="49" t="s">
        <v>115</v>
      </c>
      <c r="C30" s="50">
        <v>0</v>
      </c>
      <c r="D30" s="50">
        <v>9.49</v>
      </c>
      <c r="E30" s="49"/>
      <c r="F30" s="49" t="s">
        <v>114</v>
      </c>
      <c r="G30" s="49"/>
      <c r="H30" s="49"/>
      <c r="I30" s="49"/>
      <c r="J30" s="49"/>
      <c r="K30" s="49" t="s">
        <v>114</v>
      </c>
      <c r="L30" s="49"/>
      <c r="M30" s="49" t="s">
        <v>114</v>
      </c>
      <c r="N30" s="49"/>
      <c r="O30" s="49"/>
      <c r="P30" s="49" t="s">
        <v>114</v>
      </c>
      <c r="Q30" s="49"/>
      <c r="R30" s="49"/>
      <c r="S30" s="49" t="s">
        <v>114</v>
      </c>
      <c r="T30" s="49"/>
      <c r="U30" s="51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spans="1:40" ht="36" customHeight="1" x14ac:dyDescent="0.25">
      <c r="A31" s="49" t="s">
        <v>83</v>
      </c>
      <c r="B31" s="49" t="s">
        <v>115</v>
      </c>
      <c r="C31" s="50">
        <v>0</v>
      </c>
      <c r="D31" s="50">
        <v>2.5</v>
      </c>
      <c r="E31" s="49"/>
      <c r="F31" s="49"/>
      <c r="G31" s="49"/>
      <c r="H31" s="49"/>
      <c r="I31" s="49"/>
      <c r="J31" s="49"/>
      <c r="K31" s="49" t="s">
        <v>114</v>
      </c>
      <c r="L31" s="49"/>
      <c r="M31" s="49" t="s">
        <v>114</v>
      </c>
      <c r="N31" s="49"/>
      <c r="O31" s="49"/>
      <c r="P31" s="49" t="s">
        <v>114</v>
      </c>
      <c r="Q31" s="49"/>
      <c r="R31" s="49"/>
      <c r="S31" s="49" t="s">
        <v>114</v>
      </c>
      <c r="T31" s="49"/>
      <c r="U31" s="51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spans="1:40" ht="36" customHeight="1" x14ac:dyDescent="0.25">
      <c r="A32" s="49"/>
      <c r="B32" s="49"/>
      <c r="C32" s="50">
        <f>D31</f>
        <v>2.5</v>
      </c>
      <c r="D32" s="50">
        <v>2.6</v>
      </c>
      <c r="E32" s="49"/>
      <c r="F32" s="49"/>
      <c r="G32" s="49"/>
      <c r="H32" s="49" t="s">
        <v>114</v>
      </c>
      <c r="I32" s="49"/>
      <c r="J32" s="49"/>
      <c r="K32" s="49" t="s">
        <v>114</v>
      </c>
      <c r="L32" s="49"/>
      <c r="M32" s="49" t="s">
        <v>114</v>
      </c>
      <c r="N32" s="49"/>
      <c r="O32" s="49"/>
      <c r="P32" s="49" t="s">
        <v>114</v>
      </c>
      <c r="Q32" s="49"/>
      <c r="R32" s="49"/>
      <c r="S32" s="49" t="s">
        <v>114</v>
      </c>
      <c r="T32" s="49"/>
      <c r="U32" s="51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spans="1:40" ht="36" customHeight="1" x14ac:dyDescent="0.25">
      <c r="A33" s="49"/>
      <c r="B33" s="49"/>
      <c r="C33" s="50">
        <f t="shared" ref="C33:C44" si="1">D32</f>
        <v>2.6</v>
      </c>
      <c r="D33" s="50">
        <v>3</v>
      </c>
      <c r="E33" s="49"/>
      <c r="F33" s="49" t="s">
        <v>114</v>
      </c>
      <c r="G33" s="49"/>
      <c r="H33" s="49"/>
      <c r="I33" s="49"/>
      <c r="J33" s="49"/>
      <c r="K33" s="49" t="s">
        <v>114</v>
      </c>
      <c r="L33" s="49"/>
      <c r="M33" s="49" t="s">
        <v>114</v>
      </c>
      <c r="N33" s="49"/>
      <c r="O33" s="49"/>
      <c r="P33" s="49" t="s">
        <v>114</v>
      </c>
      <c r="Q33" s="49"/>
      <c r="R33" s="49"/>
      <c r="S33" s="49" t="s">
        <v>114</v>
      </c>
      <c r="T33" s="49"/>
      <c r="U33" s="51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 ht="36" customHeight="1" x14ac:dyDescent="0.25">
      <c r="A34" s="49"/>
      <c r="B34" s="49"/>
      <c r="C34" s="50">
        <f t="shared" si="1"/>
        <v>3</v>
      </c>
      <c r="D34" s="50">
        <v>5.3</v>
      </c>
      <c r="E34" s="49"/>
      <c r="F34" s="49"/>
      <c r="G34" s="49" t="s">
        <v>114</v>
      </c>
      <c r="H34" s="49"/>
      <c r="I34" s="49"/>
      <c r="J34" s="49"/>
      <c r="K34" s="49" t="s">
        <v>114</v>
      </c>
      <c r="L34" s="49"/>
      <c r="M34" s="49" t="s">
        <v>114</v>
      </c>
      <c r="N34" s="49"/>
      <c r="O34" s="49"/>
      <c r="P34" s="49" t="s">
        <v>114</v>
      </c>
      <c r="Q34" s="49"/>
      <c r="R34" s="49"/>
      <c r="S34" s="49" t="s">
        <v>114</v>
      </c>
      <c r="T34" s="49"/>
      <c r="U34" s="51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spans="1:40" ht="36" customHeight="1" x14ac:dyDescent="0.25">
      <c r="A35" s="49"/>
      <c r="B35" s="49"/>
      <c r="C35" s="50">
        <f t="shared" si="1"/>
        <v>5.3</v>
      </c>
      <c r="D35" s="50">
        <v>6.7</v>
      </c>
      <c r="E35" s="49"/>
      <c r="F35" s="49" t="s">
        <v>114</v>
      </c>
      <c r="G35" s="49"/>
      <c r="H35" s="49"/>
      <c r="I35" s="49"/>
      <c r="J35" s="49"/>
      <c r="K35" s="49" t="s">
        <v>114</v>
      </c>
      <c r="L35" s="49"/>
      <c r="M35" s="49" t="s">
        <v>114</v>
      </c>
      <c r="N35" s="49"/>
      <c r="O35" s="49"/>
      <c r="P35" s="49" t="s">
        <v>114</v>
      </c>
      <c r="Q35" s="49"/>
      <c r="R35" s="49"/>
      <c r="S35" s="49" t="s">
        <v>114</v>
      </c>
      <c r="T35" s="49"/>
      <c r="U35" s="51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</row>
    <row r="36" spans="1:40" ht="36" customHeight="1" x14ac:dyDescent="0.25">
      <c r="A36" s="49"/>
      <c r="B36" s="49"/>
      <c r="C36" s="50">
        <f t="shared" si="1"/>
        <v>6.7</v>
      </c>
      <c r="D36" s="50">
        <v>7.5</v>
      </c>
      <c r="E36" s="49"/>
      <c r="F36" s="49"/>
      <c r="G36" s="49" t="s">
        <v>114</v>
      </c>
      <c r="H36" s="49"/>
      <c r="I36" s="49"/>
      <c r="J36" s="49"/>
      <c r="K36" s="49" t="s">
        <v>114</v>
      </c>
      <c r="L36" s="49"/>
      <c r="M36" s="49" t="s">
        <v>114</v>
      </c>
      <c r="N36" s="49"/>
      <c r="O36" s="49"/>
      <c r="P36" s="49" t="s">
        <v>114</v>
      </c>
      <c r="Q36" s="49"/>
      <c r="R36" s="49"/>
      <c r="S36" s="49" t="s">
        <v>114</v>
      </c>
      <c r="T36" s="49"/>
      <c r="U36" s="51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</row>
    <row r="37" spans="1:40" ht="36" customHeight="1" x14ac:dyDescent="0.25">
      <c r="A37" s="49"/>
      <c r="B37" s="49"/>
      <c r="C37" s="50">
        <f t="shared" si="1"/>
        <v>7.5</v>
      </c>
      <c r="D37" s="50">
        <v>8.6999999999999993</v>
      </c>
      <c r="E37" s="49"/>
      <c r="F37" s="49" t="s">
        <v>114</v>
      </c>
      <c r="G37" s="49"/>
      <c r="H37" s="49"/>
      <c r="I37" s="49"/>
      <c r="J37" s="49" t="s">
        <v>114</v>
      </c>
      <c r="K37" s="49"/>
      <c r="L37" s="49"/>
      <c r="M37" s="49" t="s">
        <v>114</v>
      </c>
      <c r="N37" s="49"/>
      <c r="O37" s="49"/>
      <c r="P37" s="49" t="s">
        <v>114</v>
      </c>
      <c r="Q37" s="49"/>
      <c r="R37" s="49"/>
      <c r="S37" s="49" t="s">
        <v>114</v>
      </c>
      <c r="T37" s="49"/>
      <c r="U37" s="51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spans="1:40" ht="36" customHeight="1" x14ac:dyDescent="0.25">
      <c r="A38" s="49"/>
      <c r="B38" s="49"/>
      <c r="C38" s="50">
        <f t="shared" si="1"/>
        <v>8.6999999999999993</v>
      </c>
      <c r="D38" s="50">
        <v>11.3</v>
      </c>
      <c r="E38" s="49"/>
      <c r="F38" s="49"/>
      <c r="G38" s="49" t="s">
        <v>114</v>
      </c>
      <c r="H38" s="49"/>
      <c r="I38" s="49"/>
      <c r="J38" s="49" t="s">
        <v>114</v>
      </c>
      <c r="K38" s="49"/>
      <c r="L38" s="49"/>
      <c r="M38" s="49" t="s">
        <v>114</v>
      </c>
      <c r="N38" s="49"/>
      <c r="O38" s="49"/>
      <c r="P38" s="49" t="s">
        <v>114</v>
      </c>
      <c r="Q38" s="49"/>
      <c r="R38" s="49"/>
      <c r="S38" s="49" t="s">
        <v>114</v>
      </c>
      <c r="T38" s="49"/>
      <c r="U38" s="51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</row>
    <row r="39" spans="1:40" ht="36" customHeight="1" x14ac:dyDescent="0.25">
      <c r="A39" s="49"/>
      <c r="B39" s="49"/>
      <c r="C39" s="50">
        <f t="shared" si="1"/>
        <v>11.3</v>
      </c>
      <c r="D39" s="50">
        <v>11.4</v>
      </c>
      <c r="E39" s="49"/>
      <c r="F39" s="49"/>
      <c r="G39" s="49"/>
      <c r="H39" s="49" t="s">
        <v>114</v>
      </c>
      <c r="I39" s="49"/>
      <c r="J39" s="49" t="s">
        <v>114</v>
      </c>
      <c r="K39" s="49"/>
      <c r="L39" s="49"/>
      <c r="M39" s="49" t="s">
        <v>114</v>
      </c>
      <c r="N39" s="49"/>
      <c r="O39" s="49"/>
      <c r="P39" s="49" t="s">
        <v>114</v>
      </c>
      <c r="Q39" s="49"/>
      <c r="R39" s="49"/>
      <c r="S39" s="49" t="s">
        <v>114</v>
      </c>
      <c r="T39" s="49"/>
      <c r="U39" s="51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spans="1:40" ht="36" customHeight="1" x14ac:dyDescent="0.25">
      <c r="A40" s="49"/>
      <c r="B40" s="49"/>
      <c r="C40" s="50">
        <f t="shared" si="1"/>
        <v>11.4</v>
      </c>
      <c r="D40" s="50">
        <v>11.9</v>
      </c>
      <c r="E40" s="49"/>
      <c r="F40" s="49" t="s">
        <v>114</v>
      </c>
      <c r="G40" s="49"/>
      <c r="H40" s="49"/>
      <c r="I40" s="49"/>
      <c r="J40" s="49" t="s">
        <v>114</v>
      </c>
      <c r="K40" s="49"/>
      <c r="L40" s="49"/>
      <c r="M40" s="49" t="s">
        <v>114</v>
      </c>
      <c r="N40" s="49"/>
      <c r="O40" s="49"/>
      <c r="P40" s="49" t="s">
        <v>114</v>
      </c>
      <c r="Q40" s="49"/>
      <c r="R40" s="49"/>
      <c r="S40" s="49" t="s">
        <v>114</v>
      </c>
      <c r="T40" s="49"/>
      <c r="U40" s="51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spans="1:40" ht="36" customHeight="1" x14ac:dyDescent="0.25">
      <c r="A41" s="49"/>
      <c r="B41" s="49"/>
      <c r="C41" s="50">
        <f t="shared" si="1"/>
        <v>11.9</v>
      </c>
      <c r="D41" s="50">
        <v>15.3</v>
      </c>
      <c r="E41" s="49"/>
      <c r="F41" s="49"/>
      <c r="G41" s="49" t="s">
        <v>114</v>
      </c>
      <c r="H41" s="49" t="s">
        <v>114</v>
      </c>
      <c r="I41" s="49"/>
      <c r="J41" s="49" t="s">
        <v>114</v>
      </c>
      <c r="K41" s="49"/>
      <c r="L41" s="49"/>
      <c r="M41" s="49" t="s">
        <v>114</v>
      </c>
      <c r="N41" s="49"/>
      <c r="O41" s="49"/>
      <c r="P41" s="49" t="s">
        <v>114</v>
      </c>
      <c r="Q41" s="49"/>
      <c r="R41" s="49"/>
      <c r="S41" s="49" t="s">
        <v>114</v>
      </c>
      <c r="T41" s="49"/>
      <c r="U41" s="51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spans="1:40" ht="36" customHeight="1" x14ac:dyDescent="0.25">
      <c r="A42" s="49"/>
      <c r="B42" s="49"/>
      <c r="C42" s="50">
        <f t="shared" si="1"/>
        <v>15.3</v>
      </c>
      <c r="D42" s="50">
        <v>21</v>
      </c>
      <c r="E42" s="49"/>
      <c r="F42" s="49" t="s">
        <v>114</v>
      </c>
      <c r="G42" s="49"/>
      <c r="H42" s="49"/>
      <c r="I42" s="49"/>
      <c r="J42" s="49" t="s">
        <v>114</v>
      </c>
      <c r="K42" s="49"/>
      <c r="L42" s="49"/>
      <c r="M42" s="49" t="s">
        <v>114</v>
      </c>
      <c r="N42" s="49"/>
      <c r="O42" s="49"/>
      <c r="P42" s="49" t="s">
        <v>114</v>
      </c>
      <c r="Q42" s="49"/>
      <c r="R42" s="49"/>
      <c r="S42" s="49" t="s">
        <v>114</v>
      </c>
      <c r="T42" s="49"/>
      <c r="U42" s="51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spans="1:40" ht="36" customHeight="1" x14ac:dyDescent="0.25">
      <c r="A43" s="49"/>
      <c r="B43" s="49"/>
      <c r="C43" s="50">
        <f t="shared" si="1"/>
        <v>21</v>
      </c>
      <c r="D43" s="50">
        <v>25.8</v>
      </c>
      <c r="E43" s="49"/>
      <c r="F43" s="49"/>
      <c r="G43" s="49" t="s">
        <v>114</v>
      </c>
      <c r="H43" s="49" t="s">
        <v>114</v>
      </c>
      <c r="I43" s="49"/>
      <c r="J43" s="49" t="s">
        <v>114</v>
      </c>
      <c r="K43" s="49"/>
      <c r="L43" s="49"/>
      <c r="M43" s="49" t="s">
        <v>114</v>
      </c>
      <c r="N43" s="49"/>
      <c r="O43" s="49"/>
      <c r="P43" s="49" t="s">
        <v>114</v>
      </c>
      <c r="Q43" s="49"/>
      <c r="R43" s="49"/>
      <c r="S43" s="49" t="s">
        <v>114</v>
      </c>
      <c r="T43" s="49"/>
      <c r="U43" s="51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</row>
    <row r="44" spans="1:40" ht="36" customHeight="1" x14ac:dyDescent="0.25">
      <c r="A44" s="49"/>
      <c r="B44" s="49"/>
      <c r="C44" s="50">
        <f t="shared" si="1"/>
        <v>25.8</v>
      </c>
      <c r="D44" s="50">
        <v>32.01</v>
      </c>
      <c r="E44" s="49"/>
      <c r="F44" s="49" t="s">
        <v>114</v>
      </c>
      <c r="G44" s="49"/>
      <c r="H44" s="49"/>
      <c r="I44" s="49"/>
      <c r="J44" s="49" t="s">
        <v>114</v>
      </c>
      <c r="K44" s="49"/>
      <c r="L44" s="49"/>
      <c r="M44" s="49" t="s">
        <v>114</v>
      </c>
      <c r="N44" s="49"/>
      <c r="O44" s="49"/>
      <c r="P44" s="49" t="s">
        <v>114</v>
      </c>
      <c r="Q44" s="49"/>
      <c r="R44" s="49"/>
      <c r="S44" s="49" t="s">
        <v>114</v>
      </c>
      <c r="T44" s="49"/>
      <c r="U44" s="51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</row>
    <row r="45" spans="1:40" ht="36" customHeight="1" x14ac:dyDescent="0.25">
      <c r="A45" s="49" t="s">
        <v>56</v>
      </c>
      <c r="B45" s="49" t="s">
        <v>113</v>
      </c>
      <c r="C45" s="50">
        <v>0</v>
      </c>
      <c r="D45" s="50">
        <v>1.1499999999999999</v>
      </c>
      <c r="E45" s="49"/>
      <c r="F45" s="49" t="s">
        <v>114</v>
      </c>
      <c r="G45" s="49"/>
      <c r="H45" s="49"/>
      <c r="I45" s="49"/>
      <c r="J45" s="49" t="s">
        <v>114</v>
      </c>
      <c r="K45" s="49"/>
      <c r="L45" s="49"/>
      <c r="M45" s="49"/>
      <c r="N45" s="49"/>
      <c r="O45" s="49"/>
      <c r="P45" s="49" t="s">
        <v>114</v>
      </c>
      <c r="Q45" s="49"/>
      <c r="R45" s="49"/>
      <c r="S45" s="49" t="s">
        <v>114</v>
      </c>
      <c r="T45" s="49"/>
      <c r="U45" s="51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</row>
    <row r="46" spans="1:40" ht="36" customHeight="1" x14ac:dyDescent="0.25">
      <c r="A46" s="49"/>
      <c r="B46" s="49"/>
      <c r="C46" s="50"/>
      <c r="D46" s="50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51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spans="1:40" ht="36" customHeight="1" x14ac:dyDescent="0.25">
      <c r="A47" s="49"/>
      <c r="B47" s="49"/>
      <c r="C47" s="50"/>
      <c r="D47" s="50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51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spans="1:40" ht="36" customHeight="1" x14ac:dyDescent="0.25">
      <c r="A48" s="49"/>
      <c r="B48" s="49"/>
      <c r="C48" s="50"/>
      <c r="D48" s="50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51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spans="1:40" ht="36" customHeight="1" x14ac:dyDescent="0.25">
      <c r="A49" s="49"/>
      <c r="B49" s="49"/>
      <c r="C49" s="50"/>
      <c r="D49" s="50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51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</row>
    <row r="50" spans="1:40" ht="36" customHeight="1" x14ac:dyDescent="0.25">
      <c r="A50" s="49"/>
      <c r="B50" s="49"/>
      <c r="C50" s="50"/>
      <c r="D50" s="50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1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spans="1:40" ht="36" customHeight="1" x14ac:dyDescent="0.25">
      <c r="A51" s="49"/>
      <c r="B51" s="49"/>
      <c r="C51" s="50"/>
      <c r="D51" s="50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51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spans="1:40" ht="36" customHeight="1" x14ac:dyDescent="0.25">
      <c r="A52" s="49"/>
      <c r="B52" s="49"/>
      <c r="C52" s="50"/>
      <c r="D52" s="50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51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spans="1:40" ht="36" customHeight="1" x14ac:dyDescent="0.25">
      <c r="A53" s="49"/>
      <c r="B53" s="49"/>
      <c r="C53" s="50"/>
      <c r="D53" s="50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51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spans="1:40" ht="36" customHeight="1" x14ac:dyDescent="0.25">
      <c r="A54" s="49"/>
      <c r="B54" s="49"/>
      <c r="C54" s="50"/>
      <c r="D54" s="50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51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</row>
    <row r="55" spans="1:40" ht="36" customHeight="1" x14ac:dyDescent="0.25">
      <c r="A55" s="49"/>
      <c r="B55" s="49"/>
      <c r="C55" s="50"/>
      <c r="D55" s="50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51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 spans="1:40" ht="36" customHeight="1" thickBot="1" x14ac:dyDescent="0.3">
      <c r="A56" s="37"/>
      <c r="B56" s="37"/>
      <c r="C56" s="38"/>
      <c r="D56" s="38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9"/>
    </row>
    <row r="58" spans="1:40" ht="19.5" x14ac:dyDescent="0.3">
      <c r="A58" s="4" t="s">
        <v>6</v>
      </c>
      <c r="B58" s="11" t="s">
        <v>1</v>
      </c>
      <c r="C58" s="5"/>
      <c r="D58" s="5"/>
      <c r="E58" s="76"/>
      <c r="F58" s="76"/>
    </row>
    <row r="59" spans="1:40" ht="19.5" x14ac:dyDescent="0.3">
      <c r="A59" s="4" t="s">
        <v>8</v>
      </c>
      <c r="B59" s="4" t="s">
        <v>9</v>
      </c>
      <c r="E59" s="4" t="s">
        <v>13</v>
      </c>
      <c r="F59" s="4"/>
      <c r="G59" s="4"/>
      <c r="I59" s="4" t="s">
        <v>4</v>
      </c>
      <c r="J59" s="4" t="s">
        <v>11</v>
      </c>
      <c r="K59" s="1"/>
      <c r="L59" s="1"/>
      <c r="M59" s="4" t="s">
        <v>15</v>
      </c>
      <c r="N59" s="4"/>
      <c r="O59" s="4"/>
    </row>
    <row r="60" spans="1:40" ht="19.5" x14ac:dyDescent="0.3">
      <c r="A60" s="4" t="s">
        <v>3</v>
      </c>
      <c r="B60" s="4" t="s">
        <v>10</v>
      </c>
      <c r="E60" s="4" t="s">
        <v>14</v>
      </c>
      <c r="F60" s="4"/>
      <c r="G60" s="4"/>
      <c r="I60" s="4" t="s">
        <v>5</v>
      </c>
      <c r="J60" s="4" t="s">
        <v>12</v>
      </c>
      <c r="K60" s="1"/>
      <c r="L60" s="1"/>
      <c r="M60" s="4" t="s">
        <v>16</v>
      </c>
      <c r="N60" s="4"/>
      <c r="O60" s="4"/>
    </row>
    <row r="61" spans="1:40" x14ac:dyDescent="0.25">
      <c r="E61" s="1"/>
      <c r="F61" s="1"/>
      <c r="G61" s="1"/>
    </row>
    <row r="62" spans="1:40" x14ac:dyDescent="0.25">
      <c r="E62" s="1"/>
      <c r="F62" s="1"/>
      <c r="G62" s="1"/>
    </row>
    <row r="65" spans="5:20" x14ac:dyDescent="0.25">
      <c r="E65" s="2" t="str">
        <f>IF(E7="X",(D7-C7),"0")</f>
        <v>0</v>
      </c>
      <c r="F65" s="2">
        <f>IF(F7="X",(D7-C7),"0")</f>
        <v>1</v>
      </c>
      <c r="G65" s="2" t="str">
        <f>IF(G7="X",(D7-C7),"0")</f>
        <v>0</v>
      </c>
      <c r="H65" s="2" t="str">
        <f>IF(H7="X",(D7-C7),"0")</f>
        <v>0</v>
      </c>
      <c r="I65" s="2" t="str">
        <f>IF(I7="X",(D7-C7),"0")</f>
        <v>0</v>
      </c>
      <c r="J65" s="2" t="str">
        <f>IF(J7="X",(D7-C7),"0")</f>
        <v>0</v>
      </c>
      <c r="K65" s="2">
        <f>IF(K7="X",(D7-C7),"0")</f>
        <v>1</v>
      </c>
      <c r="L65" s="2" t="str">
        <f>IF(L7="X",(D7-C7),"0")</f>
        <v>0</v>
      </c>
      <c r="M65" s="2">
        <f>IF(M7="X",(D7-C7),"0")</f>
        <v>1</v>
      </c>
      <c r="N65" s="2" t="str">
        <f>IF(N7="X",(D7-C7),"0")</f>
        <v>0</v>
      </c>
      <c r="O65" s="2" t="str">
        <f>IF(O7="X",(D7-C7),"0")</f>
        <v>0</v>
      </c>
      <c r="P65" s="2">
        <f>IF(P7="X",(D7-C7),"0")</f>
        <v>1</v>
      </c>
      <c r="Q65" s="2" t="str">
        <f>IF(Q7="X",(D7-C7),"0")</f>
        <v>0</v>
      </c>
      <c r="R65" s="2" t="str">
        <f>IF(R7="X",(D7-C7),"0")</f>
        <v>0</v>
      </c>
      <c r="S65" s="2">
        <f>IF(S7="X",(D7-C7),"0")</f>
        <v>1</v>
      </c>
      <c r="T65" s="2" t="str">
        <f>IF(T7="X",(D7-C7),"0")</f>
        <v>0</v>
      </c>
    </row>
    <row r="66" spans="5:20" x14ac:dyDescent="0.25">
      <c r="E66" s="2" t="str">
        <f t="shared" ref="E66:E92" si="2">IF(E8="X",(D8-C8),"0")</f>
        <v>0</v>
      </c>
      <c r="F66" s="2" t="str">
        <f t="shared" ref="F66:F92" si="3">IF(F8="X",(D8-C8),"0")</f>
        <v>0</v>
      </c>
      <c r="G66" s="2">
        <f t="shared" ref="G66:G92" si="4">IF(G8="X",(D8-C8),"0")</f>
        <v>0.30000000000000004</v>
      </c>
      <c r="H66" s="2" t="str">
        <f t="shared" ref="H66:H92" si="5">IF(H8="X",(D8-C8),"0")</f>
        <v>0</v>
      </c>
      <c r="I66" s="2">
        <f t="shared" ref="I66:I92" si="6">IF(I8="X",(D8-C8),"0")</f>
        <v>0.30000000000000004</v>
      </c>
      <c r="J66" s="2" t="str">
        <f t="shared" ref="J66:J92" si="7">IF(J8="X",(D8-C8),"0")</f>
        <v>0</v>
      </c>
      <c r="K66" s="2">
        <f t="shared" ref="K66:K92" si="8">IF(K8="X",(D8-C8),"0")</f>
        <v>0.30000000000000004</v>
      </c>
      <c r="L66" s="2" t="str">
        <f t="shared" ref="L66:L92" si="9">IF(L8="X",(D8-C8),"0")</f>
        <v>0</v>
      </c>
      <c r="M66" s="2">
        <f t="shared" ref="M66:M92" si="10">IF(M8="X",(D8-C8),"0")</f>
        <v>0.30000000000000004</v>
      </c>
      <c r="N66" s="2" t="str">
        <f t="shared" ref="N66:N92" si="11">IF(N8="X",(D8-C8),"0")</f>
        <v>0</v>
      </c>
      <c r="O66" s="2" t="str">
        <f t="shared" ref="O66:O92" si="12">IF(O8="X",(D8-C8),"0")</f>
        <v>0</v>
      </c>
      <c r="P66" s="2">
        <f t="shared" ref="P66:P92" si="13">IF(P8="X",(D8-C8),"0")</f>
        <v>0.30000000000000004</v>
      </c>
      <c r="Q66" s="2" t="str">
        <f t="shared" ref="Q66:Q92" si="14">IF(Q8="X",(D8-C8),"0")</f>
        <v>0</v>
      </c>
      <c r="R66" s="2" t="str">
        <f t="shared" ref="R66:R92" si="15">IF(R8="X",(D8-C8),"0")</f>
        <v>0</v>
      </c>
      <c r="S66" s="2">
        <f t="shared" ref="S66:S92" si="16">IF(S8="X",(D8-C8),"0")</f>
        <v>0.30000000000000004</v>
      </c>
      <c r="T66" s="2" t="str">
        <f t="shared" ref="T66:T92" si="17">IF(T8="X",(D8-C8),"0")</f>
        <v>0</v>
      </c>
    </row>
    <row r="67" spans="5:20" x14ac:dyDescent="0.25">
      <c r="E67" s="2" t="str">
        <f t="shared" si="2"/>
        <v>0</v>
      </c>
      <c r="F67" s="2">
        <f t="shared" si="3"/>
        <v>0.5</v>
      </c>
      <c r="G67" s="2" t="str">
        <f t="shared" si="4"/>
        <v>0</v>
      </c>
      <c r="H67" s="2" t="str">
        <f t="shared" si="5"/>
        <v>0</v>
      </c>
      <c r="I67" s="2" t="str">
        <f t="shared" si="6"/>
        <v>0</v>
      </c>
      <c r="J67" s="2" t="str">
        <f t="shared" si="7"/>
        <v>0</v>
      </c>
      <c r="K67" s="2">
        <f t="shared" si="8"/>
        <v>0.5</v>
      </c>
      <c r="L67" s="2" t="str">
        <f t="shared" si="9"/>
        <v>0</v>
      </c>
      <c r="M67" s="2">
        <f t="shared" si="10"/>
        <v>0.5</v>
      </c>
      <c r="N67" s="2" t="str">
        <f t="shared" si="11"/>
        <v>0</v>
      </c>
      <c r="O67" s="2" t="str">
        <f t="shared" si="12"/>
        <v>0</v>
      </c>
      <c r="P67" s="2">
        <f t="shared" si="13"/>
        <v>0.5</v>
      </c>
      <c r="Q67" s="2" t="str">
        <f t="shared" si="14"/>
        <v>0</v>
      </c>
      <c r="R67" s="2" t="str">
        <f t="shared" si="15"/>
        <v>0</v>
      </c>
      <c r="S67" s="2">
        <f t="shared" si="16"/>
        <v>0.5</v>
      </c>
      <c r="T67" s="2" t="str">
        <f t="shared" si="17"/>
        <v>0</v>
      </c>
    </row>
    <row r="68" spans="5:20" x14ac:dyDescent="0.25">
      <c r="E68" s="2" t="str">
        <f t="shared" si="2"/>
        <v>0</v>
      </c>
      <c r="F68" s="2" t="str">
        <f t="shared" si="3"/>
        <v>0</v>
      </c>
      <c r="G68" s="2">
        <f t="shared" si="4"/>
        <v>0.90000000000000013</v>
      </c>
      <c r="H68" s="2" t="str">
        <f t="shared" si="5"/>
        <v>0</v>
      </c>
      <c r="I68" s="2" t="str">
        <f t="shared" si="6"/>
        <v>0</v>
      </c>
      <c r="J68" s="2" t="str">
        <f t="shared" si="7"/>
        <v>0</v>
      </c>
      <c r="K68" s="2">
        <f t="shared" si="8"/>
        <v>0.90000000000000013</v>
      </c>
      <c r="L68" s="2" t="str">
        <f t="shared" si="9"/>
        <v>0</v>
      </c>
      <c r="M68" s="2">
        <f t="shared" si="10"/>
        <v>0.90000000000000013</v>
      </c>
      <c r="N68" s="2" t="str">
        <f t="shared" si="11"/>
        <v>0</v>
      </c>
      <c r="O68" s="2" t="str">
        <f t="shared" si="12"/>
        <v>0</v>
      </c>
      <c r="P68" s="2">
        <f t="shared" si="13"/>
        <v>0.90000000000000013</v>
      </c>
      <c r="Q68" s="2" t="str">
        <f t="shared" si="14"/>
        <v>0</v>
      </c>
      <c r="R68" s="2" t="str">
        <f t="shared" si="15"/>
        <v>0</v>
      </c>
      <c r="S68" s="2">
        <f t="shared" si="16"/>
        <v>0.90000000000000013</v>
      </c>
      <c r="T68" s="2" t="str">
        <f t="shared" si="17"/>
        <v>0</v>
      </c>
    </row>
    <row r="69" spans="5:20" x14ac:dyDescent="0.25">
      <c r="E69" s="2" t="str">
        <f t="shared" si="2"/>
        <v>0</v>
      </c>
      <c r="F69" s="2">
        <f t="shared" si="3"/>
        <v>1.7000000000000002</v>
      </c>
      <c r="G69" s="2" t="str">
        <f t="shared" si="4"/>
        <v>0</v>
      </c>
      <c r="H69" s="2" t="str">
        <f t="shared" si="5"/>
        <v>0</v>
      </c>
      <c r="I69" s="2" t="str">
        <f t="shared" si="6"/>
        <v>0</v>
      </c>
      <c r="J69" s="2" t="str">
        <f t="shared" si="7"/>
        <v>0</v>
      </c>
      <c r="K69" s="2">
        <f t="shared" si="8"/>
        <v>1.7000000000000002</v>
      </c>
      <c r="L69" s="2" t="str">
        <f t="shared" si="9"/>
        <v>0</v>
      </c>
      <c r="M69" s="2">
        <f t="shared" si="10"/>
        <v>1.7000000000000002</v>
      </c>
      <c r="N69" s="2" t="str">
        <f t="shared" si="11"/>
        <v>0</v>
      </c>
      <c r="O69" s="2" t="str">
        <f t="shared" si="12"/>
        <v>0</v>
      </c>
      <c r="P69" s="2">
        <f t="shared" si="13"/>
        <v>1.7000000000000002</v>
      </c>
      <c r="Q69" s="2" t="str">
        <f t="shared" si="14"/>
        <v>0</v>
      </c>
      <c r="R69" s="2" t="str">
        <f t="shared" si="15"/>
        <v>0</v>
      </c>
      <c r="S69" s="2">
        <f t="shared" si="16"/>
        <v>1.7000000000000002</v>
      </c>
      <c r="T69" s="2" t="str">
        <f t="shared" si="17"/>
        <v>0</v>
      </c>
    </row>
    <row r="70" spans="5:20" x14ac:dyDescent="0.25">
      <c r="E70" s="2" t="str">
        <f t="shared" si="2"/>
        <v>0</v>
      </c>
      <c r="F70" s="2" t="str">
        <f t="shared" si="3"/>
        <v>0</v>
      </c>
      <c r="G70" s="2">
        <f t="shared" si="4"/>
        <v>0.59999999999999964</v>
      </c>
      <c r="H70" s="2" t="str">
        <f t="shared" si="5"/>
        <v>0</v>
      </c>
      <c r="I70" s="2">
        <f t="shared" si="6"/>
        <v>0.59999999999999964</v>
      </c>
      <c r="J70" s="2" t="str">
        <f t="shared" si="7"/>
        <v>0</v>
      </c>
      <c r="K70" s="2">
        <f t="shared" si="8"/>
        <v>0.59999999999999964</v>
      </c>
      <c r="L70" s="2" t="str">
        <f t="shared" si="9"/>
        <v>0</v>
      </c>
      <c r="M70" s="2">
        <f t="shared" si="10"/>
        <v>0.59999999999999964</v>
      </c>
      <c r="N70" s="2" t="str">
        <f t="shared" si="11"/>
        <v>0</v>
      </c>
      <c r="O70" s="2" t="str">
        <f t="shared" si="12"/>
        <v>0</v>
      </c>
      <c r="P70" s="2">
        <f t="shared" si="13"/>
        <v>0.59999999999999964</v>
      </c>
      <c r="Q70" s="2" t="str">
        <f t="shared" si="14"/>
        <v>0</v>
      </c>
      <c r="R70" s="2" t="str">
        <f t="shared" si="15"/>
        <v>0</v>
      </c>
      <c r="S70" s="2">
        <f t="shared" si="16"/>
        <v>0.59999999999999964</v>
      </c>
      <c r="T70" s="2" t="str">
        <f t="shared" si="17"/>
        <v>0</v>
      </c>
    </row>
    <row r="71" spans="5:20" x14ac:dyDescent="0.25">
      <c r="E71" s="2" t="str">
        <f t="shared" si="2"/>
        <v>0</v>
      </c>
      <c r="F71" s="2">
        <f t="shared" si="3"/>
        <v>0.29999999999999982</v>
      </c>
      <c r="G71" s="2" t="str">
        <f t="shared" si="4"/>
        <v>0</v>
      </c>
      <c r="H71" s="2" t="str">
        <f t="shared" si="5"/>
        <v>0</v>
      </c>
      <c r="I71" s="2">
        <f t="shared" si="6"/>
        <v>0.29999999999999982</v>
      </c>
      <c r="J71" s="2" t="str">
        <f t="shared" si="7"/>
        <v>0</v>
      </c>
      <c r="K71" s="2">
        <f t="shared" si="8"/>
        <v>0.29999999999999982</v>
      </c>
      <c r="L71" s="2" t="str">
        <f t="shared" si="9"/>
        <v>0</v>
      </c>
      <c r="M71" s="2">
        <f t="shared" si="10"/>
        <v>0.29999999999999982</v>
      </c>
      <c r="N71" s="2" t="str">
        <f t="shared" si="11"/>
        <v>0</v>
      </c>
      <c r="O71" s="2" t="str">
        <f t="shared" si="12"/>
        <v>0</v>
      </c>
      <c r="P71" s="2">
        <f t="shared" si="13"/>
        <v>0.29999999999999982</v>
      </c>
      <c r="Q71" s="2" t="str">
        <f t="shared" si="14"/>
        <v>0</v>
      </c>
      <c r="R71" s="2" t="str">
        <f t="shared" si="15"/>
        <v>0</v>
      </c>
      <c r="S71" s="2">
        <f t="shared" si="16"/>
        <v>0.29999999999999982</v>
      </c>
      <c r="T71" s="2" t="str">
        <f t="shared" si="17"/>
        <v>0</v>
      </c>
    </row>
    <row r="72" spans="5:20" x14ac:dyDescent="0.25">
      <c r="E72" s="2" t="str">
        <f t="shared" si="2"/>
        <v>0</v>
      </c>
      <c r="F72" s="2" t="str">
        <f t="shared" si="3"/>
        <v>0</v>
      </c>
      <c r="G72" s="2">
        <f t="shared" si="4"/>
        <v>0.10000000000000053</v>
      </c>
      <c r="H72" s="2" t="str">
        <f t="shared" si="5"/>
        <v>0</v>
      </c>
      <c r="I72" s="2">
        <f t="shared" si="6"/>
        <v>0.10000000000000053</v>
      </c>
      <c r="J72" s="2" t="str">
        <f t="shared" si="7"/>
        <v>0</v>
      </c>
      <c r="K72" s="2">
        <f t="shared" si="8"/>
        <v>0.10000000000000053</v>
      </c>
      <c r="L72" s="2" t="str">
        <f t="shared" si="9"/>
        <v>0</v>
      </c>
      <c r="M72" s="2">
        <f t="shared" si="10"/>
        <v>0.10000000000000053</v>
      </c>
      <c r="N72" s="2" t="str">
        <f t="shared" si="11"/>
        <v>0</v>
      </c>
      <c r="O72" s="2" t="str">
        <f t="shared" si="12"/>
        <v>0</v>
      </c>
      <c r="P72" s="2">
        <f t="shared" si="13"/>
        <v>0.10000000000000053</v>
      </c>
      <c r="Q72" s="2" t="str">
        <f t="shared" si="14"/>
        <v>0</v>
      </c>
      <c r="R72" s="2" t="str">
        <f t="shared" si="15"/>
        <v>0</v>
      </c>
      <c r="S72" s="2">
        <f t="shared" si="16"/>
        <v>0.10000000000000053</v>
      </c>
      <c r="T72" s="2" t="str">
        <f t="shared" si="17"/>
        <v>0</v>
      </c>
    </row>
    <row r="73" spans="5:20" x14ac:dyDescent="0.25">
      <c r="E73" s="2" t="str">
        <f t="shared" si="2"/>
        <v>0</v>
      </c>
      <c r="F73" s="2">
        <f t="shared" si="3"/>
        <v>1.2999999999999998</v>
      </c>
      <c r="G73" s="2" t="str">
        <f t="shared" si="4"/>
        <v>0</v>
      </c>
      <c r="H73" s="2" t="str">
        <f t="shared" si="5"/>
        <v>0</v>
      </c>
      <c r="I73" s="2" t="str">
        <f t="shared" si="6"/>
        <v>0</v>
      </c>
      <c r="J73" s="2" t="str">
        <f t="shared" si="7"/>
        <v>0</v>
      </c>
      <c r="K73" s="2">
        <f t="shared" si="8"/>
        <v>1.2999999999999998</v>
      </c>
      <c r="L73" s="2" t="str">
        <f t="shared" si="9"/>
        <v>0</v>
      </c>
      <c r="M73" s="2">
        <f t="shared" si="10"/>
        <v>1.2999999999999998</v>
      </c>
      <c r="N73" s="2" t="str">
        <f t="shared" si="11"/>
        <v>0</v>
      </c>
      <c r="O73" s="2" t="str">
        <f t="shared" si="12"/>
        <v>0</v>
      </c>
      <c r="P73" s="2">
        <f t="shared" si="13"/>
        <v>1.2999999999999998</v>
      </c>
      <c r="Q73" s="2" t="str">
        <f t="shared" si="14"/>
        <v>0</v>
      </c>
      <c r="R73" s="2" t="str">
        <f t="shared" si="15"/>
        <v>0</v>
      </c>
      <c r="S73" s="2">
        <f t="shared" si="16"/>
        <v>1.2999999999999998</v>
      </c>
      <c r="T73" s="2" t="str">
        <f t="shared" si="17"/>
        <v>0</v>
      </c>
    </row>
    <row r="74" spans="5:20" x14ac:dyDescent="0.25">
      <c r="E74" s="2" t="str">
        <f t="shared" si="2"/>
        <v>0</v>
      </c>
      <c r="F74" s="2" t="str">
        <f t="shared" si="3"/>
        <v>0</v>
      </c>
      <c r="G74" s="2">
        <f t="shared" si="4"/>
        <v>0.39999999999999947</v>
      </c>
      <c r="H74" s="2" t="str">
        <f t="shared" si="5"/>
        <v>0</v>
      </c>
      <c r="I74" s="2" t="str">
        <f t="shared" si="6"/>
        <v>0</v>
      </c>
      <c r="J74" s="2" t="str">
        <f t="shared" si="7"/>
        <v>0</v>
      </c>
      <c r="K74" s="2">
        <f t="shared" si="8"/>
        <v>0.39999999999999947</v>
      </c>
      <c r="L74" s="2" t="str">
        <f t="shared" si="9"/>
        <v>0</v>
      </c>
      <c r="M74" s="2">
        <f t="shared" si="10"/>
        <v>0.39999999999999947</v>
      </c>
      <c r="N74" s="2" t="str">
        <f t="shared" si="11"/>
        <v>0</v>
      </c>
      <c r="O74" s="2" t="str">
        <f t="shared" si="12"/>
        <v>0</v>
      </c>
      <c r="P74" s="2">
        <f t="shared" si="13"/>
        <v>0.39999999999999947</v>
      </c>
      <c r="Q74" s="2" t="str">
        <f t="shared" si="14"/>
        <v>0</v>
      </c>
      <c r="R74" s="2" t="str">
        <f t="shared" si="15"/>
        <v>0</v>
      </c>
      <c r="S74" s="2">
        <f t="shared" si="16"/>
        <v>0.39999999999999947</v>
      </c>
      <c r="T74" s="2" t="str">
        <f t="shared" si="17"/>
        <v>0</v>
      </c>
    </row>
    <row r="75" spans="5:20" x14ac:dyDescent="0.25">
      <c r="E75" s="2" t="str">
        <f t="shared" si="2"/>
        <v>0</v>
      </c>
      <c r="F75" s="2">
        <f t="shared" si="3"/>
        <v>3.9000000000000004</v>
      </c>
      <c r="G75" s="2" t="str">
        <f t="shared" si="4"/>
        <v>0</v>
      </c>
      <c r="H75" s="2" t="str">
        <f t="shared" si="5"/>
        <v>0</v>
      </c>
      <c r="I75" s="2" t="str">
        <f t="shared" si="6"/>
        <v>0</v>
      </c>
      <c r="J75" s="2" t="str">
        <f t="shared" si="7"/>
        <v>0</v>
      </c>
      <c r="K75" s="2">
        <f t="shared" si="8"/>
        <v>3.9000000000000004</v>
      </c>
      <c r="L75" s="2" t="str">
        <f t="shared" si="9"/>
        <v>0</v>
      </c>
      <c r="M75" s="2">
        <f t="shared" si="10"/>
        <v>3.9000000000000004</v>
      </c>
      <c r="N75" s="2" t="str">
        <f t="shared" si="11"/>
        <v>0</v>
      </c>
      <c r="O75" s="2" t="str">
        <f t="shared" si="12"/>
        <v>0</v>
      </c>
      <c r="P75" s="2">
        <f t="shared" si="13"/>
        <v>3.9000000000000004</v>
      </c>
      <c r="Q75" s="2" t="str">
        <f t="shared" si="14"/>
        <v>0</v>
      </c>
      <c r="R75" s="2" t="str">
        <f t="shared" si="15"/>
        <v>0</v>
      </c>
      <c r="S75" s="2">
        <f t="shared" si="16"/>
        <v>3.9000000000000004</v>
      </c>
      <c r="T75" s="2" t="str">
        <f t="shared" si="17"/>
        <v>0</v>
      </c>
    </row>
    <row r="76" spans="5:20" x14ac:dyDescent="0.25">
      <c r="E76" s="2" t="str">
        <f t="shared" si="2"/>
        <v>0</v>
      </c>
      <c r="F76" s="2" t="str">
        <f t="shared" si="3"/>
        <v>0</v>
      </c>
      <c r="G76" s="2" t="str">
        <f t="shared" si="4"/>
        <v>0</v>
      </c>
      <c r="H76" s="2">
        <f t="shared" si="5"/>
        <v>9.9999999999999645E-2</v>
      </c>
      <c r="I76" s="2" t="str">
        <f t="shared" si="6"/>
        <v>0</v>
      </c>
      <c r="J76" s="2" t="str">
        <f t="shared" si="7"/>
        <v>0</v>
      </c>
      <c r="K76" s="2">
        <f t="shared" si="8"/>
        <v>9.9999999999999645E-2</v>
      </c>
      <c r="L76" s="2" t="str">
        <f t="shared" si="9"/>
        <v>0</v>
      </c>
      <c r="M76" s="2">
        <f t="shared" si="10"/>
        <v>9.9999999999999645E-2</v>
      </c>
      <c r="N76" s="2" t="str">
        <f t="shared" si="11"/>
        <v>0</v>
      </c>
      <c r="O76" s="2" t="str">
        <f t="shared" si="12"/>
        <v>0</v>
      </c>
      <c r="P76" s="2">
        <f t="shared" si="13"/>
        <v>9.9999999999999645E-2</v>
      </c>
      <c r="Q76" s="2" t="str">
        <f t="shared" si="14"/>
        <v>0</v>
      </c>
      <c r="R76" s="2" t="str">
        <f t="shared" si="15"/>
        <v>0</v>
      </c>
      <c r="S76" s="2">
        <f t="shared" si="16"/>
        <v>9.9999999999999645E-2</v>
      </c>
      <c r="T76" s="2" t="str">
        <f t="shared" si="17"/>
        <v>0</v>
      </c>
    </row>
    <row r="77" spans="5:20" x14ac:dyDescent="0.25">
      <c r="E77" s="2" t="str">
        <f t="shared" si="2"/>
        <v>0</v>
      </c>
      <c r="F77" s="2">
        <f t="shared" si="3"/>
        <v>6.2000000000000011</v>
      </c>
      <c r="G77" s="2" t="str">
        <f t="shared" si="4"/>
        <v>0</v>
      </c>
      <c r="H77" s="2" t="str">
        <f t="shared" si="5"/>
        <v>0</v>
      </c>
      <c r="I77" s="2" t="str">
        <f t="shared" si="6"/>
        <v>0</v>
      </c>
      <c r="J77" s="2" t="str">
        <f t="shared" si="7"/>
        <v>0</v>
      </c>
      <c r="K77" s="2">
        <f t="shared" si="8"/>
        <v>6.2000000000000011</v>
      </c>
      <c r="L77" s="2" t="str">
        <f t="shared" si="9"/>
        <v>0</v>
      </c>
      <c r="M77" s="2">
        <f t="shared" si="10"/>
        <v>6.2000000000000011</v>
      </c>
      <c r="N77" s="2" t="str">
        <f t="shared" si="11"/>
        <v>0</v>
      </c>
      <c r="O77" s="2" t="str">
        <f t="shared" si="12"/>
        <v>0</v>
      </c>
      <c r="P77" s="2">
        <f t="shared" si="13"/>
        <v>6.2000000000000011</v>
      </c>
      <c r="Q77" s="2" t="str">
        <f t="shared" si="14"/>
        <v>0</v>
      </c>
      <c r="R77" s="2" t="str">
        <f t="shared" si="15"/>
        <v>0</v>
      </c>
      <c r="S77" s="2">
        <f t="shared" si="16"/>
        <v>6.2000000000000011</v>
      </c>
      <c r="T77" s="2" t="str">
        <f t="shared" si="17"/>
        <v>0</v>
      </c>
    </row>
    <row r="78" spans="5:20" x14ac:dyDescent="0.25">
      <c r="E78" s="2" t="str">
        <f t="shared" si="2"/>
        <v>0</v>
      </c>
      <c r="F78" s="2" t="str">
        <f t="shared" si="3"/>
        <v>0</v>
      </c>
      <c r="G78" s="2" t="str">
        <f t="shared" si="4"/>
        <v>0</v>
      </c>
      <c r="H78" s="2">
        <f t="shared" si="5"/>
        <v>9.9999999999997868E-2</v>
      </c>
      <c r="I78" s="2" t="str">
        <f t="shared" si="6"/>
        <v>0</v>
      </c>
      <c r="J78" s="2" t="str">
        <f t="shared" si="7"/>
        <v>0</v>
      </c>
      <c r="K78" s="2">
        <f t="shared" si="8"/>
        <v>9.9999999999997868E-2</v>
      </c>
      <c r="L78" s="2" t="str">
        <f t="shared" si="9"/>
        <v>0</v>
      </c>
      <c r="M78" s="2">
        <f t="shared" si="10"/>
        <v>9.9999999999997868E-2</v>
      </c>
      <c r="N78" s="2" t="str">
        <f t="shared" si="11"/>
        <v>0</v>
      </c>
      <c r="O78" s="2" t="str">
        <f t="shared" si="12"/>
        <v>0</v>
      </c>
      <c r="P78" s="2">
        <f t="shared" si="13"/>
        <v>9.9999999999997868E-2</v>
      </c>
      <c r="Q78" s="2" t="str">
        <f t="shared" si="14"/>
        <v>0</v>
      </c>
      <c r="R78" s="2" t="str">
        <f t="shared" si="15"/>
        <v>0</v>
      </c>
      <c r="S78" s="2">
        <f t="shared" si="16"/>
        <v>9.9999999999997868E-2</v>
      </c>
      <c r="T78" s="2" t="str">
        <f t="shared" si="17"/>
        <v>0</v>
      </c>
    </row>
    <row r="79" spans="5:20" x14ac:dyDescent="0.25">
      <c r="E79" s="2" t="str">
        <f t="shared" si="2"/>
        <v>0</v>
      </c>
      <c r="F79" s="2">
        <f t="shared" si="3"/>
        <v>4.5</v>
      </c>
      <c r="G79" s="2" t="str">
        <f t="shared" si="4"/>
        <v>0</v>
      </c>
      <c r="H79" s="2" t="str">
        <f t="shared" si="5"/>
        <v>0</v>
      </c>
      <c r="I79" s="2">
        <f t="shared" si="6"/>
        <v>4.5</v>
      </c>
      <c r="J79" s="2" t="str">
        <f t="shared" si="7"/>
        <v>0</v>
      </c>
      <c r="K79" s="2">
        <f t="shared" si="8"/>
        <v>4.5</v>
      </c>
      <c r="L79" s="2" t="str">
        <f t="shared" si="9"/>
        <v>0</v>
      </c>
      <c r="M79" s="2">
        <f t="shared" si="10"/>
        <v>4.5</v>
      </c>
      <c r="N79" s="2" t="str">
        <f t="shared" si="11"/>
        <v>0</v>
      </c>
      <c r="O79" s="2" t="str">
        <f t="shared" si="12"/>
        <v>0</v>
      </c>
      <c r="P79" s="2">
        <f t="shared" si="13"/>
        <v>4.5</v>
      </c>
      <c r="Q79" s="2" t="str">
        <f t="shared" si="14"/>
        <v>0</v>
      </c>
      <c r="R79" s="2" t="str">
        <f t="shared" si="15"/>
        <v>0</v>
      </c>
      <c r="S79" s="2">
        <f t="shared" si="16"/>
        <v>4.5</v>
      </c>
      <c r="T79" s="2" t="str">
        <f t="shared" si="17"/>
        <v>0</v>
      </c>
    </row>
    <row r="80" spans="5:20" x14ac:dyDescent="0.25">
      <c r="E80" s="2" t="str">
        <f t="shared" si="2"/>
        <v>0</v>
      </c>
      <c r="F80" s="2" t="str">
        <f t="shared" si="3"/>
        <v>0</v>
      </c>
      <c r="G80" s="2">
        <f t="shared" si="4"/>
        <v>0.20000000000000284</v>
      </c>
      <c r="H80" s="2" t="str">
        <f t="shared" si="5"/>
        <v>0</v>
      </c>
      <c r="I80" s="2">
        <f t="shared" si="6"/>
        <v>0.20000000000000284</v>
      </c>
      <c r="J80" s="2" t="str">
        <f t="shared" si="7"/>
        <v>0</v>
      </c>
      <c r="K80" s="2">
        <f t="shared" si="8"/>
        <v>0.20000000000000284</v>
      </c>
      <c r="L80" s="2" t="str">
        <f t="shared" si="9"/>
        <v>0</v>
      </c>
      <c r="M80" s="2">
        <f t="shared" si="10"/>
        <v>0.20000000000000284</v>
      </c>
      <c r="N80" s="2" t="str">
        <f t="shared" si="11"/>
        <v>0</v>
      </c>
      <c r="O80" s="2" t="str">
        <f t="shared" si="12"/>
        <v>0</v>
      </c>
      <c r="P80" s="2">
        <f t="shared" si="13"/>
        <v>0.20000000000000284</v>
      </c>
      <c r="Q80" s="2" t="str">
        <f t="shared" si="14"/>
        <v>0</v>
      </c>
      <c r="R80" s="2" t="str">
        <f t="shared" si="15"/>
        <v>0</v>
      </c>
      <c r="S80" s="2">
        <f t="shared" si="16"/>
        <v>0.20000000000000284</v>
      </c>
      <c r="T80" s="2" t="str">
        <f t="shared" si="17"/>
        <v>0</v>
      </c>
    </row>
    <row r="81" spans="5:20" x14ac:dyDescent="0.25">
      <c r="E81" s="2" t="str">
        <f t="shared" si="2"/>
        <v>0</v>
      </c>
      <c r="F81" s="2">
        <f t="shared" si="3"/>
        <v>10.899999999999999</v>
      </c>
      <c r="G81" s="2" t="str">
        <f t="shared" si="4"/>
        <v>0</v>
      </c>
      <c r="H81" s="2" t="str">
        <f t="shared" si="5"/>
        <v>0</v>
      </c>
      <c r="I81" s="2" t="str">
        <f t="shared" si="6"/>
        <v>0</v>
      </c>
      <c r="J81" s="2" t="str">
        <f t="shared" si="7"/>
        <v>0</v>
      </c>
      <c r="K81" s="2">
        <f t="shared" si="8"/>
        <v>10.899999999999999</v>
      </c>
      <c r="L81" s="2" t="str">
        <f t="shared" si="9"/>
        <v>0</v>
      </c>
      <c r="M81" s="2">
        <f t="shared" si="10"/>
        <v>10.899999999999999</v>
      </c>
      <c r="N81" s="2" t="str">
        <f t="shared" si="11"/>
        <v>0</v>
      </c>
      <c r="O81" s="2" t="str">
        <f t="shared" si="12"/>
        <v>0</v>
      </c>
      <c r="P81" s="2">
        <f t="shared" si="13"/>
        <v>10.899999999999999</v>
      </c>
      <c r="Q81" s="2" t="str">
        <f t="shared" si="14"/>
        <v>0</v>
      </c>
      <c r="R81" s="2" t="str">
        <f t="shared" si="15"/>
        <v>0</v>
      </c>
      <c r="S81" s="2">
        <f t="shared" si="16"/>
        <v>10.899999999999999</v>
      </c>
      <c r="T81" s="2" t="str">
        <f t="shared" si="17"/>
        <v>0</v>
      </c>
    </row>
    <row r="82" spans="5:20" x14ac:dyDescent="0.25">
      <c r="E82" s="2" t="str">
        <f t="shared" si="2"/>
        <v>0</v>
      </c>
      <c r="F82" s="2" t="str">
        <f t="shared" si="3"/>
        <v>0</v>
      </c>
      <c r="G82" s="2">
        <f t="shared" si="4"/>
        <v>0.70000000000000284</v>
      </c>
      <c r="H82" s="2" t="str">
        <f t="shared" si="5"/>
        <v>0</v>
      </c>
      <c r="I82" s="2">
        <f t="shared" si="6"/>
        <v>0.70000000000000284</v>
      </c>
      <c r="J82" s="2" t="str">
        <f t="shared" si="7"/>
        <v>0</v>
      </c>
      <c r="K82" s="2">
        <f t="shared" si="8"/>
        <v>0.70000000000000284</v>
      </c>
      <c r="L82" s="2" t="str">
        <f t="shared" si="9"/>
        <v>0</v>
      </c>
      <c r="M82" s="2">
        <f t="shared" si="10"/>
        <v>0.70000000000000284</v>
      </c>
      <c r="N82" s="2" t="str">
        <f t="shared" si="11"/>
        <v>0</v>
      </c>
      <c r="O82" s="2" t="str">
        <f t="shared" si="12"/>
        <v>0</v>
      </c>
      <c r="P82" s="2">
        <f t="shared" si="13"/>
        <v>0.70000000000000284</v>
      </c>
      <c r="Q82" s="2" t="str">
        <f t="shared" si="14"/>
        <v>0</v>
      </c>
      <c r="R82" s="2" t="str">
        <f t="shared" si="15"/>
        <v>0</v>
      </c>
      <c r="S82" s="2">
        <f t="shared" si="16"/>
        <v>0.70000000000000284</v>
      </c>
      <c r="T82" s="2" t="str">
        <f t="shared" si="17"/>
        <v>0</v>
      </c>
    </row>
    <row r="83" spans="5:20" x14ac:dyDescent="0.25">
      <c r="E83" s="2" t="str">
        <f t="shared" si="2"/>
        <v>0</v>
      </c>
      <c r="F83" s="2" t="str">
        <f t="shared" si="3"/>
        <v>0</v>
      </c>
      <c r="G83" s="2" t="str">
        <f t="shared" si="4"/>
        <v>0</v>
      </c>
      <c r="H83" s="2">
        <f t="shared" si="5"/>
        <v>9.9999999999994316E-2</v>
      </c>
      <c r="I83" s="2">
        <f t="shared" si="6"/>
        <v>9.9999999999994316E-2</v>
      </c>
      <c r="J83" s="2" t="str">
        <f t="shared" si="7"/>
        <v>0</v>
      </c>
      <c r="K83" s="2">
        <f t="shared" si="8"/>
        <v>9.9999999999994316E-2</v>
      </c>
      <c r="L83" s="2" t="str">
        <f t="shared" si="9"/>
        <v>0</v>
      </c>
      <c r="M83" s="2">
        <f t="shared" si="10"/>
        <v>9.9999999999994316E-2</v>
      </c>
      <c r="N83" s="2" t="str">
        <f t="shared" si="11"/>
        <v>0</v>
      </c>
      <c r="O83" s="2" t="str">
        <f t="shared" si="12"/>
        <v>0</v>
      </c>
      <c r="P83" s="2">
        <f t="shared" si="13"/>
        <v>9.9999999999994316E-2</v>
      </c>
      <c r="Q83" s="2" t="str">
        <f t="shared" si="14"/>
        <v>0</v>
      </c>
      <c r="R83" s="2" t="str">
        <f t="shared" si="15"/>
        <v>0</v>
      </c>
      <c r="S83" s="2">
        <f t="shared" si="16"/>
        <v>9.9999999999994316E-2</v>
      </c>
      <c r="T83" s="2" t="str">
        <f t="shared" si="17"/>
        <v>0</v>
      </c>
    </row>
    <row r="84" spans="5:20" x14ac:dyDescent="0.25">
      <c r="E84" s="2" t="str">
        <f t="shared" si="2"/>
        <v>0</v>
      </c>
      <c r="F84" s="2">
        <f t="shared" si="3"/>
        <v>21.900000000000006</v>
      </c>
      <c r="G84" s="2" t="str">
        <f t="shared" si="4"/>
        <v>0</v>
      </c>
      <c r="H84" s="2" t="str">
        <f t="shared" si="5"/>
        <v>0</v>
      </c>
      <c r="I84" s="2" t="str">
        <f t="shared" si="6"/>
        <v>0</v>
      </c>
      <c r="J84" s="2" t="str">
        <f t="shared" si="7"/>
        <v>0</v>
      </c>
      <c r="K84" s="2">
        <f t="shared" si="8"/>
        <v>21.900000000000006</v>
      </c>
      <c r="L84" s="2" t="str">
        <f t="shared" si="9"/>
        <v>0</v>
      </c>
      <c r="M84" s="2">
        <f t="shared" si="10"/>
        <v>21.900000000000006</v>
      </c>
      <c r="N84" s="2" t="str">
        <f t="shared" si="11"/>
        <v>0</v>
      </c>
      <c r="O84" s="2" t="str">
        <f t="shared" si="12"/>
        <v>0</v>
      </c>
      <c r="P84" s="2">
        <f t="shared" si="13"/>
        <v>21.900000000000006</v>
      </c>
      <c r="Q84" s="2" t="str">
        <f t="shared" si="14"/>
        <v>0</v>
      </c>
      <c r="R84" s="2" t="str">
        <f t="shared" si="15"/>
        <v>0</v>
      </c>
      <c r="S84" s="2">
        <f t="shared" si="16"/>
        <v>21.900000000000006</v>
      </c>
      <c r="T84" s="2" t="str">
        <f t="shared" si="17"/>
        <v>0</v>
      </c>
    </row>
    <row r="85" spans="5:20" x14ac:dyDescent="0.25">
      <c r="E85" s="2" t="str">
        <f t="shared" si="2"/>
        <v>0</v>
      </c>
      <c r="F85" s="2" t="str">
        <f t="shared" si="3"/>
        <v>0</v>
      </c>
      <c r="G85" s="2" t="str">
        <f t="shared" si="4"/>
        <v>0</v>
      </c>
      <c r="H85" s="2">
        <f t="shared" si="5"/>
        <v>0.29999999999999716</v>
      </c>
      <c r="I85" s="2">
        <f t="shared" si="6"/>
        <v>0.29999999999999716</v>
      </c>
      <c r="J85" s="2" t="str">
        <f t="shared" si="7"/>
        <v>0</v>
      </c>
      <c r="K85" s="2">
        <f t="shared" si="8"/>
        <v>0.29999999999999716</v>
      </c>
      <c r="L85" s="2" t="str">
        <f t="shared" si="9"/>
        <v>0</v>
      </c>
      <c r="M85" s="2">
        <f t="shared" si="10"/>
        <v>0.29999999999999716</v>
      </c>
      <c r="N85" s="2" t="str">
        <f t="shared" si="11"/>
        <v>0</v>
      </c>
      <c r="O85" s="2" t="str">
        <f t="shared" si="12"/>
        <v>0</v>
      </c>
      <c r="P85" s="2">
        <f t="shared" si="13"/>
        <v>0.29999999999999716</v>
      </c>
      <c r="Q85" s="2" t="str">
        <f t="shared" si="14"/>
        <v>0</v>
      </c>
      <c r="R85" s="2" t="str">
        <f t="shared" si="15"/>
        <v>0</v>
      </c>
      <c r="S85" s="2">
        <f t="shared" si="16"/>
        <v>0.29999999999999716</v>
      </c>
      <c r="T85" s="2" t="str">
        <f t="shared" si="17"/>
        <v>0</v>
      </c>
    </row>
    <row r="86" spans="5:20" x14ac:dyDescent="0.25">
      <c r="E86" s="2" t="str">
        <f t="shared" si="2"/>
        <v>0</v>
      </c>
      <c r="F86" s="2" t="str">
        <f t="shared" si="3"/>
        <v>0</v>
      </c>
      <c r="G86" s="2">
        <f t="shared" si="4"/>
        <v>0.39999999999999858</v>
      </c>
      <c r="H86" s="2" t="str">
        <f t="shared" si="5"/>
        <v>0</v>
      </c>
      <c r="I86" s="2" t="str">
        <f t="shared" si="6"/>
        <v>0</v>
      </c>
      <c r="J86" s="2" t="str">
        <f t="shared" si="7"/>
        <v>0</v>
      </c>
      <c r="K86" s="2">
        <f t="shared" si="8"/>
        <v>0.39999999999999858</v>
      </c>
      <c r="L86" s="2" t="str">
        <f t="shared" si="9"/>
        <v>0</v>
      </c>
      <c r="M86" s="2">
        <f t="shared" si="10"/>
        <v>0.39999999999999858</v>
      </c>
      <c r="N86" s="2" t="str">
        <f t="shared" si="11"/>
        <v>0</v>
      </c>
      <c r="O86" s="2" t="str">
        <f t="shared" si="12"/>
        <v>0</v>
      </c>
      <c r="P86" s="2">
        <f t="shared" si="13"/>
        <v>0.39999999999999858</v>
      </c>
      <c r="Q86" s="2" t="str">
        <f t="shared" si="14"/>
        <v>0</v>
      </c>
      <c r="R86" s="2" t="str">
        <f t="shared" si="15"/>
        <v>0</v>
      </c>
      <c r="S86" s="2">
        <f t="shared" si="16"/>
        <v>0.39999999999999858</v>
      </c>
      <c r="T86" s="2" t="str">
        <f t="shared" si="17"/>
        <v>0</v>
      </c>
    </row>
    <row r="87" spans="5:20" x14ac:dyDescent="0.25">
      <c r="E87" s="2" t="str">
        <f t="shared" si="2"/>
        <v>0</v>
      </c>
      <c r="F87" s="2">
        <f t="shared" si="3"/>
        <v>3.3500000000000014</v>
      </c>
      <c r="G87" s="2" t="str">
        <f t="shared" si="4"/>
        <v>0</v>
      </c>
      <c r="H87" s="2" t="str">
        <f t="shared" si="5"/>
        <v>0</v>
      </c>
      <c r="I87" s="2" t="str">
        <f t="shared" si="6"/>
        <v>0</v>
      </c>
      <c r="J87" s="2" t="str">
        <f t="shared" si="7"/>
        <v>0</v>
      </c>
      <c r="K87" s="2">
        <f t="shared" si="8"/>
        <v>3.3500000000000014</v>
      </c>
      <c r="L87" s="2" t="str">
        <f t="shared" si="9"/>
        <v>0</v>
      </c>
      <c r="M87" s="2">
        <f t="shared" si="10"/>
        <v>3.3500000000000014</v>
      </c>
      <c r="N87" s="2" t="str">
        <f t="shared" si="11"/>
        <v>0</v>
      </c>
      <c r="O87" s="2" t="str">
        <f t="shared" si="12"/>
        <v>0</v>
      </c>
      <c r="P87" s="2">
        <f t="shared" si="13"/>
        <v>3.3500000000000014</v>
      </c>
      <c r="Q87" s="2" t="str">
        <f t="shared" si="14"/>
        <v>0</v>
      </c>
      <c r="R87" s="2" t="str">
        <f t="shared" si="15"/>
        <v>0</v>
      </c>
      <c r="S87" s="2">
        <f t="shared" si="16"/>
        <v>3.3500000000000014</v>
      </c>
      <c r="T87" s="2" t="str">
        <f t="shared" si="17"/>
        <v>0</v>
      </c>
    </row>
    <row r="88" spans="5:20" x14ac:dyDescent="0.25">
      <c r="E88" s="2" t="str">
        <f t="shared" si="2"/>
        <v>0</v>
      </c>
      <c r="F88" s="2">
        <f t="shared" si="3"/>
        <v>9.49</v>
      </c>
      <c r="G88" s="2" t="str">
        <f t="shared" si="4"/>
        <v>0</v>
      </c>
      <c r="H88" s="2" t="str">
        <f t="shared" si="5"/>
        <v>0</v>
      </c>
      <c r="I88" s="2" t="str">
        <f t="shared" si="6"/>
        <v>0</v>
      </c>
      <c r="J88" s="2" t="str">
        <f t="shared" si="7"/>
        <v>0</v>
      </c>
      <c r="K88" s="2">
        <f t="shared" si="8"/>
        <v>9.49</v>
      </c>
      <c r="L88" s="2" t="str">
        <f t="shared" si="9"/>
        <v>0</v>
      </c>
      <c r="M88" s="2">
        <f t="shared" si="10"/>
        <v>9.49</v>
      </c>
      <c r="N88" s="2" t="str">
        <f t="shared" si="11"/>
        <v>0</v>
      </c>
      <c r="O88" s="2" t="str">
        <f t="shared" si="12"/>
        <v>0</v>
      </c>
      <c r="P88" s="2">
        <f t="shared" si="13"/>
        <v>9.49</v>
      </c>
      <c r="Q88" s="2" t="str">
        <f t="shared" si="14"/>
        <v>0</v>
      </c>
      <c r="R88" s="2" t="str">
        <f t="shared" si="15"/>
        <v>0</v>
      </c>
      <c r="S88" s="2">
        <f t="shared" si="16"/>
        <v>9.49</v>
      </c>
      <c r="T88" s="2" t="str">
        <f t="shared" si="17"/>
        <v>0</v>
      </c>
    </row>
    <row r="89" spans="5:20" x14ac:dyDescent="0.25">
      <c r="E89" s="2" t="str">
        <f t="shared" si="2"/>
        <v>0</v>
      </c>
      <c r="F89" s="2" t="str">
        <f t="shared" si="3"/>
        <v>0</v>
      </c>
      <c r="G89" s="2" t="str">
        <f t="shared" si="4"/>
        <v>0</v>
      </c>
      <c r="H89" s="2" t="str">
        <f t="shared" si="5"/>
        <v>0</v>
      </c>
      <c r="I89" s="2" t="str">
        <f t="shared" si="6"/>
        <v>0</v>
      </c>
      <c r="J89" s="2" t="str">
        <f t="shared" si="7"/>
        <v>0</v>
      </c>
      <c r="K89" s="2">
        <f t="shared" si="8"/>
        <v>2.5</v>
      </c>
      <c r="L89" s="2" t="str">
        <f t="shared" si="9"/>
        <v>0</v>
      </c>
      <c r="M89" s="2">
        <f t="shared" si="10"/>
        <v>2.5</v>
      </c>
      <c r="N89" s="2" t="str">
        <f t="shared" si="11"/>
        <v>0</v>
      </c>
      <c r="O89" s="2" t="str">
        <f t="shared" si="12"/>
        <v>0</v>
      </c>
      <c r="P89" s="2">
        <f t="shared" si="13"/>
        <v>2.5</v>
      </c>
      <c r="Q89" s="2" t="str">
        <f t="shared" si="14"/>
        <v>0</v>
      </c>
      <c r="R89" s="2" t="str">
        <f t="shared" si="15"/>
        <v>0</v>
      </c>
      <c r="S89" s="2">
        <f t="shared" si="16"/>
        <v>2.5</v>
      </c>
      <c r="T89" s="2" t="str">
        <f t="shared" si="17"/>
        <v>0</v>
      </c>
    </row>
    <row r="90" spans="5:20" x14ac:dyDescent="0.25">
      <c r="E90" s="2" t="str">
        <f t="shared" si="2"/>
        <v>0</v>
      </c>
      <c r="F90" s="2" t="str">
        <f t="shared" si="3"/>
        <v>0</v>
      </c>
      <c r="G90" s="2" t="str">
        <f t="shared" si="4"/>
        <v>0</v>
      </c>
      <c r="H90" s="2">
        <f t="shared" si="5"/>
        <v>0.10000000000000009</v>
      </c>
      <c r="I90" s="2" t="str">
        <f t="shared" si="6"/>
        <v>0</v>
      </c>
      <c r="J90" s="2" t="str">
        <f t="shared" si="7"/>
        <v>0</v>
      </c>
      <c r="K90" s="2">
        <f t="shared" si="8"/>
        <v>0.10000000000000009</v>
      </c>
      <c r="L90" s="2" t="str">
        <f t="shared" si="9"/>
        <v>0</v>
      </c>
      <c r="M90" s="2">
        <f t="shared" si="10"/>
        <v>0.10000000000000009</v>
      </c>
      <c r="N90" s="2" t="str">
        <f t="shared" si="11"/>
        <v>0</v>
      </c>
      <c r="O90" s="2" t="str">
        <f t="shared" si="12"/>
        <v>0</v>
      </c>
      <c r="P90" s="2">
        <f t="shared" si="13"/>
        <v>0.10000000000000009</v>
      </c>
      <c r="Q90" s="2" t="str">
        <f t="shared" si="14"/>
        <v>0</v>
      </c>
      <c r="R90" s="2" t="str">
        <f t="shared" si="15"/>
        <v>0</v>
      </c>
      <c r="S90" s="2">
        <f t="shared" si="16"/>
        <v>0.10000000000000009</v>
      </c>
      <c r="T90" s="2" t="str">
        <f t="shared" si="17"/>
        <v>0</v>
      </c>
    </row>
    <row r="91" spans="5:20" x14ac:dyDescent="0.25">
      <c r="E91" s="2" t="str">
        <f t="shared" si="2"/>
        <v>0</v>
      </c>
      <c r="F91" s="2">
        <f t="shared" si="3"/>
        <v>0.39999999999999991</v>
      </c>
      <c r="G91" s="2" t="str">
        <f t="shared" si="4"/>
        <v>0</v>
      </c>
      <c r="H91" s="2" t="str">
        <f t="shared" si="5"/>
        <v>0</v>
      </c>
      <c r="I91" s="2" t="str">
        <f t="shared" si="6"/>
        <v>0</v>
      </c>
      <c r="J91" s="2" t="str">
        <f t="shared" si="7"/>
        <v>0</v>
      </c>
      <c r="K91" s="2">
        <f t="shared" si="8"/>
        <v>0.39999999999999991</v>
      </c>
      <c r="L91" s="2" t="str">
        <f t="shared" si="9"/>
        <v>0</v>
      </c>
      <c r="M91" s="2">
        <f t="shared" si="10"/>
        <v>0.39999999999999991</v>
      </c>
      <c r="N91" s="2" t="str">
        <f t="shared" si="11"/>
        <v>0</v>
      </c>
      <c r="O91" s="2" t="str">
        <f t="shared" si="12"/>
        <v>0</v>
      </c>
      <c r="P91" s="2">
        <f t="shared" si="13"/>
        <v>0.39999999999999991</v>
      </c>
      <c r="Q91" s="2" t="str">
        <f t="shared" si="14"/>
        <v>0</v>
      </c>
      <c r="R91" s="2" t="str">
        <f t="shared" si="15"/>
        <v>0</v>
      </c>
      <c r="S91" s="2">
        <f t="shared" si="16"/>
        <v>0.39999999999999991</v>
      </c>
      <c r="T91" s="2" t="str">
        <f t="shared" si="17"/>
        <v>0</v>
      </c>
    </row>
    <row r="92" spans="5:20" x14ac:dyDescent="0.25">
      <c r="E92" s="2" t="str">
        <f t="shared" si="2"/>
        <v>0</v>
      </c>
      <c r="F92" s="2" t="str">
        <f t="shared" si="3"/>
        <v>0</v>
      </c>
      <c r="G92" s="2">
        <f t="shared" si="4"/>
        <v>2.2999999999999998</v>
      </c>
      <c r="H92" s="2" t="str">
        <f t="shared" si="5"/>
        <v>0</v>
      </c>
      <c r="I92" s="2" t="str">
        <f t="shared" si="6"/>
        <v>0</v>
      </c>
      <c r="J92" s="2" t="str">
        <f t="shared" si="7"/>
        <v>0</v>
      </c>
      <c r="K92" s="2">
        <f t="shared" si="8"/>
        <v>2.2999999999999998</v>
      </c>
      <c r="L92" s="2" t="str">
        <f t="shared" si="9"/>
        <v>0</v>
      </c>
      <c r="M92" s="2">
        <f t="shared" si="10"/>
        <v>2.2999999999999998</v>
      </c>
      <c r="N92" s="2" t="str">
        <f t="shared" si="11"/>
        <v>0</v>
      </c>
      <c r="O92" s="2" t="str">
        <f t="shared" si="12"/>
        <v>0</v>
      </c>
      <c r="P92" s="2">
        <f t="shared" si="13"/>
        <v>2.2999999999999998</v>
      </c>
      <c r="Q92" s="2" t="str">
        <f t="shared" si="14"/>
        <v>0</v>
      </c>
      <c r="R92" s="2" t="str">
        <f t="shared" si="15"/>
        <v>0</v>
      </c>
      <c r="S92" s="2">
        <f t="shared" si="16"/>
        <v>2.2999999999999998</v>
      </c>
      <c r="T92" s="2" t="str">
        <f t="shared" si="17"/>
        <v>0</v>
      </c>
    </row>
    <row r="93" spans="5:20" x14ac:dyDescent="0.25">
      <c r="E93" s="2" t="str">
        <f>IF(E35="X",(D35-C35),"0")</f>
        <v>0</v>
      </c>
      <c r="F93" s="2">
        <f>IF(F35="X",(D35-C35),"0")</f>
        <v>1.4000000000000004</v>
      </c>
      <c r="G93" s="2" t="str">
        <f>IF(G35="X",(D35-C35),"0")</f>
        <v>0</v>
      </c>
      <c r="H93" s="2" t="str">
        <f>IF(H35="X",(D35-C35),"0")</f>
        <v>0</v>
      </c>
      <c r="I93" s="2" t="str">
        <f>IF(I35="X",(D35-C35),"0")</f>
        <v>0</v>
      </c>
      <c r="J93" s="2" t="str">
        <f>IF(J35="X",(D35-C35),"0")</f>
        <v>0</v>
      </c>
      <c r="K93" s="2">
        <f>IF(K35="X",(D35-C35),"0")</f>
        <v>1.4000000000000004</v>
      </c>
      <c r="L93" s="2" t="str">
        <f>IF(L35="X",(D35-C35),"0")</f>
        <v>0</v>
      </c>
      <c r="M93" s="2">
        <f>IF(M35="X",(D35-C35),"0")</f>
        <v>1.4000000000000004</v>
      </c>
      <c r="N93" s="2" t="str">
        <f>IF(N35="X",(D35-C35),"0")</f>
        <v>0</v>
      </c>
      <c r="O93" s="2" t="str">
        <f>IF(O35="X",(D35-C35),"0")</f>
        <v>0</v>
      </c>
      <c r="P93" s="2">
        <f>IF(P35="X",(D35-C35),"0")</f>
        <v>1.4000000000000004</v>
      </c>
      <c r="Q93" s="2" t="str">
        <f>IF(Q35="X",(D35-C35),"0")</f>
        <v>0</v>
      </c>
      <c r="R93" s="2" t="str">
        <f>IF(R35="X",(D35-C35),"0")</f>
        <v>0</v>
      </c>
      <c r="S93" s="2">
        <f>IF(S35="X",(D35-C35),"0")</f>
        <v>1.4000000000000004</v>
      </c>
      <c r="T93" s="2" t="str">
        <f>IF(T35="X",(D35-C35),"0")</f>
        <v>0</v>
      </c>
    </row>
    <row r="94" spans="5:20" x14ac:dyDescent="0.25">
      <c r="E94" s="2" t="str">
        <f t="shared" ref="E94:E95" si="18">IF(E36="X",(D36-C36),"0")</f>
        <v>0</v>
      </c>
      <c r="F94" s="2" t="str">
        <f t="shared" ref="F94:F95" si="19">IF(F36="X",(D36-C36),"0")</f>
        <v>0</v>
      </c>
      <c r="G94" s="2">
        <f t="shared" ref="G94:G95" si="20">IF(G36="X",(D36-C36),"0")</f>
        <v>0.79999999999999982</v>
      </c>
      <c r="H94" s="2" t="str">
        <f t="shared" ref="H94:H95" si="21">IF(H36="X",(D36-C36),"0")</f>
        <v>0</v>
      </c>
      <c r="I94" s="2" t="str">
        <f t="shared" ref="I94:I95" si="22">IF(I36="X",(D36-C36),"0")</f>
        <v>0</v>
      </c>
      <c r="J94" s="2" t="str">
        <f t="shared" ref="J94:J95" si="23">IF(J36="X",(D36-C36),"0")</f>
        <v>0</v>
      </c>
      <c r="K94" s="2">
        <f t="shared" ref="K94:K95" si="24">IF(K36="X",(D36-C36),"0")</f>
        <v>0.79999999999999982</v>
      </c>
      <c r="L94" s="2" t="str">
        <f t="shared" ref="L94:L95" si="25">IF(L36="X",(D36-C36),"0")</f>
        <v>0</v>
      </c>
      <c r="M94" s="2">
        <f t="shared" ref="M94:M95" si="26">IF(M36="X",(D36-C36),"0")</f>
        <v>0.79999999999999982</v>
      </c>
      <c r="N94" s="2" t="str">
        <f t="shared" ref="N94:N95" si="27">IF(N36="X",(D36-C36),"0")</f>
        <v>0</v>
      </c>
      <c r="O94" s="2" t="str">
        <f t="shared" ref="O94:O95" si="28">IF(O36="X",(D36-C36),"0")</f>
        <v>0</v>
      </c>
      <c r="P94" s="2">
        <f t="shared" ref="P94:P95" si="29">IF(P36="X",(D36-C36),"0")</f>
        <v>0.79999999999999982</v>
      </c>
      <c r="Q94" s="2" t="str">
        <f t="shared" ref="Q94:Q95" si="30">IF(Q36="X",(D36-C36),"0")</f>
        <v>0</v>
      </c>
      <c r="R94" s="2" t="str">
        <f t="shared" ref="R94:R95" si="31">IF(R36="X",(D36-C36),"0")</f>
        <v>0</v>
      </c>
      <c r="S94" s="2">
        <f t="shared" ref="S94:S95" si="32">IF(S36="X",(D36-C36),"0")</f>
        <v>0.79999999999999982</v>
      </c>
      <c r="T94" s="2" t="str">
        <f t="shared" ref="T94:T95" si="33">IF(T36="X",(D36-C36),"0")</f>
        <v>0</v>
      </c>
    </row>
    <row r="95" spans="5:20" x14ac:dyDescent="0.25">
      <c r="E95" s="2" t="str">
        <f t="shared" si="18"/>
        <v>0</v>
      </c>
      <c r="F95" s="2">
        <f t="shared" si="19"/>
        <v>1.1999999999999993</v>
      </c>
      <c r="G95" s="2" t="str">
        <f t="shared" si="20"/>
        <v>0</v>
      </c>
      <c r="H95" s="2" t="str">
        <f t="shared" si="21"/>
        <v>0</v>
      </c>
      <c r="I95" s="2" t="str">
        <f t="shared" si="22"/>
        <v>0</v>
      </c>
      <c r="J95" s="2">
        <f t="shared" si="23"/>
        <v>1.1999999999999993</v>
      </c>
      <c r="K95" s="2" t="str">
        <f t="shared" si="24"/>
        <v>0</v>
      </c>
      <c r="L95" s="2" t="str">
        <f t="shared" si="25"/>
        <v>0</v>
      </c>
      <c r="M95" s="2">
        <f t="shared" si="26"/>
        <v>1.1999999999999993</v>
      </c>
      <c r="N95" s="2" t="str">
        <f t="shared" si="27"/>
        <v>0</v>
      </c>
      <c r="O95" s="2" t="str">
        <f t="shared" si="28"/>
        <v>0</v>
      </c>
      <c r="P95" s="2">
        <f t="shared" si="29"/>
        <v>1.1999999999999993</v>
      </c>
      <c r="Q95" s="2" t="str">
        <f t="shared" si="30"/>
        <v>0</v>
      </c>
      <c r="R95" s="2" t="str">
        <f t="shared" si="31"/>
        <v>0</v>
      </c>
      <c r="S95" s="2">
        <f t="shared" si="32"/>
        <v>1.1999999999999993</v>
      </c>
      <c r="T95" s="2" t="str">
        <f t="shared" si="33"/>
        <v>0</v>
      </c>
    </row>
    <row r="96" spans="5:20" x14ac:dyDescent="0.25">
      <c r="E96" s="2" t="str">
        <f>IF(E38="X",(D38-C38),"0")</f>
        <v>0</v>
      </c>
      <c r="F96" s="2" t="str">
        <f>IF(F38="X",(D38-C38),"0")</f>
        <v>0</v>
      </c>
      <c r="G96" s="2">
        <f>IF(G38="X",(D38-C38),"0")</f>
        <v>2.6000000000000014</v>
      </c>
      <c r="H96" s="2" t="str">
        <f>IF(H38="X",(D38-C38),"0")</f>
        <v>0</v>
      </c>
      <c r="I96" s="2" t="str">
        <f>IF(I38="X",(D38-C38),"0")</f>
        <v>0</v>
      </c>
      <c r="J96" s="2">
        <f>IF(J38="X",(D38-C38),"0")</f>
        <v>2.6000000000000014</v>
      </c>
      <c r="K96" s="2" t="str">
        <f>IF(K38="X",(D38-C38),"0")</f>
        <v>0</v>
      </c>
      <c r="L96" s="2" t="str">
        <f>IF(L38="X",(D38-C38),"0")</f>
        <v>0</v>
      </c>
      <c r="M96" s="2">
        <f>IF(M38="X",(D38-C38),"0")</f>
        <v>2.6000000000000014</v>
      </c>
      <c r="N96" s="2" t="str">
        <f>IF(N38="X",(D38-C38),"0")</f>
        <v>0</v>
      </c>
      <c r="O96" s="2" t="str">
        <f>IF(O38="X",(D38-C38),"0")</f>
        <v>0</v>
      </c>
      <c r="P96" s="2">
        <f>IF(P38="X",(D38-C38),"0")</f>
        <v>2.6000000000000014</v>
      </c>
      <c r="Q96" s="2" t="str">
        <f>IF(Q38="X",(D38-C38),"0")</f>
        <v>0</v>
      </c>
      <c r="R96" s="2" t="str">
        <f>IF(R38="X",(D38-C38),"0")</f>
        <v>0</v>
      </c>
      <c r="S96" s="2">
        <f>IF(S38="X",(D38-C38),"0")</f>
        <v>2.6000000000000014</v>
      </c>
      <c r="T96" s="2" t="str">
        <f>IF(T38="X",(D38-C38),"0")</f>
        <v>0</v>
      </c>
    </row>
    <row r="97" spans="5:20" x14ac:dyDescent="0.25">
      <c r="E97" s="2" t="str">
        <f t="shared" ref="E97" si="34">IF(E39="X",(D39-C39),"0")</f>
        <v>0</v>
      </c>
      <c r="F97" s="2" t="str">
        <f t="shared" ref="F97" si="35">IF(F39="X",(D39-C39),"0")</f>
        <v>0</v>
      </c>
      <c r="G97" s="2" t="str">
        <f t="shared" ref="G97" si="36">IF(G39="X",(D39-C39),"0")</f>
        <v>0</v>
      </c>
      <c r="H97" s="2">
        <f t="shared" ref="H97" si="37">IF(H39="X",(D39-C39),"0")</f>
        <v>9.9999999999999645E-2</v>
      </c>
      <c r="I97" s="2" t="str">
        <f t="shared" ref="I97" si="38">IF(I39="X",(D39-C39),"0")</f>
        <v>0</v>
      </c>
      <c r="J97" s="2">
        <f t="shared" ref="J97" si="39">IF(J39="X",(D39-C39),"0")</f>
        <v>9.9999999999999645E-2</v>
      </c>
      <c r="K97" s="2" t="str">
        <f t="shared" ref="K97" si="40">IF(K39="X",(D39-C39),"0")</f>
        <v>0</v>
      </c>
      <c r="L97" s="2" t="str">
        <f t="shared" ref="L97" si="41">IF(L39="X",(D39-C39),"0")</f>
        <v>0</v>
      </c>
      <c r="M97" s="2">
        <f t="shared" ref="M97" si="42">IF(M39="X",(D39-C39),"0")</f>
        <v>9.9999999999999645E-2</v>
      </c>
      <c r="N97" s="2" t="str">
        <f t="shared" ref="N97" si="43">IF(N39="X",(D39-C39),"0")</f>
        <v>0</v>
      </c>
      <c r="O97" s="2" t="str">
        <f t="shared" ref="O97" si="44">IF(O39="X",(D39-C39),"0")</f>
        <v>0</v>
      </c>
      <c r="P97" s="2">
        <f t="shared" ref="P97" si="45">IF(P39="X",(D39-C39),"0")</f>
        <v>9.9999999999999645E-2</v>
      </c>
      <c r="Q97" s="2" t="str">
        <f t="shared" ref="Q97" si="46">IF(Q39="X",(D39-C39),"0")</f>
        <v>0</v>
      </c>
      <c r="R97" s="2" t="str">
        <f t="shared" ref="R97" si="47">IF(R39="X",(D39-C39),"0")</f>
        <v>0</v>
      </c>
      <c r="S97" s="2">
        <f t="shared" ref="S97" si="48">IF(S39="X",(D39-C39),"0")</f>
        <v>9.9999999999999645E-2</v>
      </c>
      <c r="T97" s="2" t="str">
        <f t="shared" ref="T97" si="49">IF(T39="X",(D39-C39),"0")</f>
        <v>0</v>
      </c>
    </row>
    <row r="98" spans="5:20" x14ac:dyDescent="0.25">
      <c r="E98" s="2" t="str">
        <f>IF(E40="X",(D40-C40),"0")</f>
        <v>0</v>
      </c>
      <c r="F98" s="2">
        <f>IF(F40="X",(D40-C40),"0")</f>
        <v>0.5</v>
      </c>
      <c r="G98" s="2" t="str">
        <f>IF(G40="X",(D40-C40),"0")</f>
        <v>0</v>
      </c>
      <c r="H98" s="2" t="str">
        <f>IF(H40="X",(D40-C40),"0")</f>
        <v>0</v>
      </c>
      <c r="I98" s="2" t="str">
        <f>IF(I40="X",(D40-C40),"0")</f>
        <v>0</v>
      </c>
      <c r="J98" s="2">
        <f>IF(J40="X",(D40-C40),"0")</f>
        <v>0.5</v>
      </c>
      <c r="K98" s="2" t="str">
        <f>IF(K40="X",(D40-C40),"0")</f>
        <v>0</v>
      </c>
      <c r="L98" s="2" t="str">
        <f>IF(L40="X",(D40-C40),"0")</f>
        <v>0</v>
      </c>
      <c r="M98" s="2">
        <f>IF(M40="X",(D40-C40),"0")</f>
        <v>0.5</v>
      </c>
      <c r="N98" s="2" t="str">
        <f>IF(N40="X",(D40-C40),"0")</f>
        <v>0</v>
      </c>
      <c r="O98" s="2" t="str">
        <f>IF(O40="X",(D40-C40),"0")</f>
        <v>0</v>
      </c>
      <c r="P98" s="2">
        <f>IF(P40="X",(D40-C40),"0")</f>
        <v>0.5</v>
      </c>
      <c r="Q98" s="2" t="str">
        <f>IF(Q40="X",(D40-C40),"0")</f>
        <v>0</v>
      </c>
      <c r="R98" s="2" t="str">
        <f>IF(R40="X",(D40-C40),"0")</f>
        <v>0</v>
      </c>
      <c r="S98" s="2">
        <f>IF(S40="X",(D40-C40),"0")</f>
        <v>0.5</v>
      </c>
      <c r="T98" s="2" t="str">
        <f>IF(T40="X",(D40-C40),"0")</f>
        <v>0</v>
      </c>
    </row>
    <row r="99" spans="5:20" x14ac:dyDescent="0.25">
      <c r="E99" s="2" t="str">
        <f t="shared" ref="E99:E102" si="50">IF(E41="X",(D41-C41),"0")</f>
        <v>0</v>
      </c>
      <c r="F99" s="2" t="str">
        <f t="shared" ref="F99:F102" si="51">IF(F41="X",(D41-C41),"0")</f>
        <v>0</v>
      </c>
      <c r="G99" s="2">
        <f t="shared" ref="G99:G102" si="52">IF(G41="X",(D41-C41),"0")</f>
        <v>3.4000000000000004</v>
      </c>
      <c r="H99" s="2">
        <f t="shared" ref="H99:H102" si="53">IF(H41="X",(D41-C41),"0")</f>
        <v>3.4000000000000004</v>
      </c>
      <c r="I99" s="2" t="str">
        <f t="shared" ref="I99:I102" si="54">IF(I41="X",(D41-C41),"0")</f>
        <v>0</v>
      </c>
      <c r="J99" s="2">
        <f t="shared" ref="J99:J102" si="55">IF(J41="X",(D41-C41),"0")</f>
        <v>3.4000000000000004</v>
      </c>
      <c r="K99" s="2" t="str">
        <f t="shared" ref="K99:K102" si="56">IF(K41="X",(D41-C41),"0")</f>
        <v>0</v>
      </c>
      <c r="L99" s="2" t="str">
        <f t="shared" ref="L99:L102" si="57">IF(L41="X",(D41-C41),"0")</f>
        <v>0</v>
      </c>
      <c r="M99" s="2">
        <f t="shared" ref="M99:M102" si="58">IF(M41="X",(D41-C41),"0")</f>
        <v>3.4000000000000004</v>
      </c>
      <c r="N99" s="2" t="str">
        <f t="shared" ref="N99:N102" si="59">IF(N41="X",(D41-C41),"0")</f>
        <v>0</v>
      </c>
      <c r="O99" s="2" t="str">
        <f t="shared" ref="O99:O102" si="60">IF(O41="X",(D41-C41),"0")</f>
        <v>0</v>
      </c>
      <c r="P99" s="2">
        <f t="shared" ref="P99:P102" si="61">IF(P41="X",(D41-C41),"0")</f>
        <v>3.4000000000000004</v>
      </c>
      <c r="Q99" s="2" t="str">
        <f t="shared" ref="Q99:Q102" si="62">IF(Q41="X",(D41-C41),"0")</f>
        <v>0</v>
      </c>
      <c r="R99" s="2" t="str">
        <f t="shared" ref="R99:R102" si="63">IF(R41="X",(D41-C41),"0")</f>
        <v>0</v>
      </c>
      <c r="S99" s="2">
        <f t="shared" ref="S99:S102" si="64">IF(S41="X",(D41-C41),"0")</f>
        <v>3.4000000000000004</v>
      </c>
      <c r="T99" s="2" t="str">
        <f t="shared" ref="T99:T102" si="65">IF(T41="X",(D41-C41),"0")</f>
        <v>0</v>
      </c>
    </row>
    <row r="100" spans="5:20" x14ac:dyDescent="0.25">
      <c r="E100" s="2" t="str">
        <f t="shared" si="50"/>
        <v>0</v>
      </c>
      <c r="F100" s="2">
        <f t="shared" si="51"/>
        <v>5.6999999999999993</v>
      </c>
      <c r="G100" s="2" t="str">
        <f t="shared" si="52"/>
        <v>0</v>
      </c>
      <c r="H100" s="2" t="str">
        <f t="shared" si="53"/>
        <v>0</v>
      </c>
      <c r="I100" s="2" t="str">
        <f t="shared" si="54"/>
        <v>0</v>
      </c>
      <c r="J100" s="2">
        <f t="shared" si="55"/>
        <v>5.6999999999999993</v>
      </c>
      <c r="K100" s="2" t="str">
        <f t="shared" si="56"/>
        <v>0</v>
      </c>
      <c r="L100" s="2" t="str">
        <f t="shared" si="57"/>
        <v>0</v>
      </c>
      <c r="M100" s="2">
        <f t="shared" si="58"/>
        <v>5.6999999999999993</v>
      </c>
      <c r="N100" s="2" t="str">
        <f t="shared" si="59"/>
        <v>0</v>
      </c>
      <c r="O100" s="2" t="str">
        <f t="shared" si="60"/>
        <v>0</v>
      </c>
      <c r="P100" s="2">
        <f t="shared" si="61"/>
        <v>5.6999999999999993</v>
      </c>
      <c r="Q100" s="2" t="str">
        <f t="shared" si="62"/>
        <v>0</v>
      </c>
      <c r="R100" s="2" t="str">
        <f t="shared" si="63"/>
        <v>0</v>
      </c>
      <c r="S100" s="2">
        <f t="shared" si="64"/>
        <v>5.6999999999999993</v>
      </c>
      <c r="T100" s="2" t="str">
        <f t="shared" si="65"/>
        <v>0</v>
      </c>
    </row>
    <row r="101" spans="5:20" x14ac:dyDescent="0.25">
      <c r="E101" s="2" t="str">
        <f t="shared" si="50"/>
        <v>0</v>
      </c>
      <c r="F101" s="2" t="str">
        <f t="shared" si="51"/>
        <v>0</v>
      </c>
      <c r="G101" s="2">
        <f t="shared" si="52"/>
        <v>4.8000000000000007</v>
      </c>
      <c r="H101" s="2">
        <f t="shared" si="53"/>
        <v>4.8000000000000007</v>
      </c>
      <c r="I101" s="2" t="str">
        <f t="shared" si="54"/>
        <v>0</v>
      </c>
      <c r="J101" s="2">
        <f t="shared" si="55"/>
        <v>4.8000000000000007</v>
      </c>
      <c r="K101" s="2" t="str">
        <f t="shared" si="56"/>
        <v>0</v>
      </c>
      <c r="L101" s="2" t="str">
        <f t="shared" si="57"/>
        <v>0</v>
      </c>
      <c r="M101" s="2">
        <f t="shared" si="58"/>
        <v>4.8000000000000007</v>
      </c>
      <c r="N101" s="2" t="str">
        <f t="shared" si="59"/>
        <v>0</v>
      </c>
      <c r="O101" s="2" t="str">
        <f t="shared" si="60"/>
        <v>0</v>
      </c>
      <c r="P101" s="2">
        <f t="shared" si="61"/>
        <v>4.8000000000000007</v>
      </c>
      <c r="Q101" s="2" t="str">
        <f t="shared" si="62"/>
        <v>0</v>
      </c>
      <c r="R101" s="2" t="str">
        <f t="shared" si="63"/>
        <v>0</v>
      </c>
      <c r="S101" s="2">
        <f t="shared" si="64"/>
        <v>4.8000000000000007</v>
      </c>
      <c r="T101" s="2" t="str">
        <f t="shared" si="65"/>
        <v>0</v>
      </c>
    </row>
    <row r="102" spans="5:20" x14ac:dyDescent="0.25">
      <c r="E102" s="2" t="str">
        <f t="shared" si="50"/>
        <v>0</v>
      </c>
      <c r="F102" s="2">
        <f t="shared" si="51"/>
        <v>6.2099999999999973</v>
      </c>
      <c r="G102" s="2" t="str">
        <f t="shared" si="52"/>
        <v>0</v>
      </c>
      <c r="H102" s="2" t="str">
        <f t="shared" si="53"/>
        <v>0</v>
      </c>
      <c r="I102" s="2" t="str">
        <f t="shared" si="54"/>
        <v>0</v>
      </c>
      <c r="J102" s="2">
        <f t="shared" si="55"/>
        <v>6.2099999999999973</v>
      </c>
      <c r="K102" s="2" t="str">
        <f t="shared" si="56"/>
        <v>0</v>
      </c>
      <c r="L102" s="2" t="str">
        <f t="shared" si="57"/>
        <v>0</v>
      </c>
      <c r="M102" s="2">
        <f t="shared" si="58"/>
        <v>6.2099999999999973</v>
      </c>
      <c r="N102" s="2" t="str">
        <f t="shared" si="59"/>
        <v>0</v>
      </c>
      <c r="O102" s="2" t="str">
        <f t="shared" si="60"/>
        <v>0</v>
      </c>
      <c r="P102" s="2">
        <f t="shared" si="61"/>
        <v>6.2099999999999973</v>
      </c>
      <c r="Q102" s="2" t="str">
        <f t="shared" si="62"/>
        <v>0</v>
      </c>
      <c r="R102" s="2" t="str">
        <f t="shared" si="63"/>
        <v>0</v>
      </c>
      <c r="S102" s="2">
        <f t="shared" si="64"/>
        <v>6.2099999999999973</v>
      </c>
      <c r="T102" s="2" t="str">
        <f t="shared" si="65"/>
        <v>0</v>
      </c>
    </row>
    <row r="103" spans="5:20" x14ac:dyDescent="0.25">
      <c r="E103" s="2" t="str">
        <f>IF(E45="X",(D45-C45),"0")</f>
        <v>0</v>
      </c>
      <c r="F103" s="2">
        <f>IF(F45="X",(D45-C45),"0")</f>
        <v>1.1499999999999999</v>
      </c>
      <c r="G103" s="2" t="str">
        <f>IF(G45="X",(D45-C45),"0")</f>
        <v>0</v>
      </c>
      <c r="H103" s="2" t="str">
        <f>IF(H45="X",(D45-C45),"0")</f>
        <v>0</v>
      </c>
      <c r="I103" s="2" t="str">
        <f>IF(I45="X",(D45-C45),"0")</f>
        <v>0</v>
      </c>
      <c r="J103" s="2">
        <f>IF(J45="X",(D45-C45),"0")</f>
        <v>1.1499999999999999</v>
      </c>
      <c r="K103" s="2" t="str">
        <f>IF(K45="X",(D45-C45),"0")</f>
        <v>0</v>
      </c>
      <c r="L103" s="2" t="str">
        <f>IF(L45="X",(D45-C45),"0")</f>
        <v>0</v>
      </c>
      <c r="M103" s="2" t="str">
        <f>IF(M45="X",(D45-C45),"0")</f>
        <v>0</v>
      </c>
      <c r="N103" s="2" t="str">
        <f>IF(N45="X",(D45-C45),"0")</f>
        <v>0</v>
      </c>
      <c r="O103" s="2" t="str">
        <f>IF(O45="X",(D45-C45),"0")</f>
        <v>0</v>
      </c>
      <c r="P103" s="2">
        <f>IF(P45="X",(D45-C45),"0")</f>
        <v>1.1499999999999999</v>
      </c>
      <c r="Q103" s="2" t="str">
        <f>IF(Q45="X",(D45-C45),"0")</f>
        <v>0</v>
      </c>
      <c r="R103" s="2" t="str">
        <f>IF(R45="X",(D45-C45),"0")</f>
        <v>0</v>
      </c>
      <c r="S103" s="2">
        <f>IF(S45="X",(D45-C45),"0")</f>
        <v>1.1499999999999999</v>
      </c>
      <c r="T103" s="2" t="str">
        <f>IF(T45="X",(D45-C45),"0")</f>
        <v>0</v>
      </c>
    </row>
    <row r="104" spans="5:20" x14ac:dyDescent="0.25">
      <c r="O104" s="2"/>
      <c r="P104" s="2"/>
      <c r="Q104" s="2"/>
      <c r="R104" s="2"/>
      <c r="S104" s="2"/>
      <c r="T104" s="2"/>
    </row>
    <row r="105" spans="5:20" hidden="1" x14ac:dyDescent="0.25">
      <c r="O105" s="2"/>
      <c r="P105" s="2"/>
      <c r="Q105" s="2"/>
      <c r="R105" s="2"/>
      <c r="S105" s="2"/>
      <c r="T105" s="2"/>
    </row>
    <row r="106" spans="5:20" hidden="1" x14ac:dyDescent="0.25">
      <c r="O106" s="2"/>
      <c r="P106" s="2"/>
      <c r="Q106" s="2"/>
      <c r="R106" s="2"/>
      <c r="S106" s="2"/>
      <c r="T106" s="2"/>
    </row>
    <row r="107" spans="5:20" hidden="1" x14ac:dyDescent="0.25">
      <c r="O107" s="2"/>
      <c r="P107" s="2"/>
      <c r="Q107" s="2"/>
      <c r="R107" s="2"/>
      <c r="S107" s="2"/>
      <c r="T107" s="2"/>
    </row>
    <row r="108" spans="5:20" hidden="1" x14ac:dyDescent="0.25">
      <c r="O108" s="2"/>
      <c r="P108" s="2"/>
      <c r="Q108" s="2"/>
      <c r="R108" s="2"/>
      <c r="S108" s="2"/>
      <c r="T108" s="2"/>
    </row>
    <row r="109" spans="5:20" hidden="1" x14ac:dyDescent="0.25">
      <c r="O109" s="2"/>
      <c r="P109" s="2"/>
      <c r="Q109" s="2"/>
      <c r="R109" s="2"/>
      <c r="S109" s="2"/>
      <c r="T109" s="2"/>
    </row>
    <row r="110" spans="5:20" hidden="1" x14ac:dyDescent="0.25">
      <c r="O110" s="2"/>
      <c r="P110" s="2"/>
      <c r="Q110" s="2"/>
      <c r="R110" s="2"/>
      <c r="S110" s="2"/>
      <c r="T110" s="2"/>
    </row>
    <row r="111" spans="5:20" hidden="1" x14ac:dyDescent="0.25">
      <c r="O111" s="2"/>
      <c r="P111" s="2"/>
      <c r="Q111" s="2"/>
      <c r="R111" s="2"/>
      <c r="S111" s="2"/>
      <c r="T111" s="2"/>
    </row>
    <row r="112" spans="5:20" hidden="1" x14ac:dyDescent="0.25">
      <c r="O112" s="2"/>
      <c r="P112" s="2"/>
      <c r="Q112" s="2"/>
      <c r="R112" s="2"/>
      <c r="S112" s="2"/>
      <c r="T112" s="2"/>
    </row>
    <row r="113" spans="15:20" hidden="1" x14ac:dyDescent="0.25">
      <c r="O113" s="2"/>
      <c r="P113" s="2"/>
      <c r="Q113" s="2"/>
      <c r="R113" s="2"/>
      <c r="S113" s="2"/>
      <c r="T113" s="2"/>
    </row>
    <row r="114" spans="15:20" hidden="1" x14ac:dyDescent="0.25">
      <c r="O114" s="2"/>
      <c r="P114" s="2"/>
      <c r="Q114" s="2"/>
      <c r="R114" s="2"/>
      <c r="S114" s="2"/>
      <c r="T114" s="2"/>
    </row>
    <row r="115" spans="15:20" hidden="1" x14ac:dyDescent="0.25">
      <c r="O115" s="2"/>
      <c r="P115" s="2"/>
      <c r="Q115" s="2"/>
      <c r="R115" s="2"/>
      <c r="S115" s="2"/>
      <c r="T115" s="2"/>
    </row>
    <row r="116" spans="15:20" hidden="1" x14ac:dyDescent="0.25">
      <c r="O116" s="2"/>
      <c r="P116" s="2"/>
      <c r="Q116" s="2"/>
      <c r="R116" s="2"/>
      <c r="S116" s="2"/>
      <c r="T116" s="2"/>
    </row>
    <row r="117" spans="15:20" hidden="1" x14ac:dyDescent="0.25">
      <c r="O117" s="2"/>
      <c r="P117" s="2"/>
      <c r="Q117" s="2"/>
      <c r="R117" s="2"/>
      <c r="S117" s="2"/>
      <c r="T117" s="2"/>
    </row>
    <row r="118" spans="15:20" hidden="1" x14ac:dyDescent="0.25">
      <c r="O118" s="2"/>
      <c r="P118" s="2"/>
      <c r="Q118" s="2"/>
      <c r="R118" s="2"/>
      <c r="S118" s="2"/>
      <c r="T118" s="2"/>
    </row>
    <row r="119" spans="15:20" hidden="1" x14ac:dyDescent="0.25">
      <c r="O119" s="2"/>
      <c r="P119" s="2"/>
      <c r="Q119" s="2"/>
      <c r="R119" s="2"/>
      <c r="S119" s="2"/>
      <c r="T119" s="2"/>
    </row>
    <row r="120" spans="15:20" hidden="1" x14ac:dyDescent="0.25">
      <c r="O120" s="2"/>
      <c r="P120" s="2"/>
      <c r="Q120" s="2"/>
      <c r="R120" s="2"/>
      <c r="S120" s="2"/>
      <c r="T120" s="2"/>
    </row>
    <row r="121" spans="15:20" hidden="1" x14ac:dyDescent="0.25">
      <c r="O121" s="2"/>
      <c r="P121" s="2"/>
      <c r="Q121" s="2"/>
      <c r="R121" s="2"/>
      <c r="S121" s="2"/>
      <c r="T121" s="2"/>
    </row>
    <row r="122" spans="15:20" hidden="1" x14ac:dyDescent="0.25">
      <c r="O122" s="2"/>
      <c r="P122" s="2"/>
      <c r="Q122" s="2"/>
      <c r="R122" s="2"/>
      <c r="S122" s="2"/>
      <c r="T122" s="2"/>
    </row>
    <row r="123" spans="15:20" hidden="1" x14ac:dyDescent="0.25">
      <c r="O123" s="2"/>
      <c r="P123" s="2"/>
      <c r="Q123" s="2"/>
      <c r="R123" s="2"/>
      <c r="S123" s="2"/>
      <c r="T123" s="2"/>
    </row>
    <row r="124" spans="15:20" hidden="1" x14ac:dyDescent="0.25">
      <c r="O124" s="2"/>
      <c r="P124" s="2"/>
      <c r="Q124" s="2"/>
      <c r="R124" s="2"/>
      <c r="S124" s="2"/>
      <c r="T124" s="2"/>
    </row>
    <row r="125" spans="15:20" hidden="1" x14ac:dyDescent="0.25">
      <c r="O125" s="2"/>
      <c r="P125" s="2"/>
      <c r="Q125" s="2"/>
      <c r="R125" s="2"/>
      <c r="S125" s="2"/>
      <c r="T125" s="2"/>
    </row>
    <row r="126" spans="15:20" hidden="1" x14ac:dyDescent="0.25">
      <c r="O126" s="2"/>
      <c r="P126" s="2"/>
      <c r="Q126" s="2"/>
      <c r="R126" s="2"/>
      <c r="S126" s="2"/>
      <c r="T126" s="2"/>
    </row>
    <row r="127" spans="15:20" hidden="1" x14ac:dyDescent="0.25">
      <c r="O127" s="2"/>
      <c r="P127" s="2"/>
      <c r="Q127" s="2"/>
      <c r="R127" s="2"/>
      <c r="S127" s="2"/>
      <c r="T127" s="2"/>
    </row>
    <row r="128" spans="15:20" hidden="1" x14ac:dyDescent="0.25">
      <c r="O128" s="2"/>
      <c r="P128" s="2"/>
      <c r="Q128" s="2"/>
      <c r="R128" s="2"/>
      <c r="S128" s="2"/>
      <c r="T128" s="2"/>
    </row>
    <row r="129" spans="15:20" hidden="1" x14ac:dyDescent="0.25">
      <c r="O129" s="2"/>
      <c r="P129" s="2"/>
      <c r="Q129" s="2"/>
      <c r="R129" s="2"/>
      <c r="S129" s="2"/>
      <c r="T129" s="2"/>
    </row>
    <row r="130" spans="15:20" hidden="1" x14ac:dyDescent="0.25">
      <c r="O130" s="2"/>
      <c r="P130" s="2"/>
      <c r="Q130" s="2"/>
      <c r="R130" s="2"/>
      <c r="S130" s="2"/>
      <c r="T130" s="2"/>
    </row>
    <row r="131" spans="15:20" hidden="1" x14ac:dyDescent="0.25">
      <c r="O131" s="2"/>
      <c r="P131" s="2"/>
      <c r="Q131" s="2"/>
      <c r="R131" s="2"/>
      <c r="S131" s="2"/>
      <c r="T131" s="2"/>
    </row>
    <row r="132" spans="15:20" hidden="1" x14ac:dyDescent="0.25">
      <c r="O132" s="2"/>
      <c r="P132" s="2"/>
      <c r="Q132" s="2"/>
      <c r="R132" s="2"/>
      <c r="S132" s="2"/>
      <c r="T132" s="2"/>
    </row>
    <row r="133" spans="15:20" hidden="1" x14ac:dyDescent="0.25">
      <c r="O133" s="2"/>
      <c r="P133" s="2"/>
      <c r="Q133" s="2"/>
      <c r="R133" s="2"/>
      <c r="S133" s="2"/>
      <c r="T133" s="2"/>
    </row>
    <row r="134" spans="15:20" hidden="1" x14ac:dyDescent="0.25">
      <c r="O134" s="2"/>
      <c r="P134" s="2"/>
      <c r="Q134" s="2"/>
      <c r="R134" s="2"/>
      <c r="S134" s="2"/>
      <c r="T134" s="2"/>
    </row>
    <row r="135" spans="15:20" hidden="1" x14ac:dyDescent="0.25">
      <c r="O135" s="2"/>
      <c r="P135" s="2"/>
      <c r="Q135" s="2"/>
      <c r="R135" s="2"/>
      <c r="S135" s="2"/>
      <c r="T135" s="2"/>
    </row>
    <row r="136" spans="15:20" hidden="1" x14ac:dyDescent="0.25">
      <c r="O136" s="2"/>
      <c r="P136" s="2"/>
      <c r="Q136" s="2"/>
      <c r="R136" s="2"/>
      <c r="S136" s="2"/>
      <c r="T136" s="2"/>
    </row>
    <row r="137" spans="15:20" hidden="1" x14ac:dyDescent="0.25">
      <c r="O137" s="2"/>
      <c r="P137" s="2"/>
      <c r="Q137" s="2"/>
      <c r="R137" s="2"/>
      <c r="S137" s="2"/>
      <c r="T137" s="2"/>
    </row>
    <row r="138" spans="15:20" hidden="1" x14ac:dyDescent="0.25">
      <c r="O138" s="2"/>
      <c r="P138" s="2"/>
      <c r="Q138" s="2"/>
      <c r="R138" s="2"/>
      <c r="S138" s="2"/>
      <c r="T138" s="2"/>
    </row>
    <row r="139" spans="15:20" hidden="1" x14ac:dyDescent="0.25">
      <c r="O139" s="2"/>
      <c r="P139" s="2"/>
      <c r="Q139" s="2"/>
      <c r="R139" s="2"/>
      <c r="S139" s="2"/>
      <c r="T139" s="2"/>
    </row>
    <row r="140" spans="15:20" hidden="1" x14ac:dyDescent="0.25">
      <c r="O140" s="2"/>
      <c r="P140" s="2"/>
      <c r="Q140" s="2"/>
      <c r="R140" s="2"/>
      <c r="S140" s="2"/>
      <c r="T140" s="2"/>
    </row>
    <row r="141" spans="15:20" hidden="1" x14ac:dyDescent="0.25">
      <c r="O141" s="2"/>
      <c r="P141" s="2"/>
      <c r="Q141" s="2"/>
      <c r="R141" s="2"/>
      <c r="S141" s="2"/>
      <c r="T141" s="2"/>
    </row>
    <row r="142" spans="15:20" hidden="1" x14ac:dyDescent="0.25">
      <c r="O142" s="2"/>
      <c r="P142" s="2"/>
      <c r="Q142" s="2"/>
      <c r="R142" s="2"/>
      <c r="S142" s="2"/>
      <c r="T142" s="2"/>
    </row>
    <row r="143" spans="15:20" hidden="1" x14ac:dyDescent="0.25">
      <c r="O143" s="2"/>
      <c r="P143" s="2"/>
      <c r="Q143" s="2"/>
      <c r="R143" s="2"/>
      <c r="S143" s="2"/>
      <c r="T143" s="2"/>
    </row>
    <row r="144" spans="15:20" hidden="1" x14ac:dyDescent="0.25">
      <c r="O144" s="2"/>
      <c r="P144" s="2"/>
      <c r="Q144" s="2"/>
      <c r="R144" s="2"/>
      <c r="S144" s="2"/>
      <c r="T144" s="2"/>
    </row>
    <row r="145" spans="5:20" hidden="1" x14ac:dyDescent="0.25">
      <c r="O145" s="2"/>
      <c r="P145" s="2"/>
      <c r="Q145" s="2"/>
      <c r="R145" s="2"/>
      <c r="S145" s="2"/>
      <c r="T145" s="2"/>
    </row>
    <row r="146" spans="5:20" hidden="1" x14ac:dyDescent="0.25">
      <c r="O146" s="2"/>
      <c r="P146" s="2"/>
      <c r="Q146" s="2"/>
      <c r="R146" s="2"/>
      <c r="S146" s="2"/>
      <c r="T146" s="2"/>
    </row>
    <row r="147" spans="5:20" hidden="1" x14ac:dyDescent="0.25">
      <c r="O147" s="2"/>
      <c r="P147" s="2"/>
      <c r="Q147" s="2"/>
      <c r="R147" s="2"/>
      <c r="S147" s="2"/>
      <c r="T147" s="2"/>
    </row>
    <row r="148" spans="5:20" hidden="1" x14ac:dyDescent="0.25">
      <c r="O148" s="2"/>
      <c r="P148" s="2"/>
      <c r="Q148" s="2"/>
      <c r="R148" s="2"/>
      <c r="S148" s="2"/>
      <c r="T148" s="2"/>
    </row>
    <row r="149" spans="5:20" hidden="1" x14ac:dyDescent="0.25">
      <c r="O149" s="2"/>
      <c r="P149" s="2"/>
      <c r="Q149" s="2"/>
      <c r="R149" s="2"/>
      <c r="S149" s="2"/>
      <c r="T149" s="2"/>
    </row>
    <row r="150" spans="5:20" hidden="1" x14ac:dyDescent="0.25">
      <c r="O150" s="2"/>
      <c r="P150" s="2"/>
      <c r="Q150" s="2"/>
      <c r="R150" s="2"/>
      <c r="S150" s="2"/>
      <c r="T150" s="2"/>
    </row>
    <row r="151" spans="5:20" hidden="1" x14ac:dyDescent="0.25">
      <c r="O151" s="2"/>
      <c r="P151" s="2"/>
      <c r="Q151" s="2"/>
      <c r="R151" s="2"/>
      <c r="S151" s="2"/>
      <c r="T151" s="2"/>
    </row>
    <row r="152" spans="5:20" hidden="1" x14ac:dyDescent="0.25">
      <c r="O152" s="2"/>
      <c r="P152" s="2"/>
      <c r="Q152" s="2"/>
      <c r="R152" s="2"/>
      <c r="S152" s="2"/>
      <c r="T152" s="2"/>
    </row>
    <row r="153" spans="5:20" hidden="1" x14ac:dyDescent="0.25">
      <c r="O153" s="2"/>
      <c r="P153" s="2"/>
      <c r="Q153" s="2"/>
      <c r="R153" s="2"/>
      <c r="S153" s="2"/>
      <c r="T153" s="2"/>
    </row>
    <row r="154" spans="5:20" x14ac:dyDescent="0.25">
      <c r="E154" s="2">
        <f>SUM(E65:E152)</f>
        <v>0</v>
      </c>
      <c r="F154" s="2">
        <f t="shared" ref="F154:T154" si="66">SUM(F65:F152)</f>
        <v>81.600000000000023</v>
      </c>
      <c r="G154" s="2">
        <f t="shared" si="66"/>
        <v>17.500000000000007</v>
      </c>
      <c r="H154" s="2">
        <f t="shared" si="66"/>
        <v>8.9999999999999893</v>
      </c>
      <c r="I154" s="2">
        <f t="shared" si="66"/>
        <v>7.099999999999997</v>
      </c>
      <c r="J154" s="2">
        <f t="shared" si="66"/>
        <v>25.659999999999997</v>
      </c>
      <c r="K154" s="2">
        <f t="shared" si="66"/>
        <v>76.739999999999995</v>
      </c>
      <c r="L154" s="2">
        <f t="shared" si="66"/>
        <v>0</v>
      </c>
      <c r="M154" s="2">
        <f t="shared" si="66"/>
        <v>101.24999999999999</v>
      </c>
      <c r="N154" s="2">
        <f t="shared" si="66"/>
        <v>0</v>
      </c>
      <c r="O154" s="2">
        <f t="shared" si="66"/>
        <v>0</v>
      </c>
      <c r="P154" s="2">
        <f t="shared" si="66"/>
        <v>102.39999999999999</v>
      </c>
      <c r="Q154" s="2">
        <f t="shared" si="66"/>
        <v>0</v>
      </c>
      <c r="R154" s="2">
        <f t="shared" si="66"/>
        <v>0</v>
      </c>
      <c r="S154" s="2">
        <f t="shared" si="66"/>
        <v>102.39999999999999</v>
      </c>
      <c r="T154" s="2">
        <f t="shared" si="66"/>
        <v>0</v>
      </c>
    </row>
  </sheetData>
  <mergeCells count="14">
    <mergeCell ref="J2:K2"/>
    <mergeCell ref="O2:S2"/>
    <mergeCell ref="C5:C6"/>
    <mergeCell ref="O5:Q5"/>
    <mergeCell ref="R5:T5"/>
    <mergeCell ref="D5:D6"/>
    <mergeCell ref="Q3:R3"/>
    <mergeCell ref="B5:B6"/>
    <mergeCell ref="A5:A6"/>
    <mergeCell ref="U5:U6"/>
    <mergeCell ref="E58:F58"/>
    <mergeCell ref="E5:I5"/>
    <mergeCell ref="J5:K5"/>
    <mergeCell ref="L5:N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1562-157B-4829-8D1F-A10954F56706}">
  <sheetPr>
    <tabColor theme="2"/>
  </sheetPr>
  <dimension ref="A1:AP128"/>
  <sheetViews>
    <sheetView view="pageBreakPreview" zoomScale="70" zoomScaleNormal="70" zoomScaleSheetLayoutView="70" workbookViewId="0">
      <selection activeCell="D7" sqref="D7"/>
    </sheetView>
  </sheetViews>
  <sheetFormatPr defaultColWidth="8.85546875" defaultRowHeight="15" x14ac:dyDescent="0.25"/>
  <cols>
    <col min="1" max="1" width="32.42578125" style="1" customWidth="1"/>
    <col min="2" max="2" width="14.42578125" style="1" customWidth="1"/>
    <col min="3" max="4" width="12" style="1" customWidth="1"/>
    <col min="5" max="9" width="11.42578125" style="2" customWidth="1"/>
    <col min="10" max="10" width="10.5703125" style="2" bestFit="1" customWidth="1"/>
    <col min="11" max="11" width="14" style="2" bestFit="1" customWidth="1"/>
    <col min="12" max="13" width="12.42578125" style="2" customWidth="1"/>
    <col min="14" max="14" width="10.42578125" style="2" customWidth="1"/>
    <col min="15" max="17" width="13.5703125" style="1" customWidth="1"/>
    <col min="18" max="20" width="14.42578125" style="1" customWidth="1"/>
    <col min="21" max="21" width="42.42578125" style="1" customWidth="1"/>
    <col min="22" max="16384" width="8.85546875" style="1"/>
  </cols>
  <sheetData>
    <row r="1" spans="1:42" ht="19.5" x14ac:dyDescent="0.3">
      <c r="A1" s="3" t="s">
        <v>112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2" ht="20.25" thickBot="1" x14ac:dyDescent="0.35">
      <c r="A2" s="3"/>
      <c r="B2" s="4"/>
      <c r="C2" s="4"/>
      <c r="D2" s="3" t="s">
        <v>35</v>
      </c>
      <c r="E2" s="5"/>
      <c r="F2" s="5"/>
      <c r="G2" s="5"/>
      <c r="H2" s="5"/>
      <c r="I2" s="6" t="s">
        <v>26</v>
      </c>
      <c r="J2" s="77">
        <f>'202'!J2</f>
        <v>46204</v>
      </c>
      <c r="K2" s="77"/>
      <c r="L2" s="7"/>
      <c r="M2" s="6"/>
      <c r="N2" s="12" t="s">
        <v>27</v>
      </c>
      <c r="O2" s="78" t="str">
        <f>'202'!O2</f>
        <v>ENG. THIAGO TORQUATO</v>
      </c>
      <c r="P2" s="78"/>
      <c r="Q2" s="78"/>
      <c r="R2" s="78"/>
      <c r="S2" s="78"/>
      <c r="T2" s="4"/>
      <c r="U2" s="4"/>
    </row>
    <row r="3" spans="1:42" ht="25.5" x14ac:dyDescent="0.35">
      <c r="A3" s="3" t="s">
        <v>38</v>
      </c>
      <c r="B3" s="31" t="str">
        <f>TT!C5</f>
        <v>RODOVIA TO-373 - TRECHO ALVORADA - ARAGUAÇU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81" t="s">
        <v>111</v>
      </c>
      <c r="R3" s="81"/>
      <c r="S3" s="32">
        <v>11</v>
      </c>
      <c r="T3" s="4"/>
      <c r="U3" s="4"/>
    </row>
    <row r="4" spans="1:42" ht="20.25" thickBot="1" x14ac:dyDescent="0.35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2" s="8" customFormat="1" ht="39" customHeight="1" x14ac:dyDescent="0.25">
      <c r="A5" s="72" t="s">
        <v>0</v>
      </c>
      <c r="B5" s="72" t="s">
        <v>32</v>
      </c>
      <c r="C5" s="79" t="s">
        <v>28</v>
      </c>
      <c r="D5" s="79" t="s">
        <v>29</v>
      </c>
      <c r="E5" s="72" t="s">
        <v>1</v>
      </c>
      <c r="F5" s="72"/>
      <c r="G5" s="72"/>
      <c r="H5" s="72"/>
      <c r="I5" s="72"/>
      <c r="J5" s="72" t="s">
        <v>17</v>
      </c>
      <c r="K5" s="72"/>
      <c r="L5" s="72" t="s">
        <v>31</v>
      </c>
      <c r="M5" s="72"/>
      <c r="N5" s="72"/>
      <c r="O5" s="72" t="s">
        <v>21</v>
      </c>
      <c r="P5" s="72"/>
      <c r="Q5" s="72"/>
      <c r="R5" s="72" t="s">
        <v>24</v>
      </c>
      <c r="S5" s="72"/>
      <c r="T5" s="72"/>
      <c r="U5" s="74" t="s">
        <v>33</v>
      </c>
    </row>
    <row r="6" spans="1:42" s="10" customFormat="1" ht="39" customHeight="1" x14ac:dyDescent="0.25">
      <c r="A6" s="73"/>
      <c r="B6" s="73"/>
      <c r="C6" s="73"/>
      <c r="D6" s="73"/>
      <c r="E6" s="9" t="s">
        <v>2</v>
      </c>
      <c r="F6" s="9" t="s">
        <v>7</v>
      </c>
      <c r="G6" s="9" t="s">
        <v>3</v>
      </c>
      <c r="H6" s="9" t="s">
        <v>4</v>
      </c>
      <c r="I6" s="9" t="s">
        <v>5</v>
      </c>
      <c r="J6" s="9" t="s">
        <v>18</v>
      </c>
      <c r="K6" s="9" t="s">
        <v>34</v>
      </c>
      <c r="L6" s="9" t="s">
        <v>19</v>
      </c>
      <c r="M6" s="9" t="s">
        <v>20</v>
      </c>
      <c r="N6" s="9" t="s">
        <v>30</v>
      </c>
      <c r="O6" s="9" t="s">
        <v>2</v>
      </c>
      <c r="P6" s="9" t="s">
        <v>22</v>
      </c>
      <c r="Q6" s="9" t="s">
        <v>23</v>
      </c>
      <c r="R6" s="9" t="s">
        <v>2</v>
      </c>
      <c r="S6" s="9" t="s">
        <v>25</v>
      </c>
      <c r="T6" s="9" t="s">
        <v>23</v>
      </c>
      <c r="U6" s="75"/>
    </row>
    <row r="7" spans="1:42" ht="36" customHeight="1" x14ac:dyDescent="0.25">
      <c r="A7" s="34" t="s">
        <v>59</v>
      </c>
      <c r="B7" s="34" t="s">
        <v>113</v>
      </c>
      <c r="C7" s="35">
        <v>0</v>
      </c>
      <c r="D7" s="35">
        <v>1.1499999999999999</v>
      </c>
      <c r="E7" s="34"/>
      <c r="F7" s="34"/>
      <c r="G7" s="34" t="s">
        <v>114</v>
      </c>
      <c r="H7" s="34"/>
      <c r="I7" s="34"/>
      <c r="J7" s="34" t="s">
        <v>114</v>
      </c>
      <c r="K7" s="34"/>
      <c r="L7" s="34" t="s">
        <v>114</v>
      </c>
      <c r="M7" s="34"/>
      <c r="N7" s="34"/>
      <c r="O7" s="34"/>
      <c r="P7" s="34" t="s">
        <v>114</v>
      </c>
      <c r="Q7" s="34"/>
      <c r="R7" s="34"/>
      <c r="S7" s="34" t="s">
        <v>114</v>
      </c>
      <c r="T7" s="34"/>
      <c r="U7" s="36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36" customHeight="1" x14ac:dyDescent="0.25">
      <c r="A8" s="34"/>
      <c r="B8" s="34"/>
      <c r="C8" s="35"/>
      <c r="D8" s="35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6"/>
    </row>
    <row r="9" spans="1:42" ht="36" customHeight="1" x14ac:dyDescent="0.25">
      <c r="A9" s="34"/>
      <c r="B9" s="34"/>
      <c r="C9" s="35"/>
      <c r="D9" s="35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6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2" ht="36" customHeight="1" x14ac:dyDescent="0.25">
      <c r="A10" s="34"/>
      <c r="B10" s="34"/>
      <c r="C10" s="35"/>
      <c r="D10" s="35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6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2" ht="36" customHeight="1" x14ac:dyDescent="0.25">
      <c r="A11" s="34"/>
      <c r="B11" s="34"/>
      <c r="C11" s="35"/>
      <c r="D11" s="35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6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2" ht="36" customHeight="1" x14ac:dyDescent="0.25">
      <c r="A12" s="34"/>
      <c r="B12" s="34"/>
      <c r="C12" s="35"/>
      <c r="D12" s="35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6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2" ht="36" customHeight="1" x14ac:dyDescent="0.25">
      <c r="A13" s="34"/>
      <c r="B13" s="34"/>
      <c r="C13" s="35"/>
      <c r="D13" s="35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6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2" ht="36" customHeight="1" x14ac:dyDescent="0.25">
      <c r="A14" s="34"/>
      <c r="B14" s="34"/>
      <c r="C14" s="35"/>
      <c r="D14" s="35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6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2" ht="36" customHeight="1" x14ac:dyDescent="0.25">
      <c r="A15" s="34"/>
      <c r="B15" s="34"/>
      <c r="C15" s="35"/>
      <c r="D15" s="35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6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2" ht="36" customHeight="1" x14ac:dyDescent="0.25">
      <c r="A16" s="34"/>
      <c r="B16" s="34"/>
      <c r="C16" s="35"/>
      <c r="D16" s="35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6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34"/>
      <c r="B17" s="34"/>
      <c r="C17" s="35"/>
      <c r="D17" s="35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6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34"/>
      <c r="B18" s="34"/>
      <c r="C18" s="35"/>
      <c r="D18" s="35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6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34"/>
      <c r="B19" s="34"/>
      <c r="C19" s="35"/>
      <c r="D19" s="35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6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34"/>
      <c r="B20" s="34"/>
      <c r="C20" s="35"/>
      <c r="D20" s="35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6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34"/>
      <c r="B21" s="34"/>
      <c r="C21" s="35"/>
      <c r="D21" s="35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6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34"/>
      <c r="B22" s="34"/>
      <c r="C22" s="35"/>
      <c r="D22" s="35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6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34"/>
      <c r="B23" s="34"/>
      <c r="C23" s="35"/>
      <c r="D23" s="35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6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34"/>
      <c r="B24" s="34"/>
      <c r="C24" s="35"/>
      <c r="D24" s="35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6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34"/>
      <c r="B25" s="34"/>
      <c r="C25" s="35"/>
      <c r="D25" s="35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6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34"/>
      <c r="B26" s="34"/>
      <c r="C26" s="35"/>
      <c r="D26" s="35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6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34"/>
      <c r="B27" s="34"/>
      <c r="C27" s="35"/>
      <c r="D27" s="35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6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34"/>
      <c r="B28" s="34"/>
      <c r="C28" s="35"/>
      <c r="D28" s="35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6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34"/>
      <c r="B29" s="34"/>
      <c r="C29" s="35"/>
      <c r="D29" s="35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6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37"/>
      <c r="B30" s="37"/>
      <c r="C30" s="38"/>
      <c r="D30" s="3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9"/>
    </row>
    <row r="32" spans="1:40" ht="19.5" x14ac:dyDescent="0.3">
      <c r="A32" s="4" t="s">
        <v>6</v>
      </c>
      <c r="B32" s="11" t="s">
        <v>1</v>
      </c>
      <c r="C32" s="5"/>
      <c r="D32" s="5"/>
      <c r="E32" s="76"/>
      <c r="F32" s="76"/>
    </row>
    <row r="33" spans="1:20" ht="19.5" x14ac:dyDescent="0.3">
      <c r="A33" s="4" t="s">
        <v>8</v>
      </c>
      <c r="B33" s="4" t="s">
        <v>9</v>
      </c>
      <c r="E33" s="4" t="s">
        <v>13</v>
      </c>
      <c r="F33" s="4"/>
      <c r="G33" s="4"/>
      <c r="I33" s="4" t="s">
        <v>4</v>
      </c>
      <c r="J33" s="4" t="s">
        <v>11</v>
      </c>
      <c r="K33" s="1"/>
      <c r="L33" s="1"/>
      <c r="M33" s="4" t="s">
        <v>15</v>
      </c>
      <c r="N33" s="4"/>
      <c r="O33" s="4"/>
    </row>
    <row r="34" spans="1:20" ht="19.5" x14ac:dyDescent="0.3">
      <c r="A34" s="4" t="s">
        <v>3</v>
      </c>
      <c r="B34" s="4" t="s">
        <v>10</v>
      </c>
      <c r="E34" s="4" t="s">
        <v>14</v>
      </c>
      <c r="F34" s="4"/>
      <c r="G34" s="4"/>
      <c r="I34" s="4" t="s">
        <v>5</v>
      </c>
      <c r="J34" s="4" t="s">
        <v>12</v>
      </c>
      <c r="K34" s="1"/>
      <c r="L34" s="1"/>
      <c r="M34" s="4" t="s">
        <v>16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 t="str">
        <f>IF(F7="X",(D7-C7),"0")</f>
        <v>0</v>
      </c>
      <c r="G39" s="2">
        <f>IF(G7="X",(D7-C7),"0")</f>
        <v>1.1499999999999999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1.1499999999999999</v>
      </c>
      <c r="K39" s="2" t="str">
        <f>IF(K7="X",(D7-C7),"0")</f>
        <v>0</v>
      </c>
      <c r="L39" s="2">
        <f>IF(L7="X",(D7-C7),"0")</f>
        <v>1.1499999999999999</v>
      </c>
      <c r="M39" s="2" t="str">
        <f>IF(M7="X",(D7-C7),"0")</f>
        <v>0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1.1499999999999999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1.1499999999999999</v>
      </c>
      <c r="T39" s="2" t="str">
        <f>IF(T7="X",(D7-C7),"0")</f>
        <v>0</v>
      </c>
    </row>
    <row r="40" spans="1:20" x14ac:dyDescent="0.25">
      <c r="E40" s="2" t="str">
        <f t="shared" ref="E40:E61" si="0">IF(E8="X",(D8-C8),"0")</f>
        <v>0</v>
      </c>
      <c r="F40" s="2" t="str">
        <f t="shared" ref="F40:F61" si="1">IF(F8="X",(D8-C8),"0")</f>
        <v>0</v>
      </c>
      <c r="G40" s="2" t="str">
        <f t="shared" ref="G40:G61" si="2">IF(G8="X",(D8-C8),"0")</f>
        <v>0</v>
      </c>
      <c r="H40" s="2" t="str">
        <f t="shared" ref="H40:H61" si="3">IF(H8="X",(D8-C8),"0")</f>
        <v>0</v>
      </c>
      <c r="I40" s="2" t="str">
        <f t="shared" ref="I40:I61" si="4">IF(I8="X",(D8-C8),"0")</f>
        <v>0</v>
      </c>
      <c r="J40" s="2" t="str">
        <f t="shared" ref="J40:J61" si="5">IF(J8="X",(D8-C8),"0")</f>
        <v>0</v>
      </c>
      <c r="K40" s="2" t="str">
        <f t="shared" ref="K40:K61" si="6">IF(K8="X",(D8-C8),"0")</f>
        <v>0</v>
      </c>
      <c r="L40" s="2" t="str">
        <f t="shared" ref="L40:L61" si="7">IF(L8="X",(D8-C8),"0")</f>
        <v>0</v>
      </c>
      <c r="M40" s="2" t="str">
        <f t="shared" ref="M40:M61" si="8">IF(M8="X",(D8-C8),"0")</f>
        <v>0</v>
      </c>
      <c r="N40" s="2" t="str">
        <f t="shared" ref="N40:N61" si="9">IF(N8="X",(D8-C8),"0")</f>
        <v>0</v>
      </c>
      <c r="O40" s="2" t="str">
        <f t="shared" ref="O40:O61" si="10">IF(O8="X",(D8-C8),"0")</f>
        <v>0</v>
      </c>
      <c r="P40" s="2" t="str">
        <f t="shared" ref="P40:P61" si="11">IF(P8="X",(D8-C8),"0")</f>
        <v>0</v>
      </c>
      <c r="Q40" s="2" t="str">
        <f t="shared" ref="Q40:Q61" si="12">IF(Q8="X",(D8-C8),"0")</f>
        <v>0</v>
      </c>
      <c r="R40" s="2" t="str">
        <f t="shared" ref="R40:R61" si="13">IF(R8="X",(D8-C8),"0")</f>
        <v>0</v>
      </c>
      <c r="S40" s="2" t="str">
        <f t="shared" ref="S40:S61" si="14">IF(S8="X",(D8-C8),"0")</f>
        <v>0</v>
      </c>
      <c r="T40" s="2" t="str">
        <f t="shared" ref="T40:T61" si="15">IF(T8="X",(D8-C8),"0")</f>
        <v>0</v>
      </c>
    </row>
    <row r="41" spans="1:20" x14ac:dyDescent="0.25">
      <c r="E41" s="2" t="str">
        <f t="shared" si="0"/>
        <v>0</v>
      </c>
      <c r="F41" s="2" t="str">
        <f t="shared" si="1"/>
        <v>0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 t="str">
        <f t="shared" si="5"/>
        <v>0</v>
      </c>
      <c r="K41" s="2" t="str">
        <f t="shared" si="6"/>
        <v>0</v>
      </c>
      <c r="L41" s="2" t="str">
        <f t="shared" si="7"/>
        <v>0</v>
      </c>
      <c r="M41" s="2" t="str">
        <f t="shared" si="8"/>
        <v>0</v>
      </c>
      <c r="N41" s="2" t="str">
        <f t="shared" si="9"/>
        <v>0</v>
      </c>
      <c r="O41" s="2" t="str">
        <f t="shared" si="10"/>
        <v>0</v>
      </c>
      <c r="P41" s="2" t="str">
        <f t="shared" si="11"/>
        <v>0</v>
      </c>
      <c r="Q41" s="2" t="str">
        <f t="shared" si="12"/>
        <v>0</v>
      </c>
      <c r="R41" s="2" t="str">
        <f t="shared" si="13"/>
        <v>0</v>
      </c>
      <c r="S41" s="2" t="str">
        <f t="shared" si="14"/>
        <v>0</v>
      </c>
      <c r="T41" s="2" t="str">
        <f t="shared" si="15"/>
        <v>0</v>
      </c>
    </row>
    <row r="42" spans="1:20" x14ac:dyDescent="0.25">
      <c r="E42" s="2" t="str">
        <f t="shared" si="0"/>
        <v>0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 t="str">
        <f t="shared" si="5"/>
        <v>0</v>
      </c>
      <c r="K42" s="2" t="str">
        <f t="shared" si="6"/>
        <v>0</v>
      </c>
      <c r="L42" s="2" t="str">
        <f t="shared" si="7"/>
        <v>0</v>
      </c>
      <c r="M42" s="2" t="str">
        <f t="shared" si="8"/>
        <v>0</v>
      </c>
      <c r="N42" s="2" t="str">
        <f t="shared" si="9"/>
        <v>0</v>
      </c>
      <c r="O42" s="2" t="str">
        <f t="shared" si="10"/>
        <v>0</v>
      </c>
      <c r="P42" s="2" t="str">
        <f t="shared" si="11"/>
        <v>0</v>
      </c>
      <c r="Q42" s="2" t="str">
        <f t="shared" si="12"/>
        <v>0</v>
      </c>
      <c r="R42" s="2" t="str">
        <f t="shared" si="13"/>
        <v>0</v>
      </c>
      <c r="S42" s="2" t="str">
        <f t="shared" si="14"/>
        <v>0</v>
      </c>
      <c r="T42" s="2" t="str">
        <f t="shared" si="15"/>
        <v>0</v>
      </c>
    </row>
    <row r="43" spans="1:20" x14ac:dyDescent="0.25">
      <c r="E43" s="2" t="str">
        <f t="shared" si="0"/>
        <v>0</v>
      </c>
      <c r="F43" s="2" t="str">
        <f t="shared" si="1"/>
        <v>0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 t="str">
        <f t="shared" si="5"/>
        <v>0</v>
      </c>
      <c r="K43" s="2" t="str">
        <f t="shared" si="6"/>
        <v>0</v>
      </c>
      <c r="L43" s="2" t="str">
        <f t="shared" si="7"/>
        <v>0</v>
      </c>
      <c r="M43" s="2" t="str">
        <f t="shared" si="8"/>
        <v>0</v>
      </c>
      <c r="N43" s="2" t="str">
        <f t="shared" si="9"/>
        <v>0</v>
      </c>
      <c r="O43" s="2" t="str">
        <f t="shared" si="10"/>
        <v>0</v>
      </c>
      <c r="P43" s="2" t="str">
        <f t="shared" si="11"/>
        <v>0</v>
      </c>
      <c r="Q43" s="2" t="str">
        <f t="shared" si="12"/>
        <v>0</v>
      </c>
      <c r="R43" s="2" t="str">
        <f t="shared" si="13"/>
        <v>0</v>
      </c>
      <c r="S43" s="2" t="str">
        <f t="shared" si="14"/>
        <v>0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 t="str">
        <f t="shared" si="5"/>
        <v>0</v>
      </c>
      <c r="K44" s="2" t="str">
        <f t="shared" si="6"/>
        <v>0</v>
      </c>
      <c r="L44" s="2" t="str">
        <f t="shared" si="7"/>
        <v>0</v>
      </c>
      <c r="M44" s="2" t="str">
        <f t="shared" si="8"/>
        <v>0</v>
      </c>
      <c r="N44" s="2" t="str">
        <f t="shared" si="9"/>
        <v>0</v>
      </c>
      <c r="O44" s="2" t="str">
        <f t="shared" si="10"/>
        <v>0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 t="str">
        <f t="shared" si="14"/>
        <v>0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ref="E62" si="16">IF(E30="X",(D30-C30),"0")</f>
        <v>0</v>
      </c>
      <c r="F62" s="2" t="str">
        <f t="shared" ref="F62" si="17">IF(F30="X",(D30-C30),"0")</f>
        <v>0</v>
      </c>
      <c r="G62" s="2" t="str">
        <f t="shared" ref="G62" si="18">IF(G30="X",(D30-C30),"0")</f>
        <v>0</v>
      </c>
      <c r="H62" s="2" t="str">
        <f t="shared" ref="H62" si="19">IF(H30="X",(D30-C30),"0")</f>
        <v>0</v>
      </c>
      <c r="I62" s="2" t="str">
        <f t="shared" ref="I62" si="20">IF(I30="X",(D30-C30),"0")</f>
        <v>0</v>
      </c>
      <c r="J62" s="2" t="str">
        <f t="shared" ref="J62" si="21">IF(J30="X",(D30-C30),"0")</f>
        <v>0</v>
      </c>
      <c r="K62" s="2" t="str">
        <f t="shared" ref="K62" si="22">IF(K30="X",(D30-C30),"0")</f>
        <v>0</v>
      </c>
      <c r="L62" s="2" t="str">
        <f t="shared" ref="L62" si="23">IF(L30="X",(D30-C30),"0")</f>
        <v>0</v>
      </c>
      <c r="M62" s="2" t="str">
        <f t="shared" ref="M62" si="24">IF(M30="X",(D30-C30),"0")</f>
        <v>0</v>
      </c>
      <c r="N62" s="2" t="str">
        <f t="shared" ref="N62" si="25">IF(N30="X",(D30-C30),"0")</f>
        <v>0</v>
      </c>
      <c r="O62" s="2" t="str">
        <f t="shared" ref="O62" si="26">IF(O30="X",(D30-C30),"0")</f>
        <v>0</v>
      </c>
      <c r="P62" s="2" t="str">
        <f t="shared" ref="P62" si="27">IF(P30="X",(D30-C30),"0")</f>
        <v>0</v>
      </c>
      <c r="Q62" s="2" t="str">
        <f t="shared" ref="Q62" si="28">IF(Q30="X",(D30-C30),"0")</f>
        <v>0</v>
      </c>
      <c r="R62" s="2" t="str">
        <f t="shared" ref="R62" si="29">IF(R30="X",(D30-C30),"0")</f>
        <v>0</v>
      </c>
      <c r="S62" s="2" t="str">
        <f t="shared" ref="S62" si="30">IF(S30="X",(D30-C30),"0")</f>
        <v>0</v>
      </c>
      <c r="T62" s="2" t="str">
        <f t="shared" ref="T62" si="31">IF(T30="X",(D30-C30),"0")</f>
        <v>0</v>
      </c>
    </row>
    <row r="63" spans="5:20" x14ac:dyDescent="0.25">
      <c r="O63" s="2"/>
      <c r="P63" s="2"/>
      <c r="Q63" s="2"/>
      <c r="R63" s="2"/>
      <c r="S63" s="2"/>
      <c r="T63" s="2"/>
    </row>
    <row r="64" spans="5:20" x14ac:dyDescent="0.25">
      <c r="O64" s="2"/>
      <c r="P64" s="2"/>
      <c r="Q64" s="2"/>
      <c r="R64" s="2"/>
      <c r="S64" s="2"/>
      <c r="T64" s="2"/>
    </row>
    <row r="65" spans="15:20" x14ac:dyDescent="0.25">
      <c r="O65" s="2"/>
      <c r="P65" s="2"/>
      <c r="Q65" s="2"/>
      <c r="R65" s="2"/>
      <c r="S65" s="2"/>
      <c r="T65" s="2"/>
    </row>
    <row r="66" spans="15:20" x14ac:dyDescent="0.25">
      <c r="O66" s="2"/>
      <c r="P66" s="2"/>
      <c r="Q66" s="2"/>
      <c r="R66" s="2"/>
      <c r="S66" s="2"/>
      <c r="T66" s="2"/>
    </row>
    <row r="67" spans="15:20" x14ac:dyDescent="0.25">
      <c r="O67" s="2"/>
      <c r="P67" s="2"/>
      <c r="Q67" s="2"/>
      <c r="R67" s="2"/>
      <c r="S67" s="2"/>
      <c r="T67" s="2"/>
    </row>
    <row r="68" spans="15:20" x14ac:dyDescent="0.25">
      <c r="O68" s="2"/>
      <c r="P68" s="2"/>
      <c r="Q68" s="2"/>
      <c r="R68" s="2"/>
      <c r="S68" s="2"/>
      <c r="T68" s="2"/>
    </row>
    <row r="69" spans="15:20" x14ac:dyDescent="0.25">
      <c r="O69" s="2"/>
      <c r="P69" s="2"/>
      <c r="Q69" s="2"/>
      <c r="R69" s="2"/>
      <c r="S69" s="2"/>
      <c r="T69" s="2"/>
    </row>
    <row r="70" spans="15:20" x14ac:dyDescent="0.25">
      <c r="O70" s="2"/>
      <c r="P70" s="2"/>
      <c r="Q70" s="2"/>
      <c r="R70" s="2"/>
      <c r="S70" s="2"/>
      <c r="T70" s="2"/>
    </row>
    <row r="71" spans="15:20" x14ac:dyDescent="0.25">
      <c r="O71" s="2"/>
      <c r="P71" s="2"/>
      <c r="Q71" s="2"/>
      <c r="R71" s="2"/>
      <c r="S71" s="2"/>
      <c r="T71" s="2"/>
    </row>
    <row r="72" spans="15:20" x14ac:dyDescent="0.25">
      <c r="O72" s="2"/>
      <c r="P72" s="2"/>
      <c r="Q72" s="2"/>
      <c r="R72" s="2"/>
      <c r="S72" s="2"/>
      <c r="T72" s="2"/>
    </row>
    <row r="73" spans="15:20" x14ac:dyDescent="0.25">
      <c r="O73" s="2"/>
      <c r="P73" s="2"/>
      <c r="Q73" s="2"/>
      <c r="R73" s="2"/>
      <c r="S73" s="2"/>
      <c r="T73" s="2"/>
    </row>
    <row r="74" spans="15:20" x14ac:dyDescent="0.25">
      <c r="O74" s="2"/>
      <c r="P74" s="2"/>
      <c r="Q74" s="2"/>
      <c r="R74" s="2"/>
      <c r="S74" s="2"/>
      <c r="T74" s="2"/>
    </row>
    <row r="75" spans="15:20" x14ac:dyDescent="0.25">
      <c r="O75" s="2"/>
      <c r="P75" s="2"/>
      <c r="Q75" s="2"/>
      <c r="R75" s="2"/>
      <c r="S75" s="2"/>
      <c r="T75" s="2"/>
    </row>
    <row r="76" spans="15:20" x14ac:dyDescent="0.25">
      <c r="O76" s="2"/>
      <c r="P76" s="2"/>
      <c r="Q76" s="2"/>
      <c r="R76" s="2"/>
      <c r="S76" s="2"/>
      <c r="T76" s="2"/>
    </row>
    <row r="77" spans="15:20" x14ac:dyDescent="0.25">
      <c r="O77" s="2"/>
      <c r="P77" s="2"/>
      <c r="Q77" s="2"/>
      <c r="R77" s="2"/>
      <c r="S77" s="2"/>
      <c r="T77" s="2"/>
    </row>
    <row r="78" spans="15:20" x14ac:dyDescent="0.25">
      <c r="O78" s="2"/>
      <c r="P78" s="2"/>
      <c r="Q78" s="2"/>
      <c r="R78" s="2"/>
      <c r="S78" s="2"/>
      <c r="T78" s="2"/>
    </row>
    <row r="79" spans="15:20" x14ac:dyDescent="0.25">
      <c r="O79" s="2"/>
      <c r="P79" s="2"/>
      <c r="Q79" s="2"/>
      <c r="R79" s="2"/>
      <c r="S79" s="2"/>
      <c r="T79" s="2"/>
    </row>
    <row r="80" spans="15:20" x14ac:dyDescent="0.25">
      <c r="O80" s="2"/>
      <c r="P80" s="2"/>
      <c r="Q80" s="2"/>
      <c r="R80" s="2"/>
      <c r="S80" s="2"/>
      <c r="T80" s="2"/>
    </row>
    <row r="81" spans="15:20" x14ac:dyDescent="0.25">
      <c r="O81" s="2"/>
      <c r="P81" s="2"/>
      <c r="Q81" s="2"/>
      <c r="R81" s="2"/>
      <c r="S81" s="2"/>
      <c r="T81" s="2"/>
    </row>
    <row r="82" spans="15:20" x14ac:dyDescent="0.25">
      <c r="O82" s="2"/>
      <c r="P82" s="2"/>
      <c r="Q82" s="2"/>
      <c r="R82" s="2"/>
      <c r="S82" s="2"/>
      <c r="T82" s="2"/>
    </row>
    <row r="83" spans="15:20" x14ac:dyDescent="0.25">
      <c r="O83" s="2"/>
      <c r="P83" s="2"/>
      <c r="Q83" s="2"/>
      <c r="R83" s="2"/>
      <c r="S83" s="2"/>
      <c r="T83" s="2"/>
    </row>
    <row r="84" spans="15:20" x14ac:dyDescent="0.25">
      <c r="O84" s="2"/>
      <c r="P84" s="2"/>
      <c r="Q84" s="2"/>
      <c r="R84" s="2"/>
      <c r="S84" s="2"/>
      <c r="T84" s="2"/>
    </row>
    <row r="85" spans="15:20" x14ac:dyDescent="0.25">
      <c r="O85" s="2"/>
      <c r="P85" s="2"/>
      <c r="Q85" s="2"/>
      <c r="R85" s="2"/>
      <c r="S85" s="2"/>
      <c r="T85" s="2"/>
    </row>
    <row r="86" spans="15:20" x14ac:dyDescent="0.25">
      <c r="O86" s="2"/>
      <c r="P86" s="2"/>
      <c r="Q86" s="2"/>
      <c r="R86" s="2"/>
      <c r="S86" s="2"/>
      <c r="T86" s="2"/>
    </row>
    <row r="87" spans="15:20" x14ac:dyDescent="0.25">
      <c r="O87" s="2"/>
      <c r="P87" s="2"/>
      <c r="Q87" s="2"/>
      <c r="R87" s="2"/>
      <c r="S87" s="2"/>
      <c r="T87" s="2"/>
    </row>
    <row r="88" spans="15:20" x14ac:dyDescent="0.25">
      <c r="O88" s="2"/>
      <c r="P88" s="2"/>
      <c r="Q88" s="2"/>
      <c r="R88" s="2"/>
      <c r="S88" s="2"/>
      <c r="T88" s="2"/>
    </row>
    <row r="89" spans="15:20" x14ac:dyDescent="0.25">
      <c r="O89" s="2"/>
      <c r="P89" s="2"/>
      <c r="Q89" s="2"/>
      <c r="R89" s="2"/>
      <c r="S89" s="2"/>
      <c r="T89" s="2"/>
    </row>
    <row r="90" spans="15:20" x14ac:dyDescent="0.25">
      <c r="O90" s="2"/>
      <c r="P90" s="2"/>
      <c r="Q90" s="2"/>
      <c r="R90" s="2"/>
      <c r="S90" s="2"/>
      <c r="T90" s="2"/>
    </row>
    <row r="91" spans="15:20" x14ac:dyDescent="0.25">
      <c r="O91" s="2"/>
      <c r="P91" s="2"/>
      <c r="Q91" s="2"/>
      <c r="R91" s="2"/>
      <c r="S91" s="2"/>
      <c r="T91" s="2"/>
    </row>
    <row r="92" spans="15:20" x14ac:dyDescent="0.25">
      <c r="O92" s="2"/>
      <c r="P92" s="2"/>
      <c r="Q92" s="2"/>
      <c r="R92" s="2"/>
      <c r="S92" s="2"/>
      <c r="T92" s="2"/>
    </row>
    <row r="93" spans="15:20" x14ac:dyDescent="0.25">
      <c r="O93" s="2"/>
      <c r="P93" s="2"/>
      <c r="Q93" s="2"/>
      <c r="R93" s="2"/>
      <c r="S93" s="2"/>
      <c r="T93" s="2"/>
    </row>
    <row r="94" spans="15:20" x14ac:dyDescent="0.25">
      <c r="O94" s="2"/>
      <c r="P94" s="2"/>
      <c r="Q94" s="2"/>
      <c r="R94" s="2"/>
      <c r="S94" s="2"/>
      <c r="T94" s="2"/>
    </row>
    <row r="95" spans="15:20" x14ac:dyDescent="0.25">
      <c r="O95" s="2"/>
      <c r="P95" s="2"/>
      <c r="Q95" s="2"/>
      <c r="R95" s="2"/>
      <c r="S95" s="2"/>
      <c r="T95" s="2"/>
    </row>
    <row r="96" spans="15:20" x14ac:dyDescent="0.25">
      <c r="O96" s="2"/>
      <c r="P96" s="2"/>
      <c r="Q96" s="2"/>
      <c r="R96" s="2"/>
      <c r="S96" s="2"/>
      <c r="T96" s="2"/>
    </row>
    <row r="97" spans="15:20" x14ac:dyDescent="0.25">
      <c r="O97" s="2"/>
      <c r="P97" s="2"/>
      <c r="Q97" s="2"/>
      <c r="R97" s="2"/>
      <c r="S97" s="2"/>
      <c r="T97" s="2"/>
    </row>
    <row r="98" spans="15:20" x14ac:dyDescent="0.25">
      <c r="O98" s="2"/>
      <c r="P98" s="2"/>
      <c r="Q98" s="2"/>
      <c r="R98" s="2"/>
      <c r="S98" s="2"/>
      <c r="T98" s="2"/>
    </row>
    <row r="99" spans="15:20" x14ac:dyDescent="0.25">
      <c r="O99" s="2"/>
      <c r="P99" s="2"/>
      <c r="Q99" s="2"/>
      <c r="R99" s="2"/>
      <c r="S99" s="2"/>
      <c r="T99" s="2"/>
    </row>
    <row r="100" spans="15:20" x14ac:dyDescent="0.25">
      <c r="O100" s="2"/>
      <c r="P100" s="2"/>
      <c r="Q100" s="2"/>
      <c r="R100" s="2"/>
      <c r="S100" s="2"/>
      <c r="T100" s="2"/>
    </row>
    <row r="101" spans="15:20" x14ac:dyDescent="0.25">
      <c r="O101" s="2"/>
      <c r="P101" s="2"/>
      <c r="Q101" s="2"/>
      <c r="R101" s="2"/>
      <c r="S101" s="2"/>
      <c r="T101" s="2"/>
    </row>
    <row r="102" spans="15:20" x14ac:dyDescent="0.25">
      <c r="O102" s="2"/>
      <c r="P102" s="2"/>
      <c r="Q102" s="2"/>
      <c r="R102" s="2"/>
      <c r="S102" s="2"/>
      <c r="T102" s="2"/>
    </row>
    <row r="103" spans="15:20" x14ac:dyDescent="0.25">
      <c r="O103" s="2"/>
      <c r="P103" s="2"/>
      <c r="Q103" s="2"/>
      <c r="R103" s="2"/>
      <c r="S103" s="2"/>
      <c r="T103" s="2"/>
    </row>
    <row r="104" spans="15:20" x14ac:dyDescent="0.25">
      <c r="O104" s="2"/>
      <c r="P104" s="2"/>
      <c r="Q104" s="2"/>
      <c r="R104" s="2"/>
      <c r="S104" s="2"/>
      <c r="T104" s="2"/>
    </row>
    <row r="105" spans="15:20" x14ac:dyDescent="0.25">
      <c r="O105" s="2"/>
      <c r="P105" s="2"/>
      <c r="Q105" s="2"/>
      <c r="R105" s="2"/>
      <c r="S105" s="2"/>
      <c r="T105" s="2"/>
    </row>
    <row r="106" spans="15:20" x14ac:dyDescent="0.25">
      <c r="O106" s="2"/>
      <c r="P106" s="2"/>
      <c r="Q106" s="2"/>
      <c r="R106" s="2"/>
      <c r="S106" s="2"/>
      <c r="T106" s="2"/>
    </row>
    <row r="107" spans="15:20" x14ac:dyDescent="0.25">
      <c r="O107" s="2"/>
      <c r="P107" s="2"/>
      <c r="Q107" s="2"/>
      <c r="R107" s="2"/>
      <c r="S107" s="2"/>
      <c r="T107" s="2"/>
    </row>
    <row r="108" spans="15:20" x14ac:dyDescent="0.25">
      <c r="O108" s="2"/>
      <c r="P108" s="2"/>
      <c r="Q108" s="2"/>
      <c r="R108" s="2"/>
      <c r="S108" s="2"/>
      <c r="T108" s="2"/>
    </row>
    <row r="109" spans="15:20" x14ac:dyDescent="0.25">
      <c r="O109" s="2"/>
      <c r="P109" s="2"/>
      <c r="Q109" s="2"/>
      <c r="R109" s="2"/>
      <c r="S109" s="2"/>
      <c r="T109" s="2"/>
    </row>
    <row r="110" spans="15:20" x14ac:dyDescent="0.25">
      <c r="O110" s="2"/>
      <c r="P110" s="2"/>
      <c r="Q110" s="2"/>
      <c r="R110" s="2"/>
      <c r="S110" s="2"/>
      <c r="T110" s="2"/>
    </row>
    <row r="111" spans="15:20" x14ac:dyDescent="0.25">
      <c r="O111" s="2"/>
      <c r="P111" s="2"/>
      <c r="Q111" s="2"/>
      <c r="R111" s="2"/>
      <c r="S111" s="2"/>
      <c r="T111" s="2"/>
    </row>
    <row r="112" spans="15:20" x14ac:dyDescent="0.25">
      <c r="O112" s="2"/>
      <c r="P112" s="2"/>
      <c r="Q112" s="2"/>
      <c r="R112" s="2"/>
      <c r="S112" s="2"/>
      <c r="T112" s="2"/>
    </row>
    <row r="113" spans="5:20" x14ac:dyDescent="0.25">
      <c r="O113" s="2"/>
      <c r="P113" s="2"/>
      <c r="Q113" s="2"/>
      <c r="R113" s="2"/>
      <c r="S113" s="2"/>
      <c r="T113" s="2"/>
    </row>
    <row r="114" spans="5:20" x14ac:dyDescent="0.25">
      <c r="O114" s="2"/>
      <c r="P114" s="2"/>
      <c r="Q114" s="2"/>
      <c r="R114" s="2"/>
      <c r="S114" s="2"/>
      <c r="T114" s="2"/>
    </row>
    <row r="115" spans="5:20" x14ac:dyDescent="0.25">
      <c r="O115" s="2"/>
      <c r="P115" s="2"/>
      <c r="Q115" s="2"/>
      <c r="R115" s="2"/>
      <c r="S115" s="2"/>
      <c r="T115" s="2"/>
    </row>
    <row r="116" spans="5:20" x14ac:dyDescent="0.25">
      <c r="O116" s="2"/>
      <c r="P116" s="2"/>
      <c r="Q116" s="2"/>
      <c r="R116" s="2"/>
      <c r="S116" s="2"/>
      <c r="T116" s="2"/>
    </row>
    <row r="117" spans="5:20" x14ac:dyDescent="0.25">
      <c r="O117" s="2"/>
      <c r="P117" s="2"/>
      <c r="Q117" s="2"/>
      <c r="R117" s="2"/>
      <c r="S117" s="2"/>
      <c r="T117" s="2"/>
    </row>
    <row r="118" spans="5:20" x14ac:dyDescent="0.25">
      <c r="O118" s="2"/>
      <c r="P118" s="2"/>
      <c r="Q118" s="2"/>
      <c r="R118" s="2"/>
      <c r="S118" s="2"/>
      <c r="T118" s="2"/>
    </row>
    <row r="119" spans="5:20" x14ac:dyDescent="0.25">
      <c r="O119" s="2"/>
      <c r="P119" s="2"/>
      <c r="Q119" s="2"/>
      <c r="R119" s="2"/>
      <c r="S119" s="2"/>
      <c r="T119" s="2"/>
    </row>
    <row r="120" spans="5:20" x14ac:dyDescent="0.25">
      <c r="O120" s="2"/>
      <c r="P120" s="2"/>
      <c r="Q120" s="2"/>
      <c r="R120" s="2"/>
      <c r="S120" s="2"/>
      <c r="T120" s="2"/>
    </row>
    <row r="121" spans="5:20" x14ac:dyDescent="0.25">
      <c r="O121" s="2"/>
      <c r="P121" s="2"/>
      <c r="Q121" s="2"/>
      <c r="R121" s="2"/>
      <c r="S121" s="2"/>
      <c r="T121" s="2"/>
    </row>
    <row r="122" spans="5:20" x14ac:dyDescent="0.25">
      <c r="O122" s="2"/>
      <c r="P122" s="2"/>
      <c r="Q122" s="2"/>
      <c r="R122" s="2"/>
      <c r="S122" s="2"/>
      <c r="T122" s="2"/>
    </row>
    <row r="123" spans="5:20" x14ac:dyDescent="0.25">
      <c r="O123" s="2"/>
      <c r="P123" s="2"/>
      <c r="Q123" s="2"/>
      <c r="R123" s="2"/>
      <c r="S123" s="2"/>
      <c r="T123" s="2"/>
    </row>
    <row r="124" spans="5:20" x14ac:dyDescent="0.25">
      <c r="O124" s="2"/>
      <c r="P124" s="2"/>
      <c r="Q124" s="2"/>
      <c r="R124" s="2"/>
      <c r="S124" s="2"/>
      <c r="T124" s="2"/>
    </row>
    <row r="125" spans="5:20" x14ac:dyDescent="0.25">
      <c r="O125" s="2"/>
      <c r="P125" s="2"/>
      <c r="Q125" s="2"/>
      <c r="R125" s="2"/>
      <c r="S125" s="2"/>
      <c r="T125" s="2"/>
    </row>
    <row r="126" spans="5:20" x14ac:dyDescent="0.25">
      <c r="O126" s="2"/>
      <c r="P126" s="2"/>
      <c r="Q126" s="2"/>
      <c r="R126" s="2"/>
      <c r="S126" s="2"/>
      <c r="T126" s="2"/>
    </row>
    <row r="127" spans="5:20" x14ac:dyDescent="0.25">
      <c r="O127" s="2"/>
      <c r="P127" s="2"/>
      <c r="Q127" s="2"/>
      <c r="R127" s="2"/>
      <c r="S127" s="2"/>
      <c r="T127" s="2"/>
    </row>
    <row r="128" spans="5:20" x14ac:dyDescent="0.25">
      <c r="E128" s="2">
        <f>SUM(E39:E126)</f>
        <v>0</v>
      </c>
      <c r="F128" s="2">
        <f t="shared" ref="F128:T128" si="32">SUM(F39:F126)</f>
        <v>0</v>
      </c>
      <c r="G128" s="2">
        <f t="shared" si="32"/>
        <v>1.1499999999999999</v>
      </c>
      <c r="H128" s="2">
        <f t="shared" si="32"/>
        <v>0</v>
      </c>
      <c r="I128" s="2">
        <f t="shared" si="32"/>
        <v>0</v>
      </c>
      <c r="J128" s="2">
        <f t="shared" si="32"/>
        <v>1.1499999999999999</v>
      </c>
      <c r="K128" s="2">
        <f t="shared" si="32"/>
        <v>0</v>
      </c>
      <c r="L128" s="2">
        <f t="shared" si="32"/>
        <v>1.1499999999999999</v>
      </c>
      <c r="M128" s="2">
        <f t="shared" si="32"/>
        <v>0</v>
      </c>
      <c r="N128" s="2">
        <f t="shared" si="32"/>
        <v>0</v>
      </c>
      <c r="O128" s="2">
        <f t="shared" si="32"/>
        <v>0</v>
      </c>
      <c r="P128" s="2">
        <f t="shared" si="32"/>
        <v>1.1499999999999999</v>
      </c>
      <c r="Q128" s="2">
        <f t="shared" si="32"/>
        <v>0</v>
      </c>
      <c r="R128" s="2">
        <f t="shared" si="32"/>
        <v>0</v>
      </c>
      <c r="S128" s="2">
        <f t="shared" si="32"/>
        <v>1.1499999999999999</v>
      </c>
      <c r="T128" s="2">
        <f t="shared" si="32"/>
        <v>0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Q3:R3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8013-9C0B-402A-B1E1-11836491A531}">
  <sheetPr>
    <tabColor theme="2"/>
  </sheetPr>
  <dimension ref="A1:AP61"/>
  <sheetViews>
    <sheetView view="pageBreakPreview" zoomScale="85" zoomScaleNormal="70" zoomScaleSheetLayoutView="85" workbookViewId="0">
      <selection activeCell="C10" sqref="C10"/>
    </sheetView>
  </sheetViews>
  <sheetFormatPr defaultColWidth="8.85546875" defaultRowHeight="15" x14ac:dyDescent="0.25"/>
  <cols>
    <col min="1" max="1" width="32.42578125" style="1" customWidth="1"/>
    <col min="2" max="2" width="14.42578125" style="1" customWidth="1"/>
    <col min="3" max="4" width="12" style="1" customWidth="1"/>
    <col min="5" max="9" width="11.42578125" style="2" customWidth="1"/>
    <col min="10" max="10" width="10.5703125" style="2" bestFit="1" customWidth="1"/>
    <col min="11" max="11" width="14" style="2" bestFit="1" customWidth="1"/>
    <col min="12" max="13" width="12.42578125" style="2" customWidth="1"/>
    <col min="14" max="14" width="10.42578125" style="2" customWidth="1"/>
    <col min="15" max="17" width="13.5703125" style="1" customWidth="1"/>
    <col min="18" max="20" width="14.42578125" style="1" customWidth="1"/>
    <col min="21" max="21" width="42.42578125" style="1" customWidth="1"/>
    <col min="22" max="16384" width="8.85546875" style="1"/>
  </cols>
  <sheetData>
    <row r="1" spans="1:42" ht="19.5" x14ac:dyDescent="0.3">
      <c r="A1" s="3" t="s">
        <v>112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2" ht="20.25" thickBot="1" x14ac:dyDescent="0.35">
      <c r="A2" s="3"/>
      <c r="B2" s="4"/>
      <c r="C2" s="4"/>
      <c r="D2" s="3" t="s">
        <v>35</v>
      </c>
      <c r="E2" s="5"/>
      <c r="F2" s="5"/>
      <c r="G2" s="5"/>
      <c r="H2" s="5"/>
      <c r="I2" s="6" t="s">
        <v>26</v>
      </c>
      <c r="J2" s="77">
        <f>'202'!J2</f>
        <v>46204</v>
      </c>
      <c r="K2" s="77"/>
      <c r="L2" s="7"/>
      <c r="M2" s="6"/>
      <c r="N2" s="12" t="s">
        <v>27</v>
      </c>
      <c r="O2" s="78" t="str">
        <f>'202'!O2</f>
        <v>ENG. THIAGO TORQUATO</v>
      </c>
      <c r="P2" s="78"/>
      <c r="Q2" s="78"/>
      <c r="R2" s="78"/>
      <c r="S2" s="78"/>
      <c r="T2" s="4"/>
      <c r="U2" s="4"/>
    </row>
    <row r="3" spans="1:42" ht="25.5" x14ac:dyDescent="0.35">
      <c r="A3" s="3" t="s">
        <v>38</v>
      </c>
      <c r="B3" s="31" t="str">
        <f>TT!C6</f>
        <v>RODOVIA TO-070 - TRECHO ALIANÇA DO TOCANTINS - BREJINHO DE NAZARÉ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81" t="s">
        <v>111</v>
      </c>
      <c r="R3" s="81"/>
      <c r="S3" s="32">
        <v>11</v>
      </c>
      <c r="T3" s="4"/>
      <c r="U3" s="4"/>
    </row>
    <row r="4" spans="1:42" ht="20.25" thickBot="1" x14ac:dyDescent="0.35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2" s="8" customFormat="1" ht="39" customHeight="1" x14ac:dyDescent="0.25">
      <c r="A5" s="72" t="s">
        <v>0</v>
      </c>
      <c r="B5" s="72" t="s">
        <v>32</v>
      </c>
      <c r="C5" s="79" t="s">
        <v>28</v>
      </c>
      <c r="D5" s="79" t="s">
        <v>29</v>
      </c>
      <c r="E5" s="72" t="s">
        <v>1</v>
      </c>
      <c r="F5" s="72"/>
      <c r="G5" s="72"/>
      <c r="H5" s="72"/>
      <c r="I5" s="72"/>
      <c r="J5" s="72" t="s">
        <v>17</v>
      </c>
      <c r="K5" s="72"/>
      <c r="L5" s="72" t="s">
        <v>31</v>
      </c>
      <c r="M5" s="72"/>
      <c r="N5" s="72"/>
      <c r="O5" s="72" t="s">
        <v>21</v>
      </c>
      <c r="P5" s="72"/>
      <c r="Q5" s="72"/>
      <c r="R5" s="72" t="s">
        <v>24</v>
      </c>
      <c r="S5" s="72"/>
      <c r="T5" s="72"/>
      <c r="U5" s="74" t="s">
        <v>33</v>
      </c>
    </row>
    <row r="6" spans="1:42" s="10" customFormat="1" ht="39" customHeight="1" x14ac:dyDescent="0.25">
      <c r="A6" s="73"/>
      <c r="B6" s="73"/>
      <c r="C6" s="73"/>
      <c r="D6" s="73"/>
      <c r="E6" s="9" t="s">
        <v>2</v>
      </c>
      <c r="F6" s="9" t="s">
        <v>7</v>
      </c>
      <c r="G6" s="9" t="s">
        <v>3</v>
      </c>
      <c r="H6" s="9" t="s">
        <v>4</v>
      </c>
      <c r="I6" s="9" t="s">
        <v>5</v>
      </c>
      <c r="J6" s="9" t="s">
        <v>18</v>
      </c>
      <c r="K6" s="9" t="s">
        <v>34</v>
      </c>
      <c r="L6" s="9" t="s">
        <v>19</v>
      </c>
      <c r="M6" s="9" t="s">
        <v>20</v>
      </c>
      <c r="N6" s="9" t="s">
        <v>30</v>
      </c>
      <c r="O6" s="9" t="s">
        <v>2</v>
      </c>
      <c r="P6" s="9" t="s">
        <v>22</v>
      </c>
      <c r="Q6" s="9" t="s">
        <v>23</v>
      </c>
      <c r="R6" s="9" t="s">
        <v>2</v>
      </c>
      <c r="S6" s="9" t="s">
        <v>25</v>
      </c>
      <c r="T6" s="9" t="s">
        <v>23</v>
      </c>
      <c r="U6" s="75"/>
    </row>
    <row r="7" spans="1:42" ht="36" customHeight="1" x14ac:dyDescent="0.25">
      <c r="A7" s="34" t="s">
        <v>61</v>
      </c>
      <c r="B7" s="34" t="s">
        <v>113</v>
      </c>
      <c r="C7" s="35">
        <v>0</v>
      </c>
      <c r="D7" s="35">
        <v>57.8</v>
      </c>
      <c r="E7" s="34"/>
      <c r="F7" s="34" t="s">
        <v>114</v>
      </c>
      <c r="G7" s="34"/>
      <c r="H7" s="34"/>
      <c r="I7" s="34"/>
      <c r="J7" s="34" t="s">
        <v>114</v>
      </c>
      <c r="K7" s="34"/>
      <c r="L7" s="34"/>
      <c r="M7" s="34" t="s">
        <v>114</v>
      </c>
      <c r="N7" s="34"/>
      <c r="O7" s="34"/>
      <c r="P7" s="34" t="s">
        <v>114</v>
      </c>
      <c r="Q7" s="34"/>
      <c r="R7" s="34"/>
      <c r="S7" s="34" t="s">
        <v>114</v>
      </c>
      <c r="T7" s="34"/>
      <c r="U7" s="36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36" customHeight="1" x14ac:dyDescent="0.25">
      <c r="A8" s="34"/>
      <c r="B8" s="34"/>
      <c r="C8" s="35">
        <f>D7</f>
        <v>57.8</v>
      </c>
      <c r="D8" s="35">
        <v>57.8</v>
      </c>
      <c r="E8" s="34"/>
      <c r="F8" s="34"/>
      <c r="G8" s="34"/>
      <c r="H8" s="34"/>
      <c r="I8" s="34"/>
      <c r="J8" s="34" t="s">
        <v>114</v>
      </c>
      <c r="K8" s="34"/>
      <c r="L8" s="34"/>
      <c r="M8" s="34" t="s">
        <v>114</v>
      </c>
      <c r="N8" s="34"/>
      <c r="O8" s="34"/>
      <c r="P8" s="34" t="s">
        <v>114</v>
      </c>
      <c r="Q8" s="34"/>
      <c r="R8" s="34"/>
      <c r="S8" s="34" t="s">
        <v>114</v>
      </c>
      <c r="T8" s="34"/>
      <c r="U8" s="36"/>
    </row>
    <row r="9" spans="1:42" ht="36" customHeight="1" x14ac:dyDescent="0.25">
      <c r="A9" s="34"/>
      <c r="B9" s="34"/>
      <c r="C9" s="35">
        <f>D8</f>
        <v>57.8</v>
      </c>
      <c r="D9" s="35">
        <v>58.76</v>
      </c>
      <c r="E9" s="34"/>
      <c r="F9" s="34"/>
      <c r="G9" s="34" t="s">
        <v>114</v>
      </c>
      <c r="H9" s="34"/>
      <c r="I9" s="34"/>
      <c r="J9" s="34" t="s">
        <v>114</v>
      </c>
      <c r="K9" s="34"/>
      <c r="L9" s="34"/>
      <c r="M9" s="34" t="s">
        <v>114</v>
      </c>
      <c r="N9" s="34"/>
      <c r="O9" s="34"/>
      <c r="P9" s="34" t="s">
        <v>114</v>
      </c>
      <c r="Q9" s="34"/>
      <c r="R9" s="34"/>
      <c r="S9" s="34" t="s">
        <v>114</v>
      </c>
      <c r="T9" s="34"/>
      <c r="U9" s="36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2" ht="36" customHeight="1" x14ac:dyDescent="0.25">
      <c r="A10" s="34" t="s">
        <v>64</v>
      </c>
      <c r="B10" s="34" t="s">
        <v>113</v>
      </c>
      <c r="C10" s="35">
        <v>0</v>
      </c>
      <c r="D10" s="35">
        <v>0.99</v>
      </c>
      <c r="E10" s="34"/>
      <c r="F10" s="34"/>
      <c r="G10" s="34" t="s">
        <v>114</v>
      </c>
      <c r="H10" s="34"/>
      <c r="I10" s="34"/>
      <c r="J10" s="34" t="s">
        <v>114</v>
      </c>
      <c r="K10" s="34"/>
      <c r="L10" s="34" t="s">
        <v>114</v>
      </c>
      <c r="M10" s="34"/>
      <c r="N10" s="34"/>
      <c r="O10" s="34"/>
      <c r="P10" s="34"/>
      <c r="Q10" s="34" t="s">
        <v>114</v>
      </c>
      <c r="R10" s="34"/>
      <c r="S10" s="34" t="s">
        <v>114</v>
      </c>
      <c r="T10" s="34"/>
      <c r="U10" s="36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2" ht="36" customHeight="1" x14ac:dyDescent="0.25">
      <c r="A11" s="34"/>
      <c r="B11" s="34"/>
      <c r="C11" s="35"/>
      <c r="D11" s="35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6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2" ht="36" customHeight="1" x14ac:dyDescent="0.25">
      <c r="A12" s="34"/>
      <c r="B12" s="34"/>
      <c r="C12" s="35"/>
      <c r="D12" s="35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6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2" ht="36" customHeight="1" x14ac:dyDescent="0.25">
      <c r="A13" s="34"/>
      <c r="B13" s="34"/>
      <c r="C13" s="35"/>
      <c r="D13" s="35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6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2" ht="36" customHeight="1" x14ac:dyDescent="0.25">
      <c r="A14" s="34"/>
      <c r="B14" s="34"/>
      <c r="C14" s="35"/>
      <c r="D14" s="35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6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2" ht="36" customHeight="1" x14ac:dyDescent="0.25">
      <c r="A15" s="34"/>
      <c r="B15" s="34"/>
      <c r="C15" s="35"/>
      <c r="D15" s="35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6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2" ht="36" customHeight="1" x14ac:dyDescent="0.25">
      <c r="A16" s="34"/>
      <c r="B16" s="34"/>
      <c r="C16" s="35"/>
      <c r="D16" s="35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6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34"/>
      <c r="B17" s="34"/>
      <c r="C17" s="35"/>
      <c r="D17" s="35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6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34"/>
      <c r="B18" s="34"/>
      <c r="C18" s="35"/>
      <c r="D18" s="35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6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34"/>
      <c r="B19" s="34"/>
      <c r="C19" s="35"/>
      <c r="D19" s="35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6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34"/>
      <c r="B20" s="34"/>
      <c r="C20" s="35"/>
      <c r="D20" s="35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6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34"/>
      <c r="B21" s="34"/>
      <c r="C21" s="35"/>
      <c r="D21" s="35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6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34"/>
      <c r="B22" s="34"/>
      <c r="C22" s="35"/>
      <c r="D22" s="35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6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34"/>
      <c r="B23" s="34"/>
      <c r="C23" s="35"/>
      <c r="D23" s="35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6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34"/>
      <c r="B24" s="34"/>
      <c r="C24" s="35"/>
      <c r="D24" s="35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6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34"/>
      <c r="B25" s="34"/>
      <c r="C25" s="35"/>
      <c r="D25" s="35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6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34"/>
      <c r="B26" s="34"/>
      <c r="C26" s="35"/>
      <c r="D26" s="35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6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34"/>
      <c r="B27" s="34"/>
      <c r="C27" s="35"/>
      <c r="D27" s="35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6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34"/>
      <c r="B28" s="34"/>
      <c r="C28" s="35"/>
      <c r="D28" s="35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6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34"/>
      <c r="B29" s="34"/>
      <c r="C29" s="35"/>
      <c r="D29" s="35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6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37"/>
      <c r="B30" s="37"/>
      <c r="C30" s="38"/>
      <c r="D30" s="3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9"/>
    </row>
    <row r="32" spans="1:40" ht="19.5" x14ac:dyDescent="0.3">
      <c r="A32" s="4" t="s">
        <v>6</v>
      </c>
      <c r="B32" s="11" t="s">
        <v>1</v>
      </c>
      <c r="C32" s="5"/>
      <c r="D32" s="5"/>
      <c r="E32" s="76"/>
      <c r="F32" s="76"/>
    </row>
    <row r="33" spans="1:20" ht="19.5" x14ac:dyDescent="0.3">
      <c r="A33" s="4" t="s">
        <v>8</v>
      </c>
      <c r="B33" s="4" t="s">
        <v>9</v>
      </c>
      <c r="E33" s="4" t="s">
        <v>13</v>
      </c>
      <c r="F33" s="4"/>
      <c r="G33" s="4"/>
      <c r="I33" s="4" t="s">
        <v>4</v>
      </c>
      <c r="J33" s="4" t="s">
        <v>11</v>
      </c>
      <c r="K33" s="1"/>
      <c r="L33" s="1"/>
      <c r="M33" s="4" t="s">
        <v>15</v>
      </c>
      <c r="N33" s="4"/>
      <c r="O33" s="4"/>
    </row>
    <row r="34" spans="1:20" ht="19.5" x14ac:dyDescent="0.3">
      <c r="A34" s="4" t="s">
        <v>3</v>
      </c>
      <c r="B34" s="4" t="s">
        <v>10</v>
      </c>
      <c r="E34" s="4" t="s">
        <v>14</v>
      </c>
      <c r="F34" s="4"/>
      <c r="G34" s="4"/>
      <c r="I34" s="4" t="s">
        <v>5</v>
      </c>
      <c r="J34" s="4" t="s">
        <v>12</v>
      </c>
      <c r="K34" s="1"/>
      <c r="L34" s="1"/>
      <c r="M34" s="4" t="s">
        <v>16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>
        <f>IF(F7="X",(D7-C7),"0")</f>
        <v>57.8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57.8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57.8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57.8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57.8</v>
      </c>
      <c r="T39" s="2" t="str">
        <f>IF(T7="X",(D7-C7),"0")</f>
        <v>0</v>
      </c>
    </row>
    <row r="40" spans="1:20" x14ac:dyDescent="0.25">
      <c r="E40" s="2" t="str">
        <f t="shared" ref="E40:E59" si="0">IF(E8="X",(D8-C8),"0")</f>
        <v>0</v>
      </c>
      <c r="F40" s="2" t="str">
        <f t="shared" ref="F40:F59" si="1">IF(F8="X",(D8-C8),"0")</f>
        <v>0</v>
      </c>
      <c r="G40" s="2" t="str">
        <f t="shared" ref="G40:G59" si="2">IF(G8="X",(D8-C8),"0")</f>
        <v>0</v>
      </c>
      <c r="H40" s="2" t="str">
        <f t="shared" ref="H40:H59" si="3">IF(H8="X",(D8-C8),"0")</f>
        <v>0</v>
      </c>
      <c r="I40" s="2" t="str">
        <f t="shared" ref="I40:I59" si="4">IF(I8="X",(D8-C8),"0")</f>
        <v>0</v>
      </c>
      <c r="J40" s="2">
        <f t="shared" ref="J40:J59" si="5">IF(J8="X",(D8-C8),"0")</f>
        <v>0</v>
      </c>
      <c r="K40" s="2" t="str">
        <f t="shared" ref="K40:K59" si="6">IF(K8="X",(D8-C8),"0")</f>
        <v>0</v>
      </c>
      <c r="L40" s="2" t="str">
        <f t="shared" ref="L40:L59" si="7">IF(L8="X",(D8-C8),"0")</f>
        <v>0</v>
      </c>
      <c r="M40" s="2">
        <f t="shared" ref="M40:M59" si="8">IF(M8="X",(D8-C8),"0")</f>
        <v>0</v>
      </c>
      <c r="N40" s="2" t="str">
        <f t="shared" ref="N40:N59" si="9">IF(N8="X",(D8-C8),"0")</f>
        <v>0</v>
      </c>
      <c r="O40" s="2" t="str">
        <f t="shared" ref="O40:O59" si="10">IF(O8="X",(D8-C8),"0")</f>
        <v>0</v>
      </c>
      <c r="P40" s="2">
        <f t="shared" ref="P40:P59" si="11">IF(P8="X",(D8-C8),"0")</f>
        <v>0</v>
      </c>
      <c r="Q40" s="2" t="str">
        <f t="shared" ref="Q40:Q59" si="12">IF(Q8="X",(D8-C8),"0")</f>
        <v>0</v>
      </c>
      <c r="R40" s="2" t="str">
        <f t="shared" ref="R40:R59" si="13">IF(R8="X",(D8-C8),"0")</f>
        <v>0</v>
      </c>
      <c r="S40" s="2">
        <f t="shared" ref="S40:S59" si="14">IF(S8="X",(D8-C8),"0")</f>
        <v>0</v>
      </c>
      <c r="T40" s="2" t="str">
        <f t="shared" ref="T40:T59" si="15">IF(T8="X",(D8-C8),"0")</f>
        <v>0</v>
      </c>
    </row>
    <row r="41" spans="1:20" x14ac:dyDescent="0.25">
      <c r="E41" s="2" t="str">
        <f t="shared" si="0"/>
        <v>0</v>
      </c>
      <c r="F41" s="2" t="str">
        <f t="shared" si="1"/>
        <v>0</v>
      </c>
      <c r="G41" s="2">
        <f t="shared" si="2"/>
        <v>0.96000000000000085</v>
      </c>
      <c r="H41" s="2" t="str">
        <f t="shared" si="3"/>
        <v>0</v>
      </c>
      <c r="I41" s="2" t="str">
        <f t="shared" si="4"/>
        <v>0</v>
      </c>
      <c r="J41" s="2">
        <f t="shared" si="5"/>
        <v>0.96000000000000085</v>
      </c>
      <c r="K41" s="2" t="str">
        <f t="shared" si="6"/>
        <v>0</v>
      </c>
      <c r="L41" s="2" t="str">
        <f t="shared" si="7"/>
        <v>0</v>
      </c>
      <c r="M41" s="2">
        <f t="shared" si="8"/>
        <v>0.96000000000000085</v>
      </c>
      <c r="N41" s="2" t="str">
        <f t="shared" si="9"/>
        <v>0</v>
      </c>
      <c r="O41" s="2" t="str">
        <f t="shared" si="10"/>
        <v>0</v>
      </c>
      <c r="P41" s="2">
        <f t="shared" si="11"/>
        <v>0.96000000000000085</v>
      </c>
      <c r="Q41" s="2" t="str">
        <f t="shared" si="12"/>
        <v>0</v>
      </c>
      <c r="R41" s="2" t="str">
        <f t="shared" si="13"/>
        <v>0</v>
      </c>
      <c r="S41" s="2">
        <f t="shared" si="14"/>
        <v>0.96000000000000085</v>
      </c>
      <c r="T41" s="2" t="str">
        <f t="shared" si="15"/>
        <v>0</v>
      </c>
    </row>
    <row r="42" spans="1:20" x14ac:dyDescent="0.25">
      <c r="E42" s="2" t="str">
        <f t="shared" si="0"/>
        <v>0</v>
      </c>
      <c r="F42" s="2" t="str">
        <f t="shared" si="1"/>
        <v>0</v>
      </c>
      <c r="G42" s="2">
        <f t="shared" si="2"/>
        <v>0.99</v>
      </c>
      <c r="H42" s="2" t="str">
        <f t="shared" si="3"/>
        <v>0</v>
      </c>
      <c r="I42" s="2" t="str">
        <f t="shared" si="4"/>
        <v>0</v>
      </c>
      <c r="J42" s="2">
        <f t="shared" si="5"/>
        <v>0.99</v>
      </c>
      <c r="K42" s="2" t="str">
        <f t="shared" si="6"/>
        <v>0</v>
      </c>
      <c r="L42" s="2">
        <f t="shared" si="7"/>
        <v>0.99</v>
      </c>
      <c r="M42" s="2" t="str">
        <f t="shared" si="8"/>
        <v>0</v>
      </c>
      <c r="N42" s="2" t="str">
        <f t="shared" si="9"/>
        <v>0</v>
      </c>
      <c r="O42" s="2" t="str">
        <f t="shared" si="10"/>
        <v>0</v>
      </c>
      <c r="P42" s="2" t="str">
        <f t="shared" si="11"/>
        <v>0</v>
      </c>
      <c r="Q42" s="2">
        <f t="shared" si="12"/>
        <v>0.99</v>
      </c>
      <c r="R42" s="2" t="str">
        <f t="shared" si="13"/>
        <v>0</v>
      </c>
      <c r="S42" s="2">
        <f t="shared" si="14"/>
        <v>0.99</v>
      </c>
      <c r="T42" s="2" t="str">
        <f t="shared" si="15"/>
        <v>0</v>
      </c>
    </row>
    <row r="43" spans="1:20" x14ac:dyDescent="0.25">
      <c r="E43" s="2" t="str">
        <f t="shared" si="0"/>
        <v>0</v>
      </c>
      <c r="F43" s="2" t="str">
        <f t="shared" si="1"/>
        <v>0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 t="str">
        <f t="shared" si="5"/>
        <v>0</v>
      </c>
      <c r="K43" s="2" t="str">
        <f t="shared" si="6"/>
        <v>0</v>
      </c>
      <c r="L43" s="2" t="str">
        <f t="shared" si="7"/>
        <v>0</v>
      </c>
      <c r="M43" s="2" t="str">
        <f t="shared" si="8"/>
        <v>0</v>
      </c>
      <c r="N43" s="2" t="str">
        <f t="shared" si="9"/>
        <v>0</v>
      </c>
      <c r="O43" s="2" t="str">
        <f t="shared" si="10"/>
        <v>0</v>
      </c>
      <c r="P43" s="2" t="str">
        <f t="shared" si="11"/>
        <v>0</v>
      </c>
      <c r="Q43" s="2" t="str">
        <f t="shared" si="12"/>
        <v>0</v>
      </c>
      <c r="R43" s="2" t="str">
        <f t="shared" si="13"/>
        <v>0</v>
      </c>
      <c r="S43" s="2" t="str">
        <f t="shared" si="14"/>
        <v>0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 t="str">
        <f t="shared" si="5"/>
        <v>0</v>
      </c>
      <c r="K44" s="2" t="str">
        <f t="shared" si="6"/>
        <v>0</v>
      </c>
      <c r="L44" s="2" t="str">
        <f t="shared" si="7"/>
        <v>0</v>
      </c>
      <c r="M44" s="2" t="str">
        <f t="shared" si="8"/>
        <v>0</v>
      </c>
      <c r="N44" s="2" t="str">
        <f t="shared" si="9"/>
        <v>0</v>
      </c>
      <c r="O44" s="2" t="str">
        <f t="shared" si="10"/>
        <v>0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 t="str">
        <f t="shared" si="14"/>
        <v>0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O60" s="2"/>
      <c r="P60" s="2"/>
      <c r="Q60" s="2"/>
      <c r="R60" s="2"/>
      <c r="S60" s="2"/>
      <c r="T60" s="2"/>
    </row>
    <row r="61" spans="5:20" x14ac:dyDescent="0.25">
      <c r="E61" s="2">
        <f t="shared" ref="E61:T61" si="16">SUM(E39:E60)</f>
        <v>0</v>
      </c>
      <c r="F61" s="2">
        <f t="shared" si="16"/>
        <v>57.8</v>
      </c>
      <c r="G61" s="2">
        <f t="shared" si="16"/>
        <v>1.9500000000000008</v>
      </c>
      <c r="H61" s="2">
        <f t="shared" si="16"/>
        <v>0</v>
      </c>
      <c r="I61" s="2">
        <f t="shared" si="16"/>
        <v>0</v>
      </c>
      <c r="J61" s="2">
        <f t="shared" si="16"/>
        <v>59.75</v>
      </c>
      <c r="K61" s="2">
        <f t="shared" si="16"/>
        <v>0</v>
      </c>
      <c r="L61" s="2">
        <f t="shared" si="16"/>
        <v>0.99</v>
      </c>
      <c r="M61" s="2">
        <f t="shared" si="16"/>
        <v>58.76</v>
      </c>
      <c r="N61" s="2">
        <f t="shared" si="16"/>
        <v>0</v>
      </c>
      <c r="O61" s="2">
        <f t="shared" si="16"/>
        <v>0</v>
      </c>
      <c r="P61" s="2">
        <f t="shared" si="16"/>
        <v>58.76</v>
      </c>
      <c r="Q61" s="2">
        <f t="shared" si="16"/>
        <v>0.99</v>
      </c>
      <c r="R61" s="2">
        <f t="shared" si="16"/>
        <v>0</v>
      </c>
      <c r="S61" s="2">
        <f t="shared" si="16"/>
        <v>59.75</v>
      </c>
      <c r="T61" s="2">
        <f t="shared" si="16"/>
        <v>0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Q3:R3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DE03-CE53-47C0-A2B7-9219E3B0AABC}">
  <sheetPr>
    <tabColor theme="2"/>
  </sheetPr>
  <dimension ref="A1:AP84"/>
  <sheetViews>
    <sheetView tabSelected="1" zoomScale="85" zoomScaleNormal="85" zoomScaleSheetLayoutView="55" workbookViewId="0">
      <selection activeCell="D18" sqref="D18"/>
    </sheetView>
  </sheetViews>
  <sheetFormatPr defaultColWidth="8.85546875" defaultRowHeight="15" x14ac:dyDescent="0.25"/>
  <cols>
    <col min="1" max="1" width="32.42578125" style="1" customWidth="1"/>
    <col min="2" max="2" width="14.42578125" style="1" customWidth="1"/>
    <col min="3" max="4" width="12" style="1" customWidth="1"/>
    <col min="5" max="9" width="11.42578125" style="2" customWidth="1"/>
    <col min="10" max="10" width="10.5703125" style="2" bestFit="1" customWidth="1"/>
    <col min="11" max="11" width="14" style="2" bestFit="1" customWidth="1"/>
    <col min="12" max="13" width="12.42578125" style="2" customWidth="1"/>
    <col min="14" max="14" width="10.42578125" style="2" customWidth="1"/>
    <col min="15" max="17" width="13.5703125" style="1" customWidth="1"/>
    <col min="18" max="20" width="14.42578125" style="1" customWidth="1"/>
    <col min="21" max="21" width="42.42578125" style="1" customWidth="1"/>
    <col min="22" max="16384" width="8.85546875" style="1"/>
  </cols>
  <sheetData>
    <row r="1" spans="1:42" ht="19.5" x14ac:dyDescent="0.3">
      <c r="A1" s="3" t="s">
        <v>112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2" ht="20.25" thickBot="1" x14ac:dyDescent="0.35">
      <c r="A2" s="3"/>
      <c r="B2" s="4"/>
      <c r="C2" s="4"/>
      <c r="D2" s="3" t="s">
        <v>35</v>
      </c>
      <c r="E2" s="5"/>
      <c r="F2" s="5"/>
      <c r="G2" s="5"/>
      <c r="H2" s="5"/>
      <c r="I2" s="6" t="s">
        <v>26</v>
      </c>
      <c r="J2" s="77">
        <f>'202'!J2</f>
        <v>46204</v>
      </c>
      <c r="K2" s="77"/>
      <c r="L2" s="7"/>
      <c r="M2" s="6"/>
      <c r="N2" s="12" t="s">
        <v>27</v>
      </c>
      <c r="O2" s="78" t="str">
        <f>'202'!O2</f>
        <v>ENG. THIAGO TORQUATO</v>
      </c>
      <c r="P2" s="78"/>
      <c r="Q2" s="78"/>
      <c r="R2" s="78"/>
      <c r="S2" s="78"/>
      <c r="T2" s="4"/>
      <c r="U2" s="4"/>
    </row>
    <row r="3" spans="1:42" ht="25.5" x14ac:dyDescent="0.35">
      <c r="A3" s="3" t="s">
        <v>38</v>
      </c>
      <c r="B3" s="31" t="str">
        <f>TT!C7</f>
        <v>RODOVIA TO-070 - TRECHO DUERÉ - ALIANÇA DO TOCANTINS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81" t="s">
        <v>111</v>
      </c>
      <c r="R3" s="81"/>
      <c r="S3" s="32">
        <v>11</v>
      </c>
      <c r="T3" s="4"/>
      <c r="U3" s="4"/>
    </row>
    <row r="4" spans="1:42" ht="20.25" thickBot="1" x14ac:dyDescent="0.35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2" s="8" customFormat="1" ht="39" customHeight="1" x14ac:dyDescent="0.25">
      <c r="A5" s="72" t="s">
        <v>0</v>
      </c>
      <c r="B5" s="72" t="s">
        <v>32</v>
      </c>
      <c r="C5" s="79" t="s">
        <v>28</v>
      </c>
      <c r="D5" s="79" t="s">
        <v>29</v>
      </c>
      <c r="E5" s="72" t="s">
        <v>1</v>
      </c>
      <c r="F5" s="72"/>
      <c r="G5" s="72"/>
      <c r="H5" s="72"/>
      <c r="I5" s="72"/>
      <c r="J5" s="72" t="s">
        <v>17</v>
      </c>
      <c r="K5" s="72"/>
      <c r="L5" s="72" t="s">
        <v>31</v>
      </c>
      <c r="M5" s="72"/>
      <c r="N5" s="72"/>
      <c r="O5" s="72" t="s">
        <v>21</v>
      </c>
      <c r="P5" s="72"/>
      <c r="Q5" s="72"/>
      <c r="R5" s="72" t="s">
        <v>24</v>
      </c>
      <c r="S5" s="72"/>
      <c r="T5" s="72"/>
      <c r="U5" s="74" t="s">
        <v>33</v>
      </c>
    </row>
    <row r="6" spans="1:42" s="10" customFormat="1" ht="39" customHeight="1" x14ac:dyDescent="0.25">
      <c r="A6" s="73"/>
      <c r="B6" s="73"/>
      <c r="C6" s="73"/>
      <c r="D6" s="73"/>
      <c r="E6" s="9" t="s">
        <v>2</v>
      </c>
      <c r="F6" s="9" t="s">
        <v>7</v>
      </c>
      <c r="G6" s="9" t="s">
        <v>3</v>
      </c>
      <c r="H6" s="9" t="s">
        <v>4</v>
      </c>
      <c r="I6" s="9" t="s">
        <v>5</v>
      </c>
      <c r="J6" s="9" t="s">
        <v>18</v>
      </c>
      <c r="K6" s="9" t="s">
        <v>34</v>
      </c>
      <c r="L6" s="9" t="s">
        <v>19</v>
      </c>
      <c r="M6" s="9" t="s">
        <v>20</v>
      </c>
      <c r="N6" s="9" t="s">
        <v>30</v>
      </c>
      <c r="O6" s="9" t="s">
        <v>2</v>
      </c>
      <c r="P6" s="9" t="s">
        <v>22</v>
      </c>
      <c r="Q6" s="9" t="s">
        <v>23</v>
      </c>
      <c r="R6" s="9" t="s">
        <v>2</v>
      </c>
      <c r="S6" s="9" t="s">
        <v>25</v>
      </c>
      <c r="T6" s="9" t="s">
        <v>23</v>
      </c>
      <c r="U6" s="75"/>
    </row>
    <row r="7" spans="1:42" ht="36" customHeight="1" x14ac:dyDescent="0.25">
      <c r="A7" s="34" t="s">
        <v>66</v>
      </c>
      <c r="B7" s="34" t="s">
        <v>113</v>
      </c>
      <c r="C7" s="35">
        <v>0</v>
      </c>
      <c r="D7" s="35">
        <v>4.3</v>
      </c>
      <c r="E7" s="34" t="s">
        <v>114</v>
      </c>
      <c r="F7" s="34"/>
      <c r="G7" s="34"/>
      <c r="H7" s="34"/>
      <c r="I7" s="34"/>
      <c r="J7" s="34" t="s">
        <v>114</v>
      </c>
      <c r="K7" s="34"/>
      <c r="L7" s="34"/>
      <c r="M7" s="34" t="s">
        <v>114</v>
      </c>
      <c r="N7" s="34"/>
      <c r="O7" s="34" t="s">
        <v>114</v>
      </c>
      <c r="P7" s="34"/>
      <c r="Q7" s="34"/>
      <c r="R7" s="34"/>
      <c r="S7" s="34" t="s">
        <v>114</v>
      </c>
      <c r="T7" s="34"/>
      <c r="U7" s="36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36" customHeight="1" x14ac:dyDescent="0.25">
      <c r="A8" s="34"/>
      <c r="B8" s="34"/>
      <c r="C8" s="35">
        <f>D7</f>
        <v>4.3</v>
      </c>
      <c r="D8" s="35">
        <v>4.3</v>
      </c>
      <c r="E8" s="34"/>
      <c r="F8" s="34" t="s">
        <v>114</v>
      </c>
      <c r="G8" s="34"/>
      <c r="H8" s="34"/>
      <c r="I8" s="34"/>
      <c r="J8" s="34" t="s">
        <v>114</v>
      </c>
      <c r="K8" s="34"/>
      <c r="L8" s="34"/>
      <c r="M8" s="34" t="s">
        <v>114</v>
      </c>
      <c r="N8" s="34"/>
      <c r="O8" s="34" t="s">
        <v>114</v>
      </c>
      <c r="P8" s="34"/>
      <c r="Q8" s="34"/>
      <c r="R8" s="34"/>
      <c r="S8" s="34" t="s">
        <v>114</v>
      </c>
      <c r="T8" s="34"/>
      <c r="U8" s="36"/>
    </row>
    <row r="9" spans="1:42" ht="36" customHeight="1" x14ac:dyDescent="0.25">
      <c r="A9" s="34"/>
      <c r="B9" s="34"/>
      <c r="C9" s="35">
        <f t="shared" ref="C9:C11" si="0">D8</f>
        <v>4.3</v>
      </c>
      <c r="D9" s="35">
        <v>7</v>
      </c>
      <c r="E9" s="34" t="s">
        <v>114</v>
      </c>
      <c r="F9" s="34"/>
      <c r="G9" s="34"/>
      <c r="H9" s="34"/>
      <c r="I9" s="34"/>
      <c r="J9" s="34" t="s">
        <v>114</v>
      </c>
      <c r="K9" s="34"/>
      <c r="L9" s="34"/>
      <c r="M9" s="34" t="s">
        <v>114</v>
      </c>
      <c r="N9" s="34"/>
      <c r="O9" s="34" t="s">
        <v>114</v>
      </c>
      <c r="P9" s="34"/>
      <c r="Q9" s="34"/>
      <c r="R9" s="34"/>
      <c r="S9" s="34" t="s">
        <v>114</v>
      </c>
      <c r="T9" s="34"/>
      <c r="U9" s="36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2" ht="36" customHeight="1" x14ac:dyDescent="0.25">
      <c r="A10" s="34"/>
      <c r="B10" s="34"/>
      <c r="C10" s="35">
        <f t="shared" si="0"/>
        <v>7</v>
      </c>
      <c r="D10" s="35">
        <v>16</v>
      </c>
      <c r="E10" s="34"/>
      <c r="F10" s="34"/>
      <c r="G10" s="34" t="s">
        <v>114</v>
      </c>
      <c r="H10" s="34"/>
      <c r="I10" s="34"/>
      <c r="J10" s="34" t="s">
        <v>114</v>
      </c>
      <c r="K10" s="34"/>
      <c r="L10" s="34"/>
      <c r="M10" s="34" t="s">
        <v>114</v>
      </c>
      <c r="N10" s="34"/>
      <c r="O10" s="34" t="s">
        <v>114</v>
      </c>
      <c r="P10" s="34"/>
      <c r="Q10" s="34"/>
      <c r="R10" s="34"/>
      <c r="S10" s="34" t="s">
        <v>114</v>
      </c>
      <c r="T10" s="34"/>
      <c r="U10" s="36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2" ht="36" customHeight="1" x14ac:dyDescent="0.25">
      <c r="A11" s="34"/>
      <c r="B11" s="34"/>
      <c r="C11" s="35">
        <f t="shared" si="0"/>
        <v>16</v>
      </c>
      <c r="D11" s="35">
        <v>26.91</v>
      </c>
      <c r="E11" s="34" t="s">
        <v>114</v>
      </c>
      <c r="F11" s="34"/>
      <c r="G11" s="34"/>
      <c r="H11" s="34"/>
      <c r="I11" s="34"/>
      <c r="J11" s="34" t="s">
        <v>114</v>
      </c>
      <c r="K11" s="34"/>
      <c r="L11" s="34"/>
      <c r="M11" s="34" t="s">
        <v>114</v>
      </c>
      <c r="N11" s="34"/>
      <c r="O11" s="34" t="s">
        <v>114</v>
      </c>
      <c r="P11" s="34"/>
      <c r="Q11" s="34"/>
      <c r="R11" s="34"/>
      <c r="S11" s="34" t="s">
        <v>114</v>
      </c>
      <c r="T11" s="34"/>
      <c r="U11" s="36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2" ht="36" customHeight="1" x14ac:dyDescent="0.25">
      <c r="A12" s="34" t="s">
        <v>68</v>
      </c>
      <c r="B12" s="34" t="s">
        <v>113</v>
      </c>
      <c r="C12" s="35">
        <v>0</v>
      </c>
      <c r="D12" s="35">
        <v>1</v>
      </c>
      <c r="E12" s="34"/>
      <c r="F12" s="34" t="s">
        <v>114</v>
      </c>
      <c r="G12" s="34"/>
      <c r="H12" s="34"/>
      <c r="I12" s="34"/>
      <c r="J12" s="34" t="s">
        <v>114</v>
      </c>
      <c r="K12" s="34"/>
      <c r="L12" s="34"/>
      <c r="M12" s="34" t="s">
        <v>114</v>
      </c>
      <c r="N12" s="34"/>
      <c r="O12" s="34" t="s">
        <v>114</v>
      </c>
      <c r="P12" s="34"/>
      <c r="Q12" s="34"/>
      <c r="R12" s="34"/>
      <c r="S12" s="34" t="s">
        <v>114</v>
      </c>
      <c r="T12" s="34"/>
      <c r="U12" s="36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2" ht="36" customHeight="1" x14ac:dyDescent="0.25">
      <c r="A13" s="34"/>
      <c r="B13" s="34"/>
      <c r="C13" s="35">
        <f t="shared" ref="C13:C17" si="1">D12</f>
        <v>1</v>
      </c>
      <c r="D13" s="35">
        <v>3.1</v>
      </c>
      <c r="E13" s="34" t="s">
        <v>114</v>
      </c>
      <c r="F13" s="34"/>
      <c r="G13" s="34"/>
      <c r="H13" s="34"/>
      <c r="I13" s="34"/>
      <c r="J13" s="34" t="s">
        <v>114</v>
      </c>
      <c r="K13" s="34"/>
      <c r="L13" s="34"/>
      <c r="M13" s="34" t="s">
        <v>114</v>
      </c>
      <c r="N13" s="34"/>
      <c r="O13" s="34" t="s">
        <v>114</v>
      </c>
      <c r="P13" s="34"/>
      <c r="Q13" s="34"/>
      <c r="R13" s="34"/>
      <c r="S13" s="34" t="s">
        <v>114</v>
      </c>
      <c r="T13" s="34"/>
      <c r="U13" s="36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2" ht="36" customHeight="1" x14ac:dyDescent="0.25">
      <c r="A14" s="34"/>
      <c r="B14" s="34"/>
      <c r="C14" s="35">
        <f t="shared" si="1"/>
        <v>3.1</v>
      </c>
      <c r="D14" s="35">
        <v>9</v>
      </c>
      <c r="E14" s="34"/>
      <c r="F14" s="34" t="s">
        <v>114</v>
      </c>
      <c r="G14" s="34"/>
      <c r="H14" s="34"/>
      <c r="I14" s="34"/>
      <c r="J14" s="34" t="s">
        <v>114</v>
      </c>
      <c r="K14" s="34"/>
      <c r="L14" s="34"/>
      <c r="M14" s="34" t="s">
        <v>114</v>
      </c>
      <c r="N14" s="34"/>
      <c r="O14" s="34" t="s">
        <v>114</v>
      </c>
      <c r="P14" s="34"/>
      <c r="Q14" s="34"/>
      <c r="R14" s="34"/>
      <c r="S14" s="34" t="s">
        <v>114</v>
      </c>
      <c r="T14" s="34"/>
      <c r="U14" s="36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2" ht="36" customHeight="1" x14ac:dyDescent="0.25">
      <c r="A15" s="34"/>
      <c r="B15" s="34"/>
      <c r="C15" s="35">
        <f t="shared" si="1"/>
        <v>9</v>
      </c>
      <c r="D15" s="35">
        <v>10</v>
      </c>
      <c r="E15" s="34"/>
      <c r="F15" s="34"/>
      <c r="G15" s="34" t="s">
        <v>114</v>
      </c>
      <c r="H15" s="34"/>
      <c r="I15" s="34"/>
      <c r="J15" s="34" t="s">
        <v>114</v>
      </c>
      <c r="K15" s="34"/>
      <c r="L15" s="34"/>
      <c r="M15" s="34" t="s">
        <v>114</v>
      </c>
      <c r="N15" s="34"/>
      <c r="O15" s="34" t="s">
        <v>114</v>
      </c>
      <c r="P15" s="34"/>
      <c r="Q15" s="34"/>
      <c r="R15" s="34"/>
      <c r="S15" s="34" t="s">
        <v>114</v>
      </c>
      <c r="T15" s="34"/>
      <c r="U15" s="36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2" ht="36" customHeight="1" x14ac:dyDescent="0.25">
      <c r="A16" s="34"/>
      <c r="B16" s="34"/>
      <c r="C16" s="35">
        <f t="shared" si="1"/>
        <v>10</v>
      </c>
      <c r="D16" s="35">
        <v>12</v>
      </c>
      <c r="E16" s="34"/>
      <c r="F16" s="34" t="s">
        <v>114</v>
      </c>
      <c r="G16" s="34"/>
      <c r="H16" s="34"/>
      <c r="I16" s="34"/>
      <c r="J16" s="34" t="s">
        <v>114</v>
      </c>
      <c r="K16" s="34"/>
      <c r="L16" s="34"/>
      <c r="M16" s="34" t="s">
        <v>114</v>
      </c>
      <c r="N16" s="34"/>
      <c r="O16" s="34" t="s">
        <v>114</v>
      </c>
      <c r="P16" s="34"/>
      <c r="Q16" s="34"/>
      <c r="R16" s="34"/>
      <c r="S16" s="34" t="s">
        <v>114</v>
      </c>
      <c r="T16" s="34"/>
      <c r="U16" s="36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34"/>
      <c r="B17" s="34"/>
      <c r="C17" s="35">
        <f t="shared" si="1"/>
        <v>12</v>
      </c>
      <c r="D17" s="35">
        <v>16.260000000000002</v>
      </c>
      <c r="E17" s="34" t="s">
        <v>114</v>
      </c>
      <c r="F17" s="34"/>
      <c r="G17" s="34"/>
      <c r="H17" s="34"/>
      <c r="I17" s="34"/>
      <c r="J17" s="34" t="s">
        <v>114</v>
      </c>
      <c r="K17" s="34"/>
      <c r="L17" s="34"/>
      <c r="M17" s="34" t="s">
        <v>114</v>
      </c>
      <c r="N17" s="34"/>
      <c r="O17" s="34" t="s">
        <v>114</v>
      </c>
      <c r="P17" s="34"/>
      <c r="Q17" s="34"/>
      <c r="R17" s="34"/>
      <c r="S17" s="34" t="s">
        <v>114</v>
      </c>
      <c r="T17" s="34"/>
      <c r="U17" s="36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34" t="s">
        <v>70</v>
      </c>
      <c r="B18" s="34" t="s">
        <v>113</v>
      </c>
      <c r="C18" s="35">
        <v>0</v>
      </c>
      <c r="D18" s="35">
        <v>3.67</v>
      </c>
      <c r="E18" s="34" t="s">
        <v>114</v>
      </c>
      <c r="F18" s="34"/>
      <c r="G18" s="34"/>
      <c r="H18" s="34"/>
      <c r="I18" s="34"/>
      <c r="J18" s="34" t="s">
        <v>114</v>
      </c>
      <c r="K18" s="34"/>
      <c r="L18" s="34"/>
      <c r="M18" s="34" t="s">
        <v>114</v>
      </c>
      <c r="N18" s="34"/>
      <c r="O18" s="34" t="s">
        <v>114</v>
      </c>
      <c r="P18" s="34"/>
      <c r="Q18" s="34"/>
      <c r="R18" s="34"/>
      <c r="S18" s="34" t="s">
        <v>114</v>
      </c>
      <c r="T18" s="34"/>
      <c r="U18" s="36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34"/>
      <c r="B19" s="34"/>
      <c r="C19" s="35"/>
      <c r="D19" s="35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6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34"/>
      <c r="B20" s="34"/>
      <c r="C20" s="35"/>
      <c r="D20" s="35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6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34"/>
      <c r="B21" s="34"/>
      <c r="C21" s="35"/>
      <c r="D21" s="35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6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34"/>
      <c r="B22" s="34"/>
      <c r="C22" s="35"/>
      <c r="D22" s="35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6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34"/>
      <c r="B23" s="34"/>
      <c r="C23" s="35"/>
      <c r="D23" s="35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6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34"/>
      <c r="B24" s="34"/>
      <c r="C24" s="35"/>
      <c r="D24" s="35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6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34"/>
      <c r="B25" s="34"/>
      <c r="C25" s="35"/>
      <c r="D25" s="35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6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34"/>
      <c r="B26" s="34"/>
      <c r="C26" s="35"/>
      <c r="D26" s="35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6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34"/>
      <c r="B27" s="34"/>
      <c r="C27" s="35"/>
      <c r="D27" s="35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6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34"/>
      <c r="B28" s="34"/>
      <c r="C28" s="35"/>
      <c r="D28" s="35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6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34"/>
      <c r="B29" s="34"/>
      <c r="C29" s="35"/>
      <c r="D29" s="35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6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37"/>
      <c r="B30" s="37"/>
      <c r="C30" s="38"/>
      <c r="D30" s="3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9"/>
    </row>
    <row r="32" spans="1:40" ht="19.5" x14ac:dyDescent="0.3">
      <c r="A32" s="4" t="s">
        <v>6</v>
      </c>
      <c r="B32" s="11" t="s">
        <v>1</v>
      </c>
      <c r="C32" s="5"/>
      <c r="D32" s="5"/>
      <c r="E32" s="76"/>
      <c r="F32" s="76"/>
    </row>
    <row r="33" spans="1:20" ht="19.5" x14ac:dyDescent="0.3">
      <c r="A33" s="4" t="s">
        <v>8</v>
      </c>
      <c r="B33" s="4" t="s">
        <v>9</v>
      </c>
      <c r="E33" s="4" t="s">
        <v>13</v>
      </c>
      <c r="F33" s="4"/>
      <c r="G33" s="4"/>
      <c r="I33" s="4" t="s">
        <v>4</v>
      </c>
      <c r="J33" s="4" t="s">
        <v>11</v>
      </c>
      <c r="K33" s="1"/>
      <c r="L33" s="1"/>
      <c r="M33" s="4" t="s">
        <v>15</v>
      </c>
      <c r="N33" s="4"/>
      <c r="O33" s="4"/>
    </row>
    <row r="34" spans="1:20" ht="19.5" x14ac:dyDescent="0.3">
      <c r="A34" s="4" t="s">
        <v>3</v>
      </c>
      <c r="B34" s="4" t="s">
        <v>10</v>
      </c>
      <c r="E34" s="4" t="s">
        <v>14</v>
      </c>
      <c r="F34" s="4"/>
      <c r="G34" s="4"/>
      <c r="I34" s="4" t="s">
        <v>5</v>
      </c>
      <c r="J34" s="4" t="s">
        <v>12</v>
      </c>
      <c r="K34" s="1"/>
      <c r="L34" s="1"/>
      <c r="M34" s="4" t="s">
        <v>16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>
        <f>IF(E7="X",(D7-C7),"0")</f>
        <v>4.3</v>
      </c>
      <c r="F39" s="2" t="str">
        <f>IF(F7="X",(D7-C7),"0")</f>
        <v>0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4.3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4.3</v>
      </c>
      <c r="N39" s="2" t="str">
        <f>IF(N7="X",(D7-C7),"0")</f>
        <v>0</v>
      </c>
      <c r="O39" s="2">
        <f>IF(O7="X",(D7-C7),"0")</f>
        <v>4.3</v>
      </c>
      <c r="P39" s="2" t="str">
        <f>IF(P7="X",(D7-C7),"0")</f>
        <v>0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4.3</v>
      </c>
      <c r="T39" s="2" t="str">
        <f>IF(T7="X",(D7-C7),"0")</f>
        <v>0</v>
      </c>
    </row>
    <row r="40" spans="1:20" x14ac:dyDescent="0.25">
      <c r="E40" s="2" t="str">
        <f t="shared" ref="E40:E59" si="2">IF(E8="X",(D8-C8),"0")</f>
        <v>0</v>
      </c>
      <c r="F40" s="2">
        <f t="shared" ref="F40:F59" si="3">IF(F8="X",(D8-C8),"0")</f>
        <v>0</v>
      </c>
      <c r="G40" s="2" t="str">
        <f t="shared" ref="G40:G59" si="4">IF(G8="X",(D8-C8),"0")</f>
        <v>0</v>
      </c>
      <c r="H40" s="2" t="str">
        <f t="shared" ref="H40:H59" si="5">IF(H8="X",(D8-C8),"0")</f>
        <v>0</v>
      </c>
      <c r="I40" s="2" t="str">
        <f t="shared" ref="I40:I59" si="6">IF(I8="X",(D8-C8),"0")</f>
        <v>0</v>
      </c>
      <c r="J40" s="2">
        <f t="shared" ref="J40:J59" si="7">IF(J8="X",(D8-C8),"0")</f>
        <v>0</v>
      </c>
      <c r="K40" s="2" t="str">
        <f t="shared" ref="K40:K59" si="8">IF(K8="X",(D8-C8),"0")</f>
        <v>0</v>
      </c>
      <c r="L40" s="2" t="str">
        <f t="shared" ref="L40:L59" si="9">IF(L8="X",(D8-C8),"0")</f>
        <v>0</v>
      </c>
      <c r="M40" s="2">
        <f t="shared" ref="M40:M59" si="10">IF(M8="X",(D8-C8),"0")</f>
        <v>0</v>
      </c>
      <c r="N40" s="2" t="str">
        <f t="shared" ref="N40:N59" si="11">IF(N8="X",(D8-C8),"0")</f>
        <v>0</v>
      </c>
      <c r="O40" s="2">
        <f t="shared" ref="O40:O59" si="12">IF(O8="X",(D8-C8),"0")</f>
        <v>0</v>
      </c>
      <c r="P40" s="2" t="str">
        <f t="shared" ref="P40:P59" si="13">IF(P8="X",(D8-C8),"0")</f>
        <v>0</v>
      </c>
      <c r="Q40" s="2" t="str">
        <f t="shared" ref="Q40:Q59" si="14">IF(Q8="X",(D8-C8),"0")</f>
        <v>0</v>
      </c>
      <c r="R40" s="2" t="str">
        <f t="shared" ref="R40:R59" si="15">IF(R8="X",(D8-C8),"0")</f>
        <v>0</v>
      </c>
      <c r="S40" s="2">
        <f t="shared" ref="S40:S59" si="16">IF(S8="X",(D8-C8),"0")</f>
        <v>0</v>
      </c>
      <c r="T40" s="2" t="str">
        <f t="shared" ref="T40:T59" si="17">IF(T8="X",(D8-C8),"0")</f>
        <v>0</v>
      </c>
    </row>
    <row r="41" spans="1:20" x14ac:dyDescent="0.25">
      <c r="E41" s="2">
        <f t="shared" si="2"/>
        <v>2.7</v>
      </c>
      <c r="F41" s="2" t="str">
        <f t="shared" si="3"/>
        <v>0</v>
      </c>
      <c r="G41" s="2" t="str">
        <f t="shared" si="4"/>
        <v>0</v>
      </c>
      <c r="H41" s="2" t="str">
        <f t="shared" si="5"/>
        <v>0</v>
      </c>
      <c r="I41" s="2" t="str">
        <f t="shared" si="6"/>
        <v>0</v>
      </c>
      <c r="J41" s="2">
        <f t="shared" si="7"/>
        <v>2.7</v>
      </c>
      <c r="K41" s="2" t="str">
        <f t="shared" si="8"/>
        <v>0</v>
      </c>
      <c r="L41" s="2" t="str">
        <f t="shared" si="9"/>
        <v>0</v>
      </c>
      <c r="M41" s="2">
        <f t="shared" si="10"/>
        <v>2.7</v>
      </c>
      <c r="N41" s="2" t="str">
        <f t="shared" si="11"/>
        <v>0</v>
      </c>
      <c r="O41" s="2">
        <f t="shared" si="12"/>
        <v>2.7</v>
      </c>
      <c r="P41" s="2" t="str">
        <f t="shared" si="13"/>
        <v>0</v>
      </c>
      <c r="Q41" s="2" t="str">
        <f t="shared" si="14"/>
        <v>0</v>
      </c>
      <c r="R41" s="2" t="str">
        <f t="shared" si="15"/>
        <v>0</v>
      </c>
      <c r="S41" s="2">
        <f t="shared" si="16"/>
        <v>2.7</v>
      </c>
      <c r="T41" s="2" t="str">
        <f t="shared" si="17"/>
        <v>0</v>
      </c>
    </row>
    <row r="42" spans="1:20" x14ac:dyDescent="0.25">
      <c r="E42" s="2" t="str">
        <f t="shared" si="2"/>
        <v>0</v>
      </c>
      <c r="F42" s="2" t="str">
        <f t="shared" si="3"/>
        <v>0</v>
      </c>
      <c r="G42" s="2">
        <f t="shared" si="4"/>
        <v>9</v>
      </c>
      <c r="H42" s="2" t="str">
        <f t="shared" si="5"/>
        <v>0</v>
      </c>
      <c r="I42" s="2" t="str">
        <f t="shared" si="6"/>
        <v>0</v>
      </c>
      <c r="J42" s="2">
        <f t="shared" si="7"/>
        <v>9</v>
      </c>
      <c r="K42" s="2" t="str">
        <f t="shared" si="8"/>
        <v>0</v>
      </c>
      <c r="L42" s="2" t="str">
        <f t="shared" si="9"/>
        <v>0</v>
      </c>
      <c r="M42" s="2">
        <f t="shared" si="10"/>
        <v>9</v>
      </c>
      <c r="N42" s="2" t="str">
        <f t="shared" si="11"/>
        <v>0</v>
      </c>
      <c r="O42" s="2">
        <f t="shared" si="12"/>
        <v>9</v>
      </c>
      <c r="P42" s="2" t="str">
        <f t="shared" si="13"/>
        <v>0</v>
      </c>
      <c r="Q42" s="2" t="str">
        <f t="shared" si="14"/>
        <v>0</v>
      </c>
      <c r="R42" s="2" t="str">
        <f t="shared" si="15"/>
        <v>0</v>
      </c>
      <c r="S42" s="2">
        <f t="shared" si="16"/>
        <v>9</v>
      </c>
      <c r="T42" s="2" t="str">
        <f t="shared" si="17"/>
        <v>0</v>
      </c>
    </row>
    <row r="43" spans="1:20" x14ac:dyDescent="0.25">
      <c r="E43" s="2">
        <f t="shared" si="2"/>
        <v>10.91</v>
      </c>
      <c r="F43" s="2" t="str">
        <f t="shared" si="3"/>
        <v>0</v>
      </c>
      <c r="G43" s="2" t="str">
        <f t="shared" si="4"/>
        <v>0</v>
      </c>
      <c r="H43" s="2" t="str">
        <f t="shared" si="5"/>
        <v>0</v>
      </c>
      <c r="I43" s="2" t="str">
        <f t="shared" si="6"/>
        <v>0</v>
      </c>
      <c r="J43" s="2">
        <f t="shared" si="7"/>
        <v>10.91</v>
      </c>
      <c r="K43" s="2" t="str">
        <f t="shared" si="8"/>
        <v>0</v>
      </c>
      <c r="L43" s="2" t="str">
        <f t="shared" si="9"/>
        <v>0</v>
      </c>
      <c r="M43" s="2">
        <f t="shared" si="10"/>
        <v>10.91</v>
      </c>
      <c r="N43" s="2" t="str">
        <f t="shared" si="11"/>
        <v>0</v>
      </c>
      <c r="O43" s="2">
        <f t="shared" si="12"/>
        <v>10.91</v>
      </c>
      <c r="P43" s="2" t="str">
        <f t="shared" si="13"/>
        <v>0</v>
      </c>
      <c r="Q43" s="2" t="str">
        <f t="shared" si="14"/>
        <v>0</v>
      </c>
      <c r="R43" s="2" t="str">
        <f t="shared" si="15"/>
        <v>0</v>
      </c>
      <c r="S43" s="2">
        <f t="shared" si="16"/>
        <v>10.91</v>
      </c>
      <c r="T43" s="2" t="str">
        <f t="shared" si="17"/>
        <v>0</v>
      </c>
    </row>
    <row r="44" spans="1:20" x14ac:dyDescent="0.25">
      <c r="E44" s="2" t="str">
        <f t="shared" si="2"/>
        <v>0</v>
      </c>
      <c r="F44" s="2">
        <f t="shared" si="3"/>
        <v>1</v>
      </c>
      <c r="G44" s="2" t="str">
        <f t="shared" si="4"/>
        <v>0</v>
      </c>
      <c r="H44" s="2" t="str">
        <f t="shared" si="5"/>
        <v>0</v>
      </c>
      <c r="I44" s="2" t="str">
        <f t="shared" si="6"/>
        <v>0</v>
      </c>
      <c r="J44" s="2">
        <f t="shared" si="7"/>
        <v>1</v>
      </c>
      <c r="K44" s="2" t="str">
        <f t="shared" si="8"/>
        <v>0</v>
      </c>
      <c r="L44" s="2" t="str">
        <f t="shared" si="9"/>
        <v>0</v>
      </c>
      <c r="M44" s="2">
        <f t="shared" si="10"/>
        <v>1</v>
      </c>
      <c r="N44" s="2" t="str">
        <f t="shared" si="11"/>
        <v>0</v>
      </c>
      <c r="O44" s="2">
        <f t="shared" si="12"/>
        <v>1</v>
      </c>
      <c r="P44" s="2" t="str">
        <f t="shared" si="13"/>
        <v>0</v>
      </c>
      <c r="Q44" s="2" t="str">
        <f t="shared" si="14"/>
        <v>0</v>
      </c>
      <c r="R44" s="2" t="str">
        <f t="shared" si="15"/>
        <v>0</v>
      </c>
      <c r="S44" s="2">
        <f t="shared" si="16"/>
        <v>1</v>
      </c>
      <c r="T44" s="2" t="str">
        <f t="shared" si="17"/>
        <v>0</v>
      </c>
    </row>
    <row r="45" spans="1:20" x14ac:dyDescent="0.25">
      <c r="E45" s="2">
        <f t="shared" si="2"/>
        <v>2.1</v>
      </c>
      <c r="F45" s="2" t="str">
        <f t="shared" si="3"/>
        <v>0</v>
      </c>
      <c r="G45" s="2" t="str">
        <f t="shared" si="4"/>
        <v>0</v>
      </c>
      <c r="H45" s="2" t="str">
        <f t="shared" si="5"/>
        <v>0</v>
      </c>
      <c r="I45" s="2" t="str">
        <f t="shared" si="6"/>
        <v>0</v>
      </c>
      <c r="J45" s="2">
        <f t="shared" si="7"/>
        <v>2.1</v>
      </c>
      <c r="K45" s="2" t="str">
        <f t="shared" si="8"/>
        <v>0</v>
      </c>
      <c r="L45" s="2" t="str">
        <f t="shared" si="9"/>
        <v>0</v>
      </c>
      <c r="M45" s="2">
        <f t="shared" si="10"/>
        <v>2.1</v>
      </c>
      <c r="N45" s="2" t="str">
        <f t="shared" si="11"/>
        <v>0</v>
      </c>
      <c r="O45" s="2">
        <f t="shared" si="12"/>
        <v>2.1</v>
      </c>
      <c r="P45" s="2" t="str">
        <f t="shared" si="13"/>
        <v>0</v>
      </c>
      <c r="Q45" s="2" t="str">
        <f t="shared" si="14"/>
        <v>0</v>
      </c>
      <c r="R45" s="2" t="str">
        <f t="shared" si="15"/>
        <v>0</v>
      </c>
      <c r="S45" s="2">
        <f t="shared" si="16"/>
        <v>2.1</v>
      </c>
      <c r="T45" s="2" t="str">
        <f t="shared" si="17"/>
        <v>0</v>
      </c>
    </row>
    <row r="46" spans="1:20" x14ac:dyDescent="0.25">
      <c r="E46" s="2" t="str">
        <f t="shared" si="2"/>
        <v>0</v>
      </c>
      <c r="F46" s="2">
        <f t="shared" si="3"/>
        <v>5.9</v>
      </c>
      <c r="G46" s="2" t="str">
        <f t="shared" si="4"/>
        <v>0</v>
      </c>
      <c r="H46" s="2" t="str">
        <f t="shared" si="5"/>
        <v>0</v>
      </c>
      <c r="I46" s="2" t="str">
        <f t="shared" si="6"/>
        <v>0</v>
      </c>
      <c r="J46" s="2">
        <f t="shared" si="7"/>
        <v>5.9</v>
      </c>
      <c r="K46" s="2" t="str">
        <f t="shared" si="8"/>
        <v>0</v>
      </c>
      <c r="L46" s="2" t="str">
        <f t="shared" si="9"/>
        <v>0</v>
      </c>
      <c r="M46" s="2">
        <f t="shared" si="10"/>
        <v>5.9</v>
      </c>
      <c r="N46" s="2" t="str">
        <f t="shared" si="11"/>
        <v>0</v>
      </c>
      <c r="O46" s="2">
        <f t="shared" si="12"/>
        <v>5.9</v>
      </c>
      <c r="P46" s="2" t="str">
        <f t="shared" si="13"/>
        <v>0</v>
      </c>
      <c r="Q46" s="2" t="str">
        <f t="shared" si="14"/>
        <v>0</v>
      </c>
      <c r="R46" s="2" t="str">
        <f t="shared" si="15"/>
        <v>0</v>
      </c>
      <c r="S46" s="2">
        <f t="shared" si="16"/>
        <v>5.9</v>
      </c>
      <c r="T46" s="2" t="str">
        <f t="shared" si="17"/>
        <v>0</v>
      </c>
    </row>
    <row r="47" spans="1:20" x14ac:dyDescent="0.25">
      <c r="E47" s="2" t="str">
        <f t="shared" si="2"/>
        <v>0</v>
      </c>
      <c r="F47" s="2" t="str">
        <f t="shared" si="3"/>
        <v>0</v>
      </c>
      <c r="G47" s="2">
        <f t="shared" si="4"/>
        <v>1</v>
      </c>
      <c r="H47" s="2" t="str">
        <f t="shared" si="5"/>
        <v>0</v>
      </c>
      <c r="I47" s="2" t="str">
        <f t="shared" si="6"/>
        <v>0</v>
      </c>
      <c r="J47" s="2">
        <f t="shared" si="7"/>
        <v>1</v>
      </c>
      <c r="K47" s="2" t="str">
        <f t="shared" si="8"/>
        <v>0</v>
      </c>
      <c r="L47" s="2" t="str">
        <f t="shared" si="9"/>
        <v>0</v>
      </c>
      <c r="M47" s="2">
        <f t="shared" si="10"/>
        <v>1</v>
      </c>
      <c r="N47" s="2" t="str">
        <f t="shared" si="11"/>
        <v>0</v>
      </c>
      <c r="O47" s="2">
        <f t="shared" si="12"/>
        <v>1</v>
      </c>
      <c r="P47" s="2" t="str">
        <f t="shared" si="13"/>
        <v>0</v>
      </c>
      <c r="Q47" s="2" t="str">
        <f t="shared" si="14"/>
        <v>0</v>
      </c>
      <c r="R47" s="2" t="str">
        <f t="shared" si="15"/>
        <v>0</v>
      </c>
      <c r="S47" s="2">
        <f t="shared" si="16"/>
        <v>1</v>
      </c>
      <c r="T47" s="2" t="str">
        <f t="shared" si="17"/>
        <v>0</v>
      </c>
    </row>
    <row r="48" spans="1:20" x14ac:dyDescent="0.25">
      <c r="E48" s="2" t="str">
        <f t="shared" si="2"/>
        <v>0</v>
      </c>
      <c r="F48" s="2">
        <f t="shared" si="3"/>
        <v>2</v>
      </c>
      <c r="G48" s="2" t="str">
        <f t="shared" si="4"/>
        <v>0</v>
      </c>
      <c r="H48" s="2" t="str">
        <f t="shared" si="5"/>
        <v>0</v>
      </c>
      <c r="I48" s="2" t="str">
        <f t="shared" si="6"/>
        <v>0</v>
      </c>
      <c r="J48" s="2">
        <f t="shared" si="7"/>
        <v>2</v>
      </c>
      <c r="K48" s="2" t="str">
        <f t="shared" si="8"/>
        <v>0</v>
      </c>
      <c r="L48" s="2" t="str">
        <f t="shared" si="9"/>
        <v>0</v>
      </c>
      <c r="M48" s="2">
        <f t="shared" si="10"/>
        <v>2</v>
      </c>
      <c r="N48" s="2" t="str">
        <f t="shared" si="11"/>
        <v>0</v>
      </c>
      <c r="O48" s="2">
        <f t="shared" si="12"/>
        <v>2</v>
      </c>
      <c r="P48" s="2" t="str">
        <f t="shared" si="13"/>
        <v>0</v>
      </c>
      <c r="Q48" s="2" t="str">
        <f t="shared" si="14"/>
        <v>0</v>
      </c>
      <c r="R48" s="2" t="str">
        <f t="shared" si="15"/>
        <v>0</v>
      </c>
      <c r="S48" s="2">
        <f t="shared" si="16"/>
        <v>2</v>
      </c>
      <c r="T48" s="2" t="str">
        <f t="shared" si="17"/>
        <v>0</v>
      </c>
    </row>
    <row r="49" spans="5:20" x14ac:dyDescent="0.25">
      <c r="E49" s="2">
        <f t="shared" si="2"/>
        <v>4.2600000000000016</v>
      </c>
      <c r="F49" s="2" t="str">
        <f t="shared" si="3"/>
        <v>0</v>
      </c>
      <c r="G49" s="2" t="str">
        <f t="shared" si="4"/>
        <v>0</v>
      </c>
      <c r="H49" s="2" t="str">
        <f t="shared" si="5"/>
        <v>0</v>
      </c>
      <c r="I49" s="2" t="str">
        <f t="shared" si="6"/>
        <v>0</v>
      </c>
      <c r="J49" s="2">
        <f t="shared" si="7"/>
        <v>4.2600000000000016</v>
      </c>
      <c r="K49" s="2" t="str">
        <f t="shared" si="8"/>
        <v>0</v>
      </c>
      <c r="L49" s="2" t="str">
        <f t="shared" si="9"/>
        <v>0</v>
      </c>
      <c r="M49" s="2">
        <f t="shared" si="10"/>
        <v>4.2600000000000016</v>
      </c>
      <c r="N49" s="2" t="str">
        <f t="shared" si="11"/>
        <v>0</v>
      </c>
      <c r="O49" s="2">
        <f t="shared" si="12"/>
        <v>4.2600000000000016</v>
      </c>
      <c r="P49" s="2" t="str">
        <f t="shared" si="13"/>
        <v>0</v>
      </c>
      <c r="Q49" s="2" t="str">
        <f t="shared" si="14"/>
        <v>0</v>
      </c>
      <c r="R49" s="2" t="str">
        <f t="shared" si="15"/>
        <v>0</v>
      </c>
      <c r="S49" s="2">
        <f t="shared" si="16"/>
        <v>4.2600000000000016</v>
      </c>
      <c r="T49" s="2" t="str">
        <f t="shared" si="17"/>
        <v>0</v>
      </c>
    </row>
    <row r="50" spans="5:20" x14ac:dyDescent="0.25">
      <c r="E50" s="2">
        <f t="shared" si="2"/>
        <v>3.67</v>
      </c>
      <c r="F50" s="2" t="str">
        <f t="shared" si="3"/>
        <v>0</v>
      </c>
      <c r="G50" s="2" t="str">
        <f t="shared" si="4"/>
        <v>0</v>
      </c>
      <c r="H50" s="2" t="str">
        <f t="shared" si="5"/>
        <v>0</v>
      </c>
      <c r="I50" s="2" t="str">
        <f t="shared" si="6"/>
        <v>0</v>
      </c>
      <c r="J50" s="2">
        <f t="shared" si="7"/>
        <v>3.67</v>
      </c>
      <c r="K50" s="2" t="str">
        <f t="shared" si="8"/>
        <v>0</v>
      </c>
      <c r="L50" s="2" t="str">
        <f t="shared" si="9"/>
        <v>0</v>
      </c>
      <c r="M50" s="2">
        <f t="shared" si="10"/>
        <v>3.67</v>
      </c>
      <c r="N50" s="2" t="str">
        <f t="shared" si="11"/>
        <v>0</v>
      </c>
      <c r="O50" s="2">
        <f t="shared" si="12"/>
        <v>3.67</v>
      </c>
      <c r="P50" s="2" t="str">
        <f t="shared" si="13"/>
        <v>0</v>
      </c>
      <c r="Q50" s="2" t="str">
        <f t="shared" si="14"/>
        <v>0</v>
      </c>
      <c r="R50" s="2" t="str">
        <f t="shared" si="15"/>
        <v>0</v>
      </c>
      <c r="S50" s="2">
        <f t="shared" si="16"/>
        <v>3.67</v>
      </c>
      <c r="T50" s="2" t="str">
        <f t="shared" si="17"/>
        <v>0</v>
      </c>
    </row>
    <row r="51" spans="5:20" x14ac:dyDescent="0.25">
      <c r="E51" s="2" t="str">
        <f t="shared" si="2"/>
        <v>0</v>
      </c>
      <c r="F51" s="2" t="str">
        <f t="shared" si="3"/>
        <v>0</v>
      </c>
      <c r="G51" s="2" t="str">
        <f t="shared" si="4"/>
        <v>0</v>
      </c>
      <c r="H51" s="2" t="str">
        <f t="shared" si="5"/>
        <v>0</v>
      </c>
      <c r="I51" s="2" t="str">
        <f t="shared" si="6"/>
        <v>0</v>
      </c>
      <c r="J51" s="2" t="str">
        <f t="shared" si="7"/>
        <v>0</v>
      </c>
      <c r="K51" s="2" t="str">
        <f t="shared" si="8"/>
        <v>0</v>
      </c>
      <c r="L51" s="2" t="str">
        <f t="shared" si="9"/>
        <v>0</v>
      </c>
      <c r="M51" s="2" t="str">
        <f t="shared" si="10"/>
        <v>0</v>
      </c>
      <c r="N51" s="2" t="str">
        <f t="shared" si="11"/>
        <v>0</v>
      </c>
      <c r="O51" s="2" t="str">
        <f t="shared" si="12"/>
        <v>0</v>
      </c>
      <c r="P51" s="2" t="str">
        <f t="shared" si="13"/>
        <v>0</v>
      </c>
      <c r="Q51" s="2" t="str">
        <f t="shared" si="14"/>
        <v>0</v>
      </c>
      <c r="R51" s="2" t="str">
        <f t="shared" si="15"/>
        <v>0</v>
      </c>
      <c r="S51" s="2" t="str">
        <f t="shared" si="16"/>
        <v>0</v>
      </c>
      <c r="T51" s="2" t="str">
        <f t="shared" si="17"/>
        <v>0</v>
      </c>
    </row>
    <row r="52" spans="5:20" x14ac:dyDescent="0.25">
      <c r="E52" s="2" t="str">
        <f t="shared" si="2"/>
        <v>0</v>
      </c>
      <c r="F52" s="2" t="str">
        <f t="shared" si="3"/>
        <v>0</v>
      </c>
      <c r="G52" s="2" t="str">
        <f t="shared" si="4"/>
        <v>0</v>
      </c>
      <c r="H52" s="2" t="str">
        <f t="shared" si="5"/>
        <v>0</v>
      </c>
      <c r="I52" s="2" t="str">
        <f t="shared" si="6"/>
        <v>0</v>
      </c>
      <c r="J52" s="2" t="str">
        <f t="shared" si="7"/>
        <v>0</v>
      </c>
      <c r="K52" s="2" t="str">
        <f t="shared" si="8"/>
        <v>0</v>
      </c>
      <c r="L52" s="2" t="str">
        <f t="shared" si="9"/>
        <v>0</v>
      </c>
      <c r="M52" s="2" t="str">
        <f t="shared" si="10"/>
        <v>0</v>
      </c>
      <c r="N52" s="2" t="str">
        <f t="shared" si="11"/>
        <v>0</v>
      </c>
      <c r="O52" s="2" t="str">
        <f t="shared" si="12"/>
        <v>0</v>
      </c>
      <c r="P52" s="2" t="str">
        <f t="shared" si="13"/>
        <v>0</v>
      </c>
      <c r="Q52" s="2" t="str">
        <f t="shared" si="14"/>
        <v>0</v>
      </c>
      <c r="R52" s="2" t="str">
        <f t="shared" si="15"/>
        <v>0</v>
      </c>
      <c r="S52" s="2" t="str">
        <f t="shared" si="16"/>
        <v>0</v>
      </c>
      <c r="T52" s="2" t="str">
        <f t="shared" si="17"/>
        <v>0</v>
      </c>
    </row>
    <row r="53" spans="5:20" x14ac:dyDescent="0.25">
      <c r="E53" s="2" t="str">
        <f t="shared" si="2"/>
        <v>0</v>
      </c>
      <c r="F53" s="2" t="str">
        <f t="shared" si="3"/>
        <v>0</v>
      </c>
      <c r="G53" s="2" t="str">
        <f t="shared" si="4"/>
        <v>0</v>
      </c>
      <c r="H53" s="2" t="str">
        <f t="shared" si="5"/>
        <v>0</v>
      </c>
      <c r="I53" s="2" t="str">
        <f t="shared" si="6"/>
        <v>0</v>
      </c>
      <c r="J53" s="2" t="str">
        <f t="shared" si="7"/>
        <v>0</v>
      </c>
      <c r="K53" s="2" t="str">
        <f t="shared" si="8"/>
        <v>0</v>
      </c>
      <c r="L53" s="2" t="str">
        <f t="shared" si="9"/>
        <v>0</v>
      </c>
      <c r="M53" s="2" t="str">
        <f t="shared" si="10"/>
        <v>0</v>
      </c>
      <c r="N53" s="2" t="str">
        <f t="shared" si="11"/>
        <v>0</v>
      </c>
      <c r="O53" s="2" t="str">
        <f t="shared" si="12"/>
        <v>0</v>
      </c>
      <c r="P53" s="2" t="str">
        <f t="shared" si="13"/>
        <v>0</v>
      </c>
      <c r="Q53" s="2" t="str">
        <f t="shared" si="14"/>
        <v>0</v>
      </c>
      <c r="R53" s="2" t="str">
        <f t="shared" si="15"/>
        <v>0</v>
      </c>
      <c r="S53" s="2" t="str">
        <f t="shared" si="16"/>
        <v>0</v>
      </c>
      <c r="T53" s="2" t="str">
        <f t="shared" si="17"/>
        <v>0</v>
      </c>
    </row>
    <row r="54" spans="5:20" x14ac:dyDescent="0.25">
      <c r="E54" s="2" t="str">
        <f t="shared" si="2"/>
        <v>0</v>
      </c>
      <c r="F54" s="2" t="str">
        <f t="shared" si="3"/>
        <v>0</v>
      </c>
      <c r="G54" s="2" t="str">
        <f t="shared" si="4"/>
        <v>0</v>
      </c>
      <c r="H54" s="2" t="str">
        <f t="shared" si="5"/>
        <v>0</v>
      </c>
      <c r="I54" s="2" t="str">
        <f t="shared" si="6"/>
        <v>0</v>
      </c>
      <c r="J54" s="2" t="str">
        <f t="shared" si="7"/>
        <v>0</v>
      </c>
      <c r="K54" s="2" t="str">
        <f t="shared" si="8"/>
        <v>0</v>
      </c>
      <c r="L54" s="2" t="str">
        <f t="shared" si="9"/>
        <v>0</v>
      </c>
      <c r="M54" s="2" t="str">
        <f t="shared" si="10"/>
        <v>0</v>
      </c>
      <c r="N54" s="2" t="str">
        <f t="shared" si="11"/>
        <v>0</v>
      </c>
      <c r="O54" s="2" t="str">
        <f t="shared" si="12"/>
        <v>0</v>
      </c>
      <c r="P54" s="2" t="str">
        <f t="shared" si="13"/>
        <v>0</v>
      </c>
      <c r="Q54" s="2" t="str">
        <f t="shared" si="14"/>
        <v>0</v>
      </c>
      <c r="R54" s="2" t="str">
        <f t="shared" si="15"/>
        <v>0</v>
      </c>
      <c r="S54" s="2" t="str">
        <f t="shared" si="16"/>
        <v>0</v>
      </c>
      <c r="T54" s="2" t="str">
        <f t="shared" si="17"/>
        <v>0</v>
      </c>
    </row>
    <row r="55" spans="5:20" x14ac:dyDescent="0.25">
      <c r="E55" s="2" t="str">
        <f t="shared" si="2"/>
        <v>0</v>
      </c>
      <c r="F55" s="2" t="str">
        <f t="shared" si="3"/>
        <v>0</v>
      </c>
      <c r="G55" s="2" t="str">
        <f t="shared" si="4"/>
        <v>0</v>
      </c>
      <c r="H55" s="2" t="str">
        <f t="shared" si="5"/>
        <v>0</v>
      </c>
      <c r="I55" s="2" t="str">
        <f t="shared" si="6"/>
        <v>0</v>
      </c>
      <c r="J55" s="2" t="str">
        <f t="shared" si="7"/>
        <v>0</v>
      </c>
      <c r="K55" s="2" t="str">
        <f t="shared" si="8"/>
        <v>0</v>
      </c>
      <c r="L55" s="2" t="str">
        <f t="shared" si="9"/>
        <v>0</v>
      </c>
      <c r="M55" s="2" t="str">
        <f t="shared" si="10"/>
        <v>0</v>
      </c>
      <c r="N55" s="2" t="str">
        <f t="shared" si="11"/>
        <v>0</v>
      </c>
      <c r="O55" s="2" t="str">
        <f t="shared" si="12"/>
        <v>0</v>
      </c>
      <c r="P55" s="2" t="str">
        <f t="shared" si="13"/>
        <v>0</v>
      </c>
      <c r="Q55" s="2" t="str">
        <f t="shared" si="14"/>
        <v>0</v>
      </c>
      <c r="R55" s="2" t="str">
        <f t="shared" si="15"/>
        <v>0</v>
      </c>
      <c r="S55" s="2" t="str">
        <f t="shared" si="16"/>
        <v>0</v>
      </c>
      <c r="T55" s="2" t="str">
        <f t="shared" si="17"/>
        <v>0</v>
      </c>
    </row>
    <row r="56" spans="5:20" x14ac:dyDescent="0.25">
      <c r="E56" s="2" t="str">
        <f t="shared" si="2"/>
        <v>0</v>
      </c>
      <c r="F56" s="2" t="str">
        <f t="shared" si="3"/>
        <v>0</v>
      </c>
      <c r="G56" s="2" t="str">
        <f t="shared" si="4"/>
        <v>0</v>
      </c>
      <c r="H56" s="2" t="str">
        <f t="shared" si="5"/>
        <v>0</v>
      </c>
      <c r="I56" s="2" t="str">
        <f t="shared" si="6"/>
        <v>0</v>
      </c>
      <c r="J56" s="2" t="str">
        <f t="shared" si="7"/>
        <v>0</v>
      </c>
      <c r="K56" s="2" t="str">
        <f t="shared" si="8"/>
        <v>0</v>
      </c>
      <c r="L56" s="2" t="str">
        <f t="shared" si="9"/>
        <v>0</v>
      </c>
      <c r="M56" s="2" t="str">
        <f t="shared" si="10"/>
        <v>0</v>
      </c>
      <c r="N56" s="2" t="str">
        <f t="shared" si="11"/>
        <v>0</v>
      </c>
      <c r="O56" s="2" t="str">
        <f t="shared" si="12"/>
        <v>0</v>
      </c>
      <c r="P56" s="2" t="str">
        <f t="shared" si="13"/>
        <v>0</v>
      </c>
      <c r="Q56" s="2" t="str">
        <f t="shared" si="14"/>
        <v>0</v>
      </c>
      <c r="R56" s="2" t="str">
        <f t="shared" si="15"/>
        <v>0</v>
      </c>
      <c r="S56" s="2" t="str">
        <f t="shared" si="16"/>
        <v>0</v>
      </c>
      <c r="T56" s="2" t="str">
        <f t="shared" si="17"/>
        <v>0</v>
      </c>
    </row>
    <row r="57" spans="5:20" x14ac:dyDescent="0.25">
      <c r="E57" s="2" t="str">
        <f t="shared" si="2"/>
        <v>0</v>
      </c>
      <c r="F57" s="2" t="str">
        <f t="shared" si="3"/>
        <v>0</v>
      </c>
      <c r="G57" s="2" t="str">
        <f t="shared" si="4"/>
        <v>0</v>
      </c>
      <c r="H57" s="2" t="str">
        <f t="shared" si="5"/>
        <v>0</v>
      </c>
      <c r="I57" s="2" t="str">
        <f t="shared" si="6"/>
        <v>0</v>
      </c>
      <c r="J57" s="2" t="str">
        <f t="shared" si="7"/>
        <v>0</v>
      </c>
      <c r="K57" s="2" t="str">
        <f t="shared" si="8"/>
        <v>0</v>
      </c>
      <c r="L57" s="2" t="str">
        <f t="shared" si="9"/>
        <v>0</v>
      </c>
      <c r="M57" s="2" t="str">
        <f t="shared" si="10"/>
        <v>0</v>
      </c>
      <c r="N57" s="2" t="str">
        <f t="shared" si="11"/>
        <v>0</v>
      </c>
      <c r="O57" s="2" t="str">
        <f t="shared" si="12"/>
        <v>0</v>
      </c>
      <c r="P57" s="2" t="str">
        <f t="shared" si="13"/>
        <v>0</v>
      </c>
      <c r="Q57" s="2" t="str">
        <f t="shared" si="14"/>
        <v>0</v>
      </c>
      <c r="R57" s="2" t="str">
        <f t="shared" si="15"/>
        <v>0</v>
      </c>
      <c r="S57" s="2" t="str">
        <f t="shared" si="16"/>
        <v>0</v>
      </c>
      <c r="T57" s="2" t="str">
        <f t="shared" si="17"/>
        <v>0</v>
      </c>
    </row>
    <row r="58" spans="5:20" x14ac:dyDescent="0.25">
      <c r="E58" s="2" t="str">
        <f t="shared" si="2"/>
        <v>0</v>
      </c>
      <c r="F58" s="2" t="str">
        <f t="shared" si="3"/>
        <v>0</v>
      </c>
      <c r="G58" s="2" t="str">
        <f t="shared" si="4"/>
        <v>0</v>
      </c>
      <c r="H58" s="2" t="str">
        <f t="shared" si="5"/>
        <v>0</v>
      </c>
      <c r="I58" s="2" t="str">
        <f t="shared" si="6"/>
        <v>0</v>
      </c>
      <c r="J58" s="2" t="str">
        <f t="shared" si="7"/>
        <v>0</v>
      </c>
      <c r="K58" s="2" t="str">
        <f t="shared" si="8"/>
        <v>0</v>
      </c>
      <c r="L58" s="2" t="str">
        <f t="shared" si="9"/>
        <v>0</v>
      </c>
      <c r="M58" s="2" t="str">
        <f t="shared" si="10"/>
        <v>0</v>
      </c>
      <c r="N58" s="2" t="str">
        <f t="shared" si="11"/>
        <v>0</v>
      </c>
      <c r="O58" s="2" t="str">
        <f t="shared" si="12"/>
        <v>0</v>
      </c>
      <c r="P58" s="2" t="str">
        <f t="shared" si="13"/>
        <v>0</v>
      </c>
      <c r="Q58" s="2" t="str">
        <f t="shared" si="14"/>
        <v>0</v>
      </c>
      <c r="R58" s="2" t="str">
        <f t="shared" si="15"/>
        <v>0</v>
      </c>
      <c r="S58" s="2" t="str">
        <f t="shared" si="16"/>
        <v>0</v>
      </c>
      <c r="T58" s="2" t="str">
        <f t="shared" si="17"/>
        <v>0</v>
      </c>
    </row>
    <row r="59" spans="5:20" x14ac:dyDescent="0.25">
      <c r="E59" s="2" t="str">
        <f t="shared" si="2"/>
        <v>0</v>
      </c>
      <c r="F59" s="2" t="str">
        <f t="shared" si="3"/>
        <v>0</v>
      </c>
      <c r="G59" s="2" t="str">
        <f t="shared" si="4"/>
        <v>0</v>
      </c>
      <c r="H59" s="2" t="str">
        <f t="shared" si="5"/>
        <v>0</v>
      </c>
      <c r="I59" s="2" t="str">
        <f t="shared" si="6"/>
        <v>0</v>
      </c>
      <c r="J59" s="2" t="str">
        <f t="shared" si="7"/>
        <v>0</v>
      </c>
      <c r="K59" s="2" t="str">
        <f t="shared" si="8"/>
        <v>0</v>
      </c>
      <c r="L59" s="2" t="str">
        <f t="shared" si="9"/>
        <v>0</v>
      </c>
      <c r="M59" s="2" t="str">
        <f t="shared" si="10"/>
        <v>0</v>
      </c>
      <c r="N59" s="2" t="str">
        <f t="shared" si="11"/>
        <v>0</v>
      </c>
      <c r="O59" s="2" t="str">
        <f t="shared" si="12"/>
        <v>0</v>
      </c>
      <c r="P59" s="2" t="str">
        <f t="shared" si="13"/>
        <v>0</v>
      </c>
      <c r="Q59" s="2" t="str">
        <f t="shared" si="14"/>
        <v>0</v>
      </c>
      <c r="R59" s="2" t="str">
        <f t="shared" si="15"/>
        <v>0</v>
      </c>
      <c r="S59" s="2" t="str">
        <f t="shared" si="16"/>
        <v>0</v>
      </c>
      <c r="T59" s="2" t="str">
        <f t="shared" si="17"/>
        <v>0</v>
      </c>
    </row>
    <row r="60" spans="5:20" x14ac:dyDescent="0.25">
      <c r="O60" s="2"/>
      <c r="P60" s="2"/>
      <c r="Q60" s="2"/>
      <c r="R60" s="2"/>
      <c r="S60" s="2"/>
      <c r="T60" s="2"/>
    </row>
    <row r="61" spans="5:20" x14ac:dyDescent="0.25">
      <c r="O61" s="2"/>
      <c r="P61" s="2"/>
      <c r="Q61" s="2"/>
      <c r="R61" s="2"/>
      <c r="S61" s="2"/>
      <c r="T61" s="2"/>
    </row>
    <row r="62" spans="5:20" x14ac:dyDescent="0.25">
      <c r="O62" s="2"/>
      <c r="P62" s="2"/>
      <c r="Q62" s="2"/>
      <c r="R62" s="2"/>
      <c r="S62" s="2"/>
      <c r="T62" s="2"/>
    </row>
    <row r="63" spans="5:20" x14ac:dyDescent="0.25">
      <c r="O63" s="2"/>
      <c r="P63" s="2"/>
      <c r="Q63" s="2"/>
      <c r="R63" s="2"/>
      <c r="S63" s="2"/>
      <c r="T63" s="2"/>
    </row>
    <row r="64" spans="5:20" x14ac:dyDescent="0.25">
      <c r="O64" s="2"/>
      <c r="P64" s="2"/>
      <c r="Q64" s="2"/>
      <c r="R64" s="2"/>
      <c r="S64" s="2"/>
      <c r="T64" s="2"/>
    </row>
    <row r="65" spans="15:20" x14ac:dyDescent="0.25">
      <c r="O65" s="2"/>
      <c r="P65" s="2"/>
      <c r="Q65" s="2"/>
      <c r="R65" s="2"/>
      <c r="S65" s="2"/>
      <c r="T65" s="2"/>
    </row>
    <row r="66" spans="15:20" x14ac:dyDescent="0.25">
      <c r="O66" s="2"/>
      <c r="P66" s="2"/>
      <c r="Q66" s="2"/>
      <c r="R66" s="2"/>
      <c r="S66" s="2"/>
      <c r="T66" s="2"/>
    </row>
    <row r="67" spans="15:20" x14ac:dyDescent="0.25">
      <c r="O67" s="2"/>
      <c r="P67" s="2"/>
      <c r="Q67" s="2"/>
      <c r="R67" s="2"/>
      <c r="S67" s="2"/>
      <c r="T67" s="2"/>
    </row>
    <row r="68" spans="15:20" x14ac:dyDescent="0.25">
      <c r="O68" s="2"/>
      <c r="P68" s="2"/>
      <c r="Q68" s="2"/>
      <c r="R68" s="2"/>
      <c r="S68" s="2"/>
      <c r="T68" s="2"/>
    </row>
    <row r="69" spans="15:20" x14ac:dyDescent="0.25">
      <c r="O69" s="2"/>
      <c r="P69" s="2"/>
      <c r="Q69" s="2"/>
      <c r="R69" s="2"/>
      <c r="S69" s="2"/>
      <c r="T69" s="2"/>
    </row>
    <row r="70" spans="15:20" x14ac:dyDescent="0.25">
      <c r="O70" s="2"/>
      <c r="P70" s="2"/>
      <c r="Q70" s="2"/>
      <c r="R70" s="2"/>
      <c r="S70" s="2"/>
      <c r="T70" s="2"/>
    </row>
    <row r="71" spans="15:20" x14ac:dyDescent="0.25">
      <c r="O71" s="2"/>
      <c r="P71" s="2"/>
      <c r="Q71" s="2"/>
      <c r="R71" s="2"/>
      <c r="S71" s="2"/>
      <c r="T71" s="2"/>
    </row>
    <row r="72" spans="15:20" x14ac:dyDescent="0.25">
      <c r="O72" s="2"/>
      <c r="P72" s="2"/>
      <c r="Q72" s="2"/>
      <c r="R72" s="2"/>
      <c r="S72" s="2"/>
      <c r="T72" s="2"/>
    </row>
    <row r="73" spans="15:20" x14ac:dyDescent="0.25">
      <c r="O73" s="2"/>
      <c r="P73" s="2"/>
      <c r="Q73" s="2"/>
      <c r="R73" s="2"/>
      <c r="S73" s="2"/>
      <c r="T73" s="2"/>
    </row>
    <row r="74" spans="15:20" x14ac:dyDescent="0.25">
      <c r="O74" s="2"/>
      <c r="P74" s="2"/>
      <c r="Q74" s="2"/>
      <c r="R74" s="2"/>
      <c r="S74" s="2"/>
      <c r="T74" s="2"/>
    </row>
    <row r="75" spans="15:20" x14ac:dyDescent="0.25">
      <c r="O75" s="2"/>
      <c r="P75" s="2"/>
      <c r="Q75" s="2"/>
      <c r="R75" s="2"/>
      <c r="S75" s="2"/>
      <c r="T75" s="2"/>
    </row>
    <row r="76" spans="15:20" x14ac:dyDescent="0.25">
      <c r="O76" s="2"/>
      <c r="P76" s="2"/>
      <c r="Q76" s="2"/>
      <c r="R76" s="2"/>
      <c r="S76" s="2"/>
      <c r="T76" s="2"/>
    </row>
    <row r="77" spans="15:20" x14ac:dyDescent="0.25">
      <c r="O77" s="2"/>
      <c r="P77" s="2"/>
      <c r="Q77" s="2"/>
      <c r="R77" s="2"/>
      <c r="S77" s="2"/>
      <c r="T77" s="2"/>
    </row>
    <row r="78" spans="15:20" x14ac:dyDescent="0.25">
      <c r="O78" s="2"/>
      <c r="P78" s="2"/>
      <c r="Q78" s="2"/>
      <c r="R78" s="2"/>
      <c r="S78" s="2"/>
      <c r="T78" s="2"/>
    </row>
    <row r="79" spans="15:20" x14ac:dyDescent="0.25">
      <c r="O79" s="2"/>
      <c r="P79" s="2"/>
      <c r="Q79" s="2"/>
      <c r="R79" s="2"/>
      <c r="S79" s="2"/>
      <c r="T79" s="2"/>
    </row>
    <row r="80" spans="15:20" x14ac:dyDescent="0.25">
      <c r="O80" s="2"/>
      <c r="P80" s="2"/>
      <c r="Q80" s="2"/>
      <c r="R80" s="2"/>
      <c r="S80" s="2"/>
      <c r="T80" s="2"/>
    </row>
    <row r="81" spans="5:20" x14ac:dyDescent="0.25">
      <c r="O81" s="2"/>
      <c r="P81" s="2"/>
      <c r="Q81" s="2"/>
      <c r="R81" s="2"/>
      <c r="S81" s="2"/>
      <c r="T81" s="2"/>
    </row>
    <row r="82" spans="5:20" x14ac:dyDescent="0.25">
      <c r="O82" s="2"/>
      <c r="P82" s="2"/>
      <c r="Q82" s="2"/>
      <c r="R82" s="2"/>
      <c r="S82" s="2"/>
      <c r="T82" s="2"/>
    </row>
    <row r="83" spans="5:20" x14ac:dyDescent="0.25">
      <c r="O83" s="2"/>
      <c r="P83" s="2"/>
      <c r="Q83" s="2"/>
      <c r="R83" s="2"/>
      <c r="S83" s="2"/>
      <c r="T83" s="2"/>
    </row>
    <row r="84" spans="5:20" x14ac:dyDescent="0.25">
      <c r="E84" s="2">
        <f t="shared" ref="E84:T84" si="18">SUM(E39:E83)</f>
        <v>27.940000000000005</v>
      </c>
      <c r="F84" s="2">
        <f t="shared" si="18"/>
        <v>8.9</v>
      </c>
      <c r="G84" s="2">
        <f t="shared" si="18"/>
        <v>10</v>
      </c>
      <c r="H84" s="2">
        <f t="shared" si="18"/>
        <v>0</v>
      </c>
      <c r="I84" s="2">
        <f t="shared" si="18"/>
        <v>0</v>
      </c>
      <c r="J84" s="2">
        <f t="shared" si="18"/>
        <v>46.84</v>
      </c>
      <c r="K84" s="2">
        <f t="shared" si="18"/>
        <v>0</v>
      </c>
      <c r="L84" s="2">
        <f t="shared" si="18"/>
        <v>0</v>
      </c>
      <c r="M84" s="2">
        <f t="shared" si="18"/>
        <v>46.84</v>
      </c>
      <c r="N84" s="2">
        <f t="shared" si="18"/>
        <v>0</v>
      </c>
      <c r="O84" s="2">
        <f t="shared" si="18"/>
        <v>46.84</v>
      </c>
      <c r="P84" s="2">
        <f t="shared" si="18"/>
        <v>0</v>
      </c>
      <c r="Q84" s="2">
        <f t="shared" si="18"/>
        <v>0</v>
      </c>
      <c r="R84" s="2">
        <f t="shared" si="18"/>
        <v>0</v>
      </c>
      <c r="S84" s="2">
        <f t="shared" si="18"/>
        <v>46.84</v>
      </c>
      <c r="T84" s="2">
        <f t="shared" si="18"/>
        <v>0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Q3:R3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D974-2D03-41A5-B144-A49BEBEC38C3}">
  <dimension ref="A1:AP113"/>
  <sheetViews>
    <sheetView view="pageBreakPreview" zoomScale="55" zoomScaleNormal="70" zoomScaleSheetLayoutView="55" workbookViewId="0">
      <selection activeCell="H17" sqref="H17"/>
    </sheetView>
  </sheetViews>
  <sheetFormatPr defaultColWidth="8.85546875" defaultRowHeight="15" x14ac:dyDescent="0.25"/>
  <cols>
    <col min="1" max="1" width="32.42578125" style="1" customWidth="1"/>
    <col min="2" max="2" width="14.42578125" style="1" customWidth="1"/>
    <col min="3" max="4" width="12" style="1" customWidth="1"/>
    <col min="5" max="9" width="11.42578125" style="2" customWidth="1"/>
    <col min="10" max="10" width="10.5703125" style="2" bestFit="1" customWidth="1"/>
    <col min="11" max="11" width="14" style="2" bestFit="1" customWidth="1"/>
    <col min="12" max="13" width="12.42578125" style="2" customWidth="1"/>
    <col min="14" max="14" width="10.42578125" style="2" customWidth="1"/>
    <col min="15" max="17" width="13.5703125" style="1" customWidth="1"/>
    <col min="18" max="20" width="14.42578125" style="1" customWidth="1"/>
    <col min="21" max="21" width="42.42578125" style="1" customWidth="1"/>
    <col min="22" max="16384" width="8.85546875" style="1"/>
  </cols>
  <sheetData>
    <row r="1" spans="1:42" ht="19.5" x14ac:dyDescent="0.3">
      <c r="A1" s="3" t="s">
        <v>112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2" ht="20.25" thickBot="1" x14ac:dyDescent="0.35">
      <c r="A2" s="3"/>
      <c r="B2" s="4"/>
      <c r="C2" s="4"/>
      <c r="D2" s="3" t="s">
        <v>35</v>
      </c>
      <c r="E2" s="5"/>
      <c r="F2" s="5"/>
      <c r="G2" s="5"/>
      <c r="H2" s="5"/>
      <c r="I2" s="6" t="s">
        <v>26</v>
      </c>
      <c r="J2" s="77">
        <f>'202'!J2</f>
        <v>46204</v>
      </c>
      <c r="K2" s="77"/>
      <c r="L2" s="7"/>
      <c r="M2" s="6"/>
      <c r="N2" s="12" t="s">
        <v>27</v>
      </c>
      <c r="O2" s="78" t="str">
        <f>'202'!O2</f>
        <v>ENG. THIAGO TORQUATO</v>
      </c>
      <c r="P2" s="78"/>
      <c r="Q2" s="78"/>
      <c r="R2" s="78"/>
      <c r="S2" s="78"/>
      <c r="T2" s="4"/>
      <c r="U2" s="4"/>
    </row>
    <row r="3" spans="1:42" ht="25.5" x14ac:dyDescent="0.35">
      <c r="A3" s="3" t="s">
        <v>38</v>
      </c>
      <c r="B3" s="31" t="str">
        <f>TT!C8</f>
        <v>RODOVIA TO-070 - TRECHO FORMOSO DO ARAGUAIA - DUERÉ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81" t="s">
        <v>111</v>
      </c>
      <c r="R3" s="81"/>
      <c r="S3" s="32">
        <v>11</v>
      </c>
      <c r="T3" s="4"/>
      <c r="U3" s="4"/>
    </row>
    <row r="4" spans="1:42" ht="20.25" thickBot="1" x14ac:dyDescent="0.35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2" s="8" customFormat="1" ht="39" customHeight="1" x14ac:dyDescent="0.25">
      <c r="A5" s="72" t="s">
        <v>0</v>
      </c>
      <c r="B5" s="72" t="s">
        <v>32</v>
      </c>
      <c r="C5" s="79" t="s">
        <v>28</v>
      </c>
      <c r="D5" s="79" t="s">
        <v>29</v>
      </c>
      <c r="E5" s="72" t="s">
        <v>1</v>
      </c>
      <c r="F5" s="72"/>
      <c r="G5" s="72"/>
      <c r="H5" s="72"/>
      <c r="I5" s="72"/>
      <c r="J5" s="72" t="s">
        <v>17</v>
      </c>
      <c r="K5" s="72"/>
      <c r="L5" s="72" t="s">
        <v>31</v>
      </c>
      <c r="M5" s="72"/>
      <c r="N5" s="72"/>
      <c r="O5" s="72" t="s">
        <v>21</v>
      </c>
      <c r="P5" s="72"/>
      <c r="Q5" s="72"/>
      <c r="R5" s="72" t="s">
        <v>24</v>
      </c>
      <c r="S5" s="72"/>
      <c r="T5" s="72"/>
      <c r="U5" s="74" t="s">
        <v>33</v>
      </c>
    </row>
    <row r="6" spans="1:42" s="10" customFormat="1" ht="39" customHeight="1" x14ac:dyDescent="0.25">
      <c r="A6" s="73"/>
      <c r="B6" s="73"/>
      <c r="C6" s="73"/>
      <c r="D6" s="73"/>
      <c r="E6" s="9" t="s">
        <v>2</v>
      </c>
      <c r="F6" s="9" t="s">
        <v>7</v>
      </c>
      <c r="G6" s="9" t="s">
        <v>3</v>
      </c>
      <c r="H6" s="9" t="s">
        <v>4</v>
      </c>
      <c r="I6" s="9" t="s">
        <v>5</v>
      </c>
      <c r="J6" s="9" t="s">
        <v>18</v>
      </c>
      <c r="K6" s="9" t="s">
        <v>34</v>
      </c>
      <c r="L6" s="9" t="s">
        <v>19</v>
      </c>
      <c r="M6" s="9" t="s">
        <v>20</v>
      </c>
      <c r="N6" s="9" t="s">
        <v>30</v>
      </c>
      <c r="O6" s="9" t="s">
        <v>2</v>
      </c>
      <c r="P6" s="9" t="s">
        <v>22</v>
      </c>
      <c r="Q6" s="9" t="s">
        <v>23</v>
      </c>
      <c r="R6" s="9" t="s">
        <v>2</v>
      </c>
      <c r="S6" s="9" t="s">
        <v>25</v>
      </c>
      <c r="T6" s="9" t="s">
        <v>23</v>
      </c>
      <c r="U6" s="75"/>
    </row>
    <row r="7" spans="1:42" ht="36" customHeight="1" x14ac:dyDescent="0.25">
      <c r="A7" s="34" t="s">
        <v>72</v>
      </c>
      <c r="B7" s="34" t="s">
        <v>113</v>
      </c>
      <c r="C7" s="50">
        <v>0</v>
      </c>
      <c r="D7" s="50">
        <v>0.42</v>
      </c>
      <c r="E7" s="34"/>
      <c r="F7" s="34" t="s">
        <v>114</v>
      </c>
      <c r="G7" s="34"/>
      <c r="H7" s="34"/>
      <c r="I7" s="34"/>
      <c r="J7" s="34" t="s">
        <v>114</v>
      </c>
      <c r="K7" s="34"/>
      <c r="L7" s="34"/>
      <c r="M7" s="34" t="s">
        <v>114</v>
      </c>
      <c r="N7" s="34"/>
      <c r="O7" s="34" t="s">
        <v>114</v>
      </c>
      <c r="P7" s="34"/>
      <c r="Q7" s="34"/>
      <c r="R7" s="34"/>
      <c r="S7" s="34" t="s">
        <v>114</v>
      </c>
      <c r="T7" s="34"/>
      <c r="U7" s="36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36" customHeight="1" x14ac:dyDescent="0.25">
      <c r="A8" s="34" t="s">
        <v>76</v>
      </c>
      <c r="B8" s="34" t="s">
        <v>115</v>
      </c>
      <c r="C8" s="35">
        <v>0</v>
      </c>
      <c r="D8" s="35">
        <v>3.13</v>
      </c>
      <c r="E8" s="34"/>
      <c r="F8" s="34"/>
      <c r="G8" s="34" t="s">
        <v>114</v>
      </c>
      <c r="H8" s="34" t="s">
        <v>114</v>
      </c>
      <c r="I8" s="34"/>
      <c r="J8" s="34" t="s">
        <v>114</v>
      </c>
      <c r="K8" s="34"/>
      <c r="L8" s="34"/>
      <c r="M8" s="34" t="s">
        <v>114</v>
      </c>
      <c r="N8" s="34"/>
      <c r="O8" s="34"/>
      <c r="P8" s="34"/>
      <c r="Q8" s="34" t="s">
        <v>114</v>
      </c>
      <c r="R8" s="34"/>
      <c r="S8" s="34"/>
      <c r="T8" s="34" t="s">
        <v>114</v>
      </c>
      <c r="U8" s="36"/>
    </row>
    <row r="9" spans="1:42" ht="36" customHeight="1" x14ac:dyDescent="0.25">
      <c r="A9" s="34" t="s">
        <v>74</v>
      </c>
      <c r="B9" s="34" t="s">
        <v>115</v>
      </c>
      <c r="C9" s="35">
        <v>0</v>
      </c>
      <c r="D9" s="35">
        <v>1</v>
      </c>
      <c r="E9" s="34" t="s">
        <v>114</v>
      </c>
      <c r="F9" s="34"/>
      <c r="G9" s="34"/>
      <c r="H9" s="34"/>
      <c r="I9" s="34"/>
      <c r="J9" s="34" t="s">
        <v>114</v>
      </c>
      <c r="K9" s="34"/>
      <c r="L9" s="34"/>
      <c r="M9" s="34" t="s">
        <v>114</v>
      </c>
      <c r="N9" s="34"/>
      <c r="O9" s="34"/>
      <c r="P9" s="34"/>
      <c r="Q9" s="34"/>
      <c r="R9" s="34"/>
      <c r="S9" s="34"/>
      <c r="T9" s="34"/>
      <c r="U9" s="36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2" ht="36" customHeight="1" x14ac:dyDescent="0.25">
      <c r="A10" s="34"/>
      <c r="B10" s="34"/>
      <c r="C10" s="35">
        <f>D9</f>
        <v>1</v>
      </c>
      <c r="D10" s="35">
        <v>4.0999999999999996</v>
      </c>
      <c r="E10" s="34"/>
      <c r="F10" s="34" t="s">
        <v>114</v>
      </c>
      <c r="G10" s="34"/>
      <c r="H10" s="34"/>
      <c r="I10" s="34"/>
      <c r="J10" s="34" t="s">
        <v>114</v>
      </c>
      <c r="K10" s="34"/>
      <c r="L10" s="34"/>
      <c r="M10" s="34" t="s">
        <v>114</v>
      </c>
      <c r="N10" s="34"/>
      <c r="O10" s="34"/>
      <c r="P10" s="34" t="s">
        <v>114</v>
      </c>
      <c r="Q10" s="34"/>
      <c r="R10" s="34"/>
      <c r="S10" s="34" t="s">
        <v>114</v>
      </c>
      <c r="T10" s="34"/>
      <c r="U10" s="36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2" ht="36" customHeight="1" x14ac:dyDescent="0.25">
      <c r="A11" s="34"/>
      <c r="B11" s="34"/>
      <c r="C11" s="35">
        <f t="shared" ref="C11:C22" si="0">D10</f>
        <v>4.0999999999999996</v>
      </c>
      <c r="D11" s="35">
        <v>7.4</v>
      </c>
      <c r="E11" s="34" t="s">
        <v>114</v>
      </c>
      <c r="F11" s="34"/>
      <c r="G11" s="34"/>
      <c r="H11" s="34"/>
      <c r="I11" s="34"/>
      <c r="J11" s="34" t="s">
        <v>114</v>
      </c>
      <c r="K11" s="34"/>
      <c r="L11" s="34"/>
      <c r="M11" s="34" t="s">
        <v>114</v>
      </c>
      <c r="N11" s="34"/>
      <c r="O11" s="34"/>
      <c r="P11" s="34" t="s">
        <v>114</v>
      </c>
      <c r="Q11" s="34"/>
      <c r="R11" s="34"/>
      <c r="S11" s="34" t="s">
        <v>114</v>
      </c>
      <c r="T11" s="34"/>
      <c r="U11" s="36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2" ht="36" customHeight="1" x14ac:dyDescent="0.25">
      <c r="A12" s="34"/>
      <c r="B12" s="34"/>
      <c r="C12" s="35">
        <f t="shared" si="0"/>
        <v>7.4</v>
      </c>
      <c r="D12" s="35">
        <v>18</v>
      </c>
      <c r="E12" s="34"/>
      <c r="F12" s="34" t="s">
        <v>114</v>
      </c>
      <c r="G12" s="34"/>
      <c r="H12" s="34"/>
      <c r="I12" s="34"/>
      <c r="J12" s="34" t="s">
        <v>114</v>
      </c>
      <c r="K12" s="34"/>
      <c r="L12" s="34"/>
      <c r="M12" s="34" t="s">
        <v>114</v>
      </c>
      <c r="N12" s="34"/>
      <c r="O12" s="34"/>
      <c r="P12" s="34" t="s">
        <v>114</v>
      </c>
      <c r="Q12" s="34"/>
      <c r="R12" s="34"/>
      <c r="S12" s="34" t="s">
        <v>114</v>
      </c>
      <c r="T12" s="34"/>
      <c r="U12" s="36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2" ht="36" customHeight="1" x14ac:dyDescent="0.25">
      <c r="A13" s="34"/>
      <c r="B13" s="34"/>
      <c r="C13" s="35">
        <f t="shared" si="0"/>
        <v>18</v>
      </c>
      <c r="D13" s="35">
        <v>20</v>
      </c>
      <c r="E13" s="34" t="s">
        <v>114</v>
      </c>
      <c r="F13" s="34"/>
      <c r="G13" s="34" t="s">
        <v>114</v>
      </c>
      <c r="H13" s="34"/>
      <c r="I13" s="34"/>
      <c r="J13" s="34" t="s">
        <v>114</v>
      </c>
      <c r="K13" s="34"/>
      <c r="L13" s="34"/>
      <c r="M13" s="34" t="s">
        <v>114</v>
      </c>
      <c r="N13" s="34"/>
      <c r="O13" s="34"/>
      <c r="P13" s="34" t="s">
        <v>114</v>
      </c>
      <c r="Q13" s="34"/>
      <c r="R13" s="34"/>
      <c r="S13" s="34" t="s">
        <v>114</v>
      </c>
      <c r="T13" s="34"/>
      <c r="U13" s="36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2" ht="36" customHeight="1" x14ac:dyDescent="0.25">
      <c r="A14" s="34"/>
      <c r="B14" s="34"/>
      <c r="C14" s="35">
        <f t="shared" si="0"/>
        <v>20</v>
      </c>
      <c r="D14" s="35">
        <v>23.3</v>
      </c>
      <c r="E14" s="34"/>
      <c r="F14" s="34"/>
      <c r="G14" s="34" t="s">
        <v>114</v>
      </c>
      <c r="H14" s="34" t="s">
        <v>114</v>
      </c>
      <c r="I14" s="34"/>
      <c r="J14" s="34" t="s">
        <v>114</v>
      </c>
      <c r="K14" s="34"/>
      <c r="L14" s="34"/>
      <c r="M14" s="34" t="s">
        <v>114</v>
      </c>
      <c r="N14" s="34"/>
      <c r="O14" s="34"/>
      <c r="P14" s="34" t="s">
        <v>114</v>
      </c>
      <c r="Q14" s="34"/>
      <c r="R14" s="34"/>
      <c r="S14" s="34" t="s">
        <v>114</v>
      </c>
      <c r="T14" s="34"/>
      <c r="U14" s="36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2" ht="36" customHeight="1" x14ac:dyDescent="0.25">
      <c r="A15" s="34"/>
      <c r="B15" s="34"/>
      <c r="C15" s="35">
        <f t="shared" si="0"/>
        <v>23.3</v>
      </c>
      <c r="D15" s="35">
        <v>29</v>
      </c>
      <c r="E15" s="34"/>
      <c r="F15" s="34" t="s">
        <v>114</v>
      </c>
      <c r="G15" s="34"/>
      <c r="H15" s="34"/>
      <c r="I15" s="34"/>
      <c r="J15" s="34" t="s">
        <v>114</v>
      </c>
      <c r="K15" s="34"/>
      <c r="L15" s="34"/>
      <c r="M15" s="34" t="s">
        <v>114</v>
      </c>
      <c r="N15" s="34"/>
      <c r="O15" s="34"/>
      <c r="P15" s="34" t="s">
        <v>114</v>
      </c>
      <c r="Q15" s="34"/>
      <c r="R15" s="34"/>
      <c r="S15" s="34" t="s">
        <v>114</v>
      </c>
      <c r="T15" s="34"/>
      <c r="U15" s="36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2" ht="36" customHeight="1" x14ac:dyDescent="0.25">
      <c r="A16" s="34"/>
      <c r="B16" s="34"/>
      <c r="C16" s="35">
        <f t="shared" si="0"/>
        <v>29</v>
      </c>
      <c r="D16" s="35">
        <v>37</v>
      </c>
      <c r="E16" s="34"/>
      <c r="F16" s="34" t="s">
        <v>114</v>
      </c>
      <c r="G16" s="34"/>
      <c r="H16" s="34"/>
      <c r="I16" s="34"/>
      <c r="J16" s="34" t="s">
        <v>114</v>
      </c>
      <c r="K16" s="34"/>
      <c r="L16" s="34"/>
      <c r="M16" s="34" t="s">
        <v>114</v>
      </c>
      <c r="N16" s="34"/>
      <c r="O16" s="34"/>
      <c r="P16" s="34" t="s">
        <v>114</v>
      </c>
      <c r="Q16" s="34"/>
      <c r="R16" s="34"/>
      <c r="S16" s="34" t="s">
        <v>114</v>
      </c>
      <c r="T16" s="34"/>
      <c r="U16" s="36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34"/>
      <c r="B17" s="34"/>
      <c r="C17" s="35">
        <f t="shared" si="0"/>
        <v>37</v>
      </c>
      <c r="D17" s="35">
        <v>39</v>
      </c>
      <c r="E17" s="34"/>
      <c r="F17" s="34"/>
      <c r="G17" s="34" t="s">
        <v>114</v>
      </c>
      <c r="H17" s="34"/>
      <c r="I17" s="34"/>
      <c r="J17" s="34" t="s">
        <v>114</v>
      </c>
      <c r="K17" s="34"/>
      <c r="L17" s="34"/>
      <c r="M17" s="34" t="s">
        <v>114</v>
      </c>
      <c r="N17" s="34"/>
      <c r="O17" s="34"/>
      <c r="P17" s="34" t="s">
        <v>114</v>
      </c>
      <c r="Q17" s="34"/>
      <c r="R17" s="34"/>
      <c r="S17" s="34" t="s">
        <v>114</v>
      </c>
      <c r="T17" s="34"/>
      <c r="U17" s="36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34"/>
      <c r="B18" s="34"/>
      <c r="C18" s="35">
        <f t="shared" si="0"/>
        <v>39</v>
      </c>
      <c r="D18" s="35">
        <v>41.8</v>
      </c>
      <c r="E18" s="34"/>
      <c r="F18" s="34" t="s">
        <v>114</v>
      </c>
      <c r="G18" s="34"/>
      <c r="H18" s="34"/>
      <c r="I18" s="34"/>
      <c r="J18" s="34" t="s">
        <v>114</v>
      </c>
      <c r="K18" s="34"/>
      <c r="L18" s="34"/>
      <c r="M18" s="34" t="s">
        <v>114</v>
      </c>
      <c r="N18" s="34"/>
      <c r="O18" s="34"/>
      <c r="P18" s="34" t="s">
        <v>114</v>
      </c>
      <c r="Q18" s="34"/>
      <c r="R18" s="34"/>
      <c r="S18" s="34" t="s">
        <v>114</v>
      </c>
      <c r="T18" s="34"/>
      <c r="U18" s="36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34"/>
      <c r="B19" s="34"/>
      <c r="C19" s="35">
        <f t="shared" si="0"/>
        <v>41.8</v>
      </c>
      <c r="D19" s="35">
        <v>43.3</v>
      </c>
      <c r="E19" s="34"/>
      <c r="F19" s="34"/>
      <c r="G19" s="34" t="s">
        <v>114</v>
      </c>
      <c r="H19" s="34"/>
      <c r="I19" s="34"/>
      <c r="J19" s="34" t="s">
        <v>114</v>
      </c>
      <c r="K19" s="34"/>
      <c r="L19" s="34"/>
      <c r="M19" s="34" t="s">
        <v>114</v>
      </c>
      <c r="N19" s="34"/>
      <c r="O19" s="34"/>
      <c r="P19" s="34" t="s">
        <v>114</v>
      </c>
      <c r="Q19" s="34"/>
      <c r="R19" s="34"/>
      <c r="S19" s="34" t="s">
        <v>114</v>
      </c>
      <c r="T19" s="34"/>
      <c r="U19" s="36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34"/>
      <c r="B20" s="34"/>
      <c r="C20" s="35">
        <f t="shared" si="0"/>
        <v>43.3</v>
      </c>
      <c r="D20" s="35">
        <v>48</v>
      </c>
      <c r="E20" s="34"/>
      <c r="F20" s="34" t="s">
        <v>114</v>
      </c>
      <c r="G20" s="34"/>
      <c r="H20" s="34"/>
      <c r="I20" s="34"/>
      <c r="J20" s="34" t="s">
        <v>114</v>
      </c>
      <c r="K20" s="34"/>
      <c r="L20" s="34"/>
      <c r="M20" s="34" t="s">
        <v>114</v>
      </c>
      <c r="N20" s="34"/>
      <c r="O20" s="34"/>
      <c r="P20" s="34" t="s">
        <v>114</v>
      </c>
      <c r="Q20" s="34"/>
      <c r="R20" s="34"/>
      <c r="S20" s="34" t="s">
        <v>114</v>
      </c>
      <c r="T20" s="34"/>
      <c r="U20" s="36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34"/>
      <c r="B21" s="34"/>
      <c r="C21" s="35">
        <f t="shared" si="0"/>
        <v>48</v>
      </c>
      <c r="D21" s="35">
        <v>49</v>
      </c>
      <c r="E21" s="34"/>
      <c r="F21" s="34"/>
      <c r="G21" s="34" t="s">
        <v>114</v>
      </c>
      <c r="H21" s="34" t="s">
        <v>114</v>
      </c>
      <c r="I21" s="34"/>
      <c r="J21" s="34" t="s">
        <v>114</v>
      </c>
      <c r="K21" s="34"/>
      <c r="L21" s="34"/>
      <c r="M21" s="34" t="s">
        <v>114</v>
      </c>
      <c r="N21" s="34"/>
      <c r="O21" s="34"/>
      <c r="P21" s="34" t="s">
        <v>114</v>
      </c>
      <c r="Q21" s="34"/>
      <c r="R21" s="34"/>
      <c r="S21" s="34" t="s">
        <v>114</v>
      </c>
      <c r="T21" s="34"/>
      <c r="U21" s="36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34"/>
      <c r="B22" s="34"/>
      <c r="C22" s="35">
        <f t="shared" si="0"/>
        <v>49</v>
      </c>
      <c r="D22" s="35">
        <v>61.37</v>
      </c>
      <c r="E22" s="34"/>
      <c r="F22" s="34" t="s">
        <v>114</v>
      </c>
      <c r="G22" s="34"/>
      <c r="H22" s="34" t="s">
        <v>114</v>
      </c>
      <c r="I22" s="34"/>
      <c r="J22" s="34" t="s">
        <v>114</v>
      </c>
      <c r="K22" s="34"/>
      <c r="L22" s="34"/>
      <c r="M22" s="34" t="s">
        <v>114</v>
      </c>
      <c r="N22" s="34"/>
      <c r="O22" s="34"/>
      <c r="P22" s="34" t="s">
        <v>114</v>
      </c>
      <c r="Q22" s="34"/>
      <c r="R22" s="34"/>
      <c r="S22" s="34" t="s">
        <v>114</v>
      </c>
      <c r="T22" s="34"/>
      <c r="U22" s="36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34"/>
      <c r="B23" s="34"/>
      <c r="C23" s="35"/>
      <c r="D23" s="35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6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34"/>
      <c r="B24" s="34"/>
      <c r="C24" s="35"/>
      <c r="D24" s="35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6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34"/>
      <c r="B25" s="34"/>
      <c r="C25" s="35"/>
      <c r="D25" s="35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6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34"/>
      <c r="B26" s="34"/>
      <c r="C26" s="35"/>
      <c r="D26" s="35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6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34"/>
      <c r="B27" s="34"/>
      <c r="C27" s="35"/>
      <c r="D27" s="35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6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34"/>
      <c r="B28" s="34"/>
      <c r="C28" s="35"/>
      <c r="D28" s="35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6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34"/>
      <c r="B29" s="34"/>
      <c r="C29" s="35"/>
      <c r="D29" s="35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6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x14ac:dyDescent="0.25">
      <c r="A30" s="49"/>
      <c r="B30" s="49"/>
      <c r="C30" s="35"/>
      <c r="D30" s="50"/>
      <c r="E30" s="49"/>
      <c r="F30" s="49"/>
      <c r="G30" s="49"/>
      <c r="H30" s="49"/>
      <c r="I30" s="49"/>
      <c r="J30" s="49"/>
      <c r="K30" s="49"/>
      <c r="L30" s="49"/>
      <c r="M30" s="34"/>
      <c r="N30" s="49"/>
      <c r="O30" s="49"/>
      <c r="P30" s="34"/>
      <c r="Q30" s="49"/>
      <c r="R30" s="49"/>
      <c r="S30" s="49"/>
      <c r="T30" s="49"/>
      <c r="U30" s="51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spans="1:40" ht="36" customHeight="1" x14ac:dyDescent="0.25">
      <c r="A31" s="49"/>
      <c r="B31" s="49"/>
      <c r="C31" s="35"/>
      <c r="D31" s="50"/>
      <c r="E31" s="49"/>
      <c r="F31" s="49"/>
      <c r="G31" s="49"/>
      <c r="H31" s="49"/>
      <c r="I31" s="49"/>
      <c r="J31" s="49"/>
      <c r="K31" s="49"/>
      <c r="L31" s="49"/>
      <c r="M31" s="34"/>
      <c r="N31" s="49"/>
      <c r="O31" s="49"/>
      <c r="P31" s="34"/>
      <c r="Q31" s="49"/>
      <c r="R31" s="49"/>
      <c r="S31" s="49"/>
      <c r="T31" s="49"/>
      <c r="U31" s="51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spans="1:40" ht="36" customHeight="1" x14ac:dyDescent="0.25">
      <c r="A32" s="49"/>
      <c r="B32" s="49"/>
      <c r="C32" s="50"/>
      <c r="D32" s="50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51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spans="1:40" ht="36" customHeight="1" x14ac:dyDescent="0.25">
      <c r="A33" s="49"/>
      <c r="B33" s="49"/>
      <c r="C33" s="50"/>
      <c r="D33" s="50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51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 ht="36" customHeight="1" x14ac:dyDescent="0.25">
      <c r="A34" s="49"/>
      <c r="B34" s="49"/>
      <c r="C34" s="50"/>
      <c r="D34" s="50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51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spans="1:40" ht="36" customHeight="1" x14ac:dyDescent="0.25">
      <c r="A35" s="49"/>
      <c r="B35" s="49"/>
      <c r="C35" s="50"/>
      <c r="D35" s="50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51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</row>
    <row r="36" spans="1:40" ht="36" customHeight="1" x14ac:dyDescent="0.25">
      <c r="A36" s="49"/>
      <c r="B36" s="49"/>
      <c r="C36" s="50"/>
      <c r="D36" s="50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51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</row>
    <row r="37" spans="1:40" ht="36" customHeight="1" x14ac:dyDescent="0.25">
      <c r="A37" s="49"/>
      <c r="B37" s="49"/>
      <c r="C37" s="50"/>
      <c r="D37" s="50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51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spans="1:40" ht="36" customHeight="1" x14ac:dyDescent="0.25">
      <c r="A38" s="49"/>
      <c r="B38" s="49"/>
      <c r="C38" s="50"/>
      <c r="D38" s="50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51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</row>
    <row r="39" spans="1:40" ht="36" customHeight="1" x14ac:dyDescent="0.25">
      <c r="A39" s="49"/>
      <c r="B39" s="49"/>
      <c r="C39" s="50"/>
      <c r="D39" s="50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51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spans="1:40" ht="36" customHeight="1" x14ac:dyDescent="0.25">
      <c r="A40" s="49"/>
      <c r="B40" s="49"/>
      <c r="C40" s="50"/>
      <c r="D40" s="50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51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spans="1:40" ht="36" customHeight="1" x14ac:dyDescent="0.25">
      <c r="A41" s="49"/>
      <c r="B41" s="49"/>
      <c r="C41" s="50"/>
      <c r="D41" s="50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51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spans="1:40" ht="36" customHeight="1" x14ac:dyDescent="0.25">
      <c r="A42" s="49"/>
      <c r="B42" s="49"/>
      <c r="C42" s="50"/>
      <c r="D42" s="50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51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spans="1:40" ht="36" customHeight="1" x14ac:dyDescent="0.25">
      <c r="A43" s="49"/>
      <c r="B43" s="49"/>
      <c r="C43" s="50"/>
      <c r="D43" s="50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51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</row>
    <row r="44" spans="1:40" ht="36" customHeight="1" x14ac:dyDescent="0.25">
      <c r="A44" s="49"/>
      <c r="B44" s="49"/>
      <c r="C44" s="50"/>
      <c r="D44" s="50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51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</row>
    <row r="45" spans="1:40" ht="36" customHeight="1" x14ac:dyDescent="0.25">
      <c r="A45" s="49"/>
      <c r="B45" s="49"/>
      <c r="C45" s="50"/>
      <c r="D45" s="50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51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</row>
    <row r="46" spans="1:40" ht="36" customHeight="1" x14ac:dyDescent="0.25">
      <c r="A46" s="49"/>
      <c r="B46" s="49"/>
      <c r="C46" s="50"/>
      <c r="D46" s="50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51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spans="1:40" ht="36" customHeight="1" x14ac:dyDescent="0.25">
      <c r="A47" s="49"/>
      <c r="B47" s="49"/>
      <c r="C47" s="50"/>
      <c r="D47" s="50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51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spans="1:40" ht="36" customHeight="1" x14ac:dyDescent="0.25">
      <c r="A48" s="49"/>
      <c r="B48" s="49"/>
      <c r="C48" s="50"/>
      <c r="D48" s="50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51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spans="1:40" ht="36" customHeight="1" x14ac:dyDescent="0.25">
      <c r="A49" s="49"/>
      <c r="B49" s="49"/>
      <c r="C49" s="50"/>
      <c r="D49" s="50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51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</row>
    <row r="50" spans="1:40" ht="36" customHeight="1" x14ac:dyDescent="0.25">
      <c r="A50" s="49"/>
      <c r="B50" s="49"/>
      <c r="C50" s="50"/>
      <c r="D50" s="50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1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spans="1:40" ht="36" customHeight="1" x14ac:dyDescent="0.25">
      <c r="A51" s="49"/>
      <c r="B51" s="49"/>
      <c r="C51" s="50"/>
      <c r="D51" s="50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51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spans="1:40" ht="36" customHeight="1" thickBot="1" x14ac:dyDescent="0.3">
      <c r="A52" s="37"/>
      <c r="B52" s="37"/>
      <c r="C52" s="38"/>
      <c r="D52" s="38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9"/>
    </row>
    <row r="54" spans="1:40" ht="19.5" x14ac:dyDescent="0.3">
      <c r="A54" s="4" t="s">
        <v>6</v>
      </c>
      <c r="B54" s="11" t="s">
        <v>1</v>
      </c>
      <c r="C54" s="5"/>
      <c r="D54" s="5"/>
      <c r="E54" s="76"/>
      <c r="F54" s="76"/>
    </row>
    <row r="55" spans="1:40" ht="19.5" x14ac:dyDescent="0.3">
      <c r="A55" s="4" t="s">
        <v>8</v>
      </c>
      <c r="B55" s="4" t="s">
        <v>9</v>
      </c>
      <c r="E55" s="4" t="s">
        <v>13</v>
      </c>
      <c r="F55" s="4"/>
      <c r="G55" s="4"/>
      <c r="I55" s="4" t="s">
        <v>4</v>
      </c>
      <c r="J55" s="4" t="s">
        <v>11</v>
      </c>
      <c r="K55" s="1"/>
      <c r="L55" s="1"/>
      <c r="M55" s="4" t="s">
        <v>15</v>
      </c>
      <c r="N55" s="4"/>
      <c r="O55" s="4"/>
    </row>
    <row r="56" spans="1:40" ht="19.5" x14ac:dyDescent="0.3">
      <c r="A56" s="4" t="s">
        <v>3</v>
      </c>
      <c r="B56" s="4" t="s">
        <v>10</v>
      </c>
      <c r="E56" s="4" t="s">
        <v>14</v>
      </c>
      <c r="F56" s="4"/>
      <c r="G56" s="4"/>
      <c r="I56" s="4" t="s">
        <v>5</v>
      </c>
      <c r="J56" s="4" t="s">
        <v>12</v>
      </c>
      <c r="K56" s="1"/>
      <c r="L56" s="1"/>
      <c r="M56" s="4" t="s">
        <v>16</v>
      </c>
      <c r="N56" s="4"/>
      <c r="O56" s="4"/>
    </row>
    <row r="57" spans="1:40" x14ac:dyDescent="0.25">
      <c r="E57" s="1"/>
      <c r="F57" s="1"/>
      <c r="G57" s="1"/>
    </row>
    <row r="58" spans="1:40" x14ac:dyDescent="0.25">
      <c r="E58" s="1"/>
      <c r="F58" s="1"/>
      <c r="G58" s="1"/>
    </row>
    <row r="61" spans="1:40" x14ac:dyDescent="0.25">
      <c r="E61" s="2" t="str">
        <f>IF(E7="X",(D7-C7),"0")</f>
        <v>0</v>
      </c>
      <c r="F61" s="2">
        <f>IF(F7="X",(D7-C7),"0")</f>
        <v>0.42</v>
      </c>
      <c r="G61" s="2" t="str">
        <f>IF(G7="X",(D7-C7),"0")</f>
        <v>0</v>
      </c>
      <c r="H61" s="2" t="str">
        <f>IF(H7="X",(D7-C7),"0")</f>
        <v>0</v>
      </c>
      <c r="I61" s="2" t="str">
        <f>IF(I7="X",(D7-C7),"0")</f>
        <v>0</v>
      </c>
      <c r="J61" s="2">
        <f>IF(J7="X",(D7-C7),"0")</f>
        <v>0.42</v>
      </c>
      <c r="K61" s="2" t="str">
        <f>IF(K7="X",(D7-C7),"0")</f>
        <v>0</v>
      </c>
      <c r="L61" s="2" t="str">
        <f>IF(L7="X",(D7-C7),"0")</f>
        <v>0</v>
      </c>
      <c r="M61" s="2">
        <f>IF(M7="X",(D7-C7),"0")</f>
        <v>0.42</v>
      </c>
      <c r="N61" s="2" t="str">
        <f>IF(N7="X",(D7-C7),"0")</f>
        <v>0</v>
      </c>
      <c r="O61" s="2">
        <f>IF(O7="X",(D7-C7),"0")</f>
        <v>0.42</v>
      </c>
      <c r="P61" s="2" t="str">
        <f>IF(P7="X",(D7-C7),"0")</f>
        <v>0</v>
      </c>
      <c r="Q61" s="2" t="str">
        <f>IF(Q7="X",(D7-C7),"0")</f>
        <v>0</v>
      </c>
      <c r="R61" s="2" t="str">
        <f>IF(R7="X",(D7-C7),"0")</f>
        <v>0</v>
      </c>
      <c r="S61" s="2">
        <f>IF(S7="X",(D7-C7),"0")</f>
        <v>0.42</v>
      </c>
      <c r="T61" s="2" t="str">
        <f>IF(T7="X",(D7-C7),"0")</f>
        <v>0</v>
      </c>
    </row>
    <row r="62" spans="1:40" x14ac:dyDescent="0.25">
      <c r="E62" s="2" t="str">
        <f t="shared" ref="E62:E112" si="1">IF(E8="X",(D8-C8),"0")</f>
        <v>0</v>
      </c>
      <c r="F62" s="2" t="str">
        <f t="shared" ref="F62:F112" si="2">IF(F8="X",(D8-C8),"0")</f>
        <v>0</v>
      </c>
      <c r="G62" s="2">
        <f t="shared" ref="G62:G112" si="3">IF(G8="X",(D8-C8),"0")</f>
        <v>3.13</v>
      </c>
      <c r="H62" s="2">
        <f t="shared" ref="H62:H112" si="4">IF(H8="X",(D8-C8),"0")</f>
        <v>3.13</v>
      </c>
      <c r="I62" s="2" t="str">
        <f t="shared" ref="I62:I112" si="5">IF(I8="X",(D8-C8),"0")</f>
        <v>0</v>
      </c>
      <c r="J62" s="2">
        <f t="shared" ref="J62:J112" si="6">IF(J8="X",(D8-C8),"0")</f>
        <v>3.13</v>
      </c>
      <c r="K62" s="2" t="str">
        <f t="shared" ref="K62:K112" si="7">IF(K8="X",(D8-C8),"0")</f>
        <v>0</v>
      </c>
      <c r="L62" s="2" t="str">
        <f t="shared" ref="L62:L112" si="8">IF(L8="X",(D8-C8),"0")</f>
        <v>0</v>
      </c>
      <c r="M62" s="2">
        <f t="shared" ref="M62:M112" si="9">IF(M8="X",(D8-C8),"0")</f>
        <v>3.13</v>
      </c>
      <c r="N62" s="2" t="str">
        <f t="shared" ref="N62:N112" si="10">IF(N8="X",(D8-C8),"0")</f>
        <v>0</v>
      </c>
      <c r="O62" s="2" t="str">
        <f t="shared" ref="O62:O112" si="11">IF(O8="X",(D8-C8),"0")</f>
        <v>0</v>
      </c>
      <c r="P62" s="2" t="str">
        <f t="shared" ref="P62:P112" si="12">IF(P8="X",(D8-C8),"0")</f>
        <v>0</v>
      </c>
      <c r="Q62" s="2">
        <f t="shared" ref="Q62:Q112" si="13">IF(Q8="X",(D8-C8),"0")</f>
        <v>3.13</v>
      </c>
      <c r="R62" s="2" t="str">
        <f t="shared" ref="R62:R112" si="14">IF(R8="X",(D8-C8),"0")</f>
        <v>0</v>
      </c>
      <c r="S62" s="2" t="str">
        <f t="shared" ref="S62:S112" si="15">IF(S8="X",(D8-C8),"0")</f>
        <v>0</v>
      </c>
      <c r="T62" s="2">
        <f t="shared" ref="T62:T112" si="16">IF(T8="X",(D8-C8),"0")</f>
        <v>3.13</v>
      </c>
    </row>
    <row r="63" spans="1:40" x14ac:dyDescent="0.25">
      <c r="E63" s="2">
        <f t="shared" si="1"/>
        <v>1</v>
      </c>
      <c r="F63" s="2" t="str">
        <f t="shared" si="2"/>
        <v>0</v>
      </c>
      <c r="G63" s="2" t="str">
        <f t="shared" si="3"/>
        <v>0</v>
      </c>
      <c r="H63" s="2" t="str">
        <f t="shared" si="4"/>
        <v>0</v>
      </c>
      <c r="I63" s="2" t="str">
        <f t="shared" si="5"/>
        <v>0</v>
      </c>
      <c r="J63" s="2">
        <f t="shared" si="6"/>
        <v>1</v>
      </c>
      <c r="K63" s="2" t="str">
        <f t="shared" si="7"/>
        <v>0</v>
      </c>
      <c r="L63" s="2" t="str">
        <f t="shared" si="8"/>
        <v>0</v>
      </c>
      <c r="M63" s="2">
        <f t="shared" si="9"/>
        <v>1</v>
      </c>
      <c r="N63" s="2" t="str">
        <f t="shared" si="10"/>
        <v>0</v>
      </c>
      <c r="O63" s="2" t="str">
        <f t="shared" si="11"/>
        <v>0</v>
      </c>
      <c r="P63" s="2" t="str">
        <f t="shared" si="12"/>
        <v>0</v>
      </c>
      <c r="Q63" s="2" t="str">
        <f t="shared" si="13"/>
        <v>0</v>
      </c>
      <c r="R63" s="2" t="str">
        <f t="shared" si="14"/>
        <v>0</v>
      </c>
      <c r="S63" s="2" t="str">
        <f t="shared" si="15"/>
        <v>0</v>
      </c>
      <c r="T63" s="2" t="str">
        <f t="shared" si="16"/>
        <v>0</v>
      </c>
    </row>
    <row r="64" spans="1:40" x14ac:dyDescent="0.25">
      <c r="E64" s="2" t="str">
        <f t="shared" si="1"/>
        <v>0</v>
      </c>
      <c r="F64" s="2">
        <f t="shared" si="2"/>
        <v>3.0999999999999996</v>
      </c>
      <c r="G64" s="2" t="str">
        <f t="shared" si="3"/>
        <v>0</v>
      </c>
      <c r="H64" s="2" t="str">
        <f t="shared" si="4"/>
        <v>0</v>
      </c>
      <c r="I64" s="2" t="str">
        <f t="shared" si="5"/>
        <v>0</v>
      </c>
      <c r="J64" s="2">
        <f t="shared" si="6"/>
        <v>3.0999999999999996</v>
      </c>
      <c r="K64" s="2" t="str">
        <f t="shared" si="7"/>
        <v>0</v>
      </c>
      <c r="L64" s="2" t="str">
        <f t="shared" si="8"/>
        <v>0</v>
      </c>
      <c r="M64" s="2">
        <f t="shared" si="9"/>
        <v>3.0999999999999996</v>
      </c>
      <c r="N64" s="2" t="str">
        <f t="shared" si="10"/>
        <v>0</v>
      </c>
      <c r="O64" s="2" t="str">
        <f t="shared" si="11"/>
        <v>0</v>
      </c>
      <c r="P64" s="2">
        <f t="shared" si="12"/>
        <v>3.0999999999999996</v>
      </c>
      <c r="Q64" s="2" t="str">
        <f t="shared" si="13"/>
        <v>0</v>
      </c>
      <c r="R64" s="2" t="str">
        <f t="shared" si="14"/>
        <v>0</v>
      </c>
      <c r="S64" s="2">
        <f t="shared" si="15"/>
        <v>3.0999999999999996</v>
      </c>
      <c r="T64" s="2" t="str">
        <f t="shared" si="16"/>
        <v>0</v>
      </c>
    </row>
    <row r="65" spans="5:20" x14ac:dyDescent="0.25">
      <c r="E65" s="2">
        <f t="shared" si="1"/>
        <v>3.3000000000000007</v>
      </c>
      <c r="F65" s="2" t="str">
        <f t="shared" si="2"/>
        <v>0</v>
      </c>
      <c r="G65" s="2" t="str">
        <f t="shared" si="3"/>
        <v>0</v>
      </c>
      <c r="H65" s="2" t="str">
        <f t="shared" si="4"/>
        <v>0</v>
      </c>
      <c r="I65" s="2" t="str">
        <f t="shared" si="5"/>
        <v>0</v>
      </c>
      <c r="J65" s="2">
        <f t="shared" si="6"/>
        <v>3.3000000000000007</v>
      </c>
      <c r="K65" s="2" t="str">
        <f t="shared" si="7"/>
        <v>0</v>
      </c>
      <c r="L65" s="2" t="str">
        <f t="shared" si="8"/>
        <v>0</v>
      </c>
      <c r="M65" s="2">
        <f t="shared" si="9"/>
        <v>3.3000000000000007</v>
      </c>
      <c r="N65" s="2" t="str">
        <f t="shared" si="10"/>
        <v>0</v>
      </c>
      <c r="O65" s="2" t="str">
        <f t="shared" si="11"/>
        <v>0</v>
      </c>
      <c r="P65" s="2">
        <f t="shared" si="12"/>
        <v>3.3000000000000007</v>
      </c>
      <c r="Q65" s="2" t="str">
        <f t="shared" si="13"/>
        <v>0</v>
      </c>
      <c r="R65" s="2" t="str">
        <f t="shared" si="14"/>
        <v>0</v>
      </c>
      <c r="S65" s="2">
        <f t="shared" si="15"/>
        <v>3.3000000000000007</v>
      </c>
      <c r="T65" s="2" t="str">
        <f t="shared" si="16"/>
        <v>0</v>
      </c>
    </row>
    <row r="66" spans="5:20" x14ac:dyDescent="0.25">
      <c r="E66" s="2" t="str">
        <f t="shared" si="1"/>
        <v>0</v>
      </c>
      <c r="F66" s="2">
        <f t="shared" si="2"/>
        <v>10.6</v>
      </c>
      <c r="G66" s="2" t="str">
        <f t="shared" si="3"/>
        <v>0</v>
      </c>
      <c r="H66" s="2" t="str">
        <f t="shared" si="4"/>
        <v>0</v>
      </c>
      <c r="I66" s="2" t="str">
        <f t="shared" si="5"/>
        <v>0</v>
      </c>
      <c r="J66" s="2">
        <f t="shared" si="6"/>
        <v>10.6</v>
      </c>
      <c r="K66" s="2" t="str">
        <f t="shared" si="7"/>
        <v>0</v>
      </c>
      <c r="L66" s="2" t="str">
        <f t="shared" si="8"/>
        <v>0</v>
      </c>
      <c r="M66" s="2">
        <f t="shared" si="9"/>
        <v>10.6</v>
      </c>
      <c r="N66" s="2" t="str">
        <f t="shared" si="10"/>
        <v>0</v>
      </c>
      <c r="O66" s="2" t="str">
        <f t="shared" si="11"/>
        <v>0</v>
      </c>
      <c r="P66" s="2">
        <f t="shared" si="12"/>
        <v>10.6</v>
      </c>
      <c r="Q66" s="2" t="str">
        <f t="shared" si="13"/>
        <v>0</v>
      </c>
      <c r="R66" s="2" t="str">
        <f t="shared" si="14"/>
        <v>0</v>
      </c>
      <c r="S66" s="2">
        <f t="shared" si="15"/>
        <v>10.6</v>
      </c>
      <c r="T66" s="2" t="str">
        <f t="shared" si="16"/>
        <v>0</v>
      </c>
    </row>
    <row r="67" spans="5:20" x14ac:dyDescent="0.25">
      <c r="E67" s="2">
        <f t="shared" si="1"/>
        <v>2</v>
      </c>
      <c r="F67" s="2" t="str">
        <f t="shared" si="2"/>
        <v>0</v>
      </c>
      <c r="G67" s="2">
        <f t="shared" si="3"/>
        <v>2</v>
      </c>
      <c r="H67" s="2" t="str">
        <f t="shared" si="4"/>
        <v>0</v>
      </c>
      <c r="I67" s="2" t="str">
        <f t="shared" si="5"/>
        <v>0</v>
      </c>
      <c r="J67" s="2">
        <f t="shared" si="6"/>
        <v>2</v>
      </c>
      <c r="K67" s="2" t="str">
        <f t="shared" si="7"/>
        <v>0</v>
      </c>
      <c r="L67" s="2" t="str">
        <f t="shared" si="8"/>
        <v>0</v>
      </c>
      <c r="M67" s="2">
        <f t="shared" si="9"/>
        <v>2</v>
      </c>
      <c r="N67" s="2" t="str">
        <f t="shared" si="10"/>
        <v>0</v>
      </c>
      <c r="O67" s="2" t="str">
        <f t="shared" si="11"/>
        <v>0</v>
      </c>
      <c r="P67" s="2">
        <f t="shared" si="12"/>
        <v>2</v>
      </c>
      <c r="Q67" s="2" t="str">
        <f t="shared" si="13"/>
        <v>0</v>
      </c>
      <c r="R67" s="2" t="str">
        <f t="shared" si="14"/>
        <v>0</v>
      </c>
      <c r="S67" s="2">
        <f t="shared" si="15"/>
        <v>2</v>
      </c>
      <c r="T67" s="2" t="str">
        <f t="shared" si="16"/>
        <v>0</v>
      </c>
    </row>
    <row r="68" spans="5:20" x14ac:dyDescent="0.25">
      <c r="E68" s="2" t="str">
        <f t="shared" si="1"/>
        <v>0</v>
      </c>
      <c r="F68" s="2" t="str">
        <f t="shared" si="2"/>
        <v>0</v>
      </c>
      <c r="G68" s="2">
        <f t="shared" si="3"/>
        <v>3.3000000000000007</v>
      </c>
      <c r="H68" s="2">
        <f t="shared" si="4"/>
        <v>3.3000000000000007</v>
      </c>
      <c r="I68" s="2" t="str">
        <f t="shared" si="5"/>
        <v>0</v>
      </c>
      <c r="J68" s="2">
        <f t="shared" si="6"/>
        <v>3.3000000000000007</v>
      </c>
      <c r="K68" s="2" t="str">
        <f t="shared" si="7"/>
        <v>0</v>
      </c>
      <c r="L68" s="2" t="str">
        <f t="shared" si="8"/>
        <v>0</v>
      </c>
      <c r="M68" s="2">
        <f t="shared" si="9"/>
        <v>3.3000000000000007</v>
      </c>
      <c r="N68" s="2" t="str">
        <f t="shared" si="10"/>
        <v>0</v>
      </c>
      <c r="O68" s="2" t="str">
        <f t="shared" si="11"/>
        <v>0</v>
      </c>
      <c r="P68" s="2">
        <f t="shared" si="12"/>
        <v>3.3000000000000007</v>
      </c>
      <c r="Q68" s="2" t="str">
        <f t="shared" si="13"/>
        <v>0</v>
      </c>
      <c r="R68" s="2" t="str">
        <f t="shared" si="14"/>
        <v>0</v>
      </c>
      <c r="S68" s="2">
        <f t="shared" si="15"/>
        <v>3.3000000000000007</v>
      </c>
      <c r="T68" s="2" t="str">
        <f t="shared" si="16"/>
        <v>0</v>
      </c>
    </row>
    <row r="69" spans="5:20" x14ac:dyDescent="0.25">
      <c r="E69" s="2" t="str">
        <f t="shared" si="1"/>
        <v>0</v>
      </c>
      <c r="F69" s="2">
        <f t="shared" si="2"/>
        <v>5.6999999999999993</v>
      </c>
      <c r="G69" s="2" t="str">
        <f t="shared" si="3"/>
        <v>0</v>
      </c>
      <c r="H69" s="2" t="str">
        <f t="shared" si="4"/>
        <v>0</v>
      </c>
      <c r="I69" s="2" t="str">
        <f t="shared" si="5"/>
        <v>0</v>
      </c>
      <c r="J69" s="2">
        <f t="shared" si="6"/>
        <v>5.6999999999999993</v>
      </c>
      <c r="K69" s="2" t="str">
        <f t="shared" si="7"/>
        <v>0</v>
      </c>
      <c r="L69" s="2" t="str">
        <f t="shared" si="8"/>
        <v>0</v>
      </c>
      <c r="M69" s="2">
        <f t="shared" si="9"/>
        <v>5.6999999999999993</v>
      </c>
      <c r="N69" s="2" t="str">
        <f t="shared" si="10"/>
        <v>0</v>
      </c>
      <c r="O69" s="2" t="str">
        <f t="shared" si="11"/>
        <v>0</v>
      </c>
      <c r="P69" s="2">
        <f t="shared" si="12"/>
        <v>5.6999999999999993</v>
      </c>
      <c r="Q69" s="2" t="str">
        <f t="shared" si="13"/>
        <v>0</v>
      </c>
      <c r="R69" s="2" t="str">
        <f t="shared" si="14"/>
        <v>0</v>
      </c>
      <c r="S69" s="2">
        <f t="shared" si="15"/>
        <v>5.6999999999999993</v>
      </c>
      <c r="T69" s="2" t="str">
        <f t="shared" si="16"/>
        <v>0</v>
      </c>
    </row>
    <row r="70" spans="5:20" x14ac:dyDescent="0.25">
      <c r="E70" s="2" t="str">
        <f t="shared" si="1"/>
        <v>0</v>
      </c>
      <c r="F70" s="2">
        <f t="shared" si="2"/>
        <v>8</v>
      </c>
      <c r="G70" s="2" t="str">
        <f t="shared" si="3"/>
        <v>0</v>
      </c>
      <c r="H70" s="2" t="str">
        <f t="shared" si="4"/>
        <v>0</v>
      </c>
      <c r="I70" s="2" t="str">
        <f t="shared" si="5"/>
        <v>0</v>
      </c>
      <c r="J70" s="2">
        <f t="shared" si="6"/>
        <v>8</v>
      </c>
      <c r="K70" s="2" t="str">
        <f t="shared" si="7"/>
        <v>0</v>
      </c>
      <c r="L70" s="2" t="str">
        <f t="shared" si="8"/>
        <v>0</v>
      </c>
      <c r="M70" s="2">
        <f t="shared" si="9"/>
        <v>8</v>
      </c>
      <c r="N70" s="2" t="str">
        <f t="shared" si="10"/>
        <v>0</v>
      </c>
      <c r="O70" s="2" t="str">
        <f t="shared" si="11"/>
        <v>0</v>
      </c>
      <c r="P70" s="2">
        <f t="shared" si="12"/>
        <v>8</v>
      </c>
      <c r="Q70" s="2" t="str">
        <f t="shared" si="13"/>
        <v>0</v>
      </c>
      <c r="R70" s="2" t="str">
        <f t="shared" si="14"/>
        <v>0</v>
      </c>
      <c r="S70" s="2">
        <f t="shared" si="15"/>
        <v>8</v>
      </c>
      <c r="T70" s="2" t="str">
        <f t="shared" si="16"/>
        <v>0</v>
      </c>
    </row>
    <row r="71" spans="5:20" x14ac:dyDescent="0.25">
      <c r="E71" s="2" t="str">
        <f t="shared" si="1"/>
        <v>0</v>
      </c>
      <c r="F71" s="2" t="str">
        <f t="shared" si="2"/>
        <v>0</v>
      </c>
      <c r="G71" s="2">
        <f t="shared" si="3"/>
        <v>2</v>
      </c>
      <c r="H71" s="2" t="str">
        <f t="shared" si="4"/>
        <v>0</v>
      </c>
      <c r="I71" s="2" t="str">
        <f t="shared" si="5"/>
        <v>0</v>
      </c>
      <c r="J71" s="2">
        <f t="shared" si="6"/>
        <v>2</v>
      </c>
      <c r="K71" s="2" t="str">
        <f t="shared" si="7"/>
        <v>0</v>
      </c>
      <c r="L71" s="2" t="str">
        <f t="shared" si="8"/>
        <v>0</v>
      </c>
      <c r="M71" s="2">
        <f t="shared" si="9"/>
        <v>2</v>
      </c>
      <c r="N71" s="2" t="str">
        <f t="shared" si="10"/>
        <v>0</v>
      </c>
      <c r="O71" s="2" t="str">
        <f t="shared" si="11"/>
        <v>0</v>
      </c>
      <c r="P71" s="2">
        <f t="shared" si="12"/>
        <v>2</v>
      </c>
      <c r="Q71" s="2" t="str">
        <f t="shared" si="13"/>
        <v>0</v>
      </c>
      <c r="R71" s="2" t="str">
        <f t="shared" si="14"/>
        <v>0</v>
      </c>
      <c r="S71" s="2">
        <f t="shared" si="15"/>
        <v>2</v>
      </c>
      <c r="T71" s="2" t="str">
        <f t="shared" si="16"/>
        <v>0</v>
      </c>
    </row>
    <row r="72" spans="5:20" x14ac:dyDescent="0.25">
      <c r="E72" s="2" t="str">
        <f t="shared" si="1"/>
        <v>0</v>
      </c>
      <c r="F72" s="2">
        <f t="shared" si="2"/>
        <v>2.7999999999999972</v>
      </c>
      <c r="G72" s="2" t="str">
        <f t="shared" si="3"/>
        <v>0</v>
      </c>
      <c r="H72" s="2" t="str">
        <f t="shared" si="4"/>
        <v>0</v>
      </c>
      <c r="I72" s="2" t="str">
        <f t="shared" si="5"/>
        <v>0</v>
      </c>
      <c r="J72" s="2">
        <f t="shared" si="6"/>
        <v>2.7999999999999972</v>
      </c>
      <c r="K72" s="2" t="str">
        <f t="shared" si="7"/>
        <v>0</v>
      </c>
      <c r="L72" s="2" t="str">
        <f t="shared" si="8"/>
        <v>0</v>
      </c>
      <c r="M72" s="2">
        <f t="shared" si="9"/>
        <v>2.7999999999999972</v>
      </c>
      <c r="N72" s="2" t="str">
        <f t="shared" si="10"/>
        <v>0</v>
      </c>
      <c r="O72" s="2" t="str">
        <f t="shared" si="11"/>
        <v>0</v>
      </c>
      <c r="P72" s="2">
        <f t="shared" si="12"/>
        <v>2.7999999999999972</v>
      </c>
      <c r="Q72" s="2" t="str">
        <f t="shared" si="13"/>
        <v>0</v>
      </c>
      <c r="R72" s="2" t="str">
        <f t="shared" si="14"/>
        <v>0</v>
      </c>
      <c r="S72" s="2">
        <f t="shared" si="15"/>
        <v>2.7999999999999972</v>
      </c>
      <c r="T72" s="2" t="str">
        <f t="shared" si="16"/>
        <v>0</v>
      </c>
    </row>
    <row r="73" spans="5:20" x14ac:dyDescent="0.25">
      <c r="E73" s="2" t="str">
        <f t="shared" si="1"/>
        <v>0</v>
      </c>
      <c r="F73" s="2" t="str">
        <f t="shared" si="2"/>
        <v>0</v>
      </c>
      <c r="G73" s="2">
        <f t="shared" si="3"/>
        <v>1.5</v>
      </c>
      <c r="H73" s="2" t="str">
        <f t="shared" si="4"/>
        <v>0</v>
      </c>
      <c r="I73" s="2" t="str">
        <f t="shared" si="5"/>
        <v>0</v>
      </c>
      <c r="J73" s="2">
        <f t="shared" si="6"/>
        <v>1.5</v>
      </c>
      <c r="K73" s="2" t="str">
        <f t="shared" si="7"/>
        <v>0</v>
      </c>
      <c r="L73" s="2" t="str">
        <f t="shared" si="8"/>
        <v>0</v>
      </c>
      <c r="M73" s="2">
        <f t="shared" si="9"/>
        <v>1.5</v>
      </c>
      <c r="N73" s="2" t="str">
        <f t="shared" si="10"/>
        <v>0</v>
      </c>
      <c r="O73" s="2" t="str">
        <f t="shared" si="11"/>
        <v>0</v>
      </c>
      <c r="P73" s="2">
        <f t="shared" si="12"/>
        <v>1.5</v>
      </c>
      <c r="Q73" s="2" t="str">
        <f t="shared" si="13"/>
        <v>0</v>
      </c>
      <c r="R73" s="2" t="str">
        <f t="shared" si="14"/>
        <v>0</v>
      </c>
      <c r="S73" s="2">
        <f t="shared" si="15"/>
        <v>1.5</v>
      </c>
      <c r="T73" s="2" t="str">
        <f t="shared" si="16"/>
        <v>0</v>
      </c>
    </row>
    <row r="74" spans="5:20" x14ac:dyDescent="0.25">
      <c r="E74" s="2" t="str">
        <f t="shared" si="1"/>
        <v>0</v>
      </c>
      <c r="F74" s="2">
        <f t="shared" si="2"/>
        <v>4.7000000000000028</v>
      </c>
      <c r="G74" s="2" t="str">
        <f t="shared" si="3"/>
        <v>0</v>
      </c>
      <c r="H74" s="2" t="str">
        <f t="shared" si="4"/>
        <v>0</v>
      </c>
      <c r="I74" s="2" t="str">
        <f t="shared" si="5"/>
        <v>0</v>
      </c>
      <c r="J74" s="2">
        <f t="shared" si="6"/>
        <v>4.7000000000000028</v>
      </c>
      <c r="K74" s="2" t="str">
        <f t="shared" si="7"/>
        <v>0</v>
      </c>
      <c r="L74" s="2" t="str">
        <f t="shared" si="8"/>
        <v>0</v>
      </c>
      <c r="M74" s="2">
        <f t="shared" si="9"/>
        <v>4.7000000000000028</v>
      </c>
      <c r="N74" s="2" t="str">
        <f t="shared" si="10"/>
        <v>0</v>
      </c>
      <c r="O74" s="2" t="str">
        <f t="shared" si="11"/>
        <v>0</v>
      </c>
      <c r="P74" s="2">
        <f t="shared" si="12"/>
        <v>4.7000000000000028</v>
      </c>
      <c r="Q74" s="2" t="str">
        <f t="shared" si="13"/>
        <v>0</v>
      </c>
      <c r="R74" s="2" t="str">
        <f t="shared" si="14"/>
        <v>0</v>
      </c>
      <c r="S74" s="2">
        <f t="shared" si="15"/>
        <v>4.7000000000000028</v>
      </c>
      <c r="T74" s="2" t="str">
        <f t="shared" si="16"/>
        <v>0</v>
      </c>
    </row>
    <row r="75" spans="5:20" x14ac:dyDescent="0.25">
      <c r="E75" s="2" t="str">
        <f t="shared" si="1"/>
        <v>0</v>
      </c>
      <c r="F75" s="2" t="str">
        <f t="shared" si="2"/>
        <v>0</v>
      </c>
      <c r="G75" s="2">
        <f t="shared" si="3"/>
        <v>1</v>
      </c>
      <c r="H75" s="2">
        <f t="shared" si="4"/>
        <v>1</v>
      </c>
      <c r="I75" s="2" t="str">
        <f t="shared" si="5"/>
        <v>0</v>
      </c>
      <c r="J75" s="2">
        <f t="shared" si="6"/>
        <v>1</v>
      </c>
      <c r="K75" s="2" t="str">
        <f t="shared" si="7"/>
        <v>0</v>
      </c>
      <c r="L75" s="2" t="str">
        <f t="shared" si="8"/>
        <v>0</v>
      </c>
      <c r="M75" s="2">
        <f t="shared" si="9"/>
        <v>1</v>
      </c>
      <c r="N75" s="2" t="str">
        <f t="shared" si="10"/>
        <v>0</v>
      </c>
      <c r="O75" s="2" t="str">
        <f t="shared" si="11"/>
        <v>0</v>
      </c>
      <c r="P75" s="2">
        <f t="shared" si="12"/>
        <v>1</v>
      </c>
      <c r="Q75" s="2" t="str">
        <f t="shared" si="13"/>
        <v>0</v>
      </c>
      <c r="R75" s="2" t="str">
        <f t="shared" si="14"/>
        <v>0</v>
      </c>
      <c r="S75" s="2">
        <f t="shared" si="15"/>
        <v>1</v>
      </c>
      <c r="T75" s="2" t="str">
        <f t="shared" si="16"/>
        <v>0</v>
      </c>
    </row>
    <row r="76" spans="5:20" x14ac:dyDescent="0.25">
      <c r="E76" s="2" t="str">
        <f t="shared" si="1"/>
        <v>0</v>
      </c>
      <c r="F76" s="2">
        <f>IF(F22="X",(D22-C22),"0")</f>
        <v>12.369999999999997</v>
      </c>
      <c r="G76" s="2" t="str">
        <f t="shared" si="3"/>
        <v>0</v>
      </c>
      <c r="H76" s="2">
        <f t="shared" si="4"/>
        <v>12.369999999999997</v>
      </c>
      <c r="I76" s="2" t="str">
        <f t="shared" si="5"/>
        <v>0</v>
      </c>
      <c r="J76" s="2">
        <f t="shared" si="6"/>
        <v>12.369999999999997</v>
      </c>
      <c r="K76" s="2" t="str">
        <f t="shared" si="7"/>
        <v>0</v>
      </c>
      <c r="L76" s="2" t="str">
        <f t="shared" si="8"/>
        <v>0</v>
      </c>
      <c r="M76" s="2">
        <f t="shared" si="9"/>
        <v>12.369999999999997</v>
      </c>
      <c r="N76" s="2" t="str">
        <f t="shared" si="10"/>
        <v>0</v>
      </c>
      <c r="O76" s="2" t="str">
        <f t="shared" si="11"/>
        <v>0</v>
      </c>
      <c r="P76" s="2">
        <f t="shared" si="12"/>
        <v>12.369999999999997</v>
      </c>
      <c r="Q76" s="2" t="str">
        <f t="shared" si="13"/>
        <v>0</v>
      </c>
      <c r="R76" s="2" t="str">
        <f t="shared" si="14"/>
        <v>0</v>
      </c>
      <c r="S76" s="2">
        <f t="shared" si="15"/>
        <v>12.369999999999997</v>
      </c>
      <c r="T76" s="2" t="str">
        <f t="shared" si="16"/>
        <v>0</v>
      </c>
    </row>
    <row r="77" spans="5:20" x14ac:dyDescent="0.25">
      <c r="E77" s="2" t="str">
        <f t="shared" si="1"/>
        <v>0</v>
      </c>
      <c r="F77" s="2" t="str">
        <f t="shared" si="2"/>
        <v>0</v>
      </c>
      <c r="G77" s="2" t="str">
        <f t="shared" si="3"/>
        <v>0</v>
      </c>
      <c r="H77" s="2" t="str">
        <f t="shared" si="4"/>
        <v>0</v>
      </c>
      <c r="I77" s="2" t="str">
        <f t="shared" si="5"/>
        <v>0</v>
      </c>
      <c r="J77" s="2" t="str">
        <f t="shared" si="6"/>
        <v>0</v>
      </c>
      <c r="K77" s="2" t="str">
        <f t="shared" si="7"/>
        <v>0</v>
      </c>
      <c r="L77" s="2" t="str">
        <f t="shared" si="8"/>
        <v>0</v>
      </c>
      <c r="M77" s="2" t="str">
        <f t="shared" si="9"/>
        <v>0</v>
      </c>
      <c r="N77" s="2" t="str">
        <f t="shared" si="10"/>
        <v>0</v>
      </c>
      <c r="O77" s="2" t="str">
        <f t="shared" si="11"/>
        <v>0</v>
      </c>
      <c r="P77" s="2" t="str">
        <f t="shared" si="12"/>
        <v>0</v>
      </c>
      <c r="Q77" s="2" t="str">
        <f t="shared" si="13"/>
        <v>0</v>
      </c>
      <c r="R77" s="2" t="str">
        <f t="shared" si="14"/>
        <v>0</v>
      </c>
      <c r="S77" s="2" t="str">
        <f t="shared" si="15"/>
        <v>0</v>
      </c>
      <c r="T77" s="2" t="str">
        <f t="shared" si="16"/>
        <v>0</v>
      </c>
    </row>
    <row r="78" spans="5:20" x14ac:dyDescent="0.25">
      <c r="E78" s="2" t="str">
        <f t="shared" si="1"/>
        <v>0</v>
      </c>
      <c r="F78" s="2" t="str">
        <f t="shared" si="2"/>
        <v>0</v>
      </c>
      <c r="G78" s="2" t="str">
        <f t="shared" si="3"/>
        <v>0</v>
      </c>
      <c r="H78" s="2" t="str">
        <f t="shared" si="4"/>
        <v>0</v>
      </c>
      <c r="I78" s="2" t="str">
        <f t="shared" si="5"/>
        <v>0</v>
      </c>
      <c r="J78" s="2" t="str">
        <f t="shared" si="6"/>
        <v>0</v>
      </c>
      <c r="K78" s="2" t="str">
        <f t="shared" si="7"/>
        <v>0</v>
      </c>
      <c r="L78" s="2" t="str">
        <f t="shared" si="8"/>
        <v>0</v>
      </c>
      <c r="M78" s="2" t="str">
        <f t="shared" si="9"/>
        <v>0</v>
      </c>
      <c r="N78" s="2" t="str">
        <f t="shared" si="10"/>
        <v>0</v>
      </c>
      <c r="O78" s="2" t="str">
        <f t="shared" si="11"/>
        <v>0</v>
      </c>
      <c r="P78" s="2" t="str">
        <f t="shared" si="12"/>
        <v>0</v>
      </c>
      <c r="Q78" s="2" t="str">
        <f t="shared" si="13"/>
        <v>0</v>
      </c>
      <c r="R78" s="2" t="str">
        <f t="shared" si="14"/>
        <v>0</v>
      </c>
      <c r="S78" s="2" t="str">
        <f t="shared" si="15"/>
        <v>0</v>
      </c>
      <c r="T78" s="2" t="str">
        <f t="shared" si="16"/>
        <v>0</v>
      </c>
    </row>
    <row r="79" spans="5:20" x14ac:dyDescent="0.25">
      <c r="E79" s="2" t="str">
        <f t="shared" si="1"/>
        <v>0</v>
      </c>
      <c r="F79" s="2" t="str">
        <f t="shared" si="2"/>
        <v>0</v>
      </c>
      <c r="G79" s="2" t="str">
        <f t="shared" si="3"/>
        <v>0</v>
      </c>
      <c r="H79" s="2" t="str">
        <f t="shared" si="4"/>
        <v>0</v>
      </c>
      <c r="I79" s="2" t="str">
        <f t="shared" si="5"/>
        <v>0</v>
      </c>
      <c r="J79" s="2" t="str">
        <f t="shared" si="6"/>
        <v>0</v>
      </c>
      <c r="K79" s="2" t="str">
        <f t="shared" si="7"/>
        <v>0</v>
      </c>
      <c r="L79" s="2" t="str">
        <f t="shared" si="8"/>
        <v>0</v>
      </c>
      <c r="M79" s="2" t="str">
        <f t="shared" si="9"/>
        <v>0</v>
      </c>
      <c r="N79" s="2" t="str">
        <f t="shared" si="10"/>
        <v>0</v>
      </c>
      <c r="O79" s="2" t="str">
        <f t="shared" si="11"/>
        <v>0</v>
      </c>
      <c r="P79" s="2" t="str">
        <f t="shared" si="12"/>
        <v>0</v>
      </c>
      <c r="Q79" s="2" t="str">
        <f t="shared" si="13"/>
        <v>0</v>
      </c>
      <c r="R79" s="2" t="str">
        <f t="shared" si="14"/>
        <v>0</v>
      </c>
      <c r="S79" s="2" t="str">
        <f t="shared" si="15"/>
        <v>0</v>
      </c>
      <c r="T79" s="2" t="str">
        <f t="shared" si="16"/>
        <v>0</v>
      </c>
    </row>
    <row r="80" spans="5:20" x14ac:dyDescent="0.25">
      <c r="E80" s="2" t="str">
        <f t="shared" si="1"/>
        <v>0</v>
      </c>
      <c r="F80" s="2" t="str">
        <f t="shared" si="2"/>
        <v>0</v>
      </c>
      <c r="G80" s="2" t="str">
        <f t="shared" si="3"/>
        <v>0</v>
      </c>
      <c r="H80" s="2" t="str">
        <f t="shared" si="4"/>
        <v>0</v>
      </c>
      <c r="I80" s="2" t="str">
        <f t="shared" si="5"/>
        <v>0</v>
      </c>
      <c r="J80" s="2" t="str">
        <f t="shared" si="6"/>
        <v>0</v>
      </c>
      <c r="K80" s="2" t="str">
        <f t="shared" si="7"/>
        <v>0</v>
      </c>
      <c r="L80" s="2" t="str">
        <f t="shared" si="8"/>
        <v>0</v>
      </c>
      <c r="M80" s="2" t="str">
        <f t="shared" si="9"/>
        <v>0</v>
      </c>
      <c r="N80" s="2" t="str">
        <f t="shared" si="10"/>
        <v>0</v>
      </c>
      <c r="O80" s="2" t="str">
        <f t="shared" si="11"/>
        <v>0</v>
      </c>
      <c r="P80" s="2" t="str">
        <f t="shared" si="12"/>
        <v>0</v>
      </c>
      <c r="Q80" s="2" t="str">
        <f t="shared" si="13"/>
        <v>0</v>
      </c>
      <c r="R80" s="2" t="str">
        <f t="shared" si="14"/>
        <v>0</v>
      </c>
      <c r="S80" s="2" t="str">
        <f t="shared" si="15"/>
        <v>0</v>
      </c>
      <c r="T80" s="2" t="str">
        <f t="shared" si="16"/>
        <v>0</v>
      </c>
    </row>
    <row r="81" spans="5:20" x14ac:dyDescent="0.25">
      <c r="E81" s="2" t="str">
        <f t="shared" si="1"/>
        <v>0</v>
      </c>
      <c r="F81" s="2" t="str">
        <f t="shared" si="2"/>
        <v>0</v>
      </c>
      <c r="G81" s="2" t="str">
        <f t="shared" si="3"/>
        <v>0</v>
      </c>
      <c r="H81" s="2" t="str">
        <f t="shared" si="4"/>
        <v>0</v>
      </c>
      <c r="I81" s="2" t="str">
        <f t="shared" si="5"/>
        <v>0</v>
      </c>
      <c r="J81" s="2" t="str">
        <f t="shared" si="6"/>
        <v>0</v>
      </c>
      <c r="K81" s="2" t="str">
        <f t="shared" si="7"/>
        <v>0</v>
      </c>
      <c r="L81" s="2" t="str">
        <f t="shared" si="8"/>
        <v>0</v>
      </c>
      <c r="M81" s="2" t="str">
        <f t="shared" si="9"/>
        <v>0</v>
      </c>
      <c r="N81" s="2" t="str">
        <f t="shared" si="10"/>
        <v>0</v>
      </c>
      <c r="O81" s="2" t="str">
        <f t="shared" si="11"/>
        <v>0</v>
      </c>
      <c r="P81" s="2" t="str">
        <f t="shared" si="12"/>
        <v>0</v>
      </c>
      <c r="Q81" s="2" t="str">
        <f t="shared" si="13"/>
        <v>0</v>
      </c>
      <c r="R81" s="2" t="str">
        <f t="shared" si="14"/>
        <v>0</v>
      </c>
      <c r="S81" s="2" t="str">
        <f t="shared" si="15"/>
        <v>0</v>
      </c>
      <c r="T81" s="2" t="str">
        <f t="shared" si="16"/>
        <v>0</v>
      </c>
    </row>
    <row r="82" spans="5:20" x14ac:dyDescent="0.25">
      <c r="E82" s="2" t="str">
        <f t="shared" si="1"/>
        <v>0</v>
      </c>
      <c r="F82" s="2" t="str">
        <f t="shared" si="2"/>
        <v>0</v>
      </c>
      <c r="G82" s="2" t="str">
        <f t="shared" si="3"/>
        <v>0</v>
      </c>
      <c r="H82" s="2" t="str">
        <f t="shared" si="4"/>
        <v>0</v>
      </c>
      <c r="I82" s="2" t="str">
        <f t="shared" si="5"/>
        <v>0</v>
      </c>
      <c r="J82" s="2" t="str">
        <f t="shared" si="6"/>
        <v>0</v>
      </c>
      <c r="K82" s="2" t="str">
        <f t="shared" si="7"/>
        <v>0</v>
      </c>
      <c r="L82" s="2" t="str">
        <f t="shared" si="8"/>
        <v>0</v>
      </c>
      <c r="M82" s="2" t="str">
        <f t="shared" si="9"/>
        <v>0</v>
      </c>
      <c r="N82" s="2" t="str">
        <f t="shared" si="10"/>
        <v>0</v>
      </c>
      <c r="O82" s="2" t="str">
        <f t="shared" si="11"/>
        <v>0</v>
      </c>
      <c r="P82" s="2" t="str">
        <f t="shared" si="12"/>
        <v>0</v>
      </c>
      <c r="Q82" s="2" t="str">
        <f t="shared" si="13"/>
        <v>0</v>
      </c>
      <c r="R82" s="2" t="str">
        <f t="shared" si="14"/>
        <v>0</v>
      </c>
      <c r="S82" s="2" t="str">
        <f t="shared" si="15"/>
        <v>0</v>
      </c>
      <c r="T82" s="2" t="str">
        <f t="shared" si="16"/>
        <v>0</v>
      </c>
    </row>
    <row r="83" spans="5:20" x14ac:dyDescent="0.25">
      <c r="E83" s="2" t="str">
        <f t="shared" si="1"/>
        <v>0</v>
      </c>
      <c r="F83" s="2" t="str">
        <f t="shared" si="2"/>
        <v>0</v>
      </c>
      <c r="G83" s="2" t="str">
        <f t="shared" si="3"/>
        <v>0</v>
      </c>
      <c r="H83" s="2" t="str">
        <f t="shared" si="4"/>
        <v>0</v>
      </c>
      <c r="I83" s="2" t="str">
        <f t="shared" si="5"/>
        <v>0</v>
      </c>
      <c r="J83" s="2" t="str">
        <f t="shared" si="6"/>
        <v>0</v>
      </c>
      <c r="K83" s="2" t="str">
        <f t="shared" si="7"/>
        <v>0</v>
      </c>
      <c r="L83" s="2" t="str">
        <f t="shared" si="8"/>
        <v>0</v>
      </c>
      <c r="M83" s="2" t="str">
        <f t="shared" si="9"/>
        <v>0</v>
      </c>
      <c r="N83" s="2" t="str">
        <f t="shared" si="10"/>
        <v>0</v>
      </c>
      <c r="O83" s="2" t="str">
        <f t="shared" si="11"/>
        <v>0</v>
      </c>
      <c r="P83" s="2" t="str">
        <f t="shared" si="12"/>
        <v>0</v>
      </c>
      <c r="Q83" s="2" t="str">
        <f t="shared" si="13"/>
        <v>0</v>
      </c>
      <c r="R83" s="2" t="str">
        <f t="shared" si="14"/>
        <v>0</v>
      </c>
      <c r="S83" s="2" t="str">
        <f t="shared" si="15"/>
        <v>0</v>
      </c>
      <c r="T83" s="2" t="str">
        <f t="shared" si="16"/>
        <v>0</v>
      </c>
    </row>
    <row r="84" spans="5:20" x14ac:dyDescent="0.25">
      <c r="E84" s="2" t="str">
        <f t="shared" si="1"/>
        <v>0</v>
      </c>
      <c r="F84" s="2" t="str">
        <f t="shared" si="2"/>
        <v>0</v>
      </c>
      <c r="G84" s="2" t="str">
        <f t="shared" si="3"/>
        <v>0</v>
      </c>
      <c r="H84" s="2" t="str">
        <f t="shared" si="4"/>
        <v>0</v>
      </c>
      <c r="I84" s="2" t="str">
        <f t="shared" si="5"/>
        <v>0</v>
      </c>
      <c r="J84" s="2" t="str">
        <f t="shared" si="6"/>
        <v>0</v>
      </c>
      <c r="K84" s="2" t="str">
        <f t="shared" si="7"/>
        <v>0</v>
      </c>
      <c r="L84" s="2" t="str">
        <f t="shared" si="8"/>
        <v>0</v>
      </c>
      <c r="M84" s="2" t="str">
        <f t="shared" si="9"/>
        <v>0</v>
      </c>
      <c r="N84" s="2" t="str">
        <f t="shared" si="10"/>
        <v>0</v>
      </c>
      <c r="O84" s="2" t="str">
        <f t="shared" si="11"/>
        <v>0</v>
      </c>
      <c r="P84" s="2" t="str">
        <f t="shared" si="12"/>
        <v>0</v>
      </c>
      <c r="Q84" s="2" t="str">
        <f t="shared" si="13"/>
        <v>0</v>
      </c>
      <c r="R84" s="2" t="str">
        <f t="shared" si="14"/>
        <v>0</v>
      </c>
      <c r="S84" s="2" t="str">
        <f t="shared" si="15"/>
        <v>0</v>
      </c>
      <c r="T84" s="2" t="str">
        <f t="shared" si="16"/>
        <v>0</v>
      </c>
    </row>
    <row r="85" spans="5:20" x14ac:dyDescent="0.25">
      <c r="E85" s="2" t="str">
        <f t="shared" si="1"/>
        <v>0</v>
      </c>
      <c r="F85" s="2" t="str">
        <f t="shared" si="2"/>
        <v>0</v>
      </c>
      <c r="G85" s="2" t="str">
        <f t="shared" si="3"/>
        <v>0</v>
      </c>
      <c r="H85" s="2" t="str">
        <f t="shared" si="4"/>
        <v>0</v>
      </c>
      <c r="I85" s="2" t="str">
        <f t="shared" si="5"/>
        <v>0</v>
      </c>
      <c r="J85" s="2" t="str">
        <f t="shared" si="6"/>
        <v>0</v>
      </c>
      <c r="K85" s="2" t="str">
        <f t="shared" si="7"/>
        <v>0</v>
      </c>
      <c r="L85" s="2" t="str">
        <f t="shared" si="8"/>
        <v>0</v>
      </c>
      <c r="M85" s="2" t="str">
        <f t="shared" si="9"/>
        <v>0</v>
      </c>
      <c r="N85" s="2" t="str">
        <f t="shared" si="10"/>
        <v>0</v>
      </c>
      <c r="O85" s="2" t="str">
        <f t="shared" si="11"/>
        <v>0</v>
      </c>
      <c r="P85" s="2" t="str">
        <f t="shared" si="12"/>
        <v>0</v>
      </c>
      <c r="Q85" s="2" t="str">
        <f t="shared" si="13"/>
        <v>0</v>
      </c>
      <c r="R85" s="2" t="str">
        <f t="shared" si="14"/>
        <v>0</v>
      </c>
      <c r="S85" s="2" t="str">
        <f t="shared" si="15"/>
        <v>0</v>
      </c>
      <c r="T85" s="2" t="str">
        <f t="shared" si="16"/>
        <v>0</v>
      </c>
    </row>
    <row r="86" spans="5:20" x14ac:dyDescent="0.25">
      <c r="E86" s="2" t="str">
        <f t="shared" si="1"/>
        <v>0</v>
      </c>
      <c r="F86" s="2" t="str">
        <f t="shared" si="2"/>
        <v>0</v>
      </c>
      <c r="G86" s="2" t="str">
        <f t="shared" si="3"/>
        <v>0</v>
      </c>
      <c r="H86" s="2" t="str">
        <f t="shared" si="4"/>
        <v>0</v>
      </c>
      <c r="I86" s="2" t="str">
        <f t="shared" si="5"/>
        <v>0</v>
      </c>
      <c r="J86" s="2" t="str">
        <f t="shared" si="6"/>
        <v>0</v>
      </c>
      <c r="K86" s="2" t="str">
        <f t="shared" si="7"/>
        <v>0</v>
      </c>
      <c r="L86" s="2" t="str">
        <f t="shared" si="8"/>
        <v>0</v>
      </c>
      <c r="M86" s="2" t="str">
        <f t="shared" si="9"/>
        <v>0</v>
      </c>
      <c r="N86" s="2" t="str">
        <f t="shared" si="10"/>
        <v>0</v>
      </c>
      <c r="O86" s="2" t="str">
        <f t="shared" si="11"/>
        <v>0</v>
      </c>
      <c r="P86" s="2" t="str">
        <f t="shared" si="12"/>
        <v>0</v>
      </c>
      <c r="Q86" s="2" t="str">
        <f t="shared" si="13"/>
        <v>0</v>
      </c>
      <c r="R86" s="2" t="str">
        <f t="shared" si="14"/>
        <v>0</v>
      </c>
      <c r="S86" s="2" t="str">
        <f t="shared" si="15"/>
        <v>0</v>
      </c>
      <c r="T86" s="2" t="str">
        <f t="shared" si="16"/>
        <v>0</v>
      </c>
    </row>
    <row r="87" spans="5:20" x14ac:dyDescent="0.25">
      <c r="E87" s="2" t="str">
        <f t="shared" si="1"/>
        <v>0</v>
      </c>
      <c r="F87" s="2" t="str">
        <f t="shared" si="2"/>
        <v>0</v>
      </c>
      <c r="G87" s="2" t="str">
        <f t="shared" si="3"/>
        <v>0</v>
      </c>
      <c r="H87" s="2" t="str">
        <f t="shared" si="4"/>
        <v>0</v>
      </c>
      <c r="I87" s="2" t="str">
        <f t="shared" si="5"/>
        <v>0</v>
      </c>
      <c r="J87" s="2" t="str">
        <f t="shared" si="6"/>
        <v>0</v>
      </c>
      <c r="K87" s="2" t="str">
        <f t="shared" si="7"/>
        <v>0</v>
      </c>
      <c r="L87" s="2" t="str">
        <f t="shared" si="8"/>
        <v>0</v>
      </c>
      <c r="M87" s="2" t="str">
        <f t="shared" si="9"/>
        <v>0</v>
      </c>
      <c r="N87" s="2" t="str">
        <f t="shared" si="10"/>
        <v>0</v>
      </c>
      <c r="O87" s="2" t="str">
        <f t="shared" si="11"/>
        <v>0</v>
      </c>
      <c r="P87" s="2" t="str">
        <f t="shared" si="12"/>
        <v>0</v>
      </c>
      <c r="Q87" s="2" t="str">
        <f t="shared" si="13"/>
        <v>0</v>
      </c>
      <c r="R87" s="2" t="str">
        <f t="shared" si="14"/>
        <v>0</v>
      </c>
      <c r="S87" s="2" t="str">
        <f t="shared" si="15"/>
        <v>0</v>
      </c>
      <c r="T87" s="2" t="str">
        <f t="shared" si="16"/>
        <v>0</v>
      </c>
    </row>
    <row r="88" spans="5:20" x14ac:dyDescent="0.25">
      <c r="E88" s="2" t="str">
        <f t="shared" si="1"/>
        <v>0</v>
      </c>
      <c r="F88" s="2" t="str">
        <f t="shared" si="2"/>
        <v>0</v>
      </c>
      <c r="G88" s="2" t="str">
        <f t="shared" si="3"/>
        <v>0</v>
      </c>
      <c r="H88" s="2" t="str">
        <f t="shared" si="4"/>
        <v>0</v>
      </c>
      <c r="I88" s="2" t="str">
        <f t="shared" si="5"/>
        <v>0</v>
      </c>
      <c r="J88" s="2" t="str">
        <f t="shared" si="6"/>
        <v>0</v>
      </c>
      <c r="K88" s="2" t="str">
        <f t="shared" si="7"/>
        <v>0</v>
      </c>
      <c r="L88" s="2" t="str">
        <f t="shared" si="8"/>
        <v>0</v>
      </c>
      <c r="M88" s="2" t="str">
        <f t="shared" si="9"/>
        <v>0</v>
      </c>
      <c r="N88" s="2" t="str">
        <f t="shared" si="10"/>
        <v>0</v>
      </c>
      <c r="O88" s="2" t="str">
        <f t="shared" si="11"/>
        <v>0</v>
      </c>
      <c r="P88" s="2" t="str">
        <f t="shared" si="12"/>
        <v>0</v>
      </c>
      <c r="Q88" s="2" t="str">
        <f t="shared" si="13"/>
        <v>0</v>
      </c>
      <c r="R88" s="2" t="str">
        <f t="shared" si="14"/>
        <v>0</v>
      </c>
      <c r="S88" s="2" t="str">
        <f t="shared" si="15"/>
        <v>0</v>
      </c>
      <c r="T88" s="2" t="str">
        <f t="shared" si="16"/>
        <v>0</v>
      </c>
    </row>
    <row r="89" spans="5:20" x14ac:dyDescent="0.25">
      <c r="E89" s="2" t="str">
        <f t="shared" si="1"/>
        <v>0</v>
      </c>
      <c r="F89" s="2" t="str">
        <f t="shared" si="2"/>
        <v>0</v>
      </c>
      <c r="G89" s="2" t="str">
        <f t="shared" si="3"/>
        <v>0</v>
      </c>
      <c r="H89" s="2" t="str">
        <f t="shared" si="4"/>
        <v>0</v>
      </c>
      <c r="I89" s="2" t="str">
        <f t="shared" si="5"/>
        <v>0</v>
      </c>
      <c r="J89" s="2" t="str">
        <f t="shared" si="6"/>
        <v>0</v>
      </c>
      <c r="K89" s="2" t="str">
        <f t="shared" si="7"/>
        <v>0</v>
      </c>
      <c r="L89" s="2" t="str">
        <f t="shared" si="8"/>
        <v>0</v>
      </c>
      <c r="M89" s="2" t="str">
        <f t="shared" si="9"/>
        <v>0</v>
      </c>
      <c r="N89" s="2" t="str">
        <f t="shared" si="10"/>
        <v>0</v>
      </c>
      <c r="O89" s="2" t="str">
        <f t="shared" si="11"/>
        <v>0</v>
      </c>
      <c r="P89" s="2" t="str">
        <f t="shared" si="12"/>
        <v>0</v>
      </c>
      <c r="Q89" s="2" t="str">
        <f t="shared" si="13"/>
        <v>0</v>
      </c>
      <c r="R89" s="2" t="str">
        <f t="shared" si="14"/>
        <v>0</v>
      </c>
      <c r="S89" s="2" t="str">
        <f t="shared" si="15"/>
        <v>0</v>
      </c>
      <c r="T89" s="2" t="str">
        <f t="shared" si="16"/>
        <v>0</v>
      </c>
    </row>
    <row r="90" spans="5:20" x14ac:dyDescent="0.25">
      <c r="E90" s="2" t="str">
        <f t="shared" si="1"/>
        <v>0</v>
      </c>
      <c r="F90" s="2" t="str">
        <f t="shared" si="2"/>
        <v>0</v>
      </c>
      <c r="G90" s="2" t="str">
        <f t="shared" si="3"/>
        <v>0</v>
      </c>
      <c r="H90" s="2" t="str">
        <f t="shared" si="4"/>
        <v>0</v>
      </c>
      <c r="I90" s="2" t="str">
        <f t="shared" si="5"/>
        <v>0</v>
      </c>
      <c r="J90" s="2" t="str">
        <f t="shared" si="6"/>
        <v>0</v>
      </c>
      <c r="K90" s="2" t="str">
        <f t="shared" si="7"/>
        <v>0</v>
      </c>
      <c r="L90" s="2" t="str">
        <f t="shared" si="8"/>
        <v>0</v>
      </c>
      <c r="M90" s="2" t="str">
        <f t="shared" si="9"/>
        <v>0</v>
      </c>
      <c r="N90" s="2" t="str">
        <f t="shared" si="10"/>
        <v>0</v>
      </c>
      <c r="O90" s="2" t="str">
        <f t="shared" si="11"/>
        <v>0</v>
      </c>
      <c r="P90" s="2" t="str">
        <f t="shared" si="12"/>
        <v>0</v>
      </c>
      <c r="Q90" s="2" t="str">
        <f t="shared" si="13"/>
        <v>0</v>
      </c>
      <c r="R90" s="2" t="str">
        <f t="shared" si="14"/>
        <v>0</v>
      </c>
      <c r="S90" s="2" t="str">
        <f t="shared" si="15"/>
        <v>0</v>
      </c>
      <c r="T90" s="2" t="str">
        <f t="shared" si="16"/>
        <v>0</v>
      </c>
    </row>
    <row r="91" spans="5:20" x14ac:dyDescent="0.25">
      <c r="E91" s="2" t="str">
        <f t="shared" si="1"/>
        <v>0</v>
      </c>
      <c r="F91" s="2" t="str">
        <f t="shared" si="2"/>
        <v>0</v>
      </c>
      <c r="G91" s="2" t="str">
        <f t="shared" si="3"/>
        <v>0</v>
      </c>
      <c r="H91" s="2" t="str">
        <f t="shared" si="4"/>
        <v>0</v>
      </c>
      <c r="I91" s="2" t="str">
        <f t="shared" si="5"/>
        <v>0</v>
      </c>
      <c r="J91" s="2" t="str">
        <f t="shared" si="6"/>
        <v>0</v>
      </c>
      <c r="K91" s="2" t="str">
        <f t="shared" si="7"/>
        <v>0</v>
      </c>
      <c r="L91" s="2" t="str">
        <f t="shared" si="8"/>
        <v>0</v>
      </c>
      <c r="M91" s="2" t="str">
        <f t="shared" si="9"/>
        <v>0</v>
      </c>
      <c r="N91" s="2" t="str">
        <f t="shared" si="10"/>
        <v>0</v>
      </c>
      <c r="O91" s="2" t="str">
        <f t="shared" si="11"/>
        <v>0</v>
      </c>
      <c r="P91" s="2" t="str">
        <f t="shared" si="12"/>
        <v>0</v>
      </c>
      <c r="Q91" s="2" t="str">
        <f t="shared" si="13"/>
        <v>0</v>
      </c>
      <c r="R91" s="2" t="str">
        <f t="shared" si="14"/>
        <v>0</v>
      </c>
      <c r="S91" s="2" t="str">
        <f t="shared" si="15"/>
        <v>0</v>
      </c>
      <c r="T91" s="2" t="str">
        <f t="shared" si="16"/>
        <v>0</v>
      </c>
    </row>
    <row r="92" spans="5:20" x14ac:dyDescent="0.25">
      <c r="E92" s="2" t="str">
        <f t="shared" si="1"/>
        <v>0</v>
      </c>
      <c r="F92" s="2" t="str">
        <f t="shared" si="2"/>
        <v>0</v>
      </c>
      <c r="G92" s="2" t="str">
        <f t="shared" si="3"/>
        <v>0</v>
      </c>
      <c r="H92" s="2" t="str">
        <f t="shared" si="4"/>
        <v>0</v>
      </c>
      <c r="I92" s="2" t="str">
        <f t="shared" si="5"/>
        <v>0</v>
      </c>
      <c r="J92" s="2" t="str">
        <f t="shared" si="6"/>
        <v>0</v>
      </c>
      <c r="K92" s="2" t="str">
        <f t="shared" si="7"/>
        <v>0</v>
      </c>
      <c r="L92" s="2" t="str">
        <f t="shared" si="8"/>
        <v>0</v>
      </c>
      <c r="M92" s="2" t="str">
        <f t="shared" si="9"/>
        <v>0</v>
      </c>
      <c r="N92" s="2" t="str">
        <f t="shared" si="10"/>
        <v>0</v>
      </c>
      <c r="O92" s="2" t="str">
        <f t="shared" si="11"/>
        <v>0</v>
      </c>
      <c r="P92" s="2" t="str">
        <f t="shared" si="12"/>
        <v>0</v>
      </c>
      <c r="Q92" s="2" t="str">
        <f t="shared" si="13"/>
        <v>0</v>
      </c>
      <c r="R92" s="2" t="str">
        <f t="shared" si="14"/>
        <v>0</v>
      </c>
      <c r="S92" s="2" t="str">
        <f t="shared" si="15"/>
        <v>0</v>
      </c>
      <c r="T92" s="2" t="str">
        <f t="shared" si="16"/>
        <v>0</v>
      </c>
    </row>
    <row r="93" spans="5:20" x14ac:dyDescent="0.25">
      <c r="E93" s="2" t="str">
        <f t="shared" si="1"/>
        <v>0</v>
      </c>
      <c r="F93" s="2" t="str">
        <f t="shared" si="2"/>
        <v>0</v>
      </c>
      <c r="G93" s="2" t="str">
        <f t="shared" si="3"/>
        <v>0</v>
      </c>
      <c r="H93" s="2" t="str">
        <f t="shared" si="4"/>
        <v>0</v>
      </c>
      <c r="I93" s="2" t="str">
        <f t="shared" si="5"/>
        <v>0</v>
      </c>
      <c r="J93" s="2" t="str">
        <f t="shared" si="6"/>
        <v>0</v>
      </c>
      <c r="K93" s="2" t="str">
        <f t="shared" si="7"/>
        <v>0</v>
      </c>
      <c r="L93" s="2" t="str">
        <f t="shared" si="8"/>
        <v>0</v>
      </c>
      <c r="M93" s="2" t="str">
        <f t="shared" si="9"/>
        <v>0</v>
      </c>
      <c r="N93" s="2" t="str">
        <f t="shared" si="10"/>
        <v>0</v>
      </c>
      <c r="O93" s="2" t="str">
        <f t="shared" si="11"/>
        <v>0</v>
      </c>
      <c r="P93" s="2" t="str">
        <f t="shared" si="12"/>
        <v>0</v>
      </c>
      <c r="Q93" s="2" t="str">
        <f t="shared" si="13"/>
        <v>0</v>
      </c>
      <c r="R93" s="2" t="str">
        <f t="shared" si="14"/>
        <v>0</v>
      </c>
      <c r="S93" s="2" t="str">
        <f t="shared" si="15"/>
        <v>0</v>
      </c>
      <c r="T93" s="2" t="str">
        <f t="shared" si="16"/>
        <v>0</v>
      </c>
    </row>
    <row r="94" spans="5:20" x14ac:dyDescent="0.25">
      <c r="E94" s="2" t="str">
        <f t="shared" si="1"/>
        <v>0</v>
      </c>
      <c r="F94" s="2" t="str">
        <f t="shared" si="2"/>
        <v>0</v>
      </c>
      <c r="G94" s="2" t="str">
        <f t="shared" si="3"/>
        <v>0</v>
      </c>
      <c r="H94" s="2" t="str">
        <f t="shared" si="4"/>
        <v>0</v>
      </c>
      <c r="I94" s="2" t="str">
        <f t="shared" si="5"/>
        <v>0</v>
      </c>
      <c r="J94" s="2" t="str">
        <f t="shared" si="6"/>
        <v>0</v>
      </c>
      <c r="K94" s="2" t="str">
        <f t="shared" si="7"/>
        <v>0</v>
      </c>
      <c r="L94" s="2" t="str">
        <f t="shared" si="8"/>
        <v>0</v>
      </c>
      <c r="M94" s="2" t="str">
        <f t="shared" si="9"/>
        <v>0</v>
      </c>
      <c r="N94" s="2" t="str">
        <f t="shared" si="10"/>
        <v>0</v>
      </c>
      <c r="O94" s="2" t="str">
        <f t="shared" si="11"/>
        <v>0</v>
      </c>
      <c r="P94" s="2" t="str">
        <f t="shared" si="12"/>
        <v>0</v>
      </c>
      <c r="Q94" s="2" t="str">
        <f t="shared" si="13"/>
        <v>0</v>
      </c>
      <c r="R94" s="2" t="str">
        <f t="shared" si="14"/>
        <v>0</v>
      </c>
      <c r="S94" s="2" t="str">
        <f t="shared" si="15"/>
        <v>0</v>
      </c>
      <c r="T94" s="2" t="str">
        <f t="shared" si="16"/>
        <v>0</v>
      </c>
    </row>
    <row r="95" spans="5:20" x14ac:dyDescent="0.25">
      <c r="E95" s="2" t="str">
        <f t="shared" si="1"/>
        <v>0</v>
      </c>
      <c r="F95" s="2" t="str">
        <f t="shared" si="2"/>
        <v>0</v>
      </c>
      <c r="G95" s="2" t="str">
        <f t="shared" si="3"/>
        <v>0</v>
      </c>
      <c r="H95" s="2" t="str">
        <f t="shared" si="4"/>
        <v>0</v>
      </c>
      <c r="I95" s="2" t="str">
        <f t="shared" si="5"/>
        <v>0</v>
      </c>
      <c r="J95" s="2" t="str">
        <f t="shared" si="6"/>
        <v>0</v>
      </c>
      <c r="K95" s="2" t="str">
        <f t="shared" si="7"/>
        <v>0</v>
      </c>
      <c r="L95" s="2" t="str">
        <f t="shared" si="8"/>
        <v>0</v>
      </c>
      <c r="M95" s="2" t="str">
        <f t="shared" si="9"/>
        <v>0</v>
      </c>
      <c r="N95" s="2" t="str">
        <f t="shared" si="10"/>
        <v>0</v>
      </c>
      <c r="O95" s="2" t="str">
        <f t="shared" si="11"/>
        <v>0</v>
      </c>
      <c r="P95" s="2" t="str">
        <f t="shared" si="12"/>
        <v>0</v>
      </c>
      <c r="Q95" s="2" t="str">
        <f t="shared" si="13"/>
        <v>0</v>
      </c>
      <c r="R95" s="2" t="str">
        <f t="shared" si="14"/>
        <v>0</v>
      </c>
      <c r="S95" s="2" t="str">
        <f t="shared" si="15"/>
        <v>0</v>
      </c>
      <c r="T95" s="2" t="str">
        <f t="shared" si="16"/>
        <v>0</v>
      </c>
    </row>
    <row r="96" spans="5:20" x14ac:dyDescent="0.25">
      <c r="E96" s="2" t="str">
        <f t="shared" si="1"/>
        <v>0</v>
      </c>
      <c r="F96" s="2" t="str">
        <f t="shared" si="2"/>
        <v>0</v>
      </c>
      <c r="G96" s="2" t="str">
        <f t="shared" si="3"/>
        <v>0</v>
      </c>
      <c r="H96" s="2" t="str">
        <f t="shared" si="4"/>
        <v>0</v>
      </c>
      <c r="I96" s="2" t="str">
        <f t="shared" si="5"/>
        <v>0</v>
      </c>
      <c r="J96" s="2" t="str">
        <f t="shared" si="6"/>
        <v>0</v>
      </c>
      <c r="K96" s="2" t="str">
        <f t="shared" si="7"/>
        <v>0</v>
      </c>
      <c r="L96" s="2" t="str">
        <f t="shared" si="8"/>
        <v>0</v>
      </c>
      <c r="M96" s="2" t="str">
        <f t="shared" si="9"/>
        <v>0</v>
      </c>
      <c r="N96" s="2" t="str">
        <f t="shared" si="10"/>
        <v>0</v>
      </c>
      <c r="O96" s="2" t="str">
        <f t="shared" si="11"/>
        <v>0</v>
      </c>
      <c r="P96" s="2" t="str">
        <f t="shared" si="12"/>
        <v>0</v>
      </c>
      <c r="Q96" s="2" t="str">
        <f t="shared" si="13"/>
        <v>0</v>
      </c>
      <c r="R96" s="2" t="str">
        <f t="shared" si="14"/>
        <v>0</v>
      </c>
      <c r="S96" s="2" t="str">
        <f t="shared" si="15"/>
        <v>0</v>
      </c>
      <c r="T96" s="2" t="str">
        <f t="shared" si="16"/>
        <v>0</v>
      </c>
    </row>
    <row r="97" spans="5:20" x14ac:dyDescent="0.25">
      <c r="E97" s="2" t="str">
        <f t="shared" si="1"/>
        <v>0</v>
      </c>
      <c r="F97" s="2" t="str">
        <f t="shared" si="2"/>
        <v>0</v>
      </c>
      <c r="G97" s="2" t="str">
        <f t="shared" si="3"/>
        <v>0</v>
      </c>
      <c r="H97" s="2" t="str">
        <f t="shared" si="4"/>
        <v>0</v>
      </c>
      <c r="I97" s="2" t="str">
        <f t="shared" si="5"/>
        <v>0</v>
      </c>
      <c r="J97" s="2" t="str">
        <f t="shared" si="6"/>
        <v>0</v>
      </c>
      <c r="K97" s="2" t="str">
        <f t="shared" si="7"/>
        <v>0</v>
      </c>
      <c r="L97" s="2" t="str">
        <f t="shared" si="8"/>
        <v>0</v>
      </c>
      <c r="M97" s="2" t="str">
        <f t="shared" si="9"/>
        <v>0</v>
      </c>
      <c r="N97" s="2" t="str">
        <f t="shared" si="10"/>
        <v>0</v>
      </c>
      <c r="O97" s="2" t="str">
        <f t="shared" si="11"/>
        <v>0</v>
      </c>
      <c r="P97" s="2" t="str">
        <f t="shared" si="12"/>
        <v>0</v>
      </c>
      <c r="Q97" s="2" t="str">
        <f t="shared" si="13"/>
        <v>0</v>
      </c>
      <c r="R97" s="2" t="str">
        <f t="shared" si="14"/>
        <v>0</v>
      </c>
      <c r="S97" s="2" t="str">
        <f t="shared" si="15"/>
        <v>0</v>
      </c>
      <c r="T97" s="2" t="str">
        <f t="shared" si="16"/>
        <v>0</v>
      </c>
    </row>
    <row r="98" spans="5:20" x14ac:dyDescent="0.25">
      <c r="E98" s="2" t="str">
        <f t="shared" si="1"/>
        <v>0</v>
      </c>
      <c r="F98" s="2" t="str">
        <f t="shared" si="2"/>
        <v>0</v>
      </c>
      <c r="G98" s="2" t="str">
        <f t="shared" si="3"/>
        <v>0</v>
      </c>
      <c r="H98" s="2" t="str">
        <f t="shared" si="4"/>
        <v>0</v>
      </c>
      <c r="I98" s="2" t="str">
        <f t="shared" si="5"/>
        <v>0</v>
      </c>
      <c r="J98" s="2" t="str">
        <f t="shared" si="6"/>
        <v>0</v>
      </c>
      <c r="K98" s="2" t="str">
        <f t="shared" si="7"/>
        <v>0</v>
      </c>
      <c r="L98" s="2" t="str">
        <f t="shared" si="8"/>
        <v>0</v>
      </c>
      <c r="M98" s="2" t="str">
        <f t="shared" si="9"/>
        <v>0</v>
      </c>
      <c r="N98" s="2" t="str">
        <f t="shared" si="10"/>
        <v>0</v>
      </c>
      <c r="O98" s="2" t="str">
        <f t="shared" si="11"/>
        <v>0</v>
      </c>
      <c r="P98" s="2" t="str">
        <f t="shared" si="12"/>
        <v>0</v>
      </c>
      <c r="Q98" s="2" t="str">
        <f t="shared" si="13"/>
        <v>0</v>
      </c>
      <c r="R98" s="2" t="str">
        <f t="shared" si="14"/>
        <v>0</v>
      </c>
      <c r="S98" s="2" t="str">
        <f t="shared" si="15"/>
        <v>0</v>
      </c>
      <c r="T98" s="2" t="str">
        <f t="shared" si="16"/>
        <v>0</v>
      </c>
    </row>
    <row r="99" spans="5:20" x14ac:dyDescent="0.25">
      <c r="E99" s="2" t="str">
        <f t="shared" si="1"/>
        <v>0</v>
      </c>
      <c r="F99" s="2" t="str">
        <f t="shared" si="2"/>
        <v>0</v>
      </c>
      <c r="G99" s="2" t="str">
        <f t="shared" si="3"/>
        <v>0</v>
      </c>
      <c r="H99" s="2" t="str">
        <f t="shared" si="4"/>
        <v>0</v>
      </c>
      <c r="I99" s="2" t="str">
        <f t="shared" si="5"/>
        <v>0</v>
      </c>
      <c r="J99" s="2" t="str">
        <f t="shared" si="6"/>
        <v>0</v>
      </c>
      <c r="K99" s="2" t="str">
        <f t="shared" si="7"/>
        <v>0</v>
      </c>
      <c r="L99" s="2" t="str">
        <f t="shared" si="8"/>
        <v>0</v>
      </c>
      <c r="M99" s="2" t="str">
        <f t="shared" si="9"/>
        <v>0</v>
      </c>
      <c r="N99" s="2" t="str">
        <f t="shared" si="10"/>
        <v>0</v>
      </c>
      <c r="O99" s="2" t="str">
        <f t="shared" si="11"/>
        <v>0</v>
      </c>
      <c r="P99" s="2" t="str">
        <f t="shared" si="12"/>
        <v>0</v>
      </c>
      <c r="Q99" s="2" t="str">
        <f t="shared" si="13"/>
        <v>0</v>
      </c>
      <c r="R99" s="2" t="str">
        <f t="shared" si="14"/>
        <v>0</v>
      </c>
      <c r="S99" s="2" t="str">
        <f t="shared" si="15"/>
        <v>0</v>
      </c>
      <c r="T99" s="2" t="str">
        <f t="shared" si="16"/>
        <v>0</v>
      </c>
    </row>
    <row r="100" spans="5:20" x14ac:dyDescent="0.25">
      <c r="E100" s="2" t="str">
        <f t="shared" si="1"/>
        <v>0</v>
      </c>
      <c r="F100" s="2" t="str">
        <f t="shared" si="2"/>
        <v>0</v>
      </c>
      <c r="G100" s="2" t="str">
        <f t="shared" si="3"/>
        <v>0</v>
      </c>
      <c r="H100" s="2" t="str">
        <f t="shared" si="4"/>
        <v>0</v>
      </c>
      <c r="I100" s="2" t="str">
        <f t="shared" si="5"/>
        <v>0</v>
      </c>
      <c r="J100" s="2" t="str">
        <f t="shared" si="6"/>
        <v>0</v>
      </c>
      <c r="K100" s="2" t="str">
        <f t="shared" si="7"/>
        <v>0</v>
      </c>
      <c r="L100" s="2" t="str">
        <f t="shared" si="8"/>
        <v>0</v>
      </c>
      <c r="M100" s="2" t="str">
        <f t="shared" si="9"/>
        <v>0</v>
      </c>
      <c r="N100" s="2" t="str">
        <f t="shared" si="10"/>
        <v>0</v>
      </c>
      <c r="O100" s="2" t="str">
        <f t="shared" si="11"/>
        <v>0</v>
      </c>
      <c r="P100" s="2" t="str">
        <f t="shared" si="12"/>
        <v>0</v>
      </c>
      <c r="Q100" s="2" t="str">
        <f t="shared" si="13"/>
        <v>0</v>
      </c>
      <c r="R100" s="2" t="str">
        <f t="shared" si="14"/>
        <v>0</v>
      </c>
      <c r="S100" s="2" t="str">
        <f t="shared" si="15"/>
        <v>0</v>
      </c>
      <c r="T100" s="2" t="str">
        <f t="shared" si="16"/>
        <v>0</v>
      </c>
    </row>
    <row r="101" spans="5:20" x14ac:dyDescent="0.25">
      <c r="E101" s="2" t="str">
        <f t="shared" si="1"/>
        <v>0</v>
      </c>
      <c r="F101" s="2" t="str">
        <f t="shared" si="2"/>
        <v>0</v>
      </c>
      <c r="G101" s="2" t="str">
        <f t="shared" si="3"/>
        <v>0</v>
      </c>
      <c r="H101" s="2" t="str">
        <f t="shared" si="4"/>
        <v>0</v>
      </c>
      <c r="I101" s="2" t="str">
        <f t="shared" si="5"/>
        <v>0</v>
      </c>
      <c r="J101" s="2" t="str">
        <f t="shared" si="6"/>
        <v>0</v>
      </c>
      <c r="K101" s="2" t="str">
        <f t="shared" si="7"/>
        <v>0</v>
      </c>
      <c r="L101" s="2" t="str">
        <f t="shared" si="8"/>
        <v>0</v>
      </c>
      <c r="M101" s="2" t="str">
        <f t="shared" si="9"/>
        <v>0</v>
      </c>
      <c r="N101" s="2" t="str">
        <f t="shared" si="10"/>
        <v>0</v>
      </c>
      <c r="O101" s="2" t="str">
        <f t="shared" si="11"/>
        <v>0</v>
      </c>
      <c r="P101" s="2" t="str">
        <f t="shared" si="12"/>
        <v>0</v>
      </c>
      <c r="Q101" s="2" t="str">
        <f t="shared" si="13"/>
        <v>0</v>
      </c>
      <c r="R101" s="2" t="str">
        <f t="shared" si="14"/>
        <v>0</v>
      </c>
      <c r="S101" s="2" t="str">
        <f t="shared" si="15"/>
        <v>0</v>
      </c>
      <c r="T101" s="2" t="str">
        <f t="shared" si="16"/>
        <v>0</v>
      </c>
    </row>
    <row r="102" spans="5:20" x14ac:dyDescent="0.25">
      <c r="E102" s="2" t="str">
        <f t="shared" si="1"/>
        <v>0</v>
      </c>
      <c r="F102" s="2" t="str">
        <f t="shared" si="2"/>
        <v>0</v>
      </c>
      <c r="G102" s="2" t="str">
        <f t="shared" si="3"/>
        <v>0</v>
      </c>
      <c r="H102" s="2" t="str">
        <f t="shared" si="4"/>
        <v>0</v>
      </c>
      <c r="I102" s="2" t="str">
        <f t="shared" si="5"/>
        <v>0</v>
      </c>
      <c r="J102" s="2" t="str">
        <f t="shared" si="6"/>
        <v>0</v>
      </c>
      <c r="K102" s="2" t="str">
        <f t="shared" si="7"/>
        <v>0</v>
      </c>
      <c r="L102" s="2" t="str">
        <f t="shared" si="8"/>
        <v>0</v>
      </c>
      <c r="M102" s="2" t="str">
        <f t="shared" si="9"/>
        <v>0</v>
      </c>
      <c r="N102" s="2" t="str">
        <f t="shared" si="10"/>
        <v>0</v>
      </c>
      <c r="O102" s="2" t="str">
        <f t="shared" si="11"/>
        <v>0</v>
      </c>
      <c r="P102" s="2" t="str">
        <f t="shared" si="12"/>
        <v>0</v>
      </c>
      <c r="Q102" s="2" t="str">
        <f t="shared" si="13"/>
        <v>0</v>
      </c>
      <c r="R102" s="2" t="str">
        <f t="shared" si="14"/>
        <v>0</v>
      </c>
      <c r="S102" s="2" t="str">
        <f t="shared" si="15"/>
        <v>0</v>
      </c>
      <c r="T102" s="2" t="str">
        <f t="shared" si="16"/>
        <v>0</v>
      </c>
    </row>
    <row r="103" spans="5:20" x14ac:dyDescent="0.25">
      <c r="E103" s="2" t="str">
        <f t="shared" si="1"/>
        <v>0</v>
      </c>
      <c r="F103" s="2" t="str">
        <f t="shared" si="2"/>
        <v>0</v>
      </c>
      <c r="G103" s="2" t="str">
        <f t="shared" si="3"/>
        <v>0</v>
      </c>
      <c r="H103" s="2" t="str">
        <f t="shared" si="4"/>
        <v>0</v>
      </c>
      <c r="I103" s="2" t="str">
        <f t="shared" si="5"/>
        <v>0</v>
      </c>
      <c r="J103" s="2" t="str">
        <f t="shared" si="6"/>
        <v>0</v>
      </c>
      <c r="K103" s="2" t="str">
        <f t="shared" si="7"/>
        <v>0</v>
      </c>
      <c r="L103" s="2" t="str">
        <f t="shared" si="8"/>
        <v>0</v>
      </c>
      <c r="M103" s="2" t="str">
        <f t="shared" si="9"/>
        <v>0</v>
      </c>
      <c r="N103" s="2" t="str">
        <f t="shared" si="10"/>
        <v>0</v>
      </c>
      <c r="O103" s="2" t="str">
        <f t="shared" si="11"/>
        <v>0</v>
      </c>
      <c r="P103" s="2" t="str">
        <f t="shared" si="12"/>
        <v>0</v>
      </c>
      <c r="Q103" s="2" t="str">
        <f t="shared" si="13"/>
        <v>0</v>
      </c>
      <c r="R103" s="2" t="str">
        <f t="shared" si="14"/>
        <v>0</v>
      </c>
      <c r="S103" s="2" t="str">
        <f t="shared" si="15"/>
        <v>0</v>
      </c>
      <c r="T103" s="2" t="str">
        <f t="shared" si="16"/>
        <v>0</v>
      </c>
    </row>
    <row r="104" spans="5:20" x14ac:dyDescent="0.25">
      <c r="E104" s="2" t="str">
        <f t="shared" si="1"/>
        <v>0</v>
      </c>
      <c r="F104" s="2" t="str">
        <f t="shared" si="2"/>
        <v>0</v>
      </c>
      <c r="G104" s="2" t="str">
        <f t="shared" si="3"/>
        <v>0</v>
      </c>
      <c r="H104" s="2" t="str">
        <f t="shared" si="4"/>
        <v>0</v>
      </c>
      <c r="I104" s="2" t="str">
        <f t="shared" si="5"/>
        <v>0</v>
      </c>
      <c r="J104" s="2" t="str">
        <f t="shared" si="6"/>
        <v>0</v>
      </c>
      <c r="K104" s="2" t="str">
        <f t="shared" si="7"/>
        <v>0</v>
      </c>
      <c r="L104" s="2" t="str">
        <f t="shared" si="8"/>
        <v>0</v>
      </c>
      <c r="M104" s="2" t="str">
        <f t="shared" si="9"/>
        <v>0</v>
      </c>
      <c r="N104" s="2" t="str">
        <f t="shared" si="10"/>
        <v>0</v>
      </c>
      <c r="O104" s="2" t="str">
        <f t="shared" si="11"/>
        <v>0</v>
      </c>
      <c r="P104" s="2" t="str">
        <f t="shared" si="12"/>
        <v>0</v>
      </c>
      <c r="Q104" s="2" t="str">
        <f t="shared" si="13"/>
        <v>0</v>
      </c>
      <c r="R104" s="2" t="str">
        <f t="shared" si="14"/>
        <v>0</v>
      </c>
      <c r="S104" s="2" t="str">
        <f t="shared" si="15"/>
        <v>0</v>
      </c>
      <c r="T104" s="2" t="str">
        <f t="shared" si="16"/>
        <v>0</v>
      </c>
    </row>
    <row r="105" spans="5:20" x14ac:dyDescent="0.25">
      <c r="E105" s="2" t="str">
        <f t="shared" si="1"/>
        <v>0</v>
      </c>
      <c r="F105" s="2" t="str">
        <f t="shared" si="2"/>
        <v>0</v>
      </c>
      <c r="G105" s="2" t="str">
        <f t="shared" si="3"/>
        <v>0</v>
      </c>
      <c r="H105" s="2" t="str">
        <f t="shared" si="4"/>
        <v>0</v>
      </c>
      <c r="I105" s="2" t="str">
        <f t="shared" si="5"/>
        <v>0</v>
      </c>
      <c r="J105" s="2" t="str">
        <f t="shared" si="6"/>
        <v>0</v>
      </c>
      <c r="K105" s="2" t="str">
        <f t="shared" si="7"/>
        <v>0</v>
      </c>
      <c r="L105" s="2" t="str">
        <f t="shared" si="8"/>
        <v>0</v>
      </c>
      <c r="M105" s="2" t="str">
        <f t="shared" si="9"/>
        <v>0</v>
      </c>
      <c r="N105" s="2" t="str">
        <f t="shared" si="10"/>
        <v>0</v>
      </c>
      <c r="O105" s="2" t="str">
        <f t="shared" si="11"/>
        <v>0</v>
      </c>
      <c r="P105" s="2" t="str">
        <f t="shared" si="12"/>
        <v>0</v>
      </c>
      <c r="Q105" s="2" t="str">
        <f t="shared" si="13"/>
        <v>0</v>
      </c>
      <c r="R105" s="2" t="str">
        <f t="shared" si="14"/>
        <v>0</v>
      </c>
      <c r="S105" s="2" t="str">
        <f t="shared" si="15"/>
        <v>0</v>
      </c>
      <c r="T105" s="2" t="str">
        <f t="shared" si="16"/>
        <v>0</v>
      </c>
    </row>
    <row r="106" spans="5:20" x14ac:dyDescent="0.25">
      <c r="E106" s="2" t="str">
        <f t="shared" si="1"/>
        <v>0</v>
      </c>
      <c r="F106" s="2" t="str">
        <f t="shared" si="2"/>
        <v>0</v>
      </c>
      <c r="G106" s="2" t="str">
        <f t="shared" si="3"/>
        <v>0</v>
      </c>
      <c r="H106" s="2" t="str">
        <f t="shared" si="4"/>
        <v>0</v>
      </c>
      <c r="I106" s="2" t="str">
        <f t="shared" si="5"/>
        <v>0</v>
      </c>
      <c r="J106" s="2" t="str">
        <f t="shared" si="6"/>
        <v>0</v>
      </c>
      <c r="K106" s="2" t="str">
        <f t="shared" si="7"/>
        <v>0</v>
      </c>
      <c r="L106" s="2" t="str">
        <f t="shared" si="8"/>
        <v>0</v>
      </c>
      <c r="M106" s="2" t="str">
        <f t="shared" si="9"/>
        <v>0</v>
      </c>
      <c r="N106" s="2" t="str">
        <f t="shared" si="10"/>
        <v>0</v>
      </c>
      <c r="O106" s="2" t="str">
        <f t="shared" si="11"/>
        <v>0</v>
      </c>
      <c r="P106" s="2" t="str">
        <f t="shared" si="12"/>
        <v>0</v>
      </c>
      <c r="Q106" s="2" t="str">
        <f t="shared" si="13"/>
        <v>0</v>
      </c>
      <c r="R106" s="2" t="str">
        <f t="shared" si="14"/>
        <v>0</v>
      </c>
      <c r="S106" s="2" t="str">
        <f t="shared" si="15"/>
        <v>0</v>
      </c>
      <c r="T106" s="2" t="str">
        <f t="shared" si="16"/>
        <v>0</v>
      </c>
    </row>
    <row r="107" spans="5:20" x14ac:dyDescent="0.25">
      <c r="E107" s="2" t="str">
        <f t="shared" si="1"/>
        <v>0</v>
      </c>
      <c r="F107" s="2" t="str">
        <f t="shared" si="2"/>
        <v>0</v>
      </c>
      <c r="G107" s="2" t="str">
        <f t="shared" si="3"/>
        <v>0</v>
      </c>
      <c r="H107" s="2" t="str">
        <f t="shared" si="4"/>
        <v>0</v>
      </c>
      <c r="I107" s="2" t="str">
        <f t="shared" si="5"/>
        <v>0</v>
      </c>
      <c r="J107" s="2" t="str">
        <f t="shared" si="6"/>
        <v>0</v>
      </c>
      <c r="K107" s="2" t="str">
        <f t="shared" si="7"/>
        <v>0</v>
      </c>
      <c r="L107" s="2" t="str">
        <f t="shared" si="8"/>
        <v>0</v>
      </c>
      <c r="M107" s="2" t="str">
        <f t="shared" si="9"/>
        <v>0</v>
      </c>
      <c r="N107" s="2" t="str">
        <f t="shared" si="10"/>
        <v>0</v>
      </c>
      <c r="O107" s="2" t="str">
        <f t="shared" si="11"/>
        <v>0</v>
      </c>
      <c r="P107" s="2" t="str">
        <f t="shared" si="12"/>
        <v>0</v>
      </c>
      <c r="Q107" s="2" t="str">
        <f t="shared" si="13"/>
        <v>0</v>
      </c>
      <c r="R107" s="2" t="str">
        <f t="shared" si="14"/>
        <v>0</v>
      </c>
      <c r="S107" s="2" t="str">
        <f t="shared" si="15"/>
        <v>0</v>
      </c>
      <c r="T107" s="2" t="str">
        <f t="shared" si="16"/>
        <v>0</v>
      </c>
    </row>
    <row r="108" spans="5:20" x14ac:dyDescent="0.25">
      <c r="E108" s="2" t="str">
        <f t="shared" si="1"/>
        <v>0</v>
      </c>
      <c r="F108" s="2" t="str">
        <f t="shared" si="2"/>
        <v>0</v>
      </c>
      <c r="G108" s="2" t="str">
        <f t="shared" si="3"/>
        <v>0</v>
      </c>
      <c r="H108" s="2" t="str">
        <f t="shared" si="4"/>
        <v>0</v>
      </c>
      <c r="I108" s="2" t="str">
        <f t="shared" si="5"/>
        <v>0</v>
      </c>
      <c r="J108" s="2" t="str">
        <f t="shared" si="6"/>
        <v>0</v>
      </c>
      <c r="K108" s="2" t="str">
        <f t="shared" si="7"/>
        <v>0</v>
      </c>
      <c r="L108" s="2" t="str">
        <f t="shared" si="8"/>
        <v>0</v>
      </c>
      <c r="M108" s="2" t="str">
        <f t="shared" si="9"/>
        <v>0</v>
      </c>
      <c r="N108" s="2" t="str">
        <f t="shared" si="10"/>
        <v>0</v>
      </c>
      <c r="O108" s="2" t="str">
        <f t="shared" si="11"/>
        <v>0</v>
      </c>
      <c r="P108" s="2" t="str">
        <f t="shared" si="12"/>
        <v>0</v>
      </c>
      <c r="Q108" s="2" t="str">
        <f t="shared" si="13"/>
        <v>0</v>
      </c>
      <c r="R108" s="2" t="str">
        <f t="shared" si="14"/>
        <v>0</v>
      </c>
      <c r="S108" s="2" t="str">
        <f t="shared" si="15"/>
        <v>0</v>
      </c>
      <c r="T108" s="2" t="str">
        <f t="shared" si="16"/>
        <v>0</v>
      </c>
    </row>
    <row r="109" spans="5:20" x14ac:dyDescent="0.25">
      <c r="E109" s="2" t="str">
        <f t="shared" si="1"/>
        <v>0</v>
      </c>
      <c r="F109" s="2" t="str">
        <f t="shared" si="2"/>
        <v>0</v>
      </c>
      <c r="G109" s="2" t="str">
        <f t="shared" si="3"/>
        <v>0</v>
      </c>
      <c r="H109" s="2" t="str">
        <f t="shared" si="4"/>
        <v>0</v>
      </c>
      <c r="I109" s="2" t="str">
        <f t="shared" si="5"/>
        <v>0</v>
      </c>
      <c r="J109" s="2" t="str">
        <f t="shared" si="6"/>
        <v>0</v>
      </c>
      <c r="K109" s="2" t="str">
        <f t="shared" si="7"/>
        <v>0</v>
      </c>
      <c r="L109" s="2" t="str">
        <f t="shared" si="8"/>
        <v>0</v>
      </c>
      <c r="M109" s="2" t="str">
        <f t="shared" si="9"/>
        <v>0</v>
      </c>
      <c r="N109" s="2" t="str">
        <f t="shared" si="10"/>
        <v>0</v>
      </c>
      <c r="O109" s="2" t="str">
        <f t="shared" si="11"/>
        <v>0</v>
      </c>
      <c r="P109" s="2" t="str">
        <f t="shared" si="12"/>
        <v>0</v>
      </c>
      <c r="Q109" s="2" t="str">
        <f t="shared" si="13"/>
        <v>0</v>
      </c>
      <c r="R109" s="2" t="str">
        <f t="shared" si="14"/>
        <v>0</v>
      </c>
      <c r="S109" s="2" t="str">
        <f t="shared" si="15"/>
        <v>0</v>
      </c>
      <c r="T109" s="2" t="str">
        <f t="shared" si="16"/>
        <v>0</v>
      </c>
    </row>
    <row r="110" spans="5:20" x14ac:dyDescent="0.25">
      <c r="E110" s="2" t="str">
        <f t="shared" si="1"/>
        <v>0</v>
      </c>
      <c r="F110" s="2" t="str">
        <f t="shared" si="2"/>
        <v>0</v>
      </c>
      <c r="G110" s="2" t="str">
        <f t="shared" si="3"/>
        <v>0</v>
      </c>
      <c r="H110" s="2" t="str">
        <f t="shared" si="4"/>
        <v>0</v>
      </c>
      <c r="I110" s="2" t="str">
        <f t="shared" si="5"/>
        <v>0</v>
      </c>
      <c r="J110" s="2" t="str">
        <f t="shared" si="6"/>
        <v>0</v>
      </c>
      <c r="K110" s="2" t="str">
        <f t="shared" si="7"/>
        <v>0</v>
      </c>
      <c r="L110" s="2" t="str">
        <f t="shared" si="8"/>
        <v>0</v>
      </c>
      <c r="M110" s="2" t="str">
        <f t="shared" si="9"/>
        <v>0</v>
      </c>
      <c r="N110" s="2" t="str">
        <f t="shared" si="10"/>
        <v>0</v>
      </c>
      <c r="O110" s="2" t="str">
        <f t="shared" si="11"/>
        <v>0</v>
      </c>
      <c r="P110" s="2" t="str">
        <f t="shared" si="12"/>
        <v>0</v>
      </c>
      <c r="Q110" s="2" t="str">
        <f t="shared" si="13"/>
        <v>0</v>
      </c>
      <c r="R110" s="2" t="str">
        <f t="shared" si="14"/>
        <v>0</v>
      </c>
      <c r="S110" s="2" t="str">
        <f t="shared" si="15"/>
        <v>0</v>
      </c>
      <c r="T110" s="2" t="str">
        <f t="shared" si="16"/>
        <v>0</v>
      </c>
    </row>
    <row r="111" spans="5:20" x14ac:dyDescent="0.25">
      <c r="E111" s="2" t="str">
        <f t="shared" si="1"/>
        <v>0</v>
      </c>
      <c r="F111" s="2" t="str">
        <f t="shared" si="2"/>
        <v>0</v>
      </c>
      <c r="G111" s="2" t="str">
        <f t="shared" si="3"/>
        <v>0</v>
      </c>
      <c r="H111" s="2" t="str">
        <f t="shared" si="4"/>
        <v>0</v>
      </c>
      <c r="I111" s="2" t="str">
        <f t="shared" si="5"/>
        <v>0</v>
      </c>
      <c r="J111" s="2" t="str">
        <f t="shared" si="6"/>
        <v>0</v>
      </c>
      <c r="K111" s="2" t="str">
        <f t="shared" si="7"/>
        <v>0</v>
      </c>
      <c r="L111" s="2" t="str">
        <f t="shared" si="8"/>
        <v>0</v>
      </c>
      <c r="M111" s="2" t="str">
        <f t="shared" si="9"/>
        <v>0</v>
      </c>
      <c r="N111" s="2" t="str">
        <f t="shared" si="10"/>
        <v>0</v>
      </c>
      <c r="O111" s="2" t="str">
        <f t="shared" si="11"/>
        <v>0</v>
      </c>
      <c r="P111" s="2" t="str">
        <f t="shared" si="12"/>
        <v>0</v>
      </c>
      <c r="Q111" s="2" t="str">
        <f t="shared" si="13"/>
        <v>0</v>
      </c>
      <c r="R111" s="2" t="str">
        <f t="shared" si="14"/>
        <v>0</v>
      </c>
      <c r="S111" s="2" t="str">
        <f t="shared" si="15"/>
        <v>0</v>
      </c>
      <c r="T111" s="2" t="str">
        <f t="shared" si="16"/>
        <v>0</v>
      </c>
    </row>
    <row r="112" spans="5:20" x14ac:dyDescent="0.25">
      <c r="E112" s="2" t="str">
        <f t="shared" si="1"/>
        <v>0</v>
      </c>
      <c r="F112" s="2" t="str">
        <f t="shared" si="2"/>
        <v>0</v>
      </c>
      <c r="G112" s="2" t="str">
        <f t="shared" si="3"/>
        <v>0</v>
      </c>
      <c r="H112" s="2" t="str">
        <f t="shared" si="4"/>
        <v>0</v>
      </c>
      <c r="I112" s="2" t="str">
        <f t="shared" si="5"/>
        <v>0</v>
      </c>
      <c r="J112" s="2" t="str">
        <f t="shared" si="6"/>
        <v>0</v>
      </c>
      <c r="K112" s="2" t="str">
        <f t="shared" si="7"/>
        <v>0</v>
      </c>
      <c r="L112" s="2" t="str">
        <f t="shared" si="8"/>
        <v>0</v>
      </c>
      <c r="M112" s="2" t="str">
        <f t="shared" si="9"/>
        <v>0</v>
      </c>
      <c r="N112" s="2" t="str">
        <f t="shared" si="10"/>
        <v>0</v>
      </c>
      <c r="O112" s="2" t="str">
        <f t="shared" si="11"/>
        <v>0</v>
      </c>
      <c r="P112" s="2" t="str">
        <f t="shared" si="12"/>
        <v>0</v>
      </c>
      <c r="Q112" s="2" t="str">
        <f t="shared" si="13"/>
        <v>0</v>
      </c>
      <c r="R112" s="2" t="str">
        <f t="shared" si="14"/>
        <v>0</v>
      </c>
      <c r="S112" s="2" t="str">
        <f t="shared" si="15"/>
        <v>0</v>
      </c>
      <c r="T112" s="2" t="str">
        <f t="shared" si="16"/>
        <v>0</v>
      </c>
    </row>
    <row r="113" spans="5:20" x14ac:dyDescent="0.25">
      <c r="E113" s="2">
        <f t="shared" ref="E113:T113" si="17">SUM(E61:E112)</f>
        <v>6.3000000000000007</v>
      </c>
      <c r="F113" s="2">
        <f t="shared" si="17"/>
        <v>47.69</v>
      </c>
      <c r="G113" s="2">
        <f t="shared" si="17"/>
        <v>12.93</v>
      </c>
      <c r="H113" s="2">
        <f t="shared" si="17"/>
        <v>19.799999999999997</v>
      </c>
      <c r="I113" s="2">
        <f t="shared" si="17"/>
        <v>0</v>
      </c>
      <c r="J113" s="2">
        <f t="shared" si="17"/>
        <v>64.919999999999987</v>
      </c>
      <c r="K113" s="2">
        <f t="shared" si="17"/>
        <v>0</v>
      </c>
      <c r="L113" s="2">
        <f t="shared" si="17"/>
        <v>0</v>
      </c>
      <c r="M113" s="2">
        <f t="shared" si="17"/>
        <v>64.919999999999987</v>
      </c>
      <c r="N113" s="2">
        <f t="shared" si="17"/>
        <v>0</v>
      </c>
      <c r="O113" s="2">
        <f t="shared" si="17"/>
        <v>0.42</v>
      </c>
      <c r="P113" s="2">
        <f t="shared" si="17"/>
        <v>60.37</v>
      </c>
      <c r="Q113" s="2">
        <f t="shared" si="17"/>
        <v>3.13</v>
      </c>
      <c r="R113" s="2">
        <f t="shared" si="17"/>
        <v>0</v>
      </c>
      <c r="S113" s="2">
        <f t="shared" si="17"/>
        <v>60.79</v>
      </c>
      <c r="T113" s="2">
        <f t="shared" si="17"/>
        <v>3.13</v>
      </c>
    </row>
  </sheetData>
  <mergeCells count="14">
    <mergeCell ref="R5:T5"/>
    <mergeCell ref="U5:U6"/>
    <mergeCell ref="E54:F54"/>
    <mergeCell ref="J2:K2"/>
    <mergeCell ref="O2:S2"/>
    <mergeCell ref="J5:K5"/>
    <mergeCell ref="L5:N5"/>
    <mergeCell ref="O5:Q5"/>
    <mergeCell ref="Q3:R3"/>
    <mergeCell ref="A5:A6"/>
    <mergeCell ref="B5:B6"/>
    <mergeCell ref="C5:C6"/>
    <mergeCell ref="D5:D6"/>
    <mergeCell ref="E5:I5"/>
  </mergeCells>
  <phoneticPr fontId="19" type="noConversion"/>
  <pageMargins left="0.59055118110236227" right="0.51181102362204722" top="0.59055118110236227" bottom="0.59055118110236227" header="0.31496062992125984" footer="0.31496062992125984"/>
  <pageSetup paperSize="9" scale="24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4DA96-B774-4B6F-8E76-DAE666EA8E86}">
  <dimension ref="A1:AP128"/>
  <sheetViews>
    <sheetView view="pageBreakPreview" zoomScale="55" zoomScaleNormal="70" zoomScaleSheetLayoutView="55" workbookViewId="0">
      <selection activeCell="C11" sqref="C11"/>
    </sheetView>
  </sheetViews>
  <sheetFormatPr defaultColWidth="8.85546875" defaultRowHeight="15" x14ac:dyDescent="0.25"/>
  <cols>
    <col min="1" max="1" width="32.42578125" style="1" customWidth="1"/>
    <col min="2" max="2" width="14.42578125" style="1" customWidth="1"/>
    <col min="3" max="3" width="12.28515625" style="1" customWidth="1"/>
    <col min="4" max="4" width="12" style="1" customWidth="1"/>
    <col min="5" max="9" width="11.42578125" style="2" customWidth="1"/>
    <col min="10" max="10" width="10.5703125" style="2" bestFit="1" customWidth="1"/>
    <col min="11" max="11" width="14" style="2" bestFit="1" customWidth="1"/>
    <col min="12" max="13" width="12.42578125" style="2" customWidth="1"/>
    <col min="14" max="14" width="10.42578125" style="2" customWidth="1"/>
    <col min="15" max="17" width="13.5703125" style="1" customWidth="1"/>
    <col min="18" max="20" width="14.42578125" style="1" customWidth="1"/>
    <col min="21" max="21" width="42.42578125" style="1" customWidth="1"/>
    <col min="22" max="16384" width="8.85546875" style="1"/>
  </cols>
  <sheetData>
    <row r="1" spans="1:42" ht="19.5" x14ac:dyDescent="0.3">
      <c r="A1" s="3" t="s">
        <v>112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2" ht="20.25" thickBot="1" x14ac:dyDescent="0.35">
      <c r="A2" s="3"/>
      <c r="B2" s="4"/>
      <c r="C2" s="4"/>
      <c r="D2" s="3" t="s">
        <v>35</v>
      </c>
      <c r="E2" s="5"/>
      <c r="F2" s="5"/>
      <c r="G2" s="5"/>
      <c r="H2" s="5"/>
      <c r="I2" s="6" t="s">
        <v>26</v>
      </c>
      <c r="J2" s="77">
        <f>'202'!J2</f>
        <v>46204</v>
      </c>
      <c r="K2" s="77"/>
      <c r="L2" s="7"/>
      <c r="M2" s="6"/>
      <c r="N2" s="12" t="s">
        <v>27</v>
      </c>
      <c r="O2" s="78" t="str">
        <f>'202'!O2</f>
        <v>ENG. THIAGO TORQUATO</v>
      </c>
      <c r="P2" s="78"/>
      <c r="Q2" s="78"/>
      <c r="R2" s="78"/>
      <c r="S2" s="78"/>
      <c r="T2" s="4"/>
      <c r="U2" s="4"/>
    </row>
    <row r="3" spans="1:42" ht="25.5" x14ac:dyDescent="0.35">
      <c r="A3" s="3" t="s">
        <v>38</v>
      </c>
      <c r="B3" s="31" t="str">
        <f>TT!C9</f>
        <v>RODOVIA TO-181 - TRECHO FAZENDA COBRAPE - ENTR. BR-242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81" t="s">
        <v>111</v>
      </c>
      <c r="R3" s="81"/>
      <c r="S3" s="32">
        <v>11</v>
      </c>
      <c r="T3" s="4"/>
      <c r="U3" s="4"/>
    </row>
    <row r="4" spans="1:42" ht="20.25" thickBot="1" x14ac:dyDescent="0.35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2" s="8" customFormat="1" ht="39" customHeight="1" x14ac:dyDescent="0.25">
      <c r="A5" s="72" t="s">
        <v>0</v>
      </c>
      <c r="B5" s="72" t="s">
        <v>32</v>
      </c>
      <c r="C5" s="79" t="s">
        <v>28</v>
      </c>
      <c r="D5" s="79" t="s">
        <v>29</v>
      </c>
      <c r="E5" s="72" t="s">
        <v>1</v>
      </c>
      <c r="F5" s="72"/>
      <c r="G5" s="72"/>
      <c r="H5" s="72"/>
      <c r="I5" s="72"/>
      <c r="J5" s="72" t="s">
        <v>17</v>
      </c>
      <c r="K5" s="72"/>
      <c r="L5" s="72" t="s">
        <v>31</v>
      </c>
      <c r="M5" s="72"/>
      <c r="N5" s="72"/>
      <c r="O5" s="72" t="s">
        <v>21</v>
      </c>
      <c r="P5" s="72"/>
      <c r="Q5" s="72"/>
      <c r="R5" s="72" t="s">
        <v>24</v>
      </c>
      <c r="S5" s="72"/>
      <c r="T5" s="72"/>
      <c r="U5" s="74" t="s">
        <v>33</v>
      </c>
    </row>
    <row r="6" spans="1:42" s="10" customFormat="1" ht="39" customHeight="1" x14ac:dyDescent="0.25">
      <c r="A6" s="73"/>
      <c r="B6" s="73"/>
      <c r="C6" s="73"/>
      <c r="D6" s="73"/>
      <c r="E6" s="9" t="s">
        <v>2</v>
      </c>
      <c r="F6" s="9" t="s">
        <v>7</v>
      </c>
      <c r="G6" s="9" t="s">
        <v>3</v>
      </c>
      <c r="H6" s="9" t="s">
        <v>4</v>
      </c>
      <c r="I6" s="9" t="s">
        <v>5</v>
      </c>
      <c r="J6" s="9" t="s">
        <v>18</v>
      </c>
      <c r="K6" s="9" t="s">
        <v>34</v>
      </c>
      <c r="L6" s="9" t="s">
        <v>19</v>
      </c>
      <c r="M6" s="9" t="s">
        <v>20</v>
      </c>
      <c r="N6" s="9" t="s">
        <v>30</v>
      </c>
      <c r="O6" s="9" t="s">
        <v>2</v>
      </c>
      <c r="P6" s="9" t="s">
        <v>22</v>
      </c>
      <c r="Q6" s="9" t="s">
        <v>23</v>
      </c>
      <c r="R6" s="9" t="s">
        <v>2</v>
      </c>
      <c r="S6" s="9" t="s">
        <v>25</v>
      </c>
      <c r="T6" s="9" t="s">
        <v>23</v>
      </c>
      <c r="U6" s="75"/>
    </row>
    <row r="7" spans="1:42" ht="36" customHeight="1" x14ac:dyDescent="0.25">
      <c r="A7" s="62" t="s">
        <v>85</v>
      </c>
      <c r="B7" s="62" t="s">
        <v>113</v>
      </c>
      <c r="C7" s="68">
        <v>0</v>
      </c>
      <c r="D7" s="68">
        <v>3</v>
      </c>
      <c r="E7" s="62"/>
      <c r="F7" s="62"/>
      <c r="G7" s="62" t="s">
        <v>114</v>
      </c>
      <c r="H7" s="62"/>
      <c r="I7" s="62"/>
      <c r="J7" s="62" t="s">
        <v>114</v>
      </c>
      <c r="K7" s="62"/>
      <c r="L7" s="62"/>
      <c r="M7" s="62" t="s">
        <v>114</v>
      </c>
      <c r="N7" s="62"/>
      <c r="O7" s="62"/>
      <c r="P7" s="62"/>
      <c r="Q7" s="62" t="s">
        <v>114</v>
      </c>
      <c r="R7" s="62"/>
      <c r="S7" s="62"/>
      <c r="T7" s="62" t="s">
        <v>114</v>
      </c>
      <c r="U7" s="36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36" customHeight="1" x14ac:dyDescent="0.25">
      <c r="A8" s="62"/>
      <c r="B8" s="62"/>
      <c r="C8" s="68">
        <f>D7</f>
        <v>3</v>
      </c>
      <c r="D8" s="68">
        <v>4.5</v>
      </c>
      <c r="E8" s="62"/>
      <c r="F8" s="62" t="s">
        <v>114</v>
      </c>
      <c r="G8" s="62"/>
      <c r="H8" s="62" t="s">
        <v>114</v>
      </c>
      <c r="I8" s="62"/>
      <c r="J8" s="62" t="s">
        <v>114</v>
      </c>
      <c r="K8" s="62"/>
      <c r="L8" s="62"/>
      <c r="M8" s="62" t="s">
        <v>114</v>
      </c>
      <c r="N8" s="62"/>
      <c r="O8" s="62"/>
      <c r="P8" s="62"/>
      <c r="Q8" s="62" t="s">
        <v>114</v>
      </c>
      <c r="R8" s="62"/>
      <c r="S8" s="62"/>
      <c r="T8" s="62" t="s">
        <v>114</v>
      </c>
      <c r="U8" s="36"/>
    </row>
    <row r="9" spans="1:42" ht="36" customHeight="1" x14ac:dyDescent="0.25">
      <c r="A9" s="33"/>
      <c r="B9" s="62"/>
      <c r="C9" s="68">
        <f t="shared" ref="C9:C15" si="0">D8</f>
        <v>4.5</v>
      </c>
      <c r="D9" s="68">
        <v>6</v>
      </c>
      <c r="E9" s="62"/>
      <c r="F9" s="62"/>
      <c r="G9" s="62" t="s">
        <v>114</v>
      </c>
      <c r="H9" s="62" t="s">
        <v>114</v>
      </c>
      <c r="I9" s="62"/>
      <c r="J9" s="62" t="s">
        <v>114</v>
      </c>
      <c r="K9" s="62"/>
      <c r="L9" s="62"/>
      <c r="M9" s="62" t="s">
        <v>114</v>
      </c>
      <c r="N9" s="62"/>
      <c r="O9" s="62"/>
      <c r="P9" s="62"/>
      <c r="Q9" s="62" t="s">
        <v>114</v>
      </c>
      <c r="R9" s="62"/>
      <c r="S9" s="62"/>
      <c r="T9" s="62" t="s">
        <v>114</v>
      </c>
      <c r="U9" s="36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2" ht="36" customHeight="1" x14ac:dyDescent="0.25">
      <c r="A10" s="33"/>
      <c r="B10" s="62"/>
      <c r="C10" s="68">
        <f t="shared" si="0"/>
        <v>6</v>
      </c>
      <c r="D10" s="68">
        <v>8.5</v>
      </c>
      <c r="E10" s="62"/>
      <c r="F10" s="62" t="s">
        <v>114</v>
      </c>
      <c r="G10" s="62"/>
      <c r="H10" s="62" t="s">
        <v>114</v>
      </c>
      <c r="I10" s="62"/>
      <c r="J10" s="62" t="s">
        <v>114</v>
      </c>
      <c r="K10" s="62"/>
      <c r="L10" s="62"/>
      <c r="M10" s="62" t="s">
        <v>114</v>
      </c>
      <c r="N10" s="62"/>
      <c r="O10" s="62"/>
      <c r="P10" s="62"/>
      <c r="Q10" s="62" t="s">
        <v>114</v>
      </c>
      <c r="R10" s="62"/>
      <c r="S10" s="62"/>
      <c r="T10" s="62" t="s">
        <v>114</v>
      </c>
      <c r="U10" s="36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2" ht="36" customHeight="1" x14ac:dyDescent="0.25">
      <c r="A11" s="62" t="s">
        <v>87</v>
      </c>
      <c r="B11" s="62" t="s">
        <v>113</v>
      </c>
      <c r="C11" s="68">
        <f t="shared" si="0"/>
        <v>8.5</v>
      </c>
      <c r="D11" s="68">
        <v>10.5</v>
      </c>
      <c r="E11" s="62"/>
      <c r="F11" s="62"/>
      <c r="G11" s="62" t="s">
        <v>114</v>
      </c>
      <c r="H11" s="62"/>
      <c r="I11" s="62"/>
      <c r="J11" s="62" t="s">
        <v>114</v>
      </c>
      <c r="K11" s="62"/>
      <c r="L11" s="62"/>
      <c r="M11" s="62" t="s">
        <v>114</v>
      </c>
      <c r="N11" s="62"/>
      <c r="O11" s="62"/>
      <c r="P11" s="62" t="s">
        <v>114</v>
      </c>
      <c r="Q11" s="62"/>
      <c r="R11" s="62"/>
      <c r="S11" s="62"/>
      <c r="T11" s="62" t="s">
        <v>114</v>
      </c>
      <c r="U11" s="36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2" ht="36" customHeight="1" x14ac:dyDescent="0.25">
      <c r="A12" s="33"/>
      <c r="B12" s="33"/>
      <c r="C12" s="68">
        <f t="shared" si="0"/>
        <v>10.5</v>
      </c>
      <c r="D12" s="68">
        <v>12</v>
      </c>
      <c r="E12" s="62"/>
      <c r="F12" s="62" t="s">
        <v>114</v>
      </c>
      <c r="G12" s="62"/>
      <c r="H12" s="62"/>
      <c r="I12" s="62"/>
      <c r="J12" s="62" t="s">
        <v>114</v>
      </c>
      <c r="K12" s="62"/>
      <c r="L12" s="62"/>
      <c r="M12" s="62" t="s">
        <v>114</v>
      </c>
      <c r="N12" s="62"/>
      <c r="O12" s="62"/>
      <c r="P12" s="62" t="s">
        <v>114</v>
      </c>
      <c r="Q12" s="62"/>
      <c r="R12" s="62"/>
      <c r="S12" s="62"/>
      <c r="T12" s="62" t="s">
        <v>114</v>
      </c>
      <c r="U12" s="36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2" ht="36" customHeight="1" x14ac:dyDescent="0.25">
      <c r="A13" s="33"/>
      <c r="B13" s="33"/>
      <c r="C13" s="68">
        <f t="shared" si="0"/>
        <v>12</v>
      </c>
      <c r="D13" s="68">
        <v>16</v>
      </c>
      <c r="E13" s="62"/>
      <c r="F13" s="62"/>
      <c r="G13" s="62" t="s">
        <v>114</v>
      </c>
      <c r="H13" s="62"/>
      <c r="I13" s="62" t="s">
        <v>114</v>
      </c>
      <c r="J13" s="62" t="s">
        <v>114</v>
      </c>
      <c r="K13" s="62"/>
      <c r="L13" s="62"/>
      <c r="M13" s="62" t="s">
        <v>114</v>
      </c>
      <c r="N13" s="62"/>
      <c r="O13" s="62"/>
      <c r="P13" s="62" t="s">
        <v>114</v>
      </c>
      <c r="Q13" s="62"/>
      <c r="R13" s="62"/>
      <c r="S13" s="62"/>
      <c r="T13" s="62" t="s">
        <v>114</v>
      </c>
      <c r="U13" s="36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2" ht="36" customHeight="1" x14ac:dyDescent="0.25">
      <c r="A14" s="33"/>
      <c r="B14" s="33"/>
      <c r="C14" s="68">
        <f t="shared" si="0"/>
        <v>16</v>
      </c>
      <c r="D14" s="68">
        <v>17</v>
      </c>
      <c r="E14" s="62"/>
      <c r="F14" s="62"/>
      <c r="G14" s="62" t="s">
        <v>114</v>
      </c>
      <c r="H14" s="62"/>
      <c r="I14" s="62"/>
      <c r="J14" s="62" t="s">
        <v>114</v>
      </c>
      <c r="K14" s="62"/>
      <c r="L14" s="62" t="s">
        <v>114</v>
      </c>
      <c r="M14" s="62"/>
      <c r="N14" s="62"/>
      <c r="O14" s="62"/>
      <c r="P14" s="62" t="s">
        <v>114</v>
      </c>
      <c r="Q14" s="62"/>
      <c r="R14" s="62"/>
      <c r="S14" s="62"/>
      <c r="T14" s="62" t="s">
        <v>114</v>
      </c>
      <c r="U14" s="36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2" ht="36" customHeight="1" x14ac:dyDescent="0.25">
      <c r="A15" s="34"/>
      <c r="B15" s="34"/>
      <c r="C15" s="68">
        <f t="shared" si="0"/>
        <v>17</v>
      </c>
      <c r="D15" s="68">
        <v>18.309999999999999</v>
      </c>
      <c r="E15" s="62"/>
      <c r="F15" s="62"/>
      <c r="G15" s="62" t="s">
        <v>114</v>
      </c>
      <c r="H15" s="62"/>
      <c r="I15" s="62"/>
      <c r="J15" s="62" t="s">
        <v>114</v>
      </c>
      <c r="K15" s="62"/>
      <c r="L15" s="62" t="s">
        <v>114</v>
      </c>
      <c r="M15" s="62"/>
      <c r="N15" s="62"/>
      <c r="O15" s="62"/>
      <c r="P15" s="62" t="s">
        <v>114</v>
      </c>
      <c r="Q15" s="62"/>
      <c r="R15" s="62"/>
      <c r="S15" s="62"/>
      <c r="T15" s="62" t="s">
        <v>114</v>
      </c>
      <c r="U15" s="36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2" ht="36" customHeight="1" x14ac:dyDescent="0.25">
      <c r="A16" s="62" t="s">
        <v>87</v>
      </c>
      <c r="B16" s="62" t="s">
        <v>113</v>
      </c>
      <c r="C16" s="68">
        <v>0</v>
      </c>
      <c r="D16" s="68">
        <v>6.6</v>
      </c>
      <c r="E16" s="62"/>
      <c r="F16" s="62"/>
      <c r="G16" s="62" t="s">
        <v>114</v>
      </c>
      <c r="H16" s="62"/>
      <c r="I16" s="62"/>
      <c r="J16" s="62" t="s">
        <v>114</v>
      </c>
      <c r="K16" s="62"/>
      <c r="L16" s="62" t="s">
        <v>114</v>
      </c>
      <c r="M16" s="62"/>
      <c r="N16" s="62"/>
      <c r="O16" s="62"/>
      <c r="P16" s="62" t="s">
        <v>114</v>
      </c>
      <c r="Q16" s="62"/>
      <c r="R16" s="62"/>
      <c r="S16" s="62"/>
      <c r="T16" s="62" t="s">
        <v>114</v>
      </c>
      <c r="U16" s="36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34"/>
      <c r="B17" s="34"/>
      <c r="C17" s="68">
        <f>D16</f>
        <v>6.6</v>
      </c>
      <c r="D17" s="68">
        <v>17.36</v>
      </c>
      <c r="E17" s="62"/>
      <c r="F17" s="62"/>
      <c r="G17" s="62" t="s">
        <v>114</v>
      </c>
      <c r="H17" s="62"/>
      <c r="I17" s="62"/>
      <c r="J17" s="62" t="s">
        <v>114</v>
      </c>
      <c r="K17" s="62"/>
      <c r="L17" s="62" t="s">
        <v>114</v>
      </c>
      <c r="M17" s="62"/>
      <c r="N17" s="62"/>
      <c r="O17" s="62"/>
      <c r="P17" s="62" t="s">
        <v>114</v>
      </c>
      <c r="Q17" s="62"/>
      <c r="R17" s="62"/>
      <c r="S17" s="62"/>
      <c r="T17" s="62" t="s">
        <v>114</v>
      </c>
      <c r="U17" s="36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34"/>
      <c r="B18" s="34"/>
      <c r="C18" s="68"/>
      <c r="D18" s="68"/>
      <c r="E18" s="62"/>
      <c r="F18" s="62"/>
      <c r="G18" s="62"/>
      <c r="H18" s="62"/>
      <c r="I18" s="62"/>
      <c r="J18" s="62"/>
      <c r="K18" s="62"/>
      <c r="L18" s="62" t="s">
        <v>114</v>
      </c>
      <c r="M18" s="62"/>
      <c r="N18" s="62"/>
      <c r="O18" s="62"/>
      <c r="P18" s="62"/>
      <c r="Q18" s="62"/>
      <c r="R18" s="62"/>
      <c r="S18" s="62"/>
      <c r="T18" s="62"/>
      <c r="U18" s="36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34"/>
      <c r="B19" s="34"/>
      <c r="C19" s="68"/>
      <c r="D19" s="68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36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34"/>
      <c r="B20" s="34"/>
      <c r="C20" s="68"/>
      <c r="D20" s="68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36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34"/>
      <c r="B21" s="34"/>
      <c r="C21" s="68"/>
      <c r="D21" s="68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36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34"/>
      <c r="B22" s="34"/>
      <c r="C22" s="68"/>
      <c r="D22" s="68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36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34"/>
      <c r="B23" s="34"/>
      <c r="C23" s="68"/>
      <c r="D23" s="68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36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34"/>
      <c r="B24" s="34"/>
      <c r="C24" s="68"/>
      <c r="D24" s="68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36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34"/>
      <c r="B25" s="34"/>
      <c r="C25" s="68"/>
      <c r="D25" s="68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36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34"/>
      <c r="B26" s="34"/>
      <c r="C26" s="68"/>
      <c r="D26" s="68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6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34"/>
      <c r="B27" s="34"/>
      <c r="C27" s="68"/>
      <c r="D27" s="68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6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34"/>
      <c r="B28" s="34"/>
      <c r="C28" s="68"/>
      <c r="D28" s="68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6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34"/>
      <c r="B29" s="34"/>
      <c r="C29" s="68"/>
      <c r="D29" s="68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6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37"/>
      <c r="B30" s="37"/>
      <c r="C30" s="38"/>
      <c r="D30" s="3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9"/>
    </row>
    <row r="32" spans="1:40" ht="19.5" x14ac:dyDescent="0.3">
      <c r="A32" s="4" t="s">
        <v>6</v>
      </c>
      <c r="B32" s="11" t="s">
        <v>1</v>
      </c>
      <c r="C32" s="5"/>
      <c r="D32" s="5"/>
      <c r="E32" s="76"/>
      <c r="F32" s="76"/>
    </row>
    <row r="33" spans="1:20" ht="19.5" x14ac:dyDescent="0.3">
      <c r="A33" s="4" t="s">
        <v>8</v>
      </c>
      <c r="B33" s="4" t="s">
        <v>9</v>
      </c>
      <c r="E33" s="4" t="s">
        <v>13</v>
      </c>
      <c r="F33" s="4"/>
      <c r="G33" s="4"/>
      <c r="I33" s="4" t="s">
        <v>4</v>
      </c>
      <c r="J33" s="4" t="s">
        <v>11</v>
      </c>
      <c r="K33" s="1"/>
      <c r="L33" s="1"/>
      <c r="M33" s="4" t="s">
        <v>15</v>
      </c>
      <c r="N33" s="4"/>
      <c r="O33" s="4"/>
    </row>
    <row r="34" spans="1:20" ht="19.5" x14ac:dyDescent="0.3">
      <c r="A34" s="4" t="s">
        <v>3</v>
      </c>
      <c r="B34" s="4" t="s">
        <v>10</v>
      </c>
      <c r="E34" s="4" t="s">
        <v>14</v>
      </c>
      <c r="F34" s="4"/>
      <c r="G34" s="4"/>
      <c r="I34" s="4" t="s">
        <v>5</v>
      </c>
      <c r="J34" s="4" t="s">
        <v>12</v>
      </c>
      <c r="K34" s="1"/>
      <c r="L34" s="1"/>
      <c r="M34" s="4" t="s">
        <v>16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 t="shared" ref="E39:E45" si="1">IF(E7="X",(D7-C7),"0")</f>
        <v>0</v>
      </c>
      <c r="F39" s="2" t="str">
        <f t="shared" ref="F39:F45" si="2">IF(F7="X",(D7-C7),"0")</f>
        <v>0</v>
      </c>
      <c r="G39" s="2">
        <f t="shared" ref="G39:G46" si="3">IF(G7="X",(D7-C7),"0")</f>
        <v>3</v>
      </c>
      <c r="H39" s="2" t="str">
        <f t="shared" ref="H39:H46" si="4">IF(H7="X",(D7-C7),"0")</f>
        <v>0</v>
      </c>
      <c r="I39" s="2" t="str">
        <f t="shared" ref="I39:I46" si="5">IF(I7="X",(D7-C7),"0")</f>
        <v>0</v>
      </c>
      <c r="J39" s="2">
        <f t="shared" ref="J39:J49" si="6">IF(J7="X",(D7-C7),"0")</f>
        <v>3</v>
      </c>
      <c r="K39" s="2" t="str">
        <f t="shared" ref="K39:K49" si="7">IF(K7="X",(D7-C7),"0")</f>
        <v>0</v>
      </c>
      <c r="L39" s="2" t="str">
        <f t="shared" ref="L39:L46" si="8">IF(L7="X",(D7-C7),"0")</f>
        <v>0</v>
      </c>
      <c r="M39" s="2">
        <f t="shared" ref="M39:M46" si="9">IF(M7="X",(D7-C7),"0")</f>
        <v>3</v>
      </c>
      <c r="N39" s="2" t="str">
        <f t="shared" ref="N39:N46" si="10">IF(N7="X",(D7-C7),"0")</f>
        <v>0</v>
      </c>
      <c r="O39" s="2" t="str">
        <f t="shared" ref="O39:O46" si="11">IF(O7="X",(D7-C7),"0")</f>
        <v>0</v>
      </c>
      <c r="P39" s="2" t="str">
        <f t="shared" ref="P39:P46" si="12">IF(P7="X",(D7-C7),"0")</f>
        <v>0</v>
      </c>
      <c r="Q39" s="2">
        <f t="shared" ref="Q39:Q46" si="13">IF(Q7="X",(D7-C7),"0")</f>
        <v>3</v>
      </c>
      <c r="R39" s="2" t="str">
        <f>IF(R7="X",(D7-C7),"0")</f>
        <v>0</v>
      </c>
      <c r="S39" s="2" t="str">
        <f>IF(S7="X",(D7-C7),"0")</f>
        <v>0</v>
      </c>
      <c r="T39" s="2">
        <f>IF(T7="X",(D7-C7),"0")</f>
        <v>3</v>
      </c>
    </row>
    <row r="40" spans="1:20" x14ac:dyDescent="0.25">
      <c r="E40" s="2" t="str">
        <f t="shared" si="1"/>
        <v>0</v>
      </c>
      <c r="F40" s="2">
        <f t="shared" si="2"/>
        <v>1.5</v>
      </c>
      <c r="G40" s="2" t="str">
        <f t="shared" si="3"/>
        <v>0</v>
      </c>
      <c r="H40" s="2">
        <f t="shared" si="4"/>
        <v>1.5</v>
      </c>
      <c r="I40" s="2" t="str">
        <f t="shared" si="5"/>
        <v>0</v>
      </c>
      <c r="J40" s="2">
        <f t="shared" si="6"/>
        <v>1.5</v>
      </c>
      <c r="K40" s="2" t="str">
        <f t="shared" si="7"/>
        <v>0</v>
      </c>
      <c r="L40" s="2" t="str">
        <f t="shared" si="8"/>
        <v>0</v>
      </c>
      <c r="M40" s="2">
        <f t="shared" si="9"/>
        <v>1.5</v>
      </c>
      <c r="N40" s="2" t="str">
        <f t="shared" si="10"/>
        <v>0</v>
      </c>
      <c r="O40" s="2" t="str">
        <f t="shared" si="11"/>
        <v>0</v>
      </c>
      <c r="P40" s="2" t="str">
        <f t="shared" si="12"/>
        <v>0</v>
      </c>
      <c r="Q40" s="2">
        <f t="shared" si="13"/>
        <v>1.5</v>
      </c>
      <c r="R40" s="2" t="str">
        <f t="shared" ref="R40:R59" si="14">IF(R8="X",(D8-C8),"0")</f>
        <v>0</v>
      </c>
      <c r="S40" s="2" t="str">
        <f t="shared" ref="S40:S59" si="15">IF(S8="X",(D8-C8),"0")</f>
        <v>0</v>
      </c>
      <c r="T40" s="2">
        <f t="shared" ref="T40:T59" si="16">IF(T8="X",(D8-C8),"0")</f>
        <v>1.5</v>
      </c>
    </row>
    <row r="41" spans="1:20" x14ac:dyDescent="0.25">
      <c r="E41" s="2" t="str">
        <f t="shared" si="1"/>
        <v>0</v>
      </c>
      <c r="F41" s="2" t="str">
        <f t="shared" si="2"/>
        <v>0</v>
      </c>
      <c r="G41" s="2">
        <f t="shared" si="3"/>
        <v>1.5</v>
      </c>
      <c r="H41" s="2">
        <f t="shared" si="4"/>
        <v>1.5</v>
      </c>
      <c r="I41" s="2" t="str">
        <f t="shared" si="5"/>
        <v>0</v>
      </c>
      <c r="J41" s="2">
        <f t="shared" si="6"/>
        <v>1.5</v>
      </c>
      <c r="K41" s="2" t="str">
        <f t="shared" si="7"/>
        <v>0</v>
      </c>
      <c r="L41" s="2" t="str">
        <f t="shared" si="8"/>
        <v>0</v>
      </c>
      <c r="M41" s="2">
        <f t="shared" si="9"/>
        <v>1.5</v>
      </c>
      <c r="N41" s="2" t="str">
        <f t="shared" si="10"/>
        <v>0</v>
      </c>
      <c r="O41" s="2" t="str">
        <f t="shared" si="11"/>
        <v>0</v>
      </c>
      <c r="P41" s="2" t="str">
        <f t="shared" si="12"/>
        <v>0</v>
      </c>
      <c r="Q41" s="2">
        <f t="shared" si="13"/>
        <v>1.5</v>
      </c>
      <c r="R41" s="2" t="str">
        <f t="shared" si="14"/>
        <v>0</v>
      </c>
      <c r="S41" s="2" t="str">
        <f t="shared" si="15"/>
        <v>0</v>
      </c>
      <c r="T41" s="2">
        <f t="shared" si="16"/>
        <v>1.5</v>
      </c>
    </row>
    <row r="42" spans="1:20" x14ac:dyDescent="0.25">
      <c r="E42" s="2" t="str">
        <f t="shared" si="1"/>
        <v>0</v>
      </c>
      <c r="F42" s="2">
        <f t="shared" si="2"/>
        <v>2.5</v>
      </c>
      <c r="G42" s="2" t="str">
        <f t="shared" si="3"/>
        <v>0</v>
      </c>
      <c r="H42" s="2">
        <f t="shared" si="4"/>
        <v>2.5</v>
      </c>
      <c r="I42" s="2" t="str">
        <f t="shared" si="5"/>
        <v>0</v>
      </c>
      <c r="J42" s="2">
        <f t="shared" si="6"/>
        <v>2.5</v>
      </c>
      <c r="K42" s="2" t="str">
        <f t="shared" si="7"/>
        <v>0</v>
      </c>
      <c r="L42" s="2" t="str">
        <f t="shared" si="8"/>
        <v>0</v>
      </c>
      <c r="M42" s="2">
        <f t="shared" si="9"/>
        <v>2.5</v>
      </c>
      <c r="N42" s="2" t="str">
        <f t="shared" si="10"/>
        <v>0</v>
      </c>
      <c r="O42" s="2" t="str">
        <f t="shared" si="11"/>
        <v>0</v>
      </c>
      <c r="P42" s="2" t="str">
        <f t="shared" si="12"/>
        <v>0</v>
      </c>
      <c r="Q42" s="2">
        <f t="shared" si="13"/>
        <v>2.5</v>
      </c>
      <c r="R42" s="2" t="str">
        <f t="shared" si="14"/>
        <v>0</v>
      </c>
      <c r="S42" s="2" t="str">
        <f t="shared" si="15"/>
        <v>0</v>
      </c>
      <c r="T42" s="2">
        <f t="shared" si="16"/>
        <v>2.5</v>
      </c>
    </row>
    <row r="43" spans="1:20" x14ac:dyDescent="0.25">
      <c r="E43" s="2" t="str">
        <f t="shared" si="1"/>
        <v>0</v>
      </c>
      <c r="F43" s="2" t="str">
        <f t="shared" si="2"/>
        <v>0</v>
      </c>
      <c r="G43" s="2">
        <f t="shared" si="3"/>
        <v>2</v>
      </c>
      <c r="H43" s="2" t="str">
        <f t="shared" si="4"/>
        <v>0</v>
      </c>
      <c r="I43" s="2" t="str">
        <f t="shared" si="5"/>
        <v>0</v>
      </c>
      <c r="J43" s="2">
        <f t="shared" si="6"/>
        <v>2</v>
      </c>
      <c r="K43" s="2" t="str">
        <f t="shared" si="7"/>
        <v>0</v>
      </c>
      <c r="L43" s="2" t="str">
        <f t="shared" si="8"/>
        <v>0</v>
      </c>
      <c r="M43" s="2">
        <f t="shared" si="9"/>
        <v>2</v>
      </c>
      <c r="N43" s="2" t="str">
        <f t="shared" si="10"/>
        <v>0</v>
      </c>
      <c r="O43" s="2" t="str">
        <f t="shared" si="11"/>
        <v>0</v>
      </c>
      <c r="P43" s="2">
        <f t="shared" si="12"/>
        <v>2</v>
      </c>
      <c r="Q43" s="2" t="str">
        <f t="shared" si="13"/>
        <v>0</v>
      </c>
      <c r="R43" s="2" t="str">
        <f t="shared" si="14"/>
        <v>0</v>
      </c>
      <c r="S43" s="2" t="str">
        <f t="shared" si="15"/>
        <v>0</v>
      </c>
      <c r="T43" s="2">
        <f t="shared" si="16"/>
        <v>2</v>
      </c>
    </row>
    <row r="44" spans="1:20" x14ac:dyDescent="0.25">
      <c r="E44" s="2" t="str">
        <f t="shared" si="1"/>
        <v>0</v>
      </c>
      <c r="F44" s="2">
        <f t="shared" si="2"/>
        <v>1.5</v>
      </c>
      <c r="G44" s="2" t="str">
        <f t="shared" si="3"/>
        <v>0</v>
      </c>
      <c r="H44" s="2" t="str">
        <f t="shared" si="4"/>
        <v>0</v>
      </c>
      <c r="I44" s="2" t="str">
        <f t="shared" si="5"/>
        <v>0</v>
      </c>
      <c r="J44" s="2">
        <f t="shared" si="6"/>
        <v>1.5</v>
      </c>
      <c r="K44" s="2" t="str">
        <f t="shared" si="7"/>
        <v>0</v>
      </c>
      <c r="L44" s="2" t="str">
        <f t="shared" si="8"/>
        <v>0</v>
      </c>
      <c r="M44" s="2">
        <f t="shared" si="9"/>
        <v>1.5</v>
      </c>
      <c r="N44" s="2" t="str">
        <f t="shared" si="10"/>
        <v>0</v>
      </c>
      <c r="O44" s="2" t="str">
        <f t="shared" si="11"/>
        <v>0</v>
      </c>
      <c r="P44" s="2">
        <f t="shared" si="12"/>
        <v>1.5</v>
      </c>
      <c r="Q44" s="2" t="str">
        <f t="shared" si="13"/>
        <v>0</v>
      </c>
      <c r="R44" s="2" t="str">
        <f t="shared" si="14"/>
        <v>0</v>
      </c>
      <c r="S44" s="2" t="str">
        <f t="shared" si="15"/>
        <v>0</v>
      </c>
      <c r="T44" s="2">
        <f t="shared" si="16"/>
        <v>1.5</v>
      </c>
    </row>
    <row r="45" spans="1:20" x14ac:dyDescent="0.25">
      <c r="E45" s="2" t="str">
        <f t="shared" si="1"/>
        <v>0</v>
      </c>
      <c r="F45" s="2" t="str">
        <f t="shared" si="2"/>
        <v>0</v>
      </c>
      <c r="G45" s="2">
        <f t="shared" si="3"/>
        <v>4</v>
      </c>
      <c r="H45" s="2" t="str">
        <f t="shared" si="4"/>
        <v>0</v>
      </c>
      <c r="I45" s="2">
        <f t="shared" si="5"/>
        <v>4</v>
      </c>
      <c r="J45" s="2">
        <f t="shared" si="6"/>
        <v>4</v>
      </c>
      <c r="K45" s="2" t="str">
        <f t="shared" si="7"/>
        <v>0</v>
      </c>
      <c r="L45" s="2" t="str">
        <f t="shared" si="8"/>
        <v>0</v>
      </c>
      <c r="M45" s="2">
        <f t="shared" si="9"/>
        <v>4</v>
      </c>
      <c r="N45" s="2" t="str">
        <f t="shared" si="10"/>
        <v>0</v>
      </c>
      <c r="O45" s="2" t="str">
        <f t="shared" si="11"/>
        <v>0</v>
      </c>
      <c r="P45" s="2">
        <f t="shared" si="12"/>
        <v>4</v>
      </c>
      <c r="Q45" s="2" t="str">
        <f t="shared" si="13"/>
        <v>0</v>
      </c>
      <c r="R45" s="2" t="str">
        <f t="shared" si="14"/>
        <v>0</v>
      </c>
      <c r="S45" s="2" t="str">
        <f t="shared" si="15"/>
        <v>0</v>
      </c>
      <c r="T45" s="2">
        <f t="shared" si="16"/>
        <v>4</v>
      </c>
    </row>
    <row r="46" spans="1:20" x14ac:dyDescent="0.25">
      <c r="E46" s="2" t="str">
        <f t="shared" ref="E46:E59" si="17">IF(E14="X",(D14-C14),"0")</f>
        <v>0</v>
      </c>
      <c r="F46" s="2" t="str">
        <f t="shared" ref="F46:F59" si="18">IF(F14="X",(D14-C14),"0")</f>
        <v>0</v>
      </c>
      <c r="G46" s="2">
        <f t="shared" si="3"/>
        <v>1</v>
      </c>
      <c r="H46" s="2" t="str">
        <f t="shared" si="4"/>
        <v>0</v>
      </c>
      <c r="I46" s="2" t="str">
        <f t="shared" si="5"/>
        <v>0</v>
      </c>
      <c r="J46" s="2">
        <f t="shared" si="6"/>
        <v>1</v>
      </c>
      <c r="K46" s="2" t="str">
        <f t="shared" si="7"/>
        <v>0</v>
      </c>
      <c r="L46" s="2">
        <f t="shared" si="8"/>
        <v>1</v>
      </c>
      <c r="M46" s="2" t="str">
        <f t="shared" si="9"/>
        <v>0</v>
      </c>
      <c r="N46" s="2" t="str">
        <f t="shared" si="10"/>
        <v>0</v>
      </c>
      <c r="O46" s="2" t="str">
        <f t="shared" si="11"/>
        <v>0</v>
      </c>
      <c r="P46" s="2">
        <f t="shared" si="12"/>
        <v>1</v>
      </c>
      <c r="Q46" s="2" t="str">
        <f t="shared" si="13"/>
        <v>0</v>
      </c>
      <c r="R46" s="2" t="str">
        <f t="shared" si="14"/>
        <v>0</v>
      </c>
      <c r="S46" s="2" t="str">
        <f t="shared" si="15"/>
        <v>0</v>
      </c>
      <c r="T46" s="2">
        <f t="shared" si="16"/>
        <v>1</v>
      </c>
    </row>
    <row r="47" spans="1:20" x14ac:dyDescent="0.25">
      <c r="E47" s="2" t="str">
        <f t="shared" si="17"/>
        <v>0</v>
      </c>
      <c r="F47" s="2" t="str">
        <f t="shared" si="18"/>
        <v>0</v>
      </c>
      <c r="G47" s="2">
        <f t="shared" ref="G47:G59" si="19">IF(G15="X",(D15-C15),"0")</f>
        <v>1.3099999999999987</v>
      </c>
      <c r="H47" s="2" t="str">
        <f t="shared" ref="H47:H59" si="20">IF(H15="X",(D15-C15),"0")</f>
        <v>0</v>
      </c>
      <c r="I47" s="2" t="str">
        <f t="shared" ref="I47:I59" si="21">IF(I15="X",(D15-C15),"0")</f>
        <v>0</v>
      </c>
      <c r="J47" s="2">
        <f t="shared" si="6"/>
        <v>1.3099999999999987</v>
      </c>
      <c r="K47" s="2" t="str">
        <f t="shared" si="7"/>
        <v>0</v>
      </c>
      <c r="L47" s="2">
        <f t="shared" ref="L47:L59" si="22">IF(L15="X",(D15-C15),"0")</f>
        <v>1.3099999999999987</v>
      </c>
      <c r="M47" s="2" t="str">
        <f t="shared" ref="M47:M59" si="23">IF(M15="X",(D15-C15),"0")</f>
        <v>0</v>
      </c>
      <c r="N47" s="2" t="str">
        <f t="shared" ref="N47:N59" si="24">IF(N15="X",(D15-C15),"0")</f>
        <v>0</v>
      </c>
      <c r="O47" s="2" t="str">
        <f t="shared" ref="O47:O59" si="25">IF(O15="X",(D15-C15),"0")</f>
        <v>0</v>
      </c>
      <c r="P47" s="2">
        <f t="shared" ref="P47:P59" si="26">IF(P15="X",(D15-C15),"0")</f>
        <v>1.3099999999999987</v>
      </c>
      <c r="Q47" s="2" t="str">
        <f t="shared" ref="Q47:Q59" si="27">IF(Q15="X",(D15-C15),"0")</f>
        <v>0</v>
      </c>
      <c r="R47" s="2" t="str">
        <f t="shared" si="14"/>
        <v>0</v>
      </c>
      <c r="S47" s="2" t="str">
        <f t="shared" si="15"/>
        <v>0</v>
      </c>
      <c r="T47" s="2">
        <f t="shared" si="16"/>
        <v>1.3099999999999987</v>
      </c>
    </row>
    <row r="48" spans="1:20" x14ac:dyDescent="0.25">
      <c r="E48" s="2" t="str">
        <f t="shared" si="17"/>
        <v>0</v>
      </c>
      <c r="F48" s="2" t="str">
        <f t="shared" si="18"/>
        <v>0</v>
      </c>
      <c r="G48" s="2">
        <f t="shared" si="19"/>
        <v>6.6</v>
      </c>
      <c r="H48" s="2" t="str">
        <f t="shared" si="20"/>
        <v>0</v>
      </c>
      <c r="I48" s="2" t="str">
        <f t="shared" si="21"/>
        <v>0</v>
      </c>
      <c r="J48" s="2">
        <f t="shared" si="6"/>
        <v>6.6</v>
      </c>
      <c r="K48" s="2" t="str">
        <f t="shared" si="7"/>
        <v>0</v>
      </c>
      <c r="L48" s="2">
        <f t="shared" si="22"/>
        <v>6.6</v>
      </c>
      <c r="M48" s="2" t="str">
        <f t="shared" si="23"/>
        <v>0</v>
      </c>
      <c r="N48" s="2" t="str">
        <f t="shared" si="24"/>
        <v>0</v>
      </c>
      <c r="O48" s="2" t="str">
        <f t="shared" si="25"/>
        <v>0</v>
      </c>
      <c r="P48" s="2">
        <f t="shared" si="26"/>
        <v>6.6</v>
      </c>
      <c r="Q48" s="2" t="str">
        <f t="shared" si="27"/>
        <v>0</v>
      </c>
      <c r="R48" s="2" t="str">
        <f t="shared" si="14"/>
        <v>0</v>
      </c>
      <c r="S48" s="2" t="str">
        <f t="shared" si="15"/>
        <v>0</v>
      </c>
      <c r="T48" s="2">
        <f t="shared" si="16"/>
        <v>6.6</v>
      </c>
    </row>
    <row r="49" spans="5:20" x14ac:dyDescent="0.25">
      <c r="E49" s="2" t="str">
        <f t="shared" si="17"/>
        <v>0</v>
      </c>
      <c r="F49" s="2" t="str">
        <f t="shared" si="18"/>
        <v>0</v>
      </c>
      <c r="G49" s="2">
        <f t="shared" si="19"/>
        <v>10.76</v>
      </c>
      <c r="H49" s="2" t="str">
        <f t="shared" si="20"/>
        <v>0</v>
      </c>
      <c r="I49" s="2" t="str">
        <f t="shared" si="21"/>
        <v>0</v>
      </c>
      <c r="J49" s="2">
        <f t="shared" si="6"/>
        <v>10.76</v>
      </c>
      <c r="K49" s="2" t="str">
        <f t="shared" si="7"/>
        <v>0</v>
      </c>
      <c r="L49" s="2">
        <f t="shared" si="22"/>
        <v>10.76</v>
      </c>
      <c r="M49" s="2" t="str">
        <f t="shared" si="23"/>
        <v>0</v>
      </c>
      <c r="N49" s="2" t="str">
        <f t="shared" si="24"/>
        <v>0</v>
      </c>
      <c r="O49" s="2" t="str">
        <f t="shared" si="25"/>
        <v>0</v>
      </c>
      <c r="P49" s="2">
        <f t="shared" si="26"/>
        <v>10.76</v>
      </c>
      <c r="Q49" s="2" t="str">
        <f t="shared" si="27"/>
        <v>0</v>
      </c>
      <c r="R49" s="2" t="str">
        <f t="shared" si="14"/>
        <v>0</v>
      </c>
      <c r="S49" s="2" t="str">
        <f t="shared" si="15"/>
        <v>0</v>
      </c>
      <c r="T49" s="2">
        <f t="shared" si="16"/>
        <v>10.76</v>
      </c>
    </row>
    <row r="50" spans="5:20" x14ac:dyDescent="0.25">
      <c r="E50" s="2" t="str">
        <f t="shared" si="17"/>
        <v>0</v>
      </c>
      <c r="F50" s="2" t="str">
        <f t="shared" si="18"/>
        <v>0</v>
      </c>
      <c r="G50" s="2" t="str">
        <f t="shared" si="19"/>
        <v>0</v>
      </c>
      <c r="H50" s="2" t="str">
        <f t="shared" si="20"/>
        <v>0</v>
      </c>
      <c r="I50" s="2" t="str">
        <f t="shared" si="21"/>
        <v>0</v>
      </c>
      <c r="J50" s="2" t="str">
        <f t="shared" ref="J50:J59" si="28">IF(J18="X",(D18-C18),"0")</f>
        <v>0</v>
      </c>
      <c r="K50" s="2" t="str">
        <f t="shared" ref="K50:K59" si="29">IF(K18="X",(D18-C18),"0")</f>
        <v>0</v>
      </c>
      <c r="L50" s="2">
        <f t="shared" si="22"/>
        <v>0</v>
      </c>
      <c r="M50" s="2" t="str">
        <f t="shared" si="23"/>
        <v>0</v>
      </c>
      <c r="N50" s="2" t="str">
        <f t="shared" si="24"/>
        <v>0</v>
      </c>
      <c r="O50" s="2" t="str">
        <f t="shared" si="25"/>
        <v>0</v>
      </c>
      <c r="P50" s="2" t="str">
        <f t="shared" si="26"/>
        <v>0</v>
      </c>
      <c r="Q50" s="2" t="str">
        <f t="shared" si="27"/>
        <v>0</v>
      </c>
      <c r="R50" s="2" t="str">
        <f t="shared" si="14"/>
        <v>0</v>
      </c>
      <c r="S50" s="2" t="str">
        <f t="shared" si="15"/>
        <v>0</v>
      </c>
      <c r="T50" s="2" t="str">
        <f t="shared" si="16"/>
        <v>0</v>
      </c>
    </row>
    <row r="51" spans="5:20" x14ac:dyDescent="0.25">
      <c r="E51" s="2" t="str">
        <f t="shared" si="17"/>
        <v>0</v>
      </c>
      <c r="F51" s="2" t="str">
        <f t="shared" si="18"/>
        <v>0</v>
      </c>
      <c r="G51" s="2" t="str">
        <f t="shared" si="19"/>
        <v>0</v>
      </c>
      <c r="H51" s="2" t="str">
        <f t="shared" si="20"/>
        <v>0</v>
      </c>
      <c r="I51" s="2" t="str">
        <f t="shared" si="21"/>
        <v>0</v>
      </c>
      <c r="J51" s="2" t="str">
        <f t="shared" si="28"/>
        <v>0</v>
      </c>
      <c r="K51" s="2" t="str">
        <f t="shared" si="29"/>
        <v>0</v>
      </c>
      <c r="L51" s="2" t="str">
        <f t="shared" si="22"/>
        <v>0</v>
      </c>
      <c r="M51" s="2" t="str">
        <f t="shared" si="23"/>
        <v>0</v>
      </c>
      <c r="N51" s="2" t="str">
        <f t="shared" si="24"/>
        <v>0</v>
      </c>
      <c r="O51" s="2" t="str">
        <f t="shared" si="25"/>
        <v>0</v>
      </c>
      <c r="P51" s="2" t="str">
        <f t="shared" si="26"/>
        <v>0</v>
      </c>
      <c r="Q51" s="2" t="str">
        <f t="shared" si="27"/>
        <v>0</v>
      </c>
      <c r="R51" s="2" t="str">
        <f t="shared" si="14"/>
        <v>0</v>
      </c>
      <c r="S51" s="2" t="str">
        <f t="shared" si="15"/>
        <v>0</v>
      </c>
      <c r="T51" s="2" t="str">
        <f t="shared" si="16"/>
        <v>0</v>
      </c>
    </row>
    <row r="52" spans="5:20" x14ac:dyDescent="0.25">
      <c r="E52" s="2" t="str">
        <f t="shared" si="17"/>
        <v>0</v>
      </c>
      <c r="F52" s="2" t="str">
        <f t="shared" si="18"/>
        <v>0</v>
      </c>
      <c r="G52" s="2" t="str">
        <f t="shared" si="19"/>
        <v>0</v>
      </c>
      <c r="H52" s="2" t="str">
        <f t="shared" si="20"/>
        <v>0</v>
      </c>
      <c r="I52" s="2" t="str">
        <f t="shared" si="21"/>
        <v>0</v>
      </c>
      <c r="J52" s="2" t="str">
        <f t="shared" si="28"/>
        <v>0</v>
      </c>
      <c r="K52" s="2" t="str">
        <f t="shared" si="29"/>
        <v>0</v>
      </c>
      <c r="L52" s="2" t="str">
        <f t="shared" si="22"/>
        <v>0</v>
      </c>
      <c r="M52" s="2" t="str">
        <f t="shared" si="23"/>
        <v>0</v>
      </c>
      <c r="N52" s="2" t="str">
        <f t="shared" si="24"/>
        <v>0</v>
      </c>
      <c r="O52" s="2" t="str">
        <f t="shared" si="25"/>
        <v>0</v>
      </c>
      <c r="P52" s="2" t="str">
        <f t="shared" si="26"/>
        <v>0</v>
      </c>
      <c r="Q52" s="2" t="str">
        <f t="shared" si="27"/>
        <v>0</v>
      </c>
      <c r="R52" s="2" t="str">
        <f t="shared" si="14"/>
        <v>0</v>
      </c>
      <c r="S52" s="2" t="str">
        <f t="shared" si="15"/>
        <v>0</v>
      </c>
      <c r="T52" s="2" t="str">
        <f t="shared" si="16"/>
        <v>0</v>
      </c>
    </row>
    <row r="53" spans="5:20" x14ac:dyDescent="0.25">
      <c r="E53" s="2" t="str">
        <f t="shared" si="17"/>
        <v>0</v>
      </c>
      <c r="F53" s="2" t="str">
        <f t="shared" si="18"/>
        <v>0</v>
      </c>
      <c r="G53" s="2" t="str">
        <f t="shared" si="19"/>
        <v>0</v>
      </c>
      <c r="H53" s="2" t="str">
        <f t="shared" si="20"/>
        <v>0</v>
      </c>
      <c r="I53" s="2" t="str">
        <f t="shared" si="21"/>
        <v>0</v>
      </c>
      <c r="J53" s="2" t="str">
        <f t="shared" si="28"/>
        <v>0</v>
      </c>
      <c r="K53" s="2" t="str">
        <f t="shared" si="29"/>
        <v>0</v>
      </c>
      <c r="L53" s="2" t="str">
        <f t="shared" si="22"/>
        <v>0</v>
      </c>
      <c r="M53" s="2" t="str">
        <f t="shared" si="23"/>
        <v>0</v>
      </c>
      <c r="N53" s="2" t="str">
        <f t="shared" si="24"/>
        <v>0</v>
      </c>
      <c r="O53" s="2" t="str">
        <f t="shared" si="25"/>
        <v>0</v>
      </c>
      <c r="P53" s="2" t="str">
        <f t="shared" si="26"/>
        <v>0</v>
      </c>
      <c r="Q53" s="2" t="str">
        <f t="shared" si="27"/>
        <v>0</v>
      </c>
      <c r="R53" s="2" t="str">
        <f t="shared" si="14"/>
        <v>0</v>
      </c>
      <c r="S53" s="2" t="str">
        <f t="shared" si="15"/>
        <v>0</v>
      </c>
      <c r="T53" s="2" t="str">
        <f t="shared" si="16"/>
        <v>0</v>
      </c>
    </row>
    <row r="54" spans="5:20" x14ac:dyDescent="0.25">
      <c r="E54" s="2" t="str">
        <f t="shared" si="17"/>
        <v>0</v>
      </c>
      <c r="F54" s="2" t="str">
        <f t="shared" si="18"/>
        <v>0</v>
      </c>
      <c r="G54" s="2" t="str">
        <f t="shared" si="19"/>
        <v>0</v>
      </c>
      <c r="H54" s="2" t="str">
        <f t="shared" si="20"/>
        <v>0</v>
      </c>
      <c r="I54" s="2" t="str">
        <f t="shared" si="21"/>
        <v>0</v>
      </c>
      <c r="J54" s="2" t="str">
        <f t="shared" si="28"/>
        <v>0</v>
      </c>
      <c r="K54" s="2" t="str">
        <f t="shared" si="29"/>
        <v>0</v>
      </c>
      <c r="L54" s="2" t="str">
        <f t="shared" si="22"/>
        <v>0</v>
      </c>
      <c r="M54" s="2" t="str">
        <f t="shared" si="23"/>
        <v>0</v>
      </c>
      <c r="N54" s="2" t="str">
        <f t="shared" si="24"/>
        <v>0</v>
      </c>
      <c r="O54" s="2" t="str">
        <f t="shared" si="25"/>
        <v>0</v>
      </c>
      <c r="P54" s="2" t="str">
        <f t="shared" si="26"/>
        <v>0</v>
      </c>
      <c r="Q54" s="2" t="str">
        <f t="shared" si="27"/>
        <v>0</v>
      </c>
      <c r="R54" s="2" t="str">
        <f t="shared" si="14"/>
        <v>0</v>
      </c>
      <c r="S54" s="2" t="str">
        <f t="shared" si="15"/>
        <v>0</v>
      </c>
      <c r="T54" s="2" t="str">
        <f t="shared" si="16"/>
        <v>0</v>
      </c>
    </row>
    <row r="55" spans="5:20" x14ac:dyDescent="0.25">
      <c r="E55" s="2" t="str">
        <f t="shared" si="17"/>
        <v>0</v>
      </c>
      <c r="F55" s="2" t="str">
        <f t="shared" si="18"/>
        <v>0</v>
      </c>
      <c r="G55" s="2" t="str">
        <f t="shared" si="19"/>
        <v>0</v>
      </c>
      <c r="H55" s="2" t="str">
        <f t="shared" si="20"/>
        <v>0</v>
      </c>
      <c r="I55" s="2" t="str">
        <f t="shared" si="21"/>
        <v>0</v>
      </c>
      <c r="J55" s="2" t="str">
        <f t="shared" si="28"/>
        <v>0</v>
      </c>
      <c r="K55" s="2" t="str">
        <f t="shared" si="29"/>
        <v>0</v>
      </c>
      <c r="L55" s="2" t="str">
        <f t="shared" si="22"/>
        <v>0</v>
      </c>
      <c r="M55" s="2" t="str">
        <f t="shared" si="23"/>
        <v>0</v>
      </c>
      <c r="N55" s="2" t="str">
        <f t="shared" si="24"/>
        <v>0</v>
      </c>
      <c r="O55" s="2" t="str">
        <f t="shared" si="25"/>
        <v>0</v>
      </c>
      <c r="P55" s="2" t="str">
        <f t="shared" si="26"/>
        <v>0</v>
      </c>
      <c r="Q55" s="2" t="str">
        <f t="shared" si="27"/>
        <v>0</v>
      </c>
      <c r="R55" s="2" t="str">
        <f t="shared" si="14"/>
        <v>0</v>
      </c>
      <c r="S55" s="2" t="str">
        <f t="shared" si="15"/>
        <v>0</v>
      </c>
      <c r="T55" s="2" t="str">
        <f t="shared" si="16"/>
        <v>0</v>
      </c>
    </row>
    <row r="56" spans="5:20" x14ac:dyDescent="0.25">
      <c r="E56" s="2" t="str">
        <f t="shared" si="17"/>
        <v>0</v>
      </c>
      <c r="F56" s="2" t="str">
        <f t="shared" si="18"/>
        <v>0</v>
      </c>
      <c r="G56" s="2" t="str">
        <f t="shared" si="19"/>
        <v>0</v>
      </c>
      <c r="H56" s="2" t="str">
        <f t="shared" si="20"/>
        <v>0</v>
      </c>
      <c r="I56" s="2" t="str">
        <f t="shared" si="21"/>
        <v>0</v>
      </c>
      <c r="J56" s="2" t="str">
        <f t="shared" si="28"/>
        <v>0</v>
      </c>
      <c r="K56" s="2" t="str">
        <f t="shared" si="29"/>
        <v>0</v>
      </c>
      <c r="L56" s="2" t="str">
        <f t="shared" si="22"/>
        <v>0</v>
      </c>
      <c r="M56" s="2" t="str">
        <f t="shared" si="23"/>
        <v>0</v>
      </c>
      <c r="N56" s="2" t="str">
        <f t="shared" si="24"/>
        <v>0</v>
      </c>
      <c r="O56" s="2" t="str">
        <f t="shared" si="25"/>
        <v>0</v>
      </c>
      <c r="P56" s="2" t="str">
        <f t="shared" si="26"/>
        <v>0</v>
      </c>
      <c r="Q56" s="2" t="str">
        <f t="shared" si="27"/>
        <v>0</v>
      </c>
      <c r="R56" s="2" t="str">
        <f t="shared" si="14"/>
        <v>0</v>
      </c>
      <c r="S56" s="2" t="str">
        <f t="shared" si="15"/>
        <v>0</v>
      </c>
      <c r="T56" s="2" t="str">
        <f t="shared" si="16"/>
        <v>0</v>
      </c>
    </row>
    <row r="57" spans="5:20" x14ac:dyDescent="0.25">
      <c r="E57" s="2" t="str">
        <f t="shared" si="17"/>
        <v>0</v>
      </c>
      <c r="F57" s="2" t="str">
        <f t="shared" si="18"/>
        <v>0</v>
      </c>
      <c r="G57" s="2" t="str">
        <f t="shared" si="19"/>
        <v>0</v>
      </c>
      <c r="H57" s="2" t="str">
        <f t="shared" si="20"/>
        <v>0</v>
      </c>
      <c r="I57" s="2" t="str">
        <f t="shared" si="21"/>
        <v>0</v>
      </c>
      <c r="J57" s="2" t="str">
        <f t="shared" si="28"/>
        <v>0</v>
      </c>
      <c r="K57" s="2" t="str">
        <f t="shared" si="29"/>
        <v>0</v>
      </c>
      <c r="L57" s="2" t="str">
        <f t="shared" si="22"/>
        <v>0</v>
      </c>
      <c r="M57" s="2" t="str">
        <f t="shared" si="23"/>
        <v>0</v>
      </c>
      <c r="N57" s="2" t="str">
        <f t="shared" si="24"/>
        <v>0</v>
      </c>
      <c r="O57" s="2" t="str">
        <f t="shared" si="25"/>
        <v>0</v>
      </c>
      <c r="P57" s="2" t="str">
        <f t="shared" si="26"/>
        <v>0</v>
      </c>
      <c r="Q57" s="2" t="str">
        <f t="shared" si="27"/>
        <v>0</v>
      </c>
      <c r="R57" s="2" t="str">
        <f t="shared" si="14"/>
        <v>0</v>
      </c>
      <c r="S57" s="2" t="str">
        <f t="shared" si="15"/>
        <v>0</v>
      </c>
      <c r="T57" s="2" t="str">
        <f t="shared" si="16"/>
        <v>0</v>
      </c>
    </row>
    <row r="58" spans="5:20" x14ac:dyDescent="0.25">
      <c r="E58" s="2" t="str">
        <f t="shared" si="17"/>
        <v>0</v>
      </c>
      <c r="F58" s="2" t="str">
        <f t="shared" si="18"/>
        <v>0</v>
      </c>
      <c r="G58" s="2" t="str">
        <f t="shared" si="19"/>
        <v>0</v>
      </c>
      <c r="H58" s="2" t="str">
        <f t="shared" si="20"/>
        <v>0</v>
      </c>
      <c r="I58" s="2" t="str">
        <f t="shared" si="21"/>
        <v>0</v>
      </c>
      <c r="J58" s="2" t="str">
        <f t="shared" si="28"/>
        <v>0</v>
      </c>
      <c r="K58" s="2" t="str">
        <f t="shared" si="29"/>
        <v>0</v>
      </c>
      <c r="L58" s="2" t="str">
        <f t="shared" si="22"/>
        <v>0</v>
      </c>
      <c r="M58" s="2" t="str">
        <f t="shared" si="23"/>
        <v>0</v>
      </c>
      <c r="N58" s="2" t="str">
        <f t="shared" si="24"/>
        <v>0</v>
      </c>
      <c r="O58" s="2" t="str">
        <f t="shared" si="25"/>
        <v>0</v>
      </c>
      <c r="P58" s="2" t="str">
        <f t="shared" si="26"/>
        <v>0</v>
      </c>
      <c r="Q58" s="2" t="str">
        <f t="shared" si="27"/>
        <v>0</v>
      </c>
      <c r="R58" s="2" t="str">
        <f t="shared" si="14"/>
        <v>0</v>
      </c>
      <c r="S58" s="2" t="str">
        <f t="shared" si="15"/>
        <v>0</v>
      </c>
      <c r="T58" s="2" t="str">
        <f t="shared" si="16"/>
        <v>0</v>
      </c>
    </row>
    <row r="59" spans="5:20" x14ac:dyDescent="0.25">
      <c r="E59" s="2" t="str">
        <f t="shared" si="17"/>
        <v>0</v>
      </c>
      <c r="F59" s="2" t="str">
        <f t="shared" si="18"/>
        <v>0</v>
      </c>
      <c r="G59" s="2" t="str">
        <f t="shared" si="19"/>
        <v>0</v>
      </c>
      <c r="H59" s="2" t="str">
        <f t="shared" si="20"/>
        <v>0</v>
      </c>
      <c r="I59" s="2" t="str">
        <f t="shared" si="21"/>
        <v>0</v>
      </c>
      <c r="J59" s="2" t="str">
        <f t="shared" si="28"/>
        <v>0</v>
      </c>
      <c r="K59" s="2" t="str">
        <f t="shared" si="29"/>
        <v>0</v>
      </c>
      <c r="L59" s="2" t="str">
        <f t="shared" si="22"/>
        <v>0</v>
      </c>
      <c r="M59" s="2" t="str">
        <f t="shared" si="23"/>
        <v>0</v>
      </c>
      <c r="N59" s="2" t="str">
        <f t="shared" si="24"/>
        <v>0</v>
      </c>
      <c r="O59" s="2" t="str">
        <f t="shared" si="25"/>
        <v>0</v>
      </c>
      <c r="P59" s="2" t="str">
        <f t="shared" si="26"/>
        <v>0</v>
      </c>
      <c r="Q59" s="2" t="str">
        <f t="shared" si="27"/>
        <v>0</v>
      </c>
      <c r="R59" s="2" t="str">
        <f t="shared" si="14"/>
        <v>0</v>
      </c>
      <c r="S59" s="2" t="str">
        <f t="shared" si="15"/>
        <v>0</v>
      </c>
      <c r="T59" s="2" t="str">
        <f t="shared" si="16"/>
        <v>0</v>
      </c>
    </row>
    <row r="60" spans="5:20" x14ac:dyDescent="0.25">
      <c r="O60" s="2"/>
      <c r="P60" s="2"/>
      <c r="Q60" s="2"/>
      <c r="R60" s="2"/>
      <c r="S60" s="2"/>
      <c r="T60" s="2"/>
    </row>
    <row r="61" spans="5:20" x14ac:dyDescent="0.25">
      <c r="O61" s="2"/>
      <c r="P61" s="2"/>
      <c r="Q61" s="2"/>
      <c r="R61" s="2"/>
      <c r="S61" s="2"/>
      <c r="T61" s="2"/>
    </row>
    <row r="62" spans="5:20" x14ac:dyDescent="0.25">
      <c r="O62" s="2"/>
      <c r="P62" s="2"/>
      <c r="Q62" s="2"/>
      <c r="R62" s="2"/>
      <c r="S62" s="2"/>
      <c r="T62" s="2"/>
    </row>
    <row r="63" spans="5:20" x14ac:dyDescent="0.25">
      <c r="O63" s="2"/>
      <c r="P63" s="2"/>
      <c r="Q63" s="2"/>
      <c r="R63" s="2"/>
      <c r="S63" s="2"/>
      <c r="T63" s="2"/>
    </row>
    <row r="64" spans="5:20" x14ac:dyDescent="0.25">
      <c r="O64" s="2"/>
      <c r="P64" s="2"/>
      <c r="Q64" s="2"/>
      <c r="R64" s="2"/>
      <c r="S64" s="2"/>
      <c r="T64" s="2"/>
    </row>
    <row r="65" spans="15:20" x14ac:dyDescent="0.25">
      <c r="O65" s="2"/>
      <c r="P65" s="2"/>
      <c r="Q65" s="2"/>
      <c r="R65" s="2"/>
      <c r="S65" s="2"/>
      <c r="T65" s="2"/>
    </row>
    <row r="66" spans="15:20" x14ac:dyDescent="0.25">
      <c r="O66" s="2"/>
      <c r="P66" s="2"/>
      <c r="Q66" s="2"/>
      <c r="R66" s="2"/>
      <c r="S66" s="2"/>
      <c r="T66" s="2"/>
    </row>
    <row r="67" spans="15:20" x14ac:dyDescent="0.25">
      <c r="O67" s="2"/>
      <c r="P67" s="2"/>
      <c r="Q67" s="2"/>
      <c r="R67" s="2"/>
      <c r="S67" s="2"/>
      <c r="T67" s="2"/>
    </row>
    <row r="68" spans="15:20" x14ac:dyDescent="0.25">
      <c r="O68" s="2"/>
      <c r="P68" s="2"/>
      <c r="Q68" s="2"/>
      <c r="R68" s="2"/>
      <c r="S68" s="2"/>
      <c r="T68" s="2"/>
    </row>
    <row r="69" spans="15:20" x14ac:dyDescent="0.25">
      <c r="O69" s="2"/>
      <c r="P69" s="2"/>
      <c r="Q69" s="2"/>
      <c r="R69" s="2"/>
      <c r="S69" s="2"/>
      <c r="T69" s="2"/>
    </row>
    <row r="70" spans="15:20" x14ac:dyDescent="0.25">
      <c r="O70" s="2"/>
      <c r="P70" s="2"/>
      <c r="Q70" s="2"/>
      <c r="R70" s="2"/>
      <c r="S70" s="2"/>
      <c r="T70" s="2"/>
    </row>
    <row r="71" spans="15:20" x14ac:dyDescent="0.25">
      <c r="O71" s="2"/>
      <c r="P71" s="2"/>
      <c r="Q71" s="2"/>
      <c r="R71" s="2"/>
      <c r="S71" s="2"/>
      <c r="T71" s="2"/>
    </row>
    <row r="72" spans="15:20" x14ac:dyDescent="0.25">
      <c r="O72" s="2"/>
      <c r="P72" s="2"/>
      <c r="Q72" s="2"/>
      <c r="R72" s="2"/>
      <c r="S72" s="2"/>
      <c r="T72" s="2"/>
    </row>
    <row r="73" spans="15:20" x14ac:dyDescent="0.25">
      <c r="O73" s="2"/>
      <c r="P73" s="2"/>
      <c r="Q73" s="2"/>
      <c r="R73" s="2"/>
      <c r="S73" s="2"/>
      <c r="T73" s="2"/>
    </row>
    <row r="74" spans="15:20" x14ac:dyDescent="0.25">
      <c r="O74" s="2"/>
      <c r="P74" s="2"/>
      <c r="Q74" s="2"/>
      <c r="R74" s="2"/>
      <c r="S74" s="2"/>
      <c r="T74" s="2"/>
    </row>
    <row r="75" spans="15:20" x14ac:dyDescent="0.25">
      <c r="O75" s="2"/>
      <c r="P75" s="2"/>
      <c r="Q75" s="2"/>
      <c r="R75" s="2"/>
      <c r="S75" s="2"/>
      <c r="T75" s="2"/>
    </row>
    <row r="76" spans="15:20" x14ac:dyDescent="0.25">
      <c r="O76" s="2"/>
      <c r="P76" s="2"/>
      <c r="Q76" s="2"/>
      <c r="R76" s="2"/>
      <c r="S76" s="2"/>
      <c r="T76" s="2"/>
    </row>
    <row r="77" spans="15:20" x14ac:dyDescent="0.25">
      <c r="O77" s="2"/>
      <c r="P77" s="2"/>
      <c r="Q77" s="2"/>
      <c r="R77" s="2"/>
      <c r="S77" s="2"/>
      <c r="T77" s="2"/>
    </row>
    <row r="78" spans="15:20" x14ac:dyDescent="0.25">
      <c r="O78" s="2"/>
      <c r="P78" s="2"/>
      <c r="Q78" s="2"/>
      <c r="R78" s="2"/>
      <c r="S78" s="2"/>
      <c r="T78" s="2"/>
    </row>
    <row r="79" spans="15:20" x14ac:dyDescent="0.25">
      <c r="O79" s="2"/>
      <c r="P79" s="2"/>
      <c r="Q79" s="2"/>
      <c r="R79" s="2"/>
      <c r="S79" s="2"/>
      <c r="T79" s="2"/>
    </row>
    <row r="80" spans="15:20" x14ac:dyDescent="0.25">
      <c r="O80" s="2"/>
      <c r="P80" s="2"/>
      <c r="Q80" s="2"/>
      <c r="R80" s="2"/>
      <c r="S80" s="2"/>
      <c r="T80" s="2"/>
    </row>
    <row r="81" spans="15:20" x14ac:dyDescent="0.25">
      <c r="O81" s="2"/>
      <c r="P81" s="2"/>
      <c r="Q81" s="2"/>
      <c r="R81" s="2"/>
      <c r="S81" s="2"/>
      <c r="T81" s="2"/>
    </row>
    <row r="82" spans="15:20" x14ac:dyDescent="0.25">
      <c r="O82" s="2"/>
      <c r="P82" s="2"/>
      <c r="Q82" s="2"/>
      <c r="R82" s="2"/>
      <c r="S82" s="2"/>
      <c r="T82" s="2"/>
    </row>
    <row r="83" spans="15:20" x14ac:dyDescent="0.25">
      <c r="O83" s="2"/>
      <c r="P83" s="2"/>
      <c r="Q83" s="2"/>
      <c r="R83" s="2"/>
      <c r="S83" s="2"/>
      <c r="T83" s="2"/>
    </row>
    <row r="84" spans="15:20" x14ac:dyDescent="0.25">
      <c r="O84" s="2"/>
      <c r="P84" s="2"/>
      <c r="Q84" s="2"/>
      <c r="R84" s="2"/>
      <c r="S84" s="2"/>
      <c r="T84" s="2"/>
    </row>
    <row r="85" spans="15:20" x14ac:dyDescent="0.25">
      <c r="O85" s="2"/>
      <c r="P85" s="2"/>
      <c r="Q85" s="2"/>
      <c r="R85" s="2"/>
      <c r="S85" s="2"/>
      <c r="T85" s="2"/>
    </row>
    <row r="86" spans="15:20" x14ac:dyDescent="0.25">
      <c r="O86" s="2"/>
      <c r="P86" s="2"/>
      <c r="Q86" s="2"/>
      <c r="R86" s="2"/>
      <c r="S86" s="2"/>
      <c r="T86" s="2"/>
    </row>
    <row r="87" spans="15:20" x14ac:dyDescent="0.25">
      <c r="O87" s="2"/>
      <c r="P87" s="2"/>
      <c r="Q87" s="2"/>
      <c r="R87" s="2"/>
      <c r="S87" s="2"/>
      <c r="T87" s="2"/>
    </row>
    <row r="88" spans="15:20" x14ac:dyDescent="0.25">
      <c r="O88" s="2"/>
      <c r="P88" s="2"/>
      <c r="Q88" s="2"/>
      <c r="R88" s="2"/>
      <c r="S88" s="2"/>
      <c r="T88" s="2"/>
    </row>
    <row r="89" spans="15:20" x14ac:dyDescent="0.25">
      <c r="O89" s="2"/>
      <c r="P89" s="2"/>
      <c r="Q89" s="2"/>
      <c r="R89" s="2"/>
      <c r="S89" s="2"/>
      <c r="T89" s="2"/>
    </row>
    <row r="90" spans="15:20" x14ac:dyDescent="0.25">
      <c r="O90" s="2"/>
      <c r="P90" s="2"/>
      <c r="Q90" s="2"/>
      <c r="R90" s="2"/>
      <c r="S90" s="2"/>
      <c r="T90" s="2"/>
    </row>
    <row r="91" spans="15:20" x14ac:dyDescent="0.25">
      <c r="O91" s="2"/>
      <c r="P91" s="2"/>
      <c r="Q91" s="2"/>
      <c r="R91" s="2"/>
      <c r="S91" s="2"/>
      <c r="T91" s="2"/>
    </row>
    <row r="92" spans="15:20" x14ac:dyDescent="0.25">
      <c r="O92" s="2"/>
      <c r="P92" s="2"/>
      <c r="Q92" s="2"/>
      <c r="R92" s="2"/>
      <c r="S92" s="2"/>
      <c r="T92" s="2"/>
    </row>
    <row r="93" spans="15:20" x14ac:dyDescent="0.25">
      <c r="O93" s="2"/>
      <c r="P93" s="2"/>
      <c r="Q93" s="2"/>
      <c r="R93" s="2"/>
      <c r="S93" s="2"/>
      <c r="T93" s="2"/>
    </row>
    <row r="94" spans="15:20" x14ac:dyDescent="0.25">
      <c r="O94" s="2"/>
      <c r="P94" s="2"/>
      <c r="Q94" s="2"/>
      <c r="R94" s="2"/>
      <c r="S94" s="2"/>
      <c r="T94" s="2"/>
    </row>
    <row r="95" spans="15:20" x14ac:dyDescent="0.25">
      <c r="O95" s="2"/>
      <c r="P95" s="2"/>
      <c r="Q95" s="2"/>
      <c r="R95" s="2"/>
      <c r="S95" s="2"/>
      <c r="T95" s="2"/>
    </row>
    <row r="96" spans="15:20" x14ac:dyDescent="0.25">
      <c r="O96" s="2"/>
      <c r="P96" s="2"/>
      <c r="Q96" s="2"/>
      <c r="R96" s="2"/>
      <c r="S96" s="2"/>
      <c r="T96" s="2"/>
    </row>
    <row r="97" spans="15:20" x14ac:dyDescent="0.25">
      <c r="O97" s="2"/>
      <c r="P97" s="2"/>
      <c r="Q97" s="2"/>
      <c r="R97" s="2"/>
      <c r="S97" s="2"/>
      <c r="T97" s="2"/>
    </row>
    <row r="98" spans="15:20" x14ac:dyDescent="0.25">
      <c r="O98" s="2"/>
      <c r="P98" s="2"/>
      <c r="Q98" s="2"/>
      <c r="R98" s="2"/>
      <c r="S98" s="2"/>
      <c r="T98" s="2"/>
    </row>
    <row r="99" spans="15:20" x14ac:dyDescent="0.25">
      <c r="O99" s="2"/>
      <c r="P99" s="2"/>
      <c r="Q99" s="2"/>
      <c r="R99" s="2"/>
      <c r="S99" s="2"/>
      <c r="T99" s="2"/>
    </row>
    <row r="100" spans="15:20" x14ac:dyDescent="0.25">
      <c r="O100" s="2"/>
      <c r="P100" s="2"/>
      <c r="Q100" s="2"/>
      <c r="R100" s="2"/>
      <c r="S100" s="2"/>
      <c r="T100" s="2"/>
    </row>
    <row r="101" spans="15:20" x14ac:dyDescent="0.25">
      <c r="O101" s="2"/>
      <c r="P101" s="2"/>
      <c r="Q101" s="2"/>
      <c r="R101" s="2"/>
      <c r="S101" s="2"/>
      <c r="T101" s="2"/>
    </row>
    <row r="102" spans="15:20" x14ac:dyDescent="0.25">
      <c r="O102" s="2"/>
      <c r="P102" s="2"/>
      <c r="Q102" s="2"/>
      <c r="R102" s="2"/>
      <c r="S102" s="2"/>
      <c r="T102" s="2"/>
    </row>
    <row r="103" spans="15:20" x14ac:dyDescent="0.25">
      <c r="O103" s="2"/>
      <c r="P103" s="2"/>
      <c r="Q103" s="2"/>
      <c r="R103" s="2"/>
      <c r="S103" s="2"/>
      <c r="T103" s="2"/>
    </row>
    <row r="104" spans="15:20" x14ac:dyDescent="0.25">
      <c r="O104" s="2"/>
      <c r="P104" s="2"/>
      <c r="Q104" s="2"/>
      <c r="R104" s="2"/>
      <c r="S104" s="2"/>
      <c r="T104" s="2"/>
    </row>
    <row r="105" spans="15:20" x14ac:dyDescent="0.25">
      <c r="O105" s="2"/>
      <c r="P105" s="2"/>
      <c r="Q105" s="2"/>
      <c r="R105" s="2"/>
      <c r="S105" s="2"/>
      <c r="T105" s="2"/>
    </row>
    <row r="106" spans="15:20" x14ac:dyDescent="0.25">
      <c r="O106" s="2"/>
      <c r="P106" s="2"/>
      <c r="Q106" s="2"/>
      <c r="R106" s="2"/>
      <c r="S106" s="2"/>
      <c r="T106" s="2"/>
    </row>
    <row r="107" spans="15:20" x14ac:dyDescent="0.25">
      <c r="O107" s="2"/>
      <c r="P107" s="2"/>
      <c r="Q107" s="2"/>
      <c r="R107" s="2"/>
      <c r="S107" s="2"/>
      <c r="T107" s="2"/>
    </row>
    <row r="108" spans="15:20" x14ac:dyDescent="0.25">
      <c r="O108" s="2"/>
      <c r="P108" s="2"/>
      <c r="Q108" s="2"/>
      <c r="R108" s="2"/>
      <c r="S108" s="2"/>
      <c r="T108" s="2"/>
    </row>
    <row r="109" spans="15:20" x14ac:dyDescent="0.25">
      <c r="O109" s="2"/>
      <c r="P109" s="2"/>
      <c r="Q109" s="2"/>
      <c r="R109" s="2"/>
      <c r="S109" s="2"/>
      <c r="T109" s="2"/>
    </row>
    <row r="110" spans="15:20" x14ac:dyDescent="0.25">
      <c r="O110" s="2"/>
      <c r="P110" s="2"/>
      <c r="Q110" s="2"/>
      <c r="R110" s="2"/>
      <c r="S110" s="2"/>
      <c r="T110" s="2"/>
    </row>
    <row r="111" spans="15:20" x14ac:dyDescent="0.25">
      <c r="O111" s="2"/>
      <c r="P111" s="2"/>
      <c r="Q111" s="2"/>
      <c r="R111" s="2"/>
      <c r="S111" s="2"/>
      <c r="T111" s="2"/>
    </row>
    <row r="112" spans="15:20" x14ac:dyDescent="0.25">
      <c r="O112" s="2"/>
      <c r="P112" s="2"/>
      <c r="Q112" s="2"/>
      <c r="R112" s="2"/>
      <c r="S112" s="2"/>
      <c r="T112" s="2"/>
    </row>
    <row r="113" spans="5:20" x14ac:dyDescent="0.25">
      <c r="O113" s="2"/>
      <c r="P113" s="2"/>
      <c r="Q113" s="2"/>
      <c r="R113" s="2"/>
      <c r="S113" s="2"/>
      <c r="T113" s="2"/>
    </row>
    <row r="114" spans="5:20" x14ac:dyDescent="0.25">
      <c r="O114" s="2"/>
      <c r="P114" s="2"/>
      <c r="Q114" s="2"/>
      <c r="R114" s="2"/>
      <c r="S114" s="2"/>
      <c r="T114" s="2"/>
    </row>
    <row r="115" spans="5:20" x14ac:dyDescent="0.25">
      <c r="O115" s="2"/>
      <c r="P115" s="2"/>
      <c r="Q115" s="2"/>
      <c r="R115" s="2"/>
      <c r="S115" s="2"/>
      <c r="T115" s="2"/>
    </row>
    <row r="116" spans="5:20" x14ac:dyDescent="0.25">
      <c r="O116" s="2"/>
      <c r="P116" s="2"/>
      <c r="Q116" s="2"/>
      <c r="R116" s="2"/>
      <c r="S116" s="2"/>
      <c r="T116" s="2"/>
    </row>
    <row r="117" spans="5:20" x14ac:dyDescent="0.25">
      <c r="O117" s="2"/>
      <c r="P117" s="2"/>
      <c r="Q117" s="2"/>
      <c r="R117" s="2"/>
      <c r="S117" s="2"/>
      <c r="T117" s="2"/>
    </row>
    <row r="118" spans="5:20" x14ac:dyDescent="0.25">
      <c r="O118" s="2"/>
      <c r="P118" s="2"/>
      <c r="Q118" s="2"/>
      <c r="R118" s="2"/>
      <c r="S118" s="2"/>
      <c r="T118" s="2"/>
    </row>
    <row r="119" spans="5:20" x14ac:dyDescent="0.25">
      <c r="O119" s="2"/>
      <c r="P119" s="2"/>
      <c r="Q119" s="2"/>
      <c r="R119" s="2"/>
      <c r="S119" s="2"/>
      <c r="T119" s="2"/>
    </row>
    <row r="120" spans="5:20" x14ac:dyDescent="0.25">
      <c r="O120" s="2"/>
      <c r="P120" s="2"/>
      <c r="Q120" s="2"/>
      <c r="R120" s="2"/>
      <c r="S120" s="2"/>
      <c r="T120" s="2"/>
    </row>
    <row r="121" spans="5:20" x14ac:dyDescent="0.25">
      <c r="O121" s="2"/>
      <c r="P121" s="2"/>
      <c r="Q121" s="2"/>
      <c r="R121" s="2"/>
      <c r="S121" s="2"/>
      <c r="T121" s="2"/>
    </row>
    <row r="122" spans="5:20" x14ac:dyDescent="0.25">
      <c r="O122" s="2"/>
      <c r="P122" s="2"/>
      <c r="Q122" s="2"/>
      <c r="R122" s="2"/>
      <c r="S122" s="2"/>
      <c r="T122" s="2"/>
    </row>
    <row r="123" spans="5:20" x14ac:dyDescent="0.25">
      <c r="O123" s="2"/>
      <c r="P123" s="2"/>
      <c r="Q123" s="2"/>
      <c r="R123" s="2"/>
      <c r="S123" s="2"/>
      <c r="T123" s="2"/>
    </row>
    <row r="124" spans="5:20" x14ac:dyDescent="0.25">
      <c r="O124" s="2"/>
      <c r="P124" s="2"/>
      <c r="Q124" s="2"/>
      <c r="R124" s="2"/>
      <c r="S124" s="2"/>
      <c r="T124" s="2"/>
    </row>
    <row r="125" spans="5:20" x14ac:dyDescent="0.25">
      <c r="O125" s="2"/>
      <c r="P125" s="2"/>
      <c r="Q125" s="2"/>
      <c r="R125" s="2"/>
      <c r="S125" s="2"/>
      <c r="T125" s="2"/>
    </row>
    <row r="126" spans="5:20" x14ac:dyDescent="0.25">
      <c r="O126" s="2"/>
      <c r="P126" s="2"/>
      <c r="Q126" s="2"/>
      <c r="R126" s="2"/>
      <c r="S126" s="2"/>
      <c r="T126" s="2"/>
    </row>
    <row r="127" spans="5:20" x14ac:dyDescent="0.25">
      <c r="O127" s="2"/>
      <c r="P127" s="2"/>
      <c r="Q127" s="2"/>
      <c r="R127" s="2"/>
      <c r="S127" s="2"/>
      <c r="T127" s="2"/>
    </row>
    <row r="128" spans="5:20" x14ac:dyDescent="0.25">
      <c r="E128" s="2">
        <f>SUM(E39:E126)</f>
        <v>0</v>
      </c>
      <c r="F128" s="2">
        <f t="shared" ref="F128:T128" si="30">SUM(F39:F126)</f>
        <v>5.5</v>
      </c>
      <c r="G128" s="2">
        <f t="shared" si="30"/>
        <v>30.169999999999995</v>
      </c>
      <c r="H128" s="2">
        <f t="shared" si="30"/>
        <v>5.5</v>
      </c>
      <c r="I128" s="2">
        <f t="shared" si="30"/>
        <v>4</v>
      </c>
      <c r="J128" s="2">
        <f t="shared" si="30"/>
        <v>35.669999999999995</v>
      </c>
      <c r="K128" s="2">
        <f t="shared" si="30"/>
        <v>0</v>
      </c>
      <c r="L128" s="2">
        <f t="shared" si="30"/>
        <v>19.669999999999998</v>
      </c>
      <c r="M128" s="2">
        <f t="shared" si="30"/>
        <v>16</v>
      </c>
      <c r="N128" s="2">
        <f t="shared" si="30"/>
        <v>0</v>
      </c>
      <c r="O128" s="2">
        <f t="shared" si="30"/>
        <v>0</v>
      </c>
      <c r="P128" s="2">
        <f t="shared" si="30"/>
        <v>27.169999999999995</v>
      </c>
      <c r="Q128" s="2">
        <f t="shared" si="30"/>
        <v>8.5</v>
      </c>
      <c r="R128" s="2">
        <f t="shared" si="30"/>
        <v>0</v>
      </c>
      <c r="S128" s="2">
        <f t="shared" si="30"/>
        <v>0</v>
      </c>
      <c r="T128" s="2">
        <f t="shared" si="30"/>
        <v>35.669999999999995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Q3:R3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7BBA7-4AA6-42C9-97A5-5225CEB8AF8E}">
  <dimension ref="A1:AP78"/>
  <sheetViews>
    <sheetView view="pageBreakPreview" zoomScale="55" zoomScaleNormal="70" zoomScaleSheetLayoutView="55" workbookViewId="0">
      <selection activeCell="C7" sqref="C7"/>
    </sheetView>
  </sheetViews>
  <sheetFormatPr defaultColWidth="8.85546875" defaultRowHeight="15" x14ac:dyDescent="0.25"/>
  <cols>
    <col min="1" max="1" width="32.42578125" style="1" customWidth="1"/>
    <col min="2" max="2" width="14.42578125" style="1" customWidth="1"/>
    <col min="3" max="4" width="12" style="1" customWidth="1"/>
    <col min="5" max="9" width="11.42578125" style="2" customWidth="1"/>
    <col min="10" max="10" width="10.5703125" style="2" bestFit="1" customWidth="1"/>
    <col min="11" max="11" width="14" style="2" bestFit="1" customWidth="1"/>
    <col min="12" max="13" width="12.42578125" style="2" customWidth="1"/>
    <col min="14" max="14" width="10.42578125" style="2" customWidth="1"/>
    <col min="15" max="17" width="13.5703125" style="1" customWidth="1"/>
    <col min="18" max="20" width="14.42578125" style="1" customWidth="1"/>
    <col min="21" max="21" width="42.42578125" style="1" customWidth="1"/>
    <col min="22" max="16384" width="8.85546875" style="1"/>
  </cols>
  <sheetData>
    <row r="1" spans="1:42" ht="19.5" x14ac:dyDescent="0.3">
      <c r="A1" s="3" t="s">
        <v>112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2" ht="20.25" thickBot="1" x14ac:dyDescent="0.35">
      <c r="A2" s="3"/>
      <c r="B2" s="4"/>
      <c r="C2" s="4"/>
      <c r="D2" s="3" t="s">
        <v>35</v>
      </c>
      <c r="E2" s="5"/>
      <c r="F2" s="5" t="s">
        <v>114</v>
      </c>
      <c r="G2" s="5"/>
      <c r="H2" s="5"/>
      <c r="I2" s="6" t="s">
        <v>26</v>
      </c>
      <c r="J2" s="77">
        <f>'202'!J2</f>
        <v>46204</v>
      </c>
      <c r="K2" s="77"/>
      <c r="L2" s="7"/>
      <c r="M2" s="6"/>
      <c r="N2" s="12" t="s">
        <v>27</v>
      </c>
      <c r="O2" s="78" t="str">
        <f>'202'!O2</f>
        <v>ENG. THIAGO TORQUATO</v>
      </c>
      <c r="P2" s="78"/>
      <c r="Q2" s="78"/>
      <c r="R2" s="78"/>
      <c r="S2" s="78"/>
      <c r="T2" s="4"/>
      <c r="U2" s="4"/>
    </row>
    <row r="3" spans="1:42" ht="25.5" x14ac:dyDescent="0.35">
      <c r="A3" s="3" t="s">
        <v>38</v>
      </c>
      <c r="B3" s="31" t="str">
        <f>TT!C10</f>
        <v>RODOVIA TO-181 - TRECHO ENTR. BR-242 - FUNDAÇÃO BRADESCO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81" t="s">
        <v>111</v>
      </c>
      <c r="R3" s="81"/>
      <c r="S3" s="32">
        <v>11</v>
      </c>
      <c r="T3" s="4"/>
      <c r="U3" s="4"/>
    </row>
    <row r="4" spans="1:42" ht="20.25" thickBot="1" x14ac:dyDescent="0.35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2" s="8" customFormat="1" ht="39" customHeight="1" x14ac:dyDescent="0.25">
      <c r="A5" s="72" t="s">
        <v>0</v>
      </c>
      <c r="B5" s="72" t="s">
        <v>32</v>
      </c>
      <c r="C5" s="79" t="s">
        <v>28</v>
      </c>
      <c r="D5" s="79" t="s">
        <v>29</v>
      </c>
      <c r="E5" s="72" t="s">
        <v>1</v>
      </c>
      <c r="F5" s="72"/>
      <c r="G5" s="72"/>
      <c r="H5" s="72"/>
      <c r="I5" s="72"/>
      <c r="J5" s="72" t="s">
        <v>17</v>
      </c>
      <c r="K5" s="72"/>
      <c r="L5" s="72" t="s">
        <v>31</v>
      </c>
      <c r="M5" s="72"/>
      <c r="N5" s="72"/>
      <c r="O5" s="72" t="s">
        <v>21</v>
      </c>
      <c r="P5" s="72"/>
      <c r="Q5" s="72"/>
      <c r="R5" s="72" t="s">
        <v>24</v>
      </c>
      <c r="S5" s="72"/>
      <c r="T5" s="72"/>
      <c r="U5" s="74" t="s">
        <v>33</v>
      </c>
    </row>
    <row r="6" spans="1:42" s="10" customFormat="1" ht="39" customHeight="1" x14ac:dyDescent="0.25">
      <c r="A6" s="73"/>
      <c r="B6" s="73"/>
      <c r="C6" s="73"/>
      <c r="D6" s="73"/>
      <c r="E6" s="9" t="s">
        <v>2</v>
      </c>
      <c r="F6" s="9" t="s">
        <v>7</v>
      </c>
      <c r="G6" s="9" t="s">
        <v>3</v>
      </c>
      <c r="H6" s="9" t="s">
        <v>4</v>
      </c>
      <c r="I6" s="9" t="s">
        <v>5</v>
      </c>
      <c r="J6" s="9" t="s">
        <v>18</v>
      </c>
      <c r="K6" s="9" t="s">
        <v>34</v>
      </c>
      <c r="L6" s="9" t="s">
        <v>19</v>
      </c>
      <c r="M6" s="9" t="s">
        <v>20</v>
      </c>
      <c r="N6" s="9" t="s">
        <v>30</v>
      </c>
      <c r="O6" s="9" t="s">
        <v>2</v>
      </c>
      <c r="P6" s="9" t="s">
        <v>22</v>
      </c>
      <c r="Q6" s="9" t="s">
        <v>23</v>
      </c>
      <c r="R6" s="9" t="s">
        <v>2</v>
      </c>
      <c r="S6" s="9" t="s">
        <v>25</v>
      </c>
      <c r="T6" s="9" t="s">
        <v>23</v>
      </c>
      <c r="U6" s="75"/>
    </row>
    <row r="7" spans="1:42" ht="36" customHeight="1" x14ac:dyDescent="0.4">
      <c r="A7" s="52" t="s">
        <v>89</v>
      </c>
      <c r="B7" s="55" t="s">
        <v>115</v>
      </c>
      <c r="C7" s="35">
        <v>0</v>
      </c>
      <c r="D7" s="35">
        <v>1</v>
      </c>
      <c r="E7" s="62" t="s">
        <v>114</v>
      </c>
      <c r="F7" s="62"/>
      <c r="G7" s="62" t="s">
        <v>114</v>
      </c>
      <c r="H7" s="62"/>
      <c r="I7" s="62"/>
      <c r="J7" s="62" t="s">
        <v>114</v>
      </c>
      <c r="K7" s="62"/>
      <c r="L7" s="62" t="s">
        <v>114</v>
      </c>
      <c r="M7" s="62"/>
      <c r="N7" s="62"/>
      <c r="O7" s="62"/>
      <c r="P7" s="62" t="s">
        <v>114</v>
      </c>
      <c r="Q7" s="62"/>
      <c r="R7" s="62" t="s">
        <v>114</v>
      </c>
      <c r="S7" s="62"/>
      <c r="T7" s="62"/>
      <c r="U7" s="36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36" customHeight="1" x14ac:dyDescent="0.25">
      <c r="A8" s="53"/>
      <c r="B8" s="53"/>
      <c r="C8" s="35">
        <v>1</v>
      </c>
      <c r="D8" s="35">
        <v>8</v>
      </c>
      <c r="E8" s="33"/>
      <c r="F8" s="62"/>
      <c r="G8" s="62" t="s">
        <v>114</v>
      </c>
      <c r="H8" s="62"/>
      <c r="I8" s="62"/>
      <c r="J8" s="62" t="s">
        <v>114</v>
      </c>
      <c r="K8" s="62"/>
      <c r="L8" s="62"/>
      <c r="M8" s="62" t="s">
        <v>114</v>
      </c>
      <c r="N8" s="62" t="s">
        <v>114</v>
      </c>
      <c r="O8" s="62"/>
      <c r="P8" s="62" t="s">
        <v>114</v>
      </c>
      <c r="Q8" s="62"/>
      <c r="R8" s="62"/>
      <c r="S8" s="62"/>
      <c r="T8" s="62" t="s">
        <v>114</v>
      </c>
      <c r="U8" s="36"/>
    </row>
    <row r="9" spans="1:42" ht="36" customHeight="1" x14ac:dyDescent="0.25">
      <c r="A9" s="53"/>
      <c r="B9" s="53"/>
      <c r="C9" s="35">
        <v>2</v>
      </c>
      <c r="D9" s="35">
        <v>11</v>
      </c>
      <c r="E9" s="33"/>
      <c r="F9" s="62"/>
      <c r="G9" s="62" t="s">
        <v>114</v>
      </c>
      <c r="H9" s="62"/>
      <c r="I9" s="62"/>
      <c r="J9" s="62" t="s">
        <v>114</v>
      </c>
      <c r="K9" s="62"/>
      <c r="L9" s="62"/>
      <c r="M9" s="62" t="s">
        <v>114</v>
      </c>
      <c r="N9" s="62" t="s">
        <v>114</v>
      </c>
      <c r="O9" s="62"/>
      <c r="P9" s="62" t="s">
        <v>114</v>
      </c>
      <c r="Q9" s="62"/>
      <c r="R9" s="62"/>
      <c r="S9" s="62"/>
      <c r="T9" s="62" t="s">
        <v>114</v>
      </c>
      <c r="U9" s="36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2" ht="36" customHeight="1" x14ac:dyDescent="0.25">
      <c r="A10" s="53"/>
      <c r="B10" s="53"/>
      <c r="C10" s="35">
        <v>5</v>
      </c>
      <c r="D10" s="35">
        <v>14</v>
      </c>
      <c r="E10" s="33"/>
      <c r="F10" s="62" t="s">
        <v>114</v>
      </c>
      <c r="G10" s="62"/>
      <c r="H10" s="62"/>
      <c r="I10" s="62"/>
      <c r="J10" s="62" t="s">
        <v>114</v>
      </c>
      <c r="K10" s="62"/>
      <c r="L10" s="62"/>
      <c r="M10" s="62" t="s">
        <v>114</v>
      </c>
      <c r="N10" s="62" t="s">
        <v>114</v>
      </c>
      <c r="O10" s="62"/>
      <c r="P10" s="62" t="s">
        <v>114</v>
      </c>
      <c r="Q10" s="62"/>
      <c r="R10" s="62"/>
      <c r="S10" s="62"/>
      <c r="T10" s="62" t="s">
        <v>114</v>
      </c>
      <c r="U10" s="36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2" ht="36" customHeight="1" x14ac:dyDescent="0.25">
      <c r="A11" s="53"/>
      <c r="B11" s="53"/>
      <c r="C11" s="35">
        <v>11.6</v>
      </c>
      <c r="D11" s="35">
        <v>26.16</v>
      </c>
      <c r="E11" s="33"/>
      <c r="F11" s="62" t="s">
        <v>114</v>
      </c>
      <c r="G11" s="62"/>
      <c r="H11" s="62"/>
      <c r="I11" s="62"/>
      <c r="J11" s="62" t="s">
        <v>114</v>
      </c>
      <c r="K11" s="62"/>
      <c r="L11" s="62"/>
      <c r="M11" s="62" t="s">
        <v>114</v>
      </c>
      <c r="N11" s="62" t="s">
        <v>114</v>
      </c>
      <c r="O11" s="62"/>
      <c r="P11" s="62" t="s">
        <v>114</v>
      </c>
      <c r="Q11" s="62"/>
      <c r="R11" s="62"/>
      <c r="S11" s="62" t="s">
        <v>114</v>
      </c>
      <c r="T11" s="62"/>
      <c r="U11" s="36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2" ht="36" customHeight="1" x14ac:dyDescent="0.25">
      <c r="A12" s="53"/>
      <c r="B12" s="53"/>
      <c r="C12" s="53"/>
      <c r="D12" s="5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6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2" ht="36" customHeight="1" x14ac:dyDescent="0.25">
      <c r="A13" s="53"/>
      <c r="B13" s="53"/>
      <c r="C13" s="53"/>
      <c r="D13" s="53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3"/>
      <c r="P13" s="53"/>
      <c r="Q13" s="53"/>
      <c r="R13" s="53"/>
      <c r="S13" s="53"/>
      <c r="T13" s="53"/>
      <c r="U13" s="36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2" ht="36" customHeight="1" x14ac:dyDescent="0.25">
      <c r="A14" s="53"/>
      <c r="B14" s="53"/>
      <c r="C14" s="53"/>
      <c r="D14" s="53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3"/>
      <c r="P14" s="53"/>
      <c r="Q14" s="53"/>
      <c r="R14" s="53"/>
      <c r="S14" s="53"/>
      <c r="T14" s="53"/>
      <c r="U14" s="36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2" ht="36" customHeight="1" x14ac:dyDescent="0.25">
      <c r="A15" s="34"/>
      <c r="B15" s="34"/>
      <c r="C15" s="35"/>
      <c r="D15" s="35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6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2" ht="36" customHeight="1" x14ac:dyDescent="0.25">
      <c r="A16" s="34"/>
      <c r="B16" s="34"/>
      <c r="C16" s="35"/>
      <c r="D16" s="35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6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34"/>
      <c r="B17" s="34"/>
      <c r="C17" s="35"/>
      <c r="D17" s="35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6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34"/>
      <c r="B18" s="34"/>
      <c r="C18" s="35"/>
      <c r="D18" s="35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6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34"/>
      <c r="B19" s="34"/>
      <c r="C19" s="35"/>
      <c r="D19" s="35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6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34"/>
      <c r="B20" s="34"/>
      <c r="C20" s="35"/>
      <c r="D20" s="35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6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34"/>
      <c r="B21" s="34"/>
      <c r="C21" s="35"/>
      <c r="D21" s="35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6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34"/>
      <c r="B22" s="34"/>
      <c r="C22" s="35"/>
      <c r="D22" s="35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6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34"/>
      <c r="B23" s="34"/>
      <c r="C23" s="35"/>
      <c r="D23" s="35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6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34"/>
      <c r="B24" s="34"/>
      <c r="C24" s="35"/>
      <c r="D24" s="35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6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34"/>
      <c r="B25" s="34"/>
      <c r="C25" s="35"/>
      <c r="D25" s="35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6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34"/>
      <c r="B26" s="34"/>
      <c r="C26" s="35"/>
      <c r="D26" s="35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6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34"/>
      <c r="B27" s="34"/>
      <c r="C27" s="35"/>
      <c r="D27" s="35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6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34"/>
      <c r="B28" s="34"/>
      <c r="C28" s="35"/>
      <c r="D28" s="35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6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34"/>
      <c r="B29" s="34"/>
      <c r="C29" s="35"/>
      <c r="D29" s="35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6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37"/>
      <c r="B30" s="37"/>
      <c r="C30" s="38"/>
      <c r="D30" s="3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9"/>
    </row>
    <row r="32" spans="1:40" ht="19.5" x14ac:dyDescent="0.3">
      <c r="A32" s="4" t="s">
        <v>6</v>
      </c>
      <c r="B32" s="11" t="s">
        <v>1</v>
      </c>
      <c r="C32" s="5"/>
      <c r="D32" s="5"/>
      <c r="E32" s="76"/>
      <c r="F32" s="76"/>
    </row>
    <row r="33" spans="1:20" ht="19.5" x14ac:dyDescent="0.3">
      <c r="A33" s="4" t="s">
        <v>8</v>
      </c>
      <c r="B33" s="4" t="s">
        <v>9</v>
      </c>
      <c r="E33" s="4" t="s">
        <v>13</v>
      </c>
      <c r="F33" s="4"/>
      <c r="G33" s="4"/>
      <c r="I33" s="4" t="s">
        <v>4</v>
      </c>
      <c r="J33" s="4" t="s">
        <v>11</v>
      </c>
      <c r="K33" s="1"/>
      <c r="L33" s="1"/>
      <c r="M33" s="4" t="s">
        <v>15</v>
      </c>
      <c r="N33" s="4"/>
      <c r="O33" s="4"/>
    </row>
    <row r="34" spans="1:20" ht="19.5" x14ac:dyDescent="0.3">
      <c r="A34" s="4" t="s">
        <v>3</v>
      </c>
      <c r="B34" s="4" t="s">
        <v>10</v>
      </c>
      <c r="E34" s="4" t="s">
        <v>14</v>
      </c>
      <c r="F34" s="4"/>
      <c r="G34" s="4"/>
      <c r="I34" s="4" t="s">
        <v>5</v>
      </c>
      <c r="J34" s="4" t="s">
        <v>12</v>
      </c>
      <c r="K34" s="1"/>
      <c r="L34" s="1"/>
      <c r="M34" s="4" t="s">
        <v>16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>
        <f>IF(E7="X",(D7-C7),"0")</f>
        <v>1</v>
      </c>
      <c r="F39" s="2" t="str">
        <f>IF(F7="X",(D7-C7),"0")</f>
        <v>0</v>
      </c>
      <c r="G39" s="2">
        <f>IF(G7="X",(D7-C7),"0")</f>
        <v>1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1</v>
      </c>
      <c r="K39" s="2" t="str">
        <f>IF(K7="X",(D7-C7),"0")</f>
        <v>0</v>
      </c>
      <c r="L39" s="2">
        <f>IF(L7="X",(D7-C7),"0")</f>
        <v>1</v>
      </c>
      <c r="M39" s="2" t="str">
        <f>IF(M7="X",(D7-C7),"0")</f>
        <v>0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1</v>
      </c>
      <c r="Q39" s="2" t="str">
        <f>IF(Q7="X",(D7-C7),"0")</f>
        <v>0</v>
      </c>
      <c r="R39" s="2">
        <f>IF(R7="X",(D7-C7),"0")</f>
        <v>1</v>
      </c>
      <c r="S39" s="2" t="str">
        <f>IF(S7="X",(D7-C7),"0")</f>
        <v>0</v>
      </c>
      <c r="T39" s="2" t="str">
        <f>IF(T7="X",(D7-C7),"0")</f>
        <v>0</v>
      </c>
    </row>
    <row r="40" spans="1:20" x14ac:dyDescent="0.25">
      <c r="E40" s="2" t="str">
        <f t="shared" ref="E40:E76" si="0">IF(E8="X",(D8-C8),"0")</f>
        <v>0</v>
      </c>
      <c r="F40" s="2" t="str">
        <f t="shared" ref="F40:F76" si="1">IF(F8="X",(D8-C8),"0")</f>
        <v>0</v>
      </c>
      <c r="G40" s="2">
        <f t="shared" ref="G40:G76" si="2">IF(G8="X",(D8-C8),"0")</f>
        <v>7</v>
      </c>
      <c r="H40" s="2" t="str">
        <f t="shared" ref="H40:H76" si="3">IF(H8="X",(D8-C8),"0")</f>
        <v>0</v>
      </c>
      <c r="I40" s="2" t="str">
        <f t="shared" ref="I40:I76" si="4">IF(I8="X",(D8-C8),"0")</f>
        <v>0</v>
      </c>
      <c r="J40" s="2">
        <f t="shared" ref="J40:J76" si="5">IF(J8="X",(D8-C8),"0")</f>
        <v>7</v>
      </c>
      <c r="K40" s="2" t="str">
        <f t="shared" ref="K40:K76" si="6">IF(K8="X",(D8-C8),"0")</f>
        <v>0</v>
      </c>
      <c r="L40" s="2" t="str">
        <f t="shared" ref="L40:L76" si="7">IF(L8="X",(D8-C8),"0")</f>
        <v>0</v>
      </c>
      <c r="M40" s="2">
        <f t="shared" ref="M40:M76" si="8">IF(M8="X",(D8-C8),"0")</f>
        <v>7</v>
      </c>
      <c r="N40" s="2">
        <f t="shared" ref="N40:N76" si="9">IF(N8="X",(D8-C8),"0")</f>
        <v>7</v>
      </c>
      <c r="O40" s="2" t="str">
        <f t="shared" ref="O40:O76" si="10">IF(O8="X",(D8-C8),"0")</f>
        <v>0</v>
      </c>
      <c r="P40" s="2">
        <f t="shared" ref="P40:P76" si="11">IF(P8="X",(D8-C8),"0")</f>
        <v>7</v>
      </c>
      <c r="Q40" s="2" t="str">
        <f t="shared" ref="Q40:Q76" si="12">IF(Q8="X",(D8-C8),"0")</f>
        <v>0</v>
      </c>
      <c r="R40" s="2" t="str">
        <f t="shared" ref="R40:R76" si="13">IF(R8="X",(D8-C8),"0")</f>
        <v>0</v>
      </c>
      <c r="S40" s="2" t="str">
        <f t="shared" ref="S40:S76" si="14">IF(S8="X",(D8-C8),"0")</f>
        <v>0</v>
      </c>
      <c r="T40" s="2">
        <f t="shared" ref="T40:T76" si="15">IF(T8="X",(D8-C8),"0")</f>
        <v>7</v>
      </c>
    </row>
    <row r="41" spans="1:20" x14ac:dyDescent="0.25">
      <c r="E41" s="2" t="str">
        <f t="shared" si="0"/>
        <v>0</v>
      </c>
      <c r="F41" s="2" t="str">
        <f t="shared" si="1"/>
        <v>0</v>
      </c>
      <c r="G41" s="2">
        <f t="shared" si="2"/>
        <v>9</v>
      </c>
      <c r="H41" s="2" t="str">
        <f t="shared" si="3"/>
        <v>0</v>
      </c>
      <c r="I41" s="2" t="str">
        <f t="shared" si="4"/>
        <v>0</v>
      </c>
      <c r="J41" s="2">
        <f t="shared" si="5"/>
        <v>9</v>
      </c>
      <c r="K41" s="2" t="str">
        <f t="shared" si="6"/>
        <v>0</v>
      </c>
      <c r="L41" s="2" t="str">
        <f t="shared" si="7"/>
        <v>0</v>
      </c>
      <c r="M41" s="2">
        <f t="shared" si="8"/>
        <v>9</v>
      </c>
      <c r="N41" s="2">
        <f t="shared" si="9"/>
        <v>9</v>
      </c>
      <c r="O41" s="2" t="str">
        <f t="shared" si="10"/>
        <v>0</v>
      </c>
      <c r="P41" s="2">
        <f t="shared" si="11"/>
        <v>9</v>
      </c>
      <c r="Q41" s="2" t="str">
        <f t="shared" si="12"/>
        <v>0</v>
      </c>
      <c r="R41" s="2" t="str">
        <f t="shared" si="13"/>
        <v>0</v>
      </c>
      <c r="S41" s="2" t="str">
        <f t="shared" si="14"/>
        <v>0</v>
      </c>
      <c r="T41" s="2">
        <f t="shared" si="15"/>
        <v>9</v>
      </c>
    </row>
    <row r="42" spans="1:20" x14ac:dyDescent="0.25">
      <c r="E42" s="2" t="str">
        <f t="shared" si="0"/>
        <v>0</v>
      </c>
      <c r="F42" s="2">
        <f t="shared" si="1"/>
        <v>9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>
        <f t="shared" si="5"/>
        <v>9</v>
      </c>
      <c r="K42" s="2" t="str">
        <f t="shared" si="6"/>
        <v>0</v>
      </c>
      <c r="L42" s="2" t="str">
        <f t="shared" si="7"/>
        <v>0</v>
      </c>
      <c r="M42" s="2">
        <f t="shared" si="8"/>
        <v>9</v>
      </c>
      <c r="N42" s="2">
        <f t="shared" si="9"/>
        <v>9</v>
      </c>
      <c r="O42" s="2" t="str">
        <f t="shared" si="10"/>
        <v>0</v>
      </c>
      <c r="P42" s="2">
        <f t="shared" si="11"/>
        <v>9</v>
      </c>
      <c r="Q42" s="2" t="str">
        <f t="shared" si="12"/>
        <v>0</v>
      </c>
      <c r="R42" s="2" t="str">
        <f t="shared" si="13"/>
        <v>0</v>
      </c>
      <c r="S42" s="2" t="str">
        <f t="shared" si="14"/>
        <v>0</v>
      </c>
      <c r="T42" s="2">
        <f t="shared" si="15"/>
        <v>9</v>
      </c>
    </row>
    <row r="43" spans="1:20" x14ac:dyDescent="0.25">
      <c r="E43" s="2" t="str">
        <f t="shared" si="0"/>
        <v>0</v>
      </c>
      <c r="F43" s="2">
        <f t="shared" si="1"/>
        <v>14.56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>
        <f t="shared" si="5"/>
        <v>14.56</v>
      </c>
      <c r="K43" s="2" t="str">
        <f t="shared" si="6"/>
        <v>0</v>
      </c>
      <c r="L43" s="2" t="str">
        <f t="shared" si="7"/>
        <v>0</v>
      </c>
      <c r="M43" s="2">
        <f t="shared" si="8"/>
        <v>14.56</v>
      </c>
      <c r="N43" s="2">
        <f t="shared" si="9"/>
        <v>14.56</v>
      </c>
      <c r="O43" s="2" t="str">
        <f t="shared" si="10"/>
        <v>0</v>
      </c>
      <c r="P43" s="2">
        <f t="shared" si="11"/>
        <v>14.56</v>
      </c>
      <c r="Q43" s="2" t="str">
        <f t="shared" si="12"/>
        <v>0</v>
      </c>
      <c r="R43" s="2" t="str">
        <f t="shared" si="13"/>
        <v>0</v>
      </c>
      <c r="S43" s="2">
        <f t="shared" si="14"/>
        <v>14.56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 t="str">
        <f t="shared" si="5"/>
        <v>0</v>
      </c>
      <c r="K44" s="2" t="str">
        <f t="shared" si="6"/>
        <v>0</v>
      </c>
      <c r="L44" s="2" t="str">
        <f t="shared" si="7"/>
        <v>0</v>
      </c>
      <c r="M44" s="2" t="str">
        <f t="shared" si="8"/>
        <v>0</v>
      </c>
      <c r="N44" s="2" t="str">
        <f t="shared" si="9"/>
        <v>0</v>
      </c>
      <c r="O44" s="2" t="str">
        <f t="shared" si="10"/>
        <v>0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 t="str">
        <f t="shared" si="14"/>
        <v>0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O77" s="2"/>
      <c r="P77" s="2"/>
      <c r="Q77" s="2"/>
      <c r="R77" s="2"/>
      <c r="S77" s="2"/>
      <c r="T77" s="2"/>
    </row>
    <row r="78" spans="5:20" x14ac:dyDescent="0.25">
      <c r="E78" s="2">
        <f t="shared" ref="E78:T78" si="16">SUM(E39:E76)</f>
        <v>1</v>
      </c>
      <c r="F78" s="2">
        <f t="shared" si="16"/>
        <v>23.560000000000002</v>
      </c>
      <c r="G78" s="2">
        <f t="shared" si="16"/>
        <v>17</v>
      </c>
      <c r="H78" s="2">
        <f t="shared" si="16"/>
        <v>0</v>
      </c>
      <c r="I78" s="2">
        <f t="shared" si="16"/>
        <v>0</v>
      </c>
      <c r="J78" s="2">
        <f t="shared" si="16"/>
        <v>40.56</v>
      </c>
      <c r="K78" s="2">
        <f t="shared" si="16"/>
        <v>0</v>
      </c>
      <c r="L78" s="2">
        <f t="shared" si="16"/>
        <v>1</v>
      </c>
      <c r="M78" s="2">
        <f t="shared" si="16"/>
        <v>39.56</v>
      </c>
      <c r="N78" s="2">
        <f t="shared" si="16"/>
        <v>39.56</v>
      </c>
      <c r="O78" s="2">
        <f t="shared" si="16"/>
        <v>0</v>
      </c>
      <c r="P78" s="2">
        <f t="shared" si="16"/>
        <v>40.56</v>
      </c>
      <c r="Q78" s="2">
        <f t="shared" si="16"/>
        <v>0</v>
      </c>
      <c r="R78" s="2">
        <f t="shared" si="16"/>
        <v>1</v>
      </c>
      <c r="S78" s="2">
        <f t="shared" si="16"/>
        <v>14.56</v>
      </c>
      <c r="T78" s="2">
        <f t="shared" si="16"/>
        <v>25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Q3:R3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1C30-7B8C-48FB-9413-178130DB0EA5}">
  <sheetPr>
    <tabColor theme="2"/>
  </sheetPr>
  <dimension ref="A1:AP149"/>
  <sheetViews>
    <sheetView view="pageBreakPreview" topLeftCell="A2" zoomScale="70" zoomScaleNormal="70" zoomScaleSheetLayoutView="70" workbookViewId="0">
      <pane ySplit="5" topLeftCell="A7" activePane="bottomLeft" state="frozen"/>
      <selection activeCell="W16" sqref="W16"/>
      <selection pane="bottomLeft" activeCell="J15" sqref="J15"/>
    </sheetView>
  </sheetViews>
  <sheetFormatPr defaultColWidth="8.85546875" defaultRowHeight="15" x14ac:dyDescent="0.25"/>
  <cols>
    <col min="1" max="1" width="32.42578125" style="1" customWidth="1"/>
    <col min="2" max="2" width="14.42578125" style="1" customWidth="1"/>
    <col min="3" max="4" width="12" style="1" customWidth="1"/>
    <col min="5" max="9" width="11.42578125" style="2" customWidth="1"/>
    <col min="10" max="10" width="10.5703125" style="2" bestFit="1" customWidth="1"/>
    <col min="11" max="11" width="14" style="2" bestFit="1" customWidth="1"/>
    <col min="12" max="13" width="12.42578125" style="2" customWidth="1"/>
    <col min="14" max="14" width="10.42578125" style="2" customWidth="1"/>
    <col min="15" max="17" width="13.5703125" style="1" customWidth="1"/>
    <col min="18" max="20" width="14.42578125" style="1" customWidth="1"/>
    <col min="21" max="21" width="42.42578125" style="1" customWidth="1"/>
    <col min="22" max="16384" width="8.85546875" style="1"/>
  </cols>
  <sheetData>
    <row r="1" spans="1:42" ht="19.5" x14ac:dyDescent="0.3">
      <c r="A1" s="3" t="s">
        <v>112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2" ht="20.25" thickBot="1" x14ac:dyDescent="0.35">
      <c r="A2" s="3"/>
      <c r="B2" s="4"/>
      <c r="C2" s="4"/>
      <c r="D2" s="3" t="s">
        <v>35</v>
      </c>
      <c r="E2" s="5"/>
      <c r="F2" s="5"/>
      <c r="G2" s="5"/>
      <c r="H2" s="5"/>
      <c r="I2" s="6" t="s">
        <v>26</v>
      </c>
      <c r="J2" s="77">
        <v>46204</v>
      </c>
      <c r="K2" s="77"/>
      <c r="L2" s="7"/>
      <c r="M2" s="6"/>
      <c r="N2" s="12" t="s">
        <v>27</v>
      </c>
      <c r="O2" s="78" t="str">
        <f>'202'!O2</f>
        <v>ENG. THIAGO TORQUATO</v>
      </c>
      <c r="P2" s="78"/>
      <c r="Q2" s="78"/>
      <c r="R2" s="78"/>
      <c r="S2" s="78"/>
      <c r="T2" s="4"/>
      <c r="U2" s="4"/>
    </row>
    <row r="3" spans="1:42" ht="25.5" x14ac:dyDescent="0.35">
      <c r="A3" s="3" t="s">
        <v>38</v>
      </c>
      <c r="B3" s="31" t="str">
        <f>TT!C11</f>
        <v>RODOVIA TO-181 - TRECHO ARAGUAÇU - SANDOLÂNDIA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81" t="s">
        <v>111</v>
      </c>
      <c r="R3" s="81"/>
      <c r="S3" s="32">
        <v>11</v>
      </c>
      <c r="T3" s="4"/>
      <c r="U3" s="4"/>
    </row>
    <row r="4" spans="1:42" ht="20.25" thickBot="1" x14ac:dyDescent="0.35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2" s="8" customFormat="1" ht="39" customHeight="1" x14ac:dyDescent="0.25">
      <c r="A5" s="72" t="s">
        <v>0</v>
      </c>
      <c r="B5" s="72" t="s">
        <v>32</v>
      </c>
      <c r="C5" s="79" t="s">
        <v>28</v>
      </c>
      <c r="D5" s="79" t="s">
        <v>29</v>
      </c>
      <c r="E5" s="72" t="s">
        <v>1</v>
      </c>
      <c r="F5" s="72"/>
      <c r="G5" s="72"/>
      <c r="H5" s="72"/>
      <c r="I5" s="72"/>
      <c r="J5" s="72" t="s">
        <v>17</v>
      </c>
      <c r="K5" s="72"/>
      <c r="L5" s="72" t="s">
        <v>31</v>
      </c>
      <c r="M5" s="72"/>
      <c r="N5" s="72"/>
      <c r="O5" s="72" t="s">
        <v>21</v>
      </c>
      <c r="P5" s="72"/>
      <c r="Q5" s="72"/>
      <c r="R5" s="72" t="s">
        <v>24</v>
      </c>
      <c r="S5" s="72"/>
      <c r="T5" s="72"/>
      <c r="U5" s="74" t="s">
        <v>33</v>
      </c>
    </row>
    <row r="6" spans="1:42" s="10" customFormat="1" ht="39" customHeight="1" x14ac:dyDescent="0.25">
      <c r="A6" s="73"/>
      <c r="B6" s="73"/>
      <c r="C6" s="73"/>
      <c r="D6" s="73"/>
      <c r="E6" s="9" t="s">
        <v>2</v>
      </c>
      <c r="F6" s="9" t="s">
        <v>7</v>
      </c>
      <c r="G6" s="9" t="s">
        <v>3</v>
      </c>
      <c r="H6" s="9" t="s">
        <v>4</v>
      </c>
      <c r="I6" s="9" t="s">
        <v>5</v>
      </c>
      <c r="J6" s="9" t="s">
        <v>18</v>
      </c>
      <c r="K6" s="9" t="s">
        <v>34</v>
      </c>
      <c r="L6" s="9" t="s">
        <v>19</v>
      </c>
      <c r="M6" s="9" t="s">
        <v>20</v>
      </c>
      <c r="N6" s="9" t="s">
        <v>30</v>
      </c>
      <c r="O6" s="9" t="s">
        <v>2</v>
      </c>
      <c r="P6" s="9" t="s">
        <v>22</v>
      </c>
      <c r="Q6" s="9" t="s">
        <v>23</v>
      </c>
      <c r="R6" s="9" t="s">
        <v>2</v>
      </c>
      <c r="S6" s="9" t="s">
        <v>25</v>
      </c>
      <c r="T6" s="9" t="s">
        <v>23</v>
      </c>
      <c r="U6" s="75"/>
    </row>
    <row r="7" spans="1:42" ht="36" customHeight="1" x14ac:dyDescent="0.25">
      <c r="A7" s="34" t="s">
        <v>91</v>
      </c>
      <c r="B7" s="34" t="s">
        <v>115</v>
      </c>
      <c r="C7" s="35">
        <v>0</v>
      </c>
      <c r="D7" s="35">
        <v>1.4</v>
      </c>
      <c r="E7" s="34"/>
      <c r="F7" s="34" t="s">
        <v>114</v>
      </c>
      <c r="G7" s="34"/>
      <c r="H7" s="34"/>
      <c r="I7" s="34"/>
      <c r="J7" s="34" t="s">
        <v>114</v>
      </c>
      <c r="K7" s="34"/>
      <c r="L7" s="34"/>
      <c r="M7" s="34" t="s">
        <v>114</v>
      </c>
      <c r="N7" s="34"/>
      <c r="O7" s="34"/>
      <c r="P7" s="34" t="s">
        <v>114</v>
      </c>
      <c r="Q7" s="34"/>
      <c r="R7" s="34"/>
      <c r="S7" s="34" t="s">
        <v>114</v>
      </c>
      <c r="T7" s="34"/>
      <c r="U7" s="36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36" customHeight="1" x14ac:dyDescent="0.25">
      <c r="A8" s="34"/>
      <c r="B8" s="34"/>
      <c r="C8" s="35">
        <f>D7</f>
        <v>1.4</v>
      </c>
      <c r="D8" s="35">
        <v>2</v>
      </c>
      <c r="E8" s="34"/>
      <c r="F8" s="34"/>
      <c r="G8" s="34" t="s">
        <v>114</v>
      </c>
      <c r="H8" s="34"/>
      <c r="I8" s="34"/>
      <c r="J8" s="34" t="s">
        <v>114</v>
      </c>
      <c r="K8" s="34"/>
      <c r="L8" s="34"/>
      <c r="M8" s="34" t="s">
        <v>114</v>
      </c>
      <c r="N8" s="34"/>
      <c r="O8" s="34"/>
      <c r="P8" s="34" t="s">
        <v>114</v>
      </c>
      <c r="Q8" s="34"/>
      <c r="R8" s="34"/>
      <c r="S8" s="34" t="s">
        <v>114</v>
      </c>
      <c r="T8" s="34"/>
      <c r="U8" s="36"/>
    </row>
    <row r="9" spans="1:42" ht="36" customHeight="1" x14ac:dyDescent="0.25">
      <c r="A9" s="34"/>
      <c r="B9" s="34"/>
      <c r="C9" s="35">
        <f t="shared" ref="C9:C42" si="0">D8</f>
        <v>2</v>
      </c>
      <c r="D9" s="35">
        <v>2.2999999999999998</v>
      </c>
      <c r="E9" s="34"/>
      <c r="F9" s="34" t="s">
        <v>114</v>
      </c>
      <c r="G9" s="34"/>
      <c r="H9" s="34"/>
      <c r="I9" s="34"/>
      <c r="J9" s="34" t="s">
        <v>114</v>
      </c>
      <c r="K9" s="34"/>
      <c r="L9" s="34"/>
      <c r="M9" s="34" t="s">
        <v>114</v>
      </c>
      <c r="N9" s="34"/>
      <c r="O9" s="34"/>
      <c r="P9" s="34" t="s">
        <v>114</v>
      </c>
      <c r="Q9" s="34"/>
      <c r="R9" s="34"/>
      <c r="S9" s="34" t="s">
        <v>114</v>
      </c>
      <c r="T9" s="34"/>
      <c r="U9" s="36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2" ht="36" customHeight="1" x14ac:dyDescent="0.25">
      <c r="A10" s="34"/>
      <c r="B10" s="34"/>
      <c r="C10" s="35">
        <f t="shared" si="0"/>
        <v>2.2999999999999998</v>
      </c>
      <c r="D10" s="35">
        <v>2.9</v>
      </c>
      <c r="E10" s="34"/>
      <c r="F10" s="34"/>
      <c r="G10" s="34"/>
      <c r="H10" s="34" t="s">
        <v>114</v>
      </c>
      <c r="I10" s="34"/>
      <c r="J10" s="34" t="s">
        <v>114</v>
      </c>
      <c r="K10" s="34"/>
      <c r="L10" s="34"/>
      <c r="M10" s="34" t="s">
        <v>114</v>
      </c>
      <c r="N10" s="34"/>
      <c r="O10" s="34"/>
      <c r="P10" s="34" t="s">
        <v>114</v>
      </c>
      <c r="Q10" s="34"/>
      <c r="R10" s="34"/>
      <c r="S10" s="34" t="s">
        <v>114</v>
      </c>
      <c r="T10" s="34"/>
      <c r="U10" s="36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2" ht="36" customHeight="1" x14ac:dyDescent="0.25">
      <c r="A11" s="34"/>
      <c r="B11" s="34"/>
      <c r="C11" s="35">
        <f t="shared" si="0"/>
        <v>2.9</v>
      </c>
      <c r="D11" s="35">
        <v>5.5</v>
      </c>
      <c r="E11" s="34"/>
      <c r="F11" s="34" t="s">
        <v>114</v>
      </c>
      <c r="G11" s="34"/>
      <c r="H11" s="34"/>
      <c r="I11" s="34"/>
      <c r="J11" s="34" t="s">
        <v>114</v>
      </c>
      <c r="K11" s="34"/>
      <c r="L11" s="34"/>
      <c r="M11" s="34" t="s">
        <v>114</v>
      </c>
      <c r="N11" s="34"/>
      <c r="O11" s="34"/>
      <c r="P11" s="34" t="s">
        <v>114</v>
      </c>
      <c r="Q11" s="34"/>
      <c r="R11" s="34"/>
      <c r="S11" s="34" t="s">
        <v>114</v>
      </c>
      <c r="T11" s="34"/>
      <c r="U11" s="36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2" ht="36" customHeight="1" x14ac:dyDescent="0.25">
      <c r="A12" s="34"/>
      <c r="B12" s="34"/>
      <c r="C12" s="35">
        <f t="shared" si="0"/>
        <v>5.5</v>
      </c>
      <c r="D12" s="35">
        <v>6</v>
      </c>
      <c r="E12" s="34"/>
      <c r="F12" s="34"/>
      <c r="G12" s="34"/>
      <c r="H12" s="34" t="s">
        <v>114</v>
      </c>
      <c r="I12" s="34"/>
      <c r="J12" s="34" t="s">
        <v>114</v>
      </c>
      <c r="K12" s="34"/>
      <c r="L12" s="34"/>
      <c r="M12" s="34" t="s">
        <v>114</v>
      </c>
      <c r="N12" s="34"/>
      <c r="O12" s="34"/>
      <c r="P12" s="34" t="s">
        <v>114</v>
      </c>
      <c r="Q12" s="34"/>
      <c r="R12" s="34"/>
      <c r="S12" s="34" t="s">
        <v>114</v>
      </c>
      <c r="T12" s="34"/>
      <c r="U12" s="36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2" ht="36" customHeight="1" x14ac:dyDescent="0.25">
      <c r="A13" s="34"/>
      <c r="B13" s="34"/>
      <c r="C13" s="35">
        <f t="shared" si="0"/>
        <v>6</v>
      </c>
      <c r="D13" s="35">
        <v>8.9</v>
      </c>
      <c r="E13" s="34"/>
      <c r="F13" s="34" t="s">
        <v>114</v>
      </c>
      <c r="G13" s="34"/>
      <c r="H13" s="34"/>
      <c r="I13" s="34"/>
      <c r="J13" s="34" t="s">
        <v>114</v>
      </c>
      <c r="K13" s="34"/>
      <c r="L13" s="34"/>
      <c r="M13" s="34" t="s">
        <v>114</v>
      </c>
      <c r="N13" s="34"/>
      <c r="O13" s="34"/>
      <c r="P13" s="34" t="s">
        <v>114</v>
      </c>
      <c r="Q13" s="34"/>
      <c r="R13" s="34"/>
      <c r="S13" s="34" t="s">
        <v>114</v>
      </c>
      <c r="T13" s="34"/>
      <c r="U13" s="36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2" ht="36" customHeight="1" x14ac:dyDescent="0.25">
      <c r="A14" s="34"/>
      <c r="B14" s="34"/>
      <c r="C14" s="35">
        <f t="shared" si="0"/>
        <v>8.9</v>
      </c>
      <c r="D14" s="35">
        <v>9.3000000000000007</v>
      </c>
      <c r="E14" s="34"/>
      <c r="F14" s="34"/>
      <c r="G14" s="34"/>
      <c r="H14" s="34"/>
      <c r="I14" s="34" t="s">
        <v>114</v>
      </c>
      <c r="J14" s="34" t="s">
        <v>114</v>
      </c>
      <c r="K14" s="34"/>
      <c r="L14" s="34"/>
      <c r="M14" s="34" t="s">
        <v>114</v>
      </c>
      <c r="N14" s="34"/>
      <c r="O14" s="34"/>
      <c r="P14" s="34" t="s">
        <v>114</v>
      </c>
      <c r="Q14" s="34"/>
      <c r="R14" s="34"/>
      <c r="S14" s="34" t="s">
        <v>114</v>
      </c>
      <c r="T14" s="34"/>
      <c r="U14" s="36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2" ht="36" customHeight="1" x14ac:dyDescent="0.25">
      <c r="A15" s="34"/>
      <c r="B15" s="34"/>
      <c r="C15" s="35">
        <f t="shared" si="0"/>
        <v>9.3000000000000007</v>
      </c>
      <c r="D15" s="35">
        <v>9.8000000000000007</v>
      </c>
      <c r="E15" s="34"/>
      <c r="F15" s="34" t="s">
        <v>114</v>
      </c>
      <c r="G15" s="34"/>
      <c r="H15" s="34" t="s">
        <v>114</v>
      </c>
      <c r="I15" s="34"/>
      <c r="J15" s="34" t="s">
        <v>114</v>
      </c>
      <c r="K15" s="34"/>
      <c r="L15" s="34"/>
      <c r="M15" s="34" t="s">
        <v>114</v>
      </c>
      <c r="N15" s="34"/>
      <c r="O15" s="34"/>
      <c r="P15" s="34" t="s">
        <v>114</v>
      </c>
      <c r="Q15" s="34"/>
      <c r="R15" s="34"/>
      <c r="S15" s="34" t="s">
        <v>114</v>
      </c>
      <c r="T15" s="34"/>
      <c r="U15" s="36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2" ht="36" customHeight="1" x14ac:dyDescent="0.25">
      <c r="A16" s="34"/>
      <c r="B16" s="34"/>
      <c r="C16" s="35">
        <f t="shared" si="0"/>
        <v>9.8000000000000007</v>
      </c>
      <c r="D16" s="35">
        <v>9.9</v>
      </c>
      <c r="E16" s="34"/>
      <c r="F16" s="34"/>
      <c r="G16" s="34"/>
      <c r="H16" s="34" t="s">
        <v>114</v>
      </c>
      <c r="I16" s="34"/>
      <c r="J16" s="34" t="s">
        <v>114</v>
      </c>
      <c r="K16" s="34"/>
      <c r="L16" s="34"/>
      <c r="M16" s="34" t="s">
        <v>114</v>
      </c>
      <c r="N16" s="34"/>
      <c r="O16" s="34"/>
      <c r="P16" s="34" t="s">
        <v>114</v>
      </c>
      <c r="Q16" s="34"/>
      <c r="R16" s="34"/>
      <c r="S16" s="34" t="s">
        <v>114</v>
      </c>
      <c r="T16" s="34"/>
      <c r="U16" s="36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34"/>
      <c r="B17" s="34"/>
      <c r="C17" s="35">
        <f t="shared" si="0"/>
        <v>9.9</v>
      </c>
      <c r="D17" s="35">
        <v>16.100000000000001</v>
      </c>
      <c r="E17" s="34"/>
      <c r="F17" s="34" t="s">
        <v>114</v>
      </c>
      <c r="G17" s="34"/>
      <c r="H17" s="34"/>
      <c r="I17" s="34"/>
      <c r="J17" s="34" t="s">
        <v>114</v>
      </c>
      <c r="K17" s="34"/>
      <c r="L17" s="34"/>
      <c r="M17" s="34" t="s">
        <v>114</v>
      </c>
      <c r="N17" s="34"/>
      <c r="O17" s="34"/>
      <c r="P17" s="34" t="s">
        <v>114</v>
      </c>
      <c r="Q17" s="34"/>
      <c r="R17" s="34"/>
      <c r="S17" s="34" t="s">
        <v>114</v>
      </c>
      <c r="T17" s="34"/>
      <c r="U17" s="36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34"/>
      <c r="B18" s="34"/>
      <c r="C18" s="35">
        <f t="shared" si="0"/>
        <v>16.100000000000001</v>
      </c>
      <c r="D18" s="35">
        <v>16.399999999999999</v>
      </c>
      <c r="E18" s="34"/>
      <c r="F18" s="34"/>
      <c r="G18" s="34" t="s">
        <v>114</v>
      </c>
      <c r="H18" s="34"/>
      <c r="I18" s="34"/>
      <c r="J18" s="34" t="s">
        <v>114</v>
      </c>
      <c r="K18" s="34"/>
      <c r="L18" s="34"/>
      <c r="M18" s="34" t="s">
        <v>114</v>
      </c>
      <c r="N18" s="34"/>
      <c r="O18" s="34"/>
      <c r="P18" s="34" t="s">
        <v>114</v>
      </c>
      <c r="Q18" s="34"/>
      <c r="R18" s="34"/>
      <c r="S18" s="34" t="s">
        <v>114</v>
      </c>
      <c r="T18" s="34"/>
      <c r="U18" s="36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34"/>
      <c r="B19" s="34"/>
      <c r="C19" s="35">
        <f t="shared" si="0"/>
        <v>16.399999999999999</v>
      </c>
      <c r="D19" s="35">
        <v>16.600000000000001</v>
      </c>
      <c r="E19" s="34"/>
      <c r="F19" s="34"/>
      <c r="G19" s="34"/>
      <c r="H19" s="34" t="s">
        <v>114</v>
      </c>
      <c r="I19" s="34"/>
      <c r="J19" s="34" t="s">
        <v>114</v>
      </c>
      <c r="K19" s="34"/>
      <c r="L19" s="34"/>
      <c r="M19" s="34" t="s">
        <v>114</v>
      </c>
      <c r="N19" s="34"/>
      <c r="O19" s="34"/>
      <c r="P19" s="34" t="s">
        <v>114</v>
      </c>
      <c r="Q19" s="34"/>
      <c r="R19" s="34"/>
      <c r="S19" s="34" t="s">
        <v>114</v>
      </c>
      <c r="T19" s="34"/>
      <c r="U19" s="36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34"/>
      <c r="B20" s="34"/>
      <c r="C20" s="35">
        <f t="shared" si="0"/>
        <v>16.600000000000001</v>
      </c>
      <c r="D20" s="35">
        <v>17.8</v>
      </c>
      <c r="E20" s="34"/>
      <c r="F20" s="34" t="s">
        <v>114</v>
      </c>
      <c r="G20" s="34"/>
      <c r="H20" s="34"/>
      <c r="I20" s="34"/>
      <c r="J20" s="34" t="s">
        <v>114</v>
      </c>
      <c r="K20" s="34"/>
      <c r="L20" s="34"/>
      <c r="M20" s="34" t="s">
        <v>114</v>
      </c>
      <c r="N20" s="34"/>
      <c r="O20" s="34"/>
      <c r="P20" s="34" t="s">
        <v>114</v>
      </c>
      <c r="Q20" s="34"/>
      <c r="R20" s="34"/>
      <c r="S20" s="34" t="s">
        <v>114</v>
      </c>
      <c r="T20" s="34"/>
      <c r="U20" s="36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34"/>
      <c r="B21" s="34"/>
      <c r="C21" s="35">
        <f t="shared" si="0"/>
        <v>17.8</v>
      </c>
      <c r="D21" s="35">
        <v>18</v>
      </c>
      <c r="E21" s="34"/>
      <c r="F21" s="34"/>
      <c r="G21" s="34"/>
      <c r="H21" s="34" t="s">
        <v>114</v>
      </c>
      <c r="I21" s="34"/>
      <c r="J21" s="34" t="s">
        <v>114</v>
      </c>
      <c r="K21" s="34"/>
      <c r="L21" s="34"/>
      <c r="M21" s="34" t="s">
        <v>114</v>
      </c>
      <c r="N21" s="34"/>
      <c r="O21" s="34"/>
      <c r="P21" s="34" t="s">
        <v>114</v>
      </c>
      <c r="Q21" s="34"/>
      <c r="R21" s="34"/>
      <c r="S21" s="34" t="s">
        <v>114</v>
      </c>
      <c r="T21" s="34"/>
      <c r="U21" s="36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34"/>
      <c r="B22" s="34"/>
      <c r="C22" s="35">
        <f t="shared" si="0"/>
        <v>18</v>
      </c>
      <c r="D22" s="35">
        <v>19.399999999999999</v>
      </c>
      <c r="E22" s="34"/>
      <c r="F22" s="34" t="s">
        <v>114</v>
      </c>
      <c r="G22" s="34"/>
      <c r="H22" s="34"/>
      <c r="I22" s="34"/>
      <c r="J22" s="34" t="s">
        <v>114</v>
      </c>
      <c r="K22" s="34"/>
      <c r="L22" s="34"/>
      <c r="M22" s="34" t="s">
        <v>114</v>
      </c>
      <c r="N22" s="34"/>
      <c r="O22" s="34"/>
      <c r="P22" s="34" t="s">
        <v>114</v>
      </c>
      <c r="Q22" s="34"/>
      <c r="R22" s="34"/>
      <c r="S22" s="34" t="s">
        <v>114</v>
      </c>
      <c r="T22" s="34"/>
      <c r="U22" s="36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34"/>
      <c r="B23" s="34"/>
      <c r="C23" s="35">
        <f t="shared" si="0"/>
        <v>19.399999999999999</v>
      </c>
      <c r="D23" s="35">
        <v>20.9</v>
      </c>
      <c r="E23" s="34"/>
      <c r="F23" s="34"/>
      <c r="G23" s="34"/>
      <c r="H23" s="34" t="s">
        <v>114</v>
      </c>
      <c r="I23" s="34"/>
      <c r="J23" s="34" t="s">
        <v>114</v>
      </c>
      <c r="K23" s="34"/>
      <c r="L23" s="34"/>
      <c r="M23" s="34" t="s">
        <v>114</v>
      </c>
      <c r="N23" s="34"/>
      <c r="O23" s="34"/>
      <c r="P23" s="34" t="s">
        <v>114</v>
      </c>
      <c r="Q23" s="34"/>
      <c r="R23" s="34"/>
      <c r="S23" s="34" t="s">
        <v>114</v>
      </c>
      <c r="T23" s="34"/>
      <c r="U23" s="36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34"/>
      <c r="B24" s="34"/>
      <c r="C24" s="35">
        <f t="shared" si="0"/>
        <v>20.9</v>
      </c>
      <c r="D24" s="35">
        <v>21.3</v>
      </c>
      <c r="E24" s="34"/>
      <c r="F24" s="34" t="s">
        <v>114</v>
      </c>
      <c r="G24" s="34"/>
      <c r="H24" s="34"/>
      <c r="I24" s="34"/>
      <c r="J24" s="34" t="s">
        <v>114</v>
      </c>
      <c r="K24" s="34"/>
      <c r="L24" s="34"/>
      <c r="M24" s="34" t="s">
        <v>114</v>
      </c>
      <c r="N24" s="34"/>
      <c r="O24" s="34"/>
      <c r="P24" s="34" t="s">
        <v>114</v>
      </c>
      <c r="Q24" s="34"/>
      <c r="R24" s="34"/>
      <c r="S24" s="34" t="s">
        <v>114</v>
      </c>
      <c r="T24" s="34"/>
      <c r="U24" s="36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34"/>
      <c r="B25" s="34"/>
      <c r="C25" s="35">
        <f t="shared" si="0"/>
        <v>21.3</v>
      </c>
      <c r="D25" s="35">
        <v>22.6</v>
      </c>
      <c r="E25" s="34"/>
      <c r="F25" s="34"/>
      <c r="G25" s="34" t="s">
        <v>114</v>
      </c>
      <c r="H25" s="34"/>
      <c r="I25" s="34"/>
      <c r="J25" s="34" t="s">
        <v>114</v>
      </c>
      <c r="K25" s="34"/>
      <c r="L25" s="34"/>
      <c r="M25" s="34" t="s">
        <v>114</v>
      </c>
      <c r="N25" s="34"/>
      <c r="O25" s="34"/>
      <c r="P25" s="34" t="s">
        <v>114</v>
      </c>
      <c r="Q25" s="34"/>
      <c r="R25" s="34"/>
      <c r="S25" s="34" t="s">
        <v>114</v>
      </c>
      <c r="T25" s="34"/>
      <c r="U25" s="36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34"/>
      <c r="B26" s="34"/>
      <c r="C26" s="35">
        <f t="shared" si="0"/>
        <v>22.6</v>
      </c>
      <c r="D26" s="35">
        <v>23.6</v>
      </c>
      <c r="E26" s="34"/>
      <c r="F26" s="34" t="s">
        <v>114</v>
      </c>
      <c r="G26" s="34"/>
      <c r="H26" s="34"/>
      <c r="I26" s="34" t="s">
        <v>114</v>
      </c>
      <c r="J26" s="34" t="s">
        <v>114</v>
      </c>
      <c r="K26" s="34"/>
      <c r="L26" s="34"/>
      <c r="M26" s="34" t="s">
        <v>114</v>
      </c>
      <c r="N26" s="34"/>
      <c r="O26" s="34"/>
      <c r="P26" s="34" t="s">
        <v>114</v>
      </c>
      <c r="Q26" s="34"/>
      <c r="R26" s="34"/>
      <c r="S26" s="34" t="s">
        <v>114</v>
      </c>
      <c r="T26" s="34"/>
      <c r="U26" s="36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34"/>
      <c r="B27" s="34"/>
      <c r="C27" s="35">
        <f t="shared" si="0"/>
        <v>23.6</v>
      </c>
      <c r="D27" s="35">
        <v>24</v>
      </c>
      <c r="E27" s="34"/>
      <c r="F27" s="34"/>
      <c r="G27" s="34"/>
      <c r="H27" s="34" t="s">
        <v>114</v>
      </c>
      <c r="I27" s="34"/>
      <c r="J27" s="34" t="s">
        <v>114</v>
      </c>
      <c r="K27" s="34"/>
      <c r="L27" s="34"/>
      <c r="M27" s="34" t="s">
        <v>114</v>
      </c>
      <c r="N27" s="34"/>
      <c r="O27" s="34"/>
      <c r="P27" s="34" t="s">
        <v>114</v>
      </c>
      <c r="Q27" s="34"/>
      <c r="R27" s="34"/>
      <c r="S27" s="34" t="s">
        <v>114</v>
      </c>
      <c r="T27" s="34"/>
      <c r="U27" s="36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34"/>
      <c r="B28" s="34"/>
      <c r="C28" s="35">
        <f t="shared" si="0"/>
        <v>24</v>
      </c>
      <c r="D28" s="35">
        <v>25.3</v>
      </c>
      <c r="E28" s="34"/>
      <c r="F28" s="34" t="s">
        <v>114</v>
      </c>
      <c r="G28" s="34"/>
      <c r="H28" s="34"/>
      <c r="I28" s="34"/>
      <c r="J28" s="34" t="s">
        <v>114</v>
      </c>
      <c r="K28" s="34"/>
      <c r="L28" s="34"/>
      <c r="M28" s="34" t="s">
        <v>114</v>
      </c>
      <c r="N28" s="34"/>
      <c r="O28" s="34"/>
      <c r="P28" s="34" t="s">
        <v>114</v>
      </c>
      <c r="Q28" s="34"/>
      <c r="R28" s="34"/>
      <c r="S28" s="34" t="s">
        <v>114</v>
      </c>
      <c r="T28" s="34"/>
      <c r="U28" s="36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34"/>
      <c r="B29" s="34"/>
      <c r="C29" s="35">
        <f t="shared" si="0"/>
        <v>25.3</v>
      </c>
      <c r="D29" s="35">
        <v>25.4</v>
      </c>
      <c r="E29" s="34"/>
      <c r="F29" s="34"/>
      <c r="G29" s="34"/>
      <c r="H29" s="34" t="s">
        <v>114</v>
      </c>
      <c r="I29" s="34"/>
      <c r="J29" s="34" t="s">
        <v>114</v>
      </c>
      <c r="K29" s="34"/>
      <c r="L29" s="34"/>
      <c r="M29" s="34" t="s">
        <v>114</v>
      </c>
      <c r="N29" s="34"/>
      <c r="O29" s="34"/>
      <c r="P29" s="34" t="s">
        <v>114</v>
      </c>
      <c r="Q29" s="34"/>
      <c r="R29" s="34"/>
      <c r="S29" s="34" t="s">
        <v>114</v>
      </c>
      <c r="T29" s="34"/>
      <c r="U29" s="36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x14ac:dyDescent="0.25">
      <c r="A30" s="49"/>
      <c r="B30" s="49"/>
      <c r="C30" s="35">
        <f t="shared" si="0"/>
        <v>25.4</v>
      </c>
      <c r="D30" s="35">
        <v>36.4</v>
      </c>
      <c r="E30" s="49"/>
      <c r="F30" s="49" t="s">
        <v>114</v>
      </c>
      <c r="G30" s="49"/>
      <c r="H30" s="49"/>
      <c r="I30" s="49"/>
      <c r="J30" s="49" t="s">
        <v>114</v>
      </c>
      <c r="K30" s="49"/>
      <c r="L30" s="34"/>
      <c r="M30" s="34" t="s">
        <v>114</v>
      </c>
      <c r="N30" s="34"/>
      <c r="O30" s="34"/>
      <c r="P30" s="34" t="s">
        <v>114</v>
      </c>
      <c r="Q30" s="34"/>
      <c r="R30" s="34"/>
      <c r="S30" s="34" t="s">
        <v>114</v>
      </c>
      <c r="T30" s="34"/>
      <c r="U30" s="51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spans="1:40" ht="36" customHeight="1" x14ac:dyDescent="0.25">
      <c r="A31" s="49"/>
      <c r="B31" s="49"/>
      <c r="C31" s="35">
        <f t="shared" si="0"/>
        <v>36.4</v>
      </c>
      <c r="D31" s="35">
        <v>36.700000000000003</v>
      </c>
      <c r="E31" s="49"/>
      <c r="F31" s="49"/>
      <c r="G31" s="49" t="s">
        <v>114</v>
      </c>
      <c r="H31" s="49"/>
      <c r="I31" s="49"/>
      <c r="J31" s="49" t="s">
        <v>114</v>
      </c>
      <c r="K31" s="49"/>
      <c r="L31" s="34"/>
      <c r="M31" s="34" t="s">
        <v>114</v>
      </c>
      <c r="N31" s="34"/>
      <c r="O31" s="34"/>
      <c r="P31" s="34" t="s">
        <v>114</v>
      </c>
      <c r="Q31" s="34"/>
      <c r="R31" s="34"/>
      <c r="S31" s="34" t="s">
        <v>114</v>
      </c>
      <c r="T31" s="34"/>
      <c r="U31" s="51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spans="1:40" ht="36" customHeight="1" x14ac:dyDescent="0.25">
      <c r="A32" s="49"/>
      <c r="B32" s="49"/>
      <c r="C32" s="35">
        <f t="shared" si="0"/>
        <v>36.700000000000003</v>
      </c>
      <c r="D32" s="50">
        <v>39.5</v>
      </c>
      <c r="E32" s="49"/>
      <c r="F32" s="49" t="s">
        <v>114</v>
      </c>
      <c r="G32" s="49"/>
      <c r="H32" s="49"/>
      <c r="I32" s="49"/>
      <c r="J32" s="49" t="s">
        <v>114</v>
      </c>
      <c r="K32" s="49"/>
      <c r="L32" s="34"/>
      <c r="M32" s="34" t="s">
        <v>114</v>
      </c>
      <c r="N32" s="34"/>
      <c r="O32" s="34"/>
      <c r="P32" s="34" t="s">
        <v>114</v>
      </c>
      <c r="Q32" s="34"/>
      <c r="R32" s="34"/>
      <c r="S32" s="34" t="s">
        <v>114</v>
      </c>
      <c r="T32" s="34"/>
      <c r="U32" s="51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spans="1:40" ht="36" customHeight="1" x14ac:dyDescent="0.25">
      <c r="A33" s="49"/>
      <c r="B33" s="49"/>
      <c r="C33" s="35">
        <f t="shared" si="0"/>
        <v>39.5</v>
      </c>
      <c r="D33" s="50">
        <v>39.9</v>
      </c>
      <c r="E33" s="49"/>
      <c r="F33" s="49"/>
      <c r="G33" s="49" t="s">
        <v>114</v>
      </c>
      <c r="H33" s="49"/>
      <c r="I33" s="49"/>
      <c r="J33" s="49" t="s">
        <v>114</v>
      </c>
      <c r="K33" s="49"/>
      <c r="L33" s="34"/>
      <c r="M33" s="34" t="s">
        <v>114</v>
      </c>
      <c r="N33" s="34"/>
      <c r="O33" s="34"/>
      <c r="P33" s="34" t="s">
        <v>114</v>
      </c>
      <c r="Q33" s="34"/>
      <c r="R33" s="34"/>
      <c r="S33" s="34" t="s">
        <v>114</v>
      </c>
      <c r="T33" s="34"/>
      <c r="U33" s="51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 ht="36" customHeight="1" x14ac:dyDescent="0.25">
      <c r="A34" s="49"/>
      <c r="B34" s="49"/>
      <c r="C34" s="35">
        <f t="shared" si="0"/>
        <v>39.9</v>
      </c>
      <c r="D34" s="50">
        <v>40.5</v>
      </c>
      <c r="E34" s="49"/>
      <c r="F34" s="49" t="s">
        <v>114</v>
      </c>
      <c r="G34" s="49"/>
      <c r="H34" s="49"/>
      <c r="I34" s="49"/>
      <c r="J34" s="49" t="s">
        <v>114</v>
      </c>
      <c r="K34" s="49"/>
      <c r="L34" s="34"/>
      <c r="M34" s="34" t="s">
        <v>114</v>
      </c>
      <c r="N34" s="34"/>
      <c r="O34" s="34"/>
      <c r="P34" s="34" t="s">
        <v>114</v>
      </c>
      <c r="Q34" s="34"/>
      <c r="R34" s="34"/>
      <c r="S34" s="34" t="s">
        <v>114</v>
      </c>
      <c r="T34" s="34"/>
      <c r="U34" s="51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spans="1:40" ht="36" customHeight="1" x14ac:dyDescent="0.25">
      <c r="A35" s="49"/>
      <c r="B35" s="49"/>
      <c r="C35" s="35">
        <f t="shared" si="0"/>
        <v>40.5</v>
      </c>
      <c r="D35" s="50">
        <v>41.5</v>
      </c>
      <c r="E35" s="49"/>
      <c r="F35" s="49"/>
      <c r="G35" s="49" t="s">
        <v>114</v>
      </c>
      <c r="H35" s="49"/>
      <c r="I35" s="49"/>
      <c r="J35" s="49" t="s">
        <v>114</v>
      </c>
      <c r="K35" s="49"/>
      <c r="L35" s="34"/>
      <c r="M35" s="34" t="s">
        <v>114</v>
      </c>
      <c r="N35" s="34"/>
      <c r="O35" s="34"/>
      <c r="P35" s="34" t="s">
        <v>114</v>
      </c>
      <c r="Q35" s="34"/>
      <c r="R35" s="34"/>
      <c r="S35" s="34" t="s">
        <v>114</v>
      </c>
      <c r="T35" s="34"/>
      <c r="U35" s="51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</row>
    <row r="36" spans="1:40" ht="36" customHeight="1" x14ac:dyDescent="0.25">
      <c r="A36" s="49"/>
      <c r="B36" s="49"/>
      <c r="C36" s="35">
        <f t="shared" si="0"/>
        <v>41.5</v>
      </c>
      <c r="D36" s="50">
        <v>42</v>
      </c>
      <c r="E36" s="49"/>
      <c r="F36" s="49" t="s">
        <v>114</v>
      </c>
      <c r="G36" s="49"/>
      <c r="H36" s="49"/>
      <c r="I36" s="49"/>
      <c r="J36" s="49" t="s">
        <v>114</v>
      </c>
      <c r="K36" s="49"/>
      <c r="L36" s="34"/>
      <c r="M36" s="34" t="s">
        <v>114</v>
      </c>
      <c r="N36" s="34"/>
      <c r="O36" s="34"/>
      <c r="P36" s="34" t="s">
        <v>114</v>
      </c>
      <c r="Q36" s="34"/>
      <c r="R36" s="34"/>
      <c r="S36" s="34" t="s">
        <v>114</v>
      </c>
      <c r="T36" s="34"/>
      <c r="U36" s="51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</row>
    <row r="37" spans="1:40" ht="36" customHeight="1" x14ac:dyDescent="0.25">
      <c r="A37" s="49"/>
      <c r="B37" s="49"/>
      <c r="C37" s="35">
        <f t="shared" si="0"/>
        <v>42</v>
      </c>
      <c r="D37" s="50">
        <v>43.1</v>
      </c>
      <c r="E37" s="49"/>
      <c r="F37" s="49"/>
      <c r="G37" s="49" t="s">
        <v>114</v>
      </c>
      <c r="H37" s="49"/>
      <c r="I37" s="49"/>
      <c r="J37" s="49" t="s">
        <v>114</v>
      </c>
      <c r="K37" s="49"/>
      <c r="L37" s="34"/>
      <c r="M37" s="34" t="s">
        <v>114</v>
      </c>
      <c r="N37" s="34"/>
      <c r="O37" s="34"/>
      <c r="P37" s="34" t="s">
        <v>114</v>
      </c>
      <c r="Q37" s="34"/>
      <c r="R37" s="34"/>
      <c r="S37" s="34" t="s">
        <v>114</v>
      </c>
      <c r="T37" s="34"/>
      <c r="U37" s="51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spans="1:40" ht="36" customHeight="1" x14ac:dyDescent="0.25">
      <c r="A38" s="49"/>
      <c r="B38" s="49"/>
      <c r="C38" s="35">
        <f t="shared" si="0"/>
        <v>43.1</v>
      </c>
      <c r="D38" s="50">
        <v>43.5</v>
      </c>
      <c r="E38" s="49"/>
      <c r="F38" s="49" t="s">
        <v>114</v>
      </c>
      <c r="G38" s="49"/>
      <c r="H38" s="49"/>
      <c r="I38" s="49"/>
      <c r="J38" s="49" t="s">
        <v>114</v>
      </c>
      <c r="K38" s="49"/>
      <c r="L38" s="34"/>
      <c r="M38" s="34" t="s">
        <v>114</v>
      </c>
      <c r="N38" s="34"/>
      <c r="O38" s="34"/>
      <c r="P38" s="34" t="s">
        <v>114</v>
      </c>
      <c r="Q38" s="34"/>
      <c r="R38" s="34"/>
      <c r="S38" s="34" t="s">
        <v>114</v>
      </c>
      <c r="T38" s="34"/>
      <c r="U38" s="51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</row>
    <row r="39" spans="1:40" ht="36" customHeight="1" x14ac:dyDescent="0.25">
      <c r="A39" s="49"/>
      <c r="B39" s="49"/>
      <c r="C39" s="35">
        <f t="shared" si="0"/>
        <v>43.5</v>
      </c>
      <c r="D39" s="50">
        <v>43.9</v>
      </c>
      <c r="E39" s="49"/>
      <c r="F39" s="49"/>
      <c r="G39" s="49"/>
      <c r="H39" s="49" t="s">
        <v>114</v>
      </c>
      <c r="I39" s="49"/>
      <c r="J39" s="49" t="s">
        <v>114</v>
      </c>
      <c r="K39" s="49"/>
      <c r="L39" s="34"/>
      <c r="M39" s="34" t="s">
        <v>114</v>
      </c>
      <c r="N39" s="34"/>
      <c r="O39" s="34"/>
      <c r="P39" s="34" t="s">
        <v>114</v>
      </c>
      <c r="Q39" s="34"/>
      <c r="R39" s="34"/>
      <c r="S39" s="34" t="s">
        <v>114</v>
      </c>
      <c r="T39" s="34"/>
      <c r="U39" s="51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spans="1:40" ht="36" customHeight="1" x14ac:dyDescent="0.25">
      <c r="A40" s="49"/>
      <c r="B40" s="49"/>
      <c r="C40" s="35">
        <f t="shared" si="0"/>
        <v>43.9</v>
      </c>
      <c r="D40" s="50">
        <v>45</v>
      </c>
      <c r="E40" s="49"/>
      <c r="F40" s="49" t="s">
        <v>114</v>
      </c>
      <c r="G40" s="49"/>
      <c r="H40" s="49"/>
      <c r="I40" s="49"/>
      <c r="J40" s="49" t="s">
        <v>114</v>
      </c>
      <c r="K40" s="49"/>
      <c r="L40" s="34"/>
      <c r="M40" s="34" t="s">
        <v>114</v>
      </c>
      <c r="N40" s="34"/>
      <c r="O40" s="34"/>
      <c r="P40" s="34" t="s">
        <v>114</v>
      </c>
      <c r="Q40" s="34"/>
      <c r="R40" s="34"/>
      <c r="S40" s="34" t="s">
        <v>114</v>
      </c>
      <c r="T40" s="34"/>
      <c r="U40" s="51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spans="1:40" ht="36" customHeight="1" x14ac:dyDescent="0.25">
      <c r="A41" s="49"/>
      <c r="B41" s="49"/>
      <c r="C41" s="35">
        <f t="shared" si="0"/>
        <v>45</v>
      </c>
      <c r="D41" s="50">
        <v>47.5</v>
      </c>
      <c r="E41" s="49"/>
      <c r="F41" s="49"/>
      <c r="G41" s="49" t="s">
        <v>114</v>
      </c>
      <c r="H41" s="49"/>
      <c r="I41" s="49"/>
      <c r="J41" s="49" t="s">
        <v>114</v>
      </c>
      <c r="K41" s="49"/>
      <c r="L41" s="34"/>
      <c r="M41" s="34" t="s">
        <v>114</v>
      </c>
      <c r="N41" s="34"/>
      <c r="O41" s="34"/>
      <c r="P41" s="34" t="s">
        <v>114</v>
      </c>
      <c r="Q41" s="34"/>
      <c r="R41" s="34"/>
      <c r="S41" s="34" t="s">
        <v>114</v>
      </c>
      <c r="T41" s="34"/>
      <c r="U41" s="51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spans="1:40" ht="36" customHeight="1" x14ac:dyDescent="0.25">
      <c r="A42" s="49"/>
      <c r="B42" s="49"/>
      <c r="C42" s="35">
        <f t="shared" si="0"/>
        <v>47.5</v>
      </c>
      <c r="D42" s="50">
        <v>48.65</v>
      </c>
      <c r="E42" s="49"/>
      <c r="F42" s="49" t="s">
        <v>114</v>
      </c>
      <c r="G42" s="49"/>
      <c r="H42" s="49"/>
      <c r="I42" s="49"/>
      <c r="J42" s="49" t="s">
        <v>114</v>
      </c>
      <c r="K42" s="49"/>
      <c r="L42" s="34"/>
      <c r="M42" s="34" t="s">
        <v>114</v>
      </c>
      <c r="N42" s="34"/>
      <c r="O42" s="34"/>
      <c r="P42" s="34" t="s">
        <v>114</v>
      </c>
      <c r="Q42" s="34"/>
      <c r="R42" s="34"/>
      <c r="S42" s="34" t="s">
        <v>114</v>
      </c>
      <c r="T42" s="34"/>
      <c r="U42" s="51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spans="1:40" ht="36" customHeight="1" x14ac:dyDescent="0.25">
      <c r="A43" s="49"/>
      <c r="B43" s="49"/>
      <c r="C43" s="50"/>
      <c r="D43" s="50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51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</row>
    <row r="44" spans="1:40" ht="36" customHeight="1" x14ac:dyDescent="0.25">
      <c r="A44" s="49"/>
      <c r="B44" s="49"/>
      <c r="C44" s="50"/>
      <c r="D44" s="50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51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</row>
    <row r="45" spans="1:40" ht="36" customHeight="1" x14ac:dyDescent="0.25">
      <c r="A45" s="49"/>
      <c r="B45" s="49"/>
      <c r="C45" s="50"/>
      <c r="D45" s="50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51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</row>
    <row r="46" spans="1:40" ht="36" customHeight="1" x14ac:dyDescent="0.25">
      <c r="A46" s="49"/>
      <c r="B46" s="49"/>
      <c r="C46" s="50"/>
      <c r="D46" s="50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51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spans="1:40" ht="36" customHeight="1" x14ac:dyDescent="0.25">
      <c r="A47" s="49"/>
      <c r="B47" s="49"/>
      <c r="C47" s="50"/>
      <c r="D47" s="50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51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spans="1:40" ht="36" customHeight="1" x14ac:dyDescent="0.25">
      <c r="A48" s="49"/>
      <c r="B48" s="49"/>
      <c r="C48" s="50"/>
      <c r="D48" s="50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51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spans="1:40" ht="36" customHeight="1" x14ac:dyDescent="0.25">
      <c r="A49" s="49"/>
      <c r="B49" s="49"/>
      <c r="C49" s="50"/>
      <c r="D49" s="50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51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</row>
    <row r="50" spans="1:40" ht="36" customHeight="1" x14ac:dyDescent="0.25">
      <c r="A50" s="49"/>
      <c r="B50" s="49"/>
      <c r="C50" s="50"/>
      <c r="D50" s="50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1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spans="1:40" ht="36" customHeight="1" thickBot="1" x14ac:dyDescent="0.3">
      <c r="A51" s="37"/>
      <c r="B51" s="37"/>
      <c r="C51" s="38"/>
      <c r="D51" s="38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9"/>
    </row>
    <row r="53" spans="1:40" ht="19.5" x14ac:dyDescent="0.3">
      <c r="A53" s="4" t="s">
        <v>6</v>
      </c>
      <c r="B53" s="11" t="s">
        <v>1</v>
      </c>
      <c r="C53" s="5"/>
      <c r="D53" s="5"/>
      <c r="E53" s="76"/>
      <c r="F53" s="76"/>
    </row>
    <row r="54" spans="1:40" ht="19.5" x14ac:dyDescent="0.3">
      <c r="A54" s="4" t="s">
        <v>8</v>
      </c>
      <c r="B54" s="4" t="s">
        <v>9</v>
      </c>
      <c r="E54" s="4" t="s">
        <v>13</v>
      </c>
      <c r="F54" s="4"/>
      <c r="G54" s="4"/>
      <c r="I54" s="4" t="s">
        <v>4</v>
      </c>
      <c r="J54" s="4" t="s">
        <v>11</v>
      </c>
      <c r="K54" s="1"/>
      <c r="L54" s="1"/>
      <c r="M54" s="4" t="s">
        <v>15</v>
      </c>
      <c r="N54" s="4"/>
      <c r="O54" s="4"/>
    </row>
    <row r="55" spans="1:40" ht="19.5" x14ac:dyDescent="0.3">
      <c r="A55" s="4" t="s">
        <v>3</v>
      </c>
      <c r="B55" s="4" t="s">
        <v>10</v>
      </c>
      <c r="E55" s="4" t="s">
        <v>14</v>
      </c>
      <c r="F55" s="4"/>
      <c r="G55" s="4"/>
      <c r="I55" s="4" t="s">
        <v>5</v>
      </c>
      <c r="J55" s="4" t="s">
        <v>12</v>
      </c>
      <c r="K55" s="1"/>
      <c r="L55" s="1"/>
      <c r="M55" s="4" t="s">
        <v>16</v>
      </c>
      <c r="N55" s="4"/>
      <c r="O55" s="4"/>
    </row>
    <row r="56" spans="1:40" x14ac:dyDescent="0.25">
      <c r="E56" s="1"/>
      <c r="F56" s="1"/>
      <c r="G56" s="1"/>
    </row>
    <row r="57" spans="1:40" x14ac:dyDescent="0.25">
      <c r="E57" s="1"/>
      <c r="F57" s="1"/>
      <c r="G57" s="1"/>
    </row>
    <row r="60" spans="1:40" x14ac:dyDescent="0.25">
      <c r="E60" s="2" t="str">
        <f t="shared" ref="E60:E78" si="1">IF(E7="X",(D7-C7),"0")</f>
        <v>0</v>
      </c>
      <c r="F60" s="2">
        <f t="shared" ref="F60:F78" si="2">IF(F7="X",(D7-C7),"0")</f>
        <v>1.4</v>
      </c>
      <c r="G60" s="2" t="str">
        <f t="shared" ref="G60:G78" si="3">IF(G7="X",(D7-C7),"0")</f>
        <v>0</v>
      </c>
      <c r="H60" s="2" t="str">
        <f t="shared" ref="H60:H78" si="4">IF(H7="X",(D7-C7),"0")</f>
        <v>0</v>
      </c>
      <c r="I60" s="2" t="str">
        <f t="shared" ref="I60:I78" si="5">IF(I7="X",(D7-C7),"0")</f>
        <v>0</v>
      </c>
      <c r="J60" s="2">
        <f t="shared" ref="J60:J78" si="6">IF(J7="X",(D7-C7),"0")</f>
        <v>1.4</v>
      </c>
      <c r="K60" s="2" t="str">
        <f t="shared" ref="K60:K78" si="7">IF(K7="X",(D7-C7),"0")</f>
        <v>0</v>
      </c>
      <c r="L60" s="2" t="str">
        <f t="shared" ref="L60:L78" si="8">IF(L7="X",(D7-C7),"0")</f>
        <v>0</v>
      </c>
      <c r="M60" s="2">
        <f t="shared" ref="M60:M78" si="9">IF(M7="X",(D7-C7),"0")</f>
        <v>1.4</v>
      </c>
      <c r="N60" s="2" t="str">
        <f t="shared" ref="N60:N78" si="10">IF(N7="X",(D7-C7),"0")</f>
        <v>0</v>
      </c>
      <c r="O60" s="2" t="str">
        <f t="shared" ref="O60:O78" si="11">IF(O7="X",(D7-C7),"0")</f>
        <v>0</v>
      </c>
      <c r="P60" s="2">
        <f t="shared" ref="P60:P78" si="12">IF(P7="X",(D7-C7),"0")</f>
        <v>1.4</v>
      </c>
      <c r="Q60" s="2" t="str">
        <f t="shared" ref="Q60:Q78" si="13">IF(Q7="X",(D7-C7),"0")</f>
        <v>0</v>
      </c>
      <c r="R60" s="2" t="str">
        <f t="shared" ref="R60:R78" si="14">IF(R7="X",(D7-C7),"0")</f>
        <v>0</v>
      </c>
      <c r="S60" s="2">
        <f t="shared" ref="S60:S78" si="15">IF(S7="X",(D7-C7),"0")</f>
        <v>1.4</v>
      </c>
      <c r="T60" s="2" t="str">
        <f t="shared" ref="T60:T78" si="16">IF(T7="X",(D7-C7),"0")</f>
        <v>0</v>
      </c>
    </row>
    <row r="61" spans="1:40" x14ac:dyDescent="0.25">
      <c r="E61" s="2" t="str">
        <f t="shared" si="1"/>
        <v>0</v>
      </c>
      <c r="F61" s="2" t="str">
        <f t="shared" si="2"/>
        <v>0</v>
      </c>
      <c r="G61" s="2">
        <f t="shared" si="3"/>
        <v>0.60000000000000009</v>
      </c>
      <c r="H61" s="2" t="str">
        <f t="shared" si="4"/>
        <v>0</v>
      </c>
      <c r="I61" s="2" t="str">
        <f t="shared" si="5"/>
        <v>0</v>
      </c>
      <c r="J61" s="2">
        <f t="shared" si="6"/>
        <v>0.60000000000000009</v>
      </c>
      <c r="K61" s="2" t="str">
        <f t="shared" si="7"/>
        <v>0</v>
      </c>
      <c r="L61" s="2" t="str">
        <f t="shared" si="8"/>
        <v>0</v>
      </c>
      <c r="M61" s="2">
        <f t="shared" si="9"/>
        <v>0.60000000000000009</v>
      </c>
      <c r="N61" s="2" t="str">
        <f t="shared" si="10"/>
        <v>0</v>
      </c>
      <c r="O61" s="2" t="str">
        <f t="shared" si="11"/>
        <v>0</v>
      </c>
      <c r="P61" s="2">
        <f t="shared" si="12"/>
        <v>0.60000000000000009</v>
      </c>
      <c r="Q61" s="2" t="str">
        <f t="shared" si="13"/>
        <v>0</v>
      </c>
      <c r="R61" s="2" t="str">
        <f t="shared" si="14"/>
        <v>0</v>
      </c>
      <c r="S61" s="2">
        <f t="shared" si="15"/>
        <v>0.60000000000000009</v>
      </c>
      <c r="T61" s="2" t="str">
        <f t="shared" si="16"/>
        <v>0</v>
      </c>
    </row>
    <row r="62" spans="1:40" x14ac:dyDescent="0.25">
      <c r="E62" s="2" t="str">
        <f t="shared" si="1"/>
        <v>0</v>
      </c>
      <c r="F62" s="2">
        <f t="shared" si="2"/>
        <v>0.29999999999999982</v>
      </c>
      <c r="G62" s="2" t="str">
        <f t="shared" si="3"/>
        <v>0</v>
      </c>
      <c r="H62" s="2" t="str">
        <f t="shared" si="4"/>
        <v>0</v>
      </c>
      <c r="I62" s="2" t="str">
        <f t="shared" si="5"/>
        <v>0</v>
      </c>
      <c r="J62" s="2">
        <f t="shared" si="6"/>
        <v>0.29999999999999982</v>
      </c>
      <c r="K62" s="2" t="str">
        <f t="shared" si="7"/>
        <v>0</v>
      </c>
      <c r="L62" s="2" t="str">
        <f t="shared" si="8"/>
        <v>0</v>
      </c>
      <c r="M62" s="2">
        <f t="shared" si="9"/>
        <v>0.29999999999999982</v>
      </c>
      <c r="N62" s="2" t="str">
        <f t="shared" si="10"/>
        <v>0</v>
      </c>
      <c r="O62" s="2" t="str">
        <f t="shared" si="11"/>
        <v>0</v>
      </c>
      <c r="P62" s="2">
        <f t="shared" si="12"/>
        <v>0.29999999999999982</v>
      </c>
      <c r="Q62" s="2" t="str">
        <f t="shared" si="13"/>
        <v>0</v>
      </c>
      <c r="R62" s="2" t="str">
        <f t="shared" si="14"/>
        <v>0</v>
      </c>
      <c r="S62" s="2">
        <f t="shared" si="15"/>
        <v>0.29999999999999982</v>
      </c>
      <c r="T62" s="2" t="str">
        <f t="shared" si="16"/>
        <v>0</v>
      </c>
    </row>
    <row r="63" spans="1:40" x14ac:dyDescent="0.25">
      <c r="E63" s="2" t="str">
        <f t="shared" si="1"/>
        <v>0</v>
      </c>
      <c r="F63" s="2" t="str">
        <f t="shared" si="2"/>
        <v>0</v>
      </c>
      <c r="G63" s="2" t="str">
        <f t="shared" si="3"/>
        <v>0</v>
      </c>
      <c r="H63" s="2">
        <f t="shared" si="4"/>
        <v>0.60000000000000009</v>
      </c>
      <c r="I63" s="2" t="str">
        <f t="shared" si="5"/>
        <v>0</v>
      </c>
      <c r="J63" s="2">
        <f t="shared" si="6"/>
        <v>0.60000000000000009</v>
      </c>
      <c r="K63" s="2" t="str">
        <f t="shared" si="7"/>
        <v>0</v>
      </c>
      <c r="L63" s="2" t="str">
        <f t="shared" si="8"/>
        <v>0</v>
      </c>
      <c r="M63" s="2">
        <f t="shared" si="9"/>
        <v>0.60000000000000009</v>
      </c>
      <c r="N63" s="2" t="str">
        <f t="shared" si="10"/>
        <v>0</v>
      </c>
      <c r="O63" s="2" t="str">
        <f t="shared" si="11"/>
        <v>0</v>
      </c>
      <c r="P63" s="2">
        <f t="shared" si="12"/>
        <v>0.60000000000000009</v>
      </c>
      <c r="Q63" s="2" t="str">
        <f t="shared" si="13"/>
        <v>0</v>
      </c>
      <c r="R63" s="2" t="str">
        <f t="shared" si="14"/>
        <v>0</v>
      </c>
      <c r="S63" s="2">
        <f t="shared" si="15"/>
        <v>0.60000000000000009</v>
      </c>
      <c r="T63" s="2" t="str">
        <f t="shared" si="16"/>
        <v>0</v>
      </c>
    </row>
    <row r="64" spans="1:40" x14ac:dyDescent="0.25">
      <c r="E64" s="2" t="str">
        <f t="shared" si="1"/>
        <v>0</v>
      </c>
      <c r="F64" s="2">
        <f t="shared" si="2"/>
        <v>2.6</v>
      </c>
      <c r="G64" s="2" t="str">
        <f t="shared" si="3"/>
        <v>0</v>
      </c>
      <c r="H64" s="2" t="str">
        <f t="shared" si="4"/>
        <v>0</v>
      </c>
      <c r="I64" s="2" t="str">
        <f t="shared" si="5"/>
        <v>0</v>
      </c>
      <c r="J64" s="2">
        <f t="shared" si="6"/>
        <v>2.6</v>
      </c>
      <c r="K64" s="2" t="str">
        <f t="shared" si="7"/>
        <v>0</v>
      </c>
      <c r="L64" s="2" t="str">
        <f t="shared" si="8"/>
        <v>0</v>
      </c>
      <c r="M64" s="2">
        <f t="shared" si="9"/>
        <v>2.6</v>
      </c>
      <c r="N64" s="2" t="str">
        <f t="shared" si="10"/>
        <v>0</v>
      </c>
      <c r="O64" s="2" t="str">
        <f t="shared" si="11"/>
        <v>0</v>
      </c>
      <c r="P64" s="2">
        <f t="shared" si="12"/>
        <v>2.6</v>
      </c>
      <c r="Q64" s="2" t="str">
        <f t="shared" si="13"/>
        <v>0</v>
      </c>
      <c r="R64" s="2" t="str">
        <f t="shared" si="14"/>
        <v>0</v>
      </c>
      <c r="S64" s="2">
        <f t="shared" si="15"/>
        <v>2.6</v>
      </c>
      <c r="T64" s="2" t="str">
        <f t="shared" si="16"/>
        <v>0</v>
      </c>
    </row>
    <row r="65" spans="5:20" x14ac:dyDescent="0.25">
      <c r="E65" s="2" t="str">
        <f t="shared" si="1"/>
        <v>0</v>
      </c>
      <c r="F65" s="2" t="str">
        <f t="shared" si="2"/>
        <v>0</v>
      </c>
      <c r="G65" s="2" t="str">
        <f t="shared" si="3"/>
        <v>0</v>
      </c>
      <c r="H65" s="2">
        <f t="shared" si="4"/>
        <v>0.5</v>
      </c>
      <c r="I65" s="2" t="str">
        <f t="shared" si="5"/>
        <v>0</v>
      </c>
      <c r="J65" s="2">
        <f t="shared" si="6"/>
        <v>0.5</v>
      </c>
      <c r="K65" s="2" t="str">
        <f t="shared" si="7"/>
        <v>0</v>
      </c>
      <c r="L65" s="2" t="str">
        <f t="shared" si="8"/>
        <v>0</v>
      </c>
      <c r="M65" s="2">
        <f t="shared" si="9"/>
        <v>0.5</v>
      </c>
      <c r="N65" s="2" t="str">
        <f t="shared" si="10"/>
        <v>0</v>
      </c>
      <c r="O65" s="2" t="str">
        <f t="shared" si="11"/>
        <v>0</v>
      </c>
      <c r="P65" s="2">
        <f t="shared" si="12"/>
        <v>0.5</v>
      </c>
      <c r="Q65" s="2" t="str">
        <f t="shared" si="13"/>
        <v>0</v>
      </c>
      <c r="R65" s="2" t="str">
        <f t="shared" si="14"/>
        <v>0</v>
      </c>
      <c r="S65" s="2">
        <f t="shared" si="15"/>
        <v>0.5</v>
      </c>
      <c r="T65" s="2" t="str">
        <f t="shared" si="16"/>
        <v>0</v>
      </c>
    </row>
    <row r="66" spans="5:20" x14ac:dyDescent="0.25">
      <c r="E66" s="2" t="str">
        <f t="shared" si="1"/>
        <v>0</v>
      </c>
      <c r="F66" s="2">
        <f t="shared" si="2"/>
        <v>2.9000000000000004</v>
      </c>
      <c r="G66" s="2" t="str">
        <f t="shared" si="3"/>
        <v>0</v>
      </c>
      <c r="H66" s="2" t="str">
        <f t="shared" si="4"/>
        <v>0</v>
      </c>
      <c r="I66" s="2" t="str">
        <f t="shared" si="5"/>
        <v>0</v>
      </c>
      <c r="J66" s="2">
        <f t="shared" si="6"/>
        <v>2.9000000000000004</v>
      </c>
      <c r="K66" s="2" t="str">
        <f t="shared" si="7"/>
        <v>0</v>
      </c>
      <c r="L66" s="2" t="str">
        <f t="shared" si="8"/>
        <v>0</v>
      </c>
      <c r="M66" s="2">
        <f t="shared" si="9"/>
        <v>2.9000000000000004</v>
      </c>
      <c r="N66" s="2" t="str">
        <f t="shared" si="10"/>
        <v>0</v>
      </c>
      <c r="O66" s="2" t="str">
        <f t="shared" si="11"/>
        <v>0</v>
      </c>
      <c r="P66" s="2">
        <f t="shared" si="12"/>
        <v>2.9000000000000004</v>
      </c>
      <c r="Q66" s="2" t="str">
        <f t="shared" si="13"/>
        <v>0</v>
      </c>
      <c r="R66" s="2" t="str">
        <f t="shared" si="14"/>
        <v>0</v>
      </c>
      <c r="S66" s="2">
        <f t="shared" si="15"/>
        <v>2.9000000000000004</v>
      </c>
      <c r="T66" s="2" t="str">
        <f t="shared" si="16"/>
        <v>0</v>
      </c>
    </row>
    <row r="67" spans="5:20" x14ac:dyDescent="0.25">
      <c r="E67" s="2" t="str">
        <f t="shared" si="1"/>
        <v>0</v>
      </c>
      <c r="F67" s="2" t="str">
        <f t="shared" si="2"/>
        <v>0</v>
      </c>
      <c r="G67" s="2" t="str">
        <f t="shared" si="3"/>
        <v>0</v>
      </c>
      <c r="H67" s="2" t="str">
        <f t="shared" si="4"/>
        <v>0</v>
      </c>
      <c r="I67" s="2">
        <f t="shared" si="5"/>
        <v>0.40000000000000036</v>
      </c>
      <c r="J67" s="2">
        <f t="shared" si="6"/>
        <v>0.40000000000000036</v>
      </c>
      <c r="K67" s="2" t="str">
        <f t="shared" si="7"/>
        <v>0</v>
      </c>
      <c r="L67" s="2" t="str">
        <f t="shared" si="8"/>
        <v>0</v>
      </c>
      <c r="M67" s="2">
        <f t="shared" si="9"/>
        <v>0.40000000000000036</v>
      </c>
      <c r="N67" s="2" t="str">
        <f t="shared" si="10"/>
        <v>0</v>
      </c>
      <c r="O67" s="2" t="str">
        <f t="shared" si="11"/>
        <v>0</v>
      </c>
      <c r="P67" s="2">
        <f t="shared" si="12"/>
        <v>0.40000000000000036</v>
      </c>
      <c r="Q67" s="2" t="str">
        <f t="shared" si="13"/>
        <v>0</v>
      </c>
      <c r="R67" s="2" t="str">
        <f t="shared" si="14"/>
        <v>0</v>
      </c>
      <c r="S67" s="2">
        <f t="shared" si="15"/>
        <v>0.40000000000000036</v>
      </c>
      <c r="T67" s="2" t="str">
        <f t="shared" si="16"/>
        <v>0</v>
      </c>
    </row>
    <row r="68" spans="5:20" x14ac:dyDescent="0.25">
      <c r="E68" s="2" t="str">
        <f t="shared" si="1"/>
        <v>0</v>
      </c>
      <c r="F68" s="2">
        <f t="shared" si="2"/>
        <v>0.5</v>
      </c>
      <c r="G68" s="2" t="str">
        <f t="shared" si="3"/>
        <v>0</v>
      </c>
      <c r="H68" s="2">
        <f t="shared" si="4"/>
        <v>0.5</v>
      </c>
      <c r="I68" s="2" t="str">
        <f t="shared" si="5"/>
        <v>0</v>
      </c>
      <c r="J68" s="2">
        <f t="shared" si="6"/>
        <v>0.5</v>
      </c>
      <c r="K68" s="2" t="str">
        <f t="shared" si="7"/>
        <v>0</v>
      </c>
      <c r="L68" s="2" t="str">
        <f t="shared" si="8"/>
        <v>0</v>
      </c>
      <c r="M68" s="2">
        <f t="shared" si="9"/>
        <v>0.5</v>
      </c>
      <c r="N68" s="2" t="str">
        <f t="shared" si="10"/>
        <v>0</v>
      </c>
      <c r="O68" s="2" t="str">
        <f t="shared" si="11"/>
        <v>0</v>
      </c>
      <c r="P68" s="2">
        <f t="shared" si="12"/>
        <v>0.5</v>
      </c>
      <c r="Q68" s="2" t="str">
        <f t="shared" si="13"/>
        <v>0</v>
      </c>
      <c r="R68" s="2" t="str">
        <f t="shared" si="14"/>
        <v>0</v>
      </c>
      <c r="S68" s="2">
        <f t="shared" si="15"/>
        <v>0.5</v>
      </c>
      <c r="T68" s="2" t="str">
        <f t="shared" si="16"/>
        <v>0</v>
      </c>
    </row>
    <row r="69" spans="5:20" x14ac:dyDescent="0.25">
      <c r="E69" s="2" t="str">
        <f t="shared" si="1"/>
        <v>0</v>
      </c>
      <c r="F69" s="2" t="str">
        <f t="shared" si="2"/>
        <v>0</v>
      </c>
      <c r="G69" s="2" t="str">
        <f t="shared" si="3"/>
        <v>0</v>
      </c>
      <c r="H69" s="2">
        <f t="shared" si="4"/>
        <v>9.9999999999999645E-2</v>
      </c>
      <c r="I69" s="2" t="str">
        <f t="shared" si="5"/>
        <v>0</v>
      </c>
      <c r="J69" s="2">
        <f t="shared" si="6"/>
        <v>9.9999999999999645E-2</v>
      </c>
      <c r="K69" s="2" t="str">
        <f t="shared" si="7"/>
        <v>0</v>
      </c>
      <c r="L69" s="2" t="str">
        <f t="shared" si="8"/>
        <v>0</v>
      </c>
      <c r="M69" s="2">
        <f t="shared" si="9"/>
        <v>9.9999999999999645E-2</v>
      </c>
      <c r="N69" s="2" t="str">
        <f t="shared" si="10"/>
        <v>0</v>
      </c>
      <c r="O69" s="2" t="str">
        <f t="shared" si="11"/>
        <v>0</v>
      </c>
      <c r="P69" s="2">
        <f t="shared" si="12"/>
        <v>9.9999999999999645E-2</v>
      </c>
      <c r="Q69" s="2" t="str">
        <f t="shared" si="13"/>
        <v>0</v>
      </c>
      <c r="R69" s="2" t="str">
        <f t="shared" si="14"/>
        <v>0</v>
      </c>
      <c r="S69" s="2">
        <f t="shared" si="15"/>
        <v>9.9999999999999645E-2</v>
      </c>
      <c r="T69" s="2" t="str">
        <f t="shared" si="16"/>
        <v>0</v>
      </c>
    </row>
    <row r="70" spans="5:20" x14ac:dyDescent="0.25">
      <c r="E70" s="2" t="str">
        <f t="shared" si="1"/>
        <v>0</v>
      </c>
      <c r="F70" s="2">
        <f t="shared" si="2"/>
        <v>6.2000000000000011</v>
      </c>
      <c r="G70" s="2" t="str">
        <f t="shared" si="3"/>
        <v>0</v>
      </c>
      <c r="H70" s="2" t="str">
        <f t="shared" si="4"/>
        <v>0</v>
      </c>
      <c r="I70" s="2" t="str">
        <f t="shared" si="5"/>
        <v>0</v>
      </c>
      <c r="J70" s="2">
        <f t="shared" si="6"/>
        <v>6.2000000000000011</v>
      </c>
      <c r="K70" s="2" t="str">
        <f t="shared" si="7"/>
        <v>0</v>
      </c>
      <c r="L70" s="2" t="str">
        <f t="shared" si="8"/>
        <v>0</v>
      </c>
      <c r="M70" s="2">
        <f t="shared" si="9"/>
        <v>6.2000000000000011</v>
      </c>
      <c r="N70" s="2" t="str">
        <f t="shared" si="10"/>
        <v>0</v>
      </c>
      <c r="O70" s="2" t="str">
        <f t="shared" si="11"/>
        <v>0</v>
      </c>
      <c r="P70" s="2">
        <f t="shared" si="12"/>
        <v>6.2000000000000011</v>
      </c>
      <c r="Q70" s="2" t="str">
        <f t="shared" si="13"/>
        <v>0</v>
      </c>
      <c r="R70" s="2" t="str">
        <f t="shared" si="14"/>
        <v>0</v>
      </c>
      <c r="S70" s="2">
        <f t="shared" si="15"/>
        <v>6.2000000000000011</v>
      </c>
      <c r="T70" s="2" t="str">
        <f t="shared" si="16"/>
        <v>0</v>
      </c>
    </row>
    <row r="71" spans="5:20" x14ac:dyDescent="0.25">
      <c r="E71" s="2" t="str">
        <f t="shared" si="1"/>
        <v>0</v>
      </c>
      <c r="F71" s="2" t="str">
        <f t="shared" si="2"/>
        <v>0</v>
      </c>
      <c r="G71" s="2">
        <f t="shared" si="3"/>
        <v>0.29999999999999716</v>
      </c>
      <c r="H71" s="2" t="str">
        <f t="shared" si="4"/>
        <v>0</v>
      </c>
      <c r="I71" s="2" t="str">
        <f t="shared" si="5"/>
        <v>0</v>
      </c>
      <c r="J71" s="2">
        <f t="shared" si="6"/>
        <v>0.29999999999999716</v>
      </c>
      <c r="K71" s="2" t="str">
        <f t="shared" si="7"/>
        <v>0</v>
      </c>
      <c r="L71" s="2" t="str">
        <f t="shared" si="8"/>
        <v>0</v>
      </c>
      <c r="M71" s="2">
        <f t="shared" si="9"/>
        <v>0.29999999999999716</v>
      </c>
      <c r="N71" s="2" t="str">
        <f t="shared" si="10"/>
        <v>0</v>
      </c>
      <c r="O71" s="2" t="str">
        <f t="shared" si="11"/>
        <v>0</v>
      </c>
      <c r="P71" s="2">
        <f t="shared" si="12"/>
        <v>0.29999999999999716</v>
      </c>
      <c r="Q71" s="2" t="str">
        <f t="shared" si="13"/>
        <v>0</v>
      </c>
      <c r="R71" s="2" t="str">
        <f t="shared" si="14"/>
        <v>0</v>
      </c>
      <c r="S71" s="2">
        <f t="shared" si="15"/>
        <v>0.29999999999999716</v>
      </c>
      <c r="T71" s="2" t="str">
        <f t="shared" si="16"/>
        <v>0</v>
      </c>
    </row>
    <row r="72" spans="5:20" x14ac:dyDescent="0.25">
      <c r="E72" s="2" t="str">
        <f t="shared" si="1"/>
        <v>0</v>
      </c>
      <c r="F72" s="2" t="str">
        <f t="shared" si="2"/>
        <v>0</v>
      </c>
      <c r="G72" s="2" t="str">
        <f t="shared" si="3"/>
        <v>0</v>
      </c>
      <c r="H72" s="2">
        <f t="shared" si="4"/>
        <v>0.20000000000000284</v>
      </c>
      <c r="I72" s="2" t="str">
        <f t="shared" si="5"/>
        <v>0</v>
      </c>
      <c r="J72" s="2">
        <f t="shared" si="6"/>
        <v>0.20000000000000284</v>
      </c>
      <c r="K72" s="2" t="str">
        <f t="shared" si="7"/>
        <v>0</v>
      </c>
      <c r="L72" s="2" t="str">
        <f t="shared" si="8"/>
        <v>0</v>
      </c>
      <c r="M72" s="2">
        <f t="shared" si="9"/>
        <v>0.20000000000000284</v>
      </c>
      <c r="N72" s="2" t="str">
        <f t="shared" si="10"/>
        <v>0</v>
      </c>
      <c r="O72" s="2" t="str">
        <f t="shared" si="11"/>
        <v>0</v>
      </c>
      <c r="P72" s="2">
        <f t="shared" si="12"/>
        <v>0.20000000000000284</v>
      </c>
      <c r="Q72" s="2" t="str">
        <f t="shared" si="13"/>
        <v>0</v>
      </c>
      <c r="R72" s="2" t="str">
        <f t="shared" si="14"/>
        <v>0</v>
      </c>
      <c r="S72" s="2">
        <f t="shared" si="15"/>
        <v>0.20000000000000284</v>
      </c>
      <c r="T72" s="2" t="str">
        <f t="shared" si="16"/>
        <v>0</v>
      </c>
    </row>
    <row r="73" spans="5:20" x14ac:dyDescent="0.25">
      <c r="E73" s="2" t="str">
        <f t="shared" si="1"/>
        <v>0</v>
      </c>
      <c r="F73" s="2">
        <f t="shared" si="2"/>
        <v>1.1999999999999993</v>
      </c>
      <c r="G73" s="2" t="str">
        <f t="shared" si="3"/>
        <v>0</v>
      </c>
      <c r="H73" s="2" t="str">
        <f t="shared" si="4"/>
        <v>0</v>
      </c>
      <c r="I73" s="2" t="str">
        <f t="shared" si="5"/>
        <v>0</v>
      </c>
      <c r="J73" s="2">
        <f t="shared" si="6"/>
        <v>1.1999999999999993</v>
      </c>
      <c r="K73" s="2" t="str">
        <f t="shared" si="7"/>
        <v>0</v>
      </c>
      <c r="L73" s="2" t="str">
        <f t="shared" si="8"/>
        <v>0</v>
      </c>
      <c r="M73" s="2">
        <f t="shared" si="9"/>
        <v>1.1999999999999993</v>
      </c>
      <c r="N73" s="2" t="str">
        <f t="shared" si="10"/>
        <v>0</v>
      </c>
      <c r="O73" s="2" t="str">
        <f t="shared" si="11"/>
        <v>0</v>
      </c>
      <c r="P73" s="2">
        <f t="shared" si="12"/>
        <v>1.1999999999999993</v>
      </c>
      <c r="Q73" s="2" t="str">
        <f t="shared" si="13"/>
        <v>0</v>
      </c>
      <c r="R73" s="2" t="str">
        <f t="shared" si="14"/>
        <v>0</v>
      </c>
      <c r="S73" s="2">
        <f t="shared" si="15"/>
        <v>1.1999999999999993</v>
      </c>
      <c r="T73" s="2" t="str">
        <f t="shared" si="16"/>
        <v>0</v>
      </c>
    </row>
    <row r="74" spans="5:20" x14ac:dyDescent="0.25">
      <c r="E74" s="2" t="str">
        <f t="shared" si="1"/>
        <v>0</v>
      </c>
      <c r="F74" s="2" t="str">
        <f t="shared" si="2"/>
        <v>0</v>
      </c>
      <c r="G74" s="2" t="str">
        <f t="shared" si="3"/>
        <v>0</v>
      </c>
      <c r="H74" s="2">
        <f t="shared" si="4"/>
        <v>0.19999999999999929</v>
      </c>
      <c r="I74" s="2" t="str">
        <f t="shared" si="5"/>
        <v>0</v>
      </c>
      <c r="J74" s="2">
        <f t="shared" si="6"/>
        <v>0.19999999999999929</v>
      </c>
      <c r="K74" s="2" t="str">
        <f t="shared" si="7"/>
        <v>0</v>
      </c>
      <c r="L74" s="2" t="str">
        <f t="shared" si="8"/>
        <v>0</v>
      </c>
      <c r="M74" s="2">
        <f t="shared" si="9"/>
        <v>0.19999999999999929</v>
      </c>
      <c r="N74" s="2" t="str">
        <f t="shared" si="10"/>
        <v>0</v>
      </c>
      <c r="O74" s="2" t="str">
        <f t="shared" si="11"/>
        <v>0</v>
      </c>
      <c r="P74" s="2">
        <f t="shared" si="12"/>
        <v>0.19999999999999929</v>
      </c>
      <c r="Q74" s="2" t="str">
        <f t="shared" si="13"/>
        <v>0</v>
      </c>
      <c r="R74" s="2" t="str">
        <f t="shared" si="14"/>
        <v>0</v>
      </c>
      <c r="S74" s="2">
        <f t="shared" si="15"/>
        <v>0.19999999999999929</v>
      </c>
      <c r="T74" s="2" t="str">
        <f t="shared" si="16"/>
        <v>0</v>
      </c>
    </row>
    <row r="75" spans="5:20" x14ac:dyDescent="0.25">
      <c r="E75" s="2" t="str">
        <f t="shared" si="1"/>
        <v>0</v>
      </c>
      <c r="F75" s="2">
        <f t="shared" si="2"/>
        <v>1.3999999999999986</v>
      </c>
      <c r="G75" s="2" t="str">
        <f t="shared" si="3"/>
        <v>0</v>
      </c>
      <c r="H75" s="2" t="str">
        <f t="shared" si="4"/>
        <v>0</v>
      </c>
      <c r="I75" s="2" t="str">
        <f t="shared" si="5"/>
        <v>0</v>
      </c>
      <c r="J75" s="2">
        <f t="shared" si="6"/>
        <v>1.3999999999999986</v>
      </c>
      <c r="K75" s="2" t="str">
        <f t="shared" si="7"/>
        <v>0</v>
      </c>
      <c r="L75" s="2" t="str">
        <f t="shared" si="8"/>
        <v>0</v>
      </c>
      <c r="M75" s="2">
        <f t="shared" si="9"/>
        <v>1.3999999999999986</v>
      </c>
      <c r="N75" s="2" t="str">
        <f t="shared" si="10"/>
        <v>0</v>
      </c>
      <c r="O75" s="2" t="str">
        <f t="shared" si="11"/>
        <v>0</v>
      </c>
      <c r="P75" s="2">
        <f t="shared" si="12"/>
        <v>1.3999999999999986</v>
      </c>
      <c r="Q75" s="2" t="str">
        <f t="shared" si="13"/>
        <v>0</v>
      </c>
      <c r="R75" s="2" t="str">
        <f t="shared" si="14"/>
        <v>0</v>
      </c>
      <c r="S75" s="2">
        <f t="shared" si="15"/>
        <v>1.3999999999999986</v>
      </c>
      <c r="T75" s="2" t="str">
        <f t="shared" si="16"/>
        <v>0</v>
      </c>
    </row>
    <row r="76" spans="5:20" x14ac:dyDescent="0.25">
      <c r="E76" s="2" t="str">
        <f t="shared" si="1"/>
        <v>0</v>
      </c>
      <c r="F76" s="2" t="str">
        <f t="shared" si="2"/>
        <v>0</v>
      </c>
      <c r="G76" s="2" t="str">
        <f t="shared" si="3"/>
        <v>0</v>
      </c>
      <c r="H76" s="2">
        <f t="shared" si="4"/>
        <v>1.5</v>
      </c>
      <c r="I76" s="2" t="str">
        <f t="shared" si="5"/>
        <v>0</v>
      </c>
      <c r="J76" s="2">
        <f t="shared" si="6"/>
        <v>1.5</v>
      </c>
      <c r="K76" s="2" t="str">
        <f t="shared" si="7"/>
        <v>0</v>
      </c>
      <c r="L76" s="2" t="str">
        <f t="shared" si="8"/>
        <v>0</v>
      </c>
      <c r="M76" s="2">
        <f t="shared" si="9"/>
        <v>1.5</v>
      </c>
      <c r="N76" s="2" t="str">
        <f t="shared" si="10"/>
        <v>0</v>
      </c>
      <c r="O76" s="2" t="str">
        <f t="shared" si="11"/>
        <v>0</v>
      </c>
      <c r="P76" s="2">
        <f t="shared" si="12"/>
        <v>1.5</v>
      </c>
      <c r="Q76" s="2" t="str">
        <f t="shared" si="13"/>
        <v>0</v>
      </c>
      <c r="R76" s="2" t="str">
        <f t="shared" si="14"/>
        <v>0</v>
      </c>
      <c r="S76" s="2">
        <f t="shared" si="15"/>
        <v>1.5</v>
      </c>
      <c r="T76" s="2" t="str">
        <f t="shared" si="16"/>
        <v>0</v>
      </c>
    </row>
    <row r="77" spans="5:20" x14ac:dyDescent="0.25">
      <c r="E77" s="2" t="str">
        <f t="shared" si="1"/>
        <v>0</v>
      </c>
      <c r="F77" s="2">
        <f t="shared" si="2"/>
        <v>0.40000000000000213</v>
      </c>
      <c r="G77" s="2" t="str">
        <f t="shared" si="3"/>
        <v>0</v>
      </c>
      <c r="H77" s="2" t="str">
        <f t="shared" si="4"/>
        <v>0</v>
      </c>
      <c r="I77" s="2" t="str">
        <f t="shared" si="5"/>
        <v>0</v>
      </c>
      <c r="J77" s="2">
        <f t="shared" si="6"/>
        <v>0.40000000000000213</v>
      </c>
      <c r="K77" s="2" t="str">
        <f t="shared" si="7"/>
        <v>0</v>
      </c>
      <c r="L77" s="2" t="str">
        <f t="shared" si="8"/>
        <v>0</v>
      </c>
      <c r="M77" s="2">
        <f t="shared" si="9"/>
        <v>0.40000000000000213</v>
      </c>
      <c r="N77" s="2" t="str">
        <f t="shared" si="10"/>
        <v>0</v>
      </c>
      <c r="O77" s="2" t="str">
        <f t="shared" si="11"/>
        <v>0</v>
      </c>
      <c r="P77" s="2">
        <f t="shared" si="12"/>
        <v>0.40000000000000213</v>
      </c>
      <c r="Q77" s="2" t="str">
        <f t="shared" si="13"/>
        <v>0</v>
      </c>
      <c r="R77" s="2" t="str">
        <f t="shared" si="14"/>
        <v>0</v>
      </c>
      <c r="S77" s="2">
        <f t="shared" si="15"/>
        <v>0.40000000000000213</v>
      </c>
      <c r="T77" s="2" t="str">
        <f t="shared" si="16"/>
        <v>0</v>
      </c>
    </row>
    <row r="78" spans="5:20" x14ac:dyDescent="0.25">
      <c r="E78" s="2" t="str">
        <f t="shared" si="1"/>
        <v>0</v>
      </c>
      <c r="F78" s="2" t="str">
        <f t="shared" si="2"/>
        <v>0</v>
      </c>
      <c r="G78" s="2">
        <f t="shared" si="3"/>
        <v>1.3000000000000007</v>
      </c>
      <c r="H78" s="2" t="str">
        <f t="shared" si="4"/>
        <v>0</v>
      </c>
      <c r="I78" s="2" t="str">
        <f t="shared" si="5"/>
        <v>0</v>
      </c>
      <c r="J78" s="2">
        <f t="shared" si="6"/>
        <v>1.3000000000000007</v>
      </c>
      <c r="K78" s="2" t="str">
        <f t="shared" si="7"/>
        <v>0</v>
      </c>
      <c r="L78" s="2" t="str">
        <f t="shared" si="8"/>
        <v>0</v>
      </c>
      <c r="M78" s="2">
        <f t="shared" si="9"/>
        <v>1.3000000000000007</v>
      </c>
      <c r="N78" s="2" t="str">
        <f t="shared" si="10"/>
        <v>0</v>
      </c>
      <c r="O78" s="2" t="str">
        <f t="shared" si="11"/>
        <v>0</v>
      </c>
      <c r="P78" s="2">
        <f t="shared" si="12"/>
        <v>1.3000000000000007</v>
      </c>
      <c r="Q78" s="2" t="str">
        <f t="shared" si="13"/>
        <v>0</v>
      </c>
      <c r="R78" s="2" t="str">
        <f t="shared" si="14"/>
        <v>0</v>
      </c>
      <c r="S78" s="2">
        <f t="shared" si="15"/>
        <v>1.3000000000000007</v>
      </c>
      <c r="T78" s="2" t="str">
        <f t="shared" si="16"/>
        <v>0</v>
      </c>
    </row>
    <row r="79" spans="5:20" x14ac:dyDescent="0.25">
      <c r="E79" s="2" t="str">
        <f t="shared" ref="E79:E95" si="17">IF(E26="X",(D26-C26),"0")</f>
        <v>0</v>
      </c>
      <c r="F79" s="2">
        <f t="shared" ref="F79:F95" si="18">IF(F26="X",(D26-C26),"0")</f>
        <v>1</v>
      </c>
      <c r="G79" s="2" t="str">
        <f t="shared" ref="G79:G95" si="19">IF(G26="X",(D26-C26),"0")</f>
        <v>0</v>
      </c>
      <c r="H79" s="2" t="str">
        <f t="shared" ref="H79:H95" si="20">IF(H26="X",(D26-C26),"0")</f>
        <v>0</v>
      </c>
      <c r="I79" s="2">
        <f t="shared" ref="I79:I95" si="21">IF(I26="X",(D26-C26),"0")</f>
        <v>1</v>
      </c>
      <c r="J79" s="2">
        <f t="shared" ref="J79:J95" si="22">IF(J26="X",(D26-C26),"0")</f>
        <v>1</v>
      </c>
      <c r="K79" s="2" t="str">
        <f t="shared" ref="K79:K95" si="23">IF(K26="X",(D26-C26),"0")</f>
        <v>0</v>
      </c>
      <c r="L79" s="2" t="str">
        <f t="shared" ref="L79:L95" si="24">IF(L26="X",(D26-C26),"0")</f>
        <v>0</v>
      </c>
      <c r="M79" s="2">
        <f t="shared" ref="M79:M95" si="25">IF(M26="X",(D26-C26),"0")</f>
        <v>1</v>
      </c>
      <c r="N79" s="2" t="str">
        <f t="shared" ref="N79:N95" si="26">IF(N26="X",(D26-C26),"0")</f>
        <v>0</v>
      </c>
      <c r="O79" s="2" t="str">
        <f t="shared" ref="O79:O95" si="27">IF(O26="X",(D26-C26),"0")</f>
        <v>0</v>
      </c>
      <c r="P79" s="2">
        <f t="shared" ref="P79:P95" si="28">IF(P26="X",(D26-C26),"0")</f>
        <v>1</v>
      </c>
      <c r="Q79" s="2" t="str">
        <f t="shared" ref="Q79:Q95" si="29">IF(Q26="X",(D26-C26),"0")</f>
        <v>0</v>
      </c>
      <c r="R79" s="2" t="str">
        <f t="shared" ref="R79:R95" si="30">IF(R26="X",(D26-C26),"0")</f>
        <v>0</v>
      </c>
      <c r="S79" s="2">
        <f t="shared" ref="S79:S95" si="31">IF(S26="X",(D26-C26),"0")</f>
        <v>1</v>
      </c>
      <c r="T79" s="2" t="str">
        <f t="shared" ref="T79:T95" si="32">IF(T26="X",(D26-C26),"0")</f>
        <v>0</v>
      </c>
    </row>
    <row r="80" spans="5:20" x14ac:dyDescent="0.25">
      <c r="E80" s="2" t="str">
        <f t="shared" si="17"/>
        <v>0</v>
      </c>
      <c r="F80" s="2" t="str">
        <f t="shared" si="18"/>
        <v>0</v>
      </c>
      <c r="G80" s="2" t="str">
        <f t="shared" si="19"/>
        <v>0</v>
      </c>
      <c r="H80" s="2">
        <f t="shared" si="20"/>
        <v>0.39999999999999858</v>
      </c>
      <c r="I80" s="2" t="str">
        <f t="shared" si="21"/>
        <v>0</v>
      </c>
      <c r="J80" s="2">
        <f t="shared" si="22"/>
        <v>0.39999999999999858</v>
      </c>
      <c r="K80" s="2" t="str">
        <f t="shared" si="23"/>
        <v>0</v>
      </c>
      <c r="L80" s="2" t="str">
        <f t="shared" si="24"/>
        <v>0</v>
      </c>
      <c r="M80" s="2">
        <f t="shared" si="25"/>
        <v>0.39999999999999858</v>
      </c>
      <c r="N80" s="2" t="str">
        <f t="shared" si="26"/>
        <v>0</v>
      </c>
      <c r="O80" s="2" t="str">
        <f t="shared" si="27"/>
        <v>0</v>
      </c>
      <c r="P80" s="2">
        <f t="shared" si="28"/>
        <v>0.39999999999999858</v>
      </c>
      <c r="Q80" s="2" t="str">
        <f t="shared" si="29"/>
        <v>0</v>
      </c>
      <c r="R80" s="2" t="str">
        <f t="shared" si="30"/>
        <v>0</v>
      </c>
      <c r="S80" s="2">
        <f t="shared" si="31"/>
        <v>0.39999999999999858</v>
      </c>
      <c r="T80" s="2" t="str">
        <f t="shared" si="32"/>
        <v>0</v>
      </c>
    </row>
    <row r="81" spans="5:20" x14ac:dyDescent="0.25">
      <c r="E81" s="2" t="str">
        <f t="shared" si="17"/>
        <v>0</v>
      </c>
      <c r="F81" s="2">
        <f t="shared" si="18"/>
        <v>1.3000000000000007</v>
      </c>
      <c r="G81" s="2" t="str">
        <f t="shared" si="19"/>
        <v>0</v>
      </c>
      <c r="H81" s="2" t="str">
        <f t="shared" si="20"/>
        <v>0</v>
      </c>
      <c r="I81" s="2" t="str">
        <f t="shared" si="21"/>
        <v>0</v>
      </c>
      <c r="J81" s="2">
        <f t="shared" si="22"/>
        <v>1.3000000000000007</v>
      </c>
      <c r="K81" s="2" t="str">
        <f t="shared" si="23"/>
        <v>0</v>
      </c>
      <c r="L81" s="2" t="str">
        <f t="shared" si="24"/>
        <v>0</v>
      </c>
      <c r="M81" s="2">
        <f t="shared" si="25"/>
        <v>1.3000000000000007</v>
      </c>
      <c r="N81" s="2" t="str">
        <f t="shared" si="26"/>
        <v>0</v>
      </c>
      <c r="O81" s="2" t="str">
        <f t="shared" si="27"/>
        <v>0</v>
      </c>
      <c r="P81" s="2">
        <f t="shared" si="28"/>
        <v>1.3000000000000007</v>
      </c>
      <c r="Q81" s="2" t="str">
        <f t="shared" si="29"/>
        <v>0</v>
      </c>
      <c r="R81" s="2" t="str">
        <f t="shared" si="30"/>
        <v>0</v>
      </c>
      <c r="S81" s="2">
        <f t="shared" si="31"/>
        <v>1.3000000000000007</v>
      </c>
      <c r="T81" s="2" t="str">
        <f t="shared" si="32"/>
        <v>0</v>
      </c>
    </row>
    <row r="82" spans="5:20" x14ac:dyDescent="0.25">
      <c r="E82" s="2" t="str">
        <f t="shared" si="17"/>
        <v>0</v>
      </c>
      <c r="F82" s="2" t="str">
        <f t="shared" si="18"/>
        <v>0</v>
      </c>
      <c r="G82" s="2" t="str">
        <f t="shared" si="19"/>
        <v>0</v>
      </c>
      <c r="H82" s="2">
        <f t="shared" si="20"/>
        <v>9.9999999999997868E-2</v>
      </c>
      <c r="I82" s="2" t="str">
        <f t="shared" si="21"/>
        <v>0</v>
      </c>
      <c r="J82" s="2">
        <f t="shared" si="22"/>
        <v>9.9999999999997868E-2</v>
      </c>
      <c r="K82" s="2" t="str">
        <f t="shared" si="23"/>
        <v>0</v>
      </c>
      <c r="L82" s="2" t="str">
        <f t="shared" si="24"/>
        <v>0</v>
      </c>
      <c r="M82" s="2">
        <f t="shared" si="25"/>
        <v>9.9999999999997868E-2</v>
      </c>
      <c r="N82" s="2" t="str">
        <f t="shared" si="26"/>
        <v>0</v>
      </c>
      <c r="O82" s="2" t="str">
        <f t="shared" si="27"/>
        <v>0</v>
      </c>
      <c r="P82" s="2">
        <f t="shared" si="28"/>
        <v>9.9999999999997868E-2</v>
      </c>
      <c r="Q82" s="2" t="str">
        <f t="shared" si="29"/>
        <v>0</v>
      </c>
      <c r="R82" s="2" t="str">
        <f t="shared" si="30"/>
        <v>0</v>
      </c>
      <c r="S82" s="2">
        <f t="shared" si="31"/>
        <v>9.9999999999997868E-2</v>
      </c>
      <c r="T82" s="2" t="str">
        <f t="shared" si="32"/>
        <v>0</v>
      </c>
    </row>
    <row r="83" spans="5:20" x14ac:dyDescent="0.25">
      <c r="E83" s="2" t="str">
        <f t="shared" si="17"/>
        <v>0</v>
      </c>
      <c r="F83" s="2">
        <f t="shared" si="18"/>
        <v>11</v>
      </c>
      <c r="G83" s="2" t="str">
        <f t="shared" si="19"/>
        <v>0</v>
      </c>
      <c r="H83" s="2" t="str">
        <f t="shared" si="20"/>
        <v>0</v>
      </c>
      <c r="I83" s="2" t="str">
        <f t="shared" si="21"/>
        <v>0</v>
      </c>
      <c r="J83" s="2">
        <f t="shared" si="22"/>
        <v>11</v>
      </c>
      <c r="K83" s="2" t="str">
        <f t="shared" si="23"/>
        <v>0</v>
      </c>
      <c r="L83" s="2" t="str">
        <f t="shared" si="24"/>
        <v>0</v>
      </c>
      <c r="M83" s="2">
        <f t="shared" si="25"/>
        <v>11</v>
      </c>
      <c r="N83" s="2" t="str">
        <f t="shared" si="26"/>
        <v>0</v>
      </c>
      <c r="O83" s="2" t="str">
        <f t="shared" si="27"/>
        <v>0</v>
      </c>
      <c r="P83" s="2">
        <f t="shared" si="28"/>
        <v>11</v>
      </c>
      <c r="Q83" s="2" t="str">
        <f t="shared" si="29"/>
        <v>0</v>
      </c>
      <c r="R83" s="2" t="str">
        <f t="shared" si="30"/>
        <v>0</v>
      </c>
      <c r="S83" s="2">
        <f t="shared" si="31"/>
        <v>11</v>
      </c>
      <c r="T83" s="2" t="str">
        <f t="shared" si="32"/>
        <v>0</v>
      </c>
    </row>
    <row r="84" spans="5:20" x14ac:dyDescent="0.25">
      <c r="E84" s="2" t="str">
        <f t="shared" si="17"/>
        <v>0</v>
      </c>
      <c r="F84" s="2" t="str">
        <f t="shared" si="18"/>
        <v>0</v>
      </c>
      <c r="G84" s="2">
        <f t="shared" si="19"/>
        <v>0.30000000000000426</v>
      </c>
      <c r="H84" s="2" t="str">
        <f t="shared" si="20"/>
        <v>0</v>
      </c>
      <c r="I84" s="2" t="str">
        <f t="shared" si="21"/>
        <v>0</v>
      </c>
      <c r="J84" s="2">
        <f t="shared" si="22"/>
        <v>0.30000000000000426</v>
      </c>
      <c r="K84" s="2" t="str">
        <f t="shared" si="23"/>
        <v>0</v>
      </c>
      <c r="L84" s="2" t="str">
        <f t="shared" si="24"/>
        <v>0</v>
      </c>
      <c r="M84" s="2">
        <f t="shared" si="25"/>
        <v>0.30000000000000426</v>
      </c>
      <c r="N84" s="2" t="str">
        <f t="shared" si="26"/>
        <v>0</v>
      </c>
      <c r="O84" s="2" t="str">
        <f t="shared" si="27"/>
        <v>0</v>
      </c>
      <c r="P84" s="2">
        <f t="shared" si="28"/>
        <v>0.30000000000000426</v>
      </c>
      <c r="Q84" s="2" t="str">
        <f t="shared" si="29"/>
        <v>0</v>
      </c>
      <c r="R84" s="2" t="str">
        <f t="shared" si="30"/>
        <v>0</v>
      </c>
      <c r="S84" s="2">
        <f t="shared" si="31"/>
        <v>0.30000000000000426</v>
      </c>
      <c r="T84" s="2" t="str">
        <f t="shared" si="32"/>
        <v>0</v>
      </c>
    </row>
    <row r="85" spans="5:20" x14ac:dyDescent="0.25">
      <c r="E85" s="2" t="str">
        <f t="shared" si="17"/>
        <v>0</v>
      </c>
      <c r="F85" s="2">
        <f t="shared" si="18"/>
        <v>2.7999999999999972</v>
      </c>
      <c r="G85" s="2" t="str">
        <f t="shared" si="19"/>
        <v>0</v>
      </c>
      <c r="H85" s="2" t="str">
        <f t="shared" si="20"/>
        <v>0</v>
      </c>
      <c r="I85" s="2" t="str">
        <f t="shared" si="21"/>
        <v>0</v>
      </c>
      <c r="J85" s="2">
        <f t="shared" si="22"/>
        <v>2.7999999999999972</v>
      </c>
      <c r="K85" s="2" t="str">
        <f t="shared" si="23"/>
        <v>0</v>
      </c>
      <c r="L85" s="2" t="str">
        <f t="shared" si="24"/>
        <v>0</v>
      </c>
      <c r="M85" s="2">
        <f t="shared" si="25"/>
        <v>2.7999999999999972</v>
      </c>
      <c r="N85" s="2" t="str">
        <f t="shared" si="26"/>
        <v>0</v>
      </c>
      <c r="O85" s="2" t="str">
        <f t="shared" si="27"/>
        <v>0</v>
      </c>
      <c r="P85" s="2">
        <f t="shared" si="28"/>
        <v>2.7999999999999972</v>
      </c>
      <c r="Q85" s="2" t="str">
        <f t="shared" si="29"/>
        <v>0</v>
      </c>
      <c r="R85" s="2" t="str">
        <f t="shared" si="30"/>
        <v>0</v>
      </c>
      <c r="S85" s="2">
        <f t="shared" si="31"/>
        <v>2.7999999999999972</v>
      </c>
      <c r="T85" s="2" t="str">
        <f t="shared" si="32"/>
        <v>0</v>
      </c>
    </row>
    <row r="86" spans="5:20" x14ac:dyDescent="0.25">
      <c r="E86" s="2" t="str">
        <f t="shared" si="17"/>
        <v>0</v>
      </c>
      <c r="F86" s="2" t="str">
        <f t="shared" si="18"/>
        <v>0</v>
      </c>
      <c r="G86" s="2">
        <f t="shared" si="19"/>
        <v>0.39999999999999858</v>
      </c>
      <c r="H86" s="2" t="str">
        <f t="shared" si="20"/>
        <v>0</v>
      </c>
      <c r="I86" s="2" t="str">
        <f t="shared" si="21"/>
        <v>0</v>
      </c>
      <c r="J86" s="2">
        <f t="shared" si="22"/>
        <v>0.39999999999999858</v>
      </c>
      <c r="K86" s="2" t="str">
        <f t="shared" si="23"/>
        <v>0</v>
      </c>
      <c r="L86" s="2" t="str">
        <f t="shared" si="24"/>
        <v>0</v>
      </c>
      <c r="M86" s="2">
        <f t="shared" si="25"/>
        <v>0.39999999999999858</v>
      </c>
      <c r="N86" s="2" t="str">
        <f t="shared" si="26"/>
        <v>0</v>
      </c>
      <c r="O86" s="2" t="str">
        <f t="shared" si="27"/>
        <v>0</v>
      </c>
      <c r="P86" s="2">
        <f t="shared" si="28"/>
        <v>0.39999999999999858</v>
      </c>
      <c r="Q86" s="2" t="str">
        <f t="shared" si="29"/>
        <v>0</v>
      </c>
      <c r="R86" s="2" t="str">
        <f t="shared" si="30"/>
        <v>0</v>
      </c>
      <c r="S86" s="2">
        <f t="shared" si="31"/>
        <v>0.39999999999999858</v>
      </c>
      <c r="T86" s="2" t="str">
        <f t="shared" si="32"/>
        <v>0</v>
      </c>
    </row>
    <row r="87" spans="5:20" x14ac:dyDescent="0.25">
      <c r="E87" s="2" t="str">
        <f t="shared" si="17"/>
        <v>0</v>
      </c>
      <c r="F87" s="2">
        <f t="shared" si="18"/>
        <v>0.60000000000000142</v>
      </c>
      <c r="G87" s="2" t="str">
        <f t="shared" si="19"/>
        <v>0</v>
      </c>
      <c r="H87" s="2" t="str">
        <f t="shared" si="20"/>
        <v>0</v>
      </c>
      <c r="I87" s="2" t="str">
        <f t="shared" si="21"/>
        <v>0</v>
      </c>
      <c r="J87" s="2">
        <f t="shared" si="22"/>
        <v>0.60000000000000142</v>
      </c>
      <c r="K87" s="2" t="str">
        <f t="shared" si="23"/>
        <v>0</v>
      </c>
      <c r="L87" s="2" t="str">
        <f t="shared" si="24"/>
        <v>0</v>
      </c>
      <c r="M87" s="2">
        <f t="shared" si="25"/>
        <v>0.60000000000000142</v>
      </c>
      <c r="N87" s="2" t="str">
        <f t="shared" si="26"/>
        <v>0</v>
      </c>
      <c r="O87" s="2" t="str">
        <f t="shared" si="27"/>
        <v>0</v>
      </c>
      <c r="P87" s="2">
        <f t="shared" si="28"/>
        <v>0.60000000000000142</v>
      </c>
      <c r="Q87" s="2" t="str">
        <f t="shared" si="29"/>
        <v>0</v>
      </c>
      <c r="R87" s="2" t="str">
        <f t="shared" si="30"/>
        <v>0</v>
      </c>
      <c r="S87" s="2">
        <f t="shared" si="31"/>
        <v>0.60000000000000142</v>
      </c>
      <c r="T87" s="2" t="str">
        <f t="shared" si="32"/>
        <v>0</v>
      </c>
    </row>
    <row r="88" spans="5:20" x14ac:dyDescent="0.25">
      <c r="E88" s="2" t="str">
        <f t="shared" si="17"/>
        <v>0</v>
      </c>
      <c r="F88" s="2" t="str">
        <f t="shared" si="18"/>
        <v>0</v>
      </c>
      <c r="G88" s="2">
        <f t="shared" si="19"/>
        <v>1</v>
      </c>
      <c r="H88" s="2" t="str">
        <f t="shared" si="20"/>
        <v>0</v>
      </c>
      <c r="I88" s="2" t="str">
        <f t="shared" si="21"/>
        <v>0</v>
      </c>
      <c r="J88" s="2">
        <f t="shared" si="22"/>
        <v>1</v>
      </c>
      <c r="K88" s="2" t="str">
        <f t="shared" si="23"/>
        <v>0</v>
      </c>
      <c r="L88" s="2" t="str">
        <f t="shared" si="24"/>
        <v>0</v>
      </c>
      <c r="M88" s="2">
        <f t="shared" si="25"/>
        <v>1</v>
      </c>
      <c r="N88" s="2" t="str">
        <f t="shared" si="26"/>
        <v>0</v>
      </c>
      <c r="O88" s="2" t="str">
        <f t="shared" si="27"/>
        <v>0</v>
      </c>
      <c r="P88" s="2">
        <f t="shared" si="28"/>
        <v>1</v>
      </c>
      <c r="Q88" s="2" t="str">
        <f t="shared" si="29"/>
        <v>0</v>
      </c>
      <c r="R88" s="2" t="str">
        <f t="shared" si="30"/>
        <v>0</v>
      </c>
      <c r="S88" s="2">
        <f t="shared" si="31"/>
        <v>1</v>
      </c>
      <c r="T88" s="2" t="str">
        <f t="shared" si="32"/>
        <v>0</v>
      </c>
    </row>
    <row r="89" spans="5:20" x14ac:dyDescent="0.25">
      <c r="E89" s="2" t="str">
        <f t="shared" si="17"/>
        <v>0</v>
      </c>
      <c r="F89" s="2">
        <f t="shared" si="18"/>
        <v>0.5</v>
      </c>
      <c r="G89" s="2" t="str">
        <f t="shared" si="19"/>
        <v>0</v>
      </c>
      <c r="H89" s="2" t="str">
        <f t="shared" si="20"/>
        <v>0</v>
      </c>
      <c r="I89" s="2" t="str">
        <f t="shared" si="21"/>
        <v>0</v>
      </c>
      <c r="J89" s="2">
        <f t="shared" si="22"/>
        <v>0.5</v>
      </c>
      <c r="K89" s="2" t="str">
        <f t="shared" si="23"/>
        <v>0</v>
      </c>
      <c r="L89" s="2" t="str">
        <f t="shared" si="24"/>
        <v>0</v>
      </c>
      <c r="M89" s="2">
        <f t="shared" si="25"/>
        <v>0.5</v>
      </c>
      <c r="N89" s="2" t="str">
        <f t="shared" si="26"/>
        <v>0</v>
      </c>
      <c r="O89" s="2" t="str">
        <f t="shared" si="27"/>
        <v>0</v>
      </c>
      <c r="P89" s="2">
        <f t="shared" si="28"/>
        <v>0.5</v>
      </c>
      <c r="Q89" s="2" t="str">
        <f t="shared" si="29"/>
        <v>0</v>
      </c>
      <c r="R89" s="2" t="str">
        <f t="shared" si="30"/>
        <v>0</v>
      </c>
      <c r="S89" s="2">
        <f t="shared" si="31"/>
        <v>0.5</v>
      </c>
      <c r="T89" s="2" t="str">
        <f t="shared" si="32"/>
        <v>0</v>
      </c>
    </row>
    <row r="90" spans="5:20" x14ac:dyDescent="0.25">
      <c r="E90" s="2" t="str">
        <f t="shared" si="17"/>
        <v>0</v>
      </c>
      <c r="F90" s="2" t="str">
        <f t="shared" si="18"/>
        <v>0</v>
      </c>
      <c r="G90" s="2">
        <f t="shared" si="19"/>
        <v>1.1000000000000014</v>
      </c>
      <c r="H90" s="2" t="str">
        <f t="shared" si="20"/>
        <v>0</v>
      </c>
      <c r="I90" s="2" t="str">
        <f t="shared" si="21"/>
        <v>0</v>
      </c>
      <c r="J90" s="2">
        <f t="shared" si="22"/>
        <v>1.1000000000000014</v>
      </c>
      <c r="K90" s="2" t="str">
        <f t="shared" si="23"/>
        <v>0</v>
      </c>
      <c r="L90" s="2" t="str">
        <f t="shared" si="24"/>
        <v>0</v>
      </c>
      <c r="M90" s="2">
        <f t="shared" si="25"/>
        <v>1.1000000000000014</v>
      </c>
      <c r="N90" s="2" t="str">
        <f t="shared" si="26"/>
        <v>0</v>
      </c>
      <c r="O90" s="2" t="str">
        <f t="shared" si="27"/>
        <v>0</v>
      </c>
      <c r="P90" s="2">
        <f t="shared" si="28"/>
        <v>1.1000000000000014</v>
      </c>
      <c r="Q90" s="2" t="str">
        <f t="shared" si="29"/>
        <v>0</v>
      </c>
      <c r="R90" s="2" t="str">
        <f t="shared" si="30"/>
        <v>0</v>
      </c>
      <c r="S90" s="2">
        <f t="shared" si="31"/>
        <v>1.1000000000000014</v>
      </c>
      <c r="T90" s="2" t="str">
        <f t="shared" si="32"/>
        <v>0</v>
      </c>
    </row>
    <row r="91" spans="5:20" x14ac:dyDescent="0.25">
      <c r="E91" s="2" t="str">
        <f t="shared" si="17"/>
        <v>0</v>
      </c>
      <c r="F91" s="2">
        <f t="shared" si="18"/>
        <v>0.39999999999999858</v>
      </c>
      <c r="G91" s="2" t="str">
        <f t="shared" si="19"/>
        <v>0</v>
      </c>
      <c r="H91" s="2" t="str">
        <f t="shared" si="20"/>
        <v>0</v>
      </c>
      <c r="I91" s="2" t="str">
        <f t="shared" si="21"/>
        <v>0</v>
      </c>
      <c r="J91" s="2">
        <f t="shared" si="22"/>
        <v>0.39999999999999858</v>
      </c>
      <c r="K91" s="2" t="str">
        <f t="shared" si="23"/>
        <v>0</v>
      </c>
      <c r="L91" s="2" t="str">
        <f t="shared" si="24"/>
        <v>0</v>
      </c>
      <c r="M91" s="2">
        <f t="shared" si="25"/>
        <v>0.39999999999999858</v>
      </c>
      <c r="N91" s="2" t="str">
        <f t="shared" si="26"/>
        <v>0</v>
      </c>
      <c r="O91" s="2" t="str">
        <f t="shared" si="27"/>
        <v>0</v>
      </c>
      <c r="P91" s="2">
        <f t="shared" si="28"/>
        <v>0.39999999999999858</v>
      </c>
      <c r="Q91" s="2" t="str">
        <f t="shared" si="29"/>
        <v>0</v>
      </c>
      <c r="R91" s="2" t="str">
        <f t="shared" si="30"/>
        <v>0</v>
      </c>
      <c r="S91" s="2">
        <f t="shared" si="31"/>
        <v>0.39999999999999858</v>
      </c>
      <c r="T91" s="2" t="str">
        <f t="shared" si="32"/>
        <v>0</v>
      </c>
    </row>
    <row r="92" spans="5:20" x14ac:dyDescent="0.25">
      <c r="E92" s="2" t="str">
        <f t="shared" si="17"/>
        <v>0</v>
      </c>
      <c r="F92" s="2" t="str">
        <f t="shared" si="18"/>
        <v>0</v>
      </c>
      <c r="G92" s="2" t="str">
        <f t="shared" si="19"/>
        <v>0</v>
      </c>
      <c r="H92" s="2">
        <f t="shared" si="20"/>
        <v>0.39999999999999858</v>
      </c>
      <c r="I92" s="2" t="str">
        <f t="shared" si="21"/>
        <v>0</v>
      </c>
      <c r="J92" s="2">
        <f t="shared" si="22"/>
        <v>0.39999999999999858</v>
      </c>
      <c r="K92" s="2" t="str">
        <f t="shared" si="23"/>
        <v>0</v>
      </c>
      <c r="L92" s="2" t="str">
        <f t="shared" si="24"/>
        <v>0</v>
      </c>
      <c r="M92" s="2">
        <f t="shared" si="25"/>
        <v>0.39999999999999858</v>
      </c>
      <c r="N92" s="2" t="str">
        <f t="shared" si="26"/>
        <v>0</v>
      </c>
      <c r="O92" s="2" t="str">
        <f t="shared" si="27"/>
        <v>0</v>
      </c>
      <c r="P92" s="2">
        <f t="shared" si="28"/>
        <v>0.39999999999999858</v>
      </c>
      <c r="Q92" s="2" t="str">
        <f t="shared" si="29"/>
        <v>0</v>
      </c>
      <c r="R92" s="2" t="str">
        <f t="shared" si="30"/>
        <v>0</v>
      </c>
      <c r="S92" s="2">
        <f t="shared" si="31"/>
        <v>0.39999999999999858</v>
      </c>
      <c r="T92" s="2" t="str">
        <f t="shared" si="32"/>
        <v>0</v>
      </c>
    </row>
    <row r="93" spans="5:20" x14ac:dyDescent="0.25">
      <c r="E93" s="2" t="str">
        <f t="shared" si="17"/>
        <v>0</v>
      </c>
      <c r="F93" s="2">
        <f t="shared" si="18"/>
        <v>1.1000000000000014</v>
      </c>
      <c r="G93" s="2" t="str">
        <f t="shared" si="19"/>
        <v>0</v>
      </c>
      <c r="H93" s="2" t="str">
        <f t="shared" si="20"/>
        <v>0</v>
      </c>
      <c r="I93" s="2" t="str">
        <f t="shared" si="21"/>
        <v>0</v>
      </c>
      <c r="J93" s="2">
        <f t="shared" si="22"/>
        <v>1.1000000000000014</v>
      </c>
      <c r="K93" s="2" t="str">
        <f t="shared" si="23"/>
        <v>0</v>
      </c>
      <c r="L93" s="2" t="str">
        <f t="shared" si="24"/>
        <v>0</v>
      </c>
      <c r="M93" s="2">
        <f t="shared" si="25"/>
        <v>1.1000000000000014</v>
      </c>
      <c r="N93" s="2" t="str">
        <f t="shared" si="26"/>
        <v>0</v>
      </c>
      <c r="O93" s="2" t="str">
        <f t="shared" si="27"/>
        <v>0</v>
      </c>
      <c r="P93" s="2">
        <f t="shared" si="28"/>
        <v>1.1000000000000014</v>
      </c>
      <c r="Q93" s="2" t="str">
        <f t="shared" si="29"/>
        <v>0</v>
      </c>
      <c r="R93" s="2" t="str">
        <f t="shared" si="30"/>
        <v>0</v>
      </c>
      <c r="S93" s="2">
        <f t="shared" si="31"/>
        <v>1.1000000000000014</v>
      </c>
      <c r="T93" s="2" t="str">
        <f t="shared" si="32"/>
        <v>0</v>
      </c>
    </row>
    <row r="94" spans="5:20" x14ac:dyDescent="0.25">
      <c r="E94" s="2" t="str">
        <f t="shared" si="17"/>
        <v>0</v>
      </c>
      <c r="F94" s="2" t="str">
        <f t="shared" si="18"/>
        <v>0</v>
      </c>
      <c r="G94" s="2">
        <f t="shared" si="19"/>
        <v>2.5</v>
      </c>
      <c r="H94" s="2" t="str">
        <f t="shared" si="20"/>
        <v>0</v>
      </c>
      <c r="I94" s="2" t="str">
        <f t="shared" si="21"/>
        <v>0</v>
      </c>
      <c r="J94" s="2">
        <f t="shared" si="22"/>
        <v>2.5</v>
      </c>
      <c r="K94" s="2" t="str">
        <f t="shared" si="23"/>
        <v>0</v>
      </c>
      <c r="L94" s="2" t="str">
        <f t="shared" si="24"/>
        <v>0</v>
      </c>
      <c r="M94" s="2">
        <f t="shared" si="25"/>
        <v>2.5</v>
      </c>
      <c r="N94" s="2" t="str">
        <f t="shared" si="26"/>
        <v>0</v>
      </c>
      <c r="O94" s="2" t="str">
        <f t="shared" si="27"/>
        <v>0</v>
      </c>
      <c r="P94" s="2">
        <f t="shared" si="28"/>
        <v>2.5</v>
      </c>
      <c r="Q94" s="2" t="str">
        <f t="shared" si="29"/>
        <v>0</v>
      </c>
      <c r="R94" s="2" t="str">
        <f t="shared" si="30"/>
        <v>0</v>
      </c>
      <c r="S94" s="2">
        <f t="shared" si="31"/>
        <v>2.5</v>
      </c>
      <c r="T94" s="2" t="str">
        <f t="shared" si="32"/>
        <v>0</v>
      </c>
    </row>
    <row r="95" spans="5:20" x14ac:dyDescent="0.25">
      <c r="E95" s="2" t="str">
        <f t="shared" si="17"/>
        <v>0</v>
      </c>
      <c r="F95" s="2">
        <f t="shared" si="18"/>
        <v>1.1499999999999986</v>
      </c>
      <c r="G95" s="2" t="str">
        <f t="shared" si="19"/>
        <v>0</v>
      </c>
      <c r="H95" s="2" t="str">
        <f t="shared" si="20"/>
        <v>0</v>
      </c>
      <c r="I95" s="2" t="str">
        <f t="shared" si="21"/>
        <v>0</v>
      </c>
      <c r="J95" s="2">
        <f t="shared" si="22"/>
        <v>1.1499999999999986</v>
      </c>
      <c r="K95" s="2" t="str">
        <f t="shared" si="23"/>
        <v>0</v>
      </c>
      <c r="L95" s="2" t="str">
        <f t="shared" si="24"/>
        <v>0</v>
      </c>
      <c r="M95" s="2">
        <f t="shared" si="25"/>
        <v>1.1499999999999986</v>
      </c>
      <c r="N95" s="2" t="str">
        <f t="shared" si="26"/>
        <v>0</v>
      </c>
      <c r="O95" s="2" t="str">
        <f t="shared" si="27"/>
        <v>0</v>
      </c>
      <c r="P95" s="2">
        <f t="shared" si="28"/>
        <v>1.1499999999999986</v>
      </c>
      <c r="Q95" s="2" t="str">
        <f t="shared" si="29"/>
        <v>0</v>
      </c>
      <c r="R95" s="2" t="str">
        <f t="shared" si="30"/>
        <v>0</v>
      </c>
      <c r="S95" s="2">
        <f t="shared" si="31"/>
        <v>1.1499999999999986</v>
      </c>
      <c r="T95" s="2" t="str">
        <f t="shared" si="32"/>
        <v>0</v>
      </c>
    </row>
    <row r="96" spans="5:20" x14ac:dyDescent="0.25">
      <c r="O96" s="2"/>
      <c r="P96" s="2"/>
      <c r="Q96" s="2"/>
      <c r="R96" s="2"/>
      <c r="S96" s="2"/>
      <c r="T96" s="2"/>
    </row>
    <row r="97" spans="15:20" x14ac:dyDescent="0.25">
      <c r="O97" s="2"/>
      <c r="P97" s="2"/>
      <c r="Q97" s="2"/>
      <c r="R97" s="2"/>
      <c r="S97" s="2"/>
      <c r="T97" s="2"/>
    </row>
    <row r="98" spans="15:20" x14ac:dyDescent="0.25">
      <c r="O98" s="2"/>
      <c r="P98" s="2"/>
      <c r="Q98" s="2"/>
      <c r="R98" s="2"/>
      <c r="S98" s="2"/>
      <c r="T98" s="2"/>
    </row>
    <row r="99" spans="15:20" x14ac:dyDescent="0.25">
      <c r="O99" s="2"/>
      <c r="P99" s="2"/>
      <c r="Q99" s="2"/>
      <c r="R99" s="2"/>
      <c r="S99" s="2"/>
      <c r="T99" s="2"/>
    </row>
    <row r="100" spans="15:20" x14ac:dyDescent="0.25">
      <c r="O100" s="2"/>
      <c r="P100" s="2"/>
      <c r="Q100" s="2"/>
      <c r="R100" s="2"/>
      <c r="S100" s="2"/>
      <c r="T100" s="2"/>
    </row>
    <row r="101" spans="15:20" x14ac:dyDescent="0.25">
      <c r="O101" s="2"/>
      <c r="P101" s="2"/>
      <c r="Q101" s="2"/>
      <c r="R101" s="2"/>
      <c r="S101" s="2"/>
      <c r="T101" s="2"/>
    </row>
    <row r="102" spans="15:20" x14ac:dyDescent="0.25">
      <c r="O102" s="2"/>
      <c r="P102" s="2"/>
      <c r="Q102" s="2"/>
      <c r="R102" s="2"/>
      <c r="S102" s="2"/>
      <c r="T102" s="2"/>
    </row>
    <row r="103" spans="15:20" x14ac:dyDescent="0.25">
      <c r="O103" s="2"/>
      <c r="P103" s="2"/>
      <c r="Q103" s="2"/>
      <c r="R103" s="2"/>
      <c r="S103" s="2"/>
      <c r="T103" s="2"/>
    </row>
    <row r="104" spans="15:20" x14ac:dyDescent="0.25">
      <c r="O104" s="2"/>
      <c r="P104" s="2"/>
      <c r="Q104" s="2"/>
      <c r="R104" s="2"/>
      <c r="S104" s="2"/>
      <c r="T104" s="2"/>
    </row>
    <row r="105" spans="15:20" x14ac:dyDescent="0.25">
      <c r="O105" s="2"/>
      <c r="P105" s="2"/>
      <c r="Q105" s="2"/>
      <c r="R105" s="2"/>
      <c r="S105" s="2"/>
      <c r="T105" s="2"/>
    </row>
    <row r="106" spans="15:20" x14ac:dyDescent="0.25">
      <c r="O106" s="2"/>
      <c r="P106" s="2"/>
      <c r="Q106" s="2"/>
      <c r="R106" s="2"/>
      <c r="S106" s="2"/>
      <c r="T106" s="2"/>
    </row>
    <row r="107" spans="15:20" x14ac:dyDescent="0.25">
      <c r="O107" s="2"/>
      <c r="P107" s="2"/>
      <c r="Q107" s="2"/>
      <c r="R107" s="2"/>
      <c r="S107" s="2"/>
      <c r="T107" s="2"/>
    </row>
    <row r="108" spans="15:20" x14ac:dyDescent="0.25">
      <c r="O108" s="2"/>
      <c r="P108" s="2"/>
      <c r="Q108" s="2"/>
      <c r="R108" s="2"/>
      <c r="S108" s="2"/>
      <c r="T108" s="2"/>
    </row>
    <row r="109" spans="15:20" x14ac:dyDescent="0.25">
      <c r="O109" s="2"/>
      <c r="P109" s="2"/>
      <c r="Q109" s="2"/>
      <c r="R109" s="2"/>
      <c r="S109" s="2"/>
      <c r="T109" s="2"/>
    </row>
    <row r="110" spans="15:20" x14ac:dyDescent="0.25">
      <c r="O110" s="2"/>
      <c r="P110" s="2"/>
      <c r="Q110" s="2"/>
      <c r="R110" s="2"/>
      <c r="S110" s="2"/>
      <c r="T110" s="2"/>
    </row>
    <row r="111" spans="15:20" x14ac:dyDescent="0.25">
      <c r="O111" s="2"/>
      <c r="P111" s="2"/>
      <c r="Q111" s="2"/>
      <c r="R111" s="2"/>
      <c r="S111" s="2"/>
      <c r="T111" s="2"/>
    </row>
    <row r="112" spans="15:20" x14ac:dyDescent="0.25">
      <c r="O112" s="2"/>
      <c r="P112" s="2"/>
      <c r="Q112" s="2"/>
      <c r="R112" s="2"/>
      <c r="S112" s="2"/>
      <c r="T112" s="2"/>
    </row>
    <row r="113" spans="15:20" x14ac:dyDescent="0.25">
      <c r="O113" s="2"/>
      <c r="P113" s="2"/>
      <c r="Q113" s="2"/>
      <c r="R113" s="2"/>
      <c r="S113" s="2"/>
      <c r="T113" s="2"/>
    </row>
    <row r="114" spans="15:20" x14ac:dyDescent="0.25">
      <c r="O114" s="2"/>
      <c r="P114" s="2"/>
      <c r="Q114" s="2"/>
      <c r="R114" s="2"/>
      <c r="S114" s="2"/>
      <c r="T114" s="2"/>
    </row>
    <row r="115" spans="15:20" x14ac:dyDescent="0.25">
      <c r="O115" s="2"/>
      <c r="P115" s="2"/>
      <c r="Q115" s="2"/>
      <c r="R115" s="2"/>
      <c r="S115" s="2"/>
      <c r="T115" s="2"/>
    </row>
    <row r="116" spans="15:20" x14ac:dyDescent="0.25">
      <c r="O116" s="2"/>
      <c r="P116" s="2"/>
      <c r="Q116" s="2"/>
      <c r="R116" s="2"/>
      <c r="S116" s="2"/>
      <c r="T116" s="2"/>
    </row>
    <row r="117" spans="15:20" x14ac:dyDescent="0.25">
      <c r="O117" s="2"/>
      <c r="P117" s="2"/>
      <c r="Q117" s="2"/>
      <c r="R117" s="2"/>
      <c r="S117" s="2"/>
      <c r="T117" s="2"/>
    </row>
    <row r="118" spans="15:20" x14ac:dyDescent="0.25">
      <c r="O118" s="2"/>
      <c r="P118" s="2"/>
      <c r="Q118" s="2"/>
      <c r="R118" s="2"/>
      <c r="S118" s="2"/>
      <c r="T118" s="2"/>
    </row>
    <row r="119" spans="15:20" x14ac:dyDescent="0.25">
      <c r="O119" s="2"/>
      <c r="P119" s="2"/>
      <c r="Q119" s="2"/>
      <c r="R119" s="2"/>
      <c r="S119" s="2"/>
      <c r="T119" s="2"/>
    </row>
    <row r="120" spans="15:20" x14ac:dyDescent="0.25">
      <c r="O120" s="2"/>
      <c r="P120" s="2"/>
      <c r="Q120" s="2"/>
      <c r="R120" s="2"/>
      <c r="S120" s="2"/>
      <c r="T120" s="2"/>
    </row>
    <row r="121" spans="15:20" x14ac:dyDescent="0.25">
      <c r="O121" s="2"/>
      <c r="P121" s="2"/>
      <c r="Q121" s="2"/>
      <c r="R121" s="2"/>
      <c r="S121" s="2"/>
      <c r="T121" s="2"/>
    </row>
    <row r="122" spans="15:20" x14ac:dyDescent="0.25">
      <c r="O122" s="2"/>
      <c r="P122" s="2"/>
      <c r="Q122" s="2"/>
      <c r="R122" s="2"/>
      <c r="S122" s="2"/>
      <c r="T122" s="2"/>
    </row>
    <row r="123" spans="15:20" x14ac:dyDescent="0.25">
      <c r="O123" s="2"/>
      <c r="P123" s="2"/>
      <c r="Q123" s="2"/>
      <c r="R123" s="2"/>
      <c r="S123" s="2"/>
      <c r="T123" s="2"/>
    </row>
    <row r="124" spans="15:20" x14ac:dyDescent="0.25">
      <c r="O124" s="2"/>
      <c r="P124" s="2"/>
      <c r="Q124" s="2"/>
      <c r="R124" s="2"/>
      <c r="S124" s="2"/>
      <c r="T124" s="2"/>
    </row>
    <row r="125" spans="15:20" x14ac:dyDescent="0.25">
      <c r="O125" s="2"/>
      <c r="P125" s="2"/>
      <c r="Q125" s="2"/>
      <c r="R125" s="2"/>
      <c r="S125" s="2"/>
      <c r="T125" s="2"/>
    </row>
    <row r="126" spans="15:20" x14ac:dyDescent="0.25">
      <c r="O126" s="2"/>
      <c r="P126" s="2"/>
      <c r="Q126" s="2"/>
      <c r="R126" s="2"/>
      <c r="S126" s="2"/>
      <c r="T126" s="2"/>
    </row>
    <row r="127" spans="15:20" x14ac:dyDescent="0.25">
      <c r="O127" s="2"/>
      <c r="P127" s="2"/>
      <c r="Q127" s="2"/>
      <c r="R127" s="2"/>
      <c r="S127" s="2"/>
      <c r="T127" s="2"/>
    </row>
    <row r="128" spans="15:20" x14ac:dyDescent="0.25">
      <c r="O128" s="2"/>
      <c r="P128" s="2"/>
      <c r="Q128" s="2"/>
      <c r="R128" s="2"/>
      <c r="S128" s="2"/>
      <c r="T128" s="2"/>
    </row>
    <row r="129" spans="15:20" x14ac:dyDescent="0.25">
      <c r="O129" s="2"/>
      <c r="P129" s="2"/>
      <c r="Q129" s="2"/>
      <c r="R129" s="2"/>
      <c r="S129" s="2"/>
      <c r="T129" s="2"/>
    </row>
    <row r="130" spans="15:20" x14ac:dyDescent="0.25">
      <c r="O130" s="2"/>
      <c r="P130" s="2"/>
      <c r="Q130" s="2"/>
      <c r="R130" s="2"/>
      <c r="S130" s="2"/>
      <c r="T130" s="2"/>
    </row>
    <row r="131" spans="15:20" x14ac:dyDescent="0.25">
      <c r="O131" s="2"/>
      <c r="P131" s="2"/>
      <c r="Q131" s="2"/>
      <c r="R131" s="2"/>
      <c r="S131" s="2"/>
      <c r="T131" s="2"/>
    </row>
    <row r="132" spans="15:20" x14ac:dyDescent="0.25">
      <c r="O132" s="2"/>
      <c r="P132" s="2"/>
      <c r="Q132" s="2"/>
      <c r="R132" s="2"/>
      <c r="S132" s="2"/>
      <c r="T132" s="2"/>
    </row>
    <row r="133" spans="15:20" x14ac:dyDescent="0.25">
      <c r="O133" s="2"/>
      <c r="P133" s="2"/>
      <c r="Q133" s="2"/>
      <c r="R133" s="2"/>
      <c r="S133" s="2"/>
      <c r="T133" s="2"/>
    </row>
    <row r="134" spans="15:20" x14ac:dyDescent="0.25">
      <c r="O134" s="2"/>
      <c r="P134" s="2"/>
      <c r="Q134" s="2"/>
      <c r="R134" s="2"/>
      <c r="S134" s="2"/>
      <c r="T134" s="2"/>
    </row>
    <row r="135" spans="15:20" x14ac:dyDescent="0.25">
      <c r="O135" s="2"/>
      <c r="P135" s="2"/>
      <c r="Q135" s="2"/>
      <c r="R135" s="2"/>
      <c r="S135" s="2"/>
      <c r="T135" s="2"/>
    </row>
    <row r="136" spans="15:20" x14ac:dyDescent="0.25">
      <c r="O136" s="2"/>
      <c r="P136" s="2"/>
      <c r="Q136" s="2"/>
      <c r="R136" s="2"/>
      <c r="S136" s="2"/>
      <c r="T136" s="2"/>
    </row>
    <row r="137" spans="15:20" x14ac:dyDescent="0.25">
      <c r="O137" s="2"/>
      <c r="P137" s="2"/>
      <c r="Q137" s="2"/>
      <c r="R137" s="2"/>
      <c r="S137" s="2"/>
      <c r="T137" s="2"/>
    </row>
    <row r="138" spans="15:20" x14ac:dyDescent="0.25">
      <c r="O138" s="2"/>
      <c r="P138" s="2"/>
      <c r="Q138" s="2"/>
      <c r="R138" s="2"/>
      <c r="S138" s="2"/>
      <c r="T138" s="2"/>
    </row>
    <row r="139" spans="15:20" x14ac:dyDescent="0.25">
      <c r="O139" s="2"/>
      <c r="P139" s="2"/>
      <c r="Q139" s="2"/>
      <c r="R139" s="2"/>
      <c r="S139" s="2"/>
      <c r="T139" s="2"/>
    </row>
    <row r="140" spans="15:20" x14ac:dyDescent="0.25">
      <c r="O140" s="2"/>
      <c r="P140" s="2"/>
      <c r="Q140" s="2"/>
      <c r="R140" s="2"/>
      <c r="S140" s="2"/>
      <c r="T140" s="2"/>
    </row>
    <row r="141" spans="15:20" x14ac:dyDescent="0.25">
      <c r="O141" s="2"/>
      <c r="P141" s="2"/>
      <c r="Q141" s="2"/>
      <c r="R141" s="2"/>
      <c r="S141" s="2"/>
      <c r="T141" s="2"/>
    </row>
    <row r="142" spans="15:20" x14ac:dyDescent="0.25">
      <c r="O142" s="2"/>
      <c r="P142" s="2"/>
      <c r="Q142" s="2"/>
      <c r="R142" s="2"/>
      <c r="S142" s="2"/>
      <c r="T142" s="2"/>
    </row>
    <row r="143" spans="15:20" x14ac:dyDescent="0.25">
      <c r="O143" s="2"/>
      <c r="P143" s="2"/>
      <c r="Q143" s="2"/>
      <c r="R143" s="2"/>
      <c r="S143" s="2"/>
      <c r="T143" s="2"/>
    </row>
    <row r="144" spans="15:20" x14ac:dyDescent="0.25">
      <c r="O144" s="2"/>
      <c r="P144" s="2"/>
      <c r="Q144" s="2"/>
      <c r="R144" s="2"/>
      <c r="S144" s="2"/>
      <c r="T144" s="2"/>
    </row>
    <row r="145" spans="5:20" x14ac:dyDescent="0.25">
      <c r="O145" s="2"/>
      <c r="P145" s="2"/>
      <c r="Q145" s="2"/>
      <c r="R145" s="2"/>
      <c r="S145" s="2"/>
      <c r="T145" s="2"/>
    </row>
    <row r="146" spans="5:20" x14ac:dyDescent="0.25">
      <c r="O146" s="2"/>
      <c r="P146" s="2"/>
      <c r="Q146" s="2"/>
      <c r="R146" s="2"/>
      <c r="S146" s="2"/>
      <c r="T146" s="2"/>
    </row>
    <row r="147" spans="5:20" x14ac:dyDescent="0.25">
      <c r="O147" s="2"/>
      <c r="P147" s="2"/>
      <c r="Q147" s="2"/>
      <c r="R147" s="2"/>
      <c r="S147" s="2"/>
      <c r="T147" s="2"/>
    </row>
    <row r="148" spans="5:20" x14ac:dyDescent="0.25">
      <c r="O148" s="2"/>
      <c r="P148" s="2"/>
      <c r="Q148" s="2"/>
      <c r="R148" s="2"/>
      <c r="S148" s="2"/>
      <c r="T148" s="2"/>
    </row>
    <row r="149" spans="5:20" x14ac:dyDescent="0.25">
      <c r="E149" s="2">
        <f>SUM(E60:E147)</f>
        <v>0</v>
      </c>
      <c r="F149" s="2">
        <f t="shared" ref="F149:T149" si="33">SUM(F60:F147)</f>
        <v>36.75</v>
      </c>
      <c r="G149" s="2">
        <f t="shared" si="33"/>
        <v>7.5000000000000018</v>
      </c>
      <c r="H149" s="2">
        <f t="shared" si="33"/>
        <v>4.4999999999999964</v>
      </c>
      <c r="I149" s="2">
        <f t="shared" si="33"/>
        <v>1.4000000000000004</v>
      </c>
      <c r="J149" s="2">
        <f t="shared" si="33"/>
        <v>48.65</v>
      </c>
      <c r="K149" s="2">
        <f t="shared" si="33"/>
        <v>0</v>
      </c>
      <c r="L149" s="2">
        <f t="shared" si="33"/>
        <v>0</v>
      </c>
      <c r="M149" s="2">
        <f t="shared" si="33"/>
        <v>48.65</v>
      </c>
      <c r="N149" s="2">
        <f t="shared" si="33"/>
        <v>0</v>
      </c>
      <c r="O149" s="2">
        <f t="shared" si="33"/>
        <v>0</v>
      </c>
      <c r="P149" s="2">
        <f t="shared" si="33"/>
        <v>48.65</v>
      </c>
      <c r="Q149" s="2">
        <f t="shared" si="33"/>
        <v>0</v>
      </c>
      <c r="R149" s="2">
        <f t="shared" si="33"/>
        <v>0</v>
      </c>
      <c r="S149" s="2">
        <f t="shared" si="33"/>
        <v>48.65</v>
      </c>
      <c r="T149" s="2">
        <f t="shared" si="33"/>
        <v>0</v>
      </c>
    </row>
  </sheetData>
  <mergeCells count="14">
    <mergeCell ref="R5:T5"/>
    <mergeCell ref="U5:U6"/>
    <mergeCell ref="E53:F53"/>
    <mergeCell ref="J2:K2"/>
    <mergeCell ref="O2:S2"/>
    <mergeCell ref="J5:K5"/>
    <mergeCell ref="L5:N5"/>
    <mergeCell ref="O5:Q5"/>
    <mergeCell ref="Q3:R3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00B4-956B-4F28-8945-25A53798749B}">
  <dimension ref="A1:AP128"/>
  <sheetViews>
    <sheetView view="pageBreakPreview" topLeftCell="A2" zoomScale="55" zoomScaleNormal="70" zoomScaleSheetLayoutView="55" workbookViewId="0">
      <pane ySplit="5" topLeftCell="A7" activePane="bottomLeft" state="frozen"/>
      <selection activeCell="W16" sqref="W16"/>
      <selection pane="bottomLeft" activeCell="L11" sqref="L11"/>
    </sheetView>
  </sheetViews>
  <sheetFormatPr defaultColWidth="8.85546875" defaultRowHeight="15" x14ac:dyDescent="0.25"/>
  <cols>
    <col min="1" max="1" width="32.42578125" style="1" customWidth="1"/>
    <col min="2" max="2" width="14.42578125" style="1" customWidth="1"/>
    <col min="3" max="4" width="12" style="1" customWidth="1"/>
    <col min="5" max="9" width="11.42578125" style="2" customWidth="1"/>
    <col min="10" max="10" width="10.5703125" style="2" bestFit="1" customWidth="1"/>
    <col min="11" max="11" width="14" style="2" bestFit="1" customWidth="1"/>
    <col min="12" max="13" width="12.42578125" style="2" customWidth="1"/>
    <col min="14" max="14" width="10.42578125" style="2" customWidth="1"/>
    <col min="15" max="17" width="13.5703125" style="1" customWidth="1"/>
    <col min="18" max="20" width="14.42578125" style="1" customWidth="1"/>
    <col min="21" max="21" width="42.42578125" style="1" customWidth="1"/>
    <col min="22" max="16384" width="8.85546875" style="1"/>
  </cols>
  <sheetData>
    <row r="1" spans="1:42" ht="19.5" x14ac:dyDescent="0.3">
      <c r="A1" s="3" t="s">
        <v>112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2" ht="20.25" thickBot="1" x14ac:dyDescent="0.35">
      <c r="A2" s="3"/>
      <c r="B2" s="4"/>
      <c r="C2" s="4"/>
      <c r="D2" s="3" t="s">
        <v>35</v>
      </c>
      <c r="E2" s="5"/>
      <c r="F2" s="5"/>
      <c r="G2" s="5"/>
      <c r="H2" s="5"/>
      <c r="I2" s="6" t="s">
        <v>26</v>
      </c>
      <c r="J2" s="77">
        <v>46204</v>
      </c>
      <c r="K2" s="77"/>
      <c r="L2" s="7"/>
      <c r="M2" s="6"/>
      <c r="N2" s="12" t="s">
        <v>27</v>
      </c>
      <c r="O2" s="78" t="str">
        <f>'202'!O2</f>
        <v>ENG. THIAGO TORQUATO</v>
      </c>
      <c r="P2" s="78"/>
      <c r="Q2" s="78"/>
      <c r="R2" s="78"/>
      <c r="S2" s="78"/>
      <c r="T2" s="4"/>
      <c r="U2" s="4"/>
    </row>
    <row r="3" spans="1:42" ht="25.5" x14ac:dyDescent="0.35">
      <c r="A3" s="3" t="s">
        <v>38</v>
      </c>
      <c r="B3" s="31" t="str">
        <f>TT!C12</f>
        <v>RODOVIA TO-362 - TRECHO SANTA RITA DO TOCANTINS - BREJINHO DE NAZARÉ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81" t="s">
        <v>111</v>
      </c>
      <c r="R3" s="81"/>
      <c r="S3" s="32">
        <v>11</v>
      </c>
      <c r="T3" s="4"/>
      <c r="U3" s="4"/>
    </row>
    <row r="4" spans="1:42" ht="20.25" thickBot="1" x14ac:dyDescent="0.35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2" s="8" customFormat="1" ht="39" customHeight="1" x14ac:dyDescent="0.25">
      <c r="A5" s="72" t="s">
        <v>0</v>
      </c>
      <c r="B5" s="72" t="s">
        <v>32</v>
      </c>
      <c r="C5" s="79" t="s">
        <v>28</v>
      </c>
      <c r="D5" s="79" t="s">
        <v>29</v>
      </c>
      <c r="E5" s="72" t="s">
        <v>1</v>
      </c>
      <c r="F5" s="72"/>
      <c r="G5" s="72"/>
      <c r="H5" s="72"/>
      <c r="I5" s="72"/>
      <c r="J5" s="72" t="s">
        <v>17</v>
      </c>
      <c r="K5" s="72"/>
      <c r="L5" s="72" t="s">
        <v>31</v>
      </c>
      <c r="M5" s="72"/>
      <c r="N5" s="72"/>
      <c r="O5" s="72" t="s">
        <v>21</v>
      </c>
      <c r="P5" s="72"/>
      <c r="Q5" s="72"/>
      <c r="R5" s="72" t="s">
        <v>24</v>
      </c>
      <c r="S5" s="72"/>
      <c r="T5" s="72"/>
      <c r="U5" s="74" t="s">
        <v>33</v>
      </c>
    </row>
    <row r="6" spans="1:42" s="10" customFormat="1" ht="39" customHeight="1" x14ac:dyDescent="0.25">
      <c r="A6" s="73"/>
      <c r="B6" s="73"/>
      <c r="C6" s="73"/>
      <c r="D6" s="73"/>
      <c r="E6" s="9" t="s">
        <v>2</v>
      </c>
      <c r="F6" s="9" t="s">
        <v>7</v>
      </c>
      <c r="G6" s="9" t="s">
        <v>3</v>
      </c>
      <c r="H6" s="9" t="s">
        <v>4</v>
      </c>
      <c r="I6" s="9" t="s">
        <v>5</v>
      </c>
      <c r="J6" s="9" t="s">
        <v>18</v>
      </c>
      <c r="K6" s="9" t="s">
        <v>34</v>
      </c>
      <c r="L6" s="9" t="s">
        <v>19</v>
      </c>
      <c r="M6" s="9" t="s">
        <v>20</v>
      </c>
      <c r="N6" s="9" t="s">
        <v>30</v>
      </c>
      <c r="O6" s="9" t="s">
        <v>2</v>
      </c>
      <c r="P6" s="9" t="s">
        <v>22</v>
      </c>
      <c r="Q6" s="9" t="s">
        <v>23</v>
      </c>
      <c r="R6" s="9" t="s">
        <v>2</v>
      </c>
      <c r="S6" s="9" t="s">
        <v>25</v>
      </c>
      <c r="T6" s="9" t="s">
        <v>23</v>
      </c>
      <c r="U6" s="75"/>
    </row>
    <row r="7" spans="1:42" ht="36" customHeight="1" x14ac:dyDescent="0.25">
      <c r="A7" s="34" t="s">
        <v>93</v>
      </c>
      <c r="B7" s="34" t="s">
        <v>113</v>
      </c>
      <c r="C7" s="35">
        <v>0</v>
      </c>
      <c r="D7" s="35">
        <v>0.37</v>
      </c>
      <c r="E7" s="34"/>
      <c r="F7" s="34" t="s">
        <v>114</v>
      </c>
      <c r="G7" s="34"/>
      <c r="H7" s="34"/>
      <c r="I7" s="34"/>
      <c r="J7" s="34" t="s">
        <v>114</v>
      </c>
      <c r="K7" s="34"/>
      <c r="L7" s="34"/>
      <c r="M7" s="34" t="s">
        <v>114</v>
      </c>
      <c r="N7" s="34"/>
      <c r="O7" s="34"/>
      <c r="P7" s="34" t="s">
        <v>114</v>
      </c>
      <c r="Q7" s="34"/>
      <c r="R7" s="34"/>
      <c r="S7" s="34" t="s">
        <v>114</v>
      </c>
      <c r="T7" s="34"/>
      <c r="U7" s="36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36" customHeight="1" x14ac:dyDescent="0.25">
      <c r="A8" s="34"/>
      <c r="B8" s="34"/>
      <c r="C8" s="35"/>
      <c r="D8" s="35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6"/>
    </row>
    <row r="9" spans="1:42" ht="36" customHeight="1" x14ac:dyDescent="0.25">
      <c r="A9" s="34"/>
      <c r="B9" s="34"/>
      <c r="C9" s="35"/>
      <c r="D9" s="35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6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2" ht="36" customHeight="1" x14ac:dyDescent="0.25">
      <c r="A10" s="34"/>
      <c r="B10" s="34"/>
      <c r="C10" s="35"/>
      <c r="D10" s="35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6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2" ht="36" customHeight="1" x14ac:dyDescent="0.25">
      <c r="A11" s="34"/>
      <c r="B11" s="34"/>
      <c r="C11" s="35"/>
      <c r="D11" s="35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6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2" ht="36" customHeight="1" x14ac:dyDescent="0.25">
      <c r="A12" s="34"/>
      <c r="B12" s="34"/>
      <c r="C12" s="35"/>
      <c r="D12" s="35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6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2" ht="36" customHeight="1" x14ac:dyDescent="0.25">
      <c r="A13" s="34"/>
      <c r="B13" s="34"/>
      <c r="C13" s="35"/>
      <c r="D13" s="35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6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2" ht="36" customHeight="1" x14ac:dyDescent="0.25">
      <c r="A14" s="34"/>
      <c r="B14" s="34"/>
      <c r="C14" s="35"/>
      <c r="D14" s="35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6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2" ht="36" customHeight="1" x14ac:dyDescent="0.25">
      <c r="A15" s="34"/>
      <c r="B15" s="34"/>
      <c r="C15" s="35"/>
      <c r="D15" s="35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6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2" ht="36" customHeight="1" x14ac:dyDescent="0.25">
      <c r="A16" s="34"/>
      <c r="B16" s="34"/>
      <c r="C16" s="35"/>
      <c r="D16" s="35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6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34"/>
      <c r="B17" s="34"/>
      <c r="C17" s="35"/>
      <c r="D17" s="35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6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34"/>
      <c r="B18" s="34"/>
      <c r="C18" s="35"/>
      <c r="D18" s="35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6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34"/>
      <c r="B19" s="34"/>
      <c r="C19" s="35"/>
      <c r="D19" s="35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6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34"/>
      <c r="B20" s="34"/>
      <c r="C20" s="35"/>
      <c r="D20" s="35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6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34"/>
      <c r="B21" s="34"/>
      <c r="C21" s="35"/>
      <c r="D21" s="35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6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34"/>
      <c r="B22" s="34"/>
      <c r="C22" s="35"/>
      <c r="D22" s="35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6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34"/>
      <c r="B23" s="34"/>
      <c r="C23" s="35"/>
      <c r="D23" s="35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6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34"/>
      <c r="B24" s="34"/>
      <c r="C24" s="35"/>
      <c r="D24" s="35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6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34"/>
      <c r="B25" s="34"/>
      <c r="C25" s="35"/>
      <c r="D25" s="35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6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34"/>
      <c r="B26" s="34"/>
      <c r="C26" s="35"/>
      <c r="D26" s="35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6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34"/>
      <c r="B27" s="34"/>
      <c r="C27" s="35"/>
      <c r="D27" s="35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6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34"/>
      <c r="B28" s="34"/>
      <c r="C28" s="35"/>
      <c r="D28" s="35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6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34"/>
      <c r="B29" s="34"/>
      <c r="C29" s="35"/>
      <c r="D29" s="35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6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37"/>
      <c r="B30" s="37"/>
      <c r="C30" s="38"/>
      <c r="D30" s="3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9"/>
    </row>
    <row r="32" spans="1:40" ht="19.5" x14ac:dyDescent="0.3">
      <c r="A32" s="4" t="s">
        <v>6</v>
      </c>
      <c r="B32" s="11" t="s">
        <v>1</v>
      </c>
      <c r="C32" s="5"/>
      <c r="D32" s="5"/>
      <c r="E32" s="76"/>
      <c r="F32" s="76"/>
    </row>
    <row r="33" spans="1:20" ht="19.5" x14ac:dyDescent="0.3">
      <c r="A33" s="4" t="s">
        <v>8</v>
      </c>
      <c r="B33" s="4" t="s">
        <v>9</v>
      </c>
      <c r="E33" s="4" t="s">
        <v>13</v>
      </c>
      <c r="F33" s="4"/>
      <c r="G33" s="4"/>
      <c r="I33" s="4" t="s">
        <v>4</v>
      </c>
      <c r="J33" s="4" t="s">
        <v>11</v>
      </c>
      <c r="K33" s="1"/>
      <c r="L33" s="1"/>
      <c r="M33" s="4" t="s">
        <v>15</v>
      </c>
      <c r="N33" s="4"/>
      <c r="O33" s="4"/>
    </row>
    <row r="34" spans="1:20" ht="19.5" x14ac:dyDescent="0.3">
      <c r="A34" s="4" t="s">
        <v>3</v>
      </c>
      <c r="B34" s="4" t="s">
        <v>10</v>
      </c>
      <c r="E34" s="4" t="s">
        <v>14</v>
      </c>
      <c r="F34" s="4"/>
      <c r="G34" s="4"/>
      <c r="I34" s="4" t="s">
        <v>5</v>
      </c>
      <c r="J34" s="4" t="s">
        <v>12</v>
      </c>
      <c r="K34" s="1"/>
      <c r="L34" s="1"/>
      <c r="M34" s="4" t="s">
        <v>16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>
        <f>IF(F7="X",(D7-C7),"0")</f>
        <v>0.37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0.37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0.37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0.37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0.37</v>
      </c>
      <c r="T39" s="2" t="str">
        <f>IF(T7="X",(D7-C7),"0")</f>
        <v>0</v>
      </c>
    </row>
    <row r="40" spans="1:20" x14ac:dyDescent="0.25">
      <c r="E40" s="2" t="str">
        <f t="shared" ref="E40:E62" si="0">IF(E8="X",(D8-C8),"0")</f>
        <v>0</v>
      </c>
      <c r="F40" s="2" t="str">
        <f t="shared" ref="F40:F62" si="1">IF(F8="X",(D8-C8),"0")</f>
        <v>0</v>
      </c>
      <c r="G40" s="2" t="str">
        <f t="shared" ref="G40:G62" si="2">IF(G8="X",(D8-C8),"0")</f>
        <v>0</v>
      </c>
      <c r="H40" s="2" t="str">
        <f t="shared" ref="H40:H62" si="3">IF(H8="X",(D8-C8),"0")</f>
        <v>0</v>
      </c>
      <c r="I40" s="2" t="str">
        <f t="shared" ref="I40:I62" si="4">IF(I8="X",(D8-C8),"0")</f>
        <v>0</v>
      </c>
      <c r="J40" s="2" t="str">
        <f t="shared" ref="J40:J62" si="5">IF(J8="X",(D8-C8),"0")</f>
        <v>0</v>
      </c>
      <c r="K40" s="2" t="str">
        <f t="shared" ref="K40:K62" si="6">IF(K8="X",(D8-C8),"0")</f>
        <v>0</v>
      </c>
      <c r="L40" s="2" t="str">
        <f t="shared" ref="L40:L62" si="7">IF(L8="X",(D8-C8),"0")</f>
        <v>0</v>
      </c>
      <c r="M40" s="2" t="str">
        <f t="shared" ref="M40:M62" si="8">IF(M8="X",(D8-C8),"0")</f>
        <v>0</v>
      </c>
      <c r="N40" s="2" t="str">
        <f t="shared" ref="N40:N62" si="9">IF(N8="X",(D8-C8),"0")</f>
        <v>0</v>
      </c>
      <c r="O40" s="2" t="str">
        <f t="shared" ref="O40:O62" si="10">IF(O8="X",(D8-C8),"0")</f>
        <v>0</v>
      </c>
      <c r="P40" s="2" t="str">
        <f t="shared" ref="P40:P62" si="11">IF(P8="X",(D8-C8),"0")</f>
        <v>0</v>
      </c>
      <c r="Q40" s="2" t="str">
        <f t="shared" ref="Q40:Q62" si="12">IF(Q8="X",(D8-C8),"0")</f>
        <v>0</v>
      </c>
      <c r="R40" s="2" t="str">
        <f t="shared" ref="R40:R62" si="13">IF(R8="X",(D8-C8),"0")</f>
        <v>0</v>
      </c>
      <c r="S40" s="2" t="str">
        <f t="shared" ref="S40:S62" si="14">IF(S8="X",(D8-C8),"0")</f>
        <v>0</v>
      </c>
      <c r="T40" s="2" t="str">
        <f t="shared" ref="T40:T62" si="15">IF(T8="X",(D8-C8),"0")</f>
        <v>0</v>
      </c>
    </row>
    <row r="41" spans="1:20" x14ac:dyDescent="0.25">
      <c r="E41" s="2" t="str">
        <f t="shared" si="0"/>
        <v>0</v>
      </c>
      <c r="F41" s="2" t="str">
        <f t="shared" si="1"/>
        <v>0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 t="str">
        <f t="shared" si="5"/>
        <v>0</v>
      </c>
      <c r="K41" s="2" t="str">
        <f t="shared" si="6"/>
        <v>0</v>
      </c>
      <c r="L41" s="2" t="str">
        <f t="shared" si="7"/>
        <v>0</v>
      </c>
      <c r="M41" s="2" t="str">
        <f t="shared" si="8"/>
        <v>0</v>
      </c>
      <c r="N41" s="2" t="str">
        <f t="shared" si="9"/>
        <v>0</v>
      </c>
      <c r="O41" s="2" t="str">
        <f t="shared" si="10"/>
        <v>0</v>
      </c>
      <c r="P41" s="2" t="str">
        <f t="shared" si="11"/>
        <v>0</v>
      </c>
      <c r="Q41" s="2" t="str">
        <f t="shared" si="12"/>
        <v>0</v>
      </c>
      <c r="R41" s="2" t="str">
        <f t="shared" si="13"/>
        <v>0</v>
      </c>
      <c r="S41" s="2" t="str">
        <f t="shared" si="14"/>
        <v>0</v>
      </c>
      <c r="T41" s="2" t="str">
        <f t="shared" si="15"/>
        <v>0</v>
      </c>
    </row>
    <row r="42" spans="1:20" x14ac:dyDescent="0.25">
      <c r="E42" s="2" t="str">
        <f t="shared" si="0"/>
        <v>0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 t="str">
        <f t="shared" si="5"/>
        <v>0</v>
      </c>
      <c r="K42" s="2" t="str">
        <f t="shared" si="6"/>
        <v>0</v>
      </c>
      <c r="L42" s="2" t="str">
        <f t="shared" si="7"/>
        <v>0</v>
      </c>
      <c r="M42" s="2" t="str">
        <f t="shared" si="8"/>
        <v>0</v>
      </c>
      <c r="N42" s="2" t="str">
        <f t="shared" si="9"/>
        <v>0</v>
      </c>
      <c r="O42" s="2" t="str">
        <f t="shared" si="10"/>
        <v>0</v>
      </c>
      <c r="P42" s="2" t="str">
        <f t="shared" si="11"/>
        <v>0</v>
      </c>
      <c r="Q42" s="2" t="str">
        <f t="shared" si="12"/>
        <v>0</v>
      </c>
      <c r="R42" s="2" t="str">
        <f t="shared" si="13"/>
        <v>0</v>
      </c>
      <c r="S42" s="2" t="str">
        <f t="shared" si="14"/>
        <v>0</v>
      </c>
      <c r="T42" s="2" t="str">
        <f t="shared" si="15"/>
        <v>0</v>
      </c>
    </row>
    <row r="43" spans="1:20" x14ac:dyDescent="0.25">
      <c r="E43" s="2" t="str">
        <f t="shared" si="0"/>
        <v>0</v>
      </c>
      <c r="F43" s="2" t="str">
        <f t="shared" si="1"/>
        <v>0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 t="str">
        <f t="shared" si="5"/>
        <v>0</v>
      </c>
      <c r="K43" s="2" t="str">
        <f t="shared" si="6"/>
        <v>0</v>
      </c>
      <c r="L43" s="2" t="str">
        <f t="shared" si="7"/>
        <v>0</v>
      </c>
      <c r="M43" s="2" t="str">
        <f t="shared" si="8"/>
        <v>0</v>
      </c>
      <c r="N43" s="2" t="str">
        <f t="shared" si="9"/>
        <v>0</v>
      </c>
      <c r="O43" s="2" t="str">
        <f t="shared" si="10"/>
        <v>0</v>
      </c>
      <c r="P43" s="2" t="str">
        <f t="shared" si="11"/>
        <v>0</v>
      </c>
      <c r="Q43" s="2" t="str">
        <f t="shared" si="12"/>
        <v>0</v>
      </c>
      <c r="R43" s="2" t="str">
        <f t="shared" si="13"/>
        <v>0</v>
      </c>
      <c r="S43" s="2" t="str">
        <f t="shared" si="14"/>
        <v>0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 t="str">
        <f t="shared" si="5"/>
        <v>0</v>
      </c>
      <c r="K44" s="2" t="str">
        <f t="shared" si="6"/>
        <v>0</v>
      </c>
      <c r="L44" s="2" t="str">
        <f t="shared" si="7"/>
        <v>0</v>
      </c>
      <c r="M44" s="2" t="str">
        <f t="shared" si="8"/>
        <v>0</v>
      </c>
      <c r="N44" s="2" t="str">
        <f t="shared" si="9"/>
        <v>0</v>
      </c>
      <c r="O44" s="2" t="str">
        <f t="shared" si="10"/>
        <v>0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 t="str">
        <f t="shared" si="14"/>
        <v>0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O63" s="2"/>
      <c r="P63" s="2"/>
      <c r="Q63" s="2"/>
      <c r="R63" s="2"/>
      <c r="S63" s="2"/>
      <c r="T63" s="2"/>
    </row>
    <row r="64" spans="5:20" x14ac:dyDescent="0.25">
      <c r="O64" s="2"/>
      <c r="P64" s="2"/>
      <c r="Q64" s="2"/>
      <c r="R64" s="2"/>
      <c r="S64" s="2"/>
      <c r="T64" s="2"/>
    </row>
    <row r="65" spans="15:20" x14ac:dyDescent="0.25">
      <c r="O65" s="2"/>
      <c r="P65" s="2"/>
      <c r="Q65" s="2"/>
      <c r="R65" s="2"/>
      <c r="S65" s="2"/>
      <c r="T65" s="2"/>
    </row>
    <row r="66" spans="15:20" x14ac:dyDescent="0.25">
      <c r="O66" s="2"/>
      <c r="P66" s="2"/>
      <c r="Q66" s="2"/>
      <c r="R66" s="2"/>
      <c r="S66" s="2"/>
      <c r="T66" s="2"/>
    </row>
    <row r="67" spans="15:20" x14ac:dyDescent="0.25">
      <c r="O67" s="2"/>
      <c r="P67" s="2"/>
      <c r="Q67" s="2"/>
      <c r="R67" s="2"/>
      <c r="S67" s="2"/>
      <c r="T67" s="2"/>
    </row>
    <row r="68" spans="15:20" x14ac:dyDescent="0.25">
      <c r="O68" s="2"/>
      <c r="P68" s="2"/>
      <c r="Q68" s="2"/>
      <c r="R68" s="2"/>
      <c r="S68" s="2"/>
      <c r="T68" s="2"/>
    </row>
    <row r="69" spans="15:20" x14ac:dyDescent="0.25">
      <c r="O69" s="2"/>
      <c r="P69" s="2"/>
      <c r="Q69" s="2"/>
      <c r="R69" s="2"/>
      <c r="S69" s="2"/>
      <c r="T69" s="2"/>
    </row>
    <row r="70" spans="15:20" x14ac:dyDescent="0.25">
      <c r="O70" s="2"/>
      <c r="P70" s="2"/>
      <c r="Q70" s="2"/>
      <c r="R70" s="2"/>
      <c r="S70" s="2"/>
      <c r="T70" s="2"/>
    </row>
    <row r="71" spans="15:20" x14ac:dyDescent="0.25">
      <c r="O71" s="2"/>
      <c r="P71" s="2"/>
      <c r="Q71" s="2"/>
      <c r="R71" s="2"/>
      <c r="S71" s="2"/>
      <c r="T71" s="2"/>
    </row>
    <row r="72" spans="15:20" x14ac:dyDescent="0.25">
      <c r="O72" s="2"/>
      <c r="P72" s="2"/>
      <c r="Q72" s="2"/>
      <c r="R72" s="2"/>
      <c r="S72" s="2"/>
      <c r="T72" s="2"/>
    </row>
    <row r="73" spans="15:20" x14ac:dyDescent="0.25">
      <c r="O73" s="2"/>
      <c r="P73" s="2"/>
      <c r="Q73" s="2"/>
      <c r="R73" s="2"/>
      <c r="S73" s="2"/>
      <c r="T73" s="2"/>
    </row>
    <row r="74" spans="15:20" x14ac:dyDescent="0.25">
      <c r="O74" s="2"/>
      <c r="P74" s="2"/>
      <c r="Q74" s="2"/>
      <c r="R74" s="2"/>
      <c r="S74" s="2"/>
      <c r="T74" s="2"/>
    </row>
    <row r="75" spans="15:20" x14ac:dyDescent="0.25">
      <c r="O75" s="2"/>
      <c r="P75" s="2"/>
      <c r="Q75" s="2"/>
      <c r="R75" s="2"/>
      <c r="S75" s="2"/>
      <c r="T75" s="2"/>
    </row>
    <row r="76" spans="15:20" x14ac:dyDescent="0.25">
      <c r="O76" s="2"/>
      <c r="P76" s="2"/>
      <c r="Q76" s="2"/>
      <c r="R76" s="2"/>
      <c r="S76" s="2"/>
      <c r="T76" s="2"/>
    </row>
    <row r="77" spans="15:20" x14ac:dyDescent="0.25">
      <c r="O77" s="2"/>
      <c r="P77" s="2"/>
      <c r="Q77" s="2"/>
      <c r="R77" s="2"/>
      <c r="S77" s="2"/>
      <c r="T77" s="2"/>
    </row>
    <row r="78" spans="15:20" x14ac:dyDescent="0.25">
      <c r="O78" s="2"/>
      <c r="P78" s="2"/>
      <c r="Q78" s="2"/>
      <c r="R78" s="2"/>
      <c r="S78" s="2"/>
      <c r="T78" s="2"/>
    </row>
    <row r="79" spans="15:20" x14ac:dyDescent="0.25">
      <c r="O79" s="2"/>
      <c r="P79" s="2"/>
      <c r="Q79" s="2"/>
      <c r="R79" s="2"/>
      <c r="S79" s="2"/>
      <c r="T79" s="2"/>
    </row>
    <row r="80" spans="15:20" x14ac:dyDescent="0.25">
      <c r="O80" s="2"/>
      <c r="P80" s="2"/>
      <c r="Q80" s="2"/>
      <c r="R80" s="2"/>
      <c r="S80" s="2"/>
      <c r="T80" s="2"/>
    </row>
    <row r="81" spans="15:20" x14ac:dyDescent="0.25">
      <c r="O81" s="2"/>
      <c r="P81" s="2"/>
      <c r="Q81" s="2"/>
      <c r="R81" s="2"/>
      <c r="S81" s="2"/>
      <c r="T81" s="2"/>
    </row>
    <row r="82" spans="15:20" x14ac:dyDescent="0.25">
      <c r="O82" s="2"/>
      <c r="P82" s="2"/>
      <c r="Q82" s="2"/>
      <c r="R82" s="2"/>
      <c r="S82" s="2"/>
      <c r="T82" s="2"/>
    </row>
    <row r="83" spans="15:20" x14ac:dyDescent="0.25">
      <c r="O83" s="2"/>
      <c r="P83" s="2"/>
      <c r="Q83" s="2"/>
      <c r="R83" s="2"/>
      <c r="S83" s="2"/>
      <c r="T83" s="2"/>
    </row>
    <row r="84" spans="15:20" x14ac:dyDescent="0.25">
      <c r="O84" s="2"/>
      <c r="P84" s="2"/>
      <c r="Q84" s="2"/>
      <c r="R84" s="2"/>
      <c r="S84" s="2"/>
      <c r="T84" s="2"/>
    </row>
    <row r="85" spans="15:20" x14ac:dyDescent="0.25">
      <c r="O85" s="2"/>
      <c r="P85" s="2"/>
      <c r="Q85" s="2"/>
      <c r="R85" s="2"/>
      <c r="S85" s="2"/>
      <c r="T85" s="2"/>
    </row>
    <row r="86" spans="15:20" x14ac:dyDescent="0.25">
      <c r="O86" s="2"/>
      <c r="P86" s="2"/>
      <c r="Q86" s="2"/>
      <c r="R86" s="2"/>
      <c r="S86" s="2"/>
      <c r="T86" s="2"/>
    </row>
    <row r="87" spans="15:20" x14ac:dyDescent="0.25">
      <c r="O87" s="2"/>
      <c r="P87" s="2"/>
      <c r="Q87" s="2"/>
      <c r="R87" s="2"/>
      <c r="S87" s="2"/>
      <c r="T87" s="2"/>
    </row>
    <row r="88" spans="15:20" x14ac:dyDescent="0.25">
      <c r="O88" s="2"/>
      <c r="P88" s="2"/>
      <c r="Q88" s="2"/>
      <c r="R88" s="2"/>
      <c r="S88" s="2"/>
      <c r="T88" s="2"/>
    </row>
    <row r="89" spans="15:20" x14ac:dyDescent="0.25">
      <c r="O89" s="2"/>
      <c r="P89" s="2"/>
      <c r="Q89" s="2"/>
      <c r="R89" s="2"/>
      <c r="S89" s="2"/>
      <c r="T89" s="2"/>
    </row>
    <row r="90" spans="15:20" x14ac:dyDescent="0.25">
      <c r="O90" s="2"/>
      <c r="P90" s="2"/>
      <c r="Q90" s="2"/>
      <c r="R90" s="2"/>
      <c r="S90" s="2"/>
      <c r="T90" s="2"/>
    </row>
    <row r="91" spans="15:20" x14ac:dyDescent="0.25">
      <c r="O91" s="2"/>
      <c r="P91" s="2"/>
      <c r="Q91" s="2"/>
      <c r="R91" s="2"/>
      <c r="S91" s="2"/>
      <c r="T91" s="2"/>
    </row>
    <row r="92" spans="15:20" x14ac:dyDescent="0.25">
      <c r="O92" s="2"/>
      <c r="P92" s="2"/>
      <c r="Q92" s="2"/>
      <c r="R92" s="2"/>
      <c r="S92" s="2"/>
      <c r="T92" s="2"/>
    </row>
    <row r="93" spans="15:20" x14ac:dyDescent="0.25">
      <c r="O93" s="2"/>
      <c r="P93" s="2"/>
      <c r="Q93" s="2"/>
      <c r="R93" s="2"/>
      <c r="S93" s="2"/>
      <c r="T93" s="2"/>
    </row>
    <row r="94" spans="15:20" x14ac:dyDescent="0.25">
      <c r="O94" s="2"/>
      <c r="P94" s="2"/>
      <c r="Q94" s="2"/>
      <c r="R94" s="2"/>
      <c r="S94" s="2"/>
      <c r="T94" s="2"/>
    </row>
    <row r="95" spans="15:20" x14ac:dyDescent="0.25">
      <c r="O95" s="2"/>
      <c r="P95" s="2"/>
      <c r="Q95" s="2"/>
      <c r="R95" s="2"/>
      <c r="S95" s="2"/>
      <c r="T95" s="2"/>
    </row>
    <row r="96" spans="15:20" x14ac:dyDescent="0.25">
      <c r="O96" s="2"/>
      <c r="P96" s="2"/>
      <c r="Q96" s="2"/>
      <c r="R96" s="2"/>
      <c r="S96" s="2"/>
      <c r="T96" s="2"/>
    </row>
    <row r="97" spans="15:20" x14ac:dyDescent="0.25">
      <c r="O97" s="2"/>
      <c r="P97" s="2"/>
      <c r="Q97" s="2"/>
      <c r="R97" s="2"/>
      <c r="S97" s="2"/>
      <c r="T97" s="2"/>
    </row>
    <row r="98" spans="15:20" x14ac:dyDescent="0.25">
      <c r="O98" s="2"/>
      <c r="P98" s="2"/>
      <c r="Q98" s="2"/>
      <c r="R98" s="2"/>
      <c r="S98" s="2"/>
      <c r="T98" s="2"/>
    </row>
    <row r="99" spans="15:20" x14ac:dyDescent="0.25">
      <c r="O99" s="2"/>
      <c r="P99" s="2"/>
      <c r="Q99" s="2"/>
      <c r="R99" s="2"/>
      <c r="S99" s="2"/>
      <c r="T99" s="2"/>
    </row>
    <row r="100" spans="15:20" x14ac:dyDescent="0.25">
      <c r="O100" s="2"/>
      <c r="P100" s="2"/>
      <c r="Q100" s="2"/>
      <c r="R100" s="2"/>
      <c r="S100" s="2"/>
      <c r="T100" s="2"/>
    </row>
    <row r="101" spans="15:20" x14ac:dyDescent="0.25">
      <c r="O101" s="2"/>
      <c r="P101" s="2"/>
      <c r="Q101" s="2"/>
      <c r="R101" s="2"/>
      <c r="S101" s="2"/>
      <c r="T101" s="2"/>
    </row>
    <row r="102" spans="15:20" x14ac:dyDescent="0.25">
      <c r="O102" s="2"/>
      <c r="P102" s="2"/>
      <c r="Q102" s="2"/>
      <c r="R102" s="2"/>
      <c r="S102" s="2"/>
      <c r="T102" s="2"/>
    </row>
    <row r="103" spans="15:20" x14ac:dyDescent="0.25">
      <c r="O103" s="2"/>
      <c r="P103" s="2"/>
      <c r="Q103" s="2"/>
      <c r="R103" s="2"/>
      <c r="S103" s="2"/>
      <c r="T103" s="2"/>
    </row>
    <row r="104" spans="15:20" x14ac:dyDescent="0.25">
      <c r="O104" s="2"/>
      <c r="P104" s="2"/>
      <c r="Q104" s="2"/>
      <c r="R104" s="2"/>
      <c r="S104" s="2"/>
      <c r="T104" s="2"/>
    </row>
    <row r="105" spans="15:20" x14ac:dyDescent="0.25">
      <c r="O105" s="2"/>
      <c r="P105" s="2"/>
      <c r="Q105" s="2"/>
      <c r="R105" s="2"/>
      <c r="S105" s="2"/>
      <c r="T105" s="2"/>
    </row>
    <row r="106" spans="15:20" x14ac:dyDescent="0.25">
      <c r="O106" s="2"/>
      <c r="P106" s="2"/>
      <c r="Q106" s="2"/>
      <c r="R106" s="2"/>
      <c r="S106" s="2"/>
      <c r="T106" s="2"/>
    </row>
    <row r="107" spans="15:20" x14ac:dyDescent="0.25">
      <c r="O107" s="2"/>
      <c r="P107" s="2"/>
      <c r="Q107" s="2"/>
      <c r="R107" s="2"/>
      <c r="S107" s="2"/>
      <c r="T107" s="2"/>
    </row>
    <row r="108" spans="15:20" x14ac:dyDescent="0.25">
      <c r="O108" s="2"/>
      <c r="P108" s="2"/>
      <c r="Q108" s="2"/>
      <c r="R108" s="2"/>
      <c r="S108" s="2"/>
      <c r="T108" s="2"/>
    </row>
    <row r="109" spans="15:20" x14ac:dyDescent="0.25">
      <c r="O109" s="2"/>
      <c r="P109" s="2"/>
      <c r="Q109" s="2"/>
      <c r="R109" s="2"/>
      <c r="S109" s="2"/>
      <c r="T109" s="2"/>
    </row>
    <row r="110" spans="15:20" x14ac:dyDescent="0.25">
      <c r="O110" s="2"/>
      <c r="P110" s="2"/>
      <c r="Q110" s="2"/>
      <c r="R110" s="2"/>
      <c r="S110" s="2"/>
      <c r="T110" s="2"/>
    </row>
    <row r="111" spans="15:20" x14ac:dyDescent="0.25">
      <c r="O111" s="2"/>
      <c r="P111" s="2"/>
      <c r="Q111" s="2"/>
      <c r="R111" s="2"/>
      <c r="S111" s="2"/>
      <c r="T111" s="2"/>
    </row>
    <row r="112" spans="15:20" x14ac:dyDescent="0.25">
      <c r="O112" s="2"/>
      <c r="P112" s="2"/>
      <c r="Q112" s="2"/>
      <c r="R112" s="2"/>
      <c r="S112" s="2"/>
      <c r="T112" s="2"/>
    </row>
    <row r="113" spans="5:20" x14ac:dyDescent="0.25">
      <c r="O113" s="2"/>
      <c r="P113" s="2"/>
      <c r="Q113" s="2"/>
      <c r="R113" s="2"/>
      <c r="S113" s="2"/>
      <c r="T113" s="2"/>
    </row>
    <row r="114" spans="5:20" x14ac:dyDescent="0.25">
      <c r="O114" s="2"/>
      <c r="P114" s="2"/>
      <c r="Q114" s="2"/>
      <c r="R114" s="2"/>
      <c r="S114" s="2"/>
      <c r="T114" s="2"/>
    </row>
    <row r="115" spans="5:20" x14ac:dyDescent="0.25">
      <c r="O115" s="2"/>
      <c r="P115" s="2"/>
      <c r="Q115" s="2"/>
      <c r="R115" s="2"/>
      <c r="S115" s="2"/>
      <c r="T115" s="2"/>
    </row>
    <row r="116" spans="5:20" x14ac:dyDescent="0.25">
      <c r="O116" s="2"/>
      <c r="P116" s="2"/>
      <c r="Q116" s="2"/>
      <c r="R116" s="2"/>
      <c r="S116" s="2"/>
      <c r="T116" s="2"/>
    </row>
    <row r="117" spans="5:20" x14ac:dyDescent="0.25">
      <c r="O117" s="2"/>
      <c r="P117" s="2"/>
      <c r="Q117" s="2"/>
      <c r="R117" s="2"/>
      <c r="S117" s="2"/>
      <c r="T117" s="2"/>
    </row>
    <row r="118" spans="5:20" x14ac:dyDescent="0.25">
      <c r="O118" s="2"/>
      <c r="P118" s="2"/>
      <c r="Q118" s="2"/>
      <c r="R118" s="2"/>
      <c r="S118" s="2"/>
      <c r="T118" s="2"/>
    </row>
    <row r="119" spans="5:20" x14ac:dyDescent="0.25">
      <c r="O119" s="2"/>
      <c r="P119" s="2"/>
      <c r="Q119" s="2"/>
      <c r="R119" s="2"/>
      <c r="S119" s="2"/>
      <c r="T119" s="2"/>
    </row>
    <row r="120" spans="5:20" x14ac:dyDescent="0.25">
      <c r="O120" s="2"/>
      <c r="P120" s="2"/>
      <c r="Q120" s="2"/>
      <c r="R120" s="2"/>
      <c r="S120" s="2"/>
      <c r="T120" s="2"/>
    </row>
    <row r="121" spans="5:20" x14ac:dyDescent="0.25">
      <c r="O121" s="2"/>
      <c r="P121" s="2"/>
      <c r="Q121" s="2"/>
      <c r="R121" s="2"/>
      <c r="S121" s="2"/>
      <c r="T121" s="2"/>
    </row>
    <row r="122" spans="5:20" x14ac:dyDescent="0.25">
      <c r="O122" s="2"/>
      <c r="P122" s="2"/>
      <c r="Q122" s="2"/>
      <c r="R122" s="2"/>
      <c r="S122" s="2"/>
      <c r="T122" s="2"/>
    </row>
    <row r="123" spans="5:20" x14ac:dyDescent="0.25">
      <c r="O123" s="2"/>
      <c r="P123" s="2"/>
      <c r="Q123" s="2"/>
      <c r="R123" s="2"/>
      <c r="S123" s="2"/>
      <c r="T123" s="2"/>
    </row>
    <row r="124" spans="5:20" x14ac:dyDescent="0.25">
      <c r="O124" s="2"/>
      <c r="P124" s="2"/>
      <c r="Q124" s="2"/>
      <c r="R124" s="2"/>
      <c r="S124" s="2"/>
      <c r="T124" s="2"/>
    </row>
    <row r="125" spans="5:20" x14ac:dyDescent="0.25">
      <c r="O125" s="2"/>
      <c r="P125" s="2"/>
      <c r="Q125" s="2"/>
      <c r="R125" s="2"/>
      <c r="S125" s="2"/>
      <c r="T125" s="2"/>
    </row>
    <row r="126" spans="5:20" x14ac:dyDescent="0.25">
      <c r="O126" s="2"/>
      <c r="P126" s="2"/>
      <c r="Q126" s="2"/>
      <c r="R126" s="2"/>
      <c r="S126" s="2"/>
      <c r="T126" s="2"/>
    </row>
    <row r="127" spans="5:20" x14ac:dyDescent="0.25">
      <c r="O127" s="2"/>
      <c r="P127" s="2"/>
      <c r="Q127" s="2"/>
      <c r="R127" s="2"/>
      <c r="S127" s="2"/>
      <c r="T127" s="2"/>
    </row>
    <row r="128" spans="5:20" x14ac:dyDescent="0.25">
      <c r="E128" s="2">
        <f>SUM(E39:E126)</f>
        <v>0</v>
      </c>
      <c r="F128" s="2">
        <f t="shared" ref="F128:T128" si="16">SUM(F39:F126)</f>
        <v>0.37</v>
      </c>
      <c r="G128" s="2">
        <f t="shared" si="16"/>
        <v>0</v>
      </c>
      <c r="H128" s="2">
        <f t="shared" si="16"/>
        <v>0</v>
      </c>
      <c r="I128" s="2">
        <f t="shared" si="16"/>
        <v>0</v>
      </c>
      <c r="J128" s="2">
        <f t="shared" si="16"/>
        <v>0.37</v>
      </c>
      <c r="K128" s="2">
        <f t="shared" si="16"/>
        <v>0</v>
      </c>
      <c r="L128" s="2">
        <f t="shared" si="16"/>
        <v>0</v>
      </c>
      <c r="M128" s="2">
        <f t="shared" si="16"/>
        <v>0.37</v>
      </c>
      <c r="N128" s="2">
        <f t="shared" si="16"/>
        <v>0</v>
      </c>
      <c r="O128" s="2">
        <f t="shared" si="16"/>
        <v>0</v>
      </c>
      <c r="P128" s="2">
        <f t="shared" si="16"/>
        <v>0.37</v>
      </c>
      <c r="Q128" s="2">
        <f t="shared" si="16"/>
        <v>0</v>
      </c>
      <c r="R128" s="2">
        <f t="shared" si="16"/>
        <v>0</v>
      </c>
      <c r="S128" s="2">
        <f t="shared" si="16"/>
        <v>0.37</v>
      </c>
      <c r="T128" s="2">
        <f t="shared" si="16"/>
        <v>0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Q3:R3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76DF0-360A-4E49-989B-022878A0DC22}">
  <sheetPr>
    <tabColor theme="2"/>
  </sheetPr>
  <dimension ref="A1:AP128"/>
  <sheetViews>
    <sheetView view="pageBreakPreview" topLeftCell="A2" zoomScale="70" zoomScaleNormal="70" zoomScaleSheetLayoutView="70" workbookViewId="0">
      <pane ySplit="5" topLeftCell="A7" activePane="bottomLeft" state="frozen"/>
      <selection activeCell="W16" sqref="W16"/>
      <selection pane="bottomLeft" activeCell="C10" sqref="C10"/>
    </sheetView>
  </sheetViews>
  <sheetFormatPr defaultColWidth="8.85546875" defaultRowHeight="15" x14ac:dyDescent="0.25"/>
  <cols>
    <col min="1" max="1" width="32.42578125" style="1" customWidth="1"/>
    <col min="2" max="2" width="14.42578125" style="1" customWidth="1"/>
    <col min="3" max="4" width="12" style="1" customWidth="1"/>
    <col min="5" max="9" width="11.42578125" style="2" customWidth="1"/>
    <col min="10" max="10" width="10.5703125" style="2" bestFit="1" customWidth="1"/>
    <col min="11" max="11" width="14" style="2" bestFit="1" customWidth="1"/>
    <col min="12" max="13" width="12.42578125" style="2" customWidth="1"/>
    <col min="14" max="14" width="10.42578125" style="2" customWidth="1"/>
    <col min="15" max="17" width="13.5703125" style="1" customWidth="1"/>
    <col min="18" max="20" width="14.42578125" style="1" customWidth="1"/>
    <col min="21" max="21" width="42.42578125" style="1" customWidth="1"/>
    <col min="22" max="16384" width="8.85546875" style="1"/>
  </cols>
  <sheetData>
    <row r="1" spans="1:42" ht="19.5" x14ac:dyDescent="0.3">
      <c r="A1" s="3" t="s">
        <v>112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2" ht="20.25" thickBot="1" x14ac:dyDescent="0.35">
      <c r="A2" s="3"/>
      <c r="B2" s="4"/>
      <c r="C2" s="4"/>
      <c r="D2" s="3" t="s">
        <v>35</v>
      </c>
      <c r="E2" s="5"/>
      <c r="F2" s="5"/>
      <c r="G2" s="5"/>
      <c r="H2" s="5"/>
      <c r="I2" s="6" t="s">
        <v>26</v>
      </c>
      <c r="J2" s="77">
        <f>'214'!J2</f>
        <v>46204</v>
      </c>
      <c r="K2" s="77"/>
      <c r="L2" s="7"/>
      <c r="M2" s="6"/>
      <c r="N2" s="12" t="s">
        <v>27</v>
      </c>
      <c r="O2" s="78" t="str">
        <f>'202'!O2</f>
        <v>ENG. THIAGO TORQUATO</v>
      </c>
      <c r="P2" s="78"/>
      <c r="Q2" s="78"/>
      <c r="R2" s="78"/>
      <c r="S2" s="78"/>
      <c r="T2" s="4"/>
      <c r="U2" s="4"/>
    </row>
    <row r="3" spans="1:42" ht="25.5" x14ac:dyDescent="0.35">
      <c r="A3" s="3" t="s">
        <v>38</v>
      </c>
      <c r="B3" s="31" t="str">
        <f>TT!C13</f>
        <v>RODOVIA TO-373 - TRECHO ALVORADA - ARAGUAÇU - DIVISA TO-GO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81" t="s">
        <v>111</v>
      </c>
      <c r="R3" s="81"/>
      <c r="S3" s="32">
        <v>11</v>
      </c>
      <c r="T3" s="4"/>
      <c r="U3" s="4"/>
    </row>
    <row r="4" spans="1:42" ht="20.25" thickBot="1" x14ac:dyDescent="0.35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2" s="8" customFormat="1" ht="39" customHeight="1" x14ac:dyDescent="0.25">
      <c r="A5" s="72" t="s">
        <v>0</v>
      </c>
      <c r="B5" s="72" t="s">
        <v>32</v>
      </c>
      <c r="C5" s="79" t="s">
        <v>28</v>
      </c>
      <c r="D5" s="79" t="s">
        <v>29</v>
      </c>
      <c r="E5" s="72" t="s">
        <v>1</v>
      </c>
      <c r="F5" s="72"/>
      <c r="G5" s="72"/>
      <c r="H5" s="72"/>
      <c r="I5" s="72"/>
      <c r="J5" s="72" t="s">
        <v>17</v>
      </c>
      <c r="K5" s="72"/>
      <c r="L5" s="72" t="s">
        <v>31</v>
      </c>
      <c r="M5" s="72"/>
      <c r="N5" s="72"/>
      <c r="O5" s="72" t="s">
        <v>21</v>
      </c>
      <c r="P5" s="72"/>
      <c r="Q5" s="72"/>
      <c r="R5" s="72" t="s">
        <v>24</v>
      </c>
      <c r="S5" s="72"/>
      <c r="T5" s="72"/>
      <c r="U5" s="74" t="s">
        <v>33</v>
      </c>
    </row>
    <row r="6" spans="1:42" s="10" customFormat="1" ht="39" customHeight="1" x14ac:dyDescent="0.25">
      <c r="A6" s="73"/>
      <c r="B6" s="73"/>
      <c r="C6" s="73"/>
      <c r="D6" s="73"/>
      <c r="E6" s="9" t="s">
        <v>2</v>
      </c>
      <c r="F6" s="9" t="s">
        <v>7</v>
      </c>
      <c r="G6" s="9" t="s">
        <v>3</v>
      </c>
      <c r="H6" s="9" t="s">
        <v>4</v>
      </c>
      <c r="I6" s="9" t="s">
        <v>5</v>
      </c>
      <c r="J6" s="9" t="s">
        <v>18</v>
      </c>
      <c r="K6" s="9" t="s">
        <v>34</v>
      </c>
      <c r="L6" s="9" t="s">
        <v>19</v>
      </c>
      <c r="M6" s="9" t="s">
        <v>20</v>
      </c>
      <c r="N6" s="9" t="s">
        <v>30</v>
      </c>
      <c r="O6" s="9" t="s">
        <v>2</v>
      </c>
      <c r="P6" s="9" t="s">
        <v>22</v>
      </c>
      <c r="Q6" s="9" t="s">
        <v>23</v>
      </c>
      <c r="R6" s="9" t="s">
        <v>2</v>
      </c>
      <c r="S6" s="9" t="s">
        <v>25</v>
      </c>
      <c r="T6" s="9" t="s">
        <v>23</v>
      </c>
      <c r="U6" s="75"/>
    </row>
    <row r="7" spans="1:42" ht="36" customHeight="1" x14ac:dyDescent="0.25">
      <c r="A7" s="34" t="s">
        <v>95</v>
      </c>
      <c r="B7" s="34" t="s">
        <v>113</v>
      </c>
      <c r="C7" s="35">
        <v>0</v>
      </c>
      <c r="D7" s="35">
        <v>3</v>
      </c>
      <c r="E7" s="34" t="s">
        <v>114</v>
      </c>
      <c r="F7" s="34"/>
      <c r="G7" s="34"/>
      <c r="H7" s="34"/>
      <c r="I7" s="34"/>
      <c r="J7" s="34" t="s">
        <v>114</v>
      </c>
      <c r="K7" s="34"/>
      <c r="L7" s="34"/>
      <c r="M7" s="34" t="s">
        <v>114</v>
      </c>
      <c r="N7" s="34"/>
      <c r="O7" s="34"/>
      <c r="P7" s="34"/>
      <c r="Q7" s="34" t="s">
        <v>114</v>
      </c>
      <c r="R7" s="34"/>
      <c r="S7" s="34" t="s">
        <v>114</v>
      </c>
      <c r="T7" s="34"/>
      <c r="U7" s="36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36" customHeight="1" x14ac:dyDescent="0.25">
      <c r="A8" s="34"/>
      <c r="B8" s="34"/>
      <c r="C8" s="35">
        <f>D7</f>
        <v>3</v>
      </c>
      <c r="D8" s="35">
        <v>3.4</v>
      </c>
      <c r="E8" s="34" t="s">
        <v>114</v>
      </c>
      <c r="F8" s="34"/>
      <c r="G8" s="34"/>
      <c r="H8" s="34" t="s">
        <v>114</v>
      </c>
      <c r="I8" s="34"/>
      <c r="J8" s="34" t="s">
        <v>114</v>
      </c>
      <c r="K8" s="34"/>
      <c r="L8" s="34"/>
      <c r="M8" s="34" t="s">
        <v>114</v>
      </c>
      <c r="N8" s="34"/>
      <c r="O8" s="34"/>
      <c r="P8" s="34"/>
      <c r="Q8" s="34" t="s">
        <v>114</v>
      </c>
      <c r="R8" s="34"/>
      <c r="S8" s="34" t="s">
        <v>114</v>
      </c>
      <c r="T8" s="34"/>
      <c r="U8" s="36"/>
    </row>
    <row r="9" spans="1:42" ht="36" customHeight="1" x14ac:dyDescent="0.25">
      <c r="A9" s="34"/>
      <c r="B9" s="34"/>
      <c r="C9" s="35">
        <f>D8</f>
        <v>3.4</v>
      </c>
      <c r="D9" s="35">
        <v>95.25</v>
      </c>
      <c r="E9" s="34" t="s">
        <v>114</v>
      </c>
      <c r="F9" s="34"/>
      <c r="G9" s="34"/>
      <c r="H9" s="34" t="s">
        <v>114</v>
      </c>
      <c r="I9" s="34"/>
      <c r="J9" s="34" t="s">
        <v>114</v>
      </c>
      <c r="K9" s="34"/>
      <c r="L9" s="34"/>
      <c r="M9" s="34" t="s">
        <v>114</v>
      </c>
      <c r="N9" s="34"/>
      <c r="O9" s="34"/>
      <c r="P9" s="34"/>
      <c r="Q9" s="34" t="s">
        <v>114</v>
      </c>
      <c r="R9" s="34"/>
      <c r="S9" s="34" t="s">
        <v>114</v>
      </c>
      <c r="T9" s="34"/>
      <c r="U9" s="36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2" ht="36" customHeight="1" x14ac:dyDescent="0.25">
      <c r="A10" s="34" t="s">
        <v>97</v>
      </c>
      <c r="B10" s="34" t="s">
        <v>115</v>
      </c>
      <c r="C10" s="35">
        <v>0</v>
      </c>
      <c r="D10" s="35">
        <v>6.17</v>
      </c>
      <c r="E10" s="34" t="s">
        <v>114</v>
      </c>
      <c r="F10" s="34"/>
      <c r="G10" s="34"/>
      <c r="H10" s="34"/>
      <c r="I10" s="34"/>
      <c r="J10" s="34" t="s">
        <v>114</v>
      </c>
      <c r="K10" s="34"/>
      <c r="L10" s="34"/>
      <c r="M10" s="34" t="s">
        <v>114</v>
      </c>
      <c r="N10" s="34"/>
      <c r="O10" s="34"/>
      <c r="P10" s="34"/>
      <c r="Q10" s="34" t="s">
        <v>114</v>
      </c>
      <c r="R10" s="34"/>
      <c r="S10" s="34"/>
      <c r="T10" s="34" t="s">
        <v>114</v>
      </c>
      <c r="U10" s="36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2" ht="36" customHeight="1" thickBot="1" x14ac:dyDescent="0.3">
      <c r="A11" s="37" t="s">
        <v>99</v>
      </c>
      <c r="B11" s="37" t="s">
        <v>115</v>
      </c>
      <c r="C11" s="38">
        <v>0</v>
      </c>
      <c r="D11" s="38">
        <v>10.89</v>
      </c>
      <c r="E11" s="37" t="s">
        <v>114</v>
      </c>
      <c r="F11" s="37"/>
      <c r="G11" s="37"/>
      <c r="H11" s="37" t="s">
        <v>114</v>
      </c>
      <c r="I11" s="37"/>
      <c r="J11" s="37" t="s">
        <v>114</v>
      </c>
      <c r="K11" s="37"/>
      <c r="L11" s="37"/>
      <c r="M11" s="37" t="s">
        <v>114</v>
      </c>
      <c r="N11" s="37"/>
      <c r="O11" s="37"/>
      <c r="P11" s="37"/>
      <c r="Q11" s="37" t="s">
        <v>114</v>
      </c>
      <c r="R11" s="37"/>
      <c r="S11" s="37"/>
      <c r="T11" s="37" t="s">
        <v>114</v>
      </c>
      <c r="U11" s="36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2" ht="36" customHeight="1" x14ac:dyDescent="0.25">
      <c r="A12" s="34"/>
      <c r="B12" s="34"/>
      <c r="C12" s="35"/>
      <c r="D12" s="35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6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2" ht="36" customHeight="1" x14ac:dyDescent="0.25">
      <c r="A13" s="34"/>
      <c r="B13" s="34"/>
      <c r="C13" s="35"/>
      <c r="D13" s="35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6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2" ht="36" customHeight="1" x14ac:dyDescent="0.25">
      <c r="A14" s="34"/>
      <c r="B14" s="34"/>
      <c r="C14" s="35"/>
      <c r="D14" s="35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6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2" ht="36" customHeight="1" x14ac:dyDescent="0.25">
      <c r="A15" s="34"/>
      <c r="B15" s="34"/>
      <c r="C15" s="35"/>
      <c r="D15" s="35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6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2" ht="36" customHeight="1" x14ac:dyDescent="0.25">
      <c r="A16" s="34"/>
      <c r="B16" s="34"/>
      <c r="C16" s="35"/>
      <c r="D16" s="35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6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34"/>
      <c r="B17" s="34"/>
      <c r="C17" s="35"/>
      <c r="D17" s="35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6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34"/>
      <c r="B18" s="34"/>
      <c r="C18" s="35"/>
      <c r="D18" s="35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6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34"/>
      <c r="B19" s="34"/>
      <c r="C19" s="35"/>
      <c r="D19" s="35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6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34"/>
      <c r="B20" s="34"/>
      <c r="C20" s="35"/>
      <c r="D20" s="35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6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34"/>
      <c r="B21" s="34"/>
      <c r="C21" s="35"/>
      <c r="D21" s="35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6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34"/>
      <c r="B22" s="34"/>
      <c r="C22" s="35"/>
      <c r="D22" s="35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6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34"/>
      <c r="B23" s="34"/>
      <c r="C23" s="35"/>
      <c r="D23" s="35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6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34"/>
      <c r="B24" s="34"/>
      <c r="C24" s="35"/>
      <c r="D24" s="35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6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34"/>
      <c r="B25" s="34"/>
      <c r="C25" s="35"/>
      <c r="D25" s="35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6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34"/>
      <c r="B26" s="34"/>
      <c r="C26" s="35"/>
      <c r="D26" s="35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6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34"/>
      <c r="B27" s="34"/>
      <c r="C27" s="35"/>
      <c r="D27" s="35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6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34"/>
      <c r="B28" s="34"/>
      <c r="C28" s="35"/>
      <c r="D28" s="35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6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34"/>
      <c r="B29" s="34"/>
      <c r="C29" s="35"/>
      <c r="D29" s="35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6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37"/>
      <c r="B30" s="37"/>
      <c r="C30" s="38"/>
      <c r="D30" s="3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9"/>
    </row>
    <row r="32" spans="1:40" ht="19.5" x14ac:dyDescent="0.3">
      <c r="A32" s="4" t="s">
        <v>6</v>
      </c>
      <c r="B32" s="11" t="s">
        <v>1</v>
      </c>
      <c r="C32" s="5"/>
      <c r="D32" s="5"/>
      <c r="E32" s="76"/>
      <c r="F32" s="76"/>
    </row>
    <row r="33" spans="1:20" ht="19.5" x14ac:dyDescent="0.3">
      <c r="A33" s="4" t="s">
        <v>8</v>
      </c>
      <c r="B33" s="4" t="s">
        <v>9</v>
      </c>
      <c r="E33" s="4" t="s">
        <v>13</v>
      </c>
      <c r="F33" s="4"/>
      <c r="G33" s="4"/>
      <c r="I33" s="4" t="s">
        <v>4</v>
      </c>
      <c r="J33" s="4" t="s">
        <v>11</v>
      </c>
      <c r="K33" s="1"/>
      <c r="L33" s="1"/>
      <c r="M33" s="4" t="s">
        <v>15</v>
      </c>
      <c r="N33" s="4"/>
      <c r="O33" s="4"/>
    </row>
    <row r="34" spans="1:20" ht="19.5" x14ac:dyDescent="0.3">
      <c r="A34" s="4" t="s">
        <v>3</v>
      </c>
      <c r="B34" s="4" t="s">
        <v>10</v>
      </c>
      <c r="E34" s="4" t="s">
        <v>14</v>
      </c>
      <c r="F34" s="4"/>
      <c r="G34" s="4"/>
      <c r="I34" s="4" t="s">
        <v>5</v>
      </c>
      <c r="J34" s="4" t="s">
        <v>12</v>
      </c>
      <c r="K34" s="1"/>
      <c r="L34" s="1"/>
      <c r="M34" s="4" t="s">
        <v>16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>
        <f>IF(E7="X",(D7-C7),"0")</f>
        <v>3</v>
      </c>
      <c r="F39" s="2" t="str">
        <f>IF(F7="X",(D7-C7),"0")</f>
        <v>0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3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3</v>
      </c>
      <c r="N39" s="2" t="str">
        <f>IF(N7="X",(D7-C7),"0")</f>
        <v>0</v>
      </c>
      <c r="O39" s="2" t="str">
        <f>IF(O7="X",(D7-C7),"0")</f>
        <v>0</v>
      </c>
      <c r="P39" s="2" t="str">
        <f>IF(P7="X",(D7-C7),"0")</f>
        <v>0</v>
      </c>
      <c r="Q39" s="2">
        <f>IF(Q7="X",(D7-C7),"0")</f>
        <v>3</v>
      </c>
      <c r="R39" s="2" t="str">
        <f>IF(R7="X",(D7-C7),"0")</f>
        <v>0</v>
      </c>
      <c r="S39" s="2">
        <f>IF(S7="X",(D7-C7),"0")</f>
        <v>3</v>
      </c>
      <c r="T39" s="2" t="str">
        <f>IF(T7="X",(D7-C7),"0")</f>
        <v>0</v>
      </c>
    </row>
    <row r="40" spans="1:20" x14ac:dyDescent="0.25">
      <c r="E40" s="2">
        <f t="shared" ref="E40:E103" si="0">IF(E8="X",(D8-C8),"0")</f>
        <v>0.39999999999999991</v>
      </c>
      <c r="F40" s="2" t="str">
        <f t="shared" ref="F40:F103" si="1">IF(F8="X",(D8-C8),"0")</f>
        <v>0</v>
      </c>
      <c r="G40" s="2" t="str">
        <f t="shared" ref="G40:G103" si="2">IF(G8="X",(D8-C8),"0")</f>
        <v>0</v>
      </c>
      <c r="H40" s="2">
        <f t="shared" ref="H40:H103" si="3">IF(H8="X",(D8-C8),"0")</f>
        <v>0.39999999999999991</v>
      </c>
      <c r="I40" s="2" t="str">
        <f t="shared" ref="I40:I103" si="4">IF(I8="X",(D8-C8),"0")</f>
        <v>0</v>
      </c>
      <c r="J40" s="2">
        <f>IF(J8="X",(D8-C8),"0")</f>
        <v>0.39999999999999991</v>
      </c>
      <c r="K40" s="2" t="str">
        <f>IF(K8="X",(D8-C8),"0")</f>
        <v>0</v>
      </c>
      <c r="L40" s="2" t="str">
        <f t="shared" ref="L40:L103" si="5">IF(L8="X",(D8-C8),"0")</f>
        <v>0</v>
      </c>
      <c r="M40" s="2">
        <f t="shared" ref="M40:M103" si="6">IF(M8="X",(D8-C8),"0")</f>
        <v>0.39999999999999991</v>
      </c>
      <c r="N40" s="2" t="str">
        <f t="shared" ref="N40:N103" si="7">IF(N8="X",(D8-C8),"0")</f>
        <v>0</v>
      </c>
      <c r="O40" s="2" t="str">
        <f t="shared" ref="O40:O103" si="8">IF(O8="X",(D8-C8),"0")</f>
        <v>0</v>
      </c>
      <c r="P40" s="2" t="str">
        <f t="shared" ref="P40:P103" si="9">IF(P8="X",(D8-C8),"0")</f>
        <v>0</v>
      </c>
      <c r="Q40" s="2">
        <f t="shared" ref="Q40:Q103" si="10">IF(Q8="X",(D8-C8),"0")</f>
        <v>0.39999999999999991</v>
      </c>
      <c r="R40" s="2" t="str">
        <f t="shared" ref="R40:R103" si="11">IF(R8="X",(D8-C8),"0")</f>
        <v>0</v>
      </c>
      <c r="S40" s="2">
        <f t="shared" ref="S40:S103" si="12">IF(S8="X",(D8-C8),"0")</f>
        <v>0.39999999999999991</v>
      </c>
      <c r="T40" s="2" t="str">
        <f t="shared" ref="T40:T103" si="13">IF(T8="X",(D8-C8),"0")</f>
        <v>0</v>
      </c>
    </row>
    <row r="41" spans="1:20" x14ac:dyDescent="0.25">
      <c r="E41" s="2">
        <f t="shared" si="0"/>
        <v>91.85</v>
      </c>
      <c r="F41" s="2" t="str">
        <f t="shared" si="1"/>
        <v>0</v>
      </c>
      <c r="G41" s="2" t="str">
        <f t="shared" si="2"/>
        <v>0</v>
      </c>
      <c r="H41" s="2">
        <f t="shared" si="3"/>
        <v>91.85</v>
      </c>
      <c r="I41" s="2" t="str">
        <f t="shared" si="4"/>
        <v>0</v>
      </c>
      <c r="J41" s="2">
        <f>IF(J9="X",(D9-C9),"0")</f>
        <v>91.85</v>
      </c>
      <c r="K41" s="2" t="str">
        <f>IF(K9="X",(D9-C9),"0")</f>
        <v>0</v>
      </c>
      <c r="L41" s="2" t="str">
        <f t="shared" si="5"/>
        <v>0</v>
      </c>
      <c r="M41" s="2">
        <f t="shared" si="6"/>
        <v>91.85</v>
      </c>
      <c r="N41" s="2" t="str">
        <f t="shared" si="7"/>
        <v>0</v>
      </c>
      <c r="O41" s="2" t="str">
        <f t="shared" si="8"/>
        <v>0</v>
      </c>
      <c r="P41" s="2" t="str">
        <f t="shared" si="9"/>
        <v>0</v>
      </c>
      <c r="Q41" s="2">
        <f t="shared" si="10"/>
        <v>91.85</v>
      </c>
      <c r="R41" s="2" t="str">
        <f t="shared" si="11"/>
        <v>0</v>
      </c>
      <c r="S41" s="2">
        <f t="shared" si="12"/>
        <v>91.85</v>
      </c>
      <c r="T41" s="2" t="str">
        <f t="shared" si="13"/>
        <v>0</v>
      </c>
    </row>
    <row r="42" spans="1:20" x14ac:dyDescent="0.25">
      <c r="E42" s="2">
        <f t="shared" si="0"/>
        <v>6.17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>
        <f>IF(J10="X",(D10-C10),"0")</f>
        <v>6.17</v>
      </c>
      <c r="K42" s="2" t="str">
        <f>IF(K10="X",(D10-C10),"0")</f>
        <v>0</v>
      </c>
      <c r="L42" s="2" t="str">
        <f t="shared" si="5"/>
        <v>0</v>
      </c>
      <c r="M42" s="2">
        <f t="shared" si="6"/>
        <v>6.17</v>
      </c>
      <c r="N42" s="2" t="str">
        <f t="shared" si="7"/>
        <v>0</v>
      </c>
      <c r="O42" s="2" t="str">
        <f t="shared" si="8"/>
        <v>0</v>
      </c>
      <c r="P42" s="2" t="str">
        <f t="shared" si="9"/>
        <v>0</v>
      </c>
      <c r="Q42" s="2">
        <f t="shared" si="10"/>
        <v>6.17</v>
      </c>
      <c r="R42" s="2" t="str">
        <f t="shared" si="11"/>
        <v>0</v>
      </c>
      <c r="S42" s="2" t="str">
        <f t="shared" si="12"/>
        <v>0</v>
      </c>
      <c r="T42" s="2">
        <f t="shared" si="13"/>
        <v>6.17</v>
      </c>
    </row>
    <row r="43" spans="1:20" x14ac:dyDescent="0.25">
      <c r="E43" s="2">
        <f t="shared" si="0"/>
        <v>10.89</v>
      </c>
      <c r="F43" s="2" t="str">
        <f t="shared" si="1"/>
        <v>0</v>
      </c>
      <c r="G43" s="2" t="str">
        <f t="shared" si="2"/>
        <v>0</v>
      </c>
      <c r="H43" s="2">
        <f t="shared" si="3"/>
        <v>10.89</v>
      </c>
      <c r="I43" s="2" t="str">
        <f t="shared" si="4"/>
        <v>0</v>
      </c>
      <c r="J43" s="2">
        <f>IF(J11="X",(D11-C11),"0")</f>
        <v>10.89</v>
      </c>
      <c r="K43" s="2" t="str">
        <f>IF(K11="X",(D11-C11),"0")</f>
        <v>0</v>
      </c>
      <c r="L43" s="2" t="str">
        <f t="shared" si="5"/>
        <v>0</v>
      </c>
      <c r="M43" s="2">
        <f t="shared" si="6"/>
        <v>10.89</v>
      </c>
      <c r="N43" s="2" t="str">
        <f t="shared" si="7"/>
        <v>0</v>
      </c>
      <c r="O43" s="2" t="str">
        <f t="shared" si="8"/>
        <v>0</v>
      </c>
      <c r="P43" s="2" t="str">
        <f t="shared" si="9"/>
        <v>0</v>
      </c>
      <c r="Q43" s="2">
        <f t="shared" si="10"/>
        <v>10.89</v>
      </c>
      <c r="R43" s="2" t="str">
        <f t="shared" si="11"/>
        <v>0</v>
      </c>
      <c r="S43" s="2" t="str">
        <f t="shared" si="12"/>
        <v>0</v>
      </c>
      <c r="T43" s="2">
        <f t="shared" si="13"/>
        <v>10.89</v>
      </c>
    </row>
    <row r="44" spans="1:20" x14ac:dyDescent="0.25">
      <c r="E44" s="2" t="str">
        <f t="shared" si="0"/>
        <v>0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 t="str">
        <f t="shared" ref="J44:J103" si="14">IF(J12="X",(D12-C12),"0")</f>
        <v>0</v>
      </c>
      <c r="K44" s="2" t="str">
        <f t="shared" ref="K44:K103" si="15">IF(K12="X",(D12-C12),"0")</f>
        <v>0</v>
      </c>
      <c r="L44" s="2" t="str">
        <f t="shared" si="5"/>
        <v>0</v>
      </c>
      <c r="M44" s="2" t="str">
        <f t="shared" si="6"/>
        <v>0</v>
      </c>
      <c r="N44" s="2" t="str">
        <f t="shared" si="7"/>
        <v>0</v>
      </c>
      <c r="O44" s="2" t="str">
        <f t="shared" si="8"/>
        <v>0</v>
      </c>
      <c r="P44" s="2" t="str">
        <f t="shared" si="9"/>
        <v>0</v>
      </c>
      <c r="Q44" s="2" t="str">
        <f t="shared" si="10"/>
        <v>0</v>
      </c>
      <c r="R44" s="2" t="str">
        <f t="shared" si="11"/>
        <v>0</v>
      </c>
      <c r="S44" s="2" t="str">
        <f t="shared" si="12"/>
        <v>0</v>
      </c>
      <c r="T44" s="2" t="str">
        <f t="shared" si="13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14"/>
        <v>0</v>
      </c>
      <c r="K45" s="2" t="str">
        <f t="shared" si="15"/>
        <v>0</v>
      </c>
      <c r="L45" s="2" t="str">
        <f t="shared" si="5"/>
        <v>0</v>
      </c>
      <c r="M45" s="2" t="str">
        <f t="shared" si="6"/>
        <v>0</v>
      </c>
      <c r="N45" s="2" t="str">
        <f t="shared" si="7"/>
        <v>0</v>
      </c>
      <c r="O45" s="2" t="str">
        <f t="shared" si="8"/>
        <v>0</v>
      </c>
      <c r="P45" s="2" t="str">
        <f t="shared" si="9"/>
        <v>0</v>
      </c>
      <c r="Q45" s="2" t="str">
        <f t="shared" si="10"/>
        <v>0</v>
      </c>
      <c r="R45" s="2" t="str">
        <f t="shared" si="11"/>
        <v>0</v>
      </c>
      <c r="S45" s="2" t="str">
        <f t="shared" si="12"/>
        <v>0</v>
      </c>
      <c r="T45" s="2" t="str">
        <f t="shared" si="13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14"/>
        <v>0</v>
      </c>
      <c r="K46" s="2" t="str">
        <f t="shared" si="15"/>
        <v>0</v>
      </c>
      <c r="L46" s="2" t="str">
        <f t="shared" si="5"/>
        <v>0</v>
      </c>
      <c r="M46" s="2" t="str">
        <f t="shared" si="6"/>
        <v>0</v>
      </c>
      <c r="N46" s="2" t="str">
        <f t="shared" si="7"/>
        <v>0</v>
      </c>
      <c r="O46" s="2" t="str">
        <f t="shared" si="8"/>
        <v>0</v>
      </c>
      <c r="P46" s="2" t="str">
        <f t="shared" si="9"/>
        <v>0</v>
      </c>
      <c r="Q46" s="2" t="str">
        <f t="shared" si="10"/>
        <v>0</v>
      </c>
      <c r="R46" s="2" t="str">
        <f t="shared" si="11"/>
        <v>0</v>
      </c>
      <c r="S46" s="2" t="str">
        <f t="shared" si="12"/>
        <v>0</v>
      </c>
      <c r="T46" s="2" t="str">
        <f t="shared" si="13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14"/>
        <v>0</v>
      </c>
      <c r="K47" s="2" t="str">
        <f t="shared" si="15"/>
        <v>0</v>
      </c>
      <c r="L47" s="2" t="str">
        <f t="shared" si="5"/>
        <v>0</v>
      </c>
      <c r="M47" s="2" t="str">
        <f t="shared" si="6"/>
        <v>0</v>
      </c>
      <c r="N47" s="2" t="str">
        <f t="shared" si="7"/>
        <v>0</v>
      </c>
      <c r="O47" s="2" t="str">
        <f t="shared" si="8"/>
        <v>0</v>
      </c>
      <c r="P47" s="2" t="str">
        <f t="shared" si="9"/>
        <v>0</v>
      </c>
      <c r="Q47" s="2" t="str">
        <f t="shared" si="10"/>
        <v>0</v>
      </c>
      <c r="R47" s="2" t="str">
        <f t="shared" si="11"/>
        <v>0</v>
      </c>
      <c r="S47" s="2" t="str">
        <f t="shared" si="12"/>
        <v>0</v>
      </c>
      <c r="T47" s="2" t="str">
        <f t="shared" si="13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14"/>
        <v>0</v>
      </c>
      <c r="K48" s="2" t="str">
        <f t="shared" si="15"/>
        <v>0</v>
      </c>
      <c r="L48" s="2" t="str">
        <f t="shared" si="5"/>
        <v>0</v>
      </c>
      <c r="M48" s="2" t="str">
        <f t="shared" si="6"/>
        <v>0</v>
      </c>
      <c r="N48" s="2" t="str">
        <f t="shared" si="7"/>
        <v>0</v>
      </c>
      <c r="O48" s="2" t="str">
        <f t="shared" si="8"/>
        <v>0</v>
      </c>
      <c r="P48" s="2" t="str">
        <f t="shared" si="9"/>
        <v>0</v>
      </c>
      <c r="Q48" s="2" t="str">
        <f t="shared" si="10"/>
        <v>0</v>
      </c>
      <c r="R48" s="2" t="str">
        <f t="shared" si="11"/>
        <v>0</v>
      </c>
      <c r="S48" s="2" t="str">
        <f t="shared" si="12"/>
        <v>0</v>
      </c>
      <c r="T48" s="2" t="str">
        <f t="shared" si="13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14"/>
        <v>0</v>
      </c>
      <c r="K49" s="2" t="str">
        <f t="shared" si="15"/>
        <v>0</v>
      </c>
      <c r="L49" s="2" t="str">
        <f t="shared" si="5"/>
        <v>0</v>
      </c>
      <c r="M49" s="2" t="str">
        <f t="shared" si="6"/>
        <v>0</v>
      </c>
      <c r="N49" s="2" t="str">
        <f t="shared" si="7"/>
        <v>0</v>
      </c>
      <c r="O49" s="2" t="str">
        <f t="shared" si="8"/>
        <v>0</v>
      </c>
      <c r="P49" s="2" t="str">
        <f t="shared" si="9"/>
        <v>0</v>
      </c>
      <c r="Q49" s="2" t="str">
        <f t="shared" si="10"/>
        <v>0</v>
      </c>
      <c r="R49" s="2" t="str">
        <f t="shared" si="11"/>
        <v>0</v>
      </c>
      <c r="S49" s="2" t="str">
        <f t="shared" si="12"/>
        <v>0</v>
      </c>
      <c r="T49" s="2" t="str">
        <f t="shared" si="13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14"/>
        <v>0</v>
      </c>
      <c r="K50" s="2" t="str">
        <f t="shared" si="15"/>
        <v>0</v>
      </c>
      <c r="L50" s="2" t="str">
        <f t="shared" si="5"/>
        <v>0</v>
      </c>
      <c r="M50" s="2" t="str">
        <f t="shared" si="6"/>
        <v>0</v>
      </c>
      <c r="N50" s="2" t="str">
        <f t="shared" si="7"/>
        <v>0</v>
      </c>
      <c r="O50" s="2" t="str">
        <f t="shared" si="8"/>
        <v>0</v>
      </c>
      <c r="P50" s="2" t="str">
        <f t="shared" si="9"/>
        <v>0</v>
      </c>
      <c r="Q50" s="2" t="str">
        <f t="shared" si="10"/>
        <v>0</v>
      </c>
      <c r="R50" s="2" t="str">
        <f t="shared" si="11"/>
        <v>0</v>
      </c>
      <c r="S50" s="2" t="str">
        <f t="shared" si="12"/>
        <v>0</v>
      </c>
      <c r="T50" s="2" t="str">
        <f t="shared" si="13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14"/>
        <v>0</v>
      </c>
      <c r="K51" s="2" t="str">
        <f t="shared" si="15"/>
        <v>0</v>
      </c>
      <c r="L51" s="2" t="str">
        <f t="shared" si="5"/>
        <v>0</v>
      </c>
      <c r="M51" s="2" t="str">
        <f t="shared" si="6"/>
        <v>0</v>
      </c>
      <c r="N51" s="2" t="str">
        <f t="shared" si="7"/>
        <v>0</v>
      </c>
      <c r="O51" s="2" t="str">
        <f t="shared" si="8"/>
        <v>0</v>
      </c>
      <c r="P51" s="2" t="str">
        <f t="shared" si="9"/>
        <v>0</v>
      </c>
      <c r="Q51" s="2" t="str">
        <f t="shared" si="10"/>
        <v>0</v>
      </c>
      <c r="R51" s="2" t="str">
        <f t="shared" si="11"/>
        <v>0</v>
      </c>
      <c r="S51" s="2" t="str">
        <f t="shared" si="12"/>
        <v>0</v>
      </c>
      <c r="T51" s="2" t="str">
        <f t="shared" si="13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14"/>
        <v>0</v>
      </c>
      <c r="K52" s="2" t="str">
        <f t="shared" si="15"/>
        <v>0</v>
      </c>
      <c r="L52" s="2" t="str">
        <f t="shared" si="5"/>
        <v>0</v>
      </c>
      <c r="M52" s="2" t="str">
        <f t="shared" si="6"/>
        <v>0</v>
      </c>
      <c r="N52" s="2" t="str">
        <f t="shared" si="7"/>
        <v>0</v>
      </c>
      <c r="O52" s="2" t="str">
        <f t="shared" si="8"/>
        <v>0</v>
      </c>
      <c r="P52" s="2" t="str">
        <f t="shared" si="9"/>
        <v>0</v>
      </c>
      <c r="Q52" s="2" t="str">
        <f t="shared" si="10"/>
        <v>0</v>
      </c>
      <c r="R52" s="2" t="str">
        <f t="shared" si="11"/>
        <v>0</v>
      </c>
      <c r="S52" s="2" t="str">
        <f t="shared" si="12"/>
        <v>0</v>
      </c>
      <c r="T52" s="2" t="str">
        <f t="shared" si="13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14"/>
        <v>0</v>
      </c>
      <c r="K53" s="2" t="str">
        <f t="shared" si="15"/>
        <v>0</v>
      </c>
      <c r="L53" s="2" t="str">
        <f t="shared" si="5"/>
        <v>0</v>
      </c>
      <c r="M53" s="2" t="str">
        <f t="shared" si="6"/>
        <v>0</v>
      </c>
      <c r="N53" s="2" t="str">
        <f t="shared" si="7"/>
        <v>0</v>
      </c>
      <c r="O53" s="2" t="str">
        <f t="shared" si="8"/>
        <v>0</v>
      </c>
      <c r="P53" s="2" t="str">
        <f t="shared" si="9"/>
        <v>0</v>
      </c>
      <c r="Q53" s="2" t="str">
        <f t="shared" si="10"/>
        <v>0</v>
      </c>
      <c r="R53" s="2" t="str">
        <f t="shared" si="11"/>
        <v>0</v>
      </c>
      <c r="S53" s="2" t="str">
        <f t="shared" si="12"/>
        <v>0</v>
      </c>
      <c r="T53" s="2" t="str">
        <f t="shared" si="13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14"/>
        <v>0</v>
      </c>
      <c r="K54" s="2" t="str">
        <f t="shared" si="15"/>
        <v>0</v>
      </c>
      <c r="L54" s="2" t="str">
        <f t="shared" si="5"/>
        <v>0</v>
      </c>
      <c r="M54" s="2" t="str">
        <f t="shared" si="6"/>
        <v>0</v>
      </c>
      <c r="N54" s="2" t="str">
        <f t="shared" si="7"/>
        <v>0</v>
      </c>
      <c r="O54" s="2" t="str">
        <f t="shared" si="8"/>
        <v>0</v>
      </c>
      <c r="P54" s="2" t="str">
        <f t="shared" si="9"/>
        <v>0</v>
      </c>
      <c r="Q54" s="2" t="str">
        <f t="shared" si="10"/>
        <v>0</v>
      </c>
      <c r="R54" s="2" t="str">
        <f t="shared" si="11"/>
        <v>0</v>
      </c>
      <c r="S54" s="2" t="str">
        <f t="shared" si="12"/>
        <v>0</v>
      </c>
      <c r="T54" s="2" t="str">
        <f t="shared" si="13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14"/>
        <v>0</v>
      </c>
      <c r="K55" s="2" t="str">
        <f t="shared" si="15"/>
        <v>0</v>
      </c>
      <c r="L55" s="2" t="str">
        <f t="shared" si="5"/>
        <v>0</v>
      </c>
      <c r="M55" s="2" t="str">
        <f t="shared" si="6"/>
        <v>0</v>
      </c>
      <c r="N55" s="2" t="str">
        <f t="shared" si="7"/>
        <v>0</v>
      </c>
      <c r="O55" s="2" t="str">
        <f t="shared" si="8"/>
        <v>0</v>
      </c>
      <c r="P55" s="2" t="str">
        <f t="shared" si="9"/>
        <v>0</v>
      </c>
      <c r="Q55" s="2" t="str">
        <f t="shared" si="10"/>
        <v>0</v>
      </c>
      <c r="R55" s="2" t="str">
        <f t="shared" si="11"/>
        <v>0</v>
      </c>
      <c r="S55" s="2" t="str">
        <f t="shared" si="12"/>
        <v>0</v>
      </c>
      <c r="T55" s="2" t="str">
        <f t="shared" si="13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14"/>
        <v>0</v>
      </c>
      <c r="K56" s="2" t="str">
        <f t="shared" si="15"/>
        <v>0</v>
      </c>
      <c r="L56" s="2" t="str">
        <f t="shared" si="5"/>
        <v>0</v>
      </c>
      <c r="M56" s="2" t="str">
        <f t="shared" si="6"/>
        <v>0</v>
      </c>
      <c r="N56" s="2" t="str">
        <f t="shared" si="7"/>
        <v>0</v>
      </c>
      <c r="O56" s="2" t="str">
        <f t="shared" si="8"/>
        <v>0</v>
      </c>
      <c r="P56" s="2" t="str">
        <f t="shared" si="9"/>
        <v>0</v>
      </c>
      <c r="Q56" s="2" t="str">
        <f t="shared" si="10"/>
        <v>0</v>
      </c>
      <c r="R56" s="2" t="str">
        <f t="shared" si="11"/>
        <v>0</v>
      </c>
      <c r="S56" s="2" t="str">
        <f t="shared" si="12"/>
        <v>0</v>
      </c>
      <c r="T56" s="2" t="str">
        <f t="shared" si="13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14"/>
        <v>0</v>
      </c>
      <c r="K57" s="2" t="str">
        <f t="shared" si="15"/>
        <v>0</v>
      </c>
      <c r="L57" s="2" t="str">
        <f t="shared" si="5"/>
        <v>0</v>
      </c>
      <c r="M57" s="2" t="str">
        <f t="shared" si="6"/>
        <v>0</v>
      </c>
      <c r="N57" s="2" t="str">
        <f t="shared" si="7"/>
        <v>0</v>
      </c>
      <c r="O57" s="2" t="str">
        <f t="shared" si="8"/>
        <v>0</v>
      </c>
      <c r="P57" s="2" t="str">
        <f t="shared" si="9"/>
        <v>0</v>
      </c>
      <c r="Q57" s="2" t="str">
        <f t="shared" si="10"/>
        <v>0</v>
      </c>
      <c r="R57" s="2" t="str">
        <f t="shared" si="11"/>
        <v>0</v>
      </c>
      <c r="S57" s="2" t="str">
        <f t="shared" si="12"/>
        <v>0</v>
      </c>
      <c r="T57" s="2" t="str">
        <f t="shared" si="13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14"/>
        <v>0</v>
      </c>
      <c r="K58" s="2" t="str">
        <f t="shared" si="15"/>
        <v>0</v>
      </c>
      <c r="L58" s="2" t="str">
        <f t="shared" si="5"/>
        <v>0</v>
      </c>
      <c r="M58" s="2" t="str">
        <f t="shared" si="6"/>
        <v>0</v>
      </c>
      <c r="N58" s="2" t="str">
        <f t="shared" si="7"/>
        <v>0</v>
      </c>
      <c r="O58" s="2" t="str">
        <f t="shared" si="8"/>
        <v>0</v>
      </c>
      <c r="P58" s="2" t="str">
        <f t="shared" si="9"/>
        <v>0</v>
      </c>
      <c r="Q58" s="2" t="str">
        <f t="shared" si="10"/>
        <v>0</v>
      </c>
      <c r="R58" s="2" t="str">
        <f t="shared" si="11"/>
        <v>0</v>
      </c>
      <c r="S58" s="2" t="str">
        <f t="shared" si="12"/>
        <v>0</v>
      </c>
      <c r="T58" s="2" t="str">
        <f t="shared" si="13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14"/>
        <v>0</v>
      </c>
      <c r="K59" s="2" t="str">
        <f t="shared" si="15"/>
        <v>0</v>
      </c>
      <c r="L59" s="2" t="str">
        <f t="shared" si="5"/>
        <v>0</v>
      </c>
      <c r="M59" s="2" t="str">
        <f t="shared" si="6"/>
        <v>0</v>
      </c>
      <c r="N59" s="2" t="str">
        <f t="shared" si="7"/>
        <v>0</v>
      </c>
      <c r="O59" s="2" t="str">
        <f t="shared" si="8"/>
        <v>0</v>
      </c>
      <c r="P59" s="2" t="str">
        <f t="shared" si="9"/>
        <v>0</v>
      </c>
      <c r="Q59" s="2" t="str">
        <f t="shared" si="10"/>
        <v>0</v>
      </c>
      <c r="R59" s="2" t="str">
        <f t="shared" si="11"/>
        <v>0</v>
      </c>
      <c r="S59" s="2" t="str">
        <f t="shared" si="12"/>
        <v>0</v>
      </c>
      <c r="T59" s="2" t="str">
        <f t="shared" si="13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14"/>
        <v>0</v>
      </c>
      <c r="K60" s="2" t="str">
        <f t="shared" si="15"/>
        <v>0</v>
      </c>
      <c r="L60" s="2" t="str">
        <f t="shared" si="5"/>
        <v>0</v>
      </c>
      <c r="M60" s="2" t="str">
        <f t="shared" si="6"/>
        <v>0</v>
      </c>
      <c r="N60" s="2" t="str">
        <f t="shared" si="7"/>
        <v>0</v>
      </c>
      <c r="O60" s="2" t="str">
        <f t="shared" si="8"/>
        <v>0</v>
      </c>
      <c r="P60" s="2" t="str">
        <f t="shared" si="9"/>
        <v>0</v>
      </c>
      <c r="Q60" s="2" t="str">
        <f t="shared" si="10"/>
        <v>0</v>
      </c>
      <c r="R60" s="2" t="str">
        <f t="shared" si="11"/>
        <v>0</v>
      </c>
      <c r="S60" s="2" t="str">
        <f t="shared" si="12"/>
        <v>0</v>
      </c>
      <c r="T60" s="2" t="str">
        <f t="shared" si="13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14"/>
        <v>0</v>
      </c>
      <c r="K61" s="2" t="str">
        <f t="shared" si="15"/>
        <v>0</v>
      </c>
      <c r="L61" s="2" t="str">
        <f t="shared" si="5"/>
        <v>0</v>
      </c>
      <c r="M61" s="2" t="str">
        <f t="shared" si="6"/>
        <v>0</v>
      </c>
      <c r="N61" s="2" t="str">
        <f t="shared" si="7"/>
        <v>0</v>
      </c>
      <c r="O61" s="2" t="str">
        <f t="shared" si="8"/>
        <v>0</v>
      </c>
      <c r="P61" s="2" t="str">
        <f t="shared" si="9"/>
        <v>0</v>
      </c>
      <c r="Q61" s="2" t="str">
        <f t="shared" si="10"/>
        <v>0</v>
      </c>
      <c r="R61" s="2" t="str">
        <f t="shared" si="11"/>
        <v>0</v>
      </c>
      <c r="S61" s="2" t="str">
        <f t="shared" si="12"/>
        <v>0</v>
      </c>
      <c r="T61" s="2" t="str">
        <f t="shared" si="13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14"/>
        <v>0</v>
      </c>
      <c r="K62" s="2" t="str">
        <f t="shared" si="15"/>
        <v>0</v>
      </c>
      <c r="L62" s="2" t="str">
        <f t="shared" si="5"/>
        <v>0</v>
      </c>
      <c r="M62" s="2" t="str">
        <f t="shared" si="6"/>
        <v>0</v>
      </c>
      <c r="N62" s="2" t="str">
        <f t="shared" si="7"/>
        <v>0</v>
      </c>
      <c r="O62" s="2" t="str">
        <f t="shared" si="8"/>
        <v>0</v>
      </c>
      <c r="P62" s="2" t="str">
        <f t="shared" si="9"/>
        <v>0</v>
      </c>
      <c r="Q62" s="2" t="str">
        <f t="shared" si="10"/>
        <v>0</v>
      </c>
      <c r="R62" s="2" t="str">
        <f t="shared" si="11"/>
        <v>0</v>
      </c>
      <c r="S62" s="2" t="str">
        <f t="shared" si="12"/>
        <v>0</v>
      </c>
      <c r="T62" s="2" t="str">
        <f t="shared" si="13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14"/>
        <v>0</v>
      </c>
      <c r="K63" s="2" t="str">
        <f t="shared" si="15"/>
        <v>0</v>
      </c>
      <c r="L63" s="2" t="str">
        <f t="shared" si="5"/>
        <v>0</v>
      </c>
      <c r="M63" s="2" t="str">
        <f t="shared" si="6"/>
        <v>0</v>
      </c>
      <c r="N63" s="2" t="str">
        <f t="shared" si="7"/>
        <v>0</v>
      </c>
      <c r="O63" s="2" t="str">
        <f t="shared" si="8"/>
        <v>0</v>
      </c>
      <c r="P63" s="2" t="str">
        <f t="shared" si="9"/>
        <v>0</v>
      </c>
      <c r="Q63" s="2" t="str">
        <f t="shared" si="10"/>
        <v>0</v>
      </c>
      <c r="R63" s="2" t="str">
        <f t="shared" si="11"/>
        <v>0</v>
      </c>
      <c r="S63" s="2" t="str">
        <f t="shared" si="12"/>
        <v>0</v>
      </c>
      <c r="T63" s="2" t="str">
        <f t="shared" si="13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14"/>
        <v>0</v>
      </c>
      <c r="K64" s="2" t="str">
        <f t="shared" si="15"/>
        <v>0</v>
      </c>
      <c r="L64" s="2" t="str">
        <f t="shared" si="5"/>
        <v>0</v>
      </c>
      <c r="M64" s="2" t="str">
        <f t="shared" si="6"/>
        <v>0</v>
      </c>
      <c r="N64" s="2" t="str">
        <f t="shared" si="7"/>
        <v>0</v>
      </c>
      <c r="O64" s="2" t="str">
        <f t="shared" si="8"/>
        <v>0</v>
      </c>
      <c r="P64" s="2" t="str">
        <f t="shared" si="9"/>
        <v>0</v>
      </c>
      <c r="Q64" s="2" t="str">
        <f t="shared" si="10"/>
        <v>0</v>
      </c>
      <c r="R64" s="2" t="str">
        <f t="shared" si="11"/>
        <v>0</v>
      </c>
      <c r="S64" s="2" t="str">
        <f t="shared" si="12"/>
        <v>0</v>
      </c>
      <c r="T64" s="2" t="str">
        <f t="shared" si="13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14"/>
        <v>0</v>
      </c>
      <c r="K65" s="2" t="str">
        <f t="shared" si="15"/>
        <v>0</v>
      </c>
      <c r="L65" s="2" t="str">
        <f t="shared" si="5"/>
        <v>0</v>
      </c>
      <c r="M65" s="2" t="str">
        <f t="shared" si="6"/>
        <v>0</v>
      </c>
      <c r="N65" s="2" t="str">
        <f t="shared" si="7"/>
        <v>0</v>
      </c>
      <c r="O65" s="2" t="str">
        <f t="shared" si="8"/>
        <v>0</v>
      </c>
      <c r="P65" s="2" t="str">
        <f t="shared" si="9"/>
        <v>0</v>
      </c>
      <c r="Q65" s="2" t="str">
        <f t="shared" si="10"/>
        <v>0</v>
      </c>
      <c r="R65" s="2" t="str">
        <f t="shared" si="11"/>
        <v>0</v>
      </c>
      <c r="S65" s="2" t="str">
        <f t="shared" si="12"/>
        <v>0</v>
      </c>
      <c r="T65" s="2" t="str">
        <f t="shared" si="13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14"/>
        <v>0</v>
      </c>
      <c r="K66" s="2" t="str">
        <f t="shared" si="15"/>
        <v>0</v>
      </c>
      <c r="L66" s="2" t="str">
        <f t="shared" si="5"/>
        <v>0</v>
      </c>
      <c r="M66" s="2" t="str">
        <f t="shared" si="6"/>
        <v>0</v>
      </c>
      <c r="N66" s="2" t="str">
        <f t="shared" si="7"/>
        <v>0</v>
      </c>
      <c r="O66" s="2" t="str">
        <f t="shared" si="8"/>
        <v>0</v>
      </c>
      <c r="P66" s="2" t="str">
        <f t="shared" si="9"/>
        <v>0</v>
      </c>
      <c r="Q66" s="2" t="str">
        <f t="shared" si="10"/>
        <v>0</v>
      </c>
      <c r="R66" s="2" t="str">
        <f t="shared" si="11"/>
        <v>0</v>
      </c>
      <c r="S66" s="2" t="str">
        <f t="shared" si="12"/>
        <v>0</v>
      </c>
      <c r="T66" s="2" t="str">
        <f t="shared" si="13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14"/>
        <v>0</v>
      </c>
      <c r="K67" s="2" t="str">
        <f t="shared" si="15"/>
        <v>0</v>
      </c>
      <c r="L67" s="2" t="str">
        <f t="shared" si="5"/>
        <v>0</v>
      </c>
      <c r="M67" s="2" t="str">
        <f t="shared" si="6"/>
        <v>0</v>
      </c>
      <c r="N67" s="2" t="str">
        <f t="shared" si="7"/>
        <v>0</v>
      </c>
      <c r="O67" s="2" t="str">
        <f t="shared" si="8"/>
        <v>0</v>
      </c>
      <c r="P67" s="2" t="str">
        <f t="shared" si="9"/>
        <v>0</v>
      </c>
      <c r="Q67" s="2" t="str">
        <f t="shared" si="10"/>
        <v>0</v>
      </c>
      <c r="R67" s="2" t="str">
        <f t="shared" si="11"/>
        <v>0</v>
      </c>
      <c r="S67" s="2" t="str">
        <f t="shared" si="12"/>
        <v>0</v>
      </c>
      <c r="T67" s="2" t="str">
        <f t="shared" si="13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14"/>
        <v>0</v>
      </c>
      <c r="K68" s="2" t="str">
        <f t="shared" si="15"/>
        <v>0</v>
      </c>
      <c r="L68" s="2" t="str">
        <f t="shared" si="5"/>
        <v>0</v>
      </c>
      <c r="M68" s="2" t="str">
        <f t="shared" si="6"/>
        <v>0</v>
      </c>
      <c r="N68" s="2" t="str">
        <f t="shared" si="7"/>
        <v>0</v>
      </c>
      <c r="O68" s="2" t="str">
        <f t="shared" si="8"/>
        <v>0</v>
      </c>
      <c r="P68" s="2" t="str">
        <f t="shared" si="9"/>
        <v>0</v>
      </c>
      <c r="Q68" s="2" t="str">
        <f t="shared" si="10"/>
        <v>0</v>
      </c>
      <c r="R68" s="2" t="str">
        <f t="shared" si="11"/>
        <v>0</v>
      </c>
      <c r="S68" s="2" t="str">
        <f t="shared" si="12"/>
        <v>0</v>
      </c>
      <c r="T68" s="2" t="str">
        <f t="shared" si="13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14"/>
        <v>0</v>
      </c>
      <c r="K69" s="2" t="str">
        <f t="shared" si="15"/>
        <v>0</v>
      </c>
      <c r="L69" s="2" t="str">
        <f t="shared" si="5"/>
        <v>0</v>
      </c>
      <c r="M69" s="2" t="str">
        <f t="shared" si="6"/>
        <v>0</v>
      </c>
      <c r="N69" s="2" t="str">
        <f t="shared" si="7"/>
        <v>0</v>
      </c>
      <c r="O69" s="2" t="str">
        <f t="shared" si="8"/>
        <v>0</v>
      </c>
      <c r="P69" s="2" t="str">
        <f t="shared" si="9"/>
        <v>0</v>
      </c>
      <c r="Q69" s="2" t="str">
        <f t="shared" si="10"/>
        <v>0</v>
      </c>
      <c r="R69" s="2" t="str">
        <f t="shared" si="11"/>
        <v>0</v>
      </c>
      <c r="S69" s="2" t="str">
        <f t="shared" si="12"/>
        <v>0</v>
      </c>
      <c r="T69" s="2" t="str">
        <f t="shared" si="13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14"/>
        <v>0</v>
      </c>
      <c r="K70" s="2" t="str">
        <f t="shared" si="15"/>
        <v>0</v>
      </c>
      <c r="L70" s="2" t="str">
        <f t="shared" si="5"/>
        <v>0</v>
      </c>
      <c r="M70" s="2" t="str">
        <f t="shared" si="6"/>
        <v>0</v>
      </c>
      <c r="N70" s="2" t="str">
        <f t="shared" si="7"/>
        <v>0</v>
      </c>
      <c r="O70" s="2" t="str">
        <f t="shared" si="8"/>
        <v>0</v>
      </c>
      <c r="P70" s="2" t="str">
        <f t="shared" si="9"/>
        <v>0</v>
      </c>
      <c r="Q70" s="2" t="str">
        <f t="shared" si="10"/>
        <v>0</v>
      </c>
      <c r="R70" s="2" t="str">
        <f t="shared" si="11"/>
        <v>0</v>
      </c>
      <c r="S70" s="2" t="str">
        <f t="shared" si="12"/>
        <v>0</v>
      </c>
      <c r="T70" s="2" t="str">
        <f t="shared" si="13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14"/>
        <v>0</v>
      </c>
      <c r="K71" s="2" t="str">
        <f t="shared" si="15"/>
        <v>0</v>
      </c>
      <c r="L71" s="2" t="str">
        <f t="shared" si="5"/>
        <v>0</v>
      </c>
      <c r="M71" s="2" t="str">
        <f t="shared" si="6"/>
        <v>0</v>
      </c>
      <c r="N71" s="2" t="str">
        <f t="shared" si="7"/>
        <v>0</v>
      </c>
      <c r="O71" s="2" t="str">
        <f t="shared" si="8"/>
        <v>0</v>
      </c>
      <c r="P71" s="2" t="str">
        <f t="shared" si="9"/>
        <v>0</v>
      </c>
      <c r="Q71" s="2" t="str">
        <f t="shared" si="10"/>
        <v>0</v>
      </c>
      <c r="R71" s="2" t="str">
        <f t="shared" si="11"/>
        <v>0</v>
      </c>
      <c r="S71" s="2" t="str">
        <f t="shared" si="12"/>
        <v>0</v>
      </c>
      <c r="T71" s="2" t="str">
        <f t="shared" si="13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14"/>
        <v>0</v>
      </c>
      <c r="K72" s="2" t="str">
        <f t="shared" si="15"/>
        <v>0</v>
      </c>
      <c r="L72" s="2" t="str">
        <f t="shared" si="5"/>
        <v>0</v>
      </c>
      <c r="M72" s="2" t="str">
        <f t="shared" si="6"/>
        <v>0</v>
      </c>
      <c r="N72" s="2" t="str">
        <f t="shared" si="7"/>
        <v>0</v>
      </c>
      <c r="O72" s="2" t="str">
        <f t="shared" si="8"/>
        <v>0</v>
      </c>
      <c r="P72" s="2" t="str">
        <f t="shared" si="9"/>
        <v>0</v>
      </c>
      <c r="Q72" s="2" t="str">
        <f t="shared" si="10"/>
        <v>0</v>
      </c>
      <c r="R72" s="2" t="str">
        <f t="shared" si="11"/>
        <v>0</v>
      </c>
      <c r="S72" s="2" t="str">
        <f t="shared" si="12"/>
        <v>0</v>
      </c>
      <c r="T72" s="2" t="str">
        <f t="shared" si="13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14"/>
        <v>0</v>
      </c>
      <c r="K73" s="2" t="str">
        <f t="shared" si="15"/>
        <v>0</v>
      </c>
      <c r="L73" s="2" t="str">
        <f t="shared" si="5"/>
        <v>0</v>
      </c>
      <c r="M73" s="2" t="str">
        <f t="shared" si="6"/>
        <v>0</v>
      </c>
      <c r="N73" s="2" t="str">
        <f t="shared" si="7"/>
        <v>0</v>
      </c>
      <c r="O73" s="2" t="str">
        <f t="shared" si="8"/>
        <v>0</v>
      </c>
      <c r="P73" s="2" t="str">
        <f t="shared" si="9"/>
        <v>0</v>
      </c>
      <c r="Q73" s="2" t="str">
        <f t="shared" si="10"/>
        <v>0</v>
      </c>
      <c r="R73" s="2" t="str">
        <f t="shared" si="11"/>
        <v>0</v>
      </c>
      <c r="S73" s="2" t="str">
        <f t="shared" si="12"/>
        <v>0</v>
      </c>
      <c r="T73" s="2" t="str">
        <f t="shared" si="13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14"/>
        <v>0</v>
      </c>
      <c r="K74" s="2" t="str">
        <f t="shared" si="15"/>
        <v>0</v>
      </c>
      <c r="L74" s="2" t="str">
        <f t="shared" si="5"/>
        <v>0</v>
      </c>
      <c r="M74" s="2" t="str">
        <f t="shared" si="6"/>
        <v>0</v>
      </c>
      <c r="N74" s="2" t="str">
        <f t="shared" si="7"/>
        <v>0</v>
      </c>
      <c r="O74" s="2" t="str">
        <f t="shared" si="8"/>
        <v>0</v>
      </c>
      <c r="P74" s="2" t="str">
        <f t="shared" si="9"/>
        <v>0</v>
      </c>
      <c r="Q74" s="2" t="str">
        <f t="shared" si="10"/>
        <v>0</v>
      </c>
      <c r="R74" s="2" t="str">
        <f t="shared" si="11"/>
        <v>0</v>
      </c>
      <c r="S74" s="2" t="str">
        <f t="shared" si="12"/>
        <v>0</v>
      </c>
      <c r="T74" s="2" t="str">
        <f t="shared" si="13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14"/>
        <v>0</v>
      </c>
      <c r="K75" s="2" t="str">
        <f t="shared" si="15"/>
        <v>0</v>
      </c>
      <c r="L75" s="2" t="str">
        <f t="shared" si="5"/>
        <v>0</v>
      </c>
      <c r="M75" s="2" t="str">
        <f t="shared" si="6"/>
        <v>0</v>
      </c>
      <c r="N75" s="2" t="str">
        <f t="shared" si="7"/>
        <v>0</v>
      </c>
      <c r="O75" s="2" t="str">
        <f t="shared" si="8"/>
        <v>0</v>
      </c>
      <c r="P75" s="2" t="str">
        <f t="shared" si="9"/>
        <v>0</v>
      </c>
      <c r="Q75" s="2" t="str">
        <f t="shared" si="10"/>
        <v>0</v>
      </c>
      <c r="R75" s="2" t="str">
        <f t="shared" si="11"/>
        <v>0</v>
      </c>
      <c r="S75" s="2" t="str">
        <f t="shared" si="12"/>
        <v>0</v>
      </c>
      <c r="T75" s="2" t="str">
        <f t="shared" si="13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14"/>
        <v>0</v>
      </c>
      <c r="K76" s="2" t="str">
        <f t="shared" si="15"/>
        <v>0</v>
      </c>
      <c r="L76" s="2" t="str">
        <f t="shared" si="5"/>
        <v>0</v>
      </c>
      <c r="M76" s="2" t="str">
        <f t="shared" si="6"/>
        <v>0</v>
      </c>
      <c r="N76" s="2" t="str">
        <f t="shared" si="7"/>
        <v>0</v>
      </c>
      <c r="O76" s="2" t="str">
        <f t="shared" si="8"/>
        <v>0</v>
      </c>
      <c r="P76" s="2" t="str">
        <f t="shared" si="9"/>
        <v>0</v>
      </c>
      <c r="Q76" s="2" t="str">
        <f t="shared" si="10"/>
        <v>0</v>
      </c>
      <c r="R76" s="2" t="str">
        <f t="shared" si="11"/>
        <v>0</v>
      </c>
      <c r="S76" s="2" t="str">
        <f t="shared" si="12"/>
        <v>0</v>
      </c>
      <c r="T76" s="2" t="str">
        <f t="shared" si="13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14"/>
        <v>0</v>
      </c>
      <c r="K77" s="2" t="str">
        <f t="shared" si="15"/>
        <v>0</v>
      </c>
      <c r="L77" s="2" t="str">
        <f t="shared" si="5"/>
        <v>0</v>
      </c>
      <c r="M77" s="2" t="str">
        <f t="shared" si="6"/>
        <v>0</v>
      </c>
      <c r="N77" s="2" t="str">
        <f t="shared" si="7"/>
        <v>0</v>
      </c>
      <c r="O77" s="2" t="str">
        <f t="shared" si="8"/>
        <v>0</v>
      </c>
      <c r="P77" s="2" t="str">
        <f t="shared" si="9"/>
        <v>0</v>
      </c>
      <c r="Q77" s="2" t="str">
        <f t="shared" si="10"/>
        <v>0</v>
      </c>
      <c r="R77" s="2" t="str">
        <f t="shared" si="11"/>
        <v>0</v>
      </c>
      <c r="S77" s="2" t="str">
        <f t="shared" si="12"/>
        <v>0</v>
      </c>
      <c r="T77" s="2" t="str">
        <f t="shared" si="13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14"/>
        <v>0</v>
      </c>
      <c r="K78" s="2" t="str">
        <f t="shared" si="15"/>
        <v>0</v>
      </c>
      <c r="L78" s="2" t="str">
        <f t="shared" si="5"/>
        <v>0</v>
      </c>
      <c r="M78" s="2" t="str">
        <f t="shared" si="6"/>
        <v>0</v>
      </c>
      <c r="N78" s="2" t="str">
        <f t="shared" si="7"/>
        <v>0</v>
      </c>
      <c r="O78" s="2" t="str">
        <f t="shared" si="8"/>
        <v>0</v>
      </c>
      <c r="P78" s="2" t="str">
        <f t="shared" si="9"/>
        <v>0</v>
      </c>
      <c r="Q78" s="2" t="str">
        <f t="shared" si="10"/>
        <v>0</v>
      </c>
      <c r="R78" s="2" t="str">
        <f t="shared" si="11"/>
        <v>0</v>
      </c>
      <c r="S78" s="2" t="str">
        <f t="shared" si="12"/>
        <v>0</v>
      </c>
      <c r="T78" s="2" t="str">
        <f t="shared" si="13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14"/>
        <v>0</v>
      </c>
      <c r="K79" s="2" t="str">
        <f t="shared" si="15"/>
        <v>0</v>
      </c>
      <c r="L79" s="2" t="str">
        <f t="shared" si="5"/>
        <v>0</v>
      </c>
      <c r="M79" s="2" t="str">
        <f t="shared" si="6"/>
        <v>0</v>
      </c>
      <c r="N79" s="2" t="str">
        <f t="shared" si="7"/>
        <v>0</v>
      </c>
      <c r="O79" s="2" t="str">
        <f t="shared" si="8"/>
        <v>0</v>
      </c>
      <c r="P79" s="2" t="str">
        <f t="shared" si="9"/>
        <v>0</v>
      </c>
      <c r="Q79" s="2" t="str">
        <f t="shared" si="10"/>
        <v>0</v>
      </c>
      <c r="R79" s="2" t="str">
        <f t="shared" si="11"/>
        <v>0</v>
      </c>
      <c r="S79" s="2" t="str">
        <f t="shared" si="12"/>
        <v>0</v>
      </c>
      <c r="T79" s="2" t="str">
        <f t="shared" si="13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14"/>
        <v>0</v>
      </c>
      <c r="K80" s="2" t="str">
        <f t="shared" si="15"/>
        <v>0</v>
      </c>
      <c r="L80" s="2" t="str">
        <f t="shared" si="5"/>
        <v>0</v>
      </c>
      <c r="M80" s="2" t="str">
        <f t="shared" si="6"/>
        <v>0</v>
      </c>
      <c r="N80" s="2" t="str">
        <f t="shared" si="7"/>
        <v>0</v>
      </c>
      <c r="O80" s="2" t="str">
        <f t="shared" si="8"/>
        <v>0</v>
      </c>
      <c r="P80" s="2" t="str">
        <f t="shared" si="9"/>
        <v>0</v>
      </c>
      <c r="Q80" s="2" t="str">
        <f t="shared" si="10"/>
        <v>0</v>
      </c>
      <c r="R80" s="2" t="str">
        <f t="shared" si="11"/>
        <v>0</v>
      </c>
      <c r="S80" s="2" t="str">
        <f t="shared" si="12"/>
        <v>0</v>
      </c>
      <c r="T80" s="2" t="str">
        <f t="shared" si="13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14"/>
        <v>0</v>
      </c>
      <c r="K81" s="2" t="str">
        <f t="shared" si="15"/>
        <v>0</v>
      </c>
      <c r="L81" s="2" t="str">
        <f t="shared" si="5"/>
        <v>0</v>
      </c>
      <c r="M81" s="2" t="str">
        <f t="shared" si="6"/>
        <v>0</v>
      </c>
      <c r="N81" s="2" t="str">
        <f t="shared" si="7"/>
        <v>0</v>
      </c>
      <c r="O81" s="2" t="str">
        <f t="shared" si="8"/>
        <v>0</v>
      </c>
      <c r="P81" s="2" t="str">
        <f t="shared" si="9"/>
        <v>0</v>
      </c>
      <c r="Q81" s="2" t="str">
        <f t="shared" si="10"/>
        <v>0</v>
      </c>
      <c r="R81" s="2" t="str">
        <f t="shared" si="11"/>
        <v>0</v>
      </c>
      <c r="S81" s="2" t="str">
        <f t="shared" si="12"/>
        <v>0</v>
      </c>
      <c r="T81" s="2" t="str">
        <f t="shared" si="13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14"/>
        <v>0</v>
      </c>
      <c r="K82" s="2" t="str">
        <f t="shared" si="15"/>
        <v>0</v>
      </c>
      <c r="L82" s="2" t="str">
        <f t="shared" si="5"/>
        <v>0</v>
      </c>
      <c r="M82" s="2" t="str">
        <f t="shared" si="6"/>
        <v>0</v>
      </c>
      <c r="N82" s="2" t="str">
        <f t="shared" si="7"/>
        <v>0</v>
      </c>
      <c r="O82" s="2" t="str">
        <f t="shared" si="8"/>
        <v>0</v>
      </c>
      <c r="P82" s="2" t="str">
        <f t="shared" si="9"/>
        <v>0</v>
      </c>
      <c r="Q82" s="2" t="str">
        <f t="shared" si="10"/>
        <v>0</v>
      </c>
      <c r="R82" s="2" t="str">
        <f t="shared" si="11"/>
        <v>0</v>
      </c>
      <c r="S82" s="2" t="str">
        <f t="shared" si="12"/>
        <v>0</v>
      </c>
      <c r="T82" s="2" t="str">
        <f t="shared" si="13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14"/>
        <v>0</v>
      </c>
      <c r="K83" s="2" t="str">
        <f t="shared" si="15"/>
        <v>0</v>
      </c>
      <c r="L83" s="2" t="str">
        <f t="shared" si="5"/>
        <v>0</v>
      </c>
      <c r="M83" s="2" t="str">
        <f t="shared" si="6"/>
        <v>0</v>
      </c>
      <c r="N83" s="2" t="str">
        <f t="shared" si="7"/>
        <v>0</v>
      </c>
      <c r="O83" s="2" t="str">
        <f t="shared" si="8"/>
        <v>0</v>
      </c>
      <c r="P83" s="2" t="str">
        <f t="shared" si="9"/>
        <v>0</v>
      </c>
      <c r="Q83" s="2" t="str">
        <f t="shared" si="10"/>
        <v>0</v>
      </c>
      <c r="R83" s="2" t="str">
        <f t="shared" si="11"/>
        <v>0</v>
      </c>
      <c r="S83" s="2" t="str">
        <f t="shared" si="12"/>
        <v>0</v>
      </c>
      <c r="T83" s="2" t="str">
        <f t="shared" si="13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14"/>
        <v>0</v>
      </c>
      <c r="K84" s="2" t="str">
        <f t="shared" si="15"/>
        <v>0</v>
      </c>
      <c r="L84" s="2" t="str">
        <f t="shared" si="5"/>
        <v>0</v>
      </c>
      <c r="M84" s="2" t="str">
        <f t="shared" si="6"/>
        <v>0</v>
      </c>
      <c r="N84" s="2" t="str">
        <f t="shared" si="7"/>
        <v>0</v>
      </c>
      <c r="O84" s="2" t="str">
        <f t="shared" si="8"/>
        <v>0</v>
      </c>
      <c r="P84" s="2" t="str">
        <f t="shared" si="9"/>
        <v>0</v>
      </c>
      <c r="Q84" s="2" t="str">
        <f t="shared" si="10"/>
        <v>0</v>
      </c>
      <c r="R84" s="2" t="str">
        <f t="shared" si="11"/>
        <v>0</v>
      </c>
      <c r="S84" s="2" t="str">
        <f t="shared" si="12"/>
        <v>0</v>
      </c>
      <c r="T84" s="2" t="str">
        <f t="shared" si="13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14"/>
        <v>0</v>
      </c>
      <c r="K85" s="2" t="str">
        <f t="shared" si="15"/>
        <v>0</v>
      </c>
      <c r="L85" s="2" t="str">
        <f t="shared" si="5"/>
        <v>0</v>
      </c>
      <c r="M85" s="2" t="str">
        <f t="shared" si="6"/>
        <v>0</v>
      </c>
      <c r="N85" s="2" t="str">
        <f t="shared" si="7"/>
        <v>0</v>
      </c>
      <c r="O85" s="2" t="str">
        <f t="shared" si="8"/>
        <v>0</v>
      </c>
      <c r="P85" s="2" t="str">
        <f t="shared" si="9"/>
        <v>0</v>
      </c>
      <c r="Q85" s="2" t="str">
        <f t="shared" si="10"/>
        <v>0</v>
      </c>
      <c r="R85" s="2" t="str">
        <f t="shared" si="11"/>
        <v>0</v>
      </c>
      <c r="S85" s="2" t="str">
        <f t="shared" si="12"/>
        <v>0</v>
      </c>
      <c r="T85" s="2" t="str">
        <f t="shared" si="13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14"/>
        <v>0</v>
      </c>
      <c r="K86" s="2" t="str">
        <f t="shared" si="15"/>
        <v>0</v>
      </c>
      <c r="L86" s="2" t="str">
        <f t="shared" si="5"/>
        <v>0</v>
      </c>
      <c r="M86" s="2" t="str">
        <f t="shared" si="6"/>
        <v>0</v>
      </c>
      <c r="N86" s="2" t="str">
        <f t="shared" si="7"/>
        <v>0</v>
      </c>
      <c r="O86" s="2" t="str">
        <f t="shared" si="8"/>
        <v>0</v>
      </c>
      <c r="P86" s="2" t="str">
        <f t="shared" si="9"/>
        <v>0</v>
      </c>
      <c r="Q86" s="2" t="str">
        <f t="shared" si="10"/>
        <v>0</v>
      </c>
      <c r="R86" s="2" t="str">
        <f t="shared" si="11"/>
        <v>0</v>
      </c>
      <c r="S86" s="2" t="str">
        <f t="shared" si="12"/>
        <v>0</v>
      </c>
      <c r="T86" s="2" t="str">
        <f t="shared" si="13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14"/>
        <v>0</v>
      </c>
      <c r="K87" s="2" t="str">
        <f t="shared" si="15"/>
        <v>0</v>
      </c>
      <c r="L87" s="2" t="str">
        <f t="shared" si="5"/>
        <v>0</v>
      </c>
      <c r="M87" s="2" t="str">
        <f t="shared" si="6"/>
        <v>0</v>
      </c>
      <c r="N87" s="2" t="str">
        <f t="shared" si="7"/>
        <v>0</v>
      </c>
      <c r="O87" s="2" t="str">
        <f t="shared" si="8"/>
        <v>0</v>
      </c>
      <c r="P87" s="2" t="str">
        <f t="shared" si="9"/>
        <v>0</v>
      </c>
      <c r="Q87" s="2" t="str">
        <f t="shared" si="10"/>
        <v>0</v>
      </c>
      <c r="R87" s="2" t="str">
        <f t="shared" si="11"/>
        <v>0</v>
      </c>
      <c r="S87" s="2" t="str">
        <f t="shared" si="12"/>
        <v>0</v>
      </c>
      <c r="T87" s="2" t="str">
        <f t="shared" si="13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14"/>
        <v>0</v>
      </c>
      <c r="K88" s="2" t="str">
        <f t="shared" si="15"/>
        <v>0</v>
      </c>
      <c r="L88" s="2" t="str">
        <f t="shared" si="5"/>
        <v>0</v>
      </c>
      <c r="M88" s="2" t="str">
        <f t="shared" si="6"/>
        <v>0</v>
      </c>
      <c r="N88" s="2" t="str">
        <f t="shared" si="7"/>
        <v>0</v>
      </c>
      <c r="O88" s="2" t="str">
        <f t="shared" si="8"/>
        <v>0</v>
      </c>
      <c r="P88" s="2" t="str">
        <f t="shared" si="9"/>
        <v>0</v>
      </c>
      <c r="Q88" s="2" t="str">
        <f t="shared" si="10"/>
        <v>0</v>
      </c>
      <c r="R88" s="2" t="str">
        <f t="shared" si="11"/>
        <v>0</v>
      </c>
      <c r="S88" s="2" t="str">
        <f t="shared" si="12"/>
        <v>0</v>
      </c>
      <c r="T88" s="2" t="str">
        <f t="shared" si="13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14"/>
        <v>0</v>
      </c>
      <c r="K89" s="2" t="str">
        <f t="shared" si="15"/>
        <v>0</v>
      </c>
      <c r="L89" s="2" t="str">
        <f t="shared" si="5"/>
        <v>0</v>
      </c>
      <c r="M89" s="2" t="str">
        <f t="shared" si="6"/>
        <v>0</v>
      </c>
      <c r="N89" s="2" t="str">
        <f t="shared" si="7"/>
        <v>0</v>
      </c>
      <c r="O89" s="2" t="str">
        <f t="shared" si="8"/>
        <v>0</v>
      </c>
      <c r="P89" s="2" t="str">
        <f t="shared" si="9"/>
        <v>0</v>
      </c>
      <c r="Q89" s="2" t="str">
        <f t="shared" si="10"/>
        <v>0</v>
      </c>
      <c r="R89" s="2" t="str">
        <f t="shared" si="11"/>
        <v>0</v>
      </c>
      <c r="S89" s="2" t="str">
        <f t="shared" si="12"/>
        <v>0</v>
      </c>
      <c r="T89" s="2" t="str">
        <f t="shared" si="13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14"/>
        <v>0</v>
      </c>
      <c r="K90" s="2" t="str">
        <f t="shared" si="15"/>
        <v>0</v>
      </c>
      <c r="L90" s="2" t="str">
        <f t="shared" si="5"/>
        <v>0</v>
      </c>
      <c r="M90" s="2" t="str">
        <f t="shared" si="6"/>
        <v>0</v>
      </c>
      <c r="N90" s="2" t="str">
        <f t="shared" si="7"/>
        <v>0</v>
      </c>
      <c r="O90" s="2" t="str">
        <f t="shared" si="8"/>
        <v>0</v>
      </c>
      <c r="P90" s="2" t="str">
        <f t="shared" si="9"/>
        <v>0</v>
      </c>
      <c r="Q90" s="2" t="str">
        <f t="shared" si="10"/>
        <v>0</v>
      </c>
      <c r="R90" s="2" t="str">
        <f t="shared" si="11"/>
        <v>0</v>
      </c>
      <c r="S90" s="2" t="str">
        <f t="shared" si="12"/>
        <v>0</v>
      </c>
      <c r="T90" s="2" t="str">
        <f t="shared" si="13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14"/>
        <v>0</v>
      </c>
      <c r="K91" s="2" t="str">
        <f t="shared" si="15"/>
        <v>0</v>
      </c>
      <c r="L91" s="2" t="str">
        <f t="shared" si="5"/>
        <v>0</v>
      </c>
      <c r="M91" s="2" t="str">
        <f t="shared" si="6"/>
        <v>0</v>
      </c>
      <c r="N91" s="2" t="str">
        <f t="shared" si="7"/>
        <v>0</v>
      </c>
      <c r="O91" s="2" t="str">
        <f t="shared" si="8"/>
        <v>0</v>
      </c>
      <c r="P91" s="2" t="str">
        <f t="shared" si="9"/>
        <v>0</v>
      </c>
      <c r="Q91" s="2" t="str">
        <f t="shared" si="10"/>
        <v>0</v>
      </c>
      <c r="R91" s="2" t="str">
        <f t="shared" si="11"/>
        <v>0</v>
      </c>
      <c r="S91" s="2" t="str">
        <f t="shared" si="12"/>
        <v>0</v>
      </c>
      <c r="T91" s="2" t="str">
        <f t="shared" si="13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14"/>
        <v>0</v>
      </c>
      <c r="K92" s="2" t="str">
        <f t="shared" si="15"/>
        <v>0</v>
      </c>
      <c r="L92" s="2" t="str">
        <f t="shared" si="5"/>
        <v>0</v>
      </c>
      <c r="M92" s="2" t="str">
        <f t="shared" si="6"/>
        <v>0</v>
      </c>
      <c r="N92" s="2" t="str">
        <f t="shared" si="7"/>
        <v>0</v>
      </c>
      <c r="O92" s="2" t="str">
        <f t="shared" si="8"/>
        <v>0</v>
      </c>
      <c r="P92" s="2" t="str">
        <f t="shared" si="9"/>
        <v>0</v>
      </c>
      <c r="Q92" s="2" t="str">
        <f t="shared" si="10"/>
        <v>0</v>
      </c>
      <c r="R92" s="2" t="str">
        <f t="shared" si="11"/>
        <v>0</v>
      </c>
      <c r="S92" s="2" t="str">
        <f t="shared" si="12"/>
        <v>0</v>
      </c>
      <c r="T92" s="2" t="str">
        <f t="shared" si="13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14"/>
        <v>0</v>
      </c>
      <c r="K93" s="2" t="str">
        <f t="shared" si="15"/>
        <v>0</v>
      </c>
      <c r="L93" s="2" t="str">
        <f t="shared" si="5"/>
        <v>0</v>
      </c>
      <c r="M93" s="2" t="str">
        <f t="shared" si="6"/>
        <v>0</v>
      </c>
      <c r="N93" s="2" t="str">
        <f t="shared" si="7"/>
        <v>0</v>
      </c>
      <c r="O93" s="2" t="str">
        <f t="shared" si="8"/>
        <v>0</v>
      </c>
      <c r="P93" s="2" t="str">
        <f t="shared" si="9"/>
        <v>0</v>
      </c>
      <c r="Q93" s="2" t="str">
        <f t="shared" si="10"/>
        <v>0</v>
      </c>
      <c r="R93" s="2" t="str">
        <f t="shared" si="11"/>
        <v>0</v>
      </c>
      <c r="S93" s="2" t="str">
        <f t="shared" si="12"/>
        <v>0</v>
      </c>
      <c r="T93" s="2" t="str">
        <f t="shared" si="13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14"/>
        <v>0</v>
      </c>
      <c r="K94" s="2" t="str">
        <f t="shared" si="15"/>
        <v>0</v>
      </c>
      <c r="L94" s="2" t="str">
        <f t="shared" si="5"/>
        <v>0</v>
      </c>
      <c r="M94" s="2" t="str">
        <f t="shared" si="6"/>
        <v>0</v>
      </c>
      <c r="N94" s="2" t="str">
        <f t="shared" si="7"/>
        <v>0</v>
      </c>
      <c r="O94" s="2" t="str">
        <f t="shared" si="8"/>
        <v>0</v>
      </c>
      <c r="P94" s="2" t="str">
        <f t="shared" si="9"/>
        <v>0</v>
      </c>
      <c r="Q94" s="2" t="str">
        <f t="shared" si="10"/>
        <v>0</v>
      </c>
      <c r="R94" s="2" t="str">
        <f t="shared" si="11"/>
        <v>0</v>
      </c>
      <c r="S94" s="2" t="str">
        <f t="shared" si="12"/>
        <v>0</v>
      </c>
      <c r="T94" s="2" t="str">
        <f t="shared" si="13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14"/>
        <v>0</v>
      </c>
      <c r="K95" s="2" t="str">
        <f t="shared" si="15"/>
        <v>0</v>
      </c>
      <c r="L95" s="2" t="str">
        <f t="shared" si="5"/>
        <v>0</v>
      </c>
      <c r="M95" s="2" t="str">
        <f t="shared" si="6"/>
        <v>0</v>
      </c>
      <c r="N95" s="2" t="str">
        <f t="shared" si="7"/>
        <v>0</v>
      </c>
      <c r="O95" s="2" t="str">
        <f t="shared" si="8"/>
        <v>0</v>
      </c>
      <c r="P95" s="2" t="str">
        <f t="shared" si="9"/>
        <v>0</v>
      </c>
      <c r="Q95" s="2" t="str">
        <f t="shared" si="10"/>
        <v>0</v>
      </c>
      <c r="R95" s="2" t="str">
        <f t="shared" si="11"/>
        <v>0</v>
      </c>
      <c r="S95" s="2" t="str">
        <f t="shared" si="12"/>
        <v>0</v>
      </c>
      <c r="T95" s="2" t="str">
        <f t="shared" si="13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14"/>
        <v>0</v>
      </c>
      <c r="K96" s="2" t="str">
        <f t="shared" si="15"/>
        <v>0</v>
      </c>
      <c r="L96" s="2" t="str">
        <f t="shared" si="5"/>
        <v>0</v>
      </c>
      <c r="M96" s="2" t="str">
        <f t="shared" si="6"/>
        <v>0</v>
      </c>
      <c r="N96" s="2" t="str">
        <f t="shared" si="7"/>
        <v>0</v>
      </c>
      <c r="O96" s="2" t="str">
        <f t="shared" si="8"/>
        <v>0</v>
      </c>
      <c r="P96" s="2" t="str">
        <f t="shared" si="9"/>
        <v>0</v>
      </c>
      <c r="Q96" s="2" t="str">
        <f t="shared" si="10"/>
        <v>0</v>
      </c>
      <c r="R96" s="2" t="str">
        <f t="shared" si="11"/>
        <v>0</v>
      </c>
      <c r="S96" s="2" t="str">
        <f t="shared" si="12"/>
        <v>0</v>
      </c>
      <c r="T96" s="2" t="str">
        <f t="shared" si="13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14"/>
        <v>0</v>
      </c>
      <c r="K97" s="2" t="str">
        <f t="shared" si="15"/>
        <v>0</v>
      </c>
      <c r="L97" s="2" t="str">
        <f t="shared" si="5"/>
        <v>0</v>
      </c>
      <c r="M97" s="2" t="str">
        <f t="shared" si="6"/>
        <v>0</v>
      </c>
      <c r="N97" s="2" t="str">
        <f t="shared" si="7"/>
        <v>0</v>
      </c>
      <c r="O97" s="2" t="str">
        <f t="shared" si="8"/>
        <v>0</v>
      </c>
      <c r="P97" s="2" t="str">
        <f t="shared" si="9"/>
        <v>0</v>
      </c>
      <c r="Q97" s="2" t="str">
        <f t="shared" si="10"/>
        <v>0</v>
      </c>
      <c r="R97" s="2" t="str">
        <f t="shared" si="11"/>
        <v>0</v>
      </c>
      <c r="S97" s="2" t="str">
        <f t="shared" si="12"/>
        <v>0</v>
      </c>
      <c r="T97" s="2" t="str">
        <f t="shared" si="13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14"/>
        <v>0</v>
      </c>
      <c r="K98" s="2" t="str">
        <f t="shared" si="15"/>
        <v>0</v>
      </c>
      <c r="L98" s="2" t="str">
        <f t="shared" si="5"/>
        <v>0</v>
      </c>
      <c r="M98" s="2" t="str">
        <f t="shared" si="6"/>
        <v>0</v>
      </c>
      <c r="N98" s="2" t="str">
        <f t="shared" si="7"/>
        <v>0</v>
      </c>
      <c r="O98" s="2" t="str">
        <f t="shared" si="8"/>
        <v>0</v>
      </c>
      <c r="P98" s="2" t="str">
        <f t="shared" si="9"/>
        <v>0</v>
      </c>
      <c r="Q98" s="2" t="str">
        <f t="shared" si="10"/>
        <v>0</v>
      </c>
      <c r="R98" s="2" t="str">
        <f t="shared" si="11"/>
        <v>0</v>
      </c>
      <c r="S98" s="2" t="str">
        <f t="shared" si="12"/>
        <v>0</v>
      </c>
      <c r="T98" s="2" t="str">
        <f t="shared" si="13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14"/>
        <v>0</v>
      </c>
      <c r="K99" s="2" t="str">
        <f t="shared" si="15"/>
        <v>0</v>
      </c>
      <c r="L99" s="2" t="str">
        <f t="shared" si="5"/>
        <v>0</v>
      </c>
      <c r="M99" s="2" t="str">
        <f t="shared" si="6"/>
        <v>0</v>
      </c>
      <c r="N99" s="2" t="str">
        <f t="shared" si="7"/>
        <v>0</v>
      </c>
      <c r="O99" s="2" t="str">
        <f t="shared" si="8"/>
        <v>0</v>
      </c>
      <c r="P99" s="2" t="str">
        <f t="shared" si="9"/>
        <v>0</v>
      </c>
      <c r="Q99" s="2" t="str">
        <f t="shared" si="10"/>
        <v>0</v>
      </c>
      <c r="R99" s="2" t="str">
        <f t="shared" si="11"/>
        <v>0</v>
      </c>
      <c r="S99" s="2" t="str">
        <f t="shared" si="12"/>
        <v>0</v>
      </c>
      <c r="T99" s="2" t="str">
        <f t="shared" si="13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14"/>
        <v>0</v>
      </c>
      <c r="K100" s="2" t="str">
        <f t="shared" si="15"/>
        <v>0</v>
      </c>
      <c r="L100" s="2" t="str">
        <f t="shared" si="5"/>
        <v>0</v>
      </c>
      <c r="M100" s="2" t="str">
        <f t="shared" si="6"/>
        <v>0</v>
      </c>
      <c r="N100" s="2" t="str">
        <f t="shared" si="7"/>
        <v>0</v>
      </c>
      <c r="O100" s="2" t="str">
        <f t="shared" si="8"/>
        <v>0</v>
      </c>
      <c r="P100" s="2" t="str">
        <f t="shared" si="9"/>
        <v>0</v>
      </c>
      <c r="Q100" s="2" t="str">
        <f t="shared" si="10"/>
        <v>0</v>
      </c>
      <c r="R100" s="2" t="str">
        <f t="shared" si="11"/>
        <v>0</v>
      </c>
      <c r="S100" s="2" t="str">
        <f t="shared" si="12"/>
        <v>0</v>
      </c>
      <c r="T100" s="2" t="str">
        <f t="shared" si="13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14"/>
        <v>0</v>
      </c>
      <c r="K101" s="2" t="str">
        <f t="shared" si="15"/>
        <v>0</v>
      </c>
      <c r="L101" s="2" t="str">
        <f t="shared" si="5"/>
        <v>0</v>
      </c>
      <c r="M101" s="2" t="str">
        <f t="shared" si="6"/>
        <v>0</v>
      </c>
      <c r="N101" s="2" t="str">
        <f t="shared" si="7"/>
        <v>0</v>
      </c>
      <c r="O101" s="2" t="str">
        <f t="shared" si="8"/>
        <v>0</v>
      </c>
      <c r="P101" s="2" t="str">
        <f t="shared" si="9"/>
        <v>0</v>
      </c>
      <c r="Q101" s="2" t="str">
        <f t="shared" si="10"/>
        <v>0</v>
      </c>
      <c r="R101" s="2" t="str">
        <f t="shared" si="11"/>
        <v>0</v>
      </c>
      <c r="S101" s="2" t="str">
        <f t="shared" si="12"/>
        <v>0</v>
      </c>
      <c r="T101" s="2" t="str">
        <f t="shared" si="13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14"/>
        <v>0</v>
      </c>
      <c r="K102" s="2" t="str">
        <f t="shared" si="15"/>
        <v>0</v>
      </c>
      <c r="L102" s="2" t="str">
        <f t="shared" si="5"/>
        <v>0</v>
      </c>
      <c r="M102" s="2" t="str">
        <f t="shared" si="6"/>
        <v>0</v>
      </c>
      <c r="N102" s="2" t="str">
        <f t="shared" si="7"/>
        <v>0</v>
      </c>
      <c r="O102" s="2" t="str">
        <f t="shared" si="8"/>
        <v>0</v>
      </c>
      <c r="P102" s="2" t="str">
        <f t="shared" si="9"/>
        <v>0</v>
      </c>
      <c r="Q102" s="2" t="str">
        <f t="shared" si="10"/>
        <v>0</v>
      </c>
      <c r="R102" s="2" t="str">
        <f t="shared" si="11"/>
        <v>0</v>
      </c>
      <c r="S102" s="2" t="str">
        <f t="shared" si="12"/>
        <v>0</v>
      </c>
      <c r="T102" s="2" t="str">
        <f t="shared" si="13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14"/>
        <v>0</v>
      </c>
      <c r="K103" s="2" t="str">
        <f t="shared" si="15"/>
        <v>0</v>
      </c>
      <c r="L103" s="2" t="str">
        <f t="shared" si="5"/>
        <v>0</v>
      </c>
      <c r="M103" s="2" t="str">
        <f t="shared" si="6"/>
        <v>0</v>
      </c>
      <c r="N103" s="2" t="str">
        <f t="shared" si="7"/>
        <v>0</v>
      </c>
      <c r="O103" s="2" t="str">
        <f t="shared" si="8"/>
        <v>0</v>
      </c>
      <c r="P103" s="2" t="str">
        <f t="shared" si="9"/>
        <v>0</v>
      </c>
      <c r="Q103" s="2" t="str">
        <f t="shared" si="10"/>
        <v>0</v>
      </c>
      <c r="R103" s="2" t="str">
        <f t="shared" si="11"/>
        <v>0</v>
      </c>
      <c r="S103" s="2" t="str">
        <f t="shared" si="12"/>
        <v>0</v>
      </c>
      <c r="T103" s="2" t="str">
        <f t="shared" si="13"/>
        <v>0</v>
      </c>
    </row>
    <row r="104" spans="5:20" x14ac:dyDescent="0.25">
      <c r="E104" s="2" t="str">
        <f t="shared" ref="E104:E127" si="16">IF(E72="X",(D72-C72),"0")</f>
        <v>0</v>
      </c>
      <c r="F104" s="2" t="str">
        <f t="shared" ref="F104:F127" si="17">IF(F72="X",(D72-C72),"0")</f>
        <v>0</v>
      </c>
      <c r="G104" s="2" t="str">
        <f t="shared" ref="G104:G127" si="18">IF(G72="X",(D72-C72),"0")</f>
        <v>0</v>
      </c>
      <c r="H104" s="2" t="str">
        <f t="shared" ref="H104:H127" si="19">IF(H72="X",(D72-C72),"0")</f>
        <v>0</v>
      </c>
      <c r="I104" s="2" t="str">
        <f t="shared" ref="I104:I127" si="20">IF(I72="X",(D72-C72),"0")</f>
        <v>0</v>
      </c>
      <c r="J104" s="2" t="str">
        <f t="shared" ref="J104:J127" si="21">IF(J72="X",(D72-C72),"0")</f>
        <v>0</v>
      </c>
      <c r="K104" s="2" t="str">
        <f t="shared" ref="K104:K127" si="22">IF(K72="X",(D72-C72),"0")</f>
        <v>0</v>
      </c>
      <c r="L104" s="2" t="str">
        <f t="shared" ref="L104:L127" si="23">IF(L72="X",(D72-C72),"0")</f>
        <v>0</v>
      </c>
      <c r="M104" s="2" t="str">
        <f t="shared" ref="M104:M127" si="24">IF(M72="X",(D72-C72),"0")</f>
        <v>0</v>
      </c>
      <c r="N104" s="2" t="str">
        <f t="shared" ref="N104:N127" si="25">IF(N72="X",(D72-C72),"0")</f>
        <v>0</v>
      </c>
      <c r="O104" s="2" t="str">
        <f t="shared" ref="O104:O127" si="26">IF(O72="X",(D72-C72),"0")</f>
        <v>0</v>
      </c>
      <c r="P104" s="2" t="str">
        <f t="shared" ref="P104:P127" si="27">IF(P72="X",(D72-C72),"0")</f>
        <v>0</v>
      </c>
      <c r="Q104" s="2" t="str">
        <f t="shared" ref="Q104:Q127" si="28">IF(Q72="X",(D72-C72),"0")</f>
        <v>0</v>
      </c>
      <c r="R104" s="2" t="str">
        <f t="shared" ref="R104:R127" si="29">IF(R72="X",(D72-C72),"0")</f>
        <v>0</v>
      </c>
      <c r="S104" s="2" t="str">
        <f t="shared" ref="S104:S127" si="30">IF(S72="X",(D72-C72),"0")</f>
        <v>0</v>
      </c>
      <c r="T104" s="2" t="str">
        <f t="shared" ref="T104:T127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2" t="str">
        <f t="shared" si="16"/>
        <v>0</v>
      </c>
      <c r="F127" s="2" t="str">
        <f t="shared" si="17"/>
        <v>0</v>
      </c>
      <c r="G127" s="2" t="str">
        <f t="shared" si="18"/>
        <v>0</v>
      </c>
      <c r="H127" s="2" t="str">
        <f t="shared" si="19"/>
        <v>0</v>
      </c>
      <c r="I127" s="2" t="str">
        <f t="shared" si="20"/>
        <v>0</v>
      </c>
      <c r="J127" s="2" t="str">
        <f t="shared" si="21"/>
        <v>0</v>
      </c>
      <c r="K127" s="2" t="str">
        <f t="shared" si="22"/>
        <v>0</v>
      </c>
      <c r="L127" s="2" t="str">
        <f t="shared" si="23"/>
        <v>0</v>
      </c>
      <c r="M127" s="2" t="str">
        <f t="shared" si="24"/>
        <v>0</v>
      </c>
      <c r="N127" s="2" t="str">
        <f t="shared" si="25"/>
        <v>0</v>
      </c>
      <c r="O127" s="2" t="str">
        <f t="shared" si="26"/>
        <v>0</v>
      </c>
      <c r="P127" s="2" t="str">
        <f t="shared" si="27"/>
        <v>0</v>
      </c>
      <c r="Q127" s="2" t="str">
        <f t="shared" si="28"/>
        <v>0</v>
      </c>
      <c r="R127" s="2" t="str">
        <f t="shared" si="29"/>
        <v>0</v>
      </c>
      <c r="S127" s="2" t="str">
        <f t="shared" si="30"/>
        <v>0</v>
      </c>
      <c r="T127" s="2" t="str">
        <f t="shared" si="31"/>
        <v>0</v>
      </c>
    </row>
    <row r="128" spans="5:20" x14ac:dyDescent="0.25">
      <c r="E128" s="2">
        <f>SUM(E39:E126)</f>
        <v>112.31</v>
      </c>
      <c r="F128" s="2">
        <f t="shared" ref="F128:T128" si="32">SUM(F39:F126)</f>
        <v>0</v>
      </c>
      <c r="G128" s="2">
        <f t="shared" si="32"/>
        <v>0</v>
      </c>
      <c r="H128" s="2">
        <f t="shared" si="32"/>
        <v>103.14</v>
      </c>
      <c r="I128" s="2">
        <f t="shared" si="32"/>
        <v>0</v>
      </c>
      <c r="J128" s="2">
        <f t="shared" si="32"/>
        <v>112.31</v>
      </c>
      <c r="K128" s="2">
        <f t="shared" si="32"/>
        <v>0</v>
      </c>
      <c r="L128" s="2">
        <f t="shared" si="32"/>
        <v>0</v>
      </c>
      <c r="M128" s="2">
        <f t="shared" si="32"/>
        <v>112.31</v>
      </c>
      <c r="N128" s="2">
        <f t="shared" si="32"/>
        <v>0</v>
      </c>
      <c r="O128" s="2">
        <f t="shared" si="32"/>
        <v>0</v>
      </c>
      <c r="P128" s="2">
        <f t="shared" si="32"/>
        <v>0</v>
      </c>
      <c r="Q128" s="2">
        <f t="shared" si="32"/>
        <v>112.31</v>
      </c>
      <c r="R128" s="2">
        <f t="shared" si="32"/>
        <v>0</v>
      </c>
      <c r="S128" s="2">
        <f t="shared" si="32"/>
        <v>95.25</v>
      </c>
      <c r="T128" s="2">
        <f t="shared" si="32"/>
        <v>17.060000000000002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Q3:R3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FEE1-DF89-4E9D-A6B6-26A69F908DE8}">
  <dimension ref="A1:AP225"/>
  <sheetViews>
    <sheetView view="pageBreakPreview" zoomScale="55" zoomScaleNormal="70" zoomScaleSheetLayoutView="55" workbookViewId="0">
      <selection activeCell="S7" sqref="S7"/>
    </sheetView>
  </sheetViews>
  <sheetFormatPr defaultColWidth="8.85546875" defaultRowHeight="15" x14ac:dyDescent="0.25"/>
  <cols>
    <col min="1" max="1" width="32.42578125" style="1" customWidth="1"/>
    <col min="2" max="2" width="14.42578125" style="1" customWidth="1"/>
    <col min="3" max="4" width="12" style="1" customWidth="1"/>
    <col min="5" max="9" width="11.42578125" style="2" customWidth="1"/>
    <col min="10" max="10" width="10.5703125" style="2" bestFit="1" customWidth="1"/>
    <col min="11" max="11" width="14" style="2" bestFit="1" customWidth="1"/>
    <col min="12" max="13" width="12.42578125" style="2" customWidth="1"/>
    <col min="14" max="14" width="10.42578125" style="2" customWidth="1"/>
    <col min="15" max="17" width="13.5703125" style="1" customWidth="1"/>
    <col min="18" max="20" width="14.42578125" style="1" customWidth="1"/>
    <col min="21" max="21" width="42.42578125" style="1" customWidth="1"/>
    <col min="22" max="16384" width="8.85546875" style="1"/>
  </cols>
  <sheetData>
    <row r="1" spans="1:42" ht="19.5" x14ac:dyDescent="0.3">
      <c r="A1" s="3" t="s">
        <v>112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2" ht="20.25" thickBot="1" x14ac:dyDescent="0.35">
      <c r="A2" s="3"/>
      <c r="B2" s="4"/>
      <c r="C2" s="4"/>
      <c r="D2" s="3" t="s">
        <v>35</v>
      </c>
      <c r="E2" s="5"/>
      <c r="F2" s="5"/>
      <c r="G2" s="5"/>
      <c r="H2" s="5"/>
      <c r="I2" s="6" t="s">
        <v>26</v>
      </c>
      <c r="J2" s="77">
        <f>'214'!J2</f>
        <v>46204</v>
      </c>
      <c r="K2" s="77"/>
      <c r="L2" s="7"/>
      <c r="M2" s="6"/>
      <c r="N2" s="12" t="s">
        <v>27</v>
      </c>
      <c r="O2" s="78" t="str">
        <f>'202'!O2</f>
        <v>ENG. THIAGO TORQUATO</v>
      </c>
      <c r="P2" s="78"/>
      <c r="Q2" s="78"/>
      <c r="R2" s="78"/>
      <c r="S2" s="78"/>
      <c r="T2" s="4"/>
      <c r="U2" s="4"/>
    </row>
    <row r="3" spans="1:42" ht="25.5" x14ac:dyDescent="0.35">
      <c r="A3" s="3" t="s">
        <v>38</v>
      </c>
      <c r="B3" s="31" t="str">
        <f>TT!C14</f>
        <v>RODOVIA TO-374 - TRECHO DUERÉ - GURUPI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81" t="s">
        <v>111</v>
      </c>
      <c r="R3" s="81"/>
      <c r="S3" s="32">
        <v>11</v>
      </c>
      <c r="T3" s="4"/>
      <c r="U3" s="4"/>
    </row>
    <row r="4" spans="1:42" ht="20.25" thickBot="1" x14ac:dyDescent="0.35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2" s="8" customFormat="1" ht="39" customHeight="1" x14ac:dyDescent="0.25">
      <c r="A5" s="72" t="s">
        <v>0</v>
      </c>
      <c r="B5" s="72" t="s">
        <v>32</v>
      </c>
      <c r="C5" s="79" t="s">
        <v>28</v>
      </c>
      <c r="D5" s="79" t="s">
        <v>29</v>
      </c>
      <c r="E5" s="72" t="s">
        <v>1</v>
      </c>
      <c r="F5" s="72"/>
      <c r="G5" s="72"/>
      <c r="H5" s="72"/>
      <c r="I5" s="72"/>
      <c r="J5" s="72" t="s">
        <v>17</v>
      </c>
      <c r="K5" s="72"/>
      <c r="L5" s="72" t="s">
        <v>31</v>
      </c>
      <c r="M5" s="72"/>
      <c r="N5" s="72"/>
      <c r="O5" s="72" t="s">
        <v>21</v>
      </c>
      <c r="P5" s="72"/>
      <c r="Q5" s="72"/>
      <c r="R5" s="72" t="s">
        <v>24</v>
      </c>
      <c r="S5" s="72"/>
      <c r="T5" s="72"/>
      <c r="U5" s="74" t="s">
        <v>33</v>
      </c>
    </row>
    <row r="6" spans="1:42" s="10" customFormat="1" ht="39" customHeight="1" x14ac:dyDescent="0.25">
      <c r="A6" s="73"/>
      <c r="B6" s="73"/>
      <c r="C6" s="73"/>
      <c r="D6" s="73"/>
      <c r="E6" s="9" t="s">
        <v>2</v>
      </c>
      <c r="F6" s="9" t="s">
        <v>7</v>
      </c>
      <c r="G6" s="9" t="s">
        <v>3</v>
      </c>
      <c r="H6" s="9" t="s">
        <v>4</v>
      </c>
      <c r="I6" s="9" t="s">
        <v>5</v>
      </c>
      <c r="J6" s="9" t="s">
        <v>18</v>
      </c>
      <c r="K6" s="9" t="s">
        <v>34</v>
      </c>
      <c r="L6" s="9" t="s">
        <v>19</v>
      </c>
      <c r="M6" s="9" t="s">
        <v>20</v>
      </c>
      <c r="N6" s="9" t="s">
        <v>30</v>
      </c>
      <c r="O6" s="9" t="s">
        <v>2</v>
      </c>
      <c r="P6" s="9" t="s">
        <v>22</v>
      </c>
      <c r="Q6" s="9" t="s">
        <v>23</v>
      </c>
      <c r="R6" s="9" t="s">
        <v>2</v>
      </c>
      <c r="S6" s="9" t="s">
        <v>25</v>
      </c>
      <c r="T6" s="9" t="s">
        <v>23</v>
      </c>
      <c r="U6" s="75"/>
    </row>
    <row r="7" spans="1:42" ht="36" customHeight="1" x14ac:dyDescent="0.25">
      <c r="A7" s="34" t="s">
        <v>101</v>
      </c>
      <c r="B7" s="34" t="s">
        <v>115</v>
      </c>
      <c r="C7" s="35">
        <v>0</v>
      </c>
      <c r="D7" s="35">
        <v>4.0999999999999996</v>
      </c>
      <c r="E7" s="34" t="s">
        <v>114</v>
      </c>
      <c r="F7" s="34"/>
      <c r="G7" s="34"/>
      <c r="H7" s="34"/>
      <c r="I7" s="34"/>
      <c r="J7" s="34" t="s">
        <v>114</v>
      </c>
      <c r="K7" s="34"/>
      <c r="L7" s="34"/>
      <c r="M7" s="34" t="s">
        <v>114</v>
      </c>
      <c r="N7" s="34"/>
      <c r="O7" s="34" t="s">
        <v>114</v>
      </c>
      <c r="P7" s="34"/>
      <c r="Q7" s="34"/>
      <c r="R7" s="34"/>
      <c r="S7" s="34" t="s">
        <v>114</v>
      </c>
      <c r="T7" s="34"/>
      <c r="U7" s="36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36" customHeight="1" x14ac:dyDescent="0.25">
      <c r="A8" s="34"/>
      <c r="B8" s="34"/>
      <c r="C8" s="35">
        <f>D7</f>
        <v>4.0999999999999996</v>
      </c>
      <c r="D8" s="35">
        <v>4.3</v>
      </c>
      <c r="E8" s="34" t="s">
        <v>114</v>
      </c>
      <c r="F8" s="34"/>
      <c r="G8" s="34"/>
      <c r="H8" s="34"/>
      <c r="I8" s="34"/>
      <c r="J8" s="34" t="s">
        <v>114</v>
      </c>
      <c r="K8" s="34"/>
      <c r="L8" s="34"/>
      <c r="M8" s="34" t="s">
        <v>114</v>
      </c>
      <c r="N8" s="34"/>
      <c r="O8" s="34" t="s">
        <v>114</v>
      </c>
      <c r="P8" s="34"/>
      <c r="Q8" s="34"/>
      <c r="R8" s="34"/>
      <c r="S8" s="34"/>
      <c r="T8" s="34" t="s">
        <v>114</v>
      </c>
      <c r="U8" s="36"/>
    </row>
    <row r="9" spans="1:42" ht="36" customHeight="1" x14ac:dyDescent="0.25">
      <c r="A9" s="34"/>
      <c r="B9" s="34"/>
      <c r="C9" s="35">
        <f t="shared" ref="C9:C72" si="0">D8</f>
        <v>4.3</v>
      </c>
      <c r="D9" s="35">
        <v>5.3</v>
      </c>
      <c r="E9" s="34" t="s">
        <v>114</v>
      </c>
      <c r="F9" s="34"/>
      <c r="G9" s="34"/>
      <c r="H9" s="34"/>
      <c r="I9" s="34"/>
      <c r="J9" s="34" t="s">
        <v>114</v>
      </c>
      <c r="K9" s="34"/>
      <c r="L9" s="34"/>
      <c r="M9" s="34" t="s">
        <v>114</v>
      </c>
      <c r="N9" s="34"/>
      <c r="O9" s="34" t="s">
        <v>114</v>
      </c>
      <c r="P9" s="34"/>
      <c r="Q9" s="34"/>
      <c r="R9" s="34"/>
      <c r="S9" s="34"/>
      <c r="T9" s="34" t="s">
        <v>114</v>
      </c>
      <c r="U9" s="36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2" ht="36" customHeight="1" x14ac:dyDescent="0.25">
      <c r="A10" s="34"/>
      <c r="B10" s="34"/>
      <c r="C10" s="35">
        <f t="shared" si="0"/>
        <v>5.3</v>
      </c>
      <c r="D10" s="35">
        <v>5.4</v>
      </c>
      <c r="E10" s="34"/>
      <c r="F10" s="34" t="s">
        <v>114</v>
      </c>
      <c r="G10" s="34"/>
      <c r="H10" s="34"/>
      <c r="I10" s="34"/>
      <c r="J10" s="34" t="s">
        <v>114</v>
      </c>
      <c r="K10" s="34"/>
      <c r="L10" s="34"/>
      <c r="M10" s="34" t="s">
        <v>114</v>
      </c>
      <c r="N10" s="34"/>
      <c r="O10" s="34" t="s">
        <v>114</v>
      </c>
      <c r="P10" s="34"/>
      <c r="Q10" s="34"/>
      <c r="R10" s="34"/>
      <c r="S10" s="34"/>
      <c r="T10" s="34" t="s">
        <v>114</v>
      </c>
      <c r="U10" s="36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2" ht="36" customHeight="1" x14ac:dyDescent="0.25">
      <c r="A11" s="34"/>
      <c r="B11" s="34"/>
      <c r="C11" s="35">
        <f t="shared" si="0"/>
        <v>5.4</v>
      </c>
      <c r="D11" s="35">
        <v>5.7</v>
      </c>
      <c r="E11" s="34" t="s">
        <v>114</v>
      </c>
      <c r="F11" s="34"/>
      <c r="G11" s="34"/>
      <c r="H11" s="34"/>
      <c r="I11" s="34"/>
      <c r="J11" s="34" t="s">
        <v>114</v>
      </c>
      <c r="K11" s="34"/>
      <c r="L11" s="34"/>
      <c r="M11" s="34" t="s">
        <v>114</v>
      </c>
      <c r="N11" s="34"/>
      <c r="O11" s="34" t="s">
        <v>114</v>
      </c>
      <c r="P11" s="34"/>
      <c r="Q11" s="34"/>
      <c r="R11" s="34"/>
      <c r="S11" s="34"/>
      <c r="T11" s="34" t="s">
        <v>114</v>
      </c>
      <c r="U11" s="36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2" ht="36" customHeight="1" x14ac:dyDescent="0.25">
      <c r="A12" s="34"/>
      <c r="B12" s="34"/>
      <c r="C12" s="35">
        <f t="shared" si="0"/>
        <v>5.7</v>
      </c>
      <c r="D12" s="35">
        <v>6</v>
      </c>
      <c r="E12" s="34" t="s">
        <v>114</v>
      </c>
      <c r="F12" s="34"/>
      <c r="G12" s="34"/>
      <c r="H12" s="34"/>
      <c r="I12" s="34"/>
      <c r="J12" s="34" t="s">
        <v>114</v>
      </c>
      <c r="K12" s="34"/>
      <c r="L12" s="34"/>
      <c r="M12" s="34" t="s">
        <v>114</v>
      </c>
      <c r="N12" s="34"/>
      <c r="O12" s="34" t="s">
        <v>114</v>
      </c>
      <c r="P12" s="34"/>
      <c r="Q12" s="34"/>
      <c r="R12" s="34"/>
      <c r="S12" s="34"/>
      <c r="T12" s="34" t="s">
        <v>114</v>
      </c>
      <c r="U12" s="36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2" ht="36" customHeight="1" x14ac:dyDescent="0.25">
      <c r="A13" s="34"/>
      <c r="B13" s="34"/>
      <c r="C13" s="35">
        <f t="shared" si="0"/>
        <v>6</v>
      </c>
      <c r="D13" s="35">
        <v>6.3</v>
      </c>
      <c r="E13" s="34" t="s">
        <v>114</v>
      </c>
      <c r="F13" s="34"/>
      <c r="G13" s="34"/>
      <c r="H13" s="34"/>
      <c r="I13" s="34"/>
      <c r="J13" s="34" t="s">
        <v>114</v>
      </c>
      <c r="K13" s="34"/>
      <c r="L13" s="34"/>
      <c r="M13" s="34" t="s">
        <v>114</v>
      </c>
      <c r="N13" s="34"/>
      <c r="O13" s="34" t="s">
        <v>114</v>
      </c>
      <c r="P13" s="34"/>
      <c r="Q13" s="34"/>
      <c r="R13" s="34"/>
      <c r="S13" s="34"/>
      <c r="T13" s="34" t="s">
        <v>114</v>
      </c>
      <c r="U13" s="36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2" ht="36" customHeight="1" x14ac:dyDescent="0.25">
      <c r="A14" s="34"/>
      <c r="B14" s="34"/>
      <c r="C14" s="35">
        <f t="shared" si="0"/>
        <v>6.3</v>
      </c>
      <c r="D14" s="35">
        <v>6.4</v>
      </c>
      <c r="E14" s="34" t="s">
        <v>114</v>
      </c>
      <c r="F14" s="34"/>
      <c r="G14" s="34"/>
      <c r="H14" s="34"/>
      <c r="I14" s="34"/>
      <c r="J14" s="34" t="s">
        <v>114</v>
      </c>
      <c r="K14" s="34"/>
      <c r="L14" s="34"/>
      <c r="M14" s="34" t="s">
        <v>114</v>
      </c>
      <c r="N14" s="34"/>
      <c r="O14" s="34" t="s">
        <v>114</v>
      </c>
      <c r="P14" s="34"/>
      <c r="Q14" s="34"/>
      <c r="R14" s="34"/>
      <c r="S14" s="34"/>
      <c r="T14" s="34" t="s">
        <v>114</v>
      </c>
      <c r="U14" s="36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2" ht="36" customHeight="1" x14ac:dyDescent="0.25">
      <c r="A15" s="34"/>
      <c r="B15" s="34"/>
      <c r="C15" s="35">
        <f t="shared" si="0"/>
        <v>6.4</v>
      </c>
      <c r="D15" s="35">
        <v>6.7</v>
      </c>
      <c r="E15" s="34" t="s">
        <v>114</v>
      </c>
      <c r="F15" s="34"/>
      <c r="G15" s="34"/>
      <c r="H15" s="34"/>
      <c r="I15" s="34"/>
      <c r="J15" s="34" t="s">
        <v>114</v>
      </c>
      <c r="K15" s="34"/>
      <c r="L15" s="34"/>
      <c r="M15" s="34" t="s">
        <v>114</v>
      </c>
      <c r="N15" s="34"/>
      <c r="O15" s="34" t="s">
        <v>114</v>
      </c>
      <c r="P15" s="34"/>
      <c r="Q15" s="34"/>
      <c r="R15" s="34"/>
      <c r="S15" s="34"/>
      <c r="T15" s="34" t="s">
        <v>114</v>
      </c>
      <c r="U15" s="36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2" ht="36" customHeight="1" x14ac:dyDescent="0.25">
      <c r="A16" s="34"/>
      <c r="B16" s="34"/>
      <c r="C16" s="35">
        <f t="shared" si="0"/>
        <v>6.7</v>
      </c>
      <c r="D16" s="35">
        <v>6.8</v>
      </c>
      <c r="E16" s="34" t="s">
        <v>114</v>
      </c>
      <c r="F16" s="34"/>
      <c r="G16" s="34"/>
      <c r="H16" s="34"/>
      <c r="I16" s="34"/>
      <c r="J16" s="34" t="s">
        <v>114</v>
      </c>
      <c r="K16" s="34"/>
      <c r="L16" s="34"/>
      <c r="M16" s="34" t="s">
        <v>114</v>
      </c>
      <c r="N16" s="34"/>
      <c r="O16" s="34" t="s">
        <v>114</v>
      </c>
      <c r="P16" s="34"/>
      <c r="Q16" s="34"/>
      <c r="R16" s="34"/>
      <c r="S16" s="34"/>
      <c r="T16" s="34" t="s">
        <v>114</v>
      </c>
      <c r="U16" s="36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34"/>
      <c r="B17" s="34"/>
      <c r="C17" s="35">
        <f t="shared" si="0"/>
        <v>6.8</v>
      </c>
      <c r="D17" s="35">
        <v>7.5</v>
      </c>
      <c r="E17" s="34" t="s">
        <v>114</v>
      </c>
      <c r="F17" s="34"/>
      <c r="G17" s="34"/>
      <c r="H17" s="34"/>
      <c r="I17" s="34"/>
      <c r="J17" s="34" t="s">
        <v>114</v>
      </c>
      <c r="K17" s="34"/>
      <c r="L17" s="34"/>
      <c r="M17" s="34" t="s">
        <v>114</v>
      </c>
      <c r="N17" s="34"/>
      <c r="O17" s="34" t="s">
        <v>114</v>
      </c>
      <c r="P17" s="34"/>
      <c r="Q17" s="34"/>
      <c r="R17" s="34"/>
      <c r="S17" s="34"/>
      <c r="T17" s="34" t="s">
        <v>114</v>
      </c>
      <c r="U17" s="36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34"/>
      <c r="B18" s="34"/>
      <c r="C18" s="35">
        <f t="shared" si="0"/>
        <v>7.5</v>
      </c>
      <c r="D18" s="35">
        <v>7.6</v>
      </c>
      <c r="E18" s="34" t="s">
        <v>114</v>
      </c>
      <c r="F18" s="34"/>
      <c r="G18" s="34"/>
      <c r="H18" s="34"/>
      <c r="I18" s="34"/>
      <c r="J18" s="34" t="s">
        <v>114</v>
      </c>
      <c r="K18" s="34"/>
      <c r="L18" s="34"/>
      <c r="M18" s="34" t="s">
        <v>114</v>
      </c>
      <c r="N18" s="34"/>
      <c r="O18" s="34" t="s">
        <v>114</v>
      </c>
      <c r="P18" s="34"/>
      <c r="Q18" s="34"/>
      <c r="R18" s="34"/>
      <c r="S18" s="34"/>
      <c r="T18" s="34" t="s">
        <v>114</v>
      </c>
      <c r="U18" s="36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34"/>
      <c r="B19" s="34"/>
      <c r="C19" s="35">
        <f t="shared" si="0"/>
        <v>7.6</v>
      </c>
      <c r="D19" s="35">
        <v>7.8</v>
      </c>
      <c r="E19" s="34" t="s">
        <v>114</v>
      </c>
      <c r="F19" s="34"/>
      <c r="G19" s="34"/>
      <c r="H19" s="34"/>
      <c r="I19" s="34"/>
      <c r="J19" s="34" t="s">
        <v>114</v>
      </c>
      <c r="K19" s="34"/>
      <c r="L19" s="34"/>
      <c r="M19" s="34" t="s">
        <v>114</v>
      </c>
      <c r="N19" s="34"/>
      <c r="O19" s="34" t="s">
        <v>114</v>
      </c>
      <c r="P19" s="34"/>
      <c r="Q19" s="34"/>
      <c r="R19" s="34"/>
      <c r="S19" s="34"/>
      <c r="T19" s="34" t="s">
        <v>114</v>
      </c>
      <c r="U19" s="36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34"/>
      <c r="B20" s="34"/>
      <c r="C20" s="35">
        <f t="shared" si="0"/>
        <v>7.8</v>
      </c>
      <c r="D20" s="35">
        <v>7.9</v>
      </c>
      <c r="E20" s="34" t="s">
        <v>114</v>
      </c>
      <c r="F20" s="34"/>
      <c r="G20" s="34"/>
      <c r="H20" s="34"/>
      <c r="I20" s="34"/>
      <c r="J20" s="34" t="s">
        <v>114</v>
      </c>
      <c r="K20" s="34"/>
      <c r="L20" s="34"/>
      <c r="M20" s="34" t="s">
        <v>114</v>
      </c>
      <c r="N20" s="34"/>
      <c r="O20" s="34" t="s">
        <v>114</v>
      </c>
      <c r="P20" s="34"/>
      <c r="Q20" s="34"/>
      <c r="R20" s="34"/>
      <c r="S20" s="34"/>
      <c r="T20" s="34" t="s">
        <v>114</v>
      </c>
      <c r="U20" s="36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34"/>
      <c r="B21" s="34"/>
      <c r="C21" s="35">
        <f t="shared" si="0"/>
        <v>7.9</v>
      </c>
      <c r="D21" s="35">
        <v>9.8000000000000007</v>
      </c>
      <c r="E21" s="34" t="s">
        <v>114</v>
      </c>
      <c r="F21" s="34"/>
      <c r="G21" s="34"/>
      <c r="H21" s="34"/>
      <c r="I21" s="34"/>
      <c r="J21" s="34" t="s">
        <v>114</v>
      </c>
      <c r="K21" s="34"/>
      <c r="L21" s="34"/>
      <c r="M21" s="34" t="s">
        <v>114</v>
      </c>
      <c r="N21" s="34"/>
      <c r="O21" s="34" t="s">
        <v>114</v>
      </c>
      <c r="P21" s="34"/>
      <c r="Q21" s="34"/>
      <c r="R21" s="34"/>
      <c r="S21" s="34"/>
      <c r="T21" s="34" t="s">
        <v>114</v>
      </c>
      <c r="U21" s="36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34"/>
      <c r="B22" s="34"/>
      <c r="C22" s="35">
        <f t="shared" si="0"/>
        <v>9.8000000000000007</v>
      </c>
      <c r="D22" s="35">
        <v>9.9</v>
      </c>
      <c r="E22" s="34" t="s">
        <v>114</v>
      </c>
      <c r="F22" s="34"/>
      <c r="G22" s="34"/>
      <c r="H22" s="34"/>
      <c r="I22" s="34"/>
      <c r="J22" s="34" t="s">
        <v>114</v>
      </c>
      <c r="K22" s="34"/>
      <c r="L22" s="34"/>
      <c r="M22" s="34" t="s">
        <v>114</v>
      </c>
      <c r="N22" s="34"/>
      <c r="O22" s="34" t="s">
        <v>114</v>
      </c>
      <c r="P22" s="34"/>
      <c r="Q22" s="34"/>
      <c r="R22" s="34"/>
      <c r="S22" s="34"/>
      <c r="T22" s="34" t="s">
        <v>114</v>
      </c>
      <c r="U22" s="36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34"/>
      <c r="B23" s="34"/>
      <c r="C23" s="35">
        <f t="shared" si="0"/>
        <v>9.9</v>
      </c>
      <c r="D23" s="35">
        <v>11.2</v>
      </c>
      <c r="E23" s="34" t="s">
        <v>114</v>
      </c>
      <c r="F23" s="34"/>
      <c r="G23" s="34"/>
      <c r="H23" s="34"/>
      <c r="I23" s="34"/>
      <c r="J23" s="34" t="s">
        <v>114</v>
      </c>
      <c r="K23" s="34"/>
      <c r="L23" s="34"/>
      <c r="M23" s="34" t="s">
        <v>114</v>
      </c>
      <c r="N23" s="34"/>
      <c r="O23" s="34" t="s">
        <v>114</v>
      </c>
      <c r="P23" s="34"/>
      <c r="Q23" s="34"/>
      <c r="R23" s="34"/>
      <c r="S23" s="34"/>
      <c r="T23" s="34" t="s">
        <v>114</v>
      </c>
      <c r="U23" s="36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34"/>
      <c r="B24" s="34"/>
      <c r="C24" s="35">
        <f t="shared" si="0"/>
        <v>11.2</v>
      </c>
      <c r="D24" s="35">
        <v>11.3</v>
      </c>
      <c r="E24" s="34" t="s">
        <v>114</v>
      </c>
      <c r="F24" s="34"/>
      <c r="G24" s="34"/>
      <c r="H24" s="34"/>
      <c r="I24" s="34"/>
      <c r="J24" s="34" t="s">
        <v>114</v>
      </c>
      <c r="K24" s="34"/>
      <c r="L24" s="34"/>
      <c r="M24" s="34" t="s">
        <v>114</v>
      </c>
      <c r="N24" s="34"/>
      <c r="O24" s="34" t="s">
        <v>114</v>
      </c>
      <c r="P24" s="34"/>
      <c r="Q24" s="34"/>
      <c r="R24" s="34"/>
      <c r="S24" s="34"/>
      <c r="T24" s="34" t="s">
        <v>114</v>
      </c>
      <c r="U24" s="36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34"/>
      <c r="B25" s="34"/>
      <c r="C25" s="35">
        <f t="shared" si="0"/>
        <v>11.3</v>
      </c>
      <c r="D25" s="35">
        <v>11.5</v>
      </c>
      <c r="E25" s="34" t="s">
        <v>114</v>
      </c>
      <c r="F25" s="34"/>
      <c r="G25" s="34"/>
      <c r="H25" s="34"/>
      <c r="I25" s="34"/>
      <c r="J25" s="34" t="s">
        <v>114</v>
      </c>
      <c r="K25" s="34"/>
      <c r="L25" s="34"/>
      <c r="M25" s="34" t="s">
        <v>114</v>
      </c>
      <c r="N25" s="34"/>
      <c r="O25" s="34" t="s">
        <v>114</v>
      </c>
      <c r="P25" s="34"/>
      <c r="Q25" s="34"/>
      <c r="R25" s="34"/>
      <c r="S25" s="34"/>
      <c r="T25" s="34" t="s">
        <v>114</v>
      </c>
      <c r="U25" s="36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34"/>
      <c r="B26" s="34"/>
      <c r="C26" s="35">
        <f t="shared" si="0"/>
        <v>11.5</v>
      </c>
      <c r="D26" s="35">
        <v>11.6</v>
      </c>
      <c r="E26" s="34" t="s">
        <v>114</v>
      </c>
      <c r="F26" s="34"/>
      <c r="G26" s="34"/>
      <c r="H26" s="34"/>
      <c r="I26" s="34"/>
      <c r="J26" s="34" t="s">
        <v>114</v>
      </c>
      <c r="K26" s="34"/>
      <c r="L26" s="34"/>
      <c r="M26" s="34" t="s">
        <v>114</v>
      </c>
      <c r="N26" s="34"/>
      <c r="O26" s="34" t="s">
        <v>114</v>
      </c>
      <c r="P26" s="34"/>
      <c r="Q26" s="34"/>
      <c r="R26" s="34"/>
      <c r="S26" s="34"/>
      <c r="T26" s="34" t="s">
        <v>114</v>
      </c>
      <c r="U26" s="36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34"/>
      <c r="B27" s="34"/>
      <c r="C27" s="35">
        <f t="shared" si="0"/>
        <v>11.6</v>
      </c>
      <c r="D27" s="35">
        <v>11.7</v>
      </c>
      <c r="E27" s="34" t="s">
        <v>114</v>
      </c>
      <c r="F27" s="34"/>
      <c r="G27" s="34"/>
      <c r="H27" s="34"/>
      <c r="I27" s="34"/>
      <c r="J27" s="34" t="s">
        <v>114</v>
      </c>
      <c r="K27" s="34"/>
      <c r="L27" s="34"/>
      <c r="M27" s="34" t="s">
        <v>114</v>
      </c>
      <c r="N27" s="34"/>
      <c r="O27" s="34" t="s">
        <v>114</v>
      </c>
      <c r="P27" s="34"/>
      <c r="Q27" s="34"/>
      <c r="R27" s="34"/>
      <c r="S27" s="34"/>
      <c r="T27" s="34" t="s">
        <v>114</v>
      </c>
      <c r="U27" s="36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34"/>
      <c r="B28" s="34"/>
      <c r="C28" s="35">
        <f t="shared" si="0"/>
        <v>11.7</v>
      </c>
      <c r="D28" s="35">
        <v>11.8</v>
      </c>
      <c r="E28" s="34" t="s">
        <v>114</v>
      </c>
      <c r="F28" s="34"/>
      <c r="G28" s="34"/>
      <c r="H28" s="34"/>
      <c r="I28" s="34"/>
      <c r="J28" s="34" t="s">
        <v>114</v>
      </c>
      <c r="K28" s="34"/>
      <c r="L28" s="34"/>
      <c r="M28" s="34" t="s">
        <v>114</v>
      </c>
      <c r="N28" s="34"/>
      <c r="O28" s="34" t="s">
        <v>114</v>
      </c>
      <c r="P28" s="34"/>
      <c r="Q28" s="34"/>
      <c r="R28" s="34"/>
      <c r="S28" s="34"/>
      <c r="T28" s="34" t="s">
        <v>114</v>
      </c>
      <c r="U28" s="36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34"/>
      <c r="B29" s="34"/>
      <c r="C29" s="35">
        <f t="shared" si="0"/>
        <v>11.8</v>
      </c>
      <c r="D29" s="35">
        <v>13.7</v>
      </c>
      <c r="E29" s="34" t="s">
        <v>114</v>
      </c>
      <c r="F29" s="34"/>
      <c r="G29" s="34"/>
      <c r="H29" s="34"/>
      <c r="I29" s="34"/>
      <c r="J29" s="34" t="s">
        <v>114</v>
      </c>
      <c r="K29" s="34"/>
      <c r="L29" s="34"/>
      <c r="M29" s="34" t="s">
        <v>114</v>
      </c>
      <c r="N29" s="34"/>
      <c r="O29" s="34" t="s">
        <v>114</v>
      </c>
      <c r="P29" s="34"/>
      <c r="Q29" s="34"/>
      <c r="R29" s="34"/>
      <c r="S29" s="34"/>
      <c r="T29" s="34" t="s">
        <v>114</v>
      </c>
      <c r="U29" s="36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x14ac:dyDescent="0.25">
      <c r="A30" s="34"/>
      <c r="B30" s="34"/>
      <c r="C30" s="35">
        <f t="shared" si="0"/>
        <v>13.7</v>
      </c>
      <c r="D30" s="35">
        <v>13.8</v>
      </c>
      <c r="E30" s="34" t="s">
        <v>114</v>
      </c>
      <c r="F30" s="34"/>
      <c r="G30" s="34"/>
      <c r="H30" s="34"/>
      <c r="I30" s="34"/>
      <c r="J30" s="34" t="s">
        <v>114</v>
      </c>
      <c r="K30" s="34"/>
      <c r="L30" s="34"/>
      <c r="M30" s="34" t="s">
        <v>114</v>
      </c>
      <c r="N30" s="34"/>
      <c r="O30" s="34" t="s">
        <v>114</v>
      </c>
      <c r="P30" s="34"/>
      <c r="Q30" s="34"/>
      <c r="R30" s="34"/>
      <c r="S30" s="34"/>
      <c r="T30" s="34" t="s">
        <v>114</v>
      </c>
      <c r="U30" s="36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spans="1:40" ht="36" customHeight="1" x14ac:dyDescent="0.25">
      <c r="A31" s="34"/>
      <c r="B31" s="34"/>
      <c r="C31" s="35">
        <f t="shared" si="0"/>
        <v>13.8</v>
      </c>
      <c r="D31" s="35">
        <v>14.2</v>
      </c>
      <c r="E31" s="34" t="s">
        <v>114</v>
      </c>
      <c r="F31" s="34"/>
      <c r="G31" s="34"/>
      <c r="H31" s="34"/>
      <c r="I31" s="34"/>
      <c r="J31" s="34" t="s">
        <v>114</v>
      </c>
      <c r="K31" s="34"/>
      <c r="L31" s="34"/>
      <c r="M31" s="34" t="s">
        <v>114</v>
      </c>
      <c r="N31" s="34"/>
      <c r="O31" s="34" t="s">
        <v>114</v>
      </c>
      <c r="P31" s="34"/>
      <c r="Q31" s="34"/>
      <c r="R31" s="34"/>
      <c r="S31" s="34"/>
      <c r="T31" s="34" t="s">
        <v>114</v>
      </c>
      <c r="U31" s="36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spans="1:40" ht="36" customHeight="1" x14ac:dyDescent="0.25">
      <c r="A32" s="34"/>
      <c r="B32" s="34"/>
      <c r="C32" s="35">
        <f t="shared" si="0"/>
        <v>14.2</v>
      </c>
      <c r="D32" s="35">
        <v>14.3</v>
      </c>
      <c r="E32" s="34" t="s">
        <v>114</v>
      </c>
      <c r="F32" s="34"/>
      <c r="G32" s="34"/>
      <c r="H32" s="34"/>
      <c r="I32" s="34"/>
      <c r="J32" s="34" t="s">
        <v>114</v>
      </c>
      <c r="K32" s="34"/>
      <c r="L32" s="34"/>
      <c r="M32" s="34" t="s">
        <v>114</v>
      </c>
      <c r="N32" s="34"/>
      <c r="O32" s="34" t="s">
        <v>114</v>
      </c>
      <c r="P32" s="34"/>
      <c r="Q32" s="34"/>
      <c r="R32" s="34"/>
      <c r="S32" s="34"/>
      <c r="T32" s="34" t="s">
        <v>114</v>
      </c>
      <c r="U32" s="36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spans="1:40" ht="36" customHeight="1" x14ac:dyDescent="0.25">
      <c r="A33" s="34"/>
      <c r="B33" s="34"/>
      <c r="C33" s="35">
        <f t="shared" si="0"/>
        <v>14.3</v>
      </c>
      <c r="D33" s="35">
        <v>14.5</v>
      </c>
      <c r="E33" s="34" t="s">
        <v>114</v>
      </c>
      <c r="F33" s="34"/>
      <c r="G33" s="34"/>
      <c r="H33" s="34"/>
      <c r="I33" s="34"/>
      <c r="J33" s="34" t="s">
        <v>114</v>
      </c>
      <c r="K33" s="34"/>
      <c r="L33" s="34"/>
      <c r="M33" s="34" t="s">
        <v>114</v>
      </c>
      <c r="N33" s="34"/>
      <c r="O33" s="34" t="s">
        <v>114</v>
      </c>
      <c r="P33" s="34"/>
      <c r="Q33" s="34"/>
      <c r="R33" s="34"/>
      <c r="S33" s="34"/>
      <c r="T33" s="34" t="s">
        <v>114</v>
      </c>
      <c r="U33" s="36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 ht="36" customHeight="1" x14ac:dyDescent="0.25">
      <c r="A34" s="34"/>
      <c r="B34" s="34"/>
      <c r="C34" s="35">
        <f t="shared" si="0"/>
        <v>14.5</v>
      </c>
      <c r="D34" s="35">
        <v>14.6</v>
      </c>
      <c r="E34" s="34" t="s">
        <v>114</v>
      </c>
      <c r="F34" s="34"/>
      <c r="G34" s="34"/>
      <c r="H34" s="34"/>
      <c r="I34" s="34"/>
      <c r="J34" s="34" t="s">
        <v>114</v>
      </c>
      <c r="K34" s="34"/>
      <c r="L34" s="34"/>
      <c r="M34" s="34" t="s">
        <v>114</v>
      </c>
      <c r="N34" s="34"/>
      <c r="O34" s="34" t="s">
        <v>114</v>
      </c>
      <c r="P34" s="34"/>
      <c r="Q34" s="34"/>
      <c r="R34" s="34"/>
      <c r="S34" s="34"/>
      <c r="T34" s="34" t="s">
        <v>114</v>
      </c>
      <c r="U34" s="36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spans="1:40" ht="36" customHeight="1" x14ac:dyDescent="0.25">
      <c r="A35" s="34"/>
      <c r="B35" s="34"/>
      <c r="C35" s="35">
        <f t="shared" si="0"/>
        <v>14.6</v>
      </c>
      <c r="D35" s="35">
        <v>21.3</v>
      </c>
      <c r="E35" s="34" t="s">
        <v>114</v>
      </c>
      <c r="F35" s="34"/>
      <c r="G35" s="34"/>
      <c r="H35" s="34"/>
      <c r="I35" s="34"/>
      <c r="J35" s="34" t="s">
        <v>114</v>
      </c>
      <c r="K35" s="34"/>
      <c r="L35" s="34"/>
      <c r="M35" s="34" t="s">
        <v>114</v>
      </c>
      <c r="N35" s="34"/>
      <c r="O35" s="34" t="s">
        <v>114</v>
      </c>
      <c r="P35" s="34"/>
      <c r="Q35" s="34"/>
      <c r="R35" s="34"/>
      <c r="S35" s="34"/>
      <c r="T35" s="34" t="s">
        <v>114</v>
      </c>
      <c r="U35" s="36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</row>
    <row r="36" spans="1:40" ht="36" customHeight="1" x14ac:dyDescent="0.25">
      <c r="A36" s="34"/>
      <c r="B36" s="34"/>
      <c r="C36" s="35">
        <f t="shared" si="0"/>
        <v>21.3</v>
      </c>
      <c r="D36" s="35">
        <v>21.4</v>
      </c>
      <c r="E36" s="34" t="s">
        <v>114</v>
      </c>
      <c r="F36" s="34"/>
      <c r="G36" s="34"/>
      <c r="H36" s="34"/>
      <c r="I36" s="34"/>
      <c r="J36" s="34" t="s">
        <v>114</v>
      </c>
      <c r="K36" s="34"/>
      <c r="L36" s="34"/>
      <c r="M36" s="34" t="s">
        <v>114</v>
      </c>
      <c r="N36" s="34"/>
      <c r="O36" s="34" t="s">
        <v>114</v>
      </c>
      <c r="P36" s="34"/>
      <c r="Q36" s="34"/>
      <c r="R36" s="34"/>
      <c r="S36" s="34" t="s">
        <v>114</v>
      </c>
      <c r="T36" s="34"/>
      <c r="U36" s="36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</row>
    <row r="37" spans="1:40" ht="36" customHeight="1" x14ac:dyDescent="0.25">
      <c r="A37" s="34"/>
      <c r="B37" s="34"/>
      <c r="C37" s="35">
        <f t="shared" si="0"/>
        <v>21.4</v>
      </c>
      <c r="D37" s="35">
        <v>24.5</v>
      </c>
      <c r="E37" s="34" t="s">
        <v>114</v>
      </c>
      <c r="F37" s="34"/>
      <c r="G37" s="34"/>
      <c r="H37" s="34"/>
      <c r="I37" s="34"/>
      <c r="J37" s="34" t="s">
        <v>114</v>
      </c>
      <c r="K37" s="34"/>
      <c r="L37" s="34"/>
      <c r="M37" s="34" t="s">
        <v>114</v>
      </c>
      <c r="N37" s="34"/>
      <c r="O37" s="34" t="s">
        <v>114</v>
      </c>
      <c r="P37" s="34"/>
      <c r="Q37" s="34"/>
      <c r="R37" s="34"/>
      <c r="S37" s="34"/>
      <c r="T37" s="34" t="s">
        <v>114</v>
      </c>
      <c r="U37" s="36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spans="1:40" ht="36" customHeight="1" x14ac:dyDescent="0.25">
      <c r="A38" s="34"/>
      <c r="B38" s="34"/>
      <c r="C38" s="35">
        <f t="shared" si="0"/>
        <v>24.5</v>
      </c>
      <c r="D38" s="35">
        <v>24.6</v>
      </c>
      <c r="E38" s="34" t="s">
        <v>114</v>
      </c>
      <c r="F38" s="34"/>
      <c r="G38" s="34"/>
      <c r="H38" s="34"/>
      <c r="I38" s="34"/>
      <c r="J38" s="34" t="s">
        <v>114</v>
      </c>
      <c r="K38" s="34"/>
      <c r="L38" s="34"/>
      <c r="M38" s="34" t="s">
        <v>114</v>
      </c>
      <c r="N38" s="34"/>
      <c r="O38" s="34" t="s">
        <v>114</v>
      </c>
      <c r="P38" s="34"/>
      <c r="Q38" s="34"/>
      <c r="R38" s="34"/>
      <c r="S38" s="34"/>
      <c r="T38" s="34" t="s">
        <v>114</v>
      </c>
      <c r="U38" s="36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</row>
    <row r="39" spans="1:40" ht="36" customHeight="1" x14ac:dyDescent="0.25">
      <c r="A39" s="34"/>
      <c r="B39" s="34"/>
      <c r="C39" s="35">
        <f t="shared" si="0"/>
        <v>24.6</v>
      </c>
      <c r="D39" s="35">
        <v>25.2</v>
      </c>
      <c r="E39" s="34" t="s">
        <v>114</v>
      </c>
      <c r="F39" s="34"/>
      <c r="G39" s="34"/>
      <c r="H39" s="34"/>
      <c r="I39" s="34"/>
      <c r="J39" s="34" t="s">
        <v>114</v>
      </c>
      <c r="K39" s="34"/>
      <c r="L39" s="34"/>
      <c r="M39" s="34" t="s">
        <v>114</v>
      </c>
      <c r="N39" s="34"/>
      <c r="O39" s="34" t="s">
        <v>114</v>
      </c>
      <c r="P39" s="34"/>
      <c r="Q39" s="34"/>
      <c r="R39" s="34"/>
      <c r="S39" s="34"/>
      <c r="T39" s="34" t="s">
        <v>114</v>
      </c>
      <c r="U39" s="36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spans="1:40" ht="36" customHeight="1" x14ac:dyDescent="0.25">
      <c r="A40" s="34"/>
      <c r="B40" s="34"/>
      <c r="C40" s="35">
        <f t="shared" si="0"/>
        <v>25.2</v>
      </c>
      <c r="D40" s="35">
        <v>25.3</v>
      </c>
      <c r="E40" s="34" t="s">
        <v>114</v>
      </c>
      <c r="F40" s="34"/>
      <c r="G40" s="34"/>
      <c r="H40" s="34"/>
      <c r="I40" s="34"/>
      <c r="J40" s="34" t="s">
        <v>114</v>
      </c>
      <c r="K40" s="34"/>
      <c r="L40" s="34"/>
      <c r="M40" s="34" t="s">
        <v>114</v>
      </c>
      <c r="N40" s="34"/>
      <c r="O40" s="34" t="s">
        <v>114</v>
      </c>
      <c r="P40" s="34"/>
      <c r="Q40" s="34"/>
      <c r="R40" s="34"/>
      <c r="S40" s="34"/>
      <c r="T40" s="34" t="s">
        <v>114</v>
      </c>
      <c r="U40" s="36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spans="1:40" ht="36" customHeight="1" x14ac:dyDescent="0.25">
      <c r="A41" s="34"/>
      <c r="B41" s="34"/>
      <c r="C41" s="35">
        <f t="shared" si="0"/>
        <v>25.3</v>
      </c>
      <c r="D41" s="35">
        <v>25.6</v>
      </c>
      <c r="E41" s="34" t="s">
        <v>114</v>
      </c>
      <c r="F41" s="34"/>
      <c r="G41" s="34"/>
      <c r="H41" s="34"/>
      <c r="I41" s="34"/>
      <c r="J41" s="34" t="s">
        <v>114</v>
      </c>
      <c r="K41" s="34"/>
      <c r="L41" s="34"/>
      <c r="M41" s="34" t="s">
        <v>114</v>
      </c>
      <c r="N41" s="34"/>
      <c r="O41" s="34" t="s">
        <v>114</v>
      </c>
      <c r="P41" s="34"/>
      <c r="Q41" s="34"/>
      <c r="R41" s="34"/>
      <c r="S41" s="34"/>
      <c r="T41" s="34" t="s">
        <v>114</v>
      </c>
      <c r="U41" s="36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spans="1:40" ht="36" customHeight="1" x14ac:dyDescent="0.25">
      <c r="A42" s="34"/>
      <c r="B42" s="34"/>
      <c r="C42" s="35">
        <f t="shared" si="0"/>
        <v>25.6</v>
      </c>
      <c r="D42" s="35">
        <v>25.7</v>
      </c>
      <c r="E42" s="34" t="s">
        <v>114</v>
      </c>
      <c r="F42" s="34"/>
      <c r="G42" s="34"/>
      <c r="H42" s="34"/>
      <c r="I42" s="34"/>
      <c r="J42" s="34" t="s">
        <v>114</v>
      </c>
      <c r="K42" s="34"/>
      <c r="L42" s="34"/>
      <c r="M42" s="34" t="s">
        <v>114</v>
      </c>
      <c r="N42" s="34"/>
      <c r="O42" s="34" t="s">
        <v>114</v>
      </c>
      <c r="P42" s="34"/>
      <c r="Q42" s="34"/>
      <c r="R42" s="34"/>
      <c r="S42" s="34" t="s">
        <v>114</v>
      </c>
      <c r="T42" s="34"/>
      <c r="U42" s="36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spans="1:40" ht="36" customHeight="1" x14ac:dyDescent="0.25">
      <c r="A43" s="34"/>
      <c r="B43" s="34"/>
      <c r="C43" s="35">
        <f t="shared" si="0"/>
        <v>25.7</v>
      </c>
      <c r="D43" s="35">
        <v>28.4</v>
      </c>
      <c r="E43" s="34" t="s">
        <v>114</v>
      </c>
      <c r="F43" s="34"/>
      <c r="G43" s="34"/>
      <c r="H43" s="34"/>
      <c r="I43" s="34"/>
      <c r="J43" s="34" t="s">
        <v>114</v>
      </c>
      <c r="K43" s="34"/>
      <c r="L43" s="34"/>
      <c r="M43" s="34" t="s">
        <v>114</v>
      </c>
      <c r="N43" s="34"/>
      <c r="O43" s="34" t="s">
        <v>114</v>
      </c>
      <c r="P43" s="34"/>
      <c r="Q43" s="34"/>
      <c r="R43" s="34"/>
      <c r="S43" s="34"/>
      <c r="T43" s="34" t="s">
        <v>114</v>
      </c>
      <c r="U43" s="36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</row>
    <row r="44" spans="1:40" ht="36" customHeight="1" x14ac:dyDescent="0.25">
      <c r="A44" s="34"/>
      <c r="B44" s="34"/>
      <c r="C44" s="35">
        <f t="shared" si="0"/>
        <v>28.4</v>
      </c>
      <c r="D44" s="35">
        <v>28.5</v>
      </c>
      <c r="E44" s="34" t="s">
        <v>114</v>
      </c>
      <c r="F44" s="34"/>
      <c r="G44" s="34"/>
      <c r="H44" s="34"/>
      <c r="I44" s="34"/>
      <c r="J44" s="34" t="s">
        <v>114</v>
      </c>
      <c r="K44" s="34"/>
      <c r="L44" s="34"/>
      <c r="M44" s="34" t="s">
        <v>114</v>
      </c>
      <c r="N44" s="34"/>
      <c r="O44" s="34" t="s">
        <v>114</v>
      </c>
      <c r="P44" s="34"/>
      <c r="Q44" s="34"/>
      <c r="R44" s="34"/>
      <c r="S44" s="34"/>
      <c r="T44" s="34" t="s">
        <v>114</v>
      </c>
      <c r="U44" s="36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</row>
    <row r="45" spans="1:40" ht="36" customHeight="1" x14ac:dyDescent="0.25">
      <c r="A45" s="34"/>
      <c r="B45" s="34"/>
      <c r="C45" s="35">
        <f t="shared" si="0"/>
        <v>28.5</v>
      </c>
      <c r="D45" s="35">
        <v>29.1</v>
      </c>
      <c r="E45" s="34" t="s">
        <v>114</v>
      </c>
      <c r="F45" s="34"/>
      <c r="G45" s="34"/>
      <c r="H45" s="34"/>
      <c r="I45" s="34"/>
      <c r="J45" s="34" t="s">
        <v>114</v>
      </c>
      <c r="K45" s="34"/>
      <c r="L45" s="34"/>
      <c r="M45" s="34" t="s">
        <v>114</v>
      </c>
      <c r="N45" s="34"/>
      <c r="O45" s="34" t="s">
        <v>114</v>
      </c>
      <c r="P45" s="34"/>
      <c r="Q45" s="34"/>
      <c r="R45" s="34"/>
      <c r="S45" s="34"/>
      <c r="T45" s="34" t="s">
        <v>114</v>
      </c>
      <c r="U45" s="36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</row>
    <row r="46" spans="1:40" ht="36" customHeight="1" x14ac:dyDescent="0.25">
      <c r="A46" s="34"/>
      <c r="B46" s="34"/>
      <c r="C46" s="35">
        <f t="shared" si="0"/>
        <v>29.1</v>
      </c>
      <c r="D46" s="35">
        <v>29.2</v>
      </c>
      <c r="E46" s="34" t="s">
        <v>114</v>
      </c>
      <c r="F46" s="34"/>
      <c r="G46" s="34"/>
      <c r="H46" s="34"/>
      <c r="I46" s="34"/>
      <c r="J46" s="34" t="s">
        <v>114</v>
      </c>
      <c r="K46" s="34"/>
      <c r="L46" s="34"/>
      <c r="M46" s="34" t="s">
        <v>114</v>
      </c>
      <c r="N46" s="34"/>
      <c r="O46" s="34" t="s">
        <v>114</v>
      </c>
      <c r="P46" s="34"/>
      <c r="Q46" s="34"/>
      <c r="R46" s="34"/>
      <c r="S46" s="34"/>
      <c r="T46" s="34" t="s">
        <v>114</v>
      </c>
      <c r="U46" s="36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spans="1:40" ht="36" customHeight="1" x14ac:dyDescent="0.25">
      <c r="A47" s="34"/>
      <c r="B47" s="34"/>
      <c r="C47" s="35">
        <f t="shared" si="0"/>
        <v>29.2</v>
      </c>
      <c r="D47" s="35">
        <v>29.9</v>
      </c>
      <c r="E47" s="34" t="s">
        <v>114</v>
      </c>
      <c r="F47" s="34"/>
      <c r="G47" s="34"/>
      <c r="H47" s="34"/>
      <c r="I47" s="34"/>
      <c r="J47" s="34" t="s">
        <v>114</v>
      </c>
      <c r="K47" s="34"/>
      <c r="L47" s="34"/>
      <c r="M47" s="34" t="s">
        <v>114</v>
      </c>
      <c r="N47" s="34"/>
      <c r="O47" s="34" t="s">
        <v>114</v>
      </c>
      <c r="P47" s="34"/>
      <c r="Q47" s="34"/>
      <c r="R47" s="34"/>
      <c r="S47" s="34"/>
      <c r="T47" s="34" t="s">
        <v>114</v>
      </c>
      <c r="U47" s="36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spans="1:40" ht="36" customHeight="1" x14ac:dyDescent="0.25">
      <c r="A48" s="34"/>
      <c r="B48" s="34"/>
      <c r="C48" s="35">
        <f t="shared" si="0"/>
        <v>29.9</v>
      </c>
      <c r="D48" s="35">
        <v>31</v>
      </c>
      <c r="E48" s="34" t="s">
        <v>114</v>
      </c>
      <c r="F48" s="34"/>
      <c r="G48" s="34"/>
      <c r="H48" s="34"/>
      <c r="I48" s="34"/>
      <c r="J48" s="34" t="s">
        <v>114</v>
      </c>
      <c r="K48" s="34"/>
      <c r="L48" s="34"/>
      <c r="M48" s="34" t="s">
        <v>114</v>
      </c>
      <c r="N48" s="34"/>
      <c r="O48" s="34" t="s">
        <v>114</v>
      </c>
      <c r="P48" s="34"/>
      <c r="Q48" s="34"/>
      <c r="R48" s="34"/>
      <c r="S48" s="34"/>
      <c r="T48" s="34" t="s">
        <v>114</v>
      </c>
      <c r="U48" s="36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spans="1:40" ht="36" customHeight="1" x14ac:dyDescent="0.25">
      <c r="A49" s="34"/>
      <c r="B49" s="34"/>
      <c r="C49" s="35">
        <f t="shared" si="0"/>
        <v>31</v>
      </c>
      <c r="D49" s="35">
        <v>32.299999999999997</v>
      </c>
      <c r="E49" s="34" t="s">
        <v>114</v>
      </c>
      <c r="F49" s="34"/>
      <c r="G49" s="34"/>
      <c r="H49" s="34"/>
      <c r="I49" s="34"/>
      <c r="J49" s="34" t="s">
        <v>114</v>
      </c>
      <c r="K49" s="34"/>
      <c r="L49" s="34"/>
      <c r="M49" s="34" t="s">
        <v>114</v>
      </c>
      <c r="N49" s="34"/>
      <c r="O49" s="34" t="s">
        <v>114</v>
      </c>
      <c r="P49" s="34"/>
      <c r="Q49" s="34"/>
      <c r="R49" s="34"/>
      <c r="S49" s="34"/>
      <c r="T49" s="34" t="s">
        <v>114</v>
      </c>
      <c r="U49" s="36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</row>
    <row r="50" spans="1:40" ht="36" customHeight="1" x14ac:dyDescent="0.25">
      <c r="A50" s="34"/>
      <c r="B50" s="34"/>
      <c r="C50" s="35">
        <f t="shared" si="0"/>
        <v>32.299999999999997</v>
      </c>
      <c r="D50" s="35">
        <v>32.4</v>
      </c>
      <c r="E50" s="34" t="s">
        <v>114</v>
      </c>
      <c r="F50" s="34"/>
      <c r="G50" s="34"/>
      <c r="H50" s="34"/>
      <c r="I50" s="34"/>
      <c r="J50" s="34" t="s">
        <v>114</v>
      </c>
      <c r="K50" s="34"/>
      <c r="L50" s="34"/>
      <c r="M50" s="34" t="s">
        <v>114</v>
      </c>
      <c r="N50" s="34"/>
      <c r="O50" s="34" t="s">
        <v>114</v>
      </c>
      <c r="P50" s="34"/>
      <c r="Q50" s="34"/>
      <c r="R50" s="34"/>
      <c r="S50" s="34"/>
      <c r="T50" s="34" t="s">
        <v>114</v>
      </c>
      <c r="U50" s="36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spans="1:40" ht="36" customHeight="1" x14ac:dyDescent="0.25">
      <c r="A51" s="34"/>
      <c r="B51" s="34"/>
      <c r="C51" s="35">
        <f t="shared" si="0"/>
        <v>32.4</v>
      </c>
      <c r="D51" s="35">
        <v>32.9</v>
      </c>
      <c r="E51" s="34" t="s">
        <v>114</v>
      </c>
      <c r="F51" s="34"/>
      <c r="G51" s="34"/>
      <c r="H51" s="34"/>
      <c r="I51" s="34"/>
      <c r="J51" s="34" t="s">
        <v>114</v>
      </c>
      <c r="K51" s="34"/>
      <c r="L51" s="34"/>
      <c r="M51" s="34" t="s">
        <v>114</v>
      </c>
      <c r="N51" s="34"/>
      <c r="O51" s="34" t="s">
        <v>114</v>
      </c>
      <c r="P51" s="34"/>
      <c r="Q51" s="34"/>
      <c r="R51" s="34"/>
      <c r="S51" s="34"/>
      <c r="T51" s="34" t="s">
        <v>114</v>
      </c>
      <c r="U51" s="36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spans="1:40" ht="36" customHeight="1" x14ac:dyDescent="0.25">
      <c r="A52" s="34"/>
      <c r="B52" s="34"/>
      <c r="C52" s="35">
        <f t="shared" si="0"/>
        <v>32.9</v>
      </c>
      <c r="D52" s="35">
        <v>33</v>
      </c>
      <c r="E52" s="34" t="s">
        <v>114</v>
      </c>
      <c r="F52" s="34"/>
      <c r="G52" s="34"/>
      <c r="H52" s="34"/>
      <c r="I52" s="34"/>
      <c r="J52" s="34" t="s">
        <v>114</v>
      </c>
      <c r="K52" s="34"/>
      <c r="L52" s="34"/>
      <c r="M52" s="34" t="s">
        <v>114</v>
      </c>
      <c r="N52" s="34"/>
      <c r="O52" s="34" t="s">
        <v>114</v>
      </c>
      <c r="P52" s="34"/>
      <c r="Q52" s="34"/>
      <c r="R52" s="34"/>
      <c r="S52" s="34"/>
      <c r="T52" s="34" t="s">
        <v>114</v>
      </c>
      <c r="U52" s="36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spans="1:40" ht="36" customHeight="1" x14ac:dyDescent="0.25">
      <c r="A53" s="34"/>
      <c r="B53" s="34"/>
      <c r="C53" s="35">
        <f t="shared" si="0"/>
        <v>33</v>
      </c>
      <c r="D53" s="35">
        <v>33.6</v>
      </c>
      <c r="E53" s="34" t="s">
        <v>114</v>
      </c>
      <c r="F53" s="34"/>
      <c r="G53" s="34"/>
      <c r="H53" s="34"/>
      <c r="I53" s="34"/>
      <c r="J53" s="34" t="s">
        <v>114</v>
      </c>
      <c r="K53" s="34"/>
      <c r="L53" s="34"/>
      <c r="M53" s="34" t="s">
        <v>114</v>
      </c>
      <c r="N53" s="34"/>
      <c r="O53" s="34" t="s">
        <v>114</v>
      </c>
      <c r="P53" s="34"/>
      <c r="Q53" s="34"/>
      <c r="R53" s="34"/>
      <c r="S53" s="34"/>
      <c r="T53" s="34" t="s">
        <v>114</v>
      </c>
      <c r="U53" s="36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spans="1:40" ht="36" customHeight="1" x14ac:dyDescent="0.25">
      <c r="A54" s="34"/>
      <c r="B54" s="34"/>
      <c r="C54" s="35">
        <f t="shared" si="0"/>
        <v>33.6</v>
      </c>
      <c r="D54" s="35">
        <v>33.700000000000003</v>
      </c>
      <c r="E54" s="34" t="s">
        <v>114</v>
      </c>
      <c r="F54" s="34"/>
      <c r="G54" s="34"/>
      <c r="H54" s="34"/>
      <c r="I54" s="34"/>
      <c r="J54" s="34" t="s">
        <v>114</v>
      </c>
      <c r="K54" s="34"/>
      <c r="L54" s="34"/>
      <c r="M54" s="34" t="s">
        <v>114</v>
      </c>
      <c r="N54" s="34"/>
      <c r="O54" s="34" t="s">
        <v>114</v>
      </c>
      <c r="P54" s="34"/>
      <c r="Q54" s="34"/>
      <c r="R54" s="34"/>
      <c r="S54" s="34"/>
      <c r="T54" s="34" t="s">
        <v>114</v>
      </c>
      <c r="U54" s="36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</row>
    <row r="55" spans="1:40" ht="36" customHeight="1" x14ac:dyDescent="0.25">
      <c r="A55" s="34"/>
      <c r="B55" s="34"/>
      <c r="C55" s="35">
        <f t="shared" si="0"/>
        <v>33.700000000000003</v>
      </c>
      <c r="D55" s="35">
        <v>34.6</v>
      </c>
      <c r="E55" s="34" t="s">
        <v>114</v>
      </c>
      <c r="F55" s="34"/>
      <c r="G55" s="34"/>
      <c r="H55" s="34"/>
      <c r="I55" s="34"/>
      <c r="J55" s="34" t="s">
        <v>114</v>
      </c>
      <c r="K55" s="34"/>
      <c r="L55" s="34"/>
      <c r="M55" s="34" t="s">
        <v>114</v>
      </c>
      <c r="N55" s="34"/>
      <c r="O55" s="34" t="s">
        <v>114</v>
      </c>
      <c r="P55" s="34"/>
      <c r="Q55" s="34"/>
      <c r="R55" s="34"/>
      <c r="S55" s="34"/>
      <c r="T55" s="34" t="s">
        <v>114</v>
      </c>
      <c r="U55" s="36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 spans="1:40" ht="36" customHeight="1" x14ac:dyDescent="0.25">
      <c r="A56" s="34"/>
      <c r="B56" s="34"/>
      <c r="C56" s="35">
        <f t="shared" si="0"/>
        <v>34.6</v>
      </c>
      <c r="D56" s="35">
        <v>34.700000000000003</v>
      </c>
      <c r="E56" s="34" t="s">
        <v>114</v>
      </c>
      <c r="F56" s="34"/>
      <c r="G56" s="34"/>
      <c r="H56" s="34"/>
      <c r="I56" s="34"/>
      <c r="J56" s="34" t="s">
        <v>114</v>
      </c>
      <c r="K56" s="34"/>
      <c r="L56" s="34"/>
      <c r="M56" s="34" t="s">
        <v>114</v>
      </c>
      <c r="N56" s="34"/>
      <c r="O56" s="34" t="s">
        <v>114</v>
      </c>
      <c r="P56" s="34"/>
      <c r="Q56" s="34"/>
      <c r="R56" s="34"/>
      <c r="S56" s="34"/>
      <c r="T56" s="34" t="s">
        <v>114</v>
      </c>
      <c r="U56" s="36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 spans="1:40" ht="36" customHeight="1" x14ac:dyDescent="0.25">
      <c r="A57" s="34"/>
      <c r="B57" s="34"/>
      <c r="C57" s="35">
        <f t="shared" si="0"/>
        <v>34.700000000000003</v>
      </c>
      <c r="D57" s="35">
        <v>35.5</v>
      </c>
      <c r="E57" s="34" t="s">
        <v>114</v>
      </c>
      <c r="F57" s="34"/>
      <c r="G57" s="34"/>
      <c r="H57" s="34"/>
      <c r="I57" s="34"/>
      <c r="J57" s="34" t="s">
        <v>114</v>
      </c>
      <c r="K57" s="34"/>
      <c r="L57" s="34"/>
      <c r="M57" s="34" t="s">
        <v>114</v>
      </c>
      <c r="N57" s="34"/>
      <c r="O57" s="34" t="s">
        <v>114</v>
      </c>
      <c r="P57" s="34"/>
      <c r="Q57" s="34"/>
      <c r="R57" s="34"/>
      <c r="S57" s="34"/>
      <c r="T57" s="34" t="s">
        <v>114</v>
      </c>
      <c r="U57" s="36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 spans="1:40" ht="36" customHeight="1" x14ac:dyDescent="0.25">
      <c r="A58" s="34"/>
      <c r="B58" s="34"/>
      <c r="C58" s="35">
        <f t="shared" si="0"/>
        <v>35.5</v>
      </c>
      <c r="D58" s="35">
        <v>35.6</v>
      </c>
      <c r="E58" s="34" t="s">
        <v>114</v>
      </c>
      <c r="F58" s="34"/>
      <c r="G58" s="34"/>
      <c r="H58" s="34"/>
      <c r="I58" s="34"/>
      <c r="J58" s="34" t="s">
        <v>114</v>
      </c>
      <c r="K58" s="34"/>
      <c r="L58" s="34"/>
      <c r="M58" s="34" t="s">
        <v>114</v>
      </c>
      <c r="N58" s="34"/>
      <c r="O58" s="34" t="s">
        <v>114</v>
      </c>
      <c r="P58" s="34"/>
      <c r="Q58" s="34"/>
      <c r="R58" s="34"/>
      <c r="S58" s="34"/>
      <c r="T58" s="34" t="s">
        <v>114</v>
      </c>
      <c r="U58" s="36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 spans="1:40" ht="36" customHeight="1" x14ac:dyDescent="0.25">
      <c r="A59" s="34"/>
      <c r="B59" s="34"/>
      <c r="C59" s="35">
        <f t="shared" si="0"/>
        <v>35.6</v>
      </c>
      <c r="D59" s="35">
        <v>36.5</v>
      </c>
      <c r="E59" s="34" t="s">
        <v>114</v>
      </c>
      <c r="F59" s="34"/>
      <c r="G59" s="34"/>
      <c r="H59" s="34"/>
      <c r="I59" s="34"/>
      <c r="J59" s="34" t="s">
        <v>114</v>
      </c>
      <c r="K59" s="34"/>
      <c r="L59" s="34"/>
      <c r="M59" s="34" t="s">
        <v>114</v>
      </c>
      <c r="N59" s="34"/>
      <c r="O59" s="34" t="s">
        <v>114</v>
      </c>
      <c r="P59" s="34"/>
      <c r="Q59" s="34"/>
      <c r="R59" s="34"/>
      <c r="S59" s="34"/>
      <c r="T59" s="34" t="s">
        <v>114</v>
      </c>
      <c r="U59" s="36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</row>
    <row r="60" spans="1:40" ht="36" customHeight="1" x14ac:dyDescent="0.25">
      <c r="A60" s="34"/>
      <c r="B60" s="34"/>
      <c r="C60" s="35">
        <f t="shared" si="0"/>
        <v>36.5</v>
      </c>
      <c r="D60" s="35">
        <v>36.799999999999997</v>
      </c>
      <c r="E60" s="34" t="s">
        <v>114</v>
      </c>
      <c r="F60" s="34"/>
      <c r="G60" s="34"/>
      <c r="H60" s="34"/>
      <c r="I60" s="34"/>
      <c r="J60" s="34" t="s">
        <v>114</v>
      </c>
      <c r="K60" s="34"/>
      <c r="L60" s="34"/>
      <c r="M60" s="34" t="s">
        <v>114</v>
      </c>
      <c r="N60" s="34"/>
      <c r="O60" s="34" t="s">
        <v>114</v>
      </c>
      <c r="P60" s="34"/>
      <c r="Q60" s="34"/>
      <c r="R60" s="34"/>
      <c r="S60" s="34"/>
      <c r="T60" s="34" t="s">
        <v>114</v>
      </c>
      <c r="U60" s="36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 spans="1:40" ht="36" customHeight="1" x14ac:dyDescent="0.25">
      <c r="A61" s="49"/>
      <c r="B61" s="49"/>
      <c r="C61" s="35">
        <f t="shared" si="0"/>
        <v>36.799999999999997</v>
      </c>
      <c r="D61" s="50">
        <v>37.5</v>
      </c>
      <c r="E61" s="34" t="s">
        <v>114</v>
      </c>
      <c r="F61" s="49"/>
      <c r="G61" s="49"/>
      <c r="H61" s="49"/>
      <c r="I61" s="49"/>
      <c r="J61" s="34" t="s">
        <v>114</v>
      </c>
      <c r="K61" s="34"/>
      <c r="L61" s="49"/>
      <c r="M61" s="34" t="s">
        <v>114</v>
      </c>
      <c r="N61" s="49"/>
      <c r="O61" s="34" t="s">
        <v>114</v>
      </c>
      <c r="P61" s="49"/>
      <c r="Q61" s="34"/>
      <c r="R61" s="49"/>
      <c r="S61" s="49"/>
      <c r="T61" s="34" t="s">
        <v>114</v>
      </c>
      <c r="U61" s="51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  <row r="62" spans="1:40" ht="36" customHeight="1" x14ac:dyDescent="0.25">
      <c r="A62" s="49"/>
      <c r="B62" s="49"/>
      <c r="C62" s="35">
        <f t="shared" si="0"/>
        <v>37.5</v>
      </c>
      <c r="D62" s="50">
        <v>37.6</v>
      </c>
      <c r="E62" s="34" t="s">
        <v>114</v>
      </c>
      <c r="F62" s="49"/>
      <c r="G62" s="49"/>
      <c r="H62" s="49"/>
      <c r="I62" s="49"/>
      <c r="J62" s="34" t="s">
        <v>114</v>
      </c>
      <c r="K62" s="34"/>
      <c r="L62" s="49"/>
      <c r="M62" s="34" t="s">
        <v>114</v>
      </c>
      <c r="N62" s="49"/>
      <c r="O62" s="34" t="s">
        <v>114</v>
      </c>
      <c r="P62" s="49"/>
      <c r="Q62" s="34"/>
      <c r="R62" s="49"/>
      <c r="S62" s="49"/>
      <c r="T62" s="34" t="s">
        <v>114</v>
      </c>
      <c r="U62" s="51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</row>
    <row r="63" spans="1:40" ht="36" customHeight="1" x14ac:dyDescent="0.25">
      <c r="A63" s="49"/>
      <c r="B63" s="49"/>
      <c r="C63" s="35">
        <f t="shared" si="0"/>
        <v>37.6</v>
      </c>
      <c r="D63" s="50">
        <v>41</v>
      </c>
      <c r="E63" s="34" t="s">
        <v>114</v>
      </c>
      <c r="F63" s="49"/>
      <c r="G63" s="49"/>
      <c r="H63" s="49"/>
      <c r="I63" s="49"/>
      <c r="J63" s="34" t="s">
        <v>114</v>
      </c>
      <c r="K63" s="34"/>
      <c r="L63" s="49"/>
      <c r="M63" s="34" t="s">
        <v>114</v>
      </c>
      <c r="N63" s="49"/>
      <c r="O63" s="34" t="s">
        <v>114</v>
      </c>
      <c r="P63" s="49"/>
      <c r="Q63" s="34"/>
      <c r="R63" s="49"/>
      <c r="S63" s="49"/>
      <c r="T63" s="34" t="s">
        <v>114</v>
      </c>
      <c r="U63" s="51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</row>
    <row r="64" spans="1:40" ht="36" customHeight="1" x14ac:dyDescent="0.25">
      <c r="A64" s="49"/>
      <c r="B64" s="49"/>
      <c r="C64" s="35">
        <f t="shared" si="0"/>
        <v>41</v>
      </c>
      <c r="D64" s="50">
        <v>41.1</v>
      </c>
      <c r="E64" s="34" t="s">
        <v>114</v>
      </c>
      <c r="F64" s="49"/>
      <c r="G64" s="49"/>
      <c r="H64" s="49"/>
      <c r="I64" s="49"/>
      <c r="J64" s="34" t="s">
        <v>114</v>
      </c>
      <c r="K64" s="34"/>
      <c r="L64" s="49"/>
      <c r="M64" s="34" t="s">
        <v>114</v>
      </c>
      <c r="N64" s="49"/>
      <c r="O64" s="34" t="s">
        <v>114</v>
      </c>
      <c r="P64" s="49"/>
      <c r="Q64" s="34"/>
      <c r="R64" s="49"/>
      <c r="S64" s="49"/>
      <c r="T64" s="34" t="s">
        <v>114</v>
      </c>
      <c r="U64" s="51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 spans="1:40" ht="36" customHeight="1" x14ac:dyDescent="0.25">
      <c r="A65" s="49"/>
      <c r="B65" s="49"/>
      <c r="C65" s="35">
        <f t="shared" si="0"/>
        <v>41.1</v>
      </c>
      <c r="D65" s="50">
        <v>42.7</v>
      </c>
      <c r="E65" s="34" t="s">
        <v>114</v>
      </c>
      <c r="F65" s="49"/>
      <c r="G65" s="49"/>
      <c r="H65" s="49"/>
      <c r="I65" s="49"/>
      <c r="J65" s="34" t="s">
        <v>114</v>
      </c>
      <c r="K65" s="34"/>
      <c r="L65" s="49"/>
      <c r="M65" s="34" t="s">
        <v>114</v>
      </c>
      <c r="N65" s="49"/>
      <c r="O65" s="34" t="s">
        <v>114</v>
      </c>
      <c r="P65" s="49"/>
      <c r="Q65" s="34"/>
      <c r="R65" s="49"/>
      <c r="S65" s="49"/>
      <c r="T65" s="34" t="s">
        <v>114</v>
      </c>
      <c r="U65" s="51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</row>
    <row r="66" spans="1:40" ht="36" customHeight="1" x14ac:dyDescent="0.25">
      <c r="A66" s="49"/>
      <c r="B66" s="49"/>
      <c r="C66" s="35">
        <f t="shared" si="0"/>
        <v>42.7</v>
      </c>
      <c r="D66" s="50">
        <v>42.8</v>
      </c>
      <c r="E66" s="34" t="s">
        <v>114</v>
      </c>
      <c r="F66" s="49"/>
      <c r="G66" s="49"/>
      <c r="H66" s="49"/>
      <c r="I66" s="49"/>
      <c r="J66" s="34" t="s">
        <v>114</v>
      </c>
      <c r="K66" s="34"/>
      <c r="L66" s="49"/>
      <c r="M66" s="34" t="s">
        <v>114</v>
      </c>
      <c r="N66" s="49"/>
      <c r="O66" s="34" t="s">
        <v>114</v>
      </c>
      <c r="P66" s="49"/>
      <c r="Q66" s="34"/>
      <c r="R66" s="49"/>
      <c r="S66" s="49"/>
      <c r="T66" s="34" t="s">
        <v>114</v>
      </c>
      <c r="U66" s="51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 spans="1:40" ht="36" customHeight="1" x14ac:dyDescent="0.25">
      <c r="A67" s="49"/>
      <c r="B67" s="49"/>
      <c r="C67" s="35">
        <f t="shared" si="0"/>
        <v>42.8</v>
      </c>
      <c r="D67" s="50">
        <v>43.6</v>
      </c>
      <c r="E67" s="34" t="s">
        <v>114</v>
      </c>
      <c r="F67" s="49"/>
      <c r="G67" s="49"/>
      <c r="H67" s="49"/>
      <c r="I67" s="49"/>
      <c r="J67" s="34" t="s">
        <v>114</v>
      </c>
      <c r="K67" s="34"/>
      <c r="L67" s="49"/>
      <c r="M67" s="34" t="s">
        <v>114</v>
      </c>
      <c r="N67" s="49"/>
      <c r="O67" s="34" t="s">
        <v>114</v>
      </c>
      <c r="P67" s="49"/>
      <c r="Q67" s="34"/>
      <c r="R67" s="49"/>
      <c r="S67" s="49"/>
      <c r="T67" s="34" t="s">
        <v>114</v>
      </c>
      <c r="U67" s="51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 spans="1:40" ht="36" customHeight="1" x14ac:dyDescent="0.25">
      <c r="A68" s="49"/>
      <c r="B68" s="49"/>
      <c r="C68" s="35">
        <f t="shared" si="0"/>
        <v>43.6</v>
      </c>
      <c r="D68" s="50">
        <v>43.7</v>
      </c>
      <c r="E68" s="34" t="s">
        <v>114</v>
      </c>
      <c r="F68" s="49"/>
      <c r="G68" s="49"/>
      <c r="H68" s="49"/>
      <c r="I68" s="49"/>
      <c r="J68" s="34" t="s">
        <v>114</v>
      </c>
      <c r="K68" s="34"/>
      <c r="L68" s="49"/>
      <c r="M68" s="34" t="s">
        <v>114</v>
      </c>
      <c r="N68" s="49"/>
      <c r="O68" s="34" t="s">
        <v>114</v>
      </c>
      <c r="P68" s="49"/>
      <c r="Q68" s="34"/>
      <c r="R68" s="49"/>
      <c r="S68" s="49"/>
      <c r="T68" s="34" t="s">
        <v>114</v>
      </c>
      <c r="U68" s="51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 spans="1:40" ht="36" customHeight="1" x14ac:dyDescent="0.25">
      <c r="A69" s="49"/>
      <c r="B69" s="49"/>
      <c r="C69" s="35">
        <f t="shared" si="0"/>
        <v>43.7</v>
      </c>
      <c r="D69" s="50">
        <v>44.1</v>
      </c>
      <c r="E69" s="34" t="s">
        <v>114</v>
      </c>
      <c r="F69" s="49"/>
      <c r="G69" s="49"/>
      <c r="H69" s="49"/>
      <c r="I69" s="49"/>
      <c r="J69" s="34" t="s">
        <v>114</v>
      </c>
      <c r="K69" s="34"/>
      <c r="L69" s="49"/>
      <c r="M69" s="34" t="s">
        <v>114</v>
      </c>
      <c r="N69" s="49"/>
      <c r="O69" s="34" t="s">
        <v>114</v>
      </c>
      <c r="P69" s="49"/>
      <c r="Q69" s="34"/>
      <c r="R69" s="49"/>
      <c r="S69" s="49"/>
      <c r="T69" s="34" t="s">
        <v>114</v>
      </c>
      <c r="U69" s="51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 spans="1:40" ht="36" customHeight="1" x14ac:dyDescent="0.25">
      <c r="A70" s="49"/>
      <c r="B70" s="49"/>
      <c r="C70" s="35">
        <f t="shared" si="0"/>
        <v>44.1</v>
      </c>
      <c r="D70" s="50">
        <v>44.2</v>
      </c>
      <c r="E70" s="34" t="s">
        <v>114</v>
      </c>
      <c r="F70" s="49"/>
      <c r="G70" s="49"/>
      <c r="H70" s="49"/>
      <c r="I70" s="49"/>
      <c r="J70" s="34" t="s">
        <v>114</v>
      </c>
      <c r="K70" s="34"/>
      <c r="L70" s="49"/>
      <c r="M70" s="34" t="s">
        <v>114</v>
      </c>
      <c r="N70" s="49"/>
      <c r="O70" s="34" t="s">
        <v>114</v>
      </c>
      <c r="P70" s="49"/>
      <c r="Q70" s="34"/>
      <c r="R70" s="49"/>
      <c r="S70" s="49"/>
      <c r="T70" s="34" t="s">
        <v>114</v>
      </c>
      <c r="U70" s="51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</row>
    <row r="71" spans="1:40" ht="36" customHeight="1" x14ac:dyDescent="0.25">
      <c r="A71" s="49"/>
      <c r="B71" s="49"/>
      <c r="C71" s="35">
        <f t="shared" si="0"/>
        <v>44.2</v>
      </c>
      <c r="D71" s="50">
        <v>45.5</v>
      </c>
      <c r="E71" s="34" t="s">
        <v>114</v>
      </c>
      <c r="F71" s="49"/>
      <c r="G71" s="49"/>
      <c r="H71" s="49"/>
      <c r="I71" s="49"/>
      <c r="J71" s="34" t="s">
        <v>114</v>
      </c>
      <c r="K71" s="34"/>
      <c r="L71" s="49"/>
      <c r="M71" s="34" t="s">
        <v>114</v>
      </c>
      <c r="N71" s="49"/>
      <c r="O71" s="34" t="s">
        <v>114</v>
      </c>
      <c r="P71" s="49"/>
      <c r="Q71" s="34"/>
      <c r="R71" s="49"/>
      <c r="S71" s="49"/>
      <c r="T71" s="34" t="s">
        <v>114</v>
      </c>
      <c r="U71" s="51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 spans="1:40" ht="36" customHeight="1" x14ac:dyDescent="0.25">
      <c r="A72" s="49"/>
      <c r="B72" s="49"/>
      <c r="C72" s="35">
        <f t="shared" si="0"/>
        <v>45.5</v>
      </c>
      <c r="D72" s="50">
        <v>45.6</v>
      </c>
      <c r="E72" s="34" t="s">
        <v>114</v>
      </c>
      <c r="F72" s="49"/>
      <c r="G72" s="49"/>
      <c r="H72" s="49"/>
      <c r="I72" s="49"/>
      <c r="J72" s="34" t="s">
        <v>114</v>
      </c>
      <c r="K72" s="34"/>
      <c r="L72" s="49"/>
      <c r="M72" s="34" t="s">
        <v>114</v>
      </c>
      <c r="N72" s="49"/>
      <c r="O72" s="34" t="s">
        <v>114</v>
      </c>
      <c r="P72" s="49"/>
      <c r="Q72" s="34"/>
      <c r="R72" s="49"/>
      <c r="S72" s="49"/>
      <c r="T72" s="34" t="s">
        <v>114</v>
      </c>
      <c r="U72" s="51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</row>
    <row r="73" spans="1:40" ht="36" customHeight="1" x14ac:dyDescent="0.25">
      <c r="A73" s="49"/>
      <c r="B73" s="49"/>
      <c r="C73" s="35">
        <f t="shared" ref="C73:C79" si="1">D72</f>
        <v>45.6</v>
      </c>
      <c r="D73" s="50">
        <v>45.8</v>
      </c>
      <c r="E73" s="34" t="s">
        <v>114</v>
      </c>
      <c r="F73" s="49"/>
      <c r="G73" s="49"/>
      <c r="H73" s="49"/>
      <c r="I73" s="49"/>
      <c r="J73" s="34" t="s">
        <v>114</v>
      </c>
      <c r="K73" s="34"/>
      <c r="L73" s="49"/>
      <c r="M73" s="34" t="s">
        <v>114</v>
      </c>
      <c r="N73" s="49"/>
      <c r="O73" s="34" t="s">
        <v>114</v>
      </c>
      <c r="P73" s="49"/>
      <c r="Q73" s="34"/>
      <c r="R73" s="49"/>
      <c r="S73" s="49"/>
      <c r="T73" s="34" t="s">
        <v>114</v>
      </c>
      <c r="U73" s="51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 spans="1:40" ht="36" customHeight="1" x14ac:dyDescent="0.25">
      <c r="A74" s="49"/>
      <c r="B74" s="49"/>
      <c r="C74" s="35">
        <f t="shared" si="1"/>
        <v>45.8</v>
      </c>
      <c r="D74" s="50">
        <v>45.9</v>
      </c>
      <c r="E74" s="34" t="s">
        <v>114</v>
      </c>
      <c r="F74" s="49"/>
      <c r="G74" s="49"/>
      <c r="H74" s="49"/>
      <c r="I74" s="49"/>
      <c r="J74" s="34" t="s">
        <v>114</v>
      </c>
      <c r="K74" s="34"/>
      <c r="L74" s="49"/>
      <c r="M74" s="34" t="s">
        <v>114</v>
      </c>
      <c r="N74" s="49"/>
      <c r="O74" s="34" t="s">
        <v>114</v>
      </c>
      <c r="P74" s="49"/>
      <c r="Q74" s="34"/>
      <c r="R74" s="49"/>
      <c r="S74" s="49"/>
      <c r="T74" s="34" t="s">
        <v>114</v>
      </c>
      <c r="U74" s="51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</row>
    <row r="75" spans="1:40" ht="36" customHeight="1" x14ac:dyDescent="0.25">
      <c r="A75" s="49"/>
      <c r="B75" s="49"/>
      <c r="C75" s="35">
        <f t="shared" si="1"/>
        <v>45.9</v>
      </c>
      <c r="D75" s="50">
        <v>46.5</v>
      </c>
      <c r="E75" s="34" t="s">
        <v>114</v>
      </c>
      <c r="F75" s="49"/>
      <c r="G75" s="49"/>
      <c r="H75" s="49"/>
      <c r="I75" s="49"/>
      <c r="J75" s="34" t="s">
        <v>114</v>
      </c>
      <c r="K75" s="34"/>
      <c r="L75" s="49"/>
      <c r="M75" s="34" t="s">
        <v>114</v>
      </c>
      <c r="N75" s="49"/>
      <c r="O75" s="34" t="s">
        <v>114</v>
      </c>
      <c r="P75" s="49"/>
      <c r="Q75" s="34"/>
      <c r="R75" s="49"/>
      <c r="S75" s="49"/>
      <c r="T75" s="34" t="s">
        <v>114</v>
      </c>
      <c r="U75" s="51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</row>
    <row r="76" spans="1:40" ht="36" customHeight="1" x14ac:dyDescent="0.25">
      <c r="A76" s="49"/>
      <c r="B76" s="49"/>
      <c r="C76" s="35">
        <f t="shared" si="1"/>
        <v>46.5</v>
      </c>
      <c r="D76" s="50">
        <v>46.7</v>
      </c>
      <c r="E76" s="34" t="s">
        <v>114</v>
      </c>
      <c r="F76" s="49"/>
      <c r="G76" s="49"/>
      <c r="H76" s="49"/>
      <c r="I76" s="49"/>
      <c r="J76" s="34" t="s">
        <v>114</v>
      </c>
      <c r="K76" s="34"/>
      <c r="L76" s="49"/>
      <c r="M76" s="34" t="s">
        <v>114</v>
      </c>
      <c r="N76" s="49"/>
      <c r="O76" s="34" t="s">
        <v>114</v>
      </c>
      <c r="P76" s="49"/>
      <c r="Q76" s="34"/>
      <c r="R76" s="49"/>
      <c r="S76" s="49"/>
      <c r="T76" s="34" t="s">
        <v>114</v>
      </c>
      <c r="U76" s="51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</row>
    <row r="77" spans="1:40" ht="36" customHeight="1" x14ac:dyDescent="0.25">
      <c r="A77" s="49"/>
      <c r="B77" s="49"/>
      <c r="C77" s="35">
        <f t="shared" si="1"/>
        <v>46.7</v>
      </c>
      <c r="D77" s="50">
        <v>47.1</v>
      </c>
      <c r="E77" s="34" t="s">
        <v>114</v>
      </c>
      <c r="F77" s="49"/>
      <c r="G77" s="49"/>
      <c r="H77" s="49"/>
      <c r="I77" s="49"/>
      <c r="J77" s="34" t="s">
        <v>114</v>
      </c>
      <c r="K77" s="34"/>
      <c r="L77" s="49"/>
      <c r="M77" s="34" t="s">
        <v>114</v>
      </c>
      <c r="N77" s="49"/>
      <c r="O77" s="34" t="s">
        <v>114</v>
      </c>
      <c r="P77" s="49"/>
      <c r="Q77" s="34"/>
      <c r="R77" s="49"/>
      <c r="S77" s="49"/>
      <c r="T77" s="34" t="s">
        <v>114</v>
      </c>
      <c r="U77" s="51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</row>
    <row r="78" spans="1:40" ht="36" customHeight="1" x14ac:dyDescent="0.25">
      <c r="A78" s="49"/>
      <c r="B78" s="49"/>
      <c r="C78" s="35">
        <f t="shared" si="1"/>
        <v>47.1</v>
      </c>
      <c r="D78" s="50">
        <v>47.2</v>
      </c>
      <c r="E78" s="34" t="s">
        <v>114</v>
      </c>
      <c r="F78" s="49"/>
      <c r="G78" s="49"/>
      <c r="H78" s="49"/>
      <c r="I78" s="49"/>
      <c r="J78" s="34" t="s">
        <v>114</v>
      </c>
      <c r="K78" s="34"/>
      <c r="L78" s="49"/>
      <c r="M78" s="34" t="s">
        <v>114</v>
      </c>
      <c r="N78" s="49"/>
      <c r="O78" s="34" t="s">
        <v>114</v>
      </c>
      <c r="P78" s="49"/>
      <c r="Q78" s="34"/>
      <c r="R78" s="49"/>
      <c r="S78" s="49"/>
      <c r="T78" s="34" t="s">
        <v>114</v>
      </c>
      <c r="U78" s="51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</row>
    <row r="79" spans="1:40" ht="36" customHeight="1" x14ac:dyDescent="0.25">
      <c r="A79" s="49"/>
      <c r="B79" s="49"/>
      <c r="C79" s="35">
        <f t="shared" si="1"/>
        <v>47.2</v>
      </c>
      <c r="D79" s="50">
        <v>50.3</v>
      </c>
      <c r="E79" s="34" t="s">
        <v>114</v>
      </c>
      <c r="F79" s="49"/>
      <c r="G79" s="49"/>
      <c r="H79" s="49"/>
      <c r="I79" s="49"/>
      <c r="J79" s="34" t="s">
        <v>114</v>
      </c>
      <c r="K79" s="34"/>
      <c r="L79" s="49"/>
      <c r="M79" s="34" t="s">
        <v>114</v>
      </c>
      <c r="N79" s="49"/>
      <c r="O79" s="34" t="s">
        <v>114</v>
      </c>
      <c r="P79" s="49"/>
      <c r="Q79" s="34"/>
      <c r="R79" s="49"/>
      <c r="S79" s="49"/>
      <c r="T79" s="34" t="s">
        <v>114</v>
      </c>
      <c r="U79" s="51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</row>
    <row r="80" spans="1:40" ht="36" hidden="1" customHeight="1" x14ac:dyDescent="0.25">
      <c r="A80" s="49"/>
      <c r="B80" s="49"/>
      <c r="C80" s="50"/>
      <c r="D80" s="50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51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</row>
    <row r="81" spans="1:40" ht="36" hidden="1" customHeight="1" x14ac:dyDescent="0.25">
      <c r="A81" s="49"/>
      <c r="B81" s="49"/>
      <c r="C81" s="50"/>
      <c r="D81" s="50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51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</row>
    <row r="82" spans="1:40" ht="36" hidden="1" customHeight="1" x14ac:dyDescent="0.25">
      <c r="A82" s="49"/>
      <c r="B82" s="49"/>
      <c r="C82" s="50"/>
      <c r="D82" s="50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51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</row>
    <row r="83" spans="1:40" ht="36" hidden="1" customHeight="1" x14ac:dyDescent="0.25">
      <c r="A83" s="49"/>
      <c r="B83" s="49"/>
      <c r="C83" s="50"/>
      <c r="D83" s="50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51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</row>
    <row r="84" spans="1:40" ht="36" hidden="1" customHeight="1" x14ac:dyDescent="0.25">
      <c r="A84" s="49"/>
      <c r="B84" s="49"/>
      <c r="C84" s="50"/>
      <c r="D84" s="50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51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</row>
    <row r="85" spans="1:40" ht="36" customHeight="1" x14ac:dyDescent="0.25">
      <c r="A85" s="49"/>
      <c r="B85" s="49"/>
      <c r="C85" s="50"/>
      <c r="D85" s="50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51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</row>
    <row r="86" spans="1:40" ht="36" customHeight="1" x14ac:dyDescent="0.25">
      <c r="A86" s="49"/>
      <c r="B86" s="49"/>
      <c r="C86" s="50"/>
      <c r="D86" s="50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51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 spans="1:40" ht="36" customHeight="1" x14ac:dyDescent="0.25">
      <c r="A87" s="49"/>
      <c r="B87" s="49"/>
      <c r="C87" s="50"/>
      <c r="D87" s="50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51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</row>
    <row r="88" spans="1:40" ht="36" customHeight="1" x14ac:dyDescent="0.25">
      <c r="A88" s="49"/>
      <c r="B88" s="49"/>
      <c r="C88" s="50"/>
      <c r="D88" s="50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51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</row>
    <row r="89" spans="1:40" ht="36" customHeight="1" x14ac:dyDescent="0.25">
      <c r="A89" s="49"/>
      <c r="B89" s="49"/>
      <c r="C89" s="50"/>
      <c r="D89" s="50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51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</row>
    <row r="90" spans="1:40" ht="36" customHeight="1" x14ac:dyDescent="0.25">
      <c r="A90" s="49"/>
      <c r="B90" s="49"/>
      <c r="C90" s="50"/>
      <c r="D90" s="50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51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</row>
    <row r="91" spans="1:40" ht="36" customHeight="1" x14ac:dyDescent="0.25">
      <c r="A91" s="49"/>
      <c r="B91" s="49"/>
      <c r="C91" s="50"/>
      <c r="D91" s="50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51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</row>
    <row r="92" spans="1:40" ht="36" customHeight="1" x14ac:dyDescent="0.25">
      <c r="A92" s="49"/>
      <c r="B92" s="49"/>
      <c r="C92" s="50"/>
      <c r="D92" s="50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51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</row>
    <row r="93" spans="1:40" ht="36" customHeight="1" x14ac:dyDescent="0.25">
      <c r="A93" s="49"/>
      <c r="B93" s="49"/>
      <c r="C93" s="50"/>
      <c r="D93" s="50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51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</row>
    <row r="94" spans="1:40" ht="36" customHeight="1" thickBot="1" x14ac:dyDescent="0.3">
      <c r="A94" s="37"/>
      <c r="B94" s="37"/>
      <c r="C94" s="38"/>
      <c r="D94" s="38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9"/>
    </row>
    <row r="96" spans="1:40" ht="19.5" x14ac:dyDescent="0.3">
      <c r="A96" s="4" t="s">
        <v>6</v>
      </c>
      <c r="B96" s="11" t="s">
        <v>1</v>
      </c>
      <c r="C96" s="5"/>
      <c r="D96" s="5"/>
      <c r="E96" s="76"/>
      <c r="F96" s="76"/>
    </row>
    <row r="97" spans="1:20" ht="19.5" x14ac:dyDescent="0.3">
      <c r="A97" s="4" t="s">
        <v>8</v>
      </c>
      <c r="B97" s="4" t="s">
        <v>9</v>
      </c>
      <c r="E97" s="4" t="s">
        <v>13</v>
      </c>
      <c r="F97" s="4"/>
      <c r="G97" s="4"/>
      <c r="I97" s="4" t="s">
        <v>4</v>
      </c>
      <c r="J97" s="4" t="s">
        <v>11</v>
      </c>
      <c r="K97" s="1"/>
      <c r="L97" s="1"/>
      <c r="M97" s="4" t="s">
        <v>15</v>
      </c>
      <c r="N97" s="4"/>
      <c r="O97" s="4"/>
    </row>
    <row r="98" spans="1:20" ht="19.5" x14ac:dyDescent="0.3">
      <c r="A98" s="4" t="s">
        <v>3</v>
      </c>
      <c r="B98" s="4" t="s">
        <v>10</v>
      </c>
      <c r="E98" s="4" t="s">
        <v>14</v>
      </c>
      <c r="F98" s="4"/>
      <c r="G98" s="4"/>
      <c r="I98" s="4" t="s">
        <v>5</v>
      </c>
      <c r="J98" s="4" t="s">
        <v>12</v>
      </c>
      <c r="K98" s="1"/>
      <c r="L98" s="1"/>
      <c r="M98" s="4" t="s">
        <v>16</v>
      </c>
      <c r="N98" s="4"/>
      <c r="O98" s="4"/>
    </row>
    <row r="99" spans="1:20" x14ac:dyDescent="0.25">
      <c r="E99" s="1"/>
      <c r="F99" s="1"/>
      <c r="G99" s="1"/>
    </row>
    <row r="100" spans="1:20" x14ac:dyDescent="0.25">
      <c r="E100" s="1"/>
      <c r="F100" s="1"/>
      <c r="G100" s="1"/>
    </row>
    <row r="103" spans="1:20" x14ac:dyDescent="0.25">
      <c r="E103" s="2">
        <f t="shared" ref="E103:E122" si="2">IF(E7="X",(D7-C7),"0")</f>
        <v>4.0999999999999996</v>
      </c>
      <c r="F103" s="2" t="str">
        <f t="shared" ref="F103:F122" si="3">IF(F7="X",(D7-C7),"0")</f>
        <v>0</v>
      </c>
      <c r="G103" s="2" t="str">
        <f t="shared" ref="G103:G122" si="4">IF(G7="X",(D7-C7),"0")</f>
        <v>0</v>
      </c>
      <c r="H103" s="2" t="str">
        <f t="shared" ref="H103:H122" si="5">IF(H7="X",(D7-C7),"0")</f>
        <v>0</v>
      </c>
      <c r="I103" s="2" t="str">
        <f t="shared" ref="I103:I122" si="6">IF(I7="X",(D7-C7),"0")</f>
        <v>0</v>
      </c>
      <c r="J103" s="2">
        <f t="shared" ref="J103:J122" si="7">IF(J7="X",(D7-C7),"0")</f>
        <v>4.0999999999999996</v>
      </c>
      <c r="K103" s="2" t="str">
        <f t="shared" ref="K103:K122" si="8">IF(K7="X",(D7-C7),"0")</f>
        <v>0</v>
      </c>
      <c r="L103" s="2" t="str">
        <f t="shared" ref="L103:L122" si="9">IF(L7="X",(D7-C7),"0")</f>
        <v>0</v>
      </c>
      <c r="M103" s="2">
        <f t="shared" ref="M103:M122" si="10">IF(M7="X",(D7-C7),"0")</f>
        <v>4.0999999999999996</v>
      </c>
      <c r="N103" s="2" t="str">
        <f t="shared" ref="N103:N122" si="11">IF(N7="X",(D7-C7),"0")</f>
        <v>0</v>
      </c>
      <c r="O103" s="2">
        <f t="shared" ref="O103:O122" si="12">IF(O7="X",(D7-C7),"0")</f>
        <v>4.0999999999999996</v>
      </c>
      <c r="P103" s="2" t="str">
        <f t="shared" ref="P103:P122" si="13">IF(P7="X",(D7-C7),"0")</f>
        <v>0</v>
      </c>
      <c r="Q103" s="2" t="str">
        <f t="shared" ref="Q103:Q122" si="14">IF(Q7="X",(D7-C7),"0")</f>
        <v>0</v>
      </c>
      <c r="R103" s="2" t="str">
        <f t="shared" ref="R103:R122" si="15">IF(R7="X",(D7-C7),"0")</f>
        <v>0</v>
      </c>
      <c r="S103" s="2">
        <f t="shared" ref="S103:S122" si="16">IF(S7="X",(D7-C7),"0")</f>
        <v>4.0999999999999996</v>
      </c>
      <c r="T103" s="2" t="str">
        <f t="shared" ref="T103:T122" si="17">IF(T7="X",(D7-C7),"0")</f>
        <v>0</v>
      </c>
    </row>
    <row r="104" spans="1:20" x14ac:dyDescent="0.25">
      <c r="E104" s="2">
        <f t="shared" si="2"/>
        <v>0.20000000000000018</v>
      </c>
      <c r="F104" s="2" t="str">
        <f t="shared" si="3"/>
        <v>0</v>
      </c>
      <c r="G104" s="2" t="str">
        <f t="shared" si="4"/>
        <v>0</v>
      </c>
      <c r="H104" s="2" t="str">
        <f t="shared" si="5"/>
        <v>0</v>
      </c>
      <c r="I104" s="2" t="str">
        <f t="shared" si="6"/>
        <v>0</v>
      </c>
      <c r="J104" s="2">
        <f t="shared" si="7"/>
        <v>0.20000000000000018</v>
      </c>
      <c r="K104" s="2" t="str">
        <f t="shared" si="8"/>
        <v>0</v>
      </c>
      <c r="L104" s="2" t="str">
        <f t="shared" si="9"/>
        <v>0</v>
      </c>
      <c r="M104" s="2">
        <f t="shared" si="10"/>
        <v>0.20000000000000018</v>
      </c>
      <c r="N104" s="2" t="str">
        <f t="shared" si="11"/>
        <v>0</v>
      </c>
      <c r="O104" s="2">
        <f t="shared" si="12"/>
        <v>0.20000000000000018</v>
      </c>
      <c r="P104" s="2" t="str">
        <f t="shared" si="13"/>
        <v>0</v>
      </c>
      <c r="Q104" s="2" t="str">
        <f t="shared" si="14"/>
        <v>0</v>
      </c>
      <c r="R104" s="2" t="str">
        <f t="shared" si="15"/>
        <v>0</v>
      </c>
      <c r="S104" s="2" t="str">
        <f t="shared" si="16"/>
        <v>0</v>
      </c>
      <c r="T104" s="2">
        <f t="shared" si="17"/>
        <v>0.20000000000000018</v>
      </c>
    </row>
    <row r="105" spans="1:20" x14ac:dyDescent="0.25">
      <c r="E105" s="2">
        <f t="shared" si="2"/>
        <v>1</v>
      </c>
      <c r="F105" s="2" t="str">
        <f t="shared" si="3"/>
        <v>0</v>
      </c>
      <c r="G105" s="2" t="str">
        <f t="shared" si="4"/>
        <v>0</v>
      </c>
      <c r="H105" s="2" t="str">
        <f t="shared" si="5"/>
        <v>0</v>
      </c>
      <c r="I105" s="2" t="str">
        <f t="shared" si="6"/>
        <v>0</v>
      </c>
      <c r="J105" s="2">
        <f t="shared" si="7"/>
        <v>1</v>
      </c>
      <c r="K105" s="2" t="str">
        <f t="shared" si="8"/>
        <v>0</v>
      </c>
      <c r="L105" s="2" t="str">
        <f t="shared" si="9"/>
        <v>0</v>
      </c>
      <c r="M105" s="2">
        <f t="shared" si="10"/>
        <v>1</v>
      </c>
      <c r="N105" s="2" t="str">
        <f t="shared" si="11"/>
        <v>0</v>
      </c>
      <c r="O105" s="2">
        <f t="shared" si="12"/>
        <v>1</v>
      </c>
      <c r="P105" s="2" t="str">
        <f t="shared" si="13"/>
        <v>0</v>
      </c>
      <c r="Q105" s="2" t="str">
        <f t="shared" si="14"/>
        <v>0</v>
      </c>
      <c r="R105" s="2" t="str">
        <f t="shared" si="15"/>
        <v>0</v>
      </c>
      <c r="S105" s="2" t="str">
        <f t="shared" si="16"/>
        <v>0</v>
      </c>
      <c r="T105" s="2">
        <f t="shared" si="17"/>
        <v>1</v>
      </c>
    </row>
    <row r="106" spans="1:20" x14ac:dyDescent="0.25">
      <c r="E106" s="2" t="str">
        <f t="shared" si="2"/>
        <v>0</v>
      </c>
      <c r="F106" s="2">
        <f t="shared" si="3"/>
        <v>0.10000000000000053</v>
      </c>
      <c r="G106" s="2" t="str">
        <f t="shared" si="4"/>
        <v>0</v>
      </c>
      <c r="H106" s="2" t="str">
        <f t="shared" si="5"/>
        <v>0</v>
      </c>
      <c r="I106" s="2" t="str">
        <f t="shared" si="6"/>
        <v>0</v>
      </c>
      <c r="J106" s="2">
        <f t="shared" si="7"/>
        <v>0.10000000000000053</v>
      </c>
      <c r="K106" s="2" t="str">
        <f t="shared" si="8"/>
        <v>0</v>
      </c>
      <c r="L106" s="2" t="str">
        <f t="shared" si="9"/>
        <v>0</v>
      </c>
      <c r="M106" s="2">
        <f t="shared" si="10"/>
        <v>0.10000000000000053</v>
      </c>
      <c r="N106" s="2" t="str">
        <f t="shared" si="11"/>
        <v>0</v>
      </c>
      <c r="O106" s="2">
        <f t="shared" si="12"/>
        <v>0.10000000000000053</v>
      </c>
      <c r="P106" s="2" t="str">
        <f t="shared" si="13"/>
        <v>0</v>
      </c>
      <c r="Q106" s="2" t="str">
        <f t="shared" si="14"/>
        <v>0</v>
      </c>
      <c r="R106" s="2" t="str">
        <f t="shared" si="15"/>
        <v>0</v>
      </c>
      <c r="S106" s="2" t="str">
        <f t="shared" si="16"/>
        <v>0</v>
      </c>
      <c r="T106" s="2">
        <f t="shared" si="17"/>
        <v>0.10000000000000053</v>
      </c>
    </row>
    <row r="107" spans="1:20" x14ac:dyDescent="0.25">
      <c r="E107" s="2">
        <f t="shared" si="2"/>
        <v>0.29999999999999982</v>
      </c>
      <c r="F107" s="2" t="str">
        <f t="shared" si="3"/>
        <v>0</v>
      </c>
      <c r="G107" s="2" t="str">
        <f t="shared" si="4"/>
        <v>0</v>
      </c>
      <c r="H107" s="2" t="str">
        <f t="shared" si="5"/>
        <v>0</v>
      </c>
      <c r="I107" s="2" t="str">
        <f t="shared" si="6"/>
        <v>0</v>
      </c>
      <c r="J107" s="2">
        <f t="shared" si="7"/>
        <v>0.29999999999999982</v>
      </c>
      <c r="K107" s="2" t="str">
        <f t="shared" si="8"/>
        <v>0</v>
      </c>
      <c r="L107" s="2" t="str">
        <f t="shared" si="9"/>
        <v>0</v>
      </c>
      <c r="M107" s="2">
        <f t="shared" si="10"/>
        <v>0.29999999999999982</v>
      </c>
      <c r="N107" s="2" t="str">
        <f t="shared" si="11"/>
        <v>0</v>
      </c>
      <c r="O107" s="2">
        <f t="shared" si="12"/>
        <v>0.29999999999999982</v>
      </c>
      <c r="P107" s="2" t="str">
        <f t="shared" si="13"/>
        <v>0</v>
      </c>
      <c r="Q107" s="2" t="str">
        <f t="shared" si="14"/>
        <v>0</v>
      </c>
      <c r="R107" s="2" t="str">
        <f t="shared" si="15"/>
        <v>0</v>
      </c>
      <c r="S107" s="2" t="str">
        <f t="shared" si="16"/>
        <v>0</v>
      </c>
      <c r="T107" s="2">
        <f t="shared" si="17"/>
        <v>0.29999999999999982</v>
      </c>
    </row>
    <row r="108" spans="1:20" x14ac:dyDescent="0.25">
      <c r="E108" s="2">
        <f t="shared" si="2"/>
        <v>0.29999999999999982</v>
      </c>
      <c r="F108" s="2" t="str">
        <f t="shared" si="3"/>
        <v>0</v>
      </c>
      <c r="G108" s="2" t="str">
        <f t="shared" si="4"/>
        <v>0</v>
      </c>
      <c r="H108" s="2" t="str">
        <f t="shared" si="5"/>
        <v>0</v>
      </c>
      <c r="I108" s="2" t="str">
        <f t="shared" si="6"/>
        <v>0</v>
      </c>
      <c r="J108" s="2">
        <f t="shared" si="7"/>
        <v>0.29999999999999982</v>
      </c>
      <c r="K108" s="2" t="str">
        <f t="shared" si="8"/>
        <v>0</v>
      </c>
      <c r="L108" s="2" t="str">
        <f t="shared" si="9"/>
        <v>0</v>
      </c>
      <c r="M108" s="2">
        <f t="shared" si="10"/>
        <v>0.29999999999999982</v>
      </c>
      <c r="N108" s="2" t="str">
        <f t="shared" si="11"/>
        <v>0</v>
      </c>
      <c r="O108" s="2">
        <f t="shared" si="12"/>
        <v>0.29999999999999982</v>
      </c>
      <c r="P108" s="2" t="str">
        <f t="shared" si="13"/>
        <v>0</v>
      </c>
      <c r="Q108" s="2" t="str">
        <f t="shared" si="14"/>
        <v>0</v>
      </c>
      <c r="R108" s="2" t="str">
        <f t="shared" si="15"/>
        <v>0</v>
      </c>
      <c r="S108" s="2" t="str">
        <f t="shared" si="16"/>
        <v>0</v>
      </c>
      <c r="T108" s="2">
        <f t="shared" si="17"/>
        <v>0.29999999999999982</v>
      </c>
    </row>
    <row r="109" spans="1:20" x14ac:dyDescent="0.25">
      <c r="E109" s="2">
        <f t="shared" si="2"/>
        <v>0.29999999999999982</v>
      </c>
      <c r="F109" s="2" t="str">
        <f t="shared" si="3"/>
        <v>0</v>
      </c>
      <c r="G109" s="2" t="str">
        <f t="shared" si="4"/>
        <v>0</v>
      </c>
      <c r="H109" s="2" t="str">
        <f t="shared" si="5"/>
        <v>0</v>
      </c>
      <c r="I109" s="2" t="str">
        <f t="shared" si="6"/>
        <v>0</v>
      </c>
      <c r="J109" s="2">
        <f t="shared" si="7"/>
        <v>0.29999999999999982</v>
      </c>
      <c r="K109" s="2" t="str">
        <f t="shared" si="8"/>
        <v>0</v>
      </c>
      <c r="L109" s="2" t="str">
        <f t="shared" si="9"/>
        <v>0</v>
      </c>
      <c r="M109" s="2">
        <f t="shared" si="10"/>
        <v>0.29999999999999982</v>
      </c>
      <c r="N109" s="2" t="str">
        <f t="shared" si="11"/>
        <v>0</v>
      </c>
      <c r="O109" s="2">
        <f t="shared" si="12"/>
        <v>0.29999999999999982</v>
      </c>
      <c r="P109" s="2" t="str">
        <f t="shared" si="13"/>
        <v>0</v>
      </c>
      <c r="Q109" s="2" t="str">
        <f t="shared" si="14"/>
        <v>0</v>
      </c>
      <c r="R109" s="2" t="str">
        <f t="shared" si="15"/>
        <v>0</v>
      </c>
      <c r="S109" s="2" t="str">
        <f t="shared" si="16"/>
        <v>0</v>
      </c>
      <c r="T109" s="2">
        <f t="shared" si="17"/>
        <v>0.29999999999999982</v>
      </c>
    </row>
    <row r="110" spans="1:20" x14ac:dyDescent="0.25">
      <c r="E110" s="2">
        <f t="shared" si="2"/>
        <v>0.10000000000000053</v>
      </c>
      <c r="F110" s="2" t="str">
        <f t="shared" si="3"/>
        <v>0</v>
      </c>
      <c r="G110" s="2" t="str">
        <f t="shared" si="4"/>
        <v>0</v>
      </c>
      <c r="H110" s="2" t="str">
        <f t="shared" si="5"/>
        <v>0</v>
      </c>
      <c r="I110" s="2" t="str">
        <f t="shared" si="6"/>
        <v>0</v>
      </c>
      <c r="J110" s="2">
        <f t="shared" si="7"/>
        <v>0.10000000000000053</v>
      </c>
      <c r="K110" s="2" t="str">
        <f t="shared" si="8"/>
        <v>0</v>
      </c>
      <c r="L110" s="2" t="str">
        <f t="shared" si="9"/>
        <v>0</v>
      </c>
      <c r="M110" s="2">
        <f t="shared" si="10"/>
        <v>0.10000000000000053</v>
      </c>
      <c r="N110" s="2" t="str">
        <f t="shared" si="11"/>
        <v>0</v>
      </c>
      <c r="O110" s="2">
        <f t="shared" si="12"/>
        <v>0.10000000000000053</v>
      </c>
      <c r="P110" s="2" t="str">
        <f t="shared" si="13"/>
        <v>0</v>
      </c>
      <c r="Q110" s="2" t="str">
        <f t="shared" si="14"/>
        <v>0</v>
      </c>
      <c r="R110" s="2" t="str">
        <f t="shared" si="15"/>
        <v>0</v>
      </c>
      <c r="S110" s="2" t="str">
        <f t="shared" si="16"/>
        <v>0</v>
      </c>
      <c r="T110" s="2">
        <f t="shared" si="17"/>
        <v>0.10000000000000053</v>
      </c>
    </row>
    <row r="111" spans="1:20" x14ac:dyDescent="0.25">
      <c r="E111" s="2">
        <f t="shared" si="2"/>
        <v>0.29999999999999982</v>
      </c>
      <c r="F111" s="2" t="str">
        <f t="shared" si="3"/>
        <v>0</v>
      </c>
      <c r="G111" s="2" t="str">
        <f t="shared" si="4"/>
        <v>0</v>
      </c>
      <c r="H111" s="2" t="str">
        <f t="shared" si="5"/>
        <v>0</v>
      </c>
      <c r="I111" s="2" t="str">
        <f t="shared" si="6"/>
        <v>0</v>
      </c>
      <c r="J111" s="2">
        <f t="shared" si="7"/>
        <v>0.29999999999999982</v>
      </c>
      <c r="K111" s="2" t="str">
        <f t="shared" si="8"/>
        <v>0</v>
      </c>
      <c r="L111" s="2" t="str">
        <f t="shared" si="9"/>
        <v>0</v>
      </c>
      <c r="M111" s="2">
        <f t="shared" si="10"/>
        <v>0.29999999999999982</v>
      </c>
      <c r="N111" s="2" t="str">
        <f t="shared" si="11"/>
        <v>0</v>
      </c>
      <c r="O111" s="2">
        <f t="shared" si="12"/>
        <v>0.29999999999999982</v>
      </c>
      <c r="P111" s="2" t="str">
        <f t="shared" si="13"/>
        <v>0</v>
      </c>
      <c r="Q111" s="2" t="str">
        <f t="shared" si="14"/>
        <v>0</v>
      </c>
      <c r="R111" s="2" t="str">
        <f t="shared" si="15"/>
        <v>0</v>
      </c>
      <c r="S111" s="2" t="str">
        <f t="shared" si="16"/>
        <v>0</v>
      </c>
      <c r="T111" s="2">
        <f t="shared" si="17"/>
        <v>0.29999999999999982</v>
      </c>
    </row>
    <row r="112" spans="1:20" x14ac:dyDescent="0.25">
      <c r="E112" s="2">
        <f t="shared" si="2"/>
        <v>9.9999999999999645E-2</v>
      </c>
      <c r="F112" s="2" t="str">
        <f t="shared" si="3"/>
        <v>0</v>
      </c>
      <c r="G112" s="2" t="str">
        <f t="shared" si="4"/>
        <v>0</v>
      </c>
      <c r="H112" s="2" t="str">
        <f t="shared" si="5"/>
        <v>0</v>
      </c>
      <c r="I112" s="2" t="str">
        <f t="shared" si="6"/>
        <v>0</v>
      </c>
      <c r="J112" s="2">
        <f t="shared" si="7"/>
        <v>9.9999999999999645E-2</v>
      </c>
      <c r="K112" s="2" t="str">
        <f t="shared" si="8"/>
        <v>0</v>
      </c>
      <c r="L112" s="2" t="str">
        <f t="shared" si="9"/>
        <v>0</v>
      </c>
      <c r="M112" s="2">
        <f t="shared" si="10"/>
        <v>9.9999999999999645E-2</v>
      </c>
      <c r="N112" s="2" t="str">
        <f t="shared" si="11"/>
        <v>0</v>
      </c>
      <c r="O112" s="2">
        <f t="shared" si="12"/>
        <v>9.9999999999999645E-2</v>
      </c>
      <c r="P112" s="2" t="str">
        <f t="shared" si="13"/>
        <v>0</v>
      </c>
      <c r="Q112" s="2" t="str">
        <f t="shared" si="14"/>
        <v>0</v>
      </c>
      <c r="R112" s="2" t="str">
        <f t="shared" si="15"/>
        <v>0</v>
      </c>
      <c r="S112" s="2" t="str">
        <f t="shared" si="16"/>
        <v>0</v>
      </c>
      <c r="T112" s="2">
        <f t="shared" si="17"/>
        <v>9.9999999999999645E-2</v>
      </c>
    </row>
    <row r="113" spans="5:20" x14ac:dyDescent="0.25">
      <c r="E113" s="2">
        <f t="shared" si="2"/>
        <v>0.70000000000000018</v>
      </c>
      <c r="F113" s="2" t="str">
        <f t="shared" si="3"/>
        <v>0</v>
      </c>
      <c r="G113" s="2" t="str">
        <f t="shared" si="4"/>
        <v>0</v>
      </c>
      <c r="H113" s="2" t="str">
        <f t="shared" si="5"/>
        <v>0</v>
      </c>
      <c r="I113" s="2" t="str">
        <f t="shared" si="6"/>
        <v>0</v>
      </c>
      <c r="J113" s="2">
        <f t="shared" si="7"/>
        <v>0.70000000000000018</v>
      </c>
      <c r="K113" s="2" t="str">
        <f t="shared" si="8"/>
        <v>0</v>
      </c>
      <c r="L113" s="2" t="str">
        <f t="shared" si="9"/>
        <v>0</v>
      </c>
      <c r="M113" s="2">
        <f t="shared" si="10"/>
        <v>0.70000000000000018</v>
      </c>
      <c r="N113" s="2" t="str">
        <f t="shared" si="11"/>
        <v>0</v>
      </c>
      <c r="O113" s="2">
        <f t="shared" si="12"/>
        <v>0.70000000000000018</v>
      </c>
      <c r="P113" s="2" t="str">
        <f t="shared" si="13"/>
        <v>0</v>
      </c>
      <c r="Q113" s="2" t="str">
        <f t="shared" si="14"/>
        <v>0</v>
      </c>
      <c r="R113" s="2" t="str">
        <f t="shared" si="15"/>
        <v>0</v>
      </c>
      <c r="S113" s="2" t="str">
        <f t="shared" si="16"/>
        <v>0</v>
      </c>
      <c r="T113" s="2">
        <f t="shared" si="17"/>
        <v>0.70000000000000018</v>
      </c>
    </row>
    <row r="114" spans="5:20" x14ac:dyDescent="0.25">
      <c r="E114" s="2">
        <f t="shared" si="2"/>
        <v>9.9999999999999645E-2</v>
      </c>
      <c r="F114" s="2" t="str">
        <f t="shared" si="3"/>
        <v>0</v>
      </c>
      <c r="G114" s="2" t="str">
        <f t="shared" si="4"/>
        <v>0</v>
      </c>
      <c r="H114" s="2" t="str">
        <f t="shared" si="5"/>
        <v>0</v>
      </c>
      <c r="I114" s="2" t="str">
        <f t="shared" si="6"/>
        <v>0</v>
      </c>
      <c r="J114" s="2">
        <f t="shared" si="7"/>
        <v>9.9999999999999645E-2</v>
      </c>
      <c r="K114" s="2" t="str">
        <f t="shared" si="8"/>
        <v>0</v>
      </c>
      <c r="L114" s="2" t="str">
        <f t="shared" si="9"/>
        <v>0</v>
      </c>
      <c r="M114" s="2">
        <f t="shared" si="10"/>
        <v>9.9999999999999645E-2</v>
      </c>
      <c r="N114" s="2" t="str">
        <f t="shared" si="11"/>
        <v>0</v>
      </c>
      <c r="O114" s="2">
        <f t="shared" si="12"/>
        <v>9.9999999999999645E-2</v>
      </c>
      <c r="P114" s="2" t="str">
        <f t="shared" si="13"/>
        <v>0</v>
      </c>
      <c r="Q114" s="2" t="str">
        <f t="shared" si="14"/>
        <v>0</v>
      </c>
      <c r="R114" s="2" t="str">
        <f t="shared" si="15"/>
        <v>0</v>
      </c>
      <c r="S114" s="2" t="str">
        <f t="shared" si="16"/>
        <v>0</v>
      </c>
      <c r="T114" s="2">
        <f t="shared" si="17"/>
        <v>9.9999999999999645E-2</v>
      </c>
    </row>
    <row r="115" spans="5:20" x14ac:dyDescent="0.25">
      <c r="E115" s="2">
        <f t="shared" si="2"/>
        <v>0.20000000000000018</v>
      </c>
      <c r="F115" s="2" t="str">
        <f t="shared" si="3"/>
        <v>0</v>
      </c>
      <c r="G115" s="2" t="str">
        <f t="shared" si="4"/>
        <v>0</v>
      </c>
      <c r="H115" s="2" t="str">
        <f t="shared" si="5"/>
        <v>0</v>
      </c>
      <c r="I115" s="2" t="str">
        <f t="shared" si="6"/>
        <v>0</v>
      </c>
      <c r="J115" s="2">
        <f t="shared" si="7"/>
        <v>0.20000000000000018</v>
      </c>
      <c r="K115" s="2" t="str">
        <f t="shared" si="8"/>
        <v>0</v>
      </c>
      <c r="L115" s="2" t="str">
        <f t="shared" si="9"/>
        <v>0</v>
      </c>
      <c r="M115" s="2">
        <f t="shared" si="10"/>
        <v>0.20000000000000018</v>
      </c>
      <c r="N115" s="2" t="str">
        <f t="shared" si="11"/>
        <v>0</v>
      </c>
      <c r="O115" s="2">
        <f t="shared" si="12"/>
        <v>0.20000000000000018</v>
      </c>
      <c r="P115" s="2" t="str">
        <f t="shared" si="13"/>
        <v>0</v>
      </c>
      <c r="Q115" s="2" t="str">
        <f t="shared" si="14"/>
        <v>0</v>
      </c>
      <c r="R115" s="2" t="str">
        <f t="shared" si="15"/>
        <v>0</v>
      </c>
      <c r="S115" s="2" t="str">
        <f t="shared" si="16"/>
        <v>0</v>
      </c>
      <c r="T115" s="2">
        <f t="shared" si="17"/>
        <v>0.20000000000000018</v>
      </c>
    </row>
    <row r="116" spans="5:20" x14ac:dyDescent="0.25">
      <c r="E116" s="2">
        <f t="shared" si="2"/>
        <v>0.10000000000000053</v>
      </c>
      <c r="F116" s="2" t="str">
        <f t="shared" si="3"/>
        <v>0</v>
      </c>
      <c r="G116" s="2" t="str">
        <f t="shared" si="4"/>
        <v>0</v>
      </c>
      <c r="H116" s="2" t="str">
        <f t="shared" si="5"/>
        <v>0</v>
      </c>
      <c r="I116" s="2" t="str">
        <f t="shared" si="6"/>
        <v>0</v>
      </c>
      <c r="J116" s="2">
        <f t="shared" si="7"/>
        <v>0.10000000000000053</v>
      </c>
      <c r="K116" s="2" t="str">
        <f t="shared" si="8"/>
        <v>0</v>
      </c>
      <c r="L116" s="2" t="str">
        <f t="shared" si="9"/>
        <v>0</v>
      </c>
      <c r="M116" s="2">
        <f t="shared" si="10"/>
        <v>0.10000000000000053</v>
      </c>
      <c r="N116" s="2" t="str">
        <f t="shared" si="11"/>
        <v>0</v>
      </c>
      <c r="O116" s="2">
        <f t="shared" si="12"/>
        <v>0.10000000000000053</v>
      </c>
      <c r="P116" s="2" t="str">
        <f t="shared" si="13"/>
        <v>0</v>
      </c>
      <c r="Q116" s="2" t="str">
        <f t="shared" si="14"/>
        <v>0</v>
      </c>
      <c r="R116" s="2" t="str">
        <f t="shared" si="15"/>
        <v>0</v>
      </c>
      <c r="S116" s="2" t="str">
        <f t="shared" si="16"/>
        <v>0</v>
      </c>
      <c r="T116" s="2">
        <f t="shared" si="17"/>
        <v>0.10000000000000053</v>
      </c>
    </row>
    <row r="117" spans="5:20" x14ac:dyDescent="0.25">
      <c r="E117" s="2">
        <f t="shared" si="2"/>
        <v>1.9000000000000004</v>
      </c>
      <c r="F117" s="2" t="str">
        <f t="shared" si="3"/>
        <v>0</v>
      </c>
      <c r="G117" s="2" t="str">
        <f t="shared" si="4"/>
        <v>0</v>
      </c>
      <c r="H117" s="2" t="str">
        <f t="shared" si="5"/>
        <v>0</v>
      </c>
      <c r="I117" s="2" t="str">
        <f t="shared" si="6"/>
        <v>0</v>
      </c>
      <c r="J117" s="2">
        <f t="shared" si="7"/>
        <v>1.9000000000000004</v>
      </c>
      <c r="K117" s="2" t="str">
        <f t="shared" si="8"/>
        <v>0</v>
      </c>
      <c r="L117" s="2" t="str">
        <f t="shared" si="9"/>
        <v>0</v>
      </c>
      <c r="M117" s="2">
        <f t="shared" si="10"/>
        <v>1.9000000000000004</v>
      </c>
      <c r="N117" s="2" t="str">
        <f t="shared" si="11"/>
        <v>0</v>
      </c>
      <c r="O117" s="2">
        <f t="shared" si="12"/>
        <v>1.9000000000000004</v>
      </c>
      <c r="P117" s="2" t="str">
        <f t="shared" si="13"/>
        <v>0</v>
      </c>
      <c r="Q117" s="2" t="str">
        <f t="shared" si="14"/>
        <v>0</v>
      </c>
      <c r="R117" s="2" t="str">
        <f t="shared" si="15"/>
        <v>0</v>
      </c>
      <c r="S117" s="2" t="str">
        <f t="shared" si="16"/>
        <v>0</v>
      </c>
      <c r="T117" s="2">
        <f t="shared" si="17"/>
        <v>1.9000000000000004</v>
      </c>
    </row>
    <row r="118" spans="5:20" x14ac:dyDescent="0.25">
      <c r="E118" s="2">
        <f t="shared" si="2"/>
        <v>9.9999999999999645E-2</v>
      </c>
      <c r="F118" s="2" t="str">
        <f t="shared" si="3"/>
        <v>0</v>
      </c>
      <c r="G118" s="2" t="str">
        <f t="shared" si="4"/>
        <v>0</v>
      </c>
      <c r="H118" s="2" t="str">
        <f t="shared" si="5"/>
        <v>0</v>
      </c>
      <c r="I118" s="2" t="str">
        <f t="shared" si="6"/>
        <v>0</v>
      </c>
      <c r="J118" s="2">
        <f t="shared" si="7"/>
        <v>9.9999999999999645E-2</v>
      </c>
      <c r="K118" s="2" t="str">
        <f t="shared" si="8"/>
        <v>0</v>
      </c>
      <c r="L118" s="2" t="str">
        <f t="shared" si="9"/>
        <v>0</v>
      </c>
      <c r="M118" s="2">
        <f t="shared" si="10"/>
        <v>9.9999999999999645E-2</v>
      </c>
      <c r="N118" s="2" t="str">
        <f t="shared" si="11"/>
        <v>0</v>
      </c>
      <c r="O118" s="2">
        <f t="shared" si="12"/>
        <v>9.9999999999999645E-2</v>
      </c>
      <c r="P118" s="2" t="str">
        <f t="shared" si="13"/>
        <v>0</v>
      </c>
      <c r="Q118" s="2" t="str">
        <f t="shared" si="14"/>
        <v>0</v>
      </c>
      <c r="R118" s="2" t="str">
        <f t="shared" si="15"/>
        <v>0</v>
      </c>
      <c r="S118" s="2" t="str">
        <f t="shared" si="16"/>
        <v>0</v>
      </c>
      <c r="T118" s="2">
        <f t="shared" si="17"/>
        <v>9.9999999999999645E-2</v>
      </c>
    </row>
    <row r="119" spans="5:20" x14ac:dyDescent="0.25">
      <c r="E119" s="2">
        <f t="shared" si="2"/>
        <v>1.2999999999999989</v>
      </c>
      <c r="F119" s="2" t="str">
        <f t="shared" si="3"/>
        <v>0</v>
      </c>
      <c r="G119" s="2" t="str">
        <f t="shared" si="4"/>
        <v>0</v>
      </c>
      <c r="H119" s="2" t="str">
        <f t="shared" si="5"/>
        <v>0</v>
      </c>
      <c r="I119" s="2" t="str">
        <f t="shared" si="6"/>
        <v>0</v>
      </c>
      <c r="J119" s="2">
        <f t="shared" si="7"/>
        <v>1.2999999999999989</v>
      </c>
      <c r="K119" s="2" t="str">
        <f t="shared" si="8"/>
        <v>0</v>
      </c>
      <c r="L119" s="2" t="str">
        <f t="shared" si="9"/>
        <v>0</v>
      </c>
      <c r="M119" s="2">
        <f t="shared" si="10"/>
        <v>1.2999999999999989</v>
      </c>
      <c r="N119" s="2" t="str">
        <f t="shared" si="11"/>
        <v>0</v>
      </c>
      <c r="O119" s="2">
        <f t="shared" si="12"/>
        <v>1.2999999999999989</v>
      </c>
      <c r="P119" s="2" t="str">
        <f t="shared" si="13"/>
        <v>0</v>
      </c>
      <c r="Q119" s="2" t="str">
        <f t="shared" si="14"/>
        <v>0</v>
      </c>
      <c r="R119" s="2" t="str">
        <f t="shared" si="15"/>
        <v>0</v>
      </c>
      <c r="S119" s="2" t="str">
        <f t="shared" si="16"/>
        <v>0</v>
      </c>
      <c r="T119" s="2">
        <f t="shared" si="17"/>
        <v>1.2999999999999989</v>
      </c>
    </row>
    <row r="120" spans="5:20" x14ac:dyDescent="0.25">
      <c r="E120" s="2">
        <f t="shared" si="2"/>
        <v>0.10000000000000142</v>
      </c>
      <c r="F120" s="2" t="str">
        <f t="shared" si="3"/>
        <v>0</v>
      </c>
      <c r="G120" s="2" t="str">
        <f t="shared" si="4"/>
        <v>0</v>
      </c>
      <c r="H120" s="2" t="str">
        <f t="shared" si="5"/>
        <v>0</v>
      </c>
      <c r="I120" s="2" t="str">
        <f t="shared" si="6"/>
        <v>0</v>
      </c>
      <c r="J120" s="2">
        <f t="shared" si="7"/>
        <v>0.10000000000000142</v>
      </c>
      <c r="K120" s="2" t="str">
        <f t="shared" si="8"/>
        <v>0</v>
      </c>
      <c r="L120" s="2" t="str">
        <f t="shared" si="9"/>
        <v>0</v>
      </c>
      <c r="M120" s="2">
        <f t="shared" si="10"/>
        <v>0.10000000000000142</v>
      </c>
      <c r="N120" s="2" t="str">
        <f t="shared" si="11"/>
        <v>0</v>
      </c>
      <c r="O120" s="2">
        <f t="shared" si="12"/>
        <v>0.10000000000000142</v>
      </c>
      <c r="P120" s="2" t="str">
        <f t="shared" si="13"/>
        <v>0</v>
      </c>
      <c r="Q120" s="2" t="str">
        <f t="shared" si="14"/>
        <v>0</v>
      </c>
      <c r="R120" s="2" t="str">
        <f t="shared" si="15"/>
        <v>0</v>
      </c>
      <c r="S120" s="2" t="str">
        <f t="shared" si="16"/>
        <v>0</v>
      </c>
      <c r="T120" s="2">
        <f t="shared" si="17"/>
        <v>0.10000000000000142</v>
      </c>
    </row>
    <row r="121" spans="5:20" x14ac:dyDescent="0.25">
      <c r="E121" s="2">
        <f t="shared" si="2"/>
        <v>0.19999999999999929</v>
      </c>
      <c r="F121" s="2" t="str">
        <f t="shared" si="3"/>
        <v>0</v>
      </c>
      <c r="G121" s="2" t="str">
        <f t="shared" si="4"/>
        <v>0</v>
      </c>
      <c r="H121" s="2" t="str">
        <f t="shared" si="5"/>
        <v>0</v>
      </c>
      <c r="I121" s="2" t="str">
        <f t="shared" si="6"/>
        <v>0</v>
      </c>
      <c r="J121" s="2">
        <f t="shared" si="7"/>
        <v>0.19999999999999929</v>
      </c>
      <c r="K121" s="2" t="str">
        <f t="shared" si="8"/>
        <v>0</v>
      </c>
      <c r="L121" s="2" t="str">
        <f t="shared" si="9"/>
        <v>0</v>
      </c>
      <c r="M121" s="2">
        <f t="shared" si="10"/>
        <v>0.19999999999999929</v>
      </c>
      <c r="N121" s="2" t="str">
        <f t="shared" si="11"/>
        <v>0</v>
      </c>
      <c r="O121" s="2">
        <f t="shared" si="12"/>
        <v>0.19999999999999929</v>
      </c>
      <c r="P121" s="2" t="str">
        <f t="shared" si="13"/>
        <v>0</v>
      </c>
      <c r="Q121" s="2" t="str">
        <f t="shared" si="14"/>
        <v>0</v>
      </c>
      <c r="R121" s="2" t="str">
        <f t="shared" si="15"/>
        <v>0</v>
      </c>
      <c r="S121" s="2" t="str">
        <f t="shared" si="16"/>
        <v>0</v>
      </c>
      <c r="T121" s="2">
        <f t="shared" si="17"/>
        <v>0.19999999999999929</v>
      </c>
    </row>
    <row r="122" spans="5:20" x14ac:dyDescent="0.25">
      <c r="E122" s="2">
        <f t="shared" si="2"/>
        <v>9.9999999999999645E-2</v>
      </c>
      <c r="F122" s="2" t="str">
        <f t="shared" si="3"/>
        <v>0</v>
      </c>
      <c r="G122" s="2" t="str">
        <f t="shared" si="4"/>
        <v>0</v>
      </c>
      <c r="H122" s="2" t="str">
        <f t="shared" si="5"/>
        <v>0</v>
      </c>
      <c r="I122" s="2" t="str">
        <f t="shared" si="6"/>
        <v>0</v>
      </c>
      <c r="J122" s="2">
        <f t="shared" si="7"/>
        <v>9.9999999999999645E-2</v>
      </c>
      <c r="K122" s="2" t="str">
        <f t="shared" si="8"/>
        <v>0</v>
      </c>
      <c r="L122" s="2" t="str">
        <f t="shared" si="9"/>
        <v>0</v>
      </c>
      <c r="M122" s="2">
        <f t="shared" si="10"/>
        <v>9.9999999999999645E-2</v>
      </c>
      <c r="N122" s="2" t="str">
        <f t="shared" si="11"/>
        <v>0</v>
      </c>
      <c r="O122" s="2">
        <f t="shared" si="12"/>
        <v>9.9999999999999645E-2</v>
      </c>
      <c r="P122" s="2" t="str">
        <f t="shared" si="13"/>
        <v>0</v>
      </c>
      <c r="Q122" s="2" t="str">
        <f t="shared" si="14"/>
        <v>0</v>
      </c>
      <c r="R122" s="2" t="str">
        <f t="shared" si="15"/>
        <v>0</v>
      </c>
      <c r="S122" s="2" t="str">
        <f t="shared" si="16"/>
        <v>0</v>
      </c>
      <c r="T122" s="2">
        <f t="shared" si="17"/>
        <v>9.9999999999999645E-2</v>
      </c>
    </row>
    <row r="123" spans="5:20" x14ac:dyDescent="0.25">
      <c r="E123" s="2">
        <f t="shared" ref="E123:E150" si="18">IF(E27="X",(D27-C27),"0")</f>
        <v>9.9999999999999645E-2</v>
      </c>
      <c r="F123" s="2" t="str">
        <f t="shared" ref="F123:F150" si="19">IF(F27="X",(D27-C27),"0")</f>
        <v>0</v>
      </c>
      <c r="G123" s="2" t="str">
        <f t="shared" ref="G123:G150" si="20">IF(G27="X",(D27-C27),"0")</f>
        <v>0</v>
      </c>
      <c r="H123" s="2" t="str">
        <f t="shared" ref="H123:H150" si="21">IF(H27="X",(D27-C27),"0")</f>
        <v>0</v>
      </c>
      <c r="I123" s="2" t="str">
        <f t="shared" ref="I123:I150" si="22">IF(I27="X",(D27-C27),"0")</f>
        <v>0</v>
      </c>
      <c r="J123" s="2">
        <f t="shared" ref="J123:J150" si="23">IF(J27="X",(D27-C27),"0")</f>
        <v>9.9999999999999645E-2</v>
      </c>
      <c r="K123" s="2" t="str">
        <f t="shared" ref="K123:K150" si="24">IF(K27="X",(D27-C27),"0")</f>
        <v>0</v>
      </c>
      <c r="L123" s="2" t="str">
        <f t="shared" ref="L123:L150" si="25">IF(L27="X",(D27-C27),"0")</f>
        <v>0</v>
      </c>
      <c r="M123" s="2">
        <f t="shared" ref="M123:M150" si="26">IF(M27="X",(D27-C27),"0")</f>
        <v>9.9999999999999645E-2</v>
      </c>
      <c r="N123" s="2" t="str">
        <f t="shared" ref="N123:N150" si="27">IF(N27="X",(D27-C27),"0")</f>
        <v>0</v>
      </c>
      <c r="O123" s="2">
        <f t="shared" ref="O123:O150" si="28">IF(O27="X",(D27-C27),"0")</f>
        <v>9.9999999999999645E-2</v>
      </c>
      <c r="P123" s="2" t="str">
        <f t="shared" ref="P123:P150" si="29">IF(P27="X",(D27-C27),"0")</f>
        <v>0</v>
      </c>
      <c r="Q123" s="2" t="str">
        <f t="shared" ref="Q123:Q150" si="30">IF(Q27="X",(D27-C27),"0")</f>
        <v>0</v>
      </c>
      <c r="R123" s="2" t="str">
        <f t="shared" ref="R123:R150" si="31">IF(R27="X",(D27-C27),"0")</f>
        <v>0</v>
      </c>
      <c r="S123" s="2" t="str">
        <f t="shared" ref="S123:S150" si="32">IF(S27="X",(D27-C27),"0")</f>
        <v>0</v>
      </c>
      <c r="T123" s="2">
        <f t="shared" ref="T123:T150" si="33">IF(T27="X",(D27-C27),"0")</f>
        <v>9.9999999999999645E-2</v>
      </c>
    </row>
    <row r="124" spans="5:20" x14ac:dyDescent="0.25">
      <c r="E124" s="2">
        <f t="shared" si="18"/>
        <v>0.10000000000000142</v>
      </c>
      <c r="F124" s="2" t="str">
        <f t="shared" si="19"/>
        <v>0</v>
      </c>
      <c r="G124" s="2" t="str">
        <f t="shared" si="20"/>
        <v>0</v>
      </c>
      <c r="H124" s="2" t="str">
        <f t="shared" si="21"/>
        <v>0</v>
      </c>
      <c r="I124" s="2" t="str">
        <f t="shared" si="22"/>
        <v>0</v>
      </c>
      <c r="J124" s="2">
        <f t="shared" si="23"/>
        <v>0.10000000000000142</v>
      </c>
      <c r="K124" s="2" t="str">
        <f t="shared" si="24"/>
        <v>0</v>
      </c>
      <c r="L124" s="2" t="str">
        <f t="shared" si="25"/>
        <v>0</v>
      </c>
      <c r="M124" s="2">
        <f t="shared" si="26"/>
        <v>0.10000000000000142</v>
      </c>
      <c r="N124" s="2" t="str">
        <f t="shared" si="27"/>
        <v>0</v>
      </c>
      <c r="O124" s="2">
        <f t="shared" si="28"/>
        <v>0.10000000000000142</v>
      </c>
      <c r="P124" s="2" t="str">
        <f t="shared" si="29"/>
        <v>0</v>
      </c>
      <c r="Q124" s="2" t="str">
        <f t="shared" si="30"/>
        <v>0</v>
      </c>
      <c r="R124" s="2" t="str">
        <f t="shared" si="31"/>
        <v>0</v>
      </c>
      <c r="S124" s="2" t="str">
        <f t="shared" si="32"/>
        <v>0</v>
      </c>
      <c r="T124" s="2">
        <f t="shared" si="33"/>
        <v>0.10000000000000142</v>
      </c>
    </row>
    <row r="125" spans="5:20" x14ac:dyDescent="0.25">
      <c r="E125" s="2">
        <f t="shared" si="18"/>
        <v>1.8999999999999986</v>
      </c>
      <c r="F125" s="2" t="str">
        <f t="shared" si="19"/>
        <v>0</v>
      </c>
      <c r="G125" s="2" t="str">
        <f t="shared" si="20"/>
        <v>0</v>
      </c>
      <c r="H125" s="2" t="str">
        <f t="shared" si="21"/>
        <v>0</v>
      </c>
      <c r="I125" s="2" t="str">
        <f t="shared" si="22"/>
        <v>0</v>
      </c>
      <c r="J125" s="2">
        <f t="shared" si="23"/>
        <v>1.8999999999999986</v>
      </c>
      <c r="K125" s="2" t="str">
        <f t="shared" si="24"/>
        <v>0</v>
      </c>
      <c r="L125" s="2" t="str">
        <f t="shared" si="25"/>
        <v>0</v>
      </c>
      <c r="M125" s="2">
        <f t="shared" si="26"/>
        <v>1.8999999999999986</v>
      </c>
      <c r="N125" s="2" t="str">
        <f t="shared" si="27"/>
        <v>0</v>
      </c>
      <c r="O125" s="2">
        <f t="shared" si="28"/>
        <v>1.8999999999999986</v>
      </c>
      <c r="P125" s="2" t="str">
        <f t="shared" si="29"/>
        <v>0</v>
      </c>
      <c r="Q125" s="2" t="str">
        <f t="shared" si="30"/>
        <v>0</v>
      </c>
      <c r="R125" s="2" t="str">
        <f t="shared" si="31"/>
        <v>0</v>
      </c>
      <c r="S125" s="2" t="str">
        <f t="shared" si="32"/>
        <v>0</v>
      </c>
      <c r="T125" s="2">
        <f t="shared" si="33"/>
        <v>1.8999999999999986</v>
      </c>
    </row>
    <row r="126" spans="5:20" x14ac:dyDescent="0.25">
      <c r="E126" s="2">
        <f t="shared" si="18"/>
        <v>0.10000000000000142</v>
      </c>
      <c r="F126" s="2" t="str">
        <f t="shared" si="19"/>
        <v>0</v>
      </c>
      <c r="G126" s="2" t="str">
        <f t="shared" si="20"/>
        <v>0</v>
      </c>
      <c r="H126" s="2" t="str">
        <f t="shared" si="21"/>
        <v>0</v>
      </c>
      <c r="I126" s="2" t="str">
        <f t="shared" si="22"/>
        <v>0</v>
      </c>
      <c r="J126" s="2">
        <f t="shared" si="23"/>
        <v>0.10000000000000142</v>
      </c>
      <c r="K126" s="2" t="str">
        <f t="shared" si="24"/>
        <v>0</v>
      </c>
      <c r="L126" s="2" t="str">
        <f t="shared" si="25"/>
        <v>0</v>
      </c>
      <c r="M126" s="2">
        <f t="shared" si="26"/>
        <v>0.10000000000000142</v>
      </c>
      <c r="N126" s="2" t="str">
        <f t="shared" si="27"/>
        <v>0</v>
      </c>
      <c r="O126" s="2">
        <f t="shared" si="28"/>
        <v>0.10000000000000142</v>
      </c>
      <c r="P126" s="2" t="str">
        <f t="shared" si="29"/>
        <v>0</v>
      </c>
      <c r="Q126" s="2" t="str">
        <f t="shared" si="30"/>
        <v>0</v>
      </c>
      <c r="R126" s="2" t="str">
        <f t="shared" si="31"/>
        <v>0</v>
      </c>
      <c r="S126" s="2" t="str">
        <f t="shared" si="32"/>
        <v>0</v>
      </c>
      <c r="T126" s="2">
        <f t="shared" si="33"/>
        <v>0.10000000000000142</v>
      </c>
    </row>
    <row r="127" spans="5:20" x14ac:dyDescent="0.25">
      <c r="E127" s="2">
        <f t="shared" si="18"/>
        <v>0.39999999999999858</v>
      </c>
      <c r="F127" s="2" t="str">
        <f t="shared" si="19"/>
        <v>0</v>
      </c>
      <c r="G127" s="2" t="str">
        <f t="shared" si="20"/>
        <v>0</v>
      </c>
      <c r="H127" s="2" t="str">
        <f t="shared" si="21"/>
        <v>0</v>
      </c>
      <c r="I127" s="2" t="str">
        <f t="shared" si="22"/>
        <v>0</v>
      </c>
      <c r="J127" s="2">
        <f t="shared" si="23"/>
        <v>0.39999999999999858</v>
      </c>
      <c r="K127" s="2" t="str">
        <f t="shared" si="24"/>
        <v>0</v>
      </c>
      <c r="L127" s="2" t="str">
        <f t="shared" si="25"/>
        <v>0</v>
      </c>
      <c r="M127" s="2">
        <f t="shared" si="26"/>
        <v>0.39999999999999858</v>
      </c>
      <c r="N127" s="2" t="str">
        <f t="shared" si="27"/>
        <v>0</v>
      </c>
      <c r="O127" s="2">
        <f t="shared" si="28"/>
        <v>0.39999999999999858</v>
      </c>
      <c r="P127" s="2" t="str">
        <f t="shared" si="29"/>
        <v>0</v>
      </c>
      <c r="Q127" s="2" t="str">
        <f t="shared" si="30"/>
        <v>0</v>
      </c>
      <c r="R127" s="2" t="str">
        <f t="shared" si="31"/>
        <v>0</v>
      </c>
      <c r="S127" s="2" t="str">
        <f t="shared" si="32"/>
        <v>0</v>
      </c>
      <c r="T127" s="2">
        <f t="shared" si="33"/>
        <v>0.39999999999999858</v>
      </c>
    </row>
    <row r="128" spans="5:20" x14ac:dyDescent="0.25">
      <c r="E128" s="2">
        <f t="shared" si="18"/>
        <v>0.10000000000000142</v>
      </c>
      <c r="F128" s="2" t="str">
        <f t="shared" si="19"/>
        <v>0</v>
      </c>
      <c r="G128" s="2" t="str">
        <f t="shared" si="20"/>
        <v>0</v>
      </c>
      <c r="H128" s="2" t="str">
        <f t="shared" si="21"/>
        <v>0</v>
      </c>
      <c r="I128" s="2" t="str">
        <f t="shared" si="22"/>
        <v>0</v>
      </c>
      <c r="J128" s="2">
        <f t="shared" si="23"/>
        <v>0.10000000000000142</v>
      </c>
      <c r="K128" s="2" t="str">
        <f t="shared" si="24"/>
        <v>0</v>
      </c>
      <c r="L128" s="2" t="str">
        <f t="shared" si="25"/>
        <v>0</v>
      </c>
      <c r="M128" s="2">
        <f t="shared" si="26"/>
        <v>0.10000000000000142</v>
      </c>
      <c r="N128" s="2" t="str">
        <f t="shared" si="27"/>
        <v>0</v>
      </c>
      <c r="O128" s="2">
        <f t="shared" si="28"/>
        <v>0.10000000000000142</v>
      </c>
      <c r="P128" s="2" t="str">
        <f t="shared" si="29"/>
        <v>0</v>
      </c>
      <c r="Q128" s="2" t="str">
        <f t="shared" si="30"/>
        <v>0</v>
      </c>
      <c r="R128" s="2" t="str">
        <f t="shared" si="31"/>
        <v>0</v>
      </c>
      <c r="S128" s="2" t="str">
        <f t="shared" si="32"/>
        <v>0</v>
      </c>
      <c r="T128" s="2">
        <f t="shared" si="33"/>
        <v>0.10000000000000142</v>
      </c>
    </row>
    <row r="129" spans="5:20" x14ac:dyDescent="0.25">
      <c r="E129" s="2">
        <f t="shared" si="18"/>
        <v>0.19999999999999929</v>
      </c>
      <c r="F129" s="2" t="str">
        <f t="shared" si="19"/>
        <v>0</v>
      </c>
      <c r="G129" s="2" t="str">
        <f t="shared" si="20"/>
        <v>0</v>
      </c>
      <c r="H129" s="2" t="str">
        <f t="shared" si="21"/>
        <v>0</v>
      </c>
      <c r="I129" s="2" t="str">
        <f t="shared" si="22"/>
        <v>0</v>
      </c>
      <c r="J129" s="2">
        <f t="shared" si="23"/>
        <v>0.19999999999999929</v>
      </c>
      <c r="K129" s="2" t="str">
        <f t="shared" si="24"/>
        <v>0</v>
      </c>
      <c r="L129" s="2" t="str">
        <f t="shared" si="25"/>
        <v>0</v>
      </c>
      <c r="M129" s="2">
        <f t="shared" si="26"/>
        <v>0.19999999999999929</v>
      </c>
      <c r="N129" s="2" t="str">
        <f t="shared" si="27"/>
        <v>0</v>
      </c>
      <c r="O129" s="2">
        <f t="shared" si="28"/>
        <v>0.19999999999999929</v>
      </c>
      <c r="P129" s="2" t="str">
        <f t="shared" si="29"/>
        <v>0</v>
      </c>
      <c r="Q129" s="2" t="str">
        <f t="shared" si="30"/>
        <v>0</v>
      </c>
      <c r="R129" s="2" t="str">
        <f t="shared" si="31"/>
        <v>0</v>
      </c>
      <c r="S129" s="2" t="str">
        <f t="shared" si="32"/>
        <v>0</v>
      </c>
      <c r="T129" s="2">
        <f t="shared" si="33"/>
        <v>0.19999999999999929</v>
      </c>
    </row>
    <row r="130" spans="5:20" x14ac:dyDescent="0.25">
      <c r="E130" s="2">
        <f t="shared" si="18"/>
        <v>9.9999999999999645E-2</v>
      </c>
      <c r="F130" s="2" t="str">
        <f t="shared" si="19"/>
        <v>0</v>
      </c>
      <c r="G130" s="2" t="str">
        <f t="shared" si="20"/>
        <v>0</v>
      </c>
      <c r="H130" s="2" t="str">
        <f t="shared" si="21"/>
        <v>0</v>
      </c>
      <c r="I130" s="2" t="str">
        <f t="shared" si="22"/>
        <v>0</v>
      </c>
      <c r="J130" s="2">
        <f t="shared" si="23"/>
        <v>9.9999999999999645E-2</v>
      </c>
      <c r="K130" s="2" t="str">
        <f t="shared" si="24"/>
        <v>0</v>
      </c>
      <c r="L130" s="2" t="str">
        <f t="shared" si="25"/>
        <v>0</v>
      </c>
      <c r="M130" s="2">
        <f t="shared" si="26"/>
        <v>9.9999999999999645E-2</v>
      </c>
      <c r="N130" s="2" t="str">
        <f t="shared" si="27"/>
        <v>0</v>
      </c>
      <c r="O130" s="2">
        <f t="shared" si="28"/>
        <v>9.9999999999999645E-2</v>
      </c>
      <c r="P130" s="2" t="str">
        <f t="shared" si="29"/>
        <v>0</v>
      </c>
      <c r="Q130" s="2" t="str">
        <f t="shared" si="30"/>
        <v>0</v>
      </c>
      <c r="R130" s="2" t="str">
        <f t="shared" si="31"/>
        <v>0</v>
      </c>
      <c r="S130" s="2" t="str">
        <f t="shared" si="32"/>
        <v>0</v>
      </c>
      <c r="T130" s="2">
        <f t="shared" si="33"/>
        <v>9.9999999999999645E-2</v>
      </c>
    </row>
    <row r="131" spans="5:20" x14ac:dyDescent="0.25">
      <c r="E131" s="2">
        <f t="shared" si="18"/>
        <v>6.7000000000000011</v>
      </c>
      <c r="F131" s="2" t="str">
        <f t="shared" si="19"/>
        <v>0</v>
      </c>
      <c r="G131" s="2" t="str">
        <f t="shared" si="20"/>
        <v>0</v>
      </c>
      <c r="H131" s="2" t="str">
        <f t="shared" si="21"/>
        <v>0</v>
      </c>
      <c r="I131" s="2" t="str">
        <f t="shared" si="22"/>
        <v>0</v>
      </c>
      <c r="J131" s="2">
        <f t="shared" si="23"/>
        <v>6.7000000000000011</v>
      </c>
      <c r="K131" s="2" t="str">
        <f t="shared" si="24"/>
        <v>0</v>
      </c>
      <c r="L131" s="2" t="str">
        <f t="shared" si="25"/>
        <v>0</v>
      </c>
      <c r="M131" s="2">
        <f t="shared" si="26"/>
        <v>6.7000000000000011</v>
      </c>
      <c r="N131" s="2" t="str">
        <f t="shared" si="27"/>
        <v>0</v>
      </c>
      <c r="O131" s="2">
        <f t="shared" si="28"/>
        <v>6.7000000000000011</v>
      </c>
      <c r="P131" s="2" t="str">
        <f t="shared" si="29"/>
        <v>0</v>
      </c>
      <c r="Q131" s="2" t="str">
        <f t="shared" si="30"/>
        <v>0</v>
      </c>
      <c r="R131" s="2" t="str">
        <f t="shared" si="31"/>
        <v>0</v>
      </c>
      <c r="S131" s="2" t="str">
        <f t="shared" si="32"/>
        <v>0</v>
      </c>
      <c r="T131" s="2">
        <f t="shared" si="33"/>
        <v>6.7000000000000011</v>
      </c>
    </row>
    <row r="132" spans="5:20" x14ac:dyDescent="0.25">
      <c r="E132" s="2">
        <f t="shared" si="18"/>
        <v>9.9999999999997868E-2</v>
      </c>
      <c r="F132" s="2" t="str">
        <f t="shared" si="19"/>
        <v>0</v>
      </c>
      <c r="G132" s="2" t="str">
        <f t="shared" si="20"/>
        <v>0</v>
      </c>
      <c r="H132" s="2" t="str">
        <f t="shared" si="21"/>
        <v>0</v>
      </c>
      <c r="I132" s="2" t="str">
        <f t="shared" si="22"/>
        <v>0</v>
      </c>
      <c r="J132" s="2">
        <f t="shared" si="23"/>
        <v>9.9999999999997868E-2</v>
      </c>
      <c r="K132" s="2" t="str">
        <f t="shared" si="24"/>
        <v>0</v>
      </c>
      <c r="L132" s="2" t="str">
        <f t="shared" si="25"/>
        <v>0</v>
      </c>
      <c r="M132" s="2">
        <f t="shared" si="26"/>
        <v>9.9999999999997868E-2</v>
      </c>
      <c r="N132" s="2" t="str">
        <f t="shared" si="27"/>
        <v>0</v>
      </c>
      <c r="O132" s="2">
        <f t="shared" si="28"/>
        <v>9.9999999999997868E-2</v>
      </c>
      <c r="P132" s="2" t="str">
        <f t="shared" si="29"/>
        <v>0</v>
      </c>
      <c r="Q132" s="2" t="str">
        <f t="shared" si="30"/>
        <v>0</v>
      </c>
      <c r="R132" s="2" t="str">
        <f t="shared" si="31"/>
        <v>0</v>
      </c>
      <c r="S132" s="2">
        <f t="shared" si="32"/>
        <v>9.9999999999997868E-2</v>
      </c>
      <c r="T132" s="2" t="str">
        <f t="shared" si="33"/>
        <v>0</v>
      </c>
    </row>
    <row r="133" spans="5:20" x14ac:dyDescent="0.25">
      <c r="E133" s="2">
        <f t="shared" si="18"/>
        <v>3.1000000000000014</v>
      </c>
      <c r="F133" s="2" t="str">
        <f t="shared" si="19"/>
        <v>0</v>
      </c>
      <c r="G133" s="2" t="str">
        <f t="shared" si="20"/>
        <v>0</v>
      </c>
      <c r="H133" s="2" t="str">
        <f t="shared" si="21"/>
        <v>0</v>
      </c>
      <c r="I133" s="2" t="str">
        <f t="shared" si="22"/>
        <v>0</v>
      </c>
      <c r="J133" s="2">
        <f t="shared" si="23"/>
        <v>3.1000000000000014</v>
      </c>
      <c r="K133" s="2" t="str">
        <f t="shared" si="24"/>
        <v>0</v>
      </c>
      <c r="L133" s="2" t="str">
        <f t="shared" si="25"/>
        <v>0</v>
      </c>
      <c r="M133" s="2">
        <f t="shared" si="26"/>
        <v>3.1000000000000014</v>
      </c>
      <c r="N133" s="2" t="str">
        <f t="shared" si="27"/>
        <v>0</v>
      </c>
      <c r="O133" s="2">
        <f t="shared" si="28"/>
        <v>3.1000000000000014</v>
      </c>
      <c r="P133" s="2" t="str">
        <f t="shared" si="29"/>
        <v>0</v>
      </c>
      <c r="Q133" s="2" t="str">
        <f t="shared" si="30"/>
        <v>0</v>
      </c>
      <c r="R133" s="2" t="str">
        <f t="shared" si="31"/>
        <v>0</v>
      </c>
      <c r="S133" s="2" t="str">
        <f t="shared" si="32"/>
        <v>0</v>
      </c>
      <c r="T133" s="2">
        <f t="shared" si="33"/>
        <v>3.1000000000000014</v>
      </c>
    </row>
    <row r="134" spans="5:20" x14ac:dyDescent="0.25">
      <c r="E134" s="2">
        <f t="shared" si="18"/>
        <v>0.10000000000000142</v>
      </c>
      <c r="F134" s="2" t="str">
        <f t="shared" si="19"/>
        <v>0</v>
      </c>
      <c r="G134" s="2" t="str">
        <f t="shared" si="20"/>
        <v>0</v>
      </c>
      <c r="H134" s="2" t="str">
        <f t="shared" si="21"/>
        <v>0</v>
      </c>
      <c r="I134" s="2" t="str">
        <f t="shared" si="22"/>
        <v>0</v>
      </c>
      <c r="J134" s="2">
        <f t="shared" si="23"/>
        <v>0.10000000000000142</v>
      </c>
      <c r="K134" s="2" t="str">
        <f t="shared" si="24"/>
        <v>0</v>
      </c>
      <c r="L134" s="2" t="str">
        <f t="shared" si="25"/>
        <v>0</v>
      </c>
      <c r="M134" s="2">
        <f t="shared" si="26"/>
        <v>0.10000000000000142</v>
      </c>
      <c r="N134" s="2" t="str">
        <f t="shared" si="27"/>
        <v>0</v>
      </c>
      <c r="O134" s="2">
        <f t="shared" si="28"/>
        <v>0.10000000000000142</v>
      </c>
      <c r="P134" s="2" t="str">
        <f t="shared" si="29"/>
        <v>0</v>
      </c>
      <c r="Q134" s="2" t="str">
        <f t="shared" si="30"/>
        <v>0</v>
      </c>
      <c r="R134" s="2" t="str">
        <f t="shared" si="31"/>
        <v>0</v>
      </c>
      <c r="S134" s="2" t="str">
        <f t="shared" si="32"/>
        <v>0</v>
      </c>
      <c r="T134" s="2">
        <f t="shared" si="33"/>
        <v>0.10000000000000142</v>
      </c>
    </row>
    <row r="135" spans="5:20" x14ac:dyDescent="0.25">
      <c r="E135" s="2">
        <f t="shared" si="18"/>
        <v>0.59999999999999787</v>
      </c>
      <c r="F135" s="2" t="str">
        <f t="shared" si="19"/>
        <v>0</v>
      </c>
      <c r="G135" s="2" t="str">
        <f t="shared" si="20"/>
        <v>0</v>
      </c>
      <c r="H135" s="2" t="str">
        <f t="shared" si="21"/>
        <v>0</v>
      </c>
      <c r="I135" s="2" t="str">
        <f t="shared" si="22"/>
        <v>0</v>
      </c>
      <c r="J135" s="2">
        <f t="shared" si="23"/>
        <v>0.59999999999999787</v>
      </c>
      <c r="K135" s="2" t="str">
        <f t="shared" si="24"/>
        <v>0</v>
      </c>
      <c r="L135" s="2" t="str">
        <f t="shared" si="25"/>
        <v>0</v>
      </c>
      <c r="M135" s="2">
        <f t="shared" si="26"/>
        <v>0.59999999999999787</v>
      </c>
      <c r="N135" s="2" t="str">
        <f t="shared" si="27"/>
        <v>0</v>
      </c>
      <c r="O135" s="2">
        <f t="shared" si="28"/>
        <v>0.59999999999999787</v>
      </c>
      <c r="P135" s="2" t="str">
        <f t="shared" si="29"/>
        <v>0</v>
      </c>
      <c r="Q135" s="2" t="str">
        <f t="shared" si="30"/>
        <v>0</v>
      </c>
      <c r="R135" s="2" t="str">
        <f t="shared" si="31"/>
        <v>0</v>
      </c>
      <c r="S135" s="2" t="str">
        <f t="shared" si="32"/>
        <v>0</v>
      </c>
      <c r="T135" s="2">
        <f t="shared" si="33"/>
        <v>0.59999999999999787</v>
      </c>
    </row>
    <row r="136" spans="5:20" x14ac:dyDescent="0.25">
      <c r="E136" s="2">
        <f t="shared" si="18"/>
        <v>0.10000000000000142</v>
      </c>
      <c r="F136" s="2" t="str">
        <f t="shared" si="19"/>
        <v>0</v>
      </c>
      <c r="G136" s="2" t="str">
        <f t="shared" si="20"/>
        <v>0</v>
      </c>
      <c r="H136" s="2" t="str">
        <f t="shared" si="21"/>
        <v>0</v>
      </c>
      <c r="I136" s="2" t="str">
        <f t="shared" si="22"/>
        <v>0</v>
      </c>
      <c r="J136" s="2">
        <f t="shared" si="23"/>
        <v>0.10000000000000142</v>
      </c>
      <c r="K136" s="2" t="str">
        <f t="shared" si="24"/>
        <v>0</v>
      </c>
      <c r="L136" s="2" t="str">
        <f t="shared" si="25"/>
        <v>0</v>
      </c>
      <c r="M136" s="2">
        <f t="shared" si="26"/>
        <v>0.10000000000000142</v>
      </c>
      <c r="N136" s="2" t="str">
        <f t="shared" si="27"/>
        <v>0</v>
      </c>
      <c r="O136" s="2">
        <f t="shared" si="28"/>
        <v>0.10000000000000142</v>
      </c>
      <c r="P136" s="2" t="str">
        <f t="shared" si="29"/>
        <v>0</v>
      </c>
      <c r="Q136" s="2" t="str">
        <f t="shared" si="30"/>
        <v>0</v>
      </c>
      <c r="R136" s="2" t="str">
        <f t="shared" si="31"/>
        <v>0</v>
      </c>
      <c r="S136" s="2" t="str">
        <f t="shared" si="32"/>
        <v>0</v>
      </c>
      <c r="T136" s="2">
        <f t="shared" si="33"/>
        <v>0.10000000000000142</v>
      </c>
    </row>
    <row r="137" spans="5:20" x14ac:dyDescent="0.25">
      <c r="E137" s="2">
        <f t="shared" si="18"/>
        <v>0.30000000000000071</v>
      </c>
      <c r="F137" s="2" t="str">
        <f t="shared" si="19"/>
        <v>0</v>
      </c>
      <c r="G137" s="2" t="str">
        <f t="shared" si="20"/>
        <v>0</v>
      </c>
      <c r="H137" s="2" t="str">
        <f t="shared" si="21"/>
        <v>0</v>
      </c>
      <c r="I137" s="2" t="str">
        <f t="shared" si="22"/>
        <v>0</v>
      </c>
      <c r="J137" s="2">
        <f t="shared" si="23"/>
        <v>0.30000000000000071</v>
      </c>
      <c r="K137" s="2" t="str">
        <f t="shared" si="24"/>
        <v>0</v>
      </c>
      <c r="L137" s="2" t="str">
        <f t="shared" si="25"/>
        <v>0</v>
      </c>
      <c r="M137" s="2">
        <f t="shared" si="26"/>
        <v>0.30000000000000071</v>
      </c>
      <c r="N137" s="2" t="str">
        <f t="shared" si="27"/>
        <v>0</v>
      </c>
      <c r="O137" s="2">
        <f t="shared" si="28"/>
        <v>0.30000000000000071</v>
      </c>
      <c r="P137" s="2" t="str">
        <f t="shared" si="29"/>
        <v>0</v>
      </c>
      <c r="Q137" s="2" t="str">
        <f t="shared" si="30"/>
        <v>0</v>
      </c>
      <c r="R137" s="2" t="str">
        <f t="shared" si="31"/>
        <v>0</v>
      </c>
      <c r="S137" s="2" t="str">
        <f t="shared" si="32"/>
        <v>0</v>
      </c>
      <c r="T137" s="2">
        <f t="shared" si="33"/>
        <v>0.30000000000000071</v>
      </c>
    </row>
    <row r="138" spans="5:20" x14ac:dyDescent="0.25">
      <c r="E138" s="2">
        <f t="shared" si="18"/>
        <v>9.9999999999997868E-2</v>
      </c>
      <c r="F138" s="2" t="str">
        <f t="shared" si="19"/>
        <v>0</v>
      </c>
      <c r="G138" s="2" t="str">
        <f t="shared" si="20"/>
        <v>0</v>
      </c>
      <c r="H138" s="2" t="str">
        <f t="shared" si="21"/>
        <v>0</v>
      </c>
      <c r="I138" s="2" t="str">
        <f t="shared" si="22"/>
        <v>0</v>
      </c>
      <c r="J138" s="2">
        <f t="shared" si="23"/>
        <v>9.9999999999997868E-2</v>
      </c>
      <c r="K138" s="2" t="str">
        <f t="shared" si="24"/>
        <v>0</v>
      </c>
      <c r="L138" s="2" t="str">
        <f t="shared" si="25"/>
        <v>0</v>
      </c>
      <c r="M138" s="2">
        <f t="shared" si="26"/>
        <v>9.9999999999997868E-2</v>
      </c>
      <c r="N138" s="2" t="str">
        <f t="shared" si="27"/>
        <v>0</v>
      </c>
      <c r="O138" s="2">
        <f t="shared" si="28"/>
        <v>9.9999999999997868E-2</v>
      </c>
      <c r="P138" s="2" t="str">
        <f t="shared" si="29"/>
        <v>0</v>
      </c>
      <c r="Q138" s="2" t="str">
        <f t="shared" si="30"/>
        <v>0</v>
      </c>
      <c r="R138" s="2" t="str">
        <f t="shared" si="31"/>
        <v>0</v>
      </c>
      <c r="S138" s="2">
        <f t="shared" si="32"/>
        <v>9.9999999999997868E-2</v>
      </c>
      <c r="T138" s="2" t="str">
        <f t="shared" si="33"/>
        <v>0</v>
      </c>
    </row>
    <row r="139" spans="5:20" x14ac:dyDescent="0.25">
      <c r="E139" s="2">
        <f t="shared" si="18"/>
        <v>2.6999999999999993</v>
      </c>
      <c r="F139" s="2" t="str">
        <f t="shared" si="19"/>
        <v>0</v>
      </c>
      <c r="G139" s="2" t="str">
        <f t="shared" si="20"/>
        <v>0</v>
      </c>
      <c r="H139" s="2" t="str">
        <f t="shared" si="21"/>
        <v>0</v>
      </c>
      <c r="I139" s="2" t="str">
        <f t="shared" si="22"/>
        <v>0</v>
      </c>
      <c r="J139" s="2">
        <f t="shared" si="23"/>
        <v>2.6999999999999993</v>
      </c>
      <c r="K139" s="2" t="str">
        <f t="shared" si="24"/>
        <v>0</v>
      </c>
      <c r="L139" s="2" t="str">
        <f t="shared" si="25"/>
        <v>0</v>
      </c>
      <c r="M139" s="2">
        <f t="shared" si="26"/>
        <v>2.6999999999999993</v>
      </c>
      <c r="N139" s="2" t="str">
        <f t="shared" si="27"/>
        <v>0</v>
      </c>
      <c r="O139" s="2">
        <f t="shared" si="28"/>
        <v>2.6999999999999993</v>
      </c>
      <c r="P139" s="2" t="str">
        <f t="shared" si="29"/>
        <v>0</v>
      </c>
      <c r="Q139" s="2" t="str">
        <f t="shared" si="30"/>
        <v>0</v>
      </c>
      <c r="R139" s="2" t="str">
        <f t="shared" si="31"/>
        <v>0</v>
      </c>
      <c r="S139" s="2" t="str">
        <f t="shared" si="32"/>
        <v>0</v>
      </c>
      <c r="T139" s="2">
        <f t="shared" si="33"/>
        <v>2.6999999999999993</v>
      </c>
    </row>
    <row r="140" spans="5:20" x14ac:dyDescent="0.25">
      <c r="E140" s="2">
        <f t="shared" si="18"/>
        <v>0.10000000000000142</v>
      </c>
      <c r="F140" s="2" t="str">
        <f t="shared" si="19"/>
        <v>0</v>
      </c>
      <c r="G140" s="2" t="str">
        <f t="shared" si="20"/>
        <v>0</v>
      </c>
      <c r="H140" s="2" t="str">
        <f t="shared" si="21"/>
        <v>0</v>
      </c>
      <c r="I140" s="2" t="str">
        <f t="shared" si="22"/>
        <v>0</v>
      </c>
      <c r="J140" s="2">
        <f t="shared" si="23"/>
        <v>0.10000000000000142</v>
      </c>
      <c r="K140" s="2" t="str">
        <f t="shared" si="24"/>
        <v>0</v>
      </c>
      <c r="L140" s="2" t="str">
        <f t="shared" si="25"/>
        <v>0</v>
      </c>
      <c r="M140" s="2">
        <f t="shared" si="26"/>
        <v>0.10000000000000142</v>
      </c>
      <c r="N140" s="2" t="str">
        <f t="shared" si="27"/>
        <v>0</v>
      </c>
      <c r="O140" s="2">
        <f t="shared" si="28"/>
        <v>0.10000000000000142</v>
      </c>
      <c r="P140" s="2" t="str">
        <f t="shared" si="29"/>
        <v>0</v>
      </c>
      <c r="Q140" s="2" t="str">
        <f t="shared" si="30"/>
        <v>0</v>
      </c>
      <c r="R140" s="2" t="str">
        <f t="shared" si="31"/>
        <v>0</v>
      </c>
      <c r="S140" s="2" t="str">
        <f t="shared" si="32"/>
        <v>0</v>
      </c>
      <c r="T140" s="2">
        <f t="shared" si="33"/>
        <v>0.10000000000000142</v>
      </c>
    </row>
    <row r="141" spans="5:20" x14ac:dyDescent="0.25">
      <c r="E141" s="2">
        <f t="shared" si="18"/>
        <v>0.60000000000000142</v>
      </c>
      <c r="F141" s="2" t="str">
        <f t="shared" si="19"/>
        <v>0</v>
      </c>
      <c r="G141" s="2" t="str">
        <f t="shared" si="20"/>
        <v>0</v>
      </c>
      <c r="H141" s="2" t="str">
        <f t="shared" si="21"/>
        <v>0</v>
      </c>
      <c r="I141" s="2" t="str">
        <f t="shared" si="22"/>
        <v>0</v>
      </c>
      <c r="J141" s="2">
        <f t="shared" si="23"/>
        <v>0.60000000000000142</v>
      </c>
      <c r="K141" s="2" t="str">
        <f t="shared" si="24"/>
        <v>0</v>
      </c>
      <c r="L141" s="2" t="str">
        <f t="shared" si="25"/>
        <v>0</v>
      </c>
      <c r="M141" s="2">
        <f t="shared" si="26"/>
        <v>0.60000000000000142</v>
      </c>
      <c r="N141" s="2" t="str">
        <f t="shared" si="27"/>
        <v>0</v>
      </c>
      <c r="O141" s="2">
        <f t="shared" si="28"/>
        <v>0.60000000000000142</v>
      </c>
      <c r="P141" s="2" t="str">
        <f t="shared" si="29"/>
        <v>0</v>
      </c>
      <c r="Q141" s="2" t="str">
        <f t="shared" si="30"/>
        <v>0</v>
      </c>
      <c r="R141" s="2" t="str">
        <f t="shared" si="31"/>
        <v>0</v>
      </c>
      <c r="S141" s="2" t="str">
        <f t="shared" si="32"/>
        <v>0</v>
      </c>
      <c r="T141" s="2">
        <f t="shared" si="33"/>
        <v>0.60000000000000142</v>
      </c>
    </row>
    <row r="142" spans="5:20" x14ac:dyDescent="0.25">
      <c r="E142" s="2">
        <f t="shared" si="18"/>
        <v>9.9999999999997868E-2</v>
      </c>
      <c r="F142" s="2" t="str">
        <f t="shared" si="19"/>
        <v>0</v>
      </c>
      <c r="G142" s="2" t="str">
        <f t="shared" si="20"/>
        <v>0</v>
      </c>
      <c r="H142" s="2" t="str">
        <f t="shared" si="21"/>
        <v>0</v>
      </c>
      <c r="I142" s="2" t="str">
        <f t="shared" si="22"/>
        <v>0</v>
      </c>
      <c r="J142" s="2">
        <f t="shared" si="23"/>
        <v>9.9999999999997868E-2</v>
      </c>
      <c r="K142" s="2" t="str">
        <f t="shared" si="24"/>
        <v>0</v>
      </c>
      <c r="L142" s="2" t="str">
        <f t="shared" si="25"/>
        <v>0</v>
      </c>
      <c r="M142" s="2">
        <f t="shared" si="26"/>
        <v>9.9999999999997868E-2</v>
      </c>
      <c r="N142" s="2" t="str">
        <f t="shared" si="27"/>
        <v>0</v>
      </c>
      <c r="O142" s="2">
        <f t="shared" si="28"/>
        <v>9.9999999999997868E-2</v>
      </c>
      <c r="P142" s="2" t="str">
        <f t="shared" si="29"/>
        <v>0</v>
      </c>
      <c r="Q142" s="2" t="str">
        <f t="shared" si="30"/>
        <v>0</v>
      </c>
      <c r="R142" s="2" t="str">
        <f t="shared" si="31"/>
        <v>0</v>
      </c>
      <c r="S142" s="2" t="str">
        <f t="shared" si="32"/>
        <v>0</v>
      </c>
      <c r="T142" s="2">
        <f t="shared" si="33"/>
        <v>9.9999999999997868E-2</v>
      </c>
    </row>
    <row r="143" spans="5:20" x14ac:dyDescent="0.25">
      <c r="E143" s="2">
        <f t="shared" si="18"/>
        <v>0.69999999999999929</v>
      </c>
      <c r="F143" s="2" t="str">
        <f t="shared" si="19"/>
        <v>0</v>
      </c>
      <c r="G143" s="2" t="str">
        <f t="shared" si="20"/>
        <v>0</v>
      </c>
      <c r="H143" s="2" t="str">
        <f t="shared" si="21"/>
        <v>0</v>
      </c>
      <c r="I143" s="2" t="str">
        <f t="shared" si="22"/>
        <v>0</v>
      </c>
      <c r="J143" s="2">
        <f t="shared" si="23"/>
        <v>0.69999999999999929</v>
      </c>
      <c r="K143" s="2" t="str">
        <f t="shared" si="24"/>
        <v>0</v>
      </c>
      <c r="L143" s="2" t="str">
        <f t="shared" si="25"/>
        <v>0</v>
      </c>
      <c r="M143" s="2">
        <f t="shared" si="26"/>
        <v>0.69999999999999929</v>
      </c>
      <c r="N143" s="2" t="str">
        <f t="shared" si="27"/>
        <v>0</v>
      </c>
      <c r="O143" s="2">
        <f t="shared" si="28"/>
        <v>0.69999999999999929</v>
      </c>
      <c r="P143" s="2" t="str">
        <f t="shared" si="29"/>
        <v>0</v>
      </c>
      <c r="Q143" s="2" t="str">
        <f t="shared" si="30"/>
        <v>0</v>
      </c>
      <c r="R143" s="2" t="str">
        <f t="shared" si="31"/>
        <v>0</v>
      </c>
      <c r="S143" s="2" t="str">
        <f t="shared" si="32"/>
        <v>0</v>
      </c>
      <c r="T143" s="2">
        <f t="shared" si="33"/>
        <v>0.69999999999999929</v>
      </c>
    </row>
    <row r="144" spans="5:20" x14ac:dyDescent="0.25">
      <c r="E144" s="2">
        <f t="shared" si="18"/>
        <v>1.1000000000000014</v>
      </c>
      <c r="F144" s="2" t="str">
        <f t="shared" si="19"/>
        <v>0</v>
      </c>
      <c r="G144" s="2" t="str">
        <f t="shared" si="20"/>
        <v>0</v>
      </c>
      <c r="H144" s="2" t="str">
        <f t="shared" si="21"/>
        <v>0</v>
      </c>
      <c r="I144" s="2" t="str">
        <f t="shared" si="22"/>
        <v>0</v>
      </c>
      <c r="J144" s="2">
        <f t="shared" si="23"/>
        <v>1.1000000000000014</v>
      </c>
      <c r="K144" s="2" t="str">
        <f t="shared" si="24"/>
        <v>0</v>
      </c>
      <c r="L144" s="2" t="str">
        <f t="shared" si="25"/>
        <v>0</v>
      </c>
      <c r="M144" s="2">
        <f t="shared" si="26"/>
        <v>1.1000000000000014</v>
      </c>
      <c r="N144" s="2" t="str">
        <f t="shared" si="27"/>
        <v>0</v>
      </c>
      <c r="O144" s="2">
        <f t="shared" si="28"/>
        <v>1.1000000000000014</v>
      </c>
      <c r="P144" s="2" t="str">
        <f t="shared" si="29"/>
        <v>0</v>
      </c>
      <c r="Q144" s="2" t="str">
        <f t="shared" si="30"/>
        <v>0</v>
      </c>
      <c r="R144" s="2" t="str">
        <f t="shared" si="31"/>
        <v>0</v>
      </c>
      <c r="S144" s="2" t="str">
        <f t="shared" si="32"/>
        <v>0</v>
      </c>
      <c r="T144" s="2">
        <f t="shared" si="33"/>
        <v>1.1000000000000014</v>
      </c>
    </row>
    <row r="145" spans="5:20" x14ac:dyDescent="0.25">
      <c r="E145" s="2">
        <f t="shared" si="18"/>
        <v>1.2999999999999972</v>
      </c>
      <c r="F145" s="2" t="str">
        <f t="shared" si="19"/>
        <v>0</v>
      </c>
      <c r="G145" s="2" t="str">
        <f t="shared" si="20"/>
        <v>0</v>
      </c>
      <c r="H145" s="2" t="str">
        <f t="shared" si="21"/>
        <v>0</v>
      </c>
      <c r="I145" s="2" t="str">
        <f t="shared" si="22"/>
        <v>0</v>
      </c>
      <c r="J145" s="2">
        <f t="shared" si="23"/>
        <v>1.2999999999999972</v>
      </c>
      <c r="K145" s="2" t="str">
        <f t="shared" si="24"/>
        <v>0</v>
      </c>
      <c r="L145" s="2" t="str">
        <f t="shared" si="25"/>
        <v>0</v>
      </c>
      <c r="M145" s="2">
        <f t="shared" si="26"/>
        <v>1.2999999999999972</v>
      </c>
      <c r="N145" s="2" t="str">
        <f t="shared" si="27"/>
        <v>0</v>
      </c>
      <c r="O145" s="2">
        <f t="shared" si="28"/>
        <v>1.2999999999999972</v>
      </c>
      <c r="P145" s="2" t="str">
        <f t="shared" si="29"/>
        <v>0</v>
      </c>
      <c r="Q145" s="2" t="str">
        <f t="shared" si="30"/>
        <v>0</v>
      </c>
      <c r="R145" s="2" t="str">
        <f t="shared" si="31"/>
        <v>0</v>
      </c>
      <c r="S145" s="2" t="str">
        <f t="shared" si="32"/>
        <v>0</v>
      </c>
      <c r="T145" s="2">
        <f t="shared" si="33"/>
        <v>1.2999999999999972</v>
      </c>
    </row>
    <row r="146" spans="5:20" x14ac:dyDescent="0.25">
      <c r="E146" s="2">
        <f t="shared" si="18"/>
        <v>0.10000000000000142</v>
      </c>
      <c r="F146" s="2" t="str">
        <f t="shared" si="19"/>
        <v>0</v>
      </c>
      <c r="G146" s="2" t="str">
        <f t="shared" si="20"/>
        <v>0</v>
      </c>
      <c r="H146" s="2" t="str">
        <f t="shared" si="21"/>
        <v>0</v>
      </c>
      <c r="I146" s="2" t="str">
        <f t="shared" si="22"/>
        <v>0</v>
      </c>
      <c r="J146" s="2">
        <f t="shared" si="23"/>
        <v>0.10000000000000142</v>
      </c>
      <c r="K146" s="2" t="str">
        <f t="shared" si="24"/>
        <v>0</v>
      </c>
      <c r="L146" s="2" t="str">
        <f t="shared" si="25"/>
        <v>0</v>
      </c>
      <c r="M146" s="2">
        <f t="shared" si="26"/>
        <v>0.10000000000000142</v>
      </c>
      <c r="N146" s="2" t="str">
        <f t="shared" si="27"/>
        <v>0</v>
      </c>
      <c r="O146" s="2">
        <f t="shared" si="28"/>
        <v>0.10000000000000142</v>
      </c>
      <c r="P146" s="2" t="str">
        <f t="shared" si="29"/>
        <v>0</v>
      </c>
      <c r="Q146" s="2" t="str">
        <f t="shared" si="30"/>
        <v>0</v>
      </c>
      <c r="R146" s="2" t="str">
        <f t="shared" si="31"/>
        <v>0</v>
      </c>
      <c r="S146" s="2" t="str">
        <f t="shared" si="32"/>
        <v>0</v>
      </c>
      <c r="T146" s="2">
        <f t="shared" si="33"/>
        <v>0.10000000000000142</v>
      </c>
    </row>
    <row r="147" spans="5:20" x14ac:dyDescent="0.25">
      <c r="E147" s="2">
        <f t="shared" si="18"/>
        <v>0.5</v>
      </c>
      <c r="F147" s="2" t="str">
        <f t="shared" si="19"/>
        <v>0</v>
      </c>
      <c r="G147" s="2" t="str">
        <f t="shared" si="20"/>
        <v>0</v>
      </c>
      <c r="H147" s="2" t="str">
        <f t="shared" si="21"/>
        <v>0</v>
      </c>
      <c r="I147" s="2" t="str">
        <f t="shared" si="22"/>
        <v>0</v>
      </c>
      <c r="J147" s="2">
        <f t="shared" si="23"/>
        <v>0.5</v>
      </c>
      <c r="K147" s="2" t="str">
        <f t="shared" si="24"/>
        <v>0</v>
      </c>
      <c r="L147" s="2" t="str">
        <f t="shared" si="25"/>
        <v>0</v>
      </c>
      <c r="M147" s="2">
        <f t="shared" si="26"/>
        <v>0.5</v>
      </c>
      <c r="N147" s="2" t="str">
        <f t="shared" si="27"/>
        <v>0</v>
      </c>
      <c r="O147" s="2">
        <f t="shared" si="28"/>
        <v>0.5</v>
      </c>
      <c r="P147" s="2" t="str">
        <f t="shared" si="29"/>
        <v>0</v>
      </c>
      <c r="Q147" s="2" t="str">
        <f t="shared" si="30"/>
        <v>0</v>
      </c>
      <c r="R147" s="2" t="str">
        <f t="shared" si="31"/>
        <v>0</v>
      </c>
      <c r="S147" s="2" t="str">
        <f t="shared" si="32"/>
        <v>0</v>
      </c>
      <c r="T147" s="2">
        <f t="shared" si="33"/>
        <v>0.5</v>
      </c>
    </row>
    <row r="148" spans="5:20" x14ac:dyDescent="0.25">
      <c r="E148" s="2">
        <f t="shared" si="18"/>
        <v>0.10000000000000142</v>
      </c>
      <c r="F148" s="2" t="str">
        <f t="shared" si="19"/>
        <v>0</v>
      </c>
      <c r="G148" s="2" t="str">
        <f t="shared" si="20"/>
        <v>0</v>
      </c>
      <c r="H148" s="2" t="str">
        <f t="shared" si="21"/>
        <v>0</v>
      </c>
      <c r="I148" s="2" t="str">
        <f t="shared" si="22"/>
        <v>0</v>
      </c>
      <c r="J148" s="2">
        <f t="shared" si="23"/>
        <v>0.10000000000000142</v>
      </c>
      <c r="K148" s="2" t="str">
        <f t="shared" si="24"/>
        <v>0</v>
      </c>
      <c r="L148" s="2" t="str">
        <f t="shared" si="25"/>
        <v>0</v>
      </c>
      <c r="M148" s="2">
        <f t="shared" si="26"/>
        <v>0.10000000000000142</v>
      </c>
      <c r="N148" s="2" t="str">
        <f t="shared" si="27"/>
        <v>0</v>
      </c>
      <c r="O148" s="2">
        <f t="shared" si="28"/>
        <v>0.10000000000000142</v>
      </c>
      <c r="P148" s="2" t="str">
        <f t="shared" si="29"/>
        <v>0</v>
      </c>
      <c r="Q148" s="2" t="str">
        <f t="shared" si="30"/>
        <v>0</v>
      </c>
      <c r="R148" s="2" t="str">
        <f t="shared" si="31"/>
        <v>0</v>
      </c>
      <c r="S148" s="2" t="str">
        <f t="shared" si="32"/>
        <v>0</v>
      </c>
      <c r="T148" s="2">
        <f t="shared" si="33"/>
        <v>0.10000000000000142</v>
      </c>
    </row>
    <row r="149" spans="5:20" x14ac:dyDescent="0.25">
      <c r="E149" s="2">
        <f t="shared" si="18"/>
        <v>0.60000000000000142</v>
      </c>
      <c r="F149" s="2" t="str">
        <f t="shared" si="19"/>
        <v>0</v>
      </c>
      <c r="G149" s="2" t="str">
        <f t="shared" si="20"/>
        <v>0</v>
      </c>
      <c r="H149" s="2" t="str">
        <f t="shared" si="21"/>
        <v>0</v>
      </c>
      <c r="I149" s="2" t="str">
        <f t="shared" si="22"/>
        <v>0</v>
      </c>
      <c r="J149" s="2">
        <f t="shared" si="23"/>
        <v>0.60000000000000142</v>
      </c>
      <c r="K149" s="2" t="str">
        <f t="shared" si="24"/>
        <v>0</v>
      </c>
      <c r="L149" s="2" t="str">
        <f t="shared" si="25"/>
        <v>0</v>
      </c>
      <c r="M149" s="2">
        <f t="shared" si="26"/>
        <v>0.60000000000000142</v>
      </c>
      <c r="N149" s="2" t="str">
        <f t="shared" si="27"/>
        <v>0</v>
      </c>
      <c r="O149" s="2">
        <f t="shared" si="28"/>
        <v>0.60000000000000142</v>
      </c>
      <c r="P149" s="2" t="str">
        <f t="shared" si="29"/>
        <v>0</v>
      </c>
      <c r="Q149" s="2" t="str">
        <f t="shared" si="30"/>
        <v>0</v>
      </c>
      <c r="R149" s="2" t="str">
        <f t="shared" si="31"/>
        <v>0</v>
      </c>
      <c r="S149" s="2" t="str">
        <f t="shared" si="32"/>
        <v>0</v>
      </c>
      <c r="T149" s="2">
        <f t="shared" si="33"/>
        <v>0.60000000000000142</v>
      </c>
    </row>
    <row r="150" spans="5:20" x14ac:dyDescent="0.25">
      <c r="E150" s="2">
        <f t="shared" si="18"/>
        <v>0.10000000000000142</v>
      </c>
      <c r="F150" s="2" t="str">
        <f t="shared" si="19"/>
        <v>0</v>
      </c>
      <c r="G150" s="2" t="str">
        <f t="shared" si="20"/>
        <v>0</v>
      </c>
      <c r="H150" s="2" t="str">
        <f t="shared" si="21"/>
        <v>0</v>
      </c>
      <c r="I150" s="2" t="str">
        <f t="shared" si="22"/>
        <v>0</v>
      </c>
      <c r="J150" s="2">
        <f t="shared" si="23"/>
        <v>0.10000000000000142</v>
      </c>
      <c r="K150" s="2" t="str">
        <f t="shared" si="24"/>
        <v>0</v>
      </c>
      <c r="L150" s="2" t="str">
        <f t="shared" si="25"/>
        <v>0</v>
      </c>
      <c r="M150" s="2">
        <f t="shared" si="26"/>
        <v>0.10000000000000142</v>
      </c>
      <c r="N150" s="2" t="str">
        <f t="shared" si="27"/>
        <v>0</v>
      </c>
      <c r="O150" s="2">
        <f t="shared" si="28"/>
        <v>0.10000000000000142</v>
      </c>
      <c r="P150" s="2" t="str">
        <f t="shared" si="29"/>
        <v>0</v>
      </c>
      <c r="Q150" s="2" t="str">
        <f t="shared" si="30"/>
        <v>0</v>
      </c>
      <c r="R150" s="2" t="str">
        <f t="shared" si="31"/>
        <v>0</v>
      </c>
      <c r="S150" s="2" t="str">
        <f t="shared" si="32"/>
        <v>0</v>
      </c>
      <c r="T150" s="2">
        <f t="shared" si="33"/>
        <v>0.10000000000000142</v>
      </c>
    </row>
    <row r="151" spans="5:20" x14ac:dyDescent="0.25">
      <c r="E151" s="2">
        <f t="shared" ref="E151:E165" si="34">IF(E55="X",(D55-C55),"0")</f>
        <v>0.89999999999999858</v>
      </c>
      <c r="F151" s="2" t="str">
        <f t="shared" ref="F151:F165" si="35">IF(F55="X",(D55-C55),"0")</f>
        <v>0</v>
      </c>
      <c r="G151" s="2" t="str">
        <f t="shared" ref="G151:G165" si="36">IF(G55="X",(D55-C55),"0")</f>
        <v>0</v>
      </c>
      <c r="H151" s="2" t="str">
        <f t="shared" ref="H151:H165" si="37">IF(H55="X",(D55-C55),"0")</f>
        <v>0</v>
      </c>
      <c r="I151" s="2" t="str">
        <f t="shared" ref="I151:I165" si="38">IF(I55="X",(D55-C55),"0")</f>
        <v>0</v>
      </c>
      <c r="J151" s="2">
        <f t="shared" ref="J151:J165" si="39">IF(J55="X",(D55-C55),"0")</f>
        <v>0.89999999999999858</v>
      </c>
      <c r="K151" s="2" t="str">
        <f t="shared" ref="K151:K165" si="40">IF(K55="X",(D55-C55),"0")</f>
        <v>0</v>
      </c>
      <c r="L151" s="2" t="str">
        <f t="shared" ref="L151:L165" si="41">IF(L55="X",(D55-C55),"0")</f>
        <v>0</v>
      </c>
      <c r="M151" s="2">
        <f t="shared" ref="M151:M165" si="42">IF(M55="X",(D55-C55),"0")</f>
        <v>0.89999999999999858</v>
      </c>
      <c r="N151" s="2" t="str">
        <f t="shared" ref="N151:N165" si="43">IF(N55="X",(D55-C55),"0")</f>
        <v>0</v>
      </c>
      <c r="O151" s="2">
        <f t="shared" ref="O151:O165" si="44">IF(O55="X",(D55-C55),"0")</f>
        <v>0.89999999999999858</v>
      </c>
      <c r="P151" s="2" t="str">
        <f t="shared" ref="P151:P165" si="45">IF(P55="X",(D55-C55),"0")</f>
        <v>0</v>
      </c>
      <c r="Q151" s="2" t="str">
        <f t="shared" ref="Q151:Q165" si="46">IF(Q55="X",(D55-C55),"0")</f>
        <v>0</v>
      </c>
      <c r="R151" s="2" t="str">
        <f t="shared" ref="R151:R165" si="47">IF(R55="X",(D55-C55),"0")</f>
        <v>0</v>
      </c>
      <c r="S151" s="2" t="str">
        <f t="shared" ref="S151:S165" si="48">IF(S55="X",(D55-C55),"0")</f>
        <v>0</v>
      </c>
      <c r="T151" s="2">
        <f t="shared" ref="T151:T165" si="49">IF(T55="X",(D55-C55),"0")</f>
        <v>0.89999999999999858</v>
      </c>
    </row>
    <row r="152" spans="5:20" x14ac:dyDescent="0.25">
      <c r="E152" s="2">
        <f t="shared" si="34"/>
        <v>0.10000000000000142</v>
      </c>
      <c r="F152" s="2" t="str">
        <f t="shared" si="35"/>
        <v>0</v>
      </c>
      <c r="G152" s="2" t="str">
        <f t="shared" si="36"/>
        <v>0</v>
      </c>
      <c r="H152" s="2" t="str">
        <f t="shared" si="37"/>
        <v>0</v>
      </c>
      <c r="I152" s="2" t="str">
        <f t="shared" si="38"/>
        <v>0</v>
      </c>
      <c r="J152" s="2">
        <f t="shared" si="39"/>
        <v>0.10000000000000142</v>
      </c>
      <c r="K152" s="2" t="str">
        <f t="shared" si="40"/>
        <v>0</v>
      </c>
      <c r="L152" s="2" t="str">
        <f t="shared" si="41"/>
        <v>0</v>
      </c>
      <c r="M152" s="2">
        <f t="shared" si="42"/>
        <v>0.10000000000000142</v>
      </c>
      <c r="N152" s="2" t="str">
        <f t="shared" si="43"/>
        <v>0</v>
      </c>
      <c r="O152" s="2">
        <f t="shared" si="44"/>
        <v>0.10000000000000142</v>
      </c>
      <c r="P152" s="2" t="str">
        <f t="shared" si="45"/>
        <v>0</v>
      </c>
      <c r="Q152" s="2" t="str">
        <f t="shared" si="46"/>
        <v>0</v>
      </c>
      <c r="R152" s="2" t="str">
        <f t="shared" si="47"/>
        <v>0</v>
      </c>
      <c r="S152" s="2" t="str">
        <f t="shared" si="48"/>
        <v>0</v>
      </c>
      <c r="T152" s="2">
        <f t="shared" si="49"/>
        <v>0.10000000000000142</v>
      </c>
    </row>
    <row r="153" spans="5:20" x14ac:dyDescent="0.25">
      <c r="E153" s="2">
        <f t="shared" si="34"/>
        <v>0.79999999999999716</v>
      </c>
      <c r="F153" s="2" t="str">
        <f t="shared" si="35"/>
        <v>0</v>
      </c>
      <c r="G153" s="2" t="str">
        <f t="shared" si="36"/>
        <v>0</v>
      </c>
      <c r="H153" s="2" t="str">
        <f t="shared" si="37"/>
        <v>0</v>
      </c>
      <c r="I153" s="2" t="str">
        <f t="shared" si="38"/>
        <v>0</v>
      </c>
      <c r="J153" s="2">
        <f t="shared" si="39"/>
        <v>0.79999999999999716</v>
      </c>
      <c r="K153" s="2" t="str">
        <f t="shared" si="40"/>
        <v>0</v>
      </c>
      <c r="L153" s="2" t="str">
        <f t="shared" si="41"/>
        <v>0</v>
      </c>
      <c r="M153" s="2">
        <f t="shared" si="42"/>
        <v>0.79999999999999716</v>
      </c>
      <c r="N153" s="2" t="str">
        <f t="shared" si="43"/>
        <v>0</v>
      </c>
      <c r="O153" s="2">
        <f t="shared" si="44"/>
        <v>0.79999999999999716</v>
      </c>
      <c r="P153" s="2" t="str">
        <f t="shared" si="45"/>
        <v>0</v>
      </c>
      <c r="Q153" s="2" t="str">
        <f t="shared" si="46"/>
        <v>0</v>
      </c>
      <c r="R153" s="2" t="str">
        <f t="shared" si="47"/>
        <v>0</v>
      </c>
      <c r="S153" s="2" t="str">
        <f t="shared" si="48"/>
        <v>0</v>
      </c>
      <c r="T153" s="2">
        <f t="shared" si="49"/>
        <v>0.79999999999999716</v>
      </c>
    </row>
    <row r="154" spans="5:20" x14ac:dyDescent="0.25">
      <c r="E154" s="2">
        <f t="shared" si="34"/>
        <v>0.10000000000000142</v>
      </c>
      <c r="F154" s="2" t="str">
        <f t="shared" si="35"/>
        <v>0</v>
      </c>
      <c r="G154" s="2" t="str">
        <f t="shared" si="36"/>
        <v>0</v>
      </c>
      <c r="H154" s="2" t="str">
        <f t="shared" si="37"/>
        <v>0</v>
      </c>
      <c r="I154" s="2" t="str">
        <f t="shared" si="38"/>
        <v>0</v>
      </c>
      <c r="J154" s="2">
        <f t="shared" si="39"/>
        <v>0.10000000000000142</v>
      </c>
      <c r="K154" s="2" t="str">
        <f t="shared" si="40"/>
        <v>0</v>
      </c>
      <c r="L154" s="2" t="str">
        <f t="shared" si="41"/>
        <v>0</v>
      </c>
      <c r="M154" s="2">
        <f t="shared" si="42"/>
        <v>0.10000000000000142</v>
      </c>
      <c r="N154" s="2" t="str">
        <f t="shared" si="43"/>
        <v>0</v>
      </c>
      <c r="O154" s="2">
        <f t="shared" si="44"/>
        <v>0.10000000000000142</v>
      </c>
      <c r="P154" s="2" t="str">
        <f t="shared" si="45"/>
        <v>0</v>
      </c>
      <c r="Q154" s="2" t="str">
        <f t="shared" si="46"/>
        <v>0</v>
      </c>
      <c r="R154" s="2" t="str">
        <f t="shared" si="47"/>
        <v>0</v>
      </c>
      <c r="S154" s="2" t="str">
        <f t="shared" si="48"/>
        <v>0</v>
      </c>
      <c r="T154" s="2">
        <f t="shared" si="49"/>
        <v>0.10000000000000142</v>
      </c>
    </row>
    <row r="155" spans="5:20" x14ac:dyDescent="0.25">
      <c r="E155" s="2">
        <f t="shared" si="34"/>
        <v>0.89999999999999858</v>
      </c>
      <c r="F155" s="2" t="str">
        <f t="shared" si="35"/>
        <v>0</v>
      </c>
      <c r="G155" s="2" t="str">
        <f t="shared" si="36"/>
        <v>0</v>
      </c>
      <c r="H155" s="2" t="str">
        <f t="shared" si="37"/>
        <v>0</v>
      </c>
      <c r="I155" s="2" t="str">
        <f t="shared" si="38"/>
        <v>0</v>
      </c>
      <c r="J155" s="2">
        <f t="shared" si="39"/>
        <v>0.89999999999999858</v>
      </c>
      <c r="K155" s="2" t="str">
        <f t="shared" si="40"/>
        <v>0</v>
      </c>
      <c r="L155" s="2" t="str">
        <f t="shared" si="41"/>
        <v>0</v>
      </c>
      <c r="M155" s="2">
        <f t="shared" si="42"/>
        <v>0.89999999999999858</v>
      </c>
      <c r="N155" s="2" t="str">
        <f t="shared" si="43"/>
        <v>0</v>
      </c>
      <c r="O155" s="2">
        <f t="shared" si="44"/>
        <v>0.89999999999999858</v>
      </c>
      <c r="P155" s="2" t="str">
        <f t="shared" si="45"/>
        <v>0</v>
      </c>
      <c r="Q155" s="2" t="str">
        <f t="shared" si="46"/>
        <v>0</v>
      </c>
      <c r="R155" s="2" t="str">
        <f t="shared" si="47"/>
        <v>0</v>
      </c>
      <c r="S155" s="2" t="str">
        <f t="shared" si="48"/>
        <v>0</v>
      </c>
      <c r="T155" s="2">
        <f t="shared" si="49"/>
        <v>0.89999999999999858</v>
      </c>
    </row>
    <row r="156" spans="5:20" x14ac:dyDescent="0.25">
      <c r="E156" s="2">
        <f t="shared" si="34"/>
        <v>0.29999999999999716</v>
      </c>
      <c r="F156" s="2" t="str">
        <f t="shared" si="35"/>
        <v>0</v>
      </c>
      <c r="G156" s="2" t="str">
        <f t="shared" si="36"/>
        <v>0</v>
      </c>
      <c r="H156" s="2" t="str">
        <f t="shared" si="37"/>
        <v>0</v>
      </c>
      <c r="I156" s="2" t="str">
        <f t="shared" si="38"/>
        <v>0</v>
      </c>
      <c r="J156" s="2">
        <f t="shared" si="39"/>
        <v>0.29999999999999716</v>
      </c>
      <c r="K156" s="2" t="str">
        <f t="shared" si="40"/>
        <v>0</v>
      </c>
      <c r="L156" s="2" t="str">
        <f t="shared" si="41"/>
        <v>0</v>
      </c>
      <c r="M156" s="2">
        <f t="shared" si="42"/>
        <v>0.29999999999999716</v>
      </c>
      <c r="N156" s="2" t="str">
        <f t="shared" si="43"/>
        <v>0</v>
      </c>
      <c r="O156" s="2">
        <f t="shared" si="44"/>
        <v>0.29999999999999716</v>
      </c>
      <c r="P156" s="2" t="str">
        <f t="shared" si="45"/>
        <v>0</v>
      </c>
      <c r="Q156" s="2" t="str">
        <f t="shared" si="46"/>
        <v>0</v>
      </c>
      <c r="R156" s="2" t="str">
        <f t="shared" si="47"/>
        <v>0</v>
      </c>
      <c r="S156" s="2" t="str">
        <f t="shared" si="48"/>
        <v>0</v>
      </c>
      <c r="T156" s="2">
        <f t="shared" si="49"/>
        <v>0.29999999999999716</v>
      </c>
    </row>
    <row r="157" spans="5:20" x14ac:dyDescent="0.25">
      <c r="E157" s="2">
        <f t="shared" si="34"/>
        <v>0.70000000000000284</v>
      </c>
      <c r="F157" s="2" t="str">
        <f t="shared" si="35"/>
        <v>0</v>
      </c>
      <c r="G157" s="2" t="str">
        <f t="shared" si="36"/>
        <v>0</v>
      </c>
      <c r="H157" s="2" t="str">
        <f t="shared" si="37"/>
        <v>0</v>
      </c>
      <c r="I157" s="2" t="str">
        <f t="shared" si="38"/>
        <v>0</v>
      </c>
      <c r="J157" s="2">
        <f t="shared" si="39"/>
        <v>0.70000000000000284</v>
      </c>
      <c r="K157" s="2" t="str">
        <f t="shared" si="40"/>
        <v>0</v>
      </c>
      <c r="L157" s="2" t="str">
        <f t="shared" si="41"/>
        <v>0</v>
      </c>
      <c r="M157" s="2">
        <f t="shared" si="42"/>
        <v>0.70000000000000284</v>
      </c>
      <c r="N157" s="2" t="str">
        <f t="shared" si="43"/>
        <v>0</v>
      </c>
      <c r="O157" s="2">
        <f t="shared" si="44"/>
        <v>0.70000000000000284</v>
      </c>
      <c r="P157" s="2" t="str">
        <f t="shared" si="45"/>
        <v>0</v>
      </c>
      <c r="Q157" s="2" t="str">
        <f t="shared" si="46"/>
        <v>0</v>
      </c>
      <c r="R157" s="2" t="str">
        <f t="shared" si="47"/>
        <v>0</v>
      </c>
      <c r="S157" s="2" t="str">
        <f t="shared" si="48"/>
        <v>0</v>
      </c>
      <c r="T157" s="2">
        <f t="shared" si="49"/>
        <v>0.70000000000000284</v>
      </c>
    </row>
    <row r="158" spans="5:20" x14ac:dyDescent="0.25">
      <c r="E158" s="2">
        <f t="shared" si="34"/>
        <v>0.10000000000000142</v>
      </c>
      <c r="F158" s="2" t="str">
        <f t="shared" si="35"/>
        <v>0</v>
      </c>
      <c r="G158" s="2" t="str">
        <f t="shared" si="36"/>
        <v>0</v>
      </c>
      <c r="H158" s="2" t="str">
        <f t="shared" si="37"/>
        <v>0</v>
      </c>
      <c r="I158" s="2" t="str">
        <f t="shared" si="38"/>
        <v>0</v>
      </c>
      <c r="J158" s="2">
        <f t="shared" si="39"/>
        <v>0.10000000000000142</v>
      </c>
      <c r="K158" s="2" t="str">
        <f t="shared" si="40"/>
        <v>0</v>
      </c>
      <c r="L158" s="2" t="str">
        <f t="shared" si="41"/>
        <v>0</v>
      </c>
      <c r="M158" s="2">
        <f t="shared" si="42"/>
        <v>0.10000000000000142</v>
      </c>
      <c r="N158" s="2" t="str">
        <f t="shared" si="43"/>
        <v>0</v>
      </c>
      <c r="O158" s="2">
        <f t="shared" si="44"/>
        <v>0.10000000000000142</v>
      </c>
      <c r="P158" s="2" t="str">
        <f t="shared" si="45"/>
        <v>0</v>
      </c>
      <c r="Q158" s="2" t="str">
        <f t="shared" si="46"/>
        <v>0</v>
      </c>
      <c r="R158" s="2" t="str">
        <f t="shared" si="47"/>
        <v>0</v>
      </c>
      <c r="S158" s="2" t="str">
        <f t="shared" si="48"/>
        <v>0</v>
      </c>
      <c r="T158" s="2">
        <f t="shared" si="49"/>
        <v>0.10000000000000142</v>
      </c>
    </row>
    <row r="159" spans="5:20" x14ac:dyDescent="0.25">
      <c r="E159" s="2">
        <f t="shared" si="34"/>
        <v>3.3999999999999986</v>
      </c>
      <c r="F159" s="2" t="str">
        <f t="shared" si="35"/>
        <v>0</v>
      </c>
      <c r="G159" s="2" t="str">
        <f t="shared" si="36"/>
        <v>0</v>
      </c>
      <c r="H159" s="2" t="str">
        <f t="shared" si="37"/>
        <v>0</v>
      </c>
      <c r="I159" s="2" t="str">
        <f t="shared" si="38"/>
        <v>0</v>
      </c>
      <c r="J159" s="2">
        <f t="shared" si="39"/>
        <v>3.3999999999999986</v>
      </c>
      <c r="K159" s="2" t="str">
        <f t="shared" si="40"/>
        <v>0</v>
      </c>
      <c r="L159" s="2" t="str">
        <f t="shared" si="41"/>
        <v>0</v>
      </c>
      <c r="M159" s="2">
        <f t="shared" si="42"/>
        <v>3.3999999999999986</v>
      </c>
      <c r="N159" s="2" t="str">
        <f t="shared" si="43"/>
        <v>0</v>
      </c>
      <c r="O159" s="2">
        <f t="shared" si="44"/>
        <v>3.3999999999999986</v>
      </c>
      <c r="P159" s="2" t="str">
        <f t="shared" si="45"/>
        <v>0</v>
      </c>
      <c r="Q159" s="2" t="str">
        <f t="shared" si="46"/>
        <v>0</v>
      </c>
      <c r="R159" s="2" t="str">
        <f t="shared" si="47"/>
        <v>0</v>
      </c>
      <c r="S159" s="2" t="str">
        <f t="shared" si="48"/>
        <v>0</v>
      </c>
      <c r="T159" s="2">
        <f t="shared" si="49"/>
        <v>3.3999999999999986</v>
      </c>
    </row>
    <row r="160" spans="5:20" x14ac:dyDescent="0.25">
      <c r="E160" s="2">
        <f t="shared" si="34"/>
        <v>0.10000000000000142</v>
      </c>
      <c r="F160" s="2" t="str">
        <f t="shared" si="35"/>
        <v>0</v>
      </c>
      <c r="G160" s="2" t="str">
        <f t="shared" si="36"/>
        <v>0</v>
      </c>
      <c r="H160" s="2" t="str">
        <f t="shared" si="37"/>
        <v>0</v>
      </c>
      <c r="I160" s="2" t="str">
        <f t="shared" si="38"/>
        <v>0</v>
      </c>
      <c r="J160" s="2">
        <f t="shared" si="39"/>
        <v>0.10000000000000142</v>
      </c>
      <c r="K160" s="2" t="str">
        <f t="shared" si="40"/>
        <v>0</v>
      </c>
      <c r="L160" s="2" t="str">
        <f t="shared" si="41"/>
        <v>0</v>
      </c>
      <c r="M160" s="2">
        <f t="shared" si="42"/>
        <v>0.10000000000000142</v>
      </c>
      <c r="N160" s="2" t="str">
        <f t="shared" si="43"/>
        <v>0</v>
      </c>
      <c r="O160" s="2">
        <f t="shared" si="44"/>
        <v>0.10000000000000142</v>
      </c>
      <c r="P160" s="2" t="str">
        <f t="shared" si="45"/>
        <v>0</v>
      </c>
      <c r="Q160" s="2" t="str">
        <f t="shared" si="46"/>
        <v>0</v>
      </c>
      <c r="R160" s="2" t="str">
        <f t="shared" si="47"/>
        <v>0</v>
      </c>
      <c r="S160" s="2" t="str">
        <f t="shared" si="48"/>
        <v>0</v>
      </c>
      <c r="T160" s="2">
        <f t="shared" si="49"/>
        <v>0.10000000000000142</v>
      </c>
    </row>
    <row r="161" spans="5:20" x14ac:dyDescent="0.25">
      <c r="E161" s="2">
        <f t="shared" si="34"/>
        <v>1.6000000000000014</v>
      </c>
      <c r="F161" s="2" t="str">
        <f t="shared" si="35"/>
        <v>0</v>
      </c>
      <c r="G161" s="2" t="str">
        <f t="shared" si="36"/>
        <v>0</v>
      </c>
      <c r="H161" s="2" t="str">
        <f t="shared" si="37"/>
        <v>0</v>
      </c>
      <c r="I161" s="2" t="str">
        <f t="shared" si="38"/>
        <v>0</v>
      </c>
      <c r="J161" s="2">
        <f t="shared" si="39"/>
        <v>1.6000000000000014</v>
      </c>
      <c r="K161" s="2" t="str">
        <f t="shared" si="40"/>
        <v>0</v>
      </c>
      <c r="L161" s="2" t="str">
        <f t="shared" si="41"/>
        <v>0</v>
      </c>
      <c r="M161" s="2">
        <f t="shared" si="42"/>
        <v>1.6000000000000014</v>
      </c>
      <c r="N161" s="2" t="str">
        <f t="shared" si="43"/>
        <v>0</v>
      </c>
      <c r="O161" s="2">
        <f t="shared" si="44"/>
        <v>1.6000000000000014</v>
      </c>
      <c r="P161" s="2" t="str">
        <f t="shared" si="45"/>
        <v>0</v>
      </c>
      <c r="Q161" s="2" t="str">
        <f t="shared" si="46"/>
        <v>0</v>
      </c>
      <c r="R161" s="2" t="str">
        <f t="shared" si="47"/>
        <v>0</v>
      </c>
      <c r="S161" s="2" t="str">
        <f t="shared" si="48"/>
        <v>0</v>
      </c>
      <c r="T161" s="2">
        <f t="shared" si="49"/>
        <v>1.6000000000000014</v>
      </c>
    </row>
    <row r="162" spans="5:20" x14ac:dyDescent="0.25">
      <c r="E162" s="2">
        <f t="shared" si="34"/>
        <v>9.9999999999994316E-2</v>
      </c>
      <c r="F162" s="2" t="str">
        <f t="shared" si="35"/>
        <v>0</v>
      </c>
      <c r="G162" s="2" t="str">
        <f t="shared" si="36"/>
        <v>0</v>
      </c>
      <c r="H162" s="2" t="str">
        <f t="shared" si="37"/>
        <v>0</v>
      </c>
      <c r="I162" s="2" t="str">
        <f t="shared" si="38"/>
        <v>0</v>
      </c>
      <c r="J162" s="2">
        <f t="shared" si="39"/>
        <v>9.9999999999994316E-2</v>
      </c>
      <c r="K162" s="2" t="str">
        <f t="shared" si="40"/>
        <v>0</v>
      </c>
      <c r="L162" s="2" t="str">
        <f t="shared" si="41"/>
        <v>0</v>
      </c>
      <c r="M162" s="2">
        <f t="shared" si="42"/>
        <v>9.9999999999994316E-2</v>
      </c>
      <c r="N162" s="2" t="str">
        <f t="shared" si="43"/>
        <v>0</v>
      </c>
      <c r="O162" s="2">
        <f t="shared" si="44"/>
        <v>9.9999999999994316E-2</v>
      </c>
      <c r="P162" s="2" t="str">
        <f t="shared" si="45"/>
        <v>0</v>
      </c>
      <c r="Q162" s="2" t="str">
        <f t="shared" si="46"/>
        <v>0</v>
      </c>
      <c r="R162" s="2" t="str">
        <f t="shared" si="47"/>
        <v>0</v>
      </c>
      <c r="S162" s="2" t="str">
        <f t="shared" si="48"/>
        <v>0</v>
      </c>
      <c r="T162" s="2">
        <f t="shared" si="49"/>
        <v>9.9999999999994316E-2</v>
      </c>
    </row>
    <row r="163" spans="5:20" x14ac:dyDescent="0.25">
      <c r="E163" s="2">
        <f t="shared" si="34"/>
        <v>0.80000000000000426</v>
      </c>
      <c r="F163" s="2" t="str">
        <f t="shared" si="35"/>
        <v>0</v>
      </c>
      <c r="G163" s="2" t="str">
        <f t="shared" si="36"/>
        <v>0</v>
      </c>
      <c r="H163" s="2" t="str">
        <f t="shared" si="37"/>
        <v>0</v>
      </c>
      <c r="I163" s="2" t="str">
        <f t="shared" si="38"/>
        <v>0</v>
      </c>
      <c r="J163" s="2">
        <f t="shared" si="39"/>
        <v>0.80000000000000426</v>
      </c>
      <c r="K163" s="2" t="str">
        <f t="shared" si="40"/>
        <v>0</v>
      </c>
      <c r="L163" s="2" t="str">
        <f t="shared" si="41"/>
        <v>0</v>
      </c>
      <c r="M163" s="2">
        <f t="shared" si="42"/>
        <v>0.80000000000000426</v>
      </c>
      <c r="N163" s="2" t="str">
        <f t="shared" si="43"/>
        <v>0</v>
      </c>
      <c r="O163" s="2">
        <f t="shared" si="44"/>
        <v>0.80000000000000426</v>
      </c>
      <c r="P163" s="2" t="str">
        <f t="shared" si="45"/>
        <v>0</v>
      </c>
      <c r="Q163" s="2" t="str">
        <f t="shared" si="46"/>
        <v>0</v>
      </c>
      <c r="R163" s="2" t="str">
        <f t="shared" si="47"/>
        <v>0</v>
      </c>
      <c r="S163" s="2" t="str">
        <f t="shared" si="48"/>
        <v>0</v>
      </c>
      <c r="T163" s="2">
        <f t="shared" si="49"/>
        <v>0.80000000000000426</v>
      </c>
    </row>
    <row r="164" spans="5:20" x14ac:dyDescent="0.25">
      <c r="E164" s="2">
        <f t="shared" si="34"/>
        <v>0.10000000000000142</v>
      </c>
      <c r="F164" s="2" t="str">
        <f t="shared" si="35"/>
        <v>0</v>
      </c>
      <c r="G164" s="2" t="str">
        <f t="shared" si="36"/>
        <v>0</v>
      </c>
      <c r="H164" s="2" t="str">
        <f t="shared" si="37"/>
        <v>0</v>
      </c>
      <c r="I164" s="2" t="str">
        <f t="shared" si="38"/>
        <v>0</v>
      </c>
      <c r="J164" s="2">
        <f t="shared" si="39"/>
        <v>0.10000000000000142</v>
      </c>
      <c r="K164" s="2" t="str">
        <f t="shared" si="40"/>
        <v>0</v>
      </c>
      <c r="L164" s="2" t="str">
        <f t="shared" si="41"/>
        <v>0</v>
      </c>
      <c r="M164" s="2">
        <f t="shared" si="42"/>
        <v>0.10000000000000142</v>
      </c>
      <c r="N164" s="2" t="str">
        <f t="shared" si="43"/>
        <v>0</v>
      </c>
      <c r="O164" s="2">
        <f t="shared" si="44"/>
        <v>0.10000000000000142</v>
      </c>
      <c r="P164" s="2" t="str">
        <f t="shared" si="45"/>
        <v>0</v>
      </c>
      <c r="Q164" s="2" t="str">
        <f t="shared" si="46"/>
        <v>0</v>
      </c>
      <c r="R164" s="2" t="str">
        <f t="shared" si="47"/>
        <v>0</v>
      </c>
      <c r="S164" s="2" t="str">
        <f t="shared" si="48"/>
        <v>0</v>
      </c>
      <c r="T164" s="2">
        <f t="shared" si="49"/>
        <v>0.10000000000000142</v>
      </c>
    </row>
    <row r="165" spans="5:20" x14ac:dyDescent="0.25">
      <c r="E165" s="2">
        <f t="shared" si="34"/>
        <v>0.39999999999999858</v>
      </c>
      <c r="F165" s="2" t="str">
        <f t="shared" si="35"/>
        <v>0</v>
      </c>
      <c r="G165" s="2" t="str">
        <f t="shared" si="36"/>
        <v>0</v>
      </c>
      <c r="H165" s="2" t="str">
        <f t="shared" si="37"/>
        <v>0</v>
      </c>
      <c r="I165" s="2" t="str">
        <f t="shared" si="38"/>
        <v>0</v>
      </c>
      <c r="J165" s="2">
        <f t="shared" si="39"/>
        <v>0.39999999999999858</v>
      </c>
      <c r="K165" s="2" t="str">
        <f t="shared" si="40"/>
        <v>0</v>
      </c>
      <c r="L165" s="2" t="str">
        <f t="shared" si="41"/>
        <v>0</v>
      </c>
      <c r="M165" s="2">
        <f t="shared" si="42"/>
        <v>0.39999999999999858</v>
      </c>
      <c r="N165" s="2" t="str">
        <f t="shared" si="43"/>
        <v>0</v>
      </c>
      <c r="O165" s="2">
        <f t="shared" si="44"/>
        <v>0.39999999999999858</v>
      </c>
      <c r="P165" s="2" t="str">
        <f t="shared" si="45"/>
        <v>0</v>
      </c>
      <c r="Q165" s="2" t="str">
        <f t="shared" si="46"/>
        <v>0</v>
      </c>
      <c r="R165" s="2" t="str">
        <f t="shared" si="47"/>
        <v>0</v>
      </c>
      <c r="S165" s="2" t="str">
        <f t="shared" si="48"/>
        <v>0</v>
      </c>
      <c r="T165" s="2">
        <f t="shared" si="49"/>
        <v>0.39999999999999858</v>
      </c>
    </row>
    <row r="166" spans="5:20" x14ac:dyDescent="0.25">
      <c r="E166" s="2">
        <f t="shared" ref="E166:E175" si="50">IF(E70="X",(D70-C70),"0")</f>
        <v>0.10000000000000142</v>
      </c>
      <c r="F166" s="2" t="str">
        <f t="shared" ref="F166:F175" si="51">IF(F70="X",(D70-C70),"0")</f>
        <v>0</v>
      </c>
      <c r="G166" s="2" t="str">
        <f t="shared" ref="G166:G175" si="52">IF(G70="X",(D70-C70),"0")</f>
        <v>0</v>
      </c>
      <c r="H166" s="2" t="str">
        <f t="shared" ref="H166:H175" si="53">IF(H70="X",(D70-C70),"0")</f>
        <v>0</v>
      </c>
      <c r="I166" s="2" t="str">
        <f t="shared" ref="I166:I175" si="54">IF(I70="X",(D70-C70),"0")</f>
        <v>0</v>
      </c>
      <c r="J166" s="2">
        <f t="shared" ref="J166:J175" si="55">IF(J70="X",(D70-C70),"0")</f>
        <v>0.10000000000000142</v>
      </c>
      <c r="K166" s="2" t="str">
        <f t="shared" ref="K166:K175" si="56">IF(K70="X",(D70-C70),"0")</f>
        <v>0</v>
      </c>
      <c r="L166" s="2" t="str">
        <f t="shared" ref="L166:L175" si="57">IF(L70="X",(D70-C70),"0")</f>
        <v>0</v>
      </c>
      <c r="M166" s="2">
        <f t="shared" ref="M166:M175" si="58">IF(M70="X",(D70-C70),"0")</f>
        <v>0.10000000000000142</v>
      </c>
      <c r="N166" s="2" t="str">
        <f t="shared" ref="N166:N175" si="59">IF(N70="X",(D70-C70),"0")</f>
        <v>0</v>
      </c>
      <c r="O166" s="2">
        <f t="shared" ref="O166:O175" si="60">IF(O70="X",(D70-C70),"0")</f>
        <v>0.10000000000000142</v>
      </c>
      <c r="P166" s="2" t="str">
        <f t="shared" ref="P166:P175" si="61">IF(P70="X",(D70-C70),"0")</f>
        <v>0</v>
      </c>
      <c r="Q166" s="2" t="str">
        <f t="shared" ref="Q166:Q175" si="62">IF(Q70="X",(D70-C70),"0")</f>
        <v>0</v>
      </c>
      <c r="R166" s="2" t="str">
        <f t="shared" ref="R166:R175" si="63">IF(R70="X",(D70-C70),"0")</f>
        <v>0</v>
      </c>
      <c r="S166" s="2" t="str">
        <f t="shared" ref="S166:S175" si="64">IF(S70="X",(D70-C70),"0")</f>
        <v>0</v>
      </c>
      <c r="T166" s="2">
        <f t="shared" ref="T166:T175" si="65">IF(T70="X",(D70-C70),"0")</f>
        <v>0.10000000000000142</v>
      </c>
    </row>
    <row r="167" spans="5:20" x14ac:dyDescent="0.25">
      <c r="E167" s="2">
        <f t="shared" si="50"/>
        <v>1.2999999999999972</v>
      </c>
      <c r="F167" s="2" t="str">
        <f t="shared" si="51"/>
        <v>0</v>
      </c>
      <c r="G167" s="2" t="str">
        <f t="shared" si="52"/>
        <v>0</v>
      </c>
      <c r="H167" s="2" t="str">
        <f t="shared" si="53"/>
        <v>0</v>
      </c>
      <c r="I167" s="2" t="str">
        <f t="shared" si="54"/>
        <v>0</v>
      </c>
      <c r="J167" s="2">
        <f t="shared" si="55"/>
        <v>1.2999999999999972</v>
      </c>
      <c r="K167" s="2" t="str">
        <f t="shared" si="56"/>
        <v>0</v>
      </c>
      <c r="L167" s="2" t="str">
        <f t="shared" si="57"/>
        <v>0</v>
      </c>
      <c r="M167" s="2">
        <f t="shared" si="58"/>
        <v>1.2999999999999972</v>
      </c>
      <c r="N167" s="2" t="str">
        <f t="shared" si="59"/>
        <v>0</v>
      </c>
      <c r="O167" s="2">
        <f t="shared" si="60"/>
        <v>1.2999999999999972</v>
      </c>
      <c r="P167" s="2" t="str">
        <f t="shared" si="61"/>
        <v>0</v>
      </c>
      <c r="Q167" s="2" t="str">
        <f t="shared" si="62"/>
        <v>0</v>
      </c>
      <c r="R167" s="2" t="str">
        <f t="shared" si="63"/>
        <v>0</v>
      </c>
      <c r="S167" s="2" t="str">
        <f t="shared" si="64"/>
        <v>0</v>
      </c>
      <c r="T167" s="2">
        <f t="shared" si="65"/>
        <v>1.2999999999999972</v>
      </c>
    </row>
    <row r="168" spans="5:20" x14ac:dyDescent="0.25">
      <c r="E168" s="2">
        <f t="shared" si="50"/>
        <v>0.10000000000000142</v>
      </c>
      <c r="F168" s="2" t="str">
        <f t="shared" si="51"/>
        <v>0</v>
      </c>
      <c r="G168" s="2" t="str">
        <f t="shared" si="52"/>
        <v>0</v>
      </c>
      <c r="H168" s="2" t="str">
        <f t="shared" si="53"/>
        <v>0</v>
      </c>
      <c r="I168" s="2" t="str">
        <f t="shared" si="54"/>
        <v>0</v>
      </c>
      <c r="J168" s="2">
        <f t="shared" si="55"/>
        <v>0.10000000000000142</v>
      </c>
      <c r="K168" s="2" t="str">
        <f t="shared" si="56"/>
        <v>0</v>
      </c>
      <c r="L168" s="2" t="str">
        <f t="shared" si="57"/>
        <v>0</v>
      </c>
      <c r="M168" s="2">
        <f t="shared" si="58"/>
        <v>0.10000000000000142</v>
      </c>
      <c r="N168" s="2" t="str">
        <f t="shared" si="59"/>
        <v>0</v>
      </c>
      <c r="O168" s="2">
        <f t="shared" si="60"/>
        <v>0.10000000000000142</v>
      </c>
      <c r="P168" s="2" t="str">
        <f t="shared" si="61"/>
        <v>0</v>
      </c>
      <c r="Q168" s="2" t="str">
        <f t="shared" si="62"/>
        <v>0</v>
      </c>
      <c r="R168" s="2" t="str">
        <f t="shared" si="63"/>
        <v>0</v>
      </c>
      <c r="S168" s="2" t="str">
        <f t="shared" si="64"/>
        <v>0</v>
      </c>
      <c r="T168" s="2">
        <f t="shared" si="65"/>
        <v>0.10000000000000142</v>
      </c>
    </row>
    <row r="169" spans="5:20" x14ac:dyDescent="0.25">
      <c r="E169" s="2">
        <f t="shared" si="50"/>
        <v>0.19999999999999574</v>
      </c>
      <c r="F169" s="2" t="str">
        <f t="shared" si="51"/>
        <v>0</v>
      </c>
      <c r="G169" s="2" t="str">
        <f t="shared" si="52"/>
        <v>0</v>
      </c>
      <c r="H169" s="2" t="str">
        <f t="shared" si="53"/>
        <v>0</v>
      </c>
      <c r="I169" s="2" t="str">
        <f t="shared" si="54"/>
        <v>0</v>
      </c>
      <c r="J169" s="2">
        <f t="shared" si="55"/>
        <v>0.19999999999999574</v>
      </c>
      <c r="K169" s="2" t="str">
        <f t="shared" si="56"/>
        <v>0</v>
      </c>
      <c r="L169" s="2" t="str">
        <f t="shared" si="57"/>
        <v>0</v>
      </c>
      <c r="M169" s="2">
        <f t="shared" si="58"/>
        <v>0.19999999999999574</v>
      </c>
      <c r="N169" s="2" t="str">
        <f t="shared" si="59"/>
        <v>0</v>
      </c>
      <c r="O169" s="2">
        <f t="shared" si="60"/>
        <v>0.19999999999999574</v>
      </c>
      <c r="P169" s="2" t="str">
        <f t="shared" si="61"/>
        <v>0</v>
      </c>
      <c r="Q169" s="2" t="str">
        <f t="shared" si="62"/>
        <v>0</v>
      </c>
      <c r="R169" s="2" t="str">
        <f t="shared" si="63"/>
        <v>0</v>
      </c>
      <c r="S169" s="2" t="str">
        <f t="shared" si="64"/>
        <v>0</v>
      </c>
      <c r="T169" s="2">
        <f t="shared" si="65"/>
        <v>0.19999999999999574</v>
      </c>
    </row>
    <row r="170" spans="5:20" x14ac:dyDescent="0.25">
      <c r="E170" s="2">
        <f t="shared" si="50"/>
        <v>0.10000000000000142</v>
      </c>
      <c r="F170" s="2" t="str">
        <f t="shared" si="51"/>
        <v>0</v>
      </c>
      <c r="G170" s="2" t="str">
        <f t="shared" si="52"/>
        <v>0</v>
      </c>
      <c r="H170" s="2" t="str">
        <f t="shared" si="53"/>
        <v>0</v>
      </c>
      <c r="I170" s="2" t="str">
        <f t="shared" si="54"/>
        <v>0</v>
      </c>
      <c r="J170" s="2">
        <f t="shared" si="55"/>
        <v>0.10000000000000142</v>
      </c>
      <c r="K170" s="2" t="str">
        <f t="shared" si="56"/>
        <v>0</v>
      </c>
      <c r="L170" s="2" t="str">
        <f t="shared" si="57"/>
        <v>0</v>
      </c>
      <c r="M170" s="2">
        <f t="shared" si="58"/>
        <v>0.10000000000000142</v>
      </c>
      <c r="N170" s="2" t="str">
        <f t="shared" si="59"/>
        <v>0</v>
      </c>
      <c r="O170" s="2">
        <f t="shared" si="60"/>
        <v>0.10000000000000142</v>
      </c>
      <c r="P170" s="2" t="str">
        <f t="shared" si="61"/>
        <v>0</v>
      </c>
      <c r="Q170" s="2" t="str">
        <f t="shared" si="62"/>
        <v>0</v>
      </c>
      <c r="R170" s="2" t="str">
        <f t="shared" si="63"/>
        <v>0</v>
      </c>
      <c r="S170" s="2" t="str">
        <f t="shared" si="64"/>
        <v>0</v>
      </c>
      <c r="T170" s="2">
        <f t="shared" si="65"/>
        <v>0.10000000000000142</v>
      </c>
    </row>
    <row r="171" spans="5:20" x14ac:dyDescent="0.25">
      <c r="E171" s="2">
        <f t="shared" si="50"/>
        <v>0.60000000000000142</v>
      </c>
      <c r="F171" s="2" t="str">
        <f t="shared" si="51"/>
        <v>0</v>
      </c>
      <c r="G171" s="2" t="str">
        <f t="shared" si="52"/>
        <v>0</v>
      </c>
      <c r="H171" s="2" t="str">
        <f t="shared" si="53"/>
        <v>0</v>
      </c>
      <c r="I171" s="2" t="str">
        <f t="shared" si="54"/>
        <v>0</v>
      </c>
      <c r="J171" s="2">
        <f t="shared" si="55"/>
        <v>0.60000000000000142</v>
      </c>
      <c r="K171" s="2" t="str">
        <f t="shared" si="56"/>
        <v>0</v>
      </c>
      <c r="L171" s="2" t="str">
        <f t="shared" si="57"/>
        <v>0</v>
      </c>
      <c r="M171" s="2">
        <f t="shared" si="58"/>
        <v>0.60000000000000142</v>
      </c>
      <c r="N171" s="2" t="str">
        <f t="shared" si="59"/>
        <v>0</v>
      </c>
      <c r="O171" s="2">
        <f t="shared" si="60"/>
        <v>0.60000000000000142</v>
      </c>
      <c r="P171" s="2" t="str">
        <f t="shared" si="61"/>
        <v>0</v>
      </c>
      <c r="Q171" s="2" t="str">
        <f t="shared" si="62"/>
        <v>0</v>
      </c>
      <c r="R171" s="2" t="str">
        <f t="shared" si="63"/>
        <v>0</v>
      </c>
      <c r="S171" s="2" t="str">
        <f t="shared" si="64"/>
        <v>0</v>
      </c>
      <c r="T171" s="2">
        <f t="shared" si="65"/>
        <v>0.60000000000000142</v>
      </c>
    </row>
    <row r="172" spans="5:20" x14ac:dyDescent="0.25">
      <c r="E172" s="2">
        <f t="shared" si="50"/>
        <v>0.20000000000000284</v>
      </c>
      <c r="F172" s="2" t="str">
        <f t="shared" si="51"/>
        <v>0</v>
      </c>
      <c r="G172" s="2" t="str">
        <f t="shared" si="52"/>
        <v>0</v>
      </c>
      <c r="H172" s="2" t="str">
        <f t="shared" si="53"/>
        <v>0</v>
      </c>
      <c r="I172" s="2" t="str">
        <f t="shared" si="54"/>
        <v>0</v>
      </c>
      <c r="J172" s="2">
        <f t="shared" si="55"/>
        <v>0.20000000000000284</v>
      </c>
      <c r="K172" s="2" t="str">
        <f t="shared" si="56"/>
        <v>0</v>
      </c>
      <c r="L172" s="2" t="str">
        <f t="shared" si="57"/>
        <v>0</v>
      </c>
      <c r="M172" s="2">
        <f t="shared" si="58"/>
        <v>0.20000000000000284</v>
      </c>
      <c r="N172" s="2" t="str">
        <f t="shared" si="59"/>
        <v>0</v>
      </c>
      <c r="O172" s="2">
        <f t="shared" si="60"/>
        <v>0.20000000000000284</v>
      </c>
      <c r="P172" s="2" t="str">
        <f t="shared" si="61"/>
        <v>0</v>
      </c>
      <c r="Q172" s="2" t="str">
        <f t="shared" si="62"/>
        <v>0</v>
      </c>
      <c r="R172" s="2" t="str">
        <f t="shared" si="63"/>
        <v>0</v>
      </c>
      <c r="S172" s="2" t="str">
        <f t="shared" si="64"/>
        <v>0</v>
      </c>
      <c r="T172" s="2">
        <f t="shared" si="65"/>
        <v>0.20000000000000284</v>
      </c>
    </row>
    <row r="173" spans="5:20" x14ac:dyDescent="0.25">
      <c r="E173" s="2">
        <f t="shared" si="50"/>
        <v>0.39999999999999858</v>
      </c>
      <c r="F173" s="2" t="str">
        <f t="shared" si="51"/>
        <v>0</v>
      </c>
      <c r="G173" s="2" t="str">
        <f t="shared" si="52"/>
        <v>0</v>
      </c>
      <c r="H173" s="2" t="str">
        <f t="shared" si="53"/>
        <v>0</v>
      </c>
      <c r="I173" s="2" t="str">
        <f t="shared" si="54"/>
        <v>0</v>
      </c>
      <c r="J173" s="2">
        <f t="shared" si="55"/>
        <v>0.39999999999999858</v>
      </c>
      <c r="K173" s="2" t="str">
        <f t="shared" si="56"/>
        <v>0</v>
      </c>
      <c r="L173" s="2" t="str">
        <f t="shared" si="57"/>
        <v>0</v>
      </c>
      <c r="M173" s="2">
        <f t="shared" si="58"/>
        <v>0.39999999999999858</v>
      </c>
      <c r="N173" s="2" t="str">
        <f t="shared" si="59"/>
        <v>0</v>
      </c>
      <c r="O173" s="2">
        <f t="shared" si="60"/>
        <v>0.39999999999999858</v>
      </c>
      <c r="P173" s="2" t="str">
        <f t="shared" si="61"/>
        <v>0</v>
      </c>
      <c r="Q173" s="2" t="str">
        <f t="shared" si="62"/>
        <v>0</v>
      </c>
      <c r="R173" s="2" t="str">
        <f t="shared" si="63"/>
        <v>0</v>
      </c>
      <c r="S173" s="2" t="str">
        <f t="shared" si="64"/>
        <v>0</v>
      </c>
      <c r="T173" s="2">
        <f t="shared" si="65"/>
        <v>0.39999999999999858</v>
      </c>
    </row>
    <row r="174" spans="5:20" x14ac:dyDescent="0.25">
      <c r="E174" s="2">
        <f t="shared" si="50"/>
        <v>0.10000000000000142</v>
      </c>
      <c r="F174" s="2" t="str">
        <f t="shared" si="51"/>
        <v>0</v>
      </c>
      <c r="G174" s="2" t="str">
        <f t="shared" si="52"/>
        <v>0</v>
      </c>
      <c r="H174" s="2" t="str">
        <f t="shared" si="53"/>
        <v>0</v>
      </c>
      <c r="I174" s="2" t="str">
        <f t="shared" si="54"/>
        <v>0</v>
      </c>
      <c r="J174" s="2">
        <f t="shared" si="55"/>
        <v>0.10000000000000142</v>
      </c>
      <c r="K174" s="2" t="str">
        <f t="shared" si="56"/>
        <v>0</v>
      </c>
      <c r="L174" s="2" t="str">
        <f t="shared" si="57"/>
        <v>0</v>
      </c>
      <c r="M174" s="2">
        <f t="shared" si="58"/>
        <v>0.10000000000000142</v>
      </c>
      <c r="N174" s="2" t="str">
        <f t="shared" si="59"/>
        <v>0</v>
      </c>
      <c r="O174" s="2">
        <f t="shared" si="60"/>
        <v>0.10000000000000142</v>
      </c>
      <c r="P174" s="2" t="str">
        <f t="shared" si="61"/>
        <v>0</v>
      </c>
      <c r="Q174" s="2" t="str">
        <f t="shared" si="62"/>
        <v>0</v>
      </c>
      <c r="R174" s="2" t="str">
        <f t="shared" si="63"/>
        <v>0</v>
      </c>
      <c r="S174" s="2" t="str">
        <f t="shared" si="64"/>
        <v>0</v>
      </c>
      <c r="T174" s="2">
        <f t="shared" si="65"/>
        <v>0.10000000000000142</v>
      </c>
    </row>
    <row r="175" spans="5:20" x14ac:dyDescent="0.25">
      <c r="E175" s="2">
        <f t="shared" si="50"/>
        <v>3.0999999999999943</v>
      </c>
      <c r="F175" s="2" t="str">
        <f t="shared" si="51"/>
        <v>0</v>
      </c>
      <c r="G175" s="2" t="str">
        <f t="shared" si="52"/>
        <v>0</v>
      </c>
      <c r="H175" s="2" t="str">
        <f t="shared" si="53"/>
        <v>0</v>
      </c>
      <c r="I175" s="2" t="str">
        <f t="shared" si="54"/>
        <v>0</v>
      </c>
      <c r="J175" s="2">
        <f t="shared" si="55"/>
        <v>3.0999999999999943</v>
      </c>
      <c r="K175" s="2" t="str">
        <f t="shared" si="56"/>
        <v>0</v>
      </c>
      <c r="L175" s="2" t="str">
        <f t="shared" si="57"/>
        <v>0</v>
      </c>
      <c r="M175" s="2">
        <f t="shared" si="58"/>
        <v>3.0999999999999943</v>
      </c>
      <c r="N175" s="2" t="str">
        <f t="shared" si="59"/>
        <v>0</v>
      </c>
      <c r="O175" s="2">
        <f t="shared" si="60"/>
        <v>3.0999999999999943</v>
      </c>
      <c r="P175" s="2" t="str">
        <f t="shared" si="61"/>
        <v>0</v>
      </c>
      <c r="Q175" s="2" t="str">
        <f t="shared" si="62"/>
        <v>0</v>
      </c>
      <c r="R175" s="2" t="str">
        <f t="shared" si="63"/>
        <v>0</v>
      </c>
      <c r="S175" s="2" t="str">
        <f t="shared" si="64"/>
        <v>0</v>
      </c>
      <c r="T175" s="2">
        <f t="shared" si="65"/>
        <v>3.0999999999999943</v>
      </c>
    </row>
    <row r="176" spans="5:20" x14ac:dyDescent="0.25">
      <c r="O176" s="2"/>
      <c r="P176" s="2"/>
      <c r="Q176" s="2"/>
      <c r="R176" s="2"/>
      <c r="S176" s="2"/>
      <c r="T176" s="2"/>
    </row>
    <row r="177" spans="15:20" x14ac:dyDescent="0.25">
      <c r="O177" s="2"/>
      <c r="P177" s="2"/>
      <c r="Q177" s="2"/>
      <c r="R177" s="2"/>
      <c r="S177" s="2"/>
      <c r="T177" s="2"/>
    </row>
    <row r="178" spans="15:20" x14ac:dyDescent="0.25">
      <c r="O178" s="2"/>
      <c r="P178" s="2"/>
      <c r="Q178" s="2"/>
      <c r="R178" s="2"/>
      <c r="S178" s="2"/>
      <c r="T178" s="2"/>
    </row>
    <row r="179" spans="15:20" x14ac:dyDescent="0.25">
      <c r="O179" s="2"/>
      <c r="P179" s="2"/>
      <c r="Q179" s="2"/>
      <c r="R179" s="2"/>
      <c r="S179" s="2"/>
      <c r="T179" s="2"/>
    </row>
    <row r="180" spans="15:20" x14ac:dyDescent="0.25">
      <c r="O180" s="2"/>
      <c r="P180" s="2"/>
      <c r="Q180" s="2"/>
      <c r="R180" s="2"/>
      <c r="S180" s="2"/>
      <c r="T180" s="2"/>
    </row>
    <row r="181" spans="15:20" x14ac:dyDescent="0.25">
      <c r="O181" s="2"/>
      <c r="P181" s="2"/>
      <c r="Q181" s="2"/>
      <c r="R181" s="2"/>
      <c r="S181" s="2"/>
      <c r="T181" s="2"/>
    </row>
    <row r="182" spans="15:20" x14ac:dyDescent="0.25">
      <c r="O182" s="2"/>
      <c r="P182" s="2"/>
      <c r="Q182" s="2"/>
      <c r="R182" s="2"/>
      <c r="S182" s="2"/>
      <c r="T182" s="2"/>
    </row>
    <row r="183" spans="15:20" x14ac:dyDescent="0.25">
      <c r="O183" s="2"/>
      <c r="P183" s="2"/>
      <c r="Q183" s="2"/>
      <c r="R183" s="2"/>
      <c r="S183" s="2"/>
      <c r="T183" s="2"/>
    </row>
    <row r="184" spans="15:20" x14ac:dyDescent="0.25">
      <c r="O184" s="2"/>
      <c r="P184" s="2"/>
      <c r="Q184" s="2"/>
      <c r="R184" s="2"/>
      <c r="S184" s="2"/>
      <c r="T184" s="2"/>
    </row>
    <row r="185" spans="15:20" x14ac:dyDescent="0.25">
      <c r="O185" s="2"/>
      <c r="P185" s="2"/>
      <c r="Q185" s="2"/>
      <c r="R185" s="2"/>
      <c r="S185" s="2"/>
      <c r="T185" s="2"/>
    </row>
    <row r="186" spans="15:20" x14ac:dyDescent="0.25">
      <c r="O186" s="2"/>
      <c r="P186" s="2"/>
      <c r="Q186" s="2"/>
      <c r="R186" s="2"/>
      <c r="S186" s="2"/>
      <c r="T186" s="2"/>
    </row>
    <row r="187" spans="15:20" x14ac:dyDescent="0.25">
      <c r="O187" s="2"/>
      <c r="P187" s="2"/>
      <c r="Q187" s="2"/>
      <c r="R187" s="2"/>
      <c r="S187" s="2"/>
      <c r="T187" s="2"/>
    </row>
    <row r="188" spans="15:20" x14ac:dyDescent="0.25">
      <c r="O188" s="2"/>
      <c r="P188" s="2"/>
      <c r="Q188" s="2"/>
      <c r="R188" s="2"/>
      <c r="S188" s="2"/>
      <c r="T188" s="2"/>
    </row>
    <row r="189" spans="15:20" x14ac:dyDescent="0.25">
      <c r="O189" s="2"/>
      <c r="P189" s="2"/>
      <c r="Q189" s="2"/>
      <c r="R189" s="2"/>
      <c r="S189" s="2"/>
      <c r="T189" s="2"/>
    </row>
    <row r="190" spans="15:20" x14ac:dyDescent="0.25">
      <c r="O190" s="2"/>
      <c r="P190" s="2"/>
      <c r="Q190" s="2"/>
      <c r="R190" s="2"/>
      <c r="S190" s="2"/>
      <c r="T190" s="2"/>
    </row>
    <row r="191" spans="15:20" x14ac:dyDescent="0.25">
      <c r="O191" s="2"/>
      <c r="P191" s="2"/>
      <c r="Q191" s="2"/>
      <c r="R191" s="2"/>
      <c r="S191" s="2"/>
      <c r="T191" s="2"/>
    </row>
    <row r="225" spans="5:20" x14ac:dyDescent="0.25">
      <c r="E225" s="2">
        <f t="shared" ref="E225:T225" si="66">SUM(E103:E190)</f>
        <v>50.199999999999996</v>
      </c>
      <c r="F225" s="2">
        <f t="shared" si="66"/>
        <v>0.10000000000000053</v>
      </c>
      <c r="G225" s="2">
        <f t="shared" si="66"/>
        <v>0</v>
      </c>
      <c r="H225" s="2">
        <f t="shared" si="66"/>
        <v>0</v>
      </c>
      <c r="I225" s="2">
        <f t="shared" si="66"/>
        <v>0</v>
      </c>
      <c r="J225" s="2">
        <f t="shared" si="66"/>
        <v>50.3</v>
      </c>
      <c r="K225" s="2">
        <f t="shared" si="66"/>
        <v>0</v>
      </c>
      <c r="L225" s="2">
        <f t="shared" si="66"/>
        <v>0</v>
      </c>
      <c r="M225" s="2">
        <f t="shared" si="66"/>
        <v>50.3</v>
      </c>
      <c r="N225" s="2">
        <f t="shared" si="66"/>
        <v>0</v>
      </c>
      <c r="O225" s="2">
        <f t="shared" si="66"/>
        <v>50.3</v>
      </c>
      <c r="P225" s="2">
        <f t="shared" si="66"/>
        <v>0</v>
      </c>
      <c r="Q225" s="2">
        <f t="shared" si="66"/>
        <v>0</v>
      </c>
      <c r="R225" s="2">
        <f t="shared" si="66"/>
        <v>0</v>
      </c>
      <c r="S225" s="2">
        <f t="shared" si="66"/>
        <v>4.2999999999999954</v>
      </c>
      <c r="T225" s="2">
        <f t="shared" si="66"/>
        <v>46</v>
      </c>
    </row>
  </sheetData>
  <mergeCells count="14">
    <mergeCell ref="R5:T5"/>
    <mergeCell ref="U5:U6"/>
    <mergeCell ref="E96:F96"/>
    <mergeCell ref="J2:K2"/>
    <mergeCell ref="O2:S2"/>
    <mergeCell ref="J5:K5"/>
    <mergeCell ref="L5:N5"/>
    <mergeCell ref="O5:Q5"/>
    <mergeCell ref="Q3:R3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CA07-C6CE-466D-BC1F-6C0F8641EA63}">
  <sheetPr>
    <tabColor theme="2"/>
  </sheetPr>
  <dimension ref="A1:AP71"/>
  <sheetViews>
    <sheetView view="pageBreakPreview" zoomScale="70" zoomScaleNormal="70" zoomScaleSheetLayoutView="70" workbookViewId="0">
      <selection activeCell="C7" sqref="C7"/>
    </sheetView>
  </sheetViews>
  <sheetFormatPr defaultColWidth="8.85546875" defaultRowHeight="15" x14ac:dyDescent="0.25"/>
  <cols>
    <col min="1" max="1" width="32.42578125" style="1" customWidth="1"/>
    <col min="2" max="2" width="14.42578125" style="1" customWidth="1"/>
    <col min="3" max="4" width="12" style="1" customWidth="1"/>
    <col min="5" max="9" width="11.42578125" style="2" customWidth="1"/>
    <col min="10" max="10" width="10.5703125" style="2" bestFit="1" customWidth="1"/>
    <col min="11" max="11" width="14" style="2" bestFit="1" customWidth="1"/>
    <col min="12" max="13" width="12.42578125" style="2" customWidth="1"/>
    <col min="14" max="14" width="10.42578125" style="2" customWidth="1"/>
    <col min="15" max="17" width="13.5703125" style="1" customWidth="1"/>
    <col min="18" max="20" width="14.42578125" style="1" customWidth="1"/>
    <col min="21" max="21" width="42.42578125" style="1" customWidth="1"/>
    <col min="22" max="16384" width="8.85546875" style="1"/>
  </cols>
  <sheetData>
    <row r="1" spans="1:42" ht="19.5" x14ac:dyDescent="0.3">
      <c r="A1" s="3" t="s">
        <v>112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</row>
    <row r="2" spans="1:42" ht="20.25" thickBot="1" x14ac:dyDescent="0.35">
      <c r="A2" s="3"/>
      <c r="B2" s="4"/>
      <c r="C2" s="4"/>
      <c r="D2" s="3" t="s">
        <v>35</v>
      </c>
      <c r="E2" s="5"/>
      <c r="F2" s="5"/>
      <c r="G2" s="5"/>
      <c r="H2" s="5"/>
      <c r="I2" s="6" t="s">
        <v>26</v>
      </c>
      <c r="J2" s="77">
        <f>'214'!J2</f>
        <v>46204</v>
      </c>
      <c r="K2" s="77"/>
      <c r="L2" s="7"/>
      <c r="M2" s="6"/>
      <c r="N2" s="12" t="s">
        <v>27</v>
      </c>
      <c r="O2" s="78" t="str">
        <f>'202'!O2</f>
        <v>ENG. THIAGO TORQUATO</v>
      </c>
      <c r="P2" s="78"/>
      <c r="Q2" s="78"/>
      <c r="R2" s="78"/>
      <c r="S2" s="78"/>
      <c r="T2" s="4"/>
      <c r="U2" s="4"/>
    </row>
    <row r="3" spans="1:42" ht="25.5" x14ac:dyDescent="0.35">
      <c r="A3" s="3" t="s">
        <v>38</v>
      </c>
      <c r="B3" s="31" t="str">
        <f>TT!C15</f>
        <v xml:space="preserve">RODOVIA TO-460/483 - TRECHO BR-242 (VILA QUIXABA) - SUCUPIRA 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81" t="s">
        <v>111</v>
      </c>
      <c r="R3" s="81"/>
      <c r="S3" s="32">
        <v>11</v>
      </c>
      <c r="T3" s="4"/>
      <c r="U3" s="4"/>
    </row>
    <row r="4" spans="1:42" ht="20.25" thickBot="1" x14ac:dyDescent="0.35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</row>
    <row r="5" spans="1:42" s="8" customFormat="1" ht="39" customHeight="1" x14ac:dyDescent="0.25">
      <c r="A5" s="72" t="s">
        <v>0</v>
      </c>
      <c r="B5" s="72" t="s">
        <v>32</v>
      </c>
      <c r="C5" s="79" t="s">
        <v>28</v>
      </c>
      <c r="D5" s="79" t="s">
        <v>29</v>
      </c>
      <c r="E5" s="72" t="s">
        <v>1</v>
      </c>
      <c r="F5" s="72"/>
      <c r="G5" s="72"/>
      <c r="H5" s="72"/>
      <c r="I5" s="72"/>
      <c r="J5" s="72" t="s">
        <v>17</v>
      </c>
      <c r="K5" s="72"/>
      <c r="L5" s="72" t="s">
        <v>31</v>
      </c>
      <c r="M5" s="72"/>
      <c r="N5" s="72"/>
      <c r="O5" s="72" t="s">
        <v>21</v>
      </c>
      <c r="P5" s="72"/>
      <c r="Q5" s="72"/>
      <c r="R5" s="72" t="s">
        <v>24</v>
      </c>
      <c r="S5" s="72"/>
      <c r="T5" s="72"/>
      <c r="U5" s="74" t="s">
        <v>33</v>
      </c>
    </row>
    <row r="6" spans="1:42" s="10" customFormat="1" ht="39" customHeight="1" x14ac:dyDescent="0.25">
      <c r="A6" s="73"/>
      <c r="B6" s="73"/>
      <c r="C6" s="73"/>
      <c r="D6" s="73"/>
      <c r="E6" s="9" t="s">
        <v>2</v>
      </c>
      <c r="F6" s="9" t="s">
        <v>7</v>
      </c>
      <c r="G6" s="9" t="s">
        <v>3</v>
      </c>
      <c r="H6" s="9" t="s">
        <v>4</v>
      </c>
      <c r="I6" s="9" t="s">
        <v>5</v>
      </c>
      <c r="J6" s="9" t="s">
        <v>18</v>
      </c>
      <c r="K6" s="9" t="s">
        <v>34</v>
      </c>
      <c r="L6" s="9" t="s">
        <v>19</v>
      </c>
      <c r="M6" s="9" t="s">
        <v>20</v>
      </c>
      <c r="N6" s="9" t="s">
        <v>30</v>
      </c>
      <c r="O6" s="9" t="s">
        <v>2</v>
      </c>
      <c r="P6" s="9" t="s">
        <v>22</v>
      </c>
      <c r="Q6" s="9" t="s">
        <v>23</v>
      </c>
      <c r="R6" s="9" t="s">
        <v>2</v>
      </c>
      <c r="S6" s="9" t="s">
        <v>25</v>
      </c>
      <c r="T6" s="9" t="s">
        <v>23</v>
      </c>
      <c r="U6" s="75"/>
    </row>
    <row r="7" spans="1:42" ht="36" customHeight="1" x14ac:dyDescent="0.25">
      <c r="A7" s="34" t="s">
        <v>103</v>
      </c>
      <c r="B7" s="34" t="s">
        <v>113</v>
      </c>
      <c r="C7" s="35">
        <v>0</v>
      </c>
      <c r="D7" s="35">
        <v>0.5</v>
      </c>
      <c r="E7" s="34"/>
      <c r="F7" s="34" t="s">
        <v>114</v>
      </c>
      <c r="G7" s="34"/>
      <c r="H7" s="34"/>
      <c r="I7" s="34"/>
      <c r="J7" s="34" t="s">
        <v>114</v>
      </c>
      <c r="K7" s="34"/>
      <c r="L7" s="34" t="s">
        <v>114</v>
      </c>
      <c r="M7" s="34"/>
      <c r="N7" s="34"/>
      <c r="O7" s="34"/>
      <c r="P7" s="34"/>
      <c r="Q7" s="34" t="s">
        <v>114</v>
      </c>
      <c r="R7" s="34"/>
      <c r="S7" s="34"/>
      <c r="T7" s="34" t="s">
        <v>114</v>
      </c>
      <c r="U7" s="36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36" customHeight="1" x14ac:dyDescent="0.25">
      <c r="A8" s="34"/>
      <c r="B8" s="34"/>
      <c r="C8" s="35">
        <f>D7</f>
        <v>0.5</v>
      </c>
      <c r="D8" s="35">
        <v>1</v>
      </c>
      <c r="E8" s="34"/>
      <c r="F8" s="34"/>
      <c r="G8" s="34" t="s">
        <v>114</v>
      </c>
      <c r="H8" s="34"/>
      <c r="I8" s="34"/>
      <c r="J8" s="34" t="s">
        <v>114</v>
      </c>
      <c r="K8" s="34"/>
      <c r="L8" s="34"/>
      <c r="M8" s="34" t="s">
        <v>114</v>
      </c>
      <c r="N8" s="34" t="s">
        <v>114</v>
      </c>
      <c r="O8" s="34"/>
      <c r="P8" s="34" t="s">
        <v>114</v>
      </c>
      <c r="Q8" s="34"/>
      <c r="R8" s="34"/>
      <c r="S8" s="34"/>
      <c r="T8" s="34" t="s">
        <v>114</v>
      </c>
      <c r="U8" s="36"/>
    </row>
    <row r="9" spans="1:42" ht="36" customHeight="1" x14ac:dyDescent="0.25">
      <c r="A9" s="34"/>
      <c r="B9" s="34"/>
      <c r="C9" s="35">
        <f t="shared" ref="C9:C10" si="0">D8</f>
        <v>1</v>
      </c>
      <c r="D9" s="35">
        <v>2</v>
      </c>
      <c r="E9" s="34"/>
      <c r="F9" s="34"/>
      <c r="G9" s="34" t="s">
        <v>114</v>
      </c>
      <c r="H9" s="34"/>
      <c r="I9" s="34"/>
      <c r="J9" s="34" t="s">
        <v>114</v>
      </c>
      <c r="K9" s="34"/>
      <c r="L9" s="34"/>
      <c r="M9" s="34" t="s">
        <v>114</v>
      </c>
      <c r="N9" s="34" t="s">
        <v>114</v>
      </c>
      <c r="O9" s="34"/>
      <c r="P9" s="34" t="s">
        <v>114</v>
      </c>
      <c r="Q9" s="34"/>
      <c r="R9" s="34"/>
      <c r="S9" s="34"/>
      <c r="T9" s="34" t="s">
        <v>114</v>
      </c>
      <c r="U9" s="36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2" ht="36" customHeight="1" x14ac:dyDescent="0.25">
      <c r="A10" s="34"/>
      <c r="B10" s="34"/>
      <c r="C10" s="35">
        <f t="shared" si="0"/>
        <v>2</v>
      </c>
      <c r="D10" s="35">
        <v>14.04</v>
      </c>
      <c r="E10" s="34"/>
      <c r="F10" s="34" t="s">
        <v>114</v>
      </c>
      <c r="G10" s="34" t="s">
        <v>114</v>
      </c>
      <c r="H10" s="34"/>
      <c r="I10" s="34"/>
      <c r="J10" s="34" t="s">
        <v>114</v>
      </c>
      <c r="K10" s="34"/>
      <c r="L10" s="34"/>
      <c r="M10" s="34" t="s">
        <v>114</v>
      </c>
      <c r="N10" s="34" t="s">
        <v>114</v>
      </c>
      <c r="O10" s="34"/>
      <c r="P10" s="34" t="s">
        <v>114</v>
      </c>
      <c r="Q10" s="34"/>
      <c r="R10" s="34"/>
      <c r="S10" s="34"/>
      <c r="T10" s="34" t="s">
        <v>114</v>
      </c>
      <c r="U10" s="36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2" ht="36" customHeight="1" x14ac:dyDescent="0.25">
      <c r="A11" s="34" t="s">
        <v>105</v>
      </c>
      <c r="B11" s="34" t="s">
        <v>113</v>
      </c>
      <c r="C11" s="35">
        <v>0</v>
      </c>
      <c r="D11" s="35">
        <v>0.98</v>
      </c>
      <c r="E11" s="34"/>
      <c r="F11" s="34"/>
      <c r="G11" s="34" t="s">
        <v>114</v>
      </c>
      <c r="H11" s="34"/>
      <c r="I11" s="34"/>
      <c r="J11" s="34" t="s">
        <v>114</v>
      </c>
      <c r="K11" s="34"/>
      <c r="L11" s="34" t="s">
        <v>114</v>
      </c>
      <c r="M11" s="34"/>
      <c r="N11" s="34" t="s">
        <v>114</v>
      </c>
      <c r="O11" s="34"/>
      <c r="P11" s="34"/>
      <c r="Q11" s="34" t="s">
        <v>114</v>
      </c>
      <c r="R11" s="34"/>
      <c r="S11" s="34"/>
      <c r="T11" s="34" t="s">
        <v>114</v>
      </c>
      <c r="U11" s="36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2" ht="36" customHeight="1" x14ac:dyDescent="0.25">
      <c r="A12" s="34"/>
      <c r="B12" s="34"/>
      <c r="C12" s="35"/>
      <c r="D12" s="35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6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2" ht="36" customHeight="1" x14ac:dyDescent="0.25">
      <c r="A13" s="34"/>
      <c r="B13" s="34"/>
      <c r="C13" s="35"/>
      <c r="D13" s="35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6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2" ht="36" customHeight="1" x14ac:dyDescent="0.25">
      <c r="A14" s="34"/>
      <c r="B14" s="34"/>
      <c r="C14" s="35"/>
      <c r="D14" s="35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6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2" ht="36" customHeight="1" x14ac:dyDescent="0.25">
      <c r="A15" s="34"/>
      <c r="B15" s="34"/>
      <c r="C15" s="35"/>
      <c r="D15" s="35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6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2" ht="36" customHeight="1" x14ac:dyDescent="0.25">
      <c r="A16" s="34"/>
      <c r="B16" s="34"/>
      <c r="C16" s="35"/>
      <c r="D16" s="35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6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36" customHeight="1" x14ac:dyDescent="0.25">
      <c r="A17" s="34"/>
      <c r="B17" s="34"/>
      <c r="C17" s="35"/>
      <c r="D17" s="35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6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36" customHeight="1" x14ac:dyDescent="0.25">
      <c r="A18" s="34"/>
      <c r="B18" s="34"/>
      <c r="C18" s="35"/>
      <c r="D18" s="35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6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36" customHeight="1" x14ac:dyDescent="0.25">
      <c r="A19" s="34"/>
      <c r="B19" s="34"/>
      <c r="C19" s="35"/>
      <c r="D19" s="35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6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36" customHeight="1" x14ac:dyDescent="0.25">
      <c r="A20" s="34"/>
      <c r="B20" s="34"/>
      <c r="C20" s="35"/>
      <c r="D20" s="35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6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36" customHeight="1" x14ac:dyDescent="0.25">
      <c r="A21" s="34"/>
      <c r="B21" s="34"/>
      <c r="C21" s="35"/>
      <c r="D21" s="35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6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36" customHeight="1" x14ac:dyDescent="0.25">
      <c r="A22" s="34"/>
      <c r="B22" s="34"/>
      <c r="C22" s="35"/>
      <c r="D22" s="35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6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36" customHeight="1" x14ac:dyDescent="0.25">
      <c r="A23" s="34"/>
      <c r="B23" s="34"/>
      <c r="C23" s="35"/>
      <c r="D23" s="35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6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36" customHeight="1" x14ac:dyDescent="0.25">
      <c r="A24" s="34"/>
      <c r="B24" s="34"/>
      <c r="C24" s="35"/>
      <c r="D24" s="35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6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36" customHeight="1" x14ac:dyDescent="0.25">
      <c r="A25" s="34"/>
      <c r="B25" s="34"/>
      <c r="C25" s="35"/>
      <c r="D25" s="35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6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36" customHeight="1" x14ac:dyDescent="0.25">
      <c r="A26" s="34"/>
      <c r="B26" s="34"/>
      <c r="C26" s="35"/>
      <c r="D26" s="35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6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36" customHeight="1" x14ac:dyDescent="0.25">
      <c r="A27" s="34"/>
      <c r="B27" s="34"/>
      <c r="C27" s="35"/>
      <c r="D27" s="35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6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36" customHeight="1" x14ac:dyDescent="0.25">
      <c r="A28" s="34"/>
      <c r="B28" s="34"/>
      <c r="C28" s="35"/>
      <c r="D28" s="35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6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36" customHeight="1" x14ac:dyDescent="0.25">
      <c r="A29" s="34"/>
      <c r="B29" s="34"/>
      <c r="C29" s="35"/>
      <c r="D29" s="35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6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36" customHeight="1" thickBot="1" x14ac:dyDescent="0.3">
      <c r="A30" s="37"/>
      <c r="B30" s="37"/>
      <c r="C30" s="38"/>
      <c r="D30" s="3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9"/>
    </row>
    <row r="32" spans="1:40" ht="19.5" x14ac:dyDescent="0.3">
      <c r="A32" s="4" t="s">
        <v>6</v>
      </c>
      <c r="B32" s="11" t="s">
        <v>1</v>
      </c>
      <c r="C32" s="5"/>
      <c r="D32" s="5"/>
      <c r="E32" s="76"/>
      <c r="F32" s="76"/>
    </row>
    <row r="33" spans="1:20" ht="19.5" x14ac:dyDescent="0.3">
      <c r="A33" s="4" t="s">
        <v>8</v>
      </c>
      <c r="B33" s="4" t="s">
        <v>9</v>
      </c>
      <c r="E33" s="4" t="s">
        <v>13</v>
      </c>
      <c r="F33" s="4"/>
      <c r="G33" s="4"/>
      <c r="I33" s="4" t="s">
        <v>4</v>
      </c>
      <c r="J33" s="4" t="s">
        <v>11</v>
      </c>
      <c r="K33" s="1"/>
      <c r="L33" s="1"/>
      <c r="M33" s="4" t="s">
        <v>15</v>
      </c>
      <c r="N33" s="4"/>
      <c r="O33" s="4"/>
    </row>
    <row r="34" spans="1:20" ht="19.5" x14ac:dyDescent="0.3">
      <c r="A34" s="4" t="s">
        <v>3</v>
      </c>
      <c r="B34" s="4" t="s">
        <v>10</v>
      </c>
      <c r="E34" s="4" t="s">
        <v>14</v>
      </c>
      <c r="F34" s="4"/>
      <c r="G34" s="4"/>
      <c r="I34" s="4" t="s">
        <v>5</v>
      </c>
      <c r="J34" s="4" t="s">
        <v>12</v>
      </c>
      <c r="K34" s="1"/>
      <c r="L34" s="1"/>
      <c r="M34" s="4" t="s">
        <v>16</v>
      </c>
      <c r="N34" s="4"/>
      <c r="O34" s="4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>
        <f>IF(F7="X",(D7-C7),"0")</f>
        <v>0.5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0.5</v>
      </c>
      <c r="K39" s="2" t="str">
        <f>IF(K7="X",(D7-C7),"0")</f>
        <v>0</v>
      </c>
      <c r="L39" s="2">
        <f>IF(L7="X",(D7-C7),"0")</f>
        <v>0.5</v>
      </c>
      <c r="M39" s="2" t="str">
        <f>IF(M7="X",(D7-C7),"0")</f>
        <v>0</v>
      </c>
      <c r="N39" s="2" t="str">
        <f>IF(N7="X",(D7-C7),"0")</f>
        <v>0</v>
      </c>
      <c r="O39" s="2" t="str">
        <f>IF(O7="X",(D7-C7),"0")</f>
        <v>0</v>
      </c>
      <c r="P39" s="2" t="str">
        <f>IF(P7="X",(D7-C7),"0")</f>
        <v>0</v>
      </c>
      <c r="Q39" s="2">
        <f>IF(Q7="X",(D7-C7),"0")</f>
        <v>0.5</v>
      </c>
      <c r="R39" s="2" t="str">
        <f>IF(R7="X",(D7-C7),"0")</f>
        <v>0</v>
      </c>
      <c r="S39" s="2" t="str">
        <f>IF(S7="X",(D7-C7),"0")</f>
        <v>0</v>
      </c>
      <c r="T39" s="2">
        <f>IF(T7="X",(D7-C7),"0")</f>
        <v>0.5</v>
      </c>
    </row>
    <row r="40" spans="1:20" x14ac:dyDescent="0.25">
      <c r="E40" s="2" t="str">
        <f t="shared" ref="E40:E61" si="1">IF(E8="X",(D8-C8),"0")</f>
        <v>0</v>
      </c>
      <c r="F40" s="2" t="str">
        <f t="shared" ref="F40:F61" si="2">IF(F8="X",(D8-C8),"0")</f>
        <v>0</v>
      </c>
      <c r="G40" s="2">
        <f t="shared" ref="G40:G61" si="3">IF(G8="X",(D8-C8),"0")</f>
        <v>0.5</v>
      </c>
      <c r="H40" s="2" t="str">
        <f t="shared" ref="H40:H61" si="4">IF(H8="X",(D8-C8),"0")</f>
        <v>0</v>
      </c>
      <c r="I40" s="2" t="str">
        <f t="shared" ref="I40:I61" si="5">IF(I8="X",(D8-C8),"0")</f>
        <v>0</v>
      </c>
      <c r="J40" s="2">
        <f t="shared" ref="J40:J61" si="6">IF(J8="X",(D8-C8),"0")</f>
        <v>0.5</v>
      </c>
      <c r="K40" s="2" t="str">
        <f t="shared" ref="K40:K61" si="7">IF(K8="X",(D8-C8),"0")</f>
        <v>0</v>
      </c>
      <c r="L40" s="2" t="str">
        <f t="shared" ref="L40:L61" si="8">IF(L8="X",(D8-C8),"0")</f>
        <v>0</v>
      </c>
      <c r="M40" s="2">
        <f t="shared" ref="M40:M61" si="9">IF(M8="X",(D8-C8),"0")</f>
        <v>0.5</v>
      </c>
      <c r="N40" s="2">
        <f t="shared" ref="N40:N61" si="10">IF(N8="X",(D8-C8),"0")</f>
        <v>0.5</v>
      </c>
      <c r="O40" s="2" t="str">
        <f t="shared" ref="O40:O61" si="11">IF(O8="X",(D8-C8),"0")</f>
        <v>0</v>
      </c>
      <c r="P40" s="2">
        <f t="shared" ref="P40:P61" si="12">IF(P8="X",(D8-C8),"0")</f>
        <v>0.5</v>
      </c>
      <c r="Q40" s="2" t="str">
        <f t="shared" ref="Q40:Q61" si="13">IF(Q8="X",(D8-C8),"0")</f>
        <v>0</v>
      </c>
      <c r="R40" s="2" t="str">
        <f t="shared" ref="R40:R61" si="14">IF(R8="X",(D8-C8),"0")</f>
        <v>0</v>
      </c>
      <c r="S40" s="2" t="str">
        <f t="shared" ref="S40:S61" si="15">IF(S8="X",(D8-C8),"0")</f>
        <v>0</v>
      </c>
      <c r="T40" s="2">
        <f t="shared" ref="T40:T61" si="16">IF(T8="X",(D8-C8),"0")</f>
        <v>0.5</v>
      </c>
    </row>
    <row r="41" spans="1:20" x14ac:dyDescent="0.25">
      <c r="E41" s="2" t="str">
        <f t="shared" si="1"/>
        <v>0</v>
      </c>
      <c r="F41" s="2" t="str">
        <f t="shared" si="2"/>
        <v>0</v>
      </c>
      <c r="G41" s="2">
        <f t="shared" si="3"/>
        <v>1</v>
      </c>
      <c r="H41" s="2" t="str">
        <f t="shared" si="4"/>
        <v>0</v>
      </c>
      <c r="I41" s="2" t="str">
        <f t="shared" si="5"/>
        <v>0</v>
      </c>
      <c r="J41" s="2">
        <f t="shared" si="6"/>
        <v>1</v>
      </c>
      <c r="K41" s="2" t="str">
        <f t="shared" si="7"/>
        <v>0</v>
      </c>
      <c r="L41" s="2" t="str">
        <f t="shared" si="8"/>
        <v>0</v>
      </c>
      <c r="M41" s="2">
        <f t="shared" si="9"/>
        <v>1</v>
      </c>
      <c r="N41" s="2">
        <f t="shared" si="10"/>
        <v>1</v>
      </c>
      <c r="O41" s="2" t="str">
        <f t="shared" si="11"/>
        <v>0</v>
      </c>
      <c r="P41" s="2">
        <f t="shared" si="12"/>
        <v>1</v>
      </c>
      <c r="Q41" s="2" t="str">
        <f t="shared" si="13"/>
        <v>0</v>
      </c>
      <c r="R41" s="2" t="str">
        <f t="shared" si="14"/>
        <v>0</v>
      </c>
      <c r="S41" s="2" t="str">
        <f t="shared" si="15"/>
        <v>0</v>
      </c>
      <c r="T41" s="2">
        <f t="shared" si="16"/>
        <v>1</v>
      </c>
    </row>
    <row r="42" spans="1:20" x14ac:dyDescent="0.25">
      <c r="E42" s="2" t="str">
        <f t="shared" si="1"/>
        <v>0</v>
      </c>
      <c r="F42" s="2">
        <f t="shared" si="2"/>
        <v>12.04</v>
      </c>
      <c r="G42" s="2">
        <f t="shared" si="3"/>
        <v>12.04</v>
      </c>
      <c r="H42" s="2" t="str">
        <f t="shared" si="4"/>
        <v>0</v>
      </c>
      <c r="I42" s="2" t="str">
        <f t="shared" si="5"/>
        <v>0</v>
      </c>
      <c r="J42" s="2">
        <f t="shared" si="6"/>
        <v>12.04</v>
      </c>
      <c r="K42" s="2" t="str">
        <f t="shared" si="7"/>
        <v>0</v>
      </c>
      <c r="L42" s="2" t="str">
        <f t="shared" si="8"/>
        <v>0</v>
      </c>
      <c r="M42" s="2">
        <f t="shared" si="9"/>
        <v>12.04</v>
      </c>
      <c r="N42" s="2">
        <f t="shared" si="10"/>
        <v>12.04</v>
      </c>
      <c r="O42" s="2" t="str">
        <f t="shared" si="11"/>
        <v>0</v>
      </c>
      <c r="P42" s="2">
        <f t="shared" si="12"/>
        <v>12.04</v>
      </c>
      <c r="Q42" s="2" t="str">
        <f t="shared" si="13"/>
        <v>0</v>
      </c>
      <c r="R42" s="2" t="str">
        <f t="shared" si="14"/>
        <v>0</v>
      </c>
      <c r="S42" s="2" t="str">
        <f t="shared" si="15"/>
        <v>0</v>
      </c>
      <c r="T42" s="2">
        <f t="shared" si="16"/>
        <v>12.04</v>
      </c>
    </row>
    <row r="43" spans="1:20" x14ac:dyDescent="0.25">
      <c r="E43" s="2" t="str">
        <f t="shared" si="1"/>
        <v>0</v>
      </c>
      <c r="F43" s="2" t="str">
        <f t="shared" si="2"/>
        <v>0</v>
      </c>
      <c r="G43" s="2">
        <f t="shared" si="3"/>
        <v>0.98</v>
      </c>
      <c r="H43" s="2" t="str">
        <f t="shared" si="4"/>
        <v>0</v>
      </c>
      <c r="I43" s="2" t="str">
        <f t="shared" si="5"/>
        <v>0</v>
      </c>
      <c r="J43" s="2">
        <f t="shared" si="6"/>
        <v>0.98</v>
      </c>
      <c r="K43" s="2" t="str">
        <f t="shared" si="7"/>
        <v>0</v>
      </c>
      <c r="L43" s="2">
        <f t="shared" si="8"/>
        <v>0.98</v>
      </c>
      <c r="M43" s="2" t="str">
        <f t="shared" si="9"/>
        <v>0</v>
      </c>
      <c r="N43" s="2">
        <f t="shared" si="10"/>
        <v>0.98</v>
      </c>
      <c r="O43" s="2" t="str">
        <f t="shared" si="11"/>
        <v>0</v>
      </c>
      <c r="P43" s="2" t="str">
        <f t="shared" si="12"/>
        <v>0</v>
      </c>
      <c r="Q43" s="2">
        <f t="shared" si="13"/>
        <v>0.98</v>
      </c>
      <c r="R43" s="2" t="str">
        <f t="shared" si="14"/>
        <v>0</v>
      </c>
      <c r="S43" s="2" t="str">
        <f t="shared" si="15"/>
        <v>0</v>
      </c>
      <c r="T43" s="2">
        <f t="shared" si="16"/>
        <v>0.98</v>
      </c>
    </row>
    <row r="44" spans="1:20" x14ac:dyDescent="0.25">
      <c r="E44" s="2" t="str">
        <f t="shared" si="1"/>
        <v>0</v>
      </c>
      <c r="F44" s="2" t="str">
        <f t="shared" si="2"/>
        <v>0</v>
      </c>
      <c r="G44" s="2" t="str">
        <f t="shared" si="3"/>
        <v>0</v>
      </c>
      <c r="H44" s="2" t="str">
        <f t="shared" si="4"/>
        <v>0</v>
      </c>
      <c r="I44" s="2" t="str">
        <f t="shared" si="5"/>
        <v>0</v>
      </c>
      <c r="J44" s="2" t="str">
        <f t="shared" si="6"/>
        <v>0</v>
      </c>
      <c r="K44" s="2" t="str">
        <f t="shared" si="7"/>
        <v>0</v>
      </c>
      <c r="L44" s="2" t="str">
        <f t="shared" si="8"/>
        <v>0</v>
      </c>
      <c r="M44" s="2" t="str">
        <f t="shared" si="9"/>
        <v>0</v>
      </c>
      <c r="N44" s="2" t="str">
        <f t="shared" si="10"/>
        <v>0</v>
      </c>
      <c r="O44" s="2" t="str">
        <f t="shared" si="11"/>
        <v>0</v>
      </c>
      <c r="P44" s="2" t="str">
        <f t="shared" si="12"/>
        <v>0</v>
      </c>
      <c r="Q44" s="2" t="str">
        <f t="shared" si="13"/>
        <v>0</v>
      </c>
      <c r="R44" s="2" t="str">
        <f t="shared" si="14"/>
        <v>0</v>
      </c>
      <c r="S44" s="2" t="str">
        <f t="shared" si="15"/>
        <v>0</v>
      </c>
      <c r="T44" s="2" t="str">
        <f t="shared" si="16"/>
        <v>0</v>
      </c>
    </row>
    <row r="45" spans="1:20" x14ac:dyDescent="0.25">
      <c r="E45" s="2" t="str">
        <f t="shared" si="1"/>
        <v>0</v>
      </c>
      <c r="F45" s="2" t="str">
        <f t="shared" si="2"/>
        <v>0</v>
      </c>
      <c r="G45" s="2" t="str">
        <f t="shared" si="3"/>
        <v>0</v>
      </c>
      <c r="H45" s="2" t="str">
        <f t="shared" si="4"/>
        <v>0</v>
      </c>
      <c r="I45" s="2" t="str">
        <f t="shared" si="5"/>
        <v>0</v>
      </c>
      <c r="J45" s="2" t="str">
        <f t="shared" si="6"/>
        <v>0</v>
      </c>
      <c r="K45" s="2" t="str">
        <f t="shared" si="7"/>
        <v>0</v>
      </c>
      <c r="L45" s="2" t="str">
        <f t="shared" si="8"/>
        <v>0</v>
      </c>
      <c r="M45" s="2" t="str">
        <f t="shared" si="9"/>
        <v>0</v>
      </c>
      <c r="N45" s="2" t="str">
        <f t="shared" si="10"/>
        <v>0</v>
      </c>
      <c r="O45" s="2" t="str">
        <f t="shared" si="11"/>
        <v>0</v>
      </c>
      <c r="P45" s="2" t="str">
        <f t="shared" si="12"/>
        <v>0</v>
      </c>
      <c r="Q45" s="2" t="str">
        <f t="shared" si="13"/>
        <v>0</v>
      </c>
      <c r="R45" s="2" t="str">
        <f t="shared" si="14"/>
        <v>0</v>
      </c>
      <c r="S45" s="2" t="str">
        <f t="shared" si="15"/>
        <v>0</v>
      </c>
      <c r="T45" s="2" t="str">
        <f t="shared" si="16"/>
        <v>0</v>
      </c>
    </row>
    <row r="46" spans="1:20" x14ac:dyDescent="0.25">
      <c r="E46" s="2" t="str">
        <f t="shared" si="1"/>
        <v>0</v>
      </c>
      <c r="F46" s="2" t="str">
        <f t="shared" si="2"/>
        <v>0</v>
      </c>
      <c r="G46" s="2" t="str">
        <f t="shared" si="3"/>
        <v>0</v>
      </c>
      <c r="H46" s="2" t="str">
        <f t="shared" si="4"/>
        <v>0</v>
      </c>
      <c r="I46" s="2" t="str">
        <f t="shared" si="5"/>
        <v>0</v>
      </c>
      <c r="J46" s="2" t="str">
        <f t="shared" si="6"/>
        <v>0</v>
      </c>
      <c r="K46" s="2" t="str">
        <f t="shared" si="7"/>
        <v>0</v>
      </c>
      <c r="L46" s="2" t="str">
        <f t="shared" si="8"/>
        <v>0</v>
      </c>
      <c r="M46" s="2" t="str">
        <f t="shared" si="9"/>
        <v>0</v>
      </c>
      <c r="N46" s="2" t="str">
        <f t="shared" si="10"/>
        <v>0</v>
      </c>
      <c r="O46" s="2" t="str">
        <f t="shared" si="11"/>
        <v>0</v>
      </c>
      <c r="P46" s="2" t="str">
        <f t="shared" si="12"/>
        <v>0</v>
      </c>
      <c r="Q46" s="2" t="str">
        <f t="shared" si="13"/>
        <v>0</v>
      </c>
      <c r="R46" s="2" t="str">
        <f t="shared" si="14"/>
        <v>0</v>
      </c>
      <c r="S46" s="2" t="str">
        <f t="shared" si="15"/>
        <v>0</v>
      </c>
      <c r="T46" s="2" t="str">
        <f t="shared" si="16"/>
        <v>0</v>
      </c>
    </row>
    <row r="47" spans="1:20" x14ac:dyDescent="0.25">
      <c r="E47" s="2" t="str">
        <f t="shared" si="1"/>
        <v>0</v>
      </c>
      <c r="F47" s="2" t="str">
        <f t="shared" si="2"/>
        <v>0</v>
      </c>
      <c r="G47" s="2" t="str">
        <f t="shared" si="3"/>
        <v>0</v>
      </c>
      <c r="H47" s="2" t="str">
        <f t="shared" si="4"/>
        <v>0</v>
      </c>
      <c r="I47" s="2" t="str">
        <f t="shared" si="5"/>
        <v>0</v>
      </c>
      <c r="J47" s="2" t="str">
        <f t="shared" si="6"/>
        <v>0</v>
      </c>
      <c r="K47" s="2" t="str">
        <f t="shared" si="7"/>
        <v>0</v>
      </c>
      <c r="L47" s="2" t="str">
        <f t="shared" si="8"/>
        <v>0</v>
      </c>
      <c r="M47" s="2" t="str">
        <f t="shared" si="9"/>
        <v>0</v>
      </c>
      <c r="N47" s="2" t="str">
        <f t="shared" si="10"/>
        <v>0</v>
      </c>
      <c r="O47" s="2" t="str">
        <f t="shared" si="11"/>
        <v>0</v>
      </c>
      <c r="P47" s="2" t="str">
        <f t="shared" si="12"/>
        <v>0</v>
      </c>
      <c r="Q47" s="2" t="str">
        <f t="shared" si="13"/>
        <v>0</v>
      </c>
      <c r="R47" s="2" t="str">
        <f t="shared" si="14"/>
        <v>0</v>
      </c>
      <c r="S47" s="2" t="str">
        <f t="shared" si="15"/>
        <v>0</v>
      </c>
      <c r="T47" s="2" t="str">
        <f t="shared" si="16"/>
        <v>0</v>
      </c>
    </row>
    <row r="48" spans="1:20" x14ac:dyDescent="0.25">
      <c r="E48" s="2" t="str">
        <f t="shared" si="1"/>
        <v>0</v>
      </c>
      <c r="F48" s="2" t="str">
        <f t="shared" si="2"/>
        <v>0</v>
      </c>
      <c r="G48" s="2" t="str">
        <f t="shared" si="3"/>
        <v>0</v>
      </c>
      <c r="H48" s="2" t="str">
        <f t="shared" si="4"/>
        <v>0</v>
      </c>
      <c r="I48" s="2" t="str">
        <f t="shared" si="5"/>
        <v>0</v>
      </c>
      <c r="J48" s="2" t="str">
        <f t="shared" si="6"/>
        <v>0</v>
      </c>
      <c r="K48" s="2" t="str">
        <f t="shared" si="7"/>
        <v>0</v>
      </c>
      <c r="L48" s="2" t="str">
        <f t="shared" si="8"/>
        <v>0</v>
      </c>
      <c r="M48" s="2" t="str">
        <f t="shared" si="9"/>
        <v>0</v>
      </c>
      <c r="N48" s="2" t="str">
        <f t="shared" si="10"/>
        <v>0</v>
      </c>
      <c r="O48" s="2" t="str">
        <f t="shared" si="11"/>
        <v>0</v>
      </c>
      <c r="P48" s="2" t="str">
        <f t="shared" si="12"/>
        <v>0</v>
      </c>
      <c r="Q48" s="2" t="str">
        <f t="shared" si="13"/>
        <v>0</v>
      </c>
      <c r="R48" s="2" t="str">
        <f t="shared" si="14"/>
        <v>0</v>
      </c>
      <c r="S48" s="2" t="str">
        <f t="shared" si="15"/>
        <v>0</v>
      </c>
      <c r="T48" s="2" t="str">
        <f t="shared" si="16"/>
        <v>0</v>
      </c>
    </row>
    <row r="49" spans="5:20" x14ac:dyDescent="0.25">
      <c r="E49" s="2" t="str">
        <f t="shared" si="1"/>
        <v>0</v>
      </c>
      <c r="F49" s="2" t="str">
        <f t="shared" si="2"/>
        <v>0</v>
      </c>
      <c r="G49" s="2" t="str">
        <f t="shared" si="3"/>
        <v>0</v>
      </c>
      <c r="H49" s="2" t="str">
        <f t="shared" si="4"/>
        <v>0</v>
      </c>
      <c r="I49" s="2" t="str">
        <f t="shared" si="5"/>
        <v>0</v>
      </c>
      <c r="J49" s="2" t="str">
        <f t="shared" si="6"/>
        <v>0</v>
      </c>
      <c r="K49" s="2" t="str">
        <f t="shared" si="7"/>
        <v>0</v>
      </c>
      <c r="L49" s="2" t="str">
        <f t="shared" si="8"/>
        <v>0</v>
      </c>
      <c r="M49" s="2" t="str">
        <f t="shared" si="9"/>
        <v>0</v>
      </c>
      <c r="N49" s="2" t="str">
        <f t="shared" si="10"/>
        <v>0</v>
      </c>
      <c r="O49" s="2" t="str">
        <f t="shared" si="11"/>
        <v>0</v>
      </c>
      <c r="P49" s="2" t="str">
        <f t="shared" si="12"/>
        <v>0</v>
      </c>
      <c r="Q49" s="2" t="str">
        <f t="shared" si="13"/>
        <v>0</v>
      </c>
      <c r="R49" s="2" t="str">
        <f t="shared" si="14"/>
        <v>0</v>
      </c>
      <c r="S49" s="2" t="str">
        <f t="shared" si="15"/>
        <v>0</v>
      </c>
      <c r="T49" s="2" t="str">
        <f t="shared" si="16"/>
        <v>0</v>
      </c>
    </row>
    <row r="50" spans="5:20" x14ac:dyDescent="0.25">
      <c r="E50" s="2" t="str">
        <f t="shared" si="1"/>
        <v>0</v>
      </c>
      <c r="F50" s="2" t="str">
        <f t="shared" si="2"/>
        <v>0</v>
      </c>
      <c r="G50" s="2" t="str">
        <f t="shared" si="3"/>
        <v>0</v>
      </c>
      <c r="H50" s="2" t="str">
        <f t="shared" si="4"/>
        <v>0</v>
      </c>
      <c r="I50" s="2" t="str">
        <f t="shared" si="5"/>
        <v>0</v>
      </c>
      <c r="J50" s="2" t="str">
        <f t="shared" si="6"/>
        <v>0</v>
      </c>
      <c r="K50" s="2" t="str">
        <f t="shared" si="7"/>
        <v>0</v>
      </c>
      <c r="L50" s="2" t="str">
        <f t="shared" si="8"/>
        <v>0</v>
      </c>
      <c r="M50" s="2" t="str">
        <f t="shared" si="9"/>
        <v>0</v>
      </c>
      <c r="N50" s="2" t="str">
        <f t="shared" si="10"/>
        <v>0</v>
      </c>
      <c r="O50" s="2" t="str">
        <f t="shared" si="11"/>
        <v>0</v>
      </c>
      <c r="P50" s="2" t="str">
        <f t="shared" si="12"/>
        <v>0</v>
      </c>
      <c r="Q50" s="2" t="str">
        <f t="shared" si="13"/>
        <v>0</v>
      </c>
      <c r="R50" s="2" t="str">
        <f t="shared" si="14"/>
        <v>0</v>
      </c>
      <c r="S50" s="2" t="str">
        <f t="shared" si="15"/>
        <v>0</v>
      </c>
      <c r="T50" s="2" t="str">
        <f t="shared" si="16"/>
        <v>0</v>
      </c>
    </row>
    <row r="51" spans="5:20" x14ac:dyDescent="0.25">
      <c r="E51" s="2" t="str">
        <f t="shared" si="1"/>
        <v>0</v>
      </c>
      <c r="F51" s="2" t="str">
        <f t="shared" si="2"/>
        <v>0</v>
      </c>
      <c r="G51" s="2" t="str">
        <f t="shared" si="3"/>
        <v>0</v>
      </c>
      <c r="H51" s="2" t="str">
        <f t="shared" si="4"/>
        <v>0</v>
      </c>
      <c r="I51" s="2" t="str">
        <f t="shared" si="5"/>
        <v>0</v>
      </c>
      <c r="J51" s="2" t="str">
        <f t="shared" si="6"/>
        <v>0</v>
      </c>
      <c r="K51" s="2" t="str">
        <f t="shared" si="7"/>
        <v>0</v>
      </c>
      <c r="L51" s="2" t="str">
        <f t="shared" si="8"/>
        <v>0</v>
      </c>
      <c r="M51" s="2" t="str">
        <f t="shared" si="9"/>
        <v>0</v>
      </c>
      <c r="N51" s="2" t="str">
        <f t="shared" si="10"/>
        <v>0</v>
      </c>
      <c r="O51" s="2" t="str">
        <f t="shared" si="11"/>
        <v>0</v>
      </c>
      <c r="P51" s="2" t="str">
        <f t="shared" si="12"/>
        <v>0</v>
      </c>
      <c r="Q51" s="2" t="str">
        <f t="shared" si="13"/>
        <v>0</v>
      </c>
      <c r="R51" s="2" t="str">
        <f t="shared" si="14"/>
        <v>0</v>
      </c>
      <c r="S51" s="2" t="str">
        <f t="shared" si="15"/>
        <v>0</v>
      </c>
      <c r="T51" s="2" t="str">
        <f t="shared" si="16"/>
        <v>0</v>
      </c>
    </row>
    <row r="52" spans="5:20" x14ac:dyDescent="0.25">
      <c r="E52" s="2" t="str">
        <f t="shared" si="1"/>
        <v>0</v>
      </c>
      <c r="F52" s="2" t="str">
        <f t="shared" si="2"/>
        <v>0</v>
      </c>
      <c r="G52" s="2" t="str">
        <f t="shared" si="3"/>
        <v>0</v>
      </c>
      <c r="H52" s="2" t="str">
        <f t="shared" si="4"/>
        <v>0</v>
      </c>
      <c r="I52" s="2" t="str">
        <f t="shared" si="5"/>
        <v>0</v>
      </c>
      <c r="J52" s="2" t="str">
        <f t="shared" si="6"/>
        <v>0</v>
      </c>
      <c r="K52" s="2" t="str">
        <f t="shared" si="7"/>
        <v>0</v>
      </c>
      <c r="L52" s="2" t="str">
        <f t="shared" si="8"/>
        <v>0</v>
      </c>
      <c r="M52" s="2" t="str">
        <f t="shared" si="9"/>
        <v>0</v>
      </c>
      <c r="N52" s="2" t="str">
        <f t="shared" si="10"/>
        <v>0</v>
      </c>
      <c r="O52" s="2" t="str">
        <f t="shared" si="11"/>
        <v>0</v>
      </c>
      <c r="P52" s="2" t="str">
        <f t="shared" si="12"/>
        <v>0</v>
      </c>
      <c r="Q52" s="2" t="str">
        <f t="shared" si="13"/>
        <v>0</v>
      </c>
      <c r="R52" s="2" t="str">
        <f t="shared" si="14"/>
        <v>0</v>
      </c>
      <c r="S52" s="2" t="str">
        <f t="shared" si="15"/>
        <v>0</v>
      </c>
      <c r="T52" s="2" t="str">
        <f t="shared" si="16"/>
        <v>0</v>
      </c>
    </row>
    <row r="53" spans="5:20" x14ac:dyDescent="0.25">
      <c r="E53" s="2" t="str">
        <f t="shared" si="1"/>
        <v>0</v>
      </c>
      <c r="F53" s="2" t="str">
        <f t="shared" si="2"/>
        <v>0</v>
      </c>
      <c r="G53" s="2" t="str">
        <f t="shared" si="3"/>
        <v>0</v>
      </c>
      <c r="H53" s="2" t="str">
        <f t="shared" si="4"/>
        <v>0</v>
      </c>
      <c r="I53" s="2" t="str">
        <f t="shared" si="5"/>
        <v>0</v>
      </c>
      <c r="J53" s="2" t="str">
        <f t="shared" si="6"/>
        <v>0</v>
      </c>
      <c r="K53" s="2" t="str">
        <f t="shared" si="7"/>
        <v>0</v>
      </c>
      <c r="L53" s="2" t="str">
        <f t="shared" si="8"/>
        <v>0</v>
      </c>
      <c r="M53" s="2" t="str">
        <f t="shared" si="9"/>
        <v>0</v>
      </c>
      <c r="N53" s="2" t="str">
        <f t="shared" si="10"/>
        <v>0</v>
      </c>
      <c r="O53" s="2" t="str">
        <f t="shared" si="11"/>
        <v>0</v>
      </c>
      <c r="P53" s="2" t="str">
        <f t="shared" si="12"/>
        <v>0</v>
      </c>
      <c r="Q53" s="2" t="str">
        <f t="shared" si="13"/>
        <v>0</v>
      </c>
      <c r="R53" s="2" t="str">
        <f t="shared" si="14"/>
        <v>0</v>
      </c>
      <c r="S53" s="2" t="str">
        <f t="shared" si="15"/>
        <v>0</v>
      </c>
      <c r="T53" s="2" t="str">
        <f t="shared" si="16"/>
        <v>0</v>
      </c>
    </row>
    <row r="54" spans="5:20" x14ac:dyDescent="0.25">
      <c r="E54" s="2" t="str">
        <f t="shared" si="1"/>
        <v>0</v>
      </c>
      <c r="F54" s="2" t="str">
        <f t="shared" si="2"/>
        <v>0</v>
      </c>
      <c r="G54" s="2" t="str">
        <f t="shared" si="3"/>
        <v>0</v>
      </c>
      <c r="H54" s="2" t="str">
        <f t="shared" si="4"/>
        <v>0</v>
      </c>
      <c r="I54" s="2" t="str">
        <f t="shared" si="5"/>
        <v>0</v>
      </c>
      <c r="J54" s="2" t="str">
        <f t="shared" si="6"/>
        <v>0</v>
      </c>
      <c r="K54" s="2" t="str">
        <f t="shared" si="7"/>
        <v>0</v>
      </c>
      <c r="L54" s="2" t="str">
        <f t="shared" si="8"/>
        <v>0</v>
      </c>
      <c r="M54" s="2" t="str">
        <f t="shared" si="9"/>
        <v>0</v>
      </c>
      <c r="N54" s="2" t="str">
        <f t="shared" si="10"/>
        <v>0</v>
      </c>
      <c r="O54" s="2" t="str">
        <f t="shared" si="11"/>
        <v>0</v>
      </c>
      <c r="P54" s="2" t="str">
        <f t="shared" si="12"/>
        <v>0</v>
      </c>
      <c r="Q54" s="2" t="str">
        <f t="shared" si="13"/>
        <v>0</v>
      </c>
      <c r="R54" s="2" t="str">
        <f t="shared" si="14"/>
        <v>0</v>
      </c>
      <c r="S54" s="2" t="str">
        <f t="shared" si="15"/>
        <v>0</v>
      </c>
      <c r="T54" s="2" t="str">
        <f t="shared" si="16"/>
        <v>0</v>
      </c>
    </row>
    <row r="55" spans="5:20" x14ac:dyDescent="0.25">
      <c r="E55" s="2" t="str">
        <f t="shared" si="1"/>
        <v>0</v>
      </c>
      <c r="F55" s="2" t="str">
        <f t="shared" si="2"/>
        <v>0</v>
      </c>
      <c r="G55" s="2" t="str">
        <f t="shared" si="3"/>
        <v>0</v>
      </c>
      <c r="H55" s="2" t="str">
        <f t="shared" si="4"/>
        <v>0</v>
      </c>
      <c r="I55" s="2" t="str">
        <f t="shared" si="5"/>
        <v>0</v>
      </c>
      <c r="J55" s="2" t="str">
        <f t="shared" si="6"/>
        <v>0</v>
      </c>
      <c r="K55" s="2" t="str">
        <f t="shared" si="7"/>
        <v>0</v>
      </c>
      <c r="L55" s="2" t="str">
        <f t="shared" si="8"/>
        <v>0</v>
      </c>
      <c r="M55" s="2" t="str">
        <f t="shared" si="9"/>
        <v>0</v>
      </c>
      <c r="N55" s="2" t="str">
        <f t="shared" si="10"/>
        <v>0</v>
      </c>
      <c r="O55" s="2" t="str">
        <f t="shared" si="11"/>
        <v>0</v>
      </c>
      <c r="P55" s="2" t="str">
        <f t="shared" si="12"/>
        <v>0</v>
      </c>
      <c r="Q55" s="2" t="str">
        <f t="shared" si="13"/>
        <v>0</v>
      </c>
      <c r="R55" s="2" t="str">
        <f t="shared" si="14"/>
        <v>0</v>
      </c>
      <c r="S55" s="2" t="str">
        <f t="shared" si="15"/>
        <v>0</v>
      </c>
      <c r="T55" s="2" t="str">
        <f t="shared" si="16"/>
        <v>0</v>
      </c>
    </row>
    <row r="56" spans="5:20" x14ac:dyDescent="0.25">
      <c r="E56" s="2" t="str">
        <f t="shared" si="1"/>
        <v>0</v>
      </c>
      <c r="F56" s="2" t="str">
        <f t="shared" si="2"/>
        <v>0</v>
      </c>
      <c r="G56" s="2" t="str">
        <f t="shared" si="3"/>
        <v>0</v>
      </c>
      <c r="H56" s="2" t="str">
        <f t="shared" si="4"/>
        <v>0</v>
      </c>
      <c r="I56" s="2" t="str">
        <f t="shared" si="5"/>
        <v>0</v>
      </c>
      <c r="J56" s="2" t="str">
        <f t="shared" si="6"/>
        <v>0</v>
      </c>
      <c r="K56" s="2" t="str">
        <f t="shared" si="7"/>
        <v>0</v>
      </c>
      <c r="L56" s="2" t="str">
        <f t="shared" si="8"/>
        <v>0</v>
      </c>
      <c r="M56" s="2" t="str">
        <f t="shared" si="9"/>
        <v>0</v>
      </c>
      <c r="N56" s="2" t="str">
        <f t="shared" si="10"/>
        <v>0</v>
      </c>
      <c r="O56" s="2" t="str">
        <f t="shared" si="11"/>
        <v>0</v>
      </c>
      <c r="P56" s="2" t="str">
        <f t="shared" si="12"/>
        <v>0</v>
      </c>
      <c r="Q56" s="2" t="str">
        <f t="shared" si="13"/>
        <v>0</v>
      </c>
      <c r="R56" s="2" t="str">
        <f t="shared" si="14"/>
        <v>0</v>
      </c>
      <c r="S56" s="2" t="str">
        <f t="shared" si="15"/>
        <v>0</v>
      </c>
      <c r="T56" s="2" t="str">
        <f t="shared" si="16"/>
        <v>0</v>
      </c>
    </row>
    <row r="57" spans="5:20" x14ac:dyDescent="0.25">
      <c r="E57" s="2" t="str">
        <f t="shared" si="1"/>
        <v>0</v>
      </c>
      <c r="F57" s="2" t="str">
        <f t="shared" si="2"/>
        <v>0</v>
      </c>
      <c r="G57" s="2" t="str">
        <f t="shared" si="3"/>
        <v>0</v>
      </c>
      <c r="H57" s="2" t="str">
        <f t="shared" si="4"/>
        <v>0</v>
      </c>
      <c r="I57" s="2" t="str">
        <f t="shared" si="5"/>
        <v>0</v>
      </c>
      <c r="J57" s="2" t="str">
        <f t="shared" si="6"/>
        <v>0</v>
      </c>
      <c r="K57" s="2" t="str">
        <f t="shared" si="7"/>
        <v>0</v>
      </c>
      <c r="L57" s="2" t="str">
        <f t="shared" si="8"/>
        <v>0</v>
      </c>
      <c r="M57" s="2" t="str">
        <f t="shared" si="9"/>
        <v>0</v>
      </c>
      <c r="N57" s="2" t="str">
        <f t="shared" si="10"/>
        <v>0</v>
      </c>
      <c r="O57" s="2" t="str">
        <f t="shared" si="11"/>
        <v>0</v>
      </c>
      <c r="P57" s="2" t="str">
        <f t="shared" si="12"/>
        <v>0</v>
      </c>
      <c r="Q57" s="2" t="str">
        <f t="shared" si="13"/>
        <v>0</v>
      </c>
      <c r="R57" s="2" t="str">
        <f t="shared" si="14"/>
        <v>0</v>
      </c>
      <c r="S57" s="2" t="str">
        <f t="shared" si="15"/>
        <v>0</v>
      </c>
      <c r="T57" s="2" t="str">
        <f t="shared" si="16"/>
        <v>0</v>
      </c>
    </row>
    <row r="58" spans="5:20" x14ac:dyDescent="0.25">
      <c r="E58" s="2" t="str">
        <f t="shared" si="1"/>
        <v>0</v>
      </c>
      <c r="F58" s="2" t="str">
        <f t="shared" si="2"/>
        <v>0</v>
      </c>
      <c r="G58" s="2" t="str">
        <f t="shared" si="3"/>
        <v>0</v>
      </c>
      <c r="H58" s="2" t="str">
        <f t="shared" si="4"/>
        <v>0</v>
      </c>
      <c r="I58" s="2" t="str">
        <f t="shared" si="5"/>
        <v>0</v>
      </c>
      <c r="J58" s="2" t="str">
        <f t="shared" si="6"/>
        <v>0</v>
      </c>
      <c r="K58" s="2" t="str">
        <f t="shared" si="7"/>
        <v>0</v>
      </c>
      <c r="L58" s="2" t="str">
        <f t="shared" si="8"/>
        <v>0</v>
      </c>
      <c r="M58" s="2" t="str">
        <f t="shared" si="9"/>
        <v>0</v>
      </c>
      <c r="N58" s="2" t="str">
        <f t="shared" si="10"/>
        <v>0</v>
      </c>
      <c r="O58" s="2" t="str">
        <f t="shared" si="11"/>
        <v>0</v>
      </c>
      <c r="P58" s="2" t="str">
        <f t="shared" si="12"/>
        <v>0</v>
      </c>
      <c r="Q58" s="2" t="str">
        <f t="shared" si="13"/>
        <v>0</v>
      </c>
      <c r="R58" s="2" t="str">
        <f t="shared" si="14"/>
        <v>0</v>
      </c>
      <c r="S58" s="2" t="str">
        <f t="shared" si="15"/>
        <v>0</v>
      </c>
      <c r="T58" s="2" t="str">
        <f t="shared" si="16"/>
        <v>0</v>
      </c>
    </row>
    <row r="59" spans="5:20" x14ac:dyDescent="0.25">
      <c r="E59" s="2" t="str">
        <f t="shared" si="1"/>
        <v>0</v>
      </c>
      <c r="F59" s="2" t="str">
        <f t="shared" si="2"/>
        <v>0</v>
      </c>
      <c r="G59" s="2" t="str">
        <f t="shared" si="3"/>
        <v>0</v>
      </c>
      <c r="H59" s="2" t="str">
        <f t="shared" si="4"/>
        <v>0</v>
      </c>
      <c r="I59" s="2" t="str">
        <f t="shared" si="5"/>
        <v>0</v>
      </c>
      <c r="J59" s="2" t="str">
        <f t="shared" si="6"/>
        <v>0</v>
      </c>
      <c r="K59" s="2" t="str">
        <f t="shared" si="7"/>
        <v>0</v>
      </c>
      <c r="L59" s="2" t="str">
        <f t="shared" si="8"/>
        <v>0</v>
      </c>
      <c r="M59" s="2" t="str">
        <f t="shared" si="9"/>
        <v>0</v>
      </c>
      <c r="N59" s="2" t="str">
        <f t="shared" si="10"/>
        <v>0</v>
      </c>
      <c r="O59" s="2" t="str">
        <f t="shared" si="11"/>
        <v>0</v>
      </c>
      <c r="P59" s="2" t="str">
        <f t="shared" si="12"/>
        <v>0</v>
      </c>
      <c r="Q59" s="2" t="str">
        <f t="shared" si="13"/>
        <v>0</v>
      </c>
      <c r="R59" s="2" t="str">
        <f t="shared" si="14"/>
        <v>0</v>
      </c>
      <c r="S59" s="2" t="str">
        <f t="shared" si="15"/>
        <v>0</v>
      </c>
      <c r="T59" s="2" t="str">
        <f t="shared" si="16"/>
        <v>0</v>
      </c>
    </row>
    <row r="60" spans="5:20" x14ac:dyDescent="0.25">
      <c r="E60" s="2" t="str">
        <f t="shared" si="1"/>
        <v>0</v>
      </c>
      <c r="F60" s="2" t="str">
        <f t="shared" si="2"/>
        <v>0</v>
      </c>
      <c r="G60" s="2" t="str">
        <f t="shared" si="3"/>
        <v>0</v>
      </c>
      <c r="H60" s="2" t="str">
        <f t="shared" si="4"/>
        <v>0</v>
      </c>
      <c r="I60" s="2" t="str">
        <f t="shared" si="5"/>
        <v>0</v>
      </c>
      <c r="J60" s="2" t="str">
        <f t="shared" si="6"/>
        <v>0</v>
      </c>
      <c r="K60" s="2" t="str">
        <f t="shared" si="7"/>
        <v>0</v>
      </c>
      <c r="L60" s="2" t="str">
        <f t="shared" si="8"/>
        <v>0</v>
      </c>
      <c r="M60" s="2" t="str">
        <f t="shared" si="9"/>
        <v>0</v>
      </c>
      <c r="N60" s="2" t="str">
        <f t="shared" si="10"/>
        <v>0</v>
      </c>
      <c r="O60" s="2" t="str">
        <f t="shared" si="11"/>
        <v>0</v>
      </c>
      <c r="P60" s="2" t="str">
        <f t="shared" si="12"/>
        <v>0</v>
      </c>
      <c r="Q60" s="2" t="str">
        <f t="shared" si="13"/>
        <v>0</v>
      </c>
      <c r="R60" s="2" t="str">
        <f t="shared" si="14"/>
        <v>0</v>
      </c>
      <c r="S60" s="2" t="str">
        <f t="shared" si="15"/>
        <v>0</v>
      </c>
      <c r="T60" s="2" t="str">
        <f t="shared" si="16"/>
        <v>0</v>
      </c>
    </row>
    <row r="61" spans="5:20" x14ac:dyDescent="0.25">
      <c r="E61" s="2" t="str">
        <f t="shared" si="1"/>
        <v>0</v>
      </c>
      <c r="F61" s="2" t="str">
        <f t="shared" si="2"/>
        <v>0</v>
      </c>
      <c r="G61" s="2" t="str">
        <f t="shared" si="3"/>
        <v>0</v>
      </c>
      <c r="H61" s="2" t="str">
        <f t="shared" si="4"/>
        <v>0</v>
      </c>
      <c r="I61" s="2" t="str">
        <f t="shared" si="5"/>
        <v>0</v>
      </c>
      <c r="J61" s="2" t="str">
        <f t="shared" si="6"/>
        <v>0</v>
      </c>
      <c r="K61" s="2" t="str">
        <f t="shared" si="7"/>
        <v>0</v>
      </c>
      <c r="L61" s="2" t="str">
        <f t="shared" si="8"/>
        <v>0</v>
      </c>
      <c r="M61" s="2" t="str">
        <f t="shared" si="9"/>
        <v>0</v>
      </c>
      <c r="N61" s="2" t="str">
        <f t="shared" si="10"/>
        <v>0</v>
      </c>
      <c r="O61" s="2" t="str">
        <f t="shared" si="11"/>
        <v>0</v>
      </c>
      <c r="P61" s="2" t="str">
        <f t="shared" si="12"/>
        <v>0</v>
      </c>
      <c r="Q61" s="2" t="str">
        <f t="shared" si="13"/>
        <v>0</v>
      </c>
      <c r="R61" s="2" t="str">
        <f t="shared" si="14"/>
        <v>0</v>
      </c>
      <c r="S61" s="2" t="str">
        <f t="shared" si="15"/>
        <v>0</v>
      </c>
      <c r="T61" s="2" t="str">
        <f t="shared" si="16"/>
        <v>0</v>
      </c>
    </row>
    <row r="62" spans="5:20" x14ac:dyDescent="0.25">
      <c r="O62" s="2"/>
      <c r="P62" s="2"/>
      <c r="Q62" s="2"/>
      <c r="R62" s="2"/>
      <c r="S62" s="2"/>
      <c r="T62" s="2"/>
    </row>
    <row r="63" spans="5:20" x14ac:dyDescent="0.25">
      <c r="O63" s="2"/>
      <c r="P63" s="2"/>
      <c r="Q63" s="2"/>
      <c r="R63" s="2"/>
      <c r="S63" s="2"/>
      <c r="T63" s="2"/>
    </row>
    <row r="64" spans="5:20" x14ac:dyDescent="0.25">
      <c r="O64" s="2"/>
      <c r="P64" s="2"/>
      <c r="Q64" s="2"/>
      <c r="R64" s="2"/>
      <c r="S64" s="2"/>
      <c r="T64" s="2"/>
    </row>
    <row r="65" spans="5:20" x14ac:dyDescent="0.25">
      <c r="O65" s="2"/>
      <c r="P65" s="2"/>
      <c r="Q65" s="2"/>
      <c r="R65" s="2"/>
      <c r="S65" s="2"/>
      <c r="T65" s="2"/>
    </row>
    <row r="66" spans="5:20" x14ac:dyDescent="0.25">
      <c r="O66" s="2"/>
      <c r="P66" s="2"/>
      <c r="Q66" s="2"/>
      <c r="R66" s="2"/>
      <c r="S66" s="2"/>
      <c r="T66" s="2"/>
    </row>
    <row r="67" spans="5:20" x14ac:dyDescent="0.25">
      <c r="O67" s="2"/>
      <c r="P67" s="2"/>
      <c r="Q67" s="2"/>
      <c r="R67" s="2"/>
      <c r="S67" s="2"/>
      <c r="T67" s="2"/>
    </row>
    <row r="68" spans="5:20" x14ac:dyDescent="0.25">
      <c r="O68" s="2"/>
      <c r="P68" s="2"/>
      <c r="Q68" s="2"/>
      <c r="R68" s="2"/>
      <c r="S68" s="2"/>
      <c r="T68" s="2"/>
    </row>
    <row r="69" spans="5:20" x14ac:dyDescent="0.25">
      <c r="O69" s="2"/>
      <c r="P69" s="2"/>
      <c r="Q69" s="2"/>
      <c r="R69" s="2"/>
      <c r="S69" s="2"/>
      <c r="T69" s="2"/>
    </row>
    <row r="70" spans="5:20" x14ac:dyDescent="0.25">
      <c r="O70" s="2"/>
      <c r="P70" s="2"/>
      <c r="Q70" s="2"/>
      <c r="R70" s="2"/>
      <c r="S70" s="2"/>
      <c r="T70" s="2"/>
    </row>
    <row r="71" spans="5:20" x14ac:dyDescent="0.25">
      <c r="E71" s="2">
        <f t="shared" ref="E71:T71" si="17">SUM(E39:E70)</f>
        <v>0</v>
      </c>
      <c r="F71" s="2">
        <f t="shared" si="17"/>
        <v>12.54</v>
      </c>
      <c r="G71" s="2">
        <f t="shared" si="17"/>
        <v>14.52</v>
      </c>
      <c r="H71" s="2">
        <f t="shared" si="17"/>
        <v>0</v>
      </c>
      <c r="I71" s="2">
        <f t="shared" si="17"/>
        <v>0</v>
      </c>
      <c r="J71" s="2">
        <f t="shared" si="17"/>
        <v>15.02</v>
      </c>
      <c r="K71" s="2">
        <f t="shared" si="17"/>
        <v>0</v>
      </c>
      <c r="L71" s="2">
        <f t="shared" si="17"/>
        <v>1.48</v>
      </c>
      <c r="M71" s="2">
        <f t="shared" si="17"/>
        <v>13.54</v>
      </c>
      <c r="N71" s="2">
        <f t="shared" si="17"/>
        <v>14.52</v>
      </c>
      <c r="O71" s="2">
        <f t="shared" si="17"/>
        <v>0</v>
      </c>
      <c r="P71" s="2">
        <f t="shared" si="17"/>
        <v>13.54</v>
      </c>
      <c r="Q71" s="2">
        <f t="shared" si="17"/>
        <v>1.48</v>
      </c>
      <c r="R71" s="2">
        <f t="shared" si="17"/>
        <v>0</v>
      </c>
      <c r="S71" s="2">
        <f t="shared" si="17"/>
        <v>0</v>
      </c>
      <c r="T71" s="2">
        <f t="shared" si="17"/>
        <v>15.02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Q3:R3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E8D5-260B-4EFB-B075-2F47FFE620FA}">
  <dimension ref="B1:AK30"/>
  <sheetViews>
    <sheetView view="pageBreakPreview" zoomScale="70" zoomScaleNormal="55" zoomScaleSheetLayoutView="70" workbookViewId="0">
      <selection activeCell="I11" sqref="I11"/>
    </sheetView>
  </sheetViews>
  <sheetFormatPr defaultRowHeight="15" x14ac:dyDescent="0.25"/>
  <cols>
    <col min="2" max="2" width="16.5703125" customWidth="1"/>
    <col min="3" max="3" width="77.42578125" customWidth="1"/>
    <col min="4" max="4" width="12" bestFit="1" customWidth="1"/>
    <col min="5" max="5" width="12.42578125" bestFit="1" customWidth="1"/>
    <col min="6" max="7" width="11.42578125" customWidth="1"/>
    <col min="8" max="8" width="14.5703125" bestFit="1" customWidth="1"/>
    <col min="9" max="9" width="12" bestFit="1" customWidth="1"/>
    <col min="10" max="10" width="14" bestFit="1" customWidth="1"/>
    <col min="11" max="12" width="12.42578125" customWidth="1"/>
    <col min="13" max="13" width="12" bestFit="1" customWidth="1"/>
    <col min="14" max="16" width="13.5703125" customWidth="1"/>
    <col min="17" max="19" width="14.42578125" customWidth="1"/>
  </cols>
  <sheetData>
    <row r="1" spans="2:37" ht="15.75" thickBot="1" x14ac:dyDescent="0.3"/>
    <row r="2" spans="2:37" ht="20.25" x14ac:dyDescent="0.25">
      <c r="B2" s="82" t="s">
        <v>36</v>
      </c>
      <c r="C2" s="84" t="s">
        <v>37</v>
      </c>
      <c r="D2" s="72" t="s">
        <v>1</v>
      </c>
      <c r="E2" s="72"/>
      <c r="F2" s="72"/>
      <c r="G2" s="72"/>
      <c r="H2" s="72"/>
      <c r="I2" s="72" t="s">
        <v>17</v>
      </c>
      <c r="J2" s="72"/>
      <c r="K2" s="72" t="s">
        <v>31</v>
      </c>
      <c r="L2" s="72"/>
      <c r="M2" s="72"/>
      <c r="N2" s="72" t="s">
        <v>21</v>
      </c>
      <c r="O2" s="72"/>
      <c r="P2" s="72"/>
      <c r="Q2" s="72" t="s">
        <v>24</v>
      </c>
      <c r="R2" s="72"/>
      <c r="S2" s="74"/>
    </row>
    <row r="3" spans="2:37" ht="20.25" x14ac:dyDescent="0.25">
      <c r="B3" s="83"/>
      <c r="C3" s="85"/>
      <c r="D3" s="9" t="s">
        <v>2</v>
      </c>
      <c r="E3" s="9" t="s">
        <v>7</v>
      </c>
      <c r="F3" s="9" t="s">
        <v>3</v>
      </c>
      <c r="G3" s="9" t="s">
        <v>4</v>
      </c>
      <c r="H3" s="9" t="s">
        <v>5</v>
      </c>
      <c r="I3" s="9" t="s">
        <v>18</v>
      </c>
      <c r="J3" s="9" t="s">
        <v>34</v>
      </c>
      <c r="K3" s="9" t="s">
        <v>19</v>
      </c>
      <c r="L3" s="9" t="s">
        <v>20</v>
      </c>
      <c r="M3" s="9" t="s">
        <v>30</v>
      </c>
      <c r="N3" s="9" t="s">
        <v>2</v>
      </c>
      <c r="O3" s="9" t="s">
        <v>22</v>
      </c>
      <c r="P3" s="9" t="s">
        <v>23</v>
      </c>
      <c r="Q3" s="9" t="s">
        <v>2</v>
      </c>
      <c r="R3" s="9" t="s">
        <v>25</v>
      </c>
      <c r="S3" s="13" t="s">
        <v>23</v>
      </c>
    </row>
    <row r="4" spans="2:37" ht="30" customHeight="1" x14ac:dyDescent="0.25">
      <c r="B4" s="17">
        <v>202</v>
      </c>
      <c r="C4" s="14" t="s">
        <v>39</v>
      </c>
      <c r="D4" s="16">
        <f>'202'!E154</f>
        <v>0</v>
      </c>
      <c r="E4" s="16">
        <f>'202'!F154</f>
        <v>81.600000000000023</v>
      </c>
      <c r="F4" s="16">
        <f>'202'!G154</f>
        <v>17.500000000000007</v>
      </c>
      <c r="G4" s="16">
        <f>'202'!H154</f>
        <v>8.9999999999999893</v>
      </c>
      <c r="H4" s="16">
        <f>'202'!I154</f>
        <v>7.099999999999997</v>
      </c>
      <c r="I4" s="16">
        <f>'202'!J154</f>
        <v>25.659999999999997</v>
      </c>
      <c r="J4" s="16">
        <f>'202'!K154</f>
        <v>76.739999999999995</v>
      </c>
      <c r="K4" s="16">
        <f>'202'!L154</f>
        <v>0</v>
      </c>
      <c r="L4" s="16">
        <f>'202'!M154</f>
        <v>101.24999999999999</v>
      </c>
      <c r="M4" s="16">
        <f>'202'!N154</f>
        <v>0</v>
      </c>
      <c r="N4" s="16">
        <f>'202'!O154</f>
        <v>0</v>
      </c>
      <c r="O4" s="16">
        <f>'202'!P154</f>
        <v>102.39999999999999</v>
      </c>
      <c r="P4" s="16">
        <f>'202'!Q154</f>
        <v>0</v>
      </c>
      <c r="Q4" s="16">
        <f>'202'!R154</f>
        <v>0</v>
      </c>
      <c r="R4" s="16">
        <f>'202'!S154</f>
        <v>102.39999999999999</v>
      </c>
      <c r="S4" s="18">
        <f>'202'!T154</f>
        <v>0</v>
      </c>
    </row>
    <row r="5" spans="2:37" ht="30" customHeight="1" x14ac:dyDescent="0.25">
      <c r="B5" s="69">
        <v>203</v>
      </c>
      <c r="C5" s="70" t="s">
        <v>40</v>
      </c>
      <c r="D5" s="16">
        <f>'203'!E128</f>
        <v>0</v>
      </c>
      <c r="E5" s="16">
        <f>'203'!F128</f>
        <v>0</v>
      </c>
      <c r="F5" s="16">
        <f>'203'!G128</f>
        <v>1.1499999999999999</v>
      </c>
      <c r="G5" s="16">
        <f>'203'!H128</f>
        <v>0</v>
      </c>
      <c r="H5" s="16">
        <f>'203'!I128</f>
        <v>0</v>
      </c>
      <c r="I5" s="16">
        <f>'203'!J128</f>
        <v>1.1499999999999999</v>
      </c>
      <c r="J5" s="16">
        <f>'203'!K128</f>
        <v>0</v>
      </c>
      <c r="K5" s="16">
        <f>'203'!L128</f>
        <v>1.1499999999999999</v>
      </c>
      <c r="L5" s="16">
        <f>'203'!M128</f>
        <v>0</v>
      </c>
      <c r="M5" s="16">
        <f>'203'!N128</f>
        <v>0</v>
      </c>
      <c r="N5" s="16">
        <f>'203'!O128</f>
        <v>0</v>
      </c>
      <c r="O5" s="16">
        <f>'203'!P128</f>
        <v>1.1499999999999999</v>
      </c>
      <c r="P5" s="16">
        <f>'203'!Q128</f>
        <v>0</v>
      </c>
      <c r="Q5" s="16">
        <f>'203'!R128</f>
        <v>0</v>
      </c>
      <c r="R5" s="16">
        <f>'203'!S128</f>
        <v>1.1499999999999999</v>
      </c>
      <c r="S5" s="18">
        <f>'203'!T128</f>
        <v>0</v>
      </c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</row>
    <row r="6" spans="2:37" ht="30" customHeight="1" x14ac:dyDescent="0.25">
      <c r="B6" s="69">
        <v>204</v>
      </c>
      <c r="C6" s="70" t="s">
        <v>41</v>
      </c>
      <c r="D6" s="16">
        <f>'204'!E61</f>
        <v>0</v>
      </c>
      <c r="E6" s="16">
        <f>'204'!F61</f>
        <v>57.8</v>
      </c>
      <c r="F6" s="16">
        <f>'204'!G61</f>
        <v>1.9500000000000008</v>
      </c>
      <c r="G6" s="16">
        <f>'204'!H61</f>
        <v>0</v>
      </c>
      <c r="H6" s="16">
        <f>'204'!I61</f>
        <v>0</v>
      </c>
      <c r="I6" s="16">
        <f>'204'!J61</f>
        <v>59.75</v>
      </c>
      <c r="J6" s="16">
        <f>'204'!K61</f>
        <v>0</v>
      </c>
      <c r="K6" s="16">
        <f>'204'!L61</f>
        <v>0.99</v>
      </c>
      <c r="L6" s="16">
        <f>'204'!M61</f>
        <v>58.76</v>
      </c>
      <c r="M6" s="16">
        <f>'204'!N61</f>
        <v>0</v>
      </c>
      <c r="N6" s="16">
        <f>'204'!O61</f>
        <v>0</v>
      </c>
      <c r="O6" s="16">
        <f>'204'!P61</f>
        <v>58.76</v>
      </c>
      <c r="P6" s="16">
        <f>'204'!Q61</f>
        <v>0.99</v>
      </c>
      <c r="Q6" s="16">
        <f>'204'!R61</f>
        <v>0</v>
      </c>
      <c r="R6" s="16">
        <f>'204'!S61</f>
        <v>59.75</v>
      </c>
      <c r="S6" s="18">
        <f>'204'!T61</f>
        <v>0</v>
      </c>
      <c r="U6" s="25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</row>
    <row r="7" spans="2:37" ht="30" customHeight="1" x14ac:dyDescent="0.25">
      <c r="B7" s="69">
        <v>205</v>
      </c>
      <c r="C7" s="70" t="s">
        <v>42</v>
      </c>
      <c r="D7" s="16">
        <f>'205'!E84</f>
        <v>27.940000000000005</v>
      </c>
      <c r="E7" s="16">
        <f>'205'!F84</f>
        <v>8.9</v>
      </c>
      <c r="F7" s="16">
        <f>'205'!G84</f>
        <v>10</v>
      </c>
      <c r="G7" s="16">
        <f>'205'!H84</f>
        <v>0</v>
      </c>
      <c r="H7" s="16">
        <f>'205'!I84</f>
        <v>0</v>
      </c>
      <c r="I7" s="16">
        <f>'205'!J84</f>
        <v>46.84</v>
      </c>
      <c r="J7" s="16">
        <f>'205'!K84</f>
        <v>0</v>
      </c>
      <c r="K7" s="16">
        <f>'205'!L84</f>
        <v>0</v>
      </c>
      <c r="L7" s="16">
        <f>'205'!M84</f>
        <v>46.84</v>
      </c>
      <c r="M7" s="16">
        <f>'205'!N84</f>
        <v>0</v>
      </c>
      <c r="N7" s="16">
        <f>'205'!O84</f>
        <v>46.84</v>
      </c>
      <c r="O7" s="16">
        <f>'205'!P84</f>
        <v>0</v>
      </c>
      <c r="P7" s="16">
        <f>'205'!Q84</f>
        <v>0</v>
      </c>
      <c r="Q7" s="16">
        <f>'205'!R84</f>
        <v>0</v>
      </c>
      <c r="R7" s="16">
        <f>'205'!S84</f>
        <v>46.84</v>
      </c>
      <c r="S7" s="18">
        <f>'205'!T84</f>
        <v>0</v>
      </c>
      <c r="U7" s="25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</row>
    <row r="8" spans="2:37" ht="30" customHeight="1" x14ac:dyDescent="0.25">
      <c r="B8" s="61">
        <v>206</v>
      </c>
      <c r="C8" s="70" t="s">
        <v>43</v>
      </c>
      <c r="D8" s="16">
        <f>'206'!E113</f>
        <v>6.3000000000000007</v>
      </c>
      <c r="E8" s="16">
        <f>'206'!F113</f>
        <v>47.69</v>
      </c>
      <c r="F8" s="16">
        <f>'206'!G113</f>
        <v>12.93</v>
      </c>
      <c r="G8" s="16">
        <f>'206'!H113</f>
        <v>19.799999999999997</v>
      </c>
      <c r="H8" s="16">
        <f>'206'!I113</f>
        <v>0</v>
      </c>
      <c r="I8" s="16">
        <f>'206'!J113</f>
        <v>64.919999999999987</v>
      </c>
      <c r="J8" s="16">
        <f>'206'!K113</f>
        <v>0</v>
      </c>
      <c r="K8" s="16">
        <f>'206'!L113</f>
        <v>0</v>
      </c>
      <c r="L8" s="16">
        <f>'206'!M113</f>
        <v>64.919999999999987</v>
      </c>
      <c r="M8" s="16">
        <f>'206'!N113</f>
        <v>0</v>
      </c>
      <c r="N8" s="16">
        <f>'206'!O113</f>
        <v>0.42</v>
      </c>
      <c r="O8" s="16">
        <f>'206'!P113</f>
        <v>60.37</v>
      </c>
      <c r="P8" s="16">
        <f>'206'!Q113</f>
        <v>3.13</v>
      </c>
      <c r="Q8" s="16">
        <f>'206'!R113</f>
        <v>0</v>
      </c>
      <c r="R8" s="16">
        <f>'206'!S113</f>
        <v>60.79</v>
      </c>
      <c r="S8" s="18">
        <f>'206'!T113</f>
        <v>3.13</v>
      </c>
      <c r="U8" s="25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</row>
    <row r="9" spans="2:37" ht="30" customHeight="1" x14ac:dyDescent="0.25">
      <c r="B9" s="61">
        <v>209</v>
      </c>
      <c r="C9" s="70" t="s">
        <v>44</v>
      </c>
      <c r="D9" s="16">
        <f>'209'!E128</f>
        <v>0</v>
      </c>
      <c r="E9" s="16">
        <f>'209'!F128</f>
        <v>5.5</v>
      </c>
      <c r="F9" s="16">
        <f>'209'!G128</f>
        <v>30.169999999999995</v>
      </c>
      <c r="G9" s="16">
        <f>'209'!H128</f>
        <v>5.5</v>
      </c>
      <c r="H9" s="16">
        <f>'209'!I128</f>
        <v>4</v>
      </c>
      <c r="I9" s="16">
        <f>'209'!J128</f>
        <v>35.669999999999995</v>
      </c>
      <c r="J9" s="16">
        <f>'209'!K128</f>
        <v>0</v>
      </c>
      <c r="K9" s="16">
        <f>'209'!L128</f>
        <v>19.669999999999998</v>
      </c>
      <c r="L9" s="16">
        <f>'209'!M128</f>
        <v>16</v>
      </c>
      <c r="M9" s="16">
        <f>'209'!N128</f>
        <v>0</v>
      </c>
      <c r="N9" s="16">
        <f>'209'!O128</f>
        <v>0</v>
      </c>
      <c r="O9" s="16">
        <f>'209'!P128</f>
        <v>27.169999999999995</v>
      </c>
      <c r="P9" s="16">
        <f>'209'!Q128</f>
        <v>8.5</v>
      </c>
      <c r="Q9" s="16">
        <f>'209'!R128</f>
        <v>0</v>
      </c>
      <c r="R9" s="16">
        <f>'209'!S128</f>
        <v>0</v>
      </c>
      <c r="S9" s="18">
        <f>'209'!T128</f>
        <v>35.669999999999995</v>
      </c>
      <c r="U9" s="25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</row>
    <row r="10" spans="2:37" ht="30" customHeight="1" x14ac:dyDescent="0.25">
      <c r="B10" s="61">
        <v>210</v>
      </c>
      <c r="C10" s="70" t="s">
        <v>45</v>
      </c>
      <c r="D10" s="16">
        <f>'210'!E78</f>
        <v>1</v>
      </c>
      <c r="E10" s="16">
        <f>'210'!F78</f>
        <v>23.560000000000002</v>
      </c>
      <c r="F10" s="16">
        <f>'210'!G78</f>
        <v>17</v>
      </c>
      <c r="G10" s="16">
        <f>'210'!H78</f>
        <v>0</v>
      </c>
      <c r="H10" s="16">
        <f>'210'!I78</f>
        <v>0</v>
      </c>
      <c r="I10" s="16">
        <f>'210'!J78</f>
        <v>40.56</v>
      </c>
      <c r="J10" s="16">
        <f>'210'!K78</f>
        <v>0</v>
      </c>
      <c r="K10" s="16">
        <f>'210'!L78</f>
        <v>1</v>
      </c>
      <c r="L10" s="16">
        <f>'210'!M78</f>
        <v>39.56</v>
      </c>
      <c r="M10" s="16">
        <f>'210'!N78</f>
        <v>39.56</v>
      </c>
      <c r="N10" s="16">
        <f>'210'!O78</f>
        <v>0</v>
      </c>
      <c r="O10" s="16">
        <f>'210'!P78</f>
        <v>40.56</v>
      </c>
      <c r="P10" s="16">
        <f>'210'!Q78</f>
        <v>0</v>
      </c>
      <c r="Q10" s="16">
        <f>'210'!R78</f>
        <v>1</v>
      </c>
      <c r="R10" s="16">
        <f>'210'!S78</f>
        <v>14.56</v>
      </c>
      <c r="S10" s="18">
        <f>'210'!T78</f>
        <v>25</v>
      </c>
      <c r="U10" s="25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</row>
    <row r="11" spans="2:37" ht="30" customHeight="1" x14ac:dyDescent="0.25">
      <c r="B11" s="69">
        <v>212</v>
      </c>
      <c r="C11" s="70" t="s">
        <v>46</v>
      </c>
      <c r="D11" s="16">
        <f>'212'!E149</f>
        <v>0</v>
      </c>
      <c r="E11" s="16">
        <f>'212'!F149</f>
        <v>36.75</v>
      </c>
      <c r="F11" s="16">
        <f>'212'!G149</f>
        <v>7.5000000000000018</v>
      </c>
      <c r="G11" s="16">
        <f>'212'!H149</f>
        <v>4.4999999999999964</v>
      </c>
      <c r="H11" s="16">
        <f>'212'!I149</f>
        <v>1.4000000000000004</v>
      </c>
      <c r="I11" s="16">
        <f>'212'!J149</f>
        <v>48.65</v>
      </c>
      <c r="J11" s="16">
        <f>'212'!K149</f>
        <v>0</v>
      </c>
      <c r="K11" s="16">
        <f>'212'!L149</f>
        <v>0</v>
      </c>
      <c r="L11" s="16">
        <f>'212'!M149</f>
        <v>48.65</v>
      </c>
      <c r="M11" s="16">
        <f>'212'!N149</f>
        <v>0</v>
      </c>
      <c r="N11" s="16">
        <f>'212'!O149</f>
        <v>0</v>
      </c>
      <c r="O11" s="16">
        <f>'212'!P149</f>
        <v>48.65</v>
      </c>
      <c r="P11" s="16">
        <f>'212'!Q149</f>
        <v>0</v>
      </c>
      <c r="Q11" s="16">
        <f>'212'!R149</f>
        <v>0</v>
      </c>
      <c r="R11" s="16">
        <f>'212'!S149</f>
        <v>48.65</v>
      </c>
      <c r="S11" s="18">
        <f>'212'!T149</f>
        <v>0</v>
      </c>
      <c r="U11" s="25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</row>
    <row r="12" spans="2:37" ht="30" customHeight="1" x14ac:dyDescent="0.25">
      <c r="B12" s="69">
        <v>214</v>
      </c>
      <c r="C12" s="70" t="s">
        <v>47</v>
      </c>
      <c r="D12" s="16">
        <f>'214'!E128</f>
        <v>0</v>
      </c>
      <c r="E12" s="16">
        <f>'214'!F128</f>
        <v>0.37</v>
      </c>
      <c r="F12" s="16">
        <f>'214'!G128</f>
        <v>0</v>
      </c>
      <c r="G12" s="16">
        <f>'214'!H128</f>
        <v>0</v>
      </c>
      <c r="H12" s="16">
        <f>'214'!I128</f>
        <v>0</v>
      </c>
      <c r="I12" s="16">
        <f>'214'!J128</f>
        <v>0.37</v>
      </c>
      <c r="J12" s="16">
        <f>'214'!K128</f>
        <v>0</v>
      </c>
      <c r="K12" s="16">
        <f>'214'!L128</f>
        <v>0</v>
      </c>
      <c r="L12" s="16">
        <f>'214'!M128</f>
        <v>0.37</v>
      </c>
      <c r="M12" s="16">
        <f>'214'!N128</f>
        <v>0</v>
      </c>
      <c r="N12" s="16">
        <f>'214'!O128</f>
        <v>0</v>
      </c>
      <c r="O12" s="16">
        <f>'214'!P128</f>
        <v>0.37</v>
      </c>
      <c r="P12" s="16">
        <f>'214'!Q128</f>
        <v>0</v>
      </c>
      <c r="Q12" s="16">
        <f>'214'!R128</f>
        <v>0</v>
      </c>
      <c r="R12" s="16">
        <f>'214'!S128</f>
        <v>0.37</v>
      </c>
      <c r="S12" s="18">
        <f>'214'!T128</f>
        <v>0</v>
      </c>
      <c r="U12" s="25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</row>
    <row r="13" spans="2:37" ht="30" customHeight="1" x14ac:dyDescent="0.25">
      <c r="B13" s="69">
        <v>218</v>
      </c>
      <c r="C13" s="70" t="s">
        <v>48</v>
      </c>
      <c r="D13" s="16">
        <f>'218'!E128</f>
        <v>112.31</v>
      </c>
      <c r="E13" s="16">
        <f>'218'!F128</f>
        <v>0</v>
      </c>
      <c r="F13" s="16">
        <f>'218'!G128</f>
        <v>0</v>
      </c>
      <c r="G13" s="16">
        <f>'218'!H128</f>
        <v>103.14</v>
      </c>
      <c r="H13" s="16">
        <f>'218'!I128</f>
        <v>0</v>
      </c>
      <c r="I13" s="16">
        <f>'218'!J128</f>
        <v>112.31</v>
      </c>
      <c r="J13" s="16">
        <f>'218'!K128</f>
        <v>0</v>
      </c>
      <c r="K13" s="16">
        <f>'218'!L128</f>
        <v>0</v>
      </c>
      <c r="L13" s="16">
        <f>'218'!M128</f>
        <v>112.31</v>
      </c>
      <c r="M13" s="16">
        <f>'218'!N128</f>
        <v>0</v>
      </c>
      <c r="N13" s="16">
        <f>'218'!O128</f>
        <v>0</v>
      </c>
      <c r="O13" s="16">
        <f>'218'!P128</f>
        <v>0</v>
      </c>
      <c r="P13" s="16">
        <f>'218'!Q128</f>
        <v>112.31</v>
      </c>
      <c r="Q13" s="16">
        <f>'218'!R128</f>
        <v>0</v>
      </c>
      <c r="R13" s="16">
        <f>'218'!S128</f>
        <v>95.25</v>
      </c>
      <c r="S13" s="18">
        <f>'218'!T128</f>
        <v>17.060000000000002</v>
      </c>
      <c r="U13" s="25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</row>
    <row r="14" spans="2:37" ht="30" customHeight="1" x14ac:dyDescent="0.25">
      <c r="B14" s="61">
        <v>219</v>
      </c>
      <c r="C14" s="70" t="s">
        <v>49</v>
      </c>
      <c r="D14" s="16">
        <f>'219'!E225</f>
        <v>50.199999999999996</v>
      </c>
      <c r="E14" s="16">
        <f>'219'!F225</f>
        <v>0.10000000000000053</v>
      </c>
      <c r="F14" s="16">
        <f>'219'!G225</f>
        <v>0</v>
      </c>
      <c r="G14" s="16">
        <f>'219'!H225</f>
        <v>0</v>
      </c>
      <c r="H14" s="16">
        <f>'219'!I225</f>
        <v>0</v>
      </c>
      <c r="I14" s="16">
        <f>'219'!J225</f>
        <v>50.3</v>
      </c>
      <c r="J14" s="16">
        <f>'219'!K225</f>
        <v>0</v>
      </c>
      <c r="K14" s="16">
        <f>'219'!L225</f>
        <v>0</v>
      </c>
      <c r="L14" s="16">
        <f>'219'!M225</f>
        <v>50.3</v>
      </c>
      <c r="M14" s="16">
        <f>'219'!N225</f>
        <v>0</v>
      </c>
      <c r="N14" s="16">
        <f>'219'!O225</f>
        <v>50.3</v>
      </c>
      <c r="O14" s="16">
        <f>'219'!P225</f>
        <v>0</v>
      </c>
      <c r="P14" s="16">
        <f>'219'!Q225</f>
        <v>0</v>
      </c>
      <c r="Q14" s="16">
        <f>'219'!R225</f>
        <v>0</v>
      </c>
      <c r="R14" s="16">
        <f>'219'!S225</f>
        <v>4.2999999999999954</v>
      </c>
      <c r="S14" s="18">
        <f>'219'!T225</f>
        <v>46</v>
      </c>
      <c r="U14" s="25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</row>
    <row r="15" spans="2:37" ht="30" customHeight="1" x14ac:dyDescent="0.25">
      <c r="B15" s="69">
        <v>220</v>
      </c>
      <c r="C15" s="70" t="s">
        <v>116</v>
      </c>
      <c r="D15" s="16">
        <f>'220'!E71</f>
        <v>0</v>
      </c>
      <c r="E15" s="16">
        <f>'220'!F71</f>
        <v>12.54</v>
      </c>
      <c r="F15" s="16">
        <f>'220'!G71</f>
        <v>14.52</v>
      </c>
      <c r="G15" s="16">
        <f>'220'!H71</f>
        <v>0</v>
      </c>
      <c r="H15" s="16">
        <f>'220'!I71</f>
        <v>0</v>
      </c>
      <c r="I15" s="16">
        <f>'220'!J71</f>
        <v>15.02</v>
      </c>
      <c r="J15" s="16">
        <f>'220'!K71</f>
        <v>0</v>
      </c>
      <c r="K15" s="16">
        <f>'220'!L71</f>
        <v>1.48</v>
      </c>
      <c r="L15" s="16">
        <f>'220'!M71</f>
        <v>13.54</v>
      </c>
      <c r="M15" s="16">
        <f>'220'!N71</f>
        <v>14.52</v>
      </c>
      <c r="N15" s="16">
        <f>'220'!O71</f>
        <v>0</v>
      </c>
      <c r="O15" s="16">
        <f>'220'!P71</f>
        <v>13.54</v>
      </c>
      <c r="P15" s="16">
        <f>'220'!Q71</f>
        <v>1.48</v>
      </c>
      <c r="Q15" s="16">
        <f>'220'!R71</f>
        <v>0</v>
      </c>
      <c r="R15" s="16">
        <f>'220'!S71</f>
        <v>0</v>
      </c>
      <c r="S15" s="18">
        <f>'220'!T71</f>
        <v>15.02</v>
      </c>
      <c r="U15" s="25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</row>
    <row r="16" spans="2:37" ht="30" customHeight="1" thickBot="1" x14ac:dyDescent="0.3">
      <c r="B16" s="19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2"/>
      <c r="U16" s="25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</row>
    <row r="17" spans="3:37" ht="24" x14ac:dyDescent="0.25">
      <c r="U17" s="25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</row>
    <row r="18" spans="3:37" ht="24" x14ac:dyDescent="0.25">
      <c r="C18" s="23" t="s">
        <v>50</v>
      </c>
      <c r="D18" s="24">
        <f>SUM(D4:D16)</f>
        <v>197.75</v>
      </c>
      <c r="E18" s="24">
        <f t="shared" ref="E18:S18" si="0">SUM(E4:E16)</f>
        <v>274.81000000000012</v>
      </c>
      <c r="F18" s="24">
        <f t="shared" si="0"/>
        <v>112.71999999999998</v>
      </c>
      <c r="G18" s="24">
        <f t="shared" si="0"/>
        <v>141.94</v>
      </c>
      <c r="H18" s="24">
        <f t="shared" si="0"/>
        <v>12.499999999999998</v>
      </c>
      <c r="I18" s="24">
        <f t="shared" si="0"/>
        <v>501.19999999999993</v>
      </c>
      <c r="J18" s="24">
        <f t="shared" si="0"/>
        <v>76.739999999999995</v>
      </c>
      <c r="K18" s="24">
        <f t="shared" si="0"/>
        <v>24.29</v>
      </c>
      <c r="L18" s="24">
        <f t="shared" si="0"/>
        <v>552.49999999999989</v>
      </c>
      <c r="M18" s="24">
        <f t="shared" si="0"/>
        <v>54.08</v>
      </c>
      <c r="N18" s="24">
        <f t="shared" si="0"/>
        <v>97.56</v>
      </c>
      <c r="O18" s="24">
        <f t="shared" si="0"/>
        <v>352.96999999999997</v>
      </c>
      <c r="P18" s="24">
        <f t="shared" si="0"/>
        <v>126.41000000000001</v>
      </c>
      <c r="Q18" s="24">
        <f t="shared" si="0"/>
        <v>1</v>
      </c>
      <c r="R18" s="24">
        <f t="shared" si="0"/>
        <v>434.06</v>
      </c>
      <c r="S18" s="24">
        <f t="shared" si="0"/>
        <v>141.88</v>
      </c>
      <c r="U18" s="25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</row>
    <row r="19" spans="3:37" ht="24" x14ac:dyDescent="0.25">
      <c r="C19" s="23" t="s">
        <v>51</v>
      </c>
      <c r="D19" s="25"/>
      <c r="E19" s="25"/>
      <c r="F19" s="25"/>
      <c r="G19" s="25"/>
      <c r="H19" s="26">
        <f>SUM(D18:H18)</f>
        <v>739.72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U19" s="25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</row>
    <row r="20" spans="3:37" ht="24" x14ac:dyDescent="0.25">
      <c r="C20" s="23" t="s">
        <v>52</v>
      </c>
      <c r="D20" s="25"/>
      <c r="E20" s="25"/>
      <c r="F20" s="25"/>
      <c r="G20" s="25"/>
      <c r="H20" s="27">
        <f>H19/Trechos!F28</f>
        <v>1.3129679764332567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U20" s="25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</row>
    <row r="21" spans="3:37" ht="24" x14ac:dyDescent="0.25">
      <c r="U21" s="25"/>
      <c r="V21" s="30"/>
      <c r="W21" s="30"/>
      <c r="X21" s="30"/>
      <c r="Y21" s="30"/>
      <c r="Z21" s="30"/>
      <c r="AA21" s="30"/>
      <c r="AB21" s="30"/>
      <c r="AC21" s="30"/>
      <c r="AD21" s="30" t="s">
        <v>118</v>
      </c>
      <c r="AE21" s="30"/>
      <c r="AF21" s="30"/>
      <c r="AG21" s="30"/>
      <c r="AH21" s="30"/>
      <c r="AI21" s="30"/>
      <c r="AJ21" s="30"/>
      <c r="AK21" s="30"/>
    </row>
    <row r="22" spans="3:37" ht="24" x14ac:dyDescent="0.25">
      <c r="U22" s="25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</row>
    <row r="23" spans="3:37" ht="24" x14ac:dyDescent="0.25">
      <c r="U23" s="25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</row>
    <row r="24" spans="3:37" ht="24" x14ac:dyDescent="0.25">
      <c r="U24" s="25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</row>
    <row r="25" spans="3:37" ht="24" x14ac:dyDescent="0.25">
      <c r="U25" s="25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</row>
    <row r="26" spans="3:37" ht="24" x14ac:dyDescent="0.25">
      <c r="U26" s="25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</row>
    <row r="27" spans="3:37" x14ac:dyDescent="0.25"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</row>
    <row r="28" spans="3:37" x14ac:dyDescent="0.25"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</row>
    <row r="29" spans="3:37" x14ac:dyDescent="0.25"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</row>
    <row r="30" spans="3:37" x14ac:dyDescent="0.25"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</row>
  </sheetData>
  <mergeCells count="7">
    <mergeCell ref="Q2:S2"/>
    <mergeCell ref="B2:B3"/>
    <mergeCell ref="C2:C3"/>
    <mergeCell ref="D2:H2"/>
    <mergeCell ref="I2:J2"/>
    <mergeCell ref="K2:M2"/>
    <mergeCell ref="N2:P2"/>
  </mergeCells>
  <pageMargins left="0.511811024" right="0.511811024" top="0.78740157499999996" bottom="0.78740157499999996" header="0.31496062000000002" footer="0.31496062000000002"/>
  <pageSetup paperSize="9" scale="29" orientation="portrait" horizontalDpi="1200" verticalDpi="1200" r:id="rId1"/>
  <colBreaks count="2" manualBreakCount="2">
    <brk id="1" max="19" man="1"/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15</vt:i4>
      </vt:variant>
    </vt:vector>
  </HeadingPairs>
  <TitlesOfParts>
    <vt:vector size="29" baseType="lpstr">
      <vt:lpstr>Trechos</vt:lpstr>
      <vt:lpstr>202</vt:lpstr>
      <vt:lpstr>203</vt:lpstr>
      <vt:lpstr>204</vt:lpstr>
      <vt:lpstr>205</vt:lpstr>
      <vt:lpstr>206</vt:lpstr>
      <vt:lpstr>209</vt:lpstr>
      <vt:lpstr>210</vt:lpstr>
      <vt:lpstr>212</vt:lpstr>
      <vt:lpstr>214</vt:lpstr>
      <vt:lpstr>218</vt:lpstr>
      <vt:lpstr>219</vt:lpstr>
      <vt:lpstr>220</vt:lpstr>
      <vt:lpstr>TT</vt:lpstr>
      <vt:lpstr>'202'!Area_de_impressao</vt:lpstr>
      <vt:lpstr>'203'!Area_de_impressao</vt:lpstr>
      <vt:lpstr>'204'!Area_de_impressao</vt:lpstr>
      <vt:lpstr>'205'!Area_de_impressao</vt:lpstr>
      <vt:lpstr>'206'!Area_de_impressao</vt:lpstr>
      <vt:lpstr>'209'!Area_de_impressao</vt:lpstr>
      <vt:lpstr>'210'!Area_de_impressao</vt:lpstr>
      <vt:lpstr>'212'!Area_de_impressao</vt:lpstr>
      <vt:lpstr>'214'!Area_de_impressao</vt:lpstr>
      <vt:lpstr>'218'!Area_de_impressao</vt:lpstr>
      <vt:lpstr>'219'!Area_de_impressao</vt:lpstr>
      <vt:lpstr>'220'!Area_de_impressao</vt:lpstr>
      <vt:lpstr>Trechos!Area_de_impressao</vt:lpstr>
      <vt:lpstr>TT!Area_de_impressao</vt:lpstr>
      <vt:lpstr>'206'!Titulos_de_impressao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flavio prado</dc:creator>
  <cp:lastModifiedBy>FERNANDA</cp:lastModifiedBy>
  <cp:lastPrinted>2025-08-28T17:41:38Z</cp:lastPrinted>
  <dcterms:created xsi:type="dcterms:W3CDTF">2025-07-22T11:15:05Z</dcterms:created>
  <dcterms:modified xsi:type="dcterms:W3CDTF">2026-07-31T14:44:33Z</dcterms:modified>
</cp:coreProperties>
</file>