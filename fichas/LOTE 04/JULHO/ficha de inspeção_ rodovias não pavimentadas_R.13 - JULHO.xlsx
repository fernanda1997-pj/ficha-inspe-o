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1. Projetos\RTA\web - fichas\fichas\LOTE 04\JULHO\"/>
    </mc:Choice>
  </mc:AlternateContent>
  <xr:revisionPtr revIDLastSave="0" documentId="13_ncr:1_{28A1DF3F-1041-4980-8DCF-0226DA11C035}" xr6:coauthVersionLast="47" xr6:coauthVersionMax="47" xr10:uidLastSave="{00000000-0000-0000-0000-000000000000}"/>
  <bookViews>
    <workbookView xWindow="-28920" yWindow="-1785" windowWidth="29040" windowHeight="15720" firstSheet="1" activeTab="3" xr2:uid="{B3ADFE79-E3C6-47F3-8176-221C62BDF425}"/>
  </bookViews>
  <sheets>
    <sheet name="Trechos" sheetId="30" r:id="rId1"/>
    <sheet name="245" sheetId="3" r:id="rId2"/>
    <sheet name="260" sheetId="17" r:id="rId3"/>
    <sheet name="261" sheetId="18" r:id="rId4"/>
    <sheet name="262" sheetId="19" r:id="rId5"/>
    <sheet name="263" sheetId="20" r:id="rId6"/>
    <sheet name="264" sheetId="21" r:id="rId7"/>
    <sheet name="265" sheetId="22" r:id="rId8"/>
    <sheet name="267" sheetId="23" r:id="rId9"/>
    <sheet name="268" sheetId="24" r:id="rId10"/>
    <sheet name="269" sheetId="25" r:id="rId11"/>
    <sheet name="270" sheetId="26" r:id="rId12"/>
    <sheet name="271" sheetId="27" r:id="rId13"/>
    <sheet name="272" sheetId="28" r:id="rId14"/>
    <sheet name="273" sheetId="29" r:id="rId15"/>
    <sheet name="TT" sheetId="2" r:id="rId16"/>
  </sheets>
  <definedNames>
    <definedName name="_xlnm.Print_Area" localSheetId="1">'245'!$A$1:$R$35</definedName>
    <definedName name="_xlnm.Print_Area" localSheetId="2">'260'!$A$1:$R$35</definedName>
    <definedName name="_xlnm.Print_Area" localSheetId="3">'261'!$A$1:$R$35</definedName>
    <definedName name="_xlnm.Print_Area" localSheetId="4">'262'!$A$1:$R$35</definedName>
    <definedName name="_xlnm.Print_Area" localSheetId="5">'263'!$A$1:$R$35</definedName>
    <definedName name="_xlnm.Print_Area" localSheetId="6">'264'!$A$1:$R$35</definedName>
    <definedName name="_xlnm.Print_Area" localSheetId="7">'265'!$A$1:$R$54</definedName>
    <definedName name="_xlnm.Print_Area" localSheetId="8">'267'!$A$1:$R$35</definedName>
    <definedName name="_xlnm.Print_Area" localSheetId="9">'268'!$A$1:$R$35</definedName>
    <definedName name="_xlnm.Print_Area" localSheetId="10">'269'!$A$1:$R$35</definedName>
    <definedName name="_xlnm.Print_Area" localSheetId="11">'270'!$A$1:$R$35</definedName>
    <definedName name="_xlnm.Print_Area" localSheetId="12">'271'!$A$1:$R$35</definedName>
    <definedName name="_xlnm.Print_Area" localSheetId="13">'272'!$A$1:$R$47</definedName>
    <definedName name="_xlnm.Print_Area" localSheetId="14">'273'!$A$1:$R$35</definedName>
    <definedName name="_xlnm.Print_Area" localSheetId="0">Trechos!$A$1:$G$26</definedName>
    <definedName name="_xlnm.Print_Area" localSheetId="15">TT!$A$1:$J$21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" i="29" l="1"/>
  <c r="N1" i="28"/>
  <c r="N1" i="27"/>
  <c r="N1" i="26"/>
  <c r="N1" i="25"/>
  <c r="N1" i="24"/>
  <c r="N1" i="23"/>
  <c r="N1" i="22"/>
  <c r="N1" i="21"/>
  <c r="N1" i="20"/>
  <c r="N1" i="19"/>
  <c r="N1" i="18"/>
  <c r="N1" i="17"/>
  <c r="J1" i="29"/>
  <c r="J1" i="28"/>
  <c r="J1" i="27"/>
  <c r="J1" i="26"/>
  <c r="J1" i="25"/>
  <c r="J1" i="24"/>
  <c r="J1" i="23"/>
  <c r="J1" i="22"/>
  <c r="J1" i="21"/>
  <c r="J1" i="20"/>
  <c r="J1" i="19"/>
  <c r="J1" i="17"/>
  <c r="J1" i="18"/>
  <c r="C8" i="23"/>
  <c r="F78" i="22"/>
  <c r="G78" i="22"/>
  <c r="H78" i="22"/>
  <c r="J78" i="22"/>
  <c r="K78" i="22"/>
  <c r="F79" i="22"/>
  <c r="G79" i="22"/>
  <c r="H79" i="22"/>
  <c r="J79" i="22"/>
  <c r="K79" i="22"/>
  <c r="E80" i="22"/>
  <c r="F80" i="22"/>
  <c r="G80" i="22"/>
  <c r="H80" i="22"/>
  <c r="I80" i="22"/>
  <c r="J80" i="22"/>
  <c r="K80" i="22"/>
  <c r="E81" i="22"/>
  <c r="F81" i="22"/>
  <c r="G81" i="22"/>
  <c r="H81" i="22"/>
  <c r="I81" i="22"/>
  <c r="J81" i="22"/>
  <c r="K81" i="22"/>
  <c r="E82" i="22"/>
  <c r="F82" i="22"/>
  <c r="G82" i="22"/>
  <c r="H82" i="22"/>
  <c r="I82" i="22"/>
  <c r="J82" i="22"/>
  <c r="K82" i="22"/>
  <c r="E83" i="22"/>
  <c r="F83" i="22"/>
  <c r="G83" i="22"/>
  <c r="H83" i="22"/>
  <c r="I83" i="22"/>
  <c r="J83" i="22"/>
  <c r="K83" i="22"/>
  <c r="E84" i="22"/>
  <c r="F84" i="22"/>
  <c r="G84" i="22"/>
  <c r="H84" i="22"/>
  <c r="I84" i="22"/>
  <c r="J84" i="22"/>
  <c r="K84" i="22"/>
  <c r="E85" i="22"/>
  <c r="F85" i="22"/>
  <c r="G85" i="22"/>
  <c r="H85" i="22"/>
  <c r="I85" i="22"/>
  <c r="J85" i="22"/>
  <c r="K85" i="22"/>
  <c r="E86" i="22"/>
  <c r="F86" i="22"/>
  <c r="G86" i="22"/>
  <c r="H86" i="22"/>
  <c r="I86" i="22"/>
  <c r="J86" i="22"/>
  <c r="K86" i="22"/>
  <c r="E87" i="22"/>
  <c r="F87" i="22"/>
  <c r="G87" i="22"/>
  <c r="H87" i="22"/>
  <c r="I87" i="22"/>
  <c r="J87" i="22"/>
  <c r="K87" i="22"/>
  <c r="E88" i="22"/>
  <c r="F88" i="22"/>
  <c r="G88" i="22"/>
  <c r="H88" i="22"/>
  <c r="I88" i="22"/>
  <c r="J88" i="22"/>
  <c r="K88" i="22"/>
  <c r="E89" i="22"/>
  <c r="F89" i="22"/>
  <c r="G89" i="22"/>
  <c r="H89" i="22"/>
  <c r="I89" i="22"/>
  <c r="J89" i="22"/>
  <c r="K89" i="22"/>
  <c r="E90" i="22"/>
  <c r="F90" i="22"/>
  <c r="G90" i="22"/>
  <c r="H90" i="22"/>
  <c r="I90" i="22"/>
  <c r="J90" i="22"/>
  <c r="K90" i="22"/>
  <c r="E91" i="22"/>
  <c r="F91" i="22"/>
  <c r="G91" i="22"/>
  <c r="H91" i="22"/>
  <c r="I91" i="22"/>
  <c r="J91" i="22"/>
  <c r="K91" i="22"/>
  <c r="E92" i="22"/>
  <c r="F92" i="22"/>
  <c r="G92" i="22"/>
  <c r="H92" i="22"/>
  <c r="I92" i="22"/>
  <c r="J92" i="22"/>
  <c r="K92" i="22"/>
  <c r="E93" i="22"/>
  <c r="F93" i="22"/>
  <c r="G93" i="22"/>
  <c r="H93" i="22"/>
  <c r="I93" i="22"/>
  <c r="J93" i="22"/>
  <c r="K93" i="22"/>
  <c r="E94" i="22"/>
  <c r="F94" i="22"/>
  <c r="G94" i="22"/>
  <c r="H94" i="22"/>
  <c r="I94" i="22"/>
  <c r="J94" i="22"/>
  <c r="K94" i="22"/>
  <c r="E95" i="22"/>
  <c r="F95" i="22"/>
  <c r="G95" i="22"/>
  <c r="H95" i="22"/>
  <c r="I95" i="22"/>
  <c r="J95" i="22"/>
  <c r="K95" i="22"/>
  <c r="E96" i="22"/>
  <c r="F96" i="22"/>
  <c r="G96" i="22"/>
  <c r="H96" i="22"/>
  <c r="I96" i="22"/>
  <c r="J96" i="22"/>
  <c r="K96" i="22"/>
  <c r="E97" i="22"/>
  <c r="F97" i="22"/>
  <c r="G97" i="22"/>
  <c r="H97" i="22"/>
  <c r="I97" i="22"/>
  <c r="J97" i="22"/>
  <c r="K97" i="22"/>
  <c r="E98" i="22"/>
  <c r="F98" i="22"/>
  <c r="G98" i="22"/>
  <c r="H98" i="22"/>
  <c r="I98" i="22"/>
  <c r="J98" i="22"/>
  <c r="K98" i="22"/>
  <c r="E99" i="22"/>
  <c r="F99" i="22"/>
  <c r="G99" i="22"/>
  <c r="H99" i="22"/>
  <c r="I99" i="22"/>
  <c r="J99" i="22"/>
  <c r="K99" i="22"/>
  <c r="E100" i="22"/>
  <c r="F100" i="22"/>
  <c r="G100" i="22"/>
  <c r="H100" i="22"/>
  <c r="I100" i="22"/>
  <c r="J100" i="22"/>
  <c r="K100" i="22"/>
  <c r="E101" i="22"/>
  <c r="F101" i="22"/>
  <c r="G101" i="22"/>
  <c r="H101" i="22"/>
  <c r="I101" i="22"/>
  <c r="J101" i="22"/>
  <c r="K101" i="22"/>
  <c r="E102" i="22"/>
  <c r="F102" i="22"/>
  <c r="G102" i="22"/>
  <c r="H102" i="22"/>
  <c r="I102" i="22"/>
  <c r="J102" i="22"/>
  <c r="K102" i="22"/>
  <c r="E103" i="22"/>
  <c r="F103" i="22"/>
  <c r="G103" i="22"/>
  <c r="H103" i="22"/>
  <c r="I103" i="22"/>
  <c r="J103" i="22"/>
  <c r="K103" i="22"/>
  <c r="E104" i="22"/>
  <c r="F104" i="22"/>
  <c r="G104" i="22"/>
  <c r="H104" i="22"/>
  <c r="I104" i="22"/>
  <c r="J104" i="22"/>
  <c r="K104" i="22"/>
  <c r="E105" i="22"/>
  <c r="F105" i="22"/>
  <c r="G105" i="22"/>
  <c r="H105" i="22"/>
  <c r="I105" i="22"/>
  <c r="J105" i="22"/>
  <c r="K105" i="22"/>
  <c r="E106" i="22"/>
  <c r="F106" i="22"/>
  <c r="G106" i="22"/>
  <c r="H106" i="22"/>
  <c r="I106" i="22"/>
  <c r="J106" i="22"/>
  <c r="K106" i="22"/>
  <c r="E107" i="22"/>
  <c r="F107" i="22"/>
  <c r="G107" i="22"/>
  <c r="H107" i="22"/>
  <c r="I107" i="22"/>
  <c r="J107" i="22"/>
  <c r="K107" i="22"/>
  <c r="E108" i="22"/>
  <c r="F108" i="22"/>
  <c r="G108" i="22"/>
  <c r="H108" i="22"/>
  <c r="I108" i="22"/>
  <c r="J108" i="22"/>
  <c r="K108" i="22"/>
  <c r="E109" i="22"/>
  <c r="F109" i="22"/>
  <c r="G109" i="22"/>
  <c r="H109" i="22"/>
  <c r="I109" i="22"/>
  <c r="J109" i="22"/>
  <c r="K109" i="22"/>
  <c r="E110" i="22"/>
  <c r="F110" i="22"/>
  <c r="G110" i="22"/>
  <c r="H110" i="22"/>
  <c r="I110" i="22"/>
  <c r="J110" i="22"/>
  <c r="K110" i="22"/>
  <c r="E111" i="22"/>
  <c r="F111" i="22"/>
  <c r="G111" i="22"/>
  <c r="H111" i="22"/>
  <c r="I111" i="22"/>
  <c r="J111" i="22"/>
  <c r="K111" i="22"/>
  <c r="E112" i="22"/>
  <c r="F112" i="22"/>
  <c r="G112" i="22"/>
  <c r="H112" i="22"/>
  <c r="I112" i="22"/>
  <c r="J112" i="22"/>
  <c r="K112" i="22"/>
  <c r="E113" i="22"/>
  <c r="F113" i="22"/>
  <c r="G113" i="22"/>
  <c r="H113" i="22"/>
  <c r="I113" i="22"/>
  <c r="J113" i="22"/>
  <c r="K113" i="22"/>
  <c r="E114" i="22"/>
  <c r="F114" i="22"/>
  <c r="G114" i="22"/>
  <c r="H114" i="22"/>
  <c r="I114" i="22"/>
  <c r="J114" i="22"/>
  <c r="K114" i="22"/>
  <c r="E115" i="22"/>
  <c r="F115" i="22"/>
  <c r="G115" i="22"/>
  <c r="H115" i="22"/>
  <c r="I115" i="22"/>
  <c r="J115" i="22"/>
  <c r="K115" i="22"/>
  <c r="E116" i="22"/>
  <c r="F116" i="22"/>
  <c r="G116" i="22"/>
  <c r="H116" i="22"/>
  <c r="I116" i="22"/>
  <c r="J116" i="22"/>
  <c r="K116" i="22"/>
  <c r="E117" i="22"/>
  <c r="F117" i="22"/>
  <c r="G117" i="22"/>
  <c r="H117" i="22"/>
  <c r="I117" i="22"/>
  <c r="J117" i="22"/>
  <c r="K117" i="22"/>
  <c r="E118" i="22"/>
  <c r="F118" i="22"/>
  <c r="G118" i="22"/>
  <c r="H118" i="22"/>
  <c r="I118" i="22"/>
  <c r="J118" i="22"/>
  <c r="K118" i="22"/>
  <c r="E119" i="22"/>
  <c r="F119" i="22"/>
  <c r="G119" i="22"/>
  <c r="H119" i="22"/>
  <c r="I119" i="22"/>
  <c r="J119" i="22"/>
  <c r="K119" i="22"/>
  <c r="E120" i="22"/>
  <c r="F120" i="22"/>
  <c r="G120" i="22"/>
  <c r="H120" i="22"/>
  <c r="I120" i="22"/>
  <c r="J120" i="22"/>
  <c r="K120" i="22"/>
  <c r="E121" i="22"/>
  <c r="F121" i="22"/>
  <c r="G121" i="22"/>
  <c r="H121" i="22"/>
  <c r="I121" i="22"/>
  <c r="J121" i="22"/>
  <c r="K121" i="22"/>
  <c r="E122" i="22"/>
  <c r="F122" i="22"/>
  <c r="G122" i="22"/>
  <c r="H122" i="22"/>
  <c r="I122" i="22"/>
  <c r="J122" i="22"/>
  <c r="K122" i="22"/>
  <c r="E123" i="22"/>
  <c r="F123" i="22"/>
  <c r="G123" i="22"/>
  <c r="H123" i="22"/>
  <c r="I123" i="22"/>
  <c r="J123" i="22"/>
  <c r="K123" i="22"/>
  <c r="E124" i="22"/>
  <c r="F124" i="22"/>
  <c r="G124" i="22"/>
  <c r="H124" i="22"/>
  <c r="I124" i="22"/>
  <c r="J124" i="22"/>
  <c r="K124" i="22"/>
  <c r="E125" i="22"/>
  <c r="F125" i="22"/>
  <c r="G125" i="22"/>
  <c r="H125" i="22"/>
  <c r="I125" i="22"/>
  <c r="J125" i="22"/>
  <c r="K125" i="22"/>
  <c r="E126" i="22"/>
  <c r="F126" i="22"/>
  <c r="G126" i="22"/>
  <c r="H126" i="22"/>
  <c r="I126" i="22"/>
  <c r="J126" i="22"/>
  <c r="K126" i="22"/>
  <c r="E127" i="22"/>
  <c r="F127" i="22"/>
  <c r="G127" i="22"/>
  <c r="H127" i="22"/>
  <c r="I127" i="22"/>
  <c r="J127" i="22"/>
  <c r="K127" i="22"/>
  <c r="E128" i="22"/>
  <c r="F128" i="22"/>
  <c r="G128" i="22"/>
  <c r="H128" i="22"/>
  <c r="I128" i="22"/>
  <c r="J128" i="22"/>
  <c r="K128" i="22"/>
  <c r="C9" i="22"/>
  <c r="C8" i="22"/>
  <c r="F77" i="22"/>
  <c r="E77" i="22"/>
  <c r="E38" i="21"/>
  <c r="F38" i="21"/>
  <c r="G38" i="21"/>
  <c r="H38" i="21"/>
  <c r="I38" i="21"/>
  <c r="J38" i="21"/>
  <c r="K38" i="21"/>
  <c r="E39" i="21"/>
  <c r="F39" i="21"/>
  <c r="G39" i="21"/>
  <c r="H39" i="21"/>
  <c r="I39" i="21"/>
  <c r="J39" i="21"/>
  <c r="K39" i="21"/>
  <c r="E40" i="21"/>
  <c r="F40" i="21"/>
  <c r="G40" i="21"/>
  <c r="H40" i="21"/>
  <c r="I40" i="21"/>
  <c r="J40" i="21"/>
  <c r="K40" i="21"/>
  <c r="E41" i="21"/>
  <c r="F41" i="21"/>
  <c r="G41" i="21"/>
  <c r="H41" i="21"/>
  <c r="I41" i="21"/>
  <c r="K41" i="21"/>
  <c r="E42" i="21"/>
  <c r="G42" i="21"/>
  <c r="H42" i="21"/>
  <c r="I42" i="21"/>
  <c r="K42" i="21"/>
  <c r="E43" i="21"/>
  <c r="G43" i="21"/>
  <c r="H43" i="21"/>
  <c r="I43" i="21"/>
  <c r="K43" i="21"/>
  <c r="E44" i="21"/>
  <c r="F44" i="21"/>
  <c r="G44" i="21"/>
  <c r="H44" i="21"/>
  <c r="I44" i="21"/>
  <c r="J44" i="21"/>
  <c r="K44" i="21"/>
  <c r="E45" i="21"/>
  <c r="F45" i="21"/>
  <c r="G45" i="21"/>
  <c r="H45" i="21"/>
  <c r="I45" i="21"/>
  <c r="J45" i="21"/>
  <c r="K45" i="21"/>
  <c r="E46" i="21"/>
  <c r="F46" i="21"/>
  <c r="G46" i="21"/>
  <c r="H46" i="21"/>
  <c r="I46" i="21"/>
  <c r="J46" i="21"/>
  <c r="K46" i="21"/>
  <c r="E47" i="21"/>
  <c r="F47" i="21"/>
  <c r="G47" i="21"/>
  <c r="H47" i="21"/>
  <c r="I47" i="21"/>
  <c r="J47" i="21"/>
  <c r="K47" i="21"/>
  <c r="E48" i="21"/>
  <c r="F48" i="21"/>
  <c r="G48" i="21"/>
  <c r="H48" i="21"/>
  <c r="I48" i="21"/>
  <c r="J48" i="21"/>
  <c r="K48" i="21"/>
  <c r="E49" i="21"/>
  <c r="F49" i="21"/>
  <c r="G49" i="21"/>
  <c r="H49" i="21"/>
  <c r="I49" i="21"/>
  <c r="J49" i="21"/>
  <c r="K49" i="21"/>
  <c r="E50" i="21"/>
  <c r="F50" i="21"/>
  <c r="G50" i="21"/>
  <c r="H50" i="21"/>
  <c r="I50" i="21"/>
  <c r="K50" i="21"/>
  <c r="E51" i="21"/>
  <c r="G51" i="21"/>
  <c r="H51" i="21"/>
  <c r="I51" i="21"/>
  <c r="K51" i="21"/>
  <c r="E52" i="21"/>
  <c r="G52" i="21"/>
  <c r="H52" i="21"/>
  <c r="I52" i="21"/>
  <c r="K52" i="21"/>
  <c r="E53" i="21"/>
  <c r="G53" i="21"/>
  <c r="H53" i="21"/>
  <c r="I53" i="21"/>
  <c r="J53" i="21"/>
  <c r="K53" i="21"/>
  <c r="E54" i="21"/>
  <c r="F54" i="21"/>
  <c r="G54" i="21"/>
  <c r="H54" i="21"/>
  <c r="I54" i="21"/>
  <c r="J54" i="21"/>
  <c r="K54" i="21"/>
  <c r="E55" i="21"/>
  <c r="F55" i="21"/>
  <c r="G55" i="21"/>
  <c r="H55" i="21"/>
  <c r="I55" i="21"/>
  <c r="J55" i="21"/>
  <c r="K55" i="21"/>
  <c r="E56" i="21"/>
  <c r="F56" i="21"/>
  <c r="G56" i="21"/>
  <c r="H56" i="21"/>
  <c r="I56" i="21"/>
  <c r="J56" i="21"/>
  <c r="K56" i="21"/>
  <c r="E57" i="21"/>
  <c r="F57" i="21"/>
  <c r="G57" i="21"/>
  <c r="H57" i="21"/>
  <c r="I57" i="21"/>
  <c r="J57" i="21"/>
  <c r="K57" i="21"/>
  <c r="E58" i="21"/>
  <c r="F58" i="21"/>
  <c r="G58" i="21"/>
  <c r="H58" i="21"/>
  <c r="I58" i="21"/>
  <c r="J58" i="21"/>
  <c r="K58" i="21"/>
  <c r="E59" i="21"/>
  <c r="F59" i="21"/>
  <c r="G59" i="21"/>
  <c r="H59" i="21"/>
  <c r="I59" i="21"/>
  <c r="J59" i="21"/>
  <c r="K59" i="21"/>
  <c r="E60" i="21"/>
  <c r="F60" i="21"/>
  <c r="G60" i="21"/>
  <c r="H60" i="21"/>
  <c r="I60" i="21"/>
  <c r="J60" i="21"/>
  <c r="K60" i="21"/>
  <c r="E61" i="21"/>
  <c r="F61" i="21"/>
  <c r="G61" i="21"/>
  <c r="H61" i="21"/>
  <c r="I61" i="21"/>
  <c r="J61" i="21"/>
  <c r="K61" i="21"/>
  <c r="E62" i="21"/>
  <c r="F62" i="21"/>
  <c r="G62" i="21"/>
  <c r="H62" i="21"/>
  <c r="I62" i="21"/>
  <c r="J62" i="21"/>
  <c r="K62" i="21"/>
  <c r="E37" i="21"/>
  <c r="C9" i="21"/>
  <c r="C10" i="21"/>
  <c r="C11" i="21"/>
  <c r="J41" i="21" s="1"/>
  <c r="C12" i="21"/>
  <c r="C13" i="21"/>
  <c r="C14" i="21"/>
  <c r="C15" i="21"/>
  <c r="C16" i="21"/>
  <c r="C17" i="21"/>
  <c r="C18" i="21"/>
  <c r="C19" i="21"/>
  <c r="C20" i="21"/>
  <c r="J50" i="21" s="1"/>
  <c r="C21" i="21"/>
  <c r="C22" i="21"/>
  <c r="C23" i="21"/>
  <c r="F53" i="21" s="1"/>
  <c r="C8" i="21"/>
  <c r="E38" i="20"/>
  <c r="F38" i="20"/>
  <c r="G38" i="20"/>
  <c r="H38" i="20"/>
  <c r="I38" i="20"/>
  <c r="J38" i="20"/>
  <c r="K38" i="20"/>
  <c r="E39" i="20"/>
  <c r="F39" i="20"/>
  <c r="G39" i="20"/>
  <c r="H39" i="20"/>
  <c r="I39" i="20"/>
  <c r="J39" i="20"/>
  <c r="K39" i="20"/>
  <c r="E40" i="20"/>
  <c r="F40" i="20"/>
  <c r="G40" i="20"/>
  <c r="H40" i="20"/>
  <c r="I40" i="20"/>
  <c r="J40" i="20"/>
  <c r="K40" i="20"/>
  <c r="E41" i="20"/>
  <c r="F41" i="20"/>
  <c r="G41" i="20"/>
  <c r="H41" i="20"/>
  <c r="I41" i="20"/>
  <c r="J41" i="20"/>
  <c r="K41" i="20"/>
  <c r="E42" i="20"/>
  <c r="F42" i="20"/>
  <c r="G42" i="20"/>
  <c r="H42" i="20"/>
  <c r="I42" i="20"/>
  <c r="J42" i="20"/>
  <c r="K42" i="20"/>
  <c r="E43" i="20"/>
  <c r="F43" i="20"/>
  <c r="G43" i="20"/>
  <c r="H43" i="20"/>
  <c r="I43" i="20"/>
  <c r="J43" i="20"/>
  <c r="K43" i="20"/>
  <c r="E44" i="20"/>
  <c r="F44" i="20"/>
  <c r="G44" i="20"/>
  <c r="H44" i="20"/>
  <c r="I44" i="20"/>
  <c r="J44" i="20"/>
  <c r="K44" i="20"/>
  <c r="E45" i="20"/>
  <c r="F45" i="20"/>
  <c r="G45" i="20"/>
  <c r="H45" i="20"/>
  <c r="I45" i="20"/>
  <c r="J45" i="20"/>
  <c r="K45" i="20"/>
  <c r="E46" i="20"/>
  <c r="F46" i="20"/>
  <c r="G46" i="20"/>
  <c r="H46" i="20"/>
  <c r="I46" i="20"/>
  <c r="J46" i="20"/>
  <c r="K46" i="20"/>
  <c r="E47" i="20"/>
  <c r="F47" i="20"/>
  <c r="G47" i="20"/>
  <c r="H47" i="20"/>
  <c r="I47" i="20"/>
  <c r="J47" i="20"/>
  <c r="K47" i="20"/>
  <c r="E48" i="20"/>
  <c r="F48" i="20"/>
  <c r="G48" i="20"/>
  <c r="H48" i="20"/>
  <c r="I48" i="20"/>
  <c r="J48" i="20"/>
  <c r="K48" i="20"/>
  <c r="E49" i="20"/>
  <c r="F49" i="20"/>
  <c r="G49" i="20"/>
  <c r="H49" i="20"/>
  <c r="I49" i="20"/>
  <c r="J49" i="20"/>
  <c r="K49" i="20"/>
  <c r="E50" i="20"/>
  <c r="F50" i="20"/>
  <c r="G50" i="20"/>
  <c r="H50" i="20"/>
  <c r="I50" i="20"/>
  <c r="J50" i="20"/>
  <c r="K50" i="20"/>
  <c r="E51" i="20"/>
  <c r="F51" i="20"/>
  <c r="G51" i="20"/>
  <c r="H51" i="20"/>
  <c r="I51" i="20"/>
  <c r="J51" i="20"/>
  <c r="K51" i="20"/>
  <c r="E52" i="20"/>
  <c r="F52" i="20"/>
  <c r="G52" i="20"/>
  <c r="H52" i="20"/>
  <c r="I52" i="20"/>
  <c r="J52" i="20"/>
  <c r="K52" i="20"/>
  <c r="E53" i="20"/>
  <c r="F53" i="20"/>
  <c r="G53" i="20"/>
  <c r="H53" i="20"/>
  <c r="I53" i="20"/>
  <c r="J53" i="20"/>
  <c r="K53" i="20"/>
  <c r="E54" i="20"/>
  <c r="F54" i="20"/>
  <c r="G54" i="20"/>
  <c r="H54" i="20"/>
  <c r="I54" i="20"/>
  <c r="J54" i="20"/>
  <c r="K54" i="20"/>
  <c r="E55" i="20"/>
  <c r="F55" i="20"/>
  <c r="G55" i="20"/>
  <c r="H55" i="20"/>
  <c r="I55" i="20"/>
  <c r="J55" i="20"/>
  <c r="K55" i="20"/>
  <c r="E56" i="20"/>
  <c r="F56" i="20"/>
  <c r="G56" i="20"/>
  <c r="H56" i="20"/>
  <c r="I56" i="20"/>
  <c r="J56" i="20"/>
  <c r="K56" i="20"/>
  <c r="E57" i="20"/>
  <c r="F57" i="20"/>
  <c r="G57" i="20"/>
  <c r="H57" i="20"/>
  <c r="I57" i="20"/>
  <c r="J57" i="20"/>
  <c r="K57" i="20"/>
  <c r="E58" i="20"/>
  <c r="F58" i="20"/>
  <c r="G58" i="20"/>
  <c r="H58" i="20"/>
  <c r="I58" i="20"/>
  <c r="J58" i="20"/>
  <c r="K58" i="20"/>
  <c r="E59" i="20"/>
  <c r="F59" i="20"/>
  <c r="G59" i="20"/>
  <c r="H59" i="20"/>
  <c r="I59" i="20"/>
  <c r="J59" i="20"/>
  <c r="K59" i="20"/>
  <c r="E60" i="20"/>
  <c r="F60" i="20"/>
  <c r="G60" i="20"/>
  <c r="H60" i="20"/>
  <c r="I60" i="20"/>
  <c r="J60" i="20"/>
  <c r="K60" i="20"/>
  <c r="E61" i="20"/>
  <c r="F61" i="20"/>
  <c r="G61" i="20"/>
  <c r="H61" i="20"/>
  <c r="I61" i="20"/>
  <c r="J61" i="20"/>
  <c r="K61" i="20"/>
  <c r="E62" i="20"/>
  <c r="F62" i="20"/>
  <c r="G62" i="20"/>
  <c r="H62" i="20"/>
  <c r="I62" i="20"/>
  <c r="J62" i="20"/>
  <c r="K62" i="20"/>
  <c r="E83" i="28"/>
  <c r="F83" i="28"/>
  <c r="G83" i="28"/>
  <c r="H83" i="28"/>
  <c r="I83" i="28"/>
  <c r="J83" i="28"/>
  <c r="K83" i="28"/>
  <c r="E84" i="28"/>
  <c r="F84" i="28"/>
  <c r="G84" i="28"/>
  <c r="H84" i="28"/>
  <c r="I84" i="28"/>
  <c r="J84" i="28"/>
  <c r="K84" i="28"/>
  <c r="E85" i="28"/>
  <c r="F85" i="28"/>
  <c r="G85" i="28"/>
  <c r="H85" i="28"/>
  <c r="I85" i="28"/>
  <c r="J85" i="28"/>
  <c r="K85" i="28"/>
  <c r="E86" i="28"/>
  <c r="F86" i="28"/>
  <c r="G86" i="28"/>
  <c r="H86" i="28"/>
  <c r="I86" i="28"/>
  <c r="J86" i="28"/>
  <c r="K86" i="28"/>
  <c r="E87" i="28"/>
  <c r="F87" i="28"/>
  <c r="G87" i="28"/>
  <c r="H87" i="28"/>
  <c r="I87" i="28"/>
  <c r="J87" i="28"/>
  <c r="K87" i="28"/>
  <c r="E88" i="28"/>
  <c r="F88" i="28"/>
  <c r="G88" i="28"/>
  <c r="H88" i="28"/>
  <c r="I88" i="28"/>
  <c r="J88" i="28"/>
  <c r="K88" i="28"/>
  <c r="E80" i="28"/>
  <c r="F80" i="28"/>
  <c r="G80" i="28"/>
  <c r="H80" i="28"/>
  <c r="I80" i="28"/>
  <c r="J80" i="28"/>
  <c r="K80" i="28"/>
  <c r="E81" i="28"/>
  <c r="F81" i="28"/>
  <c r="G81" i="28"/>
  <c r="H81" i="28"/>
  <c r="I81" i="28"/>
  <c r="J81" i="28"/>
  <c r="K81" i="28"/>
  <c r="E82" i="28"/>
  <c r="F82" i="28"/>
  <c r="G82" i="28"/>
  <c r="H82" i="28"/>
  <c r="I82" i="28"/>
  <c r="J82" i="28"/>
  <c r="K82" i="28"/>
  <c r="E50" i="28"/>
  <c r="F50" i="28"/>
  <c r="G50" i="28"/>
  <c r="H50" i="28"/>
  <c r="I50" i="28"/>
  <c r="J50" i="28"/>
  <c r="K50" i="28"/>
  <c r="E51" i="28"/>
  <c r="F51" i="28"/>
  <c r="G51" i="28"/>
  <c r="H51" i="28"/>
  <c r="I51" i="28"/>
  <c r="J51" i="28"/>
  <c r="K51" i="28"/>
  <c r="E52" i="28"/>
  <c r="F52" i="28"/>
  <c r="G52" i="28"/>
  <c r="H52" i="28"/>
  <c r="I52" i="28"/>
  <c r="J52" i="28"/>
  <c r="K52" i="28"/>
  <c r="E53" i="28"/>
  <c r="F53" i="28"/>
  <c r="G53" i="28"/>
  <c r="H53" i="28"/>
  <c r="I53" i="28"/>
  <c r="J53" i="28"/>
  <c r="K53" i="28"/>
  <c r="E54" i="28"/>
  <c r="F54" i="28"/>
  <c r="G54" i="28"/>
  <c r="H54" i="28"/>
  <c r="I54" i="28"/>
  <c r="J54" i="28"/>
  <c r="K54" i="28"/>
  <c r="E55" i="28"/>
  <c r="F55" i="28"/>
  <c r="G55" i="28"/>
  <c r="H55" i="28"/>
  <c r="I55" i="28"/>
  <c r="J55" i="28"/>
  <c r="K55" i="28"/>
  <c r="E56" i="28"/>
  <c r="F56" i="28"/>
  <c r="G56" i="28"/>
  <c r="H56" i="28"/>
  <c r="I56" i="28"/>
  <c r="J56" i="28"/>
  <c r="K56" i="28"/>
  <c r="E57" i="28"/>
  <c r="F57" i="28"/>
  <c r="G57" i="28"/>
  <c r="H57" i="28"/>
  <c r="I57" i="28"/>
  <c r="J57" i="28"/>
  <c r="K57" i="28"/>
  <c r="E58" i="28"/>
  <c r="F58" i="28"/>
  <c r="G58" i="28"/>
  <c r="H58" i="28"/>
  <c r="I58" i="28"/>
  <c r="J58" i="28"/>
  <c r="K58" i="28"/>
  <c r="E59" i="28"/>
  <c r="F59" i="28"/>
  <c r="G59" i="28"/>
  <c r="H59" i="28"/>
  <c r="I59" i="28"/>
  <c r="J59" i="28"/>
  <c r="K59" i="28"/>
  <c r="E60" i="28"/>
  <c r="F60" i="28"/>
  <c r="G60" i="28"/>
  <c r="H60" i="28"/>
  <c r="I60" i="28"/>
  <c r="J60" i="28"/>
  <c r="K60" i="28"/>
  <c r="E61" i="28"/>
  <c r="F61" i="28"/>
  <c r="G61" i="28"/>
  <c r="H61" i="28"/>
  <c r="I61" i="28"/>
  <c r="J61" i="28"/>
  <c r="K61" i="28"/>
  <c r="E62" i="28"/>
  <c r="F62" i="28"/>
  <c r="G62" i="28"/>
  <c r="H62" i="28"/>
  <c r="I62" i="28"/>
  <c r="J62" i="28"/>
  <c r="K62" i="28"/>
  <c r="E63" i="28"/>
  <c r="F63" i="28"/>
  <c r="G63" i="28"/>
  <c r="H63" i="28"/>
  <c r="I63" i="28"/>
  <c r="J63" i="28"/>
  <c r="K63" i="28"/>
  <c r="E64" i="28"/>
  <c r="F64" i="28"/>
  <c r="G64" i="28"/>
  <c r="H64" i="28"/>
  <c r="I64" i="28"/>
  <c r="J64" i="28"/>
  <c r="K64" i="28"/>
  <c r="E65" i="28"/>
  <c r="F65" i="28"/>
  <c r="G65" i="28"/>
  <c r="H65" i="28"/>
  <c r="I65" i="28"/>
  <c r="J65" i="28"/>
  <c r="K65" i="28"/>
  <c r="E66" i="28"/>
  <c r="F66" i="28"/>
  <c r="G66" i="28"/>
  <c r="H66" i="28"/>
  <c r="I66" i="28"/>
  <c r="J66" i="28"/>
  <c r="K66" i="28"/>
  <c r="E67" i="28"/>
  <c r="F67" i="28"/>
  <c r="G67" i="28"/>
  <c r="H67" i="28"/>
  <c r="I67" i="28"/>
  <c r="J67" i="28"/>
  <c r="K67" i="28"/>
  <c r="E68" i="28"/>
  <c r="F68" i="28"/>
  <c r="G68" i="28"/>
  <c r="H68" i="28"/>
  <c r="I68" i="28"/>
  <c r="J68" i="28"/>
  <c r="K68" i="28"/>
  <c r="E69" i="28"/>
  <c r="F69" i="28"/>
  <c r="G69" i="28"/>
  <c r="H69" i="28"/>
  <c r="I69" i="28"/>
  <c r="J69" i="28"/>
  <c r="K69" i="28"/>
  <c r="E70" i="28"/>
  <c r="F70" i="28"/>
  <c r="G70" i="28"/>
  <c r="H70" i="28"/>
  <c r="I70" i="28"/>
  <c r="J70" i="28"/>
  <c r="K70" i="28"/>
  <c r="E71" i="28"/>
  <c r="F71" i="28"/>
  <c r="G71" i="28"/>
  <c r="H71" i="28"/>
  <c r="I71" i="28"/>
  <c r="J71" i="28"/>
  <c r="K71" i="28"/>
  <c r="E72" i="28"/>
  <c r="F72" i="28"/>
  <c r="G72" i="28"/>
  <c r="H72" i="28"/>
  <c r="I72" i="28"/>
  <c r="J72" i="28"/>
  <c r="K72" i="28"/>
  <c r="E73" i="28"/>
  <c r="F73" i="28"/>
  <c r="G73" i="28"/>
  <c r="H73" i="28"/>
  <c r="I73" i="28"/>
  <c r="J73" i="28"/>
  <c r="K73" i="28"/>
  <c r="E74" i="28"/>
  <c r="F74" i="28"/>
  <c r="G74" i="28"/>
  <c r="H74" i="28"/>
  <c r="I74" i="28"/>
  <c r="J74" i="28"/>
  <c r="K74" i="28"/>
  <c r="E75" i="28"/>
  <c r="F75" i="28"/>
  <c r="G75" i="28"/>
  <c r="H75" i="28"/>
  <c r="I75" i="28"/>
  <c r="J75" i="28"/>
  <c r="K75" i="28"/>
  <c r="E76" i="28"/>
  <c r="F76" i="28"/>
  <c r="G76" i="28"/>
  <c r="H76" i="28"/>
  <c r="I76" i="28"/>
  <c r="J76" i="28"/>
  <c r="K76" i="28"/>
  <c r="E77" i="28"/>
  <c r="F77" i="28"/>
  <c r="G77" i="28"/>
  <c r="H77" i="28"/>
  <c r="I77" i="28"/>
  <c r="J77" i="28"/>
  <c r="K77" i="28"/>
  <c r="E78" i="28"/>
  <c r="F78" i="28"/>
  <c r="G78" i="28"/>
  <c r="H78" i="28"/>
  <c r="I78" i="28"/>
  <c r="J78" i="28"/>
  <c r="K78" i="28"/>
  <c r="E79" i="28"/>
  <c r="F79" i="28"/>
  <c r="G79" i="28"/>
  <c r="H79" i="28"/>
  <c r="I79" i="28"/>
  <c r="J79" i="28"/>
  <c r="K79" i="28"/>
  <c r="E49" i="28"/>
  <c r="F49" i="28"/>
  <c r="G49" i="28"/>
  <c r="H49" i="28"/>
  <c r="I49" i="28"/>
  <c r="J49" i="28"/>
  <c r="K49" i="28"/>
  <c r="E48" i="28"/>
  <c r="F48" i="28"/>
  <c r="G48" i="28"/>
  <c r="H48" i="28"/>
  <c r="I48" i="28"/>
  <c r="J48" i="28"/>
  <c r="K48" i="28"/>
  <c r="G77" i="22"/>
  <c r="H77" i="22"/>
  <c r="I77" i="22"/>
  <c r="J77" i="22"/>
  <c r="K77" i="22"/>
  <c r="C10" i="25"/>
  <c r="C9" i="25"/>
  <c r="C8" i="25"/>
  <c r="F89" i="28" l="1"/>
  <c r="K89" i="28"/>
  <c r="H89" i="28"/>
  <c r="J89" i="28"/>
  <c r="I89" i="28"/>
  <c r="G89" i="28"/>
  <c r="E89" i="28"/>
  <c r="D16" i="2" s="1"/>
  <c r="E79" i="22"/>
  <c r="I79" i="22"/>
  <c r="E78" i="22"/>
  <c r="E129" i="22" s="1"/>
  <c r="D10" i="2" s="1"/>
  <c r="I78" i="22"/>
  <c r="F42" i="21"/>
  <c r="J42" i="21"/>
  <c r="F43" i="21"/>
  <c r="J43" i="21"/>
  <c r="F51" i="21"/>
  <c r="J51" i="21"/>
  <c r="F52" i="21"/>
  <c r="J52" i="21"/>
  <c r="I129" i="22"/>
  <c r="H10" i="2" s="1"/>
  <c r="H129" i="22"/>
  <c r="G10" i="2" s="1"/>
  <c r="G129" i="22"/>
  <c r="F10" i="2" s="1"/>
  <c r="F129" i="22"/>
  <c r="E10" i="2" s="1"/>
  <c r="K129" i="22"/>
  <c r="J10" i="2" s="1"/>
  <c r="J129" i="22"/>
  <c r="I10" i="2" s="1"/>
  <c r="F26" i="30"/>
  <c r="B3" i="29"/>
  <c r="K61" i="29"/>
  <c r="J61" i="29"/>
  <c r="I61" i="29"/>
  <c r="H61" i="29"/>
  <c r="G61" i="29"/>
  <c r="F61" i="29"/>
  <c r="E61" i="29"/>
  <c r="K60" i="29"/>
  <c r="J60" i="29"/>
  <c r="I60" i="29"/>
  <c r="H60" i="29"/>
  <c r="G60" i="29"/>
  <c r="F60" i="29"/>
  <c r="E60" i="29"/>
  <c r="K59" i="29"/>
  <c r="J59" i="29"/>
  <c r="I59" i="29"/>
  <c r="H59" i="29"/>
  <c r="G59" i="29"/>
  <c r="F59" i="29"/>
  <c r="E59" i="29"/>
  <c r="K58" i="29"/>
  <c r="J58" i="29"/>
  <c r="I58" i="29"/>
  <c r="H58" i="29"/>
  <c r="G58" i="29"/>
  <c r="F58" i="29"/>
  <c r="E58" i="29"/>
  <c r="K57" i="29"/>
  <c r="J57" i="29"/>
  <c r="I57" i="29"/>
  <c r="H57" i="29"/>
  <c r="G57" i="29"/>
  <c r="F57" i="29"/>
  <c r="E57" i="29"/>
  <c r="K56" i="29"/>
  <c r="J56" i="29"/>
  <c r="I56" i="29"/>
  <c r="H56" i="29"/>
  <c r="G56" i="29"/>
  <c r="F56" i="29"/>
  <c r="E56" i="29"/>
  <c r="K55" i="29"/>
  <c r="J55" i="29"/>
  <c r="I55" i="29"/>
  <c r="H55" i="29"/>
  <c r="G55" i="29"/>
  <c r="F55" i="29"/>
  <c r="E55" i="29"/>
  <c r="K54" i="29"/>
  <c r="J54" i="29"/>
  <c r="I54" i="29"/>
  <c r="H54" i="29"/>
  <c r="G54" i="29"/>
  <c r="F54" i="29"/>
  <c r="E54" i="29"/>
  <c r="K53" i="29"/>
  <c r="J53" i="29"/>
  <c r="I53" i="29"/>
  <c r="H53" i="29"/>
  <c r="G53" i="29"/>
  <c r="F53" i="29"/>
  <c r="E53" i="29"/>
  <c r="K52" i="29"/>
  <c r="J52" i="29"/>
  <c r="I52" i="29"/>
  <c r="H52" i="29"/>
  <c r="G52" i="29"/>
  <c r="F52" i="29"/>
  <c r="E52" i="29"/>
  <c r="K51" i="29"/>
  <c r="J51" i="29"/>
  <c r="I51" i="29"/>
  <c r="H51" i="29"/>
  <c r="G51" i="29"/>
  <c r="F51" i="29"/>
  <c r="E51" i="29"/>
  <c r="K50" i="29"/>
  <c r="J50" i="29"/>
  <c r="I50" i="29"/>
  <c r="H50" i="29"/>
  <c r="G50" i="29"/>
  <c r="F50" i="29"/>
  <c r="E50" i="29"/>
  <c r="K49" i="29"/>
  <c r="J49" i="29"/>
  <c r="I49" i="29"/>
  <c r="H49" i="29"/>
  <c r="G49" i="29"/>
  <c r="F49" i="29"/>
  <c r="E49" i="29"/>
  <c r="K48" i="29"/>
  <c r="J48" i="29"/>
  <c r="I48" i="29"/>
  <c r="H48" i="29"/>
  <c r="G48" i="29"/>
  <c r="F48" i="29"/>
  <c r="E48" i="29"/>
  <c r="K47" i="29"/>
  <c r="J47" i="29"/>
  <c r="I47" i="29"/>
  <c r="H47" i="29"/>
  <c r="G47" i="29"/>
  <c r="F47" i="29"/>
  <c r="E47" i="29"/>
  <c r="K46" i="29"/>
  <c r="J46" i="29"/>
  <c r="I46" i="29"/>
  <c r="H46" i="29"/>
  <c r="G46" i="29"/>
  <c r="F46" i="29"/>
  <c r="E46" i="29"/>
  <c r="K45" i="29"/>
  <c r="J45" i="29"/>
  <c r="I45" i="29"/>
  <c r="H45" i="29"/>
  <c r="G45" i="29"/>
  <c r="F45" i="29"/>
  <c r="E45" i="29"/>
  <c r="K44" i="29"/>
  <c r="J44" i="29"/>
  <c r="I44" i="29"/>
  <c r="H44" i="29"/>
  <c r="G44" i="29"/>
  <c r="F44" i="29"/>
  <c r="E44" i="29"/>
  <c r="K43" i="29"/>
  <c r="J43" i="29"/>
  <c r="I43" i="29"/>
  <c r="H43" i="29"/>
  <c r="G43" i="29"/>
  <c r="F43" i="29"/>
  <c r="E43" i="29"/>
  <c r="K42" i="29"/>
  <c r="J42" i="29"/>
  <c r="I42" i="29"/>
  <c r="H42" i="29"/>
  <c r="G42" i="29"/>
  <c r="F42" i="29"/>
  <c r="E42" i="29"/>
  <c r="K41" i="29"/>
  <c r="J41" i="29"/>
  <c r="I41" i="29"/>
  <c r="H41" i="29"/>
  <c r="G41" i="29"/>
  <c r="F41" i="29"/>
  <c r="E41" i="29"/>
  <c r="K40" i="29"/>
  <c r="J40" i="29"/>
  <c r="I40" i="29"/>
  <c r="H40" i="29"/>
  <c r="G40" i="29"/>
  <c r="F40" i="29"/>
  <c r="E40" i="29"/>
  <c r="K39" i="29"/>
  <c r="J39" i="29"/>
  <c r="I39" i="29"/>
  <c r="H39" i="29"/>
  <c r="G39" i="29"/>
  <c r="F39" i="29"/>
  <c r="E39" i="29"/>
  <c r="K38" i="29"/>
  <c r="J38" i="29"/>
  <c r="I38" i="29"/>
  <c r="H38" i="29"/>
  <c r="G38" i="29"/>
  <c r="F38" i="29"/>
  <c r="E38" i="29"/>
  <c r="K37" i="29"/>
  <c r="J37" i="29"/>
  <c r="I37" i="29"/>
  <c r="H37" i="29"/>
  <c r="G37" i="29"/>
  <c r="F37" i="29"/>
  <c r="E37" i="29"/>
  <c r="K36" i="29"/>
  <c r="J36" i="29"/>
  <c r="I36" i="29"/>
  <c r="H36" i="29"/>
  <c r="G36" i="29"/>
  <c r="F36" i="29"/>
  <c r="E36" i="29"/>
  <c r="B3" i="28"/>
  <c r="B3" i="27"/>
  <c r="K61" i="27"/>
  <c r="J61" i="27"/>
  <c r="I61" i="27"/>
  <c r="H61" i="27"/>
  <c r="G61" i="27"/>
  <c r="F61" i="27"/>
  <c r="E61" i="27"/>
  <c r="K60" i="27"/>
  <c r="J60" i="27"/>
  <c r="I60" i="27"/>
  <c r="H60" i="27"/>
  <c r="G60" i="27"/>
  <c r="F60" i="27"/>
  <c r="E60" i="27"/>
  <c r="K59" i="27"/>
  <c r="J59" i="27"/>
  <c r="I59" i="27"/>
  <c r="H59" i="27"/>
  <c r="G59" i="27"/>
  <c r="F59" i="27"/>
  <c r="E59" i="27"/>
  <c r="K58" i="27"/>
  <c r="J58" i="27"/>
  <c r="I58" i="27"/>
  <c r="H58" i="27"/>
  <c r="G58" i="27"/>
  <c r="F58" i="27"/>
  <c r="E58" i="27"/>
  <c r="K57" i="27"/>
  <c r="J57" i="27"/>
  <c r="I57" i="27"/>
  <c r="H57" i="27"/>
  <c r="G57" i="27"/>
  <c r="F57" i="27"/>
  <c r="E57" i="27"/>
  <c r="K56" i="27"/>
  <c r="J56" i="27"/>
  <c r="I56" i="27"/>
  <c r="H56" i="27"/>
  <c r="G56" i="27"/>
  <c r="F56" i="27"/>
  <c r="E56" i="27"/>
  <c r="K55" i="27"/>
  <c r="J55" i="27"/>
  <c r="I55" i="27"/>
  <c r="H55" i="27"/>
  <c r="G55" i="27"/>
  <c r="F55" i="27"/>
  <c r="E55" i="27"/>
  <c r="K54" i="27"/>
  <c r="J54" i="27"/>
  <c r="I54" i="27"/>
  <c r="H54" i="27"/>
  <c r="G54" i="27"/>
  <c r="F54" i="27"/>
  <c r="E54" i="27"/>
  <c r="K53" i="27"/>
  <c r="J53" i="27"/>
  <c r="I53" i="27"/>
  <c r="H53" i="27"/>
  <c r="G53" i="27"/>
  <c r="F53" i="27"/>
  <c r="E53" i="27"/>
  <c r="K52" i="27"/>
  <c r="J52" i="27"/>
  <c r="I52" i="27"/>
  <c r="H52" i="27"/>
  <c r="G52" i="27"/>
  <c r="F52" i="27"/>
  <c r="E52" i="27"/>
  <c r="K51" i="27"/>
  <c r="J51" i="27"/>
  <c r="I51" i="27"/>
  <c r="H51" i="27"/>
  <c r="G51" i="27"/>
  <c r="F51" i="27"/>
  <c r="E51" i="27"/>
  <c r="K50" i="27"/>
  <c r="J50" i="27"/>
  <c r="I50" i="27"/>
  <c r="H50" i="27"/>
  <c r="G50" i="27"/>
  <c r="F50" i="27"/>
  <c r="E50" i="27"/>
  <c r="K49" i="27"/>
  <c r="J49" i="27"/>
  <c r="I49" i="27"/>
  <c r="H49" i="27"/>
  <c r="G49" i="27"/>
  <c r="F49" i="27"/>
  <c r="E49" i="27"/>
  <c r="K48" i="27"/>
  <c r="J48" i="27"/>
  <c r="I48" i="27"/>
  <c r="H48" i="27"/>
  <c r="G48" i="27"/>
  <c r="F48" i="27"/>
  <c r="E48" i="27"/>
  <c r="K47" i="27"/>
  <c r="J47" i="27"/>
  <c r="I47" i="27"/>
  <c r="H47" i="27"/>
  <c r="G47" i="27"/>
  <c r="F47" i="27"/>
  <c r="E47" i="27"/>
  <c r="K46" i="27"/>
  <c r="J46" i="27"/>
  <c r="I46" i="27"/>
  <c r="H46" i="27"/>
  <c r="G46" i="27"/>
  <c r="F46" i="27"/>
  <c r="E46" i="27"/>
  <c r="K45" i="27"/>
  <c r="J45" i="27"/>
  <c r="I45" i="27"/>
  <c r="H45" i="27"/>
  <c r="G45" i="27"/>
  <c r="F45" i="27"/>
  <c r="E45" i="27"/>
  <c r="K44" i="27"/>
  <c r="J44" i="27"/>
  <c r="I44" i="27"/>
  <c r="H44" i="27"/>
  <c r="G44" i="27"/>
  <c r="F44" i="27"/>
  <c r="E44" i="27"/>
  <c r="K43" i="27"/>
  <c r="J43" i="27"/>
  <c r="I43" i="27"/>
  <c r="H43" i="27"/>
  <c r="G43" i="27"/>
  <c r="F43" i="27"/>
  <c r="E43" i="27"/>
  <c r="K42" i="27"/>
  <c r="J42" i="27"/>
  <c r="I42" i="27"/>
  <c r="H42" i="27"/>
  <c r="G42" i="27"/>
  <c r="F42" i="27"/>
  <c r="E42" i="27"/>
  <c r="K41" i="27"/>
  <c r="J41" i="27"/>
  <c r="I41" i="27"/>
  <c r="H41" i="27"/>
  <c r="G41" i="27"/>
  <c r="F41" i="27"/>
  <c r="E41" i="27"/>
  <c r="K40" i="27"/>
  <c r="J40" i="27"/>
  <c r="I40" i="27"/>
  <c r="H40" i="27"/>
  <c r="G40" i="27"/>
  <c r="F40" i="27"/>
  <c r="E40" i="27"/>
  <c r="K39" i="27"/>
  <c r="J39" i="27"/>
  <c r="I39" i="27"/>
  <c r="H39" i="27"/>
  <c r="G39" i="27"/>
  <c r="F39" i="27"/>
  <c r="E39" i="27"/>
  <c r="K38" i="27"/>
  <c r="J38" i="27"/>
  <c r="I38" i="27"/>
  <c r="H38" i="27"/>
  <c r="G38" i="27"/>
  <c r="F38" i="27"/>
  <c r="E38" i="27"/>
  <c r="K37" i="27"/>
  <c r="J37" i="27"/>
  <c r="I37" i="27"/>
  <c r="H37" i="27"/>
  <c r="G37" i="27"/>
  <c r="F37" i="27"/>
  <c r="E37" i="27"/>
  <c r="K36" i="27"/>
  <c r="J36" i="27"/>
  <c r="I36" i="27"/>
  <c r="H36" i="27"/>
  <c r="G36" i="27"/>
  <c r="F36" i="27"/>
  <c r="E36" i="27"/>
  <c r="B3" i="26"/>
  <c r="K61" i="26"/>
  <c r="J61" i="26"/>
  <c r="I61" i="26"/>
  <c r="H61" i="26"/>
  <c r="G61" i="26"/>
  <c r="F61" i="26"/>
  <c r="E61" i="26"/>
  <c r="K60" i="26"/>
  <c r="J60" i="26"/>
  <c r="I60" i="26"/>
  <c r="H60" i="26"/>
  <c r="G60" i="26"/>
  <c r="F60" i="26"/>
  <c r="E60" i="26"/>
  <c r="K59" i="26"/>
  <c r="J59" i="26"/>
  <c r="I59" i="26"/>
  <c r="H59" i="26"/>
  <c r="G59" i="26"/>
  <c r="F59" i="26"/>
  <c r="E59" i="26"/>
  <c r="K58" i="26"/>
  <c r="J58" i="26"/>
  <c r="I58" i="26"/>
  <c r="H58" i="26"/>
  <c r="G58" i="26"/>
  <c r="F58" i="26"/>
  <c r="E58" i="26"/>
  <c r="K57" i="26"/>
  <c r="J57" i="26"/>
  <c r="I57" i="26"/>
  <c r="H57" i="26"/>
  <c r="G57" i="26"/>
  <c r="F57" i="26"/>
  <c r="E57" i="26"/>
  <c r="K56" i="26"/>
  <c r="J56" i="26"/>
  <c r="I56" i="26"/>
  <c r="H56" i="26"/>
  <c r="G56" i="26"/>
  <c r="F56" i="26"/>
  <c r="E56" i="26"/>
  <c r="K55" i="26"/>
  <c r="J55" i="26"/>
  <c r="I55" i="26"/>
  <c r="H55" i="26"/>
  <c r="G55" i="26"/>
  <c r="F55" i="26"/>
  <c r="E55" i="26"/>
  <c r="K54" i="26"/>
  <c r="J54" i="26"/>
  <c r="I54" i="26"/>
  <c r="H54" i="26"/>
  <c r="G54" i="26"/>
  <c r="F54" i="26"/>
  <c r="E54" i="26"/>
  <c r="K53" i="26"/>
  <c r="J53" i="26"/>
  <c r="I53" i="26"/>
  <c r="H53" i="26"/>
  <c r="G53" i="26"/>
  <c r="F53" i="26"/>
  <c r="E53" i="26"/>
  <c r="K52" i="26"/>
  <c r="J52" i="26"/>
  <c r="I52" i="26"/>
  <c r="H52" i="26"/>
  <c r="G52" i="26"/>
  <c r="F52" i="26"/>
  <c r="E52" i="26"/>
  <c r="K51" i="26"/>
  <c r="J51" i="26"/>
  <c r="I51" i="26"/>
  <c r="H51" i="26"/>
  <c r="G51" i="26"/>
  <c r="F51" i="26"/>
  <c r="E51" i="26"/>
  <c r="K50" i="26"/>
  <c r="J50" i="26"/>
  <c r="I50" i="26"/>
  <c r="H50" i="26"/>
  <c r="G50" i="26"/>
  <c r="F50" i="26"/>
  <c r="E50" i="26"/>
  <c r="K49" i="26"/>
  <c r="J49" i="26"/>
  <c r="I49" i="26"/>
  <c r="H49" i="26"/>
  <c r="G49" i="26"/>
  <c r="F49" i="26"/>
  <c r="E49" i="26"/>
  <c r="K48" i="26"/>
  <c r="J48" i="26"/>
  <c r="I48" i="26"/>
  <c r="H48" i="26"/>
  <c r="G48" i="26"/>
  <c r="F48" i="26"/>
  <c r="E48" i="26"/>
  <c r="K47" i="26"/>
  <c r="J47" i="26"/>
  <c r="I47" i="26"/>
  <c r="H47" i="26"/>
  <c r="G47" i="26"/>
  <c r="F47" i="26"/>
  <c r="E47" i="26"/>
  <c r="K46" i="26"/>
  <c r="J46" i="26"/>
  <c r="I46" i="26"/>
  <c r="H46" i="26"/>
  <c r="G46" i="26"/>
  <c r="F46" i="26"/>
  <c r="E46" i="26"/>
  <c r="K45" i="26"/>
  <c r="J45" i="26"/>
  <c r="I45" i="26"/>
  <c r="H45" i="26"/>
  <c r="G45" i="26"/>
  <c r="F45" i="26"/>
  <c r="E45" i="26"/>
  <c r="K44" i="26"/>
  <c r="J44" i="26"/>
  <c r="I44" i="26"/>
  <c r="H44" i="26"/>
  <c r="G44" i="26"/>
  <c r="F44" i="26"/>
  <c r="E44" i="26"/>
  <c r="K43" i="26"/>
  <c r="J43" i="26"/>
  <c r="I43" i="26"/>
  <c r="H43" i="26"/>
  <c r="G43" i="26"/>
  <c r="F43" i="26"/>
  <c r="E43" i="26"/>
  <c r="K42" i="26"/>
  <c r="J42" i="26"/>
  <c r="I42" i="26"/>
  <c r="H42" i="26"/>
  <c r="G42" i="26"/>
  <c r="F42" i="26"/>
  <c r="E42" i="26"/>
  <c r="K41" i="26"/>
  <c r="J41" i="26"/>
  <c r="I41" i="26"/>
  <c r="H41" i="26"/>
  <c r="G41" i="26"/>
  <c r="F41" i="26"/>
  <c r="E41" i="26"/>
  <c r="K40" i="26"/>
  <c r="J40" i="26"/>
  <c r="I40" i="26"/>
  <c r="H40" i="26"/>
  <c r="G40" i="26"/>
  <c r="F40" i="26"/>
  <c r="E40" i="26"/>
  <c r="K39" i="26"/>
  <c r="J39" i="26"/>
  <c r="I39" i="26"/>
  <c r="H39" i="26"/>
  <c r="G39" i="26"/>
  <c r="F39" i="26"/>
  <c r="E39" i="26"/>
  <c r="K38" i="26"/>
  <c r="J38" i="26"/>
  <c r="I38" i="26"/>
  <c r="H38" i="26"/>
  <c r="G38" i="26"/>
  <c r="F38" i="26"/>
  <c r="E38" i="26"/>
  <c r="K37" i="26"/>
  <c r="J37" i="26"/>
  <c r="I37" i="26"/>
  <c r="H37" i="26"/>
  <c r="G37" i="26"/>
  <c r="F37" i="26"/>
  <c r="E37" i="26"/>
  <c r="K36" i="26"/>
  <c r="J36" i="26"/>
  <c r="I36" i="26"/>
  <c r="H36" i="26"/>
  <c r="G36" i="26"/>
  <c r="F36" i="26"/>
  <c r="E36" i="26"/>
  <c r="B3" i="25"/>
  <c r="K61" i="25"/>
  <c r="J61" i="25"/>
  <c r="I61" i="25"/>
  <c r="H61" i="25"/>
  <c r="G61" i="25"/>
  <c r="F61" i="25"/>
  <c r="E61" i="25"/>
  <c r="K60" i="25"/>
  <c r="J60" i="25"/>
  <c r="I60" i="25"/>
  <c r="H60" i="25"/>
  <c r="G60" i="25"/>
  <c r="F60" i="25"/>
  <c r="E60" i="25"/>
  <c r="K59" i="25"/>
  <c r="J59" i="25"/>
  <c r="I59" i="25"/>
  <c r="H59" i="25"/>
  <c r="G59" i="25"/>
  <c r="F59" i="25"/>
  <c r="E59" i="25"/>
  <c r="K58" i="25"/>
  <c r="J58" i="25"/>
  <c r="I58" i="25"/>
  <c r="H58" i="25"/>
  <c r="G58" i="25"/>
  <c r="F58" i="25"/>
  <c r="E58" i="25"/>
  <c r="K57" i="25"/>
  <c r="J57" i="25"/>
  <c r="I57" i="25"/>
  <c r="H57" i="25"/>
  <c r="G57" i="25"/>
  <c r="F57" i="25"/>
  <c r="E57" i="25"/>
  <c r="K56" i="25"/>
  <c r="J56" i="25"/>
  <c r="I56" i="25"/>
  <c r="H56" i="25"/>
  <c r="G56" i="25"/>
  <c r="F56" i="25"/>
  <c r="E56" i="25"/>
  <c r="K55" i="25"/>
  <c r="J55" i="25"/>
  <c r="I55" i="25"/>
  <c r="H55" i="25"/>
  <c r="G55" i="25"/>
  <c r="F55" i="25"/>
  <c r="E55" i="25"/>
  <c r="K54" i="25"/>
  <c r="J54" i="25"/>
  <c r="I54" i="25"/>
  <c r="H54" i="25"/>
  <c r="G54" i="25"/>
  <c r="F54" i="25"/>
  <c r="E54" i="25"/>
  <c r="K53" i="25"/>
  <c r="J53" i="25"/>
  <c r="I53" i="25"/>
  <c r="H53" i="25"/>
  <c r="G53" i="25"/>
  <c r="F53" i="25"/>
  <c r="E53" i="25"/>
  <c r="K52" i="25"/>
  <c r="J52" i="25"/>
  <c r="I52" i="25"/>
  <c r="H52" i="25"/>
  <c r="G52" i="25"/>
  <c r="F52" i="25"/>
  <c r="E52" i="25"/>
  <c r="K51" i="25"/>
  <c r="J51" i="25"/>
  <c r="I51" i="25"/>
  <c r="H51" i="25"/>
  <c r="G51" i="25"/>
  <c r="F51" i="25"/>
  <c r="E51" i="25"/>
  <c r="K50" i="25"/>
  <c r="J50" i="25"/>
  <c r="I50" i="25"/>
  <c r="H50" i="25"/>
  <c r="G50" i="25"/>
  <c r="F50" i="25"/>
  <c r="E50" i="25"/>
  <c r="K49" i="25"/>
  <c r="J49" i="25"/>
  <c r="I49" i="25"/>
  <c r="H49" i="25"/>
  <c r="G49" i="25"/>
  <c r="F49" i="25"/>
  <c r="E49" i="25"/>
  <c r="K48" i="25"/>
  <c r="J48" i="25"/>
  <c r="I48" i="25"/>
  <c r="H48" i="25"/>
  <c r="G48" i="25"/>
  <c r="F48" i="25"/>
  <c r="E48" i="25"/>
  <c r="K47" i="25"/>
  <c r="J47" i="25"/>
  <c r="I47" i="25"/>
  <c r="H47" i="25"/>
  <c r="G47" i="25"/>
  <c r="F47" i="25"/>
  <c r="E47" i="25"/>
  <c r="K46" i="25"/>
  <c r="J46" i="25"/>
  <c r="I46" i="25"/>
  <c r="H46" i="25"/>
  <c r="G46" i="25"/>
  <c r="F46" i="25"/>
  <c r="E46" i="25"/>
  <c r="K45" i="25"/>
  <c r="J45" i="25"/>
  <c r="I45" i="25"/>
  <c r="H45" i="25"/>
  <c r="G45" i="25"/>
  <c r="F45" i="25"/>
  <c r="E45" i="25"/>
  <c r="K44" i="25"/>
  <c r="J44" i="25"/>
  <c r="I44" i="25"/>
  <c r="H44" i="25"/>
  <c r="G44" i="25"/>
  <c r="F44" i="25"/>
  <c r="E44" i="25"/>
  <c r="K43" i="25"/>
  <c r="J43" i="25"/>
  <c r="I43" i="25"/>
  <c r="H43" i="25"/>
  <c r="G43" i="25"/>
  <c r="F43" i="25"/>
  <c r="E43" i="25"/>
  <c r="K42" i="25"/>
  <c r="J42" i="25"/>
  <c r="I42" i="25"/>
  <c r="H42" i="25"/>
  <c r="G42" i="25"/>
  <c r="F42" i="25"/>
  <c r="E42" i="25"/>
  <c r="K41" i="25"/>
  <c r="J41" i="25"/>
  <c r="I41" i="25"/>
  <c r="H41" i="25"/>
  <c r="G41" i="25"/>
  <c r="F41" i="25"/>
  <c r="E41" i="25"/>
  <c r="K40" i="25"/>
  <c r="J40" i="25"/>
  <c r="I40" i="25"/>
  <c r="H40" i="25"/>
  <c r="G40" i="25"/>
  <c r="F40" i="25"/>
  <c r="E40" i="25"/>
  <c r="K39" i="25"/>
  <c r="J39" i="25"/>
  <c r="I39" i="25"/>
  <c r="H39" i="25"/>
  <c r="G39" i="25"/>
  <c r="F39" i="25"/>
  <c r="E39" i="25"/>
  <c r="K38" i="25"/>
  <c r="J38" i="25"/>
  <c r="I38" i="25"/>
  <c r="H38" i="25"/>
  <c r="G38" i="25"/>
  <c r="F38" i="25"/>
  <c r="E38" i="25"/>
  <c r="K37" i="25"/>
  <c r="J37" i="25"/>
  <c r="I37" i="25"/>
  <c r="H37" i="25"/>
  <c r="G37" i="25"/>
  <c r="F37" i="25"/>
  <c r="E37" i="25"/>
  <c r="K36" i="25"/>
  <c r="J36" i="25"/>
  <c r="I36" i="25"/>
  <c r="H36" i="25"/>
  <c r="G36" i="25"/>
  <c r="F36" i="25"/>
  <c r="E36" i="25"/>
  <c r="B3" i="24"/>
  <c r="K61" i="24"/>
  <c r="J61" i="24"/>
  <c r="I61" i="24"/>
  <c r="H61" i="24"/>
  <c r="G61" i="24"/>
  <c r="F61" i="24"/>
  <c r="E61" i="24"/>
  <c r="K60" i="24"/>
  <c r="J60" i="24"/>
  <c r="I60" i="24"/>
  <c r="H60" i="24"/>
  <c r="G60" i="24"/>
  <c r="F60" i="24"/>
  <c r="E60" i="24"/>
  <c r="K59" i="24"/>
  <c r="J59" i="24"/>
  <c r="I59" i="24"/>
  <c r="H59" i="24"/>
  <c r="G59" i="24"/>
  <c r="F59" i="24"/>
  <c r="E59" i="24"/>
  <c r="K58" i="24"/>
  <c r="J58" i="24"/>
  <c r="I58" i="24"/>
  <c r="H58" i="24"/>
  <c r="G58" i="24"/>
  <c r="F58" i="24"/>
  <c r="E58" i="24"/>
  <c r="K57" i="24"/>
  <c r="J57" i="24"/>
  <c r="I57" i="24"/>
  <c r="H57" i="24"/>
  <c r="G57" i="24"/>
  <c r="F57" i="24"/>
  <c r="E57" i="24"/>
  <c r="K56" i="24"/>
  <c r="J56" i="24"/>
  <c r="I56" i="24"/>
  <c r="H56" i="24"/>
  <c r="G56" i="24"/>
  <c r="F56" i="24"/>
  <c r="E56" i="24"/>
  <c r="K55" i="24"/>
  <c r="J55" i="24"/>
  <c r="I55" i="24"/>
  <c r="H55" i="24"/>
  <c r="G55" i="24"/>
  <c r="F55" i="24"/>
  <c r="E55" i="24"/>
  <c r="K54" i="24"/>
  <c r="J54" i="24"/>
  <c r="I54" i="24"/>
  <c r="H54" i="24"/>
  <c r="G54" i="24"/>
  <c r="F54" i="24"/>
  <c r="E54" i="24"/>
  <c r="K53" i="24"/>
  <c r="J53" i="24"/>
  <c r="I53" i="24"/>
  <c r="H53" i="24"/>
  <c r="G53" i="24"/>
  <c r="F53" i="24"/>
  <c r="E53" i="24"/>
  <c r="K52" i="24"/>
  <c r="J52" i="24"/>
  <c r="I52" i="24"/>
  <c r="H52" i="24"/>
  <c r="G52" i="24"/>
  <c r="F52" i="24"/>
  <c r="E52" i="24"/>
  <c r="K51" i="24"/>
  <c r="J51" i="24"/>
  <c r="I51" i="24"/>
  <c r="H51" i="24"/>
  <c r="G51" i="24"/>
  <c r="F51" i="24"/>
  <c r="E51" i="24"/>
  <c r="K50" i="24"/>
  <c r="J50" i="24"/>
  <c r="I50" i="24"/>
  <c r="H50" i="24"/>
  <c r="G50" i="24"/>
  <c r="F50" i="24"/>
  <c r="E50" i="24"/>
  <c r="K49" i="24"/>
  <c r="J49" i="24"/>
  <c r="I49" i="24"/>
  <c r="H49" i="24"/>
  <c r="G49" i="24"/>
  <c r="F49" i="24"/>
  <c r="E49" i="24"/>
  <c r="K48" i="24"/>
  <c r="J48" i="24"/>
  <c r="I48" i="24"/>
  <c r="H48" i="24"/>
  <c r="G48" i="24"/>
  <c r="F48" i="24"/>
  <c r="E48" i="24"/>
  <c r="K47" i="24"/>
  <c r="J47" i="24"/>
  <c r="I47" i="24"/>
  <c r="H47" i="24"/>
  <c r="G47" i="24"/>
  <c r="F47" i="24"/>
  <c r="E47" i="24"/>
  <c r="K46" i="24"/>
  <c r="J46" i="24"/>
  <c r="I46" i="24"/>
  <c r="H46" i="24"/>
  <c r="G46" i="24"/>
  <c r="F46" i="24"/>
  <c r="E46" i="24"/>
  <c r="K45" i="24"/>
  <c r="J45" i="24"/>
  <c r="I45" i="24"/>
  <c r="H45" i="24"/>
  <c r="G45" i="24"/>
  <c r="F45" i="24"/>
  <c r="E45" i="24"/>
  <c r="K44" i="24"/>
  <c r="J44" i="24"/>
  <c r="I44" i="24"/>
  <c r="H44" i="24"/>
  <c r="G44" i="24"/>
  <c r="F44" i="24"/>
  <c r="E44" i="24"/>
  <c r="K43" i="24"/>
  <c r="J43" i="24"/>
  <c r="I43" i="24"/>
  <c r="H43" i="24"/>
  <c r="G43" i="24"/>
  <c r="F43" i="24"/>
  <c r="E43" i="24"/>
  <c r="K42" i="24"/>
  <c r="J42" i="24"/>
  <c r="I42" i="24"/>
  <c r="H42" i="24"/>
  <c r="G42" i="24"/>
  <c r="F42" i="24"/>
  <c r="E42" i="24"/>
  <c r="K41" i="24"/>
  <c r="J41" i="24"/>
  <c r="I41" i="24"/>
  <c r="H41" i="24"/>
  <c r="G41" i="24"/>
  <c r="F41" i="24"/>
  <c r="E41" i="24"/>
  <c r="K40" i="24"/>
  <c r="J40" i="24"/>
  <c r="I40" i="24"/>
  <c r="H40" i="24"/>
  <c r="G40" i="24"/>
  <c r="F40" i="24"/>
  <c r="E40" i="24"/>
  <c r="K39" i="24"/>
  <c r="J39" i="24"/>
  <c r="I39" i="24"/>
  <c r="H39" i="24"/>
  <c r="G39" i="24"/>
  <c r="F39" i="24"/>
  <c r="E39" i="24"/>
  <c r="K38" i="24"/>
  <c r="J38" i="24"/>
  <c r="I38" i="24"/>
  <c r="H38" i="24"/>
  <c r="G38" i="24"/>
  <c r="F38" i="24"/>
  <c r="E38" i="24"/>
  <c r="K37" i="24"/>
  <c r="J37" i="24"/>
  <c r="I37" i="24"/>
  <c r="H37" i="24"/>
  <c r="G37" i="24"/>
  <c r="F37" i="24"/>
  <c r="E37" i="24"/>
  <c r="K36" i="24"/>
  <c r="J36" i="24"/>
  <c r="I36" i="24"/>
  <c r="H36" i="24"/>
  <c r="G36" i="24"/>
  <c r="F36" i="24"/>
  <c r="E36" i="24"/>
  <c r="B3" i="23"/>
  <c r="K61" i="23"/>
  <c r="J61" i="23"/>
  <c r="I61" i="23"/>
  <c r="H61" i="23"/>
  <c r="G61" i="23"/>
  <c r="F61" i="23"/>
  <c r="E61" i="23"/>
  <c r="K60" i="23"/>
  <c r="J60" i="23"/>
  <c r="I60" i="23"/>
  <c r="H60" i="23"/>
  <c r="G60" i="23"/>
  <c r="F60" i="23"/>
  <c r="E60" i="23"/>
  <c r="K59" i="23"/>
  <c r="J59" i="23"/>
  <c r="I59" i="23"/>
  <c r="H59" i="23"/>
  <c r="G59" i="23"/>
  <c r="F59" i="23"/>
  <c r="E59" i="23"/>
  <c r="K58" i="23"/>
  <c r="J58" i="23"/>
  <c r="I58" i="23"/>
  <c r="H58" i="23"/>
  <c r="G58" i="23"/>
  <c r="F58" i="23"/>
  <c r="E58" i="23"/>
  <c r="K57" i="23"/>
  <c r="J57" i="23"/>
  <c r="I57" i="23"/>
  <c r="H57" i="23"/>
  <c r="G57" i="23"/>
  <c r="F57" i="23"/>
  <c r="E57" i="23"/>
  <c r="K56" i="23"/>
  <c r="J56" i="23"/>
  <c r="I56" i="23"/>
  <c r="H56" i="23"/>
  <c r="G56" i="23"/>
  <c r="F56" i="23"/>
  <c r="E56" i="23"/>
  <c r="K55" i="23"/>
  <c r="J55" i="23"/>
  <c r="I55" i="23"/>
  <c r="H55" i="23"/>
  <c r="G55" i="23"/>
  <c r="F55" i="23"/>
  <c r="E55" i="23"/>
  <c r="K54" i="23"/>
  <c r="J54" i="23"/>
  <c r="I54" i="23"/>
  <c r="H54" i="23"/>
  <c r="G54" i="23"/>
  <c r="F54" i="23"/>
  <c r="E54" i="23"/>
  <c r="K53" i="23"/>
  <c r="J53" i="23"/>
  <c r="I53" i="23"/>
  <c r="H53" i="23"/>
  <c r="G53" i="23"/>
  <c r="F53" i="23"/>
  <c r="E53" i="23"/>
  <c r="K52" i="23"/>
  <c r="J52" i="23"/>
  <c r="I52" i="23"/>
  <c r="H52" i="23"/>
  <c r="G52" i="23"/>
  <c r="F52" i="23"/>
  <c r="E52" i="23"/>
  <c r="K51" i="23"/>
  <c r="J51" i="23"/>
  <c r="I51" i="23"/>
  <c r="H51" i="23"/>
  <c r="G51" i="23"/>
  <c r="F51" i="23"/>
  <c r="E51" i="23"/>
  <c r="K50" i="23"/>
  <c r="J50" i="23"/>
  <c r="I50" i="23"/>
  <c r="H50" i="23"/>
  <c r="G50" i="23"/>
  <c r="F50" i="23"/>
  <c r="E50" i="23"/>
  <c r="K49" i="23"/>
  <c r="J49" i="23"/>
  <c r="I49" i="23"/>
  <c r="H49" i="23"/>
  <c r="G49" i="23"/>
  <c r="F49" i="23"/>
  <c r="E49" i="23"/>
  <c r="K48" i="23"/>
  <c r="J48" i="23"/>
  <c r="I48" i="23"/>
  <c r="H48" i="23"/>
  <c r="G48" i="23"/>
  <c r="F48" i="23"/>
  <c r="E48" i="23"/>
  <c r="K47" i="23"/>
  <c r="J47" i="23"/>
  <c r="I47" i="23"/>
  <c r="H47" i="23"/>
  <c r="G47" i="23"/>
  <c r="F47" i="23"/>
  <c r="E47" i="23"/>
  <c r="K46" i="23"/>
  <c r="J46" i="23"/>
  <c r="I46" i="23"/>
  <c r="H46" i="23"/>
  <c r="G46" i="23"/>
  <c r="F46" i="23"/>
  <c r="E46" i="23"/>
  <c r="K45" i="23"/>
  <c r="J45" i="23"/>
  <c r="I45" i="23"/>
  <c r="H45" i="23"/>
  <c r="G45" i="23"/>
  <c r="F45" i="23"/>
  <c r="E45" i="23"/>
  <c r="K44" i="23"/>
  <c r="J44" i="23"/>
  <c r="I44" i="23"/>
  <c r="H44" i="23"/>
  <c r="G44" i="23"/>
  <c r="F44" i="23"/>
  <c r="E44" i="23"/>
  <c r="K43" i="23"/>
  <c r="J43" i="23"/>
  <c r="I43" i="23"/>
  <c r="H43" i="23"/>
  <c r="G43" i="23"/>
  <c r="F43" i="23"/>
  <c r="E43" i="23"/>
  <c r="K42" i="23"/>
  <c r="J42" i="23"/>
  <c r="I42" i="23"/>
  <c r="H42" i="23"/>
  <c r="G42" i="23"/>
  <c r="F42" i="23"/>
  <c r="E42" i="23"/>
  <c r="K41" i="23"/>
  <c r="J41" i="23"/>
  <c r="I41" i="23"/>
  <c r="H41" i="23"/>
  <c r="G41" i="23"/>
  <c r="F41" i="23"/>
  <c r="E41" i="23"/>
  <c r="K40" i="23"/>
  <c r="J40" i="23"/>
  <c r="I40" i="23"/>
  <c r="H40" i="23"/>
  <c r="G40" i="23"/>
  <c r="F40" i="23"/>
  <c r="E40" i="23"/>
  <c r="K39" i="23"/>
  <c r="J39" i="23"/>
  <c r="I39" i="23"/>
  <c r="H39" i="23"/>
  <c r="G39" i="23"/>
  <c r="F39" i="23"/>
  <c r="E39" i="23"/>
  <c r="K38" i="23"/>
  <c r="J38" i="23"/>
  <c r="I38" i="23"/>
  <c r="H38" i="23"/>
  <c r="G38" i="23"/>
  <c r="F38" i="23"/>
  <c r="E38" i="23"/>
  <c r="K37" i="23"/>
  <c r="J37" i="23"/>
  <c r="I37" i="23"/>
  <c r="H37" i="23"/>
  <c r="G37" i="23"/>
  <c r="F37" i="23"/>
  <c r="E37" i="23"/>
  <c r="K36" i="23"/>
  <c r="J36" i="23"/>
  <c r="I36" i="23"/>
  <c r="H36" i="23"/>
  <c r="G36" i="23"/>
  <c r="F36" i="23"/>
  <c r="E36" i="23"/>
  <c r="B3" i="22"/>
  <c r="B3" i="21"/>
  <c r="K37" i="21"/>
  <c r="J37" i="21"/>
  <c r="I37" i="21"/>
  <c r="H37" i="21"/>
  <c r="G37" i="21"/>
  <c r="F37" i="21"/>
  <c r="B3" i="20"/>
  <c r="K37" i="20"/>
  <c r="J37" i="20"/>
  <c r="I37" i="20"/>
  <c r="H37" i="20"/>
  <c r="G37" i="20"/>
  <c r="F37" i="20"/>
  <c r="E37" i="20"/>
  <c r="E63" i="20" s="1"/>
  <c r="B3" i="19"/>
  <c r="K61" i="19"/>
  <c r="J61" i="19"/>
  <c r="I61" i="19"/>
  <c r="H61" i="19"/>
  <c r="G61" i="19"/>
  <c r="F61" i="19"/>
  <c r="E61" i="19"/>
  <c r="K60" i="19"/>
  <c r="J60" i="19"/>
  <c r="I60" i="19"/>
  <c r="H60" i="19"/>
  <c r="G60" i="19"/>
  <c r="F60" i="19"/>
  <c r="E60" i="19"/>
  <c r="K59" i="19"/>
  <c r="J59" i="19"/>
  <c r="I59" i="19"/>
  <c r="H59" i="19"/>
  <c r="G59" i="19"/>
  <c r="F59" i="19"/>
  <c r="E59" i="19"/>
  <c r="K58" i="19"/>
  <c r="J58" i="19"/>
  <c r="I58" i="19"/>
  <c r="H58" i="19"/>
  <c r="G58" i="19"/>
  <c r="F58" i="19"/>
  <c r="E58" i="19"/>
  <c r="K57" i="19"/>
  <c r="J57" i="19"/>
  <c r="I57" i="19"/>
  <c r="H57" i="19"/>
  <c r="G57" i="19"/>
  <c r="F57" i="19"/>
  <c r="E57" i="19"/>
  <c r="K56" i="19"/>
  <c r="J56" i="19"/>
  <c r="I56" i="19"/>
  <c r="H56" i="19"/>
  <c r="G56" i="19"/>
  <c r="F56" i="19"/>
  <c r="E56" i="19"/>
  <c r="K55" i="19"/>
  <c r="J55" i="19"/>
  <c r="I55" i="19"/>
  <c r="H55" i="19"/>
  <c r="G55" i="19"/>
  <c r="F55" i="19"/>
  <c r="E55" i="19"/>
  <c r="K54" i="19"/>
  <c r="J54" i="19"/>
  <c r="I54" i="19"/>
  <c r="H54" i="19"/>
  <c r="G54" i="19"/>
  <c r="F54" i="19"/>
  <c r="E54" i="19"/>
  <c r="K53" i="19"/>
  <c r="J53" i="19"/>
  <c r="I53" i="19"/>
  <c r="H53" i="19"/>
  <c r="G53" i="19"/>
  <c r="F53" i="19"/>
  <c r="E53" i="19"/>
  <c r="K52" i="19"/>
  <c r="J52" i="19"/>
  <c r="I52" i="19"/>
  <c r="H52" i="19"/>
  <c r="G52" i="19"/>
  <c r="F52" i="19"/>
  <c r="E52" i="19"/>
  <c r="K51" i="19"/>
  <c r="J51" i="19"/>
  <c r="I51" i="19"/>
  <c r="H51" i="19"/>
  <c r="G51" i="19"/>
  <c r="F51" i="19"/>
  <c r="E51" i="19"/>
  <c r="K50" i="19"/>
  <c r="J50" i="19"/>
  <c r="I50" i="19"/>
  <c r="H50" i="19"/>
  <c r="G50" i="19"/>
  <c r="F50" i="19"/>
  <c r="E50" i="19"/>
  <c r="K49" i="19"/>
  <c r="J49" i="19"/>
  <c r="I49" i="19"/>
  <c r="H49" i="19"/>
  <c r="G49" i="19"/>
  <c r="F49" i="19"/>
  <c r="E49" i="19"/>
  <c r="K48" i="19"/>
  <c r="J48" i="19"/>
  <c r="I48" i="19"/>
  <c r="H48" i="19"/>
  <c r="G48" i="19"/>
  <c r="F48" i="19"/>
  <c r="E48" i="19"/>
  <c r="K47" i="19"/>
  <c r="J47" i="19"/>
  <c r="I47" i="19"/>
  <c r="H47" i="19"/>
  <c r="G47" i="19"/>
  <c r="F47" i="19"/>
  <c r="E47" i="19"/>
  <c r="K46" i="19"/>
  <c r="J46" i="19"/>
  <c r="I46" i="19"/>
  <c r="H46" i="19"/>
  <c r="G46" i="19"/>
  <c r="F46" i="19"/>
  <c r="E46" i="19"/>
  <c r="K45" i="19"/>
  <c r="J45" i="19"/>
  <c r="I45" i="19"/>
  <c r="H45" i="19"/>
  <c r="G45" i="19"/>
  <c r="F45" i="19"/>
  <c r="E45" i="19"/>
  <c r="K44" i="19"/>
  <c r="J44" i="19"/>
  <c r="I44" i="19"/>
  <c r="H44" i="19"/>
  <c r="G44" i="19"/>
  <c r="F44" i="19"/>
  <c r="E44" i="19"/>
  <c r="K43" i="19"/>
  <c r="J43" i="19"/>
  <c r="I43" i="19"/>
  <c r="H43" i="19"/>
  <c r="G43" i="19"/>
  <c r="F43" i="19"/>
  <c r="E43" i="19"/>
  <c r="K42" i="19"/>
  <c r="J42" i="19"/>
  <c r="I42" i="19"/>
  <c r="H42" i="19"/>
  <c r="G42" i="19"/>
  <c r="F42" i="19"/>
  <c r="E42" i="19"/>
  <c r="K41" i="19"/>
  <c r="J41" i="19"/>
  <c r="I41" i="19"/>
  <c r="H41" i="19"/>
  <c r="G41" i="19"/>
  <c r="F41" i="19"/>
  <c r="E41" i="19"/>
  <c r="K40" i="19"/>
  <c r="J40" i="19"/>
  <c r="I40" i="19"/>
  <c r="H40" i="19"/>
  <c r="G40" i="19"/>
  <c r="F40" i="19"/>
  <c r="E40" i="19"/>
  <c r="K39" i="19"/>
  <c r="J39" i="19"/>
  <c r="I39" i="19"/>
  <c r="H39" i="19"/>
  <c r="G39" i="19"/>
  <c r="F39" i="19"/>
  <c r="E39" i="19"/>
  <c r="K38" i="19"/>
  <c r="J38" i="19"/>
  <c r="I38" i="19"/>
  <c r="H38" i="19"/>
  <c r="G38" i="19"/>
  <c r="F38" i="19"/>
  <c r="E38" i="19"/>
  <c r="K37" i="19"/>
  <c r="J37" i="19"/>
  <c r="I37" i="19"/>
  <c r="H37" i="19"/>
  <c r="G37" i="19"/>
  <c r="F37" i="19"/>
  <c r="E37" i="19"/>
  <c r="K36" i="19"/>
  <c r="J36" i="19"/>
  <c r="I36" i="19"/>
  <c r="H36" i="19"/>
  <c r="G36" i="19"/>
  <c r="F36" i="19"/>
  <c r="E36" i="19"/>
  <c r="B3" i="18"/>
  <c r="K61" i="18"/>
  <c r="J61" i="18"/>
  <c r="I61" i="18"/>
  <c r="H61" i="18"/>
  <c r="G61" i="18"/>
  <c r="F61" i="18"/>
  <c r="E61" i="18"/>
  <c r="K60" i="18"/>
  <c r="J60" i="18"/>
  <c r="I60" i="18"/>
  <c r="H60" i="18"/>
  <c r="G60" i="18"/>
  <c r="F60" i="18"/>
  <c r="E60" i="18"/>
  <c r="K59" i="18"/>
  <c r="J59" i="18"/>
  <c r="I59" i="18"/>
  <c r="H59" i="18"/>
  <c r="G59" i="18"/>
  <c r="F59" i="18"/>
  <c r="E59" i="18"/>
  <c r="K58" i="18"/>
  <c r="J58" i="18"/>
  <c r="I58" i="18"/>
  <c r="H58" i="18"/>
  <c r="G58" i="18"/>
  <c r="F58" i="18"/>
  <c r="E58" i="18"/>
  <c r="K57" i="18"/>
  <c r="J57" i="18"/>
  <c r="I57" i="18"/>
  <c r="H57" i="18"/>
  <c r="G57" i="18"/>
  <c r="F57" i="18"/>
  <c r="E57" i="18"/>
  <c r="K56" i="18"/>
  <c r="J56" i="18"/>
  <c r="I56" i="18"/>
  <c r="H56" i="18"/>
  <c r="G56" i="18"/>
  <c r="F56" i="18"/>
  <c r="E56" i="18"/>
  <c r="K55" i="18"/>
  <c r="J55" i="18"/>
  <c r="I55" i="18"/>
  <c r="H55" i="18"/>
  <c r="G55" i="18"/>
  <c r="F55" i="18"/>
  <c r="E55" i="18"/>
  <c r="K54" i="18"/>
  <c r="J54" i="18"/>
  <c r="I54" i="18"/>
  <c r="H54" i="18"/>
  <c r="G54" i="18"/>
  <c r="F54" i="18"/>
  <c r="E54" i="18"/>
  <c r="K53" i="18"/>
  <c r="J53" i="18"/>
  <c r="I53" i="18"/>
  <c r="H53" i="18"/>
  <c r="G53" i="18"/>
  <c r="F53" i="18"/>
  <c r="E53" i="18"/>
  <c r="K52" i="18"/>
  <c r="J52" i="18"/>
  <c r="I52" i="18"/>
  <c r="H52" i="18"/>
  <c r="G52" i="18"/>
  <c r="F52" i="18"/>
  <c r="E52" i="18"/>
  <c r="K51" i="18"/>
  <c r="J51" i="18"/>
  <c r="I51" i="18"/>
  <c r="H51" i="18"/>
  <c r="G51" i="18"/>
  <c r="F51" i="18"/>
  <c r="E51" i="18"/>
  <c r="K50" i="18"/>
  <c r="J50" i="18"/>
  <c r="I50" i="18"/>
  <c r="H50" i="18"/>
  <c r="G50" i="18"/>
  <c r="F50" i="18"/>
  <c r="E50" i="18"/>
  <c r="K49" i="18"/>
  <c r="J49" i="18"/>
  <c r="I49" i="18"/>
  <c r="H49" i="18"/>
  <c r="G49" i="18"/>
  <c r="F49" i="18"/>
  <c r="E49" i="18"/>
  <c r="K48" i="18"/>
  <c r="J48" i="18"/>
  <c r="I48" i="18"/>
  <c r="H48" i="18"/>
  <c r="G48" i="18"/>
  <c r="F48" i="18"/>
  <c r="E48" i="18"/>
  <c r="K47" i="18"/>
  <c r="J47" i="18"/>
  <c r="I47" i="18"/>
  <c r="H47" i="18"/>
  <c r="G47" i="18"/>
  <c r="F47" i="18"/>
  <c r="E47" i="18"/>
  <c r="K46" i="18"/>
  <c r="J46" i="18"/>
  <c r="I46" i="18"/>
  <c r="H46" i="18"/>
  <c r="G46" i="18"/>
  <c r="F46" i="18"/>
  <c r="E46" i="18"/>
  <c r="K45" i="18"/>
  <c r="J45" i="18"/>
  <c r="I45" i="18"/>
  <c r="H45" i="18"/>
  <c r="G45" i="18"/>
  <c r="F45" i="18"/>
  <c r="E45" i="18"/>
  <c r="K44" i="18"/>
  <c r="J44" i="18"/>
  <c r="I44" i="18"/>
  <c r="H44" i="18"/>
  <c r="G44" i="18"/>
  <c r="F44" i="18"/>
  <c r="E44" i="18"/>
  <c r="K43" i="18"/>
  <c r="J43" i="18"/>
  <c r="I43" i="18"/>
  <c r="H43" i="18"/>
  <c r="G43" i="18"/>
  <c r="F43" i="18"/>
  <c r="E43" i="18"/>
  <c r="K42" i="18"/>
  <c r="J42" i="18"/>
  <c r="I42" i="18"/>
  <c r="H42" i="18"/>
  <c r="G42" i="18"/>
  <c r="F42" i="18"/>
  <c r="E42" i="18"/>
  <c r="K41" i="18"/>
  <c r="J41" i="18"/>
  <c r="I41" i="18"/>
  <c r="H41" i="18"/>
  <c r="G41" i="18"/>
  <c r="F41" i="18"/>
  <c r="E41" i="18"/>
  <c r="K40" i="18"/>
  <c r="J40" i="18"/>
  <c r="I40" i="18"/>
  <c r="H40" i="18"/>
  <c r="G40" i="18"/>
  <c r="F40" i="18"/>
  <c r="E40" i="18"/>
  <c r="K39" i="18"/>
  <c r="J39" i="18"/>
  <c r="I39" i="18"/>
  <c r="H39" i="18"/>
  <c r="G39" i="18"/>
  <c r="F39" i="18"/>
  <c r="E39" i="18"/>
  <c r="K38" i="18"/>
  <c r="J38" i="18"/>
  <c r="I38" i="18"/>
  <c r="H38" i="18"/>
  <c r="G38" i="18"/>
  <c r="F38" i="18"/>
  <c r="E38" i="18"/>
  <c r="K37" i="18"/>
  <c r="J37" i="18"/>
  <c r="I37" i="18"/>
  <c r="H37" i="18"/>
  <c r="G37" i="18"/>
  <c r="F37" i="18"/>
  <c r="E37" i="18"/>
  <c r="K36" i="18"/>
  <c r="J36" i="18"/>
  <c r="I36" i="18"/>
  <c r="H36" i="18"/>
  <c r="G36" i="18"/>
  <c r="F36" i="18"/>
  <c r="E36" i="18"/>
  <c r="B3" i="17"/>
  <c r="K61" i="17"/>
  <c r="J61" i="17"/>
  <c r="I61" i="17"/>
  <c r="H61" i="17"/>
  <c r="G61" i="17"/>
  <c r="F61" i="17"/>
  <c r="E61" i="17"/>
  <c r="K60" i="17"/>
  <c r="J60" i="17"/>
  <c r="I60" i="17"/>
  <c r="H60" i="17"/>
  <c r="G60" i="17"/>
  <c r="F60" i="17"/>
  <c r="E60" i="17"/>
  <c r="K59" i="17"/>
  <c r="J59" i="17"/>
  <c r="I59" i="17"/>
  <c r="H59" i="17"/>
  <c r="G59" i="17"/>
  <c r="F59" i="17"/>
  <c r="E59" i="17"/>
  <c r="K58" i="17"/>
  <c r="J58" i="17"/>
  <c r="I58" i="17"/>
  <c r="H58" i="17"/>
  <c r="G58" i="17"/>
  <c r="F58" i="17"/>
  <c r="E58" i="17"/>
  <c r="K57" i="17"/>
  <c r="J57" i="17"/>
  <c r="I57" i="17"/>
  <c r="H57" i="17"/>
  <c r="G57" i="17"/>
  <c r="F57" i="17"/>
  <c r="E57" i="17"/>
  <c r="K56" i="17"/>
  <c r="J56" i="17"/>
  <c r="I56" i="17"/>
  <c r="H56" i="17"/>
  <c r="G56" i="17"/>
  <c r="F56" i="17"/>
  <c r="E56" i="17"/>
  <c r="K55" i="17"/>
  <c r="J55" i="17"/>
  <c r="I55" i="17"/>
  <c r="H55" i="17"/>
  <c r="G55" i="17"/>
  <c r="F55" i="17"/>
  <c r="E55" i="17"/>
  <c r="K54" i="17"/>
  <c r="J54" i="17"/>
  <c r="I54" i="17"/>
  <c r="H54" i="17"/>
  <c r="G54" i="17"/>
  <c r="F54" i="17"/>
  <c r="E54" i="17"/>
  <c r="K53" i="17"/>
  <c r="J53" i="17"/>
  <c r="I53" i="17"/>
  <c r="H53" i="17"/>
  <c r="G53" i="17"/>
  <c r="F53" i="17"/>
  <c r="E53" i="17"/>
  <c r="K52" i="17"/>
  <c r="J52" i="17"/>
  <c r="I52" i="17"/>
  <c r="H52" i="17"/>
  <c r="G52" i="17"/>
  <c r="F52" i="17"/>
  <c r="E52" i="17"/>
  <c r="K51" i="17"/>
  <c r="J51" i="17"/>
  <c r="I51" i="17"/>
  <c r="H51" i="17"/>
  <c r="G51" i="17"/>
  <c r="F51" i="17"/>
  <c r="E51" i="17"/>
  <c r="K50" i="17"/>
  <c r="J50" i="17"/>
  <c r="I50" i="17"/>
  <c r="H50" i="17"/>
  <c r="G50" i="17"/>
  <c r="F50" i="17"/>
  <c r="E50" i="17"/>
  <c r="K49" i="17"/>
  <c r="J49" i="17"/>
  <c r="I49" i="17"/>
  <c r="H49" i="17"/>
  <c r="G49" i="17"/>
  <c r="F49" i="17"/>
  <c r="E49" i="17"/>
  <c r="K48" i="17"/>
  <c r="J48" i="17"/>
  <c r="I48" i="17"/>
  <c r="H48" i="17"/>
  <c r="G48" i="17"/>
  <c r="F48" i="17"/>
  <c r="E48" i="17"/>
  <c r="K47" i="17"/>
  <c r="J47" i="17"/>
  <c r="I47" i="17"/>
  <c r="H47" i="17"/>
  <c r="G47" i="17"/>
  <c r="F47" i="17"/>
  <c r="E47" i="17"/>
  <c r="K46" i="17"/>
  <c r="J46" i="17"/>
  <c r="I46" i="17"/>
  <c r="H46" i="17"/>
  <c r="G46" i="17"/>
  <c r="F46" i="17"/>
  <c r="E46" i="17"/>
  <c r="K45" i="17"/>
  <c r="J45" i="17"/>
  <c r="I45" i="17"/>
  <c r="H45" i="17"/>
  <c r="G45" i="17"/>
  <c r="F45" i="17"/>
  <c r="E45" i="17"/>
  <c r="K44" i="17"/>
  <c r="J44" i="17"/>
  <c r="I44" i="17"/>
  <c r="H44" i="17"/>
  <c r="G44" i="17"/>
  <c r="F44" i="17"/>
  <c r="E44" i="17"/>
  <c r="K43" i="17"/>
  <c r="J43" i="17"/>
  <c r="I43" i="17"/>
  <c r="H43" i="17"/>
  <c r="G43" i="17"/>
  <c r="F43" i="17"/>
  <c r="E43" i="17"/>
  <c r="K42" i="17"/>
  <c r="J42" i="17"/>
  <c r="I42" i="17"/>
  <c r="H42" i="17"/>
  <c r="G42" i="17"/>
  <c r="F42" i="17"/>
  <c r="E42" i="17"/>
  <c r="K41" i="17"/>
  <c r="J41" i="17"/>
  <c r="I41" i="17"/>
  <c r="H41" i="17"/>
  <c r="G41" i="17"/>
  <c r="F41" i="17"/>
  <c r="E41" i="17"/>
  <c r="K40" i="17"/>
  <c r="J40" i="17"/>
  <c r="I40" i="17"/>
  <c r="H40" i="17"/>
  <c r="G40" i="17"/>
  <c r="F40" i="17"/>
  <c r="E40" i="17"/>
  <c r="K39" i="17"/>
  <c r="J39" i="17"/>
  <c r="I39" i="17"/>
  <c r="H39" i="17"/>
  <c r="G39" i="17"/>
  <c r="F39" i="17"/>
  <c r="E39" i="17"/>
  <c r="K38" i="17"/>
  <c r="J38" i="17"/>
  <c r="I38" i="17"/>
  <c r="H38" i="17"/>
  <c r="G38" i="17"/>
  <c r="F38" i="17"/>
  <c r="E38" i="17"/>
  <c r="K37" i="17"/>
  <c r="J37" i="17"/>
  <c r="I37" i="17"/>
  <c r="H37" i="17"/>
  <c r="G37" i="17"/>
  <c r="F37" i="17"/>
  <c r="E37" i="17"/>
  <c r="K36" i="17"/>
  <c r="J36" i="17"/>
  <c r="I36" i="17"/>
  <c r="H36" i="17"/>
  <c r="G36" i="17"/>
  <c r="F36" i="17"/>
  <c r="E36" i="17"/>
  <c r="B3" i="3"/>
  <c r="K61" i="3"/>
  <c r="J61" i="3"/>
  <c r="I61" i="3"/>
  <c r="H61" i="3"/>
  <c r="G61" i="3"/>
  <c r="F61" i="3"/>
  <c r="E61" i="3"/>
  <c r="K60" i="3"/>
  <c r="J60" i="3"/>
  <c r="I60" i="3"/>
  <c r="H60" i="3"/>
  <c r="G60" i="3"/>
  <c r="F60" i="3"/>
  <c r="E60" i="3"/>
  <c r="K59" i="3"/>
  <c r="J59" i="3"/>
  <c r="I59" i="3"/>
  <c r="H59" i="3"/>
  <c r="G59" i="3"/>
  <c r="F59" i="3"/>
  <c r="E59" i="3"/>
  <c r="K58" i="3"/>
  <c r="J58" i="3"/>
  <c r="I58" i="3"/>
  <c r="H58" i="3"/>
  <c r="G58" i="3"/>
  <c r="F58" i="3"/>
  <c r="E58" i="3"/>
  <c r="K57" i="3"/>
  <c r="J57" i="3"/>
  <c r="I57" i="3"/>
  <c r="H57" i="3"/>
  <c r="G57" i="3"/>
  <c r="F57" i="3"/>
  <c r="E57" i="3"/>
  <c r="K56" i="3"/>
  <c r="J56" i="3"/>
  <c r="I56" i="3"/>
  <c r="H56" i="3"/>
  <c r="G56" i="3"/>
  <c r="F56" i="3"/>
  <c r="E56" i="3"/>
  <c r="K55" i="3"/>
  <c r="J55" i="3"/>
  <c r="I55" i="3"/>
  <c r="H55" i="3"/>
  <c r="G55" i="3"/>
  <c r="F55" i="3"/>
  <c r="E55" i="3"/>
  <c r="K54" i="3"/>
  <c r="J54" i="3"/>
  <c r="I54" i="3"/>
  <c r="H54" i="3"/>
  <c r="G54" i="3"/>
  <c r="F54" i="3"/>
  <c r="E54" i="3"/>
  <c r="K53" i="3"/>
  <c r="J53" i="3"/>
  <c r="I53" i="3"/>
  <c r="H53" i="3"/>
  <c r="G53" i="3"/>
  <c r="F53" i="3"/>
  <c r="E53" i="3"/>
  <c r="K52" i="3"/>
  <c r="J52" i="3"/>
  <c r="I52" i="3"/>
  <c r="H52" i="3"/>
  <c r="G52" i="3"/>
  <c r="F52" i="3"/>
  <c r="E52" i="3"/>
  <c r="K51" i="3"/>
  <c r="J51" i="3"/>
  <c r="I51" i="3"/>
  <c r="H51" i="3"/>
  <c r="G51" i="3"/>
  <c r="F51" i="3"/>
  <c r="E51" i="3"/>
  <c r="K50" i="3"/>
  <c r="J50" i="3"/>
  <c r="I50" i="3"/>
  <c r="H50" i="3"/>
  <c r="G50" i="3"/>
  <c r="F50" i="3"/>
  <c r="E50" i="3"/>
  <c r="K49" i="3"/>
  <c r="J49" i="3"/>
  <c r="I49" i="3"/>
  <c r="H49" i="3"/>
  <c r="G49" i="3"/>
  <c r="F49" i="3"/>
  <c r="E49" i="3"/>
  <c r="K48" i="3"/>
  <c r="J48" i="3"/>
  <c r="I48" i="3"/>
  <c r="H48" i="3"/>
  <c r="G48" i="3"/>
  <c r="F48" i="3"/>
  <c r="E48" i="3"/>
  <c r="K47" i="3"/>
  <c r="J47" i="3"/>
  <c r="I47" i="3"/>
  <c r="H47" i="3"/>
  <c r="G47" i="3"/>
  <c r="F47" i="3"/>
  <c r="E47" i="3"/>
  <c r="K46" i="3"/>
  <c r="I46" i="3"/>
  <c r="H46" i="3"/>
  <c r="G46" i="3"/>
  <c r="F46" i="3"/>
  <c r="E46" i="3"/>
  <c r="K45" i="3"/>
  <c r="J45" i="3"/>
  <c r="I45" i="3"/>
  <c r="H45" i="3"/>
  <c r="F45" i="3"/>
  <c r="E45" i="3"/>
  <c r="K44" i="3"/>
  <c r="I44" i="3"/>
  <c r="H44" i="3"/>
  <c r="G44" i="3"/>
  <c r="F44" i="3"/>
  <c r="E44" i="3"/>
  <c r="K43" i="3"/>
  <c r="I43" i="3"/>
  <c r="G43" i="3"/>
  <c r="F43" i="3"/>
  <c r="E43" i="3"/>
  <c r="K42" i="3"/>
  <c r="I42" i="3"/>
  <c r="H42" i="3"/>
  <c r="G42" i="3"/>
  <c r="E42" i="3"/>
  <c r="K41" i="3"/>
  <c r="J41" i="3"/>
  <c r="I41" i="3"/>
  <c r="H41" i="3"/>
  <c r="G41" i="3"/>
  <c r="F41" i="3"/>
  <c r="K40" i="3"/>
  <c r="I40" i="3"/>
  <c r="H40" i="3"/>
  <c r="F40" i="3"/>
  <c r="E40" i="3"/>
  <c r="K39" i="3"/>
  <c r="I39" i="3"/>
  <c r="H39" i="3"/>
  <c r="F39" i="3"/>
  <c r="E39" i="3"/>
  <c r="K38" i="3"/>
  <c r="I38" i="3"/>
  <c r="H38" i="3"/>
  <c r="G38" i="3"/>
  <c r="F38" i="3"/>
  <c r="E38" i="3"/>
  <c r="K37" i="3"/>
  <c r="J37" i="3"/>
  <c r="I37" i="3"/>
  <c r="H37" i="3"/>
  <c r="G37" i="3"/>
  <c r="F37" i="3"/>
  <c r="E37" i="3"/>
  <c r="K36" i="3"/>
  <c r="J36" i="3"/>
  <c r="I36" i="3"/>
  <c r="H36" i="3"/>
  <c r="G36" i="3"/>
  <c r="F36" i="3"/>
  <c r="E36" i="3"/>
  <c r="J46" i="3"/>
  <c r="G45" i="3"/>
  <c r="J44" i="3"/>
  <c r="J43" i="3"/>
  <c r="J42" i="3"/>
  <c r="E41" i="3"/>
  <c r="J39" i="3"/>
  <c r="G39" i="3"/>
  <c r="J38" i="3"/>
  <c r="K62" i="19" l="1"/>
  <c r="J7" i="2" s="1"/>
  <c r="J62" i="27"/>
  <c r="I15" i="2" s="1"/>
  <c r="K62" i="27"/>
  <c r="J15" i="2" s="1"/>
  <c r="H63" i="20"/>
  <c r="G8" i="2" s="1"/>
  <c r="F62" i="26"/>
  <c r="E14" i="2" s="1"/>
  <c r="F63" i="20"/>
  <c r="E8" i="2" s="1"/>
  <c r="I62" i="25"/>
  <c r="H13" i="2" s="1"/>
  <c r="I63" i="20"/>
  <c r="H8" i="2" s="1"/>
  <c r="E62" i="26"/>
  <c r="D14" i="2" s="1"/>
  <c r="G62" i="26"/>
  <c r="F14" i="2" s="1"/>
  <c r="E62" i="29"/>
  <c r="D17" i="2" s="1"/>
  <c r="J63" i="20"/>
  <c r="I8" i="2" s="1"/>
  <c r="G62" i="29"/>
  <c r="F17" i="2" s="1"/>
  <c r="H62" i="26"/>
  <c r="G14" i="2" s="1"/>
  <c r="H62" i="29"/>
  <c r="G17" i="2" s="1"/>
  <c r="F62" i="19"/>
  <c r="E7" i="2" s="1"/>
  <c r="G62" i="24"/>
  <c r="F12" i="2" s="1"/>
  <c r="I62" i="26"/>
  <c r="H14" i="2" s="1"/>
  <c r="I62" i="29"/>
  <c r="H17" i="2" s="1"/>
  <c r="I62" i="17"/>
  <c r="H5" i="2" s="1"/>
  <c r="I62" i="27"/>
  <c r="H15" i="2" s="1"/>
  <c r="D8" i="2"/>
  <c r="K63" i="20"/>
  <c r="J8" i="2" s="1"/>
  <c r="E62" i="19"/>
  <c r="D7" i="2" s="1"/>
  <c r="J62" i="26"/>
  <c r="I14" i="2" s="1"/>
  <c r="J62" i="29"/>
  <c r="I17" i="2" s="1"/>
  <c r="K62" i="26"/>
  <c r="J14" i="2" s="1"/>
  <c r="K62" i="29"/>
  <c r="J17" i="2" s="1"/>
  <c r="G63" i="20"/>
  <c r="F8" i="2" s="1"/>
  <c r="G62" i="19"/>
  <c r="F7" i="2" s="1"/>
  <c r="E62" i="27"/>
  <c r="D15" i="2" s="1"/>
  <c r="H62" i="19"/>
  <c r="G7" i="2" s="1"/>
  <c r="K62" i="24"/>
  <c r="J12" i="2" s="1"/>
  <c r="F62" i="27"/>
  <c r="E15" i="2" s="1"/>
  <c r="I62" i="19"/>
  <c r="H7" i="2" s="1"/>
  <c r="E62" i="25"/>
  <c r="D13" i="2" s="1"/>
  <c r="G62" i="27"/>
  <c r="F15" i="2" s="1"/>
  <c r="J62" i="19"/>
  <c r="I7" i="2" s="1"/>
  <c r="F62" i="23"/>
  <c r="E11" i="2" s="1"/>
  <c r="H62" i="27"/>
  <c r="G15" i="2" s="1"/>
  <c r="J62" i="23"/>
  <c r="I11" i="2" s="1"/>
  <c r="G62" i="23"/>
  <c r="F11" i="2" s="1"/>
  <c r="K62" i="23"/>
  <c r="J11" i="2" s="1"/>
  <c r="E62" i="23"/>
  <c r="D11" i="2" s="1"/>
  <c r="I62" i="23"/>
  <c r="H11" i="2" s="1"/>
  <c r="H62" i="23"/>
  <c r="G11" i="2" s="1"/>
  <c r="F63" i="21"/>
  <c r="E9" i="2" s="1"/>
  <c r="H63" i="21"/>
  <c r="G9" i="2" s="1"/>
  <c r="K63" i="21"/>
  <c r="J9" i="2" s="1"/>
  <c r="E63" i="21"/>
  <c r="D9" i="2" s="1"/>
  <c r="J63" i="21"/>
  <c r="I9" i="2" s="1"/>
  <c r="I63" i="21"/>
  <c r="H9" i="2" s="1"/>
  <c r="G63" i="21"/>
  <c r="F9" i="2" s="1"/>
  <c r="G62" i="18"/>
  <c r="F6" i="2" s="1"/>
  <c r="K62" i="18"/>
  <c r="J6" i="2" s="1"/>
  <c r="E62" i="18"/>
  <c r="D6" i="2" s="1"/>
  <c r="I62" i="18"/>
  <c r="H6" i="2" s="1"/>
  <c r="F62" i="18"/>
  <c r="E6" i="2" s="1"/>
  <c r="J62" i="18"/>
  <c r="I6" i="2" s="1"/>
  <c r="H62" i="18"/>
  <c r="G6" i="2" s="1"/>
  <c r="E62" i="17"/>
  <c r="D5" i="2" s="1"/>
  <c r="G62" i="17"/>
  <c r="F5" i="2" s="1"/>
  <c r="F62" i="29"/>
  <c r="E17" i="2" s="1"/>
  <c r="I16" i="2"/>
  <c r="E16" i="2"/>
  <c r="F16" i="2"/>
  <c r="J16" i="2"/>
  <c r="G16" i="2"/>
  <c r="H16" i="2"/>
  <c r="J62" i="17"/>
  <c r="I5" i="2" s="1"/>
  <c r="K62" i="17"/>
  <c r="J5" i="2" s="1"/>
  <c r="H62" i="17"/>
  <c r="G5" i="2" s="1"/>
  <c r="F62" i="17"/>
  <c r="E5" i="2" s="1"/>
  <c r="J62" i="25"/>
  <c r="I13" i="2" s="1"/>
  <c r="G62" i="25"/>
  <c r="F13" i="2" s="1"/>
  <c r="K62" i="25"/>
  <c r="J13" i="2" s="1"/>
  <c r="H62" i="25"/>
  <c r="G13" i="2" s="1"/>
  <c r="F62" i="25"/>
  <c r="E13" i="2" s="1"/>
  <c r="H62" i="24"/>
  <c r="G12" i="2" s="1"/>
  <c r="F62" i="24"/>
  <c r="E12" i="2" s="1"/>
  <c r="E62" i="24"/>
  <c r="D12" i="2" s="1"/>
  <c r="I62" i="24"/>
  <c r="H12" i="2" s="1"/>
  <c r="J62" i="24"/>
  <c r="I12" i="2" s="1"/>
  <c r="K62" i="3"/>
  <c r="J4" i="2" s="1"/>
  <c r="I62" i="3"/>
  <c r="H4" i="2" s="1"/>
  <c r="E62" i="3"/>
  <c r="D4" i="2" s="1"/>
  <c r="F42" i="3"/>
  <c r="F62" i="3" s="1"/>
  <c r="E4" i="2" s="1"/>
  <c r="H43" i="3"/>
  <c r="H62" i="3" s="1"/>
  <c r="G4" i="2" s="1"/>
  <c r="J19" i="2" l="1"/>
  <c r="H19" i="2"/>
  <c r="E19" i="2"/>
  <c r="D19" i="2"/>
  <c r="G19" i="2"/>
  <c r="J40" i="3"/>
  <c r="J62" i="3" s="1"/>
  <c r="I4" i="2" s="1"/>
  <c r="I19" i="2" s="1"/>
  <c r="G40" i="3"/>
  <c r="G62" i="3" s="1"/>
  <c r="F4" i="2" s="1"/>
  <c r="F19" i="2" s="1"/>
  <c r="G20" i="2" l="1"/>
  <c r="G21" i="2" s="1"/>
</calcChain>
</file>

<file path=xl/sharedStrings.xml><?xml version="1.0" encoding="utf-8"?>
<sst xmlns="http://schemas.openxmlformats.org/spreadsheetml/2006/main" count="808" uniqueCount="153">
  <si>
    <t>PROGRAMA DE MANUTENÇÃORODOVIÁRIA</t>
  </si>
  <si>
    <t>S.R.E.</t>
  </si>
  <si>
    <t>BOM</t>
  </si>
  <si>
    <t>DATA:</t>
  </si>
  <si>
    <t>TÉCNICO RESP.</t>
  </si>
  <si>
    <t>INÍCIO
(KM)</t>
  </si>
  <si>
    <t>FIM
(KM)</t>
  </si>
  <si>
    <t>SENTIDO</t>
  </si>
  <si>
    <t>OBSERV.</t>
  </si>
  <si>
    <t>RODOVIAS NÃO PAVIMENTADAS</t>
  </si>
  <si>
    <t>CONDIÇÃO DA PLATAFORMA</t>
  </si>
  <si>
    <t>DRENAGEM SUPERFICIAL</t>
  </si>
  <si>
    <t>LIMPA</t>
  </si>
  <si>
    <t>OBSTRUÍDA</t>
  </si>
  <si>
    <t>AUSENTE</t>
  </si>
  <si>
    <t>REG.
(ATÉ 10 IRR./KM)</t>
  </si>
  <si>
    <t>RUÍM
(+ 10 IRR./KM)</t>
  </si>
  <si>
    <t>PÉSSIMA
(ATOLEIRO/PTO. CRÍTICO)</t>
  </si>
  <si>
    <t>RESUMO</t>
  </si>
  <si>
    <t>TRECHO</t>
  </si>
  <si>
    <t>Nº DO TRECHO</t>
  </si>
  <si>
    <t>FICHA DE INSPEÇÃO:</t>
  </si>
  <si>
    <t>245</t>
  </si>
  <si>
    <t>RODOVIA TO-040 - TRECHO ENTR. TO-369 - ENTR. TO-280 (ALMAS)</t>
  </si>
  <si>
    <t>260</t>
  </si>
  <si>
    <t>RODOVIA TO-296 - TRECHO ENTR. TO-050 - ENTR. TO-110 (COMBINADO)</t>
  </si>
  <si>
    <t>261</t>
  </si>
  <si>
    <t>RODOVIA TO-296 - TRECHO ENTR. BR-242 (POVOADO SÃO BOM JESUS DAS PALMAS) - ENTR. TO-050</t>
  </si>
  <si>
    <t>262</t>
  </si>
  <si>
    <t>RODOVIA TO-369 - TRECHO ENTR. TO-040 - ENTR. TO-476 (FUNIL - RIO SONINHO)</t>
  </si>
  <si>
    <t>263</t>
  </si>
  <si>
    <t>RODOVIA TO-387 - TRECHO CONCEIÇÃO DO TOCANTINS - TAIPAS DO TOCANTINS</t>
  </si>
  <si>
    <t>264</t>
  </si>
  <si>
    <t>RODOVIA TO-387 - TRECHO ENTR. BR-010 - ENTR. TO-050 (CONCEIÇÃO DO TOCANTINS)</t>
  </si>
  <si>
    <t>265</t>
  </si>
  <si>
    <t>RODOVIA TO-387 - TRECHO ENTR. TO-040 - TAIPAS DO TOCANTINS</t>
  </si>
  <si>
    <t>267</t>
  </si>
  <si>
    <t>RODOVIA TO-476 - TRECHO RIO DA CONCEIÇÃO - ENTR. TO-477</t>
  </si>
  <si>
    <t>268</t>
  </si>
  <si>
    <t>RODOVIA TO-477 - TRECHO ALMAS - ENTR. TO-476</t>
  </si>
  <si>
    <t>269</t>
  </si>
  <si>
    <t>RODOVIA TO-477 - TRECHO ENTR. BR-010 (POVOADO BONFIM) - ALMAS</t>
  </si>
  <si>
    <t>270</t>
  </si>
  <si>
    <t>RODOVIA TO-485 - TRECHO TAIPAS DO TOCANTINS - ENTR. TO-110</t>
  </si>
  <si>
    <t>271</t>
  </si>
  <si>
    <t>RODOVIA TO-487 - TRECHO ENTR. TO-485 (MIMOSA DOS MARINS) - ENTR. BR-242</t>
  </si>
  <si>
    <t>272</t>
  </si>
  <si>
    <t>RODOVIA TO-497 - TRECHO ENTR. BR-242 - ENTR. TO-296 (POVOADO JACARÉ)</t>
  </si>
  <si>
    <t>273</t>
  </si>
  <si>
    <t>RODOVIA TO-499 - TRECHO ENTR. TO-050 - DIVISA TO-GO</t>
  </si>
  <si>
    <t>PERCORRIDO NO MÊS:</t>
  </si>
  <si>
    <t>TOTAL:</t>
  </si>
  <si>
    <t>% DA EXTENSÃO DA MALHA:</t>
  </si>
  <si>
    <t>LOTE</t>
  </si>
  <si>
    <t>S.R.E</t>
  </si>
  <si>
    <t>TIPO</t>
  </si>
  <si>
    <t>040ETO0140</t>
  </si>
  <si>
    <t>ENTR. TO-369 - ENTR. TO-280 (ALMAS)</t>
  </si>
  <si>
    <t>EOP</t>
  </si>
  <si>
    <t>296ETO0110</t>
  </si>
  <si>
    <t>COMBINADO *TRECHO URBANO* - ENTR. TO-497</t>
  </si>
  <si>
    <t>LEN</t>
  </si>
  <si>
    <t>296ETO0120</t>
  </si>
  <si>
    <t>ENTR. TO-497 - ENTR. TO-050</t>
  </si>
  <si>
    <t>296ETO0170</t>
  </si>
  <si>
    <t>ENTR. TO-050 - ENTR. BR-242</t>
  </si>
  <si>
    <t>369ETO0100</t>
  </si>
  <si>
    <t>ENTR. TO-476 - ENTR. TO-040</t>
  </si>
  <si>
    <t>387ETO0070</t>
  </si>
  <si>
    <t>ENTR. TO-485 (TAIPAS) - CONCEIÇÃO DO TOCANTINS *TRECHO URBANO*</t>
  </si>
  <si>
    <t>387ETO0100</t>
  </si>
  <si>
    <t>ENTR. TO-050 - ENTR. TO-130-BR-010</t>
  </si>
  <si>
    <t>387ETO0040</t>
  </si>
  <si>
    <t>ENTR. TO-040-TO-280 - TAIPAS DO TOCANTINS *TRECHO URBANO*</t>
  </si>
  <si>
    <t>476ETO0030</t>
  </si>
  <si>
    <t>ENTR. TO-477 - RIO DA CONCEIÇÃO *TRECHO URBANO*</t>
  </si>
  <si>
    <t>477ETO0020</t>
  </si>
  <si>
    <t>ENTR. TO-476 - ENTR. TO-040-TO-280 (ALMAS)</t>
  </si>
  <si>
    <t>477ETO0060</t>
  </si>
  <si>
    <t>ALMAS *TRECHO URBANO* - BARRA NOVA</t>
  </si>
  <si>
    <t>477ETO0070</t>
  </si>
  <si>
    <t>BARRA NOVA - ENTR. TO-050-BR-010</t>
  </si>
  <si>
    <t>485ETO0010</t>
  </si>
  <si>
    <t>ENTR. TO-110 - CARAIBINHA</t>
  </si>
  <si>
    <t>485ETO0020</t>
  </si>
  <si>
    <t>CARAIBINHA - POV. BURITI</t>
  </si>
  <si>
    <t>485ETO0030</t>
  </si>
  <si>
    <t>BURITI - ENTR. TO-487 (MIMOSA DOS MARINS)</t>
  </si>
  <si>
    <t>485ETO0040</t>
  </si>
  <si>
    <t>ENTR. TO-487 (MIMOSA DOS MARINS) - LIMOEIRO</t>
  </si>
  <si>
    <t>485ETO0050</t>
  </si>
  <si>
    <t>LIMOEIRO - ENTR. TO-387 (TAIPAS DO TOCANTINS)</t>
  </si>
  <si>
    <t>487ETO0010</t>
  </si>
  <si>
    <t>ENTR. TO 485 (MIMOSA) - ENTR. BR-242</t>
  </si>
  <si>
    <t>497ETO0010</t>
  </si>
  <si>
    <t>ENTR. BR-242 (TAGUATINGA) - MIMOSA</t>
  </si>
  <si>
    <t>497ETO0020</t>
  </si>
  <si>
    <t>MIMOSA - DEPASA</t>
  </si>
  <si>
    <t>497ETO0030</t>
  </si>
  <si>
    <t>DEPASA - POV . JACARE</t>
  </si>
  <si>
    <t>497ETO0050</t>
  </si>
  <si>
    <t>POV JACARÉ - ENTR. TO-296</t>
  </si>
  <si>
    <t>499ETO0010</t>
  </si>
  <si>
    <t>ENTR. TO-050 - DIV TO-GO</t>
  </si>
  <si>
    <t>N.</t>
  </si>
  <si>
    <t>EXT. (KM)</t>
  </si>
  <si>
    <t>SUBTRECHOS</t>
  </si>
  <si>
    <t>REGIÃO:</t>
  </si>
  <si>
    <t>C</t>
  </si>
  <si>
    <t>X</t>
  </si>
  <si>
    <t>* (21,86 Km)   TRECHO CRÍTICO COM MUITAS PEDRAS AFLORADAS - 07 FOTOS</t>
  </si>
  <si>
    <t>01 BUEIRO TUBULAR - 02 FOTOS</t>
  </si>
  <si>
    <t>01 BUEIRO TUBULAR - 01 FOTO</t>
  </si>
  <si>
    <t xml:space="preserve"> </t>
  </si>
  <si>
    <t>01 FOTO</t>
  </si>
  <si>
    <t>AMPLIAÇÃO DE UM BUEIRO CELULAR</t>
  </si>
  <si>
    <t>PONTO CRÍTICO + 01 BUEIRO TUBULAR</t>
  </si>
  <si>
    <t>PONTE</t>
  </si>
  <si>
    <t>PONTE - 02 FOTOS</t>
  </si>
  <si>
    <t xml:space="preserve">PONTO CRÍTICO   </t>
  </si>
  <si>
    <t>FINAL DO TRECHO - 02 FOTOS</t>
  </si>
  <si>
    <t>D</t>
  </si>
  <si>
    <t>02 FOTOS</t>
  </si>
  <si>
    <r>
      <t xml:space="preserve">* (15,94 Km) </t>
    </r>
    <r>
      <rPr>
        <sz val="18"/>
        <color theme="1"/>
        <rFont val="Times New Roman"/>
        <family val="1"/>
      </rPr>
      <t xml:space="preserve"> 03 FOTOS</t>
    </r>
  </si>
  <si>
    <t xml:space="preserve">PONTO BAIXO - POSSÍVEL ATOLEIRO - 02 FOTOS </t>
  </si>
  <si>
    <t>PREFEITURA TRABALHANDO NO LOCAL - 07 FOTOS</t>
  </si>
  <si>
    <t>PREFEITURA TRABALHOU NO LOCAL - 09 FOTOS</t>
  </si>
  <si>
    <r>
      <t>* (27,24 Km)</t>
    </r>
    <r>
      <rPr>
        <sz val="18"/>
        <color theme="1"/>
        <rFont val="Times New Roman"/>
        <family val="1"/>
      </rPr>
      <t xml:space="preserve"> TRECHO BASTANTE ESTREITO - 04 FOTOS</t>
    </r>
  </si>
  <si>
    <t>TRECHO CRÍTICO - 01 FOTO</t>
  </si>
  <si>
    <t>TRECHO CRÍTICO, LOCAL COM BASTANTE AREIA NA PISTA - 02 FOTOS</t>
  </si>
  <si>
    <t>TRECHO CRÍTICO, LOCAL COM BASTANTE AREIA NA PISTA - 01 FOTO</t>
  </si>
  <si>
    <t>PONTO CRÍTICO - 01 FOTO</t>
  </si>
  <si>
    <r>
      <t xml:space="preserve">TRECHO CRÍTICO, </t>
    </r>
    <r>
      <rPr>
        <sz val="14"/>
        <color theme="1"/>
        <rFont val="Times New Roman"/>
        <family val="1"/>
      </rPr>
      <t>LOCAL COM BASTANTE AREIA, SOB INTERVENÇÃO/PREFEITURA</t>
    </r>
    <r>
      <rPr>
        <sz val="18"/>
        <color theme="1"/>
        <rFont val="Times New Roman"/>
        <family val="1"/>
      </rPr>
      <t xml:space="preserve">  - 04 FOTOS</t>
    </r>
  </si>
  <si>
    <t>PONTO CRÍTICO SENDO ATACADO - 02 FOTOS</t>
  </si>
  <si>
    <t>PONTO CRÍTICO SENDO ATACADO - 01 FOTO</t>
  </si>
  <si>
    <t>TRECHO CRÍTICO, LOCAL COM BASTANTE AREIA NA PISTA - 04 FOTOS</t>
  </si>
  <si>
    <r>
      <t xml:space="preserve">TRECHO CRÍTICO, </t>
    </r>
    <r>
      <rPr>
        <sz val="14"/>
        <color theme="1"/>
        <rFont val="Times New Roman"/>
        <family val="1"/>
      </rPr>
      <t>LOCAL COM BASTANTE AREIA, SOB INTERVENÇÃO/PREFEITURA</t>
    </r>
    <r>
      <rPr>
        <sz val="18"/>
        <color theme="1"/>
        <rFont val="Times New Roman"/>
        <family val="1"/>
      </rPr>
      <t xml:space="preserve">  - 01 FOTO</t>
    </r>
  </si>
  <si>
    <t>PCA RIO PALMAS - 01 FOTO</t>
  </si>
  <si>
    <r>
      <t xml:space="preserve">EXECUÇÃO </t>
    </r>
    <r>
      <rPr>
        <sz val="12"/>
        <color theme="1"/>
        <rFont val="Times New Roman"/>
        <family val="1"/>
      </rPr>
      <t>NECESSÁRIA</t>
    </r>
    <r>
      <rPr>
        <sz val="18"/>
        <color theme="1"/>
        <rFont val="Times New Roman"/>
        <family val="1"/>
      </rPr>
      <t xml:space="preserve"> DE UM BUEIRO DE PASSAGEM DE ÁGUAS PLUVIAIS - 04 FOTOS</t>
    </r>
  </si>
  <si>
    <r>
      <t xml:space="preserve">EXECUÇÃO </t>
    </r>
    <r>
      <rPr>
        <sz val="12"/>
        <color theme="1"/>
        <rFont val="Times New Roman"/>
        <family val="1"/>
      </rPr>
      <t>NECESSÁRIA</t>
    </r>
    <r>
      <rPr>
        <sz val="18"/>
        <color theme="1"/>
        <rFont val="Times New Roman"/>
        <family val="1"/>
      </rPr>
      <t xml:space="preserve"> DE UM BUEIRO DE PASSAGEM DE ÁGUAS PLUVIAIS - 06 FOTOS</t>
    </r>
  </si>
  <si>
    <t>FINAL DO TRECHO - 03 FOTOS</t>
  </si>
  <si>
    <r>
      <t xml:space="preserve">* (28,42 Km) </t>
    </r>
    <r>
      <rPr>
        <sz val="18"/>
        <color theme="1"/>
        <rFont val="Times New Roman"/>
        <family val="1"/>
      </rPr>
      <t>- 03 FOTOS</t>
    </r>
  </si>
  <si>
    <t>EXTREITAMENTO DA PISTA  + MUITAS PEDRAS AFLORADAS NA PISTA- 03 FOTO</t>
  </si>
  <si>
    <t>TRECHO CRÍTICO COM MUITAS PEDRAS AFLORADAS NA PISTA - 04 FOTOS</t>
  </si>
  <si>
    <t>TRECHO CRÍTICO COM MUITAS PEDRAS AFLORADAS NA PISTA - 01 FOTO</t>
  </si>
  <si>
    <t>04 FOTOS</t>
  </si>
  <si>
    <t>02 CASCALHEIRAS</t>
  </si>
  <si>
    <t>PONTO CRÍTICO - 02 FOTOS</t>
  </si>
  <si>
    <t>497 ETO 0050</t>
  </si>
  <si>
    <r>
      <t xml:space="preserve">* (4,19 Km) </t>
    </r>
    <r>
      <rPr>
        <sz val="18"/>
        <color theme="1"/>
        <rFont val="Times New Roman"/>
        <family val="1"/>
      </rPr>
      <t>EXECUÇÃO DE BUEIRO TUBULAR</t>
    </r>
    <r>
      <rPr>
        <b/>
        <sz val="18"/>
        <color theme="1"/>
        <rFont val="Times New Roman"/>
        <family val="1"/>
      </rPr>
      <t xml:space="preserve"> (04 FOTOS)</t>
    </r>
  </si>
  <si>
    <t>TRECHO CRÍTICO COM MUITAS PEDRAS AFLORADAS - 07 FOTOS</t>
  </si>
  <si>
    <t>RELAÇÃO DE TRECHOS NÃO PAVIMENTDOS R.13</t>
  </si>
  <si>
    <t>ENG. THIAGO TORQUATO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</si>
</sst>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[$-416]mmm\-yy;@"/>
    <numFmt numFmtId="165" formatCode="[$-416]mmmm\-yy;@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theme="1"/>
      <name val="Aptos Narrow"/>
      <family val="2"/>
      <scheme val="minor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17"/>
      <color theme="1"/>
      <name val="Times New Roman"/>
      <family val="1"/>
    </font>
    <font>
      <b/>
      <sz val="18"/>
      <color theme="1"/>
      <name val="Times New Roman"/>
      <family val="1"/>
    </font>
    <font>
      <sz val="15"/>
      <color rgb="FFFF0000"/>
      <name val="Times New Roman"/>
      <family val="1"/>
    </font>
    <font>
      <sz val="18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6"/>
      <color theme="1"/>
      <name val="Times New Roman"/>
      <family val="1"/>
    </font>
    <font>
      <b/>
      <sz val="20"/>
      <name val="Times New Roman"/>
      <family val="1"/>
    </font>
    <font>
      <b/>
      <sz val="20"/>
      <color theme="1"/>
      <name val="Times New Roman"/>
      <family val="1"/>
    </font>
    <font>
      <b/>
      <sz val="20"/>
      <color indexed="8"/>
      <name val="Times New Roman"/>
      <family val="1"/>
    </font>
    <font>
      <sz val="24"/>
      <color theme="1"/>
      <name val="Times New Roman"/>
      <family val="1"/>
    </font>
    <font>
      <b/>
      <sz val="24"/>
      <color theme="1"/>
      <name val="Times New Roman"/>
      <family val="1"/>
    </font>
    <font>
      <sz val="14"/>
      <color theme="1"/>
      <name val="Times New Roman"/>
      <family val="1"/>
    </font>
    <font>
      <b/>
      <sz val="15"/>
      <color rgb="FFFF0000"/>
      <name val="Times New Roman"/>
      <family val="1"/>
    </font>
    <font>
      <sz val="20"/>
      <color theme="1"/>
      <name val="Times New Roman"/>
      <family val="1"/>
    </font>
    <font>
      <b/>
      <sz val="14"/>
      <color theme="1"/>
      <name val="Times New Roman"/>
      <family val="1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indexed="64"/>
      </bottom>
      <diagonal/>
    </border>
  </borders>
  <cellStyleXfs count="5">
    <xf numFmtId="0" fontId="0" fillId="0" borderId="0"/>
    <xf numFmtId="44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3" fillId="2" borderId="7" xfId="0" applyFont="1" applyFill="1" applyBorder="1"/>
    <xf numFmtId="0" fontId="4" fillId="2" borderId="5" xfId="0" applyFont="1" applyFill="1" applyBorder="1"/>
    <xf numFmtId="0" fontId="4" fillId="2" borderId="5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8" xfId="0" applyFont="1" applyFill="1" applyBorder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10" xfId="0" applyFont="1" applyFill="1" applyBorder="1"/>
    <xf numFmtId="0" fontId="4" fillId="2" borderId="8" xfId="0" applyFont="1" applyFill="1" applyBorder="1"/>
    <xf numFmtId="0" fontId="1" fillId="0" borderId="12" xfId="0" applyFont="1" applyBorder="1"/>
    <xf numFmtId="0" fontId="1" fillId="0" borderId="13" xfId="0" applyFont="1" applyBorder="1"/>
    <xf numFmtId="0" fontId="8" fillId="0" borderId="2" xfId="0" applyFont="1" applyBorder="1" applyAlignment="1">
      <alignment horizontal="center" vertical="center"/>
    </xf>
    <xf numFmtId="2" fontId="8" fillId="0" borderId="2" xfId="0" applyNumberFormat="1" applyFont="1" applyBorder="1" applyAlignment="1">
      <alignment horizontal="center" vertical="center"/>
    </xf>
    <xf numFmtId="2" fontId="8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49" fontId="9" fillId="0" borderId="2" xfId="2" applyNumberFormat="1" applyFont="1" applyBorder="1" applyAlignment="1">
      <alignment horizontal="center" vertical="center" wrapText="1"/>
    </xf>
    <xf numFmtId="0" fontId="9" fillId="0" borderId="2" xfId="2" applyFont="1" applyBorder="1" applyAlignment="1">
      <alignment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" fillId="0" borderId="5" xfId="0" applyFont="1" applyBorder="1"/>
    <xf numFmtId="2" fontId="8" fillId="0" borderId="5" xfId="0" applyNumberFormat="1" applyFont="1" applyBorder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2" fontId="11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2" fontId="11" fillId="0" borderId="14" xfId="0" applyNumberFormat="1" applyFont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10" fontId="6" fillId="0" borderId="2" xfId="3" applyNumberFormat="1" applyFont="1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/>
    </xf>
    <xf numFmtId="0" fontId="12" fillId="2" borderId="0" xfId="0" applyFont="1" applyFill="1"/>
    <xf numFmtId="0" fontId="13" fillId="2" borderId="0" xfId="0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" fontId="4" fillId="0" borderId="2" xfId="0" applyNumberFormat="1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8" fillId="0" borderId="12" xfId="0" applyFont="1" applyBorder="1"/>
    <xf numFmtId="0" fontId="8" fillId="0" borderId="2" xfId="0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8" fillId="0" borderId="2" xfId="0" applyFont="1" applyBorder="1"/>
    <xf numFmtId="49" fontId="10" fillId="0" borderId="2" xfId="2" applyNumberFormat="1" applyFont="1" applyBorder="1" applyAlignment="1">
      <alignment horizontal="center" vertical="center" wrapText="1"/>
    </xf>
    <xf numFmtId="49" fontId="10" fillId="3" borderId="2" xfId="2" applyNumberFormat="1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vertical="center"/>
    </xf>
    <xf numFmtId="49" fontId="10" fillId="2" borderId="2" xfId="2" applyNumberFormat="1" applyFont="1" applyFill="1" applyBorder="1" applyAlignment="1">
      <alignment horizontal="center" vertical="center" wrapText="1"/>
    </xf>
    <xf numFmtId="0" fontId="9" fillId="2" borderId="2" xfId="2" applyFont="1" applyFill="1" applyBorder="1" applyAlignment="1">
      <alignment vertical="center"/>
    </xf>
    <xf numFmtId="0" fontId="10" fillId="2" borderId="2" xfId="2" applyFont="1" applyFill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4" fontId="20" fillId="0" borderId="1" xfId="0" applyNumberFormat="1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7" fontId="20" fillId="0" borderId="0" xfId="0" applyNumberFormat="1" applyFont="1" applyAlignment="1">
      <alignment horizontal="center" vertical="center"/>
    </xf>
    <xf numFmtId="0" fontId="17" fillId="0" borderId="1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4" fontId="17" fillId="0" borderId="2" xfId="0" applyNumberFormat="1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4" fontId="17" fillId="2" borderId="2" xfId="0" applyNumberFormat="1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4" fontId="17" fillId="2" borderId="3" xfId="0" applyNumberFormat="1" applyFont="1" applyFill="1" applyBorder="1" applyAlignment="1">
      <alignment horizontal="center" vertical="center" wrapText="1"/>
    </xf>
    <xf numFmtId="0" fontId="17" fillId="2" borderId="15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4" fontId="17" fillId="3" borderId="2" xfId="0" applyNumberFormat="1" applyFont="1" applyFill="1" applyBorder="1" applyAlignment="1">
      <alignment horizontal="center" vertical="center" wrapText="1"/>
    </xf>
    <xf numFmtId="0" fontId="17" fillId="3" borderId="14" xfId="0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65" fontId="7" fillId="2" borderId="5" xfId="0" applyNumberFormat="1" applyFont="1" applyFill="1" applyBorder="1" applyAlignment="1">
      <alignment horizontal="center" vertical="center"/>
    </xf>
    <xf numFmtId="165" fontId="7" fillId="2" borderId="4" xfId="0" applyNumberFormat="1" applyFont="1" applyFill="1" applyBorder="1" applyAlignment="1">
      <alignment horizontal="center" vertical="center"/>
    </xf>
    <xf numFmtId="44" fontId="3" fillId="2" borderId="5" xfId="1" applyFont="1" applyFill="1" applyBorder="1" applyAlignment="1">
      <alignment horizontal="center" vertical="center"/>
    </xf>
    <xf numFmtId="44" fontId="3" fillId="2" borderId="4" xfId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left" vertical="center"/>
    </xf>
    <xf numFmtId="0" fontId="8" fillId="0" borderId="26" xfId="0" applyFont="1" applyBorder="1" applyAlignment="1">
      <alignment horizontal="left" vertical="center"/>
    </xf>
    <xf numFmtId="0" fontId="8" fillId="0" borderId="27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164" fontId="18" fillId="2" borderId="5" xfId="0" applyNumberFormat="1" applyFont="1" applyFill="1" applyBorder="1" applyAlignment="1">
      <alignment horizontal="center" vertical="center"/>
    </xf>
    <xf numFmtId="164" fontId="18" fillId="2" borderId="4" xfId="0" applyNumberFormat="1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0" fontId="6" fillId="0" borderId="27" xfId="0" applyFont="1" applyBorder="1" applyAlignment="1">
      <alignment horizontal="left" vertical="center"/>
    </xf>
    <xf numFmtId="0" fontId="8" fillId="0" borderId="2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</cellXfs>
  <cellStyles count="5">
    <cellStyle name="Moeda" xfId="1" builtinId="4"/>
    <cellStyle name="Moeda 2" xfId="4" xr:uid="{6ACEFDB4-18E1-4BB9-874D-60BCBFFB13E0}"/>
    <cellStyle name="Normal" xfId="0" builtinId="0"/>
    <cellStyle name="Normal 9" xfId="2" xr:uid="{2DFCE4FB-9C79-41A1-A386-3EAF63ED7D18}"/>
    <cellStyle name="Porcentagem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8A5-4D94-A00F-381E4ECBED51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8A5-4D94-A00F-381E4ECBED51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8A5-4D94-A00F-381E4ECBED51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8A5-4D94-A00F-381E4ECBED51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'245'!$E$6:$H$6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'245'!$E$62:$H$62</c:f>
              <c:numCache>
                <c:formatCode>0.00</c:formatCode>
                <c:ptCount val="4"/>
                <c:pt idx="0">
                  <c:v>56.72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8A5-4D94-A00F-381E4ECBED5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7113659697689987"/>
          <c:y val="1.57077063821524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9D5-41EB-BBF4-96C100509013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9D5-41EB-BBF4-96C100509013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9D5-41EB-BBF4-96C10050901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'245'!$I$6:$K$6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'245'!$I$62:$K$62</c:f>
              <c:numCache>
                <c:formatCode>0.00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9D5-41EB-BBF4-96C10050901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893-468B-A2F0-191BDD1715B0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893-468B-A2F0-191BDD1715B0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893-468B-A2F0-191BDD1715B0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893-468B-A2F0-191BDD1715B0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893-468B-A2F0-191BDD1715B0}"/>
                </c:ext>
              </c:extLst>
            </c:dLbl>
            <c:dLbl>
              <c:idx val="3"/>
              <c:layout>
                <c:manualLayout>
                  <c:x val="2.2225138907118171E-2"/>
                  <c:y val="-1.7824407357791606E-2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582029332127771"/>
                      <c:h val="5.918423274726405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5893-468B-A2F0-191BDD1715B0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'260'!$E$6:$H$6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'260'!$E$62:$H$62</c:f>
              <c:numCache>
                <c:formatCode>0.00</c:formatCode>
                <c:ptCount val="4"/>
                <c:pt idx="0">
                  <c:v>15.2</c:v>
                </c:pt>
                <c:pt idx="1">
                  <c:v>32.06</c:v>
                </c:pt>
                <c:pt idx="2">
                  <c:v>0</c:v>
                </c:pt>
                <c:pt idx="3">
                  <c:v>3.4999999999999996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893-468B-A2F0-191BDD1715B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7113659697689987"/>
          <c:y val="1.57077063821524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5E2-4DD5-8DBB-8B543FC694BB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5E2-4DD5-8DBB-8B543FC694BB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5E2-4DD5-8DBB-8B543FC694BB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5E2-4DD5-8DBB-8B543FC694BB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'260'!$I$6:$K$6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'260'!$I$62:$K$62</c:f>
              <c:numCache>
                <c:formatCode>0.00</c:formatCode>
                <c:ptCount val="3"/>
                <c:pt idx="0">
                  <c:v>0</c:v>
                </c:pt>
                <c:pt idx="1">
                  <c:v>30.2</c:v>
                </c:pt>
                <c:pt idx="2">
                  <c:v>7.259999999999998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5E2-4DD5-8DBB-8B543FC694B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9C5-46E5-91D9-6637CAACAFF1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9C5-46E5-91D9-6637CAACAFF1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9C5-46E5-91D9-6637CAACAFF1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9C5-46E5-91D9-6637CAACAFF1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9C5-46E5-91D9-6637CAACAFF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9C5-46E5-91D9-6637CAACAFF1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'261'!$E$6:$H$6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'261'!$E$62:$H$62</c:f>
              <c:numCache>
                <c:formatCode>0.00</c:formatCode>
                <c:ptCount val="4"/>
                <c:pt idx="0">
                  <c:v>0</c:v>
                </c:pt>
                <c:pt idx="1">
                  <c:v>50.62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9C5-46E5-91D9-6637CAACAFF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7113659697689987"/>
          <c:y val="1.57077063821524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133-4250-A8F3-6F528E1B5102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133-4250-A8F3-6F528E1B5102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133-4250-A8F3-6F528E1B5102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133-4250-A8F3-6F528E1B5102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'261'!$I$6:$K$6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'261'!$I$62:$K$62</c:f>
              <c:numCache>
                <c:formatCode>0.00</c:formatCode>
                <c:ptCount val="3"/>
                <c:pt idx="0">
                  <c:v>21.6</c:v>
                </c:pt>
                <c:pt idx="1">
                  <c:v>29.019999999999996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133-4250-A8F3-6F528E1B510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9F3-4265-ABB7-A996FA962147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9F3-4265-ABB7-A996FA962147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9F3-4265-ABB7-A996FA962147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9F3-4265-ABB7-A996FA962147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9F3-4265-ABB7-A996FA96214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9F3-4265-ABB7-A996FA962147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'262'!$E$6:$H$6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'262'!$E$62:$H$62</c:f>
              <c:numCache>
                <c:formatCode>0.00</c:formatCode>
                <c:ptCount val="4"/>
                <c:pt idx="0">
                  <c:v>0</c:v>
                </c:pt>
                <c:pt idx="1">
                  <c:v>23.95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9F3-4265-ABB7-A996FA96214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227038762622555"/>
          <c:y val="1.57077282934014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E2B-4E27-9421-C63030004176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E2B-4E27-9421-C63030004176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E2B-4E27-9421-C63030004176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E2B-4E27-9421-C63030004176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'262'!$I$6:$K$6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'262'!$I$62:$K$62</c:f>
              <c:numCache>
                <c:formatCode>0.00</c:formatCode>
                <c:ptCount val="3"/>
                <c:pt idx="0">
                  <c:v>17.3</c:v>
                </c:pt>
                <c:pt idx="1">
                  <c:v>6.6499999999999986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E2B-4E27-9421-C6303000417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4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</a:t>
            </a:r>
          </a:p>
          <a:p>
            <a:pPr>
              <a:defRPr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D68-4C03-B55A-ABA23ECE707B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D68-4C03-B55A-ABA23ECE707B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D68-4C03-B55A-ABA23ECE707B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D68-4C03-B55A-ABA23ECE707B}"/>
              </c:ext>
            </c:extLst>
          </c:dPt>
          <c:dLbls>
            <c:dLbl>
              <c:idx val="0"/>
              <c:layout>
                <c:manualLayout>
                  <c:x val="-0.17347469666717863"/>
                  <c:y val="-0.193697641593774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D68-4C03-B55A-ABA23ECE707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D68-4C03-B55A-ABA23ECE707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D68-4C03-B55A-ABA23ECE707B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'263'!$E$6:$H$6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'263'!$E$63:$H$63</c:f>
              <c:numCache>
                <c:formatCode>0.00</c:formatCode>
                <c:ptCount val="4"/>
                <c:pt idx="0">
                  <c:v>39.5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D68-4C03-B55A-ABA23ECE707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4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</a:p>
          <a:p>
            <a:pPr>
              <a:defRPr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7113659697689987"/>
          <c:y val="1.57077063821524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21E-47B9-AB29-5AE327C32CC5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21E-47B9-AB29-5AE327C32CC5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21E-47B9-AB29-5AE327C32CC5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21E-47B9-AB29-5AE327C32CC5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'263'!$I$6:$K$6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'263'!$I$63:$K$63</c:f>
              <c:numCache>
                <c:formatCode>0.00</c:formatCode>
                <c:ptCount val="3"/>
                <c:pt idx="0">
                  <c:v>32.4</c:v>
                </c:pt>
                <c:pt idx="1">
                  <c:v>7.1000000000000014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21E-47B9-AB29-5AE327C32CC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14A-4B01-9167-B06F3AE0D187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14A-4B01-9167-B06F3AE0D187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14A-4B01-9167-B06F3AE0D187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14A-4B01-9167-B06F3AE0D187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14A-4B01-9167-B06F3AE0D18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14A-4B01-9167-B06F3AE0D18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14A-4B01-9167-B06F3AE0D187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'264'!$E$6:$H$6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'264'!$E$63:$H$63</c:f>
              <c:numCache>
                <c:formatCode>0.00</c:formatCode>
                <c:ptCount val="4"/>
                <c:pt idx="0">
                  <c:v>23.4</c:v>
                </c:pt>
                <c:pt idx="1">
                  <c:v>19.060000000000002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14A-4B01-9167-B06F3AE0D18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7113659697689987"/>
          <c:y val="1.57077063821524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2FD-44E5-BC18-92F7D8413A4F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2FD-44E5-BC18-92F7D8413A4F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2FD-44E5-BC18-92F7D8413A4F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2FD-44E5-BC18-92F7D8413A4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2FD-44E5-BC18-92F7D8413A4F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'264'!$I$6:$K$6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'264'!$I$63:$K$63</c:f>
              <c:numCache>
                <c:formatCode>0.00</c:formatCode>
                <c:ptCount val="3"/>
                <c:pt idx="0">
                  <c:v>0</c:v>
                </c:pt>
                <c:pt idx="1">
                  <c:v>42.46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FD-44E5-BC18-92F7D8413A4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8.1195718750490781E-2"/>
          <c:y val="0.16630046928467304"/>
          <c:w val="0.56752607070500838"/>
          <c:h val="0.7952687499982806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BEE-4A39-8220-3696EA2B4F3A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BEE-4A39-8220-3696EA2B4F3A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BEE-4A39-8220-3696EA2B4F3A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BEE-4A39-8220-3696EA2B4F3A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BEE-4A39-8220-3696EA2B4F3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BEE-4A39-8220-3696EA2B4F3A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'265'!$E$6:$H$6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'265'!$E$129:$H$129</c:f>
              <c:numCache>
                <c:formatCode>0.00</c:formatCode>
                <c:ptCount val="4"/>
                <c:pt idx="0">
                  <c:v>67.819999999999993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BEE-4A39-8220-3696EA2B4F3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7113659697689987"/>
          <c:y val="1.57077063821524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A5A-4210-8FB5-EF44CC8F5F47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A5A-4210-8FB5-EF44CC8F5F47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A5A-4210-8FB5-EF44CC8F5F47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A5A-4210-8FB5-EF44CC8F5F47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'265'!$I$6:$K$6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'265'!$I$129:$K$129</c:f>
              <c:numCache>
                <c:formatCode>0.00</c:formatCode>
                <c:ptCount val="3"/>
                <c:pt idx="0">
                  <c:v>67.819999999999993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A5A-4210-8FB5-EF44CC8F5F4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FA1-4B7B-A7DA-E8377EE20B8E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FA1-4B7B-A7DA-E8377EE20B8E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FA1-4B7B-A7DA-E8377EE20B8E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FA1-4B7B-A7DA-E8377EE20B8E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FA1-4B7B-A7DA-E8377EE20B8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FA1-4B7B-A7DA-E8377EE20B8E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'267'!$E$6:$H$6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'267'!$E$62:$H$62</c:f>
              <c:numCache>
                <c:formatCode>0.00</c:formatCode>
                <c:ptCount val="4"/>
                <c:pt idx="0">
                  <c:v>5.0999999999999996</c:v>
                </c:pt>
                <c:pt idx="1">
                  <c:v>9.2000000000000011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FA1-4B7B-A7DA-E8377EE20B8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7113659697689987"/>
          <c:y val="1.57077063821524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7FA-4241-925E-CA1D5FA535EA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7FA-4241-925E-CA1D5FA535EA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7FA-4241-925E-CA1D5FA535EA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7FA-4241-925E-CA1D5FA535E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7FA-4241-925E-CA1D5FA535EA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'267'!$I$6:$K$6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'267'!$I$62:$K$62</c:f>
              <c:numCache>
                <c:formatCode>0.00</c:formatCode>
                <c:ptCount val="3"/>
                <c:pt idx="0">
                  <c:v>0</c:v>
                </c:pt>
                <c:pt idx="1">
                  <c:v>14.3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7FA-4241-925E-CA1D5FA535E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C6B-42A9-9D9B-94C34B523283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C6B-42A9-9D9B-94C34B523283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C6B-42A9-9D9B-94C34B523283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C6B-42A9-9D9B-94C34B523283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C6B-42A9-9D9B-94C34B52328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C6B-42A9-9D9B-94C34B52328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C6B-42A9-9D9B-94C34B523283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'268'!$E$6:$H$6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'268'!$E$62:$H$62</c:f>
              <c:numCache>
                <c:formatCode>0.00</c:formatCode>
                <c:ptCount val="4"/>
                <c:pt idx="0">
                  <c:v>0</c:v>
                </c:pt>
                <c:pt idx="1">
                  <c:v>34.770000000000003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C6B-42A9-9D9B-94C34B52328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7113659697689987"/>
          <c:y val="1.57077063821524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A4E-4727-B310-C463321E3C54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A4E-4727-B310-C463321E3C54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A4E-4727-B310-C463321E3C54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A4E-4727-B310-C463321E3C5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A4E-4727-B310-C463321E3C54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'268'!$I$6:$K$6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'268'!$I$62:$K$62</c:f>
              <c:numCache>
                <c:formatCode>0.00</c:formatCode>
                <c:ptCount val="3"/>
                <c:pt idx="0">
                  <c:v>34.770000000000003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A4E-4727-B310-C463321E3C5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C44-4439-9F40-1A2D3827DB7B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C44-4439-9F40-1A2D3827DB7B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C44-4439-9F40-1A2D3827DB7B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C44-4439-9F40-1A2D3827DB7B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C44-4439-9F40-1A2D3827DB7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C44-4439-9F40-1A2D3827DB7B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'269'!$E$6:$H$6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'269'!$E$62:$H$62</c:f>
              <c:numCache>
                <c:formatCode>0.00</c:formatCode>
                <c:ptCount val="4"/>
                <c:pt idx="0">
                  <c:v>73.040000000000006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C44-4439-9F40-1A2D3827DB7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7113659697689987"/>
          <c:y val="1.57077063821524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4FC-4B5E-A197-4FB8D6E98A20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4FC-4B5E-A197-4FB8D6E98A20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4FC-4B5E-A197-4FB8D6E98A20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4FC-4B5E-A197-4FB8D6E98A20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'269'!$I$6:$K$6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'269'!$I$62:$K$62</c:f>
              <c:numCache>
                <c:formatCode>0.00</c:formatCode>
                <c:ptCount val="3"/>
                <c:pt idx="0">
                  <c:v>11.1</c:v>
                </c:pt>
                <c:pt idx="1">
                  <c:v>61.94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4FC-4B5E-A197-4FB8D6E98A2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170-401C-8D0D-E0C96A8F8E70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170-401C-8D0D-E0C96A8F8E70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170-401C-8D0D-E0C96A8F8E70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170-401C-8D0D-E0C96A8F8E70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170-401C-8D0D-E0C96A8F8E7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170-401C-8D0D-E0C96A8F8E70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'270'!$E$6:$H$6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'270'!$E$62:$H$62</c:f>
              <c:numCache>
                <c:formatCode>0.00</c:formatCode>
                <c:ptCount val="4"/>
                <c:pt idx="0">
                  <c:v>88.27</c:v>
                </c:pt>
                <c:pt idx="1">
                  <c:v>21.700000000000003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170-401C-8D0D-E0C96A8F8E7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7113659697689987"/>
          <c:y val="1.57077063821524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17B-445B-AF5F-177275E61817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17B-445B-AF5F-177275E61817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17B-445B-AF5F-177275E61817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'270'!$I$6:$K$6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'270'!$I$62:$K$62</c:f>
              <c:numCache>
                <c:formatCode>0.00</c:formatCode>
                <c:ptCount val="3"/>
                <c:pt idx="0">
                  <c:v>61.260000000000005</c:v>
                </c:pt>
                <c:pt idx="1">
                  <c:v>10.9</c:v>
                </c:pt>
                <c:pt idx="2">
                  <c:v>26.91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17B-445B-AF5F-177275E6181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415-4D3D-92CD-5D4F996834B3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415-4D3D-92CD-5D4F996834B3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415-4D3D-92CD-5D4F996834B3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415-4D3D-92CD-5D4F996834B3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415-4D3D-92CD-5D4F996834B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415-4D3D-92CD-5D4F996834B3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'271'!$E$6:$H$6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'271'!$E$62:$H$62</c:f>
              <c:numCache>
                <c:formatCode>0.00</c:formatCode>
                <c:ptCount val="4"/>
                <c:pt idx="0">
                  <c:v>21.2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415-4D3D-92CD-5D4F996834B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7113659697689987"/>
          <c:y val="1.57077063821524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647-41B7-9F2C-E0FEE0A036AE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647-41B7-9F2C-E0FEE0A036AE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647-41B7-9F2C-E0FEE0A036AE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647-41B7-9F2C-E0FEE0A036AE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'271'!$I$6:$K$6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'271'!$I$62:$K$62</c:f>
              <c:numCache>
                <c:formatCode>0.00</c:formatCode>
                <c:ptCount val="3"/>
                <c:pt idx="0">
                  <c:v>0</c:v>
                </c:pt>
                <c:pt idx="1">
                  <c:v>14.899999999999999</c:v>
                </c:pt>
                <c:pt idx="2">
                  <c:v>6.3000000000000007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647-41B7-9F2C-E0FEE0A036A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598-4F92-BD85-66749FDC97F9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598-4F92-BD85-66749FDC97F9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598-4F92-BD85-66749FDC97F9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598-4F92-BD85-66749FDC97F9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'272'!$E$6:$H$6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'272'!$E$89:$H$89</c:f>
              <c:numCache>
                <c:formatCode>0.00</c:formatCode>
                <c:ptCount val="4"/>
                <c:pt idx="0">
                  <c:v>66.199999999999989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598-4F92-BD85-66749FDC97F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7113659697689987"/>
          <c:y val="1.57077063821524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782-40DB-9103-24D3E28F0726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782-40DB-9103-24D3E28F0726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782-40DB-9103-24D3E28F0726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'272'!$I$6:$K$6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'272'!$I$89:$K$89</c:f>
              <c:numCache>
                <c:formatCode>0.00</c:formatCode>
                <c:ptCount val="3"/>
                <c:pt idx="0">
                  <c:v>25.94</c:v>
                </c:pt>
                <c:pt idx="1">
                  <c:v>0</c:v>
                </c:pt>
                <c:pt idx="2">
                  <c:v>49.899999999999991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782-40DB-9103-24D3E28F072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D71-4512-BCF5-72FD20863B09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D71-4512-BCF5-72FD20863B09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D71-4512-BCF5-72FD20863B09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D71-4512-BCF5-72FD20863B09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D71-4512-BCF5-72FD20863B0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D71-4512-BCF5-72FD20863B0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D71-4512-BCF5-72FD20863B09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'273'!$E$6:$H$6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'273'!$E$62:$H$62</c:f>
              <c:numCache>
                <c:formatCode>0.00</c:formatCode>
                <c:ptCount val="4"/>
                <c:pt idx="0">
                  <c:v>0</c:v>
                </c:pt>
                <c:pt idx="1">
                  <c:v>11.21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D71-4512-BCF5-72FD20863B0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7113659697689987"/>
          <c:y val="1.57077063821524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15F-4BEB-9D1D-BB792462493C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15F-4BEB-9D1D-BB792462493C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15F-4BEB-9D1D-BB792462493C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15F-4BEB-9D1D-BB792462493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15F-4BEB-9D1D-BB792462493C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'273'!$I$6:$K$6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'273'!$I$62:$K$62</c:f>
              <c:numCache>
                <c:formatCode>0.00</c:formatCode>
                <c:ptCount val="3"/>
                <c:pt idx="0">
                  <c:v>11.21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15F-4BEB-9D1D-BB792462493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4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</a:t>
            </a:r>
          </a:p>
          <a:p>
            <a:pPr>
              <a:defRPr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51458850329249"/>
          <c:y val="1.23291843686329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2069203703703705"/>
          <c:y val="0.23161983742827927"/>
          <c:w val="0.48296092592592593"/>
          <c:h val="0.7267488163808982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FB2-4980-8D10-CFBB776E1907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FB2-4980-8D10-CFBB776E1907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FB2-4980-8D10-CFBB776E1907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FB2-4980-8D10-CFBB776E1907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TT!$D$3:$G$3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TT!$D$19:$G$19</c:f>
              <c:numCache>
                <c:formatCode>0.00</c:formatCode>
                <c:ptCount val="4"/>
                <c:pt idx="0">
                  <c:v>456.44999999999993</c:v>
                </c:pt>
                <c:pt idx="1">
                  <c:v>0</c:v>
                </c:pt>
                <c:pt idx="2">
                  <c:v>0</c:v>
                </c:pt>
                <c:pt idx="3">
                  <c:v>3.4999999999999996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FB2-4980-8D10-CFBB776E190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4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</a:t>
            </a:r>
            <a:r>
              <a:rPr lang="pt-BR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</a:p>
          <a:p>
            <a:pPr>
              <a:defRPr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6625118951748943"/>
          <c:y val="1.23577520567872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F1E-4B16-A00B-1462C0F3C18B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F1E-4B16-A00B-1462C0F3C18B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F1E-4B16-A00B-1462C0F3C18B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TT!$H$3:$J$3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TT!$H$19:$J$19</c:f>
              <c:numCache>
                <c:formatCode>0.00</c:formatCode>
                <c:ptCount val="3"/>
                <c:pt idx="0">
                  <c:v>284.39999999999998</c:v>
                </c:pt>
                <c:pt idx="1">
                  <c:v>218.47000000000003</c:v>
                </c:pt>
                <c:pt idx="2">
                  <c:v>91.36999999999999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F1E-4B16-A00B-1462C0F3C18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312691</xdr:rowOff>
    </xdr:from>
    <xdr:to>
      <xdr:col>27</xdr:col>
      <xdr:colOff>438032</xdr:colOff>
      <xdr:row>11</xdr:row>
      <xdr:rowOff>308604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8A396AA-FA1D-4B51-9138-1F4645DA0B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520065</xdr:colOff>
      <xdr:row>5</xdr:row>
      <xdr:rowOff>316366</xdr:rowOff>
    </xdr:from>
    <xdr:to>
      <xdr:col>36</xdr:col>
      <xdr:colOff>468647</xdr:colOff>
      <xdr:row>11</xdr:row>
      <xdr:rowOff>327172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D9397D3-68A9-42A3-AA3C-031EDBFF48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312691</xdr:rowOff>
    </xdr:from>
    <xdr:to>
      <xdr:col>27</xdr:col>
      <xdr:colOff>321135</xdr:colOff>
      <xdr:row>11</xdr:row>
      <xdr:rowOff>287476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1414924-C3D6-4E4C-8D05-AD15105E49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444644</xdr:colOff>
      <xdr:row>5</xdr:row>
      <xdr:rowOff>316366</xdr:rowOff>
    </xdr:from>
    <xdr:to>
      <xdr:col>36</xdr:col>
      <xdr:colOff>268709</xdr:colOff>
      <xdr:row>11</xdr:row>
      <xdr:rowOff>296866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25EF315-0F74-4F8A-BD26-79E0C9D67E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312691</xdr:rowOff>
    </xdr:from>
    <xdr:to>
      <xdr:col>27</xdr:col>
      <xdr:colOff>321135</xdr:colOff>
      <xdr:row>11</xdr:row>
      <xdr:rowOff>287476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1C222A6-6D08-4E49-8823-01E1DED053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404813</xdr:colOff>
      <xdr:row>5</xdr:row>
      <xdr:rowOff>320176</xdr:rowOff>
    </xdr:from>
    <xdr:to>
      <xdr:col>36</xdr:col>
      <xdr:colOff>230783</xdr:colOff>
      <xdr:row>11</xdr:row>
      <xdr:rowOff>296866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DCA55D-A247-419F-836B-1891F369FE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312691</xdr:rowOff>
    </xdr:from>
    <xdr:to>
      <xdr:col>27</xdr:col>
      <xdr:colOff>438032</xdr:colOff>
      <xdr:row>11</xdr:row>
      <xdr:rowOff>308604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89D99BF-D541-44B7-9438-53A7D61646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541712</xdr:colOff>
      <xdr:row>5</xdr:row>
      <xdr:rowOff>292033</xdr:rowOff>
    </xdr:from>
    <xdr:to>
      <xdr:col>36</xdr:col>
      <xdr:colOff>482675</xdr:colOff>
      <xdr:row>11</xdr:row>
      <xdr:rowOff>289851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7211ED5-F82A-4E0A-B926-A0AB332079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312691</xdr:rowOff>
    </xdr:from>
    <xdr:to>
      <xdr:col>27</xdr:col>
      <xdr:colOff>356854</xdr:colOff>
      <xdr:row>11</xdr:row>
      <xdr:rowOff>322877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EED8A6F-00FF-4FF8-BD20-B5ED1F6583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433545</xdr:colOff>
      <xdr:row>5</xdr:row>
      <xdr:rowOff>324144</xdr:rowOff>
    </xdr:from>
    <xdr:to>
      <xdr:col>36</xdr:col>
      <xdr:colOff>300949</xdr:colOff>
      <xdr:row>11</xdr:row>
      <xdr:rowOff>326710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8C54169-20D7-4CF0-B9D9-B714888E14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312691</xdr:rowOff>
    </xdr:from>
    <xdr:to>
      <xdr:col>27</xdr:col>
      <xdr:colOff>464010</xdr:colOff>
      <xdr:row>11</xdr:row>
      <xdr:rowOff>277316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5EB3CC4-A175-4D9C-8E5E-1480EEDE8A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534035</xdr:colOff>
      <xdr:row>5</xdr:row>
      <xdr:rowOff>324303</xdr:rowOff>
    </xdr:from>
    <xdr:to>
      <xdr:col>36</xdr:col>
      <xdr:colOff>506690</xdr:colOff>
      <xdr:row>11</xdr:row>
      <xdr:rowOff>292738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5D9CB5E-02B3-4690-BA70-3341A3A760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312691</xdr:rowOff>
    </xdr:from>
    <xdr:to>
      <xdr:col>27</xdr:col>
      <xdr:colOff>321135</xdr:colOff>
      <xdr:row>11</xdr:row>
      <xdr:rowOff>287476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A18EBBE-6D03-404E-9983-C9E8FBA008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443865</xdr:colOff>
      <xdr:row>5</xdr:row>
      <xdr:rowOff>287791</xdr:rowOff>
    </xdr:from>
    <xdr:to>
      <xdr:col>36</xdr:col>
      <xdr:colOff>277455</xdr:colOff>
      <xdr:row>11</xdr:row>
      <xdr:rowOff>268291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BC75CA0-2E06-45A8-BBF1-8D60639FE5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312691</xdr:rowOff>
    </xdr:from>
    <xdr:to>
      <xdr:col>27</xdr:col>
      <xdr:colOff>346348</xdr:colOff>
      <xdr:row>11</xdr:row>
      <xdr:rowOff>283741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5572EC0-2606-47EC-A77E-B45A47574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456827</xdr:colOff>
      <xdr:row>5</xdr:row>
      <xdr:rowOff>306636</xdr:rowOff>
    </xdr:from>
    <xdr:to>
      <xdr:col>36</xdr:col>
      <xdr:colOff>309916</xdr:colOff>
      <xdr:row>11</xdr:row>
      <xdr:rowOff>283401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3B0866C-5BFD-4B28-86C2-5D65ABE511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314596</xdr:rowOff>
    </xdr:from>
    <xdr:to>
      <xdr:col>27</xdr:col>
      <xdr:colOff>370083</xdr:colOff>
      <xdr:row>11</xdr:row>
      <xdr:rowOff>314469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BEACE07-58BC-4FCE-BFEE-65515FD297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431628</xdr:colOff>
      <xdr:row>5</xdr:row>
      <xdr:rowOff>324034</xdr:rowOff>
    </xdr:from>
    <xdr:to>
      <xdr:col>36</xdr:col>
      <xdr:colOff>308452</xdr:colOff>
      <xdr:row>11</xdr:row>
      <xdr:rowOff>323907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F05C176-DDBC-48A2-9AF1-B3A8D03AA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312691</xdr:rowOff>
    </xdr:from>
    <xdr:to>
      <xdr:col>27</xdr:col>
      <xdr:colOff>382368</xdr:colOff>
      <xdr:row>11</xdr:row>
      <xdr:rowOff>246654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DBDA168-C7FC-41D3-997A-F86CA9DA05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442504</xdr:colOff>
      <xdr:row>5</xdr:row>
      <xdr:rowOff>332014</xdr:rowOff>
    </xdr:from>
    <xdr:to>
      <xdr:col>36</xdr:col>
      <xdr:colOff>331611</xdr:colOff>
      <xdr:row>11</xdr:row>
      <xdr:rowOff>279312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8A01A4-C797-4C79-9200-612885169F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312691</xdr:rowOff>
    </xdr:from>
    <xdr:to>
      <xdr:col>27</xdr:col>
      <xdr:colOff>438032</xdr:colOff>
      <xdr:row>11</xdr:row>
      <xdr:rowOff>308604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C7899A2-6DD5-4EC0-8389-7FB561DFC2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539979</xdr:colOff>
      <xdr:row>5</xdr:row>
      <xdr:rowOff>309352</xdr:rowOff>
    </xdr:from>
    <xdr:to>
      <xdr:col>36</xdr:col>
      <xdr:colOff>480942</xdr:colOff>
      <xdr:row>11</xdr:row>
      <xdr:rowOff>307170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226A82C-8852-49A2-944C-575A428DAF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312691</xdr:rowOff>
    </xdr:from>
    <xdr:to>
      <xdr:col>27</xdr:col>
      <xdr:colOff>438032</xdr:colOff>
      <xdr:row>11</xdr:row>
      <xdr:rowOff>308604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5230904-A969-4C91-AE45-B2E1469941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541712</xdr:colOff>
      <xdr:row>5</xdr:row>
      <xdr:rowOff>305541</xdr:rowOff>
    </xdr:from>
    <xdr:to>
      <xdr:col>36</xdr:col>
      <xdr:colOff>482675</xdr:colOff>
      <xdr:row>11</xdr:row>
      <xdr:rowOff>303359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26E8849-F198-43C3-A483-36D581A55A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16</xdr:row>
      <xdr:rowOff>304801</xdr:rowOff>
    </xdr:from>
    <xdr:to>
      <xdr:col>27</xdr:col>
      <xdr:colOff>438032</xdr:colOff>
      <xdr:row>23</xdr:row>
      <xdr:rowOff>267983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BF4610F-34BD-4EA2-A438-638E69827F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553835</xdr:colOff>
      <xdr:row>16</xdr:row>
      <xdr:rowOff>305542</xdr:rowOff>
    </xdr:from>
    <xdr:to>
      <xdr:col>36</xdr:col>
      <xdr:colOff>502418</xdr:colOff>
      <xdr:row>23</xdr:row>
      <xdr:rowOff>268724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CFE96EA-9321-416B-9BF9-F93F80305C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312691</xdr:rowOff>
    </xdr:from>
    <xdr:to>
      <xdr:col>27</xdr:col>
      <xdr:colOff>356854</xdr:colOff>
      <xdr:row>11</xdr:row>
      <xdr:rowOff>322877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4600802-9A4D-4A57-9773-28C6FC6B90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448785</xdr:colOff>
      <xdr:row>5</xdr:row>
      <xdr:rowOff>294775</xdr:rowOff>
    </xdr:from>
    <xdr:to>
      <xdr:col>36</xdr:col>
      <xdr:colOff>316189</xdr:colOff>
      <xdr:row>11</xdr:row>
      <xdr:rowOff>306866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4474943-28E5-4CEA-B07F-CA3CACB83A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493259</xdr:colOff>
      <xdr:row>3</xdr:row>
      <xdr:rowOff>316500</xdr:rowOff>
    </xdr:from>
    <xdr:to>
      <xdr:col>22</xdr:col>
      <xdr:colOff>382366</xdr:colOff>
      <xdr:row>13</xdr:row>
      <xdr:rowOff>102690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66D6208-4B3F-4A4E-A970-DA88DAC07B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449318</xdr:colOff>
      <xdr:row>3</xdr:row>
      <xdr:rowOff>311739</xdr:rowOff>
    </xdr:from>
    <xdr:to>
      <xdr:col>31</xdr:col>
      <xdr:colOff>340330</xdr:colOff>
      <xdr:row>13</xdr:row>
      <xdr:rowOff>111264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70C95B5-ADB8-460E-874C-8E557DD908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FAE74CD-6AB8-4E31-B099-474D2363FE4E}">
  <we:reference id="wa200009404" version="1.0.0.8" store="pt-BR" storeType="OMEX"/>
  <we:alternateReferences>
    <we:reference id="wa200009404" version="1.0.0.8" store="wa200009404" storeType="OMEX"/>
  </we:alternateReferences>
  <we:properties>
    <we:property name="claude.fileId" value="&quot;9813cbf9-22b5-4cdb-bf65-2906e05595f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38292-0683-4322-9120-01510E164000}">
  <sheetPr>
    <pageSetUpPr fitToPage="1"/>
  </sheetPr>
  <dimension ref="A1:I26"/>
  <sheetViews>
    <sheetView view="pageBreakPreview" zoomScale="70" zoomScaleNormal="100" zoomScaleSheetLayoutView="70" workbookViewId="0">
      <selection activeCell="B5" sqref="B5"/>
    </sheetView>
  </sheetViews>
  <sheetFormatPr defaultColWidth="8.85546875" defaultRowHeight="15" x14ac:dyDescent="0.25"/>
  <cols>
    <col min="1" max="1" width="6.28515625" style="2" bestFit="1" customWidth="1"/>
    <col min="2" max="2" width="5.7109375" style="2" customWidth="1"/>
    <col min="3" max="3" width="101.7109375" style="2" bestFit="1" customWidth="1"/>
    <col min="4" max="4" width="16.28515625" style="2" customWidth="1"/>
    <col min="5" max="5" width="75.7109375" style="2" bestFit="1" customWidth="1"/>
    <col min="6" max="6" width="10.7109375" style="44" customWidth="1"/>
    <col min="7" max="7" width="7" style="2" customWidth="1"/>
    <col min="8" max="8" width="9" style="2" bestFit="1" customWidth="1"/>
    <col min="9" max="9" width="9.140625" style="2" bestFit="1" customWidth="1"/>
    <col min="10" max="16384" width="8.85546875" style="2"/>
  </cols>
  <sheetData>
    <row r="1" spans="1:9" s="70" customFormat="1" ht="30" customHeight="1" thickBot="1" x14ac:dyDescent="0.3">
      <c r="A1" s="91" t="s">
        <v>151</v>
      </c>
      <c r="B1" s="91"/>
      <c r="C1" s="91"/>
      <c r="D1" s="91"/>
      <c r="E1" s="91"/>
      <c r="F1" s="91"/>
      <c r="G1" s="91"/>
    </row>
    <row r="2" spans="1:9" s="67" customFormat="1" ht="30" customHeight="1" x14ac:dyDescent="0.3">
      <c r="A2" s="71" t="s">
        <v>53</v>
      </c>
      <c r="B2" s="72" t="s">
        <v>104</v>
      </c>
      <c r="C2" s="72" t="s">
        <v>19</v>
      </c>
      <c r="D2" s="72" t="s">
        <v>54</v>
      </c>
      <c r="E2" s="72" t="s">
        <v>106</v>
      </c>
      <c r="F2" s="73" t="s">
        <v>105</v>
      </c>
      <c r="G2" s="74" t="s">
        <v>55</v>
      </c>
      <c r="H2" s="75">
        <v>45839</v>
      </c>
      <c r="I2" s="75">
        <v>45870</v>
      </c>
    </row>
    <row r="3" spans="1:9" s="68" customFormat="1" ht="39.950000000000003" customHeight="1" x14ac:dyDescent="0.3">
      <c r="A3" s="76">
        <v>13</v>
      </c>
      <c r="B3" s="77" t="s">
        <v>22</v>
      </c>
      <c r="C3" s="77" t="s">
        <v>23</v>
      </c>
      <c r="D3" s="77" t="s">
        <v>56</v>
      </c>
      <c r="E3" s="77" t="s">
        <v>57</v>
      </c>
      <c r="F3" s="78">
        <v>56.716371924999997</v>
      </c>
      <c r="G3" s="79" t="s">
        <v>58</v>
      </c>
    </row>
    <row r="4" spans="1:9" s="68" customFormat="1" ht="39.950000000000003" customHeight="1" x14ac:dyDescent="0.3">
      <c r="A4" s="76">
        <v>13</v>
      </c>
      <c r="B4" s="77" t="s">
        <v>24</v>
      </c>
      <c r="C4" s="77" t="s">
        <v>25</v>
      </c>
      <c r="D4" s="77" t="s">
        <v>59</v>
      </c>
      <c r="E4" s="77" t="s">
        <v>60</v>
      </c>
      <c r="F4" s="78">
        <v>30.279582362199999</v>
      </c>
      <c r="G4" s="79" t="s">
        <v>61</v>
      </c>
    </row>
    <row r="5" spans="1:9" s="68" customFormat="1" ht="39.950000000000003" customHeight="1" x14ac:dyDescent="0.3">
      <c r="A5" s="80">
        <v>13</v>
      </c>
      <c r="B5" s="81" t="s">
        <v>24</v>
      </c>
      <c r="C5" s="81" t="s">
        <v>25</v>
      </c>
      <c r="D5" s="81" t="s">
        <v>62</v>
      </c>
      <c r="E5" s="81" t="s">
        <v>63</v>
      </c>
      <c r="F5" s="82">
        <v>21.855986949199998</v>
      </c>
      <c r="G5" s="83" t="s">
        <v>61</v>
      </c>
    </row>
    <row r="6" spans="1:9" s="68" customFormat="1" ht="39.950000000000003" customHeight="1" x14ac:dyDescent="0.25">
      <c r="A6" s="80">
        <v>13</v>
      </c>
      <c r="B6" s="81" t="s">
        <v>26</v>
      </c>
      <c r="C6" s="81" t="s">
        <v>27</v>
      </c>
      <c r="D6" s="81" t="s">
        <v>64</v>
      </c>
      <c r="E6" s="81" t="s">
        <v>65</v>
      </c>
      <c r="F6" s="82">
        <v>50.619704282800001</v>
      </c>
      <c r="G6" s="83" t="s">
        <v>61</v>
      </c>
    </row>
    <row r="7" spans="1:9" s="69" customFormat="1" ht="39.950000000000003" customHeight="1" x14ac:dyDescent="0.3">
      <c r="A7" s="80">
        <v>13</v>
      </c>
      <c r="B7" s="81" t="s">
        <v>28</v>
      </c>
      <c r="C7" s="81" t="s">
        <v>29</v>
      </c>
      <c r="D7" s="81" t="s">
        <v>66</v>
      </c>
      <c r="E7" s="81" t="s">
        <v>67</v>
      </c>
      <c r="F7" s="82">
        <v>23.9510365581</v>
      </c>
      <c r="G7" s="83" t="s">
        <v>61</v>
      </c>
    </row>
    <row r="8" spans="1:9" s="68" customFormat="1" ht="39.950000000000003" customHeight="1" x14ac:dyDescent="0.25">
      <c r="A8" s="80">
        <v>13</v>
      </c>
      <c r="B8" s="81" t="s">
        <v>30</v>
      </c>
      <c r="C8" s="81" t="s">
        <v>31</v>
      </c>
      <c r="D8" s="81" t="s">
        <v>68</v>
      </c>
      <c r="E8" s="81" t="s">
        <v>69</v>
      </c>
      <c r="F8" s="82">
        <v>39.501800082499997</v>
      </c>
      <c r="G8" s="83" t="s">
        <v>61</v>
      </c>
    </row>
    <row r="9" spans="1:9" s="68" customFormat="1" ht="39.950000000000003" customHeight="1" x14ac:dyDescent="0.25">
      <c r="A9" s="80">
        <v>13</v>
      </c>
      <c r="B9" s="81" t="s">
        <v>32</v>
      </c>
      <c r="C9" s="81" t="s">
        <v>33</v>
      </c>
      <c r="D9" s="81" t="s">
        <v>70</v>
      </c>
      <c r="E9" s="81" t="s">
        <v>71</v>
      </c>
      <c r="F9" s="82">
        <v>42.464392694399997</v>
      </c>
      <c r="G9" s="83" t="s">
        <v>61</v>
      </c>
    </row>
    <row r="10" spans="1:9" s="68" customFormat="1" ht="39.950000000000003" customHeight="1" x14ac:dyDescent="0.3">
      <c r="A10" s="80">
        <v>13</v>
      </c>
      <c r="B10" s="81" t="s">
        <v>34</v>
      </c>
      <c r="C10" s="81" t="s">
        <v>35</v>
      </c>
      <c r="D10" s="81" t="s">
        <v>72</v>
      </c>
      <c r="E10" s="81" t="s">
        <v>73</v>
      </c>
      <c r="F10" s="82">
        <v>67.817857462199996</v>
      </c>
      <c r="G10" s="83" t="s">
        <v>61</v>
      </c>
    </row>
    <row r="11" spans="1:9" s="68" customFormat="1" ht="39.950000000000003" customHeight="1" x14ac:dyDescent="0.25">
      <c r="A11" s="80">
        <v>13</v>
      </c>
      <c r="B11" s="88" t="s">
        <v>36</v>
      </c>
      <c r="C11" s="88" t="s">
        <v>37</v>
      </c>
      <c r="D11" s="88" t="s">
        <v>74</v>
      </c>
      <c r="E11" s="88" t="s">
        <v>75</v>
      </c>
      <c r="F11" s="89">
        <v>14.4762033839</v>
      </c>
      <c r="G11" s="90" t="s">
        <v>61</v>
      </c>
    </row>
    <row r="12" spans="1:9" s="68" customFormat="1" ht="39.950000000000003" customHeight="1" x14ac:dyDescent="0.3">
      <c r="A12" s="80">
        <v>13</v>
      </c>
      <c r="B12" s="88" t="s">
        <v>38</v>
      </c>
      <c r="C12" s="88" t="s">
        <v>39</v>
      </c>
      <c r="D12" s="88" t="s">
        <v>76</v>
      </c>
      <c r="E12" s="88" t="s">
        <v>77</v>
      </c>
      <c r="F12" s="89">
        <v>34.769106100999998</v>
      </c>
      <c r="G12" s="90" t="s">
        <v>61</v>
      </c>
    </row>
    <row r="13" spans="1:9" s="68" customFormat="1" ht="39.950000000000003" customHeight="1" x14ac:dyDescent="0.3">
      <c r="A13" s="80">
        <v>13</v>
      </c>
      <c r="B13" s="88" t="s">
        <v>40</v>
      </c>
      <c r="C13" s="88" t="s">
        <v>41</v>
      </c>
      <c r="D13" s="88" t="s">
        <v>78</v>
      </c>
      <c r="E13" s="88" t="s">
        <v>79</v>
      </c>
      <c r="F13" s="89">
        <v>63.074548194599998</v>
      </c>
      <c r="G13" s="90" t="s">
        <v>61</v>
      </c>
    </row>
    <row r="14" spans="1:9" s="68" customFormat="1" ht="39.950000000000003" customHeight="1" x14ac:dyDescent="0.3">
      <c r="A14" s="80">
        <v>13</v>
      </c>
      <c r="B14" s="88" t="s">
        <v>40</v>
      </c>
      <c r="C14" s="88" t="s">
        <v>41</v>
      </c>
      <c r="D14" s="88" t="s">
        <v>80</v>
      </c>
      <c r="E14" s="88" t="s">
        <v>81</v>
      </c>
      <c r="F14" s="89">
        <v>9.9650282909799994</v>
      </c>
      <c r="G14" s="90" t="s">
        <v>61</v>
      </c>
    </row>
    <row r="15" spans="1:9" s="68" customFormat="1" ht="39.950000000000003" customHeight="1" x14ac:dyDescent="0.3">
      <c r="A15" s="80">
        <v>13</v>
      </c>
      <c r="B15" s="81" t="s">
        <v>42</v>
      </c>
      <c r="C15" s="81" t="s">
        <v>43</v>
      </c>
      <c r="D15" s="81" t="s">
        <v>82</v>
      </c>
      <c r="E15" s="81" t="s">
        <v>83</v>
      </c>
      <c r="F15" s="82">
        <v>21.438443621200001</v>
      </c>
      <c r="G15" s="83" t="s">
        <v>61</v>
      </c>
    </row>
    <row r="16" spans="1:9" s="68" customFormat="1" ht="39.950000000000003" customHeight="1" x14ac:dyDescent="0.3">
      <c r="A16" s="80">
        <v>13</v>
      </c>
      <c r="B16" s="81" t="s">
        <v>42</v>
      </c>
      <c r="C16" s="81" t="s">
        <v>43</v>
      </c>
      <c r="D16" s="81" t="s">
        <v>84</v>
      </c>
      <c r="E16" s="81" t="s">
        <v>85</v>
      </c>
      <c r="F16" s="82">
        <v>10.494900493899999</v>
      </c>
      <c r="G16" s="83" t="s">
        <v>61</v>
      </c>
    </row>
    <row r="17" spans="1:7" s="68" customFormat="1" ht="39.950000000000003" customHeight="1" x14ac:dyDescent="0.3">
      <c r="A17" s="80">
        <v>13</v>
      </c>
      <c r="B17" s="81" t="s">
        <v>42</v>
      </c>
      <c r="C17" s="81" t="s">
        <v>43</v>
      </c>
      <c r="D17" s="81" t="s">
        <v>86</v>
      </c>
      <c r="E17" s="81" t="s">
        <v>87</v>
      </c>
      <c r="F17" s="82">
        <v>18.119655920700001</v>
      </c>
      <c r="G17" s="83" t="s">
        <v>61</v>
      </c>
    </row>
    <row r="18" spans="1:7" s="68" customFormat="1" ht="39.950000000000003" customHeight="1" x14ac:dyDescent="0.3">
      <c r="A18" s="80">
        <v>13</v>
      </c>
      <c r="B18" s="81" t="s">
        <v>42</v>
      </c>
      <c r="C18" s="81" t="s">
        <v>43</v>
      </c>
      <c r="D18" s="81" t="s">
        <v>88</v>
      </c>
      <c r="E18" s="81" t="s">
        <v>89</v>
      </c>
      <c r="F18" s="82">
        <v>24.005730035599999</v>
      </c>
      <c r="G18" s="83" t="s">
        <v>61</v>
      </c>
    </row>
    <row r="19" spans="1:7" s="68" customFormat="1" ht="39.950000000000003" customHeight="1" x14ac:dyDescent="0.3">
      <c r="A19" s="80">
        <v>13</v>
      </c>
      <c r="B19" s="81" t="s">
        <v>42</v>
      </c>
      <c r="C19" s="81" t="s">
        <v>43</v>
      </c>
      <c r="D19" s="81" t="s">
        <v>90</v>
      </c>
      <c r="E19" s="81" t="s">
        <v>91</v>
      </c>
      <c r="F19" s="82">
        <v>24.703955130299999</v>
      </c>
      <c r="G19" s="83" t="s">
        <v>61</v>
      </c>
    </row>
    <row r="20" spans="1:7" s="68" customFormat="1" ht="39.950000000000003" customHeight="1" x14ac:dyDescent="0.3">
      <c r="A20" s="80">
        <v>13</v>
      </c>
      <c r="B20" s="81" t="s">
        <v>44</v>
      </c>
      <c r="C20" s="81" t="s">
        <v>45</v>
      </c>
      <c r="D20" s="81" t="s">
        <v>92</v>
      </c>
      <c r="E20" s="81" t="s">
        <v>93</v>
      </c>
      <c r="F20" s="82">
        <v>21.621530415900001</v>
      </c>
      <c r="G20" s="83" t="s">
        <v>61</v>
      </c>
    </row>
    <row r="21" spans="1:7" s="68" customFormat="1" ht="39.950000000000003" customHeight="1" x14ac:dyDescent="0.25">
      <c r="A21" s="80">
        <v>13</v>
      </c>
      <c r="B21" s="81" t="s">
        <v>46</v>
      </c>
      <c r="C21" s="81" t="s">
        <v>47</v>
      </c>
      <c r="D21" s="81" t="s">
        <v>94</v>
      </c>
      <c r="E21" s="81" t="s">
        <v>95</v>
      </c>
      <c r="F21" s="82">
        <v>15.9386324677</v>
      </c>
      <c r="G21" s="83" t="s">
        <v>61</v>
      </c>
    </row>
    <row r="22" spans="1:7" s="68" customFormat="1" ht="39.950000000000003" customHeight="1" x14ac:dyDescent="0.25">
      <c r="A22" s="80">
        <v>13</v>
      </c>
      <c r="B22" s="81" t="s">
        <v>46</v>
      </c>
      <c r="C22" s="81" t="s">
        <v>47</v>
      </c>
      <c r="D22" s="81" t="s">
        <v>96</v>
      </c>
      <c r="E22" s="81" t="s">
        <v>97</v>
      </c>
      <c r="F22" s="82">
        <v>27.240275671399999</v>
      </c>
      <c r="G22" s="83" t="s">
        <v>61</v>
      </c>
    </row>
    <row r="23" spans="1:7" s="68" customFormat="1" ht="39.950000000000003" customHeight="1" x14ac:dyDescent="0.25">
      <c r="A23" s="80">
        <v>13</v>
      </c>
      <c r="B23" s="81" t="s">
        <v>46</v>
      </c>
      <c r="C23" s="81" t="s">
        <v>47</v>
      </c>
      <c r="D23" s="81" t="s">
        <v>98</v>
      </c>
      <c r="E23" s="81" t="s">
        <v>99</v>
      </c>
      <c r="F23" s="82">
        <v>28.420723737599999</v>
      </c>
      <c r="G23" s="83" t="s">
        <v>61</v>
      </c>
    </row>
    <row r="24" spans="1:7" s="68" customFormat="1" ht="39.950000000000003" customHeight="1" x14ac:dyDescent="0.25">
      <c r="A24" s="80">
        <v>13</v>
      </c>
      <c r="B24" s="81" t="s">
        <v>46</v>
      </c>
      <c r="C24" s="81" t="s">
        <v>47</v>
      </c>
      <c r="D24" s="81" t="s">
        <v>100</v>
      </c>
      <c r="E24" s="81" t="s">
        <v>101</v>
      </c>
      <c r="F24" s="82">
        <v>4.1873192117800002</v>
      </c>
      <c r="G24" s="83" t="s">
        <v>61</v>
      </c>
    </row>
    <row r="25" spans="1:7" s="68" customFormat="1" ht="39.950000000000003" customHeight="1" thickBot="1" x14ac:dyDescent="0.3">
      <c r="A25" s="84">
        <v>13</v>
      </c>
      <c r="B25" s="85" t="s">
        <v>48</v>
      </c>
      <c r="C25" s="85" t="s">
        <v>49</v>
      </c>
      <c r="D25" s="85" t="s">
        <v>102</v>
      </c>
      <c r="E25" s="85" t="s">
        <v>103</v>
      </c>
      <c r="F25" s="86">
        <v>11.2079170884</v>
      </c>
      <c r="G25" s="87" t="s">
        <v>61</v>
      </c>
    </row>
    <row r="26" spans="1:7" x14ac:dyDescent="0.25">
      <c r="F26" s="44">
        <f>SUM(F3:F25)</f>
        <v>662.87070208136004</v>
      </c>
    </row>
  </sheetData>
  <mergeCells count="1">
    <mergeCell ref="A1:G1"/>
  </mergeCells>
  <pageMargins left="0.25" right="0.25" top="0.75" bottom="0.75" header="0.3" footer="0.3"/>
  <pageSetup paperSize="9" scale="44" orientation="portrait" horizontalDpi="1200" verticalDpi="1200" r:id="rId1"/>
  <colBreaks count="1" manualBreakCount="1">
    <brk id="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32F9C-EE0D-48B0-A5A8-D32DD818F317}">
  <sheetPr>
    <tabColor theme="2"/>
    <pageSetUpPr fitToPage="1"/>
  </sheetPr>
  <dimension ref="A1:R68"/>
  <sheetViews>
    <sheetView view="pageBreakPreview" zoomScale="70" zoomScaleNormal="10" zoomScaleSheetLayoutView="70" workbookViewId="0">
      <selection activeCell="B18" sqref="B18"/>
    </sheetView>
  </sheetViews>
  <sheetFormatPr defaultColWidth="8.85546875" defaultRowHeight="15" x14ac:dyDescent="0.25"/>
  <cols>
    <col min="1" max="1" width="33.28515625" style="1" customWidth="1"/>
    <col min="2" max="2" width="17.140625" style="1" customWidth="1"/>
    <col min="3" max="4" width="13.42578125" style="1" customWidth="1"/>
    <col min="5" max="5" width="26.5703125" style="2" customWidth="1"/>
    <col min="6" max="6" width="30.140625" style="2" customWidth="1"/>
    <col min="7" max="7" width="26.5703125" style="2" customWidth="1"/>
    <col min="8" max="8" width="33.140625" style="2" customWidth="1"/>
    <col min="9" max="11" width="32" style="2" customWidth="1"/>
    <col min="12" max="14" width="14.42578125" style="1" customWidth="1"/>
    <col min="15" max="17" width="14.7109375" style="1" customWidth="1"/>
    <col min="18" max="18" width="37.42578125" style="1" customWidth="1"/>
    <col min="19" max="16384" width="8.85546875" style="1"/>
  </cols>
  <sheetData>
    <row r="1" spans="1:18" ht="19.5" x14ac:dyDescent="0.3">
      <c r="A1" s="9" t="s">
        <v>0</v>
      </c>
      <c r="B1" s="10"/>
      <c r="C1" s="10"/>
      <c r="D1" s="10"/>
      <c r="E1" s="11"/>
      <c r="F1" s="12"/>
      <c r="G1" s="11"/>
      <c r="H1" s="11"/>
      <c r="I1" s="98" t="s">
        <v>3</v>
      </c>
      <c r="J1" s="100">
        <v>46204</v>
      </c>
      <c r="K1" s="11"/>
      <c r="L1" s="102" t="s">
        <v>4</v>
      </c>
      <c r="M1" s="102"/>
      <c r="N1" s="104" t="s">
        <v>152</v>
      </c>
      <c r="O1" s="104"/>
      <c r="P1" s="104"/>
      <c r="Q1" s="104"/>
      <c r="R1" s="105"/>
    </row>
    <row r="2" spans="1:18" ht="20.25" thickBot="1" x14ac:dyDescent="0.35">
      <c r="A2" s="13"/>
      <c r="B2" s="14"/>
      <c r="C2" s="14"/>
      <c r="D2" s="14"/>
      <c r="E2" s="15"/>
      <c r="F2" s="16" t="s">
        <v>9</v>
      </c>
      <c r="G2" s="15"/>
      <c r="H2" s="15"/>
      <c r="I2" s="99"/>
      <c r="J2" s="101"/>
      <c r="K2" s="16"/>
      <c r="L2" s="103"/>
      <c r="M2" s="103"/>
      <c r="N2" s="106"/>
      <c r="O2" s="106"/>
      <c r="P2" s="106"/>
      <c r="Q2" s="106"/>
      <c r="R2" s="107"/>
    </row>
    <row r="3" spans="1:18" ht="25.5" x14ac:dyDescent="0.35">
      <c r="A3" s="13" t="s">
        <v>21</v>
      </c>
      <c r="B3" s="45" t="str">
        <f>TT!C4</f>
        <v>RODOVIA TO-040 - TRECHO ENTR. TO-369 - ENTR. TO-280 (ALMAS)</v>
      </c>
      <c r="C3" s="14"/>
      <c r="D3" s="14"/>
      <c r="E3" s="15"/>
      <c r="F3" s="15"/>
      <c r="G3" s="15"/>
      <c r="H3" s="15"/>
      <c r="I3" s="46" t="s">
        <v>107</v>
      </c>
      <c r="J3" s="46">
        <v>13</v>
      </c>
      <c r="K3" s="15"/>
      <c r="L3" s="14"/>
      <c r="M3" s="14"/>
      <c r="N3" s="14"/>
      <c r="O3" s="14"/>
      <c r="P3" s="14"/>
      <c r="Q3" s="14"/>
      <c r="R3" s="17"/>
    </row>
    <row r="4" spans="1:18" ht="19.899999999999999" thickBot="1" x14ac:dyDescent="0.4">
      <c r="A4" s="18"/>
      <c r="B4" s="14"/>
      <c r="C4" s="14"/>
      <c r="D4" s="14"/>
      <c r="E4" s="15"/>
      <c r="F4" s="15"/>
      <c r="G4" s="15"/>
      <c r="H4" s="15"/>
      <c r="I4" s="15"/>
      <c r="J4" s="15"/>
      <c r="K4" s="15"/>
      <c r="L4" s="14"/>
      <c r="M4" s="14"/>
      <c r="N4" s="14"/>
      <c r="O4" s="14"/>
      <c r="P4" s="14"/>
      <c r="Q4" s="14"/>
      <c r="R4" s="17"/>
    </row>
    <row r="5" spans="1:18" s="5" customFormat="1" ht="54" customHeight="1" x14ac:dyDescent="0.25">
      <c r="A5" s="112" t="s">
        <v>1</v>
      </c>
      <c r="B5" s="108" t="s">
        <v>7</v>
      </c>
      <c r="C5" s="114" t="s">
        <v>5</v>
      </c>
      <c r="D5" s="114" t="s">
        <v>6</v>
      </c>
      <c r="E5" s="108" t="s">
        <v>10</v>
      </c>
      <c r="F5" s="108"/>
      <c r="G5" s="108"/>
      <c r="H5" s="108"/>
      <c r="I5" s="108" t="s">
        <v>11</v>
      </c>
      <c r="J5" s="108"/>
      <c r="K5" s="108"/>
      <c r="L5" s="108" t="s">
        <v>8</v>
      </c>
      <c r="M5" s="108"/>
      <c r="N5" s="108"/>
      <c r="O5" s="108"/>
      <c r="P5" s="108"/>
      <c r="Q5" s="108"/>
      <c r="R5" s="109"/>
    </row>
    <row r="6" spans="1:18" s="6" customFormat="1" ht="79.150000000000006" customHeight="1" x14ac:dyDescent="0.25">
      <c r="A6" s="113"/>
      <c r="B6" s="110"/>
      <c r="C6" s="110"/>
      <c r="D6" s="110"/>
      <c r="E6" s="7" t="s">
        <v>2</v>
      </c>
      <c r="F6" s="8" t="s">
        <v>15</v>
      </c>
      <c r="G6" s="8" t="s">
        <v>16</v>
      </c>
      <c r="H6" s="8" t="s">
        <v>17</v>
      </c>
      <c r="I6" s="7" t="s">
        <v>12</v>
      </c>
      <c r="J6" s="7" t="s">
        <v>13</v>
      </c>
      <c r="K6" s="7" t="s">
        <v>14</v>
      </c>
      <c r="L6" s="110"/>
      <c r="M6" s="110"/>
      <c r="N6" s="110"/>
      <c r="O6" s="110"/>
      <c r="P6" s="110"/>
      <c r="Q6" s="110"/>
      <c r="R6" s="111"/>
    </row>
    <row r="7" spans="1:18" ht="41.45" customHeight="1" x14ac:dyDescent="0.25">
      <c r="A7" s="32"/>
      <c r="B7" s="21"/>
      <c r="C7" s="22">
        <v>0</v>
      </c>
      <c r="D7" s="22">
        <v>1</v>
      </c>
      <c r="E7" s="21" t="s">
        <v>109</v>
      </c>
      <c r="F7" s="21"/>
      <c r="G7" s="21"/>
      <c r="H7" s="21"/>
      <c r="I7" s="21" t="s">
        <v>109</v>
      </c>
      <c r="J7" s="21"/>
      <c r="K7" s="21"/>
      <c r="L7" s="96"/>
      <c r="M7" s="96"/>
      <c r="N7" s="96"/>
      <c r="O7" s="96"/>
      <c r="P7" s="96"/>
      <c r="Q7" s="96"/>
      <c r="R7" s="97"/>
    </row>
    <row r="8" spans="1:18" ht="41.45" customHeight="1" x14ac:dyDescent="0.25">
      <c r="A8" s="32"/>
      <c r="B8" s="21"/>
      <c r="C8" s="22">
        <v>1</v>
      </c>
      <c r="D8" s="22">
        <v>2</v>
      </c>
      <c r="E8" s="21" t="s">
        <v>109</v>
      </c>
      <c r="F8" s="21"/>
      <c r="G8" s="21"/>
      <c r="H8" s="21"/>
      <c r="I8" s="21"/>
      <c r="J8" s="21" t="s">
        <v>109</v>
      </c>
      <c r="K8" s="21"/>
      <c r="L8" s="96"/>
      <c r="M8" s="96"/>
      <c r="N8" s="96"/>
      <c r="O8" s="96"/>
      <c r="P8" s="96"/>
      <c r="Q8" s="96"/>
      <c r="R8" s="97"/>
    </row>
    <row r="9" spans="1:18" ht="41.45" customHeight="1" x14ac:dyDescent="0.25">
      <c r="A9" s="32"/>
      <c r="B9" s="21"/>
      <c r="C9" s="22">
        <v>2</v>
      </c>
      <c r="D9" s="22">
        <v>3</v>
      </c>
      <c r="E9" s="21" t="s">
        <v>109</v>
      </c>
      <c r="F9" s="21"/>
      <c r="G9" s="21"/>
      <c r="H9" s="21"/>
      <c r="I9" s="21"/>
      <c r="J9" s="21"/>
      <c r="K9" s="21"/>
      <c r="L9" s="96"/>
      <c r="M9" s="96"/>
      <c r="N9" s="96"/>
      <c r="O9" s="96"/>
      <c r="P9" s="96"/>
      <c r="Q9" s="96"/>
      <c r="R9" s="97"/>
    </row>
    <row r="10" spans="1:18" ht="41.45" customHeight="1" x14ac:dyDescent="0.25">
      <c r="A10" s="32"/>
      <c r="B10" s="21"/>
      <c r="C10" s="22">
        <v>3</v>
      </c>
      <c r="D10" s="22">
        <v>4</v>
      </c>
      <c r="E10" s="21" t="s">
        <v>109</v>
      </c>
      <c r="F10" s="21"/>
      <c r="G10" s="21"/>
      <c r="H10" s="21"/>
      <c r="I10" s="21"/>
      <c r="J10" s="21"/>
      <c r="K10" s="21" t="s">
        <v>109</v>
      </c>
      <c r="L10" s="96"/>
      <c r="M10" s="96"/>
      <c r="N10" s="96"/>
      <c r="O10" s="96"/>
      <c r="P10" s="96"/>
      <c r="Q10" s="96"/>
      <c r="R10" s="97"/>
    </row>
    <row r="11" spans="1:18" ht="41.45" customHeight="1" x14ac:dyDescent="0.25">
      <c r="A11" s="32"/>
      <c r="B11" s="21"/>
      <c r="C11" s="22">
        <v>4</v>
      </c>
      <c r="D11" s="22">
        <v>5</v>
      </c>
      <c r="E11" s="21" t="s">
        <v>109</v>
      </c>
      <c r="F11" s="21"/>
      <c r="G11" s="21"/>
      <c r="H11" s="21"/>
      <c r="I11" s="21"/>
      <c r="J11" s="21"/>
      <c r="K11" s="21"/>
      <c r="L11" s="96"/>
      <c r="M11" s="96"/>
      <c r="N11" s="96"/>
      <c r="O11" s="96"/>
      <c r="P11" s="96"/>
      <c r="Q11" s="96"/>
      <c r="R11" s="97"/>
    </row>
    <row r="12" spans="1:18" ht="41.45" customHeight="1" x14ac:dyDescent="0.25">
      <c r="A12" s="32"/>
      <c r="B12" s="21"/>
      <c r="C12" s="22">
        <v>5</v>
      </c>
      <c r="D12" s="22">
        <v>56.72</v>
      </c>
      <c r="E12" s="21" t="s">
        <v>109</v>
      </c>
      <c r="F12" s="21"/>
      <c r="G12" s="21"/>
      <c r="H12" s="21"/>
      <c r="I12" s="21"/>
      <c r="J12" s="21"/>
      <c r="K12" s="21"/>
      <c r="L12" s="96"/>
      <c r="M12" s="96"/>
      <c r="N12" s="96"/>
      <c r="O12" s="96"/>
      <c r="P12" s="96"/>
      <c r="Q12" s="96"/>
      <c r="R12" s="97"/>
    </row>
    <row r="13" spans="1:18" ht="41.45" customHeight="1" x14ac:dyDescent="0.25">
      <c r="A13" s="32"/>
      <c r="B13" s="21"/>
      <c r="C13" s="22"/>
      <c r="D13" s="22"/>
      <c r="E13" s="21"/>
      <c r="F13" s="21"/>
      <c r="G13" s="21"/>
      <c r="H13" s="21"/>
      <c r="I13" s="21"/>
      <c r="J13" s="21"/>
      <c r="K13" s="21"/>
      <c r="L13" s="96"/>
      <c r="M13" s="96"/>
      <c r="N13" s="96"/>
      <c r="O13" s="96"/>
      <c r="P13" s="96"/>
      <c r="Q13" s="96"/>
      <c r="R13" s="97"/>
    </row>
    <row r="14" spans="1:18" ht="41.45" customHeight="1" x14ac:dyDescent="0.25">
      <c r="A14" s="32"/>
      <c r="B14" s="21"/>
      <c r="C14" s="22"/>
      <c r="D14" s="22"/>
      <c r="E14" s="21"/>
      <c r="F14" s="21"/>
      <c r="G14" s="21"/>
      <c r="H14" s="21"/>
      <c r="I14" s="21"/>
      <c r="J14" s="21"/>
      <c r="K14" s="21"/>
      <c r="L14" s="96"/>
      <c r="M14" s="96"/>
      <c r="N14" s="96"/>
      <c r="O14" s="96"/>
      <c r="P14" s="96"/>
      <c r="Q14" s="96"/>
      <c r="R14" s="97"/>
    </row>
    <row r="15" spans="1:18" ht="41.45" customHeight="1" x14ac:dyDescent="0.25">
      <c r="A15" s="32"/>
      <c r="B15" s="21"/>
      <c r="C15" s="22"/>
      <c r="D15" s="22"/>
      <c r="E15" s="21"/>
      <c r="F15" s="21"/>
      <c r="G15" s="21"/>
      <c r="H15" s="21"/>
      <c r="I15" s="21"/>
      <c r="J15" s="21"/>
      <c r="K15" s="21"/>
      <c r="L15" s="96"/>
      <c r="M15" s="96"/>
      <c r="N15" s="96"/>
      <c r="O15" s="96"/>
      <c r="P15" s="96"/>
      <c r="Q15" s="96"/>
      <c r="R15" s="97"/>
    </row>
    <row r="16" spans="1:18" ht="41.45" customHeight="1" x14ac:dyDescent="0.25">
      <c r="A16" s="32"/>
      <c r="B16" s="21"/>
      <c r="C16" s="22"/>
      <c r="D16" s="22"/>
      <c r="E16" s="21"/>
      <c r="F16" s="21"/>
      <c r="G16" s="21"/>
      <c r="H16" s="21"/>
      <c r="I16" s="21"/>
      <c r="J16" s="21"/>
      <c r="K16" s="21"/>
      <c r="L16" s="96"/>
      <c r="M16" s="96"/>
      <c r="N16" s="96"/>
      <c r="O16" s="96"/>
      <c r="P16" s="96"/>
      <c r="Q16" s="96"/>
      <c r="R16" s="97"/>
    </row>
    <row r="17" spans="1:18" ht="41.45" customHeight="1" x14ac:dyDescent="0.25">
      <c r="A17" s="32"/>
      <c r="B17" s="21"/>
      <c r="C17" s="22"/>
      <c r="D17" s="22"/>
      <c r="E17" s="21"/>
      <c r="F17" s="21"/>
      <c r="G17" s="21"/>
      <c r="H17" s="21"/>
      <c r="I17" s="21"/>
      <c r="J17" s="21"/>
      <c r="K17" s="21"/>
      <c r="L17" s="96"/>
      <c r="M17" s="96"/>
      <c r="N17" s="96"/>
      <c r="O17" s="96"/>
      <c r="P17" s="96"/>
      <c r="Q17" s="96"/>
      <c r="R17" s="97"/>
    </row>
    <row r="18" spans="1:18" ht="41.45" customHeight="1" x14ac:dyDescent="0.25">
      <c r="A18" s="19"/>
      <c r="B18" s="3"/>
      <c r="C18" s="22"/>
      <c r="D18" s="22"/>
      <c r="E18" s="21"/>
      <c r="F18" s="21"/>
      <c r="G18" s="21"/>
      <c r="H18" s="21"/>
      <c r="I18" s="21"/>
      <c r="J18" s="21"/>
      <c r="K18" s="21"/>
      <c r="L18" s="96"/>
      <c r="M18" s="96"/>
      <c r="N18" s="96"/>
      <c r="O18" s="96"/>
      <c r="P18" s="96"/>
      <c r="Q18" s="96"/>
      <c r="R18" s="97"/>
    </row>
    <row r="19" spans="1:18" ht="41.45" customHeight="1" x14ac:dyDescent="0.25">
      <c r="A19" s="19"/>
      <c r="B19" s="3"/>
      <c r="C19" s="22"/>
      <c r="D19" s="22"/>
      <c r="E19" s="21"/>
      <c r="F19" s="21"/>
      <c r="G19" s="21"/>
      <c r="H19" s="21"/>
      <c r="I19" s="21"/>
      <c r="J19" s="21"/>
      <c r="K19" s="21"/>
      <c r="L19" s="96"/>
      <c r="M19" s="96"/>
      <c r="N19" s="96"/>
      <c r="O19" s="96"/>
      <c r="P19" s="96"/>
      <c r="Q19" s="96"/>
      <c r="R19" s="97"/>
    </row>
    <row r="20" spans="1:18" ht="41.45" customHeight="1" x14ac:dyDescent="0.25">
      <c r="A20" s="19"/>
      <c r="B20" s="3"/>
      <c r="C20" s="22"/>
      <c r="D20" s="22"/>
      <c r="E20" s="21"/>
      <c r="F20" s="21"/>
      <c r="G20" s="21"/>
      <c r="H20" s="21"/>
      <c r="I20" s="21"/>
      <c r="J20" s="21"/>
      <c r="K20" s="21"/>
      <c r="L20" s="96"/>
      <c r="M20" s="96"/>
      <c r="N20" s="96"/>
      <c r="O20" s="96"/>
      <c r="P20" s="96"/>
      <c r="Q20" s="96"/>
      <c r="R20" s="97"/>
    </row>
    <row r="21" spans="1:18" ht="41.45" customHeight="1" x14ac:dyDescent="0.25">
      <c r="A21" s="19"/>
      <c r="B21" s="3"/>
      <c r="C21" s="22"/>
      <c r="D21" s="22"/>
      <c r="E21" s="21"/>
      <c r="F21" s="21"/>
      <c r="G21" s="21"/>
      <c r="H21" s="21"/>
      <c r="I21" s="21"/>
      <c r="J21" s="21"/>
      <c r="K21" s="21"/>
      <c r="L21" s="96"/>
      <c r="M21" s="96"/>
      <c r="N21" s="96"/>
      <c r="O21" s="96"/>
      <c r="P21" s="96"/>
      <c r="Q21" s="96"/>
      <c r="R21" s="97"/>
    </row>
    <row r="22" spans="1:18" ht="41.45" customHeight="1" x14ac:dyDescent="0.25">
      <c r="A22" s="19"/>
      <c r="B22" s="3"/>
      <c r="C22" s="22"/>
      <c r="D22" s="22"/>
      <c r="E22" s="21"/>
      <c r="F22" s="21"/>
      <c r="G22" s="21"/>
      <c r="H22" s="21"/>
      <c r="I22" s="21"/>
      <c r="J22" s="21"/>
      <c r="K22" s="21"/>
      <c r="L22" s="96"/>
      <c r="M22" s="96"/>
      <c r="N22" s="96"/>
      <c r="O22" s="96"/>
      <c r="P22" s="96"/>
      <c r="Q22" s="96"/>
      <c r="R22" s="97"/>
    </row>
    <row r="23" spans="1:18" ht="41.45" customHeight="1" x14ac:dyDescent="0.25">
      <c r="A23" s="19"/>
      <c r="B23" s="3"/>
      <c r="C23" s="22"/>
      <c r="D23" s="22"/>
      <c r="E23" s="21"/>
      <c r="F23" s="21"/>
      <c r="G23" s="21"/>
      <c r="H23" s="21"/>
      <c r="I23" s="21"/>
      <c r="J23" s="21"/>
      <c r="K23" s="21"/>
      <c r="L23" s="96"/>
      <c r="M23" s="96"/>
      <c r="N23" s="96"/>
      <c r="O23" s="96"/>
      <c r="P23" s="96"/>
      <c r="Q23" s="96"/>
      <c r="R23" s="97"/>
    </row>
    <row r="24" spans="1:18" ht="41.45" customHeight="1" x14ac:dyDescent="0.25">
      <c r="A24" s="19"/>
      <c r="B24" s="3"/>
      <c r="C24" s="22"/>
      <c r="D24" s="22"/>
      <c r="E24" s="21"/>
      <c r="F24" s="21"/>
      <c r="G24" s="21"/>
      <c r="H24" s="21"/>
      <c r="I24" s="21"/>
      <c r="J24" s="21"/>
      <c r="K24" s="21"/>
      <c r="L24" s="96"/>
      <c r="M24" s="96"/>
      <c r="N24" s="96"/>
      <c r="O24" s="96"/>
      <c r="P24" s="96"/>
      <c r="Q24" s="96"/>
      <c r="R24" s="97"/>
    </row>
    <row r="25" spans="1:18" ht="41.45" customHeight="1" x14ac:dyDescent="0.25">
      <c r="A25" s="19"/>
      <c r="B25" s="3"/>
      <c r="C25" s="22"/>
      <c r="D25" s="22"/>
      <c r="E25" s="21"/>
      <c r="F25" s="21"/>
      <c r="G25" s="21"/>
      <c r="H25" s="21"/>
      <c r="I25" s="21"/>
      <c r="J25" s="21"/>
      <c r="K25" s="21"/>
      <c r="L25" s="96"/>
      <c r="M25" s="96"/>
      <c r="N25" s="96"/>
      <c r="O25" s="96"/>
      <c r="P25" s="96"/>
      <c r="Q25" s="96"/>
      <c r="R25" s="97"/>
    </row>
    <row r="26" spans="1:18" ht="41.45" customHeight="1" x14ac:dyDescent="0.25">
      <c r="A26" s="19"/>
      <c r="B26" s="3"/>
      <c r="C26" s="22"/>
      <c r="D26" s="22"/>
      <c r="E26" s="21"/>
      <c r="F26" s="21"/>
      <c r="G26" s="21"/>
      <c r="H26" s="21"/>
      <c r="I26" s="21"/>
      <c r="J26" s="21"/>
      <c r="K26" s="21"/>
      <c r="L26" s="96"/>
      <c r="M26" s="96"/>
      <c r="N26" s="96"/>
      <c r="O26" s="96"/>
      <c r="P26" s="96"/>
      <c r="Q26" s="96"/>
      <c r="R26" s="97"/>
    </row>
    <row r="27" spans="1:18" ht="41.45" customHeight="1" x14ac:dyDescent="0.25">
      <c r="A27" s="19"/>
      <c r="B27" s="3"/>
      <c r="C27" s="22"/>
      <c r="D27" s="22"/>
      <c r="E27" s="21"/>
      <c r="F27" s="21"/>
      <c r="G27" s="21"/>
      <c r="H27" s="21"/>
      <c r="I27" s="21"/>
      <c r="J27" s="21"/>
      <c r="K27" s="21"/>
      <c r="L27" s="96"/>
      <c r="M27" s="96"/>
      <c r="N27" s="96"/>
      <c r="O27" s="96"/>
      <c r="P27" s="96"/>
      <c r="Q27" s="96"/>
      <c r="R27" s="97"/>
    </row>
    <row r="28" spans="1:18" ht="41.45" customHeight="1" x14ac:dyDescent="0.25">
      <c r="A28" s="19"/>
      <c r="B28" s="3"/>
      <c r="C28" s="22"/>
      <c r="D28" s="22"/>
      <c r="E28" s="21"/>
      <c r="F28" s="21"/>
      <c r="G28" s="21"/>
      <c r="H28" s="21"/>
      <c r="I28" s="21"/>
      <c r="J28" s="21"/>
      <c r="K28" s="21"/>
      <c r="L28" s="96"/>
      <c r="M28" s="96"/>
      <c r="N28" s="96"/>
      <c r="O28" s="96"/>
      <c r="P28" s="96"/>
      <c r="Q28" s="96"/>
      <c r="R28" s="97"/>
    </row>
    <row r="29" spans="1:18" ht="41.45" customHeight="1" x14ac:dyDescent="0.25">
      <c r="A29" s="19"/>
      <c r="B29" s="3"/>
      <c r="C29" s="22"/>
      <c r="D29" s="22"/>
      <c r="E29" s="21"/>
      <c r="F29" s="21"/>
      <c r="G29" s="21"/>
      <c r="H29" s="21"/>
      <c r="I29" s="21"/>
      <c r="J29" s="21"/>
      <c r="K29" s="21"/>
      <c r="L29" s="96"/>
      <c r="M29" s="96"/>
      <c r="N29" s="96"/>
      <c r="O29" s="96"/>
      <c r="P29" s="96"/>
      <c r="Q29" s="96"/>
      <c r="R29" s="97"/>
    </row>
    <row r="30" spans="1:18" ht="41.45" customHeight="1" x14ac:dyDescent="0.25">
      <c r="A30" s="19"/>
      <c r="B30" s="3"/>
      <c r="C30" s="22"/>
      <c r="D30" s="22"/>
      <c r="E30" s="21"/>
      <c r="F30" s="21"/>
      <c r="G30" s="21"/>
      <c r="H30" s="21"/>
      <c r="I30" s="21"/>
      <c r="J30" s="21"/>
      <c r="K30" s="21"/>
      <c r="L30" s="96"/>
      <c r="M30" s="96"/>
      <c r="N30" s="96"/>
      <c r="O30" s="96"/>
      <c r="P30" s="96"/>
      <c r="Q30" s="96"/>
      <c r="R30" s="97"/>
    </row>
    <row r="31" spans="1:18" ht="41.45" customHeight="1" x14ac:dyDescent="0.25">
      <c r="A31" s="19"/>
      <c r="B31" s="3"/>
      <c r="C31" s="22"/>
      <c r="D31" s="22"/>
      <c r="E31" s="21"/>
      <c r="F31" s="21"/>
      <c r="G31" s="21"/>
      <c r="H31" s="21"/>
      <c r="I31" s="21"/>
      <c r="J31" s="21"/>
      <c r="K31" s="21"/>
      <c r="L31" s="96"/>
      <c r="M31" s="96"/>
      <c r="N31" s="96"/>
      <c r="O31" s="96"/>
      <c r="P31" s="96"/>
      <c r="Q31" s="96"/>
      <c r="R31" s="97"/>
    </row>
    <row r="32" spans="1:18" ht="41.45" customHeight="1" x14ac:dyDescent="0.25">
      <c r="A32" s="19"/>
      <c r="B32" s="3"/>
      <c r="C32" s="22"/>
      <c r="D32" s="22"/>
      <c r="E32" s="21"/>
      <c r="F32" s="21"/>
      <c r="G32" s="21"/>
      <c r="H32" s="21"/>
      <c r="I32" s="21"/>
      <c r="J32" s="21"/>
      <c r="K32" s="21"/>
      <c r="L32" s="96"/>
      <c r="M32" s="96"/>
      <c r="N32" s="96"/>
      <c r="O32" s="96"/>
      <c r="P32" s="96"/>
      <c r="Q32" s="96"/>
      <c r="R32" s="97"/>
    </row>
    <row r="33" spans="1:18" ht="41.45" customHeight="1" x14ac:dyDescent="0.25">
      <c r="A33" s="19"/>
      <c r="B33" s="3"/>
      <c r="C33" s="22"/>
      <c r="D33" s="22"/>
      <c r="E33" s="21"/>
      <c r="F33" s="21"/>
      <c r="G33" s="21"/>
      <c r="H33" s="21"/>
      <c r="I33" s="21"/>
      <c r="J33" s="21"/>
      <c r="K33" s="21"/>
      <c r="L33" s="96"/>
      <c r="M33" s="96"/>
      <c r="N33" s="96"/>
      <c r="O33" s="96"/>
      <c r="P33" s="96"/>
      <c r="Q33" s="96"/>
      <c r="R33" s="97"/>
    </row>
    <row r="34" spans="1:18" ht="41.45" customHeight="1" x14ac:dyDescent="0.25">
      <c r="A34" s="19"/>
      <c r="B34" s="3"/>
      <c r="C34" s="22"/>
      <c r="D34" s="22"/>
      <c r="E34" s="21"/>
      <c r="F34" s="21"/>
      <c r="G34" s="21"/>
      <c r="H34" s="21"/>
      <c r="I34" s="21"/>
      <c r="J34" s="21"/>
      <c r="K34" s="21"/>
      <c r="L34" s="96"/>
      <c r="M34" s="96"/>
      <c r="N34" s="96"/>
      <c r="O34" s="96"/>
      <c r="P34" s="96"/>
      <c r="Q34" s="96"/>
      <c r="R34" s="97"/>
    </row>
    <row r="35" spans="1:18" ht="41.45" customHeight="1" thickBot="1" x14ac:dyDescent="0.3">
      <c r="A35" s="20"/>
      <c r="B35" s="4"/>
      <c r="C35" s="23"/>
      <c r="D35" s="23"/>
      <c r="E35" s="24"/>
      <c r="F35" s="24"/>
      <c r="G35" s="24"/>
      <c r="H35" s="24"/>
      <c r="I35" s="24"/>
      <c r="J35" s="24"/>
      <c r="K35" s="24"/>
      <c r="L35" s="94"/>
      <c r="M35" s="94"/>
      <c r="N35" s="94"/>
      <c r="O35" s="94"/>
      <c r="P35" s="94"/>
      <c r="Q35" s="94"/>
      <c r="R35" s="95"/>
    </row>
    <row r="36" spans="1:18" ht="41.45" customHeight="1" x14ac:dyDescent="0.25">
      <c r="A36" s="33"/>
      <c r="B36" s="33"/>
      <c r="C36" s="34"/>
      <c r="D36" s="34"/>
      <c r="E36" s="34">
        <f>IF(E7="X",(D7-C7),"0")</f>
        <v>1</v>
      </c>
      <c r="F36" s="34" t="str">
        <f>IF(F7="X",(D7-C7),"0")</f>
        <v>0</v>
      </c>
      <c r="G36" s="34" t="str">
        <f>IF(G7="X",(D7-C7),"0")</f>
        <v>0</v>
      </c>
      <c r="H36" s="34" t="str">
        <f>IF(H7="X",(D7-C7),"0")</f>
        <v>0</v>
      </c>
      <c r="I36" s="34">
        <f>IF(I7="X",(D7-C7),"0")</f>
        <v>1</v>
      </c>
      <c r="J36" s="34" t="str">
        <f>IF(J7="X",(D7-C7),"0")</f>
        <v>0</v>
      </c>
      <c r="K36" s="34" t="str">
        <f>IF(K7="X",(D7-C7),"0")</f>
        <v>0</v>
      </c>
      <c r="L36" s="93"/>
      <c r="M36" s="93"/>
      <c r="N36" s="93"/>
      <c r="O36" s="93"/>
      <c r="P36" s="93"/>
      <c r="Q36" s="93"/>
      <c r="R36" s="93"/>
    </row>
    <row r="37" spans="1:18" ht="41.45" customHeight="1" x14ac:dyDescent="0.25">
      <c r="C37" s="35"/>
      <c r="D37" s="35"/>
      <c r="E37" s="35">
        <f t="shared" ref="E37:E61" si="0">IF(E8="X",(D8-C8),"0")</f>
        <v>1</v>
      </c>
      <c r="F37" s="35" t="str">
        <f t="shared" ref="F37:F61" si="1">IF(F8="X",(D8-C8),"0")</f>
        <v>0</v>
      </c>
      <c r="G37" s="35" t="str">
        <f t="shared" ref="G37:G61" si="2">IF(G8="X",(D8-C8),"0")</f>
        <v>0</v>
      </c>
      <c r="H37" s="35" t="str">
        <f t="shared" ref="H37:H61" si="3">IF(H8="X",(D8-C8),"0")</f>
        <v>0</v>
      </c>
      <c r="I37" s="35" t="str">
        <f t="shared" ref="I37:I61" si="4">IF(I8="X",(D8-C8),"0")</f>
        <v>0</v>
      </c>
      <c r="J37" s="35">
        <f t="shared" ref="J37:J61" si="5">IF(J8="X",(D8-C8),"0")</f>
        <v>1</v>
      </c>
      <c r="K37" s="35" t="str">
        <f t="shared" ref="K37:K61" si="6">IF(K8="X",(D8-C8),"0")</f>
        <v>0</v>
      </c>
      <c r="L37" s="92"/>
      <c r="M37" s="92"/>
      <c r="N37" s="92"/>
      <c r="O37" s="92"/>
      <c r="P37" s="92"/>
      <c r="Q37" s="92"/>
      <c r="R37" s="92"/>
    </row>
    <row r="38" spans="1:18" ht="41.45" customHeight="1" x14ac:dyDescent="0.25">
      <c r="C38" s="35"/>
      <c r="D38" s="35"/>
      <c r="E38" s="35">
        <f t="shared" si="0"/>
        <v>1</v>
      </c>
      <c r="F38" s="35" t="str">
        <f t="shared" si="1"/>
        <v>0</v>
      </c>
      <c r="G38" s="35" t="str">
        <f t="shared" si="2"/>
        <v>0</v>
      </c>
      <c r="H38" s="35" t="str">
        <f t="shared" si="3"/>
        <v>0</v>
      </c>
      <c r="I38" s="35" t="str">
        <f t="shared" si="4"/>
        <v>0</v>
      </c>
      <c r="J38" s="35" t="str">
        <f t="shared" si="5"/>
        <v>0</v>
      </c>
      <c r="K38" s="35" t="str">
        <f t="shared" si="6"/>
        <v>0</v>
      </c>
      <c r="L38" s="92"/>
      <c r="M38" s="92"/>
      <c r="N38" s="92"/>
      <c r="O38" s="92"/>
      <c r="P38" s="92"/>
      <c r="Q38" s="92"/>
      <c r="R38" s="92"/>
    </row>
    <row r="39" spans="1:18" ht="41.45" customHeight="1" x14ac:dyDescent="0.25">
      <c r="C39" s="35"/>
      <c r="D39" s="35"/>
      <c r="E39" s="35">
        <f t="shared" si="0"/>
        <v>1</v>
      </c>
      <c r="F39" s="35" t="str">
        <f t="shared" si="1"/>
        <v>0</v>
      </c>
      <c r="G39" s="35" t="str">
        <f t="shared" si="2"/>
        <v>0</v>
      </c>
      <c r="H39" s="35" t="str">
        <f t="shared" si="3"/>
        <v>0</v>
      </c>
      <c r="I39" s="35" t="str">
        <f t="shared" si="4"/>
        <v>0</v>
      </c>
      <c r="J39" s="35" t="str">
        <f t="shared" si="5"/>
        <v>0</v>
      </c>
      <c r="K39" s="35">
        <f t="shared" si="6"/>
        <v>1</v>
      </c>
      <c r="L39" s="92"/>
      <c r="M39" s="92"/>
      <c r="N39" s="92"/>
      <c r="O39" s="92"/>
      <c r="P39" s="92"/>
      <c r="Q39" s="92"/>
      <c r="R39" s="92"/>
    </row>
    <row r="40" spans="1:18" ht="41.45" customHeight="1" x14ac:dyDescent="0.25">
      <c r="C40" s="35"/>
      <c r="D40" s="35"/>
      <c r="E40" s="35">
        <f t="shared" si="0"/>
        <v>1</v>
      </c>
      <c r="F40" s="35" t="str">
        <f t="shared" si="1"/>
        <v>0</v>
      </c>
      <c r="G40" s="35" t="str">
        <f t="shared" si="2"/>
        <v>0</v>
      </c>
      <c r="H40" s="35" t="str">
        <f t="shared" si="3"/>
        <v>0</v>
      </c>
      <c r="I40" s="35" t="str">
        <f t="shared" si="4"/>
        <v>0</v>
      </c>
      <c r="J40" s="35" t="str">
        <f t="shared" si="5"/>
        <v>0</v>
      </c>
      <c r="K40" s="35" t="str">
        <f t="shared" si="6"/>
        <v>0</v>
      </c>
      <c r="L40" s="92"/>
      <c r="M40" s="92"/>
      <c r="N40" s="92"/>
      <c r="O40" s="92"/>
      <c r="P40" s="92"/>
      <c r="Q40" s="92"/>
      <c r="R40" s="92"/>
    </row>
    <row r="41" spans="1:18" ht="41.45" customHeight="1" x14ac:dyDescent="0.25">
      <c r="C41" s="35"/>
      <c r="D41" s="35"/>
      <c r="E41" s="35">
        <f t="shared" si="0"/>
        <v>51.72</v>
      </c>
      <c r="F41" s="35" t="str">
        <f t="shared" si="1"/>
        <v>0</v>
      </c>
      <c r="G41" s="35" t="str">
        <f t="shared" si="2"/>
        <v>0</v>
      </c>
      <c r="H41" s="35" t="str">
        <f t="shared" si="3"/>
        <v>0</v>
      </c>
      <c r="I41" s="35" t="str">
        <f t="shared" si="4"/>
        <v>0</v>
      </c>
      <c r="J41" s="35" t="str">
        <f t="shared" si="5"/>
        <v>0</v>
      </c>
      <c r="K41" s="35" t="str">
        <f t="shared" si="6"/>
        <v>0</v>
      </c>
      <c r="L41" s="92"/>
      <c r="M41" s="92"/>
      <c r="N41" s="92"/>
      <c r="O41" s="92"/>
      <c r="P41" s="92"/>
      <c r="Q41" s="92"/>
      <c r="R41" s="92"/>
    </row>
    <row r="42" spans="1:18" ht="41.45" customHeight="1" x14ac:dyDescent="0.25">
      <c r="C42" s="35"/>
      <c r="D42" s="35"/>
      <c r="E42" s="35" t="str">
        <f t="shared" si="0"/>
        <v>0</v>
      </c>
      <c r="F42" s="35" t="str">
        <f t="shared" si="1"/>
        <v>0</v>
      </c>
      <c r="G42" s="35" t="str">
        <f t="shared" si="2"/>
        <v>0</v>
      </c>
      <c r="H42" s="35" t="str">
        <f t="shared" si="3"/>
        <v>0</v>
      </c>
      <c r="I42" s="35" t="str">
        <f t="shared" si="4"/>
        <v>0</v>
      </c>
      <c r="J42" s="35" t="str">
        <f t="shared" si="5"/>
        <v>0</v>
      </c>
      <c r="K42" s="35" t="str">
        <f t="shared" si="6"/>
        <v>0</v>
      </c>
      <c r="L42" s="92"/>
      <c r="M42" s="92"/>
      <c r="N42" s="92"/>
      <c r="O42" s="92"/>
      <c r="P42" s="92"/>
      <c r="Q42" s="92"/>
      <c r="R42" s="92"/>
    </row>
    <row r="43" spans="1:18" ht="41.45" customHeight="1" x14ac:dyDescent="0.25">
      <c r="C43" s="35"/>
      <c r="D43" s="35"/>
      <c r="E43" s="35" t="str">
        <f t="shared" si="0"/>
        <v>0</v>
      </c>
      <c r="F43" s="35" t="str">
        <f t="shared" si="1"/>
        <v>0</v>
      </c>
      <c r="G43" s="35" t="str">
        <f t="shared" si="2"/>
        <v>0</v>
      </c>
      <c r="H43" s="35" t="str">
        <f t="shared" si="3"/>
        <v>0</v>
      </c>
      <c r="I43" s="35" t="str">
        <f t="shared" si="4"/>
        <v>0</v>
      </c>
      <c r="J43" s="35" t="str">
        <f t="shared" si="5"/>
        <v>0</v>
      </c>
      <c r="K43" s="35" t="str">
        <f t="shared" si="6"/>
        <v>0</v>
      </c>
      <c r="L43" s="92"/>
      <c r="M43" s="92"/>
      <c r="N43" s="92"/>
      <c r="O43" s="92"/>
      <c r="P43" s="92"/>
      <c r="Q43" s="92"/>
      <c r="R43" s="92"/>
    </row>
    <row r="44" spans="1:18" ht="41.45" customHeight="1" x14ac:dyDescent="0.25">
      <c r="C44" s="35"/>
      <c r="D44" s="35"/>
      <c r="E44" s="35" t="str">
        <f t="shared" si="0"/>
        <v>0</v>
      </c>
      <c r="F44" s="35" t="str">
        <f t="shared" si="1"/>
        <v>0</v>
      </c>
      <c r="G44" s="35" t="str">
        <f t="shared" si="2"/>
        <v>0</v>
      </c>
      <c r="H44" s="35" t="str">
        <f t="shared" si="3"/>
        <v>0</v>
      </c>
      <c r="I44" s="35" t="str">
        <f t="shared" si="4"/>
        <v>0</v>
      </c>
      <c r="J44" s="35" t="str">
        <f t="shared" si="5"/>
        <v>0</v>
      </c>
      <c r="K44" s="35" t="str">
        <f t="shared" si="6"/>
        <v>0</v>
      </c>
      <c r="L44" s="92"/>
      <c r="M44" s="92"/>
      <c r="N44" s="92"/>
      <c r="O44" s="92"/>
      <c r="P44" s="92"/>
      <c r="Q44" s="92"/>
      <c r="R44" s="92"/>
    </row>
    <row r="45" spans="1:18" ht="41.45" customHeight="1" x14ac:dyDescent="0.25">
      <c r="C45" s="35"/>
      <c r="D45" s="35"/>
      <c r="E45" s="35" t="str">
        <f t="shared" si="0"/>
        <v>0</v>
      </c>
      <c r="F45" s="35" t="str">
        <f t="shared" si="1"/>
        <v>0</v>
      </c>
      <c r="G45" s="35" t="str">
        <f t="shared" si="2"/>
        <v>0</v>
      </c>
      <c r="H45" s="35" t="str">
        <f t="shared" si="3"/>
        <v>0</v>
      </c>
      <c r="I45" s="35" t="str">
        <f t="shared" si="4"/>
        <v>0</v>
      </c>
      <c r="J45" s="35" t="str">
        <f t="shared" si="5"/>
        <v>0</v>
      </c>
      <c r="K45" s="35" t="str">
        <f t="shared" si="6"/>
        <v>0</v>
      </c>
      <c r="L45" s="92"/>
      <c r="M45" s="92"/>
      <c r="N45" s="92"/>
      <c r="O45" s="92"/>
      <c r="P45" s="92"/>
      <c r="Q45" s="92"/>
      <c r="R45" s="92"/>
    </row>
    <row r="46" spans="1:18" ht="41.45" customHeight="1" x14ac:dyDescent="0.25">
      <c r="C46" s="35"/>
      <c r="D46" s="35"/>
      <c r="E46" s="35" t="str">
        <f t="shared" si="0"/>
        <v>0</v>
      </c>
      <c r="F46" s="35" t="str">
        <f t="shared" si="1"/>
        <v>0</v>
      </c>
      <c r="G46" s="35" t="str">
        <f t="shared" si="2"/>
        <v>0</v>
      </c>
      <c r="H46" s="35" t="str">
        <f t="shared" si="3"/>
        <v>0</v>
      </c>
      <c r="I46" s="35" t="str">
        <f t="shared" si="4"/>
        <v>0</v>
      </c>
      <c r="J46" s="35" t="str">
        <f t="shared" si="5"/>
        <v>0</v>
      </c>
      <c r="K46" s="35" t="str">
        <f t="shared" si="6"/>
        <v>0</v>
      </c>
      <c r="L46" s="92"/>
      <c r="M46" s="92"/>
      <c r="N46" s="92"/>
      <c r="O46" s="92"/>
      <c r="P46" s="92"/>
      <c r="Q46" s="92"/>
      <c r="R46" s="92"/>
    </row>
    <row r="47" spans="1:18" ht="41.45" customHeight="1" x14ac:dyDescent="0.25">
      <c r="C47" s="35"/>
      <c r="D47" s="35"/>
      <c r="E47" s="35" t="str">
        <f t="shared" si="0"/>
        <v>0</v>
      </c>
      <c r="F47" s="35" t="str">
        <f t="shared" si="1"/>
        <v>0</v>
      </c>
      <c r="G47" s="35" t="str">
        <f t="shared" si="2"/>
        <v>0</v>
      </c>
      <c r="H47" s="35" t="str">
        <f t="shared" si="3"/>
        <v>0</v>
      </c>
      <c r="I47" s="35" t="str">
        <f t="shared" si="4"/>
        <v>0</v>
      </c>
      <c r="J47" s="35" t="str">
        <f t="shared" si="5"/>
        <v>0</v>
      </c>
      <c r="K47" s="35" t="str">
        <f t="shared" si="6"/>
        <v>0</v>
      </c>
      <c r="L47" s="92"/>
      <c r="M47" s="92"/>
      <c r="N47" s="92"/>
      <c r="O47" s="92"/>
      <c r="P47" s="92"/>
      <c r="Q47" s="92"/>
      <c r="R47" s="92"/>
    </row>
    <row r="48" spans="1:18" ht="41.45" customHeight="1" x14ac:dyDescent="0.25">
      <c r="C48" s="35"/>
      <c r="D48" s="35"/>
      <c r="E48" s="35" t="str">
        <f t="shared" si="0"/>
        <v>0</v>
      </c>
      <c r="F48" s="35" t="str">
        <f t="shared" si="1"/>
        <v>0</v>
      </c>
      <c r="G48" s="35" t="str">
        <f t="shared" si="2"/>
        <v>0</v>
      </c>
      <c r="H48" s="35" t="str">
        <f t="shared" si="3"/>
        <v>0</v>
      </c>
      <c r="I48" s="35" t="str">
        <f t="shared" si="4"/>
        <v>0</v>
      </c>
      <c r="J48" s="35" t="str">
        <f t="shared" si="5"/>
        <v>0</v>
      </c>
      <c r="K48" s="35" t="str">
        <f t="shared" si="6"/>
        <v>0</v>
      </c>
      <c r="L48" s="92"/>
      <c r="M48" s="92"/>
      <c r="N48" s="92"/>
      <c r="O48" s="92"/>
      <c r="P48" s="92"/>
      <c r="Q48" s="92"/>
      <c r="R48" s="92"/>
    </row>
    <row r="49" spans="3:18" ht="41.45" customHeight="1" x14ac:dyDescent="0.25">
      <c r="C49" s="35"/>
      <c r="D49" s="35"/>
      <c r="E49" s="35" t="str">
        <f t="shared" si="0"/>
        <v>0</v>
      </c>
      <c r="F49" s="35" t="str">
        <f t="shared" si="1"/>
        <v>0</v>
      </c>
      <c r="G49" s="35" t="str">
        <f t="shared" si="2"/>
        <v>0</v>
      </c>
      <c r="H49" s="35" t="str">
        <f t="shared" si="3"/>
        <v>0</v>
      </c>
      <c r="I49" s="35" t="str">
        <f t="shared" si="4"/>
        <v>0</v>
      </c>
      <c r="J49" s="35" t="str">
        <f t="shared" si="5"/>
        <v>0</v>
      </c>
      <c r="K49" s="35" t="str">
        <f t="shared" si="6"/>
        <v>0</v>
      </c>
      <c r="L49" s="92"/>
      <c r="M49" s="92"/>
      <c r="N49" s="92"/>
      <c r="O49" s="92"/>
      <c r="P49" s="92"/>
      <c r="Q49" s="92"/>
      <c r="R49" s="92"/>
    </row>
    <row r="50" spans="3:18" ht="41.45" customHeight="1" x14ac:dyDescent="0.25">
      <c r="C50" s="35"/>
      <c r="D50" s="35"/>
      <c r="E50" s="35" t="str">
        <f t="shared" si="0"/>
        <v>0</v>
      </c>
      <c r="F50" s="35" t="str">
        <f t="shared" si="1"/>
        <v>0</v>
      </c>
      <c r="G50" s="35" t="str">
        <f t="shared" si="2"/>
        <v>0</v>
      </c>
      <c r="H50" s="35" t="str">
        <f t="shared" si="3"/>
        <v>0</v>
      </c>
      <c r="I50" s="35" t="str">
        <f t="shared" si="4"/>
        <v>0</v>
      </c>
      <c r="J50" s="35" t="str">
        <f t="shared" si="5"/>
        <v>0</v>
      </c>
      <c r="K50" s="35" t="str">
        <f t="shared" si="6"/>
        <v>0</v>
      </c>
      <c r="L50" s="92"/>
      <c r="M50" s="92"/>
      <c r="N50" s="92"/>
      <c r="O50" s="92"/>
      <c r="P50" s="92"/>
      <c r="Q50" s="92"/>
      <c r="R50" s="92"/>
    </row>
    <row r="51" spans="3:18" ht="41.45" customHeight="1" x14ac:dyDescent="0.25">
      <c r="C51" s="35"/>
      <c r="D51" s="35"/>
      <c r="E51" s="35" t="str">
        <f t="shared" si="0"/>
        <v>0</v>
      </c>
      <c r="F51" s="35" t="str">
        <f t="shared" si="1"/>
        <v>0</v>
      </c>
      <c r="G51" s="35" t="str">
        <f t="shared" si="2"/>
        <v>0</v>
      </c>
      <c r="H51" s="35" t="str">
        <f t="shared" si="3"/>
        <v>0</v>
      </c>
      <c r="I51" s="35" t="str">
        <f t="shared" si="4"/>
        <v>0</v>
      </c>
      <c r="J51" s="35" t="str">
        <f t="shared" si="5"/>
        <v>0</v>
      </c>
      <c r="K51" s="35" t="str">
        <f t="shared" si="6"/>
        <v>0</v>
      </c>
      <c r="L51" s="92"/>
      <c r="M51" s="92"/>
      <c r="N51" s="92"/>
      <c r="O51" s="92"/>
      <c r="P51" s="92"/>
      <c r="Q51" s="92"/>
      <c r="R51" s="92"/>
    </row>
    <row r="52" spans="3:18" ht="41.45" customHeight="1" x14ac:dyDescent="0.25">
      <c r="C52" s="35"/>
      <c r="D52" s="35"/>
      <c r="E52" s="35" t="str">
        <f t="shared" si="0"/>
        <v>0</v>
      </c>
      <c r="F52" s="35" t="str">
        <f t="shared" si="1"/>
        <v>0</v>
      </c>
      <c r="G52" s="35" t="str">
        <f t="shared" si="2"/>
        <v>0</v>
      </c>
      <c r="H52" s="35" t="str">
        <f t="shared" si="3"/>
        <v>0</v>
      </c>
      <c r="I52" s="35" t="str">
        <f t="shared" si="4"/>
        <v>0</v>
      </c>
      <c r="J52" s="35" t="str">
        <f t="shared" si="5"/>
        <v>0</v>
      </c>
      <c r="K52" s="35" t="str">
        <f t="shared" si="6"/>
        <v>0</v>
      </c>
      <c r="L52" s="92"/>
      <c r="M52" s="92"/>
      <c r="N52" s="92"/>
      <c r="O52" s="92"/>
      <c r="P52" s="92"/>
      <c r="Q52" s="92"/>
      <c r="R52" s="92"/>
    </row>
    <row r="53" spans="3:18" ht="41.45" customHeight="1" x14ac:dyDescent="0.25">
      <c r="C53" s="35"/>
      <c r="D53" s="35"/>
      <c r="E53" s="35" t="str">
        <f t="shared" si="0"/>
        <v>0</v>
      </c>
      <c r="F53" s="35" t="str">
        <f t="shared" si="1"/>
        <v>0</v>
      </c>
      <c r="G53" s="35" t="str">
        <f t="shared" si="2"/>
        <v>0</v>
      </c>
      <c r="H53" s="35" t="str">
        <f t="shared" si="3"/>
        <v>0</v>
      </c>
      <c r="I53" s="35" t="str">
        <f t="shared" si="4"/>
        <v>0</v>
      </c>
      <c r="J53" s="35" t="str">
        <f t="shared" si="5"/>
        <v>0</v>
      </c>
      <c r="K53" s="35" t="str">
        <f t="shared" si="6"/>
        <v>0</v>
      </c>
      <c r="L53" s="92"/>
      <c r="M53" s="92"/>
      <c r="N53" s="92"/>
      <c r="O53" s="92"/>
      <c r="P53" s="92"/>
      <c r="Q53" s="92"/>
      <c r="R53" s="92"/>
    </row>
    <row r="54" spans="3:18" ht="41.45" customHeight="1" x14ac:dyDescent="0.25">
      <c r="C54" s="35"/>
      <c r="D54" s="35"/>
      <c r="E54" s="35" t="str">
        <f t="shared" si="0"/>
        <v>0</v>
      </c>
      <c r="F54" s="35" t="str">
        <f t="shared" si="1"/>
        <v>0</v>
      </c>
      <c r="G54" s="35" t="str">
        <f t="shared" si="2"/>
        <v>0</v>
      </c>
      <c r="H54" s="35" t="str">
        <f t="shared" si="3"/>
        <v>0</v>
      </c>
      <c r="I54" s="35" t="str">
        <f t="shared" si="4"/>
        <v>0</v>
      </c>
      <c r="J54" s="35" t="str">
        <f t="shared" si="5"/>
        <v>0</v>
      </c>
      <c r="K54" s="35" t="str">
        <f t="shared" si="6"/>
        <v>0</v>
      </c>
      <c r="L54" s="92"/>
      <c r="M54" s="92"/>
      <c r="N54" s="92"/>
      <c r="O54" s="92"/>
      <c r="P54" s="92"/>
      <c r="Q54" s="92"/>
      <c r="R54" s="92"/>
    </row>
    <row r="55" spans="3:18" ht="41.45" customHeight="1" x14ac:dyDescent="0.25">
      <c r="C55" s="35"/>
      <c r="D55" s="35"/>
      <c r="E55" s="35" t="str">
        <f t="shared" si="0"/>
        <v>0</v>
      </c>
      <c r="F55" s="35" t="str">
        <f t="shared" si="1"/>
        <v>0</v>
      </c>
      <c r="G55" s="35" t="str">
        <f t="shared" si="2"/>
        <v>0</v>
      </c>
      <c r="H55" s="35" t="str">
        <f t="shared" si="3"/>
        <v>0</v>
      </c>
      <c r="I55" s="35" t="str">
        <f t="shared" si="4"/>
        <v>0</v>
      </c>
      <c r="J55" s="35" t="str">
        <f t="shared" si="5"/>
        <v>0</v>
      </c>
      <c r="K55" s="35" t="str">
        <f t="shared" si="6"/>
        <v>0</v>
      </c>
      <c r="L55" s="92"/>
      <c r="M55" s="92"/>
      <c r="N55" s="92"/>
      <c r="O55" s="92"/>
      <c r="P55" s="92"/>
      <c r="Q55" s="92"/>
      <c r="R55" s="92"/>
    </row>
    <row r="56" spans="3:18" ht="41.45" customHeight="1" x14ac:dyDescent="0.25">
      <c r="C56" s="35"/>
      <c r="D56" s="35"/>
      <c r="E56" s="35" t="str">
        <f t="shared" si="0"/>
        <v>0</v>
      </c>
      <c r="F56" s="35" t="str">
        <f t="shared" si="1"/>
        <v>0</v>
      </c>
      <c r="G56" s="35" t="str">
        <f t="shared" si="2"/>
        <v>0</v>
      </c>
      <c r="H56" s="35" t="str">
        <f t="shared" si="3"/>
        <v>0</v>
      </c>
      <c r="I56" s="35" t="str">
        <f t="shared" si="4"/>
        <v>0</v>
      </c>
      <c r="J56" s="35" t="str">
        <f t="shared" si="5"/>
        <v>0</v>
      </c>
      <c r="K56" s="35" t="str">
        <f t="shared" si="6"/>
        <v>0</v>
      </c>
      <c r="L56" s="92"/>
      <c r="M56" s="92"/>
      <c r="N56" s="92"/>
      <c r="O56" s="92"/>
      <c r="P56" s="92"/>
      <c r="Q56" s="92"/>
      <c r="R56" s="92"/>
    </row>
    <row r="57" spans="3:18" ht="41.45" customHeight="1" x14ac:dyDescent="0.25">
      <c r="C57" s="35"/>
      <c r="D57" s="35"/>
      <c r="E57" s="35" t="str">
        <f t="shared" si="0"/>
        <v>0</v>
      </c>
      <c r="F57" s="35" t="str">
        <f t="shared" si="1"/>
        <v>0</v>
      </c>
      <c r="G57" s="35" t="str">
        <f t="shared" si="2"/>
        <v>0</v>
      </c>
      <c r="H57" s="35" t="str">
        <f t="shared" si="3"/>
        <v>0</v>
      </c>
      <c r="I57" s="35" t="str">
        <f t="shared" si="4"/>
        <v>0</v>
      </c>
      <c r="J57" s="35" t="str">
        <f t="shared" si="5"/>
        <v>0</v>
      </c>
      <c r="K57" s="35" t="str">
        <f t="shared" si="6"/>
        <v>0</v>
      </c>
      <c r="L57" s="92"/>
      <c r="M57" s="92"/>
      <c r="N57" s="92"/>
      <c r="O57" s="92"/>
      <c r="P57" s="92"/>
      <c r="Q57" s="92"/>
      <c r="R57" s="92"/>
    </row>
    <row r="58" spans="3:18" ht="41.45" customHeight="1" x14ac:dyDescent="0.25">
      <c r="C58" s="35"/>
      <c r="D58" s="35"/>
      <c r="E58" s="35" t="str">
        <f t="shared" si="0"/>
        <v>0</v>
      </c>
      <c r="F58" s="35" t="str">
        <f t="shared" si="1"/>
        <v>0</v>
      </c>
      <c r="G58" s="35" t="str">
        <f t="shared" si="2"/>
        <v>0</v>
      </c>
      <c r="H58" s="35" t="str">
        <f t="shared" si="3"/>
        <v>0</v>
      </c>
      <c r="I58" s="35" t="str">
        <f t="shared" si="4"/>
        <v>0</v>
      </c>
      <c r="J58" s="35" t="str">
        <f t="shared" si="5"/>
        <v>0</v>
      </c>
      <c r="K58" s="35" t="str">
        <f t="shared" si="6"/>
        <v>0</v>
      </c>
      <c r="L58" s="92"/>
      <c r="M58" s="92"/>
      <c r="N58" s="92"/>
      <c r="O58" s="92"/>
      <c r="P58" s="92"/>
      <c r="Q58" s="92"/>
      <c r="R58" s="92"/>
    </row>
    <row r="59" spans="3:18" ht="41.45" customHeight="1" x14ac:dyDescent="0.25">
      <c r="C59" s="35"/>
      <c r="D59" s="35"/>
      <c r="E59" s="35" t="str">
        <f t="shared" si="0"/>
        <v>0</v>
      </c>
      <c r="F59" s="35" t="str">
        <f t="shared" si="1"/>
        <v>0</v>
      </c>
      <c r="G59" s="35" t="str">
        <f t="shared" si="2"/>
        <v>0</v>
      </c>
      <c r="H59" s="35" t="str">
        <f t="shared" si="3"/>
        <v>0</v>
      </c>
      <c r="I59" s="35" t="str">
        <f t="shared" si="4"/>
        <v>0</v>
      </c>
      <c r="J59" s="35" t="str">
        <f t="shared" si="5"/>
        <v>0</v>
      </c>
      <c r="K59" s="35" t="str">
        <f t="shared" si="6"/>
        <v>0</v>
      </c>
      <c r="L59" s="92"/>
      <c r="M59" s="92"/>
      <c r="N59" s="92"/>
      <c r="O59" s="92"/>
      <c r="P59" s="92"/>
      <c r="Q59" s="92"/>
      <c r="R59" s="92"/>
    </row>
    <row r="60" spans="3:18" ht="41.45" customHeight="1" x14ac:dyDescent="0.25">
      <c r="C60" s="35"/>
      <c r="D60" s="35"/>
      <c r="E60" s="35" t="str">
        <f t="shared" si="0"/>
        <v>0</v>
      </c>
      <c r="F60" s="35" t="str">
        <f t="shared" si="1"/>
        <v>0</v>
      </c>
      <c r="G60" s="35" t="str">
        <f t="shared" si="2"/>
        <v>0</v>
      </c>
      <c r="H60" s="35" t="str">
        <f t="shared" si="3"/>
        <v>0</v>
      </c>
      <c r="I60" s="35" t="str">
        <f t="shared" si="4"/>
        <v>0</v>
      </c>
      <c r="J60" s="35" t="str">
        <f t="shared" si="5"/>
        <v>0</v>
      </c>
      <c r="K60" s="35" t="str">
        <f t="shared" si="6"/>
        <v>0</v>
      </c>
      <c r="L60" s="92"/>
      <c r="M60" s="92"/>
      <c r="N60" s="92"/>
      <c r="O60" s="92"/>
      <c r="P60" s="92"/>
      <c r="Q60" s="92"/>
      <c r="R60" s="92"/>
    </row>
    <row r="61" spans="3:18" ht="41.45" customHeight="1" x14ac:dyDescent="0.25">
      <c r="C61" s="35"/>
      <c r="D61" s="35"/>
      <c r="E61" s="35" t="str">
        <f t="shared" si="0"/>
        <v>0</v>
      </c>
      <c r="F61" s="35" t="str">
        <f t="shared" si="1"/>
        <v>0</v>
      </c>
      <c r="G61" s="35" t="str">
        <f t="shared" si="2"/>
        <v>0</v>
      </c>
      <c r="H61" s="35" t="str">
        <f t="shared" si="3"/>
        <v>0</v>
      </c>
      <c r="I61" s="35" t="str">
        <f t="shared" si="4"/>
        <v>0</v>
      </c>
      <c r="J61" s="35" t="str">
        <f t="shared" si="5"/>
        <v>0</v>
      </c>
      <c r="K61" s="35" t="str">
        <f t="shared" si="6"/>
        <v>0</v>
      </c>
      <c r="L61" s="92"/>
      <c r="M61" s="92"/>
      <c r="N61" s="92"/>
      <c r="O61" s="92"/>
      <c r="P61" s="92"/>
      <c r="Q61" s="92"/>
      <c r="R61" s="92"/>
    </row>
    <row r="62" spans="3:18" ht="41.45" customHeight="1" x14ac:dyDescent="0.25">
      <c r="C62" s="35"/>
      <c r="D62" s="35"/>
      <c r="E62" s="35">
        <f>SUM(E36:E61)</f>
        <v>56.72</v>
      </c>
      <c r="F62" s="35">
        <f t="shared" ref="F62:K62" si="7">SUM(F36:F61)</f>
        <v>0</v>
      </c>
      <c r="G62" s="35">
        <f t="shared" si="7"/>
        <v>0</v>
      </c>
      <c r="H62" s="35">
        <f t="shared" si="7"/>
        <v>0</v>
      </c>
      <c r="I62" s="35">
        <f t="shared" si="7"/>
        <v>1</v>
      </c>
      <c r="J62" s="35">
        <f t="shared" si="7"/>
        <v>1</v>
      </c>
      <c r="K62" s="35">
        <f t="shared" si="7"/>
        <v>1</v>
      </c>
      <c r="L62" s="92"/>
      <c r="M62" s="92"/>
      <c r="N62" s="92"/>
      <c r="O62" s="92"/>
      <c r="P62" s="92"/>
      <c r="Q62" s="92"/>
      <c r="R62" s="92"/>
    </row>
    <row r="63" spans="3:18" ht="41.45" customHeight="1" x14ac:dyDescent="0.25">
      <c r="C63" s="35"/>
      <c r="D63" s="35"/>
      <c r="E63" s="35"/>
      <c r="F63" s="31"/>
      <c r="G63" s="31"/>
      <c r="H63" s="31"/>
      <c r="I63" s="31"/>
      <c r="J63" s="31"/>
      <c r="K63" s="31"/>
      <c r="L63" s="92"/>
      <c r="M63" s="92"/>
      <c r="N63" s="92"/>
      <c r="O63" s="92"/>
      <c r="P63" s="92"/>
      <c r="Q63" s="92"/>
      <c r="R63" s="92"/>
    </row>
    <row r="64" spans="3:18" ht="41.45" customHeight="1" x14ac:dyDescent="0.25">
      <c r="C64" s="35"/>
      <c r="D64" s="35"/>
      <c r="E64" s="35"/>
      <c r="F64" s="31"/>
      <c r="G64" s="31"/>
      <c r="H64" s="31"/>
      <c r="I64" s="31"/>
      <c r="J64" s="31"/>
      <c r="K64" s="31"/>
      <c r="L64" s="92"/>
      <c r="M64" s="92"/>
      <c r="N64" s="92"/>
      <c r="O64" s="92"/>
      <c r="P64" s="92"/>
      <c r="Q64" s="92"/>
      <c r="R64" s="92"/>
    </row>
    <row r="65" spans="3:18" ht="41.45" customHeight="1" x14ac:dyDescent="0.25">
      <c r="C65" s="35"/>
      <c r="D65" s="35"/>
      <c r="E65" s="35"/>
      <c r="F65" s="31"/>
      <c r="G65" s="31"/>
      <c r="H65" s="31"/>
      <c r="I65" s="31"/>
      <c r="J65" s="31"/>
      <c r="K65" s="31"/>
      <c r="L65" s="92"/>
      <c r="M65" s="92"/>
      <c r="N65" s="92"/>
      <c r="O65" s="92"/>
      <c r="P65" s="92"/>
      <c r="Q65" s="92"/>
      <c r="R65" s="92"/>
    </row>
    <row r="66" spans="3:18" ht="41.45" customHeight="1" x14ac:dyDescent="0.25">
      <c r="C66" s="35"/>
      <c r="D66" s="35"/>
      <c r="E66" s="35"/>
      <c r="F66" s="31"/>
      <c r="G66" s="31"/>
      <c r="H66" s="31"/>
      <c r="I66" s="31"/>
      <c r="J66" s="31"/>
      <c r="K66" s="31"/>
      <c r="L66" s="92"/>
      <c r="M66" s="92"/>
      <c r="N66" s="92"/>
      <c r="O66" s="92"/>
      <c r="P66" s="92"/>
      <c r="Q66" s="92"/>
      <c r="R66" s="92"/>
    </row>
    <row r="67" spans="3:18" ht="41.45" customHeight="1" x14ac:dyDescent="0.25">
      <c r="C67" s="35"/>
      <c r="D67" s="35"/>
      <c r="E67" s="35"/>
      <c r="F67" s="31"/>
      <c r="G67" s="31"/>
      <c r="H67" s="31"/>
      <c r="I67" s="31"/>
      <c r="J67" s="31"/>
      <c r="K67" s="31"/>
      <c r="L67" s="92"/>
      <c r="M67" s="92"/>
      <c r="N67" s="92"/>
      <c r="O67" s="92"/>
      <c r="P67" s="92"/>
      <c r="Q67" s="92"/>
      <c r="R67" s="92"/>
    </row>
    <row r="68" spans="3:18" ht="41.45" customHeight="1" x14ac:dyDescent="0.25">
      <c r="C68" s="35"/>
      <c r="D68" s="35"/>
      <c r="E68" s="35"/>
      <c r="F68" s="31"/>
      <c r="G68" s="31"/>
      <c r="H68" s="31"/>
      <c r="I68" s="31"/>
      <c r="J68" s="31"/>
      <c r="K68" s="31"/>
      <c r="L68" s="92"/>
      <c r="M68" s="92"/>
      <c r="N68" s="92"/>
      <c r="O68" s="92"/>
      <c r="P68" s="92"/>
      <c r="Q68" s="92"/>
      <c r="R68" s="92"/>
    </row>
  </sheetData>
  <mergeCells count="73">
    <mergeCell ref="A5:A6"/>
    <mergeCell ref="B5:B6"/>
    <mergeCell ref="C5:C6"/>
    <mergeCell ref="D5:D6"/>
    <mergeCell ref="E5:H5"/>
    <mergeCell ref="L11:R11"/>
    <mergeCell ref="I1:I2"/>
    <mergeCell ref="J1:J2"/>
    <mergeCell ref="L1:M2"/>
    <mergeCell ref="N1:R2"/>
    <mergeCell ref="I5:K5"/>
    <mergeCell ref="L5:R6"/>
    <mergeCell ref="L7:R7"/>
    <mergeCell ref="L8:R8"/>
    <mergeCell ref="L9:R9"/>
    <mergeCell ref="L10:R10"/>
    <mergeCell ref="L23:R23"/>
    <mergeCell ref="L12:R12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35:R35"/>
    <mergeCell ref="L24:R24"/>
    <mergeCell ref="L25:R25"/>
    <mergeCell ref="L26:R26"/>
    <mergeCell ref="L27:R27"/>
    <mergeCell ref="L28:R28"/>
    <mergeCell ref="L29:R29"/>
    <mergeCell ref="L30:R30"/>
    <mergeCell ref="L31:R31"/>
    <mergeCell ref="L32:R32"/>
    <mergeCell ref="L33:R33"/>
    <mergeCell ref="L34:R34"/>
    <mergeCell ref="L47:R47"/>
    <mergeCell ref="L36:R36"/>
    <mergeCell ref="L37:R37"/>
    <mergeCell ref="L38:R38"/>
    <mergeCell ref="L39:R39"/>
    <mergeCell ref="L40:R40"/>
    <mergeCell ref="L41:R41"/>
    <mergeCell ref="L42:R42"/>
    <mergeCell ref="L43:R43"/>
    <mergeCell ref="L44:R44"/>
    <mergeCell ref="L45:R45"/>
    <mergeCell ref="L46:R46"/>
    <mergeCell ref="L59:R59"/>
    <mergeCell ref="L48:R48"/>
    <mergeCell ref="L49:R49"/>
    <mergeCell ref="L50:R50"/>
    <mergeCell ref="L51:R51"/>
    <mergeCell ref="L52:R52"/>
    <mergeCell ref="L53:R53"/>
    <mergeCell ref="L54:R54"/>
    <mergeCell ref="L55:R55"/>
    <mergeCell ref="L56:R56"/>
    <mergeCell ref="L57:R57"/>
    <mergeCell ref="L58:R58"/>
    <mergeCell ref="L66:R66"/>
    <mergeCell ref="L67:R67"/>
    <mergeCell ref="L68:R68"/>
    <mergeCell ref="L60:R60"/>
    <mergeCell ref="L61:R61"/>
    <mergeCell ref="L62:R62"/>
    <mergeCell ref="L63:R63"/>
    <mergeCell ref="L64:R64"/>
    <mergeCell ref="L65:R65"/>
  </mergeCells>
  <pageMargins left="0.51181102362204722" right="0.51181102362204722" top="0.78740157480314965" bottom="0.78740157480314965" header="0.31496062992125984" footer="0.31496062992125984"/>
  <pageSetup paperSize="9" scale="33" orientation="landscape" horizontalDpi="1200" verticalDpi="1200" r:id="rId1"/>
  <colBreaks count="1" manualBreakCount="1">
    <brk id="18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D9813-4BB7-46F5-BAD2-6C28A216EE36}">
  <sheetPr>
    <pageSetUpPr fitToPage="1"/>
  </sheetPr>
  <dimension ref="A1:R68"/>
  <sheetViews>
    <sheetView zoomScale="40" zoomScaleNormal="40" zoomScaleSheetLayoutView="40" workbookViewId="0">
      <selection activeCell="B15" sqref="B15"/>
    </sheetView>
  </sheetViews>
  <sheetFormatPr defaultColWidth="8.85546875" defaultRowHeight="15" x14ac:dyDescent="0.25"/>
  <cols>
    <col min="1" max="1" width="33.28515625" style="1" customWidth="1"/>
    <col min="2" max="2" width="17.140625" style="1" customWidth="1"/>
    <col min="3" max="4" width="13.42578125" style="1" customWidth="1"/>
    <col min="5" max="5" width="26.5703125" style="2" customWidth="1"/>
    <col min="6" max="6" width="30.140625" style="2" customWidth="1"/>
    <col min="7" max="7" width="26.5703125" style="2" customWidth="1"/>
    <col min="8" max="8" width="33.140625" style="2" customWidth="1"/>
    <col min="9" max="11" width="32" style="2" customWidth="1"/>
    <col min="12" max="14" width="14.42578125" style="1" customWidth="1"/>
    <col min="15" max="17" width="14.7109375" style="1" customWidth="1"/>
    <col min="18" max="18" width="37.42578125" style="1" customWidth="1"/>
    <col min="19" max="16384" width="8.85546875" style="1"/>
  </cols>
  <sheetData>
    <row r="1" spans="1:18" ht="19.5" x14ac:dyDescent="0.3">
      <c r="A1" s="9" t="s">
        <v>0</v>
      </c>
      <c r="B1" s="10"/>
      <c r="C1" s="10"/>
      <c r="D1" s="10"/>
      <c r="E1" s="11"/>
      <c r="F1" s="12"/>
      <c r="G1" s="11"/>
      <c r="H1" s="11"/>
      <c r="I1" s="98" t="s">
        <v>3</v>
      </c>
      <c r="J1" s="120">
        <f>'245'!J1</f>
        <v>46204</v>
      </c>
      <c r="K1" s="11"/>
      <c r="L1" s="102" t="s">
        <v>4</v>
      </c>
      <c r="M1" s="102"/>
      <c r="N1" s="104" t="str">
        <f>'245'!N1</f>
        <v>ENG. THIAGO TORQUATO</v>
      </c>
      <c r="O1" s="104"/>
      <c r="P1" s="104"/>
      <c r="Q1" s="104"/>
      <c r="R1" s="105"/>
    </row>
    <row r="2" spans="1:18" ht="20.25" thickBot="1" x14ac:dyDescent="0.35">
      <c r="A2" s="13"/>
      <c r="B2" s="14"/>
      <c r="C2" s="14"/>
      <c r="D2" s="14"/>
      <c r="E2" s="15"/>
      <c r="F2" s="16" t="s">
        <v>9</v>
      </c>
      <c r="G2" s="15"/>
      <c r="H2" s="15"/>
      <c r="I2" s="99"/>
      <c r="J2" s="121"/>
      <c r="K2" s="16"/>
      <c r="L2" s="103"/>
      <c r="M2" s="103"/>
      <c r="N2" s="106"/>
      <c r="O2" s="106"/>
      <c r="P2" s="106"/>
      <c r="Q2" s="106"/>
      <c r="R2" s="107"/>
    </row>
    <row r="3" spans="1:18" ht="25.5" x14ac:dyDescent="0.35">
      <c r="A3" s="13" t="s">
        <v>21</v>
      </c>
      <c r="B3" s="45" t="str">
        <f>TT!C5</f>
        <v>RODOVIA TO-296 - TRECHO ENTR. TO-050 - ENTR. TO-110 (COMBINADO)</v>
      </c>
      <c r="C3" s="14"/>
      <c r="D3" s="14"/>
      <c r="E3" s="15"/>
      <c r="F3" s="15"/>
      <c r="G3" s="15"/>
      <c r="H3" s="15"/>
      <c r="I3" s="47" t="s">
        <v>107</v>
      </c>
      <c r="J3" s="47">
        <v>13</v>
      </c>
      <c r="K3" s="15"/>
      <c r="L3" s="14"/>
      <c r="M3" s="14"/>
      <c r="N3" s="14"/>
      <c r="O3" s="14"/>
      <c r="P3" s="14"/>
      <c r="Q3" s="14"/>
      <c r="R3" s="17"/>
    </row>
    <row r="4" spans="1:18" ht="19.899999999999999" thickBot="1" x14ac:dyDescent="0.4">
      <c r="A4" s="18"/>
      <c r="B4" s="14"/>
      <c r="C4" s="14"/>
      <c r="D4" s="14"/>
      <c r="E4" s="15"/>
      <c r="F4" s="15"/>
      <c r="G4" s="15"/>
      <c r="H4" s="15"/>
      <c r="I4" s="15"/>
      <c r="J4" s="15"/>
      <c r="K4" s="15"/>
      <c r="L4" s="14"/>
      <c r="M4" s="14"/>
      <c r="N4" s="14"/>
      <c r="O4" s="14"/>
      <c r="P4" s="14"/>
      <c r="Q4" s="14"/>
      <c r="R4" s="17"/>
    </row>
    <row r="5" spans="1:18" s="5" customFormat="1" ht="54" customHeight="1" x14ac:dyDescent="0.25">
      <c r="A5" s="112" t="s">
        <v>1</v>
      </c>
      <c r="B5" s="108" t="s">
        <v>7</v>
      </c>
      <c r="C5" s="114" t="s">
        <v>5</v>
      </c>
      <c r="D5" s="114" t="s">
        <v>6</v>
      </c>
      <c r="E5" s="108" t="s">
        <v>10</v>
      </c>
      <c r="F5" s="108"/>
      <c r="G5" s="108"/>
      <c r="H5" s="108"/>
      <c r="I5" s="108" t="s">
        <v>11</v>
      </c>
      <c r="J5" s="108"/>
      <c r="K5" s="108"/>
      <c r="L5" s="108" t="s">
        <v>8</v>
      </c>
      <c r="M5" s="108"/>
      <c r="N5" s="108"/>
      <c r="O5" s="108"/>
      <c r="P5" s="108"/>
      <c r="Q5" s="108"/>
      <c r="R5" s="109"/>
    </row>
    <row r="6" spans="1:18" s="6" customFormat="1" ht="79.150000000000006" customHeight="1" x14ac:dyDescent="0.25">
      <c r="A6" s="113"/>
      <c r="B6" s="110"/>
      <c r="C6" s="110"/>
      <c r="D6" s="110"/>
      <c r="E6" s="7" t="s">
        <v>2</v>
      </c>
      <c r="F6" s="8" t="s">
        <v>15</v>
      </c>
      <c r="G6" s="8" t="s">
        <v>16</v>
      </c>
      <c r="H6" s="8" t="s">
        <v>17</v>
      </c>
      <c r="I6" s="7" t="s">
        <v>12</v>
      </c>
      <c r="J6" s="7" t="s">
        <v>13</v>
      </c>
      <c r="K6" s="7" t="s">
        <v>14</v>
      </c>
      <c r="L6" s="110"/>
      <c r="M6" s="110"/>
      <c r="N6" s="110"/>
      <c r="O6" s="110"/>
      <c r="P6" s="110"/>
      <c r="Q6" s="110"/>
      <c r="R6" s="111"/>
    </row>
    <row r="7" spans="1:18" ht="41.45" customHeight="1" x14ac:dyDescent="0.25">
      <c r="A7" s="51" t="s">
        <v>62</v>
      </c>
      <c r="B7" s="21" t="s">
        <v>108</v>
      </c>
      <c r="C7" s="22">
        <v>0</v>
      </c>
      <c r="D7" s="22">
        <v>3.4</v>
      </c>
      <c r="E7" s="21"/>
      <c r="F7" s="21"/>
      <c r="G7" s="21"/>
      <c r="H7" s="21" t="s">
        <v>109</v>
      </c>
      <c r="I7" s="21"/>
      <c r="J7" s="21"/>
      <c r="K7" s="21" t="s">
        <v>109</v>
      </c>
      <c r="L7" s="118" t="s">
        <v>110</v>
      </c>
      <c r="M7" s="118"/>
      <c r="N7" s="118"/>
      <c r="O7" s="118"/>
      <c r="P7" s="118"/>
      <c r="Q7" s="118"/>
      <c r="R7" s="119"/>
    </row>
    <row r="8" spans="1:18" ht="41.45" customHeight="1" x14ac:dyDescent="0.25">
      <c r="A8" s="51" t="s">
        <v>62</v>
      </c>
      <c r="B8" s="21"/>
      <c r="C8" s="22">
        <v>3.4</v>
      </c>
      <c r="D8" s="22">
        <v>3.4</v>
      </c>
      <c r="E8" s="21" t="s">
        <v>109</v>
      </c>
      <c r="F8" s="21"/>
      <c r="G8" s="21"/>
      <c r="H8" s="21"/>
      <c r="I8" s="21"/>
      <c r="J8" s="21"/>
      <c r="K8" s="21"/>
      <c r="L8" s="118" t="s">
        <v>111</v>
      </c>
      <c r="M8" s="118"/>
      <c r="N8" s="118"/>
      <c r="O8" s="118"/>
      <c r="P8" s="118"/>
      <c r="Q8" s="118"/>
      <c r="R8" s="119"/>
    </row>
    <row r="9" spans="1:18" ht="41.45" customHeight="1" x14ac:dyDescent="0.25">
      <c r="A9" s="51" t="s">
        <v>62</v>
      </c>
      <c r="B9" s="21"/>
      <c r="C9" s="22">
        <v>3.7</v>
      </c>
      <c r="D9" s="22">
        <v>3.7</v>
      </c>
      <c r="E9" s="21" t="s">
        <v>109</v>
      </c>
      <c r="F9" s="21"/>
      <c r="G9" s="21"/>
      <c r="H9" s="21"/>
      <c r="I9" s="21"/>
      <c r="J9" s="21"/>
      <c r="K9" s="21"/>
      <c r="L9" s="118" t="s">
        <v>112</v>
      </c>
      <c r="M9" s="118"/>
      <c r="N9" s="118"/>
      <c r="O9" s="118"/>
      <c r="P9" s="118"/>
      <c r="Q9" s="118"/>
      <c r="R9" s="119"/>
    </row>
    <row r="10" spans="1:18" ht="41.45" customHeight="1" x14ac:dyDescent="0.25">
      <c r="A10" s="51" t="s">
        <v>62</v>
      </c>
      <c r="B10" s="21"/>
      <c r="C10" s="22">
        <v>3.7</v>
      </c>
      <c r="D10" s="22">
        <v>4.2</v>
      </c>
      <c r="E10" s="21"/>
      <c r="F10" s="21" t="s">
        <v>109</v>
      </c>
      <c r="G10" s="21" t="s">
        <v>113</v>
      </c>
      <c r="H10" s="21"/>
      <c r="I10" s="21"/>
      <c r="J10" s="21"/>
      <c r="K10" s="21" t="s">
        <v>109</v>
      </c>
      <c r="L10" s="118" t="s">
        <v>114</v>
      </c>
      <c r="M10" s="118"/>
      <c r="N10" s="118"/>
      <c r="O10" s="118"/>
      <c r="P10" s="118"/>
      <c r="Q10" s="118"/>
      <c r="R10" s="119"/>
    </row>
    <row r="11" spans="1:18" ht="41.45" customHeight="1" x14ac:dyDescent="0.25">
      <c r="A11" s="51" t="s">
        <v>62</v>
      </c>
      <c r="B11" s="21"/>
      <c r="C11" s="22">
        <v>4.2</v>
      </c>
      <c r="D11" s="22">
        <v>5.9</v>
      </c>
      <c r="E11" s="21"/>
      <c r="F11" s="21" t="s">
        <v>109</v>
      </c>
      <c r="G11" s="21" t="s">
        <v>113</v>
      </c>
      <c r="H11" s="21"/>
      <c r="I11" s="21"/>
      <c r="J11" s="21"/>
      <c r="K11" s="21" t="s">
        <v>109</v>
      </c>
      <c r="L11" s="118" t="s">
        <v>115</v>
      </c>
      <c r="M11" s="118"/>
      <c r="N11" s="118"/>
      <c r="O11" s="118"/>
      <c r="P11" s="118"/>
      <c r="Q11" s="118"/>
      <c r="R11" s="119"/>
    </row>
    <row r="12" spans="1:18" ht="41.45" customHeight="1" x14ac:dyDescent="0.25">
      <c r="A12" s="51" t="s">
        <v>62</v>
      </c>
      <c r="B12" s="21"/>
      <c r="C12" s="22">
        <v>5.9</v>
      </c>
      <c r="D12" s="22">
        <v>6</v>
      </c>
      <c r="E12" s="21"/>
      <c r="F12" s="21"/>
      <c r="G12" s="21"/>
      <c r="H12" s="21" t="s">
        <v>109</v>
      </c>
      <c r="I12" s="21"/>
      <c r="J12" s="21"/>
      <c r="K12" s="21" t="s">
        <v>109</v>
      </c>
      <c r="L12" s="115" t="s">
        <v>116</v>
      </c>
      <c r="M12" s="116"/>
      <c r="N12" s="116"/>
      <c r="O12" s="116"/>
      <c r="P12" s="116"/>
      <c r="Q12" s="116"/>
      <c r="R12" s="117"/>
    </row>
    <row r="13" spans="1:18" ht="41.45" customHeight="1" x14ac:dyDescent="0.25">
      <c r="A13" s="51" t="s">
        <v>62</v>
      </c>
      <c r="B13" s="21"/>
      <c r="C13" s="22">
        <v>6.7</v>
      </c>
      <c r="D13" s="22">
        <v>20</v>
      </c>
      <c r="E13" s="21"/>
      <c r="F13" s="21" t="s">
        <v>109</v>
      </c>
      <c r="G13" s="21"/>
      <c r="H13" s="21"/>
      <c r="I13" s="21"/>
      <c r="J13" s="21"/>
      <c r="K13" s="21" t="s">
        <v>113</v>
      </c>
      <c r="L13" s="118" t="s">
        <v>117</v>
      </c>
      <c r="M13" s="118"/>
      <c r="N13" s="118"/>
      <c r="O13" s="118"/>
      <c r="P13" s="118"/>
      <c r="Q13" s="118"/>
      <c r="R13" s="119"/>
    </row>
    <row r="14" spans="1:18" ht="41.45" customHeight="1" x14ac:dyDescent="0.25">
      <c r="A14" s="51" t="s">
        <v>62</v>
      </c>
      <c r="B14" s="21"/>
      <c r="C14" s="22">
        <v>20</v>
      </c>
      <c r="D14" s="22">
        <v>20.3</v>
      </c>
      <c r="E14" s="21"/>
      <c r="F14" s="21"/>
      <c r="G14" s="21"/>
      <c r="H14" s="21"/>
      <c r="I14" s="21"/>
      <c r="J14" s="21"/>
      <c r="K14" s="21"/>
      <c r="L14" s="118" t="s">
        <v>118</v>
      </c>
      <c r="M14" s="118"/>
      <c r="N14" s="118"/>
      <c r="O14" s="118"/>
      <c r="P14" s="118"/>
      <c r="Q14" s="118"/>
      <c r="R14" s="119"/>
    </row>
    <row r="15" spans="1:18" ht="41.45" customHeight="1" x14ac:dyDescent="0.25">
      <c r="A15" s="51" t="s">
        <v>62</v>
      </c>
      <c r="B15" s="21"/>
      <c r="C15" s="22">
        <v>20.3</v>
      </c>
      <c r="D15" s="22">
        <v>21.86</v>
      </c>
      <c r="E15" s="21"/>
      <c r="F15" s="21" t="s">
        <v>109</v>
      </c>
      <c r="G15" s="21"/>
      <c r="H15" s="21"/>
      <c r="I15" s="21"/>
      <c r="J15" s="21"/>
      <c r="K15" s="21" t="s">
        <v>109</v>
      </c>
      <c r="L15" s="118"/>
      <c r="M15" s="118"/>
      <c r="N15" s="118"/>
      <c r="O15" s="118"/>
      <c r="P15" s="118"/>
      <c r="Q15" s="118"/>
      <c r="R15" s="119"/>
    </row>
    <row r="16" spans="1:18" ht="41.45" customHeight="1" x14ac:dyDescent="0.25">
      <c r="A16" s="51" t="s">
        <v>62</v>
      </c>
      <c r="B16" s="21"/>
      <c r="C16" s="22"/>
      <c r="D16" s="22"/>
      <c r="E16" s="21"/>
      <c r="F16" s="21"/>
      <c r="G16" s="21"/>
      <c r="H16" s="21" t="s">
        <v>109</v>
      </c>
      <c r="I16" s="21"/>
      <c r="J16" s="21"/>
      <c r="K16" s="21" t="s">
        <v>109</v>
      </c>
      <c r="L16" s="118" t="s">
        <v>119</v>
      </c>
      <c r="M16" s="118"/>
      <c r="N16" s="118"/>
      <c r="O16" s="118"/>
      <c r="P16" s="118"/>
      <c r="Q16" s="118"/>
      <c r="R16" s="119"/>
    </row>
    <row r="17" spans="1:18" ht="41.45" customHeight="1" x14ac:dyDescent="0.25">
      <c r="A17" s="51" t="s">
        <v>62</v>
      </c>
      <c r="B17" s="21"/>
      <c r="C17" s="22"/>
      <c r="D17" s="22"/>
      <c r="E17" s="21"/>
      <c r="F17" s="21"/>
      <c r="G17" s="21"/>
      <c r="H17" s="21" t="s">
        <v>113</v>
      </c>
      <c r="I17" s="21"/>
      <c r="J17" s="21"/>
      <c r="K17" s="21" t="s">
        <v>109</v>
      </c>
      <c r="L17" s="118" t="s">
        <v>120</v>
      </c>
      <c r="M17" s="118"/>
      <c r="N17" s="118"/>
      <c r="O17" s="118"/>
      <c r="P17" s="118"/>
      <c r="Q17" s="118"/>
      <c r="R17" s="119"/>
    </row>
    <row r="18" spans="1:18" ht="41.45" customHeight="1" x14ac:dyDescent="0.25">
      <c r="A18" s="51" t="s">
        <v>62</v>
      </c>
      <c r="B18" s="3"/>
      <c r="C18" s="22"/>
      <c r="D18" s="22"/>
      <c r="E18" s="21"/>
      <c r="F18" s="21"/>
      <c r="G18" s="21"/>
      <c r="H18" s="21"/>
      <c r="I18" s="21"/>
      <c r="J18" s="21"/>
      <c r="K18" s="21"/>
      <c r="L18" s="96"/>
      <c r="M18" s="96"/>
      <c r="N18" s="96"/>
      <c r="O18" s="96"/>
      <c r="P18" s="96"/>
      <c r="Q18" s="96"/>
      <c r="R18" s="97"/>
    </row>
    <row r="19" spans="1:18" ht="41.45" customHeight="1" x14ac:dyDescent="0.4">
      <c r="A19" s="57" t="s">
        <v>59</v>
      </c>
      <c r="B19" s="3" t="s">
        <v>108</v>
      </c>
      <c r="C19" s="22">
        <v>0</v>
      </c>
      <c r="D19" s="22">
        <v>15</v>
      </c>
      <c r="E19" s="21"/>
      <c r="F19" s="21" t="s">
        <v>109</v>
      </c>
      <c r="G19" s="21"/>
      <c r="H19" s="21"/>
      <c r="I19" s="21"/>
      <c r="J19" s="21" t="s">
        <v>109</v>
      </c>
      <c r="K19" s="21"/>
      <c r="L19" s="96"/>
      <c r="M19" s="96"/>
      <c r="N19" s="96"/>
      <c r="O19" s="96"/>
      <c r="P19" s="96"/>
      <c r="Q19" s="96"/>
      <c r="R19" s="97"/>
    </row>
    <row r="20" spans="1:18" ht="41.45" customHeight="1" x14ac:dyDescent="0.35">
      <c r="A20" s="57" t="s">
        <v>59</v>
      </c>
      <c r="B20" s="3"/>
      <c r="C20" s="22">
        <v>15</v>
      </c>
      <c r="D20" s="22">
        <v>30.2</v>
      </c>
      <c r="E20" s="21" t="s">
        <v>109</v>
      </c>
      <c r="F20" s="21"/>
      <c r="G20" s="21"/>
      <c r="H20" s="21"/>
      <c r="I20" s="21"/>
      <c r="J20" s="21" t="s">
        <v>109</v>
      </c>
      <c r="K20" s="21"/>
      <c r="L20" s="96"/>
      <c r="M20" s="96"/>
      <c r="N20" s="96"/>
      <c r="O20" s="96"/>
      <c r="P20" s="96"/>
      <c r="Q20" s="96"/>
      <c r="R20" s="97"/>
    </row>
    <row r="21" spans="1:18" ht="41.45" customHeight="1" x14ac:dyDescent="0.25">
      <c r="A21" s="19"/>
      <c r="B21" s="3"/>
      <c r="C21" s="22"/>
      <c r="D21" s="22"/>
      <c r="E21" s="21"/>
      <c r="F21" s="21"/>
      <c r="G21" s="21"/>
      <c r="H21" s="21"/>
      <c r="I21" s="21"/>
      <c r="J21" s="21"/>
      <c r="K21" s="21"/>
      <c r="L21" s="96"/>
      <c r="M21" s="96"/>
      <c r="N21" s="96"/>
      <c r="O21" s="96"/>
      <c r="P21" s="96"/>
      <c r="Q21" s="96"/>
      <c r="R21" s="97"/>
    </row>
    <row r="22" spans="1:18" ht="41.45" customHeight="1" x14ac:dyDescent="0.25">
      <c r="A22" s="19"/>
      <c r="B22" s="3"/>
      <c r="C22" s="22"/>
      <c r="D22" s="22"/>
      <c r="E22" s="21"/>
      <c r="F22" s="21"/>
      <c r="G22" s="21"/>
      <c r="H22" s="21"/>
      <c r="I22" s="21"/>
      <c r="J22" s="21"/>
      <c r="K22" s="21"/>
      <c r="L22" s="96"/>
      <c r="M22" s="96"/>
      <c r="N22" s="96"/>
      <c r="O22" s="96"/>
      <c r="P22" s="96"/>
      <c r="Q22" s="96"/>
      <c r="R22" s="97"/>
    </row>
    <row r="23" spans="1:18" ht="41.45" customHeight="1" x14ac:dyDescent="0.25">
      <c r="A23" s="19"/>
      <c r="B23" s="3"/>
      <c r="C23" s="22"/>
      <c r="D23" s="22"/>
      <c r="E23" s="21"/>
      <c r="F23" s="21"/>
      <c r="G23" s="21"/>
      <c r="H23" s="21"/>
      <c r="I23" s="21"/>
      <c r="J23" s="21"/>
      <c r="K23" s="21"/>
      <c r="L23" s="96"/>
      <c r="M23" s="96"/>
      <c r="N23" s="96"/>
      <c r="O23" s="96"/>
      <c r="P23" s="96"/>
      <c r="Q23" s="96"/>
      <c r="R23" s="97"/>
    </row>
    <row r="24" spans="1:18" ht="41.45" customHeight="1" x14ac:dyDescent="0.25">
      <c r="A24" s="19"/>
      <c r="B24" s="3"/>
      <c r="C24" s="22"/>
      <c r="D24" s="22"/>
      <c r="E24" s="21"/>
      <c r="F24" s="21"/>
      <c r="G24" s="21"/>
      <c r="H24" s="21"/>
      <c r="I24" s="21"/>
      <c r="J24" s="21"/>
      <c r="K24" s="21"/>
      <c r="L24" s="96"/>
      <c r="M24" s="96"/>
      <c r="N24" s="96"/>
      <c r="O24" s="96"/>
      <c r="P24" s="96"/>
      <c r="Q24" s="96"/>
      <c r="R24" s="97"/>
    </row>
    <row r="25" spans="1:18" ht="41.45" customHeight="1" x14ac:dyDescent="0.25">
      <c r="A25" s="19"/>
      <c r="B25" s="3"/>
      <c r="C25" s="22"/>
      <c r="D25" s="22"/>
      <c r="E25" s="21"/>
      <c r="F25" s="21"/>
      <c r="G25" s="21"/>
      <c r="H25" s="21"/>
      <c r="I25" s="21"/>
      <c r="J25" s="21"/>
      <c r="K25" s="21"/>
      <c r="L25" s="96"/>
      <c r="M25" s="96"/>
      <c r="N25" s="96"/>
      <c r="O25" s="96"/>
      <c r="P25" s="96"/>
      <c r="Q25" s="96"/>
      <c r="R25" s="97"/>
    </row>
    <row r="26" spans="1:18" ht="41.45" customHeight="1" x14ac:dyDescent="0.25">
      <c r="A26" s="19"/>
      <c r="B26" s="3"/>
      <c r="C26" s="22"/>
      <c r="D26" s="22"/>
      <c r="E26" s="21"/>
      <c r="F26" s="21"/>
      <c r="G26" s="21"/>
      <c r="H26" s="21"/>
      <c r="I26" s="21"/>
      <c r="J26" s="21"/>
      <c r="K26" s="21"/>
      <c r="L26" s="96"/>
      <c r="M26" s="96"/>
      <c r="N26" s="96"/>
      <c r="O26" s="96"/>
      <c r="P26" s="96"/>
      <c r="Q26" s="96"/>
      <c r="R26" s="97"/>
    </row>
    <row r="27" spans="1:18" ht="41.45" customHeight="1" x14ac:dyDescent="0.25">
      <c r="A27" s="19"/>
      <c r="B27" s="3"/>
      <c r="C27" s="22"/>
      <c r="D27" s="22"/>
      <c r="E27" s="21"/>
      <c r="F27" s="21"/>
      <c r="G27" s="21"/>
      <c r="H27" s="21"/>
      <c r="I27" s="21"/>
      <c r="J27" s="21"/>
      <c r="K27" s="21"/>
      <c r="L27" s="96"/>
      <c r="M27" s="96"/>
      <c r="N27" s="96"/>
      <c r="O27" s="96"/>
      <c r="P27" s="96"/>
      <c r="Q27" s="96"/>
      <c r="R27" s="97"/>
    </row>
    <row r="28" spans="1:18" ht="41.45" customHeight="1" x14ac:dyDescent="0.25">
      <c r="A28" s="19"/>
      <c r="B28" s="3"/>
      <c r="C28" s="22"/>
      <c r="D28" s="22"/>
      <c r="E28" s="21"/>
      <c r="F28" s="21"/>
      <c r="G28" s="21"/>
      <c r="H28" s="21"/>
      <c r="I28" s="21"/>
      <c r="J28" s="21"/>
      <c r="K28" s="21"/>
      <c r="L28" s="96"/>
      <c r="M28" s="96"/>
      <c r="N28" s="96"/>
      <c r="O28" s="96"/>
      <c r="P28" s="96"/>
      <c r="Q28" s="96"/>
      <c r="R28" s="97"/>
    </row>
    <row r="29" spans="1:18" ht="41.45" customHeight="1" x14ac:dyDescent="0.25">
      <c r="A29" s="19"/>
      <c r="B29" s="3"/>
      <c r="C29" s="22"/>
      <c r="D29" s="22"/>
      <c r="E29" s="21"/>
      <c r="F29" s="21"/>
      <c r="G29" s="21"/>
      <c r="H29" s="21"/>
      <c r="I29" s="21"/>
      <c r="J29" s="21"/>
      <c r="K29" s="21"/>
      <c r="L29" s="96"/>
      <c r="M29" s="96"/>
      <c r="N29" s="96"/>
      <c r="O29" s="96"/>
      <c r="P29" s="96"/>
      <c r="Q29" s="96"/>
      <c r="R29" s="97"/>
    </row>
    <row r="30" spans="1:18" ht="41.45" customHeight="1" x14ac:dyDescent="0.25">
      <c r="A30" s="19"/>
      <c r="B30" s="3"/>
      <c r="C30" s="22"/>
      <c r="D30" s="22"/>
      <c r="E30" s="21"/>
      <c r="F30" s="21"/>
      <c r="G30" s="21"/>
      <c r="H30" s="21"/>
      <c r="I30" s="21"/>
      <c r="J30" s="21"/>
      <c r="K30" s="21"/>
      <c r="L30" s="96"/>
      <c r="M30" s="96"/>
      <c r="N30" s="96"/>
      <c r="O30" s="96"/>
      <c r="P30" s="96"/>
      <c r="Q30" s="96"/>
      <c r="R30" s="97"/>
    </row>
    <row r="31" spans="1:18" ht="41.45" customHeight="1" x14ac:dyDescent="0.25">
      <c r="A31" s="19"/>
      <c r="B31" s="3"/>
      <c r="C31" s="22"/>
      <c r="D31" s="22"/>
      <c r="E31" s="21"/>
      <c r="F31" s="21"/>
      <c r="G31" s="21"/>
      <c r="H31" s="21"/>
      <c r="I31" s="21"/>
      <c r="J31" s="21"/>
      <c r="K31" s="21"/>
      <c r="L31" s="96"/>
      <c r="M31" s="96"/>
      <c r="N31" s="96"/>
      <c r="O31" s="96"/>
      <c r="P31" s="96"/>
      <c r="Q31" s="96"/>
      <c r="R31" s="97"/>
    </row>
    <row r="32" spans="1:18" ht="41.45" customHeight="1" x14ac:dyDescent="0.25">
      <c r="A32" s="19"/>
      <c r="B32" s="3"/>
      <c r="C32" s="22"/>
      <c r="D32" s="22"/>
      <c r="E32" s="21"/>
      <c r="F32" s="21"/>
      <c r="G32" s="21"/>
      <c r="H32" s="21"/>
      <c r="I32" s="21"/>
      <c r="J32" s="21"/>
      <c r="K32" s="21"/>
      <c r="L32" s="96"/>
      <c r="M32" s="96"/>
      <c r="N32" s="96"/>
      <c r="O32" s="96"/>
      <c r="P32" s="96"/>
      <c r="Q32" s="96"/>
      <c r="R32" s="97"/>
    </row>
    <row r="33" spans="1:18" ht="41.45" customHeight="1" x14ac:dyDescent="0.25">
      <c r="A33" s="19"/>
      <c r="B33" s="3"/>
      <c r="C33" s="22"/>
      <c r="D33" s="22"/>
      <c r="E33" s="21"/>
      <c r="F33" s="21"/>
      <c r="G33" s="21"/>
      <c r="H33" s="21"/>
      <c r="I33" s="21"/>
      <c r="J33" s="21"/>
      <c r="K33" s="21"/>
      <c r="L33" s="96"/>
      <c r="M33" s="96"/>
      <c r="N33" s="96"/>
      <c r="O33" s="96"/>
      <c r="P33" s="96"/>
      <c r="Q33" s="96"/>
      <c r="R33" s="97"/>
    </row>
    <row r="34" spans="1:18" ht="41.45" customHeight="1" x14ac:dyDescent="0.25">
      <c r="A34" s="19"/>
      <c r="B34" s="3"/>
      <c r="C34" s="22"/>
      <c r="D34" s="22"/>
      <c r="E34" s="21"/>
      <c r="F34" s="21"/>
      <c r="G34" s="21"/>
      <c r="H34" s="21"/>
      <c r="I34" s="21"/>
      <c r="J34" s="21"/>
      <c r="K34" s="21"/>
      <c r="L34" s="96"/>
      <c r="M34" s="96"/>
      <c r="N34" s="96"/>
      <c r="O34" s="96"/>
      <c r="P34" s="96"/>
      <c r="Q34" s="96"/>
      <c r="R34" s="97"/>
    </row>
    <row r="35" spans="1:18" ht="41.45" customHeight="1" thickBot="1" x14ac:dyDescent="0.3">
      <c r="A35" s="20"/>
      <c r="B35" s="4"/>
      <c r="C35" s="23"/>
      <c r="D35" s="23"/>
      <c r="E35" s="24"/>
      <c r="F35" s="24"/>
      <c r="G35" s="24"/>
      <c r="H35" s="24"/>
      <c r="I35" s="24"/>
      <c r="J35" s="24"/>
      <c r="K35" s="24"/>
      <c r="L35" s="94"/>
      <c r="M35" s="94"/>
      <c r="N35" s="94"/>
      <c r="O35" s="94"/>
      <c r="P35" s="94"/>
      <c r="Q35" s="94"/>
      <c r="R35" s="95"/>
    </row>
    <row r="36" spans="1:18" ht="41.45" customHeight="1" x14ac:dyDescent="0.25">
      <c r="A36" s="33"/>
      <c r="B36" s="33"/>
      <c r="C36" s="34"/>
      <c r="D36" s="34"/>
      <c r="E36" s="34" t="str">
        <f>IF(E7="X",(D7-C7),"0")</f>
        <v>0</v>
      </c>
      <c r="F36" s="34" t="str">
        <f>IF(F7="X",(D7-C7),"0")</f>
        <v>0</v>
      </c>
      <c r="G36" s="34" t="str">
        <f>IF(G7="X",(D7-C7),"0")</f>
        <v>0</v>
      </c>
      <c r="H36" s="34">
        <f>IF(H7="X",(D7-C7),"0")</f>
        <v>3.4</v>
      </c>
      <c r="I36" s="34" t="str">
        <f>IF(I7="X",(D7-C7),"0")</f>
        <v>0</v>
      </c>
      <c r="J36" s="34" t="str">
        <f>IF(J7="X",(D7-C7),"0")</f>
        <v>0</v>
      </c>
      <c r="K36" s="34">
        <f>IF(K7="X",(D7-C7),"0")</f>
        <v>3.4</v>
      </c>
      <c r="L36" s="93"/>
      <c r="M36" s="93"/>
      <c r="N36" s="93"/>
      <c r="O36" s="93"/>
      <c r="P36" s="93"/>
      <c r="Q36" s="93"/>
      <c r="R36" s="93"/>
    </row>
    <row r="37" spans="1:18" ht="41.45" customHeight="1" x14ac:dyDescent="0.25">
      <c r="C37" s="35"/>
      <c r="D37" s="35"/>
      <c r="E37" s="35">
        <f t="shared" ref="E37:E61" si="0">IF(E8="X",(D8-C8),"0")</f>
        <v>0</v>
      </c>
      <c r="F37" s="35" t="str">
        <f t="shared" ref="F37:F61" si="1">IF(F8="X",(D8-C8),"0")</f>
        <v>0</v>
      </c>
      <c r="G37" s="35" t="str">
        <f t="shared" ref="G37:G61" si="2">IF(G8="X",(D8-C8),"0")</f>
        <v>0</v>
      </c>
      <c r="H37" s="35" t="str">
        <f t="shared" ref="H37:H61" si="3">IF(H8="X",(D8-C8),"0")</f>
        <v>0</v>
      </c>
      <c r="I37" s="35" t="str">
        <f t="shared" ref="I37:I61" si="4">IF(I8="X",(D8-C8),"0")</f>
        <v>0</v>
      </c>
      <c r="J37" s="35" t="str">
        <f t="shared" ref="J37:J61" si="5">IF(J8="X",(D8-C8),"0")</f>
        <v>0</v>
      </c>
      <c r="K37" s="35" t="str">
        <f t="shared" ref="K37:K61" si="6">IF(K8="X",(D8-C8),"0")</f>
        <v>0</v>
      </c>
      <c r="L37" s="92"/>
      <c r="M37" s="92"/>
      <c r="N37" s="92"/>
      <c r="O37" s="92"/>
      <c r="P37" s="92"/>
      <c r="Q37" s="92"/>
      <c r="R37" s="92"/>
    </row>
    <row r="38" spans="1:18" ht="41.45" customHeight="1" x14ac:dyDescent="0.25">
      <c r="C38" s="35"/>
      <c r="D38" s="35"/>
      <c r="E38" s="35">
        <f t="shared" si="0"/>
        <v>0</v>
      </c>
      <c r="F38" s="35" t="str">
        <f t="shared" si="1"/>
        <v>0</v>
      </c>
      <c r="G38" s="35" t="str">
        <f t="shared" si="2"/>
        <v>0</v>
      </c>
      <c r="H38" s="35" t="str">
        <f t="shared" si="3"/>
        <v>0</v>
      </c>
      <c r="I38" s="35" t="str">
        <f t="shared" si="4"/>
        <v>0</v>
      </c>
      <c r="J38" s="35" t="str">
        <f t="shared" si="5"/>
        <v>0</v>
      </c>
      <c r="K38" s="35" t="str">
        <f t="shared" si="6"/>
        <v>0</v>
      </c>
      <c r="L38" s="92"/>
      <c r="M38" s="92"/>
      <c r="N38" s="92"/>
      <c r="O38" s="92"/>
      <c r="P38" s="92"/>
      <c r="Q38" s="92"/>
      <c r="R38" s="92"/>
    </row>
    <row r="39" spans="1:18" ht="41.45" customHeight="1" x14ac:dyDescent="0.25">
      <c r="C39" s="35"/>
      <c r="D39" s="35"/>
      <c r="E39" s="35" t="str">
        <f t="shared" si="0"/>
        <v>0</v>
      </c>
      <c r="F39" s="35">
        <f t="shared" si="1"/>
        <v>0.5</v>
      </c>
      <c r="G39" s="35" t="str">
        <f t="shared" si="2"/>
        <v>0</v>
      </c>
      <c r="H39" s="35" t="str">
        <f t="shared" si="3"/>
        <v>0</v>
      </c>
      <c r="I39" s="35" t="str">
        <f t="shared" si="4"/>
        <v>0</v>
      </c>
      <c r="J39" s="35" t="str">
        <f t="shared" si="5"/>
        <v>0</v>
      </c>
      <c r="K39" s="35">
        <f t="shared" si="6"/>
        <v>0.5</v>
      </c>
      <c r="L39" s="92"/>
      <c r="M39" s="92"/>
      <c r="N39" s="92"/>
      <c r="O39" s="92"/>
      <c r="P39" s="92"/>
      <c r="Q39" s="92"/>
      <c r="R39" s="92"/>
    </row>
    <row r="40" spans="1:18" ht="41.45" customHeight="1" x14ac:dyDescent="0.25">
      <c r="C40" s="35"/>
      <c r="D40" s="35"/>
      <c r="E40" s="35" t="str">
        <f t="shared" si="0"/>
        <v>0</v>
      </c>
      <c r="F40" s="35">
        <f t="shared" si="1"/>
        <v>1.7000000000000002</v>
      </c>
      <c r="G40" s="35" t="str">
        <f t="shared" si="2"/>
        <v>0</v>
      </c>
      <c r="H40" s="35" t="str">
        <f t="shared" si="3"/>
        <v>0</v>
      </c>
      <c r="I40" s="35" t="str">
        <f t="shared" si="4"/>
        <v>0</v>
      </c>
      <c r="J40" s="35" t="str">
        <f t="shared" si="5"/>
        <v>0</v>
      </c>
      <c r="K40" s="35">
        <f t="shared" si="6"/>
        <v>1.7000000000000002</v>
      </c>
      <c r="L40" s="92"/>
      <c r="M40" s="92"/>
      <c r="N40" s="92"/>
      <c r="O40" s="92"/>
      <c r="P40" s="92"/>
      <c r="Q40" s="92"/>
      <c r="R40" s="92"/>
    </row>
    <row r="41" spans="1:18" ht="41.45" customHeight="1" x14ac:dyDescent="0.25">
      <c r="C41" s="35"/>
      <c r="D41" s="35"/>
      <c r="E41" s="35" t="str">
        <f t="shared" si="0"/>
        <v>0</v>
      </c>
      <c r="F41" s="35" t="str">
        <f t="shared" si="1"/>
        <v>0</v>
      </c>
      <c r="G41" s="35" t="str">
        <f t="shared" si="2"/>
        <v>0</v>
      </c>
      <c r="H41" s="35">
        <f t="shared" si="3"/>
        <v>9.9999999999999645E-2</v>
      </c>
      <c r="I41" s="35" t="str">
        <f t="shared" si="4"/>
        <v>0</v>
      </c>
      <c r="J41" s="35" t="str">
        <f t="shared" si="5"/>
        <v>0</v>
      </c>
      <c r="K41" s="35">
        <f t="shared" si="6"/>
        <v>9.9999999999999645E-2</v>
      </c>
      <c r="L41" s="92"/>
      <c r="M41" s="92"/>
      <c r="N41" s="92"/>
      <c r="O41" s="92"/>
      <c r="P41" s="92"/>
      <c r="Q41" s="92"/>
      <c r="R41" s="92"/>
    </row>
    <row r="42" spans="1:18" ht="41.45" customHeight="1" x14ac:dyDescent="0.25">
      <c r="C42" s="35"/>
      <c r="D42" s="35"/>
      <c r="E42" s="35" t="str">
        <f t="shared" si="0"/>
        <v>0</v>
      </c>
      <c r="F42" s="35">
        <f t="shared" si="1"/>
        <v>13.3</v>
      </c>
      <c r="G42" s="35" t="str">
        <f t="shared" si="2"/>
        <v>0</v>
      </c>
      <c r="H42" s="35" t="str">
        <f t="shared" si="3"/>
        <v>0</v>
      </c>
      <c r="I42" s="35" t="str">
        <f t="shared" si="4"/>
        <v>0</v>
      </c>
      <c r="J42" s="35" t="str">
        <f t="shared" si="5"/>
        <v>0</v>
      </c>
      <c r="K42" s="35" t="str">
        <f t="shared" si="6"/>
        <v>0</v>
      </c>
      <c r="L42" s="92"/>
      <c r="M42" s="92"/>
      <c r="N42" s="92"/>
      <c r="O42" s="92"/>
      <c r="P42" s="92"/>
      <c r="Q42" s="92"/>
      <c r="R42" s="92"/>
    </row>
    <row r="43" spans="1:18" ht="41.45" customHeight="1" x14ac:dyDescent="0.25">
      <c r="C43" s="35"/>
      <c r="D43" s="35"/>
      <c r="E43" s="35" t="str">
        <f t="shared" si="0"/>
        <v>0</v>
      </c>
      <c r="F43" s="35" t="str">
        <f t="shared" si="1"/>
        <v>0</v>
      </c>
      <c r="G43" s="35" t="str">
        <f t="shared" si="2"/>
        <v>0</v>
      </c>
      <c r="H43" s="35" t="str">
        <f t="shared" si="3"/>
        <v>0</v>
      </c>
      <c r="I43" s="35" t="str">
        <f t="shared" si="4"/>
        <v>0</v>
      </c>
      <c r="J43" s="35" t="str">
        <f t="shared" si="5"/>
        <v>0</v>
      </c>
      <c r="K43" s="35" t="str">
        <f t="shared" si="6"/>
        <v>0</v>
      </c>
      <c r="L43" s="92"/>
      <c r="M43" s="92"/>
      <c r="N43" s="92"/>
      <c r="O43" s="92"/>
      <c r="P43" s="92"/>
      <c r="Q43" s="92"/>
      <c r="R43" s="92"/>
    </row>
    <row r="44" spans="1:18" ht="41.45" customHeight="1" x14ac:dyDescent="0.25">
      <c r="C44" s="35"/>
      <c r="D44" s="35"/>
      <c r="E44" s="35" t="str">
        <f t="shared" si="0"/>
        <v>0</v>
      </c>
      <c r="F44" s="35">
        <f t="shared" si="1"/>
        <v>1.5599999999999987</v>
      </c>
      <c r="G44" s="35" t="str">
        <f t="shared" si="2"/>
        <v>0</v>
      </c>
      <c r="H44" s="35" t="str">
        <f t="shared" si="3"/>
        <v>0</v>
      </c>
      <c r="I44" s="35" t="str">
        <f t="shared" si="4"/>
        <v>0</v>
      </c>
      <c r="J44" s="35" t="str">
        <f t="shared" si="5"/>
        <v>0</v>
      </c>
      <c r="K44" s="35">
        <f t="shared" si="6"/>
        <v>1.5599999999999987</v>
      </c>
      <c r="L44" s="92"/>
      <c r="M44" s="92"/>
      <c r="N44" s="92"/>
      <c r="O44" s="92"/>
      <c r="P44" s="92"/>
      <c r="Q44" s="92"/>
      <c r="R44" s="92"/>
    </row>
    <row r="45" spans="1:18" ht="41.45" customHeight="1" x14ac:dyDescent="0.25">
      <c r="C45" s="35"/>
      <c r="D45" s="35"/>
      <c r="E45" s="35" t="str">
        <f t="shared" si="0"/>
        <v>0</v>
      </c>
      <c r="F45" s="35" t="str">
        <f t="shared" si="1"/>
        <v>0</v>
      </c>
      <c r="G45" s="35" t="str">
        <f t="shared" si="2"/>
        <v>0</v>
      </c>
      <c r="H45" s="35">
        <f t="shared" si="3"/>
        <v>0</v>
      </c>
      <c r="I45" s="35" t="str">
        <f t="shared" si="4"/>
        <v>0</v>
      </c>
      <c r="J45" s="35" t="str">
        <f t="shared" si="5"/>
        <v>0</v>
      </c>
      <c r="K45" s="35">
        <f t="shared" si="6"/>
        <v>0</v>
      </c>
      <c r="L45" s="92"/>
      <c r="M45" s="92"/>
      <c r="N45" s="92"/>
      <c r="O45" s="92"/>
      <c r="P45" s="92"/>
      <c r="Q45" s="92"/>
      <c r="R45" s="92"/>
    </row>
    <row r="46" spans="1:18" ht="41.45" customHeight="1" x14ac:dyDescent="0.25">
      <c r="C46" s="35"/>
      <c r="D46" s="35"/>
      <c r="E46" s="35" t="str">
        <f t="shared" si="0"/>
        <v>0</v>
      </c>
      <c r="F46" s="35" t="str">
        <f t="shared" si="1"/>
        <v>0</v>
      </c>
      <c r="G46" s="35" t="str">
        <f t="shared" si="2"/>
        <v>0</v>
      </c>
      <c r="H46" s="35" t="str">
        <f t="shared" si="3"/>
        <v>0</v>
      </c>
      <c r="I46" s="35" t="str">
        <f t="shared" si="4"/>
        <v>0</v>
      </c>
      <c r="J46" s="35" t="str">
        <f t="shared" si="5"/>
        <v>0</v>
      </c>
      <c r="K46" s="35">
        <f t="shared" si="6"/>
        <v>0</v>
      </c>
      <c r="L46" s="92"/>
      <c r="M46" s="92"/>
      <c r="N46" s="92"/>
      <c r="O46" s="92"/>
      <c r="P46" s="92"/>
      <c r="Q46" s="92"/>
      <c r="R46" s="92"/>
    </row>
    <row r="47" spans="1:18" ht="41.45" customHeight="1" x14ac:dyDescent="0.25">
      <c r="C47" s="35"/>
      <c r="D47" s="35"/>
      <c r="E47" s="35" t="str">
        <f t="shared" si="0"/>
        <v>0</v>
      </c>
      <c r="F47" s="35" t="str">
        <f t="shared" si="1"/>
        <v>0</v>
      </c>
      <c r="G47" s="35" t="str">
        <f t="shared" si="2"/>
        <v>0</v>
      </c>
      <c r="H47" s="35" t="str">
        <f t="shared" si="3"/>
        <v>0</v>
      </c>
      <c r="I47" s="35" t="str">
        <f t="shared" si="4"/>
        <v>0</v>
      </c>
      <c r="J47" s="35" t="str">
        <f t="shared" si="5"/>
        <v>0</v>
      </c>
      <c r="K47" s="35" t="str">
        <f t="shared" si="6"/>
        <v>0</v>
      </c>
      <c r="L47" s="92"/>
      <c r="M47" s="92"/>
      <c r="N47" s="92"/>
      <c r="O47" s="92"/>
      <c r="P47" s="92"/>
      <c r="Q47" s="92"/>
      <c r="R47" s="92"/>
    </row>
    <row r="48" spans="1:18" ht="41.45" customHeight="1" x14ac:dyDescent="0.25">
      <c r="C48" s="35"/>
      <c r="D48" s="35"/>
      <c r="E48" s="35" t="str">
        <f t="shared" si="0"/>
        <v>0</v>
      </c>
      <c r="F48" s="35">
        <f t="shared" si="1"/>
        <v>15</v>
      </c>
      <c r="G48" s="35" t="str">
        <f t="shared" si="2"/>
        <v>0</v>
      </c>
      <c r="H48" s="35" t="str">
        <f t="shared" si="3"/>
        <v>0</v>
      </c>
      <c r="I48" s="35" t="str">
        <f t="shared" si="4"/>
        <v>0</v>
      </c>
      <c r="J48" s="35">
        <f t="shared" si="5"/>
        <v>15</v>
      </c>
      <c r="K48" s="35" t="str">
        <f t="shared" si="6"/>
        <v>0</v>
      </c>
      <c r="L48" s="92"/>
      <c r="M48" s="92"/>
      <c r="N48" s="92"/>
      <c r="O48" s="92"/>
      <c r="P48" s="92"/>
      <c r="Q48" s="92"/>
      <c r="R48" s="92"/>
    </row>
    <row r="49" spans="3:18" ht="41.45" customHeight="1" x14ac:dyDescent="0.25">
      <c r="C49" s="35"/>
      <c r="D49" s="35"/>
      <c r="E49" s="35">
        <f t="shared" si="0"/>
        <v>15.2</v>
      </c>
      <c r="F49" s="35" t="str">
        <f t="shared" si="1"/>
        <v>0</v>
      </c>
      <c r="G49" s="35" t="str">
        <f t="shared" si="2"/>
        <v>0</v>
      </c>
      <c r="H49" s="35" t="str">
        <f t="shared" si="3"/>
        <v>0</v>
      </c>
      <c r="I49" s="35" t="str">
        <f t="shared" si="4"/>
        <v>0</v>
      </c>
      <c r="J49" s="35">
        <f t="shared" si="5"/>
        <v>15.2</v>
      </c>
      <c r="K49" s="35" t="str">
        <f t="shared" si="6"/>
        <v>0</v>
      </c>
      <c r="L49" s="92"/>
      <c r="M49" s="92"/>
      <c r="N49" s="92"/>
      <c r="O49" s="92"/>
      <c r="P49" s="92"/>
      <c r="Q49" s="92"/>
      <c r="R49" s="92"/>
    </row>
    <row r="50" spans="3:18" ht="41.45" customHeight="1" x14ac:dyDescent="0.25">
      <c r="C50" s="35"/>
      <c r="D50" s="35"/>
      <c r="E50" s="35" t="str">
        <f t="shared" si="0"/>
        <v>0</v>
      </c>
      <c r="F50" s="35" t="str">
        <f t="shared" si="1"/>
        <v>0</v>
      </c>
      <c r="G50" s="35" t="str">
        <f t="shared" si="2"/>
        <v>0</v>
      </c>
      <c r="H50" s="35" t="str">
        <f t="shared" si="3"/>
        <v>0</v>
      </c>
      <c r="I50" s="35" t="str">
        <f t="shared" si="4"/>
        <v>0</v>
      </c>
      <c r="J50" s="35" t="str">
        <f t="shared" si="5"/>
        <v>0</v>
      </c>
      <c r="K50" s="35" t="str">
        <f t="shared" si="6"/>
        <v>0</v>
      </c>
      <c r="L50" s="92"/>
      <c r="M50" s="92"/>
      <c r="N50" s="92"/>
      <c r="O50" s="92"/>
      <c r="P50" s="92"/>
      <c r="Q50" s="92"/>
      <c r="R50" s="92"/>
    </row>
    <row r="51" spans="3:18" ht="41.45" customHeight="1" x14ac:dyDescent="0.25">
      <c r="C51" s="35"/>
      <c r="D51" s="35"/>
      <c r="E51" s="35" t="str">
        <f t="shared" si="0"/>
        <v>0</v>
      </c>
      <c r="F51" s="35" t="str">
        <f t="shared" si="1"/>
        <v>0</v>
      </c>
      <c r="G51" s="35" t="str">
        <f t="shared" si="2"/>
        <v>0</v>
      </c>
      <c r="H51" s="35" t="str">
        <f t="shared" si="3"/>
        <v>0</v>
      </c>
      <c r="I51" s="35" t="str">
        <f t="shared" si="4"/>
        <v>0</v>
      </c>
      <c r="J51" s="35" t="str">
        <f t="shared" si="5"/>
        <v>0</v>
      </c>
      <c r="K51" s="35" t="str">
        <f t="shared" si="6"/>
        <v>0</v>
      </c>
      <c r="L51" s="92"/>
      <c r="M51" s="92"/>
      <c r="N51" s="92"/>
      <c r="O51" s="92"/>
      <c r="P51" s="92"/>
      <c r="Q51" s="92"/>
      <c r="R51" s="92"/>
    </row>
    <row r="52" spans="3:18" ht="41.45" customHeight="1" x14ac:dyDescent="0.25">
      <c r="C52" s="35"/>
      <c r="D52" s="35"/>
      <c r="E52" s="35" t="str">
        <f t="shared" si="0"/>
        <v>0</v>
      </c>
      <c r="F52" s="35" t="str">
        <f t="shared" si="1"/>
        <v>0</v>
      </c>
      <c r="G52" s="35" t="str">
        <f t="shared" si="2"/>
        <v>0</v>
      </c>
      <c r="H52" s="35" t="str">
        <f t="shared" si="3"/>
        <v>0</v>
      </c>
      <c r="I52" s="35" t="str">
        <f t="shared" si="4"/>
        <v>0</v>
      </c>
      <c r="J52" s="35" t="str">
        <f t="shared" si="5"/>
        <v>0</v>
      </c>
      <c r="K52" s="35" t="str">
        <f t="shared" si="6"/>
        <v>0</v>
      </c>
      <c r="L52" s="92"/>
      <c r="M52" s="92"/>
      <c r="N52" s="92"/>
      <c r="O52" s="92"/>
      <c r="P52" s="92"/>
      <c r="Q52" s="92"/>
      <c r="R52" s="92"/>
    </row>
    <row r="53" spans="3:18" ht="41.45" customHeight="1" x14ac:dyDescent="0.25">
      <c r="C53" s="35"/>
      <c r="D53" s="35"/>
      <c r="E53" s="35" t="str">
        <f t="shared" si="0"/>
        <v>0</v>
      </c>
      <c r="F53" s="35" t="str">
        <f t="shared" si="1"/>
        <v>0</v>
      </c>
      <c r="G53" s="35" t="str">
        <f t="shared" si="2"/>
        <v>0</v>
      </c>
      <c r="H53" s="35" t="str">
        <f t="shared" si="3"/>
        <v>0</v>
      </c>
      <c r="I53" s="35" t="str">
        <f t="shared" si="4"/>
        <v>0</v>
      </c>
      <c r="J53" s="35" t="str">
        <f t="shared" si="5"/>
        <v>0</v>
      </c>
      <c r="K53" s="35" t="str">
        <f t="shared" si="6"/>
        <v>0</v>
      </c>
      <c r="L53" s="92"/>
      <c r="M53" s="92"/>
      <c r="N53" s="92"/>
      <c r="O53" s="92"/>
      <c r="P53" s="92"/>
      <c r="Q53" s="92"/>
      <c r="R53" s="92"/>
    </row>
    <row r="54" spans="3:18" ht="41.45" customHeight="1" x14ac:dyDescent="0.25">
      <c r="C54" s="35"/>
      <c r="D54" s="35"/>
      <c r="E54" s="35" t="str">
        <f t="shared" si="0"/>
        <v>0</v>
      </c>
      <c r="F54" s="35" t="str">
        <f t="shared" si="1"/>
        <v>0</v>
      </c>
      <c r="G54" s="35" t="str">
        <f t="shared" si="2"/>
        <v>0</v>
      </c>
      <c r="H54" s="35" t="str">
        <f t="shared" si="3"/>
        <v>0</v>
      </c>
      <c r="I54" s="35" t="str">
        <f t="shared" si="4"/>
        <v>0</v>
      </c>
      <c r="J54" s="35" t="str">
        <f t="shared" si="5"/>
        <v>0</v>
      </c>
      <c r="K54" s="35" t="str">
        <f t="shared" si="6"/>
        <v>0</v>
      </c>
      <c r="L54" s="92"/>
      <c r="M54" s="92"/>
      <c r="N54" s="92"/>
      <c r="O54" s="92"/>
      <c r="P54" s="92"/>
      <c r="Q54" s="92"/>
      <c r="R54" s="92"/>
    </row>
    <row r="55" spans="3:18" ht="41.45" customHeight="1" x14ac:dyDescent="0.25">
      <c r="C55" s="35"/>
      <c r="D55" s="35"/>
      <c r="E55" s="35" t="str">
        <f t="shared" si="0"/>
        <v>0</v>
      </c>
      <c r="F55" s="35" t="str">
        <f t="shared" si="1"/>
        <v>0</v>
      </c>
      <c r="G55" s="35" t="str">
        <f t="shared" si="2"/>
        <v>0</v>
      </c>
      <c r="H55" s="35" t="str">
        <f t="shared" si="3"/>
        <v>0</v>
      </c>
      <c r="I55" s="35" t="str">
        <f t="shared" si="4"/>
        <v>0</v>
      </c>
      <c r="J55" s="35" t="str">
        <f t="shared" si="5"/>
        <v>0</v>
      </c>
      <c r="K55" s="35" t="str">
        <f t="shared" si="6"/>
        <v>0</v>
      </c>
      <c r="L55" s="92"/>
      <c r="M55" s="92"/>
      <c r="N55" s="92"/>
      <c r="O55" s="92"/>
      <c r="P55" s="92"/>
      <c r="Q55" s="92"/>
      <c r="R55" s="92"/>
    </row>
    <row r="56" spans="3:18" ht="41.45" customHeight="1" x14ac:dyDescent="0.25">
      <c r="C56" s="35"/>
      <c r="D56" s="35"/>
      <c r="E56" s="35" t="str">
        <f t="shared" si="0"/>
        <v>0</v>
      </c>
      <c r="F56" s="35" t="str">
        <f t="shared" si="1"/>
        <v>0</v>
      </c>
      <c r="G56" s="35" t="str">
        <f t="shared" si="2"/>
        <v>0</v>
      </c>
      <c r="H56" s="35" t="str">
        <f t="shared" si="3"/>
        <v>0</v>
      </c>
      <c r="I56" s="35" t="str">
        <f t="shared" si="4"/>
        <v>0</v>
      </c>
      <c r="J56" s="35" t="str">
        <f t="shared" si="5"/>
        <v>0</v>
      </c>
      <c r="K56" s="35" t="str">
        <f t="shared" si="6"/>
        <v>0</v>
      </c>
      <c r="L56" s="92"/>
      <c r="M56" s="92"/>
      <c r="N56" s="92"/>
      <c r="O56" s="92"/>
      <c r="P56" s="92"/>
      <c r="Q56" s="92"/>
      <c r="R56" s="92"/>
    </row>
    <row r="57" spans="3:18" ht="41.45" customHeight="1" x14ac:dyDescent="0.25">
      <c r="C57" s="35"/>
      <c r="D57" s="35"/>
      <c r="E57" s="35" t="str">
        <f t="shared" si="0"/>
        <v>0</v>
      </c>
      <c r="F57" s="35" t="str">
        <f t="shared" si="1"/>
        <v>0</v>
      </c>
      <c r="G57" s="35" t="str">
        <f t="shared" si="2"/>
        <v>0</v>
      </c>
      <c r="H57" s="35" t="str">
        <f t="shared" si="3"/>
        <v>0</v>
      </c>
      <c r="I57" s="35" t="str">
        <f t="shared" si="4"/>
        <v>0</v>
      </c>
      <c r="J57" s="35" t="str">
        <f t="shared" si="5"/>
        <v>0</v>
      </c>
      <c r="K57" s="35" t="str">
        <f t="shared" si="6"/>
        <v>0</v>
      </c>
      <c r="L57" s="92"/>
      <c r="M57" s="92"/>
      <c r="N57" s="92"/>
      <c r="O57" s="92"/>
      <c r="P57" s="92"/>
      <c r="Q57" s="92"/>
      <c r="R57" s="92"/>
    </row>
    <row r="58" spans="3:18" ht="41.45" customHeight="1" x14ac:dyDescent="0.25">
      <c r="C58" s="35"/>
      <c r="D58" s="35"/>
      <c r="E58" s="35" t="str">
        <f t="shared" si="0"/>
        <v>0</v>
      </c>
      <c r="F58" s="35" t="str">
        <f t="shared" si="1"/>
        <v>0</v>
      </c>
      <c r="G58" s="35" t="str">
        <f t="shared" si="2"/>
        <v>0</v>
      </c>
      <c r="H58" s="35" t="str">
        <f t="shared" si="3"/>
        <v>0</v>
      </c>
      <c r="I58" s="35" t="str">
        <f t="shared" si="4"/>
        <v>0</v>
      </c>
      <c r="J58" s="35" t="str">
        <f t="shared" si="5"/>
        <v>0</v>
      </c>
      <c r="K58" s="35" t="str">
        <f t="shared" si="6"/>
        <v>0</v>
      </c>
      <c r="L58" s="92"/>
      <c r="M58" s="92"/>
      <c r="N58" s="92"/>
      <c r="O58" s="92"/>
      <c r="P58" s="92"/>
      <c r="Q58" s="92"/>
      <c r="R58" s="92"/>
    </row>
    <row r="59" spans="3:18" ht="41.45" customHeight="1" x14ac:dyDescent="0.25">
      <c r="C59" s="35"/>
      <c r="D59" s="35"/>
      <c r="E59" s="35" t="str">
        <f t="shared" si="0"/>
        <v>0</v>
      </c>
      <c r="F59" s="35" t="str">
        <f t="shared" si="1"/>
        <v>0</v>
      </c>
      <c r="G59" s="35" t="str">
        <f t="shared" si="2"/>
        <v>0</v>
      </c>
      <c r="H59" s="35" t="str">
        <f t="shared" si="3"/>
        <v>0</v>
      </c>
      <c r="I59" s="35" t="str">
        <f t="shared" si="4"/>
        <v>0</v>
      </c>
      <c r="J59" s="35" t="str">
        <f t="shared" si="5"/>
        <v>0</v>
      </c>
      <c r="K59" s="35" t="str">
        <f t="shared" si="6"/>
        <v>0</v>
      </c>
      <c r="L59" s="92"/>
      <c r="M59" s="92"/>
      <c r="N59" s="92"/>
      <c r="O59" s="92"/>
      <c r="P59" s="92"/>
      <c r="Q59" s="92"/>
      <c r="R59" s="92"/>
    </row>
    <row r="60" spans="3:18" ht="41.45" customHeight="1" x14ac:dyDescent="0.25">
      <c r="C60" s="35"/>
      <c r="D60" s="35"/>
      <c r="E60" s="35" t="str">
        <f t="shared" si="0"/>
        <v>0</v>
      </c>
      <c r="F60" s="35" t="str">
        <f t="shared" si="1"/>
        <v>0</v>
      </c>
      <c r="G60" s="35" t="str">
        <f t="shared" si="2"/>
        <v>0</v>
      </c>
      <c r="H60" s="35" t="str">
        <f t="shared" si="3"/>
        <v>0</v>
      </c>
      <c r="I60" s="35" t="str">
        <f t="shared" si="4"/>
        <v>0</v>
      </c>
      <c r="J60" s="35" t="str">
        <f t="shared" si="5"/>
        <v>0</v>
      </c>
      <c r="K60" s="35" t="str">
        <f t="shared" si="6"/>
        <v>0</v>
      </c>
      <c r="L60" s="92"/>
      <c r="M60" s="92"/>
      <c r="N60" s="92"/>
      <c r="O60" s="92"/>
      <c r="P60" s="92"/>
      <c r="Q60" s="92"/>
      <c r="R60" s="92"/>
    </row>
    <row r="61" spans="3:18" ht="41.45" customHeight="1" x14ac:dyDescent="0.25">
      <c r="C61" s="35"/>
      <c r="D61" s="35"/>
      <c r="E61" s="35" t="str">
        <f t="shared" si="0"/>
        <v>0</v>
      </c>
      <c r="F61" s="35" t="str">
        <f t="shared" si="1"/>
        <v>0</v>
      </c>
      <c r="G61" s="35" t="str">
        <f t="shared" si="2"/>
        <v>0</v>
      </c>
      <c r="H61" s="35" t="str">
        <f t="shared" si="3"/>
        <v>0</v>
      </c>
      <c r="I61" s="35" t="str">
        <f t="shared" si="4"/>
        <v>0</v>
      </c>
      <c r="J61" s="35" t="str">
        <f t="shared" si="5"/>
        <v>0</v>
      </c>
      <c r="K61" s="35" t="str">
        <f t="shared" si="6"/>
        <v>0</v>
      </c>
      <c r="L61" s="92"/>
      <c r="M61" s="92"/>
      <c r="N61" s="92"/>
      <c r="O61" s="92"/>
      <c r="P61" s="92"/>
      <c r="Q61" s="92"/>
      <c r="R61" s="92"/>
    </row>
    <row r="62" spans="3:18" ht="41.45" customHeight="1" x14ac:dyDescent="0.25">
      <c r="C62" s="35"/>
      <c r="D62" s="35"/>
      <c r="E62" s="35">
        <f>SUM(E36:E61)</f>
        <v>15.2</v>
      </c>
      <c r="F62" s="35">
        <f t="shared" ref="F62:K62" si="7">SUM(F36:F61)</f>
        <v>32.06</v>
      </c>
      <c r="G62" s="35">
        <f t="shared" si="7"/>
        <v>0</v>
      </c>
      <c r="H62" s="35">
        <f t="shared" si="7"/>
        <v>3.4999999999999996</v>
      </c>
      <c r="I62" s="35">
        <f t="shared" si="7"/>
        <v>0</v>
      </c>
      <c r="J62" s="35">
        <f t="shared" si="7"/>
        <v>30.2</v>
      </c>
      <c r="K62" s="35">
        <f t="shared" si="7"/>
        <v>7.259999999999998</v>
      </c>
      <c r="L62" s="92"/>
      <c r="M62" s="92"/>
      <c r="N62" s="92"/>
      <c r="O62" s="92"/>
      <c r="P62" s="92"/>
      <c r="Q62" s="92"/>
      <c r="R62" s="92"/>
    </row>
    <row r="63" spans="3:18" ht="41.45" customHeight="1" x14ac:dyDescent="0.25">
      <c r="C63" s="35"/>
      <c r="D63" s="35"/>
      <c r="E63" s="35"/>
      <c r="F63" s="31"/>
      <c r="G63" s="31"/>
      <c r="H63" s="31"/>
      <c r="I63" s="31"/>
      <c r="J63" s="31"/>
      <c r="K63" s="31"/>
      <c r="L63" s="92"/>
      <c r="M63" s="92"/>
      <c r="N63" s="92"/>
      <c r="O63" s="92"/>
      <c r="P63" s="92"/>
      <c r="Q63" s="92"/>
      <c r="R63" s="92"/>
    </row>
    <row r="64" spans="3:18" ht="41.45" customHeight="1" x14ac:dyDescent="0.25">
      <c r="C64" s="35"/>
      <c r="D64" s="35"/>
      <c r="E64" s="35"/>
      <c r="F64" s="31"/>
      <c r="G64" s="31"/>
      <c r="H64" s="31"/>
      <c r="I64" s="31"/>
      <c r="J64" s="31"/>
      <c r="K64" s="31"/>
      <c r="L64" s="92"/>
      <c r="M64" s="92"/>
      <c r="N64" s="92"/>
      <c r="O64" s="92"/>
      <c r="P64" s="92"/>
      <c r="Q64" s="92"/>
      <c r="R64" s="92"/>
    </row>
    <row r="65" spans="3:18" ht="41.45" customHeight="1" x14ac:dyDescent="0.25">
      <c r="C65" s="35"/>
      <c r="D65" s="35"/>
      <c r="E65" s="35"/>
      <c r="F65" s="31"/>
      <c r="G65" s="31"/>
      <c r="H65" s="31"/>
      <c r="I65" s="31"/>
      <c r="J65" s="31"/>
      <c r="K65" s="31"/>
      <c r="L65" s="92"/>
      <c r="M65" s="92"/>
      <c r="N65" s="92"/>
      <c r="O65" s="92"/>
      <c r="P65" s="92"/>
      <c r="Q65" s="92"/>
      <c r="R65" s="92"/>
    </row>
    <row r="66" spans="3:18" ht="41.45" customHeight="1" x14ac:dyDescent="0.25">
      <c r="C66" s="35"/>
      <c r="D66" s="35"/>
      <c r="E66" s="35"/>
      <c r="F66" s="31"/>
      <c r="G66" s="31"/>
      <c r="H66" s="31"/>
      <c r="I66" s="31"/>
      <c r="J66" s="31"/>
      <c r="K66" s="31"/>
      <c r="L66" s="92"/>
      <c r="M66" s="92"/>
      <c r="N66" s="92"/>
      <c r="O66" s="92"/>
      <c r="P66" s="92"/>
      <c r="Q66" s="92"/>
      <c r="R66" s="92"/>
    </row>
    <row r="67" spans="3:18" ht="41.45" customHeight="1" x14ac:dyDescent="0.25">
      <c r="C67" s="35"/>
      <c r="D67" s="35"/>
      <c r="E67" s="35"/>
      <c r="F67" s="31"/>
      <c r="G67" s="31"/>
      <c r="H67" s="31"/>
      <c r="I67" s="31"/>
      <c r="J67" s="31"/>
      <c r="K67" s="31"/>
      <c r="L67" s="92"/>
      <c r="M67" s="92"/>
      <c r="N67" s="92"/>
      <c r="O67" s="92"/>
      <c r="P67" s="92"/>
      <c r="Q67" s="92"/>
      <c r="R67" s="92"/>
    </row>
    <row r="68" spans="3:18" ht="41.45" customHeight="1" x14ac:dyDescent="0.25">
      <c r="C68" s="35"/>
      <c r="D68" s="35"/>
      <c r="E68" s="35"/>
      <c r="F68" s="31"/>
      <c r="G68" s="31"/>
      <c r="H68" s="31"/>
      <c r="I68" s="31"/>
      <c r="J68" s="31"/>
      <c r="K68" s="31"/>
      <c r="L68" s="92"/>
      <c r="M68" s="92"/>
      <c r="N68" s="92"/>
      <c r="O68" s="92"/>
      <c r="P68" s="92"/>
      <c r="Q68" s="92"/>
      <c r="R68" s="92"/>
    </row>
  </sheetData>
  <mergeCells count="73">
    <mergeCell ref="A5:A6"/>
    <mergeCell ref="B5:B6"/>
    <mergeCell ref="C5:C6"/>
    <mergeCell ref="D5:D6"/>
    <mergeCell ref="E5:H5"/>
    <mergeCell ref="L11:R11"/>
    <mergeCell ref="I1:I2"/>
    <mergeCell ref="J1:J2"/>
    <mergeCell ref="L1:M2"/>
    <mergeCell ref="N1:R2"/>
    <mergeCell ref="I5:K5"/>
    <mergeCell ref="L5:R6"/>
    <mergeCell ref="L7:R7"/>
    <mergeCell ref="L8:R8"/>
    <mergeCell ref="L9:R9"/>
    <mergeCell ref="L10:R10"/>
    <mergeCell ref="L23:R23"/>
    <mergeCell ref="L12:R12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35:R35"/>
    <mergeCell ref="L24:R24"/>
    <mergeCell ref="L25:R25"/>
    <mergeCell ref="L26:R26"/>
    <mergeCell ref="L27:R27"/>
    <mergeCell ref="L28:R28"/>
    <mergeCell ref="L29:R29"/>
    <mergeCell ref="L30:R30"/>
    <mergeCell ref="L31:R31"/>
    <mergeCell ref="L32:R32"/>
    <mergeCell ref="L33:R33"/>
    <mergeCell ref="L34:R34"/>
    <mergeCell ref="L47:R47"/>
    <mergeCell ref="L36:R36"/>
    <mergeCell ref="L37:R37"/>
    <mergeCell ref="L38:R38"/>
    <mergeCell ref="L39:R39"/>
    <mergeCell ref="L40:R40"/>
    <mergeCell ref="L41:R41"/>
    <mergeCell ref="L42:R42"/>
    <mergeCell ref="L43:R43"/>
    <mergeCell ref="L44:R44"/>
    <mergeCell ref="L45:R45"/>
    <mergeCell ref="L46:R46"/>
    <mergeCell ref="L59:R59"/>
    <mergeCell ref="L48:R48"/>
    <mergeCell ref="L49:R49"/>
    <mergeCell ref="L50:R50"/>
    <mergeCell ref="L51:R51"/>
    <mergeCell ref="L52:R52"/>
    <mergeCell ref="L53:R53"/>
    <mergeCell ref="L54:R54"/>
    <mergeCell ref="L55:R55"/>
    <mergeCell ref="L56:R56"/>
    <mergeCell ref="L57:R57"/>
    <mergeCell ref="L58:R58"/>
    <mergeCell ref="L66:R66"/>
    <mergeCell ref="L67:R67"/>
    <mergeCell ref="L68:R68"/>
    <mergeCell ref="L60:R60"/>
    <mergeCell ref="L61:R61"/>
    <mergeCell ref="L62:R62"/>
    <mergeCell ref="L63:R63"/>
    <mergeCell ref="L64:R64"/>
    <mergeCell ref="L65:R65"/>
  </mergeCells>
  <phoneticPr fontId="21" type="noConversion"/>
  <pageMargins left="0.51181102362204722" right="0.51181102362204722" top="0.78740157480314965" bottom="0.78740157480314965" header="0.31496062992125984" footer="0.31496062992125984"/>
  <pageSetup paperSize="9" scale="31" orientation="landscape" horizontalDpi="1200" verticalDpi="1200" r:id="rId1"/>
  <colBreaks count="1" manualBreakCount="1">
    <brk id="18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57310-F150-449A-B8FD-2A2AEE609FC9}">
  <sheetPr>
    <tabColor theme="2"/>
    <pageSetUpPr fitToPage="1"/>
  </sheetPr>
  <dimension ref="A1:R68"/>
  <sheetViews>
    <sheetView tabSelected="1" view="pageBreakPreview" zoomScale="40" zoomScaleNormal="10" zoomScaleSheetLayoutView="40" workbookViewId="0">
      <selection activeCell="D14" sqref="D14"/>
    </sheetView>
  </sheetViews>
  <sheetFormatPr defaultColWidth="8.85546875" defaultRowHeight="15" x14ac:dyDescent="0.25"/>
  <cols>
    <col min="1" max="1" width="33.28515625" style="1" customWidth="1"/>
    <col min="2" max="2" width="17.140625" style="1" customWidth="1"/>
    <col min="3" max="4" width="13.42578125" style="1" customWidth="1"/>
    <col min="5" max="5" width="26.5703125" style="2" customWidth="1"/>
    <col min="6" max="6" width="30.140625" style="2" customWidth="1"/>
    <col min="7" max="7" width="26.5703125" style="2" customWidth="1"/>
    <col min="8" max="8" width="33.140625" style="2" customWidth="1"/>
    <col min="9" max="11" width="32" style="2" customWidth="1"/>
    <col min="12" max="14" width="14.42578125" style="1" customWidth="1"/>
    <col min="15" max="17" width="14.7109375" style="1" customWidth="1"/>
    <col min="18" max="18" width="37.42578125" style="1" customWidth="1"/>
    <col min="19" max="16384" width="8.85546875" style="1"/>
  </cols>
  <sheetData>
    <row r="1" spans="1:18" ht="19.5" x14ac:dyDescent="0.3">
      <c r="A1" s="9" t="s">
        <v>0</v>
      </c>
      <c r="B1" s="10"/>
      <c r="C1" s="10"/>
      <c r="D1" s="10"/>
      <c r="E1" s="11"/>
      <c r="F1" s="12"/>
      <c r="G1" s="11"/>
      <c r="H1" s="11"/>
      <c r="I1" s="98" t="s">
        <v>3</v>
      </c>
      <c r="J1" s="120">
        <f>'245'!J1</f>
        <v>46204</v>
      </c>
      <c r="K1" s="11"/>
      <c r="L1" s="102" t="s">
        <v>4</v>
      </c>
      <c r="M1" s="102"/>
      <c r="N1" s="104" t="str">
        <f>'245'!N1</f>
        <v>ENG. THIAGO TORQUATO</v>
      </c>
      <c r="O1" s="104"/>
      <c r="P1" s="104"/>
      <c r="Q1" s="104"/>
      <c r="R1" s="105"/>
    </row>
    <row r="2" spans="1:18" ht="20.25" thickBot="1" x14ac:dyDescent="0.35">
      <c r="A2" s="13"/>
      <c r="B2" s="14"/>
      <c r="C2" s="14"/>
      <c r="D2" s="14"/>
      <c r="E2" s="15"/>
      <c r="F2" s="16" t="s">
        <v>9</v>
      </c>
      <c r="G2" s="15"/>
      <c r="H2" s="15"/>
      <c r="I2" s="99"/>
      <c r="J2" s="121"/>
      <c r="K2" s="16"/>
      <c r="L2" s="103"/>
      <c r="M2" s="103"/>
      <c r="N2" s="106"/>
      <c r="O2" s="106"/>
      <c r="P2" s="106"/>
      <c r="Q2" s="106"/>
      <c r="R2" s="107"/>
    </row>
    <row r="3" spans="1:18" ht="25.5" x14ac:dyDescent="0.35">
      <c r="A3" s="13" t="s">
        <v>21</v>
      </c>
      <c r="B3" s="45" t="str">
        <f>TT!C6</f>
        <v>RODOVIA TO-296 - TRECHO ENTR. BR-242 (POVOADO SÃO BOM JESUS DAS PALMAS) - ENTR. TO-050</v>
      </c>
      <c r="C3" s="14"/>
      <c r="D3" s="14"/>
      <c r="E3" s="15"/>
      <c r="F3" s="15"/>
      <c r="G3" s="15"/>
      <c r="H3" s="15"/>
      <c r="I3" s="47" t="s">
        <v>107</v>
      </c>
      <c r="J3" s="47">
        <v>13</v>
      </c>
      <c r="K3" s="15"/>
      <c r="L3" s="14"/>
      <c r="M3" s="14"/>
      <c r="N3" s="14"/>
      <c r="O3" s="14"/>
      <c r="P3" s="14"/>
      <c r="Q3" s="14"/>
      <c r="R3" s="17"/>
    </row>
    <row r="4" spans="1:18" ht="19.899999999999999" thickBot="1" x14ac:dyDescent="0.4">
      <c r="A4" s="18"/>
      <c r="B4" s="14"/>
      <c r="C4" s="14"/>
      <c r="D4" s="14"/>
      <c r="E4" s="15"/>
      <c r="F4" s="15"/>
      <c r="G4" s="15"/>
      <c r="H4" s="15"/>
      <c r="I4" s="15"/>
      <c r="J4" s="15"/>
      <c r="K4" s="15"/>
      <c r="L4" s="14"/>
      <c r="M4" s="14"/>
      <c r="N4" s="14"/>
      <c r="O4" s="14"/>
      <c r="P4" s="14"/>
      <c r="Q4" s="14"/>
      <c r="R4" s="17"/>
    </row>
    <row r="5" spans="1:18" s="5" customFormat="1" ht="54" customHeight="1" x14ac:dyDescent="0.25">
      <c r="A5" s="112" t="s">
        <v>1</v>
      </c>
      <c r="B5" s="108" t="s">
        <v>7</v>
      </c>
      <c r="C5" s="114" t="s">
        <v>5</v>
      </c>
      <c r="D5" s="114" t="s">
        <v>6</v>
      </c>
      <c r="E5" s="108" t="s">
        <v>10</v>
      </c>
      <c r="F5" s="108"/>
      <c r="G5" s="108"/>
      <c r="H5" s="108"/>
      <c r="I5" s="108" t="s">
        <v>11</v>
      </c>
      <c r="J5" s="108"/>
      <c r="K5" s="108"/>
      <c r="L5" s="108" t="s">
        <v>8</v>
      </c>
      <c r="M5" s="108"/>
      <c r="N5" s="108"/>
      <c r="O5" s="108"/>
      <c r="P5" s="108"/>
      <c r="Q5" s="108"/>
      <c r="R5" s="109"/>
    </row>
    <row r="6" spans="1:18" s="6" customFormat="1" ht="79.150000000000006" customHeight="1" x14ac:dyDescent="0.25">
      <c r="A6" s="113"/>
      <c r="B6" s="110"/>
      <c r="C6" s="110"/>
      <c r="D6" s="110"/>
      <c r="E6" s="7" t="s">
        <v>2</v>
      </c>
      <c r="F6" s="8" t="s">
        <v>15</v>
      </c>
      <c r="G6" s="8" t="s">
        <v>16</v>
      </c>
      <c r="H6" s="8" t="s">
        <v>17</v>
      </c>
      <c r="I6" s="7" t="s">
        <v>12</v>
      </c>
      <c r="J6" s="7" t="s">
        <v>13</v>
      </c>
      <c r="K6" s="7" t="s">
        <v>14</v>
      </c>
      <c r="L6" s="110"/>
      <c r="M6" s="110"/>
      <c r="N6" s="110"/>
      <c r="O6" s="110"/>
      <c r="P6" s="110"/>
      <c r="Q6" s="110"/>
      <c r="R6" s="111"/>
    </row>
    <row r="7" spans="1:18" ht="41.45" customHeight="1" x14ac:dyDescent="0.25">
      <c r="A7" s="32" t="s">
        <v>64</v>
      </c>
      <c r="B7" s="21" t="s">
        <v>121</v>
      </c>
      <c r="C7" s="22">
        <v>0</v>
      </c>
      <c r="D7" s="22">
        <v>21.6</v>
      </c>
      <c r="E7" s="21"/>
      <c r="F7" s="21" t="s">
        <v>109</v>
      </c>
      <c r="G7" s="21"/>
      <c r="H7" s="21"/>
      <c r="I7" s="21" t="s">
        <v>109</v>
      </c>
      <c r="J7" s="21"/>
      <c r="K7" s="21"/>
      <c r="L7" s="96"/>
      <c r="M7" s="96"/>
      <c r="N7" s="96"/>
      <c r="O7" s="96"/>
      <c r="P7" s="96"/>
      <c r="Q7" s="96"/>
      <c r="R7" s="97"/>
    </row>
    <row r="8" spans="1:18" ht="41.45" customHeight="1" x14ac:dyDescent="0.25">
      <c r="A8" s="32" t="s">
        <v>64</v>
      </c>
      <c r="B8" s="21"/>
      <c r="C8" s="22">
        <v>21.6</v>
      </c>
      <c r="D8" s="22">
        <v>38.4</v>
      </c>
      <c r="E8" s="21"/>
      <c r="F8" s="21" t="s">
        <v>109</v>
      </c>
      <c r="G8" s="21"/>
      <c r="H8" s="21"/>
      <c r="I8" s="21"/>
      <c r="J8" s="21" t="s">
        <v>109</v>
      </c>
      <c r="K8" s="21"/>
      <c r="L8" s="96"/>
      <c r="M8" s="96"/>
      <c r="N8" s="96"/>
      <c r="O8" s="96"/>
      <c r="P8" s="96"/>
      <c r="Q8" s="96"/>
      <c r="R8" s="97"/>
    </row>
    <row r="9" spans="1:18" ht="41.45" customHeight="1" x14ac:dyDescent="0.25">
      <c r="A9" s="32" t="s">
        <v>64</v>
      </c>
      <c r="B9" s="21"/>
      <c r="C9" s="22">
        <v>38.4</v>
      </c>
      <c r="D9" s="22">
        <v>50.62</v>
      </c>
      <c r="E9" s="21"/>
      <c r="F9" s="21" t="s">
        <v>109</v>
      </c>
      <c r="G9" s="21"/>
      <c r="H9" s="21"/>
      <c r="I9" s="21"/>
      <c r="J9" s="21" t="s">
        <v>109</v>
      </c>
      <c r="K9" s="21"/>
      <c r="L9" s="96"/>
      <c r="M9" s="96"/>
      <c r="N9" s="96"/>
      <c r="O9" s="96"/>
      <c r="P9" s="96"/>
      <c r="Q9" s="96"/>
      <c r="R9" s="97"/>
    </row>
    <row r="10" spans="1:18" ht="41.45" customHeight="1" x14ac:dyDescent="0.25">
      <c r="A10" s="32"/>
      <c r="B10" s="21"/>
      <c r="C10" s="22"/>
      <c r="D10" s="22"/>
      <c r="E10" s="21"/>
      <c r="F10" s="21"/>
      <c r="G10" s="21"/>
      <c r="H10" s="21"/>
      <c r="I10" s="21"/>
      <c r="J10" s="21"/>
      <c r="K10" s="21"/>
      <c r="L10" s="96"/>
      <c r="M10" s="96"/>
      <c r="N10" s="96"/>
      <c r="O10" s="96"/>
      <c r="P10" s="96"/>
      <c r="Q10" s="96"/>
      <c r="R10" s="97"/>
    </row>
    <row r="11" spans="1:18" ht="41.45" customHeight="1" x14ac:dyDescent="0.25">
      <c r="A11" s="32"/>
      <c r="B11" s="21"/>
      <c r="C11" s="22"/>
      <c r="D11" s="22"/>
      <c r="E11" s="21"/>
      <c r="F11" s="21"/>
      <c r="G11" s="21"/>
      <c r="H11" s="21"/>
      <c r="I11" s="21"/>
      <c r="J11" s="21"/>
      <c r="K11" s="21"/>
      <c r="L11" s="96"/>
      <c r="M11" s="96"/>
      <c r="N11" s="96"/>
      <c r="O11" s="96"/>
      <c r="P11" s="96"/>
      <c r="Q11" s="96"/>
      <c r="R11" s="97"/>
    </row>
    <row r="12" spans="1:18" ht="41.45" customHeight="1" x14ac:dyDescent="0.25">
      <c r="A12" s="32"/>
      <c r="B12" s="21"/>
      <c r="C12" s="22"/>
      <c r="D12" s="22"/>
      <c r="E12" s="21"/>
      <c r="F12" s="21"/>
      <c r="G12" s="21"/>
      <c r="H12" s="21"/>
      <c r="I12" s="21"/>
      <c r="J12" s="21"/>
      <c r="K12" s="21"/>
      <c r="L12" s="96"/>
      <c r="M12" s="96"/>
      <c r="N12" s="96"/>
      <c r="O12" s="96"/>
      <c r="P12" s="96"/>
      <c r="Q12" s="96"/>
      <c r="R12" s="97"/>
    </row>
    <row r="13" spans="1:18" ht="41.45" customHeight="1" x14ac:dyDescent="0.25">
      <c r="A13" s="32"/>
      <c r="B13" s="21"/>
      <c r="C13" s="22"/>
      <c r="D13" s="22"/>
      <c r="E13" s="21"/>
      <c r="F13" s="21"/>
      <c r="G13" s="21"/>
      <c r="H13" s="21"/>
      <c r="I13" s="21"/>
      <c r="J13" s="21"/>
      <c r="K13" s="21"/>
      <c r="L13" s="96"/>
      <c r="M13" s="96"/>
      <c r="N13" s="96"/>
      <c r="O13" s="96"/>
      <c r="P13" s="96"/>
      <c r="Q13" s="96"/>
      <c r="R13" s="97"/>
    </row>
    <row r="14" spans="1:18" ht="41.45" customHeight="1" x14ac:dyDescent="0.25">
      <c r="A14" s="32"/>
      <c r="B14" s="21"/>
      <c r="C14" s="22"/>
      <c r="D14" s="22"/>
      <c r="E14" s="21"/>
      <c r="F14" s="21"/>
      <c r="G14" s="21"/>
      <c r="H14" s="21"/>
      <c r="I14" s="21"/>
      <c r="J14" s="21"/>
      <c r="K14" s="21"/>
      <c r="L14" s="96"/>
      <c r="M14" s="96"/>
      <c r="N14" s="96"/>
      <c r="O14" s="96"/>
      <c r="P14" s="96"/>
      <c r="Q14" s="96"/>
      <c r="R14" s="97"/>
    </row>
    <row r="15" spans="1:18" ht="41.45" customHeight="1" x14ac:dyDescent="0.25">
      <c r="A15" s="32"/>
      <c r="B15" s="21"/>
      <c r="C15" s="22"/>
      <c r="D15" s="22"/>
      <c r="E15" s="21"/>
      <c r="F15" s="21"/>
      <c r="G15" s="21"/>
      <c r="H15" s="21"/>
      <c r="I15" s="21"/>
      <c r="J15" s="21"/>
      <c r="K15" s="21"/>
      <c r="L15" s="96"/>
      <c r="M15" s="96"/>
      <c r="N15" s="96"/>
      <c r="O15" s="96"/>
      <c r="P15" s="96"/>
      <c r="Q15" s="96"/>
      <c r="R15" s="97"/>
    </row>
    <row r="16" spans="1:18" ht="41.45" customHeight="1" x14ac:dyDescent="0.25">
      <c r="A16" s="32"/>
      <c r="B16" s="21"/>
      <c r="C16" s="22"/>
      <c r="D16" s="22"/>
      <c r="E16" s="21"/>
      <c r="F16" s="21"/>
      <c r="G16" s="21"/>
      <c r="H16" s="21"/>
      <c r="I16" s="21"/>
      <c r="J16" s="21"/>
      <c r="K16" s="21"/>
      <c r="L16" s="96"/>
      <c r="M16" s="96"/>
      <c r="N16" s="96"/>
      <c r="O16" s="96"/>
      <c r="P16" s="96"/>
      <c r="Q16" s="96"/>
      <c r="R16" s="97"/>
    </row>
    <row r="17" spans="1:18" ht="41.45" customHeight="1" x14ac:dyDescent="0.25">
      <c r="A17" s="32"/>
      <c r="B17" s="21"/>
      <c r="C17" s="22"/>
      <c r="D17" s="22"/>
      <c r="E17" s="21"/>
      <c r="F17" s="21"/>
      <c r="G17" s="21"/>
      <c r="H17" s="21"/>
      <c r="I17" s="21"/>
      <c r="J17" s="21"/>
      <c r="K17" s="21"/>
      <c r="L17" s="96"/>
      <c r="M17" s="96"/>
      <c r="N17" s="96"/>
      <c r="O17" s="96"/>
      <c r="P17" s="96"/>
      <c r="Q17" s="96"/>
      <c r="R17" s="97"/>
    </row>
    <row r="18" spans="1:18" ht="41.45" customHeight="1" x14ac:dyDescent="0.25">
      <c r="A18" s="19"/>
      <c r="B18" s="3"/>
      <c r="C18" s="22"/>
      <c r="D18" s="22"/>
      <c r="E18" s="21"/>
      <c r="F18" s="21"/>
      <c r="G18" s="21"/>
      <c r="H18" s="21"/>
      <c r="I18" s="21"/>
      <c r="J18" s="21"/>
      <c r="K18" s="21"/>
      <c r="L18" s="96"/>
      <c r="M18" s="96"/>
      <c r="N18" s="96"/>
      <c r="O18" s="96"/>
      <c r="P18" s="96"/>
      <c r="Q18" s="96"/>
      <c r="R18" s="97"/>
    </row>
    <row r="19" spans="1:18" ht="41.45" customHeight="1" x14ac:dyDescent="0.25">
      <c r="A19" s="19"/>
      <c r="B19" s="3"/>
      <c r="C19" s="22"/>
      <c r="D19" s="22"/>
      <c r="E19" s="21"/>
      <c r="F19" s="21"/>
      <c r="G19" s="21"/>
      <c r="H19" s="21"/>
      <c r="I19" s="21"/>
      <c r="J19" s="21"/>
      <c r="K19" s="21"/>
      <c r="L19" s="96"/>
      <c r="M19" s="96"/>
      <c r="N19" s="96"/>
      <c r="O19" s="96"/>
      <c r="P19" s="96"/>
      <c r="Q19" s="96"/>
      <c r="R19" s="97"/>
    </row>
    <row r="20" spans="1:18" ht="41.45" customHeight="1" x14ac:dyDescent="0.25">
      <c r="A20" s="19"/>
      <c r="B20" s="3"/>
      <c r="C20" s="22"/>
      <c r="D20" s="22"/>
      <c r="E20" s="21"/>
      <c r="F20" s="21"/>
      <c r="G20" s="21"/>
      <c r="H20" s="21"/>
      <c r="I20" s="21"/>
      <c r="J20" s="21"/>
      <c r="K20" s="21"/>
      <c r="L20" s="96"/>
      <c r="M20" s="96"/>
      <c r="N20" s="96"/>
      <c r="O20" s="96"/>
      <c r="P20" s="96"/>
      <c r="Q20" s="96"/>
      <c r="R20" s="97"/>
    </row>
    <row r="21" spans="1:18" ht="41.45" customHeight="1" x14ac:dyDescent="0.25">
      <c r="A21" s="19"/>
      <c r="B21" s="3"/>
      <c r="C21" s="22"/>
      <c r="D21" s="22"/>
      <c r="E21" s="21"/>
      <c r="F21" s="21"/>
      <c r="G21" s="21"/>
      <c r="H21" s="21"/>
      <c r="I21" s="21"/>
      <c r="J21" s="21"/>
      <c r="K21" s="21"/>
      <c r="L21" s="96"/>
      <c r="M21" s="96"/>
      <c r="N21" s="96"/>
      <c r="O21" s="96"/>
      <c r="P21" s="96"/>
      <c r="Q21" s="96"/>
      <c r="R21" s="97"/>
    </row>
    <row r="22" spans="1:18" ht="41.45" customHeight="1" x14ac:dyDescent="0.25">
      <c r="A22" s="19"/>
      <c r="B22" s="3"/>
      <c r="C22" s="22"/>
      <c r="D22" s="22"/>
      <c r="E22" s="21"/>
      <c r="F22" s="21"/>
      <c r="G22" s="21"/>
      <c r="H22" s="21"/>
      <c r="I22" s="21"/>
      <c r="J22" s="21"/>
      <c r="K22" s="21"/>
      <c r="L22" s="96"/>
      <c r="M22" s="96"/>
      <c r="N22" s="96"/>
      <c r="O22" s="96"/>
      <c r="P22" s="96"/>
      <c r="Q22" s="96"/>
      <c r="R22" s="97"/>
    </row>
    <row r="23" spans="1:18" ht="41.45" customHeight="1" x14ac:dyDescent="0.25">
      <c r="A23" s="19"/>
      <c r="B23" s="3"/>
      <c r="C23" s="22"/>
      <c r="D23" s="22"/>
      <c r="E23" s="21"/>
      <c r="F23" s="21"/>
      <c r="G23" s="21"/>
      <c r="H23" s="21"/>
      <c r="I23" s="21"/>
      <c r="J23" s="21"/>
      <c r="K23" s="21"/>
      <c r="L23" s="96"/>
      <c r="M23" s="96"/>
      <c r="N23" s="96"/>
      <c r="O23" s="96"/>
      <c r="P23" s="96"/>
      <c r="Q23" s="96"/>
      <c r="R23" s="97"/>
    </row>
    <row r="24" spans="1:18" ht="41.45" customHeight="1" x14ac:dyDescent="0.25">
      <c r="A24" s="19"/>
      <c r="B24" s="3"/>
      <c r="C24" s="22"/>
      <c r="D24" s="22"/>
      <c r="E24" s="21"/>
      <c r="F24" s="21"/>
      <c r="G24" s="21"/>
      <c r="H24" s="21"/>
      <c r="I24" s="21"/>
      <c r="J24" s="21"/>
      <c r="K24" s="21"/>
      <c r="L24" s="96"/>
      <c r="M24" s="96"/>
      <c r="N24" s="96"/>
      <c r="O24" s="96"/>
      <c r="P24" s="96"/>
      <c r="Q24" s="96"/>
      <c r="R24" s="97"/>
    </row>
    <row r="25" spans="1:18" ht="41.45" customHeight="1" x14ac:dyDescent="0.25">
      <c r="A25" s="19"/>
      <c r="B25" s="3"/>
      <c r="C25" s="22"/>
      <c r="D25" s="22"/>
      <c r="E25" s="21"/>
      <c r="F25" s="21"/>
      <c r="G25" s="21"/>
      <c r="H25" s="21"/>
      <c r="I25" s="21"/>
      <c r="J25" s="21"/>
      <c r="K25" s="21"/>
      <c r="L25" s="96"/>
      <c r="M25" s="96"/>
      <c r="N25" s="96"/>
      <c r="O25" s="96"/>
      <c r="P25" s="96"/>
      <c r="Q25" s="96"/>
      <c r="R25" s="97"/>
    </row>
    <row r="26" spans="1:18" ht="41.45" customHeight="1" x14ac:dyDescent="0.25">
      <c r="A26" s="19"/>
      <c r="B26" s="3"/>
      <c r="C26" s="22"/>
      <c r="D26" s="22"/>
      <c r="E26" s="21"/>
      <c r="F26" s="21"/>
      <c r="G26" s="21"/>
      <c r="H26" s="21"/>
      <c r="I26" s="21"/>
      <c r="J26" s="21"/>
      <c r="K26" s="21"/>
      <c r="L26" s="96"/>
      <c r="M26" s="96"/>
      <c r="N26" s="96"/>
      <c r="O26" s="96"/>
      <c r="P26" s="96"/>
      <c r="Q26" s="96"/>
      <c r="R26" s="97"/>
    </row>
    <row r="27" spans="1:18" ht="41.45" customHeight="1" x14ac:dyDescent="0.25">
      <c r="A27" s="19"/>
      <c r="B27" s="3"/>
      <c r="C27" s="22"/>
      <c r="D27" s="22"/>
      <c r="E27" s="21"/>
      <c r="F27" s="21"/>
      <c r="G27" s="21"/>
      <c r="H27" s="21"/>
      <c r="I27" s="21"/>
      <c r="J27" s="21"/>
      <c r="K27" s="21"/>
      <c r="L27" s="96"/>
      <c r="M27" s="96"/>
      <c r="N27" s="96"/>
      <c r="O27" s="96"/>
      <c r="P27" s="96"/>
      <c r="Q27" s="96"/>
      <c r="R27" s="97"/>
    </row>
    <row r="28" spans="1:18" ht="41.45" customHeight="1" x14ac:dyDescent="0.25">
      <c r="A28" s="19"/>
      <c r="B28" s="3"/>
      <c r="C28" s="22"/>
      <c r="D28" s="22"/>
      <c r="E28" s="21"/>
      <c r="F28" s="21"/>
      <c r="G28" s="21"/>
      <c r="H28" s="21"/>
      <c r="I28" s="21"/>
      <c r="J28" s="21"/>
      <c r="K28" s="21"/>
      <c r="L28" s="96"/>
      <c r="M28" s="96"/>
      <c r="N28" s="96"/>
      <c r="O28" s="96"/>
      <c r="P28" s="96"/>
      <c r="Q28" s="96"/>
      <c r="R28" s="97"/>
    </row>
    <row r="29" spans="1:18" ht="41.45" customHeight="1" x14ac:dyDescent="0.25">
      <c r="A29" s="19"/>
      <c r="B29" s="3"/>
      <c r="C29" s="22"/>
      <c r="D29" s="22"/>
      <c r="E29" s="21"/>
      <c r="F29" s="21"/>
      <c r="G29" s="21"/>
      <c r="H29" s="21"/>
      <c r="I29" s="21"/>
      <c r="J29" s="21"/>
      <c r="K29" s="21"/>
      <c r="L29" s="96"/>
      <c r="M29" s="96"/>
      <c r="N29" s="96"/>
      <c r="O29" s="96"/>
      <c r="P29" s="96"/>
      <c r="Q29" s="96"/>
      <c r="R29" s="97"/>
    </row>
    <row r="30" spans="1:18" ht="41.45" customHeight="1" x14ac:dyDescent="0.25">
      <c r="A30" s="19"/>
      <c r="B30" s="3"/>
      <c r="C30" s="22"/>
      <c r="D30" s="22"/>
      <c r="E30" s="21"/>
      <c r="F30" s="21"/>
      <c r="G30" s="21"/>
      <c r="H30" s="21"/>
      <c r="I30" s="21"/>
      <c r="J30" s="21"/>
      <c r="K30" s="21"/>
      <c r="L30" s="96"/>
      <c r="M30" s="96"/>
      <c r="N30" s="96"/>
      <c r="O30" s="96"/>
      <c r="P30" s="96"/>
      <c r="Q30" s="96"/>
      <c r="R30" s="97"/>
    </row>
    <row r="31" spans="1:18" ht="41.45" customHeight="1" x14ac:dyDescent="0.25">
      <c r="A31" s="19"/>
      <c r="B31" s="3"/>
      <c r="C31" s="22"/>
      <c r="D31" s="22"/>
      <c r="E31" s="21"/>
      <c r="F31" s="21"/>
      <c r="G31" s="21"/>
      <c r="H31" s="21"/>
      <c r="I31" s="21"/>
      <c r="J31" s="21"/>
      <c r="K31" s="21"/>
      <c r="L31" s="96"/>
      <c r="M31" s="96"/>
      <c r="N31" s="96"/>
      <c r="O31" s="96"/>
      <c r="P31" s="96"/>
      <c r="Q31" s="96"/>
      <c r="R31" s="97"/>
    </row>
    <row r="32" spans="1:18" ht="41.45" customHeight="1" x14ac:dyDescent="0.25">
      <c r="A32" s="19"/>
      <c r="B32" s="3"/>
      <c r="C32" s="22"/>
      <c r="D32" s="22"/>
      <c r="E32" s="21"/>
      <c r="F32" s="21"/>
      <c r="G32" s="21"/>
      <c r="H32" s="21"/>
      <c r="I32" s="21"/>
      <c r="J32" s="21"/>
      <c r="K32" s="21"/>
      <c r="L32" s="96"/>
      <c r="M32" s="96"/>
      <c r="N32" s="96"/>
      <c r="O32" s="96"/>
      <c r="P32" s="96"/>
      <c r="Q32" s="96"/>
      <c r="R32" s="97"/>
    </row>
    <row r="33" spans="1:18" ht="41.45" customHeight="1" x14ac:dyDescent="0.25">
      <c r="A33" s="19"/>
      <c r="B33" s="3"/>
      <c r="C33" s="22"/>
      <c r="D33" s="22"/>
      <c r="E33" s="21"/>
      <c r="F33" s="21"/>
      <c r="G33" s="21"/>
      <c r="H33" s="21"/>
      <c r="I33" s="21"/>
      <c r="J33" s="21"/>
      <c r="K33" s="21"/>
      <c r="L33" s="96"/>
      <c r="M33" s="96"/>
      <c r="N33" s="96"/>
      <c r="O33" s="96"/>
      <c r="P33" s="96"/>
      <c r="Q33" s="96"/>
      <c r="R33" s="97"/>
    </row>
    <row r="34" spans="1:18" ht="41.45" customHeight="1" x14ac:dyDescent="0.25">
      <c r="A34" s="19"/>
      <c r="B34" s="3"/>
      <c r="C34" s="22"/>
      <c r="D34" s="22"/>
      <c r="E34" s="21"/>
      <c r="F34" s="21"/>
      <c r="G34" s="21"/>
      <c r="H34" s="21"/>
      <c r="I34" s="21"/>
      <c r="J34" s="21"/>
      <c r="K34" s="21"/>
      <c r="L34" s="96"/>
      <c r="M34" s="96"/>
      <c r="N34" s="96"/>
      <c r="O34" s="96"/>
      <c r="P34" s="96"/>
      <c r="Q34" s="96"/>
      <c r="R34" s="97"/>
    </row>
    <row r="35" spans="1:18" ht="41.45" customHeight="1" thickBot="1" x14ac:dyDescent="0.3">
      <c r="A35" s="20"/>
      <c r="B35" s="4"/>
      <c r="C35" s="23"/>
      <c r="D35" s="23"/>
      <c r="E35" s="24"/>
      <c r="F35" s="24"/>
      <c r="G35" s="24"/>
      <c r="H35" s="24"/>
      <c r="I35" s="24"/>
      <c r="J35" s="24"/>
      <c r="K35" s="24"/>
      <c r="L35" s="94"/>
      <c r="M35" s="94"/>
      <c r="N35" s="94"/>
      <c r="O35" s="94"/>
      <c r="P35" s="94"/>
      <c r="Q35" s="94"/>
      <c r="R35" s="95"/>
    </row>
    <row r="36" spans="1:18" ht="41.45" customHeight="1" x14ac:dyDescent="0.25">
      <c r="A36" s="33"/>
      <c r="B36" s="33"/>
      <c r="C36" s="34"/>
      <c r="D36" s="34"/>
      <c r="E36" s="34" t="str">
        <f>IF(E7="X",(D7-C7),"0")</f>
        <v>0</v>
      </c>
      <c r="F36" s="34">
        <f>IF(F7="X",(D7-C7),"0")</f>
        <v>21.6</v>
      </c>
      <c r="G36" s="34" t="str">
        <f>IF(G7="X",(D7-C7),"0")</f>
        <v>0</v>
      </c>
      <c r="H36" s="34" t="str">
        <f>IF(H7="X",(D7-C7),"0")</f>
        <v>0</v>
      </c>
      <c r="I36" s="34">
        <f>IF(I7="X",(D7-C7),"0")</f>
        <v>21.6</v>
      </c>
      <c r="J36" s="34" t="str">
        <f>IF(J7="X",(D7-C7),"0")</f>
        <v>0</v>
      </c>
      <c r="K36" s="34" t="str">
        <f>IF(K7="X",(D7-C7),"0")</f>
        <v>0</v>
      </c>
      <c r="L36" s="93"/>
      <c r="M36" s="93"/>
      <c r="N36" s="93"/>
      <c r="O36" s="93"/>
      <c r="P36" s="93"/>
      <c r="Q36" s="93"/>
      <c r="R36" s="93"/>
    </row>
    <row r="37" spans="1:18" ht="41.45" customHeight="1" x14ac:dyDescent="0.25">
      <c r="C37" s="35"/>
      <c r="D37" s="35"/>
      <c r="E37" s="35" t="str">
        <f t="shared" ref="E37:E61" si="0">IF(E8="X",(D8-C8),"0")</f>
        <v>0</v>
      </c>
      <c r="F37" s="35">
        <f t="shared" ref="F37:F61" si="1">IF(F8="X",(D8-C8),"0")</f>
        <v>16.799999999999997</v>
      </c>
      <c r="G37" s="35" t="str">
        <f t="shared" ref="G37:G61" si="2">IF(G8="X",(D8-C8),"0")</f>
        <v>0</v>
      </c>
      <c r="H37" s="35" t="str">
        <f t="shared" ref="H37:H61" si="3">IF(H8="X",(D8-C8),"0")</f>
        <v>0</v>
      </c>
      <c r="I37" s="35" t="str">
        <f t="shared" ref="I37:I61" si="4">IF(I8="X",(D8-C8),"0")</f>
        <v>0</v>
      </c>
      <c r="J37" s="35">
        <f t="shared" ref="J37:J61" si="5">IF(J8="X",(D8-C8),"0")</f>
        <v>16.799999999999997</v>
      </c>
      <c r="K37" s="35" t="str">
        <f t="shared" ref="K37:K61" si="6">IF(K8="X",(D8-C8),"0")</f>
        <v>0</v>
      </c>
      <c r="L37" s="92"/>
      <c r="M37" s="92"/>
      <c r="N37" s="92"/>
      <c r="O37" s="92"/>
      <c r="P37" s="92"/>
      <c r="Q37" s="92"/>
      <c r="R37" s="92"/>
    </row>
    <row r="38" spans="1:18" ht="41.45" customHeight="1" x14ac:dyDescent="0.25">
      <c r="C38" s="35"/>
      <c r="D38" s="35"/>
      <c r="E38" s="35" t="str">
        <f t="shared" si="0"/>
        <v>0</v>
      </c>
      <c r="F38" s="35">
        <f t="shared" si="1"/>
        <v>12.219999999999999</v>
      </c>
      <c r="G38" s="35" t="str">
        <f t="shared" si="2"/>
        <v>0</v>
      </c>
      <c r="H38" s="35" t="str">
        <f t="shared" si="3"/>
        <v>0</v>
      </c>
      <c r="I38" s="35" t="str">
        <f t="shared" si="4"/>
        <v>0</v>
      </c>
      <c r="J38" s="35">
        <f t="shared" si="5"/>
        <v>12.219999999999999</v>
      </c>
      <c r="K38" s="35" t="str">
        <f t="shared" si="6"/>
        <v>0</v>
      </c>
      <c r="L38" s="92"/>
      <c r="M38" s="92"/>
      <c r="N38" s="92"/>
      <c r="O38" s="92"/>
      <c r="P38" s="92"/>
      <c r="Q38" s="92"/>
      <c r="R38" s="92"/>
    </row>
    <row r="39" spans="1:18" ht="41.45" customHeight="1" x14ac:dyDescent="0.25">
      <c r="C39" s="35"/>
      <c r="D39" s="35"/>
      <c r="E39" s="35" t="str">
        <f t="shared" si="0"/>
        <v>0</v>
      </c>
      <c r="F39" s="35" t="str">
        <f t="shared" si="1"/>
        <v>0</v>
      </c>
      <c r="G39" s="35" t="str">
        <f t="shared" si="2"/>
        <v>0</v>
      </c>
      <c r="H39" s="35" t="str">
        <f t="shared" si="3"/>
        <v>0</v>
      </c>
      <c r="I39" s="35" t="str">
        <f t="shared" si="4"/>
        <v>0</v>
      </c>
      <c r="J39" s="35" t="str">
        <f t="shared" si="5"/>
        <v>0</v>
      </c>
      <c r="K39" s="35" t="str">
        <f t="shared" si="6"/>
        <v>0</v>
      </c>
      <c r="L39" s="92"/>
      <c r="M39" s="92"/>
      <c r="N39" s="92"/>
      <c r="O39" s="92"/>
      <c r="P39" s="92"/>
      <c r="Q39" s="92"/>
      <c r="R39" s="92"/>
    </row>
    <row r="40" spans="1:18" ht="41.45" customHeight="1" x14ac:dyDescent="0.25">
      <c r="C40" s="35"/>
      <c r="D40" s="35"/>
      <c r="E40" s="35" t="str">
        <f t="shared" si="0"/>
        <v>0</v>
      </c>
      <c r="F40" s="35" t="str">
        <f t="shared" si="1"/>
        <v>0</v>
      </c>
      <c r="G40" s="35" t="str">
        <f t="shared" si="2"/>
        <v>0</v>
      </c>
      <c r="H40" s="35" t="str">
        <f t="shared" si="3"/>
        <v>0</v>
      </c>
      <c r="I40" s="35" t="str">
        <f t="shared" si="4"/>
        <v>0</v>
      </c>
      <c r="J40" s="35" t="str">
        <f t="shared" si="5"/>
        <v>0</v>
      </c>
      <c r="K40" s="35" t="str">
        <f t="shared" si="6"/>
        <v>0</v>
      </c>
      <c r="L40" s="92"/>
      <c r="M40" s="92"/>
      <c r="N40" s="92"/>
      <c r="O40" s="92"/>
      <c r="P40" s="92"/>
      <c r="Q40" s="92"/>
      <c r="R40" s="92"/>
    </row>
    <row r="41" spans="1:18" ht="41.45" customHeight="1" x14ac:dyDescent="0.25">
      <c r="C41" s="35"/>
      <c r="D41" s="35"/>
      <c r="E41" s="35" t="str">
        <f t="shared" si="0"/>
        <v>0</v>
      </c>
      <c r="F41" s="35" t="str">
        <f t="shared" si="1"/>
        <v>0</v>
      </c>
      <c r="G41" s="35" t="str">
        <f t="shared" si="2"/>
        <v>0</v>
      </c>
      <c r="H41" s="35" t="str">
        <f t="shared" si="3"/>
        <v>0</v>
      </c>
      <c r="I41" s="35" t="str">
        <f t="shared" si="4"/>
        <v>0</v>
      </c>
      <c r="J41" s="35" t="str">
        <f t="shared" si="5"/>
        <v>0</v>
      </c>
      <c r="K41" s="35" t="str">
        <f t="shared" si="6"/>
        <v>0</v>
      </c>
      <c r="L41" s="92"/>
      <c r="M41" s="92"/>
      <c r="N41" s="92"/>
      <c r="O41" s="92"/>
      <c r="P41" s="92"/>
      <c r="Q41" s="92"/>
      <c r="R41" s="92"/>
    </row>
    <row r="42" spans="1:18" ht="41.45" customHeight="1" x14ac:dyDescent="0.25">
      <c r="C42" s="35"/>
      <c r="D42" s="35"/>
      <c r="E42" s="35" t="str">
        <f t="shared" si="0"/>
        <v>0</v>
      </c>
      <c r="F42" s="35" t="str">
        <f t="shared" si="1"/>
        <v>0</v>
      </c>
      <c r="G42" s="35" t="str">
        <f t="shared" si="2"/>
        <v>0</v>
      </c>
      <c r="H42" s="35" t="str">
        <f t="shared" si="3"/>
        <v>0</v>
      </c>
      <c r="I42" s="35" t="str">
        <f t="shared" si="4"/>
        <v>0</v>
      </c>
      <c r="J42" s="35" t="str">
        <f t="shared" si="5"/>
        <v>0</v>
      </c>
      <c r="K42" s="35" t="str">
        <f t="shared" si="6"/>
        <v>0</v>
      </c>
      <c r="L42" s="92"/>
      <c r="M42" s="92"/>
      <c r="N42" s="92"/>
      <c r="O42" s="92"/>
      <c r="P42" s="92"/>
      <c r="Q42" s="92"/>
      <c r="R42" s="92"/>
    </row>
    <row r="43" spans="1:18" ht="41.45" customHeight="1" x14ac:dyDescent="0.25">
      <c r="C43" s="35"/>
      <c r="D43" s="35"/>
      <c r="E43" s="35" t="str">
        <f t="shared" si="0"/>
        <v>0</v>
      </c>
      <c r="F43" s="35" t="str">
        <f t="shared" si="1"/>
        <v>0</v>
      </c>
      <c r="G43" s="35" t="str">
        <f t="shared" si="2"/>
        <v>0</v>
      </c>
      <c r="H43" s="35" t="str">
        <f t="shared" si="3"/>
        <v>0</v>
      </c>
      <c r="I43" s="35" t="str">
        <f t="shared" si="4"/>
        <v>0</v>
      </c>
      <c r="J43" s="35" t="str">
        <f t="shared" si="5"/>
        <v>0</v>
      </c>
      <c r="K43" s="35" t="str">
        <f t="shared" si="6"/>
        <v>0</v>
      </c>
      <c r="L43" s="92"/>
      <c r="M43" s="92"/>
      <c r="N43" s="92"/>
      <c r="O43" s="92"/>
      <c r="P43" s="92"/>
      <c r="Q43" s="92"/>
      <c r="R43" s="92"/>
    </row>
    <row r="44" spans="1:18" ht="41.45" customHeight="1" x14ac:dyDescent="0.25">
      <c r="C44" s="35"/>
      <c r="D44" s="35"/>
      <c r="E44" s="35" t="str">
        <f t="shared" si="0"/>
        <v>0</v>
      </c>
      <c r="F44" s="35" t="str">
        <f t="shared" si="1"/>
        <v>0</v>
      </c>
      <c r="G44" s="35" t="str">
        <f t="shared" si="2"/>
        <v>0</v>
      </c>
      <c r="H44" s="35" t="str">
        <f t="shared" si="3"/>
        <v>0</v>
      </c>
      <c r="I44" s="35" t="str">
        <f t="shared" si="4"/>
        <v>0</v>
      </c>
      <c r="J44" s="35" t="str">
        <f t="shared" si="5"/>
        <v>0</v>
      </c>
      <c r="K44" s="35" t="str">
        <f t="shared" si="6"/>
        <v>0</v>
      </c>
      <c r="L44" s="92"/>
      <c r="M44" s="92"/>
      <c r="N44" s="92"/>
      <c r="O44" s="92"/>
      <c r="P44" s="92"/>
      <c r="Q44" s="92"/>
      <c r="R44" s="92"/>
    </row>
    <row r="45" spans="1:18" ht="41.45" customHeight="1" x14ac:dyDescent="0.25">
      <c r="C45" s="35"/>
      <c r="D45" s="35"/>
      <c r="E45" s="35" t="str">
        <f t="shared" si="0"/>
        <v>0</v>
      </c>
      <c r="F45" s="35" t="str">
        <f t="shared" si="1"/>
        <v>0</v>
      </c>
      <c r="G45" s="35" t="str">
        <f t="shared" si="2"/>
        <v>0</v>
      </c>
      <c r="H45" s="35" t="str">
        <f t="shared" si="3"/>
        <v>0</v>
      </c>
      <c r="I45" s="35" t="str">
        <f t="shared" si="4"/>
        <v>0</v>
      </c>
      <c r="J45" s="35" t="str">
        <f t="shared" si="5"/>
        <v>0</v>
      </c>
      <c r="K45" s="35" t="str">
        <f t="shared" si="6"/>
        <v>0</v>
      </c>
      <c r="L45" s="92"/>
      <c r="M45" s="92"/>
      <c r="N45" s="92"/>
      <c r="O45" s="92"/>
      <c r="P45" s="92"/>
      <c r="Q45" s="92"/>
      <c r="R45" s="92"/>
    </row>
    <row r="46" spans="1:18" ht="41.45" customHeight="1" x14ac:dyDescent="0.25">
      <c r="C46" s="35"/>
      <c r="D46" s="35"/>
      <c r="E46" s="35" t="str">
        <f t="shared" si="0"/>
        <v>0</v>
      </c>
      <c r="F46" s="35" t="str">
        <f t="shared" si="1"/>
        <v>0</v>
      </c>
      <c r="G46" s="35" t="str">
        <f t="shared" si="2"/>
        <v>0</v>
      </c>
      <c r="H46" s="35" t="str">
        <f t="shared" si="3"/>
        <v>0</v>
      </c>
      <c r="I46" s="35" t="str">
        <f t="shared" si="4"/>
        <v>0</v>
      </c>
      <c r="J46" s="35" t="str">
        <f t="shared" si="5"/>
        <v>0</v>
      </c>
      <c r="K46" s="35" t="str">
        <f t="shared" si="6"/>
        <v>0</v>
      </c>
      <c r="L46" s="92"/>
      <c r="M46" s="92"/>
      <c r="N46" s="92"/>
      <c r="O46" s="92"/>
      <c r="P46" s="92"/>
      <c r="Q46" s="92"/>
      <c r="R46" s="92"/>
    </row>
    <row r="47" spans="1:18" ht="41.45" customHeight="1" x14ac:dyDescent="0.25">
      <c r="C47" s="35"/>
      <c r="D47" s="35"/>
      <c r="E47" s="35" t="str">
        <f t="shared" si="0"/>
        <v>0</v>
      </c>
      <c r="F47" s="35" t="str">
        <f t="shared" si="1"/>
        <v>0</v>
      </c>
      <c r="G47" s="35" t="str">
        <f t="shared" si="2"/>
        <v>0</v>
      </c>
      <c r="H47" s="35" t="str">
        <f t="shared" si="3"/>
        <v>0</v>
      </c>
      <c r="I47" s="35" t="str">
        <f t="shared" si="4"/>
        <v>0</v>
      </c>
      <c r="J47" s="35" t="str">
        <f t="shared" si="5"/>
        <v>0</v>
      </c>
      <c r="K47" s="35" t="str">
        <f t="shared" si="6"/>
        <v>0</v>
      </c>
      <c r="L47" s="92"/>
      <c r="M47" s="92"/>
      <c r="N47" s="92"/>
      <c r="O47" s="92"/>
      <c r="P47" s="92"/>
      <c r="Q47" s="92"/>
      <c r="R47" s="92"/>
    </row>
    <row r="48" spans="1:18" ht="41.45" customHeight="1" x14ac:dyDescent="0.25">
      <c r="C48" s="35"/>
      <c r="D48" s="35"/>
      <c r="E48" s="35" t="str">
        <f t="shared" si="0"/>
        <v>0</v>
      </c>
      <c r="F48" s="35" t="str">
        <f t="shared" si="1"/>
        <v>0</v>
      </c>
      <c r="G48" s="35" t="str">
        <f t="shared" si="2"/>
        <v>0</v>
      </c>
      <c r="H48" s="35" t="str">
        <f t="shared" si="3"/>
        <v>0</v>
      </c>
      <c r="I48" s="35" t="str">
        <f t="shared" si="4"/>
        <v>0</v>
      </c>
      <c r="J48" s="35" t="str">
        <f t="shared" si="5"/>
        <v>0</v>
      </c>
      <c r="K48" s="35" t="str">
        <f t="shared" si="6"/>
        <v>0</v>
      </c>
      <c r="L48" s="92"/>
      <c r="M48" s="92"/>
      <c r="N48" s="92"/>
      <c r="O48" s="92"/>
      <c r="P48" s="92"/>
      <c r="Q48" s="92"/>
      <c r="R48" s="92"/>
    </row>
    <row r="49" spans="3:18" ht="41.45" customHeight="1" x14ac:dyDescent="0.25">
      <c r="C49" s="35"/>
      <c r="D49" s="35"/>
      <c r="E49" s="35" t="str">
        <f t="shared" si="0"/>
        <v>0</v>
      </c>
      <c r="F49" s="35" t="str">
        <f t="shared" si="1"/>
        <v>0</v>
      </c>
      <c r="G49" s="35" t="str">
        <f t="shared" si="2"/>
        <v>0</v>
      </c>
      <c r="H49" s="35" t="str">
        <f t="shared" si="3"/>
        <v>0</v>
      </c>
      <c r="I49" s="35" t="str">
        <f t="shared" si="4"/>
        <v>0</v>
      </c>
      <c r="J49" s="35" t="str">
        <f t="shared" si="5"/>
        <v>0</v>
      </c>
      <c r="K49" s="35" t="str">
        <f t="shared" si="6"/>
        <v>0</v>
      </c>
      <c r="L49" s="92"/>
      <c r="M49" s="92"/>
      <c r="N49" s="92"/>
      <c r="O49" s="92"/>
      <c r="P49" s="92"/>
      <c r="Q49" s="92"/>
      <c r="R49" s="92"/>
    </row>
    <row r="50" spans="3:18" ht="41.45" customHeight="1" x14ac:dyDescent="0.25">
      <c r="C50" s="35"/>
      <c r="D50" s="35"/>
      <c r="E50" s="35" t="str">
        <f t="shared" si="0"/>
        <v>0</v>
      </c>
      <c r="F50" s="35" t="str">
        <f t="shared" si="1"/>
        <v>0</v>
      </c>
      <c r="G50" s="35" t="str">
        <f t="shared" si="2"/>
        <v>0</v>
      </c>
      <c r="H50" s="35" t="str">
        <f t="shared" si="3"/>
        <v>0</v>
      </c>
      <c r="I50" s="35" t="str">
        <f t="shared" si="4"/>
        <v>0</v>
      </c>
      <c r="J50" s="35" t="str">
        <f t="shared" si="5"/>
        <v>0</v>
      </c>
      <c r="K50" s="35" t="str">
        <f t="shared" si="6"/>
        <v>0</v>
      </c>
      <c r="L50" s="92"/>
      <c r="M50" s="92"/>
      <c r="N50" s="92"/>
      <c r="O50" s="92"/>
      <c r="P50" s="92"/>
      <c r="Q50" s="92"/>
      <c r="R50" s="92"/>
    </row>
    <row r="51" spans="3:18" ht="41.45" customHeight="1" x14ac:dyDescent="0.25">
      <c r="C51" s="35"/>
      <c r="D51" s="35"/>
      <c r="E51" s="35" t="str">
        <f t="shared" si="0"/>
        <v>0</v>
      </c>
      <c r="F51" s="35" t="str">
        <f t="shared" si="1"/>
        <v>0</v>
      </c>
      <c r="G51" s="35" t="str">
        <f t="shared" si="2"/>
        <v>0</v>
      </c>
      <c r="H51" s="35" t="str">
        <f t="shared" si="3"/>
        <v>0</v>
      </c>
      <c r="I51" s="35" t="str">
        <f t="shared" si="4"/>
        <v>0</v>
      </c>
      <c r="J51" s="35" t="str">
        <f t="shared" si="5"/>
        <v>0</v>
      </c>
      <c r="K51" s="35" t="str">
        <f t="shared" si="6"/>
        <v>0</v>
      </c>
      <c r="L51" s="92"/>
      <c r="M51" s="92"/>
      <c r="N51" s="92"/>
      <c r="O51" s="92"/>
      <c r="P51" s="92"/>
      <c r="Q51" s="92"/>
      <c r="R51" s="92"/>
    </row>
    <row r="52" spans="3:18" ht="41.45" customHeight="1" x14ac:dyDescent="0.25">
      <c r="C52" s="35"/>
      <c r="D52" s="35"/>
      <c r="E52" s="35" t="str">
        <f t="shared" si="0"/>
        <v>0</v>
      </c>
      <c r="F52" s="35" t="str">
        <f t="shared" si="1"/>
        <v>0</v>
      </c>
      <c r="G52" s="35" t="str">
        <f t="shared" si="2"/>
        <v>0</v>
      </c>
      <c r="H52" s="35" t="str">
        <f t="shared" si="3"/>
        <v>0</v>
      </c>
      <c r="I52" s="35" t="str">
        <f t="shared" si="4"/>
        <v>0</v>
      </c>
      <c r="J52" s="35" t="str">
        <f t="shared" si="5"/>
        <v>0</v>
      </c>
      <c r="K52" s="35" t="str">
        <f t="shared" si="6"/>
        <v>0</v>
      </c>
      <c r="L52" s="92"/>
      <c r="M52" s="92"/>
      <c r="N52" s="92"/>
      <c r="O52" s="92"/>
      <c r="P52" s="92"/>
      <c r="Q52" s="92"/>
      <c r="R52" s="92"/>
    </row>
    <row r="53" spans="3:18" ht="41.45" customHeight="1" x14ac:dyDescent="0.25">
      <c r="C53" s="35"/>
      <c r="D53" s="35"/>
      <c r="E53" s="35" t="str">
        <f t="shared" si="0"/>
        <v>0</v>
      </c>
      <c r="F53" s="35" t="str">
        <f t="shared" si="1"/>
        <v>0</v>
      </c>
      <c r="G53" s="35" t="str">
        <f t="shared" si="2"/>
        <v>0</v>
      </c>
      <c r="H53" s="35" t="str">
        <f t="shared" si="3"/>
        <v>0</v>
      </c>
      <c r="I53" s="35" t="str">
        <f t="shared" si="4"/>
        <v>0</v>
      </c>
      <c r="J53" s="35" t="str">
        <f t="shared" si="5"/>
        <v>0</v>
      </c>
      <c r="K53" s="35" t="str">
        <f t="shared" si="6"/>
        <v>0</v>
      </c>
      <c r="L53" s="92"/>
      <c r="M53" s="92"/>
      <c r="N53" s="92"/>
      <c r="O53" s="92"/>
      <c r="P53" s="92"/>
      <c r="Q53" s="92"/>
      <c r="R53" s="92"/>
    </row>
    <row r="54" spans="3:18" ht="41.45" customHeight="1" x14ac:dyDescent="0.25">
      <c r="C54" s="35"/>
      <c r="D54" s="35"/>
      <c r="E54" s="35" t="str">
        <f t="shared" si="0"/>
        <v>0</v>
      </c>
      <c r="F54" s="35" t="str">
        <f t="shared" si="1"/>
        <v>0</v>
      </c>
      <c r="G54" s="35" t="str">
        <f t="shared" si="2"/>
        <v>0</v>
      </c>
      <c r="H54" s="35" t="str">
        <f t="shared" si="3"/>
        <v>0</v>
      </c>
      <c r="I54" s="35" t="str">
        <f t="shared" si="4"/>
        <v>0</v>
      </c>
      <c r="J54" s="35" t="str">
        <f t="shared" si="5"/>
        <v>0</v>
      </c>
      <c r="K54" s="35" t="str">
        <f t="shared" si="6"/>
        <v>0</v>
      </c>
      <c r="L54" s="92"/>
      <c r="M54" s="92"/>
      <c r="N54" s="92"/>
      <c r="O54" s="92"/>
      <c r="P54" s="92"/>
      <c r="Q54" s="92"/>
      <c r="R54" s="92"/>
    </row>
    <row r="55" spans="3:18" ht="41.45" customHeight="1" x14ac:dyDescent="0.25">
      <c r="C55" s="35"/>
      <c r="D55" s="35"/>
      <c r="E55" s="35" t="str">
        <f t="shared" si="0"/>
        <v>0</v>
      </c>
      <c r="F55" s="35" t="str">
        <f t="shared" si="1"/>
        <v>0</v>
      </c>
      <c r="G55" s="35" t="str">
        <f t="shared" si="2"/>
        <v>0</v>
      </c>
      <c r="H55" s="35" t="str">
        <f t="shared" si="3"/>
        <v>0</v>
      </c>
      <c r="I55" s="35" t="str">
        <f t="shared" si="4"/>
        <v>0</v>
      </c>
      <c r="J55" s="35" t="str">
        <f t="shared" si="5"/>
        <v>0</v>
      </c>
      <c r="K55" s="35" t="str">
        <f t="shared" si="6"/>
        <v>0</v>
      </c>
      <c r="L55" s="92"/>
      <c r="M55" s="92"/>
      <c r="N55" s="92"/>
      <c r="O55" s="92"/>
      <c r="P55" s="92"/>
      <c r="Q55" s="92"/>
      <c r="R55" s="92"/>
    </row>
    <row r="56" spans="3:18" ht="41.45" customHeight="1" x14ac:dyDescent="0.25">
      <c r="C56" s="35"/>
      <c r="D56" s="35"/>
      <c r="E56" s="35" t="str">
        <f t="shared" si="0"/>
        <v>0</v>
      </c>
      <c r="F56" s="35" t="str">
        <f t="shared" si="1"/>
        <v>0</v>
      </c>
      <c r="G56" s="35" t="str">
        <f t="shared" si="2"/>
        <v>0</v>
      </c>
      <c r="H56" s="35" t="str">
        <f t="shared" si="3"/>
        <v>0</v>
      </c>
      <c r="I56" s="35" t="str">
        <f t="shared" si="4"/>
        <v>0</v>
      </c>
      <c r="J56" s="35" t="str">
        <f t="shared" si="5"/>
        <v>0</v>
      </c>
      <c r="K56" s="35" t="str">
        <f t="shared" si="6"/>
        <v>0</v>
      </c>
      <c r="L56" s="92"/>
      <c r="M56" s="92"/>
      <c r="N56" s="92"/>
      <c r="O56" s="92"/>
      <c r="P56" s="92"/>
      <c r="Q56" s="92"/>
      <c r="R56" s="92"/>
    </row>
    <row r="57" spans="3:18" ht="41.45" customHeight="1" x14ac:dyDescent="0.25">
      <c r="C57" s="35"/>
      <c r="D57" s="35"/>
      <c r="E57" s="35" t="str">
        <f t="shared" si="0"/>
        <v>0</v>
      </c>
      <c r="F57" s="35" t="str">
        <f t="shared" si="1"/>
        <v>0</v>
      </c>
      <c r="G57" s="35" t="str">
        <f t="shared" si="2"/>
        <v>0</v>
      </c>
      <c r="H57" s="35" t="str">
        <f t="shared" si="3"/>
        <v>0</v>
      </c>
      <c r="I57" s="35" t="str">
        <f t="shared" si="4"/>
        <v>0</v>
      </c>
      <c r="J57" s="35" t="str">
        <f t="shared" si="5"/>
        <v>0</v>
      </c>
      <c r="K57" s="35" t="str">
        <f t="shared" si="6"/>
        <v>0</v>
      </c>
      <c r="L57" s="92"/>
      <c r="M57" s="92"/>
      <c r="N57" s="92"/>
      <c r="O57" s="92"/>
      <c r="P57" s="92"/>
      <c r="Q57" s="92"/>
      <c r="R57" s="92"/>
    </row>
    <row r="58" spans="3:18" ht="41.45" customHeight="1" x14ac:dyDescent="0.25">
      <c r="C58" s="35"/>
      <c r="D58" s="35"/>
      <c r="E58" s="35" t="str">
        <f t="shared" si="0"/>
        <v>0</v>
      </c>
      <c r="F58" s="35" t="str">
        <f t="shared" si="1"/>
        <v>0</v>
      </c>
      <c r="G58" s="35" t="str">
        <f t="shared" si="2"/>
        <v>0</v>
      </c>
      <c r="H58" s="35" t="str">
        <f t="shared" si="3"/>
        <v>0</v>
      </c>
      <c r="I58" s="35" t="str">
        <f t="shared" si="4"/>
        <v>0</v>
      </c>
      <c r="J58" s="35" t="str">
        <f t="shared" si="5"/>
        <v>0</v>
      </c>
      <c r="K58" s="35" t="str">
        <f t="shared" si="6"/>
        <v>0</v>
      </c>
      <c r="L58" s="92"/>
      <c r="M58" s="92"/>
      <c r="N58" s="92"/>
      <c r="O58" s="92"/>
      <c r="P58" s="92"/>
      <c r="Q58" s="92"/>
      <c r="R58" s="92"/>
    </row>
    <row r="59" spans="3:18" ht="41.45" customHeight="1" x14ac:dyDescent="0.25">
      <c r="C59" s="35"/>
      <c r="D59" s="35"/>
      <c r="E59" s="35" t="str">
        <f t="shared" si="0"/>
        <v>0</v>
      </c>
      <c r="F59" s="35" t="str">
        <f t="shared" si="1"/>
        <v>0</v>
      </c>
      <c r="G59" s="35" t="str">
        <f t="shared" si="2"/>
        <v>0</v>
      </c>
      <c r="H59" s="35" t="str">
        <f t="shared" si="3"/>
        <v>0</v>
      </c>
      <c r="I59" s="35" t="str">
        <f t="shared" si="4"/>
        <v>0</v>
      </c>
      <c r="J59" s="35" t="str">
        <f t="shared" si="5"/>
        <v>0</v>
      </c>
      <c r="K59" s="35" t="str">
        <f t="shared" si="6"/>
        <v>0</v>
      </c>
      <c r="L59" s="92"/>
      <c r="M59" s="92"/>
      <c r="N59" s="92"/>
      <c r="O59" s="92"/>
      <c r="P59" s="92"/>
      <c r="Q59" s="92"/>
      <c r="R59" s="92"/>
    </row>
    <row r="60" spans="3:18" ht="41.45" customHeight="1" x14ac:dyDescent="0.25">
      <c r="C60" s="35"/>
      <c r="D60" s="35"/>
      <c r="E60" s="35" t="str">
        <f t="shared" si="0"/>
        <v>0</v>
      </c>
      <c r="F60" s="35" t="str">
        <f t="shared" si="1"/>
        <v>0</v>
      </c>
      <c r="G60" s="35" t="str">
        <f t="shared" si="2"/>
        <v>0</v>
      </c>
      <c r="H60" s="35" t="str">
        <f t="shared" si="3"/>
        <v>0</v>
      </c>
      <c r="I60" s="35" t="str">
        <f t="shared" si="4"/>
        <v>0</v>
      </c>
      <c r="J60" s="35" t="str">
        <f t="shared" si="5"/>
        <v>0</v>
      </c>
      <c r="K60" s="35" t="str">
        <f t="shared" si="6"/>
        <v>0</v>
      </c>
      <c r="L60" s="92"/>
      <c r="M60" s="92"/>
      <c r="N60" s="92"/>
      <c r="O60" s="92"/>
      <c r="P60" s="92"/>
      <c r="Q60" s="92"/>
      <c r="R60" s="92"/>
    </row>
    <row r="61" spans="3:18" ht="41.45" customHeight="1" x14ac:dyDescent="0.25">
      <c r="C61" s="35"/>
      <c r="D61" s="35"/>
      <c r="E61" s="35" t="str">
        <f t="shared" si="0"/>
        <v>0</v>
      </c>
      <c r="F61" s="35" t="str">
        <f t="shared" si="1"/>
        <v>0</v>
      </c>
      <c r="G61" s="35" t="str">
        <f t="shared" si="2"/>
        <v>0</v>
      </c>
      <c r="H61" s="35" t="str">
        <f t="shared" si="3"/>
        <v>0</v>
      </c>
      <c r="I61" s="35" t="str">
        <f t="shared" si="4"/>
        <v>0</v>
      </c>
      <c r="J61" s="35" t="str">
        <f t="shared" si="5"/>
        <v>0</v>
      </c>
      <c r="K61" s="35" t="str">
        <f t="shared" si="6"/>
        <v>0</v>
      </c>
      <c r="L61" s="92"/>
      <c r="M61" s="92"/>
      <c r="N61" s="92"/>
      <c r="O61" s="92"/>
      <c r="P61" s="92"/>
      <c r="Q61" s="92"/>
      <c r="R61" s="92"/>
    </row>
    <row r="62" spans="3:18" ht="41.45" customHeight="1" x14ac:dyDescent="0.25">
      <c r="C62" s="35"/>
      <c r="D62" s="35"/>
      <c r="E62" s="35">
        <f>SUM(E36:E61)</f>
        <v>0</v>
      </c>
      <c r="F62" s="35">
        <f t="shared" ref="F62:K62" si="7">SUM(F36:F61)</f>
        <v>50.62</v>
      </c>
      <c r="G62" s="35">
        <f t="shared" si="7"/>
        <v>0</v>
      </c>
      <c r="H62" s="35">
        <f t="shared" si="7"/>
        <v>0</v>
      </c>
      <c r="I62" s="35">
        <f t="shared" si="7"/>
        <v>21.6</v>
      </c>
      <c r="J62" s="35">
        <f t="shared" si="7"/>
        <v>29.019999999999996</v>
      </c>
      <c r="K62" s="35">
        <f t="shared" si="7"/>
        <v>0</v>
      </c>
      <c r="L62" s="92"/>
      <c r="M62" s="92"/>
      <c r="N62" s="92"/>
      <c r="O62" s="92"/>
      <c r="P62" s="92"/>
      <c r="Q62" s="92"/>
      <c r="R62" s="92"/>
    </row>
    <row r="63" spans="3:18" ht="41.45" customHeight="1" x14ac:dyDescent="0.25">
      <c r="C63" s="35"/>
      <c r="D63" s="35"/>
      <c r="E63" s="35"/>
      <c r="F63" s="31"/>
      <c r="G63" s="31"/>
      <c r="H63" s="31"/>
      <c r="I63" s="31"/>
      <c r="J63" s="31"/>
      <c r="K63" s="31"/>
      <c r="L63" s="92"/>
      <c r="M63" s="92"/>
      <c r="N63" s="92"/>
      <c r="O63" s="92"/>
      <c r="P63" s="92"/>
      <c r="Q63" s="92"/>
      <c r="R63" s="92"/>
    </row>
    <row r="64" spans="3:18" ht="41.45" customHeight="1" x14ac:dyDescent="0.25">
      <c r="C64" s="35"/>
      <c r="D64" s="35"/>
      <c r="E64" s="35"/>
      <c r="F64" s="31"/>
      <c r="G64" s="31"/>
      <c r="H64" s="31"/>
      <c r="I64" s="31"/>
      <c r="J64" s="31"/>
      <c r="K64" s="31"/>
      <c r="L64" s="92"/>
      <c r="M64" s="92"/>
      <c r="N64" s="92"/>
      <c r="O64" s="92"/>
      <c r="P64" s="92"/>
      <c r="Q64" s="92"/>
      <c r="R64" s="92"/>
    </row>
    <row r="65" spans="3:18" ht="41.45" customHeight="1" x14ac:dyDescent="0.25">
      <c r="C65" s="35"/>
      <c r="D65" s="35"/>
      <c r="E65" s="35"/>
      <c r="F65" s="31"/>
      <c r="G65" s="31"/>
      <c r="H65" s="31"/>
      <c r="I65" s="31"/>
      <c r="J65" s="31"/>
      <c r="K65" s="31"/>
      <c r="L65" s="92"/>
      <c r="M65" s="92"/>
      <c r="N65" s="92"/>
      <c r="O65" s="92"/>
      <c r="P65" s="92"/>
      <c r="Q65" s="92"/>
      <c r="R65" s="92"/>
    </row>
    <row r="66" spans="3:18" ht="41.45" customHeight="1" x14ac:dyDescent="0.25">
      <c r="C66" s="35"/>
      <c r="D66" s="35"/>
      <c r="E66" s="35"/>
      <c r="F66" s="31"/>
      <c r="G66" s="31"/>
      <c r="H66" s="31"/>
      <c r="I66" s="31"/>
      <c r="J66" s="31"/>
      <c r="K66" s="31"/>
      <c r="L66" s="92"/>
      <c r="M66" s="92"/>
      <c r="N66" s="92"/>
      <c r="O66" s="92"/>
      <c r="P66" s="92"/>
      <c r="Q66" s="92"/>
      <c r="R66" s="92"/>
    </row>
    <row r="67" spans="3:18" ht="41.45" customHeight="1" x14ac:dyDescent="0.25">
      <c r="C67" s="35"/>
      <c r="D67" s="35"/>
      <c r="E67" s="35"/>
      <c r="F67" s="31"/>
      <c r="G67" s="31"/>
      <c r="H67" s="31"/>
      <c r="I67" s="31"/>
      <c r="J67" s="31"/>
      <c r="K67" s="31"/>
      <c r="L67" s="92"/>
      <c r="M67" s="92"/>
      <c r="N67" s="92"/>
      <c r="O67" s="92"/>
      <c r="P67" s="92"/>
      <c r="Q67" s="92"/>
      <c r="R67" s="92"/>
    </row>
    <row r="68" spans="3:18" ht="41.45" customHeight="1" x14ac:dyDescent="0.25">
      <c r="C68" s="35"/>
      <c r="D68" s="35"/>
      <c r="E68" s="35"/>
      <c r="F68" s="31"/>
      <c r="G68" s="31"/>
      <c r="H68" s="31"/>
      <c r="I68" s="31"/>
      <c r="J68" s="31"/>
      <c r="K68" s="31"/>
      <c r="L68" s="92"/>
      <c r="M68" s="92"/>
      <c r="N68" s="92"/>
      <c r="O68" s="92"/>
      <c r="P68" s="92"/>
      <c r="Q68" s="92"/>
      <c r="R68" s="92"/>
    </row>
  </sheetData>
  <mergeCells count="73">
    <mergeCell ref="A5:A6"/>
    <mergeCell ref="B5:B6"/>
    <mergeCell ref="C5:C6"/>
    <mergeCell ref="D5:D6"/>
    <mergeCell ref="E5:H5"/>
    <mergeCell ref="L11:R11"/>
    <mergeCell ref="I1:I2"/>
    <mergeCell ref="J1:J2"/>
    <mergeCell ref="L1:M2"/>
    <mergeCell ref="N1:R2"/>
    <mergeCell ref="I5:K5"/>
    <mergeCell ref="L5:R6"/>
    <mergeCell ref="L7:R7"/>
    <mergeCell ref="L8:R8"/>
    <mergeCell ref="L9:R9"/>
    <mergeCell ref="L10:R10"/>
    <mergeCell ref="L23:R23"/>
    <mergeCell ref="L12:R12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35:R35"/>
    <mergeCell ref="L24:R24"/>
    <mergeCell ref="L25:R25"/>
    <mergeCell ref="L26:R26"/>
    <mergeCell ref="L27:R27"/>
    <mergeCell ref="L28:R28"/>
    <mergeCell ref="L29:R29"/>
    <mergeCell ref="L30:R30"/>
    <mergeCell ref="L31:R31"/>
    <mergeCell ref="L32:R32"/>
    <mergeCell ref="L33:R33"/>
    <mergeCell ref="L34:R34"/>
    <mergeCell ref="L47:R47"/>
    <mergeCell ref="L36:R36"/>
    <mergeCell ref="L37:R37"/>
    <mergeCell ref="L38:R38"/>
    <mergeCell ref="L39:R39"/>
    <mergeCell ref="L40:R40"/>
    <mergeCell ref="L41:R41"/>
    <mergeCell ref="L42:R42"/>
    <mergeCell ref="L43:R43"/>
    <mergeCell ref="L44:R44"/>
    <mergeCell ref="L45:R45"/>
    <mergeCell ref="L46:R46"/>
    <mergeCell ref="L59:R59"/>
    <mergeCell ref="L48:R48"/>
    <mergeCell ref="L49:R49"/>
    <mergeCell ref="L50:R50"/>
    <mergeCell ref="L51:R51"/>
    <mergeCell ref="L52:R52"/>
    <mergeCell ref="L53:R53"/>
    <mergeCell ref="L54:R54"/>
    <mergeCell ref="L55:R55"/>
    <mergeCell ref="L56:R56"/>
    <mergeCell ref="L57:R57"/>
    <mergeCell ref="L58:R58"/>
    <mergeCell ref="L66:R66"/>
    <mergeCell ref="L67:R67"/>
    <mergeCell ref="L68:R68"/>
    <mergeCell ref="L60:R60"/>
    <mergeCell ref="L61:R61"/>
    <mergeCell ref="L62:R62"/>
    <mergeCell ref="L63:R63"/>
    <mergeCell ref="L64:R64"/>
    <mergeCell ref="L65:R65"/>
  </mergeCells>
  <phoneticPr fontId="21" type="noConversion"/>
  <pageMargins left="0.51181102362204722" right="0.51181102362204722" top="0.78740157480314965" bottom="0.78740157480314965" header="0.31496062992125984" footer="0.31496062992125984"/>
  <pageSetup paperSize="9" scale="33" orientation="landscape" horizontalDpi="1200" verticalDpi="1200" r:id="rId1"/>
  <colBreaks count="1" manualBreakCount="1">
    <brk id="18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64953-0DEE-4AE3-A7B7-6242D5E783B8}">
  <sheetPr>
    <pageSetUpPr fitToPage="1"/>
  </sheetPr>
  <dimension ref="A1:R68"/>
  <sheetViews>
    <sheetView view="pageBreakPreview" zoomScale="55" zoomScaleNormal="10" zoomScaleSheetLayoutView="55" workbookViewId="0">
      <selection activeCell="A7" sqref="A7:A9"/>
    </sheetView>
  </sheetViews>
  <sheetFormatPr defaultColWidth="8.85546875" defaultRowHeight="15" x14ac:dyDescent="0.25"/>
  <cols>
    <col min="1" max="1" width="33.28515625" style="1" customWidth="1"/>
    <col min="2" max="2" width="17.140625" style="1" customWidth="1"/>
    <col min="3" max="4" width="13.42578125" style="1" customWidth="1"/>
    <col min="5" max="5" width="26.5703125" style="2" customWidth="1"/>
    <col min="6" max="6" width="30.140625" style="2" customWidth="1"/>
    <col min="7" max="7" width="26.5703125" style="2" customWidth="1"/>
    <col min="8" max="8" width="33.140625" style="2" customWidth="1"/>
    <col min="9" max="11" width="32" style="2" customWidth="1"/>
    <col min="12" max="14" width="14.42578125" style="1" customWidth="1"/>
    <col min="15" max="17" width="14.7109375" style="1" customWidth="1"/>
    <col min="18" max="18" width="37.42578125" style="1" customWidth="1"/>
    <col min="19" max="16384" width="8.85546875" style="1"/>
  </cols>
  <sheetData>
    <row r="1" spans="1:18" ht="19.5" x14ac:dyDescent="0.3">
      <c r="A1" s="9" t="s">
        <v>0</v>
      </c>
      <c r="B1" s="10"/>
      <c r="C1" s="10"/>
      <c r="D1" s="10"/>
      <c r="E1" s="11"/>
      <c r="F1" s="12"/>
      <c r="G1" s="11"/>
      <c r="H1" s="11"/>
      <c r="I1" s="98" t="s">
        <v>3</v>
      </c>
      <c r="J1" s="120">
        <f>'245'!J1</f>
        <v>46204</v>
      </c>
      <c r="K1" s="11"/>
      <c r="L1" s="102" t="s">
        <v>4</v>
      </c>
      <c r="M1" s="102"/>
      <c r="N1" s="104" t="str">
        <f>'245'!N1</f>
        <v>ENG. THIAGO TORQUATO</v>
      </c>
      <c r="O1" s="104"/>
      <c r="P1" s="104"/>
      <c r="Q1" s="104"/>
      <c r="R1" s="105"/>
    </row>
    <row r="2" spans="1:18" ht="20.25" thickBot="1" x14ac:dyDescent="0.35">
      <c r="A2" s="13"/>
      <c r="B2" s="14"/>
      <c r="C2" s="14"/>
      <c r="D2" s="14"/>
      <c r="E2" s="15"/>
      <c r="F2" s="16" t="s">
        <v>9</v>
      </c>
      <c r="G2" s="15"/>
      <c r="H2" s="15"/>
      <c r="I2" s="99"/>
      <c r="J2" s="121"/>
      <c r="K2" s="16"/>
      <c r="L2" s="103"/>
      <c r="M2" s="103"/>
      <c r="N2" s="106"/>
      <c r="O2" s="106"/>
      <c r="P2" s="106"/>
      <c r="Q2" s="106"/>
      <c r="R2" s="107"/>
    </row>
    <row r="3" spans="1:18" ht="25.5" x14ac:dyDescent="0.35">
      <c r="A3" s="13" t="s">
        <v>21</v>
      </c>
      <c r="B3" s="45" t="str">
        <f>TT!C7</f>
        <v>RODOVIA TO-369 - TRECHO ENTR. TO-040 - ENTR. TO-476 (FUNIL - RIO SONINHO)</v>
      </c>
      <c r="C3" s="14"/>
      <c r="D3" s="14"/>
      <c r="E3" s="15"/>
      <c r="F3" s="15"/>
      <c r="G3" s="15"/>
      <c r="H3" s="15"/>
      <c r="I3" s="47" t="s">
        <v>107</v>
      </c>
      <c r="J3" s="47">
        <v>13</v>
      </c>
      <c r="K3" s="15"/>
      <c r="L3" s="14"/>
      <c r="M3" s="14"/>
      <c r="N3" s="14"/>
      <c r="O3" s="14"/>
      <c r="P3" s="14"/>
      <c r="Q3" s="14"/>
      <c r="R3" s="17"/>
    </row>
    <row r="4" spans="1:18" ht="19.899999999999999" thickBot="1" x14ac:dyDescent="0.4">
      <c r="A4" s="18"/>
      <c r="B4" s="14"/>
      <c r="C4" s="14"/>
      <c r="D4" s="14"/>
      <c r="E4" s="15"/>
      <c r="F4" s="15"/>
      <c r="G4" s="15"/>
      <c r="H4" s="15"/>
      <c r="I4" s="15"/>
      <c r="J4" s="15"/>
      <c r="K4" s="15"/>
      <c r="L4" s="14"/>
      <c r="M4" s="14"/>
      <c r="N4" s="14"/>
      <c r="O4" s="14"/>
      <c r="P4" s="14"/>
      <c r="Q4" s="14"/>
      <c r="R4" s="17"/>
    </row>
    <row r="5" spans="1:18" s="5" customFormat="1" ht="54" customHeight="1" x14ac:dyDescent="0.25">
      <c r="A5" s="112" t="s">
        <v>1</v>
      </c>
      <c r="B5" s="108" t="s">
        <v>7</v>
      </c>
      <c r="C5" s="114" t="s">
        <v>5</v>
      </c>
      <c r="D5" s="114" t="s">
        <v>6</v>
      </c>
      <c r="E5" s="108" t="s">
        <v>10</v>
      </c>
      <c r="F5" s="108"/>
      <c r="G5" s="108"/>
      <c r="H5" s="108"/>
      <c r="I5" s="108" t="s">
        <v>11</v>
      </c>
      <c r="J5" s="108"/>
      <c r="K5" s="108"/>
      <c r="L5" s="108" t="s">
        <v>8</v>
      </c>
      <c r="M5" s="108"/>
      <c r="N5" s="108"/>
      <c r="O5" s="108"/>
      <c r="P5" s="108"/>
      <c r="Q5" s="108"/>
      <c r="R5" s="109"/>
    </row>
    <row r="6" spans="1:18" s="6" customFormat="1" ht="79.150000000000006" customHeight="1" x14ac:dyDescent="0.25">
      <c r="A6" s="113"/>
      <c r="B6" s="110"/>
      <c r="C6" s="110"/>
      <c r="D6" s="110"/>
      <c r="E6" s="7" t="s">
        <v>2</v>
      </c>
      <c r="F6" s="8" t="s">
        <v>15</v>
      </c>
      <c r="G6" s="8" t="s">
        <v>16</v>
      </c>
      <c r="H6" s="8" t="s">
        <v>17</v>
      </c>
      <c r="I6" s="7" t="s">
        <v>12</v>
      </c>
      <c r="J6" s="7" t="s">
        <v>13</v>
      </c>
      <c r="K6" s="7" t="s">
        <v>14</v>
      </c>
      <c r="L6" s="110"/>
      <c r="M6" s="110"/>
      <c r="N6" s="110"/>
      <c r="O6" s="110"/>
      <c r="P6" s="110"/>
      <c r="Q6" s="110"/>
      <c r="R6" s="111"/>
    </row>
    <row r="7" spans="1:18" ht="41.45" customHeight="1" x14ac:dyDescent="0.45">
      <c r="A7" s="59" t="s">
        <v>66</v>
      </c>
      <c r="B7" s="21" t="s">
        <v>108</v>
      </c>
      <c r="C7" s="22">
        <v>0</v>
      </c>
      <c r="D7" s="22">
        <v>8.1999999999999993</v>
      </c>
      <c r="E7" s="21"/>
      <c r="F7" s="21" t="s">
        <v>109</v>
      </c>
      <c r="G7" s="21"/>
      <c r="H7" s="21"/>
      <c r="I7" s="21" t="s">
        <v>109</v>
      </c>
      <c r="J7" s="21"/>
      <c r="K7" s="21"/>
      <c r="L7" s="96"/>
      <c r="M7" s="96"/>
      <c r="N7" s="96"/>
      <c r="O7" s="96"/>
      <c r="P7" s="96"/>
      <c r="Q7" s="96"/>
      <c r="R7" s="97"/>
    </row>
    <row r="8" spans="1:18" ht="41.45" customHeight="1" x14ac:dyDescent="0.4">
      <c r="A8" s="59" t="s">
        <v>66</v>
      </c>
      <c r="B8" s="21"/>
      <c r="C8" s="22">
        <v>8.1999999999999993</v>
      </c>
      <c r="D8" s="22">
        <v>17.3</v>
      </c>
      <c r="E8" s="21"/>
      <c r="F8" s="21" t="s">
        <v>109</v>
      </c>
      <c r="G8" s="21"/>
      <c r="H8" s="21"/>
      <c r="I8" s="21" t="s">
        <v>109</v>
      </c>
      <c r="J8" s="21"/>
      <c r="K8" s="21"/>
      <c r="L8" s="96"/>
      <c r="M8" s="96"/>
      <c r="N8" s="96"/>
      <c r="O8" s="96"/>
      <c r="P8" s="96"/>
      <c r="Q8" s="96"/>
      <c r="R8" s="97"/>
    </row>
    <row r="9" spans="1:18" ht="41.45" customHeight="1" x14ac:dyDescent="0.4">
      <c r="A9" s="59" t="s">
        <v>66</v>
      </c>
      <c r="B9" s="21"/>
      <c r="C9" s="22">
        <v>17.3</v>
      </c>
      <c r="D9" s="22">
        <v>23.95</v>
      </c>
      <c r="E9" s="21"/>
      <c r="F9" s="21" t="s">
        <v>109</v>
      </c>
      <c r="G9" s="21"/>
      <c r="H9" s="21"/>
      <c r="I9" s="21"/>
      <c r="J9" s="21" t="s">
        <v>109</v>
      </c>
      <c r="K9" s="21"/>
      <c r="L9" s="96"/>
      <c r="M9" s="96"/>
      <c r="N9" s="96"/>
      <c r="O9" s="96"/>
      <c r="P9" s="96"/>
      <c r="Q9" s="96"/>
      <c r="R9" s="97"/>
    </row>
    <row r="10" spans="1:18" ht="41.45" customHeight="1" x14ac:dyDescent="0.25">
      <c r="A10" s="32"/>
      <c r="B10" s="21"/>
      <c r="C10" s="22"/>
      <c r="D10" s="22"/>
      <c r="E10" s="21"/>
      <c r="F10" s="21"/>
      <c r="G10" s="21"/>
      <c r="H10" s="21"/>
      <c r="I10" s="21"/>
      <c r="J10" s="21"/>
      <c r="K10" s="21"/>
      <c r="L10" s="96"/>
      <c r="M10" s="96"/>
      <c r="N10" s="96"/>
      <c r="O10" s="96"/>
      <c r="P10" s="96"/>
      <c r="Q10" s="96"/>
      <c r="R10" s="97"/>
    </row>
    <row r="11" spans="1:18" ht="41.45" customHeight="1" x14ac:dyDescent="0.25">
      <c r="A11" s="32"/>
      <c r="B11" s="21"/>
      <c r="C11" s="22"/>
      <c r="D11" s="22"/>
      <c r="E11" s="21"/>
      <c r="F11" s="21"/>
      <c r="G11" s="21"/>
      <c r="H11" s="21"/>
      <c r="I11" s="21"/>
      <c r="J11" s="21"/>
      <c r="K11" s="21"/>
      <c r="L11" s="96"/>
      <c r="M11" s="96"/>
      <c r="N11" s="96"/>
      <c r="O11" s="96"/>
      <c r="P11" s="96"/>
      <c r="Q11" s="96"/>
      <c r="R11" s="97"/>
    </row>
    <row r="12" spans="1:18" ht="41.45" customHeight="1" x14ac:dyDescent="0.25">
      <c r="A12" s="32"/>
      <c r="B12" s="21"/>
      <c r="C12" s="22"/>
      <c r="D12" s="22"/>
      <c r="E12" s="21"/>
      <c r="F12" s="21"/>
      <c r="G12" s="21"/>
      <c r="H12" s="21"/>
      <c r="I12" s="21"/>
      <c r="J12" s="21"/>
      <c r="K12" s="21"/>
      <c r="L12" s="96"/>
      <c r="M12" s="96"/>
      <c r="N12" s="96"/>
      <c r="O12" s="96"/>
      <c r="P12" s="96"/>
      <c r="Q12" s="96"/>
      <c r="R12" s="97"/>
    </row>
    <row r="13" spans="1:18" ht="41.45" customHeight="1" x14ac:dyDescent="0.25">
      <c r="A13" s="32"/>
      <c r="B13" s="21"/>
      <c r="C13" s="22"/>
      <c r="D13" s="22"/>
      <c r="E13" s="21"/>
      <c r="F13" s="21"/>
      <c r="G13" s="21"/>
      <c r="H13" s="21"/>
      <c r="I13" s="21"/>
      <c r="J13" s="21"/>
      <c r="K13" s="21"/>
      <c r="L13" s="96"/>
      <c r="M13" s="96"/>
      <c r="N13" s="96"/>
      <c r="O13" s="96"/>
      <c r="P13" s="96"/>
      <c r="Q13" s="96"/>
      <c r="R13" s="97"/>
    </row>
    <row r="14" spans="1:18" ht="41.45" customHeight="1" x14ac:dyDescent="0.25">
      <c r="A14" s="32"/>
      <c r="B14" s="21"/>
      <c r="C14" s="22"/>
      <c r="D14" s="22"/>
      <c r="E14" s="21"/>
      <c r="F14" s="21"/>
      <c r="G14" s="21"/>
      <c r="H14" s="21"/>
      <c r="I14" s="21"/>
      <c r="J14" s="21"/>
      <c r="K14" s="21"/>
      <c r="L14" s="96"/>
      <c r="M14" s="96"/>
      <c r="N14" s="96"/>
      <c r="O14" s="96"/>
      <c r="P14" s="96"/>
      <c r="Q14" s="96"/>
      <c r="R14" s="97"/>
    </row>
    <row r="15" spans="1:18" ht="41.45" customHeight="1" x14ac:dyDescent="0.25">
      <c r="A15" s="32"/>
      <c r="B15" s="21"/>
      <c r="C15" s="22"/>
      <c r="D15" s="22"/>
      <c r="E15" s="21"/>
      <c r="F15" s="21"/>
      <c r="G15" s="21"/>
      <c r="H15" s="21"/>
      <c r="I15" s="21"/>
      <c r="J15" s="21"/>
      <c r="K15" s="21"/>
      <c r="L15" s="96"/>
      <c r="M15" s="96"/>
      <c r="N15" s="96"/>
      <c r="O15" s="96"/>
      <c r="P15" s="96"/>
      <c r="Q15" s="96"/>
      <c r="R15" s="97"/>
    </row>
    <row r="16" spans="1:18" ht="41.45" customHeight="1" x14ac:dyDescent="0.25">
      <c r="A16" s="32"/>
      <c r="B16" s="21"/>
      <c r="C16" s="22"/>
      <c r="D16" s="22"/>
      <c r="E16" s="21"/>
      <c r="F16" s="21"/>
      <c r="G16" s="21"/>
      <c r="H16" s="21"/>
      <c r="I16" s="21"/>
      <c r="J16" s="21"/>
      <c r="K16" s="21"/>
      <c r="L16" s="96"/>
      <c r="M16" s="96"/>
      <c r="N16" s="96"/>
      <c r="O16" s="96"/>
      <c r="P16" s="96"/>
      <c r="Q16" s="96"/>
      <c r="R16" s="97"/>
    </row>
    <row r="17" spans="1:18" ht="41.45" customHeight="1" x14ac:dyDescent="0.25">
      <c r="A17" s="32"/>
      <c r="B17" s="21"/>
      <c r="C17" s="22"/>
      <c r="D17" s="22"/>
      <c r="E17" s="21"/>
      <c r="F17" s="21"/>
      <c r="G17" s="21"/>
      <c r="H17" s="21"/>
      <c r="I17" s="21"/>
      <c r="J17" s="21"/>
      <c r="K17" s="21"/>
      <c r="L17" s="96"/>
      <c r="M17" s="96"/>
      <c r="N17" s="96"/>
      <c r="O17" s="96"/>
      <c r="P17" s="96"/>
      <c r="Q17" s="96"/>
      <c r="R17" s="97"/>
    </row>
    <row r="18" spans="1:18" ht="41.45" customHeight="1" x14ac:dyDescent="0.25">
      <c r="A18" s="19"/>
      <c r="B18" s="3"/>
      <c r="C18" s="22"/>
      <c r="D18" s="22"/>
      <c r="E18" s="21"/>
      <c r="F18" s="21"/>
      <c r="G18" s="21"/>
      <c r="H18" s="21"/>
      <c r="I18" s="21"/>
      <c r="J18" s="21"/>
      <c r="K18" s="21"/>
      <c r="L18" s="96"/>
      <c r="M18" s="96"/>
      <c r="N18" s="96"/>
      <c r="O18" s="96"/>
      <c r="P18" s="96"/>
      <c r="Q18" s="96"/>
      <c r="R18" s="97"/>
    </row>
    <row r="19" spans="1:18" ht="41.45" customHeight="1" x14ac:dyDescent="0.25">
      <c r="A19" s="19"/>
      <c r="B19" s="3"/>
      <c r="C19" s="22"/>
      <c r="D19" s="22"/>
      <c r="E19" s="21"/>
      <c r="F19" s="21"/>
      <c r="G19" s="21"/>
      <c r="H19" s="21"/>
      <c r="I19" s="21"/>
      <c r="J19" s="21"/>
      <c r="K19" s="21"/>
      <c r="L19" s="96"/>
      <c r="M19" s="96"/>
      <c r="N19" s="96"/>
      <c r="O19" s="96"/>
      <c r="P19" s="96"/>
      <c r="Q19" s="96"/>
      <c r="R19" s="97"/>
    </row>
    <row r="20" spans="1:18" ht="41.45" customHeight="1" x14ac:dyDescent="0.25">
      <c r="A20" s="19"/>
      <c r="B20" s="3"/>
      <c r="C20" s="22"/>
      <c r="D20" s="22"/>
      <c r="E20" s="21"/>
      <c r="F20" s="21"/>
      <c r="G20" s="21"/>
      <c r="H20" s="21"/>
      <c r="I20" s="21"/>
      <c r="J20" s="21"/>
      <c r="K20" s="21"/>
      <c r="L20" s="96"/>
      <c r="M20" s="96"/>
      <c r="N20" s="96"/>
      <c r="O20" s="96"/>
      <c r="P20" s="96"/>
      <c r="Q20" s="96"/>
      <c r="R20" s="97"/>
    </row>
    <row r="21" spans="1:18" ht="41.45" customHeight="1" x14ac:dyDescent="0.25">
      <c r="A21" s="19"/>
      <c r="B21" s="3"/>
      <c r="C21" s="22"/>
      <c r="D21" s="22"/>
      <c r="E21" s="21"/>
      <c r="F21" s="21"/>
      <c r="G21" s="21"/>
      <c r="H21" s="21"/>
      <c r="I21" s="21"/>
      <c r="J21" s="21"/>
      <c r="K21" s="21"/>
      <c r="L21" s="96"/>
      <c r="M21" s="96"/>
      <c r="N21" s="96"/>
      <c r="O21" s="96"/>
      <c r="P21" s="96"/>
      <c r="Q21" s="96"/>
      <c r="R21" s="97"/>
    </row>
    <row r="22" spans="1:18" ht="41.45" customHeight="1" x14ac:dyDescent="0.25">
      <c r="A22" s="19"/>
      <c r="B22" s="3"/>
      <c r="C22" s="22"/>
      <c r="D22" s="22"/>
      <c r="E22" s="21"/>
      <c r="F22" s="21"/>
      <c r="G22" s="21"/>
      <c r="H22" s="21"/>
      <c r="I22" s="21"/>
      <c r="J22" s="21"/>
      <c r="K22" s="21"/>
      <c r="L22" s="96"/>
      <c r="M22" s="96"/>
      <c r="N22" s="96"/>
      <c r="O22" s="96"/>
      <c r="P22" s="96"/>
      <c r="Q22" s="96"/>
      <c r="R22" s="97"/>
    </row>
    <row r="23" spans="1:18" ht="41.45" customHeight="1" x14ac:dyDescent="0.25">
      <c r="A23" s="19"/>
      <c r="B23" s="3"/>
      <c r="C23" s="22"/>
      <c r="D23" s="22"/>
      <c r="E23" s="21"/>
      <c r="F23" s="21"/>
      <c r="G23" s="21"/>
      <c r="H23" s="21"/>
      <c r="I23" s="21"/>
      <c r="J23" s="21"/>
      <c r="K23" s="21"/>
      <c r="L23" s="96"/>
      <c r="M23" s="96"/>
      <c r="N23" s="96"/>
      <c r="O23" s="96"/>
      <c r="P23" s="96"/>
      <c r="Q23" s="96"/>
      <c r="R23" s="97"/>
    </row>
    <row r="24" spans="1:18" ht="41.45" customHeight="1" x14ac:dyDescent="0.25">
      <c r="A24" s="19"/>
      <c r="B24" s="3"/>
      <c r="C24" s="22"/>
      <c r="D24" s="22"/>
      <c r="E24" s="21"/>
      <c r="F24" s="21"/>
      <c r="G24" s="21"/>
      <c r="H24" s="21"/>
      <c r="I24" s="21"/>
      <c r="J24" s="21"/>
      <c r="K24" s="21"/>
      <c r="L24" s="96"/>
      <c r="M24" s="96"/>
      <c r="N24" s="96"/>
      <c r="O24" s="96"/>
      <c r="P24" s="96"/>
      <c r="Q24" s="96"/>
      <c r="R24" s="97"/>
    </row>
    <row r="25" spans="1:18" ht="41.45" customHeight="1" x14ac:dyDescent="0.25">
      <c r="A25" s="19"/>
      <c r="B25" s="3"/>
      <c r="C25" s="22"/>
      <c r="D25" s="22"/>
      <c r="E25" s="21"/>
      <c r="F25" s="21"/>
      <c r="G25" s="21"/>
      <c r="H25" s="21"/>
      <c r="I25" s="21"/>
      <c r="J25" s="21"/>
      <c r="K25" s="21"/>
      <c r="L25" s="96"/>
      <c r="M25" s="96"/>
      <c r="N25" s="96"/>
      <c r="O25" s="96"/>
      <c r="P25" s="96"/>
      <c r="Q25" s="96"/>
      <c r="R25" s="97"/>
    </row>
    <row r="26" spans="1:18" ht="41.45" customHeight="1" x14ac:dyDescent="0.25">
      <c r="A26" s="19"/>
      <c r="B26" s="3"/>
      <c r="C26" s="22"/>
      <c r="D26" s="22"/>
      <c r="E26" s="21"/>
      <c r="F26" s="21"/>
      <c r="G26" s="21"/>
      <c r="H26" s="21"/>
      <c r="I26" s="21"/>
      <c r="J26" s="21"/>
      <c r="K26" s="21"/>
      <c r="L26" s="96"/>
      <c r="M26" s="96"/>
      <c r="N26" s="96"/>
      <c r="O26" s="96"/>
      <c r="P26" s="96"/>
      <c r="Q26" s="96"/>
      <c r="R26" s="97"/>
    </row>
    <row r="27" spans="1:18" ht="41.45" customHeight="1" x14ac:dyDescent="0.25">
      <c r="A27" s="19"/>
      <c r="B27" s="3"/>
      <c r="C27" s="22"/>
      <c r="D27" s="22"/>
      <c r="E27" s="21"/>
      <c r="F27" s="21"/>
      <c r="G27" s="21"/>
      <c r="H27" s="21"/>
      <c r="I27" s="21"/>
      <c r="J27" s="21"/>
      <c r="K27" s="21"/>
      <c r="L27" s="96"/>
      <c r="M27" s="96"/>
      <c r="N27" s="96"/>
      <c r="O27" s="96"/>
      <c r="P27" s="96"/>
      <c r="Q27" s="96"/>
      <c r="R27" s="97"/>
    </row>
    <row r="28" spans="1:18" ht="41.45" customHeight="1" x14ac:dyDescent="0.25">
      <c r="A28" s="19"/>
      <c r="B28" s="3"/>
      <c r="C28" s="22"/>
      <c r="D28" s="22"/>
      <c r="E28" s="21"/>
      <c r="F28" s="21"/>
      <c r="G28" s="21"/>
      <c r="H28" s="21"/>
      <c r="I28" s="21"/>
      <c r="J28" s="21"/>
      <c r="K28" s="21"/>
      <c r="L28" s="96"/>
      <c r="M28" s="96"/>
      <c r="N28" s="96"/>
      <c r="O28" s="96"/>
      <c r="P28" s="96"/>
      <c r="Q28" s="96"/>
      <c r="R28" s="97"/>
    </row>
    <row r="29" spans="1:18" ht="41.45" customHeight="1" x14ac:dyDescent="0.25">
      <c r="A29" s="19"/>
      <c r="B29" s="3"/>
      <c r="C29" s="22"/>
      <c r="D29" s="22"/>
      <c r="E29" s="21"/>
      <c r="F29" s="21"/>
      <c r="G29" s="21"/>
      <c r="H29" s="21"/>
      <c r="I29" s="21"/>
      <c r="J29" s="21"/>
      <c r="K29" s="21"/>
      <c r="L29" s="96"/>
      <c r="M29" s="96"/>
      <c r="N29" s="96"/>
      <c r="O29" s="96"/>
      <c r="P29" s="96"/>
      <c r="Q29" s="96"/>
      <c r="R29" s="97"/>
    </row>
    <row r="30" spans="1:18" ht="41.45" customHeight="1" x14ac:dyDescent="0.25">
      <c r="A30" s="19"/>
      <c r="B30" s="3"/>
      <c r="C30" s="22"/>
      <c r="D30" s="22"/>
      <c r="E30" s="21"/>
      <c r="F30" s="21"/>
      <c r="G30" s="21"/>
      <c r="H30" s="21"/>
      <c r="I30" s="21"/>
      <c r="J30" s="21"/>
      <c r="K30" s="21"/>
      <c r="L30" s="96"/>
      <c r="M30" s="96"/>
      <c r="N30" s="96"/>
      <c r="O30" s="96"/>
      <c r="P30" s="96"/>
      <c r="Q30" s="96"/>
      <c r="R30" s="97"/>
    </row>
    <row r="31" spans="1:18" ht="41.45" customHeight="1" x14ac:dyDescent="0.25">
      <c r="A31" s="19"/>
      <c r="B31" s="3"/>
      <c r="C31" s="22"/>
      <c r="D31" s="22"/>
      <c r="E31" s="21"/>
      <c r="F31" s="21"/>
      <c r="G31" s="21"/>
      <c r="H31" s="21"/>
      <c r="I31" s="21"/>
      <c r="J31" s="21"/>
      <c r="K31" s="21"/>
      <c r="L31" s="96"/>
      <c r="M31" s="96"/>
      <c r="N31" s="96"/>
      <c r="O31" s="96"/>
      <c r="P31" s="96"/>
      <c r="Q31" s="96"/>
      <c r="R31" s="97"/>
    </row>
    <row r="32" spans="1:18" ht="41.45" customHeight="1" x14ac:dyDescent="0.25">
      <c r="A32" s="19"/>
      <c r="B32" s="3"/>
      <c r="C32" s="22"/>
      <c r="D32" s="22"/>
      <c r="E32" s="21"/>
      <c r="F32" s="21"/>
      <c r="G32" s="21"/>
      <c r="H32" s="21"/>
      <c r="I32" s="21"/>
      <c r="J32" s="21"/>
      <c r="K32" s="21"/>
      <c r="L32" s="96"/>
      <c r="M32" s="96"/>
      <c r="N32" s="96"/>
      <c r="O32" s="96"/>
      <c r="P32" s="96"/>
      <c r="Q32" s="96"/>
      <c r="R32" s="97"/>
    </row>
    <row r="33" spans="1:18" ht="41.45" customHeight="1" x14ac:dyDescent="0.25">
      <c r="A33" s="19"/>
      <c r="B33" s="3"/>
      <c r="C33" s="22"/>
      <c r="D33" s="22"/>
      <c r="E33" s="21"/>
      <c r="F33" s="21"/>
      <c r="G33" s="21"/>
      <c r="H33" s="21"/>
      <c r="I33" s="21"/>
      <c r="J33" s="21"/>
      <c r="K33" s="21"/>
      <c r="L33" s="96"/>
      <c r="M33" s="96"/>
      <c r="N33" s="96"/>
      <c r="O33" s="96"/>
      <c r="P33" s="96"/>
      <c r="Q33" s="96"/>
      <c r="R33" s="97"/>
    </row>
    <row r="34" spans="1:18" ht="41.45" customHeight="1" x14ac:dyDescent="0.25">
      <c r="A34" s="19"/>
      <c r="B34" s="3"/>
      <c r="C34" s="22"/>
      <c r="D34" s="22"/>
      <c r="E34" s="21"/>
      <c r="F34" s="21"/>
      <c r="G34" s="21"/>
      <c r="H34" s="21"/>
      <c r="I34" s="21"/>
      <c r="J34" s="21"/>
      <c r="K34" s="21"/>
      <c r="L34" s="96"/>
      <c r="M34" s="96"/>
      <c r="N34" s="96"/>
      <c r="O34" s="96"/>
      <c r="P34" s="96"/>
      <c r="Q34" s="96"/>
      <c r="R34" s="97"/>
    </row>
    <row r="35" spans="1:18" ht="41.45" customHeight="1" thickBot="1" x14ac:dyDescent="0.3">
      <c r="A35" s="20"/>
      <c r="B35" s="4"/>
      <c r="C35" s="23"/>
      <c r="D35" s="23"/>
      <c r="E35" s="24"/>
      <c r="F35" s="24"/>
      <c r="G35" s="24"/>
      <c r="H35" s="24"/>
      <c r="I35" s="24"/>
      <c r="J35" s="24"/>
      <c r="K35" s="24"/>
      <c r="L35" s="94"/>
      <c r="M35" s="94"/>
      <c r="N35" s="94"/>
      <c r="O35" s="94"/>
      <c r="P35" s="94"/>
      <c r="Q35" s="94"/>
      <c r="R35" s="95"/>
    </row>
    <row r="36" spans="1:18" ht="41.45" customHeight="1" x14ac:dyDescent="0.25">
      <c r="A36" s="33"/>
      <c r="B36" s="33"/>
      <c r="C36" s="34"/>
      <c r="D36" s="34"/>
      <c r="E36" s="34" t="str">
        <f>IF(E7="X",(D7-C7),"0")</f>
        <v>0</v>
      </c>
      <c r="F36" s="34">
        <f>IF(F7="X",(D7-C7),"0")</f>
        <v>8.1999999999999993</v>
      </c>
      <c r="G36" s="34" t="str">
        <f>IF(G7="X",(D7-C7),"0")</f>
        <v>0</v>
      </c>
      <c r="H36" s="34" t="str">
        <f>IF(H7="X",(D7-C7),"0")</f>
        <v>0</v>
      </c>
      <c r="I36" s="34">
        <f>IF(I7="X",(D7-C7),"0")</f>
        <v>8.1999999999999993</v>
      </c>
      <c r="J36" s="34" t="str">
        <f>IF(J7="X",(D7-C7),"0")</f>
        <v>0</v>
      </c>
      <c r="K36" s="34" t="str">
        <f>IF(K7="X",(D7-C7),"0")</f>
        <v>0</v>
      </c>
      <c r="L36" s="93"/>
      <c r="M36" s="93"/>
      <c r="N36" s="93"/>
      <c r="O36" s="93"/>
      <c r="P36" s="93"/>
      <c r="Q36" s="93"/>
      <c r="R36" s="93"/>
    </row>
    <row r="37" spans="1:18" ht="41.45" customHeight="1" x14ac:dyDescent="0.25">
      <c r="C37" s="35"/>
      <c r="D37" s="35"/>
      <c r="E37" s="35" t="str">
        <f t="shared" ref="E37:E61" si="0">IF(E8="X",(D8-C8),"0")</f>
        <v>0</v>
      </c>
      <c r="F37" s="35">
        <f t="shared" ref="F37:F61" si="1">IF(F8="X",(D8-C8),"0")</f>
        <v>9.1000000000000014</v>
      </c>
      <c r="G37" s="35" t="str">
        <f t="shared" ref="G37:G61" si="2">IF(G8="X",(D8-C8),"0")</f>
        <v>0</v>
      </c>
      <c r="H37" s="35" t="str">
        <f t="shared" ref="H37:H61" si="3">IF(H8="X",(D8-C8),"0")</f>
        <v>0</v>
      </c>
      <c r="I37" s="35">
        <f t="shared" ref="I37:I61" si="4">IF(I8="X",(D8-C8),"0")</f>
        <v>9.1000000000000014</v>
      </c>
      <c r="J37" s="35" t="str">
        <f t="shared" ref="J37:J61" si="5">IF(J8="X",(D8-C8),"0")</f>
        <v>0</v>
      </c>
      <c r="K37" s="35" t="str">
        <f t="shared" ref="K37:K61" si="6">IF(K8="X",(D8-C8),"0")</f>
        <v>0</v>
      </c>
      <c r="L37" s="92"/>
      <c r="M37" s="92"/>
      <c r="N37" s="92"/>
      <c r="O37" s="92"/>
      <c r="P37" s="92"/>
      <c r="Q37" s="92"/>
      <c r="R37" s="92"/>
    </row>
    <row r="38" spans="1:18" ht="41.45" customHeight="1" x14ac:dyDescent="0.25">
      <c r="C38" s="35"/>
      <c r="D38" s="35"/>
      <c r="E38" s="35" t="str">
        <f t="shared" si="0"/>
        <v>0</v>
      </c>
      <c r="F38" s="35">
        <f t="shared" si="1"/>
        <v>6.6499999999999986</v>
      </c>
      <c r="G38" s="35" t="str">
        <f t="shared" si="2"/>
        <v>0</v>
      </c>
      <c r="H38" s="35" t="str">
        <f t="shared" si="3"/>
        <v>0</v>
      </c>
      <c r="I38" s="35" t="str">
        <f t="shared" si="4"/>
        <v>0</v>
      </c>
      <c r="J38" s="35">
        <f t="shared" si="5"/>
        <v>6.6499999999999986</v>
      </c>
      <c r="K38" s="35" t="str">
        <f t="shared" si="6"/>
        <v>0</v>
      </c>
      <c r="L38" s="92"/>
      <c r="M38" s="92"/>
      <c r="N38" s="92"/>
      <c r="O38" s="92"/>
      <c r="P38" s="92"/>
      <c r="Q38" s="92"/>
      <c r="R38" s="92"/>
    </row>
    <row r="39" spans="1:18" ht="41.45" customHeight="1" x14ac:dyDescent="0.25">
      <c r="C39" s="35"/>
      <c r="D39" s="35"/>
      <c r="E39" s="35" t="str">
        <f t="shared" si="0"/>
        <v>0</v>
      </c>
      <c r="F39" s="35" t="str">
        <f t="shared" si="1"/>
        <v>0</v>
      </c>
      <c r="G39" s="35" t="str">
        <f t="shared" si="2"/>
        <v>0</v>
      </c>
      <c r="H39" s="35" t="str">
        <f t="shared" si="3"/>
        <v>0</v>
      </c>
      <c r="I39" s="35" t="str">
        <f t="shared" si="4"/>
        <v>0</v>
      </c>
      <c r="J39" s="35" t="str">
        <f t="shared" si="5"/>
        <v>0</v>
      </c>
      <c r="K39" s="35" t="str">
        <f t="shared" si="6"/>
        <v>0</v>
      </c>
      <c r="L39" s="92"/>
      <c r="M39" s="92"/>
      <c r="N39" s="92"/>
      <c r="O39" s="92"/>
      <c r="P39" s="92"/>
      <c r="Q39" s="92"/>
      <c r="R39" s="92"/>
    </row>
    <row r="40" spans="1:18" ht="41.45" customHeight="1" x14ac:dyDescent="0.25">
      <c r="C40" s="35"/>
      <c r="D40" s="35"/>
      <c r="E40" s="35" t="str">
        <f t="shared" si="0"/>
        <v>0</v>
      </c>
      <c r="F40" s="35" t="str">
        <f t="shared" si="1"/>
        <v>0</v>
      </c>
      <c r="G40" s="35" t="str">
        <f t="shared" si="2"/>
        <v>0</v>
      </c>
      <c r="H40" s="35" t="str">
        <f t="shared" si="3"/>
        <v>0</v>
      </c>
      <c r="I40" s="35" t="str">
        <f t="shared" si="4"/>
        <v>0</v>
      </c>
      <c r="J40" s="35" t="str">
        <f t="shared" si="5"/>
        <v>0</v>
      </c>
      <c r="K40" s="35" t="str">
        <f t="shared" si="6"/>
        <v>0</v>
      </c>
      <c r="L40" s="92"/>
      <c r="M40" s="92"/>
      <c r="N40" s="92"/>
      <c r="O40" s="92"/>
      <c r="P40" s="92"/>
      <c r="Q40" s="92"/>
      <c r="R40" s="92"/>
    </row>
    <row r="41" spans="1:18" ht="41.45" customHeight="1" x14ac:dyDescent="0.25">
      <c r="C41" s="35"/>
      <c r="D41" s="35"/>
      <c r="E41" s="35" t="str">
        <f t="shared" si="0"/>
        <v>0</v>
      </c>
      <c r="F41" s="35" t="str">
        <f t="shared" si="1"/>
        <v>0</v>
      </c>
      <c r="G41" s="35" t="str">
        <f t="shared" si="2"/>
        <v>0</v>
      </c>
      <c r="H41" s="35" t="str">
        <f t="shared" si="3"/>
        <v>0</v>
      </c>
      <c r="I41" s="35" t="str">
        <f t="shared" si="4"/>
        <v>0</v>
      </c>
      <c r="J41" s="35" t="str">
        <f t="shared" si="5"/>
        <v>0</v>
      </c>
      <c r="K41" s="35" t="str">
        <f t="shared" si="6"/>
        <v>0</v>
      </c>
      <c r="L41" s="92"/>
      <c r="M41" s="92"/>
      <c r="N41" s="92"/>
      <c r="O41" s="92"/>
      <c r="P41" s="92"/>
      <c r="Q41" s="92"/>
      <c r="R41" s="92"/>
    </row>
    <row r="42" spans="1:18" ht="41.45" customHeight="1" x14ac:dyDescent="0.25">
      <c r="C42" s="35"/>
      <c r="D42" s="35"/>
      <c r="E42" s="35" t="str">
        <f t="shared" si="0"/>
        <v>0</v>
      </c>
      <c r="F42" s="35" t="str">
        <f t="shared" si="1"/>
        <v>0</v>
      </c>
      <c r="G42" s="35" t="str">
        <f t="shared" si="2"/>
        <v>0</v>
      </c>
      <c r="H42" s="35" t="str">
        <f t="shared" si="3"/>
        <v>0</v>
      </c>
      <c r="I42" s="35" t="str">
        <f t="shared" si="4"/>
        <v>0</v>
      </c>
      <c r="J42" s="35" t="str">
        <f t="shared" si="5"/>
        <v>0</v>
      </c>
      <c r="K42" s="35" t="str">
        <f t="shared" si="6"/>
        <v>0</v>
      </c>
      <c r="L42" s="92"/>
      <c r="M42" s="92"/>
      <c r="N42" s="92"/>
      <c r="O42" s="92"/>
      <c r="P42" s="92"/>
      <c r="Q42" s="92"/>
      <c r="R42" s="92"/>
    </row>
    <row r="43" spans="1:18" ht="41.45" customHeight="1" x14ac:dyDescent="0.25">
      <c r="C43" s="35"/>
      <c r="D43" s="35"/>
      <c r="E43" s="35" t="str">
        <f t="shared" si="0"/>
        <v>0</v>
      </c>
      <c r="F43" s="35" t="str">
        <f t="shared" si="1"/>
        <v>0</v>
      </c>
      <c r="G43" s="35" t="str">
        <f t="shared" si="2"/>
        <v>0</v>
      </c>
      <c r="H43" s="35" t="str">
        <f t="shared" si="3"/>
        <v>0</v>
      </c>
      <c r="I43" s="35" t="str">
        <f t="shared" si="4"/>
        <v>0</v>
      </c>
      <c r="J43" s="35" t="str">
        <f t="shared" si="5"/>
        <v>0</v>
      </c>
      <c r="K43" s="35" t="str">
        <f t="shared" si="6"/>
        <v>0</v>
      </c>
      <c r="L43" s="92"/>
      <c r="M43" s="92"/>
      <c r="N43" s="92"/>
      <c r="O43" s="92"/>
      <c r="P43" s="92"/>
      <c r="Q43" s="92"/>
      <c r="R43" s="92"/>
    </row>
    <row r="44" spans="1:18" ht="41.45" customHeight="1" x14ac:dyDescent="0.25">
      <c r="C44" s="35"/>
      <c r="D44" s="35"/>
      <c r="E44" s="35" t="str">
        <f t="shared" si="0"/>
        <v>0</v>
      </c>
      <c r="F44" s="35" t="str">
        <f t="shared" si="1"/>
        <v>0</v>
      </c>
      <c r="G44" s="35" t="str">
        <f t="shared" si="2"/>
        <v>0</v>
      </c>
      <c r="H44" s="35" t="str">
        <f t="shared" si="3"/>
        <v>0</v>
      </c>
      <c r="I44" s="35" t="str">
        <f t="shared" si="4"/>
        <v>0</v>
      </c>
      <c r="J44" s="35" t="str">
        <f t="shared" si="5"/>
        <v>0</v>
      </c>
      <c r="K44" s="35" t="str">
        <f t="shared" si="6"/>
        <v>0</v>
      </c>
      <c r="L44" s="92"/>
      <c r="M44" s="92"/>
      <c r="N44" s="92"/>
      <c r="O44" s="92"/>
      <c r="P44" s="92"/>
      <c r="Q44" s="92"/>
      <c r="R44" s="92"/>
    </row>
    <row r="45" spans="1:18" ht="41.45" customHeight="1" x14ac:dyDescent="0.25">
      <c r="C45" s="35"/>
      <c r="D45" s="35"/>
      <c r="E45" s="35" t="str">
        <f t="shared" si="0"/>
        <v>0</v>
      </c>
      <c r="F45" s="35" t="str">
        <f t="shared" si="1"/>
        <v>0</v>
      </c>
      <c r="G45" s="35" t="str">
        <f t="shared" si="2"/>
        <v>0</v>
      </c>
      <c r="H45" s="35" t="str">
        <f t="shared" si="3"/>
        <v>0</v>
      </c>
      <c r="I45" s="35" t="str">
        <f t="shared" si="4"/>
        <v>0</v>
      </c>
      <c r="J45" s="35" t="str">
        <f t="shared" si="5"/>
        <v>0</v>
      </c>
      <c r="K45" s="35" t="str">
        <f t="shared" si="6"/>
        <v>0</v>
      </c>
      <c r="L45" s="92"/>
      <c r="M45" s="92"/>
      <c r="N45" s="92"/>
      <c r="O45" s="92"/>
      <c r="P45" s="92"/>
      <c r="Q45" s="92"/>
      <c r="R45" s="92"/>
    </row>
    <row r="46" spans="1:18" ht="41.45" customHeight="1" x14ac:dyDescent="0.25">
      <c r="C46" s="35"/>
      <c r="D46" s="35"/>
      <c r="E46" s="35" t="str">
        <f t="shared" si="0"/>
        <v>0</v>
      </c>
      <c r="F46" s="35" t="str">
        <f t="shared" si="1"/>
        <v>0</v>
      </c>
      <c r="G46" s="35" t="str">
        <f t="shared" si="2"/>
        <v>0</v>
      </c>
      <c r="H46" s="35" t="str">
        <f t="shared" si="3"/>
        <v>0</v>
      </c>
      <c r="I46" s="35" t="str">
        <f t="shared" si="4"/>
        <v>0</v>
      </c>
      <c r="J46" s="35" t="str">
        <f t="shared" si="5"/>
        <v>0</v>
      </c>
      <c r="K46" s="35" t="str">
        <f t="shared" si="6"/>
        <v>0</v>
      </c>
      <c r="L46" s="92"/>
      <c r="M46" s="92"/>
      <c r="N46" s="92"/>
      <c r="O46" s="92"/>
      <c r="P46" s="92"/>
      <c r="Q46" s="92"/>
      <c r="R46" s="92"/>
    </row>
    <row r="47" spans="1:18" ht="41.45" customHeight="1" x14ac:dyDescent="0.25">
      <c r="C47" s="35"/>
      <c r="D47" s="35"/>
      <c r="E47" s="35" t="str">
        <f t="shared" si="0"/>
        <v>0</v>
      </c>
      <c r="F47" s="35" t="str">
        <f t="shared" si="1"/>
        <v>0</v>
      </c>
      <c r="G47" s="35" t="str">
        <f t="shared" si="2"/>
        <v>0</v>
      </c>
      <c r="H47" s="35" t="str">
        <f t="shared" si="3"/>
        <v>0</v>
      </c>
      <c r="I47" s="35" t="str">
        <f t="shared" si="4"/>
        <v>0</v>
      </c>
      <c r="J47" s="35" t="str">
        <f t="shared" si="5"/>
        <v>0</v>
      </c>
      <c r="K47" s="35" t="str">
        <f t="shared" si="6"/>
        <v>0</v>
      </c>
      <c r="L47" s="92"/>
      <c r="M47" s="92"/>
      <c r="N47" s="92"/>
      <c r="O47" s="92"/>
      <c r="P47" s="92"/>
      <c r="Q47" s="92"/>
      <c r="R47" s="92"/>
    </row>
    <row r="48" spans="1:18" ht="41.45" customHeight="1" x14ac:dyDescent="0.25">
      <c r="C48" s="35"/>
      <c r="D48" s="35"/>
      <c r="E48" s="35" t="str">
        <f t="shared" si="0"/>
        <v>0</v>
      </c>
      <c r="F48" s="35" t="str">
        <f t="shared" si="1"/>
        <v>0</v>
      </c>
      <c r="G48" s="35" t="str">
        <f t="shared" si="2"/>
        <v>0</v>
      </c>
      <c r="H48" s="35" t="str">
        <f t="shared" si="3"/>
        <v>0</v>
      </c>
      <c r="I48" s="35" t="str">
        <f t="shared" si="4"/>
        <v>0</v>
      </c>
      <c r="J48" s="35" t="str">
        <f t="shared" si="5"/>
        <v>0</v>
      </c>
      <c r="K48" s="35" t="str">
        <f t="shared" si="6"/>
        <v>0</v>
      </c>
      <c r="L48" s="92"/>
      <c r="M48" s="92"/>
      <c r="N48" s="92"/>
      <c r="O48" s="92"/>
      <c r="P48" s="92"/>
      <c r="Q48" s="92"/>
      <c r="R48" s="92"/>
    </row>
    <row r="49" spans="3:18" ht="41.45" customHeight="1" x14ac:dyDescent="0.25">
      <c r="C49" s="35"/>
      <c r="D49" s="35"/>
      <c r="E49" s="35" t="str">
        <f t="shared" si="0"/>
        <v>0</v>
      </c>
      <c r="F49" s="35" t="str">
        <f t="shared" si="1"/>
        <v>0</v>
      </c>
      <c r="G49" s="35" t="str">
        <f t="shared" si="2"/>
        <v>0</v>
      </c>
      <c r="H49" s="35" t="str">
        <f t="shared" si="3"/>
        <v>0</v>
      </c>
      <c r="I49" s="35" t="str">
        <f t="shared" si="4"/>
        <v>0</v>
      </c>
      <c r="J49" s="35" t="str">
        <f t="shared" si="5"/>
        <v>0</v>
      </c>
      <c r="K49" s="35" t="str">
        <f t="shared" si="6"/>
        <v>0</v>
      </c>
      <c r="L49" s="92"/>
      <c r="M49" s="92"/>
      <c r="N49" s="92"/>
      <c r="O49" s="92"/>
      <c r="P49" s="92"/>
      <c r="Q49" s="92"/>
      <c r="R49" s="92"/>
    </row>
    <row r="50" spans="3:18" ht="41.45" customHeight="1" x14ac:dyDescent="0.25">
      <c r="C50" s="35"/>
      <c r="D50" s="35"/>
      <c r="E50" s="35" t="str">
        <f t="shared" si="0"/>
        <v>0</v>
      </c>
      <c r="F50" s="35" t="str">
        <f t="shared" si="1"/>
        <v>0</v>
      </c>
      <c r="G50" s="35" t="str">
        <f t="shared" si="2"/>
        <v>0</v>
      </c>
      <c r="H50" s="35" t="str">
        <f t="shared" si="3"/>
        <v>0</v>
      </c>
      <c r="I50" s="35" t="str">
        <f t="shared" si="4"/>
        <v>0</v>
      </c>
      <c r="J50" s="35" t="str">
        <f t="shared" si="5"/>
        <v>0</v>
      </c>
      <c r="K50" s="35" t="str">
        <f t="shared" si="6"/>
        <v>0</v>
      </c>
      <c r="L50" s="92"/>
      <c r="M50" s="92"/>
      <c r="N50" s="92"/>
      <c r="O50" s="92"/>
      <c r="P50" s="92"/>
      <c r="Q50" s="92"/>
      <c r="R50" s="92"/>
    </row>
    <row r="51" spans="3:18" ht="41.45" customHeight="1" x14ac:dyDescent="0.25">
      <c r="C51" s="35"/>
      <c r="D51" s="35"/>
      <c r="E51" s="35" t="str">
        <f t="shared" si="0"/>
        <v>0</v>
      </c>
      <c r="F51" s="35" t="str">
        <f t="shared" si="1"/>
        <v>0</v>
      </c>
      <c r="G51" s="35" t="str">
        <f t="shared" si="2"/>
        <v>0</v>
      </c>
      <c r="H51" s="35" t="str">
        <f t="shared" si="3"/>
        <v>0</v>
      </c>
      <c r="I51" s="35" t="str">
        <f t="shared" si="4"/>
        <v>0</v>
      </c>
      <c r="J51" s="35" t="str">
        <f t="shared" si="5"/>
        <v>0</v>
      </c>
      <c r="K51" s="35" t="str">
        <f t="shared" si="6"/>
        <v>0</v>
      </c>
      <c r="L51" s="92"/>
      <c r="M51" s="92"/>
      <c r="N51" s="92"/>
      <c r="O51" s="92"/>
      <c r="P51" s="92"/>
      <c r="Q51" s="92"/>
      <c r="R51" s="92"/>
    </row>
    <row r="52" spans="3:18" ht="41.45" customHeight="1" x14ac:dyDescent="0.25">
      <c r="C52" s="35"/>
      <c r="D52" s="35"/>
      <c r="E52" s="35" t="str">
        <f t="shared" si="0"/>
        <v>0</v>
      </c>
      <c r="F52" s="35" t="str">
        <f t="shared" si="1"/>
        <v>0</v>
      </c>
      <c r="G52" s="35" t="str">
        <f t="shared" si="2"/>
        <v>0</v>
      </c>
      <c r="H52" s="35" t="str">
        <f t="shared" si="3"/>
        <v>0</v>
      </c>
      <c r="I52" s="35" t="str">
        <f t="shared" si="4"/>
        <v>0</v>
      </c>
      <c r="J52" s="35" t="str">
        <f t="shared" si="5"/>
        <v>0</v>
      </c>
      <c r="K52" s="35" t="str">
        <f t="shared" si="6"/>
        <v>0</v>
      </c>
      <c r="L52" s="92"/>
      <c r="M52" s="92"/>
      <c r="N52" s="92"/>
      <c r="O52" s="92"/>
      <c r="P52" s="92"/>
      <c r="Q52" s="92"/>
      <c r="R52" s="92"/>
    </row>
    <row r="53" spans="3:18" ht="41.45" customHeight="1" x14ac:dyDescent="0.25">
      <c r="C53" s="35"/>
      <c r="D53" s="35"/>
      <c r="E53" s="35" t="str">
        <f t="shared" si="0"/>
        <v>0</v>
      </c>
      <c r="F53" s="35" t="str">
        <f t="shared" si="1"/>
        <v>0</v>
      </c>
      <c r="G53" s="35" t="str">
        <f t="shared" si="2"/>
        <v>0</v>
      </c>
      <c r="H53" s="35" t="str">
        <f t="shared" si="3"/>
        <v>0</v>
      </c>
      <c r="I53" s="35" t="str">
        <f t="shared" si="4"/>
        <v>0</v>
      </c>
      <c r="J53" s="35" t="str">
        <f t="shared" si="5"/>
        <v>0</v>
      </c>
      <c r="K53" s="35" t="str">
        <f t="shared" si="6"/>
        <v>0</v>
      </c>
      <c r="L53" s="92"/>
      <c r="M53" s="92"/>
      <c r="N53" s="92"/>
      <c r="O53" s="92"/>
      <c r="P53" s="92"/>
      <c r="Q53" s="92"/>
      <c r="R53" s="92"/>
    </row>
    <row r="54" spans="3:18" ht="41.45" customHeight="1" x14ac:dyDescent="0.25">
      <c r="C54" s="35"/>
      <c r="D54" s="35"/>
      <c r="E54" s="35" t="str">
        <f t="shared" si="0"/>
        <v>0</v>
      </c>
      <c r="F54" s="35" t="str">
        <f t="shared" si="1"/>
        <v>0</v>
      </c>
      <c r="G54" s="35" t="str">
        <f t="shared" si="2"/>
        <v>0</v>
      </c>
      <c r="H54" s="35" t="str">
        <f t="shared" si="3"/>
        <v>0</v>
      </c>
      <c r="I54" s="35" t="str">
        <f t="shared" si="4"/>
        <v>0</v>
      </c>
      <c r="J54" s="35" t="str">
        <f t="shared" si="5"/>
        <v>0</v>
      </c>
      <c r="K54" s="35" t="str">
        <f t="shared" si="6"/>
        <v>0</v>
      </c>
      <c r="L54" s="92"/>
      <c r="M54" s="92"/>
      <c r="N54" s="92"/>
      <c r="O54" s="92"/>
      <c r="P54" s="92"/>
      <c r="Q54" s="92"/>
      <c r="R54" s="92"/>
    </row>
    <row r="55" spans="3:18" ht="41.45" customHeight="1" x14ac:dyDescent="0.25">
      <c r="C55" s="35"/>
      <c r="D55" s="35"/>
      <c r="E55" s="35" t="str">
        <f t="shared" si="0"/>
        <v>0</v>
      </c>
      <c r="F55" s="35" t="str">
        <f t="shared" si="1"/>
        <v>0</v>
      </c>
      <c r="G55" s="35" t="str">
        <f t="shared" si="2"/>
        <v>0</v>
      </c>
      <c r="H55" s="35" t="str">
        <f t="shared" si="3"/>
        <v>0</v>
      </c>
      <c r="I55" s="35" t="str">
        <f t="shared" si="4"/>
        <v>0</v>
      </c>
      <c r="J55" s="35" t="str">
        <f t="shared" si="5"/>
        <v>0</v>
      </c>
      <c r="K55" s="35" t="str">
        <f t="shared" si="6"/>
        <v>0</v>
      </c>
      <c r="L55" s="92"/>
      <c r="M55" s="92"/>
      <c r="N55" s="92"/>
      <c r="O55" s="92"/>
      <c r="P55" s="92"/>
      <c r="Q55" s="92"/>
      <c r="R55" s="92"/>
    </row>
    <row r="56" spans="3:18" ht="41.45" customHeight="1" x14ac:dyDescent="0.25">
      <c r="C56" s="35"/>
      <c r="D56" s="35"/>
      <c r="E56" s="35" t="str">
        <f t="shared" si="0"/>
        <v>0</v>
      </c>
      <c r="F56" s="35" t="str">
        <f t="shared" si="1"/>
        <v>0</v>
      </c>
      <c r="G56" s="35" t="str">
        <f t="shared" si="2"/>
        <v>0</v>
      </c>
      <c r="H56" s="35" t="str">
        <f t="shared" si="3"/>
        <v>0</v>
      </c>
      <c r="I56" s="35" t="str">
        <f t="shared" si="4"/>
        <v>0</v>
      </c>
      <c r="J56" s="35" t="str">
        <f t="shared" si="5"/>
        <v>0</v>
      </c>
      <c r="K56" s="35" t="str">
        <f t="shared" si="6"/>
        <v>0</v>
      </c>
      <c r="L56" s="92"/>
      <c r="M56" s="92"/>
      <c r="N56" s="92"/>
      <c r="O56" s="92"/>
      <c r="P56" s="92"/>
      <c r="Q56" s="92"/>
      <c r="R56" s="92"/>
    </row>
    <row r="57" spans="3:18" ht="41.45" customHeight="1" x14ac:dyDescent="0.25">
      <c r="C57" s="35"/>
      <c r="D57" s="35"/>
      <c r="E57" s="35" t="str">
        <f t="shared" si="0"/>
        <v>0</v>
      </c>
      <c r="F57" s="35" t="str">
        <f t="shared" si="1"/>
        <v>0</v>
      </c>
      <c r="G57" s="35" t="str">
        <f t="shared" si="2"/>
        <v>0</v>
      </c>
      <c r="H57" s="35" t="str">
        <f t="shared" si="3"/>
        <v>0</v>
      </c>
      <c r="I57" s="35" t="str">
        <f t="shared" si="4"/>
        <v>0</v>
      </c>
      <c r="J57" s="35" t="str">
        <f t="shared" si="5"/>
        <v>0</v>
      </c>
      <c r="K57" s="35" t="str">
        <f t="shared" si="6"/>
        <v>0</v>
      </c>
      <c r="L57" s="92"/>
      <c r="M57" s="92"/>
      <c r="N57" s="92"/>
      <c r="O57" s="92"/>
      <c r="P57" s="92"/>
      <c r="Q57" s="92"/>
      <c r="R57" s="92"/>
    </row>
    <row r="58" spans="3:18" ht="41.45" customHeight="1" x14ac:dyDescent="0.25">
      <c r="C58" s="35"/>
      <c r="D58" s="35"/>
      <c r="E58" s="35" t="str">
        <f t="shared" si="0"/>
        <v>0</v>
      </c>
      <c r="F58" s="35" t="str">
        <f t="shared" si="1"/>
        <v>0</v>
      </c>
      <c r="G58" s="35" t="str">
        <f t="shared" si="2"/>
        <v>0</v>
      </c>
      <c r="H58" s="35" t="str">
        <f t="shared" si="3"/>
        <v>0</v>
      </c>
      <c r="I58" s="35" t="str">
        <f t="shared" si="4"/>
        <v>0</v>
      </c>
      <c r="J58" s="35" t="str">
        <f t="shared" si="5"/>
        <v>0</v>
      </c>
      <c r="K58" s="35" t="str">
        <f t="shared" si="6"/>
        <v>0</v>
      </c>
      <c r="L58" s="92"/>
      <c r="M58" s="92"/>
      <c r="N58" s="92"/>
      <c r="O58" s="92"/>
      <c r="P58" s="92"/>
      <c r="Q58" s="92"/>
      <c r="R58" s="92"/>
    </row>
    <row r="59" spans="3:18" ht="41.45" customHeight="1" x14ac:dyDescent="0.25">
      <c r="C59" s="35"/>
      <c r="D59" s="35"/>
      <c r="E59" s="35" t="str">
        <f t="shared" si="0"/>
        <v>0</v>
      </c>
      <c r="F59" s="35" t="str">
        <f t="shared" si="1"/>
        <v>0</v>
      </c>
      <c r="G59" s="35" t="str">
        <f t="shared" si="2"/>
        <v>0</v>
      </c>
      <c r="H59" s="35" t="str">
        <f t="shared" si="3"/>
        <v>0</v>
      </c>
      <c r="I59" s="35" t="str">
        <f t="shared" si="4"/>
        <v>0</v>
      </c>
      <c r="J59" s="35" t="str">
        <f t="shared" si="5"/>
        <v>0</v>
      </c>
      <c r="K59" s="35" t="str">
        <f t="shared" si="6"/>
        <v>0</v>
      </c>
      <c r="L59" s="92"/>
      <c r="M59" s="92"/>
      <c r="N59" s="92"/>
      <c r="O59" s="92"/>
      <c r="P59" s="92"/>
      <c r="Q59" s="92"/>
      <c r="R59" s="92"/>
    </row>
    <row r="60" spans="3:18" ht="41.45" customHeight="1" x14ac:dyDescent="0.25">
      <c r="C60" s="35"/>
      <c r="D60" s="35"/>
      <c r="E60" s="35" t="str">
        <f t="shared" si="0"/>
        <v>0</v>
      </c>
      <c r="F60" s="35" t="str">
        <f t="shared" si="1"/>
        <v>0</v>
      </c>
      <c r="G60" s="35" t="str">
        <f t="shared" si="2"/>
        <v>0</v>
      </c>
      <c r="H60" s="35" t="str">
        <f t="shared" si="3"/>
        <v>0</v>
      </c>
      <c r="I60" s="35" t="str">
        <f t="shared" si="4"/>
        <v>0</v>
      </c>
      <c r="J60" s="35" t="str">
        <f t="shared" si="5"/>
        <v>0</v>
      </c>
      <c r="K60" s="35" t="str">
        <f t="shared" si="6"/>
        <v>0</v>
      </c>
      <c r="L60" s="92"/>
      <c r="M60" s="92"/>
      <c r="N60" s="92"/>
      <c r="O60" s="92"/>
      <c r="P60" s="92"/>
      <c r="Q60" s="92"/>
      <c r="R60" s="92"/>
    </row>
    <row r="61" spans="3:18" ht="41.45" customHeight="1" x14ac:dyDescent="0.25">
      <c r="C61" s="35"/>
      <c r="D61" s="35"/>
      <c r="E61" s="35" t="str">
        <f t="shared" si="0"/>
        <v>0</v>
      </c>
      <c r="F61" s="35" t="str">
        <f t="shared" si="1"/>
        <v>0</v>
      </c>
      <c r="G61" s="35" t="str">
        <f t="shared" si="2"/>
        <v>0</v>
      </c>
      <c r="H61" s="35" t="str">
        <f t="shared" si="3"/>
        <v>0</v>
      </c>
      <c r="I61" s="35" t="str">
        <f t="shared" si="4"/>
        <v>0</v>
      </c>
      <c r="J61" s="35" t="str">
        <f t="shared" si="5"/>
        <v>0</v>
      </c>
      <c r="K61" s="35" t="str">
        <f t="shared" si="6"/>
        <v>0</v>
      </c>
      <c r="L61" s="92"/>
      <c r="M61" s="92"/>
      <c r="N61" s="92"/>
      <c r="O61" s="92"/>
      <c r="P61" s="92"/>
      <c r="Q61" s="92"/>
      <c r="R61" s="92"/>
    </row>
    <row r="62" spans="3:18" ht="41.45" customHeight="1" x14ac:dyDescent="0.25">
      <c r="C62" s="35"/>
      <c r="D62" s="35"/>
      <c r="E62" s="35">
        <f>SUM(E36:E61)</f>
        <v>0</v>
      </c>
      <c r="F62" s="35">
        <f t="shared" ref="F62:K62" si="7">SUM(F36:F61)</f>
        <v>23.95</v>
      </c>
      <c r="G62" s="35">
        <f t="shared" si="7"/>
        <v>0</v>
      </c>
      <c r="H62" s="35">
        <f t="shared" si="7"/>
        <v>0</v>
      </c>
      <c r="I62" s="35">
        <f t="shared" si="7"/>
        <v>17.3</v>
      </c>
      <c r="J62" s="35">
        <f t="shared" si="7"/>
        <v>6.6499999999999986</v>
      </c>
      <c r="K62" s="35">
        <f t="shared" si="7"/>
        <v>0</v>
      </c>
      <c r="L62" s="92"/>
      <c r="M62" s="92"/>
      <c r="N62" s="92"/>
      <c r="O62" s="92"/>
      <c r="P62" s="92"/>
      <c r="Q62" s="92"/>
      <c r="R62" s="92"/>
    </row>
    <row r="63" spans="3:18" ht="41.45" customHeight="1" x14ac:dyDescent="0.25">
      <c r="C63" s="35"/>
      <c r="D63" s="35"/>
      <c r="E63" s="35"/>
      <c r="F63" s="31"/>
      <c r="G63" s="31"/>
      <c r="H63" s="31"/>
      <c r="I63" s="31"/>
      <c r="J63" s="31"/>
      <c r="K63" s="31"/>
      <c r="L63" s="92"/>
      <c r="M63" s="92"/>
      <c r="N63" s="92"/>
      <c r="O63" s="92"/>
      <c r="P63" s="92"/>
      <c r="Q63" s="92"/>
      <c r="R63" s="92"/>
    </row>
    <row r="64" spans="3:18" ht="41.45" customHeight="1" x14ac:dyDescent="0.25">
      <c r="C64" s="35"/>
      <c r="D64" s="35"/>
      <c r="E64" s="35"/>
      <c r="F64" s="31"/>
      <c r="G64" s="31"/>
      <c r="H64" s="31"/>
      <c r="I64" s="31"/>
      <c r="J64" s="31"/>
      <c r="K64" s="31"/>
      <c r="L64" s="92"/>
      <c r="M64" s="92"/>
      <c r="N64" s="92"/>
      <c r="O64" s="92"/>
      <c r="P64" s="92"/>
      <c r="Q64" s="92"/>
      <c r="R64" s="92"/>
    </row>
    <row r="65" spans="3:18" ht="41.45" customHeight="1" x14ac:dyDescent="0.25">
      <c r="C65" s="35"/>
      <c r="D65" s="35"/>
      <c r="E65" s="35"/>
      <c r="F65" s="31"/>
      <c r="G65" s="31"/>
      <c r="H65" s="31"/>
      <c r="I65" s="31"/>
      <c r="J65" s="31"/>
      <c r="K65" s="31"/>
      <c r="L65" s="92"/>
      <c r="M65" s="92"/>
      <c r="N65" s="92"/>
      <c r="O65" s="92"/>
      <c r="P65" s="92"/>
      <c r="Q65" s="92"/>
      <c r="R65" s="92"/>
    </row>
    <row r="66" spans="3:18" ht="41.45" customHeight="1" x14ac:dyDescent="0.25">
      <c r="C66" s="35"/>
      <c r="D66" s="35"/>
      <c r="E66" s="35"/>
      <c r="F66" s="31"/>
      <c r="G66" s="31"/>
      <c r="H66" s="31"/>
      <c r="I66" s="31"/>
      <c r="J66" s="31"/>
      <c r="K66" s="31"/>
      <c r="L66" s="92"/>
      <c r="M66" s="92"/>
      <c r="N66" s="92"/>
      <c r="O66" s="92"/>
      <c r="P66" s="92"/>
      <c r="Q66" s="92"/>
      <c r="R66" s="92"/>
    </row>
    <row r="67" spans="3:18" ht="41.45" customHeight="1" x14ac:dyDescent="0.25">
      <c r="C67" s="35"/>
      <c r="D67" s="35"/>
      <c r="E67" s="35"/>
      <c r="F67" s="31"/>
      <c r="G67" s="31"/>
      <c r="H67" s="31"/>
      <c r="I67" s="31"/>
      <c r="J67" s="31"/>
      <c r="K67" s="31"/>
      <c r="L67" s="92"/>
      <c r="M67" s="92"/>
      <c r="N67" s="92"/>
      <c r="O67" s="92"/>
      <c r="P67" s="92"/>
      <c r="Q67" s="92"/>
      <c r="R67" s="92"/>
    </row>
    <row r="68" spans="3:18" ht="41.45" customHeight="1" x14ac:dyDescent="0.25">
      <c r="C68" s="35"/>
      <c r="D68" s="35"/>
      <c r="E68" s="35"/>
      <c r="F68" s="31"/>
      <c r="G68" s="31"/>
      <c r="H68" s="31"/>
      <c r="I68" s="31"/>
      <c r="J68" s="31"/>
      <c r="K68" s="31"/>
      <c r="L68" s="92"/>
      <c r="M68" s="92"/>
      <c r="N68" s="92"/>
      <c r="O68" s="92"/>
      <c r="P68" s="92"/>
      <c r="Q68" s="92"/>
      <c r="R68" s="92"/>
    </row>
  </sheetData>
  <mergeCells count="73">
    <mergeCell ref="A5:A6"/>
    <mergeCell ref="B5:B6"/>
    <mergeCell ref="C5:C6"/>
    <mergeCell ref="D5:D6"/>
    <mergeCell ref="E5:H5"/>
    <mergeCell ref="L11:R11"/>
    <mergeCell ref="I1:I2"/>
    <mergeCell ref="J1:J2"/>
    <mergeCell ref="L1:M2"/>
    <mergeCell ref="N1:R2"/>
    <mergeCell ref="I5:K5"/>
    <mergeCell ref="L5:R6"/>
    <mergeCell ref="L7:R7"/>
    <mergeCell ref="L8:R8"/>
    <mergeCell ref="L9:R9"/>
    <mergeCell ref="L10:R10"/>
    <mergeCell ref="L23:R23"/>
    <mergeCell ref="L12:R12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35:R35"/>
    <mergeCell ref="L24:R24"/>
    <mergeCell ref="L25:R25"/>
    <mergeCell ref="L26:R26"/>
    <mergeCell ref="L27:R27"/>
    <mergeCell ref="L28:R28"/>
    <mergeCell ref="L29:R29"/>
    <mergeCell ref="L30:R30"/>
    <mergeCell ref="L31:R31"/>
    <mergeCell ref="L32:R32"/>
    <mergeCell ref="L33:R33"/>
    <mergeCell ref="L34:R34"/>
    <mergeCell ref="L47:R47"/>
    <mergeCell ref="L36:R36"/>
    <mergeCell ref="L37:R37"/>
    <mergeCell ref="L38:R38"/>
    <mergeCell ref="L39:R39"/>
    <mergeCell ref="L40:R40"/>
    <mergeCell ref="L41:R41"/>
    <mergeCell ref="L42:R42"/>
    <mergeCell ref="L43:R43"/>
    <mergeCell ref="L44:R44"/>
    <mergeCell ref="L45:R45"/>
    <mergeCell ref="L46:R46"/>
    <mergeCell ref="L59:R59"/>
    <mergeCell ref="L48:R48"/>
    <mergeCell ref="L49:R49"/>
    <mergeCell ref="L50:R50"/>
    <mergeCell ref="L51:R51"/>
    <mergeCell ref="L52:R52"/>
    <mergeCell ref="L53:R53"/>
    <mergeCell ref="L54:R54"/>
    <mergeCell ref="L55:R55"/>
    <mergeCell ref="L56:R56"/>
    <mergeCell ref="L57:R57"/>
    <mergeCell ref="L58:R58"/>
    <mergeCell ref="L66:R66"/>
    <mergeCell ref="L67:R67"/>
    <mergeCell ref="L68:R68"/>
    <mergeCell ref="L60:R60"/>
    <mergeCell ref="L61:R61"/>
    <mergeCell ref="L62:R62"/>
    <mergeCell ref="L63:R63"/>
    <mergeCell ref="L64:R64"/>
    <mergeCell ref="L65:R65"/>
  </mergeCells>
  <phoneticPr fontId="21" type="noConversion"/>
  <pageMargins left="0.51181102362204722" right="0.51181102362204722" top="0.78740157480314965" bottom="0.78740157480314965" header="0.31496062992125984" footer="0.31496062992125984"/>
  <pageSetup paperSize="9" scale="33" orientation="landscape" horizontalDpi="1200" verticalDpi="1200" r:id="rId1"/>
  <colBreaks count="1" manualBreakCount="1">
    <brk id="18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81C1D-0A0F-48E4-912C-4C3F2AC9CD01}">
  <sheetPr>
    <tabColor theme="2"/>
    <pageSetUpPr fitToPage="1"/>
  </sheetPr>
  <dimension ref="A1:R69"/>
  <sheetViews>
    <sheetView view="pageBreakPreview" zoomScale="55" zoomScaleNormal="10" zoomScaleSheetLayoutView="55" workbookViewId="0">
      <selection activeCell="A7" sqref="A7:A10"/>
    </sheetView>
  </sheetViews>
  <sheetFormatPr defaultColWidth="8.85546875" defaultRowHeight="15" x14ac:dyDescent="0.25"/>
  <cols>
    <col min="1" max="1" width="33.28515625" style="1" customWidth="1"/>
    <col min="2" max="2" width="17.140625" style="1" customWidth="1"/>
    <col min="3" max="4" width="13.42578125" style="1" customWidth="1"/>
    <col min="5" max="5" width="26.5703125" style="2" customWidth="1"/>
    <col min="6" max="6" width="30.140625" style="2" customWidth="1"/>
    <col min="7" max="7" width="26.5703125" style="2" customWidth="1"/>
    <col min="8" max="8" width="33.140625" style="2" customWidth="1"/>
    <col min="9" max="11" width="32" style="2" customWidth="1"/>
    <col min="12" max="14" width="14.42578125" style="1" customWidth="1"/>
    <col min="15" max="17" width="14.7109375" style="1" customWidth="1"/>
    <col min="18" max="18" width="37.42578125" style="1" customWidth="1"/>
    <col min="19" max="16384" width="8.85546875" style="1"/>
  </cols>
  <sheetData>
    <row r="1" spans="1:18" ht="19.5" x14ac:dyDescent="0.3">
      <c r="A1" s="9" t="s">
        <v>0</v>
      </c>
      <c r="B1" s="10"/>
      <c r="C1" s="10"/>
      <c r="D1" s="10"/>
      <c r="E1" s="11"/>
      <c r="F1" s="12"/>
      <c r="G1" s="11"/>
      <c r="H1" s="11"/>
      <c r="I1" s="98" t="s">
        <v>3</v>
      </c>
      <c r="J1" s="120">
        <f>'245'!J1</f>
        <v>46204</v>
      </c>
      <c r="K1" s="11"/>
      <c r="L1" s="102" t="s">
        <v>4</v>
      </c>
      <c r="M1" s="102"/>
      <c r="N1" s="104" t="str">
        <f>'245'!N1</f>
        <v>ENG. THIAGO TORQUATO</v>
      </c>
      <c r="O1" s="104"/>
      <c r="P1" s="104"/>
      <c r="Q1" s="104"/>
      <c r="R1" s="105"/>
    </row>
    <row r="2" spans="1:18" ht="20.25" thickBot="1" x14ac:dyDescent="0.35">
      <c r="A2" s="13"/>
      <c r="B2" s="14"/>
      <c r="C2" s="14"/>
      <c r="D2" s="14"/>
      <c r="E2" s="15"/>
      <c r="F2" s="16" t="s">
        <v>9</v>
      </c>
      <c r="G2" s="15"/>
      <c r="H2" s="15"/>
      <c r="I2" s="99"/>
      <c r="J2" s="121"/>
      <c r="K2" s="16"/>
      <c r="L2" s="103"/>
      <c r="M2" s="103"/>
      <c r="N2" s="106"/>
      <c r="O2" s="106"/>
      <c r="P2" s="106"/>
      <c r="Q2" s="106"/>
      <c r="R2" s="107"/>
    </row>
    <row r="3" spans="1:18" ht="25.5" x14ac:dyDescent="0.35">
      <c r="A3" s="13" t="s">
        <v>21</v>
      </c>
      <c r="B3" s="45" t="str">
        <f>TT!C8</f>
        <v>RODOVIA TO-387 - TRECHO CONCEIÇÃO DO TOCANTINS - TAIPAS DO TOCANTINS</v>
      </c>
      <c r="C3" s="14"/>
      <c r="D3" s="14"/>
      <c r="E3" s="15"/>
      <c r="F3" s="15"/>
      <c r="G3" s="15"/>
      <c r="H3" s="15"/>
      <c r="I3" s="47" t="s">
        <v>107</v>
      </c>
      <c r="J3" s="47">
        <v>13</v>
      </c>
      <c r="K3" s="15"/>
      <c r="L3" s="14"/>
      <c r="M3" s="14"/>
      <c r="N3" s="14"/>
      <c r="O3" s="14"/>
      <c r="P3" s="14"/>
      <c r="Q3" s="14"/>
      <c r="R3" s="17"/>
    </row>
    <row r="4" spans="1:18" ht="19.899999999999999" thickBot="1" x14ac:dyDescent="0.4">
      <c r="A4" s="18"/>
      <c r="B4" s="14"/>
      <c r="C4" s="14"/>
      <c r="D4" s="14"/>
      <c r="E4" s="15"/>
      <c r="F4" s="15"/>
      <c r="G4" s="15"/>
      <c r="H4" s="15"/>
      <c r="I4" s="15"/>
      <c r="J4" s="15"/>
      <c r="K4" s="15"/>
      <c r="L4" s="14"/>
      <c r="M4" s="14"/>
      <c r="N4" s="14"/>
      <c r="O4" s="14"/>
      <c r="P4" s="14"/>
      <c r="Q4" s="14"/>
      <c r="R4" s="17"/>
    </row>
    <row r="5" spans="1:18" s="5" customFormat="1" ht="54" customHeight="1" x14ac:dyDescent="0.25">
      <c r="A5" s="112" t="s">
        <v>1</v>
      </c>
      <c r="B5" s="108" t="s">
        <v>7</v>
      </c>
      <c r="C5" s="114" t="s">
        <v>5</v>
      </c>
      <c r="D5" s="114" t="s">
        <v>6</v>
      </c>
      <c r="E5" s="108" t="s">
        <v>10</v>
      </c>
      <c r="F5" s="108"/>
      <c r="G5" s="108"/>
      <c r="H5" s="108"/>
      <c r="I5" s="108" t="s">
        <v>11</v>
      </c>
      <c r="J5" s="108"/>
      <c r="K5" s="108"/>
      <c r="L5" s="108" t="s">
        <v>8</v>
      </c>
      <c r="M5" s="108"/>
      <c r="N5" s="108"/>
      <c r="O5" s="108"/>
      <c r="P5" s="108"/>
      <c r="Q5" s="108"/>
      <c r="R5" s="109"/>
    </row>
    <row r="6" spans="1:18" s="6" customFormat="1" ht="79.150000000000006" customHeight="1" x14ac:dyDescent="0.25">
      <c r="A6" s="113"/>
      <c r="B6" s="110"/>
      <c r="C6" s="110"/>
      <c r="D6" s="110"/>
      <c r="E6" s="7" t="s">
        <v>2</v>
      </c>
      <c r="F6" s="8" t="s">
        <v>15</v>
      </c>
      <c r="G6" s="8" t="s">
        <v>16</v>
      </c>
      <c r="H6" s="8" t="s">
        <v>17</v>
      </c>
      <c r="I6" s="7" t="s">
        <v>12</v>
      </c>
      <c r="J6" s="7" t="s">
        <v>13</v>
      </c>
      <c r="K6" s="7" t="s">
        <v>14</v>
      </c>
      <c r="L6" s="110"/>
      <c r="M6" s="110"/>
      <c r="N6" s="110"/>
      <c r="O6" s="110"/>
      <c r="P6" s="110"/>
      <c r="Q6" s="110"/>
      <c r="R6" s="111"/>
    </row>
    <row r="7" spans="1:18" ht="41.45" customHeight="1" x14ac:dyDescent="0.25">
      <c r="A7" s="48" t="s">
        <v>76</v>
      </c>
      <c r="B7" s="21" t="s">
        <v>121</v>
      </c>
      <c r="C7" s="22">
        <v>0</v>
      </c>
      <c r="D7" s="22">
        <v>15</v>
      </c>
      <c r="E7" s="21" t="s">
        <v>109</v>
      </c>
      <c r="F7" s="21"/>
      <c r="G7" s="21"/>
      <c r="H7" s="21"/>
      <c r="I7" s="21" t="s">
        <v>109</v>
      </c>
      <c r="J7" s="21"/>
      <c r="K7" s="21"/>
      <c r="L7" s="96"/>
      <c r="M7" s="96"/>
      <c r="N7" s="96"/>
      <c r="O7" s="96"/>
      <c r="P7" s="96"/>
      <c r="Q7" s="96"/>
      <c r="R7" s="97"/>
    </row>
    <row r="8" spans="1:18" ht="41.45" customHeight="1" x14ac:dyDescent="0.25">
      <c r="A8" s="48" t="s">
        <v>76</v>
      </c>
      <c r="B8" s="21"/>
      <c r="C8" s="22">
        <v>15</v>
      </c>
      <c r="D8" s="22">
        <v>22.1</v>
      </c>
      <c r="E8" s="21" t="s">
        <v>109</v>
      </c>
      <c r="F8" s="21"/>
      <c r="G8" s="21"/>
      <c r="H8" s="21"/>
      <c r="I8" s="21"/>
      <c r="J8" s="21" t="s">
        <v>109</v>
      </c>
      <c r="K8" s="21"/>
      <c r="L8" s="96"/>
      <c r="M8" s="96"/>
      <c r="N8" s="96"/>
      <c r="O8" s="96"/>
      <c r="P8" s="96"/>
      <c r="Q8" s="96"/>
      <c r="R8" s="97"/>
    </row>
    <row r="9" spans="1:18" ht="41.45" customHeight="1" x14ac:dyDescent="0.25">
      <c r="A9" s="48" t="s">
        <v>76</v>
      </c>
      <c r="B9" s="21"/>
      <c r="C9" s="22">
        <v>22.1</v>
      </c>
      <c r="D9" s="22">
        <v>34</v>
      </c>
      <c r="E9" s="21" t="s">
        <v>109</v>
      </c>
      <c r="F9" s="21"/>
      <c r="G9" s="21"/>
      <c r="H9" s="21"/>
      <c r="I9" s="21" t="s">
        <v>109</v>
      </c>
      <c r="J9" s="21"/>
      <c r="K9" s="21"/>
      <c r="L9" s="96"/>
      <c r="M9" s="96"/>
      <c r="N9" s="96"/>
      <c r="O9" s="96"/>
      <c r="P9" s="96"/>
      <c r="Q9" s="96"/>
      <c r="R9" s="97"/>
    </row>
    <row r="10" spans="1:18" ht="41.45" customHeight="1" x14ac:dyDescent="0.25">
      <c r="A10" s="48" t="s">
        <v>76</v>
      </c>
      <c r="B10" s="21"/>
      <c r="C10" s="22">
        <v>34</v>
      </c>
      <c r="D10" s="22">
        <v>39.5</v>
      </c>
      <c r="E10" s="21" t="s">
        <v>109</v>
      </c>
      <c r="F10" s="21"/>
      <c r="G10" s="21"/>
      <c r="H10" s="21"/>
      <c r="I10" s="21" t="s">
        <v>109</v>
      </c>
      <c r="J10" s="21"/>
      <c r="K10" s="21"/>
      <c r="L10" s="96"/>
      <c r="M10" s="96"/>
      <c r="N10" s="96"/>
      <c r="O10" s="96"/>
      <c r="P10" s="96"/>
      <c r="Q10" s="96"/>
      <c r="R10" s="97"/>
    </row>
    <row r="11" spans="1:18" ht="41.45" customHeight="1" x14ac:dyDescent="0.25">
      <c r="A11" s="32"/>
      <c r="B11" s="21"/>
      <c r="C11" s="22"/>
      <c r="D11" s="22"/>
      <c r="E11" s="21"/>
      <c r="F11" s="21"/>
      <c r="G11" s="21"/>
      <c r="H11" s="21"/>
      <c r="I11" s="21"/>
      <c r="J11" s="21"/>
      <c r="K11" s="21"/>
      <c r="L11" s="96"/>
      <c r="M11" s="96"/>
      <c r="N11" s="96"/>
      <c r="O11" s="96"/>
      <c r="P11" s="96"/>
      <c r="Q11" s="96"/>
      <c r="R11" s="97"/>
    </row>
    <row r="12" spans="1:18" ht="41.45" customHeight="1" x14ac:dyDescent="0.25">
      <c r="A12" s="32"/>
      <c r="B12" s="21"/>
      <c r="C12" s="22"/>
      <c r="D12" s="22"/>
      <c r="E12" s="21"/>
      <c r="F12" s="21"/>
      <c r="G12" s="21"/>
      <c r="H12" s="21"/>
      <c r="I12" s="21"/>
      <c r="J12" s="21"/>
      <c r="K12" s="21"/>
      <c r="L12" s="96"/>
      <c r="M12" s="96"/>
      <c r="N12" s="96"/>
      <c r="O12" s="96"/>
      <c r="P12" s="96"/>
      <c r="Q12" s="96"/>
      <c r="R12" s="97"/>
    </row>
    <row r="13" spans="1:18" ht="41.45" customHeight="1" x14ac:dyDescent="0.25">
      <c r="A13" s="32"/>
      <c r="B13" s="21"/>
      <c r="C13" s="22"/>
      <c r="D13" s="22"/>
      <c r="E13" s="21"/>
      <c r="F13" s="21"/>
      <c r="G13" s="21"/>
      <c r="H13" s="21"/>
      <c r="I13" s="21"/>
      <c r="J13" s="21"/>
      <c r="K13" s="21"/>
      <c r="L13" s="96"/>
      <c r="M13" s="96"/>
      <c r="N13" s="96"/>
      <c r="O13" s="96"/>
      <c r="P13" s="96"/>
      <c r="Q13" s="96"/>
      <c r="R13" s="97"/>
    </row>
    <row r="14" spans="1:18" ht="41.45" customHeight="1" x14ac:dyDescent="0.25">
      <c r="A14" s="32"/>
      <c r="B14" s="21"/>
      <c r="C14" s="22"/>
      <c r="D14" s="22"/>
      <c r="E14" s="21"/>
      <c r="F14" s="21"/>
      <c r="G14" s="21"/>
      <c r="H14" s="21"/>
      <c r="I14" s="21"/>
      <c r="J14" s="21"/>
      <c r="K14" s="21"/>
      <c r="L14" s="96"/>
      <c r="M14" s="96"/>
      <c r="N14" s="96"/>
      <c r="O14" s="96"/>
      <c r="P14" s="96"/>
      <c r="Q14" s="96"/>
      <c r="R14" s="97"/>
    </row>
    <row r="15" spans="1:18" ht="41.45" customHeight="1" x14ac:dyDescent="0.25">
      <c r="A15" s="32"/>
      <c r="B15" s="21"/>
      <c r="C15" s="22"/>
      <c r="D15" s="22"/>
      <c r="E15" s="21"/>
      <c r="F15" s="21"/>
      <c r="G15" s="21"/>
      <c r="H15" s="21"/>
      <c r="I15" s="21"/>
      <c r="J15" s="21"/>
      <c r="K15" s="21"/>
      <c r="L15" s="96"/>
      <c r="M15" s="96"/>
      <c r="N15" s="96"/>
      <c r="O15" s="96"/>
      <c r="P15" s="96"/>
      <c r="Q15" s="96"/>
      <c r="R15" s="97"/>
    </row>
    <row r="16" spans="1:18" ht="41.45" customHeight="1" x14ac:dyDescent="0.25">
      <c r="A16" s="32"/>
      <c r="B16" s="21"/>
      <c r="C16" s="22"/>
      <c r="D16" s="22"/>
      <c r="E16" s="21"/>
      <c r="F16" s="21"/>
      <c r="G16" s="21"/>
      <c r="H16" s="21"/>
      <c r="I16" s="21"/>
      <c r="J16" s="21"/>
      <c r="K16" s="21"/>
      <c r="L16" s="96"/>
      <c r="M16" s="96"/>
      <c r="N16" s="96"/>
      <c r="O16" s="96"/>
      <c r="P16" s="96"/>
      <c r="Q16" s="96"/>
      <c r="R16" s="97"/>
    </row>
    <row r="17" spans="1:18" ht="41.45" customHeight="1" x14ac:dyDescent="0.25">
      <c r="A17" s="32"/>
      <c r="B17" s="21"/>
      <c r="C17" s="22"/>
      <c r="D17" s="22"/>
      <c r="E17" s="21"/>
      <c r="F17" s="21"/>
      <c r="G17" s="21"/>
      <c r="H17" s="21"/>
      <c r="I17" s="21"/>
      <c r="J17" s="21"/>
      <c r="K17" s="21"/>
      <c r="L17" s="96"/>
      <c r="M17" s="96"/>
      <c r="N17" s="96"/>
      <c r="O17" s="96"/>
      <c r="P17" s="96"/>
      <c r="Q17" s="96"/>
      <c r="R17" s="97"/>
    </row>
    <row r="18" spans="1:18" ht="41.45" customHeight="1" x14ac:dyDescent="0.25">
      <c r="A18" s="19"/>
      <c r="B18" s="3"/>
      <c r="C18" s="22"/>
      <c r="D18" s="22"/>
      <c r="E18" s="21"/>
      <c r="F18" s="21"/>
      <c r="G18" s="21"/>
      <c r="H18" s="21"/>
      <c r="I18" s="21"/>
      <c r="J18" s="21"/>
      <c r="K18" s="21"/>
      <c r="L18" s="96"/>
      <c r="M18" s="96"/>
      <c r="N18" s="96"/>
      <c r="O18" s="96"/>
      <c r="P18" s="96"/>
      <c r="Q18" s="96"/>
      <c r="R18" s="97"/>
    </row>
    <row r="19" spans="1:18" ht="41.45" customHeight="1" x14ac:dyDescent="0.25">
      <c r="A19" s="19"/>
      <c r="B19" s="3"/>
      <c r="C19" s="22"/>
      <c r="D19" s="22"/>
      <c r="E19" s="21"/>
      <c r="F19" s="21"/>
      <c r="G19" s="21"/>
      <c r="H19" s="21"/>
      <c r="I19" s="21"/>
      <c r="J19" s="21"/>
      <c r="K19" s="21"/>
      <c r="L19" s="96"/>
      <c r="M19" s="96"/>
      <c r="N19" s="96"/>
      <c r="O19" s="96"/>
      <c r="P19" s="96"/>
      <c r="Q19" s="96"/>
      <c r="R19" s="97"/>
    </row>
    <row r="20" spans="1:18" ht="41.45" customHeight="1" x14ac:dyDescent="0.25">
      <c r="A20" s="19"/>
      <c r="B20" s="3"/>
      <c r="C20" s="22"/>
      <c r="D20" s="22"/>
      <c r="E20" s="21"/>
      <c r="F20" s="21"/>
      <c r="G20" s="21"/>
      <c r="H20" s="21"/>
      <c r="I20" s="21"/>
      <c r="J20" s="21"/>
      <c r="K20" s="21"/>
      <c r="L20" s="96"/>
      <c r="M20" s="96"/>
      <c r="N20" s="96"/>
      <c r="O20" s="96"/>
      <c r="P20" s="96"/>
      <c r="Q20" s="96"/>
      <c r="R20" s="97"/>
    </row>
    <row r="21" spans="1:18" ht="41.45" customHeight="1" x14ac:dyDescent="0.25">
      <c r="A21" s="19"/>
      <c r="B21" s="3"/>
      <c r="C21" s="22"/>
      <c r="D21" s="22"/>
      <c r="E21" s="21"/>
      <c r="F21" s="21"/>
      <c r="G21" s="21"/>
      <c r="H21" s="21"/>
      <c r="I21" s="21"/>
      <c r="J21" s="21"/>
      <c r="K21" s="21"/>
      <c r="L21" s="96"/>
      <c r="M21" s="96"/>
      <c r="N21" s="96"/>
      <c r="O21" s="96"/>
      <c r="P21" s="96"/>
      <c r="Q21" s="96"/>
      <c r="R21" s="97"/>
    </row>
    <row r="22" spans="1:18" ht="41.45" customHeight="1" x14ac:dyDescent="0.25">
      <c r="A22" s="19"/>
      <c r="B22" s="3"/>
      <c r="C22" s="22"/>
      <c r="D22" s="22"/>
      <c r="E22" s="21"/>
      <c r="F22" s="21"/>
      <c r="G22" s="21"/>
      <c r="H22" s="21"/>
      <c r="I22" s="21"/>
      <c r="J22" s="21"/>
      <c r="K22" s="21"/>
      <c r="L22" s="96"/>
      <c r="M22" s="96"/>
      <c r="N22" s="96"/>
      <c r="O22" s="96"/>
      <c r="P22" s="96"/>
      <c r="Q22" s="96"/>
      <c r="R22" s="97"/>
    </row>
    <row r="23" spans="1:18" ht="41.45" customHeight="1" x14ac:dyDescent="0.25">
      <c r="A23" s="19"/>
      <c r="B23" s="3"/>
      <c r="C23" s="22"/>
      <c r="D23" s="22"/>
      <c r="E23" s="21"/>
      <c r="F23" s="21"/>
      <c r="G23" s="21"/>
      <c r="H23" s="21"/>
      <c r="I23" s="21"/>
      <c r="J23" s="21"/>
      <c r="K23" s="21"/>
      <c r="L23" s="96"/>
      <c r="M23" s="96"/>
      <c r="N23" s="96"/>
      <c r="O23" s="96"/>
      <c r="P23" s="96"/>
      <c r="Q23" s="96"/>
      <c r="R23" s="97"/>
    </row>
    <row r="24" spans="1:18" ht="41.45" customHeight="1" x14ac:dyDescent="0.25">
      <c r="A24" s="19"/>
      <c r="B24" s="3"/>
      <c r="C24" s="22"/>
      <c r="D24" s="22"/>
      <c r="E24" s="21"/>
      <c r="F24" s="21"/>
      <c r="G24" s="21"/>
      <c r="H24" s="21"/>
      <c r="I24" s="21"/>
      <c r="J24" s="21"/>
      <c r="K24" s="21"/>
      <c r="L24" s="96"/>
      <c r="M24" s="96"/>
      <c r="N24" s="96"/>
      <c r="O24" s="96"/>
      <c r="P24" s="96"/>
      <c r="Q24" s="96"/>
      <c r="R24" s="97"/>
    </row>
    <row r="25" spans="1:18" ht="41.45" customHeight="1" x14ac:dyDescent="0.25">
      <c r="A25" s="19"/>
      <c r="B25" s="3"/>
      <c r="C25" s="22"/>
      <c r="D25" s="22"/>
      <c r="E25" s="21"/>
      <c r="F25" s="21"/>
      <c r="G25" s="21"/>
      <c r="H25" s="21"/>
      <c r="I25" s="21"/>
      <c r="J25" s="21"/>
      <c r="K25" s="21"/>
      <c r="L25" s="96"/>
      <c r="M25" s="96"/>
      <c r="N25" s="96"/>
      <c r="O25" s="96"/>
      <c r="P25" s="96"/>
      <c r="Q25" s="96"/>
      <c r="R25" s="97"/>
    </row>
    <row r="26" spans="1:18" ht="41.45" customHeight="1" x14ac:dyDescent="0.25">
      <c r="A26" s="19"/>
      <c r="B26" s="3"/>
      <c r="C26" s="22"/>
      <c r="D26" s="22"/>
      <c r="E26" s="21"/>
      <c r="F26" s="21"/>
      <c r="G26" s="21"/>
      <c r="H26" s="21"/>
      <c r="I26" s="21"/>
      <c r="J26" s="21"/>
      <c r="K26" s="21"/>
      <c r="L26" s="96"/>
      <c r="M26" s="96"/>
      <c r="N26" s="96"/>
      <c r="O26" s="96"/>
      <c r="P26" s="96"/>
      <c r="Q26" s="96"/>
      <c r="R26" s="97"/>
    </row>
    <row r="27" spans="1:18" ht="41.45" customHeight="1" x14ac:dyDescent="0.25">
      <c r="A27" s="19"/>
      <c r="B27" s="3"/>
      <c r="C27" s="22"/>
      <c r="D27" s="22"/>
      <c r="E27" s="21"/>
      <c r="F27" s="21"/>
      <c r="G27" s="21"/>
      <c r="H27" s="21"/>
      <c r="I27" s="21"/>
      <c r="J27" s="21"/>
      <c r="K27" s="21"/>
      <c r="L27" s="96"/>
      <c r="M27" s="96"/>
      <c r="N27" s="96"/>
      <c r="O27" s="96"/>
      <c r="P27" s="96"/>
      <c r="Q27" s="96"/>
      <c r="R27" s="97"/>
    </row>
    <row r="28" spans="1:18" ht="41.45" customHeight="1" x14ac:dyDescent="0.25">
      <c r="A28" s="19"/>
      <c r="B28" s="3"/>
      <c r="C28" s="22"/>
      <c r="D28" s="22"/>
      <c r="E28" s="21"/>
      <c r="F28" s="21"/>
      <c r="G28" s="21"/>
      <c r="H28" s="21"/>
      <c r="I28" s="21"/>
      <c r="J28" s="21"/>
      <c r="K28" s="21"/>
      <c r="L28" s="96"/>
      <c r="M28" s="96"/>
      <c r="N28" s="96"/>
      <c r="O28" s="96"/>
      <c r="P28" s="96"/>
      <c r="Q28" s="96"/>
      <c r="R28" s="97"/>
    </row>
    <row r="29" spans="1:18" ht="41.45" customHeight="1" x14ac:dyDescent="0.25">
      <c r="A29" s="19"/>
      <c r="B29" s="3"/>
      <c r="C29" s="22"/>
      <c r="D29" s="22"/>
      <c r="E29" s="21"/>
      <c r="F29" s="21"/>
      <c r="G29" s="21"/>
      <c r="H29" s="21"/>
      <c r="I29" s="21"/>
      <c r="J29" s="21"/>
      <c r="K29" s="21"/>
      <c r="L29" s="96"/>
      <c r="M29" s="96"/>
      <c r="N29" s="96"/>
      <c r="O29" s="96"/>
      <c r="P29" s="96"/>
      <c r="Q29" s="96"/>
      <c r="R29" s="97"/>
    </row>
    <row r="30" spans="1:18" ht="41.45" customHeight="1" x14ac:dyDescent="0.25">
      <c r="A30" s="19"/>
      <c r="B30" s="3"/>
      <c r="C30" s="22"/>
      <c r="D30" s="22"/>
      <c r="E30" s="21"/>
      <c r="F30" s="21"/>
      <c r="G30" s="21"/>
      <c r="H30" s="21"/>
      <c r="I30" s="21"/>
      <c r="J30" s="21"/>
      <c r="K30" s="21"/>
      <c r="L30" s="96"/>
      <c r="M30" s="96"/>
      <c r="N30" s="96"/>
      <c r="O30" s="96"/>
      <c r="P30" s="96"/>
      <c r="Q30" s="96"/>
      <c r="R30" s="97"/>
    </row>
    <row r="31" spans="1:18" ht="41.45" customHeight="1" x14ac:dyDescent="0.25">
      <c r="A31" s="19"/>
      <c r="B31" s="3"/>
      <c r="C31" s="22"/>
      <c r="D31" s="22"/>
      <c r="E31" s="21"/>
      <c r="F31" s="21"/>
      <c r="G31" s="21"/>
      <c r="H31" s="21"/>
      <c r="I31" s="21"/>
      <c r="J31" s="21"/>
      <c r="K31" s="21"/>
      <c r="L31" s="96"/>
      <c r="M31" s="96"/>
      <c r="N31" s="96"/>
      <c r="O31" s="96"/>
      <c r="P31" s="96"/>
      <c r="Q31" s="96"/>
      <c r="R31" s="97"/>
    </row>
    <row r="32" spans="1:18" ht="41.45" customHeight="1" x14ac:dyDescent="0.25">
      <c r="A32" s="19"/>
      <c r="B32" s="3"/>
      <c r="C32" s="22"/>
      <c r="D32" s="22"/>
      <c r="E32" s="21"/>
      <c r="F32" s="21"/>
      <c r="G32" s="21"/>
      <c r="H32" s="21"/>
      <c r="I32" s="21"/>
      <c r="J32" s="21"/>
      <c r="K32" s="21"/>
      <c r="L32" s="96"/>
      <c r="M32" s="96"/>
      <c r="N32" s="96"/>
      <c r="O32" s="96"/>
      <c r="P32" s="96"/>
      <c r="Q32" s="96"/>
      <c r="R32" s="97"/>
    </row>
    <row r="33" spans="1:18" ht="41.45" customHeight="1" x14ac:dyDescent="0.25">
      <c r="A33" s="19"/>
      <c r="B33" s="3"/>
      <c r="C33" s="22"/>
      <c r="D33" s="22"/>
      <c r="E33" s="21"/>
      <c r="F33" s="21"/>
      <c r="G33" s="21"/>
      <c r="H33" s="21"/>
      <c r="I33" s="21"/>
      <c r="J33" s="21"/>
      <c r="K33" s="21"/>
      <c r="L33" s="96"/>
      <c r="M33" s="96"/>
      <c r="N33" s="96"/>
      <c r="O33" s="96"/>
      <c r="P33" s="96"/>
      <c r="Q33" s="96"/>
      <c r="R33" s="97"/>
    </row>
    <row r="34" spans="1:18" ht="41.45" customHeight="1" x14ac:dyDescent="0.25">
      <c r="A34" s="19"/>
      <c r="B34" s="3"/>
      <c r="C34" s="22"/>
      <c r="D34" s="22"/>
      <c r="E34" s="21"/>
      <c r="F34" s="21"/>
      <c r="G34" s="21"/>
      <c r="H34" s="21"/>
      <c r="I34" s="21"/>
      <c r="J34" s="21"/>
      <c r="K34" s="21"/>
      <c r="L34" s="96"/>
      <c r="M34" s="96"/>
      <c r="N34" s="96"/>
      <c r="O34" s="96"/>
      <c r="P34" s="96"/>
      <c r="Q34" s="96"/>
      <c r="R34" s="97"/>
    </row>
    <row r="35" spans="1:18" ht="41.45" customHeight="1" thickBot="1" x14ac:dyDescent="0.3">
      <c r="A35" s="20"/>
      <c r="B35" s="4"/>
      <c r="C35" s="23"/>
      <c r="D35" s="23"/>
      <c r="E35" s="24"/>
      <c r="F35" s="24"/>
      <c r="G35" s="24"/>
      <c r="H35" s="24"/>
      <c r="I35" s="24"/>
      <c r="J35" s="24"/>
      <c r="K35" s="24"/>
      <c r="L35" s="94"/>
      <c r="M35" s="94"/>
      <c r="N35" s="94"/>
      <c r="O35" s="94"/>
      <c r="P35" s="94"/>
      <c r="Q35" s="94"/>
      <c r="R35" s="95"/>
    </row>
    <row r="36" spans="1:18" ht="41.45" customHeight="1" x14ac:dyDescent="0.25">
      <c r="C36" s="35"/>
      <c r="D36" s="35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</row>
    <row r="37" spans="1:18" ht="41.45" customHeight="1" x14ac:dyDescent="0.25">
      <c r="C37" s="35"/>
      <c r="D37" s="35"/>
      <c r="E37" s="35">
        <f t="shared" ref="E37:E62" si="0">IF(E7="X",(D7-C7),"0")</f>
        <v>15</v>
      </c>
      <c r="F37" s="35" t="str">
        <f t="shared" ref="F37:F62" si="1">IF(F7="X",(D7-C7),"0")</f>
        <v>0</v>
      </c>
      <c r="G37" s="35" t="str">
        <f t="shared" ref="G37:G62" si="2">IF(G7="X",(D7-C7),"0")</f>
        <v>0</v>
      </c>
      <c r="H37" s="35" t="str">
        <f t="shared" ref="H37:H62" si="3">IF(H7="X",(D7-C7),"0")</f>
        <v>0</v>
      </c>
      <c r="I37" s="35">
        <f t="shared" ref="I37:I62" si="4">IF(I7="X",(D7-C7),"0")</f>
        <v>15</v>
      </c>
      <c r="J37" s="35" t="str">
        <f t="shared" ref="J37:J62" si="5">IF(J7="X",(D7-C7),"0")</f>
        <v>0</v>
      </c>
      <c r="K37" s="35" t="str">
        <f t="shared" ref="K37:K62" si="6">IF(K7="X",(D7-C7),"0")</f>
        <v>0</v>
      </c>
      <c r="L37" s="92"/>
      <c r="M37" s="92"/>
      <c r="N37" s="92"/>
      <c r="O37" s="92"/>
      <c r="P37" s="92"/>
      <c r="Q37" s="92"/>
      <c r="R37" s="92"/>
    </row>
    <row r="38" spans="1:18" ht="41.45" customHeight="1" x14ac:dyDescent="0.25">
      <c r="C38" s="35"/>
      <c r="D38" s="35"/>
      <c r="E38" s="35">
        <f t="shared" si="0"/>
        <v>7.1000000000000014</v>
      </c>
      <c r="F38" s="35" t="str">
        <f t="shared" si="1"/>
        <v>0</v>
      </c>
      <c r="G38" s="35" t="str">
        <f t="shared" si="2"/>
        <v>0</v>
      </c>
      <c r="H38" s="35" t="str">
        <f t="shared" si="3"/>
        <v>0</v>
      </c>
      <c r="I38" s="35" t="str">
        <f t="shared" si="4"/>
        <v>0</v>
      </c>
      <c r="J38" s="35">
        <f t="shared" si="5"/>
        <v>7.1000000000000014</v>
      </c>
      <c r="K38" s="35" t="str">
        <f t="shared" si="6"/>
        <v>0</v>
      </c>
      <c r="L38" s="92"/>
      <c r="M38" s="92"/>
      <c r="N38" s="92"/>
      <c r="O38" s="92"/>
      <c r="P38" s="92"/>
      <c r="Q38" s="92"/>
      <c r="R38" s="92"/>
    </row>
    <row r="39" spans="1:18" ht="41.45" customHeight="1" x14ac:dyDescent="0.25">
      <c r="C39" s="35"/>
      <c r="D39" s="35"/>
      <c r="E39" s="35">
        <f t="shared" si="0"/>
        <v>11.899999999999999</v>
      </c>
      <c r="F39" s="35" t="str">
        <f t="shared" si="1"/>
        <v>0</v>
      </c>
      <c r="G39" s="35" t="str">
        <f t="shared" si="2"/>
        <v>0</v>
      </c>
      <c r="H39" s="35" t="str">
        <f t="shared" si="3"/>
        <v>0</v>
      </c>
      <c r="I39" s="35">
        <f t="shared" si="4"/>
        <v>11.899999999999999</v>
      </c>
      <c r="J39" s="35" t="str">
        <f t="shared" si="5"/>
        <v>0</v>
      </c>
      <c r="K39" s="35" t="str">
        <f t="shared" si="6"/>
        <v>0</v>
      </c>
      <c r="L39" s="92"/>
      <c r="M39" s="92"/>
      <c r="N39" s="92"/>
      <c r="O39" s="92"/>
      <c r="P39" s="92"/>
      <c r="Q39" s="92"/>
      <c r="R39" s="92"/>
    </row>
    <row r="40" spans="1:18" ht="41.45" customHeight="1" x14ac:dyDescent="0.25">
      <c r="C40" s="35"/>
      <c r="D40" s="35"/>
      <c r="E40" s="35">
        <f t="shared" si="0"/>
        <v>5.5</v>
      </c>
      <c r="F40" s="35" t="str">
        <f t="shared" si="1"/>
        <v>0</v>
      </c>
      <c r="G40" s="35" t="str">
        <f t="shared" si="2"/>
        <v>0</v>
      </c>
      <c r="H40" s="35" t="str">
        <f t="shared" si="3"/>
        <v>0</v>
      </c>
      <c r="I40" s="35">
        <f t="shared" si="4"/>
        <v>5.5</v>
      </c>
      <c r="J40" s="35" t="str">
        <f t="shared" si="5"/>
        <v>0</v>
      </c>
      <c r="K40" s="35" t="str">
        <f t="shared" si="6"/>
        <v>0</v>
      </c>
      <c r="L40" s="92"/>
      <c r="M40" s="92"/>
      <c r="N40" s="92"/>
      <c r="O40" s="92"/>
      <c r="P40" s="92"/>
      <c r="Q40" s="92"/>
      <c r="R40" s="92"/>
    </row>
    <row r="41" spans="1:18" ht="41.45" customHeight="1" x14ac:dyDescent="0.25">
      <c r="C41" s="35"/>
      <c r="D41" s="35"/>
      <c r="E41" s="35" t="str">
        <f t="shared" si="0"/>
        <v>0</v>
      </c>
      <c r="F41" s="35" t="str">
        <f t="shared" si="1"/>
        <v>0</v>
      </c>
      <c r="G41" s="35" t="str">
        <f t="shared" si="2"/>
        <v>0</v>
      </c>
      <c r="H41" s="35" t="str">
        <f t="shared" si="3"/>
        <v>0</v>
      </c>
      <c r="I41" s="35" t="str">
        <f t="shared" si="4"/>
        <v>0</v>
      </c>
      <c r="J41" s="35" t="str">
        <f t="shared" si="5"/>
        <v>0</v>
      </c>
      <c r="K41" s="35" t="str">
        <f t="shared" si="6"/>
        <v>0</v>
      </c>
      <c r="L41" s="92"/>
      <c r="M41" s="92"/>
      <c r="N41" s="92"/>
      <c r="O41" s="92"/>
      <c r="P41" s="92"/>
      <c r="Q41" s="92"/>
      <c r="R41" s="92"/>
    </row>
    <row r="42" spans="1:18" ht="41.45" customHeight="1" x14ac:dyDescent="0.25">
      <c r="C42" s="35"/>
      <c r="D42" s="35"/>
      <c r="E42" s="35" t="str">
        <f t="shared" si="0"/>
        <v>0</v>
      </c>
      <c r="F42" s="35" t="str">
        <f t="shared" si="1"/>
        <v>0</v>
      </c>
      <c r="G42" s="35" t="str">
        <f t="shared" si="2"/>
        <v>0</v>
      </c>
      <c r="H42" s="35" t="str">
        <f t="shared" si="3"/>
        <v>0</v>
      </c>
      <c r="I42" s="35" t="str">
        <f t="shared" si="4"/>
        <v>0</v>
      </c>
      <c r="J42" s="35" t="str">
        <f t="shared" si="5"/>
        <v>0</v>
      </c>
      <c r="K42" s="35" t="str">
        <f t="shared" si="6"/>
        <v>0</v>
      </c>
      <c r="L42" s="92"/>
      <c r="M42" s="92"/>
      <c r="N42" s="92"/>
      <c r="O42" s="92"/>
      <c r="P42" s="92"/>
      <c r="Q42" s="92"/>
      <c r="R42" s="92"/>
    </row>
    <row r="43" spans="1:18" ht="41.45" customHeight="1" x14ac:dyDescent="0.25">
      <c r="C43" s="35"/>
      <c r="D43" s="35"/>
      <c r="E43" s="35" t="str">
        <f t="shared" si="0"/>
        <v>0</v>
      </c>
      <c r="F43" s="35" t="str">
        <f t="shared" si="1"/>
        <v>0</v>
      </c>
      <c r="G43" s="35" t="str">
        <f t="shared" si="2"/>
        <v>0</v>
      </c>
      <c r="H43" s="35" t="str">
        <f t="shared" si="3"/>
        <v>0</v>
      </c>
      <c r="I43" s="35" t="str">
        <f t="shared" si="4"/>
        <v>0</v>
      </c>
      <c r="J43" s="35" t="str">
        <f t="shared" si="5"/>
        <v>0</v>
      </c>
      <c r="K43" s="35" t="str">
        <f t="shared" si="6"/>
        <v>0</v>
      </c>
      <c r="L43" s="92"/>
      <c r="M43" s="92"/>
      <c r="N43" s="92"/>
      <c r="O43" s="92"/>
      <c r="P43" s="92"/>
      <c r="Q43" s="92"/>
      <c r="R43" s="92"/>
    </row>
    <row r="44" spans="1:18" ht="41.45" customHeight="1" x14ac:dyDescent="0.25">
      <c r="C44" s="35"/>
      <c r="D44" s="35"/>
      <c r="E44" s="35" t="str">
        <f t="shared" si="0"/>
        <v>0</v>
      </c>
      <c r="F44" s="35" t="str">
        <f t="shared" si="1"/>
        <v>0</v>
      </c>
      <c r="G44" s="35" t="str">
        <f t="shared" si="2"/>
        <v>0</v>
      </c>
      <c r="H44" s="35" t="str">
        <f t="shared" si="3"/>
        <v>0</v>
      </c>
      <c r="I44" s="35" t="str">
        <f t="shared" si="4"/>
        <v>0</v>
      </c>
      <c r="J44" s="35" t="str">
        <f t="shared" si="5"/>
        <v>0</v>
      </c>
      <c r="K44" s="35" t="str">
        <f t="shared" si="6"/>
        <v>0</v>
      </c>
      <c r="L44" s="92"/>
      <c r="M44" s="92"/>
      <c r="N44" s="92"/>
      <c r="O44" s="92"/>
      <c r="P44" s="92"/>
      <c r="Q44" s="92"/>
      <c r="R44" s="92"/>
    </row>
    <row r="45" spans="1:18" ht="41.45" customHeight="1" x14ac:dyDescent="0.25">
      <c r="C45" s="35"/>
      <c r="D45" s="35"/>
      <c r="E45" s="35" t="str">
        <f t="shared" si="0"/>
        <v>0</v>
      </c>
      <c r="F45" s="35" t="str">
        <f t="shared" si="1"/>
        <v>0</v>
      </c>
      <c r="G45" s="35" t="str">
        <f t="shared" si="2"/>
        <v>0</v>
      </c>
      <c r="H45" s="35" t="str">
        <f t="shared" si="3"/>
        <v>0</v>
      </c>
      <c r="I45" s="35" t="str">
        <f t="shared" si="4"/>
        <v>0</v>
      </c>
      <c r="J45" s="35" t="str">
        <f t="shared" si="5"/>
        <v>0</v>
      </c>
      <c r="K45" s="35" t="str">
        <f t="shared" si="6"/>
        <v>0</v>
      </c>
      <c r="L45" s="92"/>
      <c r="M45" s="92"/>
      <c r="N45" s="92"/>
      <c r="O45" s="92"/>
      <c r="P45" s="92"/>
      <c r="Q45" s="92"/>
      <c r="R45" s="92"/>
    </row>
    <row r="46" spans="1:18" ht="41.45" customHeight="1" x14ac:dyDescent="0.25">
      <c r="C46" s="35"/>
      <c r="D46" s="35"/>
      <c r="E46" s="35" t="str">
        <f t="shared" si="0"/>
        <v>0</v>
      </c>
      <c r="F46" s="35" t="str">
        <f t="shared" si="1"/>
        <v>0</v>
      </c>
      <c r="G46" s="35" t="str">
        <f t="shared" si="2"/>
        <v>0</v>
      </c>
      <c r="H46" s="35" t="str">
        <f t="shared" si="3"/>
        <v>0</v>
      </c>
      <c r="I46" s="35" t="str">
        <f t="shared" si="4"/>
        <v>0</v>
      </c>
      <c r="J46" s="35" t="str">
        <f t="shared" si="5"/>
        <v>0</v>
      </c>
      <c r="K46" s="35" t="str">
        <f t="shared" si="6"/>
        <v>0</v>
      </c>
      <c r="L46" s="92"/>
      <c r="M46" s="92"/>
      <c r="N46" s="92"/>
      <c r="O46" s="92"/>
      <c r="P46" s="92"/>
      <c r="Q46" s="92"/>
      <c r="R46" s="92"/>
    </row>
    <row r="47" spans="1:18" ht="41.45" customHeight="1" x14ac:dyDescent="0.25">
      <c r="C47" s="35"/>
      <c r="D47" s="35"/>
      <c r="E47" s="35" t="str">
        <f t="shared" si="0"/>
        <v>0</v>
      </c>
      <c r="F47" s="35" t="str">
        <f t="shared" si="1"/>
        <v>0</v>
      </c>
      <c r="G47" s="35" t="str">
        <f t="shared" si="2"/>
        <v>0</v>
      </c>
      <c r="H47" s="35" t="str">
        <f t="shared" si="3"/>
        <v>0</v>
      </c>
      <c r="I47" s="35" t="str">
        <f t="shared" si="4"/>
        <v>0</v>
      </c>
      <c r="J47" s="35" t="str">
        <f t="shared" si="5"/>
        <v>0</v>
      </c>
      <c r="K47" s="35" t="str">
        <f t="shared" si="6"/>
        <v>0</v>
      </c>
      <c r="L47" s="92"/>
      <c r="M47" s="92"/>
      <c r="N47" s="92"/>
      <c r="O47" s="92"/>
      <c r="P47" s="92"/>
      <c r="Q47" s="92"/>
      <c r="R47" s="92"/>
    </row>
    <row r="48" spans="1:18" ht="41.45" customHeight="1" x14ac:dyDescent="0.25">
      <c r="C48" s="35"/>
      <c r="D48" s="35"/>
      <c r="E48" s="35" t="str">
        <f t="shared" si="0"/>
        <v>0</v>
      </c>
      <c r="F48" s="35" t="str">
        <f t="shared" si="1"/>
        <v>0</v>
      </c>
      <c r="G48" s="35" t="str">
        <f t="shared" si="2"/>
        <v>0</v>
      </c>
      <c r="H48" s="35" t="str">
        <f t="shared" si="3"/>
        <v>0</v>
      </c>
      <c r="I48" s="35" t="str">
        <f t="shared" si="4"/>
        <v>0</v>
      </c>
      <c r="J48" s="35" t="str">
        <f t="shared" si="5"/>
        <v>0</v>
      </c>
      <c r="K48" s="35" t="str">
        <f t="shared" si="6"/>
        <v>0</v>
      </c>
      <c r="L48" s="92"/>
      <c r="M48" s="92"/>
      <c r="N48" s="92"/>
      <c r="O48" s="92"/>
      <c r="P48" s="92"/>
      <c r="Q48" s="92"/>
      <c r="R48" s="92"/>
    </row>
    <row r="49" spans="3:18" ht="41.45" customHeight="1" x14ac:dyDescent="0.25">
      <c r="C49" s="35"/>
      <c r="D49" s="35"/>
      <c r="E49" s="35" t="str">
        <f t="shared" si="0"/>
        <v>0</v>
      </c>
      <c r="F49" s="35" t="str">
        <f t="shared" si="1"/>
        <v>0</v>
      </c>
      <c r="G49" s="35" t="str">
        <f t="shared" si="2"/>
        <v>0</v>
      </c>
      <c r="H49" s="35" t="str">
        <f t="shared" si="3"/>
        <v>0</v>
      </c>
      <c r="I49" s="35" t="str">
        <f t="shared" si="4"/>
        <v>0</v>
      </c>
      <c r="J49" s="35" t="str">
        <f t="shared" si="5"/>
        <v>0</v>
      </c>
      <c r="K49" s="35" t="str">
        <f t="shared" si="6"/>
        <v>0</v>
      </c>
      <c r="L49" s="92"/>
      <c r="M49" s="92"/>
      <c r="N49" s="92"/>
      <c r="O49" s="92"/>
      <c r="P49" s="92"/>
      <c r="Q49" s="92"/>
      <c r="R49" s="92"/>
    </row>
    <row r="50" spans="3:18" ht="41.45" customHeight="1" x14ac:dyDescent="0.25">
      <c r="C50" s="35"/>
      <c r="D50" s="35"/>
      <c r="E50" s="35" t="str">
        <f t="shared" si="0"/>
        <v>0</v>
      </c>
      <c r="F50" s="35" t="str">
        <f t="shared" si="1"/>
        <v>0</v>
      </c>
      <c r="G50" s="35" t="str">
        <f t="shared" si="2"/>
        <v>0</v>
      </c>
      <c r="H50" s="35" t="str">
        <f t="shared" si="3"/>
        <v>0</v>
      </c>
      <c r="I50" s="35" t="str">
        <f t="shared" si="4"/>
        <v>0</v>
      </c>
      <c r="J50" s="35" t="str">
        <f t="shared" si="5"/>
        <v>0</v>
      </c>
      <c r="K50" s="35" t="str">
        <f t="shared" si="6"/>
        <v>0</v>
      </c>
      <c r="L50" s="92"/>
      <c r="M50" s="92"/>
      <c r="N50" s="92"/>
      <c r="O50" s="92"/>
      <c r="P50" s="92"/>
      <c r="Q50" s="92"/>
      <c r="R50" s="92"/>
    </row>
    <row r="51" spans="3:18" ht="41.45" customHeight="1" x14ac:dyDescent="0.25">
      <c r="C51" s="35"/>
      <c r="D51" s="35"/>
      <c r="E51" s="35" t="str">
        <f t="shared" si="0"/>
        <v>0</v>
      </c>
      <c r="F51" s="35" t="str">
        <f t="shared" si="1"/>
        <v>0</v>
      </c>
      <c r="G51" s="35" t="str">
        <f t="shared" si="2"/>
        <v>0</v>
      </c>
      <c r="H51" s="35" t="str">
        <f t="shared" si="3"/>
        <v>0</v>
      </c>
      <c r="I51" s="35" t="str">
        <f t="shared" si="4"/>
        <v>0</v>
      </c>
      <c r="J51" s="35" t="str">
        <f t="shared" si="5"/>
        <v>0</v>
      </c>
      <c r="K51" s="35" t="str">
        <f t="shared" si="6"/>
        <v>0</v>
      </c>
      <c r="L51" s="92"/>
      <c r="M51" s="92"/>
      <c r="N51" s="92"/>
      <c r="O51" s="92"/>
      <c r="P51" s="92"/>
      <c r="Q51" s="92"/>
      <c r="R51" s="92"/>
    </row>
    <row r="52" spans="3:18" ht="41.45" customHeight="1" x14ac:dyDescent="0.25">
      <c r="C52" s="35"/>
      <c r="D52" s="35"/>
      <c r="E52" s="35" t="str">
        <f t="shared" si="0"/>
        <v>0</v>
      </c>
      <c r="F52" s="35" t="str">
        <f t="shared" si="1"/>
        <v>0</v>
      </c>
      <c r="G52" s="35" t="str">
        <f t="shared" si="2"/>
        <v>0</v>
      </c>
      <c r="H52" s="35" t="str">
        <f t="shared" si="3"/>
        <v>0</v>
      </c>
      <c r="I52" s="35" t="str">
        <f t="shared" si="4"/>
        <v>0</v>
      </c>
      <c r="J52" s="35" t="str">
        <f t="shared" si="5"/>
        <v>0</v>
      </c>
      <c r="K52" s="35" t="str">
        <f t="shared" si="6"/>
        <v>0</v>
      </c>
      <c r="L52" s="92"/>
      <c r="M52" s="92"/>
      <c r="N52" s="92"/>
      <c r="O52" s="92"/>
      <c r="P52" s="92"/>
      <c r="Q52" s="92"/>
      <c r="R52" s="92"/>
    </row>
    <row r="53" spans="3:18" ht="41.45" customHeight="1" x14ac:dyDescent="0.25">
      <c r="C53" s="35"/>
      <c r="D53" s="35"/>
      <c r="E53" s="35" t="str">
        <f t="shared" si="0"/>
        <v>0</v>
      </c>
      <c r="F53" s="35" t="str">
        <f t="shared" si="1"/>
        <v>0</v>
      </c>
      <c r="G53" s="35" t="str">
        <f t="shared" si="2"/>
        <v>0</v>
      </c>
      <c r="H53" s="35" t="str">
        <f t="shared" si="3"/>
        <v>0</v>
      </c>
      <c r="I53" s="35" t="str">
        <f t="shared" si="4"/>
        <v>0</v>
      </c>
      <c r="J53" s="35" t="str">
        <f t="shared" si="5"/>
        <v>0</v>
      </c>
      <c r="K53" s="35" t="str">
        <f t="shared" si="6"/>
        <v>0</v>
      </c>
      <c r="L53" s="92"/>
      <c r="M53" s="92"/>
      <c r="N53" s="92"/>
      <c r="O53" s="92"/>
      <c r="P53" s="92"/>
      <c r="Q53" s="92"/>
      <c r="R53" s="92"/>
    </row>
    <row r="54" spans="3:18" ht="41.45" customHeight="1" x14ac:dyDescent="0.25">
      <c r="C54" s="35"/>
      <c r="D54" s="35"/>
      <c r="E54" s="35" t="str">
        <f t="shared" si="0"/>
        <v>0</v>
      </c>
      <c r="F54" s="35" t="str">
        <f t="shared" si="1"/>
        <v>0</v>
      </c>
      <c r="G54" s="35" t="str">
        <f t="shared" si="2"/>
        <v>0</v>
      </c>
      <c r="H54" s="35" t="str">
        <f t="shared" si="3"/>
        <v>0</v>
      </c>
      <c r="I54" s="35" t="str">
        <f t="shared" si="4"/>
        <v>0</v>
      </c>
      <c r="J54" s="35" t="str">
        <f t="shared" si="5"/>
        <v>0</v>
      </c>
      <c r="K54" s="35" t="str">
        <f t="shared" si="6"/>
        <v>0</v>
      </c>
      <c r="L54" s="92"/>
      <c r="M54" s="92"/>
      <c r="N54" s="92"/>
      <c r="O54" s="92"/>
      <c r="P54" s="92"/>
      <c r="Q54" s="92"/>
      <c r="R54" s="92"/>
    </row>
    <row r="55" spans="3:18" ht="41.45" customHeight="1" x14ac:dyDescent="0.25">
      <c r="C55" s="35"/>
      <c r="D55" s="35"/>
      <c r="E55" s="35" t="str">
        <f t="shared" si="0"/>
        <v>0</v>
      </c>
      <c r="F55" s="35" t="str">
        <f t="shared" si="1"/>
        <v>0</v>
      </c>
      <c r="G55" s="35" t="str">
        <f t="shared" si="2"/>
        <v>0</v>
      </c>
      <c r="H55" s="35" t="str">
        <f t="shared" si="3"/>
        <v>0</v>
      </c>
      <c r="I55" s="35" t="str">
        <f t="shared" si="4"/>
        <v>0</v>
      </c>
      <c r="J55" s="35" t="str">
        <f t="shared" si="5"/>
        <v>0</v>
      </c>
      <c r="K55" s="35" t="str">
        <f t="shared" si="6"/>
        <v>0</v>
      </c>
      <c r="L55" s="92"/>
      <c r="M55" s="92"/>
      <c r="N55" s="92"/>
      <c r="O55" s="92"/>
      <c r="P55" s="92"/>
      <c r="Q55" s="92"/>
      <c r="R55" s="92"/>
    </row>
    <row r="56" spans="3:18" ht="41.45" customHeight="1" x14ac:dyDescent="0.25">
      <c r="C56" s="35"/>
      <c r="D56" s="35"/>
      <c r="E56" s="35" t="str">
        <f t="shared" si="0"/>
        <v>0</v>
      </c>
      <c r="F56" s="35" t="str">
        <f t="shared" si="1"/>
        <v>0</v>
      </c>
      <c r="G56" s="35" t="str">
        <f t="shared" si="2"/>
        <v>0</v>
      </c>
      <c r="H56" s="35" t="str">
        <f t="shared" si="3"/>
        <v>0</v>
      </c>
      <c r="I56" s="35" t="str">
        <f t="shared" si="4"/>
        <v>0</v>
      </c>
      <c r="J56" s="35" t="str">
        <f t="shared" si="5"/>
        <v>0</v>
      </c>
      <c r="K56" s="35" t="str">
        <f t="shared" si="6"/>
        <v>0</v>
      </c>
      <c r="L56" s="92"/>
      <c r="M56" s="92"/>
      <c r="N56" s="92"/>
      <c r="O56" s="92"/>
      <c r="P56" s="92"/>
      <c r="Q56" s="92"/>
      <c r="R56" s="92"/>
    </row>
    <row r="57" spans="3:18" ht="41.45" customHeight="1" x14ac:dyDescent="0.25">
      <c r="C57" s="35"/>
      <c r="D57" s="35"/>
      <c r="E57" s="35" t="str">
        <f t="shared" si="0"/>
        <v>0</v>
      </c>
      <c r="F57" s="35" t="str">
        <f t="shared" si="1"/>
        <v>0</v>
      </c>
      <c r="G57" s="35" t="str">
        <f t="shared" si="2"/>
        <v>0</v>
      </c>
      <c r="H57" s="35" t="str">
        <f t="shared" si="3"/>
        <v>0</v>
      </c>
      <c r="I57" s="35" t="str">
        <f t="shared" si="4"/>
        <v>0</v>
      </c>
      <c r="J57" s="35" t="str">
        <f t="shared" si="5"/>
        <v>0</v>
      </c>
      <c r="K57" s="35" t="str">
        <f t="shared" si="6"/>
        <v>0</v>
      </c>
      <c r="L57" s="92"/>
      <c r="M57" s="92"/>
      <c r="N57" s="92"/>
      <c r="O57" s="92"/>
      <c r="P57" s="92"/>
      <c r="Q57" s="92"/>
      <c r="R57" s="92"/>
    </row>
    <row r="58" spans="3:18" ht="41.45" customHeight="1" x14ac:dyDescent="0.25">
      <c r="C58" s="35"/>
      <c r="D58" s="35"/>
      <c r="E58" s="35" t="str">
        <f t="shared" si="0"/>
        <v>0</v>
      </c>
      <c r="F58" s="35" t="str">
        <f t="shared" si="1"/>
        <v>0</v>
      </c>
      <c r="G58" s="35" t="str">
        <f t="shared" si="2"/>
        <v>0</v>
      </c>
      <c r="H58" s="35" t="str">
        <f t="shared" si="3"/>
        <v>0</v>
      </c>
      <c r="I58" s="35" t="str">
        <f t="shared" si="4"/>
        <v>0</v>
      </c>
      <c r="J58" s="35" t="str">
        <f t="shared" si="5"/>
        <v>0</v>
      </c>
      <c r="K58" s="35" t="str">
        <f t="shared" si="6"/>
        <v>0</v>
      </c>
      <c r="L58" s="92"/>
      <c r="M58" s="92"/>
      <c r="N58" s="92"/>
      <c r="O58" s="92"/>
      <c r="P58" s="92"/>
      <c r="Q58" s="92"/>
      <c r="R58" s="92"/>
    </row>
    <row r="59" spans="3:18" ht="41.45" customHeight="1" x14ac:dyDescent="0.25">
      <c r="C59" s="35"/>
      <c r="D59" s="35"/>
      <c r="E59" s="35" t="str">
        <f t="shared" si="0"/>
        <v>0</v>
      </c>
      <c r="F59" s="35" t="str">
        <f t="shared" si="1"/>
        <v>0</v>
      </c>
      <c r="G59" s="35" t="str">
        <f t="shared" si="2"/>
        <v>0</v>
      </c>
      <c r="H59" s="35" t="str">
        <f t="shared" si="3"/>
        <v>0</v>
      </c>
      <c r="I59" s="35" t="str">
        <f t="shared" si="4"/>
        <v>0</v>
      </c>
      <c r="J59" s="35" t="str">
        <f t="shared" si="5"/>
        <v>0</v>
      </c>
      <c r="K59" s="35" t="str">
        <f t="shared" si="6"/>
        <v>0</v>
      </c>
      <c r="L59" s="92"/>
      <c r="M59" s="92"/>
      <c r="N59" s="92"/>
      <c r="O59" s="92"/>
      <c r="P59" s="92"/>
      <c r="Q59" s="92"/>
      <c r="R59" s="92"/>
    </row>
    <row r="60" spans="3:18" ht="41.45" customHeight="1" x14ac:dyDescent="0.25">
      <c r="C60" s="35"/>
      <c r="D60" s="35"/>
      <c r="E60" s="35" t="str">
        <f t="shared" si="0"/>
        <v>0</v>
      </c>
      <c r="F60" s="35" t="str">
        <f t="shared" si="1"/>
        <v>0</v>
      </c>
      <c r="G60" s="35" t="str">
        <f t="shared" si="2"/>
        <v>0</v>
      </c>
      <c r="H60" s="35" t="str">
        <f t="shared" si="3"/>
        <v>0</v>
      </c>
      <c r="I60" s="35" t="str">
        <f t="shared" si="4"/>
        <v>0</v>
      </c>
      <c r="J60" s="35" t="str">
        <f t="shared" si="5"/>
        <v>0</v>
      </c>
      <c r="K60" s="35" t="str">
        <f t="shared" si="6"/>
        <v>0</v>
      </c>
      <c r="L60" s="92"/>
      <c r="M60" s="92"/>
      <c r="N60" s="92"/>
      <c r="O60" s="92"/>
      <c r="P60" s="92"/>
      <c r="Q60" s="92"/>
      <c r="R60" s="92"/>
    </row>
    <row r="61" spans="3:18" ht="41.45" customHeight="1" x14ac:dyDescent="0.25">
      <c r="C61" s="35"/>
      <c r="D61" s="35"/>
      <c r="E61" s="35" t="str">
        <f t="shared" si="0"/>
        <v>0</v>
      </c>
      <c r="F61" s="35" t="str">
        <f t="shared" si="1"/>
        <v>0</v>
      </c>
      <c r="G61" s="35" t="str">
        <f t="shared" si="2"/>
        <v>0</v>
      </c>
      <c r="H61" s="35" t="str">
        <f t="shared" si="3"/>
        <v>0</v>
      </c>
      <c r="I61" s="35" t="str">
        <f t="shared" si="4"/>
        <v>0</v>
      </c>
      <c r="J61" s="35" t="str">
        <f t="shared" si="5"/>
        <v>0</v>
      </c>
      <c r="K61" s="35" t="str">
        <f t="shared" si="6"/>
        <v>0</v>
      </c>
      <c r="L61" s="92"/>
      <c r="M61" s="92"/>
      <c r="N61" s="92"/>
      <c r="O61" s="92"/>
      <c r="P61" s="92"/>
      <c r="Q61" s="92"/>
      <c r="R61" s="92"/>
    </row>
    <row r="62" spans="3:18" ht="41.45" customHeight="1" x14ac:dyDescent="0.25">
      <c r="C62" s="35"/>
      <c r="D62" s="35"/>
      <c r="E62" s="35" t="str">
        <f t="shared" si="0"/>
        <v>0</v>
      </c>
      <c r="F62" s="35" t="str">
        <f t="shared" si="1"/>
        <v>0</v>
      </c>
      <c r="G62" s="35" t="str">
        <f t="shared" si="2"/>
        <v>0</v>
      </c>
      <c r="H62" s="35" t="str">
        <f t="shared" si="3"/>
        <v>0</v>
      </c>
      <c r="I62" s="35" t="str">
        <f t="shared" si="4"/>
        <v>0</v>
      </c>
      <c r="J62" s="35" t="str">
        <f t="shared" si="5"/>
        <v>0</v>
      </c>
      <c r="K62" s="35" t="str">
        <f t="shared" si="6"/>
        <v>0</v>
      </c>
      <c r="L62" s="92"/>
      <c r="M62" s="92"/>
      <c r="N62" s="92"/>
      <c r="O62" s="92"/>
      <c r="P62" s="92"/>
      <c r="Q62" s="92"/>
      <c r="R62" s="92"/>
    </row>
    <row r="63" spans="3:18" ht="41.45" customHeight="1" x14ac:dyDescent="0.25">
      <c r="C63" s="35"/>
      <c r="D63" s="35"/>
      <c r="E63" s="35">
        <f>SUM(E37:E62)</f>
        <v>39.5</v>
      </c>
      <c r="F63" s="35">
        <f t="shared" ref="F63:K63" si="7">SUM(F37:F62)</f>
        <v>0</v>
      </c>
      <c r="G63" s="35">
        <f t="shared" si="7"/>
        <v>0</v>
      </c>
      <c r="H63" s="35">
        <f t="shared" si="7"/>
        <v>0</v>
      </c>
      <c r="I63" s="35">
        <f t="shared" si="7"/>
        <v>32.4</v>
      </c>
      <c r="J63" s="35">
        <f t="shared" si="7"/>
        <v>7.1000000000000014</v>
      </c>
      <c r="K63" s="35">
        <f t="shared" si="7"/>
        <v>0</v>
      </c>
      <c r="L63" s="92"/>
      <c r="M63" s="92"/>
      <c r="N63" s="92"/>
      <c r="O63" s="92"/>
      <c r="P63" s="92"/>
      <c r="Q63" s="92"/>
      <c r="R63" s="92"/>
    </row>
    <row r="64" spans="3:18" ht="41.45" customHeight="1" x14ac:dyDescent="0.25">
      <c r="C64" s="35"/>
      <c r="D64" s="35"/>
      <c r="E64" s="35"/>
      <c r="F64" s="31"/>
      <c r="G64" s="31"/>
      <c r="H64" s="31"/>
      <c r="I64" s="31"/>
      <c r="J64" s="31"/>
      <c r="K64" s="31"/>
      <c r="L64" s="92"/>
      <c r="M64" s="92"/>
      <c r="N64" s="92"/>
      <c r="O64" s="92"/>
      <c r="P64" s="92"/>
      <c r="Q64" s="92"/>
      <c r="R64" s="92"/>
    </row>
    <row r="65" spans="3:18" ht="41.45" customHeight="1" x14ac:dyDescent="0.25">
      <c r="C65" s="35"/>
      <c r="D65" s="35"/>
      <c r="E65" s="35"/>
      <c r="F65" s="31"/>
      <c r="G65" s="31"/>
      <c r="H65" s="31"/>
      <c r="I65" s="31"/>
      <c r="J65" s="31"/>
      <c r="K65" s="31"/>
      <c r="L65" s="92"/>
      <c r="M65" s="92"/>
      <c r="N65" s="92"/>
      <c r="O65" s="92"/>
      <c r="P65" s="92"/>
      <c r="Q65" s="92"/>
      <c r="R65" s="92"/>
    </row>
    <row r="66" spans="3:18" ht="41.45" customHeight="1" x14ac:dyDescent="0.25">
      <c r="C66" s="35"/>
      <c r="D66" s="35"/>
      <c r="E66" s="35"/>
      <c r="F66" s="31"/>
      <c r="G66" s="31"/>
      <c r="H66" s="31"/>
      <c r="I66" s="31"/>
      <c r="J66" s="31"/>
      <c r="K66" s="31"/>
      <c r="L66" s="92"/>
      <c r="M66" s="92"/>
      <c r="N66" s="92"/>
      <c r="O66" s="92"/>
      <c r="P66" s="92"/>
      <c r="Q66" s="92"/>
      <c r="R66" s="92"/>
    </row>
    <row r="67" spans="3:18" ht="41.45" customHeight="1" x14ac:dyDescent="0.25">
      <c r="C67" s="35"/>
      <c r="D67" s="35"/>
      <c r="E67" s="35"/>
      <c r="F67" s="31"/>
      <c r="G67" s="31"/>
      <c r="H67" s="31"/>
      <c r="I67" s="31"/>
      <c r="J67" s="31"/>
      <c r="K67" s="31"/>
      <c r="L67" s="92"/>
      <c r="M67" s="92"/>
      <c r="N67" s="92"/>
      <c r="O67" s="92"/>
      <c r="P67" s="92"/>
      <c r="Q67" s="92"/>
      <c r="R67" s="92"/>
    </row>
    <row r="68" spans="3:18" ht="41.45" customHeight="1" x14ac:dyDescent="0.25">
      <c r="C68" s="35"/>
      <c r="D68" s="35"/>
      <c r="E68" s="35"/>
      <c r="F68" s="31"/>
      <c r="G68" s="31"/>
      <c r="H68" s="31"/>
      <c r="I68" s="31"/>
      <c r="J68" s="31"/>
      <c r="K68" s="31"/>
      <c r="L68" s="92"/>
      <c r="M68" s="92"/>
      <c r="N68" s="92"/>
      <c r="O68" s="92"/>
      <c r="P68" s="92"/>
      <c r="Q68" s="92"/>
      <c r="R68" s="92"/>
    </row>
    <row r="69" spans="3:18" ht="41.45" customHeight="1" x14ac:dyDescent="0.25">
      <c r="C69" s="35"/>
      <c r="D69" s="35"/>
      <c r="E69" s="35"/>
      <c r="F69" s="31"/>
      <c r="G69" s="31"/>
      <c r="H69" s="31"/>
      <c r="I69" s="31"/>
      <c r="J69" s="31"/>
      <c r="K69" s="31"/>
      <c r="L69" s="92"/>
      <c r="M69" s="92"/>
      <c r="N69" s="92"/>
      <c r="O69" s="92"/>
      <c r="P69" s="92"/>
      <c r="Q69" s="92"/>
      <c r="R69" s="92"/>
    </row>
  </sheetData>
  <mergeCells count="73">
    <mergeCell ref="A5:A6"/>
    <mergeCell ref="B5:B6"/>
    <mergeCell ref="C5:C6"/>
    <mergeCell ref="D5:D6"/>
    <mergeCell ref="E5:H5"/>
    <mergeCell ref="L11:R11"/>
    <mergeCell ref="I1:I2"/>
    <mergeCell ref="J1:J2"/>
    <mergeCell ref="L1:M2"/>
    <mergeCell ref="N1:R2"/>
    <mergeCell ref="I5:K5"/>
    <mergeCell ref="L5:R6"/>
    <mergeCell ref="L7:R7"/>
    <mergeCell ref="L8:R8"/>
    <mergeCell ref="L9:R9"/>
    <mergeCell ref="L10:R10"/>
    <mergeCell ref="L23:R23"/>
    <mergeCell ref="L12:R12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35:R35"/>
    <mergeCell ref="L24:R24"/>
    <mergeCell ref="L25:R25"/>
    <mergeCell ref="L26:R26"/>
    <mergeCell ref="L27:R27"/>
    <mergeCell ref="L28:R28"/>
    <mergeCell ref="L29:R29"/>
    <mergeCell ref="L30:R30"/>
    <mergeCell ref="L31:R31"/>
    <mergeCell ref="L32:R32"/>
    <mergeCell ref="L33:R33"/>
    <mergeCell ref="L34:R34"/>
    <mergeCell ref="L48:R48"/>
    <mergeCell ref="L37:R37"/>
    <mergeCell ref="L38:R38"/>
    <mergeCell ref="L39:R39"/>
    <mergeCell ref="L40:R40"/>
    <mergeCell ref="L41:R41"/>
    <mergeCell ref="L42:R42"/>
    <mergeCell ref="L43:R43"/>
    <mergeCell ref="L44:R44"/>
    <mergeCell ref="L45:R45"/>
    <mergeCell ref="L46:R46"/>
    <mergeCell ref="L47:R47"/>
    <mergeCell ref="L60:R60"/>
    <mergeCell ref="L49:R49"/>
    <mergeCell ref="L50:R50"/>
    <mergeCell ref="L51:R51"/>
    <mergeCell ref="L52:R52"/>
    <mergeCell ref="L53:R53"/>
    <mergeCell ref="L54:R54"/>
    <mergeCell ref="L55:R55"/>
    <mergeCell ref="L56:R56"/>
    <mergeCell ref="L57:R57"/>
    <mergeCell ref="L58:R58"/>
    <mergeCell ref="L59:R59"/>
    <mergeCell ref="L67:R67"/>
    <mergeCell ref="L68:R68"/>
    <mergeCell ref="L69:R69"/>
    <mergeCell ref="L61:R61"/>
    <mergeCell ref="L62:R62"/>
    <mergeCell ref="L63:R63"/>
    <mergeCell ref="L64:R64"/>
    <mergeCell ref="L65:R65"/>
    <mergeCell ref="L66:R66"/>
  </mergeCells>
  <phoneticPr fontId="21" type="noConversion"/>
  <pageMargins left="0.51181102362204722" right="0.51181102362204722" top="0.78740157480314965" bottom="0.78740157480314965" header="0.31496062992125984" footer="0.31496062992125984"/>
  <pageSetup paperSize="9" scale="33" orientation="landscape" horizontalDpi="1200" verticalDpi="1200" r:id="rId1"/>
  <colBreaks count="1" manualBreakCount="1">
    <brk id="18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35601-B663-442C-8EDE-A320A667AC5D}">
  <sheetPr>
    <tabColor theme="2"/>
    <pageSetUpPr fitToPage="1"/>
  </sheetPr>
  <dimension ref="A1:R69"/>
  <sheetViews>
    <sheetView zoomScale="40" zoomScaleNormal="40" zoomScaleSheetLayoutView="40" workbookViewId="0">
      <selection activeCell="A7" sqref="A7:A23"/>
    </sheetView>
  </sheetViews>
  <sheetFormatPr defaultColWidth="8.85546875" defaultRowHeight="15" x14ac:dyDescent="0.25"/>
  <cols>
    <col min="1" max="1" width="33.28515625" style="1" customWidth="1"/>
    <col min="2" max="2" width="17.140625" style="1" customWidth="1"/>
    <col min="3" max="4" width="13.42578125" style="1" customWidth="1"/>
    <col min="5" max="5" width="26.5703125" style="2" customWidth="1"/>
    <col min="6" max="6" width="30.140625" style="2" customWidth="1"/>
    <col min="7" max="7" width="26.5703125" style="2" customWidth="1"/>
    <col min="8" max="8" width="33.140625" style="2" customWidth="1"/>
    <col min="9" max="11" width="32" style="2" customWidth="1"/>
    <col min="12" max="14" width="14.42578125" style="1" customWidth="1"/>
    <col min="15" max="17" width="14.7109375" style="1" customWidth="1"/>
    <col min="18" max="18" width="37.42578125" style="1" customWidth="1"/>
    <col min="19" max="16384" width="8.85546875" style="1"/>
  </cols>
  <sheetData>
    <row r="1" spans="1:18" ht="19.5" x14ac:dyDescent="0.3">
      <c r="A1" s="9" t="s">
        <v>0</v>
      </c>
      <c r="B1" s="10"/>
      <c r="C1" s="10"/>
      <c r="D1" s="10"/>
      <c r="E1" s="11"/>
      <c r="F1" s="12"/>
      <c r="G1" s="11"/>
      <c r="H1" s="11"/>
      <c r="I1" s="98" t="s">
        <v>3</v>
      </c>
      <c r="J1" s="120">
        <f>'245'!J1</f>
        <v>46204</v>
      </c>
      <c r="K1" s="11"/>
      <c r="L1" s="102" t="s">
        <v>4</v>
      </c>
      <c r="M1" s="102"/>
      <c r="N1" s="104" t="str">
        <f>'245'!N1</f>
        <v>ENG. THIAGO TORQUATO</v>
      </c>
      <c r="O1" s="104"/>
      <c r="P1" s="104"/>
      <c r="Q1" s="104"/>
      <c r="R1" s="105"/>
    </row>
    <row r="2" spans="1:18" ht="20.25" thickBot="1" x14ac:dyDescent="0.35">
      <c r="A2" s="13"/>
      <c r="B2" s="14"/>
      <c r="C2" s="14"/>
      <c r="D2" s="14"/>
      <c r="E2" s="15"/>
      <c r="F2" s="16" t="s">
        <v>9</v>
      </c>
      <c r="G2" s="15"/>
      <c r="H2" s="15"/>
      <c r="I2" s="99"/>
      <c r="J2" s="121"/>
      <c r="K2" s="16"/>
      <c r="L2" s="103"/>
      <c r="M2" s="103"/>
      <c r="N2" s="106"/>
      <c r="O2" s="106"/>
      <c r="P2" s="106"/>
      <c r="Q2" s="106"/>
      <c r="R2" s="107"/>
    </row>
    <row r="3" spans="1:18" ht="25.5" x14ac:dyDescent="0.35">
      <c r="A3" s="13" t="s">
        <v>21</v>
      </c>
      <c r="B3" s="45" t="str">
        <f>TT!C9</f>
        <v>RODOVIA TO-387 - TRECHO ENTR. BR-010 - ENTR. TO-050 (CONCEIÇÃO DO TOCANTINS)</v>
      </c>
      <c r="C3" s="14"/>
      <c r="D3" s="14"/>
      <c r="E3" s="15"/>
      <c r="F3" s="15"/>
      <c r="G3" s="15"/>
      <c r="H3" s="15"/>
      <c r="I3" s="47" t="s">
        <v>107</v>
      </c>
      <c r="J3" s="47">
        <v>13</v>
      </c>
      <c r="K3" s="15"/>
      <c r="L3" s="14"/>
      <c r="M3" s="14"/>
      <c r="N3" s="14"/>
      <c r="O3" s="14"/>
      <c r="P3" s="14"/>
      <c r="Q3" s="14"/>
      <c r="R3" s="17"/>
    </row>
    <row r="4" spans="1:18" ht="19.899999999999999" thickBot="1" x14ac:dyDescent="0.4">
      <c r="A4" s="18"/>
      <c r="B4" s="14"/>
      <c r="C4" s="14"/>
      <c r="D4" s="14"/>
      <c r="E4" s="15"/>
      <c r="F4" s="15"/>
      <c r="G4" s="15"/>
      <c r="H4" s="15"/>
      <c r="I4" s="15"/>
      <c r="J4" s="15"/>
      <c r="K4" s="15"/>
      <c r="L4" s="14"/>
      <c r="M4" s="14"/>
      <c r="N4" s="14"/>
      <c r="O4" s="14"/>
      <c r="P4" s="14"/>
      <c r="Q4" s="14"/>
      <c r="R4" s="17"/>
    </row>
    <row r="5" spans="1:18" s="5" customFormat="1" ht="54" customHeight="1" x14ac:dyDescent="0.25">
      <c r="A5" s="112" t="s">
        <v>1</v>
      </c>
      <c r="B5" s="108" t="s">
        <v>7</v>
      </c>
      <c r="C5" s="114" t="s">
        <v>5</v>
      </c>
      <c r="D5" s="114" t="s">
        <v>6</v>
      </c>
      <c r="E5" s="108" t="s">
        <v>10</v>
      </c>
      <c r="F5" s="108"/>
      <c r="G5" s="108"/>
      <c r="H5" s="108"/>
      <c r="I5" s="108" t="s">
        <v>11</v>
      </c>
      <c r="J5" s="108"/>
      <c r="K5" s="108"/>
      <c r="L5" s="108" t="s">
        <v>8</v>
      </c>
      <c r="M5" s="108"/>
      <c r="N5" s="108"/>
      <c r="O5" s="108"/>
      <c r="P5" s="108"/>
      <c r="Q5" s="108"/>
      <c r="R5" s="109"/>
    </row>
    <row r="6" spans="1:18" s="6" customFormat="1" ht="79.150000000000006" customHeight="1" x14ac:dyDescent="0.25">
      <c r="A6" s="113"/>
      <c r="B6" s="110"/>
      <c r="C6" s="110"/>
      <c r="D6" s="110"/>
      <c r="E6" s="7" t="s">
        <v>2</v>
      </c>
      <c r="F6" s="8" t="s">
        <v>15</v>
      </c>
      <c r="G6" s="8" t="s">
        <v>16</v>
      </c>
      <c r="H6" s="8" t="s">
        <v>17</v>
      </c>
      <c r="I6" s="7" t="s">
        <v>12</v>
      </c>
      <c r="J6" s="7" t="s">
        <v>13</v>
      </c>
      <c r="K6" s="7" t="s">
        <v>14</v>
      </c>
      <c r="L6" s="110"/>
      <c r="M6" s="110"/>
      <c r="N6" s="110"/>
      <c r="O6" s="110"/>
      <c r="P6" s="110"/>
      <c r="Q6" s="110"/>
      <c r="R6" s="111"/>
    </row>
    <row r="7" spans="1:18" ht="41.45" customHeight="1" x14ac:dyDescent="0.25">
      <c r="A7" s="32" t="s">
        <v>70</v>
      </c>
      <c r="B7" s="21" t="s">
        <v>108</v>
      </c>
      <c r="C7" s="22">
        <v>0</v>
      </c>
      <c r="D7" s="22">
        <v>9.1</v>
      </c>
      <c r="E7" s="21" t="s">
        <v>109</v>
      </c>
      <c r="F7" s="21"/>
      <c r="G7" s="21"/>
      <c r="H7" s="21"/>
      <c r="I7" s="21"/>
      <c r="J7" s="21" t="s">
        <v>109</v>
      </c>
      <c r="K7" s="21"/>
      <c r="L7" s="96"/>
      <c r="M7" s="96"/>
      <c r="N7" s="96"/>
      <c r="O7" s="96"/>
      <c r="P7" s="96"/>
      <c r="Q7" s="96"/>
      <c r="R7" s="97"/>
    </row>
    <row r="8" spans="1:18" ht="41.45" customHeight="1" x14ac:dyDescent="0.25">
      <c r="A8" s="32" t="s">
        <v>70</v>
      </c>
      <c r="B8" s="21"/>
      <c r="C8" s="22">
        <f>D7</f>
        <v>9.1</v>
      </c>
      <c r="D8" s="22">
        <v>9.9</v>
      </c>
      <c r="E8" s="21" t="s">
        <v>109</v>
      </c>
      <c r="F8" s="21"/>
      <c r="G8" s="21"/>
      <c r="H8" s="21"/>
      <c r="I8" s="21"/>
      <c r="J8" s="21" t="s">
        <v>109</v>
      </c>
      <c r="K8" s="21"/>
      <c r="L8" s="96"/>
      <c r="M8" s="96"/>
      <c r="N8" s="96"/>
      <c r="O8" s="96"/>
      <c r="P8" s="96"/>
      <c r="Q8" s="96"/>
      <c r="R8" s="97"/>
    </row>
    <row r="9" spans="1:18" ht="41.45" customHeight="1" x14ac:dyDescent="0.25">
      <c r="A9" s="32" t="s">
        <v>70</v>
      </c>
      <c r="B9" s="21"/>
      <c r="C9" s="22">
        <f t="shared" ref="C9:C23" si="0">D8</f>
        <v>9.9</v>
      </c>
      <c r="D9" s="22">
        <v>11.9</v>
      </c>
      <c r="E9" s="21" t="s">
        <v>109</v>
      </c>
      <c r="F9" s="21"/>
      <c r="G9" s="21"/>
      <c r="H9" s="21"/>
      <c r="I9" s="21"/>
      <c r="J9" s="21" t="s">
        <v>109</v>
      </c>
      <c r="K9" s="21"/>
      <c r="L9" s="96"/>
      <c r="M9" s="96"/>
      <c r="N9" s="96"/>
      <c r="O9" s="96"/>
      <c r="P9" s="96"/>
      <c r="Q9" s="96"/>
      <c r="R9" s="97"/>
    </row>
    <row r="10" spans="1:18" ht="41.45" customHeight="1" x14ac:dyDescent="0.25">
      <c r="A10" s="32" t="s">
        <v>70</v>
      </c>
      <c r="B10" s="21"/>
      <c r="C10" s="22">
        <f t="shared" si="0"/>
        <v>11.9</v>
      </c>
      <c r="D10" s="22">
        <v>13.2</v>
      </c>
      <c r="E10" s="21" t="s">
        <v>109</v>
      </c>
      <c r="F10" s="21"/>
      <c r="G10" s="21"/>
      <c r="H10" s="21"/>
      <c r="I10" s="21"/>
      <c r="J10" s="21" t="s">
        <v>109</v>
      </c>
      <c r="K10" s="21"/>
      <c r="L10" s="96"/>
      <c r="M10" s="96"/>
      <c r="N10" s="96"/>
      <c r="O10" s="96"/>
      <c r="P10" s="96"/>
      <c r="Q10" s="96"/>
      <c r="R10" s="97"/>
    </row>
    <row r="11" spans="1:18" ht="41.45" customHeight="1" x14ac:dyDescent="0.25">
      <c r="A11" s="32" t="s">
        <v>70</v>
      </c>
      <c r="B11" s="21"/>
      <c r="C11" s="22">
        <f t="shared" si="0"/>
        <v>13.2</v>
      </c>
      <c r="D11" s="22">
        <v>14.3</v>
      </c>
      <c r="E11" s="21" t="s">
        <v>109</v>
      </c>
      <c r="F11" s="21"/>
      <c r="G11" s="21"/>
      <c r="H11" s="21"/>
      <c r="I11" s="21"/>
      <c r="J11" s="21" t="s">
        <v>109</v>
      </c>
      <c r="K11" s="21"/>
      <c r="L11" s="96"/>
      <c r="M11" s="96"/>
      <c r="N11" s="96"/>
      <c r="O11" s="96"/>
      <c r="P11" s="96"/>
      <c r="Q11" s="96"/>
      <c r="R11" s="97"/>
    </row>
    <row r="12" spans="1:18" ht="41.45" customHeight="1" x14ac:dyDescent="0.25">
      <c r="A12" s="32" t="s">
        <v>70</v>
      </c>
      <c r="B12" s="21"/>
      <c r="C12" s="22">
        <f t="shared" si="0"/>
        <v>14.3</v>
      </c>
      <c r="D12" s="22">
        <v>18.3</v>
      </c>
      <c r="E12" s="21" t="s">
        <v>109</v>
      </c>
      <c r="F12" s="21"/>
      <c r="G12" s="21"/>
      <c r="H12" s="21"/>
      <c r="I12" s="21"/>
      <c r="J12" s="21" t="s">
        <v>109</v>
      </c>
      <c r="K12" s="21"/>
      <c r="L12" s="96"/>
      <c r="M12" s="96"/>
      <c r="N12" s="96"/>
      <c r="O12" s="96"/>
      <c r="P12" s="96"/>
      <c r="Q12" s="96"/>
      <c r="R12" s="97"/>
    </row>
    <row r="13" spans="1:18" ht="41.45" customHeight="1" x14ac:dyDescent="0.25">
      <c r="A13" s="32" t="s">
        <v>70</v>
      </c>
      <c r="B13" s="21"/>
      <c r="C13" s="22">
        <f t="shared" si="0"/>
        <v>18.3</v>
      </c>
      <c r="D13" s="22">
        <v>20.6</v>
      </c>
      <c r="E13" s="21" t="s">
        <v>109</v>
      </c>
      <c r="F13" s="21"/>
      <c r="G13" s="21"/>
      <c r="H13" s="21"/>
      <c r="I13" s="21"/>
      <c r="J13" s="21" t="s">
        <v>109</v>
      </c>
      <c r="K13" s="21"/>
      <c r="L13" s="96"/>
      <c r="M13" s="96"/>
      <c r="N13" s="96"/>
      <c r="O13" s="96"/>
      <c r="P13" s="96"/>
      <c r="Q13" s="96"/>
      <c r="R13" s="97"/>
    </row>
    <row r="14" spans="1:18" ht="41.45" customHeight="1" x14ac:dyDescent="0.25">
      <c r="A14" s="32" t="s">
        <v>70</v>
      </c>
      <c r="B14" s="21"/>
      <c r="C14" s="22">
        <f t="shared" si="0"/>
        <v>20.6</v>
      </c>
      <c r="D14" s="22">
        <v>23</v>
      </c>
      <c r="E14" s="21" t="s">
        <v>109</v>
      </c>
      <c r="F14" s="21"/>
      <c r="G14" s="21"/>
      <c r="H14" s="21"/>
      <c r="I14" s="21"/>
      <c r="J14" s="21" t="s">
        <v>109</v>
      </c>
      <c r="K14" s="21"/>
      <c r="L14" s="96"/>
      <c r="M14" s="96"/>
      <c r="N14" s="96"/>
      <c r="O14" s="96"/>
      <c r="P14" s="96"/>
      <c r="Q14" s="96"/>
      <c r="R14" s="97"/>
    </row>
    <row r="15" spans="1:18" ht="41.45" customHeight="1" x14ac:dyDescent="0.25">
      <c r="A15" s="32" t="s">
        <v>70</v>
      </c>
      <c r="B15" s="21"/>
      <c r="C15" s="22">
        <f t="shared" si="0"/>
        <v>23</v>
      </c>
      <c r="D15" s="22">
        <v>25.1</v>
      </c>
      <c r="E15" s="21" t="s">
        <v>109</v>
      </c>
      <c r="F15" s="21"/>
      <c r="G15" s="21"/>
      <c r="H15" s="21"/>
      <c r="I15" s="21"/>
      <c r="J15" s="21" t="s">
        <v>109</v>
      </c>
      <c r="K15" s="21"/>
      <c r="L15" s="96"/>
      <c r="M15" s="96"/>
      <c r="N15" s="96"/>
      <c r="O15" s="96"/>
      <c r="P15" s="96"/>
      <c r="Q15" s="96"/>
      <c r="R15" s="97"/>
    </row>
    <row r="16" spans="1:18" ht="41.45" customHeight="1" x14ac:dyDescent="0.25">
      <c r="A16" s="32" t="s">
        <v>70</v>
      </c>
      <c r="B16" s="21"/>
      <c r="C16" s="22">
        <f t="shared" si="0"/>
        <v>25.1</v>
      </c>
      <c r="D16" s="22">
        <v>23.4</v>
      </c>
      <c r="E16" s="21" t="s">
        <v>109</v>
      </c>
      <c r="F16" s="21"/>
      <c r="G16" s="21"/>
      <c r="H16" s="21"/>
      <c r="I16" s="21"/>
      <c r="J16" s="21" t="s">
        <v>109</v>
      </c>
      <c r="K16" s="21"/>
      <c r="L16" s="96"/>
      <c r="M16" s="96"/>
      <c r="N16" s="96"/>
      <c r="O16" s="96"/>
      <c r="P16" s="96"/>
      <c r="Q16" s="96"/>
      <c r="R16" s="97"/>
    </row>
    <row r="17" spans="1:18" ht="41.45" customHeight="1" x14ac:dyDescent="0.25">
      <c r="A17" s="32" t="s">
        <v>70</v>
      </c>
      <c r="B17" s="21"/>
      <c r="C17" s="22">
        <f t="shared" si="0"/>
        <v>23.4</v>
      </c>
      <c r="D17" s="22">
        <v>28.8</v>
      </c>
      <c r="E17" s="21"/>
      <c r="F17" s="21" t="s">
        <v>109</v>
      </c>
      <c r="G17" s="21"/>
      <c r="H17" s="21"/>
      <c r="I17" s="21"/>
      <c r="J17" s="21" t="s">
        <v>109</v>
      </c>
      <c r="K17" s="21"/>
      <c r="L17" s="96"/>
      <c r="M17" s="96"/>
      <c r="N17" s="96"/>
      <c r="O17" s="96"/>
      <c r="P17" s="96"/>
      <c r="Q17" s="96"/>
      <c r="R17" s="97"/>
    </row>
    <row r="18" spans="1:18" ht="41.45" customHeight="1" x14ac:dyDescent="0.25">
      <c r="A18" s="32" t="s">
        <v>70</v>
      </c>
      <c r="B18" s="3"/>
      <c r="C18" s="22">
        <f t="shared" si="0"/>
        <v>28.8</v>
      </c>
      <c r="D18" s="22">
        <v>30.1</v>
      </c>
      <c r="E18" s="21"/>
      <c r="F18" s="21" t="s">
        <v>109</v>
      </c>
      <c r="G18" s="21"/>
      <c r="H18" s="21"/>
      <c r="I18" s="21"/>
      <c r="J18" s="21" t="s">
        <v>109</v>
      </c>
      <c r="K18" s="21"/>
      <c r="L18" s="96"/>
      <c r="M18" s="96"/>
      <c r="N18" s="96"/>
      <c r="O18" s="96"/>
      <c r="P18" s="96"/>
      <c r="Q18" s="96"/>
      <c r="R18" s="97"/>
    </row>
    <row r="19" spans="1:18" ht="41.45" customHeight="1" x14ac:dyDescent="0.25">
      <c r="A19" s="32" t="s">
        <v>70</v>
      </c>
      <c r="B19" s="3"/>
      <c r="C19" s="22">
        <f t="shared" si="0"/>
        <v>30.1</v>
      </c>
      <c r="D19" s="22">
        <v>33.6</v>
      </c>
      <c r="E19" s="21"/>
      <c r="F19" s="21" t="s">
        <v>109</v>
      </c>
      <c r="G19" s="21"/>
      <c r="H19" s="21"/>
      <c r="I19" s="21"/>
      <c r="J19" s="21" t="s">
        <v>109</v>
      </c>
      <c r="K19" s="21"/>
      <c r="L19" s="96"/>
      <c r="M19" s="96"/>
      <c r="N19" s="96"/>
      <c r="O19" s="96"/>
      <c r="P19" s="96"/>
      <c r="Q19" s="96"/>
      <c r="R19" s="97"/>
    </row>
    <row r="20" spans="1:18" ht="41.45" customHeight="1" x14ac:dyDescent="0.25">
      <c r="A20" s="32" t="s">
        <v>70</v>
      </c>
      <c r="B20" s="3"/>
      <c r="C20" s="22">
        <f t="shared" si="0"/>
        <v>33.6</v>
      </c>
      <c r="D20" s="22">
        <v>36.200000000000003</v>
      </c>
      <c r="E20" s="21"/>
      <c r="F20" s="21" t="s">
        <v>109</v>
      </c>
      <c r="G20" s="21"/>
      <c r="H20" s="21"/>
      <c r="I20" s="21"/>
      <c r="J20" s="21" t="s">
        <v>109</v>
      </c>
      <c r="K20" s="21"/>
      <c r="L20" s="96"/>
      <c r="M20" s="96"/>
      <c r="N20" s="96"/>
      <c r="O20" s="96"/>
      <c r="P20" s="96"/>
      <c r="Q20" s="96"/>
      <c r="R20" s="97"/>
    </row>
    <row r="21" spans="1:18" ht="41.45" customHeight="1" x14ac:dyDescent="0.25">
      <c r="A21" s="32" t="s">
        <v>70</v>
      </c>
      <c r="B21" s="3"/>
      <c r="C21" s="22">
        <f t="shared" si="0"/>
        <v>36.200000000000003</v>
      </c>
      <c r="D21" s="22">
        <v>38.799999999999997</v>
      </c>
      <c r="E21" s="21"/>
      <c r="F21" s="21" t="s">
        <v>109</v>
      </c>
      <c r="G21" s="21"/>
      <c r="H21" s="21"/>
      <c r="I21" s="21"/>
      <c r="J21" s="21" t="s">
        <v>109</v>
      </c>
      <c r="K21" s="21"/>
      <c r="L21" s="96"/>
      <c r="M21" s="96"/>
      <c r="N21" s="96"/>
      <c r="O21" s="96"/>
      <c r="P21" s="96"/>
      <c r="Q21" s="96"/>
      <c r="R21" s="97"/>
    </row>
    <row r="22" spans="1:18" ht="41.45" customHeight="1" x14ac:dyDescent="0.25">
      <c r="A22" s="32" t="s">
        <v>70</v>
      </c>
      <c r="B22" s="3"/>
      <c r="C22" s="22">
        <f t="shared" si="0"/>
        <v>38.799999999999997</v>
      </c>
      <c r="D22" s="22">
        <v>41.8</v>
      </c>
      <c r="E22" s="21"/>
      <c r="F22" s="21" t="s">
        <v>109</v>
      </c>
      <c r="G22" s="21"/>
      <c r="H22" s="21"/>
      <c r="I22" s="21"/>
      <c r="J22" s="21" t="s">
        <v>109</v>
      </c>
      <c r="K22" s="21"/>
      <c r="L22" s="96"/>
      <c r="M22" s="96"/>
      <c r="N22" s="96"/>
      <c r="O22" s="96"/>
      <c r="P22" s="96"/>
      <c r="Q22" s="96"/>
      <c r="R22" s="97"/>
    </row>
    <row r="23" spans="1:18" ht="41.45" customHeight="1" x14ac:dyDescent="0.25">
      <c r="A23" s="32" t="s">
        <v>70</v>
      </c>
      <c r="B23" s="3"/>
      <c r="C23" s="22">
        <f t="shared" si="0"/>
        <v>41.8</v>
      </c>
      <c r="D23" s="22">
        <v>42.46</v>
      </c>
      <c r="E23" s="21"/>
      <c r="F23" s="21" t="s">
        <v>109</v>
      </c>
      <c r="G23" s="21"/>
      <c r="H23" s="21"/>
      <c r="I23" s="21"/>
      <c r="J23" s="21" t="s">
        <v>109</v>
      </c>
      <c r="K23" s="21"/>
      <c r="L23" s="96"/>
      <c r="M23" s="96"/>
      <c r="N23" s="96"/>
      <c r="O23" s="96"/>
      <c r="P23" s="96"/>
      <c r="Q23" s="96"/>
      <c r="R23" s="97"/>
    </row>
    <row r="24" spans="1:18" ht="41.45" customHeight="1" x14ac:dyDescent="0.25">
      <c r="A24" s="19"/>
      <c r="B24" s="3"/>
      <c r="C24" s="22"/>
      <c r="D24" s="22"/>
      <c r="E24" s="21"/>
      <c r="F24" s="21"/>
      <c r="G24" s="21"/>
      <c r="H24" s="21"/>
      <c r="I24" s="21"/>
      <c r="J24" s="21"/>
      <c r="K24" s="21"/>
      <c r="L24" s="96"/>
      <c r="M24" s="96"/>
      <c r="N24" s="96"/>
      <c r="O24" s="96"/>
      <c r="P24" s="96"/>
      <c r="Q24" s="96"/>
      <c r="R24" s="97"/>
    </row>
    <row r="25" spans="1:18" ht="41.45" customHeight="1" x14ac:dyDescent="0.25">
      <c r="A25" s="19"/>
      <c r="B25" s="3"/>
      <c r="C25" s="22"/>
      <c r="D25" s="22"/>
      <c r="E25" s="21"/>
      <c r="F25" s="21"/>
      <c r="G25" s="21"/>
      <c r="H25" s="21"/>
      <c r="I25" s="21"/>
      <c r="J25" s="21"/>
      <c r="K25" s="21"/>
      <c r="L25" s="96"/>
      <c r="M25" s="96"/>
      <c r="N25" s="96"/>
      <c r="O25" s="96"/>
      <c r="P25" s="96"/>
      <c r="Q25" s="96"/>
      <c r="R25" s="97"/>
    </row>
    <row r="26" spans="1:18" ht="41.45" customHeight="1" x14ac:dyDescent="0.25">
      <c r="A26" s="19"/>
      <c r="B26" s="3"/>
      <c r="C26" s="22"/>
      <c r="D26" s="22"/>
      <c r="E26" s="21"/>
      <c r="F26" s="21"/>
      <c r="G26" s="21"/>
      <c r="H26" s="21"/>
      <c r="I26" s="21"/>
      <c r="J26" s="21"/>
      <c r="K26" s="21"/>
      <c r="L26" s="96"/>
      <c r="M26" s="96"/>
      <c r="N26" s="96"/>
      <c r="O26" s="96"/>
      <c r="P26" s="96"/>
      <c r="Q26" s="96"/>
      <c r="R26" s="97"/>
    </row>
    <row r="27" spans="1:18" ht="41.45" customHeight="1" x14ac:dyDescent="0.25">
      <c r="A27" s="19"/>
      <c r="B27" s="3"/>
      <c r="C27" s="22"/>
      <c r="D27" s="22"/>
      <c r="E27" s="21"/>
      <c r="F27" s="21"/>
      <c r="G27" s="21"/>
      <c r="H27" s="21"/>
      <c r="I27" s="21"/>
      <c r="J27" s="21"/>
      <c r="K27" s="21"/>
      <c r="L27" s="96"/>
      <c r="M27" s="96"/>
      <c r="N27" s="96"/>
      <c r="O27" s="96"/>
      <c r="P27" s="96"/>
      <c r="Q27" s="96"/>
      <c r="R27" s="97"/>
    </row>
    <row r="28" spans="1:18" ht="41.45" customHeight="1" x14ac:dyDescent="0.25">
      <c r="A28" s="19"/>
      <c r="B28" s="3"/>
      <c r="C28" s="22"/>
      <c r="D28" s="22"/>
      <c r="E28" s="21"/>
      <c r="F28" s="21"/>
      <c r="G28" s="21"/>
      <c r="H28" s="21"/>
      <c r="I28" s="21"/>
      <c r="J28" s="21"/>
      <c r="K28" s="21"/>
      <c r="L28" s="96"/>
      <c r="M28" s="96"/>
      <c r="N28" s="96"/>
      <c r="O28" s="96"/>
      <c r="P28" s="96"/>
      <c r="Q28" s="96"/>
      <c r="R28" s="97"/>
    </row>
    <row r="29" spans="1:18" ht="41.45" customHeight="1" x14ac:dyDescent="0.25">
      <c r="A29" s="19"/>
      <c r="B29" s="3"/>
      <c r="C29" s="22"/>
      <c r="D29" s="22"/>
      <c r="E29" s="21"/>
      <c r="F29" s="21"/>
      <c r="G29" s="21"/>
      <c r="H29" s="21"/>
      <c r="I29" s="21"/>
      <c r="J29" s="21"/>
      <c r="K29" s="21"/>
      <c r="L29" s="96"/>
      <c r="M29" s="96"/>
      <c r="N29" s="96"/>
      <c r="O29" s="96"/>
      <c r="P29" s="96"/>
      <c r="Q29" s="96"/>
      <c r="R29" s="97"/>
    </row>
    <row r="30" spans="1:18" ht="41.45" customHeight="1" x14ac:dyDescent="0.25">
      <c r="A30" s="19"/>
      <c r="B30" s="3"/>
      <c r="C30" s="22"/>
      <c r="D30" s="22"/>
      <c r="E30" s="21"/>
      <c r="F30" s="21"/>
      <c r="G30" s="21"/>
      <c r="H30" s="21"/>
      <c r="I30" s="21"/>
      <c r="J30" s="21"/>
      <c r="K30" s="21"/>
      <c r="L30" s="96"/>
      <c r="M30" s="96"/>
      <c r="N30" s="96"/>
      <c r="O30" s="96"/>
      <c r="P30" s="96"/>
      <c r="Q30" s="96"/>
      <c r="R30" s="97"/>
    </row>
    <row r="31" spans="1:18" ht="41.45" customHeight="1" x14ac:dyDescent="0.25">
      <c r="A31" s="19"/>
      <c r="B31" s="3"/>
      <c r="C31" s="22"/>
      <c r="D31" s="22"/>
      <c r="E31" s="21"/>
      <c r="F31" s="21"/>
      <c r="G31" s="21"/>
      <c r="H31" s="21"/>
      <c r="I31" s="21"/>
      <c r="J31" s="21"/>
      <c r="K31" s="21"/>
      <c r="L31" s="96"/>
      <c r="M31" s="96"/>
      <c r="N31" s="96"/>
      <c r="O31" s="96"/>
      <c r="P31" s="96"/>
      <c r="Q31" s="96"/>
      <c r="R31" s="97"/>
    </row>
    <row r="32" spans="1:18" ht="41.45" customHeight="1" x14ac:dyDescent="0.25">
      <c r="A32" s="19"/>
      <c r="B32" s="3"/>
      <c r="C32" s="22"/>
      <c r="D32" s="22"/>
      <c r="E32" s="21"/>
      <c r="F32" s="21"/>
      <c r="G32" s="21"/>
      <c r="H32" s="21"/>
      <c r="I32" s="21"/>
      <c r="J32" s="21"/>
      <c r="K32" s="21"/>
      <c r="L32" s="96"/>
      <c r="M32" s="96"/>
      <c r="N32" s="96"/>
      <c r="O32" s="96"/>
      <c r="P32" s="96"/>
      <c r="Q32" s="96"/>
      <c r="R32" s="97"/>
    </row>
    <row r="33" spans="1:18" ht="41.45" customHeight="1" x14ac:dyDescent="0.25">
      <c r="A33" s="19"/>
      <c r="B33" s="3"/>
      <c r="C33" s="22"/>
      <c r="D33" s="22"/>
      <c r="E33" s="21"/>
      <c r="F33" s="21"/>
      <c r="G33" s="21"/>
      <c r="H33" s="21"/>
      <c r="I33" s="21"/>
      <c r="J33" s="21"/>
      <c r="K33" s="21"/>
      <c r="L33" s="96"/>
      <c r="M33" s="96"/>
      <c r="N33" s="96"/>
      <c r="O33" s="96"/>
      <c r="P33" s="96"/>
      <c r="Q33" s="96"/>
      <c r="R33" s="97"/>
    </row>
    <row r="34" spans="1:18" ht="41.45" customHeight="1" x14ac:dyDescent="0.25">
      <c r="A34" s="19"/>
      <c r="B34" s="3"/>
      <c r="C34" s="22"/>
      <c r="D34" s="22"/>
      <c r="E34" s="21"/>
      <c r="F34" s="21"/>
      <c r="G34" s="21"/>
      <c r="H34" s="21"/>
      <c r="I34" s="21"/>
      <c r="J34" s="21"/>
      <c r="K34" s="21"/>
      <c r="L34" s="96"/>
      <c r="M34" s="96"/>
      <c r="N34" s="96"/>
      <c r="O34" s="96"/>
      <c r="P34" s="96"/>
      <c r="Q34" s="96"/>
      <c r="R34" s="97"/>
    </row>
    <row r="35" spans="1:18" ht="41.45" customHeight="1" thickBot="1" x14ac:dyDescent="0.3">
      <c r="A35" s="20"/>
      <c r="B35" s="4"/>
      <c r="C35" s="23"/>
      <c r="D35" s="23"/>
      <c r="E35" s="24"/>
      <c r="F35" s="24"/>
      <c r="G35" s="24"/>
      <c r="H35" s="24"/>
      <c r="I35" s="24"/>
      <c r="J35" s="24"/>
      <c r="K35" s="24"/>
      <c r="L35" s="94"/>
      <c r="M35" s="94"/>
      <c r="N35" s="94"/>
      <c r="O35" s="94"/>
      <c r="P35" s="94"/>
      <c r="Q35" s="94"/>
      <c r="R35" s="95"/>
    </row>
    <row r="36" spans="1:18" ht="41.45" customHeight="1" x14ac:dyDescent="0.25">
      <c r="C36" s="35"/>
      <c r="D36" s="35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</row>
    <row r="37" spans="1:18" ht="41.45" customHeight="1" x14ac:dyDescent="0.25">
      <c r="C37" s="35"/>
      <c r="D37" s="35"/>
      <c r="E37" s="35">
        <f>IF(E7="X",(D7-C7),"0")</f>
        <v>9.1</v>
      </c>
      <c r="F37" s="35" t="str">
        <f>IF(F7="X",(D7-C7),"0")</f>
        <v>0</v>
      </c>
      <c r="G37" s="35" t="str">
        <f>IF(G7="X",(D7-C7),"0")</f>
        <v>0</v>
      </c>
      <c r="H37" s="35" t="str">
        <f>IF(H7="X",(D7-C7),"0")</f>
        <v>0</v>
      </c>
      <c r="I37" s="35" t="str">
        <f>IF(I7="X",(D7-C7),"0")</f>
        <v>0</v>
      </c>
      <c r="J37" s="35">
        <f>IF(J7="X",(D7-C7),"0")</f>
        <v>9.1</v>
      </c>
      <c r="K37" s="35" t="str">
        <f>IF(K7="X",(D7-C7),"0")</f>
        <v>0</v>
      </c>
      <c r="L37" s="92"/>
      <c r="M37" s="92"/>
      <c r="N37" s="92"/>
      <c r="O37" s="92"/>
      <c r="P37" s="92"/>
      <c r="Q37" s="92"/>
      <c r="R37" s="92"/>
    </row>
    <row r="38" spans="1:18" ht="41.45" customHeight="1" x14ac:dyDescent="0.25">
      <c r="C38" s="35"/>
      <c r="D38" s="35"/>
      <c r="E38" s="35">
        <f t="shared" ref="E38:E62" si="1">IF(E8="X",(D8-C8),"0")</f>
        <v>0.80000000000000071</v>
      </c>
      <c r="F38" s="35" t="str">
        <f t="shared" ref="F38:F62" si="2">IF(F8="X",(D8-C8),"0")</f>
        <v>0</v>
      </c>
      <c r="G38" s="35" t="str">
        <f t="shared" ref="G38:G62" si="3">IF(G8="X",(D8-C8),"0")</f>
        <v>0</v>
      </c>
      <c r="H38" s="35" t="str">
        <f t="shared" ref="H38:H62" si="4">IF(H8="X",(D8-C8),"0")</f>
        <v>0</v>
      </c>
      <c r="I38" s="35" t="str">
        <f t="shared" ref="I38:I62" si="5">IF(I8="X",(D8-C8),"0")</f>
        <v>0</v>
      </c>
      <c r="J38" s="35">
        <f t="shared" ref="J38:J62" si="6">IF(J8="X",(D8-C8),"0")</f>
        <v>0.80000000000000071</v>
      </c>
      <c r="K38" s="35" t="str">
        <f t="shared" ref="K38:K62" si="7">IF(K8="X",(D8-C8),"0")</f>
        <v>0</v>
      </c>
      <c r="L38" s="92"/>
      <c r="M38" s="92"/>
      <c r="N38" s="92"/>
      <c r="O38" s="92"/>
      <c r="P38" s="92"/>
      <c r="Q38" s="92"/>
      <c r="R38" s="92"/>
    </row>
    <row r="39" spans="1:18" ht="41.45" customHeight="1" x14ac:dyDescent="0.25">
      <c r="C39" s="35"/>
      <c r="D39" s="35"/>
      <c r="E39" s="35">
        <f t="shared" si="1"/>
        <v>2</v>
      </c>
      <c r="F39" s="35" t="str">
        <f t="shared" si="2"/>
        <v>0</v>
      </c>
      <c r="G39" s="35" t="str">
        <f t="shared" si="3"/>
        <v>0</v>
      </c>
      <c r="H39" s="35" t="str">
        <f t="shared" si="4"/>
        <v>0</v>
      </c>
      <c r="I39" s="35" t="str">
        <f t="shared" si="5"/>
        <v>0</v>
      </c>
      <c r="J39" s="35">
        <f t="shared" si="6"/>
        <v>2</v>
      </c>
      <c r="K39" s="35" t="str">
        <f t="shared" si="7"/>
        <v>0</v>
      </c>
      <c r="L39" s="92"/>
      <c r="M39" s="92"/>
      <c r="N39" s="92"/>
      <c r="O39" s="92"/>
      <c r="P39" s="92"/>
      <c r="Q39" s="92"/>
      <c r="R39" s="92"/>
    </row>
    <row r="40" spans="1:18" ht="41.45" customHeight="1" x14ac:dyDescent="0.25">
      <c r="C40" s="35"/>
      <c r="D40" s="35"/>
      <c r="E40" s="35">
        <f t="shared" si="1"/>
        <v>1.2999999999999989</v>
      </c>
      <c r="F40" s="35" t="str">
        <f t="shared" si="2"/>
        <v>0</v>
      </c>
      <c r="G40" s="35" t="str">
        <f t="shared" si="3"/>
        <v>0</v>
      </c>
      <c r="H40" s="35" t="str">
        <f t="shared" si="4"/>
        <v>0</v>
      </c>
      <c r="I40" s="35" t="str">
        <f t="shared" si="5"/>
        <v>0</v>
      </c>
      <c r="J40" s="35">
        <f t="shared" si="6"/>
        <v>1.2999999999999989</v>
      </c>
      <c r="K40" s="35" t="str">
        <f t="shared" si="7"/>
        <v>0</v>
      </c>
      <c r="L40" s="92"/>
      <c r="M40" s="92"/>
      <c r="N40" s="92"/>
      <c r="O40" s="92"/>
      <c r="P40" s="92"/>
      <c r="Q40" s="92"/>
      <c r="R40" s="92"/>
    </row>
    <row r="41" spans="1:18" ht="41.45" customHeight="1" x14ac:dyDescent="0.25">
      <c r="C41" s="35"/>
      <c r="D41" s="35"/>
      <c r="E41" s="35">
        <f t="shared" si="1"/>
        <v>1.1000000000000014</v>
      </c>
      <c r="F41" s="35" t="str">
        <f t="shared" si="2"/>
        <v>0</v>
      </c>
      <c r="G41" s="35" t="str">
        <f t="shared" si="3"/>
        <v>0</v>
      </c>
      <c r="H41" s="35" t="str">
        <f t="shared" si="4"/>
        <v>0</v>
      </c>
      <c r="I41" s="35" t="str">
        <f t="shared" si="5"/>
        <v>0</v>
      </c>
      <c r="J41" s="35">
        <f t="shared" si="6"/>
        <v>1.1000000000000014</v>
      </c>
      <c r="K41" s="35" t="str">
        <f t="shared" si="7"/>
        <v>0</v>
      </c>
      <c r="L41" s="92"/>
      <c r="M41" s="92"/>
      <c r="N41" s="92"/>
      <c r="O41" s="92"/>
      <c r="P41" s="92"/>
      <c r="Q41" s="92"/>
      <c r="R41" s="92"/>
    </row>
    <row r="42" spans="1:18" ht="41.45" customHeight="1" x14ac:dyDescent="0.25">
      <c r="C42" s="35"/>
      <c r="D42" s="35"/>
      <c r="E42" s="35">
        <f t="shared" si="1"/>
        <v>4</v>
      </c>
      <c r="F42" s="35" t="str">
        <f t="shared" si="2"/>
        <v>0</v>
      </c>
      <c r="G42" s="35" t="str">
        <f t="shared" si="3"/>
        <v>0</v>
      </c>
      <c r="H42" s="35" t="str">
        <f t="shared" si="4"/>
        <v>0</v>
      </c>
      <c r="I42" s="35" t="str">
        <f t="shared" si="5"/>
        <v>0</v>
      </c>
      <c r="J42" s="35">
        <f t="shared" si="6"/>
        <v>4</v>
      </c>
      <c r="K42" s="35" t="str">
        <f t="shared" si="7"/>
        <v>0</v>
      </c>
      <c r="L42" s="92"/>
      <c r="M42" s="92"/>
      <c r="N42" s="92"/>
      <c r="O42" s="92"/>
      <c r="P42" s="92"/>
      <c r="Q42" s="92"/>
      <c r="R42" s="92"/>
    </row>
    <row r="43" spans="1:18" ht="41.45" customHeight="1" x14ac:dyDescent="0.25">
      <c r="C43" s="35"/>
      <c r="D43" s="35"/>
      <c r="E43" s="35">
        <f t="shared" si="1"/>
        <v>2.3000000000000007</v>
      </c>
      <c r="F43" s="35" t="str">
        <f t="shared" si="2"/>
        <v>0</v>
      </c>
      <c r="G43" s="35" t="str">
        <f t="shared" si="3"/>
        <v>0</v>
      </c>
      <c r="H43" s="35" t="str">
        <f t="shared" si="4"/>
        <v>0</v>
      </c>
      <c r="I43" s="35" t="str">
        <f t="shared" si="5"/>
        <v>0</v>
      </c>
      <c r="J43" s="35">
        <f t="shared" si="6"/>
        <v>2.3000000000000007</v>
      </c>
      <c r="K43" s="35" t="str">
        <f t="shared" si="7"/>
        <v>0</v>
      </c>
      <c r="L43" s="92"/>
      <c r="M43" s="92"/>
      <c r="N43" s="92"/>
      <c r="O43" s="92"/>
      <c r="P43" s="92"/>
      <c r="Q43" s="92"/>
      <c r="R43" s="92"/>
    </row>
    <row r="44" spans="1:18" ht="41.45" customHeight="1" x14ac:dyDescent="0.25">
      <c r="C44" s="35"/>
      <c r="D44" s="35"/>
      <c r="E44" s="35">
        <f t="shared" si="1"/>
        <v>2.3999999999999986</v>
      </c>
      <c r="F44" s="35" t="str">
        <f t="shared" si="2"/>
        <v>0</v>
      </c>
      <c r="G44" s="35" t="str">
        <f t="shared" si="3"/>
        <v>0</v>
      </c>
      <c r="H44" s="35" t="str">
        <f t="shared" si="4"/>
        <v>0</v>
      </c>
      <c r="I44" s="35" t="str">
        <f t="shared" si="5"/>
        <v>0</v>
      </c>
      <c r="J44" s="35">
        <f t="shared" si="6"/>
        <v>2.3999999999999986</v>
      </c>
      <c r="K44" s="35" t="str">
        <f t="shared" si="7"/>
        <v>0</v>
      </c>
      <c r="L44" s="92"/>
      <c r="M44" s="92"/>
      <c r="N44" s="92"/>
      <c r="O44" s="92"/>
      <c r="P44" s="92"/>
      <c r="Q44" s="92"/>
      <c r="R44" s="92"/>
    </row>
    <row r="45" spans="1:18" ht="41.45" customHeight="1" x14ac:dyDescent="0.25">
      <c r="C45" s="35"/>
      <c r="D45" s="35"/>
      <c r="E45" s="35">
        <f t="shared" si="1"/>
        <v>2.1000000000000014</v>
      </c>
      <c r="F45" s="35" t="str">
        <f t="shared" si="2"/>
        <v>0</v>
      </c>
      <c r="G45" s="35" t="str">
        <f t="shared" si="3"/>
        <v>0</v>
      </c>
      <c r="H45" s="35" t="str">
        <f t="shared" si="4"/>
        <v>0</v>
      </c>
      <c r="I45" s="35" t="str">
        <f t="shared" si="5"/>
        <v>0</v>
      </c>
      <c r="J45" s="35">
        <f t="shared" si="6"/>
        <v>2.1000000000000014</v>
      </c>
      <c r="K45" s="35" t="str">
        <f t="shared" si="7"/>
        <v>0</v>
      </c>
      <c r="L45" s="92"/>
      <c r="M45" s="92"/>
      <c r="N45" s="92"/>
      <c r="O45" s="92"/>
      <c r="P45" s="92"/>
      <c r="Q45" s="92"/>
      <c r="R45" s="92"/>
    </row>
    <row r="46" spans="1:18" ht="41.45" customHeight="1" x14ac:dyDescent="0.25">
      <c r="C46" s="35"/>
      <c r="D46" s="35"/>
      <c r="E46" s="35">
        <f t="shared" si="1"/>
        <v>-1.7000000000000028</v>
      </c>
      <c r="F46" s="35" t="str">
        <f t="shared" si="2"/>
        <v>0</v>
      </c>
      <c r="G46" s="35" t="str">
        <f t="shared" si="3"/>
        <v>0</v>
      </c>
      <c r="H46" s="35" t="str">
        <f t="shared" si="4"/>
        <v>0</v>
      </c>
      <c r="I46" s="35" t="str">
        <f t="shared" si="5"/>
        <v>0</v>
      </c>
      <c r="J46" s="35">
        <f t="shared" si="6"/>
        <v>-1.7000000000000028</v>
      </c>
      <c r="K46" s="35" t="str">
        <f t="shared" si="7"/>
        <v>0</v>
      </c>
      <c r="L46" s="92"/>
      <c r="M46" s="92"/>
      <c r="N46" s="92"/>
      <c r="O46" s="92"/>
      <c r="P46" s="92"/>
      <c r="Q46" s="92"/>
      <c r="R46" s="92"/>
    </row>
    <row r="47" spans="1:18" ht="41.45" customHeight="1" x14ac:dyDescent="0.25">
      <c r="C47" s="35"/>
      <c r="D47" s="35"/>
      <c r="E47" s="35" t="str">
        <f t="shared" si="1"/>
        <v>0</v>
      </c>
      <c r="F47" s="35">
        <f t="shared" si="2"/>
        <v>5.4000000000000021</v>
      </c>
      <c r="G47" s="35" t="str">
        <f t="shared" si="3"/>
        <v>0</v>
      </c>
      <c r="H47" s="35" t="str">
        <f t="shared" si="4"/>
        <v>0</v>
      </c>
      <c r="I47" s="35" t="str">
        <f t="shared" si="5"/>
        <v>0</v>
      </c>
      <c r="J47" s="35">
        <f t="shared" si="6"/>
        <v>5.4000000000000021</v>
      </c>
      <c r="K47" s="35" t="str">
        <f t="shared" si="7"/>
        <v>0</v>
      </c>
      <c r="L47" s="92"/>
      <c r="M47" s="92"/>
      <c r="N47" s="92"/>
      <c r="O47" s="92"/>
      <c r="P47" s="92"/>
      <c r="Q47" s="92"/>
      <c r="R47" s="92"/>
    </row>
    <row r="48" spans="1:18" ht="41.45" customHeight="1" x14ac:dyDescent="0.25">
      <c r="C48" s="35"/>
      <c r="D48" s="35"/>
      <c r="E48" s="35" t="str">
        <f t="shared" si="1"/>
        <v>0</v>
      </c>
      <c r="F48" s="35">
        <f t="shared" si="2"/>
        <v>1.3000000000000007</v>
      </c>
      <c r="G48" s="35" t="str">
        <f t="shared" si="3"/>
        <v>0</v>
      </c>
      <c r="H48" s="35" t="str">
        <f t="shared" si="4"/>
        <v>0</v>
      </c>
      <c r="I48" s="35" t="str">
        <f t="shared" si="5"/>
        <v>0</v>
      </c>
      <c r="J48" s="35">
        <f t="shared" si="6"/>
        <v>1.3000000000000007</v>
      </c>
      <c r="K48" s="35" t="str">
        <f t="shared" si="7"/>
        <v>0</v>
      </c>
      <c r="L48" s="92"/>
      <c r="M48" s="92"/>
      <c r="N48" s="92"/>
      <c r="O48" s="92"/>
      <c r="P48" s="92"/>
      <c r="Q48" s="92"/>
      <c r="R48" s="92"/>
    </row>
    <row r="49" spans="3:18" ht="41.45" customHeight="1" x14ac:dyDescent="0.25">
      <c r="C49" s="35"/>
      <c r="D49" s="35"/>
      <c r="E49" s="35" t="str">
        <f t="shared" si="1"/>
        <v>0</v>
      </c>
      <c r="F49" s="35">
        <f t="shared" si="2"/>
        <v>3.5</v>
      </c>
      <c r="G49" s="35" t="str">
        <f t="shared" si="3"/>
        <v>0</v>
      </c>
      <c r="H49" s="35" t="str">
        <f t="shared" si="4"/>
        <v>0</v>
      </c>
      <c r="I49" s="35" t="str">
        <f t="shared" si="5"/>
        <v>0</v>
      </c>
      <c r="J49" s="35">
        <f t="shared" si="6"/>
        <v>3.5</v>
      </c>
      <c r="K49" s="35" t="str">
        <f t="shared" si="7"/>
        <v>0</v>
      </c>
      <c r="L49" s="92"/>
      <c r="M49" s="92"/>
      <c r="N49" s="92"/>
      <c r="O49" s="92"/>
      <c r="P49" s="92"/>
      <c r="Q49" s="92"/>
      <c r="R49" s="92"/>
    </row>
    <row r="50" spans="3:18" ht="41.45" customHeight="1" x14ac:dyDescent="0.25">
      <c r="C50" s="35"/>
      <c r="D50" s="35"/>
      <c r="E50" s="35" t="str">
        <f t="shared" si="1"/>
        <v>0</v>
      </c>
      <c r="F50" s="35">
        <f t="shared" si="2"/>
        <v>2.6000000000000014</v>
      </c>
      <c r="G50" s="35" t="str">
        <f t="shared" si="3"/>
        <v>0</v>
      </c>
      <c r="H50" s="35" t="str">
        <f t="shared" si="4"/>
        <v>0</v>
      </c>
      <c r="I50" s="35" t="str">
        <f t="shared" si="5"/>
        <v>0</v>
      </c>
      <c r="J50" s="35">
        <f t="shared" si="6"/>
        <v>2.6000000000000014</v>
      </c>
      <c r="K50" s="35" t="str">
        <f t="shared" si="7"/>
        <v>0</v>
      </c>
      <c r="L50" s="92"/>
      <c r="M50" s="92"/>
      <c r="N50" s="92"/>
      <c r="O50" s="92"/>
      <c r="P50" s="92"/>
      <c r="Q50" s="92"/>
      <c r="R50" s="92"/>
    </row>
    <row r="51" spans="3:18" ht="41.45" customHeight="1" x14ac:dyDescent="0.25">
      <c r="C51" s="35"/>
      <c r="D51" s="35"/>
      <c r="E51" s="35" t="str">
        <f t="shared" si="1"/>
        <v>0</v>
      </c>
      <c r="F51" s="35">
        <f t="shared" si="2"/>
        <v>2.5999999999999943</v>
      </c>
      <c r="G51" s="35" t="str">
        <f t="shared" si="3"/>
        <v>0</v>
      </c>
      <c r="H51" s="35" t="str">
        <f t="shared" si="4"/>
        <v>0</v>
      </c>
      <c r="I51" s="35" t="str">
        <f t="shared" si="5"/>
        <v>0</v>
      </c>
      <c r="J51" s="35">
        <f t="shared" si="6"/>
        <v>2.5999999999999943</v>
      </c>
      <c r="K51" s="35" t="str">
        <f t="shared" si="7"/>
        <v>0</v>
      </c>
      <c r="L51" s="92"/>
      <c r="M51" s="92"/>
      <c r="N51" s="92"/>
      <c r="O51" s="92"/>
      <c r="P51" s="92"/>
      <c r="Q51" s="92"/>
      <c r="R51" s="92"/>
    </row>
    <row r="52" spans="3:18" ht="41.45" customHeight="1" x14ac:dyDescent="0.25">
      <c r="C52" s="35"/>
      <c r="D52" s="35"/>
      <c r="E52" s="35" t="str">
        <f t="shared" si="1"/>
        <v>0</v>
      </c>
      <c r="F52" s="35">
        <f t="shared" si="2"/>
        <v>3</v>
      </c>
      <c r="G52" s="35" t="str">
        <f t="shared" si="3"/>
        <v>0</v>
      </c>
      <c r="H52" s="35" t="str">
        <f t="shared" si="4"/>
        <v>0</v>
      </c>
      <c r="I52" s="35" t="str">
        <f t="shared" si="5"/>
        <v>0</v>
      </c>
      <c r="J52" s="35">
        <f t="shared" si="6"/>
        <v>3</v>
      </c>
      <c r="K52" s="35" t="str">
        <f t="shared" si="7"/>
        <v>0</v>
      </c>
      <c r="L52" s="92"/>
      <c r="M52" s="92"/>
      <c r="N52" s="92"/>
      <c r="O52" s="92"/>
      <c r="P52" s="92"/>
      <c r="Q52" s="92"/>
      <c r="R52" s="92"/>
    </row>
    <row r="53" spans="3:18" ht="41.45" customHeight="1" x14ac:dyDescent="0.25">
      <c r="C53" s="35"/>
      <c r="D53" s="35"/>
      <c r="E53" s="35" t="str">
        <f t="shared" si="1"/>
        <v>0</v>
      </c>
      <c r="F53" s="35">
        <f t="shared" si="2"/>
        <v>0.66000000000000369</v>
      </c>
      <c r="G53" s="35" t="str">
        <f t="shared" si="3"/>
        <v>0</v>
      </c>
      <c r="H53" s="35" t="str">
        <f t="shared" si="4"/>
        <v>0</v>
      </c>
      <c r="I53" s="35" t="str">
        <f t="shared" si="5"/>
        <v>0</v>
      </c>
      <c r="J53" s="35">
        <f t="shared" si="6"/>
        <v>0.66000000000000369</v>
      </c>
      <c r="K53" s="35" t="str">
        <f t="shared" si="7"/>
        <v>0</v>
      </c>
      <c r="L53" s="92"/>
      <c r="M53" s="92"/>
      <c r="N53" s="92"/>
      <c r="O53" s="92"/>
      <c r="P53" s="92"/>
      <c r="Q53" s="92"/>
      <c r="R53" s="92"/>
    </row>
    <row r="54" spans="3:18" ht="41.45" customHeight="1" x14ac:dyDescent="0.25">
      <c r="C54" s="35"/>
      <c r="D54" s="35"/>
      <c r="E54" s="35" t="str">
        <f t="shared" si="1"/>
        <v>0</v>
      </c>
      <c r="F54" s="35" t="str">
        <f t="shared" si="2"/>
        <v>0</v>
      </c>
      <c r="G54" s="35" t="str">
        <f t="shared" si="3"/>
        <v>0</v>
      </c>
      <c r="H54" s="35" t="str">
        <f t="shared" si="4"/>
        <v>0</v>
      </c>
      <c r="I54" s="35" t="str">
        <f t="shared" si="5"/>
        <v>0</v>
      </c>
      <c r="J54" s="35" t="str">
        <f t="shared" si="6"/>
        <v>0</v>
      </c>
      <c r="K54" s="35" t="str">
        <f t="shared" si="7"/>
        <v>0</v>
      </c>
      <c r="L54" s="92"/>
      <c r="M54" s="92"/>
      <c r="N54" s="92"/>
      <c r="O54" s="92"/>
      <c r="P54" s="92"/>
      <c r="Q54" s="92"/>
      <c r="R54" s="92"/>
    </row>
    <row r="55" spans="3:18" ht="41.45" customHeight="1" x14ac:dyDescent="0.25">
      <c r="C55" s="35"/>
      <c r="D55" s="35"/>
      <c r="E55" s="35" t="str">
        <f t="shared" si="1"/>
        <v>0</v>
      </c>
      <c r="F55" s="35" t="str">
        <f t="shared" si="2"/>
        <v>0</v>
      </c>
      <c r="G55" s="35" t="str">
        <f t="shared" si="3"/>
        <v>0</v>
      </c>
      <c r="H55" s="35" t="str">
        <f t="shared" si="4"/>
        <v>0</v>
      </c>
      <c r="I55" s="35" t="str">
        <f t="shared" si="5"/>
        <v>0</v>
      </c>
      <c r="J55" s="35" t="str">
        <f t="shared" si="6"/>
        <v>0</v>
      </c>
      <c r="K55" s="35" t="str">
        <f t="shared" si="7"/>
        <v>0</v>
      </c>
      <c r="L55" s="92"/>
      <c r="M55" s="92"/>
      <c r="N55" s="92"/>
      <c r="O55" s="92"/>
      <c r="P55" s="92"/>
      <c r="Q55" s="92"/>
      <c r="R55" s="92"/>
    </row>
    <row r="56" spans="3:18" ht="41.45" customHeight="1" x14ac:dyDescent="0.25">
      <c r="C56" s="35"/>
      <c r="D56" s="35"/>
      <c r="E56" s="35" t="str">
        <f t="shared" si="1"/>
        <v>0</v>
      </c>
      <c r="F56" s="35" t="str">
        <f t="shared" si="2"/>
        <v>0</v>
      </c>
      <c r="G56" s="35" t="str">
        <f t="shared" si="3"/>
        <v>0</v>
      </c>
      <c r="H56" s="35" t="str">
        <f t="shared" si="4"/>
        <v>0</v>
      </c>
      <c r="I56" s="35" t="str">
        <f t="shared" si="5"/>
        <v>0</v>
      </c>
      <c r="J56" s="35" t="str">
        <f t="shared" si="6"/>
        <v>0</v>
      </c>
      <c r="K56" s="35" t="str">
        <f t="shared" si="7"/>
        <v>0</v>
      </c>
      <c r="L56" s="92"/>
      <c r="M56" s="92"/>
      <c r="N56" s="92"/>
      <c r="O56" s="92"/>
      <c r="P56" s="92"/>
      <c r="Q56" s="92"/>
      <c r="R56" s="92"/>
    </row>
    <row r="57" spans="3:18" ht="41.45" customHeight="1" x14ac:dyDescent="0.25">
      <c r="C57" s="35"/>
      <c r="D57" s="35"/>
      <c r="E57" s="35" t="str">
        <f t="shared" si="1"/>
        <v>0</v>
      </c>
      <c r="F57" s="35" t="str">
        <f t="shared" si="2"/>
        <v>0</v>
      </c>
      <c r="G57" s="35" t="str">
        <f t="shared" si="3"/>
        <v>0</v>
      </c>
      <c r="H57" s="35" t="str">
        <f t="shared" si="4"/>
        <v>0</v>
      </c>
      <c r="I57" s="35" t="str">
        <f t="shared" si="5"/>
        <v>0</v>
      </c>
      <c r="J57" s="35" t="str">
        <f t="shared" si="6"/>
        <v>0</v>
      </c>
      <c r="K57" s="35" t="str">
        <f t="shared" si="7"/>
        <v>0</v>
      </c>
      <c r="L57" s="92"/>
      <c r="M57" s="92"/>
      <c r="N57" s="92"/>
      <c r="O57" s="92"/>
      <c r="P57" s="92"/>
      <c r="Q57" s="92"/>
      <c r="R57" s="92"/>
    </row>
    <row r="58" spans="3:18" ht="41.45" customHeight="1" x14ac:dyDescent="0.25">
      <c r="C58" s="35"/>
      <c r="D58" s="35"/>
      <c r="E58" s="35" t="str">
        <f t="shared" si="1"/>
        <v>0</v>
      </c>
      <c r="F58" s="35" t="str">
        <f t="shared" si="2"/>
        <v>0</v>
      </c>
      <c r="G58" s="35" t="str">
        <f t="shared" si="3"/>
        <v>0</v>
      </c>
      <c r="H58" s="35" t="str">
        <f t="shared" si="4"/>
        <v>0</v>
      </c>
      <c r="I58" s="35" t="str">
        <f t="shared" si="5"/>
        <v>0</v>
      </c>
      <c r="J58" s="35" t="str">
        <f t="shared" si="6"/>
        <v>0</v>
      </c>
      <c r="K58" s="35" t="str">
        <f t="shared" si="7"/>
        <v>0</v>
      </c>
      <c r="L58" s="92"/>
      <c r="M58" s="92"/>
      <c r="N58" s="92"/>
      <c r="O58" s="92"/>
      <c r="P58" s="92"/>
      <c r="Q58" s="92"/>
      <c r="R58" s="92"/>
    </row>
    <row r="59" spans="3:18" ht="41.45" customHeight="1" x14ac:dyDescent="0.25">
      <c r="C59" s="35"/>
      <c r="D59" s="35"/>
      <c r="E59" s="35" t="str">
        <f t="shared" si="1"/>
        <v>0</v>
      </c>
      <c r="F59" s="35" t="str">
        <f t="shared" si="2"/>
        <v>0</v>
      </c>
      <c r="G59" s="35" t="str">
        <f t="shared" si="3"/>
        <v>0</v>
      </c>
      <c r="H59" s="35" t="str">
        <f t="shared" si="4"/>
        <v>0</v>
      </c>
      <c r="I59" s="35" t="str">
        <f t="shared" si="5"/>
        <v>0</v>
      </c>
      <c r="J59" s="35" t="str">
        <f t="shared" si="6"/>
        <v>0</v>
      </c>
      <c r="K59" s="35" t="str">
        <f t="shared" si="7"/>
        <v>0</v>
      </c>
      <c r="L59" s="92"/>
      <c r="M59" s="92"/>
      <c r="N59" s="92"/>
      <c r="O59" s="92"/>
      <c r="P59" s="92"/>
      <c r="Q59" s="92"/>
      <c r="R59" s="92"/>
    </row>
    <row r="60" spans="3:18" ht="41.45" customHeight="1" x14ac:dyDescent="0.25">
      <c r="C60" s="35"/>
      <c r="D60" s="35"/>
      <c r="E60" s="35" t="str">
        <f t="shared" si="1"/>
        <v>0</v>
      </c>
      <c r="F60" s="35" t="str">
        <f t="shared" si="2"/>
        <v>0</v>
      </c>
      <c r="G60" s="35" t="str">
        <f t="shared" si="3"/>
        <v>0</v>
      </c>
      <c r="H60" s="35" t="str">
        <f t="shared" si="4"/>
        <v>0</v>
      </c>
      <c r="I60" s="35" t="str">
        <f t="shared" si="5"/>
        <v>0</v>
      </c>
      <c r="J60" s="35" t="str">
        <f t="shared" si="6"/>
        <v>0</v>
      </c>
      <c r="K60" s="35" t="str">
        <f t="shared" si="7"/>
        <v>0</v>
      </c>
      <c r="L60" s="92"/>
      <c r="M60" s="92"/>
      <c r="N60" s="92"/>
      <c r="O60" s="92"/>
      <c r="P60" s="92"/>
      <c r="Q60" s="92"/>
      <c r="R60" s="92"/>
    </row>
    <row r="61" spans="3:18" ht="41.45" customHeight="1" x14ac:dyDescent="0.25">
      <c r="C61" s="35"/>
      <c r="D61" s="35"/>
      <c r="E61" s="35" t="str">
        <f t="shared" si="1"/>
        <v>0</v>
      </c>
      <c r="F61" s="35" t="str">
        <f t="shared" si="2"/>
        <v>0</v>
      </c>
      <c r="G61" s="35" t="str">
        <f t="shared" si="3"/>
        <v>0</v>
      </c>
      <c r="H61" s="35" t="str">
        <f t="shared" si="4"/>
        <v>0</v>
      </c>
      <c r="I61" s="35" t="str">
        <f t="shared" si="5"/>
        <v>0</v>
      </c>
      <c r="J61" s="35" t="str">
        <f t="shared" si="6"/>
        <v>0</v>
      </c>
      <c r="K61" s="35" t="str">
        <f t="shared" si="7"/>
        <v>0</v>
      </c>
      <c r="L61" s="92"/>
      <c r="M61" s="92"/>
      <c r="N61" s="92"/>
      <c r="O61" s="92"/>
      <c r="P61" s="92"/>
      <c r="Q61" s="92"/>
      <c r="R61" s="92"/>
    </row>
    <row r="62" spans="3:18" ht="41.45" customHeight="1" x14ac:dyDescent="0.25">
      <c r="C62" s="35"/>
      <c r="D62" s="35"/>
      <c r="E62" s="35" t="str">
        <f t="shared" si="1"/>
        <v>0</v>
      </c>
      <c r="F62" s="35" t="str">
        <f t="shared" si="2"/>
        <v>0</v>
      </c>
      <c r="G62" s="35" t="str">
        <f t="shared" si="3"/>
        <v>0</v>
      </c>
      <c r="H62" s="35" t="str">
        <f t="shared" si="4"/>
        <v>0</v>
      </c>
      <c r="I62" s="35" t="str">
        <f t="shared" si="5"/>
        <v>0</v>
      </c>
      <c r="J62" s="35" t="str">
        <f t="shared" si="6"/>
        <v>0</v>
      </c>
      <c r="K62" s="35" t="str">
        <f t="shared" si="7"/>
        <v>0</v>
      </c>
      <c r="L62" s="92"/>
      <c r="M62" s="92"/>
      <c r="N62" s="92"/>
      <c r="O62" s="92"/>
      <c r="P62" s="92"/>
      <c r="Q62" s="92"/>
      <c r="R62" s="92"/>
    </row>
    <row r="63" spans="3:18" ht="41.45" customHeight="1" x14ac:dyDescent="0.25">
      <c r="C63" s="35"/>
      <c r="D63" s="35"/>
      <c r="E63" s="35">
        <f>SUM(E37:E62)</f>
        <v>23.4</v>
      </c>
      <c r="F63" s="35">
        <f t="shared" ref="F63:K63" si="8">SUM(F37:F62)</f>
        <v>19.060000000000002</v>
      </c>
      <c r="G63" s="35">
        <f t="shared" si="8"/>
        <v>0</v>
      </c>
      <c r="H63" s="35">
        <f t="shared" si="8"/>
        <v>0</v>
      </c>
      <c r="I63" s="35">
        <f t="shared" si="8"/>
        <v>0</v>
      </c>
      <c r="J63" s="35">
        <f t="shared" si="8"/>
        <v>42.46</v>
      </c>
      <c r="K63" s="35">
        <f t="shared" si="8"/>
        <v>0</v>
      </c>
      <c r="L63" s="92"/>
      <c r="M63" s="92"/>
      <c r="N63" s="92"/>
      <c r="O63" s="92"/>
      <c r="P63" s="92"/>
      <c r="Q63" s="92"/>
      <c r="R63" s="92"/>
    </row>
    <row r="64" spans="3:18" ht="41.45" customHeight="1" x14ac:dyDescent="0.25">
      <c r="C64" s="35"/>
      <c r="D64" s="35"/>
      <c r="E64" s="35"/>
      <c r="F64" s="31"/>
      <c r="G64" s="31"/>
      <c r="H64" s="31"/>
      <c r="I64" s="31"/>
      <c r="J64" s="31"/>
      <c r="K64" s="31"/>
      <c r="L64" s="92"/>
      <c r="M64" s="92"/>
      <c r="N64" s="92"/>
      <c r="O64" s="92"/>
      <c r="P64" s="92"/>
      <c r="Q64" s="92"/>
      <c r="R64" s="92"/>
    </row>
    <row r="65" spans="3:18" ht="41.45" customHeight="1" x14ac:dyDescent="0.25">
      <c r="C65" s="35"/>
      <c r="D65" s="35"/>
      <c r="E65" s="35"/>
      <c r="F65" s="31"/>
      <c r="G65" s="31"/>
      <c r="H65" s="31"/>
      <c r="I65" s="31"/>
      <c r="J65" s="31"/>
      <c r="K65" s="31"/>
      <c r="L65" s="92"/>
      <c r="M65" s="92"/>
      <c r="N65" s="92"/>
      <c r="O65" s="92"/>
      <c r="P65" s="92"/>
      <c r="Q65" s="92"/>
      <c r="R65" s="92"/>
    </row>
    <row r="66" spans="3:18" ht="41.45" customHeight="1" x14ac:dyDescent="0.25">
      <c r="C66" s="35"/>
      <c r="D66" s="35"/>
      <c r="E66" s="35"/>
      <c r="F66" s="31"/>
      <c r="G66" s="31"/>
      <c r="H66" s="31"/>
      <c r="I66" s="31"/>
      <c r="J66" s="31"/>
      <c r="K66" s="31"/>
      <c r="L66" s="92"/>
      <c r="M66" s="92"/>
      <c r="N66" s="92"/>
      <c r="O66" s="92"/>
      <c r="P66" s="92"/>
      <c r="Q66" s="92"/>
      <c r="R66" s="92"/>
    </row>
    <row r="67" spans="3:18" ht="41.45" customHeight="1" x14ac:dyDescent="0.25">
      <c r="C67" s="35"/>
      <c r="D67" s="35"/>
      <c r="E67" s="35"/>
      <c r="F67" s="31"/>
      <c r="G67" s="31"/>
      <c r="H67" s="31"/>
      <c r="I67" s="31"/>
      <c r="J67" s="31"/>
      <c r="K67" s="31"/>
      <c r="L67" s="92"/>
      <c r="M67" s="92"/>
      <c r="N67" s="92"/>
      <c r="O67" s="92"/>
      <c r="P67" s="92"/>
      <c r="Q67" s="92"/>
      <c r="R67" s="92"/>
    </row>
    <row r="68" spans="3:18" ht="41.45" customHeight="1" x14ac:dyDescent="0.25">
      <c r="C68" s="35"/>
      <c r="D68" s="35"/>
      <c r="E68" s="35"/>
      <c r="F68" s="31"/>
      <c r="G68" s="31"/>
      <c r="H68" s="31"/>
      <c r="I68" s="31"/>
      <c r="J68" s="31"/>
      <c r="K68" s="31"/>
      <c r="L68" s="92"/>
      <c r="M68" s="92"/>
      <c r="N68" s="92"/>
      <c r="O68" s="92"/>
      <c r="P68" s="92"/>
      <c r="Q68" s="92"/>
      <c r="R68" s="92"/>
    </row>
    <row r="69" spans="3:18" ht="41.45" customHeight="1" x14ac:dyDescent="0.25">
      <c r="C69" s="35"/>
      <c r="D69" s="35"/>
      <c r="E69" s="35"/>
      <c r="F69" s="31"/>
      <c r="G69" s="31"/>
      <c r="H69" s="31"/>
      <c r="I69" s="31"/>
      <c r="J69" s="31"/>
      <c r="K69" s="31"/>
      <c r="L69" s="92"/>
      <c r="M69" s="92"/>
      <c r="N69" s="92"/>
      <c r="O69" s="92"/>
      <c r="P69" s="92"/>
      <c r="Q69" s="92"/>
      <c r="R69" s="92"/>
    </row>
  </sheetData>
  <mergeCells count="73">
    <mergeCell ref="A5:A6"/>
    <mergeCell ref="B5:B6"/>
    <mergeCell ref="C5:C6"/>
    <mergeCell ref="D5:D6"/>
    <mergeCell ref="E5:H5"/>
    <mergeCell ref="L11:R11"/>
    <mergeCell ref="I1:I2"/>
    <mergeCell ref="J1:J2"/>
    <mergeCell ref="L1:M2"/>
    <mergeCell ref="N1:R2"/>
    <mergeCell ref="I5:K5"/>
    <mergeCell ref="L5:R6"/>
    <mergeCell ref="L7:R7"/>
    <mergeCell ref="L8:R8"/>
    <mergeCell ref="L9:R9"/>
    <mergeCell ref="L10:R10"/>
    <mergeCell ref="L23:R23"/>
    <mergeCell ref="L12:R12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35:R35"/>
    <mergeCell ref="L24:R24"/>
    <mergeCell ref="L25:R25"/>
    <mergeCell ref="L26:R26"/>
    <mergeCell ref="L27:R27"/>
    <mergeCell ref="L28:R28"/>
    <mergeCell ref="L29:R29"/>
    <mergeCell ref="L30:R30"/>
    <mergeCell ref="L31:R31"/>
    <mergeCell ref="L32:R32"/>
    <mergeCell ref="L33:R33"/>
    <mergeCell ref="L34:R34"/>
    <mergeCell ref="L48:R48"/>
    <mergeCell ref="L37:R37"/>
    <mergeCell ref="L38:R38"/>
    <mergeCell ref="L39:R39"/>
    <mergeCell ref="L40:R40"/>
    <mergeCell ref="L41:R41"/>
    <mergeCell ref="L42:R42"/>
    <mergeCell ref="L43:R43"/>
    <mergeCell ref="L44:R44"/>
    <mergeCell ref="L45:R45"/>
    <mergeCell ref="L46:R46"/>
    <mergeCell ref="L47:R47"/>
    <mergeCell ref="L60:R60"/>
    <mergeCell ref="L49:R49"/>
    <mergeCell ref="L50:R50"/>
    <mergeCell ref="L51:R51"/>
    <mergeCell ref="L52:R52"/>
    <mergeCell ref="L53:R53"/>
    <mergeCell ref="L54:R54"/>
    <mergeCell ref="L55:R55"/>
    <mergeCell ref="L56:R56"/>
    <mergeCell ref="L57:R57"/>
    <mergeCell ref="L58:R58"/>
    <mergeCell ref="L59:R59"/>
    <mergeCell ref="L67:R67"/>
    <mergeCell ref="L68:R68"/>
    <mergeCell ref="L69:R69"/>
    <mergeCell ref="L61:R61"/>
    <mergeCell ref="L62:R62"/>
    <mergeCell ref="L63:R63"/>
    <mergeCell ref="L64:R64"/>
    <mergeCell ref="L65:R65"/>
    <mergeCell ref="L66:R66"/>
  </mergeCells>
  <phoneticPr fontId="21" type="noConversion"/>
  <pageMargins left="0.51181102362204722" right="0.51181102362204722" top="0.78740157480314965" bottom="0.78740157480314965" header="0.31496062992125984" footer="0.31496062992125984"/>
  <pageSetup paperSize="9" scale="31" orientation="landscape" horizontalDpi="1200" verticalDpi="1200" r:id="rId1"/>
  <colBreaks count="1" manualBreakCount="1">
    <brk id="18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8E00D-AC51-4731-B614-7A48B3E9C662}">
  <sheetPr>
    <tabColor theme="2"/>
    <pageSetUpPr fitToPage="1"/>
  </sheetPr>
  <dimension ref="A1:R130"/>
  <sheetViews>
    <sheetView view="pageBreakPreview" zoomScale="40" zoomScaleNormal="10" zoomScaleSheetLayoutView="40" workbookViewId="0">
      <selection activeCell="A7" sqref="A7:A9"/>
    </sheetView>
  </sheetViews>
  <sheetFormatPr defaultColWidth="8.85546875" defaultRowHeight="15" x14ac:dyDescent="0.25"/>
  <cols>
    <col min="1" max="1" width="33.28515625" style="1" customWidth="1"/>
    <col min="2" max="2" width="17.140625" style="1" customWidth="1"/>
    <col min="3" max="4" width="13.42578125" style="1" customWidth="1"/>
    <col min="5" max="5" width="26.5703125" style="2" customWidth="1"/>
    <col min="6" max="6" width="30.140625" style="2" customWidth="1"/>
    <col min="7" max="7" width="26.5703125" style="2" customWidth="1"/>
    <col min="8" max="8" width="33.140625" style="2" customWidth="1"/>
    <col min="9" max="11" width="32" style="2" customWidth="1"/>
    <col min="12" max="14" width="14.42578125" style="1" customWidth="1"/>
    <col min="15" max="17" width="14.7109375" style="1" customWidth="1"/>
    <col min="18" max="18" width="37.42578125" style="1" customWidth="1"/>
    <col min="19" max="16384" width="8.85546875" style="1"/>
  </cols>
  <sheetData>
    <row r="1" spans="1:18" ht="19.5" x14ac:dyDescent="0.3">
      <c r="A1" s="9" t="s">
        <v>0</v>
      </c>
      <c r="B1" s="10"/>
      <c r="C1" s="10"/>
      <c r="D1" s="10"/>
      <c r="E1" s="11"/>
      <c r="F1" s="12"/>
      <c r="G1" s="11"/>
      <c r="H1" s="11"/>
      <c r="I1" s="98" t="s">
        <v>3</v>
      </c>
      <c r="J1" s="120">
        <f>'245'!J1</f>
        <v>46204</v>
      </c>
      <c r="K1" s="11"/>
      <c r="L1" s="102" t="s">
        <v>4</v>
      </c>
      <c r="M1" s="102"/>
      <c r="N1" s="104" t="str">
        <f>'245'!N1</f>
        <v>ENG. THIAGO TORQUATO</v>
      </c>
      <c r="O1" s="104"/>
      <c r="P1" s="104"/>
      <c r="Q1" s="104"/>
      <c r="R1" s="105"/>
    </row>
    <row r="2" spans="1:18" ht="20.25" thickBot="1" x14ac:dyDescent="0.35">
      <c r="A2" s="13"/>
      <c r="B2" s="14"/>
      <c r="C2" s="14"/>
      <c r="D2" s="14"/>
      <c r="E2" s="15"/>
      <c r="F2" s="16" t="s">
        <v>9</v>
      </c>
      <c r="G2" s="15"/>
      <c r="H2" s="15"/>
      <c r="I2" s="99"/>
      <c r="J2" s="121"/>
      <c r="K2" s="16"/>
      <c r="L2" s="103"/>
      <c r="M2" s="103"/>
      <c r="N2" s="106"/>
      <c r="O2" s="106"/>
      <c r="P2" s="106"/>
      <c r="Q2" s="106"/>
      <c r="R2" s="107"/>
    </row>
    <row r="3" spans="1:18" ht="25.5" x14ac:dyDescent="0.35">
      <c r="A3" s="13" t="s">
        <v>21</v>
      </c>
      <c r="B3" s="45" t="str">
        <f>TT!C10</f>
        <v>RODOVIA TO-387 - TRECHO ENTR. TO-040 - TAIPAS DO TOCANTINS</v>
      </c>
      <c r="C3" s="14"/>
      <c r="D3" s="14"/>
      <c r="E3" s="15"/>
      <c r="F3" s="15"/>
      <c r="G3" s="15"/>
      <c r="H3" s="15"/>
      <c r="I3" s="47" t="s">
        <v>107</v>
      </c>
      <c r="J3" s="47">
        <v>13</v>
      </c>
      <c r="K3" s="15"/>
      <c r="L3" s="14"/>
      <c r="M3" s="14"/>
      <c r="N3" s="14"/>
      <c r="O3" s="14"/>
      <c r="P3" s="14"/>
      <c r="Q3" s="14"/>
      <c r="R3" s="17"/>
    </row>
    <row r="4" spans="1:18" ht="19.899999999999999" thickBot="1" x14ac:dyDescent="0.4">
      <c r="A4" s="18"/>
      <c r="B4" s="14"/>
      <c r="C4" s="14"/>
      <c r="D4" s="14"/>
      <c r="E4" s="15"/>
      <c r="F4" s="15"/>
      <c r="G4" s="15"/>
      <c r="H4" s="15"/>
      <c r="I4" s="15"/>
      <c r="J4" s="15"/>
      <c r="K4" s="15"/>
      <c r="L4" s="14"/>
      <c r="M4" s="14"/>
      <c r="N4" s="14"/>
      <c r="O4" s="14"/>
      <c r="P4" s="14"/>
      <c r="Q4" s="14"/>
      <c r="R4" s="17"/>
    </row>
    <row r="5" spans="1:18" s="5" customFormat="1" ht="54" customHeight="1" x14ac:dyDescent="0.25">
      <c r="A5" s="112" t="s">
        <v>1</v>
      </c>
      <c r="B5" s="108" t="s">
        <v>7</v>
      </c>
      <c r="C5" s="114" t="s">
        <v>5</v>
      </c>
      <c r="D5" s="114" t="s">
        <v>6</v>
      </c>
      <c r="E5" s="108" t="s">
        <v>10</v>
      </c>
      <c r="F5" s="108"/>
      <c r="G5" s="108"/>
      <c r="H5" s="108"/>
      <c r="I5" s="108" t="s">
        <v>11</v>
      </c>
      <c r="J5" s="108"/>
      <c r="K5" s="108"/>
      <c r="L5" s="108" t="s">
        <v>8</v>
      </c>
      <c r="M5" s="108"/>
      <c r="N5" s="108"/>
      <c r="O5" s="108"/>
      <c r="P5" s="108"/>
      <c r="Q5" s="108"/>
      <c r="R5" s="109"/>
    </row>
    <row r="6" spans="1:18" s="6" customFormat="1" ht="79.150000000000006" customHeight="1" x14ac:dyDescent="0.25">
      <c r="A6" s="113"/>
      <c r="B6" s="110"/>
      <c r="C6" s="110"/>
      <c r="D6" s="110"/>
      <c r="E6" s="7" t="s">
        <v>2</v>
      </c>
      <c r="F6" s="8" t="s">
        <v>15</v>
      </c>
      <c r="G6" s="8" t="s">
        <v>16</v>
      </c>
      <c r="H6" s="8" t="s">
        <v>17</v>
      </c>
      <c r="I6" s="7" t="s">
        <v>12</v>
      </c>
      <c r="J6" s="7" t="s">
        <v>13</v>
      </c>
      <c r="K6" s="7" t="s">
        <v>14</v>
      </c>
      <c r="L6" s="110"/>
      <c r="M6" s="110"/>
      <c r="N6" s="110"/>
      <c r="O6" s="110"/>
      <c r="P6" s="110"/>
      <c r="Q6" s="110"/>
      <c r="R6" s="111"/>
    </row>
    <row r="7" spans="1:18" ht="41.45" customHeight="1" x14ac:dyDescent="0.25">
      <c r="A7" s="32" t="s">
        <v>72</v>
      </c>
      <c r="B7" s="21" t="s">
        <v>121</v>
      </c>
      <c r="C7" s="22">
        <v>0</v>
      </c>
      <c r="D7" s="22">
        <v>24.3</v>
      </c>
      <c r="E7" s="21" t="s">
        <v>109</v>
      </c>
      <c r="F7" s="21"/>
      <c r="G7" s="21"/>
      <c r="H7" s="21"/>
      <c r="I7" s="21" t="s">
        <v>109</v>
      </c>
      <c r="J7" s="21"/>
      <c r="K7" s="21"/>
      <c r="L7" s="128"/>
      <c r="M7" s="128"/>
      <c r="N7" s="128"/>
      <c r="O7" s="128"/>
      <c r="P7" s="128"/>
      <c r="Q7" s="128"/>
      <c r="R7" s="129"/>
    </row>
    <row r="8" spans="1:18" ht="41.45" customHeight="1" x14ac:dyDescent="0.25">
      <c r="A8" s="32" t="s">
        <v>72</v>
      </c>
      <c r="B8" s="21"/>
      <c r="C8" s="22">
        <f>D7</f>
        <v>24.3</v>
      </c>
      <c r="D8" s="22">
        <v>63.3</v>
      </c>
      <c r="E8" s="21" t="s">
        <v>109</v>
      </c>
      <c r="F8" s="21"/>
      <c r="G8" s="21"/>
      <c r="H8" s="21"/>
      <c r="I8" s="21" t="s">
        <v>109</v>
      </c>
      <c r="J8" s="21"/>
      <c r="K8" s="21"/>
      <c r="L8" s="118"/>
      <c r="M8" s="118"/>
      <c r="N8" s="118"/>
      <c r="O8" s="118"/>
      <c r="P8" s="118"/>
      <c r="Q8" s="118"/>
      <c r="R8" s="119"/>
    </row>
    <row r="9" spans="1:18" ht="41.45" customHeight="1" x14ac:dyDescent="0.25">
      <c r="A9" s="32" t="s">
        <v>72</v>
      </c>
      <c r="B9" s="21"/>
      <c r="C9" s="22">
        <f>D8</f>
        <v>63.3</v>
      </c>
      <c r="D9" s="22">
        <v>67.819999999999993</v>
      </c>
      <c r="E9" s="21" t="s">
        <v>109</v>
      </c>
      <c r="F9" s="21"/>
      <c r="G9" s="21"/>
      <c r="H9" s="21"/>
      <c r="I9" s="21" t="s">
        <v>109</v>
      </c>
      <c r="J9" s="21"/>
      <c r="K9" s="21"/>
      <c r="L9" s="118"/>
      <c r="M9" s="118"/>
      <c r="N9" s="118"/>
      <c r="O9" s="118"/>
      <c r="P9" s="118"/>
      <c r="Q9" s="118"/>
      <c r="R9" s="119"/>
    </row>
    <row r="10" spans="1:18" ht="41.45" customHeight="1" x14ac:dyDescent="0.25">
      <c r="A10" s="32"/>
      <c r="B10" s="21"/>
      <c r="C10" s="22"/>
      <c r="D10" s="22"/>
      <c r="E10" s="21"/>
      <c r="F10" s="21"/>
      <c r="G10" s="21"/>
      <c r="H10" s="21"/>
      <c r="I10" s="21"/>
      <c r="J10" s="21"/>
      <c r="K10" s="21"/>
      <c r="L10" s="118"/>
      <c r="M10" s="118"/>
      <c r="N10" s="118"/>
      <c r="O10" s="118"/>
      <c r="P10" s="118"/>
      <c r="Q10" s="118"/>
      <c r="R10" s="119"/>
    </row>
    <row r="11" spans="1:18" ht="41.45" customHeight="1" x14ac:dyDescent="0.25">
      <c r="A11" s="32"/>
      <c r="B11" s="21"/>
      <c r="C11" s="22"/>
      <c r="D11" s="22"/>
      <c r="E11" s="21"/>
      <c r="F11" s="21"/>
      <c r="G11" s="21"/>
      <c r="H11" s="21"/>
      <c r="I11" s="21"/>
      <c r="J11" s="21"/>
      <c r="K11" s="21"/>
      <c r="L11" s="118"/>
      <c r="M11" s="118"/>
      <c r="N11" s="118"/>
      <c r="O11" s="118"/>
      <c r="P11" s="118"/>
      <c r="Q11" s="118"/>
      <c r="R11" s="119"/>
    </row>
    <row r="12" spans="1:18" ht="41.45" customHeight="1" x14ac:dyDescent="0.25">
      <c r="A12" s="32"/>
      <c r="B12" s="21"/>
      <c r="C12" s="22"/>
      <c r="D12" s="22"/>
      <c r="E12" s="21"/>
      <c r="F12" s="21"/>
      <c r="G12" s="21"/>
      <c r="H12" s="21"/>
      <c r="I12" s="21"/>
      <c r="J12" s="21"/>
      <c r="K12" s="21"/>
      <c r="L12" s="118"/>
      <c r="M12" s="118"/>
      <c r="N12" s="118"/>
      <c r="O12" s="118"/>
      <c r="P12" s="118"/>
      <c r="Q12" s="118"/>
      <c r="R12" s="119"/>
    </row>
    <row r="13" spans="1:18" ht="41.45" customHeight="1" x14ac:dyDescent="0.25">
      <c r="A13" s="32"/>
      <c r="B13" s="21"/>
      <c r="C13" s="22"/>
      <c r="D13" s="22"/>
      <c r="E13" s="21"/>
      <c r="F13" s="21"/>
      <c r="G13" s="21"/>
      <c r="H13" s="21"/>
      <c r="I13" s="21"/>
      <c r="J13" s="21"/>
      <c r="K13" s="21"/>
      <c r="L13" s="118"/>
      <c r="M13" s="118"/>
      <c r="N13" s="118"/>
      <c r="O13" s="118"/>
      <c r="P13" s="118"/>
      <c r="Q13" s="118"/>
      <c r="R13" s="119"/>
    </row>
    <row r="14" spans="1:18" ht="41.45" customHeight="1" x14ac:dyDescent="0.25">
      <c r="A14" s="32"/>
      <c r="B14" s="21"/>
      <c r="C14" s="22"/>
      <c r="D14" s="22"/>
      <c r="E14" s="21"/>
      <c r="F14" s="21"/>
      <c r="G14" s="21"/>
      <c r="H14" s="21"/>
      <c r="I14" s="21"/>
      <c r="J14" s="21"/>
      <c r="K14" s="21"/>
      <c r="L14" s="118"/>
      <c r="M14" s="118"/>
      <c r="N14" s="118"/>
      <c r="O14" s="118"/>
      <c r="P14" s="118"/>
      <c r="Q14" s="118"/>
      <c r="R14" s="119"/>
    </row>
    <row r="15" spans="1:18" ht="41.45" customHeight="1" x14ac:dyDescent="0.25">
      <c r="A15" s="32"/>
      <c r="B15" s="21"/>
      <c r="C15" s="22"/>
      <c r="D15" s="22"/>
      <c r="E15" s="21"/>
      <c r="F15" s="21"/>
      <c r="G15" s="21"/>
      <c r="H15" s="21"/>
      <c r="I15" s="21"/>
      <c r="J15" s="21"/>
      <c r="K15" s="21"/>
      <c r="L15" s="118"/>
      <c r="M15" s="118"/>
      <c r="N15" s="118"/>
      <c r="O15" s="118"/>
      <c r="P15" s="118"/>
      <c r="Q15" s="118"/>
      <c r="R15" s="119"/>
    </row>
    <row r="16" spans="1:18" ht="41.45" customHeight="1" x14ac:dyDescent="0.25">
      <c r="A16" s="32"/>
      <c r="B16" s="21"/>
      <c r="C16" s="22"/>
      <c r="D16" s="22"/>
      <c r="E16" s="21"/>
      <c r="F16" s="21"/>
      <c r="G16" s="21"/>
      <c r="H16" s="21"/>
      <c r="I16" s="21"/>
      <c r="J16" s="21"/>
      <c r="K16" s="21"/>
      <c r="L16" s="118"/>
      <c r="M16" s="118"/>
      <c r="N16" s="118"/>
      <c r="O16" s="118"/>
      <c r="P16" s="118"/>
      <c r="Q16" s="118"/>
      <c r="R16" s="119"/>
    </row>
    <row r="17" spans="1:18" ht="41.45" customHeight="1" x14ac:dyDescent="0.25">
      <c r="A17" s="32"/>
      <c r="B17" s="21"/>
      <c r="C17" s="22"/>
      <c r="D17" s="22"/>
      <c r="E17" s="21"/>
      <c r="F17" s="21"/>
      <c r="G17" s="21"/>
      <c r="H17" s="21"/>
      <c r="I17" s="21"/>
      <c r="J17" s="21"/>
      <c r="K17" s="21"/>
      <c r="L17" s="118"/>
      <c r="M17" s="118"/>
      <c r="N17" s="118"/>
      <c r="O17" s="118"/>
      <c r="P17" s="118"/>
      <c r="Q17" s="118"/>
      <c r="R17" s="119"/>
    </row>
    <row r="18" spans="1:18" ht="41.45" customHeight="1" x14ac:dyDescent="0.25">
      <c r="A18" s="19"/>
      <c r="B18" s="3"/>
      <c r="C18" s="22"/>
      <c r="D18" s="22"/>
      <c r="E18" s="21"/>
      <c r="F18" s="21"/>
      <c r="G18" s="21"/>
      <c r="H18" s="21"/>
      <c r="I18" s="21"/>
      <c r="J18" s="21"/>
      <c r="K18" s="21"/>
      <c r="L18" s="118"/>
      <c r="M18" s="118"/>
      <c r="N18" s="118"/>
      <c r="O18" s="118"/>
      <c r="P18" s="118"/>
      <c r="Q18" s="118"/>
      <c r="R18" s="119"/>
    </row>
    <row r="19" spans="1:18" ht="41.45" customHeight="1" x14ac:dyDescent="0.25">
      <c r="A19" s="19"/>
      <c r="B19" s="3"/>
      <c r="C19" s="22"/>
      <c r="D19" s="22"/>
      <c r="E19" s="21"/>
      <c r="F19" s="21"/>
      <c r="G19" s="21"/>
      <c r="H19" s="21"/>
      <c r="I19" s="21"/>
      <c r="J19" s="21"/>
      <c r="K19" s="21"/>
      <c r="L19" s="118"/>
      <c r="M19" s="118"/>
      <c r="N19" s="118"/>
      <c r="O19" s="118"/>
      <c r="P19" s="118"/>
      <c r="Q19" s="118"/>
      <c r="R19" s="119"/>
    </row>
    <row r="20" spans="1:18" ht="41.45" customHeight="1" x14ac:dyDescent="0.25">
      <c r="A20" s="19"/>
      <c r="B20" s="3"/>
      <c r="C20" s="22"/>
      <c r="D20" s="22"/>
      <c r="E20" s="21"/>
      <c r="F20" s="21"/>
      <c r="G20" s="21"/>
      <c r="H20" s="21"/>
      <c r="I20" s="21"/>
      <c r="J20" s="21"/>
      <c r="K20" s="21"/>
      <c r="L20" s="118"/>
      <c r="M20" s="118"/>
      <c r="N20" s="118"/>
      <c r="O20" s="118"/>
      <c r="P20" s="118"/>
      <c r="Q20" s="118"/>
      <c r="R20" s="119"/>
    </row>
    <row r="21" spans="1:18" ht="41.45" customHeight="1" x14ac:dyDescent="0.25">
      <c r="A21" s="19"/>
      <c r="B21" s="3"/>
      <c r="C21" s="22"/>
      <c r="D21" s="22"/>
      <c r="E21" s="21"/>
      <c r="F21" s="21"/>
      <c r="G21" s="21"/>
      <c r="H21" s="21"/>
      <c r="I21" s="21"/>
      <c r="J21" s="21"/>
      <c r="K21" s="21"/>
      <c r="L21" s="118"/>
      <c r="M21" s="118"/>
      <c r="N21" s="118"/>
      <c r="O21" s="118"/>
      <c r="P21" s="118"/>
      <c r="Q21" s="118"/>
      <c r="R21" s="119"/>
    </row>
    <row r="22" spans="1:18" ht="41.45" customHeight="1" x14ac:dyDescent="0.25">
      <c r="A22" s="19"/>
      <c r="B22" s="3"/>
      <c r="C22" s="22"/>
      <c r="D22" s="22"/>
      <c r="E22" s="21"/>
      <c r="F22" s="21"/>
      <c r="G22" s="21"/>
      <c r="H22" s="21"/>
      <c r="I22" s="21"/>
      <c r="J22" s="21"/>
      <c r="K22" s="21"/>
      <c r="L22" s="118"/>
      <c r="M22" s="118"/>
      <c r="N22" s="118"/>
      <c r="O22" s="118"/>
      <c r="P22" s="118"/>
      <c r="Q22" s="118"/>
      <c r="R22" s="119"/>
    </row>
    <row r="23" spans="1:18" ht="41.45" customHeight="1" x14ac:dyDescent="0.25">
      <c r="A23" s="19"/>
      <c r="B23" s="3"/>
      <c r="C23" s="22"/>
      <c r="D23" s="22"/>
      <c r="E23" s="21"/>
      <c r="F23" s="21"/>
      <c r="G23" s="21"/>
      <c r="H23" s="21"/>
      <c r="I23" s="21"/>
      <c r="J23" s="21"/>
      <c r="K23" s="21"/>
      <c r="L23" s="118"/>
      <c r="M23" s="118"/>
      <c r="N23" s="118"/>
      <c r="O23" s="118"/>
      <c r="P23" s="118"/>
      <c r="Q23" s="118"/>
      <c r="R23" s="119"/>
    </row>
    <row r="24" spans="1:18" ht="41.45" customHeight="1" x14ac:dyDescent="0.25">
      <c r="A24" s="19"/>
      <c r="B24" s="3"/>
      <c r="C24" s="22"/>
      <c r="D24" s="22"/>
      <c r="E24" s="21"/>
      <c r="F24" s="21"/>
      <c r="G24" s="21"/>
      <c r="H24" s="21"/>
      <c r="I24" s="21"/>
      <c r="J24" s="21"/>
      <c r="K24" s="21"/>
      <c r="L24" s="118"/>
      <c r="M24" s="118"/>
      <c r="N24" s="118"/>
      <c r="O24" s="118"/>
      <c r="P24" s="118"/>
      <c r="Q24" s="118"/>
      <c r="R24" s="119"/>
    </row>
    <row r="25" spans="1:18" ht="41.45" customHeight="1" x14ac:dyDescent="0.25">
      <c r="A25" s="19"/>
      <c r="B25" s="3"/>
      <c r="C25" s="22"/>
      <c r="D25" s="22"/>
      <c r="E25" s="21"/>
      <c r="F25" s="21"/>
      <c r="G25" s="21"/>
      <c r="H25" s="21"/>
      <c r="I25" s="21"/>
      <c r="J25" s="21"/>
      <c r="K25" s="21"/>
      <c r="L25" s="118"/>
      <c r="M25" s="118"/>
      <c r="N25" s="118"/>
      <c r="O25" s="118"/>
      <c r="P25" s="118"/>
      <c r="Q25" s="118"/>
      <c r="R25" s="119"/>
    </row>
    <row r="26" spans="1:18" ht="41.45" customHeight="1" x14ac:dyDescent="0.25">
      <c r="A26" s="19"/>
      <c r="B26" s="3"/>
      <c r="C26" s="22"/>
      <c r="D26" s="22"/>
      <c r="E26" s="21"/>
      <c r="F26" s="21"/>
      <c r="G26" s="21"/>
      <c r="H26" s="21"/>
      <c r="I26" s="21"/>
      <c r="J26" s="21"/>
      <c r="K26" s="21"/>
      <c r="L26" s="118"/>
      <c r="M26" s="118"/>
      <c r="N26" s="118"/>
      <c r="O26" s="118"/>
      <c r="P26" s="118"/>
      <c r="Q26" s="118"/>
      <c r="R26" s="119"/>
    </row>
    <row r="27" spans="1:18" ht="41.45" customHeight="1" x14ac:dyDescent="0.25">
      <c r="A27" s="19"/>
      <c r="B27" s="3"/>
      <c r="C27" s="22"/>
      <c r="D27" s="22"/>
      <c r="E27" s="21"/>
      <c r="F27" s="21"/>
      <c r="G27" s="21"/>
      <c r="H27" s="21"/>
      <c r="I27" s="21"/>
      <c r="J27" s="21"/>
      <c r="K27" s="21"/>
      <c r="L27" s="118"/>
      <c r="M27" s="118"/>
      <c r="N27" s="118"/>
      <c r="O27" s="118"/>
      <c r="P27" s="118"/>
      <c r="Q27" s="118"/>
      <c r="R27" s="119"/>
    </row>
    <row r="28" spans="1:18" ht="41.45" customHeight="1" x14ac:dyDescent="0.25">
      <c r="A28" s="19"/>
      <c r="B28" s="3"/>
      <c r="C28" s="22"/>
      <c r="D28" s="22"/>
      <c r="E28" s="21"/>
      <c r="F28" s="21"/>
      <c r="G28" s="21"/>
      <c r="H28" s="21"/>
      <c r="I28" s="21"/>
      <c r="J28" s="21"/>
      <c r="K28" s="21"/>
      <c r="L28" s="118"/>
      <c r="M28" s="118"/>
      <c r="N28" s="118"/>
      <c r="O28" s="118"/>
      <c r="P28" s="118"/>
      <c r="Q28" s="118"/>
      <c r="R28" s="119"/>
    </row>
    <row r="29" spans="1:18" ht="41.45" customHeight="1" x14ac:dyDescent="0.25">
      <c r="A29" s="19"/>
      <c r="B29" s="3"/>
      <c r="C29" s="22"/>
      <c r="D29" s="22"/>
      <c r="E29" s="21"/>
      <c r="F29" s="21"/>
      <c r="G29" s="21"/>
      <c r="H29" s="21"/>
      <c r="I29" s="21"/>
      <c r="J29" s="21"/>
      <c r="K29" s="21"/>
      <c r="L29" s="118"/>
      <c r="M29" s="118"/>
      <c r="N29" s="118"/>
      <c r="O29" s="118"/>
      <c r="P29" s="118"/>
      <c r="Q29" s="118"/>
      <c r="R29" s="119"/>
    </row>
    <row r="30" spans="1:18" ht="41.45" customHeight="1" x14ac:dyDescent="0.25">
      <c r="A30" s="19"/>
      <c r="B30" s="3"/>
      <c r="C30" s="22"/>
      <c r="D30" s="22"/>
      <c r="E30" s="21"/>
      <c r="F30" s="21"/>
      <c r="G30" s="21"/>
      <c r="H30" s="21"/>
      <c r="I30" s="21"/>
      <c r="J30" s="21"/>
      <c r="K30" s="21"/>
      <c r="L30" s="118"/>
      <c r="M30" s="118"/>
      <c r="N30" s="118"/>
      <c r="O30" s="118"/>
      <c r="P30" s="118"/>
      <c r="Q30" s="118"/>
      <c r="R30" s="119"/>
    </row>
    <row r="31" spans="1:18" ht="41.45" customHeight="1" x14ac:dyDescent="0.25">
      <c r="A31" s="19"/>
      <c r="B31" s="3"/>
      <c r="C31" s="22"/>
      <c r="D31" s="22"/>
      <c r="E31" s="21"/>
      <c r="F31" s="21"/>
      <c r="G31" s="21"/>
      <c r="H31" s="21"/>
      <c r="I31" s="21"/>
      <c r="J31" s="21"/>
      <c r="K31" s="21"/>
      <c r="L31" s="115"/>
      <c r="M31" s="116"/>
      <c r="N31" s="116"/>
      <c r="O31" s="116"/>
      <c r="P31" s="116"/>
      <c r="Q31" s="116"/>
      <c r="R31" s="117"/>
    </row>
    <row r="32" spans="1:18" ht="41.45" customHeight="1" x14ac:dyDescent="0.25">
      <c r="A32" s="19"/>
      <c r="B32" s="3"/>
      <c r="C32" s="22"/>
      <c r="D32" s="22"/>
      <c r="E32" s="21"/>
      <c r="F32" s="21"/>
      <c r="G32" s="21"/>
      <c r="H32" s="21"/>
      <c r="I32" s="21"/>
      <c r="J32" s="21"/>
      <c r="K32" s="21"/>
      <c r="L32" s="115"/>
      <c r="M32" s="116"/>
      <c r="N32" s="116"/>
      <c r="O32" s="116"/>
      <c r="P32" s="116"/>
      <c r="Q32" s="116"/>
      <c r="R32" s="117"/>
    </row>
    <row r="33" spans="1:18" ht="41.45" customHeight="1" x14ac:dyDescent="0.25">
      <c r="A33" s="19"/>
      <c r="B33" s="3"/>
      <c r="C33" s="22"/>
      <c r="D33" s="22"/>
      <c r="E33" s="21"/>
      <c r="F33" s="21"/>
      <c r="G33" s="21"/>
      <c r="H33" s="21"/>
      <c r="I33" s="21"/>
      <c r="J33" s="21"/>
      <c r="K33" s="21"/>
      <c r="L33" s="115"/>
      <c r="M33" s="116"/>
      <c r="N33" s="116"/>
      <c r="O33" s="116"/>
      <c r="P33" s="116"/>
      <c r="Q33" s="116"/>
      <c r="R33" s="117"/>
    </row>
    <row r="34" spans="1:18" ht="41.45" customHeight="1" x14ac:dyDescent="0.25">
      <c r="A34" s="19"/>
      <c r="B34" s="3"/>
      <c r="C34" s="22"/>
      <c r="D34" s="22"/>
      <c r="E34" s="21"/>
      <c r="F34" s="21"/>
      <c r="G34" s="21"/>
      <c r="H34" s="21"/>
      <c r="I34" s="21"/>
      <c r="J34" s="21"/>
      <c r="K34" s="21"/>
      <c r="L34" s="115"/>
      <c r="M34" s="116"/>
      <c r="N34" s="116"/>
      <c r="O34" s="116"/>
      <c r="P34" s="116"/>
      <c r="Q34" s="116"/>
      <c r="R34" s="117"/>
    </row>
    <row r="35" spans="1:18" ht="41.45" customHeight="1" x14ac:dyDescent="0.25">
      <c r="A35" s="19"/>
      <c r="B35" s="3"/>
      <c r="C35" s="22"/>
      <c r="D35" s="22"/>
      <c r="E35" s="21"/>
      <c r="F35" s="21"/>
      <c r="G35" s="21"/>
      <c r="H35" s="21"/>
      <c r="I35" s="21"/>
      <c r="J35" s="21"/>
      <c r="K35" s="21"/>
      <c r="L35" s="115"/>
      <c r="M35" s="116"/>
      <c r="N35" s="116"/>
      <c r="O35" s="116"/>
      <c r="P35" s="116"/>
      <c r="Q35" s="116"/>
      <c r="R35" s="117"/>
    </row>
    <row r="36" spans="1:18" ht="41.45" customHeight="1" x14ac:dyDescent="0.25">
      <c r="A36" s="19"/>
      <c r="B36" s="3"/>
      <c r="C36" s="22"/>
      <c r="D36" s="22"/>
      <c r="E36" s="21"/>
      <c r="F36" s="21"/>
      <c r="G36" s="21"/>
      <c r="H36" s="21"/>
      <c r="I36" s="21"/>
      <c r="J36" s="21"/>
      <c r="K36" s="21"/>
      <c r="L36" s="115"/>
      <c r="M36" s="116"/>
      <c r="N36" s="116"/>
      <c r="O36" s="116"/>
      <c r="P36" s="116"/>
      <c r="Q36" s="116"/>
      <c r="R36" s="117"/>
    </row>
    <row r="37" spans="1:18" ht="41.45" customHeight="1" x14ac:dyDescent="0.25">
      <c r="A37" s="19"/>
      <c r="B37" s="3"/>
      <c r="C37" s="22"/>
      <c r="D37" s="22"/>
      <c r="E37" s="21"/>
      <c r="F37" s="21"/>
      <c r="G37" s="21"/>
      <c r="H37" s="21"/>
      <c r="I37" s="21"/>
      <c r="J37" s="21"/>
      <c r="K37" s="21"/>
      <c r="L37" s="115"/>
      <c r="M37" s="116"/>
      <c r="N37" s="116"/>
      <c r="O37" s="116"/>
      <c r="P37" s="116"/>
      <c r="Q37" s="116"/>
      <c r="R37" s="117"/>
    </row>
    <row r="38" spans="1:18" ht="41.45" customHeight="1" x14ac:dyDescent="0.25">
      <c r="A38" s="19"/>
      <c r="B38" s="3"/>
      <c r="C38" s="22"/>
      <c r="D38" s="22"/>
      <c r="E38" s="21"/>
      <c r="F38" s="21"/>
      <c r="G38" s="21"/>
      <c r="H38" s="21"/>
      <c r="I38" s="21"/>
      <c r="J38" s="21"/>
      <c r="K38" s="21"/>
      <c r="L38" s="115"/>
      <c r="M38" s="116"/>
      <c r="N38" s="116"/>
      <c r="O38" s="116"/>
      <c r="P38" s="116"/>
      <c r="Q38" s="116"/>
      <c r="R38" s="117"/>
    </row>
    <row r="39" spans="1:18" ht="41.45" customHeight="1" x14ac:dyDescent="0.25">
      <c r="A39" s="19"/>
      <c r="B39" s="3"/>
      <c r="C39" s="22"/>
      <c r="D39" s="22"/>
      <c r="E39" s="21"/>
      <c r="F39" s="21"/>
      <c r="G39" s="21"/>
      <c r="H39" s="21"/>
      <c r="I39" s="21"/>
      <c r="J39" s="21"/>
      <c r="K39" s="21"/>
      <c r="L39" s="115"/>
      <c r="M39" s="116"/>
      <c r="N39" s="116"/>
      <c r="O39" s="116"/>
      <c r="P39" s="116"/>
      <c r="Q39" s="116"/>
      <c r="R39" s="117"/>
    </row>
    <row r="40" spans="1:18" ht="41.45" customHeight="1" x14ac:dyDescent="0.25">
      <c r="A40" s="19"/>
      <c r="B40" s="3"/>
      <c r="C40" s="22"/>
      <c r="D40" s="22"/>
      <c r="E40" s="21"/>
      <c r="F40" s="21"/>
      <c r="G40" s="21"/>
      <c r="H40" s="21"/>
      <c r="I40" s="21"/>
      <c r="J40" s="21"/>
      <c r="K40" s="21"/>
      <c r="L40" s="115"/>
      <c r="M40" s="116"/>
      <c r="N40" s="116"/>
      <c r="O40" s="116"/>
      <c r="P40" s="116"/>
      <c r="Q40" s="116"/>
      <c r="R40" s="117"/>
    </row>
    <row r="41" spans="1:18" ht="41.45" customHeight="1" x14ac:dyDescent="0.25">
      <c r="A41" s="19"/>
      <c r="B41" s="3"/>
      <c r="C41" s="22"/>
      <c r="D41" s="22"/>
      <c r="E41" s="21"/>
      <c r="F41" s="21"/>
      <c r="G41" s="21"/>
      <c r="H41" s="21"/>
      <c r="I41" s="21"/>
      <c r="J41" s="21"/>
      <c r="K41" s="21"/>
      <c r="L41" s="115"/>
      <c r="M41" s="116"/>
      <c r="N41" s="116"/>
      <c r="O41" s="116"/>
      <c r="P41" s="116"/>
      <c r="Q41" s="116"/>
      <c r="R41" s="117"/>
    </row>
    <row r="42" spans="1:18" ht="41.45" customHeight="1" x14ac:dyDescent="0.25">
      <c r="A42" s="19"/>
      <c r="B42" s="3"/>
      <c r="C42" s="22"/>
      <c r="D42" s="22"/>
      <c r="E42" s="21"/>
      <c r="F42" s="21"/>
      <c r="G42" s="21"/>
      <c r="H42" s="21"/>
      <c r="I42" s="21"/>
      <c r="J42" s="21"/>
      <c r="K42" s="21"/>
      <c r="L42" s="115"/>
      <c r="M42" s="116"/>
      <c r="N42" s="116"/>
      <c r="O42" s="116"/>
      <c r="P42" s="116"/>
      <c r="Q42" s="116"/>
      <c r="R42" s="117"/>
    </row>
    <row r="43" spans="1:18" ht="41.45" customHeight="1" x14ac:dyDescent="0.25">
      <c r="A43" s="19"/>
      <c r="B43" s="3"/>
      <c r="C43" s="22"/>
      <c r="D43" s="22"/>
      <c r="E43" s="21"/>
      <c r="F43" s="21"/>
      <c r="G43" s="21"/>
      <c r="H43" s="21"/>
      <c r="I43" s="21"/>
      <c r="J43" s="21"/>
      <c r="K43" s="21"/>
      <c r="L43" s="115"/>
      <c r="M43" s="116"/>
      <c r="N43" s="116"/>
      <c r="O43" s="116"/>
      <c r="P43" s="116"/>
      <c r="Q43" s="116"/>
      <c r="R43" s="117"/>
    </row>
    <row r="44" spans="1:18" ht="41.45" customHeight="1" x14ac:dyDescent="0.25">
      <c r="A44" s="19"/>
      <c r="B44" s="3"/>
      <c r="C44" s="22"/>
      <c r="D44" s="22"/>
      <c r="E44" s="21"/>
      <c r="F44" s="21"/>
      <c r="G44" s="21"/>
      <c r="H44" s="21"/>
      <c r="I44" s="21"/>
      <c r="J44" s="21"/>
      <c r="K44" s="21"/>
      <c r="L44" s="115"/>
      <c r="M44" s="116"/>
      <c r="N44" s="116"/>
      <c r="O44" s="116"/>
      <c r="P44" s="116"/>
      <c r="Q44" s="116"/>
      <c r="R44" s="117"/>
    </row>
    <row r="45" spans="1:18" ht="41.45" customHeight="1" x14ac:dyDescent="0.25">
      <c r="A45" s="19"/>
      <c r="B45" s="3"/>
      <c r="C45" s="22"/>
      <c r="D45" s="22"/>
      <c r="E45" s="21"/>
      <c r="F45" s="21"/>
      <c r="G45" s="21"/>
      <c r="H45" s="21"/>
      <c r="I45" s="21"/>
      <c r="J45" s="21"/>
      <c r="K45" s="21"/>
      <c r="L45" s="115"/>
      <c r="M45" s="116"/>
      <c r="N45" s="116"/>
      <c r="O45" s="116"/>
      <c r="P45" s="116"/>
      <c r="Q45" s="116"/>
      <c r="R45" s="117"/>
    </row>
    <row r="46" spans="1:18" ht="41.45" customHeight="1" x14ac:dyDescent="0.25">
      <c r="A46" s="19"/>
      <c r="B46" s="3"/>
      <c r="C46" s="22"/>
      <c r="D46" s="22"/>
      <c r="E46" s="21"/>
      <c r="F46" s="21"/>
      <c r="G46" s="21"/>
      <c r="H46" s="21"/>
      <c r="I46" s="21"/>
      <c r="J46" s="21"/>
      <c r="K46" s="21"/>
      <c r="L46" s="115"/>
      <c r="M46" s="116"/>
      <c r="N46" s="116"/>
      <c r="O46" s="116"/>
      <c r="P46" s="116"/>
      <c r="Q46" s="116"/>
      <c r="R46" s="117"/>
    </row>
    <row r="47" spans="1:18" ht="41.45" customHeight="1" x14ac:dyDescent="0.25">
      <c r="A47" s="19"/>
      <c r="B47" s="3"/>
      <c r="C47" s="22"/>
      <c r="D47" s="22"/>
      <c r="E47" s="21"/>
      <c r="F47" s="21"/>
      <c r="G47" s="21"/>
      <c r="H47" s="21"/>
      <c r="I47" s="21"/>
      <c r="J47" s="21"/>
      <c r="K47" s="21"/>
      <c r="L47" s="115"/>
      <c r="M47" s="116"/>
      <c r="N47" s="116"/>
      <c r="O47" s="116"/>
      <c r="P47" s="116"/>
      <c r="Q47" s="116"/>
      <c r="R47" s="117"/>
    </row>
    <row r="48" spans="1:18" ht="41.45" customHeight="1" x14ac:dyDescent="0.25">
      <c r="A48" s="19"/>
      <c r="B48" s="3"/>
      <c r="C48" s="22"/>
      <c r="D48" s="22"/>
      <c r="E48" s="21"/>
      <c r="F48" s="21"/>
      <c r="G48" s="21"/>
      <c r="H48" s="21"/>
      <c r="I48" s="21"/>
      <c r="J48" s="21"/>
      <c r="K48" s="21"/>
      <c r="L48" s="115"/>
      <c r="M48" s="116"/>
      <c r="N48" s="116"/>
      <c r="O48" s="116"/>
      <c r="P48" s="116"/>
      <c r="Q48" s="116"/>
      <c r="R48" s="117"/>
    </row>
    <row r="49" spans="1:18" ht="41.45" customHeight="1" x14ac:dyDescent="0.25">
      <c r="A49" s="19"/>
      <c r="B49" s="3"/>
      <c r="C49" s="22"/>
      <c r="D49" s="22"/>
      <c r="E49" s="21"/>
      <c r="F49" s="21"/>
      <c r="G49" s="21"/>
      <c r="H49" s="21"/>
      <c r="I49" s="21"/>
      <c r="J49" s="21"/>
      <c r="K49" s="21"/>
      <c r="L49" s="115"/>
      <c r="M49" s="116"/>
      <c r="N49" s="116"/>
      <c r="O49" s="116"/>
      <c r="P49" s="116"/>
      <c r="Q49" s="116"/>
      <c r="R49" s="117"/>
    </row>
    <row r="50" spans="1:18" ht="41.45" customHeight="1" x14ac:dyDescent="0.25">
      <c r="A50" s="19"/>
      <c r="B50" s="3"/>
      <c r="C50" s="22"/>
      <c r="D50" s="22"/>
      <c r="E50" s="21"/>
      <c r="F50" s="21"/>
      <c r="G50" s="21"/>
      <c r="H50" s="21"/>
      <c r="I50" s="21"/>
      <c r="J50" s="21"/>
      <c r="K50" s="21"/>
      <c r="L50" s="115"/>
      <c r="M50" s="116"/>
      <c r="N50" s="116"/>
      <c r="O50" s="116"/>
      <c r="P50" s="116"/>
      <c r="Q50" s="116"/>
      <c r="R50" s="117"/>
    </row>
    <row r="51" spans="1:18" ht="41.45" customHeight="1" x14ac:dyDescent="0.25">
      <c r="A51" s="19"/>
      <c r="B51" s="3"/>
      <c r="C51" s="22"/>
      <c r="D51" s="22"/>
      <c r="E51" s="21"/>
      <c r="F51" s="21"/>
      <c r="G51" s="21"/>
      <c r="H51" s="21"/>
      <c r="I51" s="21"/>
      <c r="J51" s="21"/>
      <c r="K51" s="21"/>
      <c r="L51" s="115"/>
      <c r="M51" s="116"/>
      <c r="N51" s="116"/>
      <c r="O51" s="116"/>
      <c r="P51" s="116"/>
      <c r="Q51" s="116"/>
      <c r="R51" s="117"/>
    </row>
    <row r="52" spans="1:18" ht="41.45" customHeight="1" x14ac:dyDescent="0.25">
      <c r="A52" s="19"/>
      <c r="B52" s="3"/>
      <c r="C52" s="22"/>
      <c r="D52" s="22"/>
      <c r="E52" s="21"/>
      <c r="F52" s="21"/>
      <c r="G52" s="21"/>
      <c r="H52" s="21"/>
      <c r="I52" s="21"/>
      <c r="J52" s="21"/>
      <c r="K52" s="21"/>
      <c r="L52" s="115"/>
      <c r="M52" s="116"/>
      <c r="N52" s="116"/>
      <c r="O52" s="116"/>
      <c r="P52" s="116"/>
      <c r="Q52" s="116"/>
      <c r="R52" s="117"/>
    </row>
    <row r="53" spans="1:18" ht="41.45" customHeight="1" x14ac:dyDescent="0.25">
      <c r="A53" s="19"/>
      <c r="B53" s="3"/>
      <c r="C53" s="22"/>
      <c r="D53" s="22"/>
      <c r="E53" s="21"/>
      <c r="F53" s="21"/>
      <c r="G53" s="21"/>
      <c r="H53" s="21"/>
      <c r="I53" s="21"/>
      <c r="J53" s="21"/>
      <c r="K53" s="21"/>
      <c r="L53" s="115"/>
      <c r="M53" s="116"/>
      <c r="N53" s="116"/>
      <c r="O53" s="116"/>
      <c r="P53" s="116"/>
      <c r="Q53" s="116"/>
      <c r="R53" s="117"/>
    </row>
    <row r="54" spans="1:18" ht="41.45" customHeight="1" x14ac:dyDescent="0.25">
      <c r="A54" s="19"/>
      <c r="B54" s="3"/>
      <c r="C54" s="22"/>
      <c r="D54" s="22"/>
      <c r="E54" s="21"/>
      <c r="F54" s="21"/>
      <c r="G54" s="21"/>
      <c r="H54" s="21"/>
      <c r="I54" s="21"/>
      <c r="J54" s="21"/>
      <c r="K54" s="21"/>
      <c r="L54" s="115"/>
      <c r="M54" s="116"/>
      <c r="N54" s="116"/>
      <c r="O54" s="116"/>
      <c r="P54" s="116"/>
      <c r="Q54" s="116"/>
      <c r="R54" s="117"/>
    </row>
    <row r="55" spans="1:18" ht="41.45" customHeight="1" x14ac:dyDescent="0.25">
      <c r="A55" s="19"/>
      <c r="B55" s="3"/>
      <c r="C55" s="22"/>
      <c r="D55" s="22"/>
      <c r="E55" s="21"/>
      <c r="F55" s="21"/>
      <c r="G55" s="21"/>
      <c r="H55" s="21"/>
      <c r="I55" s="21"/>
      <c r="J55" s="21"/>
      <c r="K55" s="21"/>
      <c r="L55" s="53"/>
      <c r="M55" s="54"/>
      <c r="N55" s="54"/>
      <c r="O55" s="54"/>
      <c r="P55" s="54"/>
      <c r="Q55" s="54"/>
      <c r="R55" s="55"/>
    </row>
    <row r="56" spans="1:18" ht="41.45" customHeight="1" x14ac:dyDescent="0.25">
      <c r="A56" s="19"/>
      <c r="B56" s="3"/>
      <c r="C56" s="22"/>
      <c r="D56" s="22"/>
      <c r="E56" s="21"/>
      <c r="F56" s="21"/>
      <c r="G56" s="21"/>
      <c r="H56" s="21"/>
      <c r="I56" s="21"/>
      <c r="J56" s="21"/>
      <c r="K56" s="21"/>
      <c r="L56" s="53"/>
      <c r="M56" s="54"/>
      <c r="N56" s="54"/>
      <c r="O56" s="54"/>
      <c r="P56" s="54"/>
      <c r="Q56" s="54"/>
      <c r="R56" s="55"/>
    </row>
    <row r="57" spans="1:18" ht="41.45" customHeight="1" x14ac:dyDescent="0.25">
      <c r="A57" s="19"/>
      <c r="B57" s="3"/>
      <c r="C57" s="22"/>
      <c r="D57" s="22"/>
      <c r="E57" s="21"/>
      <c r="F57" s="21"/>
      <c r="G57" s="21"/>
      <c r="H57" s="21"/>
      <c r="I57" s="21"/>
      <c r="J57" s="21"/>
      <c r="K57" s="21"/>
      <c r="L57" s="53"/>
      <c r="M57" s="54"/>
      <c r="N57" s="54"/>
      <c r="O57" s="54"/>
      <c r="P57" s="54"/>
      <c r="Q57" s="54"/>
      <c r="R57" s="55"/>
    </row>
    <row r="58" spans="1:18" ht="41.45" customHeight="1" x14ac:dyDescent="0.25">
      <c r="A58" s="19"/>
      <c r="B58" s="3"/>
      <c r="C58" s="22"/>
      <c r="D58" s="22"/>
      <c r="E58" s="21"/>
      <c r="F58" s="21"/>
      <c r="G58" s="21"/>
      <c r="H58" s="21"/>
      <c r="I58" s="21"/>
      <c r="J58" s="21"/>
      <c r="K58" s="21"/>
      <c r="L58" s="53"/>
      <c r="M58" s="54"/>
      <c r="N58" s="54"/>
      <c r="O58" s="54"/>
      <c r="P58" s="54"/>
      <c r="Q58" s="54"/>
      <c r="R58" s="55"/>
    </row>
    <row r="59" spans="1:18" ht="41.45" customHeight="1" x14ac:dyDescent="0.25">
      <c r="A59" s="19"/>
      <c r="B59" s="3"/>
      <c r="C59" s="22"/>
      <c r="D59" s="22"/>
      <c r="E59" s="21"/>
      <c r="F59" s="21"/>
      <c r="G59" s="21"/>
      <c r="H59" s="21"/>
      <c r="I59" s="21"/>
      <c r="J59" s="21"/>
      <c r="K59" s="21"/>
      <c r="L59" s="125"/>
      <c r="M59" s="126"/>
      <c r="N59" s="126"/>
      <c r="O59" s="126"/>
      <c r="P59" s="126"/>
      <c r="Q59" s="126"/>
      <c r="R59" s="127"/>
    </row>
    <row r="60" spans="1:18" ht="41.45" customHeight="1" x14ac:dyDescent="0.25">
      <c r="A60" s="19"/>
      <c r="B60" s="3"/>
      <c r="C60" s="22"/>
      <c r="D60" s="22"/>
      <c r="E60" s="21"/>
      <c r="F60" s="21"/>
      <c r="G60" s="21"/>
      <c r="H60" s="21"/>
      <c r="I60" s="21"/>
      <c r="J60" s="21"/>
      <c r="K60" s="21"/>
      <c r="L60" s="125"/>
      <c r="M60" s="126"/>
      <c r="N60" s="126"/>
      <c r="O60" s="126"/>
      <c r="P60" s="126"/>
      <c r="Q60" s="126"/>
      <c r="R60" s="127"/>
    </row>
    <row r="61" spans="1:18" ht="41.45" customHeight="1" x14ac:dyDescent="0.25">
      <c r="A61" s="19"/>
      <c r="B61" s="3"/>
      <c r="C61" s="22"/>
      <c r="D61" s="22"/>
      <c r="E61" s="21"/>
      <c r="F61" s="21"/>
      <c r="G61" s="21"/>
      <c r="H61" s="21"/>
      <c r="I61" s="21"/>
      <c r="J61" s="21"/>
      <c r="K61" s="21"/>
      <c r="L61" s="125"/>
      <c r="M61" s="126"/>
      <c r="N61" s="126"/>
      <c r="O61" s="126"/>
      <c r="P61" s="126"/>
      <c r="Q61" s="126"/>
      <c r="R61" s="127"/>
    </row>
    <row r="62" spans="1:18" ht="41.45" customHeight="1" x14ac:dyDescent="0.25">
      <c r="A62" s="19"/>
      <c r="B62" s="3"/>
      <c r="C62" s="22"/>
      <c r="D62" s="22"/>
      <c r="E62" s="21"/>
      <c r="F62" s="21"/>
      <c r="G62" s="21"/>
      <c r="H62" s="21"/>
      <c r="I62" s="21"/>
      <c r="J62" s="21"/>
      <c r="K62" s="21"/>
      <c r="L62" s="125"/>
      <c r="M62" s="126"/>
      <c r="N62" s="126"/>
      <c r="O62" s="126"/>
      <c r="P62" s="126"/>
      <c r="Q62" s="126"/>
      <c r="R62" s="127"/>
    </row>
    <row r="63" spans="1:18" ht="41.45" customHeight="1" x14ac:dyDescent="0.25">
      <c r="A63" s="19"/>
      <c r="B63" s="3"/>
      <c r="C63" s="22"/>
      <c r="D63" s="22"/>
      <c r="E63" s="21"/>
      <c r="F63" s="21"/>
      <c r="G63" s="21"/>
      <c r="H63" s="21"/>
      <c r="I63" s="21"/>
      <c r="J63" s="21"/>
      <c r="K63" s="21"/>
      <c r="L63" s="125"/>
      <c r="M63" s="126"/>
      <c r="N63" s="126"/>
      <c r="O63" s="126"/>
      <c r="P63" s="126"/>
      <c r="Q63" s="126"/>
      <c r="R63" s="127"/>
    </row>
    <row r="64" spans="1:18" ht="41.45" customHeight="1" x14ac:dyDescent="0.25">
      <c r="A64" s="19"/>
      <c r="B64" s="3"/>
      <c r="C64" s="22"/>
      <c r="D64" s="22"/>
      <c r="E64" s="21"/>
      <c r="F64" s="21"/>
      <c r="G64" s="21"/>
      <c r="H64" s="21"/>
      <c r="I64" s="21"/>
      <c r="J64" s="21"/>
      <c r="K64" s="21"/>
      <c r="L64" s="125"/>
      <c r="M64" s="126"/>
      <c r="N64" s="126"/>
      <c r="O64" s="126"/>
      <c r="P64" s="126"/>
      <c r="Q64" s="126"/>
      <c r="R64" s="127"/>
    </row>
    <row r="65" spans="1:18" ht="41.45" customHeight="1" x14ac:dyDescent="0.25">
      <c r="A65" s="19"/>
      <c r="B65" s="3"/>
      <c r="C65" s="22"/>
      <c r="D65" s="22"/>
      <c r="E65" s="21"/>
      <c r="F65" s="21"/>
      <c r="G65" s="21"/>
      <c r="H65" s="21"/>
      <c r="I65" s="21"/>
      <c r="J65" s="21"/>
      <c r="K65" s="21"/>
      <c r="L65" s="125"/>
      <c r="M65" s="126"/>
      <c r="N65" s="126"/>
      <c r="O65" s="126"/>
      <c r="P65" s="126"/>
      <c r="Q65" s="126"/>
      <c r="R65" s="127"/>
    </row>
    <row r="66" spans="1:18" ht="41.45" customHeight="1" x14ac:dyDescent="0.25">
      <c r="A66" s="19"/>
      <c r="B66" s="3"/>
      <c r="C66" s="22"/>
      <c r="D66" s="22"/>
      <c r="E66" s="21"/>
      <c r="F66" s="21"/>
      <c r="G66" s="21"/>
      <c r="H66" s="21"/>
      <c r="I66" s="21"/>
      <c r="J66" s="21"/>
      <c r="K66" s="21"/>
      <c r="L66" s="125"/>
      <c r="M66" s="126"/>
      <c r="N66" s="126"/>
      <c r="O66" s="126"/>
      <c r="P66" s="126"/>
      <c r="Q66" s="126"/>
      <c r="R66" s="127"/>
    </row>
    <row r="67" spans="1:18" ht="41.45" customHeight="1" x14ac:dyDescent="0.25">
      <c r="A67" s="19"/>
      <c r="B67" s="3"/>
      <c r="C67" s="22"/>
      <c r="D67" s="22"/>
      <c r="E67" s="21"/>
      <c r="F67" s="21"/>
      <c r="G67" s="21"/>
      <c r="H67" s="21"/>
      <c r="I67" s="21"/>
      <c r="J67" s="21"/>
      <c r="K67" s="21"/>
      <c r="L67" s="125"/>
      <c r="M67" s="126"/>
      <c r="N67" s="126"/>
      <c r="O67" s="126"/>
      <c r="P67" s="126"/>
      <c r="Q67" s="126"/>
      <c r="R67" s="127"/>
    </row>
    <row r="68" spans="1:18" ht="41.45" customHeight="1" x14ac:dyDescent="0.25">
      <c r="A68" s="19"/>
      <c r="B68" s="3"/>
      <c r="C68" s="22"/>
      <c r="D68" s="22"/>
      <c r="E68" s="21"/>
      <c r="F68" s="21"/>
      <c r="G68" s="21"/>
      <c r="H68" s="21"/>
      <c r="I68" s="21"/>
      <c r="J68" s="21"/>
      <c r="K68" s="21"/>
      <c r="L68" s="125"/>
      <c r="M68" s="126"/>
      <c r="N68" s="126"/>
      <c r="O68" s="126"/>
      <c r="P68" s="126"/>
      <c r="Q68" s="126"/>
      <c r="R68" s="127"/>
    </row>
    <row r="69" spans="1:18" ht="41.45" customHeight="1" x14ac:dyDescent="0.25">
      <c r="A69" s="19"/>
      <c r="B69" s="3"/>
      <c r="C69" s="22"/>
      <c r="D69" s="22"/>
      <c r="E69" s="21"/>
      <c r="F69" s="21"/>
      <c r="G69" s="21"/>
      <c r="H69" s="21"/>
      <c r="I69" s="21"/>
      <c r="J69" s="21"/>
      <c r="K69" s="21"/>
      <c r="L69" s="125"/>
      <c r="M69" s="126"/>
      <c r="N69" s="126"/>
      <c r="O69" s="126"/>
      <c r="P69" s="126"/>
      <c r="Q69" s="126"/>
      <c r="R69" s="127"/>
    </row>
    <row r="70" spans="1:18" ht="41.45" customHeight="1" x14ac:dyDescent="0.25">
      <c r="A70" s="19"/>
      <c r="B70" s="3"/>
      <c r="C70" s="22"/>
      <c r="D70" s="22"/>
      <c r="E70" s="21"/>
      <c r="F70" s="21"/>
      <c r="G70" s="21"/>
      <c r="H70" s="21"/>
      <c r="I70" s="21"/>
      <c r="J70" s="21"/>
      <c r="K70" s="21"/>
      <c r="L70" s="125"/>
      <c r="M70" s="126"/>
      <c r="N70" s="126"/>
      <c r="O70" s="126"/>
      <c r="P70" s="126"/>
      <c r="Q70" s="126"/>
      <c r="R70" s="127"/>
    </row>
    <row r="71" spans="1:18" ht="41.45" customHeight="1" x14ac:dyDescent="0.25">
      <c r="A71" s="19"/>
      <c r="B71" s="3"/>
      <c r="C71" s="22"/>
      <c r="D71" s="22"/>
      <c r="E71" s="21"/>
      <c r="F71" s="21"/>
      <c r="G71" s="21"/>
      <c r="H71" s="21"/>
      <c r="I71" s="21"/>
      <c r="J71" s="21"/>
      <c r="K71" s="21"/>
      <c r="L71" s="125"/>
      <c r="M71" s="126"/>
      <c r="N71" s="126"/>
      <c r="O71" s="126"/>
      <c r="P71" s="126"/>
      <c r="Q71" s="126"/>
      <c r="R71" s="127"/>
    </row>
    <row r="72" spans="1:18" ht="41.45" customHeight="1" x14ac:dyDescent="0.25">
      <c r="A72" s="19"/>
      <c r="B72" s="3"/>
      <c r="C72" s="22"/>
      <c r="D72" s="22"/>
      <c r="E72" s="21"/>
      <c r="F72" s="21"/>
      <c r="G72" s="21"/>
      <c r="H72" s="21"/>
      <c r="I72" s="21"/>
      <c r="J72" s="21"/>
      <c r="K72" s="21"/>
      <c r="L72" s="125"/>
      <c r="M72" s="126"/>
      <c r="N72" s="126"/>
      <c r="O72" s="126"/>
      <c r="P72" s="126"/>
      <c r="Q72" s="126"/>
      <c r="R72" s="127"/>
    </row>
    <row r="73" spans="1:18" ht="41.45" customHeight="1" x14ac:dyDescent="0.25">
      <c r="A73" s="19"/>
      <c r="B73" s="3"/>
      <c r="C73" s="22"/>
      <c r="D73" s="22"/>
      <c r="E73" s="21"/>
      <c r="F73" s="21"/>
      <c r="G73" s="21"/>
      <c r="H73" s="21"/>
      <c r="I73" s="21"/>
      <c r="J73" s="21"/>
      <c r="K73" s="21"/>
      <c r="L73" s="125"/>
      <c r="M73" s="126"/>
      <c r="N73" s="126"/>
      <c r="O73" s="126"/>
      <c r="P73" s="126"/>
      <c r="Q73" s="126"/>
      <c r="R73" s="127"/>
    </row>
    <row r="74" spans="1:18" ht="41.45" customHeight="1" x14ac:dyDescent="0.25">
      <c r="A74" s="19"/>
      <c r="B74" s="3"/>
      <c r="C74" s="22"/>
      <c r="D74" s="22"/>
      <c r="E74" s="21"/>
      <c r="F74" s="21"/>
      <c r="G74" s="21"/>
      <c r="H74" s="21"/>
      <c r="I74" s="21"/>
      <c r="J74" s="21"/>
      <c r="K74" s="21"/>
      <c r="L74" s="125"/>
      <c r="M74" s="126"/>
      <c r="N74" s="126"/>
      <c r="O74" s="126"/>
      <c r="P74" s="126"/>
      <c r="Q74" s="126"/>
      <c r="R74" s="127"/>
    </row>
    <row r="75" spans="1:18" ht="41.45" customHeight="1" thickBot="1" x14ac:dyDescent="0.3">
      <c r="A75" s="20"/>
      <c r="B75" s="4"/>
      <c r="C75" s="23"/>
      <c r="D75" s="23"/>
      <c r="E75" s="24"/>
      <c r="F75" s="24"/>
      <c r="G75" s="24"/>
      <c r="H75" s="24"/>
      <c r="I75" s="24"/>
      <c r="J75" s="24"/>
      <c r="K75" s="24"/>
      <c r="L75" s="122"/>
      <c r="M75" s="123"/>
      <c r="N75" s="123"/>
      <c r="O75" s="123"/>
      <c r="P75" s="123"/>
      <c r="Q75" s="123"/>
      <c r="R75" s="124"/>
    </row>
    <row r="76" spans="1:18" ht="41.45" customHeight="1" x14ac:dyDescent="0.25">
      <c r="C76" s="35"/>
      <c r="D76" s="35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</row>
    <row r="77" spans="1:18" ht="41.45" customHeight="1" x14ac:dyDescent="0.25">
      <c r="C77" s="35"/>
      <c r="D77" s="35"/>
      <c r="E77" s="35">
        <f>IF(E7="X",(D7-C7),"0")</f>
        <v>24.3</v>
      </c>
      <c r="F77" s="35" t="str">
        <f>IF(F7="X",(D7-C7),"0")</f>
        <v>0</v>
      </c>
      <c r="G77" s="35" t="str">
        <f>IF(G7="X",(D7-C7),"0")</f>
        <v>0</v>
      </c>
      <c r="H77" s="35" t="str">
        <f>IF(H7="X",(D7-C7),"0")</f>
        <v>0</v>
      </c>
      <c r="I77" s="35">
        <f>IF(I7="X",(D7-C7),"0")</f>
        <v>24.3</v>
      </c>
      <c r="J77" s="35" t="str">
        <f>IF(J7="X",(D7-C7),"0")</f>
        <v>0</v>
      </c>
      <c r="K77" s="35" t="str">
        <f>IF(K7="X",(D7-C7),"0")</f>
        <v>0</v>
      </c>
      <c r="L77" s="92"/>
      <c r="M77" s="92"/>
      <c r="N77" s="92"/>
      <c r="O77" s="92"/>
      <c r="P77" s="92"/>
      <c r="Q77" s="92"/>
      <c r="R77" s="92"/>
    </row>
    <row r="78" spans="1:18" ht="41.45" customHeight="1" x14ac:dyDescent="0.25">
      <c r="C78" s="35"/>
      <c r="D78" s="35"/>
      <c r="E78" s="35">
        <f t="shared" ref="E78:E128" si="0">IF(E8="X",(D8-C8),"0")</f>
        <v>39</v>
      </c>
      <c r="F78" s="35" t="str">
        <f t="shared" ref="F78:F128" si="1">IF(F8="X",(D8-C8),"0")</f>
        <v>0</v>
      </c>
      <c r="G78" s="35" t="str">
        <f t="shared" ref="G78:G128" si="2">IF(G8="X",(D8-C8),"0")</f>
        <v>0</v>
      </c>
      <c r="H78" s="35" t="str">
        <f t="shared" ref="H78:H128" si="3">IF(H8="X",(D8-C8),"0")</f>
        <v>0</v>
      </c>
      <c r="I78" s="35">
        <f t="shared" ref="I78:I128" si="4">IF(I8="X",(D8-C8),"0")</f>
        <v>39</v>
      </c>
      <c r="J78" s="35" t="str">
        <f t="shared" ref="J78:J128" si="5">IF(J8="X",(D8-C8),"0")</f>
        <v>0</v>
      </c>
      <c r="K78" s="35" t="str">
        <f t="shared" ref="K78:K128" si="6">IF(K8="X",(D8-C8),"0")</f>
        <v>0</v>
      </c>
      <c r="L78" s="92"/>
      <c r="M78" s="92"/>
      <c r="N78" s="92"/>
      <c r="O78" s="92"/>
      <c r="P78" s="92"/>
      <c r="Q78" s="92"/>
      <c r="R78" s="92"/>
    </row>
    <row r="79" spans="1:18" ht="41.45" customHeight="1" x14ac:dyDescent="0.25">
      <c r="C79" s="35"/>
      <c r="D79" s="35"/>
      <c r="E79" s="35">
        <f t="shared" si="0"/>
        <v>4.519999999999996</v>
      </c>
      <c r="F79" s="35" t="str">
        <f t="shared" si="1"/>
        <v>0</v>
      </c>
      <c r="G79" s="35" t="str">
        <f t="shared" si="2"/>
        <v>0</v>
      </c>
      <c r="H79" s="35" t="str">
        <f t="shared" si="3"/>
        <v>0</v>
      </c>
      <c r="I79" s="35">
        <f t="shared" si="4"/>
        <v>4.519999999999996</v>
      </c>
      <c r="J79" s="35" t="str">
        <f t="shared" si="5"/>
        <v>0</v>
      </c>
      <c r="K79" s="35" t="str">
        <f t="shared" si="6"/>
        <v>0</v>
      </c>
      <c r="L79" s="92"/>
      <c r="M79" s="92"/>
      <c r="N79" s="92"/>
      <c r="O79" s="92"/>
      <c r="P79" s="92"/>
      <c r="Q79" s="92"/>
      <c r="R79" s="92"/>
    </row>
    <row r="80" spans="1:18" ht="41.45" customHeight="1" x14ac:dyDescent="0.25">
      <c r="C80" s="35"/>
      <c r="D80" s="35"/>
      <c r="E80" s="35" t="str">
        <f t="shared" si="0"/>
        <v>0</v>
      </c>
      <c r="F80" s="35" t="str">
        <f t="shared" si="1"/>
        <v>0</v>
      </c>
      <c r="G80" s="35" t="str">
        <f t="shared" si="2"/>
        <v>0</v>
      </c>
      <c r="H80" s="35" t="str">
        <f t="shared" si="3"/>
        <v>0</v>
      </c>
      <c r="I80" s="35" t="str">
        <f t="shared" si="4"/>
        <v>0</v>
      </c>
      <c r="J80" s="35" t="str">
        <f t="shared" si="5"/>
        <v>0</v>
      </c>
      <c r="K80" s="35" t="str">
        <f t="shared" si="6"/>
        <v>0</v>
      </c>
      <c r="L80" s="92"/>
      <c r="M80" s="92"/>
      <c r="N80" s="92"/>
      <c r="O80" s="92"/>
      <c r="P80" s="92"/>
      <c r="Q80" s="92"/>
      <c r="R80" s="92"/>
    </row>
    <row r="81" spans="3:18" ht="41.45" customHeight="1" x14ac:dyDescent="0.25">
      <c r="C81" s="35"/>
      <c r="D81" s="35"/>
      <c r="E81" s="35" t="str">
        <f t="shared" si="0"/>
        <v>0</v>
      </c>
      <c r="F81" s="35" t="str">
        <f t="shared" si="1"/>
        <v>0</v>
      </c>
      <c r="G81" s="35" t="str">
        <f t="shared" si="2"/>
        <v>0</v>
      </c>
      <c r="H81" s="35" t="str">
        <f t="shared" si="3"/>
        <v>0</v>
      </c>
      <c r="I81" s="35" t="str">
        <f t="shared" si="4"/>
        <v>0</v>
      </c>
      <c r="J81" s="35" t="str">
        <f t="shared" si="5"/>
        <v>0</v>
      </c>
      <c r="K81" s="35" t="str">
        <f t="shared" si="6"/>
        <v>0</v>
      </c>
      <c r="L81" s="92"/>
      <c r="M81" s="92"/>
      <c r="N81" s="92"/>
      <c r="O81" s="92"/>
      <c r="P81" s="92"/>
      <c r="Q81" s="92"/>
      <c r="R81" s="92"/>
    </row>
    <row r="82" spans="3:18" ht="41.45" customHeight="1" x14ac:dyDescent="0.25">
      <c r="C82" s="35"/>
      <c r="D82" s="35"/>
      <c r="E82" s="35" t="str">
        <f t="shared" si="0"/>
        <v>0</v>
      </c>
      <c r="F82" s="35" t="str">
        <f t="shared" si="1"/>
        <v>0</v>
      </c>
      <c r="G82" s="35" t="str">
        <f t="shared" si="2"/>
        <v>0</v>
      </c>
      <c r="H82" s="35" t="str">
        <f t="shared" si="3"/>
        <v>0</v>
      </c>
      <c r="I82" s="35" t="str">
        <f t="shared" si="4"/>
        <v>0</v>
      </c>
      <c r="J82" s="35" t="str">
        <f t="shared" si="5"/>
        <v>0</v>
      </c>
      <c r="K82" s="35" t="str">
        <f t="shared" si="6"/>
        <v>0</v>
      </c>
      <c r="L82" s="92"/>
      <c r="M82" s="92"/>
      <c r="N82" s="92"/>
      <c r="O82" s="92"/>
      <c r="P82" s="92"/>
      <c r="Q82" s="92"/>
      <c r="R82" s="92"/>
    </row>
    <row r="83" spans="3:18" ht="41.45" customHeight="1" x14ac:dyDescent="0.25">
      <c r="C83" s="35"/>
      <c r="D83" s="35"/>
      <c r="E83" s="35" t="str">
        <f t="shared" si="0"/>
        <v>0</v>
      </c>
      <c r="F83" s="35" t="str">
        <f t="shared" si="1"/>
        <v>0</v>
      </c>
      <c r="G83" s="35" t="str">
        <f t="shared" si="2"/>
        <v>0</v>
      </c>
      <c r="H83" s="35" t="str">
        <f t="shared" si="3"/>
        <v>0</v>
      </c>
      <c r="I83" s="35" t="str">
        <f t="shared" si="4"/>
        <v>0</v>
      </c>
      <c r="J83" s="35" t="str">
        <f t="shared" si="5"/>
        <v>0</v>
      </c>
      <c r="K83" s="35" t="str">
        <f t="shared" si="6"/>
        <v>0</v>
      </c>
      <c r="L83" s="92"/>
      <c r="M83" s="92"/>
      <c r="N83" s="92"/>
      <c r="O83" s="92"/>
      <c r="P83" s="92"/>
      <c r="Q83" s="92"/>
      <c r="R83" s="92"/>
    </row>
    <row r="84" spans="3:18" ht="41.45" customHeight="1" x14ac:dyDescent="0.25">
      <c r="C84" s="35"/>
      <c r="D84" s="35"/>
      <c r="E84" s="35" t="str">
        <f t="shared" si="0"/>
        <v>0</v>
      </c>
      <c r="F84" s="35" t="str">
        <f t="shared" si="1"/>
        <v>0</v>
      </c>
      <c r="G84" s="35" t="str">
        <f t="shared" si="2"/>
        <v>0</v>
      </c>
      <c r="H84" s="35" t="str">
        <f t="shared" si="3"/>
        <v>0</v>
      </c>
      <c r="I84" s="35" t="str">
        <f t="shared" si="4"/>
        <v>0</v>
      </c>
      <c r="J84" s="35" t="str">
        <f t="shared" si="5"/>
        <v>0</v>
      </c>
      <c r="K84" s="35" t="str">
        <f t="shared" si="6"/>
        <v>0</v>
      </c>
      <c r="L84" s="92"/>
      <c r="M84" s="92"/>
      <c r="N84" s="92"/>
      <c r="O84" s="92"/>
      <c r="P84" s="92"/>
      <c r="Q84" s="92"/>
      <c r="R84" s="92"/>
    </row>
    <row r="85" spans="3:18" ht="41.45" customHeight="1" x14ac:dyDescent="0.25">
      <c r="C85" s="35"/>
      <c r="D85" s="35"/>
      <c r="E85" s="35" t="str">
        <f t="shared" si="0"/>
        <v>0</v>
      </c>
      <c r="F85" s="35" t="str">
        <f t="shared" si="1"/>
        <v>0</v>
      </c>
      <c r="G85" s="35" t="str">
        <f t="shared" si="2"/>
        <v>0</v>
      </c>
      <c r="H85" s="35" t="str">
        <f t="shared" si="3"/>
        <v>0</v>
      </c>
      <c r="I85" s="35" t="str">
        <f t="shared" si="4"/>
        <v>0</v>
      </c>
      <c r="J85" s="35" t="str">
        <f t="shared" si="5"/>
        <v>0</v>
      </c>
      <c r="K85" s="35" t="str">
        <f t="shared" si="6"/>
        <v>0</v>
      </c>
      <c r="L85" s="92"/>
      <c r="M85" s="92"/>
      <c r="N85" s="92"/>
      <c r="O85" s="92"/>
      <c r="P85" s="92"/>
      <c r="Q85" s="92"/>
      <c r="R85" s="92"/>
    </row>
    <row r="86" spans="3:18" ht="41.45" customHeight="1" x14ac:dyDescent="0.25">
      <c r="C86" s="35"/>
      <c r="D86" s="35"/>
      <c r="E86" s="35" t="str">
        <f t="shared" si="0"/>
        <v>0</v>
      </c>
      <c r="F86" s="35" t="str">
        <f t="shared" si="1"/>
        <v>0</v>
      </c>
      <c r="G86" s="35" t="str">
        <f t="shared" si="2"/>
        <v>0</v>
      </c>
      <c r="H86" s="35" t="str">
        <f t="shared" si="3"/>
        <v>0</v>
      </c>
      <c r="I86" s="35" t="str">
        <f t="shared" si="4"/>
        <v>0</v>
      </c>
      <c r="J86" s="35" t="str">
        <f t="shared" si="5"/>
        <v>0</v>
      </c>
      <c r="K86" s="35" t="str">
        <f t="shared" si="6"/>
        <v>0</v>
      </c>
      <c r="L86" s="92"/>
      <c r="M86" s="92"/>
      <c r="N86" s="92"/>
      <c r="O86" s="92"/>
      <c r="P86" s="92"/>
      <c r="Q86" s="92"/>
      <c r="R86" s="92"/>
    </row>
    <row r="87" spans="3:18" ht="41.45" customHeight="1" x14ac:dyDescent="0.25">
      <c r="C87" s="35"/>
      <c r="D87" s="35"/>
      <c r="E87" s="35" t="str">
        <f t="shared" si="0"/>
        <v>0</v>
      </c>
      <c r="F87" s="35" t="str">
        <f t="shared" si="1"/>
        <v>0</v>
      </c>
      <c r="G87" s="35" t="str">
        <f t="shared" si="2"/>
        <v>0</v>
      </c>
      <c r="H87" s="35" t="str">
        <f t="shared" si="3"/>
        <v>0</v>
      </c>
      <c r="I87" s="35" t="str">
        <f t="shared" si="4"/>
        <v>0</v>
      </c>
      <c r="J87" s="35" t="str">
        <f t="shared" si="5"/>
        <v>0</v>
      </c>
      <c r="K87" s="35" t="str">
        <f t="shared" si="6"/>
        <v>0</v>
      </c>
      <c r="L87" s="92"/>
      <c r="M87" s="92"/>
      <c r="N87" s="92"/>
      <c r="O87" s="92"/>
      <c r="P87" s="92"/>
      <c r="Q87" s="92"/>
      <c r="R87" s="92"/>
    </row>
    <row r="88" spans="3:18" ht="41.45" customHeight="1" x14ac:dyDescent="0.25">
      <c r="C88" s="35"/>
      <c r="D88" s="35"/>
      <c r="E88" s="35" t="str">
        <f t="shared" si="0"/>
        <v>0</v>
      </c>
      <c r="F88" s="35" t="str">
        <f t="shared" si="1"/>
        <v>0</v>
      </c>
      <c r="G88" s="35" t="str">
        <f t="shared" si="2"/>
        <v>0</v>
      </c>
      <c r="H88" s="35" t="str">
        <f t="shared" si="3"/>
        <v>0</v>
      </c>
      <c r="I88" s="35" t="str">
        <f t="shared" si="4"/>
        <v>0</v>
      </c>
      <c r="J88" s="35" t="str">
        <f t="shared" si="5"/>
        <v>0</v>
      </c>
      <c r="K88" s="35" t="str">
        <f t="shared" si="6"/>
        <v>0</v>
      </c>
      <c r="L88" s="92"/>
      <c r="M88" s="92"/>
      <c r="N88" s="92"/>
      <c r="O88" s="92"/>
      <c r="P88" s="92"/>
      <c r="Q88" s="92"/>
      <c r="R88" s="92"/>
    </row>
    <row r="89" spans="3:18" ht="41.45" customHeight="1" x14ac:dyDescent="0.25">
      <c r="C89" s="35"/>
      <c r="D89" s="35"/>
      <c r="E89" s="35" t="str">
        <f t="shared" si="0"/>
        <v>0</v>
      </c>
      <c r="F89" s="35" t="str">
        <f t="shared" si="1"/>
        <v>0</v>
      </c>
      <c r="G89" s="35" t="str">
        <f t="shared" si="2"/>
        <v>0</v>
      </c>
      <c r="H89" s="35" t="str">
        <f t="shared" si="3"/>
        <v>0</v>
      </c>
      <c r="I89" s="35" t="str">
        <f t="shared" si="4"/>
        <v>0</v>
      </c>
      <c r="J89" s="35" t="str">
        <f t="shared" si="5"/>
        <v>0</v>
      </c>
      <c r="K89" s="35" t="str">
        <f t="shared" si="6"/>
        <v>0</v>
      </c>
      <c r="L89" s="92"/>
      <c r="M89" s="92"/>
      <c r="N89" s="92"/>
      <c r="O89" s="92"/>
      <c r="P89" s="92"/>
      <c r="Q89" s="92"/>
      <c r="R89" s="92"/>
    </row>
    <row r="90" spans="3:18" ht="41.45" customHeight="1" x14ac:dyDescent="0.25">
      <c r="C90" s="35"/>
      <c r="D90" s="35"/>
      <c r="E90" s="35" t="str">
        <f t="shared" si="0"/>
        <v>0</v>
      </c>
      <c r="F90" s="35" t="str">
        <f t="shared" si="1"/>
        <v>0</v>
      </c>
      <c r="G90" s="35" t="str">
        <f t="shared" si="2"/>
        <v>0</v>
      </c>
      <c r="H90" s="35" t="str">
        <f t="shared" si="3"/>
        <v>0</v>
      </c>
      <c r="I90" s="35" t="str">
        <f t="shared" si="4"/>
        <v>0</v>
      </c>
      <c r="J90" s="35" t="str">
        <f t="shared" si="5"/>
        <v>0</v>
      </c>
      <c r="K90" s="35" t="str">
        <f t="shared" si="6"/>
        <v>0</v>
      </c>
      <c r="L90" s="92"/>
      <c r="M90" s="92"/>
      <c r="N90" s="92"/>
      <c r="O90" s="92"/>
      <c r="P90" s="92"/>
      <c r="Q90" s="92"/>
      <c r="R90" s="92"/>
    </row>
    <row r="91" spans="3:18" ht="41.45" customHeight="1" x14ac:dyDescent="0.25">
      <c r="C91" s="35"/>
      <c r="D91" s="35"/>
      <c r="E91" s="35" t="str">
        <f t="shared" si="0"/>
        <v>0</v>
      </c>
      <c r="F91" s="35" t="str">
        <f t="shared" si="1"/>
        <v>0</v>
      </c>
      <c r="G91" s="35" t="str">
        <f t="shared" si="2"/>
        <v>0</v>
      </c>
      <c r="H91" s="35" t="str">
        <f t="shared" si="3"/>
        <v>0</v>
      </c>
      <c r="I91" s="35" t="str">
        <f t="shared" si="4"/>
        <v>0</v>
      </c>
      <c r="J91" s="35" t="str">
        <f t="shared" si="5"/>
        <v>0</v>
      </c>
      <c r="K91" s="35" t="str">
        <f t="shared" si="6"/>
        <v>0</v>
      </c>
      <c r="L91" s="92"/>
      <c r="M91" s="92"/>
      <c r="N91" s="92"/>
      <c r="O91" s="92"/>
      <c r="P91" s="92"/>
      <c r="Q91" s="92"/>
      <c r="R91" s="92"/>
    </row>
    <row r="92" spans="3:18" ht="41.45" customHeight="1" x14ac:dyDescent="0.25">
      <c r="C92" s="35"/>
      <c r="D92" s="35"/>
      <c r="E92" s="35" t="str">
        <f t="shared" si="0"/>
        <v>0</v>
      </c>
      <c r="F92" s="35" t="str">
        <f t="shared" si="1"/>
        <v>0</v>
      </c>
      <c r="G92" s="35" t="str">
        <f t="shared" si="2"/>
        <v>0</v>
      </c>
      <c r="H92" s="35" t="str">
        <f t="shared" si="3"/>
        <v>0</v>
      </c>
      <c r="I92" s="35" t="str">
        <f t="shared" si="4"/>
        <v>0</v>
      </c>
      <c r="J92" s="35" t="str">
        <f t="shared" si="5"/>
        <v>0</v>
      </c>
      <c r="K92" s="35" t="str">
        <f t="shared" si="6"/>
        <v>0</v>
      </c>
      <c r="L92" s="92"/>
      <c r="M92" s="92"/>
      <c r="N92" s="92"/>
      <c r="O92" s="92"/>
      <c r="P92" s="92"/>
      <c r="Q92" s="92"/>
      <c r="R92" s="92"/>
    </row>
    <row r="93" spans="3:18" ht="41.45" customHeight="1" x14ac:dyDescent="0.25">
      <c r="C93" s="35"/>
      <c r="D93" s="35"/>
      <c r="E93" s="35" t="str">
        <f t="shared" si="0"/>
        <v>0</v>
      </c>
      <c r="F93" s="35" t="str">
        <f t="shared" si="1"/>
        <v>0</v>
      </c>
      <c r="G93" s="35" t="str">
        <f t="shared" si="2"/>
        <v>0</v>
      </c>
      <c r="H93" s="35" t="str">
        <f t="shared" si="3"/>
        <v>0</v>
      </c>
      <c r="I93" s="35" t="str">
        <f t="shared" si="4"/>
        <v>0</v>
      </c>
      <c r="J93" s="35" t="str">
        <f t="shared" si="5"/>
        <v>0</v>
      </c>
      <c r="K93" s="35" t="str">
        <f t="shared" si="6"/>
        <v>0</v>
      </c>
      <c r="L93" s="92"/>
      <c r="M93" s="92"/>
      <c r="N93" s="92"/>
      <c r="O93" s="92"/>
      <c r="P93" s="92"/>
      <c r="Q93" s="92"/>
      <c r="R93" s="92"/>
    </row>
    <row r="94" spans="3:18" ht="41.45" customHeight="1" x14ac:dyDescent="0.25">
      <c r="C94" s="35"/>
      <c r="D94" s="35"/>
      <c r="E94" s="35" t="str">
        <f t="shared" si="0"/>
        <v>0</v>
      </c>
      <c r="F94" s="35" t="str">
        <f t="shared" si="1"/>
        <v>0</v>
      </c>
      <c r="G94" s="35" t="str">
        <f t="shared" si="2"/>
        <v>0</v>
      </c>
      <c r="H94" s="35" t="str">
        <f t="shared" si="3"/>
        <v>0</v>
      </c>
      <c r="I94" s="35" t="str">
        <f t="shared" si="4"/>
        <v>0</v>
      </c>
      <c r="J94" s="35" t="str">
        <f t="shared" si="5"/>
        <v>0</v>
      </c>
      <c r="K94" s="35" t="str">
        <f t="shared" si="6"/>
        <v>0</v>
      </c>
      <c r="L94" s="92"/>
      <c r="M94" s="92"/>
      <c r="N94" s="92"/>
      <c r="O94" s="92"/>
      <c r="P94" s="92"/>
      <c r="Q94" s="92"/>
      <c r="R94" s="92"/>
    </row>
    <row r="95" spans="3:18" ht="41.45" customHeight="1" x14ac:dyDescent="0.25">
      <c r="C95" s="35"/>
      <c r="D95" s="35"/>
      <c r="E95" s="35" t="str">
        <f t="shared" si="0"/>
        <v>0</v>
      </c>
      <c r="F95" s="35" t="str">
        <f t="shared" si="1"/>
        <v>0</v>
      </c>
      <c r="G95" s="35" t="str">
        <f t="shared" si="2"/>
        <v>0</v>
      </c>
      <c r="H95" s="35" t="str">
        <f t="shared" si="3"/>
        <v>0</v>
      </c>
      <c r="I95" s="35" t="str">
        <f t="shared" si="4"/>
        <v>0</v>
      </c>
      <c r="J95" s="35" t="str">
        <f t="shared" si="5"/>
        <v>0</v>
      </c>
      <c r="K95" s="35" t="str">
        <f t="shared" si="6"/>
        <v>0</v>
      </c>
      <c r="L95" s="92"/>
      <c r="M95" s="92"/>
      <c r="N95" s="92"/>
      <c r="O95" s="92"/>
      <c r="P95" s="92"/>
      <c r="Q95" s="92"/>
      <c r="R95" s="92"/>
    </row>
    <row r="96" spans="3:18" ht="41.45" customHeight="1" x14ac:dyDescent="0.25">
      <c r="C96" s="35"/>
      <c r="D96" s="35"/>
      <c r="E96" s="35" t="str">
        <f t="shared" si="0"/>
        <v>0</v>
      </c>
      <c r="F96" s="35" t="str">
        <f t="shared" si="1"/>
        <v>0</v>
      </c>
      <c r="G96" s="35" t="str">
        <f t="shared" si="2"/>
        <v>0</v>
      </c>
      <c r="H96" s="35" t="str">
        <f t="shared" si="3"/>
        <v>0</v>
      </c>
      <c r="I96" s="35" t="str">
        <f t="shared" si="4"/>
        <v>0</v>
      </c>
      <c r="J96" s="35" t="str">
        <f t="shared" si="5"/>
        <v>0</v>
      </c>
      <c r="K96" s="35" t="str">
        <f t="shared" si="6"/>
        <v>0</v>
      </c>
      <c r="L96" s="92"/>
      <c r="M96" s="92"/>
      <c r="N96" s="92"/>
      <c r="O96" s="92"/>
      <c r="P96" s="92"/>
      <c r="Q96" s="92"/>
      <c r="R96" s="92"/>
    </row>
    <row r="97" spans="3:18" ht="41.45" customHeight="1" x14ac:dyDescent="0.25">
      <c r="C97" s="35"/>
      <c r="D97" s="35"/>
      <c r="E97" s="35" t="str">
        <f t="shared" si="0"/>
        <v>0</v>
      </c>
      <c r="F97" s="35" t="str">
        <f t="shared" si="1"/>
        <v>0</v>
      </c>
      <c r="G97" s="35" t="str">
        <f t="shared" si="2"/>
        <v>0</v>
      </c>
      <c r="H97" s="35" t="str">
        <f t="shared" si="3"/>
        <v>0</v>
      </c>
      <c r="I97" s="35" t="str">
        <f t="shared" si="4"/>
        <v>0</v>
      </c>
      <c r="J97" s="35" t="str">
        <f t="shared" si="5"/>
        <v>0</v>
      </c>
      <c r="K97" s="35" t="str">
        <f t="shared" si="6"/>
        <v>0</v>
      </c>
      <c r="L97" s="92"/>
      <c r="M97" s="92"/>
      <c r="N97" s="92"/>
      <c r="O97" s="92"/>
      <c r="P97" s="92"/>
      <c r="Q97" s="92"/>
      <c r="R97" s="92"/>
    </row>
    <row r="98" spans="3:18" ht="41.45" customHeight="1" x14ac:dyDescent="0.25">
      <c r="C98" s="35"/>
      <c r="D98" s="35"/>
      <c r="E98" s="35" t="str">
        <f t="shared" si="0"/>
        <v>0</v>
      </c>
      <c r="F98" s="35" t="str">
        <f t="shared" si="1"/>
        <v>0</v>
      </c>
      <c r="G98" s="35" t="str">
        <f t="shared" si="2"/>
        <v>0</v>
      </c>
      <c r="H98" s="35" t="str">
        <f t="shared" si="3"/>
        <v>0</v>
      </c>
      <c r="I98" s="35" t="str">
        <f t="shared" si="4"/>
        <v>0</v>
      </c>
      <c r="J98" s="35" t="str">
        <f t="shared" si="5"/>
        <v>0</v>
      </c>
      <c r="K98" s="35" t="str">
        <f t="shared" si="6"/>
        <v>0</v>
      </c>
      <c r="L98" s="92"/>
      <c r="M98" s="92"/>
      <c r="N98" s="92"/>
      <c r="O98" s="92"/>
      <c r="P98" s="92"/>
      <c r="Q98" s="92"/>
      <c r="R98" s="92"/>
    </row>
    <row r="99" spans="3:18" ht="41.45" customHeight="1" x14ac:dyDescent="0.25">
      <c r="C99" s="35"/>
      <c r="D99" s="35"/>
      <c r="E99" s="35" t="str">
        <f t="shared" si="0"/>
        <v>0</v>
      </c>
      <c r="F99" s="35" t="str">
        <f t="shared" si="1"/>
        <v>0</v>
      </c>
      <c r="G99" s="35" t="str">
        <f t="shared" si="2"/>
        <v>0</v>
      </c>
      <c r="H99" s="35" t="str">
        <f t="shared" si="3"/>
        <v>0</v>
      </c>
      <c r="I99" s="35" t="str">
        <f t="shared" si="4"/>
        <v>0</v>
      </c>
      <c r="J99" s="35" t="str">
        <f t="shared" si="5"/>
        <v>0</v>
      </c>
      <c r="K99" s="35" t="str">
        <f t="shared" si="6"/>
        <v>0</v>
      </c>
      <c r="L99" s="92"/>
      <c r="M99" s="92"/>
      <c r="N99" s="92"/>
      <c r="O99" s="92"/>
      <c r="P99" s="92"/>
      <c r="Q99" s="92"/>
      <c r="R99" s="92"/>
    </row>
    <row r="100" spans="3:18" ht="41.45" customHeight="1" x14ac:dyDescent="0.25">
      <c r="C100" s="35"/>
      <c r="D100" s="35"/>
      <c r="E100" s="35" t="str">
        <f t="shared" si="0"/>
        <v>0</v>
      </c>
      <c r="F100" s="35" t="str">
        <f t="shared" si="1"/>
        <v>0</v>
      </c>
      <c r="G100" s="35" t="str">
        <f t="shared" si="2"/>
        <v>0</v>
      </c>
      <c r="H100" s="35" t="str">
        <f t="shared" si="3"/>
        <v>0</v>
      </c>
      <c r="I100" s="35" t="str">
        <f t="shared" si="4"/>
        <v>0</v>
      </c>
      <c r="J100" s="35" t="str">
        <f t="shared" si="5"/>
        <v>0</v>
      </c>
      <c r="K100" s="35" t="str">
        <f t="shared" si="6"/>
        <v>0</v>
      </c>
      <c r="L100" s="92"/>
      <c r="M100" s="92"/>
      <c r="N100" s="92"/>
      <c r="O100" s="92"/>
      <c r="P100" s="92"/>
      <c r="Q100" s="92"/>
      <c r="R100" s="92"/>
    </row>
    <row r="101" spans="3:18" ht="41.45" customHeight="1" x14ac:dyDescent="0.25">
      <c r="C101" s="35"/>
      <c r="D101" s="35"/>
      <c r="E101" s="35" t="str">
        <f t="shared" si="0"/>
        <v>0</v>
      </c>
      <c r="F101" s="35" t="str">
        <f t="shared" si="1"/>
        <v>0</v>
      </c>
      <c r="G101" s="35" t="str">
        <f t="shared" si="2"/>
        <v>0</v>
      </c>
      <c r="H101" s="35" t="str">
        <f t="shared" si="3"/>
        <v>0</v>
      </c>
      <c r="I101" s="35" t="str">
        <f t="shared" si="4"/>
        <v>0</v>
      </c>
      <c r="J101" s="35" t="str">
        <f t="shared" si="5"/>
        <v>0</v>
      </c>
      <c r="K101" s="35" t="str">
        <f t="shared" si="6"/>
        <v>0</v>
      </c>
      <c r="L101" s="92"/>
      <c r="M101" s="92"/>
      <c r="N101" s="92"/>
      <c r="O101" s="92"/>
      <c r="P101" s="92"/>
      <c r="Q101" s="92"/>
      <c r="R101" s="92"/>
    </row>
    <row r="102" spans="3:18" ht="41.45" customHeight="1" x14ac:dyDescent="0.25">
      <c r="C102" s="35"/>
      <c r="D102" s="35"/>
      <c r="E102" s="35" t="str">
        <f t="shared" si="0"/>
        <v>0</v>
      </c>
      <c r="F102" s="35" t="str">
        <f t="shared" si="1"/>
        <v>0</v>
      </c>
      <c r="G102" s="35" t="str">
        <f t="shared" si="2"/>
        <v>0</v>
      </c>
      <c r="H102" s="35" t="str">
        <f t="shared" si="3"/>
        <v>0</v>
      </c>
      <c r="I102" s="35" t="str">
        <f t="shared" si="4"/>
        <v>0</v>
      </c>
      <c r="J102" s="35" t="str">
        <f t="shared" si="5"/>
        <v>0</v>
      </c>
      <c r="K102" s="35" t="str">
        <f t="shared" si="6"/>
        <v>0</v>
      </c>
      <c r="L102" s="92"/>
      <c r="M102" s="92"/>
      <c r="N102" s="92"/>
      <c r="O102" s="92"/>
      <c r="P102" s="92"/>
      <c r="Q102" s="92"/>
      <c r="R102" s="92"/>
    </row>
    <row r="103" spans="3:18" ht="41.45" customHeight="1" x14ac:dyDescent="0.25">
      <c r="C103" s="35"/>
      <c r="D103" s="35"/>
      <c r="E103" s="35" t="str">
        <f t="shared" si="0"/>
        <v>0</v>
      </c>
      <c r="F103" s="35" t="str">
        <f t="shared" si="1"/>
        <v>0</v>
      </c>
      <c r="G103" s="35" t="str">
        <f t="shared" si="2"/>
        <v>0</v>
      </c>
      <c r="H103" s="35" t="str">
        <f t="shared" si="3"/>
        <v>0</v>
      </c>
      <c r="I103" s="35" t="str">
        <f t="shared" si="4"/>
        <v>0</v>
      </c>
      <c r="J103" s="35" t="str">
        <f t="shared" si="5"/>
        <v>0</v>
      </c>
      <c r="K103" s="35" t="str">
        <f t="shared" si="6"/>
        <v>0</v>
      </c>
      <c r="L103" s="92"/>
      <c r="M103" s="92"/>
      <c r="N103" s="92"/>
      <c r="O103" s="92"/>
      <c r="P103" s="92"/>
      <c r="Q103" s="92"/>
      <c r="R103" s="92"/>
    </row>
    <row r="104" spans="3:18" ht="41.45" customHeight="1" x14ac:dyDescent="0.25">
      <c r="C104" s="35"/>
      <c r="D104" s="35"/>
      <c r="E104" s="35" t="str">
        <f t="shared" si="0"/>
        <v>0</v>
      </c>
      <c r="F104" s="35" t="str">
        <f t="shared" si="1"/>
        <v>0</v>
      </c>
      <c r="G104" s="35" t="str">
        <f t="shared" si="2"/>
        <v>0</v>
      </c>
      <c r="H104" s="35" t="str">
        <f t="shared" si="3"/>
        <v>0</v>
      </c>
      <c r="I104" s="35" t="str">
        <f t="shared" si="4"/>
        <v>0</v>
      </c>
      <c r="J104" s="35" t="str">
        <f t="shared" si="5"/>
        <v>0</v>
      </c>
      <c r="K104" s="35" t="str">
        <f t="shared" si="6"/>
        <v>0</v>
      </c>
      <c r="L104" s="92"/>
      <c r="M104" s="92"/>
      <c r="N104" s="92"/>
      <c r="O104" s="92"/>
      <c r="P104" s="92"/>
      <c r="Q104" s="92"/>
      <c r="R104" s="92"/>
    </row>
    <row r="105" spans="3:18" ht="41.45" customHeight="1" x14ac:dyDescent="0.25">
      <c r="C105" s="35"/>
      <c r="D105" s="35"/>
      <c r="E105" s="35" t="str">
        <f t="shared" si="0"/>
        <v>0</v>
      </c>
      <c r="F105" s="35" t="str">
        <f t="shared" si="1"/>
        <v>0</v>
      </c>
      <c r="G105" s="35" t="str">
        <f t="shared" si="2"/>
        <v>0</v>
      </c>
      <c r="H105" s="35" t="str">
        <f t="shared" si="3"/>
        <v>0</v>
      </c>
      <c r="I105" s="35" t="str">
        <f t="shared" si="4"/>
        <v>0</v>
      </c>
      <c r="J105" s="35" t="str">
        <f t="shared" si="5"/>
        <v>0</v>
      </c>
      <c r="K105" s="35" t="str">
        <f t="shared" si="6"/>
        <v>0</v>
      </c>
      <c r="L105" s="92"/>
      <c r="M105" s="92"/>
      <c r="N105" s="92"/>
      <c r="O105" s="92"/>
      <c r="P105" s="92"/>
      <c r="Q105" s="92"/>
      <c r="R105" s="92"/>
    </row>
    <row r="106" spans="3:18" ht="41.45" customHeight="1" x14ac:dyDescent="0.25">
      <c r="C106" s="35"/>
      <c r="D106" s="35"/>
      <c r="E106" s="35" t="str">
        <f t="shared" si="0"/>
        <v>0</v>
      </c>
      <c r="F106" s="35" t="str">
        <f t="shared" si="1"/>
        <v>0</v>
      </c>
      <c r="G106" s="35" t="str">
        <f t="shared" si="2"/>
        <v>0</v>
      </c>
      <c r="H106" s="35" t="str">
        <f t="shared" si="3"/>
        <v>0</v>
      </c>
      <c r="I106" s="35" t="str">
        <f t="shared" si="4"/>
        <v>0</v>
      </c>
      <c r="J106" s="35" t="str">
        <f t="shared" si="5"/>
        <v>0</v>
      </c>
      <c r="K106" s="35" t="str">
        <f t="shared" si="6"/>
        <v>0</v>
      </c>
      <c r="L106" s="92"/>
      <c r="M106" s="92"/>
      <c r="N106" s="92"/>
      <c r="O106" s="92"/>
      <c r="P106" s="92"/>
      <c r="Q106" s="92"/>
      <c r="R106" s="92"/>
    </row>
    <row r="107" spans="3:18" ht="41.45" customHeight="1" x14ac:dyDescent="0.25">
      <c r="C107" s="35"/>
      <c r="D107" s="35"/>
      <c r="E107" s="35" t="str">
        <f t="shared" si="0"/>
        <v>0</v>
      </c>
      <c r="F107" s="35" t="str">
        <f t="shared" si="1"/>
        <v>0</v>
      </c>
      <c r="G107" s="35" t="str">
        <f t="shared" si="2"/>
        <v>0</v>
      </c>
      <c r="H107" s="35" t="str">
        <f t="shared" si="3"/>
        <v>0</v>
      </c>
      <c r="I107" s="35" t="str">
        <f t="shared" si="4"/>
        <v>0</v>
      </c>
      <c r="J107" s="35" t="str">
        <f t="shared" si="5"/>
        <v>0</v>
      </c>
      <c r="K107" s="35" t="str">
        <f t="shared" si="6"/>
        <v>0</v>
      </c>
      <c r="L107" s="92"/>
      <c r="M107" s="92"/>
      <c r="N107" s="92"/>
      <c r="O107" s="92"/>
      <c r="P107" s="92"/>
      <c r="Q107" s="92"/>
      <c r="R107" s="92"/>
    </row>
    <row r="108" spans="3:18" ht="41.45" customHeight="1" x14ac:dyDescent="0.25">
      <c r="C108" s="35"/>
      <c r="D108" s="35"/>
      <c r="E108" s="35" t="str">
        <f t="shared" si="0"/>
        <v>0</v>
      </c>
      <c r="F108" s="35" t="str">
        <f t="shared" si="1"/>
        <v>0</v>
      </c>
      <c r="G108" s="35" t="str">
        <f t="shared" si="2"/>
        <v>0</v>
      </c>
      <c r="H108" s="35" t="str">
        <f t="shared" si="3"/>
        <v>0</v>
      </c>
      <c r="I108" s="35" t="str">
        <f t="shared" si="4"/>
        <v>0</v>
      </c>
      <c r="J108" s="35" t="str">
        <f t="shared" si="5"/>
        <v>0</v>
      </c>
      <c r="K108" s="35" t="str">
        <f t="shared" si="6"/>
        <v>0</v>
      </c>
      <c r="L108" s="92"/>
      <c r="M108" s="92"/>
      <c r="N108" s="92"/>
      <c r="O108" s="92"/>
      <c r="P108" s="92"/>
      <c r="Q108" s="92"/>
      <c r="R108" s="92"/>
    </row>
    <row r="109" spans="3:18" ht="41.45" customHeight="1" x14ac:dyDescent="0.25">
      <c r="C109" s="35"/>
      <c r="D109" s="35"/>
      <c r="E109" s="35" t="str">
        <f t="shared" si="0"/>
        <v>0</v>
      </c>
      <c r="F109" s="35" t="str">
        <f t="shared" si="1"/>
        <v>0</v>
      </c>
      <c r="G109" s="35" t="str">
        <f t="shared" si="2"/>
        <v>0</v>
      </c>
      <c r="H109" s="35" t="str">
        <f t="shared" si="3"/>
        <v>0</v>
      </c>
      <c r="I109" s="35" t="str">
        <f t="shared" si="4"/>
        <v>0</v>
      </c>
      <c r="J109" s="35" t="str">
        <f t="shared" si="5"/>
        <v>0</v>
      </c>
      <c r="K109" s="35" t="str">
        <f t="shared" si="6"/>
        <v>0</v>
      </c>
      <c r="L109" s="92"/>
      <c r="M109" s="92"/>
      <c r="N109" s="92"/>
      <c r="O109" s="92"/>
      <c r="P109" s="92"/>
      <c r="Q109" s="92"/>
      <c r="R109" s="92"/>
    </row>
    <row r="110" spans="3:18" ht="23.25" x14ac:dyDescent="0.25">
      <c r="E110" s="35" t="str">
        <f t="shared" si="0"/>
        <v>0</v>
      </c>
      <c r="F110" s="35" t="str">
        <f t="shared" si="1"/>
        <v>0</v>
      </c>
      <c r="G110" s="35" t="str">
        <f t="shared" si="2"/>
        <v>0</v>
      </c>
      <c r="H110" s="35" t="str">
        <f t="shared" si="3"/>
        <v>0</v>
      </c>
      <c r="I110" s="35" t="str">
        <f t="shared" si="4"/>
        <v>0</v>
      </c>
      <c r="J110" s="35" t="str">
        <f t="shared" si="5"/>
        <v>0</v>
      </c>
      <c r="K110" s="35" t="str">
        <f t="shared" si="6"/>
        <v>0</v>
      </c>
    </row>
    <row r="111" spans="3:18" ht="23.25" x14ac:dyDescent="0.25">
      <c r="E111" s="35" t="str">
        <f t="shared" si="0"/>
        <v>0</v>
      </c>
      <c r="F111" s="35" t="str">
        <f t="shared" si="1"/>
        <v>0</v>
      </c>
      <c r="G111" s="35" t="str">
        <f t="shared" si="2"/>
        <v>0</v>
      </c>
      <c r="H111" s="35" t="str">
        <f t="shared" si="3"/>
        <v>0</v>
      </c>
      <c r="I111" s="35" t="str">
        <f t="shared" si="4"/>
        <v>0</v>
      </c>
      <c r="J111" s="35" t="str">
        <f t="shared" si="5"/>
        <v>0</v>
      </c>
      <c r="K111" s="35" t="str">
        <f t="shared" si="6"/>
        <v>0</v>
      </c>
    </row>
    <row r="112" spans="3:18" ht="23.25" x14ac:dyDescent="0.25">
      <c r="E112" s="35" t="str">
        <f t="shared" si="0"/>
        <v>0</v>
      </c>
      <c r="F112" s="35" t="str">
        <f t="shared" si="1"/>
        <v>0</v>
      </c>
      <c r="G112" s="35" t="str">
        <f t="shared" si="2"/>
        <v>0</v>
      </c>
      <c r="H112" s="35" t="str">
        <f t="shared" si="3"/>
        <v>0</v>
      </c>
      <c r="I112" s="35" t="str">
        <f t="shared" si="4"/>
        <v>0</v>
      </c>
      <c r="J112" s="35" t="str">
        <f t="shared" si="5"/>
        <v>0</v>
      </c>
      <c r="K112" s="35" t="str">
        <f t="shared" si="6"/>
        <v>0</v>
      </c>
    </row>
    <row r="113" spans="5:11" ht="23.25" x14ac:dyDescent="0.25">
      <c r="E113" s="35" t="str">
        <f t="shared" si="0"/>
        <v>0</v>
      </c>
      <c r="F113" s="35" t="str">
        <f t="shared" si="1"/>
        <v>0</v>
      </c>
      <c r="G113" s="35" t="str">
        <f t="shared" si="2"/>
        <v>0</v>
      </c>
      <c r="H113" s="35" t="str">
        <f t="shared" si="3"/>
        <v>0</v>
      </c>
      <c r="I113" s="35" t="str">
        <f t="shared" si="4"/>
        <v>0</v>
      </c>
      <c r="J113" s="35" t="str">
        <f t="shared" si="5"/>
        <v>0</v>
      </c>
      <c r="K113" s="35" t="str">
        <f t="shared" si="6"/>
        <v>0</v>
      </c>
    </row>
    <row r="114" spans="5:11" ht="23.25" x14ac:dyDescent="0.25">
      <c r="E114" s="35" t="str">
        <f t="shared" si="0"/>
        <v>0</v>
      </c>
      <c r="F114" s="35" t="str">
        <f t="shared" si="1"/>
        <v>0</v>
      </c>
      <c r="G114" s="35" t="str">
        <f t="shared" si="2"/>
        <v>0</v>
      </c>
      <c r="H114" s="35" t="str">
        <f t="shared" si="3"/>
        <v>0</v>
      </c>
      <c r="I114" s="35" t="str">
        <f t="shared" si="4"/>
        <v>0</v>
      </c>
      <c r="J114" s="35" t="str">
        <f t="shared" si="5"/>
        <v>0</v>
      </c>
      <c r="K114" s="35" t="str">
        <f t="shared" si="6"/>
        <v>0</v>
      </c>
    </row>
    <row r="115" spans="5:11" ht="23.25" x14ac:dyDescent="0.25">
      <c r="E115" s="35" t="str">
        <f t="shared" si="0"/>
        <v>0</v>
      </c>
      <c r="F115" s="35" t="str">
        <f t="shared" si="1"/>
        <v>0</v>
      </c>
      <c r="G115" s="35" t="str">
        <f t="shared" si="2"/>
        <v>0</v>
      </c>
      <c r="H115" s="35" t="str">
        <f t="shared" si="3"/>
        <v>0</v>
      </c>
      <c r="I115" s="35" t="str">
        <f t="shared" si="4"/>
        <v>0</v>
      </c>
      <c r="J115" s="35" t="str">
        <f t="shared" si="5"/>
        <v>0</v>
      </c>
      <c r="K115" s="35" t="str">
        <f t="shared" si="6"/>
        <v>0</v>
      </c>
    </row>
    <row r="116" spans="5:11" ht="23.25" x14ac:dyDescent="0.25">
      <c r="E116" s="35" t="str">
        <f t="shared" si="0"/>
        <v>0</v>
      </c>
      <c r="F116" s="35" t="str">
        <f t="shared" si="1"/>
        <v>0</v>
      </c>
      <c r="G116" s="35" t="str">
        <f t="shared" si="2"/>
        <v>0</v>
      </c>
      <c r="H116" s="35" t="str">
        <f t="shared" si="3"/>
        <v>0</v>
      </c>
      <c r="I116" s="35" t="str">
        <f t="shared" si="4"/>
        <v>0</v>
      </c>
      <c r="J116" s="35" t="str">
        <f t="shared" si="5"/>
        <v>0</v>
      </c>
      <c r="K116" s="35" t="str">
        <f t="shared" si="6"/>
        <v>0</v>
      </c>
    </row>
    <row r="117" spans="5:11" ht="23.25" x14ac:dyDescent="0.25">
      <c r="E117" s="35" t="str">
        <f t="shared" si="0"/>
        <v>0</v>
      </c>
      <c r="F117" s="35" t="str">
        <f t="shared" si="1"/>
        <v>0</v>
      </c>
      <c r="G117" s="35" t="str">
        <f t="shared" si="2"/>
        <v>0</v>
      </c>
      <c r="H117" s="35" t="str">
        <f t="shared" si="3"/>
        <v>0</v>
      </c>
      <c r="I117" s="35" t="str">
        <f t="shared" si="4"/>
        <v>0</v>
      </c>
      <c r="J117" s="35" t="str">
        <f t="shared" si="5"/>
        <v>0</v>
      </c>
      <c r="K117" s="35" t="str">
        <f t="shared" si="6"/>
        <v>0</v>
      </c>
    </row>
    <row r="118" spans="5:11" ht="23.25" x14ac:dyDescent="0.25">
      <c r="E118" s="35" t="str">
        <f t="shared" si="0"/>
        <v>0</v>
      </c>
      <c r="F118" s="35" t="str">
        <f t="shared" si="1"/>
        <v>0</v>
      </c>
      <c r="G118" s="35" t="str">
        <f t="shared" si="2"/>
        <v>0</v>
      </c>
      <c r="H118" s="35" t="str">
        <f t="shared" si="3"/>
        <v>0</v>
      </c>
      <c r="I118" s="35" t="str">
        <f t="shared" si="4"/>
        <v>0</v>
      </c>
      <c r="J118" s="35" t="str">
        <f t="shared" si="5"/>
        <v>0</v>
      </c>
      <c r="K118" s="35" t="str">
        <f t="shared" si="6"/>
        <v>0</v>
      </c>
    </row>
    <row r="119" spans="5:11" ht="23.25" x14ac:dyDescent="0.25">
      <c r="E119" s="35" t="str">
        <f t="shared" si="0"/>
        <v>0</v>
      </c>
      <c r="F119" s="35" t="str">
        <f t="shared" si="1"/>
        <v>0</v>
      </c>
      <c r="G119" s="35" t="str">
        <f t="shared" si="2"/>
        <v>0</v>
      </c>
      <c r="H119" s="35" t="str">
        <f t="shared" si="3"/>
        <v>0</v>
      </c>
      <c r="I119" s="35" t="str">
        <f t="shared" si="4"/>
        <v>0</v>
      </c>
      <c r="J119" s="35" t="str">
        <f t="shared" si="5"/>
        <v>0</v>
      </c>
      <c r="K119" s="35" t="str">
        <f t="shared" si="6"/>
        <v>0</v>
      </c>
    </row>
    <row r="120" spans="5:11" ht="23.25" x14ac:dyDescent="0.25">
      <c r="E120" s="35" t="str">
        <f t="shared" si="0"/>
        <v>0</v>
      </c>
      <c r="F120" s="35" t="str">
        <f t="shared" si="1"/>
        <v>0</v>
      </c>
      <c r="G120" s="35" t="str">
        <f t="shared" si="2"/>
        <v>0</v>
      </c>
      <c r="H120" s="35" t="str">
        <f t="shared" si="3"/>
        <v>0</v>
      </c>
      <c r="I120" s="35" t="str">
        <f t="shared" si="4"/>
        <v>0</v>
      </c>
      <c r="J120" s="35" t="str">
        <f t="shared" si="5"/>
        <v>0</v>
      </c>
      <c r="K120" s="35" t="str">
        <f t="shared" si="6"/>
        <v>0</v>
      </c>
    </row>
    <row r="121" spans="5:11" ht="23.25" x14ac:dyDescent="0.25">
      <c r="E121" s="35" t="str">
        <f t="shared" si="0"/>
        <v>0</v>
      </c>
      <c r="F121" s="35" t="str">
        <f t="shared" si="1"/>
        <v>0</v>
      </c>
      <c r="G121" s="35" t="str">
        <f t="shared" si="2"/>
        <v>0</v>
      </c>
      <c r="H121" s="35" t="str">
        <f t="shared" si="3"/>
        <v>0</v>
      </c>
      <c r="I121" s="35" t="str">
        <f t="shared" si="4"/>
        <v>0</v>
      </c>
      <c r="J121" s="35" t="str">
        <f t="shared" si="5"/>
        <v>0</v>
      </c>
      <c r="K121" s="35" t="str">
        <f t="shared" si="6"/>
        <v>0</v>
      </c>
    </row>
    <row r="122" spans="5:11" ht="23.25" x14ac:dyDescent="0.25">
      <c r="E122" s="35" t="str">
        <f t="shared" si="0"/>
        <v>0</v>
      </c>
      <c r="F122" s="35" t="str">
        <f t="shared" si="1"/>
        <v>0</v>
      </c>
      <c r="G122" s="35" t="str">
        <f t="shared" si="2"/>
        <v>0</v>
      </c>
      <c r="H122" s="35" t="str">
        <f t="shared" si="3"/>
        <v>0</v>
      </c>
      <c r="I122" s="35" t="str">
        <f t="shared" si="4"/>
        <v>0</v>
      </c>
      <c r="J122" s="35" t="str">
        <f t="shared" si="5"/>
        <v>0</v>
      </c>
      <c r="K122" s="35" t="str">
        <f t="shared" si="6"/>
        <v>0</v>
      </c>
    </row>
    <row r="123" spans="5:11" ht="23.25" x14ac:dyDescent="0.25">
      <c r="E123" s="35" t="str">
        <f t="shared" si="0"/>
        <v>0</v>
      </c>
      <c r="F123" s="35" t="str">
        <f t="shared" si="1"/>
        <v>0</v>
      </c>
      <c r="G123" s="35" t="str">
        <f t="shared" si="2"/>
        <v>0</v>
      </c>
      <c r="H123" s="35" t="str">
        <f t="shared" si="3"/>
        <v>0</v>
      </c>
      <c r="I123" s="35" t="str">
        <f t="shared" si="4"/>
        <v>0</v>
      </c>
      <c r="J123" s="35" t="str">
        <f t="shared" si="5"/>
        <v>0</v>
      </c>
      <c r="K123" s="35" t="str">
        <f t="shared" si="6"/>
        <v>0</v>
      </c>
    </row>
    <row r="124" spans="5:11" ht="23.25" x14ac:dyDescent="0.25">
      <c r="E124" s="35" t="str">
        <f t="shared" si="0"/>
        <v>0</v>
      </c>
      <c r="F124" s="35" t="str">
        <f t="shared" si="1"/>
        <v>0</v>
      </c>
      <c r="G124" s="35" t="str">
        <f t="shared" si="2"/>
        <v>0</v>
      </c>
      <c r="H124" s="35" t="str">
        <f t="shared" si="3"/>
        <v>0</v>
      </c>
      <c r="I124" s="35" t="str">
        <f t="shared" si="4"/>
        <v>0</v>
      </c>
      <c r="J124" s="35" t="str">
        <f t="shared" si="5"/>
        <v>0</v>
      </c>
      <c r="K124" s="35" t="str">
        <f t="shared" si="6"/>
        <v>0</v>
      </c>
    </row>
    <row r="125" spans="5:11" ht="23.25" x14ac:dyDescent="0.25">
      <c r="E125" s="35" t="str">
        <f t="shared" si="0"/>
        <v>0</v>
      </c>
      <c r="F125" s="35" t="str">
        <f t="shared" si="1"/>
        <v>0</v>
      </c>
      <c r="G125" s="35" t="str">
        <f t="shared" si="2"/>
        <v>0</v>
      </c>
      <c r="H125" s="35" t="str">
        <f t="shared" si="3"/>
        <v>0</v>
      </c>
      <c r="I125" s="35" t="str">
        <f t="shared" si="4"/>
        <v>0</v>
      </c>
      <c r="J125" s="35" t="str">
        <f t="shared" si="5"/>
        <v>0</v>
      </c>
      <c r="K125" s="35" t="str">
        <f t="shared" si="6"/>
        <v>0</v>
      </c>
    </row>
    <row r="126" spans="5:11" ht="23.25" x14ac:dyDescent="0.25">
      <c r="E126" s="35" t="str">
        <f t="shared" si="0"/>
        <v>0</v>
      </c>
      <c r="F126" s="35" t="str">
        <f t="shared" si="1"/>
        <v>0</v>
      </c>
      <c r="G126" s="35" t="str">
        <f t="shared" si="2"/>
        <v>0</v>
      </c>
      <c r="H126" s="35" t="str">
        <f t="shared" si="3"/>
        <v>0</v>
      </c>
      <c r="I126" s="35" t="str">
        <f t="shared" si="4"/>
        <v>0</v>
      </c>
      <c r="J126" s="35" t="str">
        <f t="shared" si="5"/>
        <v>0</v>
      </c>
      <c r="K126" s="35" t="str">
        <f t="shared" si="6"/>
        <v>0</v>
      </c>
    </row>
    <row r="127" spans="5:11" ht="23.25" x14ac:dyDescent="0.25">
      <c r="E127" s="35" t="str">
        <f t="shared" si="0"/>
        <v>0</v>
      </c>
      <c r="F127" s="35" t="str">
        <f t="shared" si="1"/>
        <v>0</v>
      </c>
      <c r="G127" s="35" t="str">
        <f t="shared" si="2"/>
        <v>0</v>
      </c>
      <c r="H127" s="35" t="str">
        <f t="shared" si="3"/>
        <v>0</v>
      </c>
      <c r="I127" s="35" t="str">
        <f t="shared" si="4"/>
        <v>0</v>
      </c>
      <c r="J127" s="35" t="str">
        <f t="shared" si="5"/>
        <v>0</v>
      </c>
      <c r="K127" s="35" t="str">
        <f t="shared" si="6"/>
        <v>0</v>
      </c>
    </row>
    <row r="128" spans="5:11" ht="23.25" x14ac:dyDescent="0.25">
      <c r="E128" s="35" t="str">
        <f t="shared" si="0"/>
        <v>0</v>
      </c>
      <c r="F128" s="35" t="str">
        <f t="shared" si="1"/>
        <v>0</v>
      </c>
      <c r="G128" s="35" t="str">
        <f t="shared" si="2"/>
        <v>0</v>
      </c>
      <c r="H128" s="35" t="str">
        <f t="shared" si="3"/>
        <v>0</v>
      </c>
      <c r="I128" s="35" t="str">
        <f t="shared" si="4"/>
        <v>0</v>
      </c>
      <c r="J128" s="35" t="str">
        <f t="shared" si="5"/>
        <v>0</v>
      </c>
      <c r="K128" s="35" t="str">
        <f t="shared" si="6"/>
        <v>0</v>
      </c>
    </row>
    <row r="129" spans="5:11" ht="61.5" customHeight="1" x14ac:dyDescent="0.25">
      <c r="E129" s="35">
        <f>SUM(E77:E128)</f>
        <v>67.819999999999993</v>
      </c>
      <c r="F129" s="35">
        <f t="shared" ref="F129:K129" si="7">SUM(F77:F128)</f>
        <v>0</v>
      </c>
      <c r="G129" s="35">
        <f t="shared" si="7"/>
        <v>0</v>
      </c>
      <c r="H129" s="35">
        <f t="shared" si="7"/>
        <v>0</v>
      </c>
      <c r="I129" s="35">
        <f t="shared" si="7"/>
        <v>67.819999999999993</v>
      </c>
      <c r="J129" s="35">
        <f t="shared" si="7"/>
        <v>0</v>
      </c>
      <c r="K129" s="35">
        <f t="shared" si="7"/>
        <v>0</v>
      </c>
    </row>
    <row r="130" spans="5:11" ht="102" customHeight="1" x14ac:dyDescent="0.25"/>
  </sheetData>
  <mergeCells count="109">
    <mergeCell ref="L53:R53"/>
    <mergeCell ref="L54:R54"/>
    <mergeCell ref="L48:R48"/>
    <mergeCell ref="L49:R49"/>
    <mergeCell ref="L50:R50"/>
    <mergeCell ref="L51:R51"/>
    <mergeCell ref="L52:R52"/>
    <mergeCell ref="L43:R43"/>
    <mergeCell ref="L44:R44"/>
    <mergeCell ref="L45:R45"/>
    <mergeCell ref="L46:R46"/>
    <mergeCell ref="L47:R47"/>
    <mergeCell ref="L26:R26"/>
    <mergeCell ref="L27:R27"/>
    <mergeCell ref="L38:R38"/>
    <mergeCell ref="L39:R39"/>
    <mergeCell ref="L40:R40"/>
    <mergeCell ref="L41:R41"/>
    <mergeCell ref="L42:R42"/>
    <mergeCell ref="L33:R33"/>
    <mergeCell ref="L34:R34"/>
    <mergeCell ref="L35:R35"/>
    <mergeCell ref="L36:R36"/>
    <mergeCell ref="L37:R37"/>
    <mergeCell ref="A5:A6"/>
    <mergeCell ref="B5:B6"/>
    <mergeCell ref="C5:C6"/>
    <mergeCell ref="D5:D6"/>
    <mergeCell ref="E5:H5"/>
    <mergeCell ref="L11:R11"/>
    <mergeCell ref="I1:I2"/>
    <mergeCell ref="J1:J2"/>
    <mergeCell ref="L1:M2"/>
    <mergeCell ref="N1:R2"/>
    <mergeCell ref="I5:K5"/>
    <mergeCell ref="L5:R6"/>
    <mergeCell ref="L7:R7"/>
    <mergeCell ref="L8:R8"/>
    <mergeCell ref="L9:R9"/>
    <mergeCell ref="L10:R10"/>
    <mergeCell ref="L63:R63"/>
    <mergeCell ref="L12:R12"/>
    <mergeCell ref="L13:R13"/>
    <mergeCell ref="L14:R14"/>
    <mergeCell ref="L15:R15"/>
    <mergeCell ref="L16:R16"/>
    <mergeCell ref="L17:R17"/>
    <mergeCell ref="L18:R18"/>
    <mergeCell ref="L59:R59"/>
    <mergeCell ref="L60:R60"/>
    <mergeCell ref="L61:R61"/>
    <mergeCell ref="L62:R62"/>
    <mergeCell ref="L19:R19"/>
    <mergeCell ref="L20:R20"/>
    <mergeCell ref="L21:R21"/>
    <mergeCell ref="L22:R22"/>
    <mergeCell ref="L28:R28"/>
    <mergeCell ref="L29:R29"/>
    <mergeCell ref="L30:R30"/>
    <mergeCell ref="L31:R31"/>
    <mergeCell ref="L32:R32"/>
    <mergeCell ref="L23:R23"/>
    <mergeCell ref="L24:R24"/>
    <mergeCell ref="L25:R25"/>
    <mergeCell ref="L75:R75"/>
    <mergeCell ref="L64:R64"/>
    <mergeCell ref="L65:R65"/>
    <mergeCell ref="L66:R66"/>
    <mergeCell ref="L67:R67"/>
    <mergeCell ref="L68:R68"/>
    <mergeCell ref="L69:R69"/>
    <mergeCell ref="L70:R70"/>
    <mergeCell ref="L71:R71"/>
    <mergeCell ref="L72:R72"/>
    <mergeCell ref="L73:R73"/>
    <mergeCell ref="L74:R74"/>
    <mergeCell ref="L88:R88"/>
    <mergeCell ref="L77:R77"/>
    <mergeCell ref="L78:R78"/>
    <mergeCell ref="L79:R79"/>
    <mergeCell ref="L80:R80"/>
    <mergeCell ref="L81:R81"/>
    <mergeCell ref="L82:R82"/>
    <mergeCell ref="L83:R83"/>
    <mergeCell ref="L84:R84"/>
    <mergeCell ref="L85:R85"/>
    <mergeCell ref="L86:R86"/>
    <mergeCell ref="L87:R87"/>
    <mergeCell ref="L100:R100"/>
    <mergeCell ref="L89:R89"/>
    <mergeCell ref="L90:R90"/>
    <mergeCell ref="L91:R91"/>
    <mergeCell ref="L92:R92"/>
    <mergeCell ref="L93:R93"/>
    <mergeCell ref="L94:R94"/>
    <mergeCell ref="L95:R95"/>
    <mergeCell ref="L96:R96"/>
    <mergeCell ref="L97:R97"/>
    <mergeCell ref="L98:R98"/>
    <mergeCell ref="L99:R99"/>
    <mergeCell ref="L107:R107"/>
    <mergeCell ref="L108:R108"/>
    <mergeCell ref="L109:R109"/>
    <mergeCell ref="L101:R101"/>
    <mergeCell ref="L102:R102"/>
    <mergeCell ref="L103:R103"/>
    <mergeCell ref="L104:R104"/>
    <mergeCell ref="L105:R105"/>
    <mergeCell ref="L106:R106"/>
  </mergeCells>
  <phoneticPr fontId="21" type="noConversion"/>
  <pageMargins left="0.51181102362204722" right="0.51181102362204722" top="0.78740157480314965" bottom="0.78740157480314965" header="0.31496062992125984" footer="0.31496062992125984"/>
  <pageSetup paperSize="9" scale="21" orientation="landscape" horizontalDpi="1200" verticalDpi="1200" r:id="rId1"/>
  <colBreaks count="1" manualBreakCount="1">
    <brk id="18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36320-525D-40CC-8FCF-023E533E7FD6}">
  <sheetPr>
    <tabColor theme="2"/>
    <pageSetUpPr fitToPage="1"/>
  </sheetPr>
  <dimension ref="A1:R68"/>
  <sheetViews>
    <sheetView view="pageBreakPreview" zoomScale="55" zoomScaleNormal="10" zoomScaleSheetLayoutView="55" workbookViewId="0">
      <selection activeCell="A7" sqref="A7:A8"/>
    </sheetView>
  </sheetViews>
  <sheetFormatPr defaultColWidth="8.85546875" defaultRowHeight="15" x14ac:dyDescent="0.25"/>
  <cols>
    <col min="1" max="1" width="33.28515625" style="1" customWidth="1"/>
    <col min="2" max="2" width="17.140625" style="1" customWidth="1"/>
    <col min="3" max="4" width="13.42578125" style="1" customWidth="1"/>
    <col min="5" max="5" width="26.5703125" style="2" customWidth="1"/>
    <col min="6" max="6" width="30.140625" style="2" customWidth="1"/>
    <col min="7" max="7" width="26.5703125" style="2" customWidth="1"/>
    <col min="8" max="8" width="33.140625" style="2" customWidth="1"/>
    <col min="9" max="11" width="32" style="2" customWidth="1"/>
    <col min="12" max="14" width="14.42578125" style="1" customWidth="1"/>
    <col min="15" max="17" width="14.7109375" style="1" customWidth="1"/>
    <col min="18" max="18" width="37.42578125" style="1" customWidth="1"/>
    <col min="19" max="16384" width="8.85546875" style="1"/>
  </cols>
  <sheetData>
    <row r="1" spans="1:18" ht="19.5" x14ac:dyDescent="0.3">
      <c r="A1" s="9" t="s">
        <v>0</v>
      </c>
      <c r="B1" s="10"/>
      <c r="C1" s="10"/>
      <c r="D1" s="10"/>
      <c r="E1" s="11"/>
      <c r="F1" s="12"/>
      <c r="G1" s="11"/>
      <c r="H1" s="11"/>
      <c r="I1" s="98" t="s">
        <v>3</v>
      </c>
      <c r="J1" s="120">
        <f>'245'!J1</f>
        <v>46204</v>
      </c>
      <c r="K1" s="11"/>
      <c r="L1" s="102" t="s">
        <v>4</v>
      </c>
      <c r="M1" s="102"/>
      <c r="N1" s="104" t="str">
        <f>'245'!N1</f>
        <v>ENG. THIAGO TORQUATO</v>
      </c>
      <c r="O1" s="104"/>
      <c r="P1" s="104"/>
      <c r="Q1" s="104"/>
      <c r="R1" s="105"/>
    </row>
    <row r="2" spans="1:18" ht="20.25" thickBot="1" x14ac:dyDescent="0.35">
      <c r="A2" s="13"/>
      <c r="B2" s="14"/>
      <c r="C2" s="14"/>
      <c r="D2" s="14"/>
      <c r="E2" s="15"/>
      <c r="F2" s="16" t="s">
        <v>9</v>
      </c>
      <c r="G2" s="15"/>
      <c r="H2" s="15"/>
      <c r="I2" s="99"/>
      <c r="J2" s="121"/>
      <c r="K2" s="16"/>
      <c r="L2" s="103"/>
      <c r="M2" s="103"/>
      <c r="N2" s="106"/>
      <c r="O2" s="106"/>
      <c r="P2" s="106"/>
      <c r="Q2" s="106"/>
      <c r="R2" s="107"/>
    </row>
    <row r="3" spans="1:18" ht="25.5" x14ac:dyDescent="0.35">
      <c r="A3" s="13" t="s">
        <v>21</v>
      </c>
      <c r="B3" s="45" t="str">
        <f>TT!C11</f>
        <v>RODOVIA TO-476 - TRECHO RIO DA CONCEIÇÃO - ENTR. TO-477</v>
      </c>
      <c r="C3" s="14"/>
      <c r="D3" s="14"/>
      <c r="E3" s="15"/>
      <c r="F3" s="15"/>
      <c r="G3" s="15"/>
      <c r="H3" s="15"/>
      <c r="I3" s="47" t="s">
        <v>107</v>
      </c>
      <c r="J3" s="47">
        <v>13</v>
      </c>
      <c r="K3" s="15"/>
      <c r="L3" s="14"/>
      <c r="M3" s="14"/>
      <c r="N3" s="14"/>
      <c r="O3" s="14"/>
      <c r="P3" s="14"/>
      <c r="Q3" s="14"/>
      <c r="R3" s="17"/>
    </row>
    <row r="4" spans="1:18" ht="19.899999999999999" thickBot="1" x14ac:dyDescent="0.4">
      <c r="A4" s="18"/>
      <c r="B4" s="14"/>
      <c r="C4" s="14"/>
      <c r="D4" s="14"/>
      <c r="E4" s="15"/>
      <c r="F4" s="15"/>
      <c r="G4" s="15"/>
      <c r="H4" s="15"/>
      <c r="I4" s="15"/>
      <c r="J4" s="15"/>
      <c r="K4" s="15"/>
      <c r="L4" s="14"/>
      <c r="M4" s="14"/>
      <c r="N4" s="14"/>
      <c r="O4" s="14"/>
      <c r="P4" s="14"/>
      <c r="Q4" s="14"/>
      <c r="R4" s="17"/>
    </row>
    <row r="5" spans="1:18" s="5" customFormat="1" ht="54" customHeight="1" x14ac:dyDescent="0.25">
      <c r="A5" s="112" t="s">
        <v>1</v>
      </c>
      <c r="B5" s="108" t="s">
        <v>7</v>
      </c>
      <c r="C5" s="114" t="s">
        <v>5</v>
      </c>
      <c r="D5" s="114" t="s">
        <v>6</v>
      </c>
      <c r="E5" s="108" t="s">
        <v>10</v>
      </c>
      <c r="F5" s="108"/>
      <c r="G5" s="108"/>
      <c r="H5" s="108"/>
      <c r="I5" s="108" t="s">
        <v>11</v>
      </c>
      <c r="J5" s="108"/>
      <c r="K5" s="108"/>
      <c r="L5" s="108" t="s">
        <v>8</v>
      </c>
      <c r="M5" s="108"/>
      <c r="N5" s="108"/>
      <c r="O5" s="108"/>
      <c r="P5" s="108"/>
      <c r="Q5" s="108"/>
      <c r="R5" s="109"/>
    </row>
    <row r="6" spans="1:18" s="6" customFormat="1" ht="79.150000000000006" customHeight="1" x14ac:dyDescent="0.25">
      <c r="A6" s="113"/>
      <c r="B6" s="110"/>
      <c r="C6" s="110"/>
      <c r="D6" s="110"/>
      <c r="E6" s="7" t="s">
        <v>2</v>
      </c>
      <c r="F6" s="8" t="s">
        <v>15</v>
      </c>
      <c r="G6" s="8" t="s">
        <v>16</v>
      </c>
      <c r="H6" s="8" t="s">
        <v>17</v>
      </c>
      <c r="I6" s="7" t="s">
        <v>12</v>
      </c>
      <c r="J6" s="7" t="s">
        <v>13</v>
      </c>
      <c r="K6" s="7" t="s">
        <v>14</v>
      </c>
      <c r="L6" s="110"/>
      <c r="M6" s="110"/>
      <c r="N6" s="110"/>
      <c r="O6" s="110"/>
      <c r="P6" s="110"/>
      <c r="Q6" s="110"/>
      <c r="R6" s="111"/>
    </row>
    <row r="7" spans="1:18" ht="41.45" customHeight="1" x14ac:dyDescent="0.4">
      <c r="A7" s="58" t="s">
        <v>74</v>
      </c>
      <c r="B7" s="21" t="s">
        <v>121</v>
      </c>
      <c r="C7" s="22">
        <v>0</v>
      </c>
      <c r="D7" s="22">
        <v>5.0999999999999996</v>
      </c>
      <c r="E7" s="21" t="s">
        <v>109</v>
      </c>
      <c r="F7" s="21"/>
      <c r="G7" s="21"/>
      <c r="H7" s="21"/>
      <c r="I7" s="21"/>
      <c r="J7" s="21" t="s">
        <v>109</v>
      </c>
      <c r="K7" s="21"/>
      <c r="L7" s="96"/>
      <c r="M7" s="96"/>
      <c r="N7" s="96"/>
      <c r="O7" s="96"/>
      <c r="P7" s="96"/>
      <c r="Q7" s="96"/>
      <c r="R7" s="97"/>
    </row>
    <row r="8" spans="1:18" ht="41.45" customHeight="1" x14ac:dyDescent="0.35">
      <c r="A8" s="58" t="s">
        <v>74</v>
      </c>
      <c r="B8" s="21"/>
      <c r="C8" s="22">
        <f>D7</f>
        <v>5.0999999999999996</v>
      </c>
      <c r="D8" s="22">
        <v>14.3</v>
      </c>
      <c r="E8" s="21"/>
      <c r="F8" s="21" t="s">
        <v>109</v>
      </c>
      <c r="G8" s="21"/>
      <c r="H8" s="21"/>
      <c r="I8" s="21"/>
      <c r="J8" s="21" t="s">
        <v>109</v>
      </c>
      <c r="K8" s="21"/>
      <c r="L8" s="96"/>
      <c r="M8" s="96"/>
      <c r="N8" s="96"/>
      <c r="O8" s="96"/>
      <c r="P8" s="96"/>
      <c r="Q8" s="96"/>
      <c r="R8" s="97"/>
    </row>
    <row r="9" spans="1:18" ht="41.45" customHeight="1" x14ac:dyDescent="0.25">
      <c r="A9" s="32"/>
      <c r="B9" s="21"/>
      <c r="C9" s="22"/>
      <c r="D9" s="22"/>
      <c r="E9" s="21"/>
      <c r="F9" s="21"/>
      <c r="G9" s="21"/>
      <c r="H9" s="21"/>
      <c r="I9" s="21"/>
      <c r="J9" s="21"/>
      <c r="K9" s="21"/>
      <c r="L9" s="96"/>
      <c r="M9" s="96"/>
      <c r="N9" s="96"/>
      <c r="O9" s="96"/>
      <c r="P9" s="96"/>
      <c r="Q9" s="96"/>
      <c r="R9" s="97"/>
    </row>
    <row r="10" spans="1:18" ht="41.45" customHeight="1" x14ac:dyDescent="0.25">
      <c r="A10" s="32"/>
      <c r="B10" s="21"/>
      <c r="C10" s="22"/>
      <c r="D10" s="22"/>
      <c r="E10" s="21"/>
      <c r="F10" s="21"/>
      <c r="G10" s="21"/>
      <c r="H10" s="21"/>
      <c r="I10" s="21"/>
      <c r="J10" s="21"/>
      <c r="K10" s="21"/>
      <c r="L10" s="96"/>
      <c r="M10" s="96"/>
      <c r="N10" s="96"/>
      <c r="O10" s="96"/>
      <c r="P10" s="96"/>
      <c r="Q10" s="96"/>
      <c r="R10" s="97"/>
    </row>
    <row r="11" spans="1:18" ht="41.45" customHeight="1" x14ac:dyDescent="0.25">
      <c r="A11" s="32"/>
      <c r="B11" s="21"/>
      <c r="C11" s="22"/>
      <c r="D11" s="22"/>
      <c r="E11" s="21"/>
      <c r="F11" s="21"/>
      <c r="G11" s="21"/>
      <c r="H11" s="21"/>
      <c r="I11" s="21"/>
      <c r="J11" s="21"/>
      <c r="K11" s="21"/>
      <c r="L11" s="96"/>
      <c r="M11" s="96"/>
      <c r="N11" s="96"/>
      <c r="O11" s="96"/>
      <c r="P11" s="96"/>
      <c r="Q11" s="96"/>
      <c r="R11" s="97"/>
    </row>
    <row r="12" spans="1:18" ht="41.45" customHeight="1" x14ac:dyDescent="0.25">
      <c r="A12" s="32"/>
      <c r="B12" s="21"/>
      <c r="C12" s="22"/>
      <c r="D12" s="22"/>
      <c r="E12" s="21"/>
      <c r="F12" s="21"/>
      <c r="G12" s="21"/>
      <c r="H12" s="21"/>
      <c r="I12" s="21"/>
      <c r="J12" s="21"/>
      <c r="K12" s="21"/>
      <c r="L12" s="96"/>
      <c r="M12" s="96"/>
      <c r="N12" s="96"/>
      <c r="O12" s="96"/>
      <c r="P12" s="96"/>
      <c r="Q12" s="96"/>
      <c r="R12" s="97"/>
    </row>
    <row r="13" spans="1:18" ht="41.45" customHeight="1" x14ac:dyDescent="0.25">
      <c r="A13" s="32"/>
      <c r="B13" s="21"/>
      <c r="C13" s="22"/>
      <c r="D13" s="22"/>
      <c r="E13" s="21"/>
      <c r="F13" s="21"/>
      <c r="G13" s="21"/>
      <c r="H13" s="21"/>
      <c r="I13" s="21"/>
      <c r="J13" s="21"/>
      <c r="K13" s="21"/>
      <c r="L13" s="96"/>
      <c r="M13" s="96"/>
      <c r="N13" s="96"/>
      <c r="O13" s="96"/>
      <c r="P13" s="96"/>
      <c r="Q13" s="96"/>
      <c r="R13" s="97"/>
    </row>
    <row r="14" spans="1:18" ht="41.45" customHeight="1" x14ac:dyDescent="0.25">
      <c r="A14" s="32"/>
      <c r="B14" s="21"/>
      <c r="C14" s="22"/>
      <c r="D14" s="22"/>
      <c r="E14" s="21"/>
      <c r="F14" s="21"/>
      <c r="G14" s="21"/>
      <c r="H14" s="21"/>
      <c r="I14" s="21"/>
      <c r="J14" s="21"/>
      <c r="K14" s="21"/>
      <c r="L14" s="96"/>
      <c r="M14" s="96"/>
      <c r="N14" s="96"/>
      <c r="O14" s="96"/>
      <c r="P14" s="96"/>
      <c r="Q14" s="96"/>
      <c r="R14" s="97"/>
    </row>
    <row r="15" spans="1:18" ht="41.45" customHeight="1" x14ac:dyDescent="0.25">
      <c r="A15" s="32"/>
      <c r="B15" s="21"/>
      <c r="C15" s="22"/>
      <c r="D15" s="22"/>
      <c r="E15" s="21"/>
      <c r="F15" s="21"/>
      <c r="G15" s="21"/>
      <c r="H15" s="21"/>
      <c r="I15" s="21"/>
      <c r="J15" s="21"/>
      <c r="K15" s="21"/>
      <c r="L15" s="96"/>
      <c r="M15" s="96"/>
      <c r="N15" s="96"/>
      <c r="O15" s="96"/>
      <c r="P15" s="96"/>
      <c r="Q15" s="96"/>
      <c r="R15" s="97"/>
    </row>
    <row r="16" spans="1:18" ht="41.45" customHeight="1" x14ac:dyDescent="0.25">
      <c r="A16" s="32"/>
      <c r="B16" s="21"/>
      <c r="C16" s="22"/>
      <c r="D16" s="22"/>
      <c r="E16" s="21"/>
      <c r="F16" s="21"/>
      <c r="G16" s="21"/>
      <c r="H16" s="21"/>
      <c r="I16" s="21"/>
      <c r="J16" s="21"/>
      <c r="K16" s="21"/>
      <c r="L16" s="96"/>
      <c r="M16" s="96"/>
      <c r="N16" s="96"/>
      <c r="O16" s="96"/>
      <c r="P16" s="96"/>
      <c r="Q16" s="96"/>
      <c r="R16" s="97"/>
    </row>
    <row r="17" spans="1:18" ht="41.45" customHeight="1" x14ac:dyDescent="0.25">
      <c r="A17" s="32"/>
      <c r="B17" s="21"/>
      <c r="C17" s="22"/>
      <c r="D17" s="22"/>
      <c r="E17" s="21"/>
      <c r="F17" s="21"/>
      <c r="G17" s="21"/>
      <c r="H17" s="21"/>
      <c r="I17" s="21"/>
      <c r="J17" s="21"/>
      <c r="K17" s="21"/>
      <c r="L17" s="96"/>
      <c r="M17" s="96"/>
      <c r="N17" s="96"/>
      <c r="O17" s="96"/>
      <c r="P17" s="96"/>
      <c r="Q17" s="96"/>
      <c r="R17" s="97"/>
    </row>
    <row r="18" spans="1:18" ht="41.45" customHeight="1" x14ac:dyDescent="0.25">
      <c r="A18" s="19"/>
      <c r="B18" s="3"/>
      <c r="C18" s="22"/>
      <c r="D18" s="22"/>
      <c r="E18" s="21"/>
      <c r="F18" s="21"/>
      <c r="G18" s="21"/>
      <c r="H18" s="21"/>
      <c r="I18" s="21"/>
      <c r="J18" s="21"/>
      <c r="K18" s="21"/>
      <c r="L18" s="96"/>
      <c r="M18" s="96"/>
      <c r="N18" s="96"/>
      <c r="O18" s="96"/>
      <c r="P18" s="96"/>
      <c r="Q18" s="96"/>
      <c r="R18" s="97"/>
    </row>
    <row r="19" spans="1:18" ht="41.45" customHeight="1" x14ac:dyDescent="0.25">
      <c r="A19" s="19"/>
      <c r="B19" s="3"/>
      <c r="C19" s="22"/>
      <c r="D19" s="22"/>
      <c r="E19" s="21"/>
      <c r="F19" s="21"/>
      <c r="G19" s="21"/>
      <c r="H19" s="21"/>
      <c r="I19" s="21"/>
      <c r="J19" s="21"/>
      <c r="K19" s="21"/>
      <c r="L19" s="96"/>
      <c r="M19" s="96"/>
      <c r="N19" s="96"/>
      <c r="O19" s="96"/>
      <c r="P19" s="96"/>
      <c r="Q19" s="96"/>
      <c r="R19" s="97"/>
    </row>
    <row r="20" spans="1:18" ht="41.45" customHeight="1" x14ac:dyDescent="0.25">
      <c r="A20" s="19"/>
      <c r="B20" s="3"/>
      <c r="C20" s="22"/>
      <c r="D20" s="22"/>
      <c r="E20" s="21"/>
      <c r="F20" s="21"/>
      <c r="G20" s="21"/>
      <c r="H20" s="21"/>
      <c r="I20" s="21"/>
      <c r="J20" s="21"/>
      <c r="K20" s="21"/>
      <c r="L20" s="96"/>
      <c r="M20" s="96"/>
      <c r="N20" s="96"/>
      <c r="O20" s="96"/>
      <c r="P20" s="96"/>
      <c r="Q20" s="96"/>
      <c r="R20" s="97"/>
    </row>
    <row r="21" spans="1:18" ht="41.45" customHeight="1" x14ac:dyDescent="0.25">
      <c r="A21" s="19"/>
      <c r="B21" s="3"/>
      <c r="C21" s="22"/>
      <c r="D21" s="22"/>
      <c r="E21" s="21"/>
      <c r="F21" s="21"/>
      <c r="G21" s="21"/>
      <c r="H21" s="21"/>
      <c r="I21" s="21"/>
      <c r="J21" s="21"/>
      <c r="K21" s="21"/>
      <c r="L21" s="96"/>
      <c r="M21" s="96"/>
      <c r="N21" s="96"/>
      <c r="O21" s="96"/>
      <c r="P21" s="96"/>
      <c r="Q21" s="96"/>
      <c r="R21" s="97"/>
    </row>
    <row r="22" spans="1:18" ht="41.45" customHeight="1" x14ac:dyDescent="0.25">
      <c r="A22" s="19"/>
      <c r="B22" s="3"/>
      <c r="C22" s="22"/>
      <c r="D22" s="22"/>
      <c r="E22" s="21"/>
      <c r="F22" s="21"/>
      <c r="G22" s="21"/>
      <c r="H22" s="21"/>
      <c r="I22" s="21"/>
      <c r="J22" s="21"/>
      <c r="K22" s="21"/>
      <c r="L22" s="96"/>
      <c r="M22" s="96"/>
      <c r="N22" s="96"/>
      <c r="O22" s="96"/>
      <c r="P22" s="96"/>
      <c r="Q22" s="96"/>
      <c r="R22" s="97"/>
    </row>
    <row r="23" spans="1:18" ht="41.45" customHeight="1" x14ac:dyDescent="0.25">
      <c r="A23" s="19"/>
      <c r="B23" s="3"/>
      <c r="C23" s="22"/>
      <c r="D23" s="22"/>
      <c r="E23" s="21"/>
      <c r="F23" s="21"/>
      <c r="G23" s="21"/>
      <c r="H23" s="21"/>
      <c r="I23" s="21"/>
      <c r="J23" s="21"/>
      <c r="K23" s="21"/>
      <c r="L23" s="96"/>
      <c r="M23" s="96"/>
      <c r="N23" s="96"/>
      <c r="O23" s="96"/>
      <c r="P23" s="96"/>
      <c r="Q23" s="96"/>
      <c r="R23" s="97"/>
    </row>
    <row r="24" spans="1:18" ht="41.45" customHeight="1" x14ac:dyDescent="0.25">
      <c r="A24" s="19"/>
      <c r="B24" s="3"/>
      <c r="C24" s="22"/>
      <c r="D24" s="22"/>
      <c r="E24" s="21"/>
      <c r="F24" s="21"/>
      <c r="G24" s="21"/>
      <c r="H24" s="21"/>
      <c r="I24" s="21"/>
      <c r="J24" s="21"/>
      <c r="K24" s="21"/>
      <c r="L24" s="96"/>
      <c r="M24" s="96"/>
      <c r="N24" s="96"/>
      <c r="O24" s="96"/>
      <c r="P24" s="96"/>
      <c r="Q24" s="96"/>
      <c r="R24" s="97"/>
    </row>
    <row r="25" spans="1:18" ht="41.45" customHeight="1" x14ac:dyDescent="0.25">
      <c r="A25" s="19"/>
      <c r="B25" s="3"/>
      <c r="C25" s="22"/>
      <c r="D25" s="22"/>
      <c r="E25" s="21"/>
      <c r="F25" s="21"/>
      <c r="G25" s="21"/>
      <c r="H25" s="21"/>
      <c r="I25" s="21"/>
      <c r="J25" s="21"/>
      <c r="K25" s="21"/>
      <c r="L25" s="96"/>
      <c r="M25" s="96"/>
      <c r="N25" s="96"/>
      <c r="O25" s="96"/>
      <c r="P25" s="96"/>
      <c r="Q25" s="96"/>
      <c r="R25" s="97"/>
    </row>
    <row r="26" spans="1:18" ht="41.45" customHeight="1" x14ac:dyDescent="0.25">
      <c r="A26" s="19"/>
      <c r="B26" s="3"/>
      <c r="C26" s="22"/>
      <c r="D26" s="22"/>
      <c r="E26" s="21"/>
      <c r="F26" s="21"/>
      <c r="G26" s="21"/>
      <c r="H26" s="21"/>
      <c r="I26" s="21"/>
      <c r="J26" s="21"/>
      <c r="K26" s="21"/>
      <c r="L26" s="96"/>
      <c r="M26" s="96"/>
      <c r="N26" s="96"/>
      <c r="O26" s="96"/>
      <c r="P26" s="96"/>
      <c r="Q26" s="96"/>
      <c r="R26" s="97"/>
    </row>
    <row r="27" spans="1:18" ht="41.45" customHeight="1" x14ac:dyDescent="0.25">
      <c r="A27" s="19"/>
      <c r="B27" s="3"/>
      <c r="C27" s="22"/>
      <c r="D27" s="22"/>
      <c r="E27" s="21"/>
      <c r="F27" s="21"/>
      <c r="G27" s="21"/>
      <c r="H27" s="21"/>
      <c r="I27" s="21"/>
      <c r="J27" s="21"/>
      <c r="K27" s="21"/>
      <c r="L27" s="96"/>
      <c r="M27" s="96"/>
      <c r="N27" s="96"/>
      <c r="O27" s="96"/>
      <c r="P27" s="96"/>
      <c r="Q27" s="96"/>
      <c r="R27" s="97"/>
    </row>
    <row r="28" spans="1:18" ht="41.45" customHeight="1" x14ac:dyDescent="0.25">
      <c r="A28" s="19"/>
      <c r="B28" s="3"/>
      <c r="C28" s="22"/>
      <c r="D28" s="22"/>
      <c r="E28" s="21"/>
      <c r="F28" s="21"/>
      <c r="G28" s="21"/>
      <c r="H28" s="21"/>
      <c r="I28" s="21"/>
      <c r="J28" s="21"/>
      <c r="K28" s="21"/>
      <c r="L28" s="96"/>
      <c r="M28" s="96"/>
      <c r="N28" s="96"/>
      <c r="O28" s="96"/>
      <c r="P28" s="96"/>
      <c r="Q28" s="96"/>
      <c r="R28" s="97"/>
    </row>
    <row r="29" spans="1:18" ht="41.45" customHeight="1" x14ac:dyDescent="0.25">
      <c r="A29" s="19"/>
      <c r="B29" s="3"/>
      <c r="C29" s="22"/>
      <c r="D29" s="22"/>
      <c r="E29" s="21"/>
      <c r="F29" s="21"/>
      <c r="G29" s="21"/>
      <c r="H29" s="21"/>
      <c r="I29" s="21"/>
      <c r="J29" s="21"/>
      <c r="K29" s="21"/>
      <c r="L29" s="96"/>
      <c r="M29" s="96"/>
      <c r="N29" s="96"/>
      <c r="O29" s="96"/>
      <c r="P29" s="96"/>
      <c r="Q29" s="96"/>
      <c r="R29" s="97"/>
    </row>
    <row r="30" spans="1:18" ht="41.45" customHeight="1" x14ac:dyDescent="0.25">
      <c r="A30" s="19"/>
      <c r="B30" s="3"/>
      <c r="C30" s="22"/>
      <c r="D30" s="22"/>
      <c r="E30" s="21"/>
      <c r="F30" s="21"/>
      <c r="G30" s="21"/>
      <c r="H30" s="21"/>
      <c r="I30" s="21"/>
      <c r="J30" s="21"/>
      <c r="K30" s="21"/>
      <c r="L30" s="96"/>
      <c r="M30" s="96"/>
      <c r="N30" s="96"/>
      <c r="O30" s="96"/>
      <c r="P30" s="96"/>
      <c r="Q30" s="96"/>
      <c r="R30" s="97"/>
    </row>
    <row r="31" spans="1:18" ht="41.45" customHeight="1" x14ac:dyDescent="0.25">
      <c r="A31" s="19"/>
      <c r="B31" s="3"/>
      <c r="C31" s="22"/>
      <c r="D31" s="22"/>
      <c r="E31" s="21"/>
      <c r="F31" s="21"/>
      <c r="G31" s="21"/>
      <c r="H31" s="21"/>
      <c r="I31" s="21"/>
      <c r="J31" s="21"/>
      <c r="K31" s="21"/>
      <c r="L31" s="96"/>
      <c r="M31" s="96"/>
      <c r="N31" s="96"/>
      <c r="O31" s="96"/>
      <c r="P31" s="96"/>
      <c r="Q31" s="96"/>
      <c r="R31" s="97"/>
    </row>
    <row r="32" spans="1:18" ht="41.45" customHeight="1" x14ac:dyDescent="0.25">
      <c r="A32" s="19"/>
      <c r="B32" s="3"/>
      <c r="C32" s="22"/>
      <c r="D32" s="22"/>
      <c r="E32" s="21"/>
      <c r="F32" s="21"/>
      <c r="G32" s="21"/>
      <c r="H32" s="21"/>
      <c r="I32" s="21"/>
      <c r="J32" s="21"/>
      <c r="K32" s="21"/>
      <c r="L32" s="96"/>
      <c r="M32" s="96"/>
      <c r="N32" s="96"/>
      <c r="O32" s="96"/>
      <c r="P32" s="96"/>
      <c r="Q32" s="96"/>
      <c r="R32" s="97"/>
    </row>
    <row r="33" spans="1:18" ht="41.45" customHeight="1" x14ac:dyDescent="0.25">
      <c r="A33" s="19"/>
      <c r="B33" s="3"/>
      <c r="C33" s="22"/>
      <c r="D33" s="22"/>
      <c r="E33" s="21"/>
      <c r="F33" s="21"/>
      <c r="G33" s="21"/>
      <c r="H33" s="21"/>
      <c r="I33" s="21"/>
      <c r="J33" s="21"/>
      <c r="K33" s="21"/>
      <c r="L33" s="96"/>
      <c r="M33" s="96"/>
      <c r="N33" s="96"/>
      <c r="O33" s="96"/>
      <c r="P33" s="96"/>
      <c r="Q33" s="96"/>
      <c r="R33" s="97"/>
    </row>
    <row r="34" spans="1:18" ht="41.45" customHeight="1" x14ac:dyDescent="0.25">
      <c r="A34" s="19"/>
      <c r="B34" s="3"/>
      <c r="C34" s="22"/>
      <c r="D34" s="22"/>
      <c r="E34" s="21"/>
      <c r="F34" s="21"/>
      <c r="G34" s="21"/>
      <c r="H34" s="21"/>
      <c r="I34" s="21"/>
      <c r="J34" s="21"/>
      <c r="K34" s="21"/>
      <c r="L34" s="96"/>
      <c r="M34" s="96"/>
      <c r="N34" s="96"/>
      <c r="O34" s="96"/>
      <c r="P34" s="96"/>
      <c r="Q34" s="96"/>
      <c r="R34" s="97"/>
    </row>
    <row r="35" spans="1:18" ht="41.45" customHeight="1" thickBot="1" x14ac:dyDescent="0.3">
      <c r="A35" s="20"/>
      <c r="B35" s="4"/>
      <c r="C35" s="23"/>
      <c r="D35" s="23"/>
      <c r="E35" s="24"/>
      <c r="F35" s="24"/>
      <c r="G35" s="24"/>
      <c r="H35" s="24"/>
      <c r="I35" s="24"/>
      <c r="J35" s="24"/>
      <c r="K35" s="24"/>
      <c r="L35" s="94"/>
      <c r="M35" s="94"/>
      <c r="N35" s="94"/>
      <c r="O35" s="94"/>
      <c r="P35" s="94"/>
      <c r="Q35" s="94"/>
      <c r="R35" s="95"/>
    </row>
    <row r="36" spans="1:18" ht="41.45" customHeight="1" x14ac:dyDescent="0.25">
      <c r="A36" s="33"/>
      <c r="B36" s="33"/>
      <c r="C36" s="34"/>
      <c r="D36" s="34"/>
      <c r="E36" s="34">
        <f>IF(E7="X",(D7-C7),"0")</f>
        <v>5.0999999999999996</v>
      </c>
      <c r="F36" s="34" t="str">
        <f>IF(F7="X",(D7-C7),"0")</f>
        <v>0</v>
      </c>
      <c r="G36" s="34" t="str">
        <f>IF(G7="X",(D7-C7),"0")</f>
        <v>0</v>
      </c>
      <c r="H36" s="34" t="str">
        <f>IF(H7="X",(D7-C7),"0")</f>
        <v>0</v>
      </c>
      <c r="I36" s="34" t="str">
        <f>IF(I7="X",(D7-C7),"0")</f>
        <v>0</v>
      </c>
      <c r="J36" s="34">
        <f>IF(J7="X",(D7-C7),"0")</f>
        <v>5.0999999999999996</v>
      </c>
      <c r="K36" s="34" t="str">
        <f>IF(K7="X",(D7-C7),"0")</f>
        <v>0</v>
      </c>
      <c r="L36" s="93"/>
      <c r="M36" s="93"/>
      <c r="N36" s="93"/>
      <c r="O36" s="93"/>
      <c r="P36" s="93"/>
      <c r="Q36" s="93"/>
      <c r="R36" s="93"/>
    </row>
    <row r="37" spans="1:18" ht="41.45" customHeight="1" x14ac:dyDescent="0.25">
      <c r="C37" s="35"/>
      <c r="D37" s="35"/>
      <c r="E37" s="35" t="str">
        <f t="shared" ref="E37:E61" si="0">IF(E8="X",(D8-C8),"0")</f>
        <v>0</v>
      </c>
      <c r="F37" s="35">
        <f t="shared" ref="F37:F61" si="1">IF(F8="X",(D8-C8),"0")</f>
        <v>9.2000000000000011</v>
      </c>
      <c r="G37" s="35" t="str">
        <f t="shared" ref="G37:G61" si="2">IF(G8="X",(D8-C8),"0")</f>
        <v>0</v>
      </c>
      <c r="H37" s="35" t="str">
        <f t="shared" ref="H37:H61" si="3">IF(H8="X",(D8-C8),"0")</f>
        <v>0</v>
      </c>
      <c r="I37" s="35" t="str">
        <f t="shared" ref="I37:I61" si="4">IF(I8="X",(D8-C8),"0")</f>
        <v>0</v>
      </c>
      <c r="J37" s="35">
        <f t="shared" ref="J37:J61" si="5">IF(J8="X",(D8-C8),"0")</f>
        <v>9.2000000000000011</v>
      </c>
      <c r="K37" s="35" t="str">
        <f t="shared" ref="K37:K61" si="6">IF(K8="X",(D8-C8),"0")</f>
        <v>0</v>
      </c>
      <c r="L37" s="92"/>
      <c r="M37" s="92"/>
      <c r="N37" s="92"/>
      <c r="O37" s="92"/>
      <c r="P37" s="92"/>
      <c r="Q37" s="92"/>
      <c r="R37" s="92"/>
    </row>
    <row r="38" spans="1:18" ht="41.45" customHeight="1" x14ac:dyDescent="0.25">
      <c r="C38" s="35"/>
      <c r="D38" s="35"/>
      <c r="E38" s="35" t="str">
        <f t="shared" si="0"/>
        <v>0</v>
      </c>
      <c r="F38" s="35" t="str">
        <f t="shared" si="1"/>
        <v>0</v>
      </c>
      <c r="G38" s="35" t="str">
        <f t="shared" si="2"/>
        <v>0</v>
      </c>
      <c r="H38" s="35" t="str">
        <f t="shared" si="3"/>
        <v>0</v>
      </c>
      <c r="I38" s="35" t="str">
        <f t="shared" si="4"/>
        <v>0</v>
      </c>
      <c r="J38" s="35" t="str">
        <f t="shared" si="5"/>
        <v>0</v>
      </c>
      <c r="K38" s="35" t="str">
        <f t="shared" si="6"/>
        <v>0</v>
      </c>
      <c r="L38" s="92"/>
      <c r="M38" s="92"/>
      <c r="N38" s="92"/>
      <c r="O38" s="92"/>
      <c r="P38" s="92"/>
      <c r="Q38" s="92"/>
      <c r="R38" s="92"/>
    </row>
    <row r="39" spans="1:18" ht="41.45" customHeight="1" x14ac:dyDescent="0.25">
      <c r="C39" s="35"/>
      <c r="D39" s="35"/>
      <c r="E39" s="35" t="str">
        <f t="shared" si="0"/>
        <v>0</v>
      </c>
      <c r="F39" s="35" t="str">
        <f t="shared" si="1"/>
        <v>0</v>
      </c>
      <c r="G39" s="35" t="str">
        <f t="shared" si="2"/>
        <v>0</v>
      </c>
      <c r="H39" s="35" t="str">
        <f t="shared" si="3"/>
        <v>0</v>
      </c>
      <c r="I39" s="35" t="str">
        <f t="shared" si="4"/>
        <v>0</v>
      </c>
      <c r="J39" s="35" t="str">
        <f t="shared" si="5"/>
        <v>0</v>
      </c>
      <c r="K39" s="35" t="str">
        <f t="shared" si="6"/>
        <v>0</v>
      </c>
      <c r="L39" s="92"/>
      <c r="M39" s="92"/>
      <c r="N39" s="92"/>
      <c r="O39" s="92"/>
      <c r="P39" s="92"/>
      <c r="Q39" s="92"/>
      <c r="R39" s="92"/>
    </row>
    <row r="40" spans="1:18" ht="41.45" customHeight="1" x14ac:dyDescent="0.25">
      <c r="C40" s="35"/>
      <c r="D40" s="35"/>
      <c r="E40" s="35" t="str">
        <f t="shared" si="0"/>
        <v>0</v>
      </c>
      <c r="F40" s="35" t="str">
        <f t="shared" si="1"/>
        <v>0</v>
      </c>
      <c r="G40" s="35" t="str">
        <f t="shared" si="2"/>
        <v>0</v>
      </c>
      <c r="H40" s="35" t="str">
        <f t="shared" si="3"/>
        <v>0</v>
      </c>
      <c r="I40" s="35" t="str">
        <f t="shared" si="4"/>
        <v>0</v>
      </c>
      <c r="J40" s="35" t="str">
        <f t="shared" si="5"/>
        <v>0</v>
      </c>
      <c r="K40" s="35" t="str">
        <f t="shared" si="6"/>
        <v>0</v>
      </c>
      <c r="L40" s="92"/>
      <c r="M40" s="92"/>
      <c r="N40" s="92"/>
      <c r="O40" s="92"/>
      <c r="P40" s="92"/>
      <c r="Q40" s="92"/>
      <c r="R40" s="92"/>
    </row>
    <row r="41" spans="1:18" ht="41.45" customHeight="1" x14ac:dyDescent="0.25">
      <c r="C41" s="35"/>
      <c r="D41" s="35"/>
      <c r="E41" s="35" t="str">
        <f t="shared" si="0"/>
        <v>0</v>
      </c>
      <c r="F41" s="35" t="str">
        <f t="shared" si="1"/>
        <v>0</v>
      </c>
      <c r="G41" s="35" t="str">
        <f t="shared" si="2"/>
        <v>0</v>
      </c>
      <c r="H41" s="35" t="str">
        <f t="shared" si="3"/>
        <v>0</v>
      </c>
      <c r="I41" s="35" t="str">
        <f t="shared" si="4"/>
        <v>0</v>
      </c>
      <c r="J41" s="35" t="str">
        <f t="shared" si="5"/>
        <v>0</v>
      </c>
      <c r="K41" s="35" t="str">
        <f t="shared" si="6"/>
        <v>0</v>
      </c>
      <c r="L41" s="92"/>
      <c r="M41" s="92"/>
      <c r="N41" s="92"/>
      <c r="O41" s="92"/>
      <c r="P41" s="92"/>
      <c r="Q41" s="92"/>
      <c r="R41" s="92"/>
    </row>
    <row r="42" spans="1:18" ht="41.45" customHeight="1" x14ac:dyDescent="0.25">
      <c r="C42" s="35"/>
      <c r="D42" s="35"/>
      <c r="E42" s="35" t="str">
        <f t="shared" si="0"/>
        <v>0</v>
      </c>
      <c r="F42" s="35" t="str">
        <f t="shared" si="1"/>
        <v>0</v>
      </c>
      <c r="G42" s="35" t="str">
        <f t="shared" si="2"/>
        <v>0</v>
      </c>
      <c r="H42" s="35" t="str">
        <f t="shared" si="3"/>
        <v>0</v>
      </c>
      <c r="I42" s="35" t="str">
        <f t="shared" si="4"/>
        <v>0</v>
      </c>
      <c r="J42" s="35" t="str">
        <f t="shared" si="5"/>
        <v>0</v>
      </c>
      <c r="K42" s="35" t="str">
        <f t="shared" si="6"/>
        <v>0</v>
      </c>
      <c r="L42" s="92"/>
      <c r="M42" s="92"/>
      <c r="N42" s="92"/>
      <c r="O42" s="92"/>
      <c r="P42" s="92"/>
      <c r="Q42" s="92"/>
      <c r="R42" s="92"/>
    </row>
    <row r="43" spans="1:18" ht="41.45" customHeight="1" x14ac:dyDescent="0.25">
      <c r="C43" s="35"/>
      <c r="D43" s="35"/>
      <c r="E43" s="35" t="str">
        <f t="shared" si="0"/>
        <v>0</v>
      </c>
      <c r="F43" s="35" t="str">
        <f t="shared" si="1"/>
        <v>0</v>
      </c>
      <c r="G43" s="35" t="str">
        <f t="shared" si="2"/>
        <v>0</v>
      </c>
      <c r="H43" s="35" t="str">
        <f t="shared" si="3"/>
        <v>0</v>
      </c>
      <c r="I43" s="35" t="str">
        <f t="shared" si="4"/>
        <v>0</v>
      </c>
      <c r="J43" s="35" t="str">
        <f t="shared" si="5"/>
        <v>0</v>
      </c>
      <c r="K43" s="35" t="str">
        <f t="shared" si="6"/>
        <v>0</v>
      </c>
      <c r="L43" s="92"/>
      <c r="M43" s="92"/>
      <c r="N43" s="92"/>
      <c r="O43" s="92"/>
      <c r="P43" s="92"/>
      <c r="Q43" s="92"/>
      <c r="R43" s="92"/>
    </row>
    <row r="44" spans="1:18" ht="41.45" customHeight="1" x14ac:dyDescent="0.25">
      <c r="C44" s="35"/>
      <c r="D44" s="35"/>
      <c r="E44" s="35" t="str">
        <f t="shared" si="0"/>
        <v>0</v>
      </c>
      <c r="F44" s="35" t="str">
        <f t="shared" si="1"/>
        <v>0</v>
      </c>
      <c r="G44" s="35" t="str">
        <f t="shared" si="2"/>
        <v>0</v>
      </c>
      <c r="H44" s="35" t="str">
        <f t="shared" si="3"/>
        <v>0</v>
      </c>
      <c r="I44" s="35" t="str">
        <f t="shared" si="4"/>
        <v>0</v>
      </c>
      <c r="J44" s="35" t="str">
        <f t="shared" si="5"/>
        <v>0</v>
      </c>
      <c r="K44" s="35" t="str">
        <f t="shared" si="6"/>
        <v>0</v>
      </c>
      <c r="L44" s="92"/>
      <c r="M44" s="92"/>
      <c r="N44" s="92"/>
      <c r="O44" s="92"/>
      <c r="P44" s="92"/>
      <c r="Q44" s="92"/>
      <c r="R44" s="92"/>
    </row>
    <row r="45" spans="1:18" ht="41.45" customHeight="1" x14ac:dyDescent="0.25">
      <c r="C45" s="35"/>
      <c r="D45" s="35"/>
      <c r="E45" s="35" t="str">
        <f t="shared" si="0"/>
        <v>0</v>
      </c>
      <c r="F45" s="35" t="str">
        <f t="shared" si="1"/>
        <v>0</v>
      </c>
      <c r="G45" s="35" t="str">
        <f t="shared" si="2"/>
        <v>0</v>
      </c>
      <c r="H45" s="35" t="str">
        <f t="shared" si="3"/>
        <v>0</v>
      </c>
      <c r="I45" s="35" t="str">
        <f t="shared" si="4"/>
        <v>0</v>
      </c>
      <c r="J45" s="35" t="str">
        <f t="shared" si="5"/>
        <v>0</v>
      </c>
      <c r="K45" s="35" t="str">
        <f t="shared" si="6"/>
        <v>0</v>
      </c>
      <c r="L45" s="92"/>
      <c r="M45" s="92"/>
      <c r="N45" s="92"/>
      <c r="O45" s="92"/>
      <c r="P45" s="92"/>
      <c r="Q45" s="92"/>
      <c r="R45" s="92"/>
    </row>
    <row r="46" spans="1:18" ht="41.45" customHeight="1" x14ac:dyDescent="0.25">
      <c r="C46" s="35"/>
      <c r="D46" s="35"/>
      <c r="E46" s="35" t="str">
        <f t="shared" si="0"/>
        <v>0</v>
      </c>
      <c r="F46" s="35" t="str">
        <f t="shared" si="1"/>
        <v>0</v>
      </c>
      <c r="G46" s="35" t="str">
        <f t="shared" si="2"/>
        <v>0</v>
      </c>
      <c r="H46" s="35" t="str">
        <f t="shared" si="3"/>
        <v>0</v>
      </c>
      <c r="I46" s="35" t="str">
        <f t="shared" si="4"/>
        <v>0</v>
      </c>
      <c r="J46" s="35" t="str">
        <f t="shared" si="5"/>
        <v>0</v>
      </c>
      <c r="K46" s="35" t="str">
        <f t="shared" si="6"/>
        <v>0</v>
      </c>
      <c r="L46" s="92"/>
      <c r="M46" s="92"/>
      <c r="N46" s="92"/>
      <c r="O46" s="92"/>
      <c r="P46" s="92"/>
      <c r="Q46" s="92"/>
      <c r="R46" s="92"/>
    </row>
    <row r="47" spans="1:18" ht="41.45" customHeight="1" x14ac:dyDescent="0.25">
      <c r="C47" s="35"/>
      <c r="D47" s="35"/>
      <c r="E47" s="35" t="str">
        <f t="shared" si="0"/>
        <v>0</v>
      </c>
      <c r="F47" s="35" t="str">
        <f t="shared" si="1"/>
        <v>0</v>
      </c>
      <c r="G47" s="35" t="str">
        <f t="shared" si="2"/>
        <v>0</v>
      </c>
      <c r="H47" s="35" t="str">
        <f t="shared" si="3"/>
        <v>0</v>
      </c>
      <c r="I47" s="35" t="str">
        <f t="shared" si="4"/>
        <v>0</v>
      </c>
      <c r="J47" s="35" t="str">
        <f t="shared" si="5"/>
        <v>0</v>
      </c>
      <c r="K47" s="35" t="str">
        <f t="shared" si="6"/>
        <v>0</v>
      </c>
      <c r="L47" s="92"/>
      <c r="M47" s="92"/>
      <c r="N47" s="92"/>
      <c r="O47" s="92"/>
      <c r="P47" s="92"/>
      <c r="Q47" s="92"/>
      <c r="R47" s="92"/>
    </row>
    <row r="48" spans="1:18" ht="41.45" customHeight="1" x14ac:dyDescent="0.25">
      <c r="C48" s="35"/>
      <c r="D48" s="35"/>
      <c r="E48" s="35" t="str">
        <f t="shared" si="0"/>
        <v>0</v>
      </c>
      <c r="F48" s="35" t="str">
        <f t="shared" si="1"/>
        <v>0</v>
      </c>
      <c r="G48" s="35" t="str">
        <f t="shared" si="2"/>
        <v>0</v>
      </c>
      <c r="H48" s="35" t="str">
        <f t="shared" si="3"/>
        <v>0</v>
      </c>
      <c r="I48" s="35" t="str">
        <f t="shared" si="4"/>
        <v>0</v>
      </c>
      <c r="J48" s="35" t="str">
        <f t="shared" si="5"/>
        <v>0</v>
      </c>
      <c r="K48" s="35" t="str">
        <f t="shared" si="6"/>
        <v>0</v>
      </c>
      <c r="L48" s="92"/>
      <c r="M48" s="92"/>
      <c r="N48" s="92"/>
      <c r="O48" s="92"/>
      <c r="P48" s="92"/>
      <c r="Q48" s="92"/>
      <c r="R48" s="92"/>
    </row>
    <row r="49" spans="3:18" ht="41.45" customHeight="1" x14ac:dyDescent="0.25">
      <c r="C49" s="35"/>
      <c r="D49" s="35"/>
      <c r="E49" s="35" t="str">
        <f t="shared" si="0"/>
        <v>0</v>
      </c>
      <c r="F49" s="35" t="str">
        <f t="shared" si="1"/>
        <v>0</v>
      </c>
      <c r="G49" s="35" t="str">
        <f t="shared" si="2"/>
        <v>0</v>
      </c>
      <c r="H49" s="35" t="str">
        <f t="shared" si="3"/>
        <v>0</v>
      </c>
      <c r="I49" s="35" t="str">
        <f t="shared" si="4"/>
        <v>0</v>
      </c>
      <c r="J49" s="35" t="str">
        <f t="shared" si="5"/>
        <v>0</v>
      </c>
      <c r="K49" s="35" t="str">
        <f t="shared" si="6"/>
        <v>0</v>
      </c>
      <c r="L49" s="92"/>
      <c r="M49" s="92"/>
      <c r="N49" s="92"/>
      <c r="O49" s="92"/>
      <c r="P49" s="92"/>
      <c r="Q49" s="92"/>
      <c r="R49" s="92"/>
    </row>
    <row r="50" spans="3:18" ht="41.45" customHeight="1" x14ac:dyDescent="0.25">
      <c r="C50" s="35"/>
      <c r="D50" s="35"/>
      <c r="E50" s="35" t="str">
        <f t="shared" si="0"/>
        <v>0</v>
      </c>
      <c r="F50" s="35" t="str">
        <f t="shared" si="1"/>
        <v>0</v>
      </c>
      <c r="G50" s="35" t="str">
        <f t="shared" si="2"/>
        <v>0</v>
      </c>
      <c r="H50" s="35" t="str">
        <f t="shared" si="3"/>
        <v>0</v>
      </c>
      <c r="I50" s="35" t="str">
        <f t="shared" si="4"/>
        <v>0</v>
      </c>
      <c r="J50" s="35" t="str">
        <f t="shared" si="5"/>
        <v>0</v>
      </c>
      <c r="K50" s="35" t="str">
        <f t="shared" si="6"/>
        <v>0</v>
      </c>
      <c r="L50" s="92"/>
      <c r="M50" s="92"/>
      <c r="N50" s="92"/>
      <c r="O50" s="92"/>
      <c r="P50" s="92"/>
      <c r="Q50" s="92"/>
      <c r="R50" s="92"/>
    </row>
    <row r="51" spans="3:18" ht="41.45" customHeight="1" x14ac:dyDescent="0.25">
      <c r="C51" s="35"/>
      <c r="D51" s="35"/>
      <c r="E51" s="35" t="str">
        <f t="shared" si="0"/>
        <v>0</v>
      </c>
      <c r="F51" s="35" t="str">
        <f t="shared" si="1"/>
        <v>0</v>
      </c>
      <c r="G51" s="35" t="str">
        <f t="shared" si="2"/>
        <v>0</v>
      </c>
      <c r="H51" s="35" t="str">
        <f t="shared" si="3"/>
        <v>0</v>
      </c>
      <c r="I51" s="35" t="str">
        <f t="shared" si="4"/>
        <v>0</v>
      </c>
      <c r="J51" s="35" t="str">
        <f t="shared" si="5"/>
        <v>0</v>
      </c>
      <c r="K51" s="35" t="str">
        <f t="shared" si="6"/>
        <v>0</v>
      </c>
      <c r="L51" s="92"/>
      <c r="M51" s="92"/>
      <c r="N51" s="92"/>
      <c r="O51" s="92"/>
      <c r="P51" s="92"/>
      <c r="Q51" s="92"/>
      <c r="R51" s="92"/>
    </row>
    <row r="52" spans="3:18" ht="41.45" customHeight="1" x14ac:dyDescent="0.25">
      <c r="C52" s="35"/>
      <c r="D52" s="35"/>
      <c r="E52" s="35" t="str">
        <f t="shared" si="0"/>
        <v>0</v>
      </c>
      <c r="F52" s="35" t="str">
        <f t="shared" si="1"/>
        <v>0</v>
      </c>
      <c r="G52" s="35" t="str">
        <f t="shared" si="2"/>
        <v>0</v>
      </c>
      <c r="H52" s="35" t="str">
        <f t="shared" si="3"/>
        <v>0</v>
      </c>
      <c r="I52" s="35" t="str">
        <f t="shared" si="4"/>
        <v>0</v>
      </c>
      <c r="J52" s="35" t="str">
        <f t="shared" si="5"/>
        <v>0</v>
      </c>
      <c r="K52" s="35" t="str">
        <f t="shared" si="6"/>
        <v>0</v>
      </c>
      <c r="L52" s="92"/>
      <c r="M52" s="92"/>
      <c r="N52" s="92"/>
      <c r="O52" s="92"/>
      <c r="P52" s="92"/>
      <c r="Q52" s="92"/>
      <c r="R52" s="92"/>
    </row>
    <row r="53" spans="3:18" ht="41.45" customHeight="1" x14ac:dyDescent="0.25">
      <c r="C53" s="35"/>
      <c r="D53" s="35"/>
      <c r="E53" s="35" t="str">
        <f t="shared" si="0"/>
        <v>0</v>
      </c>
      <c r="F53" s="35" t="str">
        <f t="shared" si="1"/>
        <v>0</v>
      </c>
      <c r="G53" s="35" t="str">
        <f t="shared" si="2"/>
        <v>0</v>
      </c>
      <c r="H53" s="35" t="str">
        <f t="shared" si="3"/>
        <v>0</v>
      </c>
      <c r="I53" s="35" t="str">
        <f t="shared" si="4"/>
        <v>0</v>
      </c>
      <c r="J53" s="35" t="str">
        <f t="shared" si="5"/>
        <v>0</v>
      </c>
      <c r="K53" s="35" t="str">
        <f t="shared" si="6"/>
        <v>0</v>
      </c>
      <c r="L53" s="92"/>
      <c r="M53" s="92"/>
      <c r="N53" s="92"/>
      <c r="O53" s="92"/>
      <c r="P53" s="92"/>
      <c r="Q53" s="92"/>
      <c r="R53" s="92"/>
    </row>
    <row r="54" spans="3:18" ht="41.45" customHeight="1" x14ac:dyDescent="0.25">
      <c r="C54" s="35"/>
      <c r="D54" s="35"/>
      <c r="E54" s="35" t="str">
        <f t="shared" si="0"/>
        <v>0</v>
      </c>
      <c r="F54" s="35" t="str">
        <f t="shared" si="1"/>
        <v>0</v>
      </c>
      <c r="G54" s="35" t="str">
        <f t="shared" si="2"/>
        <v>0</v>
      </c>
      <c r="H54" s="35" t="str">
        <f t="shared" si="3"/>
        <v>0</v>
      </c>
      <c r="I54" s="35" t="str">
        <f t="shared" si="4"/>
        <v>0</v>
      </c>
      <c r="J54" s="35" t="str">
        <f t="shared" si="5"/>
        <v>0</v>
      </c>
      <c r="K54" s="35" t="str">
        <f t="shared" si="6"/>
        <v>0</v>
      </c>
      <c r="L54" s="92"/>
      <c r="M54" s="92"/>
      <c r="N54" s="92"/>
      <c r="O54" s="92"/>
      <c r="P54" s="92"/>
      <c r="Q54" s="92"/>
      <c r="R54" s="92"/>
    </row>
    <row r="55" spans="3:18" ht="41.45" customHeight="1" x14ac:dyDescent="0.25">
      <c r="C55" s="35"/>
      <c r="D55" s="35"/>
      <c r="E55" s="35" t="str">
        <f t="shared" si="0"/>
        <v>0</v>
      </c>
      <c r="F55" s="35" t="str">
        <f t="shared" si="1"/>
        <v>0</v>
      </c>
      <c r="G55" s="35" t="str">
        <f t="shared" si="2"/>
        <v>0</v>
      </c>
      <c r="H55" s="35" t="str">
        <f t="shared" si="3"/>
        <v>0</v>
      </c>
      <c r="I55" s="35" t="str">
        <f t="shared" si="4"/>
        <v>0</v>
      </c>
      <c r="J55" s="35" t="str">
        <f t="shared" si="5"/>
        <v>0</v>
      </c>
      <c r="K55" s="35" t="str">
        <f t="shared" si="6"/>
        <v>0</v>
      </c>
      <c r="L55" s="92"/>
      <c r="M55" s="92"/>
      <c r="N55" s="92"/>
      <c r="O55" s="92"/>
      <c r="P55" s="92"/>
      <c r="Q55" s="92"/>
      <c r="R55" s="92"/>
    </row>
    <row r="56" spans="3:18" ht="41.45" customHeight="1" x14ac:dyDescent="0.25">
      <c r="C56" s="35"/>
      <c r="D56" s="35"/>
      <c r="E56" s="35" t="str">
        <f t="shared" si="0"/>
        <v>0</v>
      </c>
      <c r="F56" s="35" t="str">
        <f t="shared" si="1"/>
        <v>0</v>
      </c>
      <c r="G56" s="35" t="str">
        <f t="shared" si="2"/>
        <v>0</v>
      </c>
      <c r="H56" s="35" t="str">
        <f t="shared" si="3"/>
        <v>0</v>
      </c>
      <c r="I56" s="35" t="str">
        <f t="shared" si="4"/>
        <v>0</v>
      </c>
      <c r="J56" s="35" t="str">
        <f t="shared" si="5"/>
        <v>0</v>
      </c>
      <c r="K56" s="35" t="str">
        <f t="shared" si="6"/>
        <v>0</v>
      </c>
      <c r="L56" s="92"/>
      <c r="M56" s="92"/>
      <c r="N56" s="92"/>
      <c r="O56" s="92"/>
      <c r="P56" s="92"/>
      <c r="Q56" s="92"/>
      <c r="R56" s="92"/>
    </row>
    <row r="57" spans="3:18" ht="41.45" customHeight="1" x14ac:dyDescent="0.25">
      <c r="C57" s="35"/>
      <c r="D57" s="35"/>
      <c r="E57" s="35" t="str">
        <f t="shared" si="0"/>
        <v>0</v>
      </c>
      <c r="F57" s="35" t="str">
        <f t="shared" si="1"/>
        <v>0</v>
      </c>
      <c r="G57" s="35" t="str">
        <f t="shared" si="2"/>
        <v>0</v>
      </c>
      <c r="H57" s="35" t="str">
        <f t="shared" si="3"/>
        <v>0</v>
      </c>
      <c r="I57" s="35" t="str">
        <f t="shared" si="4"/>
        <v>0</v>
      </c>
      <c r="J57" s="35" t="str">
        <f t="shared" si="5"/>
        <v>0</v>
      </c>
      <c r="K57" s="35" t="str">
        <f t="shared" si="6"/>
        <v>0</v>
      </c>
      <c r="L57" s="92"/>
      <c r="M57" s="92"/>
      <c r="N57" s="92"/>
      <c r="O57" s="92"/>
      <c r="P57" s="92"/>
      <c r="Q57" s="92"/>
      <c r="R57" s="92"/>
    </row>
    <row r="58" spans="3:18" ht="41.45" customHeight="1" x14ac:dyDescent="0.25">
      <c r="C58" s="35"/>
      <c r="D58" s="35"/>
      <c r="E58" s="35" t="str">
        <f t="shared" si="0"/>
        <v>0</v>
      </c>
      <c r="F58" s="35" t="str">
        <f t="shared" si="1"/>
        <v>0</v>
      </c>
      <c r="G58" s="35" t="str">
        <f t="shared" si="2"/>
        <v>0</v>
      </c>
      <c r="H58" s="35" t="str">
        <f t="shared" si="3"/>
        <v>0</v>
      </c>
      <c r="I58" s="35" t="str">
        <f t="shared" si="4"/>
        <v>0</v>
      </c>
      <c r="J58" s="35" t="str">
        <f t="shared" si="5"/>
        <v>0</v>
      </c>
      <c r="K58" s="35" t="str">
        <f t="shared" si="6"/>
        <v>0</v>
      </c>
      <c r="L58" s="92"/>
      <c r="M58" s="92"/>
      <c r="N58" s="92"/>
      <c r="O58" s="92"/>
      <c r="P58" s="92"/>
      <c r="Q58" s="92"/>
      <c r="R58" s="92"/>
    </row>
    <row r="59" spans="3:18" ht="41.45" customHeight="1" x14ac:dyDescent="0.25">
      <c r="C59" s="35"/>
      <c r="D59" s="35"/>
      <c r="E59" s="35" t="str">
        <f t="shared" si="0"/>
        <v>0</v>
      </c>
      <c r="F59" s="35" t="str">
        <f t="shared" si="1"/>
        <v>0</v>
      </c>
      <c r="G59" s="35" t="str">
        <f t="shared" si="2"/>
        <v>0</v>
      </c>
      <c r="H59" s="35" t="str">
        <f t="shared" si="3"/>
        <v>0</v>
      </c>
      <c r="I59" s="35" t="str">
        <f t="shared" si="4"/>
        <v>0</v>
      </c>
      <c r="J59" s="35" t="str">
        <f t="shared" si="5"/>
        <v>0</v>
      </c>
      <c r="K59" s="35" t="str">
        <f t="shared" si="6"/>
        <v>0</v>
      </c>
      <c r="L59" s="92"/>
      <c r="M59" s="92"/>
      <c r="N59" s="92"/>
      <c r="O59" s="92"/>
      <c r="P59" s="92"/>
      <c r="Q59" s="92"/>
      <c r="R59" s="92"/>
    </row>
    <row r="60" spans="3:18" ht="41.45" customHeight="1" x14ac:dyDescent="0.25">
      <c r="C60" s="35"/>
      <c r="D60" s="35"/>
      <c r="E60" s="35" t="str">
        <f t="shared" si="0"/>
        <v>0</v>
      </c>
      <c r="F60" s="35" t="str">
        <f t="shared" si="1"/>
        <v>0</v>
      </c>
      <c r="G60" s="35" t="str">
        <f t="shared" si="2"/>
        <v>0</v>
      </c>
      <c r="H60" s="35" t="str">
        <f t="shared" si="3"/>
        <v>0</v>
      </c>
      <c r="I60" s="35" t="str">
        <f t="shared" si="4"/>
        <v>0</v>
      </c>
      <c r="J60" s="35" t="str">
        <f t="shared" si="5"/>
        <v>0</v>
      </c>
      <c r="K60" s="35" t="str">
        <f t="shared" si="6"/>
        <v>0</v>
      </c>
      <c r="L60" s="92"/>
      <c r="M60" s="92"/>
      <c r="N60" s="92"/>
      <c r="O60" s="92"/>
      <c r="P60" s="92"/>
      <c r="Q60" s="92"/>
      <c r="R60" s="92"/>
    </row>
    <row r="61" spans="3:18" ht="41.45" customHeight="1" x14ac:dyDescent="0.25">
      <c r="C61" s="35"/>
      <c r="D61" s="35"/>
      <c r="E61" s="35" t="str">
        <f t="shared" si="0"/>
        <v>0</v>
      </c>
      <c r="F61" s="35" t="str">
        <f t="shared" si="1"/>
        <v>0</v>
      </c>
      <c r="G61" s="35" t="str">
        <f t="shared" si="2"/>
        <v>0</v>
      </c>
      <c r="H61" s="35" t="str">
        <f t="shared" si="3"/>
        <v>0</v>
      </c>
      <c r="I61" s="35" t="str">
        <f t="shared" si="4"/>
        <v>0</v>
      </c>
      <c r="J61" s="35" t="str">
        <f t="shared" si="5"/>
        <v>0</v>
      </c>
      <c r="K61" s="35" t="str">
        <f t="shared" si="6"/>
        <v>0</v>
      </c>
      <c r="L61" s="92"/>
      <c r="M61" s="92"/>
      <c r="N61" s="92"/>
      <c r="O61" s="92"/>
      <c r="P61" s="92"/>
      <c r="Q61" s="92"/>
      <c r="R61" s="92"/>
    </row>
    <row r="62" spans="3:18" ht="41.45" customHeight="1" x14ac:dyDescent="0.25">
      <c r="C62" s="35"/>
      <c r="D62" s="35"/>
      <c r="E62" s="35">
        <f>SUM(E36:E61)</f>
        <v>5.0999999999999996</v>
      </c>
      <c r="F62" s="35">
        <f t="shared" ref="F62:K62" si="7">SUM(F36:F61)</f>
        <v>9.2000000000000011</v>
      </c>
      <c r="G62" s="35">
        <f t="shared" si="7"/>
        <v>0</v>
      </c>
      <c r="H62" s="35">
        <f t="shared" si="7"/>
        <v>0</v>
      </c>
      <c r="I62" s="35">
        <f t="shared" si="7"/>
        <v>0</v>
      </c>
      <c r="J62" s="35">
        <f t="shared" si="7"/>
        <v>14.3</v>
      </c>
      <c r="K62" s="35">
        <f t="shared" si="7"/>
        <v>0</v>
      </c>
      <c r="L62" s="92"/>
      <c r="M62" s="92"/>
      <c r="N62" s="92"/>
      <c r="O62" s="92"/>
      <c r="P62" s="92"/>
      <c r="Q62" s="92"/>
      <c r="R62" s="92"/>
    </row>
    <row r="63" spans="3:18" ht="41.45" customHeight="1" x14ac:dyDescent="0.25">
      <c r="C63" s="35"/>
      <c r="D63" s="35"/>
      <c r="E63" s="35"/>
      <c r="F63" s="31"/>
      <c r="G63" s="31"/>
      <c r="H63" s="31"/>
      <c r="I63" s="31"/>
      <c r="J63" s="31"/>
      <c r="K63" s="31"/>
      <c r="L63" s="92"/>
      <c r="M63" s="92"/>
      <c r="N63" s="92"/>
      <c r="O63" s="92"/>
      <c r="P63" s="92"/>
      <c r="Q63" s="92"/>
      <c r="R63" s="92"/>
    </row>
    <row r="64" spans="3:18" ht="41.45" customHeight="1" x14ac:dyDescent="0.25">
      <c r="C64" s="35"/>
      <c r="D64" s="35"/>
      <c r="E64" s="35"/>
      <c r="F64" s="31"/>
      <c r="G64" s="31"/>
      <c r="H64" s="31"/>
      <c r="I64" s="31"/>
      <c r="J64" s="31"/>
      <c r="K64" s="31"/>
      <c r="L64" s="92"/>
      <c r="M64" s="92"/>
      <c r="N64" s="92"/>
      <c r="O64" s="92"/>
      <c r="P64" s="92"/>
      <c r="Q64" s="92"/>
      <c r="R64" s="92"/>
    </row>
    <row r="65" spans="3:18" ht="41.45" customHeight="1" x14ac:dyDescent="0.25">
      <c r="C65" s="35"/>
      <c r="D65" s="35"/>
      <c r="E65" s="35"/>
      <c r="F65" s="31"/>
      <c r="G65" s="31"/>
      <c r="H65" s="31"/>
      <c r="I65" s="31"/>
      <c r="J65" s="31"/>
      <c r="K65" s="31"/>
      <c r="L65" s="92"/>
      <c r="M65" s="92"/>
      <c r="N65" s="92"/>
      <c r="O65" s="92"/>
      <c r="P65" s="92"/>
      <c r="Q65" s="92"/>
      <c r="R65" s="92"/>
    </row>
    <row r="66" spans="3:18" ht="41.45" customHeight="1" x14ac:dyDescent="0.25">
      <c r="C66" s="35"/>
      <c r="D66" s="35"/>
      <c r="E66" s="35"/>
      <c r="F66" s="31"/>
      <c r="G66" s="31"/>
      <c r="H66" s="31"/>
      <c r="I66" s="31"/>
      <c r="J66" s="31"/>
      <c r="K66" s="31"/>
      <c r="L66" s="92"/>
      <c r="M66" s="92"/>
      <c r="N66" s="92"/>
      <c r="O66" s="92"/>
      <c r="P66" s="92"/>
      <c r="Q66" s="92"/>
      <c r="R66" s="92"/>
    </row>
    <row r="67" spans="3:18" ht="41.45" customHeight="1" x14ac:dyDescent="0.25">
      <c r="C67" s="35"/>
      <c r="D67" s="35"/>
      <c r="E67" s="35"/>
      <c r="F67" s="31"/>
      <c r="G67" s="31"/>
      <c r="H67" s="31"/>
      <c r="I67" s="31"/>
      <c r="J67" s="31"/>
      <c r="K67" s="31"/>
      <c r="L67" s="92"/>
      <c r="M67" s="92"/>
      <c r="N67" s="92"/>
      <c r="O67" s="92"/>
      <c r="P67" s="92"/>
      <c r="Q67" s="92"/>
      <c r="R67" s="92"/>
    </row>
    <row r="68" spans="3:18" ht="41.45" customHeight="1" x14ac:dyDescent="0.25">
      <c r="C68" s="35"/>
      <c r="D68" s="35"/>
      <c r="E68" s="35"/>
      <c r="F68" s="31"/>
      <c r="G68" s="31"/>
      <c r="H68" s="31"/>
      <c r="I68" s="31"/>
      <c r="J68" s="31"/>
      <c r="K68" s="31"/>
      <c r="L68" s="92"/>
      <c r="M68" s="92"/>
      <c r="N68" s="92"/>
      <c r="O68" s="92"/>
      <c r="P68" s="92"/>
      <c r="Q68" s="92"/>
      <c r="R68" s="92"/>
    </row>
  </sheetData>
  <mergeCells count="73">
    <mergeCell ref="A5:A6"/>
    <mergeCell ref="B5:B6"/>
    <mergeCell ref="C5:C6"/>
    <mergeCell ref="D5:D6"/>
    <mergeCell ref="E5:H5"/>
    <mergeCell ref="L11:R11"/>
    <mergeCell ref="I1:I2"/>
    <mergeCell ref="J1:J2"/>
    <mergeCell ref="L1:M2"/>
    <mergeCell ref="N1:R2"/>
    <mergeCell ref="I5:K5"/>
    <mergeCell ref="L5:R6"/>
    <mergeCell ref="L7:R7"/>
    <mergeCell ref="L8:R8"/>
    <mergeCell ref="L9:R9"/>
    <mergeCell ref="L10:R10"/>
    <mergeCell ref="L23:R23"/>
    <mergeCell ref="L12:R12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35:R35"/>
    <mergeCell ref="L24:R24"/>
    <mergeCell ref="L25:R25"/>
    <mergeCell ref="L26:R26"/>
    <mergeCell ref="L27:R27"/>
    <mergeCell ref="L28:R28"/>
    <mergeCell ref="L29:R29"/>
    <mergeCell ref="L30:R30"/>
    <mergeCell ref="L31:R31"/>
    <mergeCell ref="L32:R32"/>
    <mergeCell ref="L33:R33"/>
    <mergeCell ref="L34:R34"/>
    <mergeCell ref="L47:R47"/>
    <mergeCell ref="L36:R36"/>
    <mergeCell ref="L37:R37"/>
    <mergeCell ref="L38:R38"/>
    <mergeCell ref="L39:R39"/>
    <mergeCell ref="L40:R40"/>
    <mergeCell ref="L41:R41"/>
    <mergeCell ref="L42:R42"/>
    <mergeCell ref="L43:R43"/>
    <mergeCell ref="L44:R44"/>
    <mergeCell ref="L45:R45"/>
    <mergeCell ref="L46:R46"/>
    <mergeCell ref="L59:R59"/>
    <mergeCell ref="L48:R48"/>
    <mergeCell ref="L49:R49"/>
    <mergeCell ref="L50:R50"/>
    <mergeCell ref="L51:R51"/>
    <mergeCell ref="L52:R52"/>
    <mergeCell ref="L53:R53"/>
    <mergeCell ref="L54:R54"/>
    <mergeCell ref="L55:R55"/>
    <mergeCell ref="L56:R56"/>
    <mergeCell ref="L57:R57"/>
    <mergeCell ref="L58:R58"/>
    <mergeCell ref="L66:R66"/>
    <mergeCell ref="L67:R67"/>
    <mergeCell ref="L68:R68"/>
    <mergeCell ref="L60:R60"/>
    <mergeCell ref="L61:R61"/>
    <mergeCell ref="L62:R62"/>
    <mergeCell ref="L63:R63"/>
    <mergeCell ref="L64:R64"/>
    <mergeCell ref="L65:R65"/>
  </mergeCells>
  <phoneticPr fontId="21" type="noConversion"/>
  <pageMargins left="0.51181102362204722" right="0.51181102362204722" top="0.78740157480314965" bottom="0.78740157480314965" header="0.31496062992125984" footer="0.31496062992125984"/>
  <pageSetup paperSize="9" scale="33" orientation="landscape" horizontalDpi="1200" verticalDpi="1200" r:id="rId1"/>
  <colBreaks count="1" manualBreakCount="1">
    <brk id="18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91606-8725-44FF-84C7-327C3A5BEFE5}">
  <sheetPr>
    <tabColor theme="2"/>
    <pageSetUpPr fitToPage="1"/>
  </sheetPr>
  <dimension ref="A1:R68"/>
  <sheetViews>
    <sheetView view="pageBreakPreview" zoomScale="40" zoomScaleNormal="10" zoomScaleSheetLayoutView="40" workbookViewId="0">
      <selection activeCell="E7" sqref="E7"/>
    </sheetView>
  </sheetViews>
  <sheetFormatPr defaultColWidth="8.85546875" defaultRowHeight="15" x14ac:dyDescent="0.25"/>
  <cols>
    <col min="1" max="1" width="33.28515625" style="1" customWidth="1"/>
    <col min="2" max="2" width="17.140625" style="1" customWidth="1"/>
    <col min="3" max="4" width="13.42578125" style="1" customWidth="1"/>
    <col min="5" max="5" width="26.5703125" style="2" customWidth="1"/>
    <col min="6" max="6" width="30.140625" style="2" customWidth="1"/>
    <col min="7" max="7" width="26.5703125" style="2" customWidth="1"/>
    <col min="8" max="8" width="33.140625" style="2" customWidth="1"/>
    <col min="9" max="11" width="32" style="2" customWidth="1"/>
    <col min="12" max="14" width="14.42578125" style="1" customWidth="1"/>
    <col min="15" max="17" width="14.7109375" style="1" customWidth="1"/>
    <col min="18" max="18" width="37.42578125" style="1" customWidth="1"/>
    <col min="19" max="16384" width="8.85546875" style="1"/>
  </cols>
  <sheetData>
    <row r="1" spans="1:18" ht="19.5" x14ac:dyDescent="0.3">
      <c r="A1" s="9" t="s">
        <v>0</v>
      </c>
      <c r="B1" s="10"/>
      <c r="C1" s="10"/>
      <c r="D1" s="10"/>
      <c r="E1" s="11"/>
      <c r="F1" s="12"/>
      <c r="G1" s="11"/>
      <c r="H1" s="11"/>
      <c r="I1" s="98" t="s">
        <v>3</v>
      </c>
      <c r="J1" s="120">
        <f>'245'!J1</f>
        <v>46204</v>
      </c>
      <c r="K1" s="11"/>
      <c r="L1" s="102" t="s">
        <v>4</v>
      </c>
      <c r="M1" s="102"/>
      <c r="N1" s="104" t="str">
        <f>'245'!N1</f>
        <v>ENG. THIAGO TORQUATO</v>
      </c>
      <c r="O1" s="104"/>
      <c r="P1" s="104"/>
      <c r="Q1" s="104"/>
      <c r="R1" s="105"/>
    </row>
    <row r="2" spans="1:18" ht="20.25" thickBot="1" x14ac:dyDescent="0.35">
      <c r="A2" s="13"/>
      <c r="B2" s="14"/>
      <c r="C2" s="14"/>
      <c r="D2" s="14"/>
      <c r="E2" s="15"/>
      <c r="F2" s="16" t="s">
        <v>9</v>
      </c>
      <c r="G2" s="15"/>
      <c r="H2" s="15"/>
      <c r="I2" s="99"/>
      <c r="J2" s="121"/>
      <c r="K2" s="16"/>
      <c r="L2" s="103"/>
      <c r="M2" s="103"/>
      <c r="N2" s="106"/>
      <c r="O2" s="106"/>
      <c r="P2" s="106"/>
      <c r="Q2" s="106"/>
      <c r="R2" s="107"/>
    </row>
    <row r="3" spans="1:18" ht="25.5" x14ac:dyDescent="0.35">
      <c r="A3" s="13" t="s">
        <v>21</v>
      </c>
      <c r="B3" s="45" t="str">
        <f>TT!C12</f>
        <v>RODOVIA TO-477 - TRECHO ALMAS - ENTR. TO-476</v>
      </c>
      <c r="C3" s="14"/>
      <c r="D3" s="14"/>
      <c r="E3" s="15"/>
      <c r="F3" s="15"/>
      <c r="G3" s="15"/>
      <c r="H3" s="15"/>
      <c r="I3" s="47" t="s">
        <v>107</v>
      </c>
      <c r="J3" s="47">
        <v>13</v>
      </c>
      <c r="K3" s="15"/>
      <c r="L3" s="14"/>
      <c r="M3" s="14"/>
      <c r="N3" s="14"/>
      <c r="O3" s="14"/>
      <c r="P3" s="14"/>
      <c r="Q3" s="14"/>
      <c r="R3" s="17"/>
    </row>
    <row r="4" spans="1:18" ht="19.899999999999999" thickBot="1" x14ac:dyDescent="0.4">
      <c r="A4" s="18"/>
      <c r="B4" s="14"/>
      <c r="C4" s="14"/>
      <c r="D4" s="14"/>
      <c r="E4" s="15"/>
      <c r="F4" s="15"/>
      <c r="G4" s="15"/>
      <c r="H4" s="15"/>
      <c r="I4" s="15"/>
      <c r="J4" s="15"/>
      <c r="K4" s="15"/>
      <c r="L4" s="14"/>
      <c r="M4" s="14"/>
      <c r="N4" s="14"/>
      <c r="O4" s="14"/>
      <c r="P4" s="14"/>
      <c r="Q4" s="14"/>
      <c r="R4" s="17"/>
    </row>
    <row r="5" spans="1:18" s="5" customFormat="1" ht="54" customHeight="1" x14ac:dyDescent="0.25">
      <c r="A5" s="112" t="s">
        <v>1</v>
      </c>
      <c r="B5" s="108" t="s">
        <v>7</v>
      </c>
      <c r="C5" s="114" t="s">
        <v>5</v>
      </c>
      <c r="D5" s="114" t="s">
        <v>6</v>
      </c>
      <c r="E5" s="108" t="s">
        <v>10</v>
      </c>
      <c r="F5" s="108"/>
      <c r="G5" s="108"/>
      <c r="H5" s="108"/>
      <c r="I5" s="108" t="s">
        <v>11</v>
      </c>
      <c r="J5" s="108"/>
      <c r="K5" s="108"/>
      <c r="L5" s="108" t="s">
        <v>8</v>
      </c>
      <c r="M5" s="108"/>
      <c r="N5" s="108"/>
      <c r="O5" s="108"/>
      <c r="P5" s="108"/>
      <c r="Q5" s="108"/>
      <c r="R5" s="109"/>
    </row>
    <row r="6" spans="1:18" s="6" customFormat="1" ht="79.150000000000006" customHeight="1" x14ac:dyDescent="0.25">
      <c r="A6" s="113"/>
      <c r="B6" s="110"/>
      <c r="C6" s="110"/>
      <c r="D6" s="110"/>
      <c r="E6" s="7" t="s">
        <v>2</v>
      </c>
      <c r="F6" s="8" t="s">
        <v>15</v>
      </c>
      <c r="G6" s="8" t="s">
        <v>16</v>
      </c>
      <c r="H6" s="8" t="s">
        <v>17</v>
      </c>
      <c r="I6" s="7" t="s">
        <v>12</v>
      </c>
      <c r="J6" s="7" t="s">
        <v>13</v>
      </c>
      <c r="K6" s="7" t="s">
        <v>14</v>
      </c>
      <c r="L6" s="110"/>
      <c r="M6" s="110"/>
      <c r="N6" s="110"/>
      <c r="O6" s="110"/>
      <c r="P6" s="110"/>
      <c r="Q6" s="110"/>
      <c r="R6" s="111"/>
    </row>
    <row r="7" spans="1:18" ht="41.45" customHeight="1" x14ac:dyDescent="0.25">
      <c r="A7" s="48" t="s">
        <v>76</v>
      </c>
      <c r="B7" s="49" t="s">
        <v>108</v>
      </c>
      <c r="C7" s="50">
        <v>0</v>
      </c>
      <c r="D7" s="50">
        <v>34.770000000000003</v>
      </c>
      <c r="E7" s="49"/>
      <c r="F7" s="49" t="s">
        <v>109</v>
      </c>
      <c r="G7" s="49"/>
      <c r="H7" s="49"/>
      <c r="I7" s="49" t="s">
        <v>109</v>
      </c>
      <c r="J7" s="21"/>
      <c r="K7" s="21"/>
      <c r="L7" s="96"/>
      <c r="M7" s="96"/>
      <c r="N7" s="96"/>
      <c r="O7" s="96"/>
      <c r="P7" s="96"/>
      <c r="Q7" s="96"/>
      <c r="R7" s="97"/>
    </row>
    <row r="8" spans="1:18" ht="41.45" customHeight="1" x14ac:dyDescent="0.25">
      <c r="A8" s="32"/>
      <c r="B8" s="21"/>
      <c r="C8" s="22"/>
      <c r="D8" s="22"/>
      <c r="E8" s="21"/>
      <c r="F8" s="21"/>
      <c r="G8" s="21"/>
      <c r="H8" s="21"/>
      <c r="I8" s="49"/>
      <c r="J8" s="21"/>
      <c r="K8" s="21"/>
      <c r="L8" s="96"/>
      <c r="M8" s="96"/>
      <c r="N8" s="96"/>
      <c r="O8" s="96"/>
      <c r="P8" s="96"/>
      <c r="Q8" s="96"/>
      <c r="R8" s="97"/>
    </row>
    <row r="9" spans="1:18" ht="41.45" customHeight="1" x14ac:dyDescent="0.25">
      <c r="A9" s="32"/>
      <c r="B9" s="21"/>
      <c r="C9" s="22"/>
      <c r="D9" s="22"/>
      <c r="E9" s="21"/>
      <c r="F9" s="21"/>
      <c r="G9" s="21"/>
      <c r="H9" s="21"/>
      <c r="I9" s="49"/>
      <c r="J9" s="21"/>
      <c r="K9" s="21"/>
      <c r="L9" s="96"/>
      <c r="M9" s="96"/>
      <c r="N9" s="96"/>
      <c r="O9" s="96"/>
      <c r="P9" s="96"/>
      <c r="Q9" s="96"/>
      <c r="R9" s="97"/>
    </row>
    <row r="10" spans="1:18" ht="41.45" customHeight="1" x14ac:dyDescent="0.25">
      <c r="A10" s="32"/>
      <c r="B10" s="21"/>
      <c r="C10" s="22"/>
      <c r="D10" s="22"/>
      <c r="E10" s="21"/>
      <c r="F10" s="21"/>
      <c r="G10" s="21"/>
      <c r="H10" s="21"/>
      <c r="I10" s="49"/>
      <c r="J10" s="21"/>
      <c r="K10" s="21"/>
      <c r="L10" s="96"/>
      <c r="M10" s="96"/>
      <c r="N10" s="96"/>
      <c r="O10" s="96"/>
      <c r="P10" s="96"/>
      <c r="Q10" s="96"/>
      <c r="R10" s="97"/>
    </row>
    <row r="11" spans="1:18" ht="41.45" customHeight="1" x14ac:dyDescent="0.25">
      <c r="A11" s="32"/>
      <c r="B11" s="21"/>
      <c r="C11" s="22"/>
      <c r="D11" s="22"/>
      <c r="E11" s="21"/>
      <c r="F11" s="21"/>
      <c r="G11" s="21"/>
      <c r="H11" s="21"/>
      <c r="I11" s="49"/>
      <c r="J11" s="21"/>
      <c r="K11" s="21"/>
      <c r="L11" s="96"/>
      <c r="M11" s="96"/>
      <c r="N11" s="96"/>
      <c r="O11" s="96"/>
      <c r="P11" s="96"/>
      <c r="Q11" s="96"/>
      <c r="R11" s="97"/>
    </row>
    <row r="12" spans="1:18" ht="41.45" customHeight="1" x14ac:dyDescent="0.25">
      <c r="A12" s="32"/>
      <c r="B12" s="21"/>
      <c r="C12" s="22"/>
      <c r="D12" s="22"/>
      <c r="E12" s="21"/>
      <c r="F12" s="21"/>
      <c r="G12" s="21"/>
      <c r="H12" s="21"/>
      <c r="I12" s="49"/>
      <c r="J12" s="21"/>
      <c r="K12" s="21"/>
      <c r="L12" s="96"/>
      <c r="M12" s="96"/>
      <c r="N12" s="96"/>
      <c r="O12" s="96"/>
      <c r="P12" s="96"/>
      <c r="Q12" s="96"/>
      <c r="R12" s="97"/>
    </row>
    <row r="13" spans="1:18" ht="41.45" customHeight="1" x14ac:dyDescent="0.25">
      <c r="A13" s="32"/>
      <c r="B13" s="21"/>
      <c r="C13" s="22"/>
      <c r="D13" s="22"/>
      <c r="E13" s="21"/>
      <c r="F13" s="21"/>
      <c r="G13" s="21"/>
      <c r="H13" s="21"/>
      <c r="I13" s="49"/>
      <c r="J13" s="21"/>
      <c r="K13" s="21"/>
      <c r="L13" s="96"/>
      <c r="M13" s="96"/>
      <c r="N13" s="96"/>
      <c r="O13" s="96"/>
      <c r="P13" s="96"/>
      <c r="Q13" s="96"/>
      <c r="R13" s="97"/>
    </row>
    <row r="14" spans="1:18" ht="41.45" customHeight="1" x14ac:dyDescent="0.25">
      <c r="A14" s="32"/>
      <c r="B14" s="21"/>
      <c r="C14" s="22"/>
      <c r="D14" s="22"/>
      <c r="E14" s="21"/>
      <c r="F14" s="21"/>
      <c r="G14" s="21"/>
      <c r="H14" s="21"/>
      <c r="I14" s="49"/>
      <c r="J14" s="21"/>
      <c r="K14" s="21"/>
      <c r="L14" s="96"/>
      <c r="M14" s="96"/>
      <c r="N14" s="96"/>
      <c r="O14" s="96"/>
      <c r="P14" s="96"/>
      <c r="Q14" s="96"/>
      <c r="R14" s="97"/>
    </row>
    <row r="15" spans="1:18" ht="41.45" customHeight="1" x14ac:dyDescent="0.25">
      <c r="A15" s="32"/>
      <c r="B15" s="21"/>
      <c r="C15" s="22"/>
      <c r="D15" s="22"/>
      <c r="E15" s="21"/>
      <c r="F15" s="21"/>
      <c r="G15" s="21"/>
      <c r="H15" s="21"/>
      <c r="I15" s="49"/>
      <c r="J15" s="21"/>
      <c r="K15" s="21"/>
      <c r="L15" s="96"/>
      <c r="M15" s="96"/>
      <c r="N15" s="96"/>
      <c r="O15" s="96"/>
      <c r="P15" s="96"/>
      <c r="Q15" s="96"/>
      <c r="R15" s="97"/>
    </row>
    <row r="16" spans="1:18" ht="41.45" customHeight="1" x14ac:dyDescent="0.25">
      <c r="A16" s="32"/>
      <c r="B16" s="21"/>
      <c r="C16" s="22"/>
      <c r="D16" s="22"/>
      <c r="E16" s="21"/>
      <c r="F16" s="21"/>
      <c r="G16" s="21"/>
      <c r="H16" s="21"/>
      <c r="I16" s="21"/>
      <c r="J16" s="21"/>
      <c r="K16" s="21"/>
      <c r="L16" s="96"/>
      <c r="M16" s="96"/>
      <c r="N16" s="96"/>
      <c r="O16" s="96"/>
      <c r="P16" s="96"/>
      <c r="Q16" s="96"/>
      <c r="R16" s="97"/>
    </row>
    <row r="17" spans="1:18" ht="41.45" customHeight="1" x14ac:dyDescent="0.25">
      <c r="A17" s="32"/>
      <c r="B17" s="21"/>
      <c r="C17" s="22"/>
      <c r="D17" s="22"/>
      <c r="E17" s="21"/>
      <c r="F17" s="21"/>
      <c r="G17" s="21"/>
      <c r="H17" s="21"/>
      <c r="I17" s="21"/>
      <c r="J17" s="21"/>
      <c r="K17" s="21"/>
      <c r="L17" s="96"/>
      <c r="M17" s="96"/>
      <c r="N17" s="96"/>
      <c r="O17" s="96"/>
      <c r="P17" s="96"/>
      <c r="Q17" s="96"/>
      <c r="R17" s="97"/>
    </row>
    <row r="18" spans="1:18" ht="41.45" customHeight="1" x14ac:dyDescent="0.25">
      <c r="A18" s="19"/>
      <c r="B18" s="3"/>
      <c r="C18" s="22"/>
      <c r="D18" s="22"/>
      <c r="E18" s="21"/>
      <c r="F18" s="21"/>
      <c r="G18" s="21"/>
      <c r="H18" s="21"/>
      <c r="I18" s="21"/>
      <c r="J18" s="21"/>
      <c r="K18" s="21"/>
      <c r="L18" s="96"/>
      <c r="M18" s="96"/>
      <c r="N18" s="96"/>
      <c r="O18" s="96"/>
      <c r="P18" s="96"/>
      <c r="Q18" s="96"/>
      <c r="R18" s="97"/>
    </row>
    <row r="19" spans="1:18" ht="41.45" customHeight="1" x14ac:dyDescent="0.25">
      <c r="A19" s="19"/>
      <c r="B19" s="3"/>
      <c r="C19" s="22"/>
      <c r="D19" s="22"/>
      <c r="E19" s="21"/>
      <c r="F19" s="21"/>
      <c r="G19" s="21"/>
      <c r="H19" s="21"/>
      <c r="I19" s="21"/>
      <c r="J19" s="21"/>
      <c r="K19" s="21"/>
      <c r="L19" s="96"/>
      <c r="M19" s="96"/>
      <c r="N19" s="96"/>
      <c r="O19" s="96"/>
      <c r="P19" s="96"/>
      <c r="Q19" s="96"/>
      <c r="R19" s="97"/>
    </row>
    <row r="20" spans="1:18" ht="41.45" customHeight="1" x14ac:dyDescent="0.25">
      <c r="A20" s="19"/>
      <c r="B20" s="3"/>
      <c r="C20" s="22"/>
      <c r="D20" s="22"/>
      <c r="E20" s="21"/>
      <c r="F20" s="21"/>
      <c r="G20" s="21"/>
      <c r="H20" s="21"/>
      <c r="I20" s="21"/>
      <c r="J20" s="21"/>
      <c r="K20" s="21"/>
      <c r="L20" s="96"/>
      <c r="M20" s="96"/>
      <c r="N20" s="96"/>
      <c r="O20" s="96"/>
      <c r="P20" s="96"/>
      <c r="Q20" s="96"/>
      <c r="R20" s="97"/>
    </row>
    <row r="21" spans="1:18" ht="41.45" customHeight="1" x14ac:dyDescent="0.25">
      <c r="A21" s="19"/>
      <c r="B21" s="3"/>
      <c r="C21" s="22"/>
      <c r="D21" s="22"/>
      <c r="E21" s="21"/>
      <c r="F21" s="21"/>
      <c r="G21" s="21"/>
      <c r="H21" s="21"/>
      <c r="I21" s="21"/>
      <c r="J21" s="21"/>
      <c r="K21" s="21"/>
      <c r="L21" s="96"/>
      <c r="M21" s="96"/>
      <c r="N21" s="96"/>
      <c r="O21" s="96"/>
      <c r="P21" s="96"/>
      <c r="Q21" s="96"/>
      <c r="R21" s="97"/>
    </row>
    <row r="22" spans="1:18" ht="41.45" customHeight="1" x14ac:dyDescent="0.25">
      <c r="A22" s="19"/>
      <c r="B22" s="3"/>
      <c r="C22" s="22"/>
      <c r="D22" s="22"/>
      <c r="E22" s="21"/>
      <c r="F22" s="21"/>
      <c r="G22" s="21"/>
      <c r="H22" s="21"/>
      <c r="I22" s="21"/>
      <c r="J22" s="21"/>
      <c r="K22" s="21"/>
      <c r="L22" s="96"/>
      <c r="M22" s="96"/>
      <c r="N22" s="96"/>
      <c r="O22" s="96"/>
      <c r="P22" s="96"/>
      <c r="Q22" s="96"/>
      <c r="R22" s="97"/>
    </row>
    <row r="23" spans="1:18" ht="41.45" customHeight="1" x14ac:dyDescent="0.25">
      <c r="A23" s="19"/>
      <c r="B23" s="3"/>
      <c r="C23" s="22"/>
      <c r="D23" s="22"/>
      <c r="E23" s="21"/>
      <c r="F23" s="21"/>
      <c r="G23" s="21"/>
      <c r="H23" s="21"/>
      <c r="I23" s="21"/>
      <c r="J23" s="21"/>
      <c r="K23" s="21"/>
      <c r="L23" s="96"/>
      <c r="M23" s="96"/>
      <c r="N23" s="96"/>
      <c r="O23" s="96"/>
      <c r="P23" s="96"/>
      <c r="Q23" s="96"/>
      <c r="R23" s="97"/>
    </row>
    <row r="24" spans="1:18" ht="41.45" customHeight="1" x14ac:dyDescent="0.25">
      <c r="A24" s="19"/>
      <c r="B24" s="3"/>
      <c r="C24" s="22"/>
      <c r="D24" s="22"/>
      <c r="E24" s="21"/>
      <c r="F24" s="21"/>
      <c r="G24" s="21"/>
      <c r="H24" s="21"/>
      <c r="I24" s="21"/>
      <c r="J24" s="21"/>
      <c r="K24" s="21"/>
      <c r="L24" s="96"/>
      <c r="M24" s="96"/>
      <c r="N24" s="96"/>
      <c r="O24" s="96"/>
      <c r="P24" s="96"/>
      <c r="Q24" s="96"/>
      <c r="R24" s="97"/>
    </row>
    <row r="25" spans="1:18" ht="41.45" customHeight="1" x14ac:dyDescent="0.25">
      <c r="A25" s="19"/>
      <c r="B25" s="3"/>
      <c r="C25" s="22"/>
      <c r="D25" s="22"/>
      <c r="E25" s="21"/>
      <c r="F25" s="21"/>
      <c r="G25" s="21"/>
      <c r="H25" s="21"/>
      <c r="I25" s="21"/>
      <c r="J25" s="21"/>
      <c r="K25" s="21"/>
      <c r="L25" s="96"/>
      <c r="M25" s="96"/>
      <c r="N25" s="96"/>
      <c r="O25" s="96"/>
      <c r="P25" s="96"/>
      <c r="Q25" s="96"/>
      <c r="R25" s="97"/>
    </row>
    <row r="26" spans="1:18" ht="41.45" customHeight="1" x14ac:dyDescent="0.25">
      <c r="A26" s="19"/>
      <c r="B26" s="3"/>
      <c r="C26" s="22"/>
      <c r="D26" s="22"/>
      <c r="E26" s="21"/>
      <c r="F26" s="21"/>
      <c r="G26" s="21"/>
      <c r="H26" s="21"/>
      <c r="I26" s="21"/>
      <c r="J26" s="21"/>
      <c r="K26" s="21"/>
      <c r="L26" s="96"/>
      <c r="M26" s="96"/>
      <c r="N26" s="96"/>
      <c r="O26" s="96"/>
      <c r="P26" s="96"/>
      <c r="Q26" s="96"/>
      <c r="R26" s="97"/>
    </row>
    <row r="27" spans="1:18" ht="41.45" customHeight="1" x14ac:dyDescent="0.25">
      <c r="A27" s="19"/>
      <c r="B27" s="3"/>
      <c r="C27" s="22"/>
      <c r="D27" s="22"/>
      <c r="E27" s="21"/>
      <c r="F27" s="21"/>
      <c r="G27" s="21"/>
      <c r="H27" s="21"/>
      <c r="I27" s="21"/>
      <c r="J27" s="21"/>
      <c r="K27" s="21"/>
      <c r="L27" s="96"/>
      <c r="M27" s="96"/>
      <c r="N27" s="96"/>
      <c r="O27" s="96"/>
      <c r="P27" s="96"/>
      <c r="Q27" s="96"/>
      <c r="R27" s="97"/>
    </row>
    <row r="28" spans="1:18" ht="41.45" customHeight="1" x14ac:dyDescent="0.25">
      <c r="A28" s="19"/>
      <c r="B28" s="3"/>
      <c r="C28" s="22"/>
      <c r="D28" s="22"/>
      <c r="E28" s="21"/>
      <c r="F28" s="21"/>
      <c r="G28" s="21"/>
      <c r="H28" s="21"/>
      <c r="I28" s="21"/>
      <c r="J28" s="21"/>
      <c r="K28" s="21"/>
      <c r="L28" s="96"/>
      <c r="M28" s="96"/>
      <c r="N28" s="96"/>
      <c r="O28" s="96"/>
      <c r="P28" s="96"/>
      <c r="Q28" s="96"/>
      <c r="R28" s="97"/>
    </row>
    <row r="29" spans="1:18" ht="41.45" customHeight="1" x14ac:dyDescent="0.25">
      <c r="A29" s="19"/>
      <c r="B29" s="3"/>
      <c r="C29" s="22"/>
      <c r="D29" s="22"/>
      <c r="E29" s="21"/>
      <c r="F29" s="21"/>
      <c r="G29" s="21"/>
      <c r="H29" s="21"/>
      <c r="I29" s="21"/>
      <c r="J29" s="21"/>
      <c r="K29" s="21"/>
      <c r="L29" s="96"/>
      <c r="M29" s="96"/>
      <c r="N29" s="96"/>
      <c r="O29" s="96"/>
      <c r="P29" s="96"/>
      <c r="Q29" s="96"/>
      <c r="R29" s="97"/>
    </row>
    <row r="30" spans="1:18" ht="41.45" customHeight="1" x14ac:dyDescent="0.25">
      <c r="A30" s="19"/>
      <c r="B30" s="3"/>
      <c r="C30" s="22"/>
      <c r="D30" s="22"/>
      <c r="E30" s="21"/>
      <c r="F30" s="21"/>
      <c r="G30" s="21"/>
      <c r="H30" s="21"/>
      <c r="I30" s="21"/>
      <c r="J30" s="21"/>
      <c r="K30" s="21"/>
      <c r="L30" s="96"/>
      <c r="M30" s="96"/>
      <c r="N30" s="96"/>
      <c r="O30" s="96"/>
      <c r="P30" s="96"/>
      <c r="Q30" s="96"/>
      <c r="R30" s="97"/>
    </row>
    <row r="31" spans="1:18" ht="41.45" customHeight="1" x14ac:dyDescent="0.25">
      <c r="A31" s="19"/>
      <c r="B31" s="3"/>
      <c r="C31" s="22"/>
      <c r="D31" s="22"/>
      <c r="E31" s="21"/>
      <c r="F31" s="21"/>
      <c r="G31" s="21"/>
      <c r="H31" s="21"/>
      <c r="I31" s="21"/>
      <c r="J31" s="21"/>
      <c r="K31" s="21"/>
      <c r="L31" s="96"/>
      <c r="M31" s="96"/>
      <c r="N31" s="96"/>
      <c r="O31" s="96"/>
      <c r="P31" s="96"/>
      <c r="Q31" s="96"/>
      <c r="R31" s="97"/>
    </row>
    <row r="32" spans="1:18" ht="41.45" customHeight="1" x14ac:dyDescent="0.25">
      <c r="A32" s="19"/>
      <c r="B32" s="3"/>
      <c r="C32" s="22"/>
      <c r="D32" s="22"/>
      <c r="E32" s="21"/>
      <c r="F32" s="21"/>
      <c r="G32" s="21"/>
      <c r="H32" s="21"/>
      <c r="I32" s="21"/>
      <c r="J32" s="21"/>
      <c r="K32" s="21"/>
      <c r="L32" s="96"/>
      <c r="M32" s="96"/>
      <c r="N32" s="96"/>
      <c r="O32" s="96"/>
      <c r="P32" s="96"/>
      <c r="Q32" s="96"/>
      <c r="R32" s="97"/>
    </row>
    <row r="33" spans="1:18" ht="41.45" customHeight="1" x14ac:dyDescent="0.25">
      <c r="A33" s="19"/>
      <c r="B33" s="3"/>
      <c r="C33" s="22"/>
      <c r="D33" s="22"/>
      <c r="E33" s="21"/>
      <c r="F33" s="21"/>
      <c r="G33" s="21"/>
      <c r="H33" s="21"/>
      <c r="I33" s="21"/>
      <c r="J33" s="21"/>
      <c r="K33" s="21"/>
      <c r="L33" s="96"/>
      <c r="M33" s="96"/>
      <c r="N33" s="96"/>
      <c r="O33" s="96"/>
      <c r="P33" s="96"/>
      <c r="Q33" s="96"/>
      <c r="R33" s="97"/>
    </row>
    <row r="34" spans="1:18" ht="41.45" customHeight="1" x14ac:dyDescent="0.25">
      <c r="A34" s="19"/>
      <c r="B34" s="3"/>
      <c r="C34" s="22"/>
      <c r="D34" s="22"/>
      <c r="E34" s="21"/>
      <c r="F34" s="21"/>
      <c r="G34" s="21"/>
      <c r="H34" s="21"/>
      <c r="I34" s="21"/>
      <c r="J34" s="21"/>
      <c r="K34" s="21"/>
      <c r="L34" s="96"/>
      <c r="M34" s="96"/>
      <c r="N34" s="96"/>
      <c r="O34" s="96"/>
      <c r="P34" s="96"/>
      <c r="Q34" s="96"/>
      <c r="R34" s="97"/>
    </row>
    <row r="35" spans="1:18" ht="41.45" customHeight="1" thickBot="1" x14ac:dyDescent="0.3">
      <c r="A35" s="20"/>
      <c r="B35" s="4"/>
      <c r="C35" s="23"/>
      <c r="D35" s="23"/>
      <c r="E35" s="24"/>
      <c r="F35" s="24"/>
      <c r="G35" s="24"/>
      <c r="H35" s="24"/>
      <c r="I35" s="24"/>
      <c r="J35" s="24"/>
      <c r="K35" s="24"/>
      <c r="L35" s="94"/>
      <c r="M35" s="94"/>
      <c r="N35" s="94"/>
      <c r="O35" s="94"/>
      <c r="P35" s="94"/>
      <c r="Q35" s="94"/>
      <c r="R35" s="95"/>
    </row>
    <row r="36" spans="1:18" ht="41.45" customHeight="1" x14ac:dyDescent="0.25">
      <c r="A36" s="33"/>
      <c r="B36" s="33"/>
      <c r="C36" s="34"/>
      <c r="D36" s="34"/>
      <c r="E36" s="34" t="str">
        <f>IF(E7="X",(D7-C7),"0")</f>
        <v>0</v>
      </c>
      <c r="F36" s="34">
        <f>IF(F7="X",(D7-C7),"0")</f>
        <v>34.770000000000003</v>
      </c>
      <c r="G36" s="34" t="str">
        <f>IF(G7="X",(D7-C7),"0")</f>
        <v>0</v>
      </c>
      <c r="H36" s="34" t="str">
        <f>IF(H7="X",(D7-C7),"0")</f>
        <v>0</v>
      </c>
      <c r="I36" s="34">
        <f>IF(I7="X",(D7-C7),"0")</f>
        <v>34.770000000000003</v>
      </c>
      <c r="J36" s="34" t="str">
        <f>IF(J7="X",(D7-C7),"0")</f>
        <v>0</v>
      </c>
      <c r="K36" s="34" t="str">
        <f>IF(K7="X",(D7-C7),"0")</f>
        <v>0</v>
      </c>
      <c r="L36" s="93"/>
      <c r="M36" s="93"/>
      <c r="N36" s="93"/>
      <c r="O36" s="93"/>
      <c r="P36" s="93"/>
      <c r="Q36" s="93"/>
      <c r="R36" s="93"/>
    </row>
    <row r="37" spans="1:18" ht="41.45" customHeight="1" x14ac:dyDescent="0.25">
      <c r="C37" s="35"/>
      <c r="D37" s="35"/>
      <c r="E37" s="35" t="str">
        <f t="shared" ref="E37:E61" si="0">IF(E8="X",(D8-C8),"0")</f>
        <v>0</v>
      </c>
      <c r="F37" s="35" t="str">
        <f t="shared" ref="F37:F61" si="1">IF(F8="X",(D8-C8),"0")</f>
        <v>0</v>
      </c>
      <c r="G37" s="35" t="str">
        <f t="shared" ref="G37:G61" si="2">IF(G8="X",(D8-C8),"0")</f>
        <v>0</v>
      </c>
      <c r="H37" s="35" t="str">
        <f t="shared" ref="H37:H61" si="3">IF(H8="X",(D8-C8),"0")</f>
        <v>0</v>
      </c>
      <c r="I37" s="35" t="str">
        <f t="shared" ref="I37:I61" si="4">IF(I8="X",(D8-C8),"0")</f>
        <v>0</v>
      </c>
      <c r="J37" s="35" t="str">
        <f t="shared" ref="J37:J61" si="5">IF(J8="X",(D8-C8),"0")</f>
        <v>0</v>
      </c>
      <c r="K37" s="35" t="str">
        <f t="shared" ref="K37:K61" si="6">IF(K8="X",(D8-C8),"0")</f>
        <v>0</v>
      </c>
      <c r="L37" s="92"/>
      <c r="M37" s="92"/>
      <c r="N37" s="92"/>
      <c r="O37" s="92"/>
      <c r="P37" s="92"/>
      <c r="Q37" s="92"/>
      <c r="R37" s="92"/>
    </row>
    <row r="38" spans="1:18" ht="41.45" customHeight="1" x14ac:dyDescent="0.25">
      <c r="C38" s="35"/>
      <c r="D38" s="35"/>
      <c r="E38" s="35" t="str">
        <f t="shared" si="0"/>
        <v>0</v>
      </c>
      <c r="F38" s="35" t="str">
        <f t="shared" si="1"/>
        <v>0</v>
      </c>
      <c r="G38" s="35" t="str">
        <f t="shared" si="2"/>
        <v>0</v>
      </c>
      <c r="H38" s="35" t="str">
        <f t="shared" si="3"/>
        <v>0</v>
      </c>
      <c r="I38" s="35" t="str">
        <f t="shared" si="4"/>
        <v>0</v>
      </c>
      <c r="J38" s="35" t="str">
        <f t="shared" si="5"/>
        <v>0</v>
      </c>
      <c r="K38" s="35" t="str">
        <f t="shared" si="6"/>
        <v>0</v>
      </c>
      <c r="L38" s="92"/>
      <c r="M38" s="92"/>
      <c r="N38" s="92"/>
      <c r="O38" s="92"/>
      <c r="P38" s="92"/>
      <c r="Q38" s="92"/>
      <c r="R38" s="92"/>
    </row>
    <row r="39" spans="1:18" ht="41.45" customHeight="1" x14ac:dyDescent="0.25">
      <c r="C39" s="35"/>
      <c r="D39" s="35"/>
      <c r="E39" s="35" t="str">
        <f t="shared" si="0"/>
        <v>0</v>
      </c>
      <c r="F39" s="35" t="str">
        <f t="shared" si="1"/>
        <v>0</v>
      </c>
      <c r="G39" s="35" t="str">
        <f t="shared" si="2"/>
        <v>0</v>
      </c>
      <c r="H39" s="35" t="str">
        <f t="shared" si="3"/>
        <v>0</v>
      </c>
      <c r="I39" s="35" t="str">
        <f t="shared" si="4"/>
        <v>0</v>
      </c>
      <c r="J39" s="35" t="str">
        <f t="shared" si="5"/>
        <v>0</v>
      </c>
      <c r="K39" s="35" t="str">
        <f t="shared" si="6"/>
        <v>0</v>
      </c>
      <c r="L39" s="92"/>
      <c r="M39" s="92"/>
      <c r="N39" s="92"/>
      <c r="O39" s="92"/>
      <c r="P39" s="92"/>
      <c r="Q39" s="92"/>
      <c r="R39" s="92"/>
    </row>
    <row r="40" spans="1:18" ht="41.45" customHeight="1" x14ac:dyDescent="0.25">
      <c r="C40" s="35"/>
      <c r="D40" s="35"/>
      <c r="E40" s="35" t="str">
        <f t="shared" si="0"/>
        <v>0</v>
      </c>
      <c r="F40" s="35" t="str">
        <f t="shared" si="1"/>
        <v>0</v>
      </c>
      <c r="G40" s="35" t="str">
        <f t="shared" si="2"/>
        <v>0</v>
      </c>
      <c r="H40" s="35" t="str">
        <f t="shared" si="3"/>
        <v>0</v>
      </c>
      <c r="I40" s="35" t="str">
        <f t="shared" si="4"/>
        <v>0</v>
      </c>
      <c r="J40" s="35" t="str">
        <f t="shared" si="5"/>
        <v>0</v>
      </c>
      <c r="K40" s="35" t="str">
        <f t="shared" si="6"/>
        <v>0</v>
      </c>
      <c r="L40" s="92"/>
      <c r="M40" s="92"/>
      <c r="N40" s="92"/>
      <c r="O40" s="92"/>
      <c r="P40" s="92"/>
      <c r="Q40" s="92"/>
      <c r="R40" s="92"/>
    </row>
    <row r="41" spans="1:18" ht="41.45" customHeight="1" x14ac:dyDescent="0.25">
      <c r="C41" s="35"/>
      <c r="D41" s="35"/>
      <c r="E41" s="35" t="str">
        <f t="shared" si="0"/>
        <v>0</v>
      </c>
      <c r="F41" s="35" t="str">
        <f t="shared" si="1"/>
        <v>0</v>
      </c>
      <c r="G41" s="35" t="str">
        <f t="shared" si="2"/>
        <v>0</v>
      </c>
      <c r="H41" s="35" t="str">
        <f t="shared" si="3"/>
        <v>0</v>
      </c>
      <c r="I41" s="35" t="str">
        <f t="shared" si="4"/>
        <v>0</v>
      </c>
      <c r="J41" s="35" t="str">
        <f t="shared" si="5"/>
        <v>0</v>
      </c>
      <c r="K41" s="35" t="str">
        <f t="shared" si="6"/>
        <v>0</v>
      </c>
      <c r="L41" s="92"/>
      <c r="M41" s="92"/>
      <c r="N41" s="92"/>
      <c r="O41" s="92"/>
      <c r="P41" s="92"/>
      <c r="Q41" s="92"/>
      <c r="R41" s="92"/>
    </row>
    <row r="42" spans="1:18" ht="41.45" customHeight="1" x14ac:dyDescent="0.25">
      <c r="C42" s="35"/>
      <c r="D42" s="35"/>
      <c r="E42" s="35" t="str">
        <f t="shared" si="0"/>
        <v>0</v>
      </c>
      <c r="F42" s="35" t="str">
        <f t="shared" si="1"/>
        <v>0</v>
      </c>
      <c r="G42" s="35" t="str">
        <f t="shared" si="2"/>
        <v>0</v>
      </c>
      <c r="H42" s="35" t="str">
        <f t="shared" si="3"/>
        <v>0</v>
      </c>
      <c r="I42" s="35" t="str">
        <f t="shared" si="4"/>
        <v>0</v>
      </c>
      <c r="J42" s="35" t="str">
        <f t="shared" si="5"/>
        <v>0</v>
      </c>
      <c r="K42" s="35" t="str">
        <f t="shared" si="6"/>
        <v>0</v>
      </c>
      <c r="L42" s="92"/>
      <c r="M42" s="92"/>
      <c r="N42" s="92"/>
      <c r="O42" s="92"/>
      <c r="P42" s="92"/>
      <c r="Q42" s="92"/>
      <c r="R42" s="92"/>
    </row>
    <row r="43" spans="1:18" ht="41.45" customHeight="1" x14ac:dyDescent="0.25">
      <c r="C43" s="35"/>
      <c r="D43" s="35"/>
      <c r="E43" s="35" t="str">
        <f t="shared" si="0"/>
        <v>0</v>
      </c>
      <c r="F43" s="35" t="str">
        <f t="shared" si="1"/>
        <v>0</v>
      </c>
      <c r="G43" s="35" t="str">
        <f t="shared" si="2"/>
        <v>0</v>
      </c>
      <c r="H43" s="35" t="str">
        <f t="shared" si="3"/>
        <v>0</v>
      </c>
      <c r="I43" s="35" t="str">
        <f t="shared" si="4"/>
        <v>0</v>
      </c>
      <c r="J43" s="35" t="str">
        <f t="shared" si="5"/>
        <v>0</v>
      </c>
      <c r="K43" s="35" t="str">
        <f t="shared" si="6"/>
        <v>0</v>
      </c>
      <c r="L43" s="92"/>
      <c r="M43" s="92"/>
      <c r="N43" s="92"/>
      <c r="O43" s="92"/>
      <c r="P43" s="92"/>
      <c r="Q43" s="92"/>
      <c r="R43" s="92"/>
    </row>
    <row r="44" spans="1:18" ht="41.45" customHeight="1" x14ac:dyDescent="0.25">
      <c r="C44" s="35"/>
      <c r="D44" s="35"/>
      <c r="E44" s="35" t="str">
        <f t="shared" si="0"/>
        <v>0</v>
      </c>
      <c r="F44" s="35" t="str">
        <f t="shared" si="1"/>
        <v>0</v>
      </c>
      <c r="G44" s="35" t="str">
        <f t="shared" si="2"/>
        <v>0</v>
      </c>
      <c r="H44" s="35" t="str">
        <f t="shared" si="3"/>
        <v>0</v>
      </c>
      <c r="I44" s="35" t="str">
        <f t="shared" si="4"/>
        <v>0</v>
      </c>
      <c r="J44" s="35" t="str">
        <f t="shared" si="5"/>
        <v>0</v>
      </c>
      <c r="K44" s="35" t="str">
        <f t="shared" si="6"/>
        <v>0</v>
      </c>
      <c r="L44" s="92"/>
      <c r="M44" s="92"/>
      <c r="N44" s="92"/>
      <c r="O44" s="92"/>
      <c r="P44" s="92"/>
      <c r="Q44" s="92"/>
      <c r="R44" s="92"/>
    </row>
    <row r="45" spans="1:18" ht="41.45" customHeight="1" x14ac:dyDescent="0.25">
      <c r="C45" s="35"/>
      <c r="D45" s="35"/>
      <c r="E45" s="35" t="str">
        <f t="shared" si="0"/>
        <v>0</v>
      </c>
      <c r="F45" s="35" t="str">
        <f t="shared" si="1"/>
        <v>0</v>
      </c>
      <c r="G45" s="35" t="str">
        <f t="shared" si="2"/>
        <v>0</v>
      </c>
      <c r="H45" s="35" t="str">
        <f t="shared" si="3"/>
        <v>0</v>
      </c>
      <c r="I45" s="35" t="str">
        <f t="shared" si="4"/>
        <v>0</v>
      </c>
      <c r="J45" s="35" t="str">
        <f t="shared" si="5"/>
        <v>0</v>
      </c>
      <c r="K45" s="35" t="str">
        <f t="shared" si="6"/>
        <v>0</v>
      </c>
      <c r="L45" s="92"/>
      <c r="M45" s="92"/>
      <c r="N45" s="92"/>
      <c r="O45" s="92"/>
      <c r="P45" s="92"/>
      <c r="Q45" s="92"/>
      <c r="R45" s="92"/>
    </row>
    <row r="46" spans="1:18" ht="41.45" customHeight="1" x14ac:dyDescent="0.25">
      <c r="C46" s="35"/>
      <c r="D46" s="35"/>
      <c r="E46" s="35" t="str">
        <f t="shared" si="0"/>
        <v>0</v>
      </c>
      <c r="F46" s="35" t="str">
        <f t="shared" si="1"/>
        <v>0</v>
      </c>
      <c r="G46" s="35" t="str">
        <f t="shared" si="2"/>
        <v>0</v>
      </c>
      <c r="H46" s="35" t="str">
        <f t="shared" si="3"/>
        <v>0</v>
      </c>
      <c r="I46" s="35" t="str">
        <f t="shared" si="4"/>
        <v>0</v>
      </c>
      <c r="J46" s="35" t="str">
        <f t="shared" si="5"/>
        <v>0</v>
      </c>
      <c r="K46" s="35" t="str">
        <f t="shared" si="6"/>
        <v>0</v>
      </c>
      <c r="L46" s="92"/>
      <c r="M46" s="92"/>
      <c r="N46" s="92"/>
      <c r="O46" s="92"/>
      <c r="P46" s="92"/>
      <c r="Q46" s="92"/>
      <c r="R46" s="92"/>
    </row>
    <row r="47" spans="1:18" ht="41.45" customHeight="1" x14ac:dyDescent="0.25">
      <c r="C47" s="35"/>
      <c r="D47" s="35"/>
      <c r="E47" s="35" t="str">
        <f t="shared" si="0"/>
        <v>0</v>
      </c>
      <c r="F47" s="35" t="str">
        <f t="shared" si="1"/>
        <v>0</v>
      </c>
      <c r="G47" s="35" t="str">
        <f t="shared" si="2"/>
        <v>0</v>
      </c>
      <c r="H47" s="35" t="str">
        <f t="shared" si="3"/>
        <v>0</v>
      </c>
      <c r="I47" s="35" t="str">
        <f t="shared" si="4"/>
        <v>0</v>
      </c>
      <c r="J47" s="35" t="str">
        <f t="shared" si="5"/>
        <v>0</v>
      </c>
      <c r="K47" s="35" t="str">
        <f t="shared" si="6"/>
        <v>0</v>
      </c>
      <c r="L47" s="92"/>
      <c r="M47" s="92"/>
      <c r="N47" s="92"/>
      <c r="O47" s="92"/>
      <c r="P47" s="92"/>
      <c r="Q47" s="92"/>
      <c r="R47" s="92"/>
    </row>
    <row r="48" spans="1:18" ht="41.45" customHeight="1" x14ac:dyDescent="0.25">
      <c r="C48" s="35"/>
      <c r="D48" s="35"/>
      <c r="E48" s="35" t="str">
        <f t="shared" si="0"/>
        <v>0</v>
      </c>
      <c r="F48" s="35" t="str">
        <f t="shared" si="1"/>
        <v>0</v>
      </c>
      <c r="G48" s="35" t="str">
        <f t="shared" si="2"/>
        <v>0</v>
      </c>
      <c r="H48" s="35" t="str">
        <f t="shared" si="3"/>
        <v>0</v>
      </c>
      <c r="I48" s="35" t="str">
        <f t="shared" si="4"/>
        <v>0</v>
      </c>
      <c r="J48" s="35" t="str">
        <f t="shared" si="5"/>
        <v>0</v>
      </c>
      <c r="K48" s="35" t="str">
        <f t="shared" si="6"/>
        <v>0</v>
      </c>
      <c r="L48" s="92"/>
      <c r="M48" s="92"/>
      <c r="N48" s="92"/>
      <c r="O48" s="92"/>
      <c r="P48" s="92"/>
      <c r="Q48" s="92"/>
      <c r="R48" s="92"/>
    </row>
    <row r="49" spans="3:18" ht="41.45" customHeight="1" x14ac:dyDescent="0.25">
      <c r="C49" s="35"/>
      <c r="D49" s="35"/>
      <c r="E49" s="35" t="str">
        <f t="shared" si="0"/>
        <v>0</v>
      </c>
      <c r="F49" s="35" t="str">
        <f t="shared" si="1"/>
        <v>0</v>
      </c>
      <c r="G49" s="35" t="str">
        <f t="shared" si="2"/>
        <v>0</v>
      </c>
      <c r="H49" s="35" t="str">
        <f t="shared" si="3"/>
        <v>0</v>
      </c>
      <c r="I49" s="35" t="str">
        <f t="shared" si="4"/>
        <v>0</v>
      </c>
      <c r="J49" s="35" t="str">
        <f t="shared" si="5"/>
        <v>0</v>
      </c>
      <c r="K49" s="35" t="str">
        <f t="shared" si="6"/>
        <v>0</v>
      </c>
      <c r="L49" s="92"/>
      <c r="M49" s="92"/>
      <c r="N49" s="92"/>
      <c r="O49" s="92"/>
      <c r="P49" s="92"/>
      <c r="Q49" s="92"/>
      <c r="R49" s="92"/>
    </row>
    <row r="50" spans="3:18" ht="41.45" customHeight="1" x14ac:dyDescent="0.25">
      <c r="C50" s="35"/>
      <c r="D50" s="35"/>
      <c r="E50" s="35" t="str">
        <f t="shared" si="0"/>
        <v>0</v>
      </c>
      <c r="F50" s="35" t="str">
        <f t="shared" si="1"/>
        <v>0</v>
      </c>
      <c r="G50" s="35" t="str">
        <f t="shared" si="2"/>
        <v>0</v>
      </c>
      <c r="H50" s="35" t="str">
        <f t="shared" si="3"/>
        <v>0</v>
      </c>
      <c r="I50" s="35" t="str">
        <f t="shared" si="4"/>
        <v>0</v>
      </c>
      <c r="J50" s="35" t="str">
        <f t="shared" si="5"/>
        <v>0</v>
      </c>
      <c r="K50" s="35" t="str">
        <f t="shared" si="6"/>
        <v>0</v>
      </c>
      <c r="L50" s="92"/>
      <c r="M50" s="92"/>
      <c r="N50" s="92"/>
      <c r="O50" s="92"/>
      <c r="P50" s="92"/>
      <c r="Q50" s="92"/>
      <c r="R50" s="92"/>
    </row>
    <row r="51" spans="3:18" ht="41.45" customHeight="1" x14ac:dyDescent="0.25">
      <c r="C51" s="35"/>
      <c r="D51" s="35"/>
      <c r="E51" s="35" t="str">
        <f t="shared" si="0"/>
        <v>0</v>
      </c>
      <c r="F51" s="35" t="str">
        <f t="shared" si="1"/>
        <v>0</v>
      </c>
      <c r="G51" s="35" t="str">
        <f t="shared" si="2"/>
        <v>0</v>
      </c>
      <c r="H51" s="35" t="str">
        <f t="shared" si="3"/>
        <v>0</v>
      </c>
      <c r="I51" s="35" t="str">
        <f t="shared" si="4"/>
        <v>0</v>
      </c>
      <c r="J51" s="35" t="str">
        <f t="shared" si="5"/>
        <v>0</v>
      </c>
      <c r="K51" s="35" t="str">
        <f t="shared" si="6"/>
        <v>0</v>
      </c>
      <c r="L51" s="92"/>
      <c r="M51" s="92"/>
      <c r="N51" s="92"/>
      <c r="O51" s="92"/>
      <c r="P51" s="92"/>
      <c r="Q51" s="92"/>
      <c r="R51" s="92"/>
    </row>
    <row r="52" spans="3:18" ht="41.45" customHeight="1" x14ac:dyDescent="0.25">
      <c r="C52" s="35"/>
      <c r="D52" s="35"/>
      <c r="E52" s="35" t="str">
        <f t="shared" si="0"/>
        <v>0</v>
      </c>
      <c r="F52" s="35" t="str">
        <f t="shared" si="1"/>
        <v>0</v>
      </c>
      <c r="G52" s="35" t="str">
        <f t="shared" si="2"/>
        <v>0</v>
      </c>
      <c r="H52" s="35" t="str">
        <f t="shared" si="3"/>
        <v>0</v>
      </c>
      <c r="I52" s="35" t="str">
        <f t="shared" si="4"/>
        <v>0</v>
      </c>
      <c r="J52" s="35" t="str">
        <f t="shared" si="5"/>
        <v>0</v>
      </c>
      <c r="K52" s="35" t="str">
        <f t="shared" si="6"/>
        <v>0</v>
      </c>
      <c r="L52" s="92"/>
      <c r="M52" s="92"/>
      <c r="N52" s="92"/>
      <c r="O52" s="92"/>
      <c r="P52" s="92"/>
      <c r="Q52" s="92"/>
      <c r="R52" s="92"/>
    </row>
    <row r="53" spans="3:18" ht="41.45" customHeight="1" x14ac:dyDescent="0.25">
      <c r="C53" s="35"/>
      <c r="D53" s="35"/>
      <c r="E53" s="35" t="str">
        <f t="shared" si="0"/>
        <v>0</v>
      </c>
      <c r="F53" s="35" t="str">
        <f t="shared" si="1"/>
        <v>0</v>
      </c>
      <c r="G53" s="35" t="str">
        <f t="shared" si="2"/>
        <v>0</v>
      </c>
      <c r="H53" s="35" t="str">
        <f t="shared" si="3"/>
        <v>0</v>
      </c>
      <c r="I53" s="35" t="str">
        <f t="shared" si="4"/>
        <v>0</v>
      </c>
      <c r="J53" s="35" t="str">
        <f t="shared" si="5"/>
        <v>0</v>
      </c>
      <c r="K53" s="35" t="str">
        <f t="shared" si="6"/>
        <v>0</v>
      </c>
      <c r="L53" s="92"/>
      <c r="M53" s="92"/>
      <c r="N53" s="92"/>
      <c r="O53" s="92"/>
      <c r="P53" s="92"/>
      <c r="Q53" s="92"/>
      <c r="R53" s="92"/>
    </row>
    <row r="54" spans="3:18" ht="41.45" customHeight="1" x14ac:dyDescent="0.25">
      <c r="C54" s="35"/>
      <c r="D54" s="35"/>
      <c r="E54" s="35" t="str">
        <f t="shared" si="0"/>
        <v>0</v>
      </c>
      <c r="F54" s="35" t="str">
        <f t="shared" si="1"/>
        <v>0</v>
      </c>
      <c r="G54" s="35" t="str">
        <f t="shared" si="2"/>
        <v>0</v>
      </c>
      <c r="H54" s="35" t="str">
        <f t="shared" si="3"/>
        <v>0</v>
      </c>
      <c r="I54" s="35" t="str">
        <f t="shared" si="4"/>
        <v>0</v>
      </c>
      <c r="J54" s="35" t="str">
        <f t="shared" si="5"/>
        <v>0</v>
      </c>
      <c r="K54" s="35" t="str">
        <f t="shared" si="6"/>
        <v>0</v>
      </c>
      <c r="L54" s="92"/>
      <c r="M54" s="92"/>
      <c r="N54" s="92"/>
      <c r="O54" s="92"/>
      <c r="P54" s="92"/>
      <c r="Q54" s="92"/>
      <c r="R54" s="92"/>
    </row>
    <row r="55" spans="3:18" ht="41.45" customHeight="1" x14ac:dyDescent="0.25">
      <c r="C55" s="35"/>
      <c r="D55" s="35"/>
      <c r="E55" s="35" t="str">
        <f t="shared" si="0"/>
        <v>0</v>
      </c>
      <c r="F55" s="35" t="str">
        <f t="shared" si="1"/>
        <v>0</v>
      </c>
      <c r="G55" s="35" t="str">
        <f t="shared" si="2"/>
        <v>0</v>
      </c>
      <c r="H55" s="35" t="str">
        <f t="shared" si="3"/>
        <v>0</v>
      </c>
      <c r="I55" s="35" t="str">
        <f t="shared" si="4"/>
        <v>0</v>
      </c>
      <c r="J55" s="35" t="str">
        <f t="shared" si="5"/>
        <v>0</v>
      </c>
      <c r="K55" s="35" t="str">
        <f t="shared" si="6"/>
        <v>0</v>
      </c>
      <c r="L55" s="92"/>
      <c r="M55" s="92"/>
      <c r="N55" s="92"/>
      <c r="O55" s="92"/>
      <c r="P55" s="92"/>
      <c r="Q55" s="92"/>
      <c r="R55" s="92"/>
    </row>
    <row r="56" spans="3:18" ht="41.45" customHeight="1" x14ac:dyDescent="0.25">
      <c r="C56" s="35"/>
      <c r="D56" s="35"/>
      <c r="E56" s="35" t="str">
        <f t="shared" si="0"/>
        <v>0</v>
      </c>
      <c r="F56" s="35" t="str">
        <f t="shared" si="1"/>
        <v>0</v>
      </c>
      <c r="G56" s="35" t="str">
        <f t="shared" si="2"/>
        <v>0</v>
      </c>
      <c r="H56" s="35" t="str">
        <f t="shared" si="3"/>
        <v>0</v>
      </c>
      <c r="I56" s="35" t="str">
        <f t="shared" si="4"/>
        <v>0</v>
      </c>
      <c r="J56" s="35" t="str">
        <f t="shared" si="5"/>
        <v>0</v>
      </c>
      <c r="K56" s="35" t="str">
        <f t="shared" si="6"/>
        <v>0</v>
      </c>
      <c r="L56" s="92"/>
      <c r="M56" s="92"/>
      <c r="N56" s="92"/>
      <c r="O56" s="92"/>
      <c r="P56" s="92"/>
      <c r="Q56" s="92"/>
      <c r="R56" s="92"/>
    </row>
    <row r="57" spans="3:18" ht="41.45" customHeight="1" x14ac:dyDescent="0.25">
      <c r="C57" s="35"/>
      <c r="D57" s="35"/>
      <c r="E57" s="35" t="str">
        <f t="shared" si="0"/>
        <v>0</v>
      </c>
      <c r="F57" s="35" t="str">
        <f t="shared" si="1"/>
        <v>0</v>
      </c>
      <c r="G57" s="35" t="str">
        <f t="shared" si="2"/>
        <v>0</v>
      </c>
      <c r="H57" s="35" t="str">
        <f t="shared" si="3"/>
        <v>0</v>
      </c>
      <c r="I57" s="35" t="str">
        <f t="shared" si="4"/>
        <v>0</v>
      </c>
      <c r="J57" s="35" t="str">
        <f t="shared" si="5"/>
        <v>0</v>
      </c>
      <c r="K57" s="35" t="str">
        <f t="shared" si="6"/>
        <v>0</v>
      </c>
      <c r="L57" s="92"/>
      <c r="M57" s="92"/>
      <c r="N57" s="92"/>
      <c r="O57" s="92"/>
      <c r="P57" s="92"/>
      <c r="Q57" s="92"/>
      <c r="R57" s="92"/>
    </row>
    <row r="58" spans="3:18" ht="41.45" customHeight="1" x14ac:dyDescent="0.25">
      <c r="C58" s="35"/>
      <c r="D58" s="35"/>
      <c r="E58" s="35" t="str">
        <f t="shared" si="0"/>
        <v>0</v>
      </c>
      <c r="F58" s="35" t="str">
        <f t="shared" si="1"/>
        <v>0</v>
      </c>
      <c r="G58" s="35" t="str">
        <f t="shared" si="2"/>
        <v>0</v>
      </c>
      <c r="H58" s="35" t="str">
        <f t="shared" si="3"/>
        <v>0</v>
      </c>
      <c r="I58" s="35" t="str">
        <f t="shared" si="4"/>
        <v>0</v>
      </c>
      <c r="J58" s="35" t="str">
        <f t="shared" si="5"/>
        <v>0</v>
      </c>
      <c r="K58" s="35" t="str">
        <f t="shared" si="6"/>
        <v>0</v>
      </c>
      <c r="L58" s="92"/>
      <c r="M58" s="92"/>
      <c r="N58" s="92"/>
      <c r="O58" s="92"/>
      <c r="P58" s="92"/>
      <c r="Q58" s="92"/>
      <c r="R58" s="92"/>
    </row>
    <row r="59" spans="3:18" ht="41.45" customHeight="1" x14ac:dyDescent="0.25">
      <c r="C59" s="35"/>
      <c r="D59" s="35"/>
      <c r="E59" s="35" t="str">
        <f t="shared" si="0"/>
        <v>0</v>
      </c>
      <c r="F59" s="35" t="str">
        <f t="shared" si="1"/>
        <v>0</v>
      </c>
      <c r="G59" s="35" t="str">
        <f t="shared" si="2"/>
        <v>0</v>
      </c>
      <c r="H59" s="35" t="str">
        <f t="shared" si="3"/>
        <v>0</v>
      </c>
      <c r="I59" s="35" t="str">
        <f t="shared" si="4"/>
        <v>0</v>
      </c>
      <c r="J59" s="35" t="str">
        <f t="shared" si="5"/>
        <v>0</v>
      </c>
      <c r="K59" s="35" t="str">
        <f t="shared" si="6"/>
        <v>0</v>
      </c>
      <c r="L59" s="92"/>
      <c r="M59" s="92"/>
      <c r="N59" s="92"/>
      <c r="O59" s="92"/>
      <c r="P59" s="92"/>
      <c r="Q59" s="92"/>
      <c r="R59" s="92"/>
    </row>
    <row r="60" spans="3:18" ht="41.45" customHeight="1" x14ac:dyDescent="0.25">
      <c r="C60" s="35"/>
      <c r="D60" s="35"/>
      <c r="E60" s="35" t="str">
        <f t="shared" si="0"/>
        <v>0</v>
      </c>
      <c r="F60" s="35" t="str">
        <f t="shared" si="1"/>
        <v>0</v>
      </c>
      <c r="G60" s="35" t="str">
        <f t="shared" si="2"/>
        <v>0</v>
      </c>
      <c r="H60" s="35" t="str">
        <f t="shared" si="3"/>
        <v>0</v>
      </c>
      <c r="I60" s="35" t="str">
        <f t="shared" si="4"/>
        <v>0</v>
      </c>
      <c r="J60" s="35" t="str">
        <f t="shared" si="5"/>
        <v>0</v>
      </c>
      <c r="K60" s="35" t="str">
        <f t="shared" si="6"/>
        <v>0</v>
      </c>
      <c r="L60" s="92"/>
      <c r="M60" s="92"/>
      <c r="N60" s="92"/>
      <c r="O60" s="92"/>
      <c r="P60" s="92"/>
      <c r="Q60" s="92"/>
      <c r="R60" s="92"/>
    </row>
    <row r="61" spans="3:18" ht="41.45" customHeight="1" x14ac:dyDescent="0.25">
      <c r="C61" s="35"/>
      <c r="D61" s="35"/>
      <c r="E61" s="35" t="str">
        <f t="shared" si="0"/>
        <v>0</v>
      </c>
      <c r="F61" s="35" t="str">
        <f t="shared" si="1"/>
        <v>0</v>
      </c>
      <c r="G61" s="35" t="str">
        <f t="shared" si="2"/>
        <v>0</v>
      </c>
      <c r="H61" s="35" t="str">
        <f t="shared" si="3"/>
        <v>0</v>
      </c>
      <c r="I61" s="35" t="str">
        <f t="shared" si="4"/>
        <v>0</v>
      </c>
      <c r="J61" s="35" t="str">
        <f t="shared" si="5"/>
        <v>0</v>
      </c>
      <c r="K61" s="35" t="str">
        <f t="shared" si="6"/>
        <v>0</v>
      </c>
      <c r="L61" s="92"/>
      <c r="M61" s="92"/>
      <c r="N61" s="92"/>
      <c r="O61" s="92"/>
      <c r="P61" s="92"/>
      <c r="Q61" s="92"/>
      <c r="R61" s="92"/>
    </row>
    <row r="62" spans="3:18" ht="41.45" customHeight="1" x14ac:dyDescent="0.25">
      <c r="C62" s="35"/>
      <c r="D62" s="35"/>
      <c r="E62" s="35">
        <f>SUM(E36:E61)</f>
        <v>0</v>
      </c>
      <c r="F62" s="35">
        <f t="shared" ref="F62:K62" si="7">SUM(F36:F61)</f>
        <v>34.770000000000003</v>
      </c>
      <c r="G62" s="35">
        <f t="shared" si="7"/>
        <v>0</v>
      </c>
      <c r="H62" s="35">
        <f t="shared" si="7"/>
        <v>0</v>
      </c>
      <c r="I62" s="35">
        <f t="shared" si="7"/>
        <v>34.770000000000003</v>
      </c>
      <c r="J62" s="35">
        <f t="shared" si="7"/>
        <v>0</v>
      </c>
      <c r="K62" s="35">
        <f t="shared" si="7"/>
        <v>0</v>
      </c>
      <c r="L62" s="92"/>
      <c r="M62" s="92"/>
      <c r="N62" s="92"/>
      <c r="O62" s="92"/>
      <c r="P62" s="92"/>
      <c r="Q62" s="92"/>
      <c r="R62" s="92"/>
    </row>
    <row r="63" spans="3:18" ht="41.45" customHeight="1" x14ac:dyDescent="0.25">
      <c r="C63" s="35"/>
      <c r="D63" s="35"/>
      <c r="E63" s="35"/>
      <c r="F63" s="31"/>
      <c r="G63" s="31"/>
      <c r="H63" s="31"/>
      <c r="I63" s="31"/>
      <c r="J63" s="31"/>
      <c r="K63" s="31"/>
      <c r="L63" s="92"/>
      <c r="M63" s="92"/>
      <c r="N63" s="92"/>
      <c r="O63" s="92"/>
      <c r="P63" s="92"/>
      <c r="Q63" s="92"/>
      <c r="R63" s="92"/>
    </row>
    <row r="64" spans="3:18" ht="41.45" customHeight="1" x14ac:dyDescent="0.25">
      <c r="C64" s="35"/>
      <c r="D64" s="35"/>
      <c r="E64" s="35"/>
      <c r="F64" s="31"/>
      <c r="G64" s="31"/>
      <c r="H64" s="31"/>
      <c r="I64" s="31"/>
      <c r="J64" s="31"/>
      <c r="K64" s="31"/>
      <c r="L64" s="92"/>
      <c r="M64" s="92"/>
      <c r="N64" s="92"/>
      <c r="O64" s="92"/>
      <c r="P64" s="92"/>
      <c r="Q64" s="92"/>
      <c r="R64" s="92"/>
    </row>
    <row r="65" spans="3:18" ht="41.45" customHeight="1" x14ac:dyDescent="0.25">
      <c r="C65" s="35"/>
      <c r="D65" s="35"/>
      <c r="E65" s="35"/>
      <c r="F65" s="31"/>
      <c r="G65" s="31"/>
      <c r="H65" s="31"/>
      <c r="I65" s="31"/>
      <c r="J65" s="31"/>
      <c r="K65" s="31"/>
      <c r="L65" s="92"/>
      <c r="M65" s="92"/>
      <c r="N65" s="92"/>
      <c r="O65" s="92"/>
      <c r="P65" s="92"/>
      <c r="Q65" s="92"/>
      <c r="R65" s="92"/>
    </row>
    <row r="66" spans="3:18" ht="41.45" customHeight="1" x14ac:dyDescent="0.25">
      <c r="C66" s="35"/>
      <c r="D66" s="35"/>
      <c r="E66" s="35"/>
      <c r="F66" s="31"/>
      <c r="G66" s="31"/>
      <c r="H66" s="31"/>
      <c r="I66" s="31"/>
      <c r="J66" s="31"/>
      <c r="K66" s="31"/>
      <c r="L66" s="92"/>
      <c r="M66" s="92"/>
      <c r="N66" s="92"/>
      <c r="O66" s="92"/>
      <c r="P66" s="92"/>
      <c r="Q66" s="92"/>
      <c r="R66" s="92"/>
    </row>
    <row r="67" spans="3:18" ht="41.45" customHeight="1" x14ac:dyDescent="0.25">
      <c r="C67" s="35"/>
      <c r="D67" s="35"/>
      <c r="E67" s="35"/>
      <c r="F67" s="31"/>
      <c r="G67" s="31"/>
      <c r="H67" s="31"/>
      <c r="I67" s="31"/>
      <c r="J67" s="31"/>
      <c r="K67" s="31"/>
      <c r="L67" s="92"/>
      <c r="M67" s="92"/>
      <c r="N67" s="92"/>
      <c r="O67" s="92"/>
      <c r="P67" s="92"/>
      <c r="Q67" s="92"/>
      <c r="R67" s="92"/>
    </row>
    <row r="68" spans="3:18" ht="41.45" customHeight="1" x14ac:dyDescent="0.25">
      <c r="C68" s="35"/>
      <c r="D68" s="35"/>
      <c r="E68" s="35"/>
      <c r="F68" s="31"/>
      <c r="G68" s="31"/>
      <c r="H68" s="31"/>
      <c r="I68" s="31"/>
      <c r="J68" s="31"/>
      <c r="K68" s="31"/>
      <c r="L68" s="92"/>
      <c r="M68" s="92"/>
      <c r="N68" s="92"/>
      <c r="O68" s="92"/>
      <c r="P68" s="92"/>
      <c r="Q68" s="92"/>
      <c r="R68" s="92"/>
    </row>
  </sheetData>
  <mergeCells count="73">
    <mergeCell ref="A5:A6"/>
    <mergeCell ref="B5:B6"/>
    <mergeCell ref="C5:C6"/>
    <mergeCell ref="D5:D6"/>
    <mergeCell ref="E5:H5"/>
    <mergeCell ref="L11:R11"/>
    <mergeCell ref="I1:I2"/>
    <mergeCell ref="J1:J2"/>
    <mergeCell ref="L1:M2"/>
    <mergeCell ref="N1:R2"/>
    <mergeCell ref="I5:K5"/>
    <mergeCell ref="L5:R6"/>
    <mergeCell ref="L7:R7"/>
    <mergeCell ref="L8:R8"/>
    <mergeCell ref="L9:R9"/>
    <mergeCell ref="L10:R10"/>
    <mergeCell ref="L23:R23"/>
    <mergeCell ref="L12:R12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35:R35"/>
    <mergeCell ref="L24:R24"/>
    <mergeCell ref="L25:R25"/>
    <mergeCell ref="L26:R26"/>
    <mergeCell ref="L27:R27"/>
    <mergeCell ref="L28:R28"/>
    <mergeCell ref="L29:R29"/>
    <mergeCell ref="L30:R30"/>
    <mergeCell ref="L31:R31"/>
    <mergeCell ref="L32:R32"/>
    <mergeCell ref="L33:R33"/>
    <mergeCell ref="L34:R34"/>
    <mergeCell ref="L47:R47"/>
    <mergeCell ref="L36:R36"/>
    <mergeCell ref="L37:R37"/>
    <mergeCell ref="L38:R38"/>
    <mergeCell ref="L39:R39"/>
    <mergeCell ref="L40:R40"/>
    <mergeCell ref="L41:R41"/>
    <mergeCell ref="L42:R42"/>
    <mergeCell ref="L43:R43"/>
    <mergeCell ref="L44:R44"/>
    <mergeCell ref="L45:R45"/>
    <mergeCell ref="L46:R46"/>
    <mergeCell ref="L59:R59"/>
    <mergeCell ref="L48:R48"/>
    <mergeCell ref="L49:R49"/>
    <mergeCell ref="L50:R50"/>
    <mergeCell ref="L51:R51"/>
    <mergeCell ref="L52:R52"/>
    <mergeCell ref="L53:R53"/>
    <mergeCell ref="L54:R54"/>
    <mergeCell ref="L55:R55"/>
    <mergeCell ref="L56:R56"/>
    <mergeCell ref="L57:R57"/>
    <mergeCell ref="L58:R58"/>
    <mergeCell ref="L66:R66"/>
    <mergeCell ref="L67:R67"/>
    <mergeCell ref="L68:R68"/>
    <mergeCell ref="L60:R60"/>
    <mergeCell ref="L61:R61"/>
    <mergeCell ref="L62:R62"/>
    <mergeCell ref="L63:R63"/>
    <mergeCell ref="L64:R64"/>
    <mergeCell ref="L65:R65"/>
  </mergeCells>
  <pageMargins left="0.51181102362204722" right="0.51181102362204722" top="0.78740157480314965" bottom="0.78740157480314965" header="0.31496062992125984" footer="0.31496062992125984"/>
  <pageSetup paperSize="9" scale="33" orientation="landscape" horizontalDpi="1200" verticalDpi="1200" r:id="rId1"/>
  <colBreaks count="1" manualBreakCount="1">
    <brk id="18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6C158-3DE5-4E8D-B77D-FEEDF2C4C478}">
  <sheetPr>
    <tabColor theme="2"/>
    <pageSetUpPr fitToPage="1"/>
  </sheetPr>
  <dimension ref="A1:R68"/>
  <sheetViews>
    <sheetView view="pageBreakPreview" zoomScale="40" zoomScaleNormal="10" zoomScaleSheetLayoutView="40" workbookViewId="0">
      <selection activeCell="F7" sqref="F7:F11"/>
    </sheetView>
  </sheetViews>
  <sheetFormatPr defaultColWidth="8.85546875" defaultRowHeight="15" x14ac:dyDescent="0.25"/>
  <cols>
    <col min="1" max="1" width="33.28515625" style="1" customWidth="1"/>
    <col min="2" max="2" width="17.140625" style="1" customWidth="1"/>
    <col min="3" max="4" width="13.42578125" style="1" customWidth="1"/>
    <col min="5" max="5" width="26.5703125" style="2" customWidth="1"/>
    <col min="6" max="6" width="30.140625" style="2" customWidth="1"/>
    <col min="7" max="7" width="26.5703125" style="2" customWidth="1"/>
    <col min="8" max="8" width="33.140625" style="2" customWidth="1"/>
    <col min="9" max="11" width="32" style="2" customWidth="1"/>
    <col min="12" max="14" width="14.42578125" style="1" customWidth="1"/>
    <col min="15" max="17" width="14.7109375" style="1" customWidth="1"/>
    <col min="18" max="18" width="37.42578125" style="1" customWidth="1"/>
    <col min="19" max="16384" width="8.85546875" style="1"/>
  </cols>
  <sheetData>
    <row r="1" spans="1:18" ht="19.5" x14ac:dyDescent="0.3">
      <c r="A1" s="9" t="s">
        <v>0</v>
      </c>
      <c r="B1" s="10"/>
      <c r="C1" s="10"/>
      <c r="D1" s="10"/>
      <c r="E1" s="11"/>
      <c r="F1" s="12"/>
      <c r="G1" s="11"/>
      <c r="H1" s="11"/>
      <c r="I1" s="98" t="s">
        <v>3</v>
      </c>
      <c r="J1" s="120">
        <f>'245'!J1</f>
        <v>46204</v>
      </c>
      <c r="K1" s="11"/>
      <c r="L1" s="102" t="s">
        <v>4</v>
      </c>
      <c r="M1" s="102"/>
      <c r="N1" s="104" t="str">
        <f>'245'!N1</f>
        <v>ENG. THIAGO TORQUATO</v>
      </c>
      <c r="O1" s="104"/>
      <c r="P1" s="104"/>
      <c r="Q1" s="104"/>
      <c r="R1" s="105"/>
    </row>
    <row r="2" spans="1:18" ht="20.25" thickBot="1" x14ac:dyDescent="0.35">
      <c r="A2" s="13"/>
      <c r="B2" s="14"/>
      <c r="C2" s="14"/>
      <c r="D2" s="14"/>
      <c r="E2" s="15"/>
      <c r="F2" s="16" t="s">
        <v>9</v>
      </c>
      <c r="G2" s="15"/>
      <c r="H2" s="15"/>
      <c r="I2" s="99"/>
      <c r="J2" s="121"/>
      <c r="K2" s="16"/>
      <c r="L2" s="103"/>
      <c r="M2" s="103"/>
      <c r="N2" s="106"/>
      <c r="O2" s="106"/>
      <c r="P2" s="106"/>
      <c r="Q2" s="106"/>
      <c r="R2" s="107"/>
    </row>
    <row r="3" spans="1:18" ht="25.5" x14ac:dyDescent="0.35">
      <c r="A3" s="13" t="s">
        <v>21</v>
      </c>
      <c r="B3" s="45" t="str">
        <f>TT!C13</f>
        <v>RODOVIA TO-477 - TRECHO ENTR. BR-010 (POVOADO BONFIM) - ALMAS</v>
      </c>
      <c r="C3" s="14"/>
      <c r="D3" s="14"/>
      <c r="E3" s="15"/>
      <c r="F3" s="15"/>
      <c r="G3" s="15"/>
      <c r="H3" s="15"/>
      <c r="I3" s="47" t="s">
        <v>107</v>
      </c>
      <c r="J3" s="47">
        <v>13</v>
      </c>
      <c r="K3" s="15"/>
      <c r="L3" s="14"/>
      <c r="M3" s="14"/>
      <c r="N3" s="14"/>
      <c r="O3" s="14"/>
      <c r="P3" s="14"/>
      <c r="Q3" s="14"/>
      <c r="R3" s="17"/>
    </row>
    <row r="4" spans="1:18" ht="19.899999999999999" thickBot="1" x14ac:dyDescent="0.4">
      <c r="A4" s="18"/>
      <c r="B4" s="14"/>
      <c r="C4" s="14"/>
      <c r="D4" s="14"/>
      <c r="E4" s="15"/>
      <c r="F4" s="15"/>
      <c r="G4" s="15"/>
      <c r="H4" s="15"/>
      <c r="I4" s="15"/>
      <c r="J4" s="15"/>
      <c r="K4" s="15"/>
      <c r="L4" s="14"/>
      <c r="M4" s="14"/>
      <c r="N4" s="14"/>
      <c r="O4" s="14"/>
      <c r="P4" s="14"/>
      <c r="Q4" s="14"/>
      <c r="R4" s="17"/>
    </row>
    <row r="5" spans="1:18" s="5" customFormat="1" ht="54" customHeight="1" x14ac:dyDescent="0.25">
      <c r="A5" s="112" t="s">
        <v>1</v>
      </c>
      <c r="B5" s="108" t="s">
        <v>7</v>
      </c>
      <c r="C5" s="114" t="s">
        <v>5</v>
      </c>
      <c r="D5" s="114" t="s">
        <v>6</v>
      </c>
      <c r="E5" s="108" t="s">
        <v>10</v>
      </c>
      <c r="F5" s="108"/>
      <c r="G5" s="108"/>
      <c r="H5" s="108"/>
      <c r="I5" s="108" t="s">
        <v>11</v>
      </c>
      <c r="J5" s="108"/>
      <c r="K5" s="108"/>
      <c r="L5" s="108" t="s">
        <v>8</v>
      </c>
      <c r="M5" s="108"/>
      <c r="N5" s="108"/>
      <c r="O5" s="108"/>
      <c r="P5" s="108"/>
      <c r="Q5" s="108"/>
      <c r="R5" s="109"/>
    </row>
    <row r="6" spans="1:18" s="6" customFormat="1" ht="79.150000000000006" customHeight="1" x14ac:dyDescent="0.25">
      <c r="A6" s="113"/>
      <c r="B6" s="110"/>
      <c r="C6" s="110"/>
      <c r="D6" s="110"/>
      <c r="E6" s="7" t="s">
        <v>2</v>
      </c>
      <c r="F6" s="8" t="s">
        <v>15</v>
      </c>
      <c r="G6" s="8" t="s">
        <v>16</v>
      </c>
      <c r="H6" s="8" t="s">
        <v>17</v>
      </c>
      <c r="I6" s="7" t="s">
        <v>12</v>
      </c>
      <c r="J6" s="7" t="s">
        <v>13</v>
      </c>
      <c r="K6" s="7" t="s">
        <v>14</v>
      </c>
      <c r="L6" s="110"/>
      <c r="M6" s="110"/>
      <c r="N6" s="110"/>
      <c r="O6" s="110"/>
      <c r="P6" s="110"/>
      <c r="Q6" s="110"/>
      <c r="R6" s="111"/>
    </row>
    <row r="7" spans="1:18" ht="41.45" customHeight="1" x14ac:dyDescent="0.25">
      <c r="A7" s="21" t="s">
        <v>78</v>
      </c>
      <c r="B7" s="21" t="s">
        <v>108</v>
      </c>
      <c r="C7" s="22">
        <v>0</v>
      </c>
      <c r="D7" s="22">
        <v>11.1</v>
      </c>
      <c r="E7" s="49" t="s">
        <v>109</v>
      </c>
      <c r="F7" s="49"/>
      <c r="G7" s="49"/>
      <c r="H7" s="49"/>
      <c r="I7" s="49" t="s">
        <v>109</v>
      </c>
      <c r="J7" s="49"/>
      <c r="K7" s="21"/>
      <c r="L7" s="96"/>
      <c r="M7" s="96"/>
      <c r="N7" s="96"/>
      <c r="O7" s="96"/>
      <c r="P7" s="96"/>
      <c r="Q7" s="96"/>
      <c r="R7" s="97"/>
    </row>
    <row r="8" spans="1:18" ht="41.45" customHeight="1" x14ac:dyDescent="0.25">
      <c r="A8" s="21"/>
      <c r="B8" s="21"/>
      <c r="C8" s="22">
        <f>D7</f>
        <v>11.1</v>
      </c>
      <c r="D8" s="22">
        <v>35.4</v>
      </c>
      <c r="E8" s="49" t="s">
        <v>109</v>
      </c>
      <c r="F8" s="49"/>
      <c r="G8" s="49"/>
      <c r="H8" s="21"/>
      <c r="I8" s="21"/>
      <c r="J8" s="21" t="s">
        <v>109</v>
      </c>
      <c r="K8" s="21"/>
      <c r="L8" s="96"/>
      <c r="M8" s="96"/>
      <c r="N8" s="96"/>
      <c r="O8" s="96"/>
      <c r="P8" s="96"/>
      <c r="Q8" s="96"/>
      <c r="R8" s="97"/>
    </row>
    <row r="9" spans="1:18" ht="41.45" customHeight="1" x14ac:dyDescent="0.25">
      <c r="A9" s="21"/>
      <c r="B9" s="21"/>
      <c r="C9" s="22">
        <f t="shared" ref="C9:C10" si="0">D8</f>
        <v>35.4</v>
      </c>
      <c r="D9" s="22">
        <v>43</v>
      </c>
      <c r="E9" s="49" t="s">
        <v>109</v>
      </c>
      <c r="F9" s="49"/>
      <c r="G9" s="49"/>
      <c r="H9" s="21"/>
      <c r="I9" s="21"/>
      <c r="J9" s="21" t="s">
        <v>109</v>
      </c>
      <c r="K9" s="21"/>
      <c r="L9" s="96"/>
      <c r="M9" s="96"/>
      <c r="N9" s="96"/>
      <c r="O9" s="96"/>
      <c r="P9" s="96"/>
      <c r="Q9" s="96"/>
      <c r="R9" s="97"/>
    </row>
    <row r="10" spans="1:18" ht="41.45" customHeight="1" x14ac:dyDescent="0.25">
      <c r="A10" s="21"/>
      <c r="B10" s="21"/>
      <c r="C10" s="22">
        <f t="shared" si="0"/>
        <v>43</v>
      </c>
      <c r="D10" s="22">
        <v>63.07</v>
      </c>
      <c r="E10" s="49" t="s">
        <v>109</v>
      </c>
      <c r="F10" s="49"/>
      <c r="G10" s="49"/>
      <c r="H10" s="21"/>
      <c r="I10" s="21"/>
      <c r="J10" s="21" t="s">
        <v>109</v>
      </c>
      <c r="K10" s="21"/>
      <c r="L10" s="96"/>
      <c r="M10" s="96"/>
      <c r="N10" s="96"/>
      <c r="O10" s="96"/>
      <c r="P10" s="96"/>
      <c r="Q10" s="96"/>
      <c r="R10" s="97"/>
    </row>
    <row r="11" spans="1:18" ht="41.45" customHeight="1" x14ac:dyDescent="0.25">
      <c r="A11" s="21" t="s">
        <v>80</v>
      </c>
      <c r="B11" s="21" t="s">
        <v>108</v>
      </c>
      <c r="C11" s="22">
        <v>0</v>
      </c>
      <c r="D11" s="22">
        <v>9.9700000000000006</v>
      </c>
      <c r="E11" s="49" t="s">
        <v>109</v>
      </c>
      <c r="F11" s="49"/>
      <c r="G11" s="49"/>
      <c r="H11" s="21"/>
      <c r="I11" s="21"/>
      <c r="J11" s="21" t="s">
        <v>109</v>
      </c>
      <c r="K11" s="21"/>
      <c r="L11" s="96"/>
      <c r="M11" s="96"/>
      <c r="N11" s="96"/>
      <c r="O11" s="96"/>
      <c r="P11" s="96"/>
      <c r="Q11" s="96"/>
      <c r="R11" s="97"/>
    </row>
    <row r="12" spans="1:18" ht="41.45" customHeight="1" x14ac:dyDescent="0.25">
      <c r="A12" s="32"/>
      <c r="B12" s="21"/>
      <c r="C12" s="22"/>
      <c r="D12" s="22"/>
      <c r="E12" s="21"/>
      <c r="F12" s="49"/>
      <c r="G12" s="21"/>
      <c r="H12" s="21"/>
      <c r="I12" s="21"/>
      <c r="J12" s="21"/>
      <c r="K12" s="21"/>
      <c r="L12" s="96"/>
      <c r="M12" s="96"/>
      <c r="N12" s="96"/>
      <c r="O12" s="96"/>
      <c r="P12" s="96"/>
      <c r="Q12" s="96"/>
      <c r="R12" s="97"/>
    </row>
    <row r="13" spans="1:18" ht="41.45" customHeight="1" x14ac:dyDescent="0.25">
      <c r="A13" s="32"/>
      <c r="B13" s="21"/>
      <c r="C13" s="22"/>
      <c r="D13" s="22"/>
      <c r="E13" s="21"/>
      <c r="F13" s="49"/>
      <c r="G13" s="21"/>
      <c r="H13" s="21"/>
      <c r="I13" s="21"/>
      <c r="J13" s="21"/>
      <c r="K13" s="21"/>
      <c r="L13" s="96"/>
      <c r="M13" s="96"/>
      <c r="N13" s="96"/>
      <c r="O13" s="96"/>
      <c r="P13" s="96"/>
      <c r="Q13" s="96"/>
      <c r="R13" s="97"/>
    </row>
    <row r="14" spans="1:18" ht="41.45" customHeight="1" x14ac:dyDescent="0.25">
      <c r="A14" s="32"/>
      <c r="B14" s="21"/>
      <c r="C14" s="22"/>
      <c r="D14" s="22"/>
      <c r="E14" s="21"/>
      <c r="F14" s="21"/>
      <c r="G14" s="21"/>
      <c r="H14" s="21"/>
      <c r="I14" s="21"/>
      <c r="J14" s="21"/>
      <c r="K14" s="21"/>
      <c r="L14" s="96"/>
      <c r="M14" s="96"/>
      <c r="N14" s="96"/>
      <c r="O14" s="96"/>
      <c r="P14" s="96"/>
      <c r="Q14" s="96"/>
      <c r="R14" s="97"/>
    </row>
    <row r="15" spans="1:18" ht="41.45" customHeight="1" x14ac:dyDescent="0.25">
      <c r="A15" s="32"/>
      <c r="B15" s="21"/>
      <c r="C15" s="22"/>
      <c r="D15" s="22"/>
      <c r="E15" s="21"/>
      <c r="F15" s="21"/>
      <c r="G15" s="21"/>
      <c r="H15" s="21"/>
      <c r="I15" s="21"/>
      <c r="J15" s="21"/>
      <c r="K15" s="21"/>
      <c r="L15" s="96"/>
      <c r="M15" s="96"/>
      <c r="N15" s="96"/>
      <c r="O15" s="96"/>
      <c r="P15" s="96"/>
      <c r="Q15" s="96"/>
      <c r="R15" s="97"/>
    </row>
    <row r="16" spans="1:18" ht="41.45" customHeight="1" x14ac:dyDescent="0.25">
      <c r="A16" s="32"/>
      <c r="B16" s="21"/>
      <c r="C16" s="22"/>
      <c r="D16" s="22"/>
      <c r="E16" s="21"/>
      <c r="F16" s="21"/>
      <c r="G16" s="21"/>
      <c r="H16" s="21"/>
      <c r="I16" s="21"/>
      <c r="J16" s="21"/>
      <c r="K16" s="21"/>
      <c r="L16" s="96"/>
      <c r="M16" s="96"/>
      <c r="N16" s="96"/>
      <c r="O16" s="96"/>
      <c r="P16" s="96"/>
      <c r="Q16" s="96"/>
      <c r="R16" s="97"/>
    </row>
    <row r="17" spans="1:18" ht="41.45" customHeight="1" x14ac:dyDescent="0.25">
      <c r="A17" s="32"/>
      <c r="B17" s="21"/>
      <c r="C17" s="22"/>
      <c r="D17" s="22"/>
      <c r="E17" s="21"/>
      <c r="F17" s="21"/>
      <c r="G17" s="21"/>
      <c r="H17" s="21"/>
      <c r="I17" s="21"/>
      <c r="J17" s="21"/>
      <c r="K17" s="21"/>
      <c r="L17" s="96"/>
      <c r="M17" s="96"/>
      <c r="N17" s="96"/>
      <c r="O17" s="96"/>
      <c r="P17" s="96"/>
      <c r="Q17" s="96"/>
      <c r="R17" s="97"/>
    </row>
    <row r="18" spans="1:18" ht="41.45" customHeight="1" x14ac:dyDescent="0.25">
      <c r="A18" s="19"/>
      <c r="B18" s="3"/>
      <c r="C18" s="22"/>
      <c r="D18" s="22"/>
      <c r="E18" s="21"/>
      <c r="F18" s="21"/>
      <c r="G18" s="21"/>
      <c r="H18" s="21"/>
      <c r="I18" s="21"/>
      <c r="J18" s="21"/>
      <c r="K18" s="21"/>
      <c r="L18" s="96"/>
      <c r="M18" s="96"/>
      <c r="N18" s="96"/>
      <c r="O18" s="96"/>
      <c r="P18" s="96"/>
      <c r="Q18" s="96"/>
      <c r="R18" s="97"/>
    </row>
    <row r="19" spans="1:18" ht="41.45" customHeight="1" x14ac:dyDescent="0.25">
      <c r="A19" s="19"/>
      <c r="B19" s="3"/>
      <c r="C19" s="22"/>
      <c r="D19" s="22"/>
      <c r="E19" s="21"/>
      <c r="F19" s="21"/>
      <c r="G19" s="21"/>
      <c r="H19" s="21"/>
      <c r="I19" s="21"/>
      <c r="J19" s="21"/>
      <c r="K19" s="21"/>
      <c r="L19" s="96"/>
      <c r="M19" s="96"/>
      <c r="N19" s="96"/>
      <c r="O19" s="96"/>
      <c r="P19" s="96"/>
      <c r="Q19" s="96"/>
      <c r="R19" s="97"/>
    </row>
    <row r="20" spans="1:18" ht="41.45" customHeight="1" x14ac:dyDescent="0.25">
      <c r="A20" s="19"/>
      <c r="B20" s="3"/>
      <c r="C20" s="22"/>
      <c r="D20" s="22"/>
      <c r="E20" s="21"/>
      <c r="F20" s="21"/>
      <c r="G20" s="21"/>
      <c r="H20" s="21"/>
      <c r="I20" s="21"/>
      <c r="J20" s="21"/>
      <c r="K20" s="21"/>
      <c r="L20" s="96"/>
      <c r="M20" s="96"/>
      <c r="N20" s="96"/>
      <c r="O20" s="96"/>
      <c r="P20" s="96"/>
      <c r="Q20" s="96"/>
      <c r="R20" s="97"/>
    </row>
    <row r="21" spans="1:18" ht="41.45" customHeight="1" x14ac:dyDescent="0.25">
      <c r="A21" s="19"/>
      <c r="B21" s="3"/>
      <c r="C21" s="22"/>
      <c r="D21" s="22"/>
      <c r="E21" s="21"/>
      <c r="F21" s="21"/>
      <c r="G21" s="21"/>
      <c r="H21" s="21"/>
      <c r="I21" s="21"/>
      <c r="J21" s="21"/>
      <c r="K21" s="21"/>
      <c r="L21" s="96"/>
      <c r="M21" s="96"/>
      <c r="N21" s="96"/>
      <c r="O21" s="96"/>
      <c r="P21" s="96"/>
      <c r="Q21" s="96"/>
      <c r="R21" s="97"/>
    </row>
    <row r="22" spans="1:18" ht="41.45" customHeight="1" x14ac:dyDescent="0.25">
      <c r="A22" s="19"/>
      <c r="B22" s="3"/>
      <c r="C22" s="22"/>
      <c r="D22" s="22"/>
      <c r="E22" s="21"/>
      <c r="F22" s="21"/>
      <c r="G22" s="21"/>
      <c r="H22" s="21"/>
      <c r="I22" s="21"/>
      <c r="J22" s="21"/>
      <c r="K22" s="21"/>
      <c r="L22" s="96"/>
      <c r="M22" s="96"/>
      <c r="N22" s="96"/>
      <c r="O22" s="96"/>
      <c r="P22" s="96"/>
      <c r="Q22" s="96"/>
      <c r="R22" s="97"/>
    </row>
    <row r="23" spans="1:18" ht="41.45" customHeight="1" x14ac:dyDescent="0.25">
      <c r="A23" s="19"/>
      <c r="B23" s="3"/>
      <c r="C23" s="22"/>
      <c r="D23" s="22"/>
      <c r="E23" s="21"/>
      <c r="F23" s="21"/>
      <c r="G23" s="21"/>
      <c r="H23" s="21"/>
      <c r="I23" s="21"/>
      <c r="J23" s="21"/>
      <c r="K23" s="21"/>
      <c r="L23" s="96"/>
      <c r="M23" s="96"/>
      <c r="N23" s="96"/>
      <c r="O23" s="96"/>
      <c r="P23" s="96"/>
      <c r="Q23" s="96"/>
      <c r="R23" s="97"/>
    </row>
    <row r="24" spans="1:18" ht="41.45" customHeight="1" x14ac:dyDescent="0.25">
      <c r="A24" s="19"/>
      <c r="B24" s="3"/>
      <c r="C24" s="22"/>
      <c r="D24" s="22"/>
      <c r="E24" s="21"/>
      <c r="F24" s="21"/>
      <c r="G24" s="21"/>
      <c r="H24" s="21"/>
      <c r="I24" s="21"/>
      <c r="J24" s="21"/>
      <c r="K24" s="21"/>
      <c r="L24" s="96"/>
      <c r="M24" s="96"/>
      <c r="N24" s="96"/>
      <c r="O24" s="96"/>
      <c r="P24" s="96"/>
      <c r="Q24" s="96"/>
      <c r="R24" s="97"/>
    </row>
    <row r="25" spans="1:18" ht="41.45" customHeight="1" x14ac:dyDescent="0.25">
      <c r="A25" s="19"/>
      <c r="B25" s="3"/>
      <c r="C25" s="22"/>
      <c r="D25" s="22"/>
      <c r="E25" s="21"/>
      <c r="F25" s="21"/>
      <c r="G25" s="21"/>
      <c r="H25" s="21"/>
      <c r="I25" s="21"/>
      <c r="J25" s="21"/>
      <c r="K25" s="21"/>
      <c r="L25" s="96"/>
      <c r="M25" s="96"/>
      <c r="N25" s="96"/>
      <c r="O25" s="96"/>
      <c r="P25" s="96"/>
      <c r="Q25" s="96"/>
      <c r="R25" s="97"/>
    </row>
    <row r="26" spans="1:18" ht="41.45" customHeight="1" x14ac:dyDescent="0.25">
      <c r="A26" s="19"/>
      <c r="B26" s="3"/>
      <c r="C26" s="22"/>
      <c r="D26" s="22"/>
      <c r="E26" s="21"/>
      <c r="F26" s="21"/>
      <c r="G26" s="21"/>
      <c r="H26" s="21"/>
      <c r="I26" s="21"/>
      <c r="J26" s="21"/>
      <c r="K26" s="21"/>
      <c r="L26" s="96"/>
      <c r="M26" s="96"/>
      <c r="N26" s="96"/>
      <c r="O26" s="96"/>
      <c r="P26" s="96"/>
      <c r="Q26" s="96"/>
      <c r="R26" s="97"/>
    </row>
    <row r="27" spans="1:18" ht="41.45" customHeight="1" x14ac:dyDescent="0.25">
      <c r="A27" s="19"/>
      <c r="B27" s="3"/>
      <c r="C27" s="22"/>
      <c r="D27" s="22"/>
      <c r="E27" s="21"/>
      <c r="F27" s="21"/>
      <c r="G27" s="21"/>
      <c r="H27" s="21"/>
      <c r="I27" s="21"/>
      <c r="J27" s="21"/>
      <c r="K27" s="21"/>
      <c r="L27" s="96"/>
      <c r="M27" s="96"/>
      <c r="N27" s="96"/>
      <c r="O27" s="96"/>
      <c r="P27" s="96"/>
      <c r="Q27" s="96"/>
      <c r="R27" s="97"/>
    </row>
    <row r="28" spans="1:18" ht="41.45" customHeight="1" x14ac:dyDescent="0.25">
      <c r="A28" s="19"/>
      <c r="B28" s="3"/>
      <c r="C28" s="22"/>
      <c r="D28" s="22"/>
      <c r="E28" s="21"/>
      <c r="F28" s="21"/>
      <c r="G28" s="21"/>
      <c r="H28" s="21"/>
      <c r="I28" s="21"/>
      <c r="J28" s="21"/>
      <c r="K28" s="21"/>
      <c r="L28" s="96"/>
      <c r="M28" s="96"/>
      <c r="N28" s="96"/>
      <c r="O28" s="96"/>
      <c r="P28" s="96"/>
      <c r="Q28" s="96"/>
      <c r="R28" s="97"/>
    </row>
    <row r="29" spans="1:18" ht="41.45" customHeight="1" x14ac:dyDescent="0.25">
      <c r="A29" s="19"/>
      <c r="B29" s="3"/>
      <c r="C29" s="22"/>
      <c r="D29" s="22"/>
      <c r="E29" s="21"/>
      <c r="F29" s="21"/>
      <c r="G29" s="21"/>
      <c r="H29" s="21"/>
      <c r="I29" s="21"/>
      <c r="J29" s="21"/>
      <c r="K29" s="21"/>
      <c r="L29" s="96"/>
      <c r="M29" s="96"/>
      <c r="N29" s="96"/>
      <c r="O29" s="96"/>
      <c r="P29" s="96"/>
      <c r="Q29" s="96"/>
      <c r="R29" s="97"/>
    </row>
    <row r="30" spans="1:18" ht="41.45" customHeight="1" x14ac:dyDescent="0.25">
      <c r="A30" s="19"/>
      <c r="B30" s="3"/>
      <c r="C30" s="22"/>
      <c r="D30" s="22"/>
      <c r="E30" s="21"/>
      <c r="F30" s="21"/>
      <c r="G30" s="21"/>
      <c r="H30" s="21"/>
      <c r="I30" s="21"/>
      <c r="J30" s="21"/>
      <c r="K30" s="21"/>
      <c r="L30" s="96"/>
      <c r="M30" s="96"/>
      <c r="N30" s="96"/>
      <c r="O30" s="96"/>
      <c r="P30" s="96"/>
      <c r="Q30" s="96"/>
      <c r="R30" s="97"/>
    </row>
    <row r="31" spans="1:18" ht="41.45" customHeight="1" x14ac:dyDescent="0.25">
      <c r="A31" s="19"/>
      <c r="B31" s="3"/>
      <c r="C31" s="22"/>
      <c r="D31" s="22"/>
      <c r="E31" s="21"/>
      <c r="F31" s="21"/>
      <c r="G31" s="21"/>
      <c r="H31" s="21"/>
      <c r="I31" s="21"/>
      <c r="J31" s="21"/>
      <c r="K31" s="21"/>
      <c r="L31" s="96"/>
      <c r="M31" s="96"/>
      <c r="N31" s="96"/>
      <c r="O31" s="96"/>
      <c r="P31" s="96"/>
      <c r="Q31" s="96"/>
      <c r="R31" s="97"/>
    </row>
    <row r="32" spans="1:18" ht="41.45" customHeight="1" x14ac:dyDescent="0.25">
      <c r="A32" s="19"/>
      <c r="B32" s="3"/>
      <c r="C32" s="22"/>
      <c r="D32" s="22"/>
      <c r="E32" s="21"/>
      <c r="F32" s="21"/>
      <c r="G32" s="21"/>
      <c r="H32" s="21"/>
      <c r="I32" s="21"/>
      <c r="J32" s="21"/>
      <c r="K32" s="21"/>
      <c r="L32" s="96"/>
      <c r="M32" s="96"/>
      <c r="N32" s="96"/>
      <c r="O32" s="96"/>
      <c r="P32" s="96"/>
      <c r="Q32" s="96"/>
      <c r="R32" s="97"/>
    </row>
    <row r="33" spans="1:18" ht="41.45" customHeight="1" x14ac:dyDescent="0.25">
      <c r="A33" s="19"/>
      <c r="B33" s="3"/>
      <c r="C33" s="22"/>
      <c r="D33" s="22"/>
      <c r="E33" s="21"/>
      <c r="F33" s="21"/>
      <c r="G33" s="21"/>
      <c r="H33" s="21"/>
      <c r="I33" s="21"/>
      <c r="J33" s="21"/>
      <c r="K33" s="21"/>
      <c r="L33" s="96"/>
      <c r="M33" s="96"/>
      <c r="N33" s="96"/>
      <c r="O33" s="96"/>
      <c r="P33" s="96"/>
      <c r="Q33" s="96"/>
      <c r="R33" s="97"/>
    </row>
    <row r="34" spans="1:18" ht="41.45" customHeight="1" x14ac:dyDescent="0.25">
      <c r="A34" s="19"/>
      <c r="B34" s="3"/>
      <c r="C34" s="22"/>
      <c r="D34" s="22"/>
      <c r="E34" s="21"/>
      <c r="F34" s="21"/>
      <c r="G34" s="21"/>
      <c r="H34" s="21"/>
      <c r="I34" s="21"/>
      <c r="J34" s="21"/>
      <c r="K34" s="21"/>
      <c r="L34" s="96"/>
      <c r="M34" s="96"/>
      <c r="N34" s="96"/>
      <c r="O34" s="96"/>
      <c r="P34" s="96"/>
      <c r="Q34" s="96"/>
      <c r="R34" s="97"/>
    </row>
    <row r="35" spans="1:18" ht="41.45" customHeight="1" thickBot="1" x14ac:dyDescent="0.3">
      <c r="A35" s="20"/>
      <c r="B35" s="4"/>
      <c r="C35" s="23"/>
      <c r="D35" s="23"/>
      <c r="E35" s="24"/>
      <c r="F35" s="24"/>
      <c r="G35" s="24"/>
      <c r="H35" s="24"/>
      <c r="I35" s="24"/>
      <c r="J35" s="24"/>
      <c r="K35" s="24"/>
      <c r="L35" s="94"/>
      <c r="M35" s="94"/>
      <c r="N35" s="94"/>
      <c r="O35" s="94"/>
      <c r="P35" s="94"/>
      <c r="Q35" s="94"/>
      <c r="R35" s="95"/>
    </row>
    <row r="36" spans="1:18" ht="41.45" customHeight="1" x14ac:dyDescent="0.25">
      <c r="A36" s="33"/>
      <c r="B36" s="33"/>
      <c r="C36" s="34"/>
      <c r="D36" s="34"/>
      <c r="E36" s="34">
        <f>IF(E7="X",(D7-C7),"0")</f>
        <v>11.1</v>
      </c>
      <c r="F36" s="34" t="str">
        <f>IF(F7="X",(D7-C7),"0")</f>
        <v>0</v>
      </c>
      <c r="G36" s="34" t="str">
        <f>IF(G7="X",(D7-C7),"0")</f>
        <v>0</v>
      </c>
      <c r="H36" s="34" t="str">
        <f>IF(H7="X",(D7-C7),"0")</f>
        <v>0</v>
      </c>
      <c r="I36" s="34">
        <f>IF(I7="X",(D7-C7),"0")</f>
        <v>11.1</v>
      </c>
      <c r="J36" s="34" t="str">
        <f>IF(J7="X",(D7-C7),"0")</f>
        <v>0</v>
      </c>
      <c r="K36" s="34" t="str">
        <f>IF(K7="X",(D7-C7),"0")</f>
        <v>0</v>
      </c>
      <c r="L36" s="93"/>
      <c r="M36" s="93"/>
      <c r="N36" s="93"/>
      <c r="O36" s="93"/>
      <c r="P36" s="93"/>
      <c r="Q36" s="93"/>
      <c r="R36" s="93"/>
    </row>
    <row r="37" spans="1:18" ht="41.45" customHeight="1" x14ac:dyDescent="0.25">
      <c r="C37" s="35"/>
      <c r="D37" s="35"/>
      <c r="E37" s="35">
        <f t="shared" ref="E37:E61" si="1">IF(E8="X",(D8-C8),"0")</f>
        <v>24.299999999999997</v>
      </c>
      <c r="F37" s="35" t="str">
        <f t="shared" ref="F37:F61" si="2">IF(F8="X",(D8-C8),"0")</f>
        <v>0</v>
      </c>
      <c r="G37" s="35" t="str">
        <f t="shared" ref="G37:G61" si="3">IF(G8="X",(D8-C8),"0")</f>
        <v>0</v>
      </c>
      <c r="H37" s="35" t="str">
        <f t="shared" ref="H37:H61" si="4">IF(H8="X",(D8-C8),"0")</f>
        <v>0</v>
      </c>
      <c r="I37" s="35" t="str">
        <f t="shared" ref="I37:I61" si="5">IF(I8="X",(D8-C8),"0")</f>
        <v>0</v>
      </c>
      <c r="J37" s="35">
        <f t="shared" ref="J37:J61" si="6">IF(J8="X",(D8-C8),"0")</f>
        <v>24.299999999999997</v>
      </c>
      <c r="K37" s="35" t="str">
        <f t="shared" ref="K37:K61" si="7">IF(K8="X",(D8-C8),"0")</f>
        <v>0</v>
      </c>
      <c r="L37" s="92"/>
      <c r="M37" s="92"/>
      <c r="N37" s="92"/>
      <c r="O37" s="92"/>
      <c r="P37" s="92"/>
      <c r="Q37" s="92"/>
      <c r="R37" s="92"/>
    </row>
    <row r="38" spans="1:18" ht="41.45" customHeight="1" x14ac:dyDescent="0.25">
      <c r="C38" s="35"/>
      <c r="D38" s="35"/>
      <c r="E38" s="35">
        <f t="shared" si="1"/>
        <v>7.6000000000000014</v>
      </c>
      <c r="F38" s="35" t="str">
        <f t="shared" si="2"/>
        <v>0</v>
      </c>
      <c r="G38" s="35" t="str">
        <f t="shared" si="3"/>
        <v>0</v>
      </c>
      <c r="H38" s="35" t="str">
        <f t="shared" si="4"/>
        <v>0</v>
      </c>
      <c r="I38" s="35" t="str">
        <f t="shared" si="5"/>
        <v>0</v>
      </c>
      <c r="J38" s="35">
        <f t="shared" si="6"/>
        <v>7.6000000000000014</v>
      </c>
      <c r="K38" s="35" t="str">
        <f t="shared" si="7"/>
        <v>0</v>
      </c>
      <c r="L38" s="92"/>
      <c r="M38" s="92"/>
      <c r="N38" s="92"/>
      <c r="O38" s="92"/>
      <c r="P38" s="92"/>
      <c r="Q38" s="92"/>
      <c r="R38" s="92"/>
    </row>
    <row r="39" spans="1:18" ht="41.45" customHeight="1" x14ac:dyDescent="0.25">
      <c r="C39" s="35"/>
      <c r="D39" s="35"/>
      <c r="E39" s="35">
        <f t="shared" si="1"/>
        <v>20.07</v>
      </c>
      <c r="F39" s="35" t="str">
        <f t="shared" si="2"/>
        <v>0</v>
      </c>
      <c r="G39" s="35" t="str">
        <f t="shared" si="3"/>
        <v>0</v>
      </c>
      <c r="H39" s="35" t="str">
        <f t="shared" si="4"/>
        <v>0</v>
      </c>
      <c r="I39" s="35" t="str">
        <f t="shared" si="5"/>
        <v>0</v>
      </c>
      <c r="J39" s="35">
        <f t="shared" si="6"/>
        <v>20.07</v>
      </c>
      <c r="K39" s="35" t="str">
        <f t="shared" si="7"/>
        <v>0</v>
      </c>
      <c r="L39" s="92"/>
      <c r="M39" s="92"/>
      <c r="N39" s="92"/>
      <c r="O39" s="92"/>
      <c r="P39" s="92"/>
      <c r="Q39" s="92"/>
      <c r="R39" s="92"/>
    </row>
    <row r="40" spans="1:18" ht="41.45" customHeight="1" x14ac:dyDescent="0.25">
      <c r="C40" s="35"/>
      <c r="D40" s="35"/>
      <c r="E40" s="35">
        <f t="shared" si="1"/>
        <v>9.9700000000000006</v>
      </c>
      <c r="F40" s="35" t="str">
        <f t="shared" si="2"/>
        <v>0</v>
      </c>
      <c r="G40" s="35" t="str">
        <f t="shared" si="3"/>
        <v>0</v>
      </c>
      <c r="H40" s="35" t="str">
        <f t="shared" si="4"/>
        <v>0</v>
      </c>
      <c r="I40" s="35" t="str">
        <f t="shared" si="5"/>
        <v>0</v>
      </c>
      <c r="J40" s="35">
        <f t="shared" si="6"/>
        <v>9.9700000000000006</v>
      </c>
      <c r="K40" s="35" t="str">
        <f t="shared" si="7"/>
        <v>0</v>
      </c>
      <c r="L40" s="92"/>
      <c r="M40" s="92"/>
      <c r="N40" s="92"/>
      <c r="O40" s="92"/>
      <c r="P40" s="92"/>
      <c r="Q40" s="92"/>
      <c r="R40" s="92"/>
    </row>
    <row r="41" spans="1:18" ht="41.45" customHeight="1" x14ac:dyDescent="0.25">
      <c r="C41" s="35"/>
      <c r="D41" s="35"/>
      <c r="E41" s="35" t="str">
        <f t="shared" si="1"/>
        <v>0</v>
      </c>
      <c r="F41" s="35" t="str">
        <f t="shared" si="2"/>
        <v>0</v>
      </c>
      <c r="G41" s="35" t="str">
        <f t="shared" si="3"/>
        <v>0</v>
      </c>
      <c r="H41" s="35" t="str">
        <f t="shared" si="4"/>
        <v>0</v>
      </c>
      <c r="I41" s="35" t="str">
        <f t="shared" si="5"/>
        <v>0</v>
      </c>
      <c r="J41" s="35" t="str">
        <f t="shared" si="6"/>
        <v>0</v>
      </c>
      <c r="K41" s="35" t="str">
        <f t="shared" si="7"/>
        <v>0</v>
      </c>
      <c r="L41" s="92"/>
      <c r="M41" s="92"/>
      <c r="N41" s="92"/>
      <c r="O41" s="92"/>
      <c r="P41" s="92"/>
      <c r="Q41" s="92"/>
      <c r="R41" s="92"/>
    </row>
    <row r="42" spans="1:18" ht="41.45" customHeight="1" x14ac:dyDescent="0.25">
      <c r="C42" s="35"/>
      <c r="D42" s="35"/>
      <c r="E42" s="35" t="str">
        <f t="shared" si="1"/>
        <v>0</v>
      </c>
      <c r="F42" s="35" t="str">
        <f t="shared" si="2"/>
        <v>0</v>
      </c>
      <c r="G42" s="35" t="str">
        <f t="shared" si="3"/>
        <v>0</v>
      </c>
      <c r="H42" s="35" t="str">
        <f t="shared" si="4"/>
        <v>0</v>
      </c>
      <c r="I42" s="35" t="str">
        <f t="shared" si="5"/>
        <v>0</v>
      </c>
      <c r="J42" s="35" t="str">
        <f t="shared" si="6"/>
        <v>0</v>
      </c>
      <c r="K42" s="35" t="str">
        <f t="shared" si="7"/>
        <v>0</v>
      </c>
      <c r="L42" s="92"/>
      <c r="M42" s="92"/>
      <c r="N42" s="92"/>
      <c r="O42" s="92"/>
      <c r="P42" s="92"/>
      <c r="Q42" s="92"/>
      <c r="R42" s="92"/>
    </row>
    <row r="43" spans="1:18" ht="41.45" customHeight="1" x14ac:dyDescent="0.25">
      <c r="C43" s="35"/>
      <c r="D43" s="35"/>
      <c r="E43" s="35" t="str">
        <f t="shared" si="1"/>
        <v>0</v>
      </c>
      <c r="F43" s="35" t="str">
        <f t="shared" si="2"/>
        <v>0</v>
      </c>
      <c r="G43" s="35" t="str">
        <f t="shared" si="3"/>
        <v>0</v>
      </c>
      <c r="H43" s="35" t="str">
        <f t="shared" si="4"/>
        <v>0</v>
      </c>
      <c r="I43" s="35" t="str">
        <f t="shared" si="5"/>
        <v>0</v>
      </c>
      <c r="J43" s="35" t="str">
        <f t="shared" si="6"/>
        <v>0</v>
      </c>
      <c r="K43" s="35" t="str">
        <f t="shared" si="7"/>
        <v>0</v>
      </c>
      <c r="L43" s="92"/>
      <c r="M43" s="92"/>
      <c r="N43" s="92"/>
      <c r="O43" s="92"/>
      <c r="P43" s="92"/>
      <c r="Q43" s="92"/>
      <c r="R43" s="92"/>
    </row>
    <row r="44" spans="1:18" ht="41.45" customHeight="1" x14ac:dyDescent="0.25">
      <c r="C44" s="35"/>
      <c r="D44" s="35"/>
      <c r="E44" s="35" t="str">
        <f t="shared" si="1"/>
        <v>0</v>
      </c>
      <c r="F44" s="35" t="str">
        <f t="shared" si="2"/>
        <v>0</v>
      </c>
      <c r="G44" s="35" t="str">
        <f t="shared" si="3"/>
        <v>0</v>
      </c>
      <c r="H44" s="35" t="str">
        <f t="shared" si="4"/>
        <v>0</v>
      </c>
      <c r="I44" s="35" t="str">
        <f t="shared" si="5"/>
        <v>0</v>
      </c>
      <c r="J44" s="35" t="str">
        <f t="shared" si="6"/>
        <v>0</v>
      </c>
      <c r="K44" s="35" t="str">
        <f t="shared" si="7"/>
        <v>0</v>
      </c>
      <c r="L44" s="92"/>
      <c r="M44" s="92"/>
      <c r="N44" s="92"/>
      <c r="O44" s="92"/>
      <c r="P44" s="92"/>
      <c r="Q44" s="92"/>
      <c r="R44" s="92"/>
    </row>
    <row r="45" spans="1:18" ht="41.45" customHeight="1" x14ac:dyDescent="0.25">
      <c r="C45" s="35"/>
      <c r="D45" s="35"/>
      <c r="E45" s="35" t="str">
        <f t="shared" si="1"/>
        <v>0</v>
      </c>
      <c r="F45" s="35" t="str">
        <f t="shared" si="2"/>
        <v>0</v>
      </c>
      <c r="G45" s="35" t="str">
        <f t="shared" si="3"/>
        <v>0</v>
      </c>
      <c r="H45" s="35" t="str">
        <f t="shared" si="4"/>
        <v>0</v>
      </c>
      <c r="I45" s="35" t="str">
        <f t="shared" si="5"/>
        <v>0</v>
      </c>
      <c r="J45" s="35" t="str">
        <f t="shared" si="6"/>
        <v>0</v>
      </c>
      <c r="K45" s="35" t="str">
        <f t="shared" si="7"/>
        <v>0</v>
      </c>
      <c r="L45" s="92"/>
      <c r="M45" s="92"/>
      <c r="N45" s="92"/>
      <c r="O45" s="92"/>
      <c r="P45" s="92"/>
      <c r="Q45" s="92"/>
      <c r="R45" s="92"/>
    </row>
    <row r="46" spans="1:18" ht="41.45" customHeight="1" x14ac:dyDescent="0.25">
      <c r="C46" s="35"/>
      <c r="D46" s="35"/>
      <c r="E46" s="35" t="str">
        <f t="shared" si="1"/>
        <v>0</v>
      </c>
      <c r="F46" s="35" t="str">
        <f t="shared" si="2"/>
        <v>0</v>
      </c>
      <c r="G46" s="35" t="str">
        <f t="shared" si="3"/>
        <v>0</v>
      </c>
      <c r="H46" s="35" t="str">
        <f t="shared" si="4"/>
        <v>0</v>
      </c>
      <c r="I46" s="35" t="str">
        <f t="shared" si="5"/>
        <v>0</v>
      </c>
      <c r="J46" s="35" t="str">
        <f t="shared" si="6"/>
        <v>0</v>
      </c>
      <c r="K46" s="35" t="str">
        <f t="shared" si="7"/>
        <v>0</v>
      </c>
      <c r="L46" s="92"/>
      <c r="M46" s="92"/>
      <c r="N46" s="92"/>
      <c r="O46" s="92"/>
      <c r="P46" s="92"/>
      <c r="Q46" s="92"/>
      <c r="R46" s="92"/>
    </row>
    <row r="47" spans="1:18" ht="41.45" customHeight="1" x14ac:dyDescent="0.25">
      <c r="C47" s="35"/>
      <c r="D47" s="35"/>
      <c r="E47" s="35" t="str">
        <f t="shared" si="1"/>
        <v>0</v>
      </c>
      <c r="F47" s="35" t="str">
        <f t="shared" si="2"/>
        <v>0</v>
      </c>
      <c r="G47" s="35" t="str">
        <f t="shared" si="3"/>
        <v>0</v>
      </c>
      <c r="H47" s="35" t="str">
        <f t="shared" si="4"/>
        <v>0</v>
      </c>
      <c r="I47" s="35" t="str">
        <f t="shared" si="5"/>
        <v>0</v>
      </c>
      <c r="J47" s="35" t="str">
        <f t="shared" si="6"/>
        <v>0</v>
      </c>
      <c r="K47" s="35" t="str">
        <f t="shared" si="7"/>
        <v>0</v>
      </c>
      <c r="L47" s="92"/>
      <c r="M47" s="92"/>
      <c r="N47" s="92"/>
      <c r="O47" s="92"/>
      <c r="P47" s="92"/>
      <c r="Q47" s="92"/>
      <c r="R47" s="92"/>
    </row>
    <row r="48" spans="1:18" ht="41.45" customHeight="1" x14ac:dyDescent="0.25">
      <c r="C48" s="35"/>
      <c r="D48" s="35"/>
      <c r="E48" s="35" t="str">
        <f t="shared" si="1"/>
        <v>0</v>
      </c>
      <c r="F48" s="35" t="str">
        <f t="shared" si="2"/>
        <v>0</v>
      </c>
      <c r="G48" s="35" t="str">
        <f t="shared" si="3"/>
        <v>0</v>
      </c>
      <c r="H48" s="35" t="str">
        <f t="shared" si="4"/>
        <v>0</v>
      </c>
      <c r="I48" s="35" t="str">
        <f t="shared" si="5"/>
        <v>0</v>
      </c>
      <c r="J48" s="35" t="str">
        <f t="shared" si="6"/>
        <v>0</v>
      </c>
      <c r="K48" s="35" t="str">
        <f t="shared" si="7"/>
        <v>0</v>
      </c>
      <c r="L48" s="92"/>
      <c r="M48" s="92"/>
      <c r="N48" s="92"/>
      <c r="O48" s="92"/>
      <c r="P48" s="92"/>
      <c r="Q48" s="92"/>
      <c r="R48" s="92"/>
    </row>
    <row r="49" spans="3:18" ht="41.45" customHeight="1" x14ac:dyDescent="0.25">
      <c r="C49" s="35"/>
      <c r="D49" s="35"/>
      <c r="E49" s="35" t="str">
        <f t="shared" si="1"/>
        <v>0</v>
      </c>
      <c r="F49" s="35" t="str">
        <f t="shared" si="2"/>
        <v>0</v>
      </c>
      <c r="G49" s="35" t="str">
        <f t="shared" si="3"/>
        <v>0</v>
      </c>
      <c r="H49" s="35" t="str">
        <f t="shared" si="4"/>
        <v>0</v>
      </c>
      <c r="I49" s="35" t="str">
        <f t="shared" si="5"/>
        <v>0</v>
      </c>
      <c r="J49" s="35" t="str">
        <f t="shared" si="6"/>
        <v>0</v>
      </c>
      <c r="K49" s="35" t="str">
        <f t="shared" si="7"/>
        <v>0</v>
      </c>
      <c r="L49" s="92"/>
      <c r="M49" s="92"/>
      <c r="N49" s="92"/>
      <c r="O49" s="92"/>
      <c r="P49" s="92"/>
      <c r="Q49" s="92"/>
      <c r="R49" s="92"/>
    </row>
    <row r="50" spans="3:18" ht="41.45" customHeight="1" x14ac:dyDescent="0.25">
      <c r="C50" s="35"/>
      <c r="D50" s="35"/>
      <c r="E50" s="35" t="str">
        <f t="shared" si="1"/>
        <v>0</v>
      </c>
      <c r="F50" s="35" t="str">
        <f t="shared" si="2"/>
        <v>0</v>
      </c>
      <c r="G50" s="35" t="str">
        <f t="shared" si="3"/>
        <v>0</v>
      </c>
      <c r="H50" s="35" t="str">
        <f t="shared" si="4"/>
        <v>0</v>
      </c>
      <c r="I50" s="35" t="str">
        <f t="shared" si="5"/>
        <v>0</v>
      </c>
      <c r="J50" s="35" t="str">
        <f t="shared" si="6"/>
        <v>0</v>
      </c>
      <c r="K50" s="35" t="str">
        <f t="shared" si="7"/>
        <v>0</v>
      </c>
      <c r="L50" s="92"/>
      <c r="M50" s="92"/>
      <c r="N50" s="92"/>
      <c r="O50" s="92"/>
      <c r="P50" s="92"/>
      <c r="Q50" s="92"/>
      <c r="R50" s="92"/>
    </row>
    <row r="51" spans="3:18" ht="41.45" customHeight="1" x14ac:dyDescent="0.25">
      <c r="C51" s="35"/>
      <c r="D51" s="35"/>
      <c r="E51" s="35" t="str">
        <f t="shared" si="1"/>
        <v>0</v>
      </c>
      <c r="F51" s="35" t="str">
        <f t="shared" si="2"/>
        <v>0</v>
      </c>
      <c r="G51" s="35" t="str">
        <f t="shared" si="3"/>
        <v>0</v>
      </c>
      <c r="H51" s="35" t="str">
        <f t="shared" si="4"/>
        <v>0</v>
      </c>
      <c r="I51" s="35" t="str">
        <f t="shared" si="5"/>
        <v>0</v>
      </c>
      <c r="J51" s="35" t="str">
        <f t="shared" si="6"/>
        <v>0</v>
      </c>
      <c r="K51" s="35" t="str">
        <f t="shared" si="7"/>
        <v>0</v>
      </c>
      <c r="L51" s="92"/>
      <c r="M51" s="92"/>
      <c r="N51" s="92"/>
      <c r="O51" s="92"/>
      <c r="P51" s="92"/>
      <c r="Q51" s="92"/>
      <c r="R51" s="92"/>
    </row>
    <row r="52" spans="3:18" ht="41.45" customHeight="1" x14ac:dyDescent="0.25">
      <c r="C52" s="35"/>
      <c r="D52" s="35"/>
      <c r="E52" s="35" t="str">
        <f t="shared" si="1"/>
        <v>0</v>
      </c>
      <c r="F52" s="35" t="str">
        <f t="shared" si="2"/>
        <v>0</v>
      </c>
      <c r="G52" s="35" t="str">
        <f t="shared" si="3"/>
        <v>0</v>
      </c>
      <c r="H52" s="35" t="str">
        <f t="shared" si="4"/>
        <v>0</v>
      </c>
      <c r="I52" s="35" t="str">
        <f t="shared" si="5"/>
        <v>0</v>
      </c>
      <c r="J52" s="35" t="str">
        <f t="shared" si="6"/>
        <v>0</v>
      </c>
      <c r="K52" s="35" t="str">
        <f t="shared" si="7"/>
        <v>0</v>
      </c>
      <c r="L52" s="92"/>
      <c r="M52" s="92"/>
      <c r="N52" s="92"/>
      <c r="O52" s="92"/>
      <c r="P52" s="92"/>
      <c r="Q52" s="92"/>
      <c r="R52" s="92"/>
    </row>
    <row r="53" spans="3:18" ht="41.45" customHeight="1" x14ac:dyDescent="0.25">
      <c r="C53" s="35"/>
      <c r="D53" s="35"/>
      <c r="E53" s="35" t="str">
        <f t="shared" si="1"/>
        <v>0</v>
      </c>
      <c r="F53" s="35" t="str">
        <f t="shared" si="2"/>
        <v>0</v>
      </c>
      <c r="G53" s="35" t="str">
        <f t="shared" si="3"/>
        <v>0</v>
      </c>
      <c r="H53" s="35" t="str">
        <f t="shared" si="4"/>
        <v>0</v>
      </c>
      <c r="I53" s="35" t="str">
        <f t="shared" si="5"/>
        <v>0</v>
      </c>
      <c r="J53" s="35" t="str">
        <f t="shared" si="6"/>
        <v>0</v>
      </c>
      <c r="K53" s="35" t="str">
        <f t="shared" si="7"/>
        <v>0</v>
      </c>
      <c r="L53" s="92"/>
      <c r="M53" s="92"/>
      <c r="N53" s="92"/>
      <c r="O53" s="92"/>
      <c r="P53" s="92"/>
      <c r="Q53" s="92"/>
      <c r="R53" s="92"/>
    </row>
    <row r="54" spans="3:18" ht="41.45" customHeight="1" x14ac:dyDescent="0.25">
      <c r="C54" s="35"/>
      <c r="D54" s="35"/>
      <c r="E54" s="35" t="str">
        <f t="shared" si="1"/>
        <v>0</v>
      </c>
      <c r="F54" s="35" t="str">
        <f t="shared" si="2"/>
        <v>0</v>
      </c>
      <c r="G54" s="35" t="str">
        <f t="shared" si="3"/>
        <v>0</v>
      </c>
      <c r="H54" s="35" t="str">
        <f t="shared" si="4"/>
        <v>0</v>
      </c>
      <c r="I54" s="35" t="str">
        <f t="shared" si="5"/>
        <v>0</v>
      </c>
      <c r="J54" s="35" t="str">
        <f t="shared" si="6"/>
        <v>0</v>
      </c>
      <c r="K54" s="35" t="str">
        <f t="shared" si="7"/>
        <v>0</v>
      </c>
      <c r="L54" s="92"/>
      <c r="M54" s="92"/>
      <c r="N54" s="92"/>
      <c r="O54" s="92"/>
      <c r="P54" s="92"/>
      <c r="Q54" s="92"/>
      <c r="R54" s="92"/>
    </row>
    <row r="55" spans="3:18" ht="41.45" customHeight="1" x14ac:dyDescent="0.25">
      <c r="C55" s="35"/>
      <c r="D55" s="35"/>
      <c r="E55" s="35" t="str">
        <f t="shared" si="1"/>
        <v>0</v>
      </c>
      <c r="F55" s="35" t="str">
        <f t="shared" si="2"/>
        <v>0</v>
      </c>
      <c r="G55" s="35" t="str">
        <f t="shared" si="3"/>
        <v>0</v>
      </c>
      <c r="H55" s="35" t="str">
        <f t="shared" si="4"/>
        <v>0</v>
      </c>
      <c r="I55" s="35" t="str">
        <f t="shared" si="5"/>
        <v>0</v>
      </c>
      <c r="J55" s="35" t="str">
        <f t="shared" si="6"/>
        <v>0</v>
      </c>
      <c r="K55" s="35" t="str">
        <f t="shared" si="7"/>
        <v>0</v>
      </c>
      <c r="L55" s="92"/>
      <c r="M55" s="92"/>
      <c r="N55" s="92"/>
      <c r="O55" s="92"/>
      <c r="P55" s="92"/>
      <c r="Q55" s="92"/>
      <c r="R55" s="92"/>
    </row>
    <row r="56" spans="3:18" ht="41.45" customHeight="1" x14ac:dyDescent="0.25">
      <c r="C56" s="35"/>
      <c r="D56" s="35"/>
      <c r="E56" s="35" t="str">
        <f t="shared" si="1"/>
        <v>0</v>
      </c>
      <c r="F56" s="35" t="str">
        <f t="shared" si="2"/>
        <v>0</v>
      </c>
      <c r="G56" s="35" t="str">
        <f t="shared" si="3"/>
        <v>0</v>
      </c>
      <c r="H56" s="35" t="str">
        <f t="shared" si="4"/>
        <v>0</v>
      </c>
      <c r="I56" s="35" t="str">
        <f t="shared" si="5"/>
        <v>0</v>
      </c>
      <c r="J56" s="35" t="str">
        <f t="shared" si="6"/>
        <v>0</v>
      </c>
      <c r="K56" s="35" t="str">
        <f t="shared" si="7"/>
        <v>0</v>
      </c>
      <c r="L56" s="92"/>
      <c r="M56" s="92"/>
      <c r="N56" s="92"/>
      <c r="O56" s="92"/>
      <c r="P56" s="92"/>
      <c r="Q56" s="92"/>
      <c r="R56" s="92"/>
    </row>
    <row r="57" spans="3:18" ht="41.45" customHeight="1" x14ac:dyDescent="0.25">
      <c r="C57" s="35"/>
      <c r="D57" s="35"/>
      <c r="E57" s="35" t="str">
        <f t="shared" si="1"/>
        <v>0</v>
      </c>
      <c r="F57" s="35" t="str">
        <f t="shared" si="2"/>
        <v>0</v>
      </c>
      <c r="G57" s="35" t="str">
        <f t="shared" si="3"/>
        <v>0</v>
      </c>
      <c r="H57" s="35" t="str">
        <f t="shared" si="4"/>
        <v>0</v>
      </c>
      <c r="I57" s="35" t="str">
        <f t="shared" si="5"/>
        <v>0</v>
      </c>
      <c r="J57" s="35" t="str">
        <f t="shared" si="6"/>
        <v>0</v>
      </c>
      <c r="K57" s="35" t="str">
        <f t="shared" si="7"/>
        <v>0</v>
      </c>
      <c r="L57" s="92"/>
      <c r="M57" s="92"/>
      <c r="N57" s="92"/>
      <c r="O57" s="92"/>
      <c r="P57" s="92"/>
      <c r="Q57" s="92"/>
      <c r="R57" s="92"/>
    </row>
    <row r="58" spans="3:18" ht="41.45" customHeight="1" x14ac:dyDescent="0.25">
      <c r="C58" s="35"/>
      <c r="D58" s="35"/>
      <c r="E58" s="35" t="str">
        <f t="shared" si="1"/>
        <v>0</v>
      </c>
      <c r="F58" s="35" t="str">
        <f t="shared" si="2"/>
        <v>0</v>
      </c>
      <c r="G58" s="35" t="str">
        <f t="shared" si="3"/>
        <v>0</v>
      </c>
      <c r="H58" s="35" t="str">
        <f t="shared" si="4"/>
        <v>0</v>
      </c>
      <c r="I58" s="35" t="str">
        <f t="shared" si="5"/>
        <v>0</v>
      </c>
      <c r="J58" s="35" t="str">
        <f t="shared" si="6"/>
        <v>0</v>
      </c>
      <c r="K58" s="35" t="str">
        <f t="shared" si="7"/>
        <v>0</v>
      </c>
      <c r="L58" s="92"/>
      <c r="M58" s="92"/>
      <c r="N58" s="92"/>
      <c r="O58" s="92"/>
      <c r="P58" s="92"/>
      <c r="Q58" s="92"/>
      <c r="R58" s="92"/>
    </row>
    <row r="59" spans="3:18" ht="41.45" customHeight="1" x14ac:dyDescent="0.25">
      <c r="C59" s="35"/>
      <c r="D59" s="35"/>
      <c r="E59" s="35" t="str">
        <f t="shared" si="1"/>
        <v>0</v>
      </c>
      <c r="F59" s="35" t="str">
        <f t="shared" si="2"/>
        <v>0</v>
      </c>
      <c r="G59" s="35" t="str">
        <f t="shared" si="3"/>
        <v>0</v>
      </c>
      <c r="H59" s="35" t="str">
        <f t="shared" si="4"/>
        <v>0</v>
      </c>
      <c r="I59" s="35" t="str">
        <f t="shared" si="5"/>
        <v>0</v>
      </c>
      <c r="J59" s="35" t="str">
        <f t="shared" si="6"/>
        <v>0</v>
      </c>
      <c r="K59" s="35" t="str">
        <f t="shared" si="7"/>
        <v>0</v>
      </c>
      <c r="L59" s="92"/>
      <c r="M59" s="92"/>
      <c r="N59" s="92"/>
      <c r="O59" s="92"/>
      <c r="P59" s="92"/>
      <c r="Q59" s="92"/>
      <c r="R59" s="92"/>
    </row>
    <row r="60" spans="3:18" ht="41.45" customHeight="1" x14ac:dyDescent="0.25">
      <c r="C60" s="35"/>
      <c r="D60" s="35"/>
      <c r="E60" s="35" t="str">
        <f t="shared" si="1"/>
        <v>0</v>
      </c>
      <c r="F60" s="35" t="str">
        <f t="shared" si="2"/>
        <v>0</v>
      </c>
      <c r="G60" s="35" t="str">
        <f t="shared" si="3"/>
        <v>0</v>
      </c>
      <c r="H60" s="35" t="str">
        <f t="shared" si="4"/>
        <v>0</v>
      </c>
      <c r="I60" s="35" t="str">
        <f t="shared" si="5"/>
        <v>0</v>
      </c>
      <c r="J60" s="35" t="str">
        <f t="shared" si="6"/>
        <v>0</v>
      </c>
      <c r="K60" s="35" t="str">
        <f t="shared" si="7"/>
        <v>0</v>
      </c>
      <c r="L60" s="92"/>
      <c r="M60" s="92"/>
      <c r="N60" s="92"/>
      <c r="O60" s="92"/>
      <c r="P60" s="92"/>
      <c r="Q60" s="92"/>
      <c r="R60" s="92"/>
    </row>
    <row r="61" spans="3:18" ht="41.45" customHeight="1" x14ac:dyDescent="0.25">
      <c r="C61" s="35"/>
      <c r="D61" s="35"/>
      <c r="E61" s="35" t="str">
        <f t="shared" si="1"/>
        <v>0</v>
      </c>
      <c r="F61" s="35" t="str">
        <f t="shared" si="2"/>
        <v>0</v>
      </c>
      <c r="G61" s="35" t="str">
        <f t="shared" si="3"/>
        <v>0</v>
      </c>
      <c r="H61" s="35" t="str">
        <f t="shared" si="4"/>
        <v>0</v>
      </c>
      <c r="I61" s="35" t="str">
        <f t="shared" si="5"/>
        <v>0</v>
      </c>
      <c r="J61" s="35" t="str">
        <f t="shared" si="6"/>
        <v>0</v>
      </c>
      <c r="K61" s="35" t="str">
        <f t="shared" si="7"/>
        <v>0</v>
      </c>
      <c r="L61" s="92"/>
      <c r="M61" s="92"/>
      <c r="N61" s="92"/>
      <c r="O61" s="92"/>
      <c r="P61" s="92"/>
      <c r="Q61" s="92"/>
      <c r="R61" s="92"/>
    </row>
    <row r="62" spans="3:18" ht="41.45" customHeight="1" x14ac:dyDescent="0.25">
      <c r="C62" s="35"/>
      <c r="D62" s="35"/>
      <c r="E62" s="35">
        <f>SUM(E36:E61)</f>
        <v>73.040000000000006</v>
      </c>
      <c r="F62" s="35">
        <f t="shared" ref="F62:K62" si="8">SUM(F36:F61)</f>
        <v>0</v>
      </c>
      <c r="G62" s="35">
        <f t="shared" si="8"/>
        <v>0</v>
      </c>
      <c r="H62" s="35">
        <f t="shared" si="8"/>
        <v>0</v>
      </c>
      <c r="I62" s="35">
        <f t="shared" si="8"/>
        <v>11.1</v>
      </c>
      <c r="J62" s="35">
        <f t="shared" si="8"/>
        <v>61.94</v>
      </c>
      <c r="K62" s="35">
        <f t="shared" si="8"/>
        <v>0</v>
      </c>
      <c r="L62" s="92"/>
      <c r="M62" s="92"/>
      <c r="N62" s="92"/>
      <c r="O62" s="92"/>
      <c r="P62" s="92"/>
      <c r="Q62" s="92"/>
      <c r="R62" s="92"/>
    </row>
    <row r="63" spans="3:18" ht="41.45" customHeight="1" x14ac:dyDescent="0.25">
      <c r="C63" s="35"/>
      <c r="D63" s="35"/>
      <c r="E63" s="35"/>
      <c r="F63" s="31"/>
      <c r="G63" s="31"/>
      <c r="H63" s="31"/>
      <c r="I63" s="31"/>
      <c r="J63" s="31"/>
      <c r="K63" s="31"/>
      <c r="L63" s="92"/>
      <c r="M63" s="92"/>
      <c r="N63" s="92"/>
      <c r="O63" s="92"/>
      <c r="P63" s="92"/>
      <c r="Q63" s="92"/>
      <c r="R63" s="92"/>
    </row>
    <row r="64" spans="3:18" ht="41.45" customHeight="1" x14ac:dyDescent="0.25">
      <c r="C64" s="35"/>
      <c r="D64" s="35"/>
      <c r="E64" s="35"/>
      <c r="F64" s="31"/>
      <c r="G64" s="31"/>
      <c r="H64" s="31"/>
      <c r="I64" s="31"/>
      <c r="J64" s="31"/>
      <c r="K64" s="31"/>
      <c r="L64" s="92"/>
      <c r="M64" s="92"/>
      <c r="N64" s="92"/>
      <c r="O64" s="92"/>
      <c r="P64" s="92"/>
      <c r="Q64" s="92"/>
      <c r="R64" s="92"/>
    </row>
    <row r="65" spans="3:18" ht="41.45" customHeight="1" x14ac:dyDescent="0.25">
      <c r="C65" s="35"/>
      <c r="D65" s="35"/>
      <c r="E65" s="35"/>
      <c r="F65" s="31"/>
      <c r="G65" s="31"/>
      <c r="H65" s="31"/>
      <c r="I65" s="31"/>
      <c r="J65" s="31"/>
      <c r="K65" s="31"/>
      <c r="L65" s="92"/>
      <c r="M65" s="92"/>
      <c r="N65" s="92"/>
      <c r="O65" s="92"/>
      <c r="P65" s="92"/>
      <c r="Q65" s="92"/>
      <c r="R65" s="92"/>
    </row>
    <row r="66" spans="3:18" ht="41.45" customHeight="1" x14ac:dyDescent="0.25">
      <c r="C66" s="35"/>
      <c r="D66" s="35"/>
      <c r="E66" s="35"/>
      <c r="F66" s="31"/>
      <c r="G66" s="31"/>
      <c r="H66" s="31"/>
      <c r="I66" s="31"/>
      <c r="J66" s="31"/>
      <c r="K66" s="31"/>
      <c r="L66" s="92"/>
      <c r="M66" s="92"/>
      <c r="N66" s="92"/>
      <c r="O66" s="92"/>
      <c r="P66" s="92"/>
      <c r="Q66" s="92"/>
      <c r="R66" s="92"/>
    </row>
    <row r="67" spans="3:18" ht="41.45" customHeight="1" x14ac:dyDescent="0.25">
      <c r="C67" s="35"/>
      <c r="D67" s="35"/>
      <c r="E67" s="35"/>
      <c r="F67" s="31"/>
      <c r="G67" s="31"/>
      <c r="H67" s="31"/>
      <c r="I67" s="31"/>
      <c r="J67" s="31"/>
      <c r="K67" s="31"/>
      <c r="L67" s="92"/>
      <c r="M67" s="92"/>
      <c r="N67" s="92"/>
      <c r="O67" s="92"/>
      <c r="P67" s="92"/>
      <c r="Q67" s="92"/>
      <c r="R67" s="92"/>
    </row>
    <row r="68" spans="3:18" ht="41.45" customHeight="1" x14ac:dyDescent="0.25">
      <c r="C68" s="35"/>
      <c r="D68" s="35"/>
      <c r="E68" s="35"/>
      <c r="F68" s="31"/>
      <c r="G68" s="31"/>
      <c r="H68" s="31"/>
      <c r="I68" s="31"/>
      <c r="J68" s="31"/>
      <c r="K68" s="31"/>
      <c r="L68" s="92"/>
      <c r="M68" s="92"/>
      <c r="N68" s="92"/>
      <c r="O68" s="92"/>
      <c r="P68" s="92"/>
      <c r="Q68" s="92"/>
      <c r="R68" s="92"/>
    </row>
  </sheetData>
  <mergeCells count="73">
    <mergeCell ref="A5:A6"/>
    <mergeCell ref="B5:B6"/>
    <mergeCell ref="C5:C6"/>
    <mergeCell ref="D5:D6"/>
    <mergeCell ref="E5:H5"/>
    <mergeCell ref="L11:R11"/>
    <mergeCell ref="I1:I2"/>
    <mergeCell ref="J1:J2"/>
    <mergeCell ref="L1:M2"/>
    <mergeCell ref="N1:R2"/>
    <mergeCell ref="I5:K5"/>
    <mergeCell ref="L5:R6"/>
    <mergeCell ref="L7:R7"/>
    <mergeCell ref="L8:R8"/>
    <mergeCell ref="L9:R9"/>
    <mergeCell ref="L10:R10"/>
    <mergeCell ref="L23:R23"/>
    <mergeCell ref="L12:R12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35:R35"/>
    <mergeCell ref="L24:R24"/>
    <mergeCell ref="L25:R25"/>
    <mergeCell ref="L26:R26"/>
    <mergeCell ref="L27:R27"/>
    <mergeCell ref="L28:R28"/>
    <mergeCell ref="L29:R29"/>
    <mergeCell ref="L30:R30"/>
    <mergeCell ref="L31:R31"/>
    <mergeCell ref="L32:R32"/>
    <mergeCell ref="L33:R33"/>
    <mergeCell ref="L34:R34"/>
    <mergeCell ref="L47:R47"/>
    <mergeCell ref="L36:R36"/>
    <mergeCell ref="L37:R37"/>
    <mergeCell ref="L38:R38"/>
    <mergeCell ref="L39:R39"/>
    <mergeCell ref="L40:R40"/>
    <mergeCell ref="L41:R41"/>
    <mergeCell ref="L42:R42"/>
    <mergeCell ref="L43:R43"/>
    <mergeCell ref="L44:R44"/>
    <mergeCell ref="L45:R45"/>
    <mergeCell ref="L46:R46"/>
    <mergeCell ref="L59:R59"/>
    <mergeCell ref="L48:R48"/>
    <mergeCell ref="L49:R49"/>
    <mergeCell ref="L50:R50"/>
    <mergeCell ref="L51:R51"/>
    <mergeCell ref="L52:R52"/>
    <mergeCell ref="L53:R53"/>
    <mergeCell ref="L54:R54"/>
    <mergeCell ref="L55:R55"/>
    <mergeCell ref="L56:R56"/>
    <mergeCell ref="L57:R57"/>
    <mergeCell ref="L58:R58"/>
    <mergeCell ref="L66:R66"/>
    <mergeCell ref="L67:R67"/>
    <mergeCell ref="L68:R68"/>
    <mergeCell ref="L60:R60"/>
    <mergeCell ref="L61:R61"/>
    <mergeCell ref="L62:R62"/>
    <mergeCell ref="L63:R63"/>
    <mergeCell ref="L64:R64"/>
    <mergeCell ref="L65:R65"/>
  </mergeCells>
  <pageMargins left="0.51181102362204722" right="0.51181102362204722" top="0.78740157480314965" bottom="0.78740157480314965" header="0.31496062992125984" footer="0.31496062992125984"/>
  <pageSetup paperSize="9" scale="33" orientation="landscape" horizontalDpi="1200" verticalDpi="1200" r:id="rId1"/>
  <colBreaks count="1" manualBreakCount="1">
    <brk id="18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F281A-378E-4996-B396-B9349D4D105D}">
  <sheetPr>
    <tabColor theme="2"/>
    <pageSetUpPr fitToPage="1"/>
  </sheetPr>
  <dimension ref="A1:R68"/>
  <sheetViews>
    <sheetView view="pageBreakPreview" zoomScale="55" zoomScaleNormal="10" zoomScaleSheetLayoutView="55" workbookViewId="0">
      <selection activeCell="J20" sqref="J20"/>
    </sheetView>
  </sheetViews>
  <sheetFormatPr defaultColWidth="8.85546875" defaultRowHeight="15" x14ac:dyDescent="0.25"/>
  <cols>
    <col min="1" max="1" width="33.28515625" style="1" customWidth="1"/>
    <col min="2" max="2" width="17.140625" style="1" customWidth="1"/>
    <col min="3" max="4" width="13.42578125" style="1" customWidth="1"/>
    <col min="5" max="5" width="26.5703125" style="2" customWidth="1"/>
    <col min="6" max="6" width="30.140625" style="2" customWidth="1"/>
    <col min="7" max="7" width="26.5703125" style="2" customWidth="1"/>
    <col min="8" max="8" width="33.140625" style="2" customWidth="1"/>
    <col min="9" max="11" width="32" style="2" customWidth="1"/>
    <col min="12" max="14" width="14.42578125" style="1" customWidth="1"/>
    <col min="15" max="17" width="14.7109375" style="1" customWidth="1"/>
    <col min="18" max="18" width="37.42578125" style="1" customWidth="1"/>
    <col min="19" max="16384" width="8.85546875" style="1"/>
  </cols>
  <sheetData>
    <row r="1" spans="1:18" ht="19.5" x14ac:dyDescent="0.3">
      <c r="A1" s="9" t="s">
        <v>0</v>
      </c>
      <c r="B1" s="10"/>
      <c r="C1" s="10"/>
      <c r="D1" s="10"/>
      <c r="E1" s="11"/>
      <c r="F1" s="12"/>
      <c r="G1" s="11"/>
      <c r="H1" s="11"/>
      <c r="I1" s="98" t="s">
        <v>3</v>
      </c>
      <c r="J1" s="120">
        <f>'245'!J1</f>
        <v>46204</v>
      </c>
      <c r="K1" s="11"/>
      <c r="L1" s="102" t="s">
        <v>4</v>
      </c>
      <c r="M1" s="102"/>
      <c r="N1" s="104" t="str">
        <f>'245'!N1</f>
        <v>ENG. THIAGO TORQUATO</v>
      </c>
      <c r="O1" s="104"/>
      <c r="P1" s="104"/>
      <c r="Q1" s="104"/>
      <c r="R1" s="105"/>
    </row>
    <row r="2" spans="1:18" ht="20.25" thickBot="1" x14ac:dyDescent="0.35">
      <c r="A2" s="13"/>
      <c r="B2" s="14"/>
      <c r="C2" s="14"/>
      <c r="D2" s="14"/>
      <c r="E2" s="15"/>
      <c r="F2" s="16" t="s">
        <v>9</v>
      </c>
      <c r="G2" s="15"/>
      <c r="H2" s="15"/>
      <c r="I2" s="99"/>
      <c r="J2" s="121"/>
      <c r="K2" s="16"/>
      <c r="L2" s="103"/>
      <c r="M2" s="103"/>
      <c r="N2" s="106"/>
      <c r="O2" s="106"/>
      <c r="P2" s="106"/>
      <c r="Q2" s="106"/>
      <c r="R2" s="107"/>
    </row>
    <row r="3" spans="1:18" ht="25.5" x14ac:dyDescent="0.35">
      <c r="A3" s="13" t="s">
        <v>21</v>
      </c>
      <c r="B3" s="45" t="str">
        <f>TT!C14</f>
        <v>RODOVIA TO-485 - TRECHO TAIPAS DO TOCANTINS - ENTR. TO-110</v>
      </c>
      <c r="C3" s="14"/>
      <c r="D3" s="14"/>
      <c r="E3" s="15"/>
      <c r="F3" s="15"/>
      <c r="G3" s="15"/>
      <c r="H3" s="15"/>
      <c r="I3" s="47" t="s">
        <v>107</v>
      </c>
      <c r="J3" s="47">
        <v>13</v>
      </c>
      <c r="K3" s="15"/>
      <c r="L3" s="14"/>
      <c r="M3" s="14"/>
      <c r="N3" s="14"/>
      <c r="O3" s="14"/>
      <c r="P3" s="14"/>
      <c r="Q3" s="14"/>
      <c r="R3" s="17"/>
    </row>
    <row r="4" spans="1:18" ht="19.899999999999999" thickBot="1" x14ac:dyDescent="0.4">
      <c r="A4" s="18"/>
      <c r="B4" s="14"/>
      <c r="C4" s="14"/>
      <c r="D4" s="14"/>
      <c r="E4" s="15"/>
      <c r="F4" s="15"/>
      <c r="G4" s="15"/>
      <c r="H4" s="15"/>
      <c r="I4" s="15"/>
      <c r="J4" s="15"/>
      <c r="K4" s="15"/>
      <c r="L4" s="14"/>
      <c r="M4" s="14"/>
      <c r="N4" s="14"/>
      <c r="O4" s="14"/>
      <c r="P4" s="14"/>
      <c r="Q4" s="14"/>
      <c r="R4" s="17"/>
    </row>
    <row r="5" spans="1:18" s="5" customFormat="1" ht="54" customHeight="1" x14ac:dyDescent="0.25">
      <c r="A5" s="112" t="s">
        <v>1</v>
      </c>
      <c r="B5" s="108" t="s">
        <v>7</v>
      </c>
      <c r="C5" s="114" t="s">
        <v>5</v>
      </c>
      <c r="D5" s="114" t="s">
        <v>6</v>
      </c>
      <c r="E5" s="108" t="s">
        <v>10</v>
      </c>
      <c r="F5" s="108"/>
      <c r="G5" s="108"/>
      <c r="H5" s="108"/>
      <c r="I5" s="108" t="s">
        <v>11</v>
      </c>
      <c r="J5" s="108"/>
      <c r="K5" s="108"/>
      <c r="L5" s="108" t="s">
        <v>8</v>
      </c>
      <c r="M5" s="108"/>
      <c r="N5" s="108"/>
      <c r="O5" s="108"/>
      <c r="P5" s="108"/>
      <c r="Q5" s="108"/>
      <c r="R5" s="109"/>
    </row>
    <row r="6" spans="1:18" s="6" customFormat="1" ht="79.150000000000006" customHeight="1" x14ac:dyDescent="0.25">
      <c r="A6" s="113"/>
      <c r="B6" s="110"/>
      <c r="C6" s="110"/>
      <c r="D6" s="110"/>
      <c r="E6" s="7" t="s">
        <v>2</v>
      </c>
      <c r="F6" s="8" t="s">
        <v>15</v>
      </c>
      <c r="G6" s="8" t="s">
        <v>16</v>
      </c>
      <c r="H6" s="8" t="s">
        <v>17</v>
      </c>
      <c r="I6" s="7" t="s">
        <v>12</v>
      </c>
      <c r="J6" s="7" t="s">
        <v>13</v>
      </c>
      <c r="K6" s="7" t="s">
        <v>14</v>
      </c>
      <c r="L6" s="110"/>
      <c r="M6" s="110"/>
      <c r="N6" s="110"/>
      <c r="O6" s="110"/>
      <c r="P6" s="110"/>
      <c r="Q6" s="110"/>
      <c r="R6" s="111"/>
    </row>
    <row r="7" spans="1:18" ht="41.45" customHeight="1" x14ac:dyDescent="0.45">
      <c r="A7" s="59" t="s">
        <v>82</v>
      </c>
      <c r="B7" s="21" t="s">
        <v>108</v>
      </c>
      <c r="C7" s="22">
        <v>0</v>
      </c>
      <c r="D7" s="22">
        <v>10.8</v>
      </c>
      <c r="E7" s="21"/>
      <c r="F7" s="21" t="s">
        <v>109</v>
      </c>
      <c r="G7" s="21"/>
      <c r="H7" s="21"/>
      <c r="I7" s="21" t="s">
        <v>109</v>
      </c>
      <c r="J7" s="21"/>
      <c r="K7" s="21"/>
      <c r="L7" s="96"/>
      <c r="M7" s="96"/>
      <c r="N7" s="96"/>
      <c r="O7" s="96"/>
      <c r="P7" s="96"/>
      <c r="Q7" s="96"/>
      <c r="R7" s="97"/>
    </row>
    <row r="8" spans="1:18" ht="41.45" customHeight="1" x14ac:dyDescent="0.45">
      <c r="A8" s="59"/>
      <c r="B8" s="21"/>
      <c r="C8" s="22">
        <v>10.8</v>
      </c>
      <c r="D8" s="22">
        <v>21.44</v>
      </c>
      <c r="E8" s="21" t="s">
        <v>109</v>
      </c>
      <c r="F8" s="21"/>
      <c r="G8" s="21"/>
      <c r="H8" s="21"/>
      <c r="I8" s="21" t="s">
        <v>109</v>
      </c>
      <c r="J8" s="21"/>
      <c r="K8" s="21"/>
      <c r="L8" s="96"/>
      <c r="M8" s="96"/>
      <c r="N8" s="96"/>
      <c r="O8" s="96"/>
      <c r="P8" s="96"/>
      <c r="Q8" s="96"/>
      <c r="R8" s="97"/>
    </row>
    <row r="9" spans="1:18" ht="41.45" hidden="1" customHeight="1" x14ac:dyDescent="0.45">
      <c r="A9" s="59"/>
      <c r="B9" s="21"/>
      <c r="C9" s="22"/>
      <c r="D9" s="22"/>
      <c r="E9" s="21"/>
      <c r="F9" s="21"/>
      <c r="G9" s="21"/>
      <c r="H9" s="21"/>
      <c r="I9" s="21"/>
      <c r="J9" s="21"/>
      <c r="K9" s="21"/>
      <c r="L9" s="96"/>
      <c r="M9" s="96"/>
      <c r="N9" s="96"/>
      <c r="O9" s="96"/>
      <c r="P9" s="96"/>
      <c r="Q9" s="96"/>
      <c r="R9" s="97"/>
    </row>
    <row r="10" spans="1:18" ht="41.45" customHeight="1" x14ac:dyDescent="0.45">
      <c r="A10" s="59" t="s">
        <v>84</v>
      </c>
      <c r="B10" s="21" t="s">
        <v>108</v>
      </c>
      <c r="C10" s="22">
        <v>0</v>
      </c>
      <c r="D10" s="22">
        <v>10.9</v>
      </c>
      <c r="E10" s="21" t="s">
        <v>109</v>
      </c>
      <c r="F10" s="21" t="s">
        <v>109</v>
      </c>
      <c r="G10" s="21"/>
      <c r="H10" s="21"/>
      <c r="I10" s="21"/>
      <c r="J10" s="21" t="s">
        <v>109</v>
      </c>
      <c r="K10" s="21"/>
      <c r="L10" s="96"/>
      <c r="M10" s="96"/>
      <c r="N10" s="96"/>
      <c r="O10" s="96"/>
      <c r="P10" s="96"/>
      <c r="Q10" s="96"/>
      <c r="R10" s="97"/>
    </row>
    <row r="11" spans="1:18" ht="41.45" hidden="1" customHeight="1" x14ac:dyDescent="0.45">
      <c r="A11" s="59"/>
      <c r="B11" s="21"/>
      <c r="C11" s="22"/>
      <c r="D11" s="22"/>
      <c r="E11" s="21"/>
      <c r="F11" s="21"/>
      <c r="G11" s="21"/>
      <c r="H11" s="21"/>
      <c r="I11" s="21"/>
      <c r="J11" s="21"/>
      <c r="K11" s="21"/>
      <c r="L11" s="96"/>
      <c r="M11" s="96"/>
      <c r="N11" s="96"/>
      <c r="O11" s="96"/>
      <c r="P11" s="96"/>
      <c r="Q11" s="96"/>
      <c r="R11" s="97"/>
    </row>
    <row r="12" spans="1:18" ht="41.45" customHeight="1" x14ac:dyDescent="0.45">
      <c r="A12" s="59" t="s">
        <v>86</v>
      </c>
      <c r="B12" s="21" t="s">
        <v>108</v>
      </c>
      <c r="C12" s="22">
        <v>0</v>
      </c>
      <c r="D12" s="22">
        <v>9.6</v>
      </c>
      <c r="E12" s="21" t="s">
        <v>109</v>
      </c>
      <c r="F12" s="21"/>
      <c r="G12" s="21"/>
      <c r="H12" s="21"/>
      <c r="I12" s="21" t="s">
        <v>109</v>
      </c>
      <c r="J12" s="21"/>
      <c r="K12" s="21"/>
      <c r="L12" s="96"/>
      <c r="M12" s="96"/>
      <c r="N12" s="96"/>
      <c r="O12" s="96"/>
      <c r="P12" s="96"/>
      <c r="Q12" s="96"/>
      <c r="R12" s="97"/>
    </row>
    <row r="13" spans="1:18" ht="41.45" customHeight="1" x14ac:dyDescent="0.25">
      <c r="A13" s="32"/>
      <c r="B13" s="21"/>
      <c r="C13" s="22">
        <v>9.6</v>
      </c>
      <c r="D13" s="22">
        <v>16.8</v>
      </c>
      <c r="E13" s="21" t="s">
        <v>109</v>
      </c>
      <c r="F13" s="21"/>
      <c r="G13" s="21"/>
      <c r="H13" s="21"/>
      <c r="I13" s="21" t="s">
        <v>109</v>
      </c>
      <c r="J13" s="21"/>
      <c r="K13" s="21"/>
      <c r="L13" s="96"/>
      <c r="M13" s="96"/>
      <c r="N13" s="96"/>
      <c r="O13" s="96"/>
      <c r="P13" s="96"/>
      <c r="Q13" s="96"/>
      <c r="R13" s="97"/>
    </row>
    <row r="14" spans="1:18" ht="41.45" customHeight="1" x14ac:dyDescent="0.45">
      <c r="A14" s="59"/>
      <c r="B14" s="21"/>
      <c r="C14" s="22">
        <v>16.8</v>
      </c>
      <c r="D14" s="22">
        <v>18.02</v>
      </c>
      <c r="E14" s="21" t="s">
        <v>109</v>
      </c>
      <c r="F14" s="21"/>
      <c r="G14" s="21"/>
      <c r="H14" s="21"/>
      <c r="I14" s="21" t="s">
        <v>109</v>
      </c>
      <c r="J14" s="21"/>
      <c r="K14" s="21"/>
      <c r="L14" s="96"/>
      <c r="M14" s="96"/>
      <c r="N14" s="96"/>
      <c r="O14" s="96"/>
      <c r="P14" s="96"/>
      <c r="Q14" s="96"/>
      <c r="R14" s="97"/>
    </row>
    <row r="15" spans="1:18" ht="41.45" hidden="1" customHeight="1" x14ac:dyDescent="0.25">
      <c r="A15" s="32"/>
      <c r="B15" s="21"/>
      <c r="C15" s="22"/>
      <c r="D15" s="22"/>
      <c r="E15" s="21"/>
      <c r="F15" s="21"/>
      <c r="G15" s="21"/>
      <c r="H15" s="21"/>
      <c r="I15" s="21"/>
      <c r="J15" s="21"/>
      <c r="K15" s="21"/>
      <c r="L15" s="96"/>
      <c r="M15" s="96"/>
      <c r="N15" s="96"/>
      <c r="O15" s="96"/>
      <c r="P15" s="96"/>
      <c r="Q15" s="96"/>
      <c r="R15" s="97"/>
    </row>
    <row r="16" spans="1:18" ht="41.45" customHeight="1" x14ac:dyDescent="0.45">
      <c r="A16" s="59" t="s">
        <v>88</v>
      </c>
      <c r="B16" s="21" t="s">
        <v>108</v>
      </c>
      <c r="C16" s="22">
        <v>0</v>
      </c>
      <c r="D16" s="22">
        <v>7.5</v>
      </c>
      <c r="E16" s="21" t="s">
        <v>109</v>
      </c>
      <c r="F16" s="21"/>
      <c r="G16" s="21"/>
      <c r="H16" s="21"/>
      <c r="I16" s="21"/>
      <c r="J16" s="21"/>
      <c r="K16" s="21" t="s">
        <v>109</v>
      </c>
      <c r="L16" s="96"/>
      <c r="M16" s="96"/>
      <c r="N16" s="96"/>
      <c r="O16" s="96"/>
      <c r="P16" s="96"/>
      <c r="Q16" s="96"/>
      <c r="R16" s="97"/>
    </row>
    <row r="17" spans="1:18" ht="41.45" customHeight="1" x14ac:dyDescent="0.45">
      <c r="A17" s="59"/>
      <c r="B17" s="21"/>
      <c r="C17" s="22">
        <v>7.5</v>
      </c>
      <c r="D17" s="22">
        <v>14.3</v>
      </c>
      <c r="E17" s="21" t="s">
        <v>109</v>
      </c>
      <c r="F17" s="21"/>
      <c r="G17" s="21"/>
      <c r="H17" s="21"/>
      <c r="I17" s="21" t="s">
        <v>109</v>
      </c>
      <c r="J17" s="21"/>
      <c r="K17" s="21"/>
      <c r="L17" s="96"/>
      <c r="M17" s="96"/>
      <c r="N17" s="96"/>
      <c r="O17" s="96"/>
      <c r="P17" s="96"/>
      <c r="Q17" s="96"/>
      <c r="R17" s="97"/>
    </row>
    <row r="18" spans="1:18" ht="41.45" customHeight="1" x14ac:dyDescent="0.45">
      <c r="A18" s="59"/>
      <c r="B18" s="3"/>
      <c r="C18" s="22">
        <v>14.3</v>
      </c>
      <c r="D18" s="22">
        <v>24.01</v>
      </c>
      <c r="E18" s="21" t="s">
        <v>109</v>
      </c>
      <c r="F18" s="21"/>
      <c r="G18" s="21"/>
      <c r="H18" s="21"/>
      <c r="I18" s="21"/>
      <c r="J18" s="21"/>
      <c r="K18" s="21" t="s">
        <v>109</v>
      </c>
      <c r="L18" s="96"/>
      <c r="M18" s="96"/>
      <c r="N18" s="96"/>
      <c r="O18" s="96"/>
      <c r="P18" s="96"/>
      <c r="Q18" s="96"/>
      <c r="R18" s="97"/>
    </row>
    <row r="19" spans="1:18" ht="41.45" hidden="1" customHeight="1" x14ac:dyDescent="0.45">
      <c r="A19" s="59"/>
      <c r="B19" s="3"/>
      <c r="C19" s="22"/>
      <c r="D19" s="22"/>
      <c r="E19" s="21"/>
      <c r="F19" s="21"/>
      <c r="G19" s="21"/>
      <c r="H19" s="21"/>
      <c r="I19" s="21"/>
      <c r="J19" s="21"/>
      <c r="K19" s="21"/>
      <c r="L19" s="96"/>
      <c r="M19" s="96"/>
      <c r="N19" s="96"/>
      <c r="O19" s="96"/>
      <c r="P19" s="96"/>
      <c r="Q19" s="96"/>
      <c r="R19" s="97"/>
    </row>
    <row r="20" spans="1:18" ht="41.45" customHeight="1" x14ac:dyDescent="0.45">
      <c r="A20" s="59" t="s">
        <v>90</v>
      </c>
      <c r="B20" s="60" t="s">
        <v>108</v>
      </c>
      <c r="C20" s="22">
        <v>0</v>
      </c>
      <c r="D20" s="22">
        <v>15</v>
      </c>
      <c r="E20" s="21" t="s">
        <v>109</v>
      </c>
      <c r="F20" s="21"/>
      <c r="G20" s="21"/>
      <c r="H20" s="21"/>
      <c r="I20" s="21" t="s">
        <v>109</v>
      </c>
      <c r="J20" s="21"/>
      <c r="K20" s="21"/>
      <c r="L20" s="96"/>
      <c r="M20" s="96"/>
      <c r="N20" s="96"/>
      <c r="O20" s="96"/>
      <c r="P20" s="96"/>
      <c r="Q20" s="96"/>
      <c r="R20" s="97"/>
    </row>
    <row r="21" spans="1:18" ht="41.45" customHeight="1" x14ac:dyDescent="0.4">
      <c r="A21" s="19"/>
      <c r="B21" s="60"/>
      <c r="C21" s="22">
        <v>15</v>
      </c>
      <c r="D21" s="22">
        <v>24.7</v>
      </c>
      <c r="E21" s="21" t="s">
        <v>109</v>
      </c>
      <c r="F21" s="21"/>
      <c r="G21" s="21"/>
      <c r="H21" s="21"/>
      <c r="I21" s="21"/>
      <c r="J21" s="21"/>
      <c r="K21" s="21" t="s">
        <v>109</v>
      </c>
      <c r="L21" s="96"/>
      <c r="M21" s="96"/>
      <c r="N21" s="96"/>
      <c r="O21" s="96"/>
      <c r="P21" s="96"/>
      <c r="Q21" s="96"/>
      <c r="R21" s="97"/>
    </row>
    <row r="22" spans="1:18" ht="41.45" customHeight="1" x14ac:dyDescent="0.25">
      <c r="A22" s="19"/>
      <c r="B22" s="3"/>
      <c r="C22" s="22"/>
      <c r="D22" s="22"/>
      <c r="E22" s="21"/>
      <c r="F22" s="21"/>
      <c r="G22" s="21"/>
      <c r="H22" s="21"/>
      <c r="I22" s="21"/>
      <c r="J22" s="21"/>
      <c r="K22" s="21"/>
      <c r="L22" s="96"/>
      <c r="M22" s="96"/>
      <c r="N22" s="96"/>
      <c r="O22" s="96"/>
      <c r="P22" s="96"/>
      <c r="Q22" s="96"/>
      <c r="R22" s="97"/>
    </row>
    <row r="23" spans="1:18" ht="41.45" customHeight="1" x14ac:dyDescent="0.25">
      <c r="A23" s="19"/>
      <c r="B23" s="3"/>
      <c r="C23" s="22"/>
      <c r="D23" s="22"/>
      <c r="E23" s="21"/>
      <c r="F23" s="21"/>
      <c r="G23" s="21"/>
      <c r="H23" s="21"/>
      <c r="I23" s="21"/>
      <c r="J23" s="21"/>
      <c r="K23" s="21"/>
      <c r="L23" s="96"/>
      <c r="M23" s="96"/>
      <c r="N23" s="96"/>
      <c r="O23" s="96"/>
      <c r="P23" s="96"/>
      <c r="Q23" s="96"/>
      <c r="R23" s="97"/>
    </row>
    <row r="24" spans="1:18" ht="41.45" customHeight="1" x14ac:dyDescent="0.25">
      <c r="A24" s="19"/>
      <c r="B24" s="3"/>
      <c r="C24" s="22"/>
      <c r="D24" s="22"/>
      <c r="E24" s="21"/>
      <c r="F24" s="21"/>
      <c r="G24" s="21"/>
      <c r="H24" s="21"/>
      <c r="I24" s="21"/>
      <c r="J24" s="21"/>
      <c r="K24" s="21"/>
      <c r="L24" s="96"/>
      <c r="M24" s="96"/>
      <c r="N24" s="96"/>
      <c r="O24" s="96"/>
      <c r="P24" s="96"/>
      <c r="Q24" s="96"/>
      <c r="R24" s="97"/>
    </row>
    <row r="25" spans="1:18" ht="41.45" customHeight="1" x14ac:dyDescent="0.25">
      <c r="A25" s="19"/>
      <c r="B25" s="3"/>
      <c r="C25" s="22"/>
      <c r="D25" s="22"/>
      <c r="E25" s="21"/>
      <c r="F25" s="21"/>
      <c r="G25" s="21"/>
      <c r="H25" s="21"/>
      <c r="I25" s="21"/>
      <c r="J25" s="21"/>
      <c r="K25" s="21"/>
      <c r="L25" s="96"/>
      <c r="M25" s="96"/>
      <c r="N25" s="96"/>
      <c r="O25" s="96"/>
      <c r="P25" s="96"/>
      <c r="Q25" s="96"/>
      <c r="R25" s="97"/>
    </row>
    <row r="26" spans="1:18" ht="41.45" customHeight="1" x14ac:dyDescent="0.25">
      <c r="A26" s="19"/>
      <c r="B26" s="3"/>
      <c r="C26" s="22"/>
      <c r="D26" s="22"/>
      <c r="E26" s="21"/>
      <c r="F26" s="21"/>
      <c r="G26" s="21"/>
      <c r="H26" s="21"/>
      <c r="I26" s="21"/>
      <c r="J26" s="21"/>
      <c r="K26" s="21"/>
      <c r="L26" s="96"/>
      <c r="M26" s="96"/>
      <c r="N26" s="96"/>
      <c r="O26" s="96"/>
      <c r="P26" s="96"/>
      <c r="Q26" s="96"/>
      <c r="R26" s="97"/>
    </row>
    <row r="27" spans="1:18" ht="41.45" customHeight="1" x14ac:dyDescent="0.25">
      <c r="A27" s="19"/>
      <c r="B27" s="3"/>
      <c r="C27" s="22"/>
      <c r="D27" s="22"/>
      <c r="E27" s="21"/>
      <c r="F27" s="21"/>
      <c r="G27" s="21"/>
      <c r="H27" s="21"/>
      <c r="I27" s="21"/>
      <c r="J27" s="21"/>
      <c r="K27" s="21"/>
      <c r="L27" s="96"/>
      <c r="M27" s="96"/>
      <c r="N27" s="96"/>
      <c r="O27" s="96"/>
      <c r="P27" s="96"/>
      <c r="Q27" s="96"/>
      <c r="R27" s="97"/>
    </row>
    <row r="28" spans="1:18" ht="41.45" customHeight="1" x14ac:dyDescent="0.25">
      <c r="A28" s="19"/>
      <c r="B28" s="3"/>
      <c r="C28" s="22"/>
      <c r="D28" s="22"/>
      <c r="E28" s="21"/>
      <c r="F28" s="21"/>
      <c r="G28" s="21"/>
      <c r="H28" s="21"/>
      <c r="I28" s="21"/>
      <c r="J28" s="21"/>
      <c r="K28" s="21"/>
      <c r="L28" s="96"/>
      <c r="M28" s="96"/>
      <c r="N28" s="96"/>
      <c r="O28" s="96"/>
      <c r="P28" s="96"/>
      <c r="Q28" s="96"/>
      <c r="R28" s="97"/>
    </row>
    <row r="29" spans="1:18" ht="41.45" customHeight="1" x14ac:dyDescent="0.25">
      <c r="A29" s="19"/>
      <c r="B29" s="3"/>
      <c r="C29" s="22"/>
      <c r="D29" s="22"/>
      <c r="E29" s="21"/>
      <c r="F29" s="21"/>
      <c r="G29" s="21"/>
      <c r="H29" s="21"/>
      <c r="I29" s="21"/>
      <c r="J29" s="21"/>
      <c r="K29" s="21"/>
      <c r="L29" s="96"/>
      <c r="M29" s="96"/>
      <c r="N29" s="96"/>
      <c r="O29" s="96"/>
      <c r="P29" s="96"/>
      <c r="Q29" s="96"/>
      <c r="R29" s="97"/>
    </row>
    <row r="30" spans="1:18" ht="41.45" customHeight="1" x14ac:dyDescent="0.25">
      <c r="A30" s="19"/>
      <c r="B30" s="3"/>
      <c r="C30" s="22"/>
      <c r="D30" s="22"/>
      <c r="E30" s="21"/>
      <c r="F30" s="21"/>
      <c r="G30" s="21"/>
      <c r="H30" s="21"/>
      <c r="I30" s="21"/>
      <c r="J30" s="21"/>
      <c r="K30" s="21"/>
      <c r="L30" s="96"/>
      <c r="M30" s="96"/>
      <c r="N30" s="96"/>
      <c r="O30" s="96"/>
      <c r="P30" s="96"/>
      <c r="Q30" s="96"/>
      <c r="R30" s="97"/>
    </row>
    <row r="31" spans="1:18" ht="41.45" customHeight="1" x14ac:dyDescent="0.25">
      <c r="A31" s="19"/>
      <c r="B31" s="3"/>
      <c r="C31" s="22"/>
      <c r="D31" s="22"/>
      <c r="E31" s="21"/>
      <c r="F31" s="21"/>
      <c r="G31" s="21"/>
      <c r="H31" s="21"/>
      <c r="I31" s="21"/>
      <c r="J31" s="21"/>
      <c r="K31" s="21"/>
      <c r="L31" s="96"/>
      <c r="M31" s="96"/>
      <c r="N31" s="96"/>
      <c r="O31" s="96"/>
      <c r="P31" s="96"/>
      <c r="Q31" s="96"/>
      <c r="R31" s="97"/>
    </row>
    <row r="32" spans="1:18" ht="41.45" customHeight="1" x14ac:dyDescent="0.25">
      <c r="A32" s="19"/>
      <c r="B32" s="3"/>
      <c r="C32" s="22"/>
      <c r="D32" s="22"/>
      <c r="E32" s="21"/>
      <c r="F32" s="21"/>
      <c r="G32" s="21"/>
      <c r="H32" s="21"/>
      <c r="I32" s="21"/>
      <c r="J32" s="21"/>
      <c r="K32" s="21"/>
      <c r="L32" s="96"/>
      <c r="M32" s="96"/>
      <c r="N32" s="96"/>
      <c r="O32" s="96"/>
      <c r="P32" s="96"/>
      <c r="Q32" s="96"/>
      <c r="R32" s="97"/>
    </row>
    <row r="33" spans="1:18" ht="41.45" customHeight="1" x14ac:dyDescent="0.25">
      <c r="A33" s="19"/>
      <c r="B33" s="3"/>
      <c r="C33" s="22"/>
      <c r="D33" s="22"/>
      <c r="E33" s="21"/>
      <c r="F33" s="21"/>
      <c r="G33" s="21"/>
      <c r="H33" s="21"/>
      <c r="I33" s="21"/>
      <c r="J33" s="21"/>
      <c r="K33" s="21"/>
      <c r="L33" s="96"/>
      <c r="M33" s="96"/>
      <c r="N33" s="96"/>
      <c r="O33" s="96"/>
      <c r="P33" s="96"/>
      <c r="Q33" s="96"/>
      <c r="R33" s="97"/>
    </row>
    <row r="34" spans="1:18" ht="41.45" customHeight="1" x14ac:dyDescent="0.25">
      <c r="A34" s="19"/>
      <c r="B34" s="3"/>
      <c r="C34" s="22"/>
      <c r="D34" s="22"/>
      <c r="E34" s="21"/>
      <c r="F34" s="21"/>
      <c r="G34" s="21"/>
      <c r="H34" s="21"/>
      <c r="I34" s="21"/>
      <c r="J34" s="21"/>
      <c r="K34" s="21"/>
      <c r="L34" s="96"/>
      <c r="M34" s="96"/>
      <c r="N34" s="96"/>
      <c r="O34" s="96"/>
      <c r="P34" s="96"/>
      <c r="Q34" s="96"/>
      <c r="R34" s="97"/>
    </row>
    <row r="35" spans="1:18" ht="41.45" customHeight="1" thickBot="1" x14ac:dyDescent="0.3">
      <c r="A35" s="20"/>
      <c r="B35" s="4"/>
      <c r="C35" s="23"/>
      <c r="D35" s="23"/>
      <c r="E35" s="24"/>
      <c r="F35" s="24"/>
      <c r="G35" s="24"/>
      <c r="H35" s="24"/>
      <c r="I35" s="24"/>
      <c r="J35" s="24"/>
      <c r="K35" s="24"/>
      <c r="L35" s="94"/>
      <c r="M35" s="94"/>
      <c r="N35" s="94"/>
      <c r="O35" s="94"/>
      <c r="P35" s="94"/>
      <c r="Q35" s="94"/>
      <c r="R35" s="95"/>
    </row>
    <row r="36" spans="1:18" ht="41.45" customHeight="1" x14ac:dyDescent="0.25">
      <c r="A36" s="33"/>
      <c r="B36" s="33"/>
      <c r="C36" s="34"/>
      <c r="D36" s="34"/>
      <c r="E36" s="34" t="str">
        <f>IF(E7="X",(D7-C7),"0")</f>
        <v>0</v>
      </c>
      <c r="F36" s="34">
        <f>IF(F7="X",(D7-C7),"0")</f>
        <v>10.8</v>
      </c>
      <c r="G36" s="34" t="str">
        <f>IF(G7="X",(D7-C7),"0")</f>
        <v>0</v>
      </c>
      <c r="H36" s="34" t="str">
        <f>IF(H7="X",(D7-C7),"0")</f>
        <v>0</v>
      </c>
      <c r="I36" s="34">
        <f>IF(I7="X",(D7-C7),"0")</f>
        <v>10.8</v>
      </c>
      <c r="J36" s="34" t="str">
        <f>IF(J7="X",(D7-C7),"0")</f>
        <v>0</v>
      </c>
      <c r="K36" s="34" t="str">
        <f>IF(K7="X",(D7-C7),"0")</f>
        <v>0</v>
      </c>
      <c r="L36" s="93"/>
      <c r="M36" s="93"/>
      <c r="N36" s="93"/>
      <c r="O36" s="93"/>
      <c r="P36" s="93"/>
      <c r="Q36" s="93"/>
      <c r="R36" s="93"/>
    </row>
    <row r="37" spans="1:18" ht="41.45" customHeight="1" x14ac:dyDescent="0.25">
      <c r="C37" s="35"/>
      <c r="D37" s="35"/>
      <c r="E37" s="35">
        <f t="shared" ref="E37:E61" si="0">IF(E8="X",(D8-C8),"0")</f>
        <v>10.64</v>
      </c>
      <c r="F37" s="35" t="str">
        <f t="shared" ref="F37:F61" si="1">IF(F8="X",(D8-C8),"0")</f>
        <v>0</v>
      </c>
      <c r="G37" s="35" t="str">
        <f t="shared" ref="G37:G61" si="2">IF(G8="X",(D8-C8),"0")</f>
        <v>0</v>
      </c>
      <c r="H37" s="35" t="str">
        <f t="shared" ref="H37:H61" si="3">IF(H8="X",(D8-C8),"0")</f>
        <v>0</v>
      </c>
      <c r="I37" s="35">
        <f t="shared" ref="I37:I61" si="4">IF(I8="X",(D8-C8),"0")</f>
        <v>10.64</v>
      </c>
      <c r="J37" s="35" t="str">
        <f t="shared" ref="J37:J61" si="5">IF(J8="X",(D8-C8),"0")</f>
        <v>0</v>
      </c>
      <c r="K37" s="35" t="str">
        <f t="shared" ref="K37:K61" si="6">IF(K8="X",(D8-C8),"0")</f>
        <v>0</v>
      </c>
      <c r="L37" s="92"/>
      <c r="M37" s="92"/>
      <c r="N37" s="92"/>
      <c r="O37" s="92"/>
      <c r="P37" s="92"/>
      <c r="Q37" s="92"/>
      <c r="R37" s="92"/>
    </row>
    <row r="38" spans="1:18" ht="41.45" customHeight="1" x14ac:dyDescent="0.25">
      <c r="C38" s="35"/>
      <c r="D38" s="35"/>
      <c r="E38" s="35" t="str">
        <f t="shared" si="0"/>
        <v>0</v>
      </c>
      <c r="F38" s="35" t="str">
        <f t="shared" si="1"/>
        <v>0</v>
      </c>
      <c r="G38" s="35" t="str">
        <f t="shared" si="2"/>
        <v>0</v>
      </c>
      <c r="H38" s="35" t="str">
        <f t="shared" si="3"/>
        <v>0</v>
      </c>
      <c r="I38" s="35" t="str">
        <f t="shared" si="4"/>
        <v>0</v>
      </c>
      <c r="J38" s="35" t="str">
        <f t="shared" si="5"/>
        <v>0</v>
      </c>
      <c r="K38" s="35" t="str">
        <f t="shared" si="6"/>
        <v>0</v>
      </c>
      <c r="L38" s="92"/>
      <c r="M38" s="92"/>
      <c r="N38" s="92"/>
      <c r="O38" s="92"/>
      <c r="P38" s="92"/>
      <c r="Q38" s="92"/>
      <c r="R38" s="92"/>
    </row>
    <row r="39" spans="1:18" ht="41.45" customHeight="1" x14ac:dyDescent="0.25">
      <c r="C39" s="35"/>
      <c r="D39" s="35"/>
      <c r="E39" s="35">
        <f t="shared" si="0"/>
        <v>10.9</v>
      </c>
      <c r="F39" s="35">
        <f t="shared" si="1"/>
        <v>10.9</v>
      </c>
      <c r="G39" s="35" t="str">
        <f t="shared" si="2"/>
        <v>0</v>
      </c>
      <c r="H39" s="35" t="str">
        <f t="shared" si="3"/>
        <v>0</v>
      </c>
      <c r="I39" s="35" t="str">
        <f t="shared" si="4"/>
        <v>0</v>
      </c>
      <c r="J39" s="35">
        <f t="shared" si="5"/>
        <v>10.9</v>
      </c>
      <c r="K39" s="35" t="str">
        <f t="shared" si="6"/>
        <v>0</v>
      </c>
      <c r="L39" s="92"/>
      <c r="M39" s="92"/>
      <c r="N39" s="92"/>
      <c r="O39" s="92"/>
      <c r="P39" s="92"/>
      <c r="Q39" s="92"/>
      <c r="R39" s="92"/>
    </row>
    <row r="40" spans="1:18" ht="41.45" customHeight="1" x14ac:dyDescent="0.25">
      <c r="C40" s="35"/>
      <c r="D40" s="35"/>
      <c r="E40" s="35" t="str">
        <f t="shared" si="0"/>
        <v>0</v>
      </c>
      <c r="F40" s="35" t="str">
        <f t="shared" si="1"/>
        <v>0</v>
      </c>
      <c r="G40" s="35" t="str">
        <f t="shared" si="2"/>
        <v>0</v>
      </c>
      <c r="H40" s="35" t="str">
        <f t="shared" si="3"/>
        <v>0</v>
      </c>
      <c r="I40" s="35" t="str">
        <f t="shared" si="4"/>
        <v>0</v>
      </c>
      <c r="J40" s="35" t="str">
        <f t="shared" si="5"/>
        <v>0</v>
      </c>
      <c r="K40" s="35" t="str">
        <f t="shared" si="6"/>
        <v>0</v>
      </c>
      <c r="L40" s="92"/>
      <c r="M40" s="92"/>
      <c r="N40" s="92"/>
      <c r="O40" s="92"/>
      <c r="P40" s="92"/>
      <c r="Q40" s="92"/>
      <c r="R40" s="92"/>
    </row>
    <row r="41" spans="1:18" ht="41.45" customHeight="1" x14ac:dyDescent="0.25">
      <c r="C41" s="35"/>
      <c r="D41" s="35"/>
      <c r="E41" s="35">
        <f t="shared" si="0"/>
        <v>9.6</v>
      </c>
      <c r="F41" s="35" t="str">
        <f t="shared" si="1"/>
        <v>0</v>
      </c>
      <c r="G41" s="35" t="str">
        <f t="shared" si="2"/>
        <v>0</v>
      </c>
      <c r="H41" s="35" t="str">
        <f t="shared" si="3"/>
        <v>0</v>
      </c>
      <c r="I41" s="35">
        <f t="shared" si="4"/>
        <v>9.6</v>
      </c>
      <c r="J41" s="35" t="str">
        <f t="shared" si="5"/>
        <v>0</v>
      </c>
      <c r="K41" s="35" t="str">
        <f t="shared" si="6"/>
        <v>0</v>
      </c>
      <c r="L41" s="92"/>
      <c r="M41" s="92"/>
      <c r="N41" s="92"/>
      <c r="O41" s="92"/>
      <c r="P41" s="92"/>
      <c r="Q41" s="92"/>
      <c r="R41" s="92"/>
    </row>
    <row r="42" spans="1:18" ht="41.45" customHeight="1" x14ac:dyDescent="0.25">
      <c r="C42" s="35"/>
      <c r="D42" s="35"/>
      <c r="E42" s="35">
        <f t="shared" si="0"/>
        <v>7.2000000000000011</v>
      </c>
      <c r="F42" s="35" t="str">
        <f t="shared" si="1"/>
        <v>0</v>
      </c>
      <c r="G42" s="35" t="str">
        <f t="shared" si="2"/>
        <v>0</v>
      </c>
      <c r="H42" s="35" t="str">
        <f t="shared" si="3"/>
        <v>0</v>
      </c>
      <c r="I42" s="35">
        <f t="shared" si="4"/>
        <v>7.2000000000000011</v>
      </c>
      <c r="J42" s="35" t="str">
        <f t="shared" si="5"/>
        <v>0</v>
      </c>
      <c r="K42" s="35" t="str">
        <f t="shared" si="6"/>
        <v>0</v>
      </c>
      <c r="L42" s="92"/>
      <c r="M42" s="92"/>
      <c r="N42" s="92"/>
      <c r="O42" s="92"/>
      <c r="P42" s="92"/>
      <c r="Q42" s="92"/>
      <c r="R42" s="92"/>
    </row>
    <row r="43" spans="1:18" ht="41.45" customHeight="1" x14ac:dyDescent="0.25">
      <c r="C43" s="35"/>
      <c r="D43" s="35"/>
      <c r="E43" s="35">
        <f t="shared" si="0"/>
        <v>1.2199999999999989</v>
      </c>
      <c r="F43" s="35" t="str">
        <f t="shared" si="1"/>
        <v>0</v>
      </c>
      <c r="G43" s="35" t="str">
        <f t="shared" si="2"/>
        <v>0</v>
      </c>
      <c r="H43" s="35" t="str">
        <f t="shared" si="3"/>
        <v>0</v>
      </c>
      <c r="I43" s="35">
        <f t="shared" si="4"/>
        <v>1.2199999999999989</v>
      </c>
      <c r="J43" s="35" t="str">
        <f t="shared" si="5"/>
        <v>0</v>
      </c>
      <c r="K43" s="35" t="str">
        <f t="shared" si="6"/>
        <v>0</v>
      </c>
      <c r="L43" s="92"/>
      <c r="M43" s="92"/>
      <c r="N43" s="92"/>
      <c r="O43" s="92"/>
      <c r="P43" s="92"/>
      <c r="Q43" s="92"/>
      <c r="R43" s="92"/>
    </row>
    <row r="44" spans="1:18" ht="41.45" customHeight="1" x14ac:dyDescent="0.25">
      <c r="C44" s="35"/>
      <c r="D44" s="35"/>
      <c r="E44" s="35" t="str">
        <f t="shared" si="0"/>
        <v>0</v>
      </c>
      <c r="F44" s="35" t="str">
        <f t="shared" si="1"/>
        <v>0</v>
      </c>
      <c r="G44" s="35" t="str">
        <f t="shared" si="2"/>
        <v>0</v>
      </c>
      <c r="H44" s="35" t="str">
        <f t="shared" si="3"/>
        <v>0</v>
      </c>
      <c r="I44" s="35" t="str">
        <f t="shared" si="4"/>
        <v>0</v>
      </c>
      <c r="J44" s="35" t="str">
        <f t="shared" si="5"/>
        <v>0</v>
      </c>
      <c r="K44" s="35" t="str">
        <f t="shared" si="6"/>
        <v>0</v>
      </c>
      <c r="L44" s="92"/>
      <c r="M44" s="92"/>
      <c r="N44" s="92"/>
      <c r="O44" s="92"/>
      <c r="P44" s="92"/>
      <c r="Q44" s="92"/>
      <c r="R44" s="92"/>
    </row>
    <row r="45" spans="1:18" ht="41.45" customHeight="1" x14ac:dyDescent="0.25">
      <c r="C45" s="35"/>
      <c r="D45" s="35"/>
      <c r="E45" s="35">
        <f t="shared" si="0"/>
        <v>7.5</v>
      </c>
      <c r="F45" s="35" t="str">
        <f t="shared" si="1"/>
        <v>0</v>
      </c>
      <c r="G45" s="35" t="str">
        <f t="shared" si="2"/>
        <v>0</v>
      </c>
      <c r="H45" s="35" t="str">
        <f t="shared" si="3"/>
        <v>0</v>
      </c>
      <c r="I45" s="35" t="str">
        <f t="shared" si="4"/>
        <v>0</v>
      </c>
      <c r="J45" s="35" t="str">
        <f t="shared" si="5"/>
        <v>0</v>
      </c>
      <c r="K45" s="35">
        <f t="shared" si="6"/>
        <v>7.5</v>
      </c>
      <c r="L45" s="92"/>
      <c r="M45" s="92"/>
      <c r="N45" s="92"/>
      <c r="O45" s="92"/>
      <c r="P45" s="92"/>
      <c r="Q45" s="92"/>
      <c r="R45" s="92"/>
    </row>
    <row r="46" spans="1:18" ht="41.45" customHeight="1" x14ac:dyDescent="0.25">
      <c r="C46" s="35"/>
      <c r="D46" s="35"/>
      <c r="E46" s="35">
        <f t="shared" si="0"/>
        <v>6.8000000000000007</v>
      </c>
      <c r="F46" s="35" t="str">
        <f t="shared" si="1"/>
        <v>0</v>
      </c>
      <c r="G46" s="35" t="str">
        <f t="shared" si="2"/>
        <v>0</v>
      </c>
      <c r="H46" s="35" t="str">
        <f t="shared" si="3"/>
        <v>0</v>
      </c>
      <c r="I46" s="35">
        <f t="shared" si="4"/>
        <v>6.8000000000000007</v>
      </c>
      <c r="J46" s="35" t="str">
        <f t="shared" si="5"/>
        <v>0</v>
      </c>
      <c r="K46" s="35" t="str">
        <f t="shared" si="6"/>
        <v>0</v>
      </c>
      <c r="L46" s="92"/>
      <c r="M46" s="92"/>
      <c r="N46" s="92"/>
      <c r="O46" s="92"/>
      <c r="P46" s="92"/>
      <c r="Q46" s="92"/>
      <c r="R46" s="92"/>
    </row>
    <row r="47" spans="1:18" ht="41.45" customHeight="1" x14ac:dyDescent="0.25">
      <c r="C47" s="35"/>
      <c r="D47" s="35"/>
      <c r="E47" s="35">
        <f t="shared" si="0"/>
        <v>9.7100000000000009</v>
      </c>
      <c r="F47" s="35" t="str">
        <f t="shared" si="1"/>
        <v>0</v>
      </c>
      <c r="G47" s="35" t="str">
        <f t="shared" si="2"/>
        <v>0</v>
      </c>
      <c r="H47" s="35" t="str">
        <f t="shared" si="3"/>
        <v>0</v>
      </c>
      <c r="I47" s="35" t="str">
        <f t="shared" si="4"/>
        <v>0</v>
      </c>
      <c r="J47" s="35" t="str">
        <f t="shared" si="5"/>
        <v>0</v>
      </c>
      <c r="K47" s="35">
        <f t="shared" si="6"/>
        <v>9.7100000000000009</v>
      </c>
      <c r="L47" s="92"/>
      <c r="M47" s="92"/>
      <c r="N47" s="92"/>
      <c r="O47" s="92"/>
      <c r="P47" s="92"/>
      <c r="Q47" s="92"/>
      <c r="R47" s="92"/>
    </row>
    <row r="48" spans="1:18" ht="41.45" customHeight="1" x14ac:dyDescent="0.25">
      <c r="C48" s="35"/>
      <c r="D48" s="35"/>
      <c r="E48" s="35" t="str">
        <f t="shared" si="0"/>
        <v>0</v>
      </c>
      <c r="F48" s="35" t="str">
        <f t="shared" si="1"/>
        <v>0</v>
      </c>
      <c r="G48" s="35" t="str">
        <f t="shared" si="2"/>
        <v>0</v>
      </c>
      <c r="H48" s="35" t="str">
        <f t="shared" si="3"/>
        <v>0</v>
      </c>
      <c r="I48" s="35" t="str">
        <f t="shared" si="4"/>
        <v>0</v>
      </c>
      <c r="J48" s="35" t="str">
        <f t="shared" si="5"/>
        <v>0</v>
      </c>
      <c r="K48" s="35" t="str">
        <f t="shared" si="6"/>
        <v>0</v>
      </c>
      <c r="L48" s="92"/>
      <c r="M48" s="92"/>
      <c r="N48" s="92"/>
      <c r="O48" s="92"/>
      <c r="P48" s="92"/>
      <c r="Q48" s="92"/>
      <c r="R48" s="92"/>
    </row>
    <row r="49" spans="3:18" ht="41.45" customHeight="1" x14ac:dyDescent="0.25">
      <c r="C49" s="35"/>
      <c r="D49" s="35"/>
      <c r="E49" s="35">
        <f t="shared" si="0"/>
        <v>15</v>
      </c>
      <c r="F49" s="35" t="str">
        <f t="shared" si="1"/>
        <v>0</v>
      </c>
      <c r="G49" s="35" t="str">
        <f t="shared" si="2"/>
        <v>0</v>
      </c>
      <c r="H49" s="35" t="str">
        <f t="shared" si="3"/>
        <v>0</v>
      </c>
      <c r="I49" s="35">
        <f t="shared" si="4"/>
        <v>15</v>
      </c>
      <c r="J49" s="35" t="str">
        <f t="shared" si="5"/>
        <v>0</v>
      </c>
      <c r="K49" s="35" t="str">
        <f t="shared" si="6"/>
        <v>0</v>
      </c>
      <c r="L49" s="92"/>
      <c r="M49" s="92"/>
      <c r="N49" s="92"/>
      <c r="O49" s="92"/>
      <c r="P49" s="92"/>
      <c r="Q49" s="92"/>
      <c r="R49" s="92"/>
    </row>
    <row r="50" spans="3:18" ht="41.45" customHeight="1" x14ac:dyDescent="0.25">
      <c r="C50" s="35"/>
      <c r="D50" s="35"/>
      <c r="E50" s="35">
        <f t="shared" si="0"/>
        <v>9.6999999999999993</v>
      </c>
      <c r="F50" s="35" t="str">
        <f t="shared" si="1"/>
        <v>0</v>
      </c>
      <c r="G50" s="35" t="str">
        <f t="shared" si="2"/>
        <v>0</v>
      </c>
      <c r="H50" s="35" t="str">
        <f t="shared" si="3"/>
        <v>0</v>
      </c>
      <c r="I50" s="35" t="str">
        <f t="shared" si="4"/>
        <v>0</v>
      </c>
      <c r="J50" s="35" t="str">
        <f t="shared" si="5"/>
        <v>0</v>
      </c>
      <c r="K50" s="35">
        <f t="shared" si="6"/>
        <v>9.6999999999999993</v>
      </c>
      <c r="L50" s="92"/>
      <c r="M50" s="92"/>
      <c r="N50" s="92"/>
      <c r="O50" s="92"/>
      <c r="P50" s="92"/>
      <c r="Q50" s="92"/>
      <c r="R50" s="92"/>
    </row>
    <row r="51" spans="3:18" ht="41.45" customHeight="1" x14ac:dyDescent="0.25">
      <c r="C51" s="35"/>
      <c r="D51" s="35"/>
      <c r="E51" s="35" t="str">
        <f t="shared" si="0"/>
        <v>0</v>
      </c>
      <c r="F51" s="35" t="str">
        <f t="shared" si="1"/>
        <v>0</v>
      </c>
      <c r="G51" s="35" t="str">
        <f t="shared" si="2"/>
        <v>0</v>
      </c>
      <c r="H51" s="35" t="str">
        <f t="shared" si="3"/>
        <v>0</v>
      </c>
      <c r="I51" s="35" t="str">
        <f t="shared" si="4"/>
        <v>0</v>
      </c>
      <c r="J51" s="35" t="str">
        <f t="shared" si="5"/>
        <v>0</v>
      </c>
      <c r="K51" s="35" t="str">
        <f t="shared" si="6"/>
        <v>0</v>
      </c>
      <c r="L51" s="92"/>
      <c r="M51" s="92"/>
      <c r="N51" s="92"/>
      <c r="O51" s="92"/>
      <c r="P51" s="92"/>
      <c r="Q51" s="92"/>
      <c r="R51" s="92"/>
    </row>
    <row r="52" spans="3:18" ht="41.45" customHeight="1" x14ac:dyDescent="0.25">
      <c r="C52" s="35"/>
      <c r="D52" s="35"/>
      <c r="E52" s="35" t="str">
        <f t="shared" si="0"/>
        <v>0</v>
      </c>
      <c r="F52" s="35" t="str">
        <f t="shared" si="1"/>
        <v>0</v>
      </c>
      <c r="G52" s="35" t="str">
        <f t="shared" si="2"/>
        <v>0</v>
      </c>
      <c r="H52" s="35" t="str">
        <f t="shared" si="3"/>
        <v>0</v>
      </c>
      <c r="I52" s="35" t="str">
        <f t="shared" si="4"/>
        <v>0</v>
      </c>
      <c r="J52" s="35" t="str">
        <f t="shared" si="5"/>
        <v>0</v>
      </c>
      <c r="K52" s="35" t="str">
        <f t="shared" si="6"/>
        <v>0</v>
      </c>
      <c r="L52" s="92"/>
      <c r="M52" s="92"/>
      <c r="N52" s="92"/>
      <c r="O52" s="92"/>
      <c r="P52" s="92"/>
      <c r="Q52" s="92"/>
      <c r="R52" s="92"/>
    </row>
    <row r="53" spans="3:18" ht="41.45" customHeight="1" x14ac:dyDescent="0.25">
      <c r="C53" s="35"/>
      <c r="D53" s="35"/>
      <c r="E53" s="35" t="str">
        <f t="shared" si="0"/>
        <v>0</v>
      </c>
      <c r="F53" s="35" t="str">
        <f t="shared" si="1"/>
        <v>0</v>
      </c>
      <c r="G53" s="35" t="str">
        <f t="shared" si="2"/>
        <v>0</v>
      </c>
      <c r="H53" s="35" t="str">
        <f t="shared" si="3"/>
        <v>0</v>
      </c>
      <c r="I53" s="35" t="str">
        <f t="shared" si="4"/>
        <v>0</v>
      </c>
      <c r="J53" s="35" t="str">
        <f t="shared" si="5"/>
        <v>0</v>
      </c>
      <c r="K53" s="35" t="str">
        <f t="shared" si="6"/>
        <v>0</v>
      </c>
      <c r="L53" s="92"/>
      <c r="M53" s="92"/>
      <c r="N53" s="92"/>
      <c r="O53" s="92"/>
      <c r="P53" s="92"/>
      <c r="Q53" s="92"/>
      <c r="R53" s="92"/>
    </row>
    <row r="54" spans="3:18" ht="41.45" customHeight="1" x14ac:dyDescent="0.25">
      <c r="C54" s="35"/>
      <c r="D54" s="35"/>
      <c r="E54" s="35" t="str">
        <f t="shared" si="0"/>
        <v>0</v>
      </c>
      <c r="F54" s="35" t="str">
        <f t="shared" si="1"/>
        <v>0</v>
      </c>
      <c r="G54" s="35" t="str">
        <f t="shared" si="2"/>
        <v>0</v>
      </c>
      <c r="H54" s="35" t="str">
        <f t="shared" si="3"/>
        <v>0</v>
      </c>
      <c r="I54" s="35" t="str">
        <f t="shared" si="4"/>
        <v>0</v>
      </c>
      <c r="J54" s="35" t="str">
        <f t="shared" si="5"/>
        <v>0</v>
      </c>
      <c r="K54" s="35" t="str">
        <f t="shared" si="6"/>
        <v>0</v>
      </c>
      <c r="L54" s="92"/>
      <c r="M54" s="92"/>
      <c r="N54" s="92"/>
      <c r="O54" s="92"/>
      <c r="P54" s="92"/>
      <c r="Q54" s="92"/>
      <c r="R54" s="92"/>
    </row>
    <row r="55" spans="3:18" ht="41.45" customHeight="1" x14ac:dyDescent="0.25">
      <c r="C55" s="35"/>
      <c r="D55" s="35"/>
      <c r="E55" s="35" t="str">
        <f t="shared" si="0"/>
        <v>0</v>
      </c>
      <c r="F55" s="35" t="str">
        <f t="shared" si="1"/>
        <v>0</v>
      </c>
      <c r="G55" s="35" t="str">
        <f t="shared" si="2"/>
        <v>0</v>
      </c>
      <c r="H55" s="35" t="str">
        <f t="shared" si="3"/>
        <v>0</v>
      </c>
      <c r="I55" s="35" t="str">
        <f t="shared" si="4"/>
        <v>0</v>
      </c>
      <c r="J55" s="35" t="str">
        <f t="shared" si="5"/>
        <v>0</v>
      </c>
      <c r="K55" s="35" t="str">
        <f t="shared" si="6"/>
        <v>0</v>
      </c>
      <c r="L55" s="92"/>
      <c r="M55" s="92"/>
      <c r="N55" s="92"/>
      <c r="O55" s="92"/>
      <c r="P55" s="92"/>
      <c r="Q55" s="92"/>
      <c r="R55" s="92"/>
    </row>
    <row r="56" spans="3:18" ht="41.45" customHeight="1" x14ac:dyDescent="0.25">
      <c r="C56" s="35"/>
      <c r="D56" s="35"/>
      <c r="E56" s="35" t="str">
        <f t="shared" si="0"/>
        <v>0</v>
      </c>
      <c r="F56" s="35" t="str">
        <f t="shared" si="1"/>
        <v>0</v>
      </c>
      <c r="G56" s="35" t="str">
        <f t="shared" si="2"/>
        <v>0</v>
      </c>
      <c r="H56" s="35" t="str">
        <f t="shared" si="3"/>
        <v>0</v>
      </c>
      <c r="I56" s="35" t="str">
        <f t="shared" si="4"/>
        <v>0</v>
      </c>
      <c r="J56" s="35" t="str">
        <f t="shared" si="5"/>
        <v>0</v>
      </c>
      <c r="K56" s="35" t="str">
        <f t="shared" si="6"/>
        <v>0</v>
      </c>
      <c r="L56" s="92"/>
      <c r="M56" s="92"/>
      <c r="N56" s="92"/>
      <c r="O56" s="92"/>
      <c r="P56" s="92"/>
      <c r="Q56" s="92"/>
      <c r="R56" s="92"/>
    </row>
    <row r="57" spans="3:18" ht="41.45" customHeight="1" x14ac:dyDescent="0.25">
      <c r="C57" s="35"/>
      <c r="D57" s="35"/>
      <c r="E57" s="35" t="str">
        <f t="shared" si="0"/>
        <v>0</v>
      </c>
      <c r="F57" s="35" t="str">
        <f t="shared" si="1"/>
        <v>0</v>
      </c>
      <c r="G57" s="35" t="str">
        <f t="shared" si="2"/>
        <v>0</v>
      </c>
      <c r="H57" s="35" t="str">
        <f t="shared" si="3"/>
        <v>0</v>
      </c>
      <c r="I57" s="35" t="str">
        <f t="shared" si="4"/>
        <v>0</v>
      </c>
      <c r="J57" s="35" t="str">
        <f t="shared" si="5"/>
        <v>0</v>
      </c>
      <c r="K57" s="35" t="str">
        <f t="shared" si="6"/>
        <v>0</v>
      </c>
      <c r="L57" s="92"/>
      <c r="M57" s="92"/>
      <c r="N57" s="92"/>
      <c r="O57" s="92"/>
      <c r="P57" s="92"/>
      <c r="Q57" s="92"/>
      <c r="R57" s="92"/>
    </row>
    <row r="58" spans="3:18" ht="41.45" customHeight="1" x14ac:dyDescent="0.25">
      <c r="C58" s="35"/>
      <c r="D58" s="35"/>
      <c r="E58" s="35" t="str">
        <f t="shared" si="0"/>
        <v>0</v>
      </c>
      <c r="F58" s="35" t="str">
        <f t="shared" si="1"/>
        <v>0</v>
      </c>
      <c r="G58" s="35" t="str">
        <f t="shared" si="2"/>
        <v>0</v>
      </c>
      <c r="H58" s="35" t="str">
        <f t="shared" si="3"/>
        <v>0</v>
      </c>
      <c r="I58" s="35" t="str">
        <f t="shared" si="4"/>
        <v>0</v>
      </c>
      <c r="J58" s="35" t="str">
        <f t="shared" si="5"/>
        <v>0</v>
      </c>
      <c r="K58" s="35" t="str">
        <f t="shared" si="6"/>
        <v>0</v>
      </c>
      <c r="L58" s="92"/>
      <c r="M58" s="92"/>
      <c r="N58" s="92"/>
      <c r="O58" s="92"/>
      <c r="P58" s="92"/>
      <c r="Q58" s="92"/>
      <c r="R58" s="92"/>
    </row>
    <row r="59" spans="3:18" ht="41.45" customHeight="1" x14ac:dyDescent="0.25">
      <c r="C59" s="35"/>
      <c r="D59" s="35"/>
      <c r="E59" s="35" t="str">
        <f t="shared" si="0"/>
        <v>0</v>
      </c>
      <c r="F59" s="35" t="str">
        <f t="shared" si="1"/>
        <v>0</v>
      </c>
      <c r="G59" s="35" t="str">
        <f t="shared" si="2"/>
        <v>0</v>
      </c>
      <c r="H59" s="35" t="str">
        <f t="shared" si="3"/>
        <v>0</v>
      </c>
      <c r="I59" s="35" t="str">
        <f t="shared" si="4"/>
        <v>0</v>
      </c>
      <c r="J59" s="35" t="str">
        <f t="shared" si="5"/>
        <v>0</v>
      </c>
      <c r="K59" s="35" t="str">
        <f t="shared" si="6"/>
        <v>0</v>
      </c>
      <c r="L59" s="92"/>
      <c r="M59" s="92"/>
      <c r="N59" s="92"/>
      <c r="O59" s="92"/>
      <c r="P59" s="92"/>
      <c r="Q59" s="92"/>
      <c r="R59" s="92"/>
    </row>
    <row r="60" spans="3:18" ht="41.45" customHeight="1" x14ac:dyDescent="0.25">
      <c r="C60" s="35"/>
      <c r="D60" s="35"/>
      <c r="E60" s="35" t="str">
        <f t="shared" si="0"/>
        <v>0</v>
      </c>
      <c r="F60" s="35" t="str">
        <f t="shared" si="1"/>
        <v>0</v>
      </c>
      <c r="G60" s="35" t="str">
        <f t="shared" si="2"/>
        <v>0</v>
      </c>
      <c r="H60" s="35" t="str">
        <f t="shared" si="3"/>
        <v>0</v>
      </c>
      <c r="I60" s="35" t="str">
        <f t="shared" si="4"/>
        <v>0</v>
      </c>
      <c r="J60" s="35" t="str">
        <f t="shared" si="5"/>
        <v>0</v>
      </c>
      <c r="K60" s="35" t="str">
        <f t="shared" si="6"/>
        <v>0</v>
      </c>
      <c r="L60" s="92"/>
      <c r="M60" s="92"/>
      <c r="N60" s="92"/>
      <c r="O60" s="92"/>
      <c r="P60" s="92"/>
      <c r="Q60" s="92"/>
      <c r="R60" s="92"/>
    </row>
    <row r="61" spans="3:18" ht="41.45" customHeight="1" x14ac:dyDescent="0.25">
      <c r="C61" s="35"/>
      <c r="D61" s="35"/>
      <c r="E61" s="35" t="str">
        <f t="shared" si="0"/>
        <v>0</v>
      </c>
      <c r="F61" s="35" t="str">
        <f t="shared" si="1"/>
        <v>0</v>
      </c>
      <c r="G61" s="35" t="str">
        <f t="shared" si="2"/>
        <v>0</v>
      </c>
      <c r="H61" s="35" t="str">
        <f t="shared" si="3"/>
        <v>0</v>
      </c>
      <c r="I61" s="35" t="str">
        <f t="shared" si="4"/>
        <v>0</v>
      </c>
      <c r="J61" s="35" t="str">
        <f t="shared" si="5"/>
        <v>0</v>
      </c>
      <c r="K61" s="35" t="str">
        <f t="shared" si="6"/>
        <v>0</v>
      </c>
      <c r="L61" s="92"/>
      <c r="M61" s="92"/>
      <c r="N61" s="92"/>
      <c r="O61" s="92"/>
      <c r="P61" s="92"/>
      <c r="Q61" s="92"/>
      <c r="R61" s="92"/>
    </row>
    <row r="62" spans="3:18" ht="41.45" customHeight="1" x14ac:dyDescent="0.25">
      <c r="C62" s="35"/>
      <c r="D62" s="35"/>
      <c r="E62" s="35">
        <f>SUM(E36:E61)</f>
        <v>88.27</v>
      </c>
      <c r="F62" s="35">
        <f t="shared" ref="F62:K62" si="7">SUM(F36:F61)</f>
        <v>21.700000000000003</v>
      </c>
      <c r="G62" s="35">
        <f t="shared" si="7"/>
        <v>0</v>
      </c>
      <c r="H62" s="35">
        <f t="shared" si="7"/>
        <v>0</v>
      </c>
      <c r="I62" s="35">
        <f t="shared" si="7"/>
        <v>61.260000000000005</v>
      </c>
      <c r="J62" s="35">
        <f t="shared" si="7"/>
        <v>10.9</v>
      </c>
      <c r="K62" s="35">
        <f t="shared" si="7"/>
        <v>26.91</v>
      </c>
      <c r="L62" s="92"/>
      <c r="M62" s="92"/>
      <c r="N62" s="92"/>
      <c r="O62" s="92"/>
      <c r="P62" s="92"/>
      <c r="Q62" s="92"/>
      <c r="R62" s="92"/>
    </row>
    <row r="63" spans="3:18" ht="41.45" customHeight="1" x14ac:dyDescent="0.25">
      <c r="C63" s="35"/>
      <c r="D63" s="35"/>
      <c r="E63" s="35"/>
      <c r="F63" s="31"/>
      <c r="G63" s="31"/>
      <c r="H63" s="31"/>
      <c r="I63" s="31"/>
      <c r="J63" s="31"/>
      <c r="K63" s="31"/>
      <c r="L63" s="92"/>
      <c r="M63" s="92"/>
      <c r="N63" s="92"/>
      <c r="O63" s="92"/>
      <c r="P63" s="92"/>
      <c r="Q63" s="92"/>
      <c r="R63" s="92"/>
    </row>
    <row r="64" spans="3:18" ht="41.45" customHeight="1" x14ac:dyDescent="0.25">
      <c r="C64" s="35"/>
      <c r="D64" s="35"/>
      <c r="E64" s="35"/>
      <c r="F64" s="31"/>
      <c r="G64" s="31"/>
      <c r="H64" s="31"/>
      <c r="I64" s="31"/>
      <c r="J64" s="31"/>
      <c r="K64" s="31"/>
      <c r="L64" s="92"/>
      <c r="M64" s="92"/>
      <c r="N64" s="92"/>
      <c r="O64" s="92"/>
      <c r="P64" s="92"/>
      <c r="Q64" s="92"/>
      <c r="R64" s="92"/>
    </row>
    <row r="65" spans="3:18" ht="41.45" customHeight="1" x14ac:dyDescent="0.25">
      <c r="C65" s="35"/>
      <c r="D65" s="35"/>
      <c r="E65" s="35"/>
      <c r="F65" s="31"/>
      <c r="G65" s="31"/>
      <c r="H65" s="31"/>
      <c r="I65" s="31"/>
      <c r="J65" s="31"/>
      <c r="K65" s="31"/>
      <c r="L65" s="92"/>
      <c r="M65" s="92"/>
      <c r="N65" s="92"/>
      <c r="O65" s="92"/>
      <c r="P65" s="92"/>
      <c r="Q65" s="92"/>
      <c r="R65" s="92"/>
    </row>
    <row r="66" spans="3:18" ht="41.45" customHeight="1" x14ac:dyDescent="0.25">
      <c r="C66" s="35"/>
      <c r="D66" s="35"/>
      <c r="E66" s="35"/>
      <c r="F66" s="31"/>
      <c r="G66" s="31"/>
      <c r="H66" s="31"/>
      <c r="I66" s="31"/>
      <c r="J66" s="31"/>
      <c r="K66" s="31"/>
      <c r="L66" s="92"/>
      <c r="M66" s="92"/>
      <c r="N66" s="92"/>
      <c r="O66" s="92"/>
      <c r="P66" s="92"/>
      <c r="Q66" s="92"/>
      <c r="R66" s="92"/>
    </row>
    <row r="67" spans="3:18" ht="41.45" customHeight="1" x14ac:dyDescent="0.25">
      <c r="C67" s="35"/>
      <c r="D67" s="35"/>
      <c r="E67" s="35"/>
      <c r="F67" s="31"/>
      <c r="G67" s="31"/>
      <c r="H67" s="31"/>
      <c r="I67" s="31"/>
      <c r="J67" s="31"/>
      <c r="K67" s="31"/>
      <c r="L67" s="92"/>
      <c r="M67" s="92"/>
      <c r="N67" s="92"/>
      <c r="O67" s="92"/>
      <c r="P67" s="92"/>
      <c r="Q67" s="92"/>
      <c r="R67" s="92"/>
    </row>
    <row r="68" spans="3:18" ht="41.45" customHeight="1" x14ac:dyDescent="0.25">
      <c r="C68" s="35"/>
      <c r="D68" s="35"/>
      <c r="E68" s="35"/>
      <c r="F68" s="31"/>
      <c r="G68" s="31"/>
      <c r="H68" s="31"/>
      <c r="I68" s="31"/>
      <c r="J68" s="31"/>
      <c r="K68" s="31"/>
      <c r="L68" s="92"/>
      <c r="M68" s="92"/>
      <c r="N68" s="92"/>
      <c r="O68" s="92"/>
      <c r="P68" s="92"/>
      <c r="Q68" s="92"/>
      <c r="R68" s="92"/>
    </row>
  </sheetData>
  <mergeCells count="73">
    <mergeCell ref="A5:A6"/>
    <mergeCell ref="B5:B6"/>
    <mergeCell ref="C5:C6"/>
    <mergeCell ref="D5:D6"/>
    <mergeCell ref="E5:H5"/>
    <mergeCell ref="L11:R11"/>
    <mergeCell ref="I1:I2"/>
    <mergeCell ref="J1:J2"/>
    <mergeCell ref="L1:M2"/>
    <mergeCell ref="N1:R2"/>
    <mergeCell ref="I5:K5"/>
    <mergeCell ref="L5:R6"/>
    <mergeCell ref="L7:R7"/>
    <mergeCell ref="L8:R8"/>
    <mergeCell ref="L9:R9"/>
    <mergeCell ref="L10:R10"/>
    <mergeCell ref="L23:R23"/>
    <mergeCell ref="L12:R12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35:R35"/>
    <mergeCell ref="L24:R24"/>
    <mergeCell ref="L25:R25"/>
    <mergeCell ref="L26:R26"/>
    <mergeCell ref="L27:R27"/>
    <mergeCell ref="L28:R28"/>
    <mergeCell ref="L29:R29"/>
    <mergeCell ref="L30:R30"/>
    <mergeCell ref="L31:R31"/>
    <mergeCell ref="L32:R32"/>
    <mergeCell ref="L33:R33"/>
    <mergeCell ref="L34:R34"/>
    <mergeCell ref="L47:R47"/>
    <mergeCell ref="L36:R36"/>
    <mergeCell ref="L37:R37"/>
    <mergeCell ref="L38:R38"/>
    <mergeCell ref="L39:R39"/>
    <mergeCell ref="L40:R40"/>
    <mergeCell ref="L41:R41"/>
    <mergeCell ref="L42:R42"/>
    <mergeCell ref="L43:R43"/>
    <mergeCell ref="L44:R44"/>
    <mergeCell ref="L45:R45"/>
    <mergeCell ref="L46:R46"/>
    <mergeCell ref="L59:R59"/>
    <mergeCell ref="L48:R48"/>
    <mergeCell ref="L49:R49"/>
    <mergeCell ref="L50:R50"/>
    <mergeCell ref="L51:R51"/>
    <mergeCell ref="L52:R52"/>
    <mergeCell ref="L53:R53"/>
    <mergeCell ref="L54:R54"/>
    <mergeCell ref="L55:R55"/>
    <mergeCell ref="L56:R56"/>
    <mergeCell ref="L57:R57"/>
    <mergeCell ref="L58:R58"/>
    <mergeCell ref="L66:R66"/>
    <mergeCell ref="L67:R67"/>
    <mergeCell ref="L68:R68"/>
    <mergeCell ref="L60:R60"/>
    <mergeCell ref="L61:R61"/>
    <mergeCell ref="L62:R62"/>
    <mergeCell ref="L63:R63"/>
    <mergeCell ref="L64:R64"/>
    <mergeCell ref="L65:R65"/>
  </mergeCells>
  <pageMargins left="0.51181102362204722" right="0.51181102362204722" top="0.78740157480314965" bottom="0.78740157480314965" header="0.31496062992125984" footer="0.31496062992125984"/>
  <pageSetup paperSize="9" scale="33" orientation="landscape" horizontalDpi="1200" verticalDpi="1200" r:id="rId1"/>
  <colBreaks count="1" manualBreakCount="1">
    <brk id="18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2EFEA-3C25-4ABF-BDEF-420698F17526}">
  <sheetPr>
    <pageSetUpPr fitToPage="1"/>
  </sheetPr>
  <dimension ref="A1:R68"/>
  <sheetViews>
    <sheetView view="pageBreakPreview" zoomScale="55" zoomScaleNormal="10" zoomScaleSheetLayoutView="55" workbookViewId="0">
      <selection activeCell="G20" sqref="G20"/>
    </sheetView>
  </sheetViews>
  <sheetFormatPr defaultColWidth="8.85546875" defaultRowHeight="15" x14ac:dyDescent="0.25"/>
  <cols>
    <col min="1" max="1" width="33.28515625" style="1" customWidth="1"/>
    <col min="2" max="2" width="17.140625" style="1" customWidth="1"/>
    <col min="3" max="4" width="13.42578125" style="1" customWidth="1"/>
    <col min="5" max="5" width="26.5703125" style="2" customWidth="1"/>
    <col min="6" max="6" width="30.140625" style="2" customWidth="1"/>
    <col min="7" max="7" width="26.5703125" style="2" customWidth="1"/>
    <col min="8" max="8" width="33.140625" style="2" customWidth="1"/>
    <col min="9" max="11" width="32" style="2" customWidth="1"/>
    <col min="12" max="14" width="14.42578125" style="1" customWidth="1"/>
    <col min="15" max="17" width="14.7109375" style="1" customWidth="1"/>
    <col min="18" max="18" width="37.42578125" style="1" customWidth="1"/>
    <col min="19" max="16384" width="8.85546875" style="1"/>
  </cols>
  <sheetData>
    <row r="1" spans="1:18" ht="19.5" x14ac:dyDescent="0.3">
      <c r="A1" s="9" t="s">
        <v>0</v>
      </c>
      <c r="B1" s="10"/>
      <c r="C1" s="10"/>
      <c r="D1" s="10"/>
      <c r="E1" s="11"/>
      <c r="F1" s="12"/>
      <c r="G1" s="11"/>
      <c r="H1" s="11"/>
      <c r="I1" s="98" t="s">
        <v>3</v>
      </c>
      <c r="J1" s="120">
        <f>'245'!J1</f>
        <v>46204</v>
      </c>
      <c r="K1" s="11"/>
      <c r="L1" s="102" t="s">
        <v>4</v>
      </c>
      <c r="M1" s="102"/>
      <c r="N1" s="104" t="str">
        <f>'245'!N1</f>
        <v>ENG. THIAGO TORQUATO</v>
      </c>
      <c r="O1" s="104"/>
      <c r="P1" s="104"/>
      <c r="Q1" s="104"/>
      <c r="R1" s="105"/>
    </row>
    <row r="2" spans="1:18" ht="20.25" thickBot="1" x14ac:dyDescent="0.35">
      <c r="A2" s="13"/>
      <c r="B2" s="14"/>
      <c r="C2" s="14"/>
      <c r="D2" s="14"/>
      <c r="E2" s="15"/>
      <c r="F2" s="16" t="s">
        <v>9</v>
      </c>
      <c r="G2" s="15"/>
      <c r="H2" s="15"/>
      <c r="I2" s="99"/>
      <c r="J2" s="121"/>
      <c r="K2" s="16"/>
      <c r="L2" s="103"/>
      <c r="M2" s="103"/>
      <c r="N2" s="106"/>
      <c r="O2" s="106"/>
      <c r="P2" s="106"/>
      <c r="Q2" s="106"/>
      <c r="R2" s="107"/>
    </row>
    <row r="3" spans="1:18" ht="25.5" x14ac:dyDescent="0.35">
      <c r="A3" s="13" t="s">
        <v>21</v>
      </c>
      <c r="B3" s="45" t="str">
        <f>TT!C15</f>
        <v>RODOVIA TO-487 - TRECHO ENTR. TO-485 (MIMOSA DOS MARINS) - ENTR. BR-242</v>
      </c>
      <c r="C3" s="14"/>
      <c r="D3" s="14"/>
      <c r="E3" s="15"/>
      <c r="F3" s="15"/>
      <c r="G3" s="15"/>
      <c r="H3" s="15"/>
      <c r="I3" s="47" t="s">
        <v>107</v>
      </c>
      <c r="J3" s="47">
        <v>13</v>
      </c>
      <c r="K3" s="15"/>
      <c r="L3" s="14"/>
      <c r="M3" s="14"/>
      <c r="N3" s="14"/>
      <c r="O3" s="14"/>
      <c r="P3" s="14"/>
      <c r="Q3" s="14"/>
      <c r="R3" s="17"/>
    </row>
    <row r="4" spans="1:18" ht="19.899999999999999" thickBot="1" x14ac:dyDescent="0.4">
      <c r="A4" s="18"/>
      <c r="B4" s="14"/>
      <c r="C4" s="14"/>
      <c r="D4" s="14"/>
      <c r="E4" s="15"/>
      <c r="F4" s="15"/>
      <c r="G4" s="15"/>
      <c r="H4" s="15"/>
      <c r="I4" s="15"/>
      <c r="J4" s="15"/>
      <c r="K4" s="15"/>
      <c r="L4" s="14"/>
      <c r="M4" s="14"/>
      <c r="N4" s="14"/>
      <c r="O4" s="14"/>
      <c r="P4" s="14"/>
      <c r="Q4" s="14"/>
      <c r="R4" s="17"/>
    </row>
    <row r="5" spans="1:18" s="5" customFormat="1" ht="54" customHeight="1" x14ac:dyDescent="0.25">
      <c r="A5" s="112" t="s">
        <v>1</v>
      </c>
      <c r="B5" s="108" t="s">
        <v>7</v>
      </c>
      <c r="C5" s="114" t="s">
        <v>5</v>
      </c>
      <c r="D5" s="114" t="s">
        <v>6</v>
      </c>
      <c r="E5" s="108" t="s">
        <v>10</v>
      </c>
      <c r="F5" s="108"/>
      <c r="G5" s="108"/>
      <c r="H5" s="108"/>
      <c r="I5" s="108" t="s">
        <v>11</v>
      </c>
      <c r="J5" s="108"/>
      <c r="K5" s="108"/>
      <c r="L5" s="108" t="s">
        <v>8</v>
      </c>
      <c r="M5" s="108"/>
      <c r="N5" s="108"/>
      <c r="O5" s="108"/>
      <c r="P5" s="108"/>
      <c r="Q5" s="108"/>
      <c r="R5" s="109"/>
    </row>
    <row r="6" spans="1:18" s="6" customFormat="1" ht="79.150000000000006" customHeight="1" x14ac:dyDescent="0.25">
      <c r="A6" s="113"/>
      <c r="B6" s="110"/>
      <c r="C6" s="110"/>
      <c r="D6" s="110"/>
      <c r="E6" s="7" t="s">
        <v>2</v>
      </c>
      <c r="F6" s="8" t="s">
        <v>15</v>
      </c>
      <c r="G6" s="8" t="s">
        <v>16</v>
      </c>
      <c r="H6" s="8" t="s">
        <v>17</v>
      </c>
      <c r="I6" s="7" t="s">
        <v>12</v>
      </c>
      <c r="J6" s="7" t="s">
        <v>13</v>
      </c>
      <c r="K6" s="7" t="s">
        <v>14</v>
      </c>
      <c r="L6" s="110"/>
      <c r="M6" s="110"/>
      <c r="N6" s="110"/>
      <c r="O6" s="110"/>
      <c r="P6" s="110"/>
      <c r="Q6" s="110"/>
      <c r="R6" s="111"/>
    </row>
    <row r="7" spans="1:18" ht="41.45" customHeight="1" x14ac:dyDescent="0.25">
      <c r="A7" s="32" t="s">
        <v>92</v>
      </c>
      <c r="B7" s="21" t="s">
        <v>108</v>
      </c>
      <c r="C7" s="22">
        <v>0</v>
      </c>
      <c r="D7" s="22">
        <v>12.3</v>
      </c>
      <c r="E7" s="21" t="s">
        <v>109</v>
      </c>
      <c r="F7" s="21"/>
      <c r="G7" s="21"/>
      <c r="H7" s="21"/>
      <c r="I7" s="21"/>
      <c r="J7" s="21" t="s">
        <v>109</v>
      </c>
      <c r="K7" s="21"/>
      <c r="L7" s="96"/>
      <c r="M7" s="96"/>
      <c r="N7" s="96"/>
      <c r="O7" s="96"/>
      <c r="P7" s="96"/>
      <c r="Q7" s="96"/>
      <c r="R7" s="97"/>
    </row>
    <row r="8" spans="1:18" ht="41.45" customHeight="1" x14ac:dyDescent="0.25">
      <c r="A8" s="32" t="s">
        <v>92</v>
      </c>
      <c r="B8" s="21"/>
      <c r="C8" s="22">
        <v>12.3</v>
      </c>
      <c r="D8" s="22">
        <v>18.600000000000001</v>
      </c>
      <c r="E8" s="21" t="s">
        <v>109</v>
      </c>
      <c r="F8" s="21"/>
      <c r="G8" s="21"/>
      <c r="H8" s="21"/>
      <c r="I8" s="21"/>
      <c r="J8" s="21"/>
      <c r="K8" s="21" t="s">
        <v>109</v>
      </c>
      <c r="L8" s="96"/>
      <c r="M8" s="96"/>
      <c r="N8" s="96"/>
      <c r="O8" s="96"/>
      <c r="P8" s="96"/>
      <c r="Q8" s="96"/>
      <c r="R8" s="97"/>
    </row>
    <row r="9" spans="1:18" ht="41.45" customHeight="1" x14ac:dyDescent="0.25">
      <c r="A9" s="32" t="s">
        <v>92</v>
      </c>
      <c r="B9" s="21"/>
      <c r="C9" s="22">
        <v>18.600000000000001</v>
      </c>
      <c r="D9" s="22">
        <v>21.2</v>
      </c>
      <c r="E9" s="21" t="s">
        <v>109</v>
      </c>
      <c r="F9" s="21"/>
      <c r="G9" s="21"/>
      <c r="H9" s="21"/>
      <c r="I9" s="21"/>
      <c r="J9" s="21" t="s">
        <v>109</v>
      </c>
      <c r="K9" s="21"/>
      <c r="L9" s="96"/>
      <c r="M9" s="96"/>
      <c r="N9" s="96"/>
      <c r="O9" s="96"/>
      <c r="P9" s="96"/>
      <c r="Q9" s="96"/>
      <c r="R9" s="97"/>
    </row>
    <row r="10" spans="1:18" ht="41.45" customHeight="1" x14ac:dyDescent="0.25">
      <c r="A10" s="32"/>
      <c r="B10" s="21"/>
      <c r="C10" s="22"/>
      <c r="D10" s="22"/>
      <c r="E10" s="21"/>
      <c r="F10" s="21"/>
      <c r="G10" s="21"/>
      <c r="H10" s="21"/>
      <c r="I10" s="21"/>
      <c r="J10" s="21"/>
      <c r="K10" s="21"/>
      <c r="L10" s="96"/>
      <c r="M10" s="96"/>
      <c r="N10" s="96"/>
      <c r="O10" s="96"/>
      <c r="P10" s="96"/>
      <c r="Q10" s="96"/>
      <c r="R10" s="97"/>
    </row>
    <row r="11" spans="1:18" ht="41.45" customHeight="1" x14ac:dyDescent="0.25">
      <c r="A11" s="32"/>
      <c r="B11" s="21"/>
      <c r="C11" s="22"/>
      <c r="D11" s="22"/>
      <c r="E11" s="21"/>
      <c r="F11" s="21"/>
      <c r="G11" s="21"/>
      <c r="H11" s="21"/>
      <c r="I11" s="21"/>
      <c r="J11" s="21"/>
      <c r="K11" s="21"/>
      <c r="L11" s="96"/>
      <c r="M11" s="96"/>
      <c r="N11" s="96"/>
      <c r="O11" s="96"/>
      <c r="P11" s="96"/>
      <c r="Q11" s="96"/>
      <c r="R11" s="97"/>
    </row>
    <row r="12" spans="1:18" ht="41.45" customHeight="1" x14ac:dyDescent="0.25">
      <c r="A12" s="32"/>
      <c r="B12" s="21"/>
      <c r="C12" s="22"/>
      <c r="D12" s="22"/>
      <c r="E12" s="21"/>
      <c r="F12" s="21"/>
      <c r="G12" s="21"/>
      <c r="H12" s="21"/>
      <c r="I12" s="21"/>
      <c r="J12" s="21"/>
      <c r="K12" s="21"/>
      <c r="L12" s="96"/>
      <c r="M12" s="96"/>
      <c r="N12" s="96"/>
      <c r="O12" s="96"/>
      <c r="P12" s="96"/>
      <c r="Q12" s="96"/>
      <c r="R12" s="97"/>
    </row>
    <row r="13" spans="1:18" ht="41.45" customHeight="1" x14ac:dyDescent="0.25">
      <c r="A13" s="32"/>
      <c r="B13" s="21"/>
      <c r="C13" s="22"/>
      <c r="D13" s="22"/>
      <c r="E13" s="21"/>
      <c r="F13" s="21"/>
      <c r="G13" s="21"/>
      <c r="H13" s="21"/>
      <c r="I13" s="21"/>
      <c r="J13" s="21"/>
      <c r="K13" s="21"/>
      <c r="L13" s="96"/>
      <c r="M13" s="96"/>
      <c r="N13" s="96"/>
      <c r="O13" s="96"/>
      <c r="P13" s="96"/>
      <c r="Q13" s="96"/>
      <c r="R13" s="97"/>
    </row>
    <row r="14" spans="1:18" ht="41.45" customHeight="1" x14ac:dyDescent="0.25">
      <c r="A14" s="32"/>
      <c r="B14" s="21"/>
      <c r="C14" s="22"/>
      <c r="D14" s="22"/>
      <c r="E14" s="21"/>
      <c r="F14" s="21"/>
      <c r="G14" s="21"/>
      <c r="H14" s="21"/>
      <c r="I14" s="21"/>
      <c r="J14" s="21"/>
      <c r="K14" s="21"/>
      <c r="L14" s="96"/>
      <c r="M14" s="96"/>
      <c r="N14" s="96"/>
      <c r="O14" s="96"/>
      <c r="P14" s="96"/>
      <c r="Q14" s="96"/>
      <c r="R14" s="97"/>
    </row>
    <row r="15" spans="1:18" ht="41.45" customHeight="1" x14ac:dyDescent="0.25">
      <c r="A15" s="32"/>
      <c r="B15" s="21"/>
      <c r="C15" s="22"/>
      <c r="D15" s="22"/>
      <c r="E15" s="21"/>
      <c r="F15" s="21"/>
      <c r="G15" s="21"/>
      <c r="H15" s="21"/>
      <c r="I15" s="21"/>
      <c r="J15" s="21"/>
      <c r="K15" s="21"/>
      <c r="L15" s="96"/>
      <c r="M15" s="96"/>
      <c r="N15" s="96"/>
      <c r="O15" s="96"/>
      <c r="P15" s="96"/>
      <c r="Q15" s="96"/>
      <c r="R15" s="97"/>
    </row>
    <row r="16" spans="1:18" ht="41.45" customHeight="1" x14ac:dyDescent="0.25">
      <c r="A16" s="32"/>
      <c r="B16" s="21"/>
      <c r="C16" s="22"/>
      <c r="D16" s="22"/>
      <c r="E16" s="21"/>
      <c r="F16" s="21"/>
      <c r="G16" s="21"/>
      <c r="H16" s="21"/>
      <c r="I16" s="21"/>
      <c r="J16" s="21"/>
      <c r="K16" s="21"/>
      <c r="L16" s="96"/>
      <c r="M16" s="96"/>
      <c r="N16" s="96"/>
      <c r="O16" s="96"/>
      <c r="P16" s="96"/>
      <c r="Q16" s="96"/>
      <c r="R16" s="97"/>
    </row>
    <row r="17" spans="1:18" ht="41.45" customHeight="1" x14ac:dyDescent="0.25">
      <c r="A17" s="32"/>
      <c r="B17" s="21"/>
      <c r="C17" s="22"/>
      <c r="D17" s="22"/>
      <c r="E17" s="21"/>
      <c r="F17" s="21"/>
      <c r="G17" s="21"/>
      <c r="H17" s="21"/>
      <c r="I17" s="21"/>
      <c r="J17" s="21"/>
      <c r="K17" s="21"/>
      <c r="L17" s="96"/>
      <c r="M17" s="96"/>
      <c r="N17" s="96"/>
      <c r="O17" s="96"/>
      <c r="P17" s="96"/>
      <c r="Q17" s="96"/>
      <c r="R17" s="97"/>
    </row>
    <row r="18" spans="1:18" ht="41.45" customHeight="1" x14ac:dyDescent="0.25">
      <c r="A18" s="19"/>
      <c r="B18" s="3"/>
      <c r="C18" s="22"/>
      <c r="D18" s="22"/>
      <c r="E18" s="21"/>
      <c r="F18" s="21"/>
      <c r="G18" s="21"/>
      <c r="H18" s="21"/>
      <c r="I18" s="21"/>
      <c r="J18" s="21"/>
      <c r="K18" s="21"/>
      <c r="L18" s="96"/>
      <c r="M18" s="96"/>
      <c r="N18" s="96"/>
      <c r="O18" s="96"/>
      <c r="P18" s="96"/>
      <c r="Q18" s="96"/>
      <c r="R18" s="97"/>
    </row>
    <row r="19" spans="1:18" ht="41.45" customHeight="1" x14ac:dyDescent="0.25">
      <c r="A19" s="19"/>
      <c r="B19" s="3"/>
      <c r="C19" s="22"/>
      <c r="D19" s="22"/>
      <c r="E19" s="21"/>
      <c r="F19" s="21"/>
      <c r="G19" s="21"/>
      <c r="H19" s="21"/>
      <c r="I19" s="21"/>
      <c r="J19" s="21"/>
      <c r="K19" s="21"/>
      <c r="L19" s="96"/>
      <c r="M19" s="96"/>
      <c r="N19" s="96"/>
      <c r="O19" s="96"/>
      <c r="P19" s="96"/>
      <c r="Q19" s="96"/>
      <c r="R19" s="97"/>
    </row>
    <row r="20" spans="1:18" ht="41.45" customHeight="1" x14ac:dyDescent="0.25">
      <c r="A20" s="19"/>
      <c r="B20" s="3"/>
      <c r="C20" s="22"/>
      <c r="D20" s="22"/>
      <c r="E20" s="21"/>
      <c r="F20" s="21"/>
      <c r="G20" s="21"/>
      <c r="H20" s="21"/>
      <c r="I20" s="21"/>
      <c r="J20" s="21"/>
      <c r="K20" s="21"/>
      <c r="L20" s="96"/>
      <c r="M20" s="96"/>
      <c r="N20" s="96"/>
      <c r="O20" s="96"/>
      <c r="P20" s="96"/>
      <c r="Q20" s="96"/>
      <c r="R20" s="97"/>
    </row>
    <row r="21" spans="1:18" ht="41.45" customHeight="1" x14ac:dyDescent="0.25">
      <c r="A21" s="19"/>
      <c r="B21" s="3"/>
      <c r="C21" s="22"/>
      <c r="D21" s="22"/>
      <c r="E21" s="21"/>
      <c r="F21" s="21"/>
      <c r="G21" s="21"/>
      <c r="H21" s="21"/>
      <c r="I21" s="21"/>
      <c r="J21" s="21"/>
      <c r="K21" s="21"/>
      <c r="L21" s="96"/>
      <c r="M21" s="96"/>
      <c r="N21" s="96"/>
      <c r="O21" s="96"/>
      <c r="P21" s="96"/>
      <c r="Q21" s="96"/>
      <c r="R21" s="97"/>
    </row>
    <row r="22" spans="1:18" ht="41.45" customHeight="1" x14ac:dyDescent="0.25">
      <c r="A22" s="19"/>
      <c r="B22" s="3"/>
      <c r="C22" s="22"/>
      <c r="D22" s="22"/>
      <c r="E22" s="21"/>
      <c r="F22" s="21"/>
      <c r="G22" s="21"/>
      <c r="H22" s="21"/>
      <c r="I22" s="21"/>
      <c r="J22" s="21"/>
      <c r="K22" s="21"/>
      <c r="L22" s="96"/>
      <c r="M22" s="96"/>
      <c r="N22" s="96"/>
      <c r="O22" s="96"/>
      <c r="P22" s="96"/>
      <c r="Q22" s="96"/>
      <c r="R22" s="97"/>
    </row>
    <row r="23" spans="1:18" ht="41.45" customHeight="1" x14ac:dyDescent="0.25">
      <c r="A23" s="19"/>
      <c r="B23" s="3"/>
      <c r="C23" s="22"/>
      <c r="D23" s="22"/>
      <c r="E23" s="21"/>
      <c r="F23" s="21"/>
      <c r="G23" s="21"/>
      <c r="H23" s="21"/>
      <c r="I23" s="21"/>
      <c r="J23" s="21"/>
      <c r="K23" s="21"/>
      <c r="L23" s="96"/>
      <c r="M23" s="96"/>
      <c r="N23" s="96"/>
      <c r="O23" s="96"/>
      <c r="P23" s="96"/>
      <c r="Q23" s="96"/>
      <c r="R23" s="97"/>
    </row>
    <row r="24" spans="1:18" ht="41.45" customHeight="1" x14ac:dyDescent="0.25">
      <c r="A24" s="19"/>
      <c r="B24" s="3"/>
      <c r="C24" s="22"/>
      <c r="D24" s="22"/>
      <c r="E24" s="21"/>
      <c r="F24" s="21"/>
      <c r="G24" s="21"/>
      <c r="H24" s="21"/>
      <c r="I24" s="21"/>
      <c r="J24" s="21"/>
      <c r="K24" s="21"/>
      <c r="L24" s="96"/>
      <c r="M24" s="96"/>
      <c r="N24" s="96"/>
      <c r="O24" s="96"/>
      <c r="P24" s="96"/>
      <c r="Q24" s="96"/>
      <c r="R24" s="97"/>
    </row>
    <row r="25" spans="1:18" ht="41.45" customHeight="1" x14ac:dyDescent="0.25">
      <c r="A25" s="19"/>
      <c r="B25" s="3"/>
      <c r="C25" s="22"/>
      <c r="D25" s="22"/>
      <c r="E25" s="21"/>
      <c r="F25" s="21"/>
      <c r="G25" s="21"/>
      <c r="H25" s="21"/>
      <c r="I25" s="21"/>
      <c r="J25" s="21"/>
      <c r="K25" s="21"/>
      <c r="L25" s="96"/>
      <c r="M25" s="96"/>
      <c r="N25" s="96"/>
      <c r="O25" s="96"/>
      <c r="P25" s="96"/>
      <c r="Q25" s="96"/>
      <c r="R25" s="97"/>
    </row>
    <row r="26" spans="1:18" ht="41.45" customHeight="1" x14ac:dyDescent="0.25">
      <c r="A26" s="19"/>
      <c r="B26" s="3"/>
      <c r="C26" s="22"/>
      <c r="D26" s="22"/>
      <c r="E26" s="21"/>
      <c r="F26" s="21"/>
      <c r="G26" s="21"/>
      <c r="H26" s="21"/>
      <c r="I26" s="21"/>
      <c r="J26" s="21"/>
      <c r="K26" s="21"/>
      <c r="L26" s="96"/>
      <c r="M26" s="96"/>
      <c r="N26" s="96"/>
      <c r="O26" s="96"/>
      <c r="P26" s="96"/>
      <c r="Q26" s="96"/>
      <c r="R26" s="97"/>
    </row>
    <row r="27" spans="1:18" ht="41.45" customHeight="1" x14ac:dyDescent="0.25">
      <c r="A27" s="19"/>
      <c r="B27" s="3"/>
      <c r="C27" s="22"/>
      <c r="D27" s="22"/>
      <c r="E27" s="21"/>
      <c r="F27" s="21"/>
      <c r="G27" s="21"/>
      <c r="H27" s="21"/>
      <c r="I27" s="21"/>
      <c r="J27" s="21"/>
      <c r="K27" s="21"/>
      <c r="L27" s="96"/>
      <c r="M27" s="96"/>
      <c r="N27" s="96"/>
      <c r="O27" s="96"/>
      <c r="P27" s="96"/>
      <c r="Q27" s="96"/>
      <c r="R27" s="97"/>
    </row>
    <row r="28" spans="1:18" ht="41.45" customHeight="1" x14ac:dyDescent="0.25">
      <c r="A28" s="19"/>
      <c r="B28" s="3"/>
      <c r="C28" s="22"/>
      <c r="D28" s="22"/>
      <c r="E28" s="21"/>
      <c r="F28" s="21"/>
      <c r="G28" s="21"/>
      <c r="H28" s="21"/>
      <c r="I28" s="21"/>
      <c r="J28" s="21"/>
      <c r="K28" s="21"/>
      <c r="L28" s="96"/>
      <c r="M28" s="96"/>
      <c r="N28" s="96"/>
      <c r="O28" s="96"/>
      <c r="P28" s="96"/>
      <c r="Q28" s="96"/>
      <c r="R28" s="97"/>
    </row>
    <row r="29" spans="1:18" ht="41.45" customHeight="1" x14ac:dyDescent="0.25">
      <c r="A29" s="19"/>
      <c r="B29" s="3"/>
      <c r="C29" s="22"/>
      <c r="D29" s="22"/>
      <c r="E29" s="21"/>
      <c r="F29" s="21"/>
      <c r="G29" s="21"/>
      <c r="H29" s="21"/>
      <c r="I29" s="21"/>
      <c r="J29" s="21"/>
      <c r="K29" s="21"/>
      <c r="L29" s="96"/>
      <c r="M29" s="96"/>
      <c r="N29" s="96"/>
      <c r="O29" s="96"/>
      <c r="P29" s="96"/>
      <c r="Q29" s="96"/>
      <c r="R29" s="97"/>
    </row>
    <row r="30" spans="1:18" ht="41.45" customHeight="1" x14ac:dyDescent="0.25">
      <c r="A30" s="19"/>
      <c r="B30" s="3"/>
      <c r="C30" s="22"/>
      <c r="D30" s="22"/>
      <c r="E30" s="21"/>
      <c r="F30" s="21"/>
      <c r="G30" s="21"/>
      <c r="H30" s="21"/>
      <c r="I30" s="21"/>
      <c r="J30" s="21"/>
      <c r="K30" s="21"/>
      <c r="L30" s="96"/>
      <c r="M30" s="96"/>
      <c r="N30" s="96"/>
      <c r="O30" s="96"/>
      <c r="P30" s="96"/>
      <c r="Q30" s="96"/>
      <c r="R30" s="97"/>
    </row>
    <row r="31" spans="1:18" ht="41.45" customHeight="1" x14ac:dyDescent="0.25">
      <c r="A31" s="19"/>
      <c r="B31" s="3"/>
      <c r="C31" s="22"/>
      <c r="D31" s="22"/>
      <c r="E31" s="21"/>
      <c r="F31" s="21"/>
      <c r="G31" s="21"/>
      <c r="H31" s="21"/>
      <c r="I31" s="21"/>
      <c r="J31" s="21"/>
      <c r="K31" s="21"/>
      <c r="L31" s="96"/>
      <c r="M31" s="96"/>
      <c r="N31" s="96"/>
      <c r="O31" s="96"/>
      <c r="P31" s="96"/>
      <c r="Q31" s="96"/>
      <c r="R31" s="97"/>
    </row>
    <row r="32" spans="1:18" ht="41.45" customHeight="1" x14ac:dyDescent="0.25">
      <c r="A32" s="19"/>
      <c r="B32" s="3"/>
      <c r="C32" s="22"/>
      <c r="D32" s="22"/>
      <c r="E32" s="21"/>
      <c r="F32" s="21"/>
      <c r="G32" s="21"/>
      <c r="H32" s="21"/>
      <c r="I32" s="21"/>
      <c r="J32" s="21"/>
      <c r="K32" s="21"/>
      <c r="L32" s="96"/>
      <c r="M32" s="96"/>
      <c r="N32" s="96"/>
      <c r="O32" s="96"/>
      <c r="P32" s="96"/>
      <c r="Q32" s="96"/>
      <c r="R32" s="97"/>
    </row>
    <row r="33" spans="1:18" ht="41.45" customHeight="1" x14ac:dyDescent="0.25">
      <c r="A33" s="19"/>
      <c r="B33" s="3"/>
      <c r="C33" s="22"/>
      <c r="D33" s="22"/>
      <c r="E33" s="21"/>
      <c r="F33" s="21"/>
      <c r="G33" s="21"/>
      <c r="H33" s="21"/>
      <c r="I33" s="21"/>
      <c r="J33" s="21"/>
      <c r="K33" s="21"/>
      <c r="L33" s="96"/>
      <c r="M33" s="96"/>
      <c r="N33" s="96"/>
      <c r="O33" s="96"/>
      <c r="P33" s="96"/>
      <c r="Q33" s="96"/>
      <c r="R33" s="97"/>
    </row>
    <row r="34" spans="1:18" ht="41.45" customHeight="1" x14ac:dyDescent="0.25">
      <c r="A34" s="19"/>
      <c r="B34" s="3"/>
      <c r="C34" s="22"/>
      <c r="D34" s="22"/>
      <c r="E34" s="21"/>
      <c r="F34" s="21"/>
      <c r="G34" s="21"/>
      <c r="H34" s="21"/>
      <c r="I34" s="21"/>
      <c r="J34" s="21"/>
      <c r="K34" s="21"/>
      <c r="L34" s="96"/>
      <c r="M34" s="96"/>
      <c r="N34" s="96"/>
      <c r="O34" s="96"/>
      <c r="P34" s="96"/>
      <c r="Q34" s="96"/>
      <c r="R34" s="97"/>
    </row>
    <row r="35" spans="1:18" ht="41.45" customHeight="1" thickBot="1" x14ac:dyDescent="0.3">
      <c r="A35" s="20"/>
      <c r="B35" s="4"/>
      <c r="C35" s="23"/>
      <c r="D35" s="23"/>
      <c r="E35" s="24"/>
      <c r="F35" s="24"/>
      <c r="G35" s="24"/>
      <c r="H35" s="24"/>
      <c r="I35" s="24"/>
      <c r="J35" s="24"/>
      <c r="K35" s="24"/>
      <c r="L35" s="94"/>
      <c r="M35" s="94"/>
      <c r="N35" s="94"/>
      <c r="O35" s="94"/>
      <c r="P35" s="94"/>
      <c r="Q35" s="94"/>
      <c r="R35" s="95"/>
    </row>
    <row r="36" spans="1:18" ht="41.45" customHeight="1" x14ac:dyDescent="0.25">
      <c r="A36" s="33"/>
      <c r="B36" s="33"/>
      <c r="C36" s="34"/>
      <c r="D36" s="34"/>
      <c r="E36" s="34">
        <f>IF(E7="X",(D7-C7),"0")</f>
        <v>12.3</v>
      </c>
      <c r="F36" s="34" t="str">
        <f>IF(F7="X",(D7-C7),"0")</f>
        <v>0</v>
      </c>
      <c r="G36" s="34" t="str">
        <f>IF(G7="X",(D7-C7),"0")</f>
        <v>0</v>
      </c>
      <c r="H36" s="34" t="str">
        <f>IF(H7="X",(D7-C7),"0")</f>
        <v>0</v>
      </c>
      <c r="I36" s="34" t="str">
        <f>IF(I7="X",(D7-C7),"0")</f>
        <v>0</v>
      </c>
      <c r="J36" s="34">
        <f>IF(J7="X",(D7-C7),"0")</f>
        <v>12.3</v>
      </c>
      <c r="K36" s="34" t="str">
        <f>IF(K7="X",(D7-C7),"0")</f>
        <v>0</v>
      </c>
      <c r="L36" s="93"/>
      <c r="M36" s="93"/>
      <c r="N36" s="93"/>
      <c r="O36" s="93"/>
      <c r="P36" s="93"/>
      <c r="Q36" s="93"/>
      <c r="R36" s="93"/>
    </row>
    <row r="37" spans="1:18" ht="41.45" customHeight="1" x14ac:dyDescent="0.25">
      <c r="C37" s="35"/>
      <c r="D37" s="35"/>
      <c r="E37" s="35">
        <f t="shared" ref="E37:E61" si="0">IF(E8="X",(D8-C8),"0")</f>
        <v>6.3000000000000007</v>
      </c>
      <c r="F37" s="35" t="str">
        <f t="shared" ref="F37:F61" si="1">IF(F8="X",(D8-C8),"0")</f>
        <v>0</v>
      </c>
      <c r="G37" s="35" t="str">
        <f t="shared" ref="G37:G61" si="2">IF(G8="X",(D8-C8),"0")</f>
        <v>0</v>
      </c>
      <c r="H37" s="35" t="str">
        <f t="shared" ref="H37:H61" si="3">IF(H8="X",(D8-C8),"0")</f>
        <v>0</v>
      </c>
      <c r="I37" s="35" t="str">
        <f t="shared" ref="I37:I61" si="4">IF(I8="X",(D8-C8),"0")</f>
        <v>0</v>
      </c>
      <c r="J37" s="35" t="str">
        <f t="shared" ref="J37:J61" si="5">IF(J8="X",(D8-C8),"0")</f>
        <v>0</v>
      </c>
      <c r="K37" s="35">
        <f t="shared" ref="K37:K61" si="6">IF(K8="X",(D8-C8),"0")</f>
        <v>6.3000000000000007</v>
      </c>
      <c r="L37" s="92"/>
      <c r="M37" s="92"/>
      <c r="N37" s="92"/>
      <c r="O37" s="92"/>
      <c r="P37" s="92"/>
      <c r="Q37" s="92"/>
      <c r="R37" s="92"/>
    </row>
    <row r="38" spans="1:18" ht="41.45" customHeight="1" x14ac:dyDescent="0.25">
      <c r="C38" s="35"/>
      <c r="D38" s="35"/>
      <c r="E38" s="35">
        <f t="shared" si="0"/>
        <v>2.5999999999999979</v>
      </c>
      <c r="F38" s="35" t="str">
        <f t="shared" si="1"/>
        <v>0</v>
      </c>
      <c r="G38" s="35" t="str">
        <f t="shared" si="2"/>
        <v>0</v>
      </c>
      <c r="H38" s="35" t="str">
        <f t="shared" si="3"/>
        <v>0</v>
      </c>
      <c r="I38" s="35" t="str">
        <f t="shared" si="4"/>
        <v>0</v>
      </c>
      <c r="J38" s="35">
        <f t="shared" si="5"/>
        <v>2.5999999999999979</v>
      </c>
      <c r="K38" s="35" t="str">
        <f t="shared" si="6"/>
        <v>0</v>
      </c>
      <c r="L38" s="92"/>
      <c r="M38" s="92"/>
      <c r="N38" s="92"/>
      <c r="O38" s="92"/>
      <c r="P38" s="92"/>
      <c r="Q38" s="92"/>
      <c r="R38" s="92"/>
    </row>
    <row r="39" spans="1:18" ht="41.45" customHeight="1" x14ac:dyDescent="0.25">
      <c r="C39" s="35"/>
      <c r="D39" s="35"/>
      <c r="E39" s="35" t="str">
        <f t="shared" si="0"/>
        <v>0</v>
      </c>
      <c r="F39" s="35" t="str">
        <f t="shared" si="1"/>
        <v>0</v>
      </c>
      <c r="G39" s="35" t="str">
        <f t="shared" si="2"/>
        <v>0</v>
      </c>
      <c r="H39" s="35" t="str">
        <f t="shared" si="3"/>
        <v>0</v>
      </c>
      <c r="I39" s="35" t="str">
        <f t="shared" si="4"/>
        <v>0</v>
      </c>
      <c r="J39" s="35" t="str">
        <f t="shared" si="5"/>
        <v>0</v>
      </c>
      <c r="K39" s="35" t="str">
        <f t="shared" si="6"/>
        <v>0</v>
      </c>
      <c r="L39" s="92"/>
      <c r="M39" s="92"/>
      <c r="N39" s="92"/>
      <c r="O39" s="92"/>
      <c r="P39" s="92"/>
      <c r="Q39" s="92"/>
      <c r="R39" s="92"/>
    </row>
    <row r="40" spans="1:18" ht="41.45" customHeight="1" x14ac:dyDescent="0.25">
      <c r="C40" s="35"/>
      <c r="D40" s="35"/>
      <c r="E40" s="35" t="str">
        <f t="shared" si="0"/>
        <v>0</v>
      </c>
      <c r="F40" s="35" t="str">
        <f t="shared" si="1"/>
        <v>0</v>
      </c>
      <c r="G40" s="35" t="str">
        <f t="shared" si="2"/>
        <v>0</v>
      </c>
      <c r="H40" s="35" t="str">
        <f t="shared" si="3"/>
        <v>0</v>
      </c>
      <c r="I40" s="35" t="str">
        <f t="shared" si="4"/>
        <v>0</v>
      </c>
      <c r="J40" s="35" t="str">
        <f t="shared" si="5"/>
        <v>0</v>
      </c>
      <c r="K40" s="35" t="str">
        <f t="shared" si="6"/>
        <v>0</v>
      </c>
      <c r="L40" s="92"/>
      <c r="M40" s="92"/>
      <c r="N40" s="92"/>
      <c r="O40" s="92"/>
      <c r="P40" s="92"/>
      <c r="Q40" s="92"/>
      <c r="R40" s="92"/>
    </row>
    <row r="41" spans="1:18" ht="41.45" customHeight="1" x14ac:dyDescent="0.25">
      <c r="C41" s="35"/>
      <c r="D41" s="35"/>
      <c r="E41" s="35" t="str">
        <f t="shared" si="0"/>
        <v>0</v>
      </c>
      <c r="F41" s="35" t="str">
        <f t="shared" si="1"/>
        <v>0</v>
      </c>
      <c r="G41" s="35" t="str">
        <f t="shared" si="2"/>
        <v>0</v>
      </c>
      <c r="H41" s="35" t="str">
        <f t="shared" si="3"/>
        <v>0</v>
      </c>
      <c r="I41" s="35" t="str">
        <f t="shared" si="4"/>
        <v>0</v>
      </c>
      <c r="J41" s="35" t="str">
        <f t="shared" si="5"/>
        <v>0</v>
      </c>
      <c r="K41" s="35" t="str">
        <f t="shared" si="6"/>
        <v>0</v>
      </c>
      <c r="L41" s="92"/>
      <c r="M41" s="92"/>
      <c r="N41" s="92"/>
      <c r="O41" s="92"/>
      <c r="P41" s="92"/>
      <c r="Q41" s="92"/>
      <c r="R41" s="92"/>
    </row>
    <row r="42" spans="1:18" ht="41.45" customHeight="1" x14ac:dyDescent="0.25">
      <c r="C42" s="35"/>
      <c r="D42" s="35"/>
      <c r="E42" s="35" t="str">
        <f t="shared" si="0"/>
        <v>0</v>
      </c>
      <c r="F42" s="35" t="str">
        <f t="shared" si="1"/>
        <v>0</v>
      </c>
      <c r="G42" s="35" t="str">
        <f t="shared" si="2"/>
        <v>0</v>
      </c>
      <c r="H42" s="35" t="str">
        <f t="shared" si="3"/>
        <v>0</v>
      </c>
      <c r="I42" s="35" t="str">
        <f t="shared" si="4"/>
        <v>0</v>
      </c>
      <c r="J42" s="35" t="str">
        <f t="shared" si="5"/>
        <v>0</v>
      </c>
      <c r="K42" s="35" t="str">
        <f t="shared" si="6"/>
        <v>0</v>
      </c>
      <c r="L42" s="92"/>
      <c r="M42" s="92"/>
      <c r="N42" s="92"/>
      <c r="O42" s="92"/>
      <c r="P42" s="92"/>
      <c r="Q42" s="92"/>
      <c r="R42" s="92"/>
    </row>
    <row r="43" spans="1:18" ht="41.45" customHeight="1" x14ac:dyDescent="0.25">
      <c r="C43" s="35"/>
      <c r="D43" s="35"/>
      <c r="E43" s="35" t="str">
        <f t="shared" si="0"/>
        <v>0</v>
      </c>
      <c r="F43" s="35" t="str">
        <f t="shared" si="1"/>
        <v>0</v>
      </c>
      <c r="G43" s="35" t="str">
        <f t="shared" si="2"/>
        <v>0</v>
      </c>
      <c r="H43" s="35" t="str">
        <f t="shared" si="3"/>
        <v>0</v>
      </c>
      <c r="I43" s="35" t="str">
        <f t="shared" si="4"/>
        <v>0</v>
      </c>
      <c r="J43" s="35" t="str">
        <f t="shared" si="5"/>
        <v>0</v>
      </c>
      <c r="K43" s="35" t="str">
        <f t="shared" si="6"/>
        <v>0</v>
      </c>
      <c r="L43" s="92"/>
      <c r="M43" s="92"/>
      <c r="N43" s="92"/>
      <c r="O43" s="92"/>
      <c r="P43" s="92"/>
      <c r="Q43" s="92"/>
      <c r="R43" s="92"/>
    </row>
    <row r="44" spans="1:18" ht="41.45" customHeight="1" x14ac:dyDescent="0.25">
      <c r="C44" s="35"/>
      <c r="D44" s="35"/>
      <c r="E44" s="35" t="str">
        <f t="shared" si="0"/>
        <v>0</v>
      </c>
      <c r="F44" s="35" t="str">
        <f t="shared" si="1"/>
        <v>0</v>
      </c>
      <c r="G44" s="35" t="str">
        <f t="shared" si="2"/>
        <v>0</v>
      </c>
      <c r="H44" s="35" t="str">
        <f t="shared" si="3"/>
        <v>0</v>
      </c>
      <c r="I44" s="35" t="str">
        <f t="shared" si="4"/>
        <v>0</v>
      </c>
      <c r="J44" s="35" t="str">
        <f t="shared" si="5"/>
        <v>0</v>
      </c>
      <c r="K44" s="35" t="str">
        <f t="shared" si="6"/>
        <v>0</v>
      </c>
      <c r="L44" s="92"/>
      <c r="M44" s="92"/>
      <c r="N44" s="92"/>
      <c r="O44" s="92"/>
      <c r="P44" s="92"/>
      <c r="Q44" s="92"/>
      <c r="R44" s="92"/>
    </row>
    <row r="45" spans="1:18" ht="41.45" customHeight="1" x14ac:dyDescent="0.25">
      <c r="C45" s="35"/>
      <c r="D45" s="35"/>
      <c r="E45" s="35" t="str">
        <f t="shared" si="0"/>
        <v>0</v>
      </c>
      <c r="F45" s="35" t="str">
        <f t="shared" si="1"/>
        <v>0</v>
      </c>
      <c r="G45" s="35" t="str">
        <f t="shared" si="2"/>
        <v>0</v>
      </c>
      <c r="H45" s="35" t="str">
        <f t="shared" si="3"/>
        <v>0</v>
      </c>
      <c r="I45" s="35" t="str">
        <f t="shared" si="4"/>
        <v>0</v>
      </c>
      <c r="J45" s="35" t="str">
        <f t="shared" si="5"/>
        <v>0</v>
      </c>
      <c r="K45" s="35" t="str">
        <f t="shared" si="6"/>
        <v>0</v>
      </c>
      <c r="L45" s="92"/>
      <c r="M45" s="92"/>
      <c r="N45" s="92"/>
      <c r="O45" s="92"/>
      <c r="P45" s="92"/>
      <c r="Q45" s="92"/>
      <c r="R45" s="92"/>
    </row>
    <row r="46" spans="1:18" ht="41.45" customHeight="1" x14ac:dyDescent="0.25">
      <c r="C46" s="35"/>
      <c r="D46" s="35"/>
      <c r="E46" s="35" t="str">
        <f t="shared" si="0"/>
        <v>0</v>
      </c>
      <c r="F46" s="35" t="str">
        <f t="shared" si="1"/>
        <v>0</v>
      </c>
      <c r="G46" s="35" t="str">
        <f t="shared" si="2"/>
        <v>0</v>
      </c>
      <c r="H46" s="35" t="str">
        <f t="shared" si="3"/>
        <v>0</v>
      </c>
      <c r="I46" s="35" t="str">
        <f t="shared" si="4"/>
        <v>0</v>
      </c>
      <c r="J46" s="35" t="str">
        <f t="shared" si="5"/>
        <v>0</v>
      </c>
      <c r="K46" s="35" t="str">
        <f t="shared" si="6"/>
        <v>0</v>
      </c>
      <c r="L46" s="92"/>
      <c r="M46" s="92"/>
      <c r="N46" s="92"/>
      <c r="O46" s="92"/>
      <c r="P46" s="92"/>
      <c r="Q46" s="92"/>
      <c r="R46" s="92"/>
    </row>
    <row r="47" spans="1:18" ht="41.45" customHeight="1" x14ac:dyDescent="0.25">
      <c r="C47" s="35"/>
      <c r="D47" s="35"/>
      <c r="E47" s="35" t="str">
        <f t="shared" si="0"/>
        <v>0</v>
      </c>
      <c r="F47" s="35" t="str">
        <f t="shared" si="1"/>
        <v>0</v>
      </c>
      <c r="G47" s="35" t="str">
        <f t="shared" si="2"/>
        <v>0</v>
      </c>
      <c r="H47" s="35" t="str">
        <f t="shared" si="3"/>
        <v>0</v>
      </c>
      <c r="I47" s="35" t="str">
        <f t="shared" si="4"/>
        <v>0</v>
      </c>
      <c r="J47" s="35" t="str">
        <f t="shared" si="5"/>
        <v>0</v>
      </c>
      <c r="K47" s="35" t="str">
        <f t="shared" si="6"/>
        <v>0</v>
      </c>
      <c r="L47" s="92"/>
      <c r="M47" s="92"/>
      <c r="N47" s="92"/>
      <c r="O47" s="92"/>
      <c r="P47" s="92"/>
      <c r="Q47" s="92"/>
      <c r="R47" s="92"/>
    </row>
    <row r="48" spans="1:18" ht="41.45" customHeight="1" x14ac:dyDescent="0.25">
      <c r="C48" s="35"/>
      <c r="D48" s="35"/>
      <c r="E48" s="35" t="str">
        <f t="shared" si="0"/>
        <v>0</v>
      </c>
      <c r="F48" s="35" t="str">
        <f t="shared" si="1"/>
        <v>0</v>
      </c>
      <c r="G48" s="35" t="str">
        <f t="shared" si="2"/>
        <v>0</v>
      </c>
      <c r="H48" s="35" t="str">
        <f t="shared" si="3"/>
        <v>0</v>
      </c>
      <c r="I48" s="35" t="str">
        <f t="shared" si="4"/>
        <v>0</v>
      </c>
      <c r="J48" s="35" t="str">
        <f t="shared" si="5"/>
        <v>0</v>
      </c>
      <c r="K48" s="35" t="str">
        <f t="shared" si="6"/>
        <v>0</v>
      </c>
      <c r="L48" s="92"/>
      <c r="M48" s="92"/>
      <c r="N48" s="92"/>
      <c r="O48" s="92"/>
      <c r="P48" s="92"/>
      <c r="Q48" s="92"/>
      <c r="R48" s="92"/>
    </row>
    <row r="49" spans="3:18" ht="41.45" customHeight="1" x14ac:dyDescent="0.25">
      <c r="C49" s="35"/>
      <c r="D49" s="35"/>
      <c r="E49" s="35" t="str">
        <f t="shared" si="0"/>
        <v>0</v>
      </c>
      <c r="F49" s="35" t="str">
        <f t="shared" si="1"/>
        <v>0</v>
      </c>
      <c r="G49" s="35" t="str">
        <f t="shared" si="2"/>
        <v>0</v>
      </c>
      <c r="H49" s="35" t="str">
        <f t="shared" si="3"/>
        <v>0</v>
      </c>
      <c r="I49" s="35" t="str">
        <f t="shared" si="4"/>
        <v>0</v>
      </c>
      <c r="J49" s="35" t="str">
        <f t="shared" si="5"/>
        <v>0</v>
      </c>
      <c r="K49" s="35" t="str">
        <f t="shared" si="6"/>
        <v>0</v>
      </c>
      <c r="L49" s="92"/>
      <c r="M49" s="92"/>
      <c r="N49" s="92"/>
      <c r="O49" s="92"/>
      <c r="P49" s="92"/>
      <c r="Q49" s="92"/>
      <c r="R49" s="92"/>
    </row>
    <row r="50" spans="3:18" ht="41.45" customHeight="1" x14ac:dyDescent="0.25">
      <c r="C50" s="35"/>
      <c r="D50" s="35"/>
      <c r="E50" s="35" t="str">
        <f t="shared" si="0"/>
        <v>0</v>
      </c>
      <c r="F50" s="35" t="str">
        <f t="shared" si="1"/>
        <v>0</v>
      </c>
      <c r="G50" s="35" t="str">
        <f t="shared" si="2"/>
        <v>0</v>
      </c>
      <c r="H50" s="35" t="str">
        <f t="shared" si="3"/>
        <v>0</v>
      </c>
      <c r="I50" s="35" t="str">
        <f t="shared" si="4"/>
        <v>0</v>
      </c>
      <c r="J50" s="35" t="str">
        <f t="shared" si="5"/>
        <v>0</v>
      </c>
      <c r="K50" s="35" t="str">
        <f t="shared" si="6"/>
        <v>0</v>
      </c>
      <c r="L50" s="92"/>
      <c r="M50" s="92"/>
      <c r="N50" s="92"/>
      <c r="O50" s="92"/>
      <c r="P50" s="92"/>
      <c r="Q50" s="92"/>
      <c r="R50" s="92"/>
    </row>
    <row r="51" spans="3:18" ht="41.45" customHeight="1" x14ac:dyDescent="0.25">
      <c r="C51" s="35"/>
      <c r="D51" s="35"/>
      <c r="E51" s="35" t="str">
        <f t="shared" si="0"/>
        <v>0</v>
      </c>
      <c r="F51" s="35" t="str">
        <f t="shared" si="1"/>
        <v>0</v>
      </c>
      <c r="G51" s="35" t="str">
        <f t="shared" si="2"/>
        <v>0</v>
      </c>
      <c r="H51" s="35" t="str">
        <f t="shared" si="3"/>
        <v>0</v>
      </c>
      <c r="I51" s="35" t="str">
        <f t="shared" si="4"/>
        <v>0</v>
      </c>
      <c r="J51" s="35" t="str">
        <f t="shared" si="5"/>
        <v>0</v>
      </c>
      <c r="K51" s="35" t="str">
        <f t="shared" si="6"/>
        <v>0</v>
      </c>
      <c r="L51" s="92"/>
      <c r="M51" s="92"/>
      <c r="N51" s="92"/>
      <c r="O51" s="92"/>
      <c r="P51" s="92"/>
      <c r="Q51" s="92"/>
      <c r="R51" s="92"/>
    </row>
    <row r="52" spans="3:18" ht="41.45" customHeight="1" x14ac:dyDescent="0.25">
      <c r="C52" s="35"/>
      <c r="D52" s="35"/>
      <c r="E52" s="35" t="str">
        <f t="shared" si="0"/>
        <v>0</v>
      </c>
      <c r="F52" s="35" t="str">
        <f t="shared" si="1"/>
        <v>0</v>
      </c>
      <c r="G52" s="35" t="str">
        <f t="shared" si="2"/>
        <v>0</v>
      </c>
      <c r="H52" s="35" t="str">
        <f t="shared" si="3"/>
        <v>0</v>
      </c>
      <c r="I52" s="35" t="str">
        <f t="shared" si="4"/>
        <v>0</v>
      </c>
      <c r="J52" s="35" t="str">
        <f t="shared" si="5"/>
        <v>0</v>
      </c>
      <c r="K52" s="35" t="str">
        <f t="shared" si="6"/>
        <v>0</v>
      </c>
      <c r="L52" s="92"/>
      <c r="M52" s="92"/>
      <c r="N52" s="92"/>
      <c r="O52" s="92"/>
      <c r="P52" s="92"/>
      <c r="Q52" s="92"/>
      <c r="R52" s="92"/>
    </row>
    <row r="53" spans="3:18" ht="41.45" customHeight="1" x14ac:dyDescent="0.25">
      <c r="C53" s="35"/>
      <c r="D53" s="35"/>
      <c r="E53" s="35" t="str">
        <f t="shared" si="0"/>
        <v>0</v>
      </c>
      <c r="F53" s="35" t="str">
        <f t="shared" si="1"/>
        <v>0</v>
      </c>
      <c r="G53" s="35" t="str">
        <f t="shared" si="2"/>
        <v>0</v>
      </c>
      <c r="H53" s="35" t="str">
        <f t="shared" si="3"/>
        <v>0</v>
      </c>
      <c r="I53" s="35" t="str">
        <f t="shared" si="4"/>
        <v>0</v>
      </c>
      <c r="J53" s="35" t="str">
        <f t="shared" si="5"/>
        <v>0</v>
      </c>
      <c r="K53" s="35" t="str">
        <f t="shared" si="6"/>
        <v>0</v>
      </c>
      <c r="L53" s="92"/>
      <c r="M53" s="92"/>
      <c r="N53" s="92"/>
      <c r="O53" s="92"/>
      <c r="P53" s="92"/>
      <c r="Q53" s="92"/>
      <c r="R53" s="92"/>
    </row>
    <row r="54" spans="3:18" ht="41.45" customHeight="1" x14ac:dyDescent="0.25">
      <c r="C54" s="35"/>
      <c r="D54" s="35"/>
      <c r="E54" s="35" t="str">
        <f t="shared" si="0"/>
        <v>0</v>
      </c>
      <c r="F54" s="35" t="str">
        <f t="shared" si="1"/>
        <v>0</v>
      </c>
      <c r="G54" s="35" t="str">
        <f t="shared" si="2"/>
        <v>0</v>
      </c>
      <c r="H54" s="35" t="str">
        <f t="shared" si="3"/>
        <v>0</v>
      </c>
      <c r="I54" s="35" t="str">
        <f t="shared" si="4"/>
        <v>0</v>
      </c>
      <c r="J54" s="35" t="str">
        <f t="shared" si="5"/>
        <v>0</v>
      </c>
      <c r="K54" s="35" t="str">
        <f t="shared" si="6"/>
        <v>0</v>
      </c>
      <c r="L54" s="92"/>
      <c r="M54" s="92"/>
      <c r="N54" s="92"/>
      <c r="O54" s="92"/>
      <c r="P54" s="92"/>
      <c r="Q54" s="92"/>
      <c r="R54" s="92"/>
    </row>
    <row r="55" spans="3:18" ht="41.45" customHeight="1" x14ac:dyDescent="0.25">
      <c r="C55" s="35"/>
      <c r="D55" s="35"/>
      <c r="E55" s="35" t="str">
        <f t="shared" si="0"/>
        <v>0</v>
      </c>
      <c r="F55" s="35" t="str">
        <f t="shared" si="1"/>
        <v>0</v>
      </c>
      <c r="G55" s="35" t="str">
        <f t="shared" si="2"/>
        <v>0</v>
      </c>
      <c r="H55" s="35" t="str">
        <f t="shared" si="3"/>
        <v>0</v>
      </c>
      <c r="I55" s="35" t="str">
        <f t="shared" si="4"/>
        <v>0</v>
      </c>
      <c r="J55" s="35" t="str">
        <f t="shared" si="5"/>
        <v>0</v>
      </c>
      <c r="K55" s="35" t="str">
        <f t="shared" si="6"/>
        <v>0</v>
      </c>
      <c r="L55" s="92"/>
      <c r="M55" s="92"/>
      <c r="N55" s="92"/>
      <c r="O55" s="92"/>
      <c r="P55" s="92"/>
      <c r="Q55" s="92"/>
      <c r="R55" s="92"/>
    </row>
    <row r="56" spans="3:18" ht="41.45" customHeight="1" x14ac:dyDescent="0.25">
      <c r="C56" s="35"/>
      <c r="D56" s="35"/>
      <c r="E56" s="35" t="str">
        <f t="shared" si="0"/>
        <v>0</v>
      </c>
      <c r="F56" s="35" t="str">
        <f t="shared" si="1"/>
        <v>0</v>
      </c>
      <c r="G56" s="35" t="str">
        <f t="shared" si="2"/>
        <v>0</v>
      </c>
      <c r="H56" s="35" t="str">
        <f t="shared" si="3"/>
        <v>0</v>
      </c>
      <c r="I56" s="35" t="str">
        <f t="shared" si="4"/>
        <v>0</v>
      </c>
      <c r="J56" s="35" t="str">
        <f t="shared" si="5"/>
        <v>0</v>
      </c>
      <c r="K56" s="35" t="str">
        <f t="shared" si="6"/>
        <v>0</v>
      </c>
      <c r="L56" s="92"/>
      <c r="M56" s="92"/>
      <c r="N56" s="92"/>
      <c r="O56" s="92"/>
      <c r="P56" s="92"/>
      <c r="Q56" s="92"/>
      <c r="R56" s="92"/>
    </row>
    <row r="57" spans="3:18" ht="41.45" customHeight="1" x14ac:dyDescent="0.25">
      <c r="C57" s="35"/>
      <c r="D57" s="35"/>
      <c r="E57" s="35" t="str">
        <f t="shared" si="0"/>
        <v>0</v>
      </c>
      <c r="F57" s="35" t="str">
        <f t="shared" si="1"/>
        <v>0</v>
      </c>
      <c r="G57" s="35" t="str">
        <f t="shared" si="2"/>
        <v>0</v>
      </c>
      <c r="H57" s="35" t="str">
        <f t="shared" si="3"/>
        <v>0</v>
      </c>
      <c r="I57" s="35" t="str">
        <f t="shared" si="4"/>
        <v>0</v>
      </c>
      <c r="J57" s="35" t="str">
        <f t="shared" si="5"/>
        <v>0</v>
      </c>
      <c r="K57" s="35" t="str">
        <f t="shared" si="6"/>
        <v>0</v>
      </c>
      <c r="L57" s="92"/>
      <c r="M57" s="92"/>
      <c r="N57" s="92"/>
      <c r="O57" s="92"/>
      <c r="P57" s="92"/>
      <c r="Q57" s="92"/>
      <c r="R57" s="92"/>
    </row>
    <row r="58" spans="3:18" ht="41.45" customHeight="1" x14ac:dyDescent="0.25">
      <c r="C58" s="35"/>
      <c r="D58" s="35"/>
      <c r="E58" s="35" t="str">
        <f t="shared" si="0"/>
        <v>0</v>
      </c>
      <c r="F58" s="35" t="str">
        <f t="shared" si="1"/>
        <v>0</v>
      </c>
      <c r="G58" s="35" t="str">
        <f t="shared" si="2"/>
        <v>0</v>
      </c>
      <c r="H58" s="35" t="str">
        <f t="shared" si="3"/>
        <v>0</v>
      </c>
      <c r="I58" s="35" t="str">
        <f t="shared" si="4"/>
        <v>0</v>
      </c>
      <c r="J58" s="35" t="str">
        <f t="shared" si="5"/>
        <v>0</v>
      </c>
      <c r="K58" s="35" t="str">
        <f t="shared" si="6"/>
        <v>0</v>
      </c>
      <c r="L58" s="92"/>
      <c r="M58" s="92"/>
      <c r="N58" s="92"/>
      <c r="O58" s="92"/>
      <c r="P58" s="92"/>
      <c r="Q58" s="92"/>
      <c r="R58" s="92"/>
    </row>
    <row r="59" spans="3:18" ht="41.45" customHeight="1" x14ac:dyDescent="0.25">
      <c r="C59" s="35"/>
      <c r="D59" s="35"/>
      <c r="E59" s="35" t="str">
        <f t="shared" si="0"/>
        <v>0</v>
      </c>
      <c r="F59" s="35" t="str">
        <f t="shared" si="1"/>
        <v>0</v>
      </c>
      <c r="G59" s="35" t="str">
        <f t="shared" si="2"/>
        <v>0</v>
      </c>
      <c r="H59" s="35" t="str">
        <f t="shared" si="3"/>
        <v>0</v>
      </c>
      <c r="I59" s="35" t="str">
        <f t="shared" si="4"/>
        <v>0</v>
      </c>
      <c r="J59" s="35" t="str">
        <f t="shared" si="5"/>
        <v>0</v>
      </c>
      <c r="K59" s="35" t="str">
        <f t="shared" si="6"/>
        <v>0</v>
      </c>
      <c r="L59" s="92"/>
      <c r="M59" s="92"/>
      <c r="N59" s="92"/>
      <c r="O59" s="92"/>
      <c r="P59" s="92"/>
      <c r="Q59" s="92"/>
      <c r="R59" s="92"/>
    </row>
    <row r="60" spans="3:18" ht="41.45" customHeight="1" x14ac:dyDescent="0.25">
      <c r="C60" s="35"/>
      <c r="D60" s="35"/>
      <c r="E60" s="35" t="str">
        <f t="shared" si="0"/>
        <v>0</v>
      </c>
      <c r="F60" s="35" t="str">
        <f t="shared" si="1"/>
        <v>0</v>
      </c>
      <c r="G60" s="35" t="str">
        <f t="shared" si="2"/>
        <v>0</v>
      </c>
      <c r="H60" s="35" t="str">
        <f t="shared" si="3"/>
        <v>0</v>
      </c>
      <c r="I60" s="35" t="str">
        <f t="shared" si="4"/>
        <v>0</v>
      </c>
      <c r="J60" s="35" t="str">
        <f t="shared" si="5"/>
        <v>0</v>
      </c>
      <c r="K60" s="35" t="str">
        <f t="shared" si="6"/>
        <v>0</v>
      </c>
      <c r="L60" s="92"/>
      <c r="M60" s="92"/>
      <c r="N60" s="92"/>
      <c r="O60" s="92"/>
      <c r="P60" s="92"/>
      <c r="Q60" s="92"/>
      <c r="R60" s="92"/>
    </row>
    <row r="61" spans="3:18" ht="41.45" customHeight="1" x14ac:dyDescent="0.25">
      <c r="C61" s="35"/>
      <c r="D61" s="35"/>
      <c r="E61" s="35" t="str">
        <f t="shared" si="0"/>
        <v>0</v>
      </c>
      <c r="F61" s="35" t="str">
        <f t="shared" si="1"/>
        <v>0</v>
      </c>
      <c r="G61" s="35" t="str">
        <f t="shared" si="2"/>
        <v>0</v>
      </c>
      <c r="H61" s="35" t="str">
        <f t="shared" si="3"/>
        <v>0</v>
      </c>
      <c r="I61" s="35" t="str">
        <f t="shared" si="4"/>
        <v>0</v>
      </c>
      <c r="J61" s="35" t="str">
        <f t="shared" si="5"/>
        <v>0</v>
      </c>
      <c r="K61" s="35" t="str">
        <f t="shared" si="6"/>
        <v>0</v>
      </c>
      <c r="L61" s="92"/>
      <c r="M61" s="92"/>
      <c r="N61" s="92"/>
      <c r="O61" s="92"/>
      <c r="P61" s="92"/>
      <c r="Q61" s="92"/>
      <c r="R61" s="92"/>
    </row>
    <row r="62" spans="3:18" ht="41.45" customHeight="1" x14ac:dyDescent="0.25">
      <c r="C62" s="35"/>
      <c r="D62" s="35"/>
      <c r="E62" s="35">
        <f>SUM(E36:E61)</f>
        <v>21.2</v>
      </c>
      <c r="F62" s="35">
        <f t="shared" ref="F62:K62" si="7">SUM(F36:F61)</f>
        <v>0</v>
      </c>
      <c r="G62" s="35">
        <f t="shared" si="7"/>
        <v>0</v>
      </c>
      <c r="H62" s="35">
        <f t="shared" si="7"/>
        <v>0</v>
      </c>
      <c r="I62" s="35">
        <f t="shared" si="7"/>
        <v>0</v>
      </c>
      <c r="J62" s="35">
        <f t="shared" si="7"/>
        <v>14.899999999999999</v>
      </c>
      <c r="K62" s="35">
        <f t="shared" si="7"/>
        <v>6.3000000000000007</v>
      </c>
      <c r="L62" s="92"/>
      <c r="M62" s="92"/>
      <c r="N62" s="92"/>
      <c r="O62" s="92"/>
      <c r="P62" s="92"/>
      <c r="Q62" s="92"/>
      <c r="R62" s="92"/>
    </row>
    <row r="63" spans="3:18" ht="41.45" customHeight="1" x14ac:dyDescent="0.25">
      <c r="C63" s="35"/>
      <c r="D63" s="35"/>
      <c r="E63" s="35"/>
      <c r="F63" s="31"/>
      <c r="G63" s="31"/>
      <c r="H63" s="31"/>
      <c r="I63" s="31"/>
      <c r="J63" s="31"/>
      <c r="K63" s="31"/>
      <c r="L63" s="92"/>
      <c r="M63" s="92"/>
      <c r="N63" s="92"/>
      <c r="O63" s="92"/>
      <c r="P63" s="92"/>
      <c r="Q63" s="92"/>
      <c r="R63" s="92"/>
    </row>
    <row r="64" spans="3:18" ht="41.45" customHeight="1" x14ac:dyDescent="0.25">
      <c r="C64" s="35"/>
      <c r="D64" s="35"/>
      <c r="E64" s="35"/>
      <c r="F64" s="31"/>
      <c r="G64" s="31"/>
      <c r="H64" s="31"/>
      <c r="I64" s="31"/>
      <c r="J64" s="31"/>
      <c r="K64" s="31"/>
      <c r="L64" s="92"/>
      <c r="M64" s="92"/>
      <c r="N64" s="92"/>
      <c r="O64" s="92"/>
      <c r="P64" s="92"/>
      <c r="Q64" s="92"/>
      <c r="R64" s="92"/>
    </row>
    <row r="65" spans="3:18" ht="41.45" customHeight="1" x14ac:dyDescent="0.25">
      <c r="C65" s="35"/>
      <c r="D65" s="35"/>
      <c r="E65" s="35"/>
      <c r="F65" s="31"/>
      <c r="G65" s="31"/>
      <c r="H65" s="31"/>
      <c r="I65" s="31"/>
      <c r="J65" s="31"/>
      <c r="K65" s="31"/>
      <c r="L65" s="92"/>
      <c r="M65" s="92"/>
      <c r="N65" s="92"/>
      <c r="O65" s="92"/>
      <c r="P65" s="92"/>
      <c r="Q65" s="92"/>
      <c r="R65" s="92"/>
    </row>
    <row r="66" spans="3:18" ht="41.45" customHeight="1" x14ac:dyDescent="0.25">
      <c r="C66" s="35"/>
      <c r="D66" s="35"/>
      <c r="E66" s="35"/>
      <c r="F66" s="31"/>
      <c r="G66" s="31"/>
      <c r="H66" s="31"/>
      <c r="I66" s="31"/>
      <c r="J66" s="31"/>
      <c r="K66" s="31"/>
      <c r="L66" s="92"/>
      <c r="M66" s="92"/>
      <c r="N66" s="92"/>
      <c r="O66" s="92"/>
      <c r="P66" s="92"/>
      <c r="Q66" s="92"/>
      <c r="R66" s="92"/>
    </row>
    <row r="67" spans="3:18" ht="41.45" customHeight="1" x14ac:dyDescent="0.25">
      <c r="C67" s="35"/>
      <c r="D67" s="35"/>
      <c r="E67" s="35"/>
      <c r="F67" s="31"/>
      <c r="G67" s="31"/>
      <c r="H67" s="31"/>
      <c r="I67" s="31"/>
      <c r="J67" s="31"/>
      <c r="K67" s="31"/>
      <c r="L67" s="92"/>
      <c r="M67" s="92"/>
      <c r="N67" s="92"/>
      <c r="O67" s="92"/>
      <c r="P67" s="92"/>
      <c r="Q67" s="92"/>
      <c r="R67" s="92"/>
    </row>
    <row r="68" spans="3:18" ht="41.45" customHeight="1" x14ac:dyDescent="0.25">
      <c r="C68" s="35"/>
      <c r="D68" s="35"/>
      <c r="E68" s="35"/>
      <c r="F68" s="31"/>
      <c r="G68" s="31"/>
      <c r="H68" s="31"/>
      <c r="I68" s="31"/>
      <c r="J68" s="31"/>
      <c r="K68" s="31"/>
      <c r="L68" s="92"/>
      <c r="M68" s="92"/>
      <c r="N68" s="92"/>
      <c r="O68" s="92"/>
      <c r="P68" s="92"/>
      <c r="Q68" s="92"/>
      <c r="R68" s="92"/>
    </row>
  </sheetData>
  <mergeCells count="73">
    <mergeCell ref="A5:A6"/>
    <mergeCell ref="B5:B6"/>
    <mergeCell ref="C5:C6"/>
    <mergeCell ref="D5:D6"/>
    <mergeCell ref="E5:H5"/>
    <mergeCell ref="L11:R11"/>
    <mergeCell ref="I1:I2"/>
    <mergeCell ref="J1:J2"/>
    <mergeCell ref="L1:M2"/>
    <mergeCell ref="N1:R2"/>
    <mergeCell ref="I5:K5"/>
    <mergeCell ref="L5:R6"/>
    <mergeCell ref="L7:R7"/>
    <mergeCell ref="L8:R8"/>
    <mergeCell ref="L9:R9"/>
    <mergeCell ref="L10:R10"/>
    <mergeCell ref="L23:R23"/>
    <mergeCell ref="L12:R12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35:R35"/>
    <mergeCell ref="L24:R24"/>
    <mergeCell ref="L25:R25"/>
    <mergeCell ref="L26:R26"/>
    <mergeCell ref="L27:R27"/>
    <mergeCell ref="L28:R28"/>
    <mergeCell ref="L29:R29"/>
    <mergeCell ref="L30:R30"/>
    <mergeCell ref="L31:R31"/>
    <mergeCell ref="L32:R32"/>
    <mergeCell ref="L33:R33"/>
    <mergeCell ref="L34:R34"/>
    <mergeCell ref="L47:R47"/>
    <mergeCell ref="L36:R36"/>
    <mergeCell ref="L37:R37"/>
    <mergeCell ref="L38:R38"/>
    <mergeCell ref="L39:R39"/>
    <mergeCell ref="L40:R40"/>
    <mergeCell ref="L41:R41"/>
    <mergeCell ref="L42:R42"/>
    <mergeCell ref="L43:R43"/>
    <mergeCell ref="L44:R44"/>
    <mergeCell ref="L45:R45"/>
    <mergeCell ref="L46:R46"/>
    <mergeCell ref="L59:R59"/>
    <mergeCell ref="L48:R48"/>
    <mergeCell ref="L49:R49"/>
    <mergeCell ref="L50:R50"/>
    <mergeCell ref="L51:R51"/>
    <mergeCell ref="L52:R52"/>
    <mergeCell ref="L53:R53"/>
    <mergeCell ref="L54:R54"/>
    <mergeCell ref="L55:R55"/>
    <mergeCell ref="L56:R56"/>
    <mergeCell ref="L57:R57"/>
    <mergeCell ref="L58:R58"/>
    <mergeCell ref="L66:R66"/>
    <mergeCell ref="L67:R67"/>
    <mergeCell ref="L68:R68"/>
    <mergeCell ref="L60:R60"/>
    <mergeCell ref="L61:R61"/>
    <mergeCell ref="L62:R62"/>
    <mergeCell ref="L63:R63"/>
    <mergeCell ref="L64:R64"/>
    <mergeCell ref="L65:R65"/>
  </mergeCells>
  <phoneticPr fontId="21" type="noConversion"/>
  <pageMargins left="0.51181102362204722" right="0.51181102362204722" top="0.78740157480314965" bottom="0.78740157480314965" header="0.31496062992125984" footer="0.31496062992125984"/>
  <pageSetup paperSize="9" scale="33" orientation="landscape" horizontalDpi="1200" verticalDpi="1200" r:id="rId1"/>
  <colBreaks count="1" manualBreakCount="1">
    <brk id="18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6CF74-032D-4ED5-8394-4B0781682185}">
  <sheetPr>
    <pageSetUpPr fitToPage="1"/>
  </sheetPr>
  <dimension ref="A1:R95"/>
  <sheetViews>
    <sheetView view="pageBreakPreview" topLeftCell="A19" zoomScale="55" zoomScaleNormal="10" zoomScaleSheetLayoutView="55" workbookViewId="0">
      <selection activeCell="A37" sqref="A37:A39"/>
    </sheetView>
  </sheetViews>
  <sheetFormatPr defaultColWidth="8.85546875" defaultRowHeight="15" x14ac:dyDescent="0.25"/>
  <cols>
    <col min="1" max="1" width="33.28515625" style="1" customWidth="1"/>
    <col min="2" max="2" width="17.140625" style="1" customWidth="1"/>
    <col min="3" max="4" width="13.42578125" style="1" customWidth="1"/>
    <col min="5" max="5" width="26.5703125" style="2" customWidth="1"/>
    <col min="6" max="6" width="30.140625" style="2" customWidth="1"/>
    <col min="7" max="7" width="26.5703125" style="2" customWidth="1"/>
    <col min="8" max="8" width="33.140625" style="2" customWidth="1"/>
    <col min="9" max="11" width="32" style="2" customWidth="1"/>
    <col min="12" max="14" width="14.42578125" style="1" customWidth="1"/>
    <col min="15" max="17" width="14.7109375" style="1" customWidth="1"/>
    <col min="18" max="18" width="37.42578125" style="1" customWidth="1"/>
    <col min="19" max="16384" width="8.85546875" style="1"/>
  </cols>
  <sheetData>
    <row r="1" spans="1:18" ht="19.5" x14ac:dyDescent="0.3">
      <c r="A1" s="9" t="s">
        <v>0</v>
      </c>
      <c r="B1" s="10"/>
      <c r="C1" s="10"/>
      <c r="D1" s="10"/>
      <c r="E1" s="11"/>
      <c r="F1" s="12"/>
      <c r="G1" s="11"/>
      <c r="H1" s="11"/>
      <c r="I1" s="98" t="s">
        <v>3</v>
      </c>
      <c r="J1" s="120">
        <f>'245'!J1</f>
        <v>46204</v>
      </c>
      <c r="K1" s="11"/>
      <c r="L1" s="102" t="s">
        <v>4</v>
      </c>
      <c r="M1" s="102"/>
      <c r="N1" s="104" t="str">
        <f>'245'!N1</f>
        <v>ENG. THIAGO TORQUATO</v>
      </c>
      <c r="O1" s="104"/>
      <c r="P1" s="104"/>
      <c r="Q1" s="104"/>
      <c r="R1" s="105"/>
    </row>
    <row r="2" spans="1:18" ht="20.25" thickBot="1" x14ac:dyDescent="0.35">
      <c r="A2" s="13"/>
      <c r="B2" s="14"/>
      <c r="C2" s="14"/>
      <c r="D2" s="14"/>
      <c r="E2" s="15"/>
      <c r="F2" s="16" t="s">
        <v>9</v>
      </c>
      <c r="G2" s="15"/>
      <c r="H2" s="15"/>
      <c r="I2" s="99"/>
      <c r="J2" s="121"/>
      <c r="K2" s="16"/>
      <c r="L2" s="103"/>
      <c r="M2" s="103"/>
      <c r="N2" s="106"/>
      <c r="O2" s="106"/>
      <c r="P2" s="106"/>
      <c r="Q2" s="106"/>
      <c r="R2" s="107"/>
    </row>
    <row r="3" spans="1:18" ht="25.5" x14ac:dyDescent="0.35">
      <c r="A3" s="13" t="s">
        <v>21</v>
      </c>
      <c r="B3" s="45" t="str">
        <f>TT!C16</f>
        <v>RODOVIA TO-497 - TRECHO ENTR. BR-242 - ENTR. TO-296 (POVOADO JACARÉ)</v>
      </c>
      <c r="C3" s="14"/>
      <c r="D3" s="14"/>
      <c r="E3" s="15"/>
      <c r="F3" s="15"/>
      <c r="G3" s="15"/>
      <c r="H3" s="15"/>
      <c r="I3" s="47" t="s">
        <v>107</v>
      </c>
      <c r="J3" s="47">
        <v>13</v>
      </c>
      <c r="K3" s="15"/>
      <c r="L3" s="14"/>
      <c r="M3" s="14"/>
      <c r="N3" s="14"/>
      <c r="O3" s="14"/>
      <c r="P3" s="14"/>
      <c r="Q3" s="14"/>
      <c r="R3" s="17"/>
    </row>
    <row r="4" spans="1:18" ht="19.899999999999999" thickBot="1" x14ac:dyDescent="0.4">
      <c r="A4" s="18"/>
      <c r="B4" s="14"/>
      <c r="C4" s="14"/>
      <c r="D4" s="14"/>
      <c r="E4" s="15"/>
      <c r="F4" s="15"/>
      <c r="G4" s="15"/>
      <c r="H4" s="15"/>
      <c r="I4" s="15"/>
      <c r="J4" s="15"/>
      <c r="K4" s="15"/>
      <c r="L4" s="14"/>
      <c r="M4" s="14"/>
      <c r="N4" s="14"/>
      <c r="O4" s="14"/>
      <c r="P4" s="14"/>
      <c r="Q4" s="14"/>
      <c r="R4" s="17"/>
    </row>
    <row r="5" spans="1:18" s="5" customFormat="1" ht="54" customHeight="1" x14ac:dyDescent="0.25">
      <c r="A5" s="112" t="s">
        <v>1</v>
      </c>
      <c r="B5" s="108" t="s">
        <v>7</v>
      </c>
      <c r="C5" s="114" t="s">
        <v>5</v>
      </c>
      <c r="D5" s="114" t="s">
        <v>6</v>
      </c>
      <c r="E5" s="108" t="s">
        <v>10</v>
      </c>
      <c r="F5" s="108"/>
      <c r="G5" s="108"/>
      <c r="H5" s="108"/>
      <c r="I5" s="108" t="s">
        <v>11</v>
      </c>
      <c r="J5" s="108"/>
      <c r="K5" s="108"/>
      <c r="L5" s="108" t="s">
        <v>8</v>
      </c>
      <c r="M5" s="108"/>
      <c r="N5" s="108"/>
      <c r="O5" s="108"/>
      <c r="P5" s="108"/>
      <c r="Q5" s="108"/>
      <c r="R5" s="109"/>
    </row>
    <row r="6" spans="1:18" s="6" customFormat="1" ht="79.150000000000006" customHeight="1" x14ac:dyDescent="0.25">
      <c r="A6" s="113"/>
      <c r="B6" s="110"/>
      <c r="C6" s="110"/>
      <c r="D6" s="110"/>
      <c r="E6" s="7" t="s">
        <v>2</v>
      </c>
      <c r="F6" s="8" t="s">
        <v>15</v>
      </c>
      <c r="G6" s="8" t="s">
        <v>16</v>
      </c>
      <c r="H6" s="8" t="s">
        <v>17</v>
      </c>
      <c r="I6" s="7" t="s">
        <v>12</v>
      </c>
      <c r="J6" s="7" t="s">
        <v>13</v>
      </c>
      <c r="K6" s="7" t="s">
        <v>14</v>
      </c>
      <c r="L6" s="110"/>
      <c r="M6" s="110"/>
      <c r="N6" s="110"/>
      <c r="O6" s="110"/>
      <c r="P6" s="110"/>
      <c r="Q6" s="110"/>
      <c r="R6" s="111"/>
    </row>
    <row r="7" spans="1:18" ht="41.45" customHeight="1" x14ac:dyDescent="0.25">
      <c r="A7" s="52" t="s">
        <v>94</v>
      </c>
      <c r="B7" s="21" t="s">
        <v>108</v>
      </c>
      <c r="C7" s="22">
        <v>0</v>
      </c>
      <c r="D7" s="22">
        <v>1.3</v>
      </c>
      <c r="E7" s="21" t="s">
        <v>109</v>
      </c>
      <c r="F7" s="21"/>
      <c r="G7" s="21"/>
      <c r="H7" s="21"/>
      <c r="I7" s="21" t="s">
        <v>109</v>
      </c>
      <c r="J7" s="21"/>
      <c r="K7" s="21"/>
      <c r="L7" s="135" t="s">
        <v>123</v>
      </c>
      <c r="M7" s="133"/>
      <c r="N7" s="133"/>
      <c r="O7" s="133"/>
      <c r="P7" s="133"/>
      <c r="Q7" s="133"/>
      <c r="R7" s="134"/>
    </row>
    <row r="8" spans="1:18" ht="41.45" customHeight="1" x14ac:dyDescent="0.25">
      <c r="A8" s="52" t="s">
        <v>94</v>
      </c>
      <c r="B8" s="21"/>
      <c r="C8" s="22">
        <v>1.3</v>
      </c>
      <c r="D8" s="22">
        <v>2.2999999999999998</v>
      </c>
      <c r="E8" s="21" t="s">
        <v>109</v>
      </c>
      <c r="F8" s="21"/>
      <c r="G8" s="21"/>
      <c r="H8" s="21"/>
      <c r="I8" s="21" t="s">
        <v>109</v>
      </c>
      <c r="J8" s="21"/>
      <c r="K8" s="21"/>
      <c r="L8" s="133" t="s">
        <v>122</v>
      </c>
      <c r="M8" s="133"/>
      <c r="N8" s="133"/>
      <c r="O8" s="133"/>
      <c r="P8" s="133"/>
      <c r="Q8" s="133"/>
      <c r="R8" s="134"/>
    </row>
    <row r="9" spans="1:18" ht="41.45" customHeight="1" x14ac:dyDescent="0.25">
      <c r="A9" s="52" t="s">
        <v>94</v>
      </c>
      <c r="B9" s="21"/>
      <c r="C9" s="22">
        <v>2.2999999999999998</v>
      </c>
      <c r="D9" s="22">
        <v>2.8</v>
      </c>
      <c r="E9" s="21" t="s">
        <v>109</v>
      </c>
      <c r="F9" s="21"/>
      <c r="G9" s="21"/>
      <c r="H9" s="21"/>
      <c r="I9" s="21" t="s">
        <v>109</v>
      </c>
      <c r="J9" s="21"/>
      <c r="K9" s="21"/>
      <c r="L9" s="133" t="s">
        <v>124</v>
      </c>
      <c r="M9" s="133"/>
      <c r="N9" s="133"/>
      <c r="O9" s="133"/>
      <c r="P9" s="133"/>
      <c r="Q9" s="133"/>
      <c r="R9" s="134"/>
    </row>
    <row r="10" spans="1:18" ht="41.45" customHeight="1" x14ac:dyDescent="0.25">
      <c r="A10" s="52" t="s">
        <v>94</v>
      </c>
      <c r="B10" s="21"/>
      <c r="C10" s="22">
        <v>2.8</v>
      </c>
      <c r="D10" s="22">
        <v>6.3</v>
      </c>
      <c r="E10" s="21" t="s">
        <v>109</v>
      </c>
      <c r="F10" s="21"/>
      <c r="G10" s="21"/>
      <c r="H10" s="21"/>
      <c r="I10" s="21" t="s">
        <v>109</v>
      </c>
      <c r="J10" s="21"/>
      <c r="K10" s="21"/>
      <c r="L10" s="133" t="s">
        <v>125</v>
      </c>
      <c r="M10" s="133"/>
      <c r="N10" s="133"/>
      <c r="O10" s="133"/>
      <c r="P10" s="133"/>
      <c r="Q10" s="133"/>
      <c r="R10" s="134"/>
    </row>
    <row r="11" spans="1:18" ht="41.45" customHeight="1" x14ac:dyDescent="0.25">
      <c r="A11" s="52" t="s">
        <v>94</v>
      </c>
      <c r="B11" s="21"/>
      <c r="C11" s="22">
        <v>6.3</v>
      </c>
      <c r="D11" s="22">
        <v>15.94</v>
      </c>
      <c r="E11" s="21" t="s">
        <v>109</v>
      </c>
      <c r="F11" s="21"/>
      <c r="G11" s="21"/>
      <c r="H11" s="21"/>
      <c r="I11" s="21" t="s">
        <v>109</v>
      </c>
      <c r="J11" s="21"/>
      <c r="K11" s="21"/>
      <c r="L11" s="133" t="s">
        <v>126</v>
      </c>
      <c r="M11" s="133"/>
      <c r="N11" s="133"/>
      <c r="O11" s="133"/>
      <c r="P11" s="133"/>
      <c r="Q11" s="133"/>
      <c r="R11" s="134"/>
    </row>
    <row r="12" spans="1:18" ht="41.45" customHeight="1" x14ac:dyDescent="0.25">
      <c r="A12" s="52" t="s">
        <v>96</v>
      </c>
      <c r="B12" s="21" t="s">
        <v>108</v>
      </c>
      <c r="C12" s="22">
        <v>0</v>
      </c>
      <c r="D12" s="22">
        <v>4</v>
      </c>
      <c r="E12" s="21" t="s">
        <v>109</v>
      </c>
      <c r="F12" s="21"/>
      <c r="G12" s="21"/>
      <c r="H12" s="21"/>
      <c r="I12" s="21" t="s">
        <v>109</v>
      </c>
      <c r="J12" s="21"/>
      <c r="K12" s="21"/>
      <c r="L12" s="135" t="s">
        <v>127</v>
      </c>
      <c r="M12" s="133"/>
      <c r="N12" s="133"/>
      <c r="O12" s="133"/>
      <c r="P12" s="133"/>
      <c r="Q12" s="133"/>
      <c r="R12" s="134"/>
    </row>
    <row r="13" spans="1:18" ht="41.45" customHeight="1" x14ac:dyDescent="0.25">
      <c r="A13" s="52" t="s">
        <v>96</v>
      </c>
      <c r="B13" s="21"/>
      <c r="C13" s="22">
        <v>4</v>
      </c>
      <c r="D13" s="22">
        <v>5</v>
      </c>
      <c r="E13" s="21" t="s">
        <v>109</v>
      </c>
      <c r="F13" s="21"/>
      <c r="G13" s="21"/>
      <c r="H13" s="21"/>
      <c r="I13" s="21" t="s">
        <v>109</v>
      </c>
      <c r="J13" s="21"/>
      <c r="K13" s="21"/>
      <c r="L13" s="133" t="s">
        <v>128</v>
      </c>
      <c r="M13" s="133"/>
      <c r="N13" s="133"/>
      <c r="O13" s="133"/>
      <c r="P13" s="133"/>
      <c r="Q13" s="133"/>
      <c r="R13" s="134"/>
    </row>
    <row r="14" spans="1:18" ht="41.45" customHeight="1" x14ac:dyDescent="0.25">
      <c r="A14" s="52" t="s">
        <v>96</v>
      </c>
      <c r="B14" s="21"/>
      <c r="C14" s="22">
        <v>5</v>
      </c>
      <c r="D14" s="22">
        <v>6</v>
      </c>
      <c r="E14" s="21" t="s">
        <v>109</v>
      </c>
      <c r="F14" s="21"/>
      <c r="G14" s="21"/>
      <c r="H14" s="21"/>
      <c r="I14" s="21" t="s">
        <v>109</v>
      </c>
      <c r="J14" s="21"/>
      <c r="K14" s="21"/>
      <c r="L14" s="133" t="s">
        <v>129</v>
      </c>
      <c r="M14" s="133"/>
      <c r="N14" s="133"/>
      <c r="O14" s="133"/>
      <c r="P14" s="133"/>
      <c r="Q14" s="133"/>
      <c r="R14" s="134"/>
    </row>
    <row r="15" spans="1:18" ht="41.45" customHeight="1" x14ac:dyDescent="0.25">
      <c r="A15" s="52" t="s">
        <v>96</v>
      </c>
      <c r="B15" s="21"/>
      <c r="C15" s="22">
        <v>6</v>
      </c>
      <c r="D15" s="22">
        <v>8</v>
      </c>
      <c r="E15" s="21" t="s">
        <v>109</v>
      </c>
      <c r="F15" s="21"/>
      <c r="G15" s="21"/>
      <c r="H15" s="21"/>
      <c r="I15" s="21" t="s">
        <v>109</v>
      </c>
      <c r="J15" s="21"/>
      <c r="K15" s="21"/>
      <c r="L15" s="133" t="s">
        <v>130</v>
      </c>
      <c r="M15" s="133"/>
      <c r="N15" s="133"/>
      <c r="O15" s="133"/>
      <c r="P15" s="133"/>
      <c r="Q15" s="133"/>
      <c r="R15" s="134"/>
    </row>
    <row r="16" spans="1:18" ht="41.45" customHeight="1" x14ac:dyDescent="0.25">
      <c r="A16" s="52" t="s">
        <v>96</v>
      </c>
      <c r="B16" s="21"/>
      <c r="C16" s="22">
        <v>8</v>
      </c>
      <c r="D16" s="22">
        <v>10</v>
      </c>
      <c r="E16" s="21" t="s">
        <v>109</v>
      </c>
      <c r="F16" s="21"/>
      <c r="G16" s="21"/>
      <c r="H16" s="21"/>
      <c r="I16" s="21" t="s">
        <v>109</v>
      </c>
      <c r="J16" s="21"/>
      <c r="K16" s="21"/>
      <c r="L16" s="133"/>
      <c r="M16" s="133"/>
      <c r="N16" s="133"/>
      <c r="O16" s="133"/>
      <c r="P16" s="133"/>
      <c r="Q16" s="133"/>
      <c r="R16" s="134"/>
    </row>
    <row r="17" spans="1:18" ht="41.45" customHeight="1" x14ac:dyDescent="0.25">
      <c r="A17" s="52" t="s">
        <v>96</v>
      </c>
      <c r="B17" s="21"/>
      <c r="C17" s="22">
        <v>10</v>
      </c>
      <c r="D17" s="22">
        <v>10</v>
      </c>
      <c r="E17" s="21" t="s">
        <v>109</v>
      </c>
      <c r="F17" s="21"/>
      <c r="G17" s="21"/>
      <c r="H17" s="21"/>
      <c r="I17" s="21"/>
      <c r="J17" s="21"/>
      <c r="K17" s="21" t="s">
        <v>109</v>
      </c>
      <c r="L17" s="133" t="s">
        <v>131</v>
      </c>
      <c r="M17" s="133"/>
      <c r="N17" s="133"/>
      <c r="O17" s="133"/>
      <c r="P17" s="133"/>
      <c r="Q17" s="133"/>
      <c r="R17" s="134"/>
    </row>
    <row r="18" spans="1:18" ht="41.45" customHeight="1" x14ac:dyDescent="0.25">
      <c r="A18" s="52" t="s">
        <v>96</v>
      </c>
      <c r="B18" s="3"/>
      <c r="C18" s="22">
        <v>10</v>
      </c>
      <c r="D18" s="22">
        <v>17</v>
      </c>
      <c r="E18" s="21" t="s">
        <v>109</v>
      </c>
      <c r="F18" s="21"/>
      <c r="G18" s="21"/>
      <c r="H18" s="21"/>
      <c r="I18" s="21"/>
      <c r="J18" s="21"/>
      <c r="K18" s="21" t="s">
        <v>109</v>
      </c>
      <c r="L18" s="133" t="s">
        <v>132</v>
      </c>
      <c r="M18" s="133"/>
      <c r="N18" s="133"/>
      <c r="O18" s="133"/>
      <c r="P18" s="133"/>
      <c r="Q18" s="133"/>
      <c r="R18" s="134"/>
    </row>
    <row r="19" spans="1:18" ht="41.45" customHeight="1" x14ac:dyDescent="0.25">
      <c r="A19" s="52" t="s">
        <v>96</v>
      </c>
      <c r="B19" s="3"/>
      <c r="C19" s="22">
        <v>17</v>
      </c>
      <c r="D19" s="22">
        <v>19</v>
      </c>
      <c r="E19" s="21" t="s">
        <v>109</v>
      </c>
      <c r="F19" s="21"/>
      <c r="G19" s="21"/>
      <c r="H19" s="21"/>
      <c r="I19" s="21"/>
      <c r="J19" s="21"/>
      <c r="K19" s="21" t="s">
        <v>109</v>
      </c>
      <c r="L19" s="133" t="s">
        <v>133</v>
      </c>
      <c r="M19" s="133"/>
      <c r="N19" s="133"/>
      <c r="O19" s="133"/>
      <c r="P19" s="133"/>
      <c r="Q19" s="133"/>
      <c r="R19" s="134"/>
    </row>
    <row r="20" spans="1:18" ht="41.45" customHeight="1" x14ac:dyDescent="0.25">
      <c r="A20" s="52" t="s">
        <v>96</v>
      </c>
      <c r="B20" s="3"/>
      <c r="C20" s="22">
        <v>19</v>
      </c>
      <c r="D20" s="22">
        <v>20</v>
      </c>
      <c r="E20" s="21" t="s">
        <v>109</v>
      </c>
      <c r="F20" s="21"/>
      <c r="G20" s="21"/>
      <c r="H20" s="21"/>
      <c r="I20" s="21"/>
      <c r="J20" s="21"/>
      <c r="K20" s="21" t="s">
        <v>109</v>
      </c>
      <c r="L20" s="133" t="s">
        <v>134</v>
      </c>
      <c r="M20" s="133"/>
      <c r="N20" s="133"/>
      <c r="O20" s="133"/>
      <c r="P20" s="133"/>
      <c r="Q20" s="133"/>
      <c r="R20" s="134"/>
    </row>
    <row r="21" spans="1:18" ht="41.45" customHeight="1" x14ac:dyDescent="0.25">
      <c r="A21" s="52" t="s">
        <v>96</v>
      </c>
      <c r="B21" s="3"/>
      <c r="C21" s="22">
        <v>20</v>
      </c>
      <c r="D21" s="22">
        <v>22</v>
      </c>
      <c r="E21" s="21" t="s">
        <v>109</v>
      </c>
      <c r="F21" s="21"/>
      <c r="G21" s="21"/>
      <c r="H21" s="21"/>
      <c r="I21" s="21"/>
      <c r="J21" s="21"/>
      <c r="K21" s="21" t="s">
        <v>109</v>
      </c>
      <c r="L21" s="133" t="s">
        <v>135</v>
      </c>
      <c r="M21" s="133"/>
      <c r="N21" s="133"/>
      <c r="O21" s="133"/>
      <c r="P21" s="133"/>
      <c r="Q21" s="133"/>
      <c r="R21" s="134"/>
    </row>
    <row r="22" spans="1:18" ht="41.45" customHeight="1" x14ac:dyDescent="0.25">
      <c r="A22" s="52" t="s">
        <v>96</v>
      </c>
      <c r="B22" s="3"/>
      <c r="C22" s="22">
        <v>22</v>
      </c>
      <c r="D22" s="22">
        <v>23</v>
      </c>
      <c r="E22" s="21" t="s">
        <v>109</v>
      </c>
      <c r="F22" s="21"/>
      <c r="G22" s="21"/>
      <c r="H22" s="21"/>
      <c r="I22" s="21"/>
      <c r="J22" s="21"/>
      <c r="K22" s="21" t="s">
        <v>109</v>
      </c>
      <c r="L22" s="133"/>
      <c r="M22" s="133"/>
      <c r="N22" s="133"/>
      <c r="O22" s="133"/>
      <c r="P22" s="133"/>
      <c r="Q22" s="133"/>
      <c r="R22" s="134"/>
    </row>
    <row r="23" spans="1:18" ht="41.45" customHeight="1" x14ac:dyDescent="0.25">
      <c r="A23" s="52" t="s">
        <v>96</v>
      </c>
      <c r="B23" s="3"/>
      <c r="C23" s="22">
        <v>23</v>
      </c>
      <c r="D23" s="22">
        <v>24</v>
      </c>
      <c r="E23" s="21" t="s">
        <v>109</v>
      </c>
      <c r="F23" s="21"/>
      <c r="G23" s="21"/>
      <c r="H23" s="21"/>
      <c r="I23" s="21"/>
      <c r="J23" s="21"/>
      <c r="K23" s="21" t="s">
        <v>109</v>
      </c>
      <c r="L23" s="133" t="s">
        <v>136</v>
      </c>
      <c r="M23" s="133"/>
      <c r="N23" s="133"/>
      <c r="O23" s="133"/>
      <c r="P23" s="133"/>
      <c r="Q23" s="133"/>
      <c r="R23" s="134"/>
    </row>
    <row r="24" spans="1:18" ht="41.45" customHeight="1" x14ac:dyDescent="0.25">
      <c r="A24" s="52" t="s">
        <v>96</v>
      </c>
      <c r="B24" s="3"/>
      <c r="C24" s="22">
        <v>24</v>
      </c>
      <c r="D24" s="22">
        <v>24</v>
      </c>
      <c r="E24" s="21" t="s">
        <v>109</v>
      </c>
      <c r="F24" s="21"/>
      <c r="G24" s="21"/>
      <c r="H24" s="21"/>
      <c r="I24" s="21" t="s">
        <v>113</v>
      </c>
      <c r="J24" s="21"/>
      <c r="K24" s="21" t="s">
        <v>109</v>
      </c>
      <c r="L24" s="133" t="s">
        <v>137</v>
      </c>
      <c r="M24" s="133"/>
      <c r="N24" s="133"/>
      <c r="O24" s="133"/>
      <c r="P24" s="133"/>
      <c r="Q24" s="133"/>
      <c r="R24" s="134"/>
    </row>
    <row r="25" spans="1:18" ht="41.45" customHeight="1" x14ac:dyDescent="0.25">
      <c r="A25" s="52" t="s">
        <v>96</v>
      </c>
      <c r="B25" s="3"/>
      <c r="C25" s="22">
        <v>24</v>
      </c>
      <c r="D25" s="22">
        <v>24.6</v>
      </c>
      <c r="E25" s="21" t="s">
        <v>109</v>
      </c>
      <c r="F25" s="21"/>
      <c r="G25" s="21"/>
      <c r="H25" s="21"/>
      <c r="I25" s="21"/>
      <c r="J25" s="21"/>
      <c r="K25" s="21" t="s">
        <v>109</v>
      </c>
      <c r="L25" s="133" t="s">
        <v>138</v>
      </c>
      <c r="M25" s="133"/>
      <c r="N25" s="133"/>
      <c r="O25" s="133"/>
      <c r="P25" s="133"/>
      <c r="Q25" s="133"/>
      <c r="R25" s="134"/>
    </row>
    <row r="26" spans="1:18" ht="41.45" customHeight="1" x14ac:dyDescent="0.25">
      <c r="A26" s="52" t="s">
        <v>96</v>
      </c>
      <c r="B26" s="3"/>
      <c r="C26" s="22">
        <v>24.6</v>
      </c>
      <c r="D26" s="22">
        <v>25</v>
      </c>
      <c r="E26" s="21" t="s">
        <v>109</v>
      </c>
      <c r="F26" s="21"/>
      <c r="G26" s="21"/>
      <c r="H26" s="21"/>
      <c r="I26" s="21"/>
      <c r="J26" s="21"/>
      <c r="K26" s="21" t="s">
        <v>109</v>
      </c>
      <c r="L26" s="133" t="s">
        <v>139</v>
      </c>
      <c r="M26" s="133"/>
      <c r="N26" s="133"/>
      <c r="O26" s="133"/>
      <c r="P26" s="133"/>
      <c r="Q26" s="133"/>
      <c r="R26" s="134"/>
    </row>
    <row r="27" spans="1:18" ht="41.45" customHeight="1" x14ac:dyDescent="0.25">
      <c r="A27" s="52" t="s">
        <v>96</v>
      </c>
      <c r="B27" s="3"/>
      <c r="C27" s="22">
        <v>25</v>
      </c>
      <c r="D27" s="22">
        <v>27.24</v>
      </c>
      <c r="E27" s="21" t="s">
        <v>109</v>
      </c>
      <c r="F27" s="21"/>
      <c r="G27" s="21"/>
      <c r="H27" s="21"/>
      <c r="I27" s="21"/>
      <c r="J27" s="21"/>
      <c r="K27" s="21" t="s">
        <v>109</v>
      </c>
      <c r="L27" s="133" t="s">
        <v>140</v>
      </c>
      <c r="M27" s="133"/>
      <c r="N27" s="133"/>
      <c r="O27" s="133"/>
      <c r="P27" s="133"/>
      <c r="Q27" s="133"/>
      <c r="R27" s="134"/>
    </row>
    <row r="28" spans="1:18" ht="41.45" customHeight="1" x14ac:dyDescent="0.25">
      <c r="A28" s="51" t="s">
        <v>98</v>
      </c>
      <c r="B28" s="21" t="s">
        <v>108</v>
      </c>
      <c r="C28" s="22">
        <v>0</v>
      </c>
      <c r="D28" s="22">
        <v>4</v>
      </c>
      <c r="E28" s="21" t="s">
        <v>109</v>
      </c>
      <c r="F28" s="21"/>
      <c r="G28" s="21"/>
      <c r="H28" s="21"/>
      <c r="I28" s="21"/>
      <c r="J28" s="21"/>
      <c r="K28" s="21" t="s">
        <v>109</v>
      </c>
      <c r="L28" s="135" t="s">
        <v>141</v>
      </c>
      <c r="M28" s="133"/>
      <c r="N28" s="133"/>
      <c r="O28" s="133"/>
      <c r="P28" s="133"/>
      <c r="Q28" s="133"/>
      <c r="R28" s="134"/>
    </row>
    <row r="29" spans="1:18" ht="41.45" customHeight="1" x14ac:dyDescent="0.25">
      <c r="A29" s="51" t="s">
        <v>98</v>
      </c>
      <c r="B29" s="3"/>
      <c r="C29" s="22">
        <v>4</v>
      </c>
      <c r="D29" s="22">
        <v>8</v>
      </c>
      <c r="E29" s="21" t="s">
        <v>109</v>
      </c>
      <c r="F29" s="21"/>
      <c r="G29" s="21"/>
      <c r="H29" s="21"/>
      <c r="I29" s="21"/>
      <c r="J29" s="21"/>
      <c r="K29" s="21" t="s">
        <v>109</v>
      </c>
      <c r="L29" s="133" t="s">
        <v>114</v>
      </c>
      <c r="M29" s="133"/>
      <c r="N29" s="133"/>
      <c r="O29" s="133"/>
      <c r="P29" s="133"/>
      <c r="Q29" s="133"/>
      <c r="R29" s="134"/>
    </row>
    <row r="30" spans="1:18" ht="41.45" customHeight="1" x14ac:dyDescent="0.25">
      <c r="A30" s="51" t="s">
        <v>98</v>
      </c>
      <c r="B30" s="3"/>
      <c r="C30" s="22">
        <v>8</v>
      </c>
      <c r="D30" s="22">
        <v>12</v>
      </c>
      <c r="E30" s="21" t="s">
        <v>109</v>
      </c>
      <c r="F30" s="21"/>
      <c r="G30" s="21"/>
      <c r="H30" s="21"/>
      <c r="I30" s="21"/>
      <c r="J30" s="21"/>
      <c r="K30" s="21" t="s">
        <v>109</v>
      </c>
      <c r="L30" s="133" t="s">
        <v>142</v>
      </c>
      <c r="M30" s="133"/>
      <c r="N30" s="133"/>
      <c r="O30" s="133"/>
      <c r="P30" s="133"/>
      <c r="Q30" s="133"/>
      <c r="R30" s="134"/>
    </row>
    <row r="31" spans="1:18" ht="41.45" customHeight="1" x14ac:dyDescent="0.25">
      <c r="A31" s="51" t="s">
        <v>98</v>
      </c>
      <c r="B31" s="3"/>
      <c r="C31" s="22">
        <v>12</v>
      </c>
      <c r="D31" s="22">
        <v>14</v>
      </c>
      <c r="E31" s="21" t="s">
        <v>109</v>
      </c>
      <c r="F31" s="21"/>
      <c r="G31" s="21"/>
      <c r="H31" s="21"/>
      <c r="I31" s="21"/>
      <c r="J31" s="21"/>
      <c r="K31" s="21" t="s">
        <v>109</v>
      </c>
      <c r="L31" s="133" t="s">
        <v>143</v>
      </c>
      <c r="M31" s="133"/>
      <c r="N31" s="133"/>
      <c r="O31" s="133"/>
      <c r="P31" s="133"/>
      <c r="Q31" s="133"/>
      <c r="R31" s="134"/>
    </row>
    <row r="32" spans="1:18" ht="41.45" customHeight="1" x14ac:dyDescent="0.25">
      <c r="A32" s="51" t="s">
        <v>98</v>
      </c>
      <c r="B32" s="3"/>
      <c r="C32" s="22">
        <v>14</v>
      </c>
      <c r="D32" s="22">
        <v>15</v>
      </c>
      <c r="E32" s="21" t="s">
        <v>109</v>
      </c>
      <c r="F32" s="21"/>
      <c r="G32" s="21"/>
      <c r="H32" s="21"/>
      <c r="I32" s="21"/>
      <c r="J32" s="21"/>
      <c r="K32" s="21" t="s">
        <v>109</v>
      </c>
      <c r="L32" s="133" t="s">
        <v>144</v>
      </c>
      <c r="M32" s="133"/>
      <c r="N32" s="133"/>
      <c r="O32" s="133"/>
      <c r="P32" s="133"/>
      <c r="Q32" s="133"/>
      <c r="R32" s="134"/>
    </row>
    <row r="33" spans="1:18" ht="41.45" customHeight="1" x14ac:dyDescent="0.25">
      <c r="A33" s="51" t="s">
        <v>98</v>
      </c>
      <c r="B33" s="3"/>
      <c r="C33" s="22">
        <v>15</v>
      </c>
      <c r="D33" s="22">
        <v>22</v>
      </c>
      <c r="E33" s="21" t="s">
        <v>109</v>
      </c>
      <c r="F33" s="21"/>
      <c r="G33" s="21"/>
      <c r="H33" s="21"/>
      <c r="I33" s="21"/>
      <c r="J33" s="21"/>
      <c r="K33" s="21" t="s">
        <v>109</v>
      </c>
      <c r="L33" s="133" t="s">
        <v>145</v>
      </c>
      <c r="M33" s="133"/>
      <c r="N33" s="133"/>
      <c r="O33" s="133"/>
      <c r="P33" s="133"/>
      <c r="Q33" s="133"/>
      <c r="R33" s="134"/>
    </row>
    <row r="34" spans="1:18" ht="41.45" customHeight="1" x14ac:dyDescent="0.25">
      <c r="A34" s="51" t="s">
        <v>98</v>
      </c>
      <c r="B34" s="3"/>
      <c r="C34" s="22">
        <v>22</v>
      </c>
      <c r="D34" s="22">
        <v>24</v>
      </c>
      <c r="E34" s="21" t="s">
        <v>109</v>
      </c>
      <c r="F34" s="21"/>
      <c r="G34" s="21"/>
      <c r="H34" s="21"/>
      <c r="I34" s="21"/>
      <c r="J34" s="21"/>
      <c r="K34" s="21" t="s">
        <v>109</v>
      </c>
      <c r="L34" s="115" t="s">
        <v>146</v>
      </c>
      <c r="M34" s="116"/>
      <c r="N34" s="116"/>
      <c r="O34" s="116"/>
      <c r="P34" s="116"/>
      <c r="Q34" s="116"/>
      <c r="R34" s="117"/>
    </row>
    <row r="35" spans="1:18" ht="41.45" customHeight="1" x14ac:dyDescent="0.25">
      <c r="A35" s="51" t="s">
        <v>98</v>
      </c>
      <c r="B35" s="3"/>
      <c r="C35" s="22">
        <v>24</v>
      </c>
      <c r="D35" s="22">
        <v>27</v>
      </c>
      <c r="E35" s="21" t="s">
        <v>109</v>
      </c>
      <c r="F35" s="21"/>
      <c r="G35" s="21"/>
      <c r="H35" s="21"/>
      <c r="I35" s="21"/>
      <c r="J35" s="21"/>
      <c r="K35" s="21" t="s">
        <v>109</v>
      </c>
      <c r="L35" s="115" t="s">
        <v>147</v>
      </c>
      <c r="M35" s="116"/>
      <c r="N35" s="116"/>
      <c r="O35" s="116"/>
      <c r="P35" s="116"/>
      <c r="Q35" s="116"/>
      <c r="R35" s="117"/>
    </row>
    <row r="36" spans="1:18" ht="41.45" customHeight="1" x14ac:dyDescent="0.25">
      <c r="A36" s="51" t="s">
        <v>98</v>
      </c>
      <c r="B36" s="3"/>
      <c r="C36" s="22">
        <v>27</v>
      </c>
      <c r="D36" s="22">
        <v>28.47</v>
      </c>
      <c r="E36" s="21" t="s">
        <v>109</v>
      </c>
      <c r="F36" s="21"/>
      <c r="G36" s="21"/>
      <c r="H36" s="21"/>
      <c r="I36" s="21"/>
      <c r="J36" s="21"/>
      <c r="K36" s="21" t="s">
        <v>109</v>
      </c>
      <c r="L36" s="115" t="s">
        <v>120</v>
      </c>
      <c r="M36" s="116"/>
      <c r="N36" s="116"/>
      <c r="O36" s="116"/>
      <c r="P36" s="116"/>
      <c r="Q36" s="116"/>
      <c r="R36" s="117"/>
    </row>
    <row r="37" spans="1:18" ht="41.45" customHeight="1" x14ac:dyDescent="0.25">
      <c r="A37" s="51" t="s">
        <v>148</v>
      </c>
      <c r="B37" s="21" t="s">
        <v>108</v>
      </c>
      <c r="C37" s="22">
        <v>0</v>
      </c>
      <c r="D37" s="22">
        <v>0.5</v>
      </c>
      <c r="E37" s="21" t="s">
        <v>109</v>
      </c>
      <c r="F37" s="21"/>
      <c r="G37" s="21"/>
      <c r="H37" s="21"/>
      <c r="I37" s="21"/>
      <c r="J37" s="21"/>
      <c r="K37" s="21" t="s">
        <v>109</v>
      </c>
      <c r="L37" s="130" t="s">
        <v>149</v>
      </c>
      <c r="M37" s="131"/>
      <c r="N37" s="131"/>
      <c r="O37" s="131"/>
      <c r="P37" s="131"/>
      <c r="Q37" s="131"/>
      <c r="R37" s="132"/>
    </row>
    <row r="38" spans="1:18" ht="41.45" customHeight="1" x14ac:dyDescent="0.25">
      <c r="A38" s="51" t="s">
        <v>148</v>
      </c>
      <c r="B38" s="3"/>
      <c r="C38" s="22">
        <v>0.5</v>
      </c>
      <c r="D38" s="22">
        <v>3</v>
      </c>
      <c r="E38" s="21" t="s">
        <v>109</v>
      </c>
      <c r="F38" s="21"/>
      <c r="G38" s="21"/>
      <c r="H38" s="21"/>
      <c r="I38" s="21"/>
      <c r="J38" s="21"/>
      <c r="K38" s="21" t="s">
        <v>109</v>
      </c>
      <c r="L38" s="115" t="s">
        <v>150</v>
      </c>
      <c r="M38" s="116"/>
      <c r="N38" s="116"/>
      <c r="O38" s="116"/>
      <c r="P38" s="116"/>
      <c r="Q38" s="116"/>
      <c r="R38" s="117"/>
    </row>
    <row r="39" spans="1:18" ht="41.45" customHeight="1" x14ac:dyDescent="0.25">
      <c r="A39" s="51" t="s">
        <v>148</v>
      </c>
      <c r="B39" s="3"/>
      <c r="C39" s="22">
        <v>3</v>
      </c>
      <c r="D39" s="22">
        <v>4.1900000000000004</v>
      </c>
      <c r="E39" s="21" t="s">
        <v>109</v>
      </c>
      <c r="F39" s="21"/>
      <c r="G39" s="21"/>
      <c r="H39" s="21"/>
      <c r="I39" s="21"/>
      <c r="J39" s="21"/>
      <c r="K39" s="21" t="s">
        <v>109</v>
      </c>
      <c r="L39" s="115" t="s">
        <v>120</v>
      </c>
      <c r="M39" s="116"/>
      <c r="N39" s="116"/>
      <c r="O39" s="116"/>
      <c r="P39" s="116"/>
      <c r="Q39" s="116"/>
      <c r="R39" s="117"/>
    </row>
    <row r="40" spans="1:18" ht="41.45" customHeight="1" x14ac:dyDescent="0.25">
      <c r="A40" s="19"/>
      <c r="B40" s="3"/>
      <c r="C40" s="22"/>
      <c r="D40" s="22"/>
      <c r="E40" s="21"/>
      <c r="F40" s="21"/>
      <c r="G40" s="21"/>
      <c r="H40" s="21"/>
      <c r="I40" s="21"/>
      <c r="J40" s="21"/>
      <c r="K40" s="21"/>
      <c r="L40" s="125"/>
      <c r="M40" s="126"/>
      <c r="N40" s="126"/>
      <c r="O40" s="126"/>
      <c r="P40" s="126"/>
      <c r="Q40" s="126"/>
      <c r="R40" s="127"/>
    </row>
    <row r="41" spans="1:18" ht="41.45" customHeight="1" x14ac:dyDescent="0.25">
      <c r="A41" s="19"/>
      <c r="B41" s="3"/>
      <c r="C41" s="22"/>
      <c r="D41" s="22"/>
      <c r="E41" s="21"/>
      <c r="F41" s="21"/>
      <c r="G41" s="21"/>
      <c r="H41" s="21"/>
      <c r="I41" s="21"/>
      <c r="J41" s="21"/>
      <c r="K41" s="21"/>
      <c r="L41" s="125"/>
      <c r="M41" s="126"/>
      <c r="N41" s="126"/>
      <c r="O41" s="126"/>
      <c r="P41" s="126"/>
      <c r="Q41" s="126"/>
      <c r="R41" s="127"/>
    </row>
    <row r="42" spans="1:18" ht="41.45" customHeight="1" x14ac:dyDescent="0.25">
      <c r="A42" s="19"/>
      <c r="B42" s="3"/>
      <c r="C42" s="22"/>
      <c r="D42" s="22"/>
      <c r="E42" s="21"/>
      <c r="F42" s="21"/>
      <c r="G42" s="21"/>
      <c r="H42" s="21"/>
      <c r="I42" s="21"/>
      <c r="J42" s="21"/>
      <c r="K42" s="21"/>
      <c r="L42" s="125"/>
      <c r="M42" s="126"/>
      <c r="N42" s="126"/>
      <c r="O42" s="126"/>
      <c r="P42" s="126"/>
      <c r="Q42" s="126"/>
      <c r="R42" s="127"/>
    </row>
    <row r="43" spans="1:18" ht="41.45" customHeight="1" x14ac:dyDescent="0.25">
      <c r="A43" s="19"/>
      <c r="B43" s="3"/>
      <c r="C43" s="22"/>
      <c r="D43" s="22"/>
      <c r="E43" s="21"/>
      <c r="F43" s="21"/>
      <c r="G43" s="21"/>
      <c r="H43" s="21"/>
      <c r="I43" s="21"/>
      <c r="J43" s="21"/>
      <c r="K43" s="21"/>
      <c r="L43" s="125"/>
      <c r="M43" s="126"/>
      <c r="N43" s="126"/>
      <c r="O43" s="126"/>
      <c r="P43" s="126"/>
      <c r="Q43" s="126"/>
      <c r="R43" s="127"/>
    </row>
    <row r="44" spans="1:18" ht="41.45" customHeight="1" x14ac:dyDescent="0.25">
      <c r="A44" s="19"/>
      <c r="B44" s="3"/>
      <c r="C44" s="22"/>
      <c r="D44" s="22"/>
      <c r="E44" s="21"/>
      <c r="F44" s="21"/>
      <c r="G44" s="21"/>
      <c r="H44" s="21"/>
      <c r="I44" s="21"/>
      <c r="J44" s="21"/>
      <c r="K44" s="21"/>
      <c r="L44" s="125"/>
      <c r="M44" s="126"/>
      <c r="N44" s="126"/>
      <c r="O44" s="126"/>
      <c r="P44" s="126"/>
      <c r="Q44" s="126"/>
      <c r="R44" s="127"/>
    </row>
    <row r="45" spans="1:18" ht="41.45" customHeight="1" x14ac:dyDescent="0.25">
      <c r="A45" s="19"/>
      <c r="B45" s="3"/>
      <c r="C45" s="22"/>
      <c r="D45" s="22"/>
      <c r="E45" s="21"/>
      <c r="F45" s="21"/>
      <c r="G45" s="21"/>
      <c r="H45" s="21"/>
      <c r="I45" s="21"/>
      <c r="J45" s="21"/>
      <c r="K45" s="21"/>
      <c r="L45" s="125"/>
      <c r="M45" s="126"/>
      <c r="N45" s="126"/>
      <c r="O45" s="126"/>
      <c r="P45" s="126"/>
      <c r="Q45" s="126"/>
      <c r="R45" s="127"/>
    </row>
    <row r="46" spans="1:18" ht="41.45" customHeight="1" x14ac:dyDescent="0.25">
      <c r="A46" s="19"/>
      <c r="B46" s="3"/>
      <c r="C46" s="22"/>
      <c r="D46" s="22"/>
      <c r="E46" s="21"/>
      <c r="F46" s="21"/>
      <c r="G46" s="21"/>
      <c r="H46" s="21"/>
      <c r="I46" s="21"/>
      <c r="J46" s="21"/>
      <c r="K46" s="21"/>
      <c r="L46" s="125"/>
      <c r="M46" s="126"/>
      <c r="N46" s="126"/>
      <c r="O46" s="126"/>
      <c r="P46" s="126"/>
      <c r="Q46" s="126"/>
      <c r="R46" s="127"/>
    </row>
    <row r="47" spans="1:18" ht="41.45" customHeight="1" thickBot="1" x14ac:dyDescent="0.3">
      <c r="A47" s="20"/>
      <c r="B47" s="4"/>
      <c r="C47" s="23"/>
      <c r="D47" s="23"/>
      <c r="E47" s="24"/>
      <c r="F47" s="24"/>
      <c r="G47" s="24"/>
      <c r="H47" s="24"/>
      <c r="I47" s="24"/>
      <c r="J47" s="24"/>
      <c r="K47" s="24"/>
      <c r="L47" s="122"/>
      <c r="M47" s="123"/>
      <c r="N47" s="123"/>
      <c r="O47" s="123"/>
      <c r="P47" s="123"/>
      <c r="Q47" s="123"/>
      <c r="R47" s="124"/>
    </row>
    <row r="48" spans="1:18" ht="41.45" customHeight="1" x14ac:dyDescent="0.25">
      <c r="A48" s="33"/>
      <c r="B48" s="33"/>
      <c r="C48" s="34"/>
      <c r="D48" s="34"/>
      <c r="E48" s="34">
        <f>IF(E7="X",(D7-C7),"0")</f>
        <v>1.3</v>
      </c>
      <c r="F48" s="34" t="str">
        <f>IF(F7="X",(D7-C7),"0")</f>
        <v>0</v>
      </c>
      <c r="G48" s="34" t="str">
        <f>IF(G7="X",(D7-C7),"0")</f>
        <v>0</v>
      </c>
      <c r="H48" s="34" t="str">
        <f>IF(H7="X",(D7-C7),"0")</f>
        <v>0</v>
      </c>
      <c r="I48" s="34">
        <f>IF(I7="X",(D7-C7),"0")</f>
        <v>1.3</v>
      </c>
      <c r="J48" s="34" t="str">
        <f>IF(J7="X",(D7-C7),"0")</f>
        <v>0</v>
      </c>
      <c r="K48" s="34" t="str">
        <f>IF(K7="X",(D7-C7),"0")</f>
        <v>0</v>
      </c>
      <c r="L48" s="93"/>
      <c r="M48" s="93"/>
      <c r="N48" s="93"/>
      <c r="O48" s="93"/>
      <c r="P48" s="93"/>
      <c r="Q48" s="93"/>
      <c r="R48" s="93"/>
    </row>
    <row r="49" spans="3:18" ht="41.45" customHeight="1" x14ac:dyDescent="0.25">
      <c r="C49" s="35"/>
      <c r="D49" s="35"/>
      <c r="E49" s="35">
        <f>IF(E8="X",(D8-C8),"0")</f>
        <v>0.99999999999999978</v>
      </c>
      <c r="F49" s="35" t="str">
        <f>IF(F8="X",(D8-C8),"0")</f>
        <v>0</v>
      </c>
      <c r="G49" s="35" t="str">
        <f>IF(G8="X",(D8-C8),"0")</f>
        <v>0</v>
      </c>
      <c r="H49" s="35" t="str">
        <f>IF(H8="X",(D8-C8),"0")</f>
        <v>0</v>
      </c>
      <c r="I49" s="35">
        <f>IF(I8="X",(D8-C8),"0")</f>
        <v>0.99999999999999978</v>
      </c>
      <c r="J49" s="35" t="str">
        <f>IF(J8="X",(D8-C8),"0")</f>
        <v>0</v>
      </c>
      <c r="K49" s="35" t="str">
        <f>IF(K8="X",(D8-C8),"0")</f>
        <v>0</v>
      </c>
      <c r="L49" s="92"/>
      <c r="M49" s="92"/>
      <c r="N49" s="92"/>
      <c r="O49" s="92"/>
      <c r="P49" s="92"/>
      <c r="Q49" s="92"/>
      <c r="R49" s="92"/>
    </row>
    <row r="50" spans="3:18" ht="41.45" customHeight="1" x14ac:dyDescent="0.25">
      <c r="C50" s="35"/>
      <c r="D50" s="35"/>
      <c r="E50" s="35">
        <f t="shared" ref="E50:E79" si="0">IF(E9="X",(D9-C9),"0")</f>
        <v>0.5</v>
      </c>
      <c r="F50" s="35" t="str">
        <f t="shared" ref="F50:F79" si="1">IF(F9="X",(D9-C9),"0")</f>
        <v>0</v>
      </c>
      <c r="G50" s="35" t="str">
        <f t="shared" ref="G50:G79" si="2">IF(G9="X",(D9-C9),"0")</f>
        <v>0</v>
      </c>
      <c r="H50" s="35" t="str">
        <f t="shared" ref="H50:H79" si="3">IF(H9="X",(D9-C9),"0")</f>
        <v>0</v>
      </c>
      <c r="I50" s="35">
        <f t="shared" ref="I50:I79" si="4">IF(I9="X",(D9-C9),"0")</f>
        <v>0.5</v>
      </c>
      <c r="J50" s="35" t="str">
        <f t="shared" ref="J50:J79" si="5">IF(J9="X",(D9-C9),"0")</f>
        <v>0</v>
      </c>
      <c r="K50" s="35" t="str">
        <f t="shared" ref="K50:K79" si="6">IF(K9="X",(D9-C9),"0")</f>
        <v>0</v>
      </c>
      <c r="L50" s="92"/>
      <c r="M50" s="92"/>
      <c r="N50" s="92"/>
      <c r="O50" s="92"/>
      <c r="P50" s="92"/>
      <c r="Q50" s="92"/>
      <c r="R50" s="92"/>
    </row>
    <row r="51" spans="3:18" ht="41.45" customHeight="1" x14ac:dyDescent="0.25">
      <c r="C51" s="35"/>
      <c r="D51" s="35"/>
      <c r="E51" s="35">
        <f t="shared" si="0"/>
        <v>3.5</v>
      </c>
      <c r="F51" s="35" t="str">
        <f t="shared" si="1"/>
        <v>0</v>
      </c>
      <c r="G51" s="35" t="str">
        <f t="shared" si="2"/>
        <v>0</v>
      </c>
      <c r="H51" s="35" t="str">
        <f t="shared" si="3"/>
        <v>0</v>
      </c>
      <c r="I51" s="35">
        <f t="shared" si="4"/>
        <v>3.5</v>
      </c>
      <c r="J51" s="35" t="str">
        <f t="shared" si="5"/>
        <v>0</v>
      </c>
      <c r="K51" s="35" t="str">
        <f t="shared" si="6"/>
        <v>0</v>
      </c>
      <c r="L51" s="92"/>
      <c r="M51" s="92"/>
      <c r="N51" s="92"/>
      <c r="O51" s="92"/>
      <c r="P51" s="92"/>
      <c r="Q51" s="92"/>
      <c r="R51" s="92"/>
    </row>
    <row r="52" spans="3:18" ht="41.45" customHeight="1" x14ac:dyDescent="0.25">
      <c r="C52" s="35"/>
      <c r="D52" s="35"/>
      <c r="E52" s="35" t="str">
        <f>IF(F11="X",(D11-C11),"0")</f>
        <v>0</v>
      </c>
      <c r="F52" s="35" t="e">
        <f>IF(#REF!="X",(D11-C11),"0")</f>
        <v>#REF!</v>
      </c>
      <c r="G52" s="35" t="str">
        <f t="shared" si="2"/>
        <v>0</v>
      </c>
      <c r="H52" s="35" t="str">
        <f t="shared" si="3"/>
        <v>0</v>
      </c>
      <c r="I52" s="35">
        <f t="shared" si="4"/>
        <v>9.64</v>
      </c>
      <c r="J52" s="35" t="str">
        <f t="shared" si="5"/>
        <v>0</v>
      </c>
      <c r="K52" s="35" t="str">
        <f t="shared" si="6"/>
        <v>0</v>
      </c>
      <c r="L52" s="92"/>
      <c r="M52" s="92"/>
      <c r="N52" s="92"/>
      <c r="O52" s="92"/>
      <c r="P52" s="92"/>
      <c r="Q52" s="92"/>
      <c r="R52" s="92"/>
    </row>
    <row r="53" spans="3:18" ht="41.45" customHeight="1" x14ac:dyDescent="0.25">
      <c r="C53" s="35"/>
      <c r="D53" s="35"/>
      <c r="E53" s="35">
        <f t="shared" si="0"/>
        <v>4</v>
      </c>
      <c r="F53" s="35" t="str">
        <f t="shared" si="1"/>
        <v>0</v>
      </c>
      <c r="G53" s="35" t="str">
        <f t="shared" si="2"/>
        <v>0</v>
      </c>
      <c r="H53" s="35" t="str">
        <f t="shared" si="3"/>
        <v>0</v>
      </c>
      <c r="I53" s="35">
        <f>IF(I12="X",(D12-C12),"0")</f>
        <v>4</v>
      </c>
      <c r="J53" s="35" t="str">
        <f t="shared" si="5"/>
        <v>0</v>
      </c>
      <c r="K53" s="35" t="str">
        <f>IF(K12="X",(D12-C12),"0")</f>
        <v>0</v>
      </c>
      <c r="L53" s="92"/>
      <c r="M53" s="92"/>
      <c r="N53" s="92"/>
      <c r="O53" s="92"/>
      <c r="P53" s="92"/>
      <c r="Q53" s="92"/>
      <c r="R53" s="92"/>
    </row>
    <row r="54" spans="3:18" ht="41.45" customHeight="1" x14ac:dyDescent="0.25">
      <c r="C54" s="35"/>
      <c r="D54" s="35"/>
      <c r="E54" s="35">
        <f t="shared" si="0"/>
        <v>1</v>
      </c>
      <c r="F54" s="35" t="str">
        <f t="shared" si="1"/>
        <v>0</v>
      </c>
      <c r="G54" s="35" t="str">
        <f t="shared" si="2"/>
        <v>0</v>
      </c>
      <c r="H54" s="35" t="str">
        <f t="shared" si="3"/>
        <v>0</v>
      </c>
      <c r="I54" s="35">
        <f>IF(I13="X",(D13-C13),"0")</f>
        <v>1</v>
      </c>
      <c r="J54" s="35" t="str">
        <f t="shared" si="5"/>
        <v>0</v>
      </c>
      <c r="K54" s="35" t="str">
        <f>IF(K13="X",(D13-C13),"0")</f>
        <v>0</v>
      </c>
      <c r="L54" s="92"/>
      <c r="M54" s="92"/>
      <c r="N54" s="92"/>
      <c r="O54" s="92"/>
      <c r="P54" s="92"/>
      <c r="Q54" s="92"/>
      <c r="R54" s="92"/>
    </row>
    <row r="55" spans="3:18" ht="41.45" customHeight="1" x14ac:dyDescent="0.25">
      <c r="C55" s="35"/>
      <c r="D55" s="35"/>
      <c r="E55" s="35">
        <f t="shared" si="0"/>
        <v>1</v>
      </c>
      <c r="F55" s="35" t="str">
        <f t="shared" si="1"/>
        <v>0</v>
      </c>
      <c r="G55" s="35" t="str">
        <f t="shared" si="2"/>
        <v>0</v>
      </c>
      <c r="H55" s="35" t="str">
        <f t="shared" si="3"/>
        <v>0</v>
      </c>
      <c r="I55" s="35">
        <f>IF(I14="X",(D14-C14),"0")</f>
        <v>1</v>
      </c>
      <c r="J55" s="35" t="str">
        <f t="shared" si="5"/>
        <v>0</v>
      </c>
      <c r="K55" s="35" t="str">
        <f>IF(K14="X",(D14-C14),"0")</f>
        <v>0</v>
      </c>
      <c r="L55" s="92"/>
      <c r="M55" s="92"/>
      <c r="N55" s="92"/>
      <c r="O55" s="92"/>
      <c r="P55" s="92"/>
      <c r="Q55" s="92"/>
      <c r="R55" s="92"/>
    </row>
    <row r="56" spans="3:18" ht="41.45" customHeight="1" x14ac:dyDescent="0.25">
      <c r="C56" s="35"/>
      <c r="D56" s="35"/>
      <c r="E56" s="35">
        <f t="shared" si="0"/>
        <v>2</v>
      </c>
      <c r="F56" s="35" t="str">
        <f t="shared" si="1"/>
        <v>0</v>
      </c>
      <c r="G56" s="35" t="str">
        <f t="shared" si="2"/>
        <v>0</v>
      </c>
      <c r="H56" s="35" t="str">
        <f t="shared" si="3"/>
        <v>0</v>
      </c>
      <c r="I56" s="35">
        <f>IF(I15="X",(D15-C15),"0")</f>
        <v>2</v>
      </c>
      <c r="J56" s="35" t="str">
        <f t="shared" si="5"/>
        <v>0</v>
      </c>
      <c r="K56" s="35" t="str">
        <f>IF(K15="X",(D15-C15),"0")</f>
        <v>0</v>
      </c>
      <c r="L56" s="92"/>
      <c r="M56" s="92"/>
      <c r="N56" s="92"/>
      <c r="O56" s="92"/>
      <c r="P56" s="92"/>
      <c r="Q56" s="92"/>
      <c r="R56" s="92"/>
    </row>
    <row r="57" spans="3:18" ht="41.45" customHeight="1" x14ac:dyDescent="0.25">
      <c r="C57" s="35"/>
      <c r="D57" s="35"/>
      <c r="E57" s="35">
        <f t="shared" si="0"/>
        <v>2</v>
      </c>
      <c r="F57" s="35" t="str">
        <f t="shared" si="1"/>
        <v>0</v>
      </c>
      <c r="G57" s="35" t="str">
        <f t="shared" si="2"/>
        <v>0</v>
      </c>
      <c r="H57" s="35" t="str">
        <f t="shared" si="3"/>
        <v>0</v>
      </c>
      <c r="I57" s="35">
        <f>IF(I16="X",(D16-C16),"0")</f>
        <v>2</v>
      </c>
      <c r="J57" s="35" t="str">
        <f t="shared" si="5"/>
        <v>0</v>
      </c>
      <c r="K57" s="35" t="str">
        <f>IF(K16="X",(D16-C16),"0")</f>
        <v>0</v>
      </c>
      <c r="L57" s="92"/>
      <c r="M57" s="92"/>
      <c r="N57" s="92"/>
      <c r="O57" s="92"/>
      <c r="P57" s="92"/>
      <c r="Q57" s="92"/>
      <c r="R57" s="92"/>
    </row>
    <row r="58" spans="3:18" ht="41.45" customHeight="1" x14ac:dyDescent="0.25">
      <c r="C58" s="35"/>
      <c r="D58" s="35"/>
      <c r="E58" s="35">
        <f t="shared" si="0"/>
        <v>0</v>
      </c>
      <c r="F58" s="35" t="str">
        <f t="shared" si="1"/>
        <v>0</v>
      </c>
      <c r="G58" s="35" t="str">
        <f t="shared" si="2"/>
        <v>0</v>
      </c>
      <c r="H58" s="35" t="str">
        <f t="shared" si="3"/>
        <v>0</v>
      </c>
      <c r="I58" s="35" t="str">
        <f t="shared" si="4"/>
        <v>0</v>
      </c>
      <c r="J58" s="35" t="str">
        <f t="shared" si="5"/>
        <v>0</v>
      </c>
      <c r="K58" s="35">
        <f t="shared" si="6"/>
        <v>0</v>
      </c>
      <c r="L58" s="92"/>
      <c r="M58" s="92"/>
      <c r="N58" s="92"/>
      <c r="O58" s="92"/>
      <c r="P58" s="92"/>
      <c r="Q58" s="92"/>
      <c r="R58" s="92"/>
    </row>
    <row r="59" spans="3:18" ht="41.45" customHeight="1" x14ac:dyDescent="0.25">
      <c r="C59" s="35"/>
      <c r="D59" s="35"/>
      <c r="E59" s="35">
        <f t="shared" si="0"/>
        <v>7</v>
      </c>
      <c r="F59" s="35" t="str">
        <f t="shared" si="1"/>
        <v>0</v>
      </c>
      <c r="G59" s="35" t="str">
        <f t="shared" si="2"/>
        <v>0</v>
      </c>
      <c r="H59" s="35" t="str">
        <f t="shared" si="3"/>
        <v>0</v>
      </c>
      <c r="I59" s="35" t="str">
        <f t="shared" si="4"/>
        <v>0</v>
      </c>
      <c r="J59" s="35" t="str">
        <f t="shared" si="5"/>
        <v>0</v>
      </c>
      <c r="K59" s="35">
        <f t="shared" si="6"/>
        <v>7</v>
      </c>
      <c r="L59" s="92"/>
      <c r="M59" s="92"/>
      <c r="N59" s="92"/>
      <c r="O59" s="92"/>
      <c r="P59" s="92"/>
      <c r="Q59" s="92"/>
      <c r="R59" s="92"/>
    </row>
    <row r="60" spans="3:18" ht="41.45" customHeight="1" x14ac:dyDescent="0.25">
      <c r="C60" s="35"/>
      <c r="D60" s="35"/>
      <c r="E60" s="35">
        <f t="shared" si="0"/>
        <v>2</v>
      </c>
      <c r="F60" s="35" t="str">
        <f t="shared" si="1"/>
        <v>0</v>
      </c>
      <c r="G60" s="35" t="str">
        <f t="shared" si="2"/>
        <v>0</v>
      </c>
      <c r="H60" s="35" t="str">
        <f t="shared" si="3"/>
        <v>0</v>
      </c>
      <c r="I60" s="35" t="str">
        <f t="shared" si="4"/>
        <v>0</v>
      </c>
      <c r="J60" s="35" t="str">
        <f t="shared" si="5"/>
        <v>0</v>
      </c>
      <c r="K60" s="35">
        <f t="shared" si="6"/>
        <v>2</v>
      </c>
      <c r="L60" s="92"/>
      <c r="M60" s="92"/>
      <c r="N60" s="92"/>
      <c r="O60" s="92"/>
      <c r="P60" s="92"/>
      <c r="Q60" s="92"/>
      <c r="R60" s="92"/>
    </row>
    <row r="61" spans="3:18" ht="41.45" customHeight="1" x14ac:dyDescent="0.25">
      <c r="C61" s="35"/>
      <c r="D61" s="35"/>
      <c r="E61" s="35">
        <f t="shared" si="0"/>
        <v>1</v>
      </c>
      <c r="F61" s="35" t="str">
        <f t="shared" si="1"/>
        <v>0</v>
      </c>
      <c r="G61" s="35" t="str">
        <f t="shared" si="2"/>
        <v>0</v>
      </c>
      <c r="H61" s="35" t="str">
        <f t="shared" si="3"/>
        <v>0</v>
      </c>
      <c r="I61" s="35" t="str">
        <f t="shared" si="4"/>
        <v>0</v>
      </c>
      <c r="J61" s="35" t="str">
        <f t="shared" si="5"/>
        <v>0</v>
      </c>
      <c r="K61" s="35">
        <f t="shared" si="6"/>
        <v>1</v>
      </c>
      <c r="L61" s="92"/>
      <c r="M61" s="92"/>
      <c r="N61" s="92"/>
      <c r="O61" s="92"/>
      <c r="P61" s="92"/>
      <c r="Q61" s="92"/>
      <c r="R61" s="92"/>
    </row>
    <row r="62" spans="3:18" ht="41.45" customHeight="1" x14ac:dyDescent="0.25">
      <c r="C62" s="35"/>
      <c r="D62" s="35"/>
      <c r="E62" s="35">
        <f t="shared" si="0"/>
        <v>2</v>
      </c>
      <c r="F62" s="35" t="str">
        <f t="shared" si="1"/>
        <v>0</v>
      </c>
      <c r="G62" s="35" t="str">
        <f t="shared" si="2"/>
        <v>0</v>
      </c>
      <c r="H62" s="35" t="str">
        <f t="shared" si="3"/>
        <v>0</v>
      </c>
      <c r="I62" s="35" t="str">
        <f t="shared" si="4"/>
        <v>0</v>
      </c>
      <c r="J62" s="35" t="str">
        <f t="shared" si="5"/>
        <v>0</v>
      </c>
      <c r="K62" s="35">
        <f t="shared" si="6"/>
        <v>2</v>
      </c>
      <c r="L62" s="92"/>
      <c r="M62" s="92"/>
      <c r="N62" s="92"/>
      <c r="O62" s="92"/>
      <c r="P62" s="92"/>
      <c r="Q62" s="92"/>
      <c r="R62" s="92"/>
    </row>
    <row r="63" spans="3:18" ht="41.45" customHeight="1" x14ac:dyDescent="0.25">
      <c r="C63" s="35"/>
      <c r="D63" s="35"/>
      <c r="E63" s="35">
        <f t="shared" si="0"/>
        <v>1</v>
      </c>
      <c r="F63" s="35" t="str">
        <f t="shared" si="1"/>
        <v>0</v>
      </c>
      <c r="G63" s="35" t="str">
        <f t="shared" si="2"/>
        <v>0</v>
      </c>
      <c r="H63" s="35" t="str">
        <f t="shared" si="3"/>
        <v>0</v>
      </c>
      <c r="I63" s="35" t="str">
        <f t="shared" si="4"/>
        <v>0</v>
      </c>
      <c r="J63" s="35" t="str">
        <f t="shared" si="5"/>
        <v>0</v>
      </c>
      <c r="K63" s="35">
        <f t="shared" si="6"/>
        <v>1</v>
      </c>
      <c r="L63" s="92"/>
      <c r="M63" s="92"/>
      <c r="N63" s="92"/>
      <c r="O63" s="92"/>
      <c r="P63" s="92"/>
      <c r="Q63" s="92"/>
      <c r="R63" s="92"/>
    </row>
    <row r="64" spans="3:18" ht="41.45" customHeight="1" x14ac:dyDescent="0.25">
      <c r="C64" s="35"/>
      <c r="D64" s="35"/>
      <c r="E64" s="35">
        <f t="shared" si="0"/>
        <v>1</v>
      </c>
      <c r="F64" s="35" t="str">
        <f t="shared" si="1"/>
        <v>0</v>
      </c>
      <c r="G64" s="35" t="str">
        <f t="shared" si="2"/>
        <v>0</v>
      </c>
      <c r="H64" s="35" t="str">
        <f t="shared" si="3"/>
        <v>0</v>
      </c>
      <c r="I64" s="35" t="str">
        <f t="shared" si="4"/>
        <v>0</v>
      </c>
      <c r="J64" s="35" t="str">
        <f t="shared" si="5"/>
        <v>0</v>
      </c>
      <c r="K64" s="35">
        <f t="shared" si="6"/>
        <v>1</v>
      </c>
      <c r="L64" s="92"/>
      <c r="M64" s="92"/>
      <c r="N64" s="92"/>
      <c r="O64" s="92"/>
      <c r="P64" s="92"/>
      <c r="Q64" s="92"/>
      <c r="R64" s="92"/>
    </row>
    <row r="65" spans="3:18" ht="41.45" customHeight="1" x14ac:dyDescent="0.25">
      <c r="C65" s="35"/>
      <c r="D65" s="35"/>
      <c r="E65" s="35">
        <f t="shared" si="0"/>
        <v>0</v>
      </c>
      <c r="F65" s="35" t="str">
        <f t="shared" si="1"/>
        <v>0</v>
      </c>
      <c r="G65" s="35" t="str">
        <f t="shared" si="2"/>
        <v>0</v>
      </c>
      <c r="H65" s="35" t="str">
        <f t="shared" si="3"/>
        <v>0</v>
      </c>
      <c r="I65" s="35" t="str">
        <f t="shared" si="4"/>
        <v>0</v>
      </c>
      <c r="J65" s="35" t="str">
        <f t="shared" si="5"/>
        <v>0</v>
      </c>
      <c r="K65" s="35">
        <f t="shared" si="6"/>
        <v>0</v>
      </c>
      <c r="L65" s="92"/>
      <c r="M65" s="92"/>
      <c r="N65" s="92"/>
      <c r="O65" s="92"/>
      <c r="P65" s="92"/>
      <c r="Q65" s="92"/>
      <c r="R65" s="92"/>
    </row>
    <row r="66" spans="3:18" ht="41.45" customHeight="1" x14ac:dyDescent="0.25">
      <c r="C66" s="35"/>
      <c r="D66" s="35"/>
      <c r="E66" s="35">
        <f t="shared" si="0"/>
        <v>0.60000000000000142</v>
      </c>
      <c r="F66" s="35" t="str">
        <f t="shared" si="1"/>
        <v>0</v>
      </c>
      <c r="G66" s="35" t="str">
        <f t="shared" si="2"/>
        <v>0</v>
      </c>
      <c r="H66" s="35" t="str">
        <f t="shared" si="3"/>
        <v>0</v>
      </c>
      <c r="I66" s="35" t="str">
        <f t="shared" si="4"/>
        <v>0</v>
      </c>
      <c r="J66" s="35" t="str">
        <f t="shared" si="5"/>
        <v>0</v>
      </c>
      <c r="K66" s="35">
        <f t="shared" si="6"/>
        <v>0.60000000000000142</v>
      </c>
      <c r="L66" s="92"/>
      <c r="M66" s="92"/>
      <c r="N66" s="92"/>
      <c r="O66" s="92"/>
      <c r="P66" s="92"/>
      <c r="Q66" s="92"/>
      <c r="R66" s="92"/>
    </row>
    <row r="67" spans="3:18" ht="41.45" customHeight="1" x14ac:dyDescent="0.25">
      <c r="C67" s="35"/>
      <c r="D67" s="35"/>
      <c r="E67" s="35">
        <f t="shared" si="0"/>
        <v>0.39999999999999858</v>
      </c>
      <c r="F67" s="35" t="str">
        <f t="shared" si="1"/>
        <v>0</v>
      </c>
      <c r="G67" s="35" t="str">
        <f t="shared" si="2"/>
        <v>0</v>
      </c>
      <c r="H67" s="35" t="str">
        <f t="shared" si="3"/>
        <v>0</v>
      </c>
      <c r="I67" s="35" t="str">
        <f t="shared" si="4"/>
        <v>0</v>
      </c>
      <c r="J67" s="35" t="str">
        <f t="shared" si="5"/>
        <v>0</v>
      </c>
      <c r="K67" s="35">
        <f t="shared" si="6"/>
        <v>0.39999999999999858</v>
      </c>
      <c r="L67" s="92"/>
      <c r="M67" s="92"/>
      <c r="N67" s="92"/>
      <c r="O67" s="92"/>
      <c r="P67" s="92"/>
      <c r="Q67" s="92"/>
      <c r="R67" s="92"/>
    </row>
    <row r="68" spans="3:18" ht="41.45" customHeight="1" x14ac:dyDescent="0.25">
      <c r="C68" s="35"/>
      <c r="D68" s="35"/>
      <c r="E68" s="35">
        <f t="shared" si="0"/>
        <v>2.2399999999999984</v>
      </c>
      <c r="F68" s="35" t="str">
        <f t="shared" si="1"/>
        <v>0</v>
      </c>
      <c r="G68" s="35" t="str">
        <f t="shared" si="2"/>
        <v>0</v>
      </c>
      <c r="H68" s="35" t="str">
        <f t="shared" si="3"/>
        <v>0</v>
      </c>
      <c r="I68" s="35" t="str">
        <f t="shared" si="4"/>
        <v>0</v>
      </c>
      <c r="J68" s="35" t="str">
        <f t="shared" si="5"/>
        <v>0</v>
      </c>
      <c r="K68" s="35">
        <f t="shared" si="6"/>
        <v>2.2399999999999984</v>
      </c>
      <c r="L68" s="92"/>
      <c r="M68" s="92"/>
      <c r="N68" s="92"/>
      <c r="O68" s="92"/>
      <c r="P68" s="92"/>
      <c r="Q68" s="92"/>
      <c r="R68" s="92"/>
    </row>
    <row r="69" spans="3:18" ht="41.45" customHeight="1" x14ac:dyDescent="0.25">
      <c r="C69" s="35"/>
      <c r="D69" s="35"/>
      <c r="E69" s="35">
        <f t="shared" si="0"/>
        <v>4</v>
      </c>
      <c r="F69" s="35" t="str">
        <f t="shared" si="1"/>
        <v>0</v>
      </c>
      <c r="G69" s="35" t="str">
        <f t="shared" si="2"/>
        <v>0</v>
      </c>
      <c r="H69" s="35" t="str">
        <f t="shared" si="3"/>
        <v>0</v>
      </c>
      <c r="I69" s="35" t="str">
        <f t="shared" si="4"/>
        <v>0</v>
      </c>
      <c r="J69" s="35" t="str">
        <f t="shared" si="5"/>
        <v>0</v>
      </c>
      <c r="K69" s="35">
        <f t="shared" si="6"/>
        <v>4</v>
      </c>
      <c r="L69" s="92"/>
      <c r="M69" s="92"/>
      <c r="N69" s="92"/>
      <c r="O69" s="92"/>
      <c r="P69" s="92"/>
      <c r="Q69" s="92"/>
      <c r="R69" s="92"/>
    </row>
    <row r="70" spans="3:18" ht="41.45" customHeight="1" x14ac:dyDescent="0.25">
      <c r="C70" s="35"/>
      <c r="D70" s="35"/>
      <c r="E70" s="35">
        <f t="shared" si="0"/>
        <v>4</v>
      </c>
      <c r="F70" s="35" t="str">
        <f t="shared" si="1"/>
        <v>0</v>
      </c>
      <c r="G70" s="35" t="str">
        <f t="shared" si="2"/>
        <v>0</v>
      </c>
      <c r="H70" s="35" t="str">
        <f t="shared" si="3"/>
        <v>0</v>
      </c>
      <c r="I70" s="35" t="str">
        <f t="shared" si="4"/>
        <v>0</v>
      </c>
      <c r="J70" s="35" t="str">
        <f t="shared" si="5"/>
        <v>0</v>
      </c>
      <c r="K70" s="35">
        <f t="shared" si="6"/>
        <v>4</v>
      </c>
      <c r="L70" s="92"/>
      <c r="M70" s="92"/>
      <c r="N70" s="92"/>
      <c r="O70" s="92"/>
      <c r="P70" s="92"/>
      <c r="Q70" s="92"/>
      <c r="R70" s="92"/>
    </row>
    <row r="71" spans="3:18" ht="41.45" customHeight="1" x14ac:dyDescent="0.25">
      <c r="C71" s="35"/>
      <c r="D71" s="35"/>
      <c r="E71" s="35">
        <f t="shared" si="0"/>
        <v>4</v>
      </c>
      <c r="F71" s="35" t="str">
        <f t="shared" si="1"/>
        <v>0</v>
      </c>
      <c r="G71" s="35" t="str">
        <f t="shared" si="2"/>
        <v>0</v>
      </c>
      <c r="H71" s="35" t="str">
        <f t="shared" si="3"/>
        <v>0</v>
      </c>
      <c r="I71" s="35" t="str">
        <f t="shared" si="4"/>
        <v>0</v>
      </c>
      <c r="J71" s="35" t="str">
        <f t="shared" si="5"/>
        <v>0</v>
      </c>
      <c r="K71" s="35">
        <f t="shared" si="6"/>
        <v>4</v>
      </c>
      <c r="L71" s="92"/>
      <c r="M71" s="92"/>
      <c r="N71" s="92"/>
      <c r="O71" s="92"/>
      <c r="P71" s="92"/>
      <c r="Q71" s="92"/>
      <c r="R71" s="92"/>
    </row>
    <row r="72" spans="3:18" ht="41.45" customHeight="1" x14ac:dyDescent="0.25">
      <c r="C72" s="35"/>
      <c r="D72" s="35"/>
      <c r="E72" s="35">
        <f t="shared" si="0"/>
        <v>2</v>
      </c>
      <c r="F72" s="35" t="str">
        <f t="shared" si="1"/>
        <v>0</v>
      </c>
      <c r="G72" s="35" t="str">
        <f t="shared" si="2"/>
        <v>0</v>
      </c>
      <c r="H72" s="35" t="str">
        <f t="shared" si="3"/>
        <v>0</v>
      </c>
      <c r="I72" s="35" t="str">
        <f t="shared" si="4"/>
        <v>0</v>
      </c>
      <c r="J72" s="35" t="str">
        <f t="shared" si="5"/>
        <v>0</v>
      </c>
      <c r="K72" s="35">
        <f t="shared" si="6"/>
        <v>2</v>
      </c>
      <c r="L72" s="92"/>
      <c r="M72" s="92"/>
      <c r="N72" s="92"/>
      <c r="O72" s="92"/>
      <c r="P72" s="92"/>
      <c r="Q72" s="92"/>
      <c r="R72" s="92"/>
    </row>
    <row r="73" spans="3:18" ht="41.45" customHeight="1" x14ac:dyDescent="0.25">
      <c r="C73" s="35"/>
      <c r="D73" s="35"/>
      <c r="E73" s="35">
        <f t="shared" si="0"/>
        <v>1</v>
      </c>
      <c r="F73" s="35" t="str">
        <f t="shared" si="1"/>
        <v>0</v>
      </c>
      <c r="G73" s="35" t="str">
        <f t="shared" si="2"/>
        <v>0</v>
      </c>
      <c r="H73" s="35" t="str">
        <f t="shared" si="3"/>
        <v>0</v>
      </c>
      <c r="I73" s="35" t="str">
        <f t="shared" si="4"/>
        <v>0</v>
      </c>
      <c r="J73" s="35" t="str">
        <f t="shared" si="5"/>
        <v>0</v>
      </c>
      <c r="K73" s="35">
        <f t="shared" si="6"/>
        <v>1</v>
      </c>
      <c r="L73" s="31"/>
      <c r="M73" s="31"/>
      <c r="N73" s="31"/>
      <c r="O73" s="31"/>
      <c r="P73" s="31"/>
      <c r="Q73" s="31"/>
      <c r="R73" s="31"/>
    </row>
    <row r="74" spans="3:18" ht="41.45" customHeight="1" x14ac:dyDescent="0.25">
      <c r="C74" s="35"/>
      <c r="D74" s="35"/>
      <c r="E74" s="35">
        <f t="shared" si="0"/>
        <v>7</v>
      </c>
      <c r="F74" s="35" t="str">
        <f t="shared" si="1"/>
        <v>0</v>
      </c>
      <c r="G74" s="35" t="str">
        <f t="shared" si="2"/>
        <v>0</v>
      </c>
      <c r="H74" s="35" t="str">
        <f t="shared" si="3"/>
        <v>0</v>
      </c>
      <c r="I74" s="35" t="str">
        <f t="shared" si="4"/>
        <v>0</v>
      </c>
      <c r="J74" s="35" t="str">
        <f t="shared" si="5"/>
        <v>0</v>
      </c>
      <c r="K74" s="35">
        <f t="shared" si="6"/>
        <v>7</v>
      </c>
      <c r="L74" s="31"/>
      <c r="M74" s="31"/>
      <c r="N74" s="31"/>
      <c r="O74" s="31"/>
      <c r="P74" s="31"/>
      <c r="Q74" s="31"/>
      <c r="R74" s="31"/>
    </row>
    <row r="75" spans="3:18" ht="41.45" customHeight="1" x14ac:dyDescent="0.25">
      <c r="C75" s="35"/>
      <c r="D75" s="35"/>
      <c r="E75" s="35">
        <f t="shared" si="0"/>
        <v>2</v>
      </c>
      <c r="F75" s="35" t="str">
        <f t="shared" si="1"/>
        <v>0</v>
      </c>
      <c r="G75" s="35" t="str">
        <f t="shared" si="2"/>
        <v>0</v>
      </c>
      <c r="H75" s="35" t="str">
        <f t="shared" si="3"/>
        <v>0</v>
      </c>
      <c r="I75" s="35" t="str">
        <f t="shared" si="4"/>
        <v>0</v>
      </c>
      <c r="J75" s="35" t="str">
        <f t="shared" si="5"/>
        <v>0</v>
      </c>
      <c r="K75" s="35">
        <f t="shared" si="6"/>
        <v>2</v>
      </c>
      <c r="L75" s="31"/>
      <c r="M75" s="31"/>
      <c r="N75" s="31"/>
      <c r="O75" s="31"/>
      <c r="P75" s="31"/>
      <c r="Q75" s="31"/>
      <c r="R75" s="31"/>
    </row>
    <row r="76" spans="3:18" ht="41.45" customHeight="1" x14ac:dyDescent="0.25">
      <c r="C76" s="35"/>
      <c r="D76" s="35"/>
      <c r="E76" s="35">
        <f t="shared" si="0"/>
        <v>3</v>
      </c>
      <c r="F76" s="35" t="str">
        <f t="shared" si="1"/>
        <v>0</v>
      </c>
      <c r="G76" s="35" t="str">
        <f t="shared" si="2"/>
        <v>0</v>
      </c>
      <c r="H76" s="35" t="str">
        <f t="shared" si="3"/>
        <v>0</v>
      </c>
      <c r="I76" s="35" t="str">
        <f t="shared" si="4"/>
        <v>0</v>
      </c>
      <c r="J76" s="35" t="str">
        <f t="shared" si="5"/>
        <v>0</v>
      </c>
      <c r="K76" s="35">
        <f t="shared" si="6"/>
        <v>3</v>
      </c>
      <c r="L76" s="31"/>
      <c r="M76" s="31"/>
      <c r="N76" s="31"/>
      <c r="O76" s="31"/>
      <c r="P76" s="31"/>
      <c r="Q76" s="31"/>
      <c r="R76" s="31"/>
    </row>
    <row r="77" spans="3:18" ht="41.45" customHeight="1" x14ac:dyDescent="0.25">
      <c r="C77" s="35"/>
      <c r="D77" s="35"/>
      <c r="E77" s="35">
        <f t="shared" si="0"/>
        <v>1.4699999999999989</v>
      </c>
      <c r="F77" s="35" t="str">
        <f t="shared" si="1"/>
        <v>0</v>
      </c>
      <c r="G77" s="35" t="str">
        <f t="shared" si="2"/>
        <v>0</v>
      </c>
      <c r="H77" s="35" t="str">
        <f t="shared" si="3"/>
        <v>0</v>
      </c>
      <c r="I77" s="35" t="str">
        <f t="shared" si="4"/>
        <v>0</v>
      </c>
      <c r="J77" s="35" t="str">
        <f t="shared" si="5"/>
        <v>0</v>
      </c>
      <c r="K77" s="35">
        <f t="shared" si="6"/>
        <v>1.4699999999999989</v>
      </c>
      <c r="L77" s="31"/>
      <c r="M77" s="31"/>
      <c r="N77" s="31"/>
      <c r="O77" s="31"/>
      <c r="P77" s="31"/>
      <c r="Q77" s="31"/>
      <c r="R77" s="31"/>
    </row>
    <row r="78" spans="3:18" ht="41.45" customHeight="1" x14ac:dyDescent="0.25">
      <c r="C78" s="35"/>
      <c r="D78" s="35"/>
      <c r="E78" s="35">
        <f t="shared" si="0"/>
        <v>0.5</v>
      </c>
      <c r="F78" s="35" t="str">
        <f t="shared" si="1"/>
        <v>0</v>
      </c>
      <c r="G78" s="35" t="str">
        <f t="shared" si="2"/>
        <v>0</v>
      </c>
      <c r="H78" s="35" t="str">
        <f t="shared" si="3"/>
        <v>0</v>
      </c>
      <c r="I78" s="35" t="str">
        <f t="shared" si="4"/>
        <v>0</v>
      </c>
      <c r="J78" s="35" t="str">
        <f t="shared" si="5"/>
        <v>0</v>
      </c>
      <c r="K78" s="35">
        <f t="shared" si="6"/>
        <v>0.5</v>
      </c>
      <c r="L78" s="31"/>
      <c r="M78" s="31"/>
      <c r="N78" s="31"/>
      <c r="O78" s="31"/>
      <c r="P78" s="31"/>
      <c r="Q78" s="31"/>
      <c r="R78" s="31"/>
    </row>
    <row r="79" spans="3:18" ht="41.45" customHeight="1" x14ac:dyDescent="0.25">
      <c r="C79" s="35"/>
      <c r="D79" s="35"/>
      <c r="E79" s="35">
        <f t="shared" si="0"/>
        <v>2.5</v>
      </c>
      <c r="F79" s="35" t="str">
        <f t="shared" si="1"/>
        <v>0</v>
      </c>
      <c r="G79" s="35" t="str">
        <f t="shared" si="2"/>
        <v>0</v>
      </c>
      <c r="H79" s="35" t="str">
        <f t="shared" si="3"/>
        <v>0</v>
      </c>
      <c r="I79" s="35" t="str">
        <f t="shared" si="4"/>
        <v>0</v>
      </c>
      <c r="J79" s="35" t="str">
        <f t="shared" si="5"/>
        <v>0</v>
      </c>
      <c r="K79" s="35">
        <f t="shared" si="6"/>
        <v>2.5</v>
      </c>
      <c r="L79" s="92"/>
      <c r="M79" s="92"/>
      <c r="N79" s="92"/>
      <c r="O79" s="92"/>
      <c r="P79" s="92"/>
      <c r="Q79" s="92"/>
      <c r="R79" s="92"/>
    </row>
    <row r="80" spans="3:18" ht="41.45" customHeight="1" x14ac:dyDescent="0.25">
      <c r="C80" s="35"/>
      <c r="D80" s="35"/>
      <c r="E80" s="35">
        <f t="shared" ref="E80:E83" si="7">IF(E39="X",(D39-C39),"0")</f>
        <v>1.1900000000000004</v>
      </c>
      <c r="F80" s="35" t="str">
        <f t="shared" ref="F80:F83" si="8">IF(F39="X",(D39-C39),"0")</f>
        <v>0</v>
      </c>
      <c r="G80" s="35" t="str">
        <f t="shared" ref="G80:G83" si="9">IF(G39="X",(D39-C39),"0")</f>
        <v>0</v>
      </c>
      <c r="H80" s="35" t="str">
        <f t="shared" ref="H80:H83" si="10">IF(H39="X",(D39-C39),"0")</f>
        <v>0</v>
      </c>
      <c r="I80" s="35" t="str">
        <f t="shared" ref="I80:I83" si="11">IF(I39="X",(D39-C39),"0")</f>
        <v>0</v>
      </c>
      <c r="J80" s="35" t="str">
        <f t="shared" ref="J80:J83" si="12">IF(J39="X",(D39-C39),"0")</f>
        <v>0</v>
      </c>
      <c r="K80" s="35">
        <f t="shared" ref="K80:K83" si="13">IF(K39="X",(D39-C39),"0")</f>
        <v>1.1900000000000004</v>
      </c>
      <c r="L80" s="31"/>
      <c r="M80" s="31"/>
      <c r="N80" s="31"/>
      <c r="O80" s="31"/>
      <c r="P80" s="31"/>
      <c r="Q80" s="31"/>
      <c r="R80" s="31"/>
    </row>
    <row r="81" spans="3:18" ht="41.45" customHeight="1" x14ac:dyDescent="0.25">
      <c r="C81" s="35"/>
      <c r="D81" s="35"/>
      <c r="E81" s="35" t="str">
        <f t="shared" si="7"/>
        <v>0</v>
      </c>
      <c r="F81" s="35" t="str">
        <f t="shared" si="8"/>
        <v>0</v>
      </c>
      <c r="G81" s="35" t="str">
        <f t="shared" si="9"/>
        <v>0</v>
      </c>
      <c r="H81" s="35" t="str">
        <f t="shared" si="10"/>
        <v>0</v>
      </c>
      <c r="I81" s="35" t="str">
        <f t="shared" si="11"/>
        <v>0</v>
      </c>
      <c r="J81" s="35" t="str">
        <f t="shared" si="12"/>
        <v>0</v>
      </c>
      <c r="K81" s="35" t="str">
        <f t="shared" si="13"/>
        <v>0</v>
      </c>
      <c r="L81" s="31"/>
      <c r="M81" s="31"/>
      <c r="N81" s="31"/>
      <c r="O81" s="31"/>
      <c r="P81" s="31"/>
      <c r="Q81" s="31"/>
      <c r="R81" s="31"/>
    </row>
    <row r="82" spans="3:18" ht="41.45" customHeight="1" x14ac:dyDescent="0.25">
      <c r="C82" s="35"/>
      <c r="D82" s="35"/>
      <c r="E82" s="35" t="str">
        <f t="shared" si="7"/>
        <v>0</v>
      </c>
      <c r="F82" s="35" t="str">
        <f t="shared" si="8"/>
        <v>0</v>
      </c>
      <c r="G82" s="35" t="str">
        <f t="shared" si="9"/>
        <v>0</v>
      </c>
      <c r="H82" s="35" t="str">
        <f t="shared" si="10"/>
        <v>0</v>
      </c>
      <c r="I82" s="35" t="str">
        <f t="shared" si="11"/>
        <v>0</v>
      </c>
      <c r="J82" s="35" t="str">
        <f t="shared" si="12"/>
        <v>0</v>
      </c>
      <c r="K82" s="35" t="str">
        <f t="shared" si="13"/>
        <v>0</v>
      </c>
      <c r="L82" s="31"/>
      <c r="M82" s="31"/>
      <c r="N82" s="31"/>
      <c r="O82" s="31"/>
      <c r="P82" s="31"/>
      <c r="Q82" s="31"/>
      <c r="R82" s="31"/>
    </row>
    <row r="83" spans="3:18" ht="41.45" customHeight="1" x14ac:dyDescent="0.25">
      <c r="C83" s="35"/>
      <c r="D83" s="35"/>
      <c r="E83" s="35" t="str">
        <f t="shared" si="7"/>
        <v>0</v>
      </c>
      <c r="F83" s="35" t="str">
        <f t="shared" si="8"/>
        <v>0</v>
      </c>
      <c r="G83" s="35" t="str">
        <f t="shared" si="9"/>
        <v>0</v>
      </c>
      <c r="H83" s="35" t="str">
        <f t="shared" si="10"/>
        <v>0</v>
      </c>
      <c r="I83" s="35" t="str">
        <f t="shared" si="11"/>
        <v>0</v>
      </c>
      <c r="J83" s="35" t="str">
        <f t="shared" si="12"/>
        <v>0</v>
      </c>
      <c r="K83" s="35" t="str">
        <f t="shared" si="13"/>
        <v>0</v>
      </c>
      <c r="L83" s="31"/>
      <c r="M83" s="31"/>
      <c r="N83" s="31"/>
      <c r="O83" s="31"/>
      <c r="P83" s="31"/>
      <c r="Q83" s="31"/>
      <c r="R83" s="31"/>
    </row>
    <row r="84" spans="3:18" ht="41.45" customHeight="1" x14ac:dyDescent="0.25">
      <c r="C84" s="35"/>
      <c r="D84" s="35"/>
      <c r="E84" s="35" t="str">
        <f t="shared" ref="E84:E88" si="14">IF(E43="X",(D43-C43),"0")</f>
        <v>0</v>
      </c>
      <c r="F84" s="35" t="str">
        <f t="shared" ref="F84:F88" si="15">IF(F43="X",(D43-C43),"0")</f>
        <v>0</v>
      </c>
      <c r="G84" s="35" t="str">
        <f t="shared" ref="G84:G88" si="16">IF(G43="X",(D43-C43),"0")</f>
        <v>0</v>
      </c>
      <c r="H84" s="35" t="str">
        <f t="shared" ref="H84:H88" si="17">IF(H43="X",(D43-C43),"0")</f>
        <v>0</v>
      </c>
      <c r="I84" s="35" t="str">
        <f t="shared" ref="I84:I88" si="18">IF(I43="X",(D43-C43),"0")</f>
        <v>0</v>
      </c>
      <c r="J84" s="35" t="str">
        <f t="shared" ref="J84:J88" si="19">IF(J43="X",(D43-C43),"0")</f>
        <v>0</v>
      </c>
      <c r="K84" s="35" t="str">
        <f t="shared" ref="K84:K88" si="20">IF(K43="X",(D43-C43),"0")</f>
        <v>0</v>
      </c>
      <c r="L84" s="31"/>
      <c r="M84" s="31"/>
      <c r="N84" s="31"/>
      <c r="O84" s="31"/>
      <c r="P84" s="31"/>
      <c r="Q84" s="31"/>
      <c r="R84" s="31"/>
    </row>
    <row r="85" spans="3:18" ht="41.45" customHeight="1" x14ac:dyDescent="0.25">
      <c r="C85" s="35"/>
      <c r="D85" s="35"/>
      <c r="E85" s="35" t="str">
        <f t="shared" si="14"/>
        <v>0</v>
      </c>
      <c r="F85" s="35" t="str">
        <f t="shared" si="15"/>
        <v>0</v>
      </c>
      <c r="G85" s="35" t="str">
        <f t="shared" si="16"/>
        <v>0</v>
      </c>
      <c r="H85" s="35" t="str">
        <f t="shared" si="17"/>
        <v>0</v>
      </c>
      <c r="I85" s="35" t="str">
        <f t="shared" si="18"/>
        <v>0</v>
      </c>
      <c r="J85" s="35" t="str">
        <f t="shared" si="19"/>
        <v>0</v>
      </c>
      <c r="K85" s="35" t="str">
        <f t="shared" si="20"/>
        <v>0</v>
      </c>
      <c r="L85" s="31"/>
      <c r="M85" s="31"/>
      <c r="N85" s="31"/>
      <c r="O85" s="31"/>
      <c r="P85" s="31"/>
      <c r="Q85" s="31"/>
      <c r="R85" s="31"/>
    </row>
    <row r="86" spans="3:18" ht="41.45" customHeight="1" x14ac:dyDescent="0.25">
      <c r="C86" s="35"/>
      <c r="D86" s="35"/>
      <c r="E86" s="35" t="str">
        <f t="shared" si="14"/>
        <v>0</v>
      </c>
      <c r="F86" s="35" t="str">
        <f t="shared" si="15"/>
        <v>0</v>
      </c>
      <c r="G86" s="35" t="str">
        <f t="shared" si="16"/>
        <v>0</v>
      </c>
      <c r="H86" s="35" t="str">
        <f t="shared" si="17"/>
        <v>0</v>
      </c>
      <c r="I86" s="35" t="str">
        <f t="shared" si="18"/>
        <v>0</v>
      </c>
      <c r="J86" s="35" t="str">
        <f t="shared" si="19"/>
        <v>0</v>
      </c>
      <c r="K86" s="35" t="str">
        <f t="shared" si="20"/>
        <v>0</v>
      </c>
      <c r="L86" s="31"/>
      <c r="M86" s="31"/>
      <c r="N86" s="31"/>
      <c r="O86" s="31"/>
      <c r="P86" s="31"/>
      <c r="Q86" s="31"/>
      <c r="R86" s="31"/>
    </row>
    <row r="87" spans="3:18" ht="41.45" customHeight="1" x14ac:dyDescent="0.25">
      <c r="C87" s="35"/>
      <c r="D87" s="35"/>
      <c r="E87" s="35" t="str">
        <f t="shared" si="14"/>
        <v>0</v>
      </c>
      <c r="F87" s="35" t="str">
        <f t="shared" si="15"/>
        <v>0</v>
      </c>
      <c r="G87" s="35" t="str">
        <f t="shared" si="16"/>
        <v>0</v>
      </c>
      <c r="H87" s="35" t="str">
        <f t="shared" si="17"/>
        <v>0</v>
      </c>
      <c r="I87" s="35" t="str">
        <f t="shared" si="18"/>
        <v>0</v>
      </c>
      <c r="J87" s="35" t="str">
        <f t="shared" si="19"/>
        <v>0</v>
      </c>
      <c r="K87" s="35" t="str">
        <f t="shared" si="20"/>
        <v>0</v>
      </c>
      <c r="L87" s="31"/>
      <c r="M87" s="31"/>
      <c r="N87" s="31"/>
      <c r="O87" s="31"/>
      <c r="P87" s="31"/>
      <c r="Q87" s="31"/>
      <c r="R87" s="31"/>
    </row>
    <row r="88" spans="3:18" ht="41.45" customHeight="1" x14ac:dyDescent="0.25">
      <c r="C88" s="35"/>
      <c r="D88" s="35"/>
      <c r="E88" s="35" t="str">
        <f t="shared" si="14"/>
        <v>0</v>
      </c>
      <c r="F88" s="35" t="str">
        <f t="shared" si="15"/>
        <v>0</v>
      </c>
      <c r="G88" s="35" t="str">
        <f t="shared" si="16"/>
        <v>0</v>
      </c>
      <c r="H88" s="35" t="str">
        <f t="shared" si="17"/>
        <v>0</v>
      </c>
      <c r="I88" s="35" t="str">
        <f t="shared" si="18"/>
        <v>0</v>
      </c>
      <c r="J88" s="35" t="str">
        <f t="shared" si="19"/>
        <v>0</v>
      </c>
      <c r="K88" s="35" t="str">
        <f t="shared" si="20"/>
        <v>0</v>
      </c>
      <c r="L88" s="31"/>
      <c r="M88" s="31"/>
      <c r="N88" s="31"/>
      <c r="O88" s="31"/>
      <c r="P88" s="31"/>
      <c r="Q88" s="31"/>
      <c r="R88" s="31"/>
    </row>
    <row r="89" spans="3:18" ht="41.45" customHeight="1" x14ac:dyDescent="0.25">
      <c r="C89" s="35"/>
      <c r="D89" s="35"/>
      <c r="E89" s="35">
        <f>SUM(E48:E88)</f>
        <v>66.199999999999989</v>
      </c>
      <c r="F89" s="35" t="e">
        <f t="shared" ref="F89:K89" si="21">SUM(F48:F88)</f>
        <v>#REF!</v>
      </c>
      <c r="G89" s="35">
        <f t="shared" si="21"/>
        <v>0</v>
      </c>
      <c r="H89" s="35">
        <f t="shared" si="21"/>
        <v>0</v>
      </c>
      <c r="I89" s="35">
        <f t="shared" si="21"/>
        <v>25.94</v>
      </c>
      <c r="J89" s="35">
        <f t="shared" si="21"/>
        <v>0</v>
      </c>
      <c r="K89" s="35">
        <f t="shared" si="21"/>
        <v>49.899999999999991</v>
      </c>
      <c r="L89" s="92"/>
      <c r="M89" s="92"/>
      <c r="N89" s="92"/>
      <c r="O89" s="92"/>
      <c r="P89" s="92"/>
      <c r="Q89" s="92"/>
      <c r="R89" s="92"/>
    </row>
    <row r="90" spans="3:18" ht="41.45" customHeight="1" x14ac:dyDescent="0.25">
      <c r="C90" s="35"/>
      <c r="D90" s="35"/>
      <c r="E90" s="35"/>
      <c r="F90" s="31"/>
      <c r="G90" s="31"/>
      <c r="H90" s="31"/>
      <c r="I90" s="31"/>
      <c r="J90" s="31"/>
      <c r="K90" s="31"/>
      <c r="L90" s="92"/>
      <c r="M90" s="92"/>
      <c r="N90" s="92"/>
      <c r="O90" s="92"/>
      <c r="P90" s="92"/>
      <c r="Q90" s="92"/>
      <c r="R90" s="92"/>
    </row>
    <row r="91" spans="3:18" ht="41.45" customHeight="1" x14ac:dyDescent="0.25">
      <c r="C91" s="35"/>
      <c r="D91" s="35"/>
      <c r="E91" s="35"/>
      <c r="F91" s="31"/>
      <c r="G91" s="31"/>
      <c r="H91" s="31"/>
      <c r="I91" s="31"/>
      <c r="J91" s="31"/>
      <c r="K91" s="31"/>
      <c r="L91" s="92"/>
      <c r="M91" s="92"/>
      <c r="N91" s="92"/>
      <c r="O91" s="92"/>
      <c r="P91" s="92"/>
      <c r="Q91" s="92"/>
      <c r="R91" s="92"/>
    </row>
    <row r="92" spans="3:18" ht="41.45" customHeight="1" x14ac:dyDescent="0.25">
      <c r="C92" s="35"/>
      <c r="D92" s="35"/>
      <c r="E92" s="35"/>
      <c r="F92" s="31"/>
      <c r="G92" s="31"/>
      <c r="H92" s="31"/>
      <c r="I92" s="31"/>
      <c r="J92" s="31"/>
      <c r="K92" s="31"/>
      <c r="L92" s="92"/>
      <c r="M92" s="92"/>
      <c r="N92" s="92"/>
      <c r="O92" s="92"/>
      <c r="P92" s="92"/>
      <c r="Q92" s="92"/>
      <c r="R92" s="92"/>
    </row>
    <row r="93" spans="3:18" ht="41.45" customHeight="1" x14ac:dyDescent="0.25">
      <c r="C93" s="35"/>
      <c r="D93" s="35"/>
      <c r="E93" s="35"/>
      <c r="F93" s="31"/>
      <c r="G93" s="31"/>
      <c r="H93" s="31"/>
      <c r="I93" s="31"/>
      <c r="J93" s="31"/>
      <c r="K93" s="31"/>
      <c r="L93" s="92"/>
      <c r="M93" s="92"/>
      <c r="N93" s="92"/>
      <c r="O93" s="92"/>
      <c r="P93" s="92"/>
      <c r="Q93" s="92"/>
      <c r="R93" s="92"/>
    </row>
    <row r="94" spans="3:18" ht="41.45" customHeight="1" x14ac:dyDescent="0.25">
      <c r="C94" s="35"/>
      <c r="D94" s="35"/>
      <c r="E94" s="35"/>
      <c r="F94" s="31"/>
      <c r="G94" s="31"/>
      <c r="H94" s="31"/>
      <c r="I94" s="31"/>
      <c r="J94" s="31"/>
      <c r="K94" s="31"/>
      <c r="L94" s="92"/>
      <c r="M94" s="92"/>
      <c r="N94" s="92"/>
      <c r="O94" s="92"/>
      <c r="P94" s="92"/>
      <c r="Q94" s="92"/>
      <c r="R94" s="92"/>
    </row>
    <row r="95" spans="3:18" ht="41.45" customHeight="1" x14ac:dyDescent="0.25">
      <c r="C95" s="35"/>
      <c r="D95" s="35"/>
      <c r="E95" s="35"/>
      <c r="F95" s="31"/>
      <c r="G95" s="31"/>
      <c r="H95" s="31"/>
      <c r="I95" s="31"/>
      <c r="J95" s="31"/>
      <c r="K95" s="31"/>
      <c r="L95" s="92"/>
      <c r="M95" s="92"/>
      <c r="N95" s="92"/>
      <c r="O95" s="92"/>
      <c r="P95" s="92"/>
      <c r="Q95" s="92"/>
      <c r="R95" s="92"/>
    </row>
  </sheetData>
  <mergeCells count="85">
    <mergeCell ref="L18:R18"/>
    <mergeCell ref="L19:R19"/>
    <mergeCell ref="L13:R13"/>
    <mergeCell ref="L14:R14"/>
    <mergeCell ref="L15:R15"/>
    <mergeCell ref="L16:R16"/>
    <mergeCell ref="L17:R17"/>
    <mergeCell ref="A5:A6"/>
    <mergeCell ref="B5:B6"/>
    <mergeCell ref="C5:C6"/>
    <mergeCell ref="D5:D6"/>
    <mergeCell ref="E5:H5"/>
    <mergeCell ref="L23:R23"/>
    <mergeCell ref="I1:I2"/>
    <mergeCell ref="J1:J2"/>
    <mergeCell ref="L1:M2"/>
    <mergeCell ref="N1:R2"/>
    <mergeCell ref="I5:K5"/>
    <mergeCell ref="L5:R6"/>
    <mergeCell ref="L7:R7"/>
    <mergeCell ref="L20:R20"/>
    <mergeCell ref="L21:R21"/>
    <mergeCell ref="L22:R22"/>
    <mergeCell ref="L8:R8"/>
    <mergeCell ref="L9:R9"/>
    <mergeCell ref="L10:R10"/>
    <mergeCell ref="L11:R11"/>
    <mergeCell ref="L12:R12"/>
    <mergeCell ref="L35:R35"/>
    <mergeCell ref="L24:R24"/>
    <mergeCell ref="L25:R25"/>
    <mergeCell ref="L26:R26"/>
    <mergeCell ref="L27:R27"/>
    <mergeCell ref="L28:R28"/>
    <mergeCell ref="L29:R29"/>
    <mergeCell ref="L30:R30"/>
    <mergeCell ref="L31:R31"/>
    <mergeCell ref="L32:R32"/>
    <mergeCell ref="L33:R33"/>
    <mergeCell ref="L34:R34"/>
    <mergeCell ref="L47:R47"/>
    <mergeCell ref="L36:R36"/>
    <mergeCell ref="L37:R37"/>
    <mergeCell ref="L38:R38"/>
    <mergeCell ref="L39:R39"/>
    <mergeCell ref="L40:R40"/>
    <mergeCell ref="L41:R41"/>
    <mergeCell ref="L42:R42"/>
    <mergeCell ref="L43:R43"/>
    <mergeCell ref="L44:R44"/>
    <mergeCell ref="L45:R45"/>
    <mergeCell ref="L46:R46"/>
    <mergeCell ref="L59:R59"/>
    <mergeCell ref="L48:R48"/>
    <mergeCell ref="L49:R49"/>
    <mergeCell ref="L50:R50"/>
    <mergeCell ref="L51:R51"/>
    <mergeCell ref="L52:R52"/>
    <mergeCell ref="L53:R53"/>
    <mergeCell ref="L54:R54"/>
    <mergeCell ref="L55:R55"/>
    <mergeCell ref="L56:R56"/>
    <mergeCell ref="L57:R57"/>
    <mergeCell ref="L58:R58"/>
    <mergeCell ref="L71:R71"/>
    <mergeCell ref="L60:R60"/>
    <mergeCell ref="L61:R61"/>
    <mergeCell ref="L62:R62"/>
    <mergeCell ref="L63:R63"/>
    <mergeCell ref="L64:R64"/>
    <mergeCell ref="L65:R65"/>
    <mergeCell ref="L66:R66"/>
    <mergeCell ref="L67:R67"/>
    <mergeCell ref="L68:R68"/>
    <mergeCell ref="L69:R69"/>
    <mergeCell ref="L70:R70"/>
    <mergeCell ref="L93:R93"/>
    <mergeCell ref="L94:R94"/>
    <mergeCell ref="L95:R95"/>
    <mergeCell ref="L72:R72"/>
    <mergeCell ref="L79:R79"/>
    <mergeCell ref="L89:R89"/>
    <mergeCell ref="L90:R90"/>
    <mergeCell ref="L91:R91"/>
    <mergeCell ref="L92:R92"/>
  </mergeCells>
  <phoneticPr fontId="21" type="noConversion"/>
  <pageMargins left="0.51181102362204722" right="0.51181102362204722" top="0.78740157480314965" bottom="0.78740157480314965" header="0.31496062992125984" footer="0.31496062992125984"/>
  <pageSetup paperSize="9" scale="24" orientation="landscape" horizontalDpi="1200" verticalDpi="1200" r:id="rId1"/>
  <colBreaks count="1" manualBreakCount="1">
    <brk id="18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2B9BD-8E35-485C-AA90-747F4578CB02}">
  <sheetPr>
    <pageSetUpPr fitToPage="1"/>
  </sheetPr>
  <dimension ref="A1:R68"/>
  <sheetViews>
    <sheetView view="pageBreakPreview" zoomScale="48" zoomScaleNormal="10" zoomScaleSheetLayoutView="48" workbookViewId="0">
      <selection activeCell="H19" sqref="H19"/>
    </sheetView>
  </sheetViews>
  <sheetFormatPr defaultColWidth="8.85546875" defaultRowHeight="15" x14ac:dyDescent="0.25"/>
  <cols>
    <col min="1" max="1" width="33.28515625" style="1" customWidth="1"/>
    <col min="2" max="2" width="17.140625" style="1" customWidth="1"/>
    <col min="3" max="4" width="13.42578125" style="1" customWidth="1"/>
    <col min="5" max="5" width="26.5703125" style="2" customWidth="1"/>
    <col min="6" max="6" width="30.140625" style="2" customWidth="1"/>
    <col min="7" max="7" width="26.5703125" style="2" customWidth="1"/>
    <col min="8" max="8" width="33.140625" style="2" customWidth="1"/>
    <col min="9" max="11" width="32" style="2" customWidth="1"/>
    <col min="12" max="14" width="14.42578125" style="1" customWidth="1"/>
    <col min="15" max="17" width="14.7109375" style="1" customWidth="1"/>
    <col min="18" max="18" width="37.42578125" style="1" customWidth="1"/>
    <col min="19" max="16384" width="8.85546875" style="1"/>
  </cols>
  <sheetData>
    <row r="1" spans="1:18" ht="19.5" x14ac:dyDescent="0.3">
      <c r="A1" s="9" t="s">
        <v>0</v>
      </c>
      <c r="B1" s="10"/>
      <c r="C1" s="10"/>
      <c r="D1" s="10"/>
      <c r="E1" s="11"/>
      <c r="F1" s="12"/>
      <c r="G1" s="11"/>
      <c r="H1" s="11"/>
      <c r="I1" s="98" t="s">
        <v>3</v>
      </c>
      <c r="J1" s="120">
        <f>'245'!J1</f>
        <v>46204</v>
      </c>
      <c r="K1" s="11"/>
      <c r="L1" s="102" t="s">
        <v>4</v>
      </c>
      <c r="M1" s="102"/>
      <c r="N1" s="104" t="str">
        <f>'245'!N1</f>
        <v>ENG. THIAGO TORQUATO</v>
      </c>
      <c r="O1" s="104"/>
      <c r="P1" s="104"/>
      <c r="Q1" s="104"/>
      <c r="R1" s="105"/>
    </row>
    <row r="2" spans="1:18" ht="20.25" thickBot="1" x14ac:dyDescent="0.35">
      <c r="A2" s="13"/>
      <c r="B2" s="14"/>
      <c r="C2" s="14"/>
      <c r="D2" s="14"/>
      <c r="E2" s="15"/>
      <c r="F2" s="16" t="s">
        <v>9</v>
      </c>
      <c r="G2" s="15"/>
      <c r="H2" s="15"/>
      <c r="I2" s="99"/>
      <c r="J2" s="121"/>
      <c r="K2" s="16"/>
      <c r="L2" s="103"/>
      <c r="M2" s="103"/>
      <c r="N2" s="106"/>
      <c r="O2" s="106"/>
      <c r="P2" s="106"/>
      <c r="Q2" s="106"/>
      <c r="R2" s="107"/>
    </row>
    <row r="3" spans="1:18" ht="25.5" x14ac:dyDescent="0.35">
      <c r="A3" s="13" t="s">
        <v>21</v>
      </c>
      <c r="B3" s="45" t="str">
        <f>TT!C17</f>
        <v>RODOVIA TO-499 - TRECHO ENTR. TO-050 - DIVISA TO-GO</v>
      </c>
      <c r="C3" s="14"/>
      <c r="D3" s="14"/>
      <c r="E3" s="15"/>
      <c r="F3" s="15"/>
      <c r="G3" s="15"/>
      <c r="H3" s="15"/>
      <c r="I3" s="47" t="s">
        <v>107</v>
      </c>
      <c r="J3" s="47">
        <v>13</v>
      </c>
      <c r="K3" s="15"/>
      <c r="L3" s="14"/>
      <c r="M3" s="14"/>
      <c r="N3" s="14"/>
      <c r="O3" s="14"/>
      <c r="P3" s="14"/>
      <c r="Q3" s="14"/>
      <c r="R3" s="17"/>
    </row>
    <row r="4" spans="1:18" ht="19.899999999999999" thickBot="1" x14ac:dyDescent="0.4">
      <c r="A4" s="18"/>
      <c r="B4" s="14"/>
      <c r="C4" s="14"/>
      <c r="D4" s="14"/>
      <c r="E4" s="15"/>
      <c r="F4" s="15"/>
      <c r="G4" s="15"/>
      <c r="H4" s="15"/>
      <c r="I4" s="15"/>
      <c r="J4" s="15"/>
      <c r="K4" s="15"/>
      <c r="L4" s="14"/>
      <c r="M4" s="14"/>
      <c r="N4" s="14"/>
      <c r="O4" s="14"/>
      <c r="P4" s="14"/>
      <c r="Q4" s="14"/>
      <c r="R4" s="17"/>
    </row>
    <row r="5" spans="1:18" s="5" customFormat="1" ht="54" customHeight="1" x14ac:dyDescent="0.25">
      <c r="A5" s="112" t="s">
        <v>1</v>
      </c>
      <c r="B5" s="108" t="s">
        <v>7</v>
      </c>
      <c r="C5" s="114" t="s">
        <v>5</v>
      </c>
      <c r="D5" s="114" t="s">
        <v>6</v>
      </c>
      <c r="E5" s="108" t="s">
        <v>10</v>
      </c>
      <c r="F5" s="108"/>
      <c r="G5" s="108"/>
      <c r="H5" s="108"/>
      <c r="I5" s="108" t="s">
        <v>11</v>
      </c>
      <c r="J5" s="108"/>
      <c r="K5" s="108"/>
      <c r="L5" s="108" t="s">
        <v>8</v>
      </c>
      <c r="M5" s="108"/>
      <c r="N5" s="108"/>
      <c r="O5" s="108"/>
      <c r="P5" s="108"/>
      <c r="Q5" s="108"/>
      <c r="R5" s="109"/>
    </row>
    <row r="6" spans="1:18" s="6" customFormat="1" ht="79.150000000000006" customHeight="1" x14ac:dyDescent="0.25">
      <c r="A6" s="113"/>
      <c r="B6" s="110"/>
      <c r="C6" s="110"/>
      <c r="D6" s="110"/>
      <c r="E6" s="7" t="s">
        <v>2</v>
      </c>
      <c r="F6" s="8" t="s">
        <v>15</v>
      </c>
      <c r="G6" s="8" t="s">
        <v>16</v>
      </c>
      <c r="H6" s="8" t="s">
        <v>17</v>
      </c>
      <c r="I6" s="7" t="s">
        <v>12</v>
      </c>
      <c r="J6" s="7" t="s">
        <v>13</v>
      </c>
      <c r="K6" s="7" t="s">
        <v>14</v>
      </c>
      <c r="L6" s="110"/>
      <c r="M6" s="110"/>
      <c r="N6" s="110"/>
      <c r="O6" s="110"/>
      <c r="P6" s="110"/>
      <c r="Q6" s="110"/>
      <c r="R6" s="111"/>
    </row>
    <row r="7" spans="1:18" ht="41.45" customHeight="1" thickBot="1" x14ac:dyDescent="0.45">
      <c r="A7" s="56" t="s">
        <v>102</v>
      </c>
      <c r="B7" s="21" t="s">
        <v>108</v>
      </c>
      <c r="C7" s="22">
        <v>0</v>
      </c>
      <c r="D7" s="22">
        <v>11.21</v>
      </c>
      <c r="E7" s="21"/>
      <c r="F7" s="21" t="s">
        <v>109</v>
      </c>
      <c r="G7" s="21"/>
      <c r="H7" s="21"/>
      <c r="I7" s="21" t="s">
        <v>109</v>
      </c>
      <c r="J7" s="21"/>
      <c r="K7" s="21"/>
      <c r="L7" s="96"/>
      <c r="M7" s="96"/>
      <c r="N7" s="96"/>
      <c r="O7" s="96"/>
      <c r="P7" s="96"/>
      <c r="Q7" s="96"/>
      <c r="R7" s="97"/>
    </row>
    <row r="8" spans="1:18" ht="41.45" customHeight="1" x14ac:dyDescent="0.25">
      <c r="A8" s="32"/>
      <c r="B8" s="21"/>
      <c r="C8" s="22"/>
      <c r="D8" s="22"/>
      <c r="E8" s="21"/>
      <c r="F8" s="21"/>
      <c r="G8" s="21"/>
      <c r="H8" s="21"/>
      <c r="I8" s="21"/>
      <c r="J8" s="21"/>
      <c r="K8" s="21"/>
      <c r="L8" s="96"/>
      <c r="M8" s="96"/>
      <c r="N8" s="96"/>
      <c r="O8" s="96"/>
      <c r="P8" s="96"/>
      <c r="Q8" s="96"/>
      <c r="R8" s="97"/>
    </row>
    <row r="9" spans="1:18" ht="41.45" customHeight="1" x14ac:dyDescent="0.25">
      <c r="A9" s="32"/>
      <c r="B9" s="21"/>
      <c r="C9" s="22"/>
      <c r="D9" s="22"/>
      <c r="E9" s="21"/>
      <c r="F9" s="21"/>
      <c r="G9" s="21"/>
      <c r="H9" s="21"/>
      <c r="I9" s="21"/>
      <c r="J9" s="21"/>
      <c r="K9" s="21"/>
      <c r="L9" s="96"/>
      <c r="M9" s="96"/>
      <c r="N9" s="96"/>
      <c r="O9" s="96"/>
      <c r="P9" s="96"/>
      <c r="Q9" s="96"/>
      <c r="R9" s="97"/>
    </row>
    <row r="10" spans="1:18" ht="41.45" customHeight="1" x14ac:dyDescent="0.25">
      <c r="A10" s="32"/>
      <c r="B10" s="21"/>
      <c r="C10" s="22"/>
      <c r="D10" s="22"/>
      <c r="E10" s="21"/>
      <c r="F10" s="21"/>
      <c r="G10" s="21"/>
      <c r="H10" s="21"/>
      <c r="I10" s="21"/>
      <c r="J10" s="21"/>
      <c r="K10" s="21"/>
      <c r="L10" s="96"/>
      <c r="M10" s="96"/>
      <c r="N10" s="96"/>
      <c r="O10" s="96"/>
      <c r="P10" s="96"/>
      <c r="Q10" s="96"/>
      <c r="R10" s="97"/>
    </row>
    <row r="11" spans="1:18" ht="41.45" customHeight="1" x14ac:dyDescent="0.25">
      <c r="A11" s="32"/>
      <c r="B11" s="21"/>
      <c r="C11" s="22"/>
      <c r="D11" s="22"/>
      <c r="E11" s="21"/>
      <c r="F11" s="21"/>
      <c r="G11" s="21"/>
      <c r="H11" s="21"/>
      <c r="I11" s="21"/>
      <c r="J11" s="21"/>
      <c r="K11" s="21"/>
      <c r="L11" s="96"/>
      <c r="M11" s="96"/>
      <c r="N11" s="96"/>
      <c r="O11" s="96"/>
      <c r="P11" s="96"/>
      <c r="Q11" s="96"/>
      <c r="R11" s="97"/>
    </row>
    <row r="12" spans="1:18" ht="41.45" customHeight="1" x14ac:dyDescent="0.25">
      <c r="A12" s="32"/>
      <c r="B12" s="21"/>
      <c r="C12" s="22"/>
      <c r="D12" s="22"/>
      <c r="E12" s="21"/>
      <c r="F12" s="21"/>
      <c r="G12" s="21"/>
      <c r="H12" s="21"/>
      <c r="I12" s="21"/>
      <c r="J12" s="21"/>
      <c r="K12" s="21"/>
      <c r="L12" s="96"/>
      <c r="M12" s="96"/>
      <c r="N12" s="96"/>
      <c r="O12" s="96"/>
      <c r="P12" s="96"/>
      <c r="Q12" s="96"/>
      <c r="R12" s="97"/>
    </row>
    <row r="13" spans="1:18" ht="41.45" customHeight="1" x14ac:dyDescent="0.25">
      <c r="A13" s="32"/>
      <c r="B13" s="21"/>
      <c r="C13" s="22"/>
      <c r="D13" s="22"/>
      <c r="E13" s="21"/>
      <c r="F13" s="21"/>
      <c r="G13" s="21"/>
      <c r="H13" s="21"/>
      <c r="I13" s="21"/>
      <c r="J13" s="21"/>
      <c r="K13" s="21"/>
      <c r="L13" s="96"/>
      <c r="M13" s="96"/>
      <c r="N13" s="96"/>
      <c r="O13" s="96"/>
      <c r="P13" s="96"/>
      <c r="Q13" s="96"/>
      <c r="R13" s="97"/>
    </row>
    <row r="14" spans="1:18" ht="41.45" customHeight="1" x14ac:dyDescent="0.25">
      <c r="A14" s="32"/>
      <c r="B14" s="21"/>
      <c r="C14" s="22"/>
      <c r="D14" s="22"/>
      <c r="E14" s="21"/>
      <c r="F14" s="21"/>
      <c r="G14" s="21"/>
      <c r="H14" s="21"/>
      <c r="I14" s="21"/>
      <c r="J14" s="21"/>
      <c r="K14" s="21"/>
      <c r="L14" s="96"/>
      <c r="M14" s="96"/>
      <c r="N14" s="96"/>
      <c r="O14" s="96"/>
      <c r="P14" s="96"/>
      <c r="Q14" s="96"/>
      <c r="R14" s="97"/>
    </row>
    <row r="15" spans="1:18" ht="41.45" customHeight="1" x14ac:dyDescent="0.25">
      <c r="A15" s="32"/>
      <c r="B15" s="21"/>
      <c r="C15" s="22"/>
      <c r="D15" s="22"/>
      <c r="E15" s="21"/>
      <c r="F15" s="21"/>
      <c r="G15" s="21"/>
      <c r="H15" s="21"/>
      <c r="I15" s="21"/>
      <c r="J15" s="21"/>
      <c r="K15" s="21"/>
      <c r="L15" s="96"/>
      <c r="M15" s="96"/>
      <c r="N15" s="96"/>
      <c r="O15" s="96"/>
      <c r="P15" s="96"/>
      <c r="Q15" s="96"/>
      <c r="R15" s="97"/>
    </row>
    <row r="16" spans="1:18" ht="41.45" customHeight="1" x14ac:dyDescent="0.25">
      <c r="A16" s="32"/>
      <c r="B16" s="21"/>
      <c r="C16" s="22"/>
      <c r="D16" s="22"/>
      <c r="E16" s="21"/>
      <c r="F16" s="21"/>
      <c r="G16" s="21"/>
      <c r="H16" s="21"/>
      <c r="I16" s="21"/>
      <c r="J16" s="21"/>
      <c r="K16" s="21"/>
      <c r="L16" s="96"/>
      <c r="M16" s="96"/>
      <c r="N16" s="96"/>
      <c r="O16" s="96"/>
      <c r="P16" s="96"/>
      <c r="Q16" s="96"/>
      <c r="R16" s="97"/>
    </row>
    <row r="17" spans="1:18" ht="41.45" customHeight="1" x14ac:dyDescent="0.25">
      <c r="A17" s="32"/>
      <c r="B17" s="21"/>
      <c r="C17" s="22"/>
      <c r="D17" s="22"/>
      <c r="E17" s="21"/>
      <c r="F17" s="21"/>
      <c r="G17" s="21"/>
      <c r="H17" s="21"/>
      <c r="I17" s="21"/>
      <c r="J17" s="21"/>
      <c r="K17" s="21"/>
      <c r="L17" s="96"/>
      <c r="M17" s="96"/>
      <c r="N17" s="96"/>
      <c r="O17" s="96"/>
      <c r="P17" s="96"/>
      <c r="Q17" s="96"/>
      <c r="R17" s="97"/>
    </row>
    <row r="18" spans="1:18" ht="41.45" customHeight="1" x14ac:dyDescent="0.25">
      <c r="A18" s="19"/>
      <c r="B18" s="3"/>
      <c r="C18" s="22"/>
      <c r="D18" s="22"/>
      <c r="E18" s="21"/>
      <c r="F18" s="21"/>
      <c r="G18" s="21"/>
      <c r="H18" s="21"/>
      <c r="I18" s="21"/>
      <c r="J18" s="21"/>
      <c r="K18" s="21"/>
      <c r="L18" s="96"/>
      <c r="M18" s="96"/>
      <c r="N18" s="96"/>
      <c r="O18" s="96"/>
      <c r="P18" s="96"/>
      <c r="Q18" s="96"/>
      <c r="R18" s="97"/>
    </row>
    <row r="19" spans="1:18" ht="41.45" customHeight="1" x14ac:dyDescent="0.25">
      <c r="A19" s="19"/>
      <c r="B19" s="3"/>
      <c r="C19" s="22"/>
      <c r="D19" s="22"/>
      <c r="E19" s="21"/>
      <c r="F19" s="21"/>
      <c r="G19" s="21"/>
      <c r="H19" s="21"/>
      <c r="I19" s="21"/>
      <c r="J19" s="21"/>
      <c r="K19" s="21"/>
      <c r="L19" s="96"/>
      <c r="M19" s="96"/>
      <c r="N19" s="96"/>
      <c r="O19" s="96"/>
      <c r="P19" s="96"/>
      <c r="Q19" s="96"/>
      <c r="R19" s="97"/>
    </row>
    <row r="20" spans="1:18" ht="41.45" customHeight="1" x14ac:dyDescent="0.25">
      <c r="A20" s="19"/>
      <c r="B20" s="3"/>
      <c r="C20" s="22"/>
      <c r="D20" s="22"/>
      <c r="E20" s="21"/>
      <c r="F20" s="21"/>
      <c r="G20" s="21"/>
      <c r="H20" s="21"/>
      <c r="I20" s="21"/>
      <c r="J20" s="21"/>
      <c r="K20" s="21"/>
      <c r="L20" s="96"/>
      <c r="M20" s="96"/>
      <c r="N20" s="96"/>
      <c r="O20" s="96"/>
      <c r="P20" s="96"/>
      <c r="Q20" s="96"/>
      <c r="R20" s="97"/>
    </row>
    <row r="21" spans="1:18" ht="41.45" customHeight="1" x14ac:dyDescent="0.25">
      <c r="A21" s="19"/>
      <c r="B21" s="3"/>
      <c r="C21" s="22"/>
      <c r="D21" s="22"/>
      <c r="E21" s="21"/>
      <c r="F21" s="21"/>
      <c r="G21" s="21"/>
      <c r="H21" s="21"/>
      <c r="I21" s="21"/>
      <c r="J21" s="21"/>
      <c r="K21" s="21"/>
      <c r="L21" s="96"/>
      <c r="M21" s="96"/>
      <c r="N21" s="96"/>
      <c r="O21" s="96"/>
      <c r="P21" s="96"/>
      <c r="Q21" s="96"/>
      <c r="R21" s="97"/>
    </row>
    <row r="22" spans="1:18" ht="41.45" customHeight="1" x14ac:dyDescent="0.25">
      <c r="A22" s="19"/>
      <c r="B22" s="3"/>
      <c r="C22" s="22"/>
      <c r="D22" s="22"/>
      <c r="E22" s="21"/>
      <c r="F22" s="21"/>
      <c r="G22" s="21"/>
      <c r="H22" s="21"/>
      <c r="I22" s="21"/>
      <c r="J22" s="21"/>
      <c r="K22" s="21"/>
      <c r="L22" s="96"/>
      <c r="M22" s="96"/>
      <c r="N22" s="96"/>
      <c r="O22" s="96"/>
      <c r="P22" s="96"/>
      <c r="Q22" s="96"/>
      <c r="R22" s="97"/>
    </row>
    <row r="23" spans="1:18" ht="41.45" customHeight="1" x14ac:dyDescent="0.25">
      <c r="A23" s="19"/>
      <c r="B23" s="3"/>
      <c r="C23" s="22"/>
      <c r="D23" s="22"/>
      <c r="E23" s="21"/>
      <c r="F23" s="21"/>
      <c r="G23" s="21"/>
      <c r="H23" s="21"/>
      <c r="I23" s="21"/>
      <c r="J23" s="21"/>
      <c r="K23" s="21"/>
      <c r="L23" s="96"/>
      <c r="M23" s="96"/>
      <c r="N23" s="96"/>
      <c r="O23" s="96"/>
      <c r="P23" s="96"/>
      <c r="Q23" s="96"/>
      <c r="R23" s="97"/>
    </row>
    <row r="24" spans="1:18" ht="41.45" customHeight="1" x14ac:dyDescent="0.25">
      <c r="A24" s="19"/>
      <c r="B24" s="3"/>
      <c r="C24" s="22"/>
      <c r="D24" s="22"/>
      <c r="E24" s="21"/>
      <c r="F24" s="21"/>
      <c r="G24" s="21"/>
      <c r="H24" s="21"/>
      <c r="I24" s="21"/>
      <c r="J24" s="21"/>
      <c r="K24" s="21"/>
      <c r="L24" s="96"/>
      <c r="M24" s="96"/>
      <c r="N24" s="96"/>
      <c r="O24" s="96"/>
      <c r="P24" s="96"/>
      <c r="Q24" s="96"/>
      <c r="R24" s="97"/>
    </row>
    <row r="25" spans="1:18" ht="41.45" customHeight="1" x14ac:dyDescent="0.25">
      <c r="A25" s="19"/>
      <c r="B25" s="3"/>
      <c r="C25" s="22"/>
      <c r="D25" s="22"/>
      <c r="E25" s="21"/>
      <c r="F25" s="21"/>
      <c r="G25" s="21"/>
      <c r="H25" s="21"/>
      <c r="I25" s="21"/>
      <c r="J25" s="21"/>
      <c r="K25" s="21"/>
      <c r="L25" s="96"/>
      <c r="M25" s="96"/>
      <c r="N25" s="96"/>
      <c r="O25" s="96"/>
      <c r="P25" s="96"/>
      <c r="Q25" s="96"/>
      <c r="R25" s="97"/>
    </row>
    <row r="26" spans="1:18" ht="41.45" customHeight="1" x14ac:dyDescent="0.25">
      <c r="A26" s="19"/>
      <c r="B26" s="3"/>
      <c r="C26" s="22"/>
      <c r="D26" s="22"/>
      <c r="E26" s="21"/>
      <c r="F26" s="21"/>
      <c r="G26" s="21"/>
      <c r="H26" s="21"/>
      <c r="I26" s="21"/>
      <c r="J26" s="21"/>
      <c r="K26" s="21"/>
      <c r="L26" s="96"/>
      <c r="M26" s="96"/>
      <c r="N26" s="96"/>
      <c r="O26" s="96"/>
      <c r="P26" s="96"/>
      <c r="Q26" s="96"/>
      <c r="R26" s="97"/>
    </row>
    <row r="27" spans="1:18" ht="41.45" customHeight="1" x14ac:dyDescent="0.25">
      <c r="A27" s="19"/>
      <c r="B27" s="3"/>
      <c r="C27" s="22"/>
      <c r="D27" s="22"/>
      <c r="E27" s="21"/>
      <c r="F27" s="21"/>
      <c r="G27" s="21"/>
      <c r="H27" s="21"/>
      <c r="I27" s="21"/>
      <c r="J27" s="21"/>
      <c r="K27" s="21"/>
      <c r="L27" s="96"/>
      <c r="M27" s="96"/>
      <c r="N27" s="96"/>
      <c r="O27" s="96"/>
      <c r="P27" s="96"/>
      <c r="Q27" s="96"/>
      <c r="R27" s="97"/>
    </row>
    <row r="28" spans="1:18" ht="41.45" customHeight="1" x14ac:dyDescent="0.25">
      <c r="A28" s="19"/>
      <c r="B28" s="3"/>
      <c r="C28" s="22"/>
      <c r="D28" s="22"/>
      <c r="E28" s="21"/>
      <c r="F28" s="21"/>
      <c r="G28" s="21"/>
      <c r="H28" s="21"/>
      <c r="I28" s="21"/>
      <c r="J28" s="21"/>
      <c r="K28" s="21"/>
      <c r="L28" s="96"/>
      <c r="M28" s="96"/>
      <c r="N28" s="96"/>
      <c r="O28" s="96"/>
      <c r="P28" s="96"/>
      <c r="Q28" s="96"/>
      <c r="R28" s="97"/>
    </row>
    <row r="29" spans="1:18" ht="41.45" customHeight="1" x14ac:dyDescent="0.25">
      <c r="A29" s="19"/>
      <c r="B29" s="3"/>
      <c r="C29" s="22"/>
      <c r="D29" s="22"/>
      <c r="E29" s="21"/>
      <c r="F29" s="21"/>
      <c r="G29" s="21"/>
      <c r="H29" s="21"/>
      <c r="I29" s="21"/>
      <c r="J29" s="21"/>
      <c r="K29" s="21"/>
      <c r="L29" s="96"/>
      <c r="M29" s="96"/>
      <c r="N29" s="96"/>
      <c r="O29" s="96"/>
      <c r="P29" s="96"/>
      <c r="Q29" s="96"/>
      <c r="R29" s="97"/>
    </row>
    <row r="30" spans="1:18" ht="41.45" customHeight="1" x14ac:dyDescent="0.25">
      <c r="A30" s="19"/>
      <c r="B30" s="3"/>
      <c r="C30" s="22"/>
      <c r="D30" s="22"/>
      <c r="E30" s="21"/>
      <c r="F30" s="21"/>
      <c r="G30" s="21"/>
      <c r="H30" s="21"/>
      <c r="I30" s="21"/>
      <c r="J30" s="21"/>
      <c r="K30" s="21"/>
      <c r="L30" s="96"/>
      <c r="M30" s="96"/>
      <c r="N30" s="96"/>
      <c r="O30" s="96"/>
      <c r="P30" s="96"/>
      <c r="Q30" s="96"/>
      <c r="R30" s="97"/>
    </row>
    <row r="31" spans="1:18" ht="41.45" customHeight="1" x14ac:dyDescent="0.25">
      <c r="A31" s="19"/>
      <c r="B31" s="3"/>
      <c r="C31" s="22"/>
      <c r="D31" s="22"/>
      <c r="E31" s="21"/>
      <c r="F31" s="21"/>
      <c r="G31" s="21"/>
      <c r="H31" s="21"/>
      <c r="I31" s="21"/>
      <c r="J31" s="21"/>
      <c r="K31" s="21"/>
      <c r="L31" s="96"/>
      <c r="M31" s="96"/>
      <c r="N31" s="96"/>
      <c r="O31" s="96"/>
      <c r="P31" s="96"/>
      <c r="Q31" s="96"/>
      <c r="R31" s="97"/>
    </row>
    <row r="32" spans="1:18" ht="41.45" customHeight="1" x14ac:dyDescent="0.25">
      <c r="A32" s="19"/>
      <c r="B32" s="3"/>
      <c r="C32" s="22"/>
      <c r="D32" s="22"/>
      <c r="E32" s="21"/>
      <c r="F32" s="21"/>
      <c r="G32" s="21"/>
      <c r="H32" s="21"/>
      <c r="I32" s="21"/>
      <c r="J32" s="21"/>
      <c r="K32" s="21"/>
      <c r="L32" s="96"/>
      <c r="M32" s="96"/>
      <c r="N32" s="96"/>
      <c r="O32" s="96"/>
      <c r="P32" s="96"/>
      <c r="Q32" s="96"/>
      <c r="R32" s="97"/>
    </row>
    <row r="33" spans="1:18" ht="41.45" customHeight="1" x14ac:dyDescent="0.25">
      <c r="A33" s="19"/>
      <c r="B33" s="3"/>
      <c r="C33" s="22"/>
      <c r="D33" s="22"/>
      <c r="E33" s="21"/>
      <c r="F33" s="21"/>
      <c r="G33" s="21"/>
      <c r="H33" s="21"/>
      <c r="I33" s="21"/>
      <c r="J33" s="21"/>
      <c r="K33" s="21"/>
      <c r="L33" s="96"/>
      <c r="M33" s="96"/>
      <c r="N33" s="96"/>
      <c r="O33" s="96"/>
      <c r="P33" s="96"/>
      <c r="Q33" s="96"/>
      <c r="R33" s="97"/>
    </row>
    <row r="34" spans="1:18" ht="41.45" customHeight="1" x14ac:dyDescent="0.25">
      <c r="A34" s="19"/>
      <c r="B34" s="3"/>
      <c r="C34" s="22"/>
      <c r="D34" s="22"/>
      <c r="E34" s="21"/>
      <c r="F34" s="21"/>
      <c r="G34" s="21"/>
      <c r="H34" s="21"/>
      <c r="I34" s="21"/>
      <c r="J34" s="21"/>
      <c r="K34" s="21"/>
      <c r="L34" s="96"/>
      <c r="M34" s="96"/>
      <c r="N34" s="96"/>
      <c r="O34" s="96"/>
      <c r="P34" s="96"/>
      <c r="Q34" s="96"/>
      <c r="R34" s="97"/>
    </row>
    <row r="35" spans="1:18" ht="41.45" customHeight="1" thickBot="1" x14ac:dyDescent="0.3">
      <c r="A35" s="20"/>
      <c r="B35" s="4"/>
      <c r="C35" s="23"/>
      <c r="D35" s="23"/>
      <c r="E35" s="24"/>
      <c r="F35" s="24"/>
      <c r="G35" s="24"/>
      <c r="H35" s="24"/>
      <c r="I35" s="24"/>
      <c r="J35" s="24"/>
      <c r="K35" s="24"/>
      <c r="L35" s="94"/>
      <c r="M35" s="94"/>
      <c r="N35" s="94"/>
      <c r="O35" s="94"/>
      <c r="P35" s="94"/>
      <c r="Q35" s="94"/>
      <c r="R35" s="95"/>
    </row>
    <row r="36" spans="1:18" ht="41.45" customHeight="1" x14ac:dyDescent="0.25">
      <c r="A36" s="33"/>
      <c r="B36" s="33"/>
      <c r="C36" s="34"/>
      <c r="D36" s="34"/>
      <c r="E36" s="34" t="str">
        <f>IF(E7="X",(D7-C7),"0")</f>
        <v>0</v>
      </c>
      <c r="F36" s="34">
        <f>IF(F7="X",(D7-C7),"0")</f>
        <v>11.21</v>
      </c>
      <c r="G36" s="34" t="str">
        <f>IF(G7="X",(D7-C7),"0")</f>
        <v>0</v>
      </c>
      <c r="H36" s="34" t="str">
        <f>IF(H7="X",(D7-C7),"0")</f>
        <v>0</v>
      </c>
      <c r="I36" s="34">
        <f>IF(I7="X",(D7-C7),"0")</f>
        <v>11.21</v>
      </c>
      <c r="J36" s="34" t="str">
        <f>IF(J7="X",(D7-C7),"0")</f>
        <v>0</v>
      </c>
      <c r="K36" s="34" t="str">
        <f>IF(K7="X",(D7-C7),"0")</f>
        <v>0</v>
      </c>
      <c r="L36" s="93"/>
      <c r="M36" s="93"/>
      <c r="N36" s="93"/>
      <c r="O36" s="93"/>
      <c r="P36" s="93"/>
      <c r="Q36" s="93"/>
      <c r="R36" s="93"/>
    </row>
    <row r="37" spans="1:18" ht="41.45" customHeight="1" x14ac:dyDescent="0.25">
      <c r="C37" s="35"/>
      <c r="D37" s="35"/>
      <c r="E37" s="35" t="str">
        <f t="shared" ref="E37:E61" si="0">IF(E8="X",(D8-C8),"0")</f>
        <v>0</v>
      </c>
      <c r="F37" s="35" t="str">
        <f t="shared" ref="F37:F61" si="1">IF(F8="X",(D8-C8),"0")</f>
        <v>0</v>
      </c>
      <c r="G37" s="35" t="str">
        <f t="shared" ref="G37:G61" si="2">IF(G8="X",(D8-C8),"0")</f>
        <v>0</v>
      </c>
      <c r="H37" s="35" t="str">
        <f t="shared" ref="H37:H61" si="3">IF(H8="X",(D8-C8),"0")</f>
        <v>0</v>
      </c>
      <c r="I37" s="35" t="str">
        <f t="shared" ref="I37:I61" si="4">IF(I8="X",(D8-C8),"0")</f>
        <v>0</v>
      </c>
      <c r="J37" s="35" t="str">
        <f t="shared" ref="J37:J61" si="5">IF(J8="X",(D8-C8),"0")</f>
        <v>0</v>
      </c>
      <c r="K37" s="35" t="str">
        <f t="shared" ref="K37:K61" si="6">IF(K8="X",(D8-C8),"0")</f>
        <v>0</v>
      </c>
      <c r="L37" s="92"/>
      <c r="M37" s="92"/>
      <c r="N37" s="92"/>
      <c r="O37" s="92"/>
      <c r="P37" s="92"/>
      <c r="Q37" s="92"/>
      <c r="R37" s="92"/>
    </row>
    <row r="38" spans="1:18" ht="41.45" customHeight="1" x14ac:dyDescent="0.25">
      <c r="C38" s="35"/>
      <c r="D38" s="35"/>
      <c r="E38" s="35" t="str">
        <f t="shared" si="0"/>
        <v>0</v>
      </c>
      <c r="F38" s="35" t="str">
        <f t="shared" si="1"/>
        <v>0</v>
      </c>
      <c r="G38" s="35" t="str">
        <f t="shared" si="2"/>
        <v>0</v>
      </c>
      <c r="H38" s="35" t="str">
        <f t="shared" si="3"/>
        <v>0</v>
      </c>
      <c r="I38" s="35" t="str">
        <f t="shared" si="4"/>
        <v>0</v>
      </c>
      <c r="J38" s="35" t="str">
        <f t="shared" si="5"/>
        <v>0</v>
      </c>
      <c r="K38" s="35" t="str">
        <f t="shared" si="6"/>
        <v>0</v>
      </c>
      <c r="L38" s="92"/>
      <c r="M38" s="92"/>
      <c r="N38" s="92"/>
      <c r="O38" s="92"/>
      <c r="P38" s="92"/>
      <c r="Q38" s="92"/>
      <c r="R38" s="92"/>
    </row>
    <row r="39" spans="1:18" ht="41.45" customHeight="1" x14ac:dyDescent="0.25">
      <c r="C39" s="35"/>
      <c r="D39" s="35"/>
      <c r="E39" s="35" t="str">
        <f t="shared" si="0"/>
        <v>0</v>
      </c>
      <c r="F39" s="35" t="str">
        <f t="shared" si="1"/>
        <v>0</v>
      </c>
      <c r="G39" s="35" t="str">
        <f t="shared" si="2"/>
        <v>0</v>
      </c>
      <c r="H39" s="35" t="str">
        <f t="shared" si="3"/>
        <v>0</v>
      </c>
      <c r="I39" s="35" t="str">
        <f t="shared" si="4"/>
        <v>0</v>
      </c>
      <c r="J39" s="35" t="str">
        <f t="shared" si="5"/>
        <v>0</v>
      </c>
      <c r="K39" s="35" t="str">
        <f t="shared" si="6"/>
        <v>0</v>
      </c>
      <c r="L39" s="92"/>
      <c r="M39" s="92"/>
      <c r="N39" s="92"/>
      <c r="O39" s="92"/>
      <c r="P39" s="92"/>
      <c r="Q39" s="92"/>
      <c r="R39" s="92"/>
    </row>
    <row r="40" spans="1:18" ht="41.45" customHeight="1" x14ac:dyDescent="0.25">
      <c r="C40" s="35"/>
      <c r="D40" s="35"/>
      <c r="E40" s="35" t="str">
        <f t="shared" si="0"/>
        <v>0</v>
      </c>
      <c r="F40" s="35" t="str">
        <f t="shared" si="1"/>
        <v>0</v>
      </c>
      <c r="G40" s="35" t="str">
        <f t="shared" si="2"/>
        <v>0</v>
      </c>
      <c r="H40" s="35" t="str">
        <f t="shared" si="3"/>
        <v>0</v>
      </c>
      <c r="I40" s="35" t="str">
        <f t="shared" si="4"/>
        <v>0</v>
      </c>
      <c r="J40" s="35" t="str">
        <f t="shared" si="5"/>
        <v>0</v>
      </c>
      <c r="K40" s="35" t="str">
        <f t="shared" si="6"/>
        <v>0</v>
      </c>
      <c r="L40" s="92"/>
      <c r="M40" s="92"/>
      <c r="N40" s="92"/>
      <c r="O40" s="92"/>
      <c r="P40" s="92"/>
      <c r="Q40" s="92"/>
      <c r="R40" s="92"/>
    </row>
    <row r="41" spans="1:18" ht="41.45" customHeight="1" x14ac:dyDescent="0.25">
      <c r="C41" s="35"/>
      <c r="D41" s="35"/>
      <c r="E41" s="35" t="str">
        <f t="shared" si="0"/>
        <v>0</v>
      </c>
      <c r="F41" s="35" t="str">
        <f t="shared" si="1"/>
        <v>0</v>
      </c>
      <c r="G41" s="35" t="str">
        <f t="shared" si="2"/>
        <v>0</v>
      </c>
      <c r="H41" s="35" t="str">
        <f t="shared" si="3"/>
        <v>0</v>
      </c>
      <c r="I41" s="35" t="str">
        <f t="shared" si="4"/>
        <v>0</v>
      </c>
      <c r="J41" s="35" t="str">
        <f t="shared" si="5"/>
        <v>0</v>
      </c>
      <c r="K41" s="35" t="str">
        <f t="shared" si="6"/>
        <v>0</v>
      </c>
      <c r="L41" s="92"/>
      <c r="M41" s="92"/>
      <c r="N41" s="92"/>
      <c r="O41" s="92"/>
      <c r="P41" s="92"/>
      <c r="Q41" s="92"/>
      <c r="R41" s="92"/>
    </row>
    <row r="42" spans="1:18" ht="41.45" customHeight="1" x14ac:dyDescent="0.25">
      <c r="C42" s="35"/>
      <c r="D42" s="35"/>
      <c r="E42" s="35" t="str">
        <f t="shared" si="0"/>
        <v>0</v>
      </c>
      <c r="F42" s="35" t="str">
        <f t="shared" si="1"/>
        <v>0</v>
      </c>
      <c r="G42" s="35" t="str">
        <f t="shared" si="2"/>
        <v>0</v>
      </c>
      <c r="H42" s="35" t="str">
        <f t="shared" si="3"/>
        <v>0</v>
      </c>
      <c r="I42" s="35" t="str">
        <f t="shared" si="4"/>
        <v>0</v>
      </c>
      <c r="J42" s="35" t="str">
        <f t="shared" si="5"/>
        <v>0</v>
      </c>
      <c r="K42" s="35" t="str">
        <f t="shared" si="6"/>
        <v>0</v>
      </c>
      <c r="L42" s="92"/>
      <c r="M42" s="92"/>
      <c r="N42" s="92"/>
      <c r="O42" s="92"/>
      <c r="P42" s="92"/>
      <c r="Q42" s="92"/>
      <c r="R42" s="92"/>
    </row>
    <row r="43" spans="1:18" ht="41.45" customHeight="1" x14ac:dyDescent="0.25">
      <c r="C43" s="35"/>
      <c r="D43" s="35"/>
      <c r="E43" s="35" t="str">
        <f t="shared" si="0"/>
        <v>0</v>
      </c>
      <c r="F43" s="35" t="str">
        <f t="shared" si="1"/>
        <v>0</v>
      </c>
      <c r="G43" s="35" t="str">
        <f t="shared" si="2"/>
        <v>0</v>
      </c>
      <c r="H43" s="35" t="str">
        <f t="shared" si="3"/>
        <v>0</v>
      </c>
      <c r="I43" s="35" t="str">
        <f t="shared" si="4"/>
        <v>0</v>
      </c>
      <c r="J43" s="35" t="str">
        <f t="shared" si="5"/>
        <v>0</v>
      </c>
      <c r="K43" s="35" t="str">
        <f t="shared" si="6"/>
        <v>0</v>
      </c>
      <c r="L43" s="92"/>
      <c r="M43" s="92"/>
      <c r="N43" s="92"/>
      <c r="O43" s="92"/>
      <c r="P43" s="92"/>
      <c r="Q43" s="92"/>
      <c r="R43" s="92"/>
    </row>
    <row r="44" spans="1:18" ht="41.45" customHeight="1" x14ac:dyDescent="0.25">
      <c r="C44" s="35"/>
      <c r="D44" s="35"/>
      <c r="E44" s="35" t="str">
        <f t="shared" si="0"/>
        <v>0</v>
      </c>
      <c r="F44" s="35" t="str">
        <f t="shared" si="1"/>
        <v>0</v>
      </c>
      <c r="G44" s="35" t="str">
        <f t="shared" si="2"/>
        <v>0</v>
      </c>
      <c r="H44" s="35" t="str">
        <f t="shared" si="3"/>
        <v>0</v>
      </c>
      <c r="I44" s="35" t="str">
        <f t="shared" si="4"/>
        <v>0</v>
      </c>
      <c r="J44" s="35" t="str">
        <f t="shared" si="5"/>
        <v>0</v>
      </c>
      <c r="K44" s="35" t="str">
        <f t="shared" si="6"/>
        <v>0</v>
      </c>
      <c r="L44" s="92"/>
      <c r="M44" s="92"/>
      <c r="N44" s="92"/>
      <c r="O44" s="92"/>
      <c r="P44" s="92"/>
      <c r="Q44" s="92"/>
      <c r="R44" s="92"/>
    </row>
    <row r="45" spans="1:18" ht="41.45" customHeight="1" x14ac:dyDescent="0.25">
      <c r="C45" s="35"/>
      <c r="D45" s="35"/>
      <c r="E45" s="35" t="str">
        <f t="shared" si="0"/>
        <v>0</v>
      </c>
      <c r="F45" s="35" t="str">
        <f t="shared" si="1"/>
        <v>0</v>
      </c>
      <c r="G45" s="35" t="str">
        <f t="shared" si="2"/>
        <v>0</v>
      </c>
      <c r="H45" s="35" t="str">
        <f t="shared" si="3"/>
        <v>0</v>
      </c>
      <c r="I45" s="35" t="str">
        <f t="shared" si="4"/>
        <v>0</v>
      </c>
      <c r="J45" s="35" t="str">
        <f t="shared" si="5"/>
        <v>0</v>
      </c>
      <c r="K45" s="35" t="str">
        <f t="shared" si="6"/>
        <v>0</v>
      </c>
      <c r="L45" s="92"/>
      <c r="M45" s="92"/>
      <c r="N45" s="92"/>
      <c r="O45" s="92"/>
      <c r="P45" s="92"/>
      <c r="Q45" s="92"/>
      <c r="R45" s="92"/>
    </row>
    <row r="46" spans="1:18" ht="41.45" customHeight="1" x14ac:dyDescent="0.25">
      <c r="C46" s="35"/>
      <c r="D46" s="35"/>
      <c r="E46" s="35" t="str">
        <f t="shared" si="0"/>
        <v>0</v>
      </c>
      <c r="F46" s="35" t="str">
        <f t="shared" si="1"/>
        <v>0</v>
      </c>
      <c r="G46" s="35" t="str">
        <f t="shared" si="2"/>
        <v>0</v>
      </c>
      <c r="H46" s="35" t="str">
        <f t="shared" si="3"/>
        <v>0</v>
      </c>
      <c r="I46" s="35" t="str">
        <f t="shared" si="4"/>
        <v>0</v>
      </c>
      <c r="J46" s="35" t="str">
        <f t="shared" si="5"/>
        <v>0</v>
      </c>
      <c r="K46" s="35" t="str">
        <f t="shared" si="6"/>
        <v>0</v>
      </c>
      <c r="L46" s="92"/>
      <c r="M46" s="92"/>
      <c r="N46" s="92"/>
      <c r="O46" s="92"/>
      <c r="P46" s="92"/>
      <c r="Q46" s="92"/>
      <c r="R46" s="92"/>
    </row>
    <row r="47" spans="1:18" ht="41.45" customHeight="1" x14ac:dyDescent="0.25">
      <c r="C47" s="35"/>
      <c r="D47" s="35"/>
      <c r="E47" s="35" t="str">
        <f t="shared" si="0"/>
        <v>0</v>
      </c>
      <c r="F47" s="35" t="str">
        <f t="shared" si="1"/>
        <v>0</v>
      </c>
      <c r="G47" s="35" t="str">
        <f t="shared" si="2"/>
        <v>0</v>
      </c>
      <c r="H47" s="35" t="str">
        <f t="shared" si="3"/>
        <v>0</v>
      </c>
      <c r="I47" s="35" t="str">
        <f t="shared" si="4"/>
        <v>0</v>
      </c>
      <c r="J47" s="35" t="str">
        <f t="shared" si="5"/>
        <v>0</v>
      </c>
      <c r="K47" s="35" t="str">
        <f t="shared" si="6"/>
        <v>0</v>
      </c>
      <c r="L47" s="92"/>
      <c r="M47" s="92"/>
      <c r="N47" s="92"/>
      <c r="O47" s="92"/>
      <c r="P47" s="92"/>
      <c r="Q47" s="92"/>
      <c r="R47" s="92"/>
    </row>
    <row r="48" spans="1:18" ht="41.45" customHeight="1" x14ac:dyDescent="0.25">
      <c r="C48" s="35"/>
      <c r="D48" s="35"/>
      <c r="E48" s="35" t="str">
        <f t="shared" si="0"/>
        <v>0</v>
      </c>
      <c r="F48" s="35" t="str">
        <f t="shared" si="1"/>
        <v>0</v>
      </c>
      <c r="G48" s="35" t="str">
        <f t="shared" si="2"/>
        <v>0</v>
      </c>
      <c r="H48" s="35" t="str">
        <f t="shared" si="3"/>
        <v>0</v>
      </c>
      <c r="I48" s="35" t="str">
        <f t="shared" si="4"/>
        <v>0</v>
      </c>
      <c r="J48" s="35" t="str">
        <f t="shared" si="5"/>
        <v>0</v>
      </c>
      <c r="K48" s="35" t="str">
        <f t="shared" si="6"/>
        <v>0</v>
      </c>
      <c r="L48" s="92"/>
      <c r="M48" s="92"/>
      <c r="N48" s="92"/>
      <c r="O48" s="92"/>
      <c r="P48" s="92"/>
      <c r="Q48" s="92"/>
      <c r="R48" s="92"/>
    </row>
    <row r="49" spans="3:18" ht="41.45" customHeight="1" x14ac:dyDescent="0.25">
      <c r="C49" s="35"/>
      <c r="D49" s="35"/>
      <c r="E49" s="35" t="str">
        <f t="shared" si="0"/>
        <v>0</v>
      </c>
      <c r="F49" s="35" t="str">
        <f t="shared" si="1"/>
        <v>0</v>
      </c>
      <c r="G49" s="35" t="str">
        <f t="shared" si="2"/>
        <v>0</v>
      </c>
      <c r="H49" s="35" t="str">
        <f t="shared" si="3"/>
        <v>0</v>
      </c>
      <c r="I49" s="35" t="str">
        <f t="shared" si="4"/>
        <v>0</v>
      </c>
      <c r="J49" s="35" t="str">
        <f t="shared" si="5"/>
        <v>0</v>
      </c>
      <c r="K49" s="35" t="str">
        <f t="shared" si="6"/>
        <v>0</v>
      </c>
      <c r="L49" s="92"/>
      <c r="M49" s="92"/>
      <c r="N49" s="92"/>
      <c r="O49" s="92"/>
      <c r="P49" s="92"/>
      <c r="Q49" s="92"/>
      <c r="R49" s="92"/>
    </row>
    <row r="50" spans="3:18" ht="41.45" customHeight="1" x14ac:dyDescent="0.25">
      <c r="C50" s="35"/>
      <c r="D50" s="35"/>
      <c r="E50" s="35" t="str">
        <f t="shared" si="0"/>
        <v>0</v>
      </c>
      <c r="F50" s="35" t="str">
        <f t="shared" si="1"/>
        <v>0</v>
      </c>
      <c r="G50" s="35" t="str">
        <f t="shared" si="2"/>
        <v>0</v>
      </c>
      <c r="H50" s="35" t="str">
        <f t="shared" si="3"/>
        <v>0</v>
      </c>
      <c r="I50" s="35" t="str">
        <f t="shared" si="4"/>
        <v>0</v>
      </c>
      <c r="J50" s="35" t="str">
        <f t="shared" si="5"/>
        <v>0</v>
      </c>
      <c r="K50" s="35" t="str">
        <f t="shared" si="6"/>
        <v>0</v>
      </c>
      <c r="L50" s="92"/>
      <c r="M50" s="92"/>
      <c r="N50" s="92"/>
      <c r="O50" s="92"/>
      <c r="P50" s="92"/>
      <c r="Q50" s="92"/>
      <c r="R50" s="92"/>
    </row>
    <row r="51" spans="3:18" ht="41.45" customHeight="1" x14ac:dyDescent="0.25">
      <c r="C51" s="35"/>
      <c r="D51" s="35"/>
      <c r="E51" s="35" t="str">
        <f t="shared" si="0"/>
        <v>0</v>
      </c>
      <c r="F51" s="35" t="str">
        <f t="shared" si="1"/>
        <v>0</v>
      </c>
      <c r="G51" s="35" t="str">
        <f t="shared" si="2"/>
        <v>0</v>
      </c>
      <c r="H51" s="35" t="str">
        <f t="shared" si="3"/>
        <v>0</v>
      </c>
      <c r="I51" s="35" t="str">
        <f t="shared" si="4"/>
        <v>0</v>
      </c>
      <c r="J51" s="35" t="str">
        <f t="shared" si="5"/>
        <v>0</v>
      </c>
      <c r="K51" s="35" t="str">
        <f t="shared" si="6"/>
        <v>0</v>
      </c>
      <c r="L51" s="92"/>
      <c r="M51" s="92"/>
      <c r="N51" s="92"/>
      <c r="O51" s="92"/>
      <c r="P51" s="92"/>
      <c r="Q51" s="92"/>
      <c r="R51" s="92"/>
    </row>
    <row r="52" spans="3:18" ht="41.45" customHeight="1" x14ac:dyDescent="0.25">
      <c r="C52" s="35"/>
      <c r="D52" s="35"/>
      <c r="E52" s="35" t="str">
        <f t="shared" si="0"/>
        <v>0</v>
      </c>
      <c r="F52" s="35" t="str">
        <f t="shared" si="1"/>
        <v>0</v>
      </c>
      <c r="G52" s="35" t="str">
        <f t="shared" si="2"/>
        <v>0</v>
      </c>
      <c r="H52" s="35" t="str">
        <f t="shared" si="3"/>
        <v>0</v>
      </c>
      <c r="I52" s="35" t="str">
        <f t="shared" si="4"/>
        <v>0</v>
      </c>
      <c r="J52" s="35" t="str">
        <f t="shared" si="5"/>
        <v>0</v>
      </c>
      <c r="K52" s="35" t="str">
        <f t="shared" si="6"/>
        <v>0</v>
      </c>
      <c r="L52" s="92"/>
      <c r="M52" s="92"/>
      <c r="N52" s="92"/>
      <c r="O52" s="92"/>
      <c r="P52" s="92"/>
      <c r="Q52" s="92"/>
      <c r="R52" s="92"/>
    </row>
    <row r="53" spans="3:18" ht="41.45" customHeight="1" x14ac:dyDescent="0.25">
      <c r="C53" s="35"/>
      <c r="D53" s="35"/>
      <c r="E53" s="35" t="str">
        <f t="shared" si="0"/>
        <v>0</v>
      </c>
      <c r="F53" s="35" t="str">
        <f t="shared" si="1"/>
        <v>0</v>
      </c>
      <c r="G53" s="35" t="str">
        <f t="shared" si="2"/>
        <v>0</v>
      </c>
      <c r="H53" s="35" t="str">
        <f t="shared" si="3"/>
        <v>0</v>
      </c>
      <c r="I53" s="35" t="str">
        <f t="shared" si="4"/>
        <v>0</v>
      </c>
      <c r="J53" s="35" t="str">
        <f t="shared" si="5"/>
        <v>0</v>
      </c>
      <c r="K53" s="35" t="str">
        <f t="shared" si="6"/>
        <v>0</v>
      </c>
      <c r="L53" s="92"/>
      <c r="M53" s="92"/>
      <c r="N53" s="92"/>
      <c r="O53" s="92"/>
      <c r="P53" s="92"/>
      <c r="Q53" s="92"/>
      <c r="R53" s="92"/>
    </row>
    <row r="54" spans="3:18" ht="41.45" customHeight="1" x14ac:dyDescent="0.25">
      <c r="C54" s="35"/>
      <c r="D54" s="35"/>
      <c r="E54" s="35" t="str">
        <f t="shared" si="0"/>
        <v>0</v>
      </c>
      <c r="F54" s="35" t="str">
        <f t="shared" si="1"/>
        <v>0</v>
      </c>
      <c r="G54" s="35" t="str">
        <f t="shared" si="2"/>
        <v>0</v>
      </c>
      <c r="H54" s="35" t="str">
        <f t="shared" si="3"/>
        <v>0</v>
      </c>
      <c r="I54" s="35" t="str">
        <f t="shared" si="4"/>
        <v>0</v>
      </c>
      <c r="J54" s="35" t="str">
        <f t="shared" si="5"/>
        <v>0</v>
      </c>
      <c r="K54" s="35" t="str">
        <f t="shared" si="6"/>
        <v>0</v>
      </c>
      <c r="L54" s="92"/>
      <c r="M54" s="92"/>
      <c r="N54" s="92"/>
      <c r="O54" s="92"/>
      <c r="P54" s="92"/>
      <c r="Q54" s="92"/>
      <c r="R54" s="92"/>
    </row>
    <row r="55" spans="3:18" ht="41.45" customHeight="1" x14ac:dyDescent="0.25">
      <c r="C55" s="35"/>
      <c r="D55" s="35"/>
      <c r="E55" s="35" t="str">
        <f t="shared" si="0"/>
        <v>0</v>
      </c>
      <c r="F55" s="35" t="str">
        <f t="shared" si="1"/>
        <v>0</v>
      </c>
      <c r="G55" s="35" t="str">
        <f t="shared" si="2"/>
        <v>0</v>
      </c>
      <c r="H55" s="35" t="str">
        <f t="shared" si="3"/>
        <v>0</v>
      </c>
      <c r="I55" s="35" t="str">
        <f t="shared" si="4"/>
        <v>0</v>
      </c>
      <c r="J55" s="35" t="str">
        <f t="shared" si="5"/>
        <v>0</v>
      </c>
      <c r="K55" s="35" t="str">
        <f t="shared" si="6"/>
        <v>0</v>
      </c>
      <c r="L55" s="92"/>
      <c r="M55" s="92"/>
      <c r="N55" s="92"/>
      <c r="O55" s="92"/>
      <c r="P55" s="92"/>
      <c r="Q55" s="92"/>
      <c r="R55" s="92"/>
    </row>
    <row r="56" spans="3:18" ht="41.45" customHeight="1" x14ac:dyDescent="0.25">
      <c r="C56" s="35"/>
      <c r="D56" s="35"/>
      <c r="E56" s="35" t="str">
        <f t="shared" si="0"/>
        <v>0</v>
      </c>
      <c r="F56" s="35" t="str">
        <f t="shared" si="1"/>
        <v>0</v>
      </c>
      <c r="G56" s="35" t="str">
        <f t="shared" si="2"/>
        <v>0</v>
      </c>
      <c r="H56" s="35" t="str">
        <f t="shared" si="3"/>
        <v>0</v>
      </c>
      <c r="I56" s="35" t="str">
        <f t="shared" si="4"/>
        <v>0</v>
      </c>
      <c r="J56" s="35" t="str">
        <f t="shared" si="5"/>
        <v>0</v>
      </c>
      <c r="K56" s="35" t="str">
        <f t="shared" si="6"/>
        <v>0</v>
      </c>
      <c r="L56" s="92"/>
      <c r="M56" s="92"/>
      <c r="N56" s="92"/>
      <c r="O56" s="92"/>
      <c r="P56" s="92"/>
      <c r="Q56" s="92"/>
      <c r="R56" s="92"/>
    </row>
    <row r="57" spans="3:18" ht="41.45" customHeight="1" x14ac:dyDescent="0.25">
      <c r="C57" s="35"/>
      <c r="D57" s="35"/>
      <c r="E57" s="35" t="str">
        <f t="shared" si="0"/>
        <v>0</v>
      </c>
      <c r="F57" s="35" t="str">
        <f t="shared" si="1"/>
        <v>0</v>
      </c>
      <c r="G57" s="35" t="str">
        <f t="shared" si="2"/>
        <v>0</v>
      </c>
      <c r="H57" s="35" t="str">
        <f t="shared" si="3"/>
        <v>0</v>
      </c>
      <c r="I57" s="35" t="str">
        <f t="shared" si="4"/>
        <v>0</v>
      </c>
      <c r="J57" s="35" t="str">
        <f t="shared" si="5"/>
        <v>0</v>
      </c>
      <c r="K57" s="35" t="str">
        <f t="shared" si="6"/>
        <v>0</v>
      </c>
      <c r="L57" s="92"/>
      <c r="M57" s="92"/>
      <c r="N57" s="92"/>
      <c r="O57" s="92"/>
      <c r="P57" s="92"/>
      <c r="Q57" s="92"/>
      <c r="R57" s="92"/>
    </row>
    <row r="58" spans="3:18" ht="41.45" customHeight="1" x14ac:dyDescent="0.25">
      <c r="C58" s="35"/>
      <c r="D58" s="35"/>
      <c r="E58" s="35" t="str">
        <f t="shared" si="0"/>
        <v>0</v>
      </c>
      <c r="F58" s="35" t="str">
        <f t="shared" si="1"/>
        <v>0</v>
      </c>
      <c r="G58" s="35" t="str">
        <f t="shared" si="2"/>
        <v>0</v>
      </c>
      <c r="H58" s="35" t="str">
        <f t="shared" si="3"/>
        <v>0</v>
      </c>
      <c r="I58" s="35" t="str">
        <f t="shared" si="4"/>
        <v>0</v>
      </c>
      <c r="J58" s="35" t="str">
        <f t="shared" si="5"/>
        <v>0</v>
      </c>
      <c r="K58" s="35" t="str">
        <f t="shared" si="6"/>
        <v>0</v>
      </c>
      <c r="L58" s="92"/>
      <c r="M58" s="92"/>
      <c r="N58" s="92"/>
      <c r="O58" s="92"/>
      <c r="P58" s="92"/>
      <c r="Q58" s="92"/>
      <c r="R58" s="92"/>
    </row>
    <row r="59" spans="3:18" ht="41.45" customHeight="1" x14ac:dyDescent="0.25">
      <c r="C59" s="35"/>
      <c r="D59" s="35"/>
      <c r="E59" s="35" t="str">
        <f t="shared" si="0"/>
        <v>0</v>
      </c>
      <c r="F59" s="35" t="str">
        <f t="shared" si="1"/>
        <v>0</v>
      </c>
      <c r="G59" s="35" t="str">
        <f t="shared" si="2"/>
        <v>0</v>
      </c>
      <c r="H59" s="35" t="str">
        <f t="shared" si="3"/>
        <v>0</v>
      </c>
      <c r="I59" s="35" t="str">
        <f t="shared" si="4"/>
        <v>0</v>
      </c>
      <c r="J59" s="35" t="str">
        <f t="shared" si="5"/>
        <v>0</v>
      </c>
      <c r="K59" s="35" t="str">
        <f t="shared" si="6"/>
        <v>0</v>
      </c>
      <c r="L59" s="92"/>
      <c r="M59" s="92"/>
      <c r="N59" s="92"/>
      <c r="O59" s="92"/>
      <c r="P59" s="92"/>
      <c r="Q59" s="92"/>
      <c r="R59" s="92"/>
    </row>
    <row r="60" spans="3:18" ht="41.45" customHeight="1" x14ac:dyDescent="0.25">
      <c r="C60" s="35"/>
      <c r="D60" s="35"/>
      <c r="E60" s="35" t="str">
        <f t="shared" si="0"/>
        <v>0</v>
      </c>
      <c r="F60" s="35" t="str">
        <f t="shared" si="1"/>
        <v>0</v>
      </c>
      <c r="G60" s="35" t="str">
        <f t="shared" si="2"/>
        <v>0</v>
      </c>
      <c r="H60" s="35" t="str">
        <f t="shared" si="3"/>
        <v>0</v>
      </c>
      <c r="I60" s="35" t="str">
        <f t="shared" si="4"/>
        <v>0</v>
      </c>
      <c r="J60" s="35" t="str">
        <f t="shared" si="5"/>
        <v>0</v>
      </c>
      <c r="K60" s="35" t="str">
        <f t="shared" si="6"/>
        <v>0</v>
      </c>
      <c r="L60" s="92"/>
      <c r="M60" s="92"/>
      <c r="N60" s="92"/>
      <c r="O60" s="92"/>
      <c r="P60" s="92"/>
      <c r="Q60" s="92"/>
      <c r="R60" s="92"/>
    </row>
    <row r="61" spans="3:18" ht="41.45" customHeight="1" x14ac:dyDescent="0.25">
      <c r="C61" s="35"/>
      <c r="D61" s="35"/>
      <c r="E61" s="35" t="str">
        <f t="shared" si="0"/>
        <v>0</v>
      </c>
      <c r="F61" s="35" t="str">
        <f t="shared" si="1"/>
        <v>0</v>
      </c>
      <c r="G61" s="35" t="str">
        <f t="shared" si="2"/>
        <v>0</v>
      </c>
      <c r="H61" s="35" t="str">
        <f t="shared" si="3"/>
        <v>0</v>
      </c>
      <c r="I61" s="35" t="str">
        <f t="shared" si="4"/>
        <v>0</v>
      </c>
      <c r="J61" s="35" t="str">
        <f t="shared" si="5"/>
        <v>0</v>
      </c>
      <c r="K61" s="35" t="str">
        <f t="shared" si="6"/>
        <v>0</v>
      </c>
      <c r="L61" s="92"/>
      <c r="M61" s="92"/>
      <c r="N61" s="92"/>
      <c r="O61" s="92"/>
      <c r="P61" s="92"/>
      <c r="Q61" s="92"/>
      <c r="R61" s="92"/>
    </row>
    <row r="62" spans="3:18" ht="41.45" customHeight="1" x14ac:dyDescent="0.25">
      <c r="C62" s="35"/>
      <c r="D62" s="35"/>
      <c r="E62" s="35">
        <f>SUM(E36:E61)</f>
        <v>0</v>
      </c>
      <c r="F62" s="35">
        <f t="shared" ref="F62:K62" si="7">SUM(F36:F61)</f>
        <v>11.21</v>
      </c>
      <c r="G62" s="35">
        <f t="shared" si="7"/>
        <v>0</v>
      </c>
      <c r="H62" s="35">
        <f t="shared" si="7"/>
        <v>0</v>
      </c>
      <c r="I62" s="35">
        <f t="shared" si="7"/>
        <v>11.21</v>
      </c>
      <c r="J62" s="35">
        <f t="shared" si="7"/>
        <v>0</v>
      </c>
      <c r="K62" s="35">
        <f t="shared" si="7"/>
        <v>0</v>
      </c>
      <c r="L62" s="92"/>
      <c r="M62" s="92"/>
      <c r="N62" s="92"/>
      <c r="O62" s="92"/>
      <c r="P62" s="92"/>
      <c r="Q62" s="92"/>
      <c r="R62" s="92"/>
    </row>
    <row r="63" spans="3:18" ht="41.45" customHeight="1" x14ac:dyDescent="0.25">
      <c r="C63" s="35"/>
      <c r="D63" s="35"/>
      <c r="E63" s="35"/>
      <c r="F63" s="31"/>
      <c r="G63" s="31"/>
      <c r="H63" s="31"/>
      <c r="I63" s="31"/>
      <c r="J63" s="31"/>
      <c r="K63" s="31"/>
      <c r="L63" s="92"/>
      <c r="M63" s="92"/>
      <c r="N63" s="92"/>
      <c r="O63" s="92"/>
      <c r="P63" s="92"/>
      <c r="Q63" s="92"/>
      <c r="R63" s="92"/>
    </row>
    <row r="64" spans="3:18" ht="41.45" customHeight="1" x14ac:dyDescent="0.25">
      <c r="C64" s="35"/>
      <c r="D64" s="35"/>
      <c r="E64" s="35"/>
      <c r="F64" s="31"/>
      <c r="G64" s="31"/>
      <c r="H64" s="31"/>
      <c r="I64" s="31"/>
      <c r="J64" s="31"/>
      <c r="K64" s="31"/>
      <c r="L64" s="92"/>
      <c r="M64" s="92"/>
      <c r="N64" s="92"/>
      <c r="O64" s="92"/>
      <c r="P64" s="92"/>
      <c r="Q64" s="92"/>
      <c r="R64" s="92"/>
    </row>
    <row r="65" spans="3:18" ht="41.45" customHeight="1" x14ac:dyDescent="0.25">
      <c r="C65" s="35"/>
      <c r="D65" s="35"/>
      <c r="E65" s="35"/>
      <c r="F65" s="31"/>
      <c r="G65" s="31"/>
      <c r="H65" s="31"/>
      <c r="I65" s="31"/>
      <c r="J65" s="31"/>
      <c r="K65" s="31"/>
      <c r="L65" s="92"/>
      <c r="M65" s="92"/>
      <c r="N65" s="92"/>
      <c r="O65" s="92"/>
      <c r="P65" s="92"/>
      <c r="Q65" s="92"/>
      <c r="R65" s="92"/>
    </row>
    <row r="66" spans="3:18" ht="41.45" customHeight="1" x14ac:dyDescent="0.25">
      <c r="C66" s="35"/>
      <c r="D66" s="35"/>
      <c r="E66" s="35"/>
      <c r="F66" s="31"/>
      <c r="G66" s="31"/>
      <c r="H66" s="31"/>
      <c r="I66" s="31"/>
      <c r="J66" s="31"/>
      <c r="K66" s="31"/>
      <c r="L66" s="92"/>
      <c r="M66" s="92"/>
      <c r="N66" s="92"/>
      <c r="O66" s="92"/>
      <c r="P66" s="92"/>
      <c r="Q66" s="92"/>
      <c r="R66" s="92"/>
    </row>
    <row r="67" spans="3:18" ht="41.45" customHeight="1" x14ac:dyDescent="0.25">
      <c r="C67" s="35"/>
      <c r="D67" s="35"/>
      <c r="E67" s="35"/>
      <c r="F67" s="31"/>
      <c r="G67" s="31"/>
      <c r="H67" s="31"/>
      <c r="I67" s="31"/>
      <c r="J67" s="31"/>
      <c r="K67" s="31"/>
      <c r="L67" s="92"/>
      <c r="M67" s="92"/>
      <c r="N67" s="92"/>
      <c r="O67" s="92"/>
      <c r="P67" s="92"/>
      <c r="Q67" s="92"/>
      <c r="R67" s="92"/>
    </row>
    <row r="68" spans="3:18" ht="41.45" customHeight="1" x14ac:dyDescent="0.25">
      <c r="C68" s="35"/>
      <c r="D68" s="35"/>
      <c r="E68" s="35"/>
      <c r="F68" s="31"/>
      <c r="G68" s="31"/>
      <c r="H68" s="31"/>
      <c r="I68" s="31"/>
      <c r="J68" s="31"/>
      <c r="K68" s="31"/>
      <c r="L68" s="92"/>
      <c r="M68" s="92"/>
      <c r="N68" s="92"/>
      <c r="O68" s="92"/>
      <c r="P68" s="92"/>
      <c r="Q68" s="92"/>
      <c r="R68" s="92"/>
    </row>
  </sheetData>
  <mergeCells count="73">
    <mergeCell ref="A5:A6"/>
    <mergeCell ref="B5:B6"/>
    <mergeCell ref="C5:C6"/>
    <mergeCell ref="D5:D6"/>
    <mergeCell ref="E5:H5"/>
    <mergeCell ref="L11:R11"/>
    <mergeCell ref="I1:I2"/>
    <mergeCell ref="J1:J2"/>
    <mergeCell ref="L1:M2"/>
    <mergeCell ref="N1:R2"/>
    <mergeCell ref="I5:K5"/>
    <mergeCell ref="L5:R6"/>
    <mergeCell ref="L7:R7"/>
    <mergeCell ref="L8:R8"/>
    <mergeCell ref="L9:R9"/>
    <mergeCell ref="L10:R10"/>
    <mergeCell ref="L23:R23"/>
    <mergeCell ref="L12:R12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35:R35"/>
    <mergeCell ref="L24:R24"/>
    <mergeCell ref="L25:R25"/>
    <mergeCell ref="L26:R26"/>
    <mergeCell ref="L27:R27"/>
    <mergeCell ref="L28:R28"/>
    <mergeCell ref="L29:R29"/>
    <mergeCell ref="L30:R30"/>
    <mergeCell ref="L31:R31"/>
    <mergeCell ref="L32:R32"/>
    <mergeCell ref="L33:R33"/>
    <mergeCell ref="L34:R34"/>
    <mergeCell ref="L47:R47"/>
    <mergeCell ref="L36:R36"/>
    <mergeCell ref="L37:R37"/>
    <mergeCell ref="L38:R38"/>
    <mergeCell ref="L39:R39"/>
    <mergeCell ref="L40:R40"/>
    <mergeCell ref="L41:R41"/>
    <mergeCell ref="L42:R42"/>
    <mergeCell ref="L43:R43"/>
    <mergeCell ref="L44:R44"/>
    <mergeCell ref="L45:R45"/>
    <mergeCell ref="L46:R46"/>
    <mergeCell ref="L59:R59"/>
    <mergeCell ref="L48:R48"/>
    <mergeCell ref="L49:R49"/>
    <mergeCell ref="L50:R50"/>
    <mergeCell ref="L51:R51"/>
    <mergeCell ref="L52:R52"/>
    <mergeCell ref="L53:R53"/>
    <mergeCell ref="L54:R54"/>
    <mergeCell ref="L55:R55"/>
    <mergeCell ref="L56:R56"/>
    <mergeCell ref="L57:R57"/>
    <mergeCell ref="L58:R58"/>
    <mergeCell ref="L66:R66"/>
    <mergeCell ref="L67:R67"/>
    <mergeCell ref="L68:R68"/>
    <mergeCell ref="L60:R60"/>
    <mergeCell ref="L61:R61"/>
    <mergeCell ref="L62:R62"/>
    <mergeCell ref="L63:R63"/>
    <mergeCell ref="L64:R64"/>
    <mergeCell ref="L65:R65"/>
  </mergeCells>
  <pageMargins left="0.51181102362204722" right="0.51181102362204722" top="0.78740157480314965" bottom="0.78740157480314965" header="0.31496062992125984" footer="0.31496062992125984"/>
  <pageSetup paperSize="9" scale="33" orientation="landscape" horizontalDpi="1200" verticalDpi="1200" r:id="rId1"/>
  <colBreaks count="1" manualBreakCount="1">
    <brk id="18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E7DE7-BA91-4F87-9172-6B2880ECF8F8}">
  <sheetPr>
    <pageSetUpPr fitToPage="1"/>
  </sheetPr>
  <dimension ref="B1:AC112"/>
  <sheetViews>
    <sheetView view="pageBreakPreview" topLeftCell="U4" zoomScale="70" zoomScaleNormal="40" zoomScaleSheetLayoutView="70" workbookViewId="0">
      <selection activeCell="X15" sqref="X15"/>
    </sheetView>
  </sheetViews>
  <sheetFormatPr defaultColWidth="8.85546875" defaultRowHeight="15" x14ac:dyDescent="0.25"/>
  <cols>
    <col min="1" max="1" width="8.85546875" style="37"/>
    <col min="2" max="2" width="27" style="37" bestFit="1" customWidth="1"/>
    <col min="3" max="3" width="135.140625" style="37" bestFit="1" customWidth="1"/>
    <col min="4" max="4" width="26.5703125" style="37" customWidth="1"/>
    <col min="5" max="5" width="30.140625" style="37" customWidth="1"/>
    <col min="6" max="6" width="26.5703125" style="37" customWidth="1"/>
    <col min="7" max="7" width="33.140625" style="37" customWidth="1"/>
    <col min="8" max="10" width="32" style="37" customWidth="1"/>
    <col min="11" max="16384" width="8.85546875" style="37"/>
  </cols>
  <sheetData>
    <row r="1" spans="2:29" ht="15.75" thickBot="1" x14ac:dyDescent="0.3">
      <c r="D1" s="136" t="s">
        <v>18</v>
      </c>
      <c r="E1" s="136"/>
      <c r="F1" s="136"/>
      <c r="G1" s="136"/>
      <c r="H1" s="136"/>
      <c r="I1" s="136"/>
      <c r="J1" s="136"/>
    </row>
    <row r="2" spans="2:29" ht="23.25" thickBot="1" x14ac:dyDescent="0.3">
      <c r="B2" s="142" t="s">
        <v>20</v>
      </c>
      <c r="C2" s="142" t="s">
        <v>19</v>
      </c>
      <c r="D2" s="137" t="s">
        <v>10</v>
      </c>
      <c r="E2" s="138"/>
      <c r="F2" s="138"/>
      <c r="G2" s="138"/>
      <c r="H2" s="139" t="s">
        <v>11</v>
      </c>
      <c r="I2" s="140"/>
      <c r="J2" s="141"/>
    </row>
    <row r="3" spans="2:29" ht="67.5" x14ac:dyDescent="0.25">
      <c r="B3" s="143"/>
      <c r="C3" s="143"/>
      <c r="D3" s="27" t="s">
        <v>2</v>
      </c>
      <c r="E3" s="28" t="s">
        <v>15</v>
      </c>
      <c r="F3" s="28" t="s">
        <v>16</v>
      </c>
      <c r="G3" s="28" t="s">
        <v>17</v>
      </c>
      <c r="H3" s="29" t="s">
        <v>12</v>
      </c>
      <c r="I3" s="29" t="s">
        <v>13</v>
      </c>
      <c r="J3" s="30" t="s">
        <v>14</v>
      </c>
    </row>
    <row r="4" spans="2:29" ht="30" customHeight="1" x14ac:dyDescent="0.25">
      <c r="B4" s="61" t="s">
        <v>22</v>
      </c>
      <c r="C4" s="26" t="s">
        <v>23</v>
      </c>
      <c r="D4" s="36">
        <f>'245'!E62</f>
        <v>56.72</v>
      </c>
      <c r="E4" s="36">
        <f>'245'!F62</f>
        <v>0</v>
      </c>
      <c r="F4" s="36">
        <f>'245'!G62</f>
        <v>0</v>
      </c>
      <c r="G4" s="36">
        <f>'245'!H62</f>
        <v>0</v>
      </c>
      <c r="H4" s="36">
        <f>'245'!I62</f>
        <v>1</v>
      </c>
      <c r="I4" s="36">
        <f>'245'!J62</f>
        <v>1</v>
      </c>
      <c r="J4" s="39">
        <f>'245'!K62</f>
        <v>1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/>
      <c r="AC4"/>
    </row>
    <row r="5" spans="2:29" ht="30" customHeight="1" x14ac:dyDescent="0.25">
      <c r="B5" s="61" t="s">
        <v>24</v>
      </c>
      <c r="C5" s="26" t="s">
        <v>25</v>
      </c>
      <c r="D5" s="36">
        <f>'260'!E62</f>
        <v>15.2</v>
      </c>
      <c r="E5" s="36">
        <f>'260'!F62</f>
        <v>32.06</v>
      </c>
      <c r="F5" s="36">
        <f>'260'!G62</f>
        <v>0</v>
      </c>
      <c r="G5" s="36">
        <f>'260'!H62</f>
        <v>3.4999999999999996</v>
      </c>
      <c r="H5" s="36">
        <f>'260'!I62</f>
        <v>0</v>
      </c>
      <c r="I5" s="36">
        <f>'260'!J62</f>
        <v>30.2</v>
      </c>
      <c r="J5" s="39">
        <f>'260'!K62</f>
        <v>7.259999999999998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/>
      <c r="AC5"/>
    </row>
    <row r="6" spans="2:29" ht="30" customHeight="1" x14ac:dyDescent="0.25">
      <c r="B6" s="64" t="s">
        <v>26</v>
      </c>
      <c r="C6" s="65" t="s">
        <v>27</v>
      </c>
      <c r="D6" s="36">
        <f>'261'!E62</f>
        <v>0</v>
      </c>
      <c r="E6" s="36">
        <f>'261'!F62</f>
        <v>50.62</v>
      </c>
      <c r="F6" s="36">
        <f>'261'!G62</f>
        <v>0</v>
      </c>
      <c r="G6" s="36">
        <f>'261'!H62</f>
        <v>0</v>
      </c>
      <c r="H6" s="36">
        <f>'261'!I62</f>
        <v>21.6</v>
      </c>
      <c r="I6" s="36">
        <f>'261'!J62</f>
        <v>29.019999999999996</v>
      </c>
      <c r="J6" s="39">
        <f>'261'!K62</f>
        <v>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/>
      <c r="AC6"/>
    </row>
    <row r="7" spans="2:29" ht="30" customHeight="1" x14ac:dyDescent="0.25">
      <c r="B7" s="64" t="s">
        <v>28</v>
      </c>
      <c r="C7" s="65" t="s">
        <v>29</v>
      </c>
      <c r="D7" s="36">
        <f>'262'!E62</f>
        <v>0</v>
      </c>
      <c r="E7" s="36">
        <f>'262'!F62</f>
        <v>23.95</v>
      </c>
      <c r="F7" s="36">
        <f>'262'!G62</f>
        <v>0</v>
      </c>
      <c r="G7" s="36">
        <f>'262'!H62</f>
        <v>0</v>
      </c>
      <c r="H7" s="36">
        <f>'262'!I62</f>
        <v>17.3</v>
      </c>
      <c r="I7" s="36">
        <f>'262'!J62</f>
        <v>6.6499999999999986</v>
      </c>
      <c r="J7" s="39">
        <f>'262'!K62</f>
        <v>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/>
      <c r="AC7"/>
    </row>
    <row r="8" spans="2:29" ht="30" customHeight="1" x14ac:dyDescent="0.25">
      <c r="B8" s="64" t="s">
        <v>30</v>
      </c>
      <c r="C8" s="66" t="s">
        <v>31</v>
      </c>
      <c r="D8" s="36">
        <f>'263'!E63</f>
        <v>39.5</v>
      </c>
      <c r="E8" s="36">
        <f>'263'!F63</f>
        <v>0</v>
      </c>
      <c r="F8" s="36">
        <f>'263'!G63</f>
        <v>0</v>
      </c>
      <c r="G8" s="36">
        <f>'263'!H63</f>
        <v>0</v>
      </c>
      <c r="H8" s="36">
        <f>'263'!I63</f>
        <v>32.4</v>
      </c>
      <c r="I8" s="36">
        <f>'263'!J63</f>
        <v>7.1000000000000014</v>
      </c>
      <c r="J8" s="39">
        <f>'263'!K63</f>
        <v>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/>
      <c r="AC8"/>
    </row>
    <row r="9" spans="2:29" ht="30" customHeight="1" x14ac:dyDescent="0.25">
      <c r="B9" s="64" t="s">
        <v>32</v>
      </c>
      <c r="C9" s="66" t="s">
        <v>33</v>
      </c>
      <c r="D9" s="36">
        <f>'264'!E63</f>
        <v>23.4</v>
      </c>
      <c r="E9" s="36">
        <f>'264'!F63</f>
        <v>19.060000000000002</v>
      </c>
      <c r="F9" s="36">
        <f>'264'!G63</f>
        <v>0</v>
      </c>
      <c r="G9" s="36">
        <f>'264'!H63</f>
        <v>0</v>
      </c>
      <c r="H9" s="36">
        <f>'264'!I63</f>
        <v>0</v>
      </c>
      <c r="I9" s="36">
        <f>'264'!J63</f>
        <v>42.46</v>
      </c>
      <c r="J9" s="39">
        <f>'264'!K63</f>
        <v>0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/>
      <c r="AC9"/>
    </row>
    <row r="10" spans="2:29" ht="30" customHeight="1" x14ac:dyDescent="0.25">
      <c r="B10" s="64" t="s">
        <v>34</v>
      </c>
      <c r="C10" s="65" t="s">
        <v>35</v>
      </c>
      <c r="D10" s="36">
        <f>'265'!E129</f>
        <v>67.819999999999993</v>
      </c>
      <c r="E10" s="36">
        <f>'265'!F129</f>
        <v>0</v>
      </c>
      <c r="F10" s="36">
        <f>'265'!G129</f>
        <v>0</v>
      </c>
      <c r="G10" s="36">
        <f>'265'!H129</f>
        <v>0</v>
      </c>
      <c r="H10" s="36">
        <f>'265'!I129</f>
        <v>67.819999999999993</v>
      </c>
      <c r="I10" s="36">
        <f>'265'!J129</f>
        <v>0</v>
      </c>
      <c r="J10" s="36">
        <f>'265'!K129</f>
        <v>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/>
      <c r="AC10"/>
    </row>
    <row r="11" spans="2:29" ht="30" customHeight="1" x14ac:dyDescent="0.25">
      <c r="B11" s="62" t="s">
        <v>36</v>
      </c>
      <c r="C11" s="63" t="s">
        <v>37</v>
      </c>
      <c r="D11" s="36">
        <f>'267'!E62</f>
        <v>5.0999999999999996</v>
      </c>
      <c r="E11" s="36">
        <f>'267'!F62</f>
        <v>9.2000000000000011</v>
      </c>
      <c r="F11" s="36">
        <f>'267'!G62</f>
        <v>0</v>
      </c>
      <c r="G11" s="36">
        <f>'267'!H62</f>
        <v>0</v>
      </c>
      <c r="H11" s="36">
        <f>'267'!I62</f>
        <v>0</v>
      </c>
      <c r="I11" s="36">
        <f>'267'!J62</f>
        <v>14.3</v>
      </c>
      <c r="J11" s="39">
        <f>'267'!K62</f>
        <v>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/>
      <c r="AC11"/>
    </row>
    <row r="12" spans="2:29" ht="30" customHeight="1" x14ac:dyDescent="0.25">
      <c r="B12" s="62" t="s">
        <v>38</v>
      </c>
      <c r="C12" s="63" t="s">
        <v>39</v>
      </c>
      <c r="D12" s="36">
        <f>'268'!E62</f>
        <v>0</v>
      </c>
      <c r="E12" s="36">
        <f>'268'!F62</f>
        <v>34.770000000000003</v>
      </c>
      <c r="F12" s="36">
        <f>'268'!G62</f>
        <v>0</v>
      </c>
      <c r="G12" s="36">
        <f>'268'!H62</f>
        <v>0</v>
      </c>
      <c r="H12" s="36">
        <f>'268'!I62</f>
        <v>34.770000000000003</v>
      </c>
      <c r="I12" s="36">
        <f>'268'!J62</f>
        <v>0</v>
      </c>
      <c r="J12" s="39">
        <f>'268'!K62</f>
        <v>0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/>
      <c r="AC12"/>
    </row>
    <row r="13" spans="2:29" ht="30" customHeight="1" x14ac:dyDescent="0.25">
      <c r="B13" s="62" t="s">
        <v>40</v>
      </c>
      <c r="C13" s="63" t="s">
        <v>41</v>
      </c>
      <c r="D13" s="36">
        <f>'269'!E62</f>
        <v>73.040000000000006</v>
      </c>
      <c r="E13" s="36">
        <f>'269'!F62</f>
        <v>0</v>
      </c>
      <c r="F13" s="36">
        <f>'269'!G62</f>
        <v>0</v>
      </c>
      <c r="G13" s="36">
        <f>'269'!H62</f>
        <v>0</v>
      </c>
      <c r="H13" s="36">
        <f>'269'!I62</f>
        <v>11.1</v>
      </c>
      <c r="I13" s="36">
        <f>'269'!J62</f>
        <v>61.94</v>
      </c>
      <c r="J13" s="39">
        <f>'269'!K62</f>
        <v>0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/>
      <c r="AC13"/>
    </row>
    <row r="14" spans="2:29" ht="30" customHeight="1" x14ac:dyDescent="0.25">
      <c r="B14" s="61" t="s">
        <v>42</v>
      </c>
      <c r="C14" s="26" t="s">
        <v>43</v>
      </c>
      <c r="D14" s="36">
        <f>'270'!E62</f>
        <v>88.27</v>
      </c>
      <c r="E14" s="36">
        <f>'270'!F62</f>
        <v>21.700000000000003</v>
      </c>
      <c r="F14" s="36">
        <f>'270'!G62</f>
        <v>0</v>
      </c>
      <c r="G14" s="36">
        <f>'270'!H62</f>
        <v>0</v>
      </c>
      <c r="H14" s="36">
        <f>'270'!I62</f>
        <v>61.260000000000005</v>
      </c>
      <c r="I14" s="36">
        <f>'270'!J62</f>
        <v>10.9</v>
      </c>
      <c r="J14" s="39">
        <f>'270'!K62</f>
        <v>26.91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/>
      <c r="AC14"/>
    </row>
    <row r="15" spans="2:29" ht="30" customHeight="1" x14ac:dyDescent="0.25">
      <c r="B15" s="61" t="s">
        <v>44</v>
      </c>
      <c r="C15" s="26" t="s">
        <v>45</v>
      </c>
      <c r="D15" s="36">
        <f>'271'!E62</f>
        <v>21.2</v>
      </c>
      <c r="E15" s="36">
        <f>'271'!F62</f>
        <v>0</v>
      </c>
      <c r="F15" s="36">
        <f>'271'!G62</f>
        <v>0</v>
      </c>
      <c r="G15" s="36">
        <f>'271'!H62</f>
        <v>0</v>
      </c>
      <c r="H15" s="36">
        <f>'271'!I62</f>
        <v>0</v>
      </c>
      <c r="I15" s="36">
        <f>'271'!J62</f>
        <v>14.899999999999999</v>
      </c>
      <c r="J15" s="39">
        <f>'271'!K62</f>
        <v>6.3000000000000007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/>
      <c r="AC15"/>
    </row>
    <row r="16" spans="2:29" ht="30" customHeight="1" x14ac:dyDescent="0.25">
      <c r="B16" s="61" t="s">
        <v>46</v>
      </c>
      <c r="C16" s="26" t="s">
        <v>47</v>
      </c>
      <c r="D16" s="36">
        <f>'272'!E89</f>
        <v>66.199999999999989</v>
      </c>
      <c r="E16" s="36" t="e">
        <f>'272'!F89</f>
        <v>#REF!</v>
      </c>
      <c r="F16" s="36">
        <f>'272'!G89</f>
        <v>0</v>
      </c>
      <c r="G16" s="36">
        <f>'272'!H89</f>
        <v>0</v>
      </c>
      <c r="H16" s="36">
        <f>'272'!I89</f>
        <v>25.94</v>
      </c>
      <c r="I16" s="36">
        <f>'272'!J89</f>
        <v>0</v>
      </c>
      <c r="J16" s="39">
        <f>'272'!K89</f>
        <v>49.899999999999991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/>
      <c r="AC16"/>
    </row>
    <row r="17" spans="2:29" ht="30" customHeight="1" x14ac:dyDescent="0.25">
      <c r="B17" s="25" t="s">
        <v>48</v>
      </c>
      <c r="C17" s="26" t="s">
        <v>49</v>
      </c>
      <c r="D17" s="36">
        <f>'273'!E62</f>
        <v>0</v>
      </c>
      <c r="E17" s="36">
        <f>'273'!F62</f>
        <v>11.21</v>
      </c>
      <c r="F17" s="36">
        <f>'273'!G62</f>
        <v>0</v>
      </c>
      <c r="G17" s="36">
        <f>'273'!H62</f>
        <v>0</v>
      </c>
      <c r="H17" s="36">
        <f>'273'!I62</f>
        <v>11.21</v>
      </c>
      <c r="I17" s="36">
        <f>'273'!J62</f>
        <v>0</v>
      </c>
      <c r="J17" s="39">
        <f>'273'!K62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/>
      <c r="AC17"/>
    </row>
    <row r="18" spans="2:29" ht="30" customHeight="1" x14ac:dyDescent="0.25">
      <c r="D18" s="38"/>
      <c r="E18" s="38"/>
      <c r="F18" s="38"/>
      <c r="G18" s="38"/>
      <c r="H18" s="38"/>
      <c r="I18" s="38"/>
      <c r="J18" s="38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/>
      <c r="AC18"/>
    </row>
    <row r="19" spans="2:29" ht="30" customHeight="1" x14ac:dyDescent="0.25">
      <c r="B19" s="110" t="s">
        <v>50</v>
      </c>
      <c r="C19" s="110"/>
      <c r="D19" s="40">
        <f>SUM(D4:D17)</f>
        <v>456.44999999999993</v>
      </c>
      <c r="E19" s="40" t="e">
        <f t="shared" ref="E19:J19" si="0">SUM(E4:E17)</f>
        <v>#REF!</v>
      </c>
      <c r="F19" s="40">
        <f t="shared" si="0"/>
        <v>0</v>
      </c>
      <c r="G19" s="40">
        <f t="shared" si="0"/>
        <v>3.4999999999999996</v>
      </c>
      <c r="H19" s="40">
        <f t="shared" si="0"/>
        <v>284.39999999999998</v>
      </c>
      <c r="I19" s="40">
        <f t="shared" si="0"/>
        <v>218.47000000000003</v>
      </c>
      <c r="J19" s="40">
        <f t="shared" si="0"/>
        <v>91.36999999999999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/>
      <c r="AC19"/>
    </row>
    <row r="20" spans="2:29" ht="30" customHeight="1" x14ac:dyDescent="0.25">
      <c r="B20" s="110" t="s">
        <v>51</v>
      </c>
      <c r="C20" s="110"/>
      <c r="D20" s="41"/>
      <c r="E20" s="41"/>
      <c r="F20" s="41"/>
      <c r="G20" s="40" t="e">
        <f>SUM(D19:G19)</f>
        <v>#REF!</v>
      </c>
      <c r="H20" s="41"/>
      <c r="I20" s="41"/>
      <c r="J20" s="4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/>
      <c r="AC20"/>
    </row>
    <row r="21" spans="2:29" ht="30" customHeight="1" x14ac:dyDescent="0.25">
      <c r="B21" s="110" t="s">
        <v>52</v>
      </c>
      <c r="C21" s="110"/>
      <c r="D21" s="41"/>
      <c r="E21" s="41"/>
      <c r="F21" s="41"/>
      <c r="G21" s="42" t="e">
        <f>G20/Trechos!F26</f>
        <v>#REF!</v>
      </c>
      <c r="H21" s="41"/>
      <c r="I21" s="41"/>
      <c r="J21" s="4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/>
      <c r="AC21"/>
    </row>
    <row r="22" spans="2:29" ht="30" customHeight="1" x14ac:dyDescent="0.25">
      <c r="D22" s="38"/>
      <c r="E22" s="38"/>
      <c r="F22" s="38"/>
      <c r="G22" s="38"/>
      <c r="H22" s="38"/>
      <c r="I22" s="38"/>
      <c r="J22" s="38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/>
      <c r="AC22"/>
    </row>
    <row r="23" spans="2:29" ht="30" customHeight="1" x14ac:dyDescent="0.25">
      <c r="D23" s="38"/>
      <c r="E23" s="38"/>
      <c r="F23" s="38"/>
      <c r="G23" s="38"/>
      <c r="H23" s="38"/>
      <c r="I23" s="38"/>
      <c r="J23" s="38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/>
      <c r="AC23"/>
    </row>
    <row r="24" spans="2:29" ht="30" customHeight="1" x14ac:dyDescent="0.25">
      <c r="D24" s="38"/>
      <c r="E24" s="38"/>
      <c r="F24" s="38"/>
      <c r="G24" s="38"/>
      <c r="H24" s="38"/>
      <c r="I24" s="38"/>
      <c r="J24" s="38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/>
      <c r="AC24"/>
    </row>
    <row r="25" spans="2:29" ht="30" customHeight="1" x14ac:dyDescent="0.25">
      <c r="D25" s="38"/>
      <c r="E25" s="38"/>
      <c r="F25" s="38"/>
      <c r="G25" s="38"/>
      <c r="H25" s="38"/>
      <c r="I25" s="38"/>
      <c r="J25" s="38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</row>
    <row r="26" spans="2:29" ht="30" customHeight="1" x14ac:dyDescent="0.25">
      <c r="D26" s="38"/>
      <c r="E26" s="38"/>
      <c r="F26" s="38"/>
      <c r="G26" s="38"/>
      <c r="H26" s="38"/>
      <c r="I26" s="38"/>
      <c r="J26" s="38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</row>
    <row r="27" spans="2:29" ht="30" customHeight="1" x14ac:dyDescent="0.25">
      <c r="D27" s="38"/>
      <c r="E27" s="38"/>
      <c r="F27" s="38"/>
      <c r="G27" s="38"/>
      <c r="H27" s="38"/>
      <c r="I27" s="38"/>
      <c r="J27" s="38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</row>
    <row r="28" spans="2:29" ht="30" customHeight="1" x14ac:dyDescent="0.25">
      <c r="D28" s="38"/>
      <c r="E28" s="38"/>
      <c r="F28" s="38"/>
      <c r="G28" s="38"/>
      <c r="H28" s="38"/>
      <c r="I28" s="38"/>
      <c r="J28" s="38"/>
    </row>
    <row r="29" spans="2:29" ht="30" customHeight="1" x14ac:dyDescent="0.25">
      <c r="D29" s="38"/>
      <c r="E29" s="38"/>
      <c r="F29" s="38"/>
      <c r="G29" s="38"/>
      <c r="H29" s="38"/>
      <c r="I29" s="38"/>
      <c r="J29" s="38"/>
    </row>
    <row r="30" spans="2:29" ht="30" customHeight="1" x14ac:dyDescent="0.25">
      <c r="D30" s="38"/>
      <c r="E30" s="38"/>
      <c r="F30" s="38"/>
      <c r="G30" s="38"/>
      <c r="H30" s="38"/>
      <c r="I30" s="38"/>
      <c r="J30" s="38"/>
    </row>
    <row r="31" spans="2:29" ht="30" customHeight="1" x14ac:dyDescent="0.25">
      <c r="D31" s="38"/>
      <c r="E31" s="38"/>
      <c r="F31" s="38"/>
      <c r="G31" s="38"/>
      <c r="H31" s="38"/>
      <c r="I31" s="38"/>
      <c r="J31" s="38"/>
    </row>
    <row r="32" spans="2:29" ht="30" customHeight="1" x14ac:dyDescent="0.25">
      <c r="D32" s="38"/>
      <c r="E32" s="38"/>
      <c r="F32" s="38"/>
      <c r="G32" s="38"/>
      <c r="H32" s="38"/>
      <c r="I32" s="38"/>
      <c r="J32" s="38"/>
    </row>
    <row r="33" spans="4:10" ht="30" customHeight="1" x14ac:dyDescent="0.25">
      <c r="D33" s="38"/>
      <c r="E33" s="38"/>
      <c r="F33" s="38"/>
      <c r="G33" s="38"/>
      <c r="H33" s="38"/>
      <c r="I33" s="38"/>
      <c r="J33" s="38"/>
    </row>
    <row r="34" spans="4:10" ht="30" customHeight="1" x14ac:dyDescent="0.25">
      <c r="D34" s="38"/>
      <c r="E34" s="38"/>
      <c r="F34" s="38"/>
      <c r="G34" s="38"/>
      <c r="H34" s="38"/>
      <c r="I34" s="38"/>
      <c r="J34" s="38"/>
    </row>
    <row r="35" spans="4:10" ht="30" customHeight="1" x14ac:dyDescent="0.25">
      <c r="D35" s="38"/>
      <c r="E35" s="38"/>
      <c r="F35" s="38"/>
      <c r="G35" s="38"/>
      <c r="H35" s="38"/>
      <c r="I35" s="38"/>
      <c r="J35" s="38"/>
    </row>
    <row r="36" spans="4:10" ht="30" customHeight="1" x14ac:dyDescent="0.25">
      <c r="D36" s="38"/>
      <c r="E36" s="38"/>
      <c r="F36" s="38"/>
      <c r="G36" s="38"/>
      <c r="H36" s="38"/>
      <c r="I36" s="38"/>
      <c r="J36" s="38"/>
    </row>
    <row r="37" spans="4:10" ht="30" customHeight="1" x14ac:dyDescent="0.25">
      <c r="D37" s="38"/>
      <c r="E37" s="38"/>
      <c r="F37" s="38"/>
      <c r="G37" s="38"/>
      <c r="H37" s="38"/>
      <c r="I37" s="38"/>
      <c r="J37" s="38"/>
    </row>
    <row r="38" spans="4:10" ht="30" customHeight="1" x14ac:dyDescent="0.25">
      <c r="D38" s="38"/>
      <c r="E38" s="38"/>
      <c r="F38" s="38"/>
      <c r="G38" s="38"/>
      <c r="H38" s="38"/>
      <c r="I38" s="38"/>
      <c r="J38" s="38"/>
    </row>
    <row r="39" spans="4:10" ht="30" customHeight="1" x14ac:dyDescent="0.25">
      <c r="D39" s="38"/>
      <c r="E39" s="38"/>
      <c r="F39" s="38"/>
      <c r="G39" s="38"/>
      <c r="H39" s="38"/>
      <c r="I39" s="38"/>
      <c r="J39" s="38"/>
    </row>
    <row r="40" spans="4:10" ht="30" customHeight="1" x14ac:dyDescent="0.25">
      <c r="D40" s="38"/>
      <c r="E40" s="38"/>
      <c r="F40" s="38"/>
      <c r="G40" s="38"/>
      <c r="H40" s="38"/>
      <c r="I40" s="38"/>
      <c r="J40" s="38"/>
    </row>
    <row r="41" spans="4:10" ht="30" customHeight="1" x14ac:dyDescent="0.25">
      <c r="D41" s="38"/>
      <c r="E41" s="38"/>
      <c r="F41" s="38"/>
      <c r="G41" s="38"/>
      <c r="H41" s="38"/>
      <c r="I41" s="38"/>
      <c r="J41" s="38"/>
    </row>
    <row r="42" spans="4:10" ht="30" customHeight="1" x14ac:dyDescent="0.25">
      <c r="D42" s="38"/>
      <c r="E42" s="38"/>
      <c r="F42" s="38"/>
      <c r="G42" s="38"/>
      <c r="H42" s="38"/>
      <c r="I42" s="38"/>
      <c r="J42" s="38"/>
    </row>
    <row r="43" spans="4:10" ht="30" customHeight="1" x14ac:dyDescent="0.25">
      <c r="D43" s="38"/>
      <c r="E43" s="38"/>
      <c r="F43" s="38"/>
      <c r="G43" s="38"/>
      <c r="H43" s="38"/>
      <c r="I43" s="38"/>
      <c r="J43" s="38"/>
    </row>
    <row r="44" spans="4:10" ht="30" customHeight="1" x14ac:dyDescent="0.25">
      <c r="D44" s="38"/>
      <c r="E44" s="38"/>
      <c r="F44" s="38"/>
      <c r="G44" s="38"/>
      <c r="H44" s="38"/>
      <c r="I44" s="38"/>
      <c r="J44" s="38"/>
    </row>
    <row r="45" spans="4:10" ht="30" customHeight="1" x14ac:dyDescent="0.25">
      <c r="D45" s="38"/>
      <c r="E45" s="38"/>
      <c r="F45" s="38"/>
      <c r="G45" s="38"/>
      <c r="H45" s="38"/>
      <c r="I45" s="38"/>
      <c r="J45" s="38"/>
    </row>
    <row r="46" spans="4:10" ht="30" customHeight="1" x14ac:dyDescent="0.25">
      <c r="D46" s="38"/>
      <c r="E46" s="38"/>
      <c r="F46" s="38"/>
      <c r="G46" s="38"/>
      <c r="H46" s="38"/>
      <c r="I46" s="38"/>
      <c r="J46" s="38"/>
    </row>
    <row r="47" spans="4:10" ht="30" customHeight="1" x14ac:dyDescent="0.25">
      <c r="D47" s="38"/>
      <c r="E47" s="38"/>
      <c r="F47" s="38"/>
      <c r="G47" s="38"/>
      <c r="H47" s="38"/>
      <c r="I47" s="38"/>
      <c r="J47" s="38"/>
    </row>
    <row r="48" spans="4:10" ht="30" customHeight="1" x14ac:dyDescent="0.25">
      <c r="D48" s="38"/>
      <c r="E48" s="38"/>
      <c r="F48" s="38"/>
      <c r="G48" s="38"/>
      <c r="H48" s="38"/>
      <c r="I48" s="38"/>
      <c r="J48" s="38"/>
    </row>
    <row r="49" spans="4:10" ht="30" customHeight="1" x14ac:dyDescent="0.25">
      <c r="D49" s="38"/>
      <c r="E49" s="38"/>
      <c r="F49" s="38"/>
      <c r="G49" s="38"/>
      <c r="H49" s="38"/>
      <c r="I49" s="38"/>
      <c r="J49" s="38"/>
    </row>
    <row r="50" spans="4:10" ht="30" customHeight="1" x14ac:dyDescent="0.25">
      <c r="D50" s="38"/>
      <c r="E50" s="38"/>
      <c r="F50" s="38"/>
      <c r="G50" s="38"/>
      <c r="H50" s="38"/>
      <c r="I50" s="38"/>
      <c r="J50" s="38"/>
    </row>
    <row r="51" spans="4:10" ht="30" customHeight="1" x14ac:dyDescent="0.25">
      <c r="D51" s="38"/>
      <c r="E51" s="38"/>
      <c r="F51" s="38"/>
      <c r="G51" s="38"/>
      <c r="H51" s="38"/>
      <c r="I51" s="38"/>
      <c r="J51" s="38"/>
    </row>
    <row r="52" spans="4:10" ht="30" customHeight="1" x14ac:dyDescent="0.25">
      <c r="D52" s="38"/>
      <c r="E52" s="38"/>
      <c r="F52" s="38"/>
      <c r="G52" s="38"/>
      <c r="H52" s="38"/>
      <c r="I52" s="38"/>
      <c r="J52" s="38"/>
    </row>
    <row r="53" spans="4:10" ht="30" customHeight="1" x14ac:dyDescent="0.25">
      <c r="D53" s="38"/>
      <c r="E53" s="38"/>
      <c r="F53" s="38"/>
      <c r="G53" s="38"/>
      <c r="H53" s="38"/>
      <c r="I53" s="38"/>
      <c r="J53" s="38"/>
    </row>
    <row r="54" spans="4:10" ht="30" customHeight="1" x14ac:dyDescent="0.25">
      <c r="D54" s="38"/>
      <c r="E54" s="38"/>
      <c r="F54" s="38"/>
      <c r="G54" s="38"/>
      <c r="H54" s="38"/>
      <c r="I54" s="38"/>
      <c r="J54" s="38"/>
    </row>
    <row r="55" spans="4:10" ht="30" customHeight="1" x14ac:dyDescent="0.25">
      <c r="D55" s="38"/>
      <c r="E55" s="38"/>
      <c r="F55" s="38"/>
      <c r="G55" s="38"/>
      <c r="H55" s="38"/>
      <c r="I55" s="38"/>
      <c r="J55" s="38"/>
    </row>
    <row r="56" spans="4:10" ht="30" customHeight="1" x14ac:dyDescent="0.25">
      <c r="D56" s="38"/>
      <c r="E56" s="38"/>
      <c r="F56" s="38"/>
      <c r="G56" s="38"/>
      <c r="H56" s="38"/>
      <c r="I56" s="38"/>
      <c r="J56" s="38"/>
    </row>
    <row r="57" spans="4:10" ht="30" customHeight="1" x14ac:dyDescent="0.25">
      <c r="D57" s="38"/>
      <c r="E57" s="38"/>
      <c r="F57" s="38"/>
      <c r="G57" s="38"/>
      <c r="H57" s="38"/>
      <c r="I57" s="38"/>
      <c r="J57" s="38"/>
    </row>
    <row r="58" spans="4:10" ht="30" customHeight="1" x14ac:dyDescent="0.25">
      <c r="D58" s="38"/>
      <c r="E58" s="38"/>
      <c r="F58" s="38"/>
      <c r="G58" s="38"/>
      <c r="H58" s="38"/>
      <c r="I58" s="38"/>
      <c r="J58" s="38"/>
    </row>
    <row r="59" spans="4:10" ht="30" customHeight="1" x14ac:dyDescent="0.25">
      <c r="D59" s="38"/>
      <c r="E59" s="38"/>
      <c r="F59" s="38"/>
      <c r="G59" s="38"/>
      <c r="H59" s="38"/>
      <c r="I59" s="38"/>
      <c r="J59" s="38"/>
    </row>
    <row r="60" spans="4:10" ht="30" customHeight="1" x14ac:dyDescent="0.25">
      <c r="D60" s="38"/>
      <c r="E60" s="38"/>
      <c r="F60" s="38"/>
      <c r="G60" s="38"/>
      <c r="H60" s="38"/>
      <c r="I60" s="38"/>
      <c r="J60" s="38"/>
    </row>
    <row r="61" spans="4:10" ht="30" customHeight="1" x14ac:dyDescent="0.25">
      <c r="D61" s="38"/>
      <c r="E61" s="38"/>
      <c r="F61" s="38"/>
      <c r="G61" s="38"/>
      <c r="H61" s="38"/>
      <c r="I61" s="38"/>
      <c r="J61" s="38"/>
    </row>
    <row r="62" spans="4:10" ht="30" customHeight="1" x14ac:dyDescent="0.25">
      <c r="D62" s="38"/>
      <c r="E62" s="38"/>
      <c r="F62" s="38"/>
      <c r="G62" s="38"/>
      <c r="H62" s="38"/>
      <c r="I62" s="38"/>
      <c r="J62" s="38"/>
    </row>
    <row r="63" spans="4:10" ht="30" customHeight="1" x14ac:dyDescent="0.25">
      <c r="D63" s="38"/>
      <c r="E63" s="38"/>
      <c r="F63" s="38"/>
      <c r="G63" s="38"/>
      <c r="H63" s="38"/>
      <c r="I63" s="38"/>
      <c r="J63" s="38"/>
    </row>
    <row r="64" spans="4:10" ht="30" customHeight="1" x14ac:dyDescent="0.25">
      <c r="D64" s="38"/>
      <c r="E64" s="38"/>
      <c r="F64" s="38"/>
      <c r="G64" s="38"/>
      <c r="H64" s="38"/>
      <c r="I64" s="38"/>
      <c r="J64" s="38"/>
    </row>
    <row r="65" spans="4:10" ht="30" customHeight="1" x14ac:dyDescent="0.25">
      <c r="D65" s="38"/>
      <c r="E65" s="38"/>
      <c r="F65" s="38"/>
      <c r="G65" s="38"/>
      <c r="H65" s="38"/>
      <c r="I65" s="38"/>
      <c r="J65" s="38"/>
    </row>
    <row r="66" spans="4:10" ht="30" customHeight="1" x14ac:dyDescent="0.25">
      <c r="D66" s="38"/>
      <c r="E66" s="38"/>
      <c r="F66" s="38"/>
      <c r="G66" s="38"/>
      <c r="H66" s="38"/>
      <c r="I66" s="38"/>
      <c r="J66" s="38"/>
    </row>
    <row r="67" spans="4:10" ht="30" customHeight="1" x14ac:dyDescent="0.25">
      <c r="D67" s="38"/>
      <c r="E67" s="38"/>
      <c r="F67" s="38"/>
      <c r="G67" s="38"/>
      <c r="H67" s="38"/>
      <c r="I67" s="38"/>
      <c r="J67" s="38"/>
    </row>
    <row r="68" spans="4:10" ht="30" customHeight="1" x14ac:dyDescent="0.25">
      <c r="D68" s="38"/>
      <c r="E68" s="38"/>
      <c r="F68" s="38"/>
      <c r="G68" s="38"/>
      <c r="H68" s="38"/>
      <c r="I68" s="38"/>
      <c r="J68" s="38"/>
    </row>
    <row r="69" spans="4:10" ht="30" customHeight="1" x14ac:dyDescent="0.25">
      <c r="D69" s="38"/>
      <c r="E69" s="38"/>
      <c r="F69" s="38"/>
      <c r="G69" s="38"/>
      <c r="H69" s="38"/>
      <c r="I69" s="38"/>
      <c r="J69" s="38"/>
    </row>
    <row r="70" spans="4:10" ht="30" customHeight="1" x14ac:dyDescent="0.25">
      <c r="D70" s="38"/>
      <c r="E70" s="38"/>
      <c r="F70" s="38"/>
      <c r="G70" s="38"/>
      <c r="H70" s="38"/>
      <c r="I70" s="38"/>
      <c r="J70" s="38"/>
    </row>
    <row r="71" spans="4:10" ht="30" customHeight="1" x14ac:dyDescent="0.25">
      <c r="D71" s="38"/>
      <c r="E71" s="38"/>
      <c r="F71" s="38"/>
      <c r="G71" s="38"/>
      <c r="H71" s="38"/>
      <c r="I71" s="38"/>
      <c r="J71" s="38"/>
    </row>
    <row r="72" spans="4:10" ht="30" customHeight="1" x14ac:dyDescent="0.25">
      <c r="D72" s="38"/>
      <c r="E72" s="38"/>
      <c r="F72" s="38"/>
      <c r="G72" s="38"/>
      <c r="H72" s="38"/>
      <c r="I72" s="38"/>
      <c r="J72" s="38"/>
    </row>
    <row r="73" spans="4:10" ht="30" customHeight="1" x14ac:dyDescent="0.25">
      <c r="D73" s="38"/>
      <c r="E73" s="38"/>
      <c r="F73" s="38"/>
      <c r="G73" s="38"/>
      <c r="H73" s="38"/>
      <c r="I73" s="38"/>
      <c r="J73" s="38"/>
    </row>
    <row r="74" spans="4:10" ht="30" customHeight="1" x14ac:dyDescent="0.25">
      <c r="D74" s="38"/>
      <c r="E74" s="38"/>
      <c r="F74" s="38"/>
      <c r="G74" s="38"/>
      <c r="H74" s="38"/>
      <c r="I74" s="38"/>
      <c r="J74" s="38"/>
    </row>
    <row r="75" spans="4:10" ht="30" customHeight="1" x14ac:dyDescent="0.25">
      <c r="D75" s="38"/>
      <c r="E75" s="38"/>
      <c r="F75" s="38"/>
      <c r="G75" s="38"/>
      <c r="H75" s="38"/>
      <c r="I75" s="38"/>
      <c r="J75" s="38"/>
    </row>
    <row r="76" spans="4:10" ht="30" customHeight="1" x14ac:dyDescent="0.25">
      <c r="D76" s="38"/>
      <c r="E76" s="38"/>
      <c r="F76" s="38"/>
      <c r="G76" s="38"/>
      <c r="H76" s="38"/>
      <c r="I76" s="38"/>
      <c r="J76" s="38"/>
    </row>
    <row r="77" spans="4:10" ht="30" customHeight="1" x14ac:dyDescent="0.25">
      <c r="D77" s="38"/>
      <c r="E77" s="38"/>
      <c r="F77" s="38"/>
      <c r="G77" s="38"/>
      <c r="H77" s="38"/>
      <c r="I77" s="38"/>
      <c r="J77" s="38"/>
    </row>
    <row r="78" spans="4:10" ht="30" customHeight="1" x14ac:dyDescent="0.25">
      <c r="D78" s="38"/>
      <c r="E78" s="38"/>
      <c r="F78" s="38"/>
      <c r="G78" s="38"/>
      <c r="H78" s="38"/>
      <c r="I78" s="38"/>
      <c r="J78" s="38"/>
    </row>
    <row r="79" spans="4:10" ht="30" customHeight="1" x14ac:dyDescent="0.25">
      <c r="D79" s="38"/>
      <c r="E79" s="38"/>
      <c r="F79" s="38"/>
      <c r="G79" s="38"/>
      <c r="H79" s="38"/>
      <c r="I79" s="38"/>
      <c r="J79" s="38"/>
    </row>
    <row r="80" spans="4:10" ht="30" customHeight="1" x14ac:dyDescent="0.25">
      <c r="D80" s="38"/>
      <c r="E80" s="38"/>
      <c r="F80" s="38"/>
      <c r="G80" s="38"/>
      <c r="H80" s="38"/>
      <c r="I80" s="38"/>
      <c r="J80" s="38"/>
    </row>
    <row r="81" spans="4:10" ht="30" customHeight="1" x14ac:dyDescent="0.25">
      <c r="D81" s="38"/>
      <c r="E81" s="38"/>
      <c r="F81" s="38"/>
      <c r="G81" s="38"/>
      <c r="H81" s="38"/>
      <c r="I81" s="38"/>
      <c r="J81" s="38"/>
    </row>
    <row r="82" spans="4:10" ht="30" customHeight="1" x14ac:dyDescent="0.25">
      <c r="D82" s="38"/>
      <c r="E82" s="38"/>
      <c r="F82" s="38"/>
      <c r="G82" s="38"/>
      <c r="H82" s="38"/>
      <c r="I82" s="38"/>
      <c r="J82" s="38"/>
    </row>
    <row r="83" spans="4:10" ht="30" customHeight="1" x14ac:dyDescent="0.25">
      <c r="D83" s="38"/>
      <c r="E83" s="38"/>
      <c r="F83" s="38"/>
      <c r="G83" s="38"/>
      <c r="H83" s="38"/>
      <c r="I83" s="38"/>
      <c r="J83" s="38"/>
    </row>
    <row r="84" spans="4:10" ht="30" customHeight="1" x14ac:dyDescent="0.25">
      <c r="D84" s="38"/>
      <c r="E84" s="38"/>
      <c r="F84" s="38"/>
      <c r="G84" s="38"/>
      <c r="H84" s="38"/>
      <c r="I84" s="38"/>
      <c r="J84" s="38"/>
    </row>
    <row r="85" spans="4:10" ht="30" customHeight="1" x14ac:dyDescent="0.25">
      <c r="D85" s="38"/>
      <c r="E85" s="38"/>
      <c r="F85" s="38"/>
      <c r="G85" s="38"/>
      <c r="H85" s="38"/>
      <c r="I85" s="38"/>
      <c r="J85" s="38"/>
    </row>
    <row r="86" spans="4:10" ht="30" customHeight="1" x14ac:dyDescent="0.25">
      <c r="D86" s="38"/>
      <c r="E86" s="38"/>
      <c r="F86" s="38"/>
      <c r="G86" s="38"/>
      <c r="H86" s="38"/>
      <c r="I86" s="38"/>
      <c r="J86" s="38"/>
    </row>
    <row r="87" spans="4:10" ht="30" customHeight="1" x14ac:dyDescent="0.25">
      <c r="D87" s="38"/>
      <c r="E87" s="38"/>
      <c r="F87" s="38"/>
      <c r="G87" s="38"/>
      <c r="H87" s="38"/>
      <c r="I87" s="38"/>
      <c r="J87" s="38"/>
    </row>
    <row r="88" spans="4:10" ht="30" customHeight="1" x14ac:dyDescent="0.25">
      <c r="D88" s="38"/>
      <c r="E88" s="38"/>
      <c r="F88" s="38"/>
      <c r="G88" s="38"/>
      <c r="H88" s="38"/>
      <c r="I88" s="38"/>
      <c r="J88" s="38"/>
    </row>
    <row r="89" spans="4:10" ht="30" customHeight="1" x14ac:dyDescent="0.25">
      <c r="D89" s="38"/>
      <c r="E89" s="38"/>
      <c r="F89" s="38"/>
      <c r="G89" s="38"/>
      <c r="H89" s="38"/>
      <c r="I89" s="38"/>
      <c r="J89" s="38"/>
    </row>
    <row r="90" spans="4:10" ht="30" customHeight="1" x14ac:dyDescent="0.25">
      <c r="D90" s="38"/>
      <c r="E90" s="38"/>
      <c r="F90" s="38"/>
      <c r="G90" s="38"/>
      <c r="H90" s="38"/>
      <c r="I90" s="38"/>
      <c r="J90" s="38"/>
    </row>
    <row r="91" spans="4:10" ht="30" customHeight="1" x14ac:dyDescent="0.25">
      <c r="D91" s="38"/>
      <c r="E91" s="38"/>
      <c r="F91" s="38"/>
      <c r="G91" s="38"/>
      <c r="H91" s="38"/>
      <c r="I91" s="38"/>
      <c r="J91" s="38"/>
    </row>
    <row r="92" spans="4:10" ht="30" customHeight="1" x14ac:dyDescent="0.25">
      <c r="D92" s="38"/>
      <c r="E92" s="38"/>
      <c r="F92" s="38"/>
      <c r="G92" s="38"/>
      <c r="H92" s="38"/>
      <c r="I92" s="38"/>
      <c r="J92" s="38"/>
    </row>
    <row r="93" spans="4:10" ht="30" customHeight="1" x14ac:dyDescent="0.25">
      <c r="D93" s="38"/>
      <c r="E93" s="38"/>
      <c r="F93" s="38"/>
      <c r="G93" s="38"/>
      <c r="H93" s="38"/>
      <c r="I93" s="38"/>
      <c r="J93" s="38"/>
    </row>
    <row r="94" spans="4:10" ht="30" customHeight="1" x14ac:dyDescent="0.25">
      <c r="D94" s="38"/>
      <c r="E94" s="38"/>
      <c r="F94" s="38"/>
      <c r="G94" s="38"/>
      <c r="H94" s="38"/>
      <c r="I94" s="38"/>
      <c r="J94" s="38"/>
    </row>
    <row r="95" spans="4:10" ht="30" customHeight="1" x14ac:dyDescent="0.25">
      <c r="D95" s="38"/>
      <c r="E95" s="38"/>
      <c r="F95" s="38"/>
      <c r="G95" s="38"/>
      <c r="H95" s="38"/>
      <c r="I95" s="38"/>
      <c r="J95" s="38"/>
    </row>
    <row r="96" spans="4:10" ht="30" customHeight="1" x14ac:dyDescent="0.25">
      <c r="D96" s="38"/>
      <c r="E96" s="38"/>
      <c r="F96" s="38"/>
      <c r="G96" s="38"/>
      <c r="H96" s="38"/>
      <c r="I96" s="38"/>
      <c r="J96" s="38"/>
    </row>
    <row r="97" spans="4:10" ht="30" customHeight="1" x14ac:dyDescent="0.25">
      <c r="D97" s="38"/>
      <c r="E97" s="38"/>
      <c r="F97" s="38"/>
      <c r="G97" s="38"/>
      <c r="H97" s="38"/>
      <c r="I97" s="38"/>
      <c r="J97" s="38"/>
    </row>
    <row r="98" spans="4:10" ht="30" customHeight="1" x14ac:dyDescent="0.25">
      <c r="D98" s="38"/>
      <c r="E98" s="38"/>
      <c r="F98" s="38"/>
      <c r="G98" s="38"/>
      <c r="H98" s="38"/>
      <c r="I98" s="38"/>
      <c r="J98" s="38"/>
    </row>
    <row r="99" spans="4:10" ht="30" customHeight="1" x14ac:dyDescent="0.25"/>
    <row r="100" spans="4:10" ht="30" customHeight="1" x14ac:dyDescent="0.25"/>
    <row r="101" spans="4:10" ht="30" customHeight="1" x14ac:dyDescent="0.25"/>
    <row r="102" spans="4:10" ht="30" customHeight="1" x14ac:dyDescent="0.25"/>
    <row r="103" spans="4:10" ht="30" customHeight="1" x14ac:dyDescent="0.25"/>
    <row r="104" spans="4:10" ht="30" customHeight="1" x14ac:dyDescent="0.25"/>
    <row r="105" spans="4:10" ht="30" customHeight="1" x14ac:dyDescent="0.25"/>
    <row r="106" spans="4:10" ht="30" customHeight="1" x14ac:dyDescent="0.25"/>
    <row r="107" spans="4:10" ht="30" customHeight="1" x14ac:dyDescent="0.25"/>
    <row r="108" spans="4:10" ht="30" customHeight="1" x14ac:dyDescent="0.25"/>
    <row r="109" spans="4:10" ht="30" customHeight="1" x14ac:dyDescent="0.25"/>
    <row r="110" spans="4:10" ht="30" customHeight="1" x14ac:dyDescent="0.25"/>
    <row r="111" spans="4:10" ht="30" customHeight="1" x14ac:dyDescent="0.25"/>
    <row r="112" spans="4:10" ht="30" customHeight="1" x14ac:dyDescent="0.25"/>
  </sheetData>
  <mergeCells count="8">
    <mergeCell ref="B19:C19"/>
    <mergeCell ref="B20:C20"/>
    <mergeCell ref="B21:C21"/>
    <mergeCell ref="D1:J1"/>
    <mergeCell ref="D2:G2"/>
    <mergeCell ref="H2:J2"/>
    <mergeCell ref="C2:C3"/>
    <mergeCell ref="B2:B3"/>
  </mergeCells>
  <pageMargins left="0.51181102362204722" right="0.51181102362204722" top="0.78740157480314965" bottom="0.78740157480314965" header="0.31496062992125984" footer="0.31496062992125984"/>
  <pageSetup paperSize="9" scale="35" orientation="landscape" horizontalDpi="1200" verticalDpi="1200" r:id="rId1"/>
  <colBreaks count="1" manualBreakCount="1">
    <brk id="1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16</vt:i4>
      </vt:variant>
      <vt:variant>
        <vt:lpstr>Intervalos Nomeados</vt:lpstr>
      </vt:variant>
      <vt:variant>
        <vt:i4>16</vt:i4>
      </vt:variant>
    </vt:vector>
  </HeadingPairs>
  <TitlesOfParts>
    <vt:vector size="32" baseType="lpstr">
      <vt:lpstr>Trechos</vt:lpstr>
      <vt:lpstr>245</vt:lpstr>
      <vt:lpstr>260</vt:lpstr>
      <vt:lpstr>261</vt:lpstr>
      <vt:lpstr>262</vt:lpstr>
      <vt:lpstr>263</vt:lpstr>
      <vt:lpstr>264</vt:lpstr>
      <vt:lpstr>265</vt:lpstr>
      <vt:lpstr>267</vt:lpstr>
      <vt:lpstr>268</vt:lpstr>
      <vt:lpstr>269</vt:lpstr>
      <vt:lpstr>270</vt:lpstr>
      <vt:lpstr>271</vt:lpstr>
      <vt:lpstr>272</vt:lpstr>
      <vt:lpstr>273</vt:lpstr>
      <vt:lpstr>TT</vt:lpstr>
      <vt:lpstr>'245'!Area_de_impressao</vt:lpstr>
      <vt:lpstr>'260'!Area_de_impressao</vt:lpstr>
      <vt:lpstr>'261'!Area_de_impressao</vt:lpstr>
      <vt:lpstr>'262'!Area_de_impressao</vt:lpstr>
      <vt:lpstr>'263'!Area_de_impressao</vt:lpstr>
      <vt:lpstr>'264'!Area_de_impressao</vt:lpstr>
      <vt:lpstr>'265'!Area_de_impressao</vt:lpstr>
      <vt:lpstr>'267'!Area_de_impressao</vt:lpstr>
      <vt:lpstr>'268'!Area_de_impressao</vt:lpstr>
      <vt:lpstr>'269'!Area_de_impressao</vt:lpstr>
      <vt:lpstr>'270'!Area_de_impressao</vt:lpstr>
      <vt:lpstr>'271'!Area_de_impressao</vt:lpstr>
      <vt:lpstr>'272'!Area_de_impressao</vt:lpstr>
      <vt:lpstr>'273'!Area_de_impressao</vt:lpstr>
      <vt:lpstr>Trechos!Area_de_impressao</vt:lpstr>
      <vt:lpstr>TT!Area_de_impressao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flavio prado</dc:creator>
  <cp:lastModifiedBy>FERNANDA</cp:lastModifiedBy>
  <cp:lastPrinted>2026-01-26T13:49:52Z</cp:lastPrinted>
  <dcterms:created xsi:type="dcterms:W3CDTF">2025-07-22T11:15:05Z</dcterms:created>
  <dcterms:modified xsi:type="dcterms:W3CDTF">2026-08-04T18:49:32Z</dcterms:modified>
</cp:coreProperties>
</file>